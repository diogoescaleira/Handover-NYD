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64011"/>
  <mc:AlternateContent xmlns:mc="http://schemas.openxmlformats.org/markup-compatibility/2006">
    <mc:Choice Requires="x15">
      <x15ac:absPath xmlns:x15ac="http://schemas.microsoft.com/office/spreadsheetml/2010/11/ac" url="C:\Users\e858309\Desktop\"/>
    </mc:Choice>
  </mc:AlternateContent>
  <bookViews>
    <workbookView xWindow="0" yWindow="0" windowWidth="19185" windowHeight="1800" tabRatio="914"/>
  </bookViews>
  <sheets>
    <sheet name="Filtros dos Segmentos" sheetId="36" r:id="rId1"/>
    <sheet name="LEGAL PERSONS DATA SETS" sheetId="19" r:id="rId2"/>
    <sheet name="LEGALP_INSTRUMENTS" sheetId="2" r:id="rId3"/>
    <sheet name="LEGALP_COUNTERPARTIES" sheetId="20" r:id="rId4"/>
    <sheet name="LEGALP_PROTECTIONS" sheetId="21" r:id="rId5"/>
    <sheet name="LEGALP_INSTRUMENT_COUNTERPARTY" sheetId="37" r:id="rId6"/>
    <sheet name="LEGALP_INSTRUMENT_PROTECTION" sheetId="38" r:id="rId7"/>
    <sheet name="NATURAL PERSONS DATA SETS" sheetId="23" r:id="rId8"/>
    <sheet name="NATURALP_INSTRUMENTS" sheetId="24" r:id="rId9"/>
    <sheet name="NATURALP_COUNTERPARTIES" sheetId="25" r:id="rId10"/>
    <sheet name="NATURALP_PROTECTIONS" sheetId="26" r:id="rId11"/>
    <sheet name="NATURALP_INSTRUMENT_COUNTERPART" sheetId="39" r:id="rId12"/>
    <sheet name="NATURALP_INSTRUMENT_PROTECTION" sheetId="40" r:id="rId13"/>
    <sheet name="OFF-BALANCE DATA SETS" sheetId="28" r:id="rId14"/>
    <sheet name="OFFBAL_INSTRUMENTS" sheetId="30" r:id="rId15"/>
    <sheet name="OFFBAL_COUNTERPARTIES" sheetId="27" r:id="rId16"/>
    <sheet name="OFFBAL_PROTECTIONS" sheetId="31" r:id="rId17"/>
    <sheet name="OFFBAL_INSTRUMENT_COUNTERPARTY" sheetId="41" r:id="rId18"/>
    <sheet name="OFFBAL_INSTRUMENT_PROTECTION" sheetId="42" r:id="rId19"/>
    <sheet name="DERIVATIVES Data Set" sheetId="33" r:id="rId20"/>
    <sheet name="DERIVATIVES" sheetId="32" r:id="rId21"/>
    <sheet name="DEBT SECURITIES Data Set" sheetId="44" r:id="rId22"/>
    <sheet name="DEBT_SECURITIES" sheetId="34" r:id="rId23"/>
    <sheet name="EQUITY INSTRUMENTS Data Set" sheetId="45" r:id="rId24"/>
    <sheet name="EQUITY_INSTRUMENTS" sheetId="35" r:id="rId25"/>
    <sheet name="DTA DTC Data Set" sheetId="46" r:id="rId26"/>
    <sheet name="DTA_DTC" sheetId="47" r:id="rId27"/>
    <sheet name="INTANGIBLE ASSETS Data Set" sheetId="48" r:id="rId28"/>
    <sheet name="INTANGIBLE_ASSETS" sheetId="49" r:id="rId29"/>
    <sheet name="LT803" sheetId="54" r:id="rId30"/>
    <sheet name="LT829" sheetId="62" r:id="rId31"/>
    <sheet name="LT830" sheetId="63" r:id="rId32"/>
    <sheet name="LT831" sheetId="61" r:id="rId33"/>
    <sheet name="Apoio novos campos" sheetId="53" state="hidden" r:id="rId34"/>
  </sheets>
  <definedNames>
    <definedName name="_xlnm._FilterDatabase" localSheetId="22" hidden="1">DEBT_SECURITIES!$A$2:$N$77</definedName>
    <definedName name="_xlnm._FilterDatabase" localSheetId="20" hidden="1">DERIVATIVES!$A$2:$N$43</definedName>
    <definedName name="_xlnm._FilterDatabase" localSheetId="24" hidden="1">EQUITY_INSTRUMENTS!$A$2:$N$2</definedName>
    <definedName name="_xlnm._FilterDatabase" localSheetId="3" hidden="1">LEGALP_COUNTERPARTIES!$A$2:$N$17</definedName>
    <definedName name="_xlnm._FilterDatabase" localSheetId="5" hidden="1">LEGALP_INSTRUMENT_COUNTERPARTY!$A$2:$N$2</definedName>
    <definedName name="_xlnm._FilterDatabase" localSheetId="6" hidden="1">LEGALP_INSTRUMENT_PROTECTION!$A$2:$N$2</definedName>
    <definedName name="_xlnm._FilterDatabase" localSheetId="2" hidden="1">LEGALP_INSTRUMENTS!$A$2:$N$2</definedName>
    <definedName name="_xlnm._FilterDatabase" localSheetId="4" hidden="1">LEGALP_PROTECTIONS!$A$2:$N$2</definedName>
    <definedName name="_xlnm._FilterDatabase" localSheetId="29" hidden="1">'LT803'!$A$1:$F$520</definedName>
    <definedName name="_xlnm._FilterDatabase" localSheetId="30" hidden="1">'LT829'!$A$1:$F$1</definedName>
    <definedName name="_xlnm._FilterDatabase" localSheetId="31" hidden="1">'LT830'!$A$1:$E$1</definedName>
    <definedName name="_xlnm._FilterDatabase" localSheetId="32" hidden="1">'LT831'!$A$1:$X$1</definedName>
    <definedName name="_xlnm._FilterDatabase" localSheetId="9" hidden="1">NATURALP_COUNTERPARTIES!$A$2:$N$29</definedName>
    <definedName name="_xlnm._FilterDatabase" localSheetId="11" hidden="1">NATURALP_INSTRUMENT_COUNTERPART!$A$2:$N$2</definedName>
    <definedName name="_xlnm._FilterDatabase" localSheetId="12" hidden="1">NATURALP_INSTRUMENT_PROTECTION!$A$2:$N$2</definedName>
    <definedName name="_xlnm._FilterDatabase" localSheetId="8" hidden="1">NATURALP_INSTRUMENTS!$A$2:$N$113</definedName>
    <definedName name="_xlnm._FilterDatabase" localSheetId="10" hidden="1">NATURALP_PROTECTIONS!$A$2:$N$27</definedName>
    <definedName name="_xlnm._FilterDatabase" localSheetId="15" hidden="1">OFFBAL_COUNTERPARTIES!$A$2:$N$59</definedName>
    <definedName name="_xlnm._FilterDatabase" localSheetId="17" hidden="1">OFFBAL_INSTRUMENT_COUNTERPARTY!$A$2:$N$2</definedName>
    <definedName name="_xlnm._FilterDatabase" localSheetId="18" hidden="1">OFFBAL_INSTRUMENT_PROTECTION!$A$2:$N$2</definedName>
    <definedName name="_xlnm._FilterDatabase" localSheetId="14" hidden="1">OFFBAL_INSTRUMENTS!$A$2:$N$2</definedName>
    <definedName name="_xlnm._FilterDatabase" localSheetId="16" hidden="1">OFFBAL_PROTECTIONS!$A$2:$N$27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4" i="53" l="1"/>
  <c r="U14" i="53"/>
  <c r="S14" i="53"/>
  <c r="Q14" i="53"/>
  <c r="O14" i="53"/>
  <c r="M14" i="53"/>
  <c r="K14" i="53"/>
  <c r="I14" i="53"/>
  <c r="G14" i="53"/>
  <c r="O21" i="53" l="1"/>
  <c r="O20" i="53"/>
  <c r="O19" i="53"/>
  <c r="O18" i="53"/>
  <c r="O17" i="53"/>
  <c r="O16" i="53"/>
  <c r="O15" i="53"/>
  <c r="O13" i="53"/>
  <c r="O12" i="53"/>
  <c r="O11" i="53"/>
  <c r="O10" i="53"/>
  <c r="O9" i="53"/>
  <c r="O8" i="53"/>
  <c r="O7" i="53"/>
  <c r="O6" i="53"/>
  <c r="O5" i="53"/>
  <c r="O4" i="53"/>
  <c r="M21" i="53"/>
  <c r="M20" i="53"/>
  <c r="M19" i="53"/>
  <c r="M18" i="53"/>
  <c r="M17" i="53"/>
  <c r="M16" i="53"/>
  <c r="M15" i="53"/>
  <c r="M13" i="53"/>
  <c r="M12" i="53"/>
  <c r="M11" i="53"/>
  <c r="M10" i="53"/>
  <c r="M9" i="53"/>
  <c r="M8" i="53"/>
  <c r="M7" i="53"/>
  <c r="M6" i="53"/>
  <c r="M5" i="53"/>
  <c r="M4" i="53"/>
  <c r="W21" i="53"/>
  <c r="W20" i="53"/>
  <c r="W19" i="53"/>
  <c r="W18" i="53"/>
  <c r="W17" i="53"/>
  <c r="W16" i="53"/>
  <c r="W15" i="53"/>
  <c r="W13" i="53"/>
  <c r="W12" i="53"/>
  <c r="W11" i="53"/>
  <c r="W10" i="53"/>
  <c r="W9" i="53"/>
  <c r="W8" i="53"/>
  <c r="W7" i="53"/>
  <c r="W6" i="53"/>
  <c r="W5" i="53"/>
  <c r="W4" i="53"/>
  <c r="U21" i="53"/>
  <c r="U20" i="53"/>
  <c r="U19" i="53"/>
  <c r="U18" i="53"/>
  <c r="U17" i="53"/>
  <c r="U16" i="53"/>
  <c r="U15" i="53"/>
  <c r="U13" i="53"/>
  <c r="U12" i="53"/>
  <c r="U11" i="53"/>
  <c r="U10" i="53"/>
  <c r="U9" i="53"/>
  <c r="U8" i="53"/>
  <c r="U7" i="53"/>
  <c r="U6" i="53"/>
  <c r="U5" i="53"/>
  <c r="U4" i="53"/>
  <c r="S21" i="53"/>
  <c r="S20" i="53"/>
  <c r="S19" i="53"/>
  <c r="S18" i="53"/>
  <c r="S17" i="53"/>
  <c r="S16" i="53"/>
  <c r="S15" i="53"/>
  <c r="S13" i="53"/>
  <c r="S12" i="53"/>
  <c r="S11" i="53"/>
  <c r="S10" i="53"/>
  <c r="S9" i="53"/>
  <c r="S8" i="53"/>
  <c r="S7" i="53"/>
  <c r="S6" i="53"/>
  <c r="S5" i="53"/>
  <c r="S4" i="53"/>
  <c r="Q21" i="53"/>
  <c r="Q20" i="53"/>
  <c r="Q19" i="53"/>
  <c r="Q18" i="53"/>
  <c r="Q17" i="53"/>
  <c r="Q16" i="53"/>
  <c r="Q15" i="53"/>
  <c r="Q13" i="53"/>
  <c r="Q12" i="53"/>
  <c r="Q11" i="53"/>
  <c r="Q10" i="53"/>
  <c r="Q9" i="53"/>
  <c r="Q8" i="53"/>
  <c r="Q7" i="53"/>
  <c r="Q6" i="53"/>
  <c r="Q5" i="53"/>
  <c r="Q4" i="53"/>
  <c r="K21" i="53"/>
  <c r="K20" i="53"/>
  <c r="K19" i="53"/>
  <c r="K18" i="53"/>
  <c r="K17" i="53"/>
  <c r="K16" i="53"/>
  <c r="K15" i="53"/>
  <c r="K13" i="53"/>
  <c r="K12" i="53"/>
  <c r="K11" i="53"/>
  <c r="K10" i="53"/>
  <c r="K9" i="53"/>
  <c r="K8" i="53"/>
  <c r="K7" i="53"/>
  <c r="K6" i="53"/>
  <c r="K5" i="53"/>
  <c r="K4" i="53"/>
  <c r="I21" i="53"/>
  <c r="I20" i="53"/>
  <c r="I19" i="53"/>
  <c r="I18" i="53"/>
  <c r="I17" i="53"/>
  <c r="I16" i="53"/>
  <c r="I15" i="53"/>
  <c r="I13" i="53"/>
  <c r="I12" i="53"/>
  <c r="I11" i="53"/>
  <c r="I10" i="53"/>
  <c r="I9" i="53"/>
  <c r="I8" i="53"/>
  <c r="I7" i="53"/>
  <c r="I6" i="53"/>
  <c r="I5" i="53"/>
  <c r="I4" i="53"/>
  <c r="G21" i="53"/>
  <c r="G20" i="53"/>
  <c r="G19" i="53"/>
  <c r="G18" i="53"/>
  <c r="G17" i="53"/>
  <c r="G16" i="53"/>
  <c r="G15" i="53"/>
  <c r="G13" i="53"/>
  <c r="G12" i="53"/>
  <c r="G11" i="53"/>
  <c r="G10" i="53"/>
  <c r="G9" i="53"/>
  <c r="G8" i="53"/>
  <c r="G7" i="53"/>
  <c r="G6" i="53"/>
  <c r="G5" i="53"/>
  <c r="G4" i="53"/>
  <c r="E21" i="53"/>
  <c r="E20" i="53"/>
  <c r="E19" i="53"/>
  <c r="E18" i="53"/>
  <c r="E17" i="53"/>
  <c r="E16" i="53"/>
  <c r="T16" i="53" s="1"/>
  <c r="E15" i="53"/>
  <c r="E14" i="53"/>
  <c r="E13" i="53"/>
  <c r="E12" i="53"/>
  <c r="R12" i="53" s="1"/>
  <c r="E11" i="53"/>
  <c r="E10" i="53"/>
  <c r="E9" i="53"/>
  <c r="N9" i="53" s="1"/>
  <c r="E8" i="53"/>
  <c r="E7" i="53"/>
  <c r="E6" i="53"/>
  <c r="E5" i="53"/>
  <c r="R5" i="53" s="1"/>
  <c r="E4" i="53"/>
  <c r="T19" i="53" l="1"/>
  <c r="P15" i="53"/>
  <c r="N10" i="53"/>
  <c r="T4" i="53"/>
  <c r="J4" i="53"/>
  <c r="P6" i="53"/>
  <c r="H6" i="53"/>
  <c r="T6" i="53"/>
  <c r="R6" i="53"/>
  <c r="L6" i="53"/>
  <c r="N7" i="53"/>
  <c r="P7" i="53"/>
  <c r="J7" i="53"/>
  <c r="H8" i="53"/>
  <c r="J8" i="53"/>
  <c r="R8" i="53"/>
  <c r="N8" i="53"/>
  <c r="J11" i="53"/>
  <c r="H11" i="53"/>
  <c r="P13" i="53"/>
  <c r="H13" i="53"/>
  <c r="T14" i="53"/>
  <c r="P14" i="53"/>
  <c r="L14" i="53"/>
  <c r="J14" i="53"/>
  <c r="N18" i="53"/>
  <c r="T18" i="53"/>
  <c r="R18" i="53"/>
  <c r="H18" i="53"/>
  <c r="N20" i="53"/>
  <c r="R20" i="53"/>
  <c r="T20" i="53"/>
  <c r="L20" i="53"/>
  <c r="H20" i="53"/>
  <c r="T21" i="53"/>
  <c r="R21" i="53"/>
  <c r="L21" i="53"/>
  <c r="H21" i="53"/>
  <c r="H7" i="53"/>
  <c r="H9" i="53"/>
  <c r="H14" i="53"/>
  <c r="H17" i="53"/>
  <c r="H19" i="53"/>
  <c r="J5" i="53"/>
  <c r="J9" i="53"/>
  <c r="J10" i="53"/>
  <c r="J15" i="53"/>
  <c r="J18" i="53"/>
  <c r="J19" i="53"/>
  <c r="J21" i="53"/>
  <c r="L7" i="53"/>
  <c r="L10" i="53"/>
  <c r="L18" i="53"/>
  <c r="R4" i="53"/>
  <c r="R7" i="53"/>
  <c r="R10" i="53"/>
  <c r="R14" i="53"/>
  <c r="R16" i="53"/>
  <c r="R19" i="53"/>
  <c r="T8" i="53"/>
  <c r="T9" i="53"/>
  <c r="T10" i="53"/>
  <c r="T12" i="53"/>
  <c r="T17" i="53"/>
  <c r="V4" i="53"/>
  <c r="V5" i="53"/>
  <c r="V6" i="53"/>
  <c r="V7" i="53"/>
  <c r="V8" i="53"/>
  <c r="V9" i="53"/>
  <c r="V10" i="53"/>
  <c r="V12" i="53"/>
  <c r="V13" i="53"/>
  <c r="V14" i="53"/>
  <c r="V16" i="53"/>
  <c r="V17" i="53"/>
  <c r="V18" i="53"/>
  <c r="V19" i="53"/>
  <c r="V20" i="53"/>
  <c r="V21" i="53"/>
  <c r="X4" i="53"/>
  <c r="X5" i="53"/>
  <c r="X6" i="53"/>
  <c r="X7" i="53"/>
  <c r="X8" i="53"/>
  <c r="X9" i="53"/>
  <c r="X11" i="53"/>
  <c r="X12" i="53"/>
  <c r="X13" i="53"/>
  <c r="X14" i="53"/>
  <c r="X16" i="53"/>
  <c r="X17" i="53"/>
  <c r="X18" i="53"/>
  <c r="X19" i="53"/>
  <c r="X20" i="53"/>
  <c r="X21" i="53"/>
  <c r="N6" i="53"/>
  <c r="N14" i="53"/>
  <c r="N17" i="53"/>
  <c r="N19" i="53"/>
  <c r="P4" i="53"/>
  <c r="P5" i="53"/>
  <c r="P12" i="53"/>
  <c r="P19" i="53"/>
  <c r="P20" i="53"/>
  <c r="P21" i="53"/>
  <c r="R15" i="53"/>
  <c r="V15" i="53"/>
  <c r="X15" i="53"/>
  <c r="N15" i="53"/>
  <c r="L15" i="53"/>
  <c r="H15" i="53"/>
  <c r="V11" i="53"/>
  <c r="L4" i="53"/>
  <c r="H4" i="53"/>
  <c r="L8" i="53"/>
  <c r="L16" i="53"/>
  <c r="N16" i="53"/>
  <c r="T11" i="53"/>
  <c r="X10" i="53"/>
  <c r="N11" i="53"/>
  <c r="R11" i="53"/>
  <c r="L13" i="53"/>
  <c r="H5" i="53"/>
  <c r="J16" i="53"/>
  <c r="J12" i="53"/>
  <c r="J20" i="53"/>
  <c r="L9" i="53"/>
  <c r="L17" i="53"/>
  <c r="P11" i="53"/>
  <c r="R9" i="53"/>
  <c r="R17" i="53"/>
  <c r="N12" i="53"/>
  <c r="H10" i="53"/>
  <c r="H12" i="53"/>
  <c r="R13" i="53"/>
  <c r="L5" i="53"/>
  <c r="L11" i="53"/>
  <c r="L19" i="53"/>
  <c r="F19" i="53" s="1"/>
  <c r="T5" i="53"/>
  <c r="T13" i="53"/>
  <c r="P8" i="53"/>
  <c r="J13" i="53"/>
  <c r="H16" i="53"/>
  <c r="L12" i="53"/>
  <c r="P16" i="53"/>
  <c r="P9" i="53"/>
  <c r="P17" i="53"/>
  <c r="T7" i="53"/>
  <c r="T15" i="53"/>
  <c r="P10" i="53"/>
  <c r="P18" i="53"/>
  <c r="E22" i="53"/>
  <c r="N4" i="53"/>
  <c r="N5" i="53"/>
  <c r="N13" i="53"/>
  <c r="N21" i="53"/>
  <c r="J17" i="53"/>
  <c r="J6" i="53"/>
  <c r="W22" i="53"/>
  <c r="U22" i="53"/>
  <c r="M22" i="53"/>
  <c r="G22" i="53"/>
  <c r="O22" i="53"/>
  <c r="I22" i="53"/>
  <c r="Q22" i="53"/>
  <c r="K22" i="53"/>
  <c r="S22" i="53"/>
  <c r="N22" i="53" l="1"/>
  <c r="V22" i="53"/>
  <c r="F16" i="53"/>
  <c r="F12" i="53"/>
  <c r="F10" i="53"/>
  <c r="F5" i="53"/>
  <c r="F4" i="53"/>
  <c r="F17" i="53"/>
  <c r="F14" i="53"/>
  <c r="F9" i="53"/>
  <c r="F7" i="53"/>
  <c r="F21" i="53"/>
  <c r="F20" i="53"/>
  <c r="F18" i="53"/>
  <c r="F13" i="53"/>
  <c r="F11" i="53"/>
  <c r="F8" i="53"/>
  <c r="F6" i="53"/>
  <c r="F15" i="53"/>
  <c r="T22" i="53"/>
  <c r="L22" i="53"/>
  <c r="X22" i="53"/>
  <c r="R22" i="53"/>
  <c r="J22" i="53"/>
  <c r="P22" i="53"/>
  <c r="H22" i="53"/>
  <c r="F22" i="53" l="1"/>
</calcChain>
</file>

<file path=xl/sharedStrings.xml><?xml version="1.0" encoding="utf-8"?>
<sst xmlns="http://schemas.openxmlformats.org/spreadsheetml/2006/main" count="14631" uniqueCount="5274">
  <si>
    <t xml:space="preserve"> </t>
  </si>
  <si>
    <t>Total</t>
  </si>
  <si>
    <t>Concluido</t>
  </si>
  <si>
    <t xml:space="preserve">Módulo </t>
  </si>
  <si>
    <t>Submódulo</t>
  </si>
  <si>
    <t>Nome do Ficheiro</t>
  </si>
  <si>
    <t>abs</t>
  </si>
  <si>
    <t>Total 
(%)</t>
  </si>
  <si>
    <t>%</t>
  </si>
  <si>
    <t>Exposures to legal persons</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</si>
  <si>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</si>
  <si>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</si>
  <si>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</si>
  <si>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</si>
  <si>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</si>
  <si>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</si>
  <si>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</si>
  <si>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</si>
  <si>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</si>
  <si>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</si>
  <si>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Exposures to natural persons</t>
  </si>
  <si>
    <t>XXXXX_YYYYMMDD_02_01_nat_instr.csv</t>
  </si>
  <si>
    <t>XXXXX_YYYYMMDD_02_02_nat_count.csv</t>
  </si>
  <si>
    <t>XXXXX_YYYYMMDD_02_03_nat_prot.csv</t>
  </si>
  <si>
    <t>XXXXX_YYYYMMDD_02_04_nat_instr_count.csv</t>
  </si>
  <si>
    <t>XXXXX_YYYYMMDD_02_05_nat_instr_prot.csv</t>
  </si>
  <si>
    <t>Off-balance sheet exposures</t>
  </si>
  <si>
    <t>XXXXX_YYYYMMDD_03_01_off_instr.csv</t>
  </si>
  <si>
    <t>XXXXX_YYYYMMDD_03_02_off_count.csv</t>
  </si>
  <si>
    <t>XXXXX_YYYYMMDD_03_03_off_prot.csv</t>
  </si>
  <si>
    <t>XXXXX_YYYYMMDD_03_04_off_instr_count.csv</t>
  </si>
  <si>
    <t>XXXXX_YYYYMMDD_03_05_off_instr_prot.csv</t>
  </si>
  <si>
    <t>Derivatives</t>
  </si>
  <si>
    <t>-</t>
  </si>
  <si>
    <t>XXXXX_YYYYMMDD_04_01_derivatives.csv</t>
  </si>
  <si>
    <t>Debt securities</t>
  </si>
  <si>
    <t>XXXXX_YYYYMMDD_05_01_debtsecurities.csv</t>
  </si>
  <si>
    <t>Equity</t>
  </si>
  <si>
    <t>XXXXX_YYYYMMDD_06_01_equity.csv</t>
  </si>
  <si>
    <t xml:space="preserve">   </t>
  </si>
  <si>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</si>
  <si>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</si>
  <si>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Instruções SRB</t>
  </si>
  <si>
    <t>Mapeamento efetuado pela Corporação e respetiva Descrição Loan Tape (LT)</t>
  </si>
  <si>
    <t>Análise IT</t>
  </si>
  <si>
    <t>ID</t>
  </si>
  <si>
    <t>Categoria</t>
  </si>
  <si>
    <t>Coluna</t>
  </si>
  <si>
    <t>Tipo de dados</t>
  </si>
  <si>
    <t>Descrição</t>
  </si>
  <si>
    <t>Mapeamentos Corporação (LT)</t>
  </si>
  <si>
    <t>Descrição (LT)</t>
  </si>
  <si>
    <t>Additional Guidance (LT)</t>
  </si>
  <si>
    <t>Novo campo 
na tabela LT002?</t>
  </si>
  <si>
    <t>Nome do campo 
no ficheiro</t>
  </si>
  <si>
    <t>V_1</t>
  </si>
  <si>
    <t>Identification information</t>
  </si>
  <si>
    <t>Instrument Identifier</t>
  </si>
  <si>
    <t>Alphanumeric</t>
  </si>
  <si>
    <t>An identifier applied to uniquely identify each instrument. Each instrument must have one instrument identifier</t>
  </si>
  <si>
    <t>INSTRUMENT-INSTRMNT_ID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</si>
  <si>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</si>
  <si>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</si>
  <si>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NÃO</t>
  </si>
  <si>
    <t>instrument_id</t>
  </si>
  <si>
    <t>LT002_INSTRUMENT.INSTRMNT_ID</t>
  </si>
  <si>
    <t>V_2</t>
  </si>
  <si>
    <t>Counterparty Identifier</t>
  </si>
  <si>
    <t>Identifier applied to uniquely identify each counterparty.</t>
  </si>
  <si>
    <t>Not applicable: To be reported as "N/A". This information will be availabe in "01_04_leg_instr_count" table</t>
  </si>
  <si>
    <t>SIM</t>
  </si>
  <si>
    <t>counterparty_id</t>
  </si>
  <si>
    <t>Alterações ao Motor LT - Novos Campos: Definição Fechada / Dados existem no Datalake</t>
  </si>
  <si>
    <t>V_3</t>
  </si>
  <si>
    <t>Exposure class</t>
  </si>
  <si>
    <t>CRR Exposure class</t>
  </si>
  <si>
    <t>String</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</si>
  <si>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</si>
  <si>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crr_exposure_class</t>
  </si>
  <si>
    <t>Alterações ao Motor LT - Novos Campos: Definição Incompleta / Dados existem no Datalake</t>
  </si>
  <si>
    <t>segmento_corep_final</t>
  </si>
  <si>
    <t>V_4</t>
  </si>
  <si>
    <t>FINREP Exposure class</t>
  </si>
  <si>
    <t>Classification of the facility (exposure class) as defined in ITS 680/2014 Annex V Instructions FINREP (Counterparty breakdown).
Options:
‣ Central banks
‣ Central governments
‣ Credit institutions
‣ Other financial corporations
‣ Non-financial corporations
‣ Households</t>
  </si>
  <si>
    <t>finrep_exposure_class</t>
  </si>
  <si>
    <t>V_5</t>
  </si>
  <si>
    <t>Risk parameters</t>
  </si>
  <si>
    <t>Total Risk Exposure Amount</t>
  </si>
  <si>
    <t>Numeric (euro)</t>
  </si>
  <si>
    <t>The total risk exposure amount of the instrument, calculated according to Articles 92(3) and 92(4) of Regulation (EU) No 575/2013 (CRR), where applicable.</t>
  </si>
  <si>
    <t>INSTRUMENT-RWA</t>
  </si>
  <si>
    <t>RWA</t>
  </si>
  <si>
    <t>RWA according to Regulation (EU) No 575/2013.</t>
  </si>
  <si>
    <t>total_risk_exposure_amount</t>
  </si>
  <si>
    <t>LT002_INSTRUMENT.RWA</t>
  </si>
  <si>
    <t>V_6</t>
  </si>
  <si>
    <t>CRR Loss given default</t>
  </si>
  <si>
    <t>Numeric. Basis points</t>
  </si>
  <si>
    <t>Current level of the ‘Loss given default’ of the loan, determined in accordance with Articles 161, 164, 179 and 181 of Regulation (EU) No 575/2013.</t>
  </si>
  <si>
    <t>INSTRUMENT-LGD</t>
  </si>
  <si>
    <t>Regulatory LGD</t>
  </si>
  <si>
    <t>If differences between regulatory and internal LGD exist, use regulatory LGD (according to Regulation (EU) No 575/2013). In particular, in IRB-F use regulatory LGD values.</t>
  </si>
  <si>
    <t>crr_loss_given_default</t>
  </si>
  <si>
    <t>LT002_INSTRUMENT.LGD</t>
  </si>
  <si>
    <t>V_7</t>
  </si>
  <si>
    <t>IFRS 9 Loss given default</t>
  </si>
  <si>
    <t>Current level of the ‘Loss given default’ of the loan determined for accounting purposes.</t>
  </si>
  <si>
    <t>INSTRUMENT-IFRS9_LGD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</si>
  <si>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</si>
  <si>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</si>
  <si>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ifrs9_loss_given_default</t>
  </si>
  <si>
    <t>LT002_INSTRUMENT.IFRS9_LGD</t>
  </si>
  <si>
    <t>contract_id</t>
  </si>
  <si>
    <t>Novo campo 
na tabela LT003?</t>
  </si>
  <si>
    <t>ENTITY-ENTTY_ID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</si>
  <si>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</si>
  <si>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</si>
  <si>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LT003_ENTITY.ENTTY_ID</t>
  </si>
  <si>
    <t>V_8</t>
  </si>
  <si>
    <t>Current Internal Credit Rating/Scoring</t>
  </si>
  <si>
    <t>Numeric / alphanumeric</t>
  </si>
  <si>
    <t>Internal credit rating/scoring issued to the counterparty.</t>
  </si>
  <si>
    <t>ENTITY-INTRNL_RTNG</t>
  </si>
  <si>
    <t>Internal rating at reference date</t>
  </si>
  <si>
    <t>Internal rating at the reference date according to Regulation (EU) No 575/2013.
Please also add in sheet "Code List" the list of values used, i.e. bank-internal masterscale.</t>
  </si>
  <si>
    <t>internal_credit_rating</t>
  </si>
  <si>
    <t>V_9</t>
  </si>
  <si>
    <t>External Credit rating</t>
  </si>
  <si>
    <t>External credit rating issued to the counterparty at cut-off date. In case several ratings are assigned, the approach described in Art. 138 of the CRR applies.</t>
  </si>
  <si>
    <t>ENTITY-EXTRNL_RTNG</t>
  </si>
  <si>
    <t>External rating</t>
  </si>
  <si>
    <t>External rating at the reference date.</t>
  </si>
  <si>
    <t>external_credit_rating</t>
  </si>
  <si>
    <t>LT003_ENTITY.EXTRNL_RTNG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</si>
  <si>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</si>
  <si>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</si>
  <si>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
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t>
  </si>
  <si>
    <t>ENTITY-PD_IFRS9_12M_RD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</si>
  <si>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</si>
  <si>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</si>
  <si>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ifrs9_prob_default_impairment</t>
  </si>
  <si>
    <t>Alterações ao Motor LT - Novos Campos: Definição por Iniciar</t>
  </si>
  <si>
    <t>V_11</t>
  </si>
  <si>
    <t>Probability of default (others)</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</si>
  <si>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</si>
  <si>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probability_default_others</t>
  </si>
  <si>
    <t>N/A</t>
  </si>
  <si>
    <t>Novo campo 
na tabela LT004?</t>
  </si>
  <si>
    <t>V_12</t>
  </si>
  <si>
    <t>Protection identifier</t>
  </si>
  <si>
    <t>An identifier applied to uniquely identify each protection/collateral used to secure the instrument.</t>
  </si>
  <si>
    <t>PROTECTION-PRTCTN_ID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</si>
  <si>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</si>
  <si>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</si>
  <si>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protection_id</t>
  </si>
  <si>
    <t>LT004_PROTECTION.PRTCTN_ID</t>
  </si>
  <si>
    <t>An identifier applied to uniquely identify each instrument. Each instrument must have one instrument identifier.</t>
  </si>
  <si>
    <t>Not applicable: To be reported as "N/A". 
This information will be availabe in "01_05_leg_instr_prot" table</t>
  </si>
  <si>
    <t>V_187</t>
  </si>
  <si>
    <t>Type of collateral</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</si>
  <si>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</si>
  <si>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PROTECTION-TYP_PRTCTN</t>
  </si>
  <si>
    <t>Protection type</t>
  </si>
  <si>
    <t>Type of protection received, irrespective of its eligibility for credit risk mitigation.</t>
  </si>
  <si>
    <t>type_collateral</t>
  </si>
  <si>
    <t>V_14</t>
  </si>
  <si>
    <t>Size collateral</t>
  </si>
  <si>
    <t>Building Area (M2)</t>
  </si>
  <si>
    <t>Numeric</t>
  </si>
  <si>
    <t>Building area of the building in square metres. Only applicable to Residential real estate collateral, Offices and commercial premises, Commercial real estate collateral, Hotels &amp; entertainment, Factories – warehouses.</t>
  </si>
  <si>
    <t>SIM
gross_area</t>
  </si>
  <si>
    <t>building_area_m2</t>
  </si>
  <si>
    <t>Alterações ao Motor LT - Novos Campos: Definição Incompleta / Dados não existem no Datalake</t>
  </si>
  <si>
    <t>V_15</t>
  </si>
  <si>
    <t>Land Area (M2)</t>
  </si>
  <si>
    <t>Land area of the property in square metres, including any land surrounding the building(s) on the property that is part of the property.</t>
  </si>
  <si>
    <t xml:space="preserve">SIM
land_area </t>
  </si>
  <si>
    <t>land_area_m2</t>
  </si>
  <si>
    <t>V_16</t>
  </si>
  <si>
    <t>Location</t>
  </si>
  <si>
    <t>Property postcode</t>
  </si>
  <si>
    <t>Postcode where the property is located. Only applicable to Residential real estate collateral, Offices and commercial premises, Commercial real estate collateral, Hotels &amp; entertainment, Factories – warehouses.</t>
  </si>
  <si>
    <t>PROTECTION-RL_ESTT_PST_CD</t>
  </si>
  <si>
    <t>Post code / ZIP</t>
  </si>
  <si>
    <t>Post code / ZIP.</t>
  </si>
  <si>
    <t>property_postcode</t>
  </si>
  <si>
    <t>LT004_PROTECTION.RL_ESTT_PST_CD</t>
  </si>
  <si>
    <t>V_17</t>
  </si>
  <si>
    <t>Lien</t>
  </si>
  <si>
    <t>Lien position</t>
  </si>
  <si>
    <t>The highest ranking position(s) in relation to the collateral held by the counterparty to secure the facility. If the facility has several liens on one collateral, the highest claim is reported in this data field.</t>
  </si>
  <si>
    <t>lien_position</t>
  </si>
  <si>
    <t>V_18</t>
  </si>
  <si>
    <t>Collateral
characteristics</t>
  </si>
  <si>
    <t>Detailed type of Shipping collateral</t>
  </si>
  <si>
    <r>
      <rPr>
        <sz val="11"/>
        <color rgb="FF000000"/>
        <rFont val="Calibri"/>
        <family val="2"/>
        <scheme val="minor"/>
      </rPr>
      <t xml:space="preserve">Detailed type of collateral received. Applicable only to shipping portfolios.
Options:
‣ Bulker (1)
‣ Container (2)
‣ Crude Oil Tanker (3)
‣ Product Tanker (4)
‣ Chemical Tanker (5)
‣ Cruise Ship (6)
‣ Ferry (7)
‣ LPG Carrier (8)
‣ Offshore (9)
‣ </t>
    </r>
    <r>
      <rPr>
        <strike/>
        <sz val="11"/>
        <color rgb="FF000000"/>
        <rFont val="Calibri"/>
        <family val="2"/>
        <scheme val="minor"/>
      </rPr>
      <t>Other (10)</t>
    </r>
  </si>
  <si>
    <t>det_type_ship_collateral</t>
  </si>
  <si>
    <t>Novo campo 
na tabela LT005?</t>
  </si>
  <si>
    <t>INSTR_ENTITY-INSTRMNT_ID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</si>
  <si>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</si>
  <si>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LT005_INSTR_ENT.INSTRMNT_ID</t>
  </si>
  <si>
    <t>INSTR_ENTITY-ENTTY_ID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</si>
  <si>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</si>
  <si>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LT005_INSTR_ENT.ENTTY_ID</t>
  </si>
  <si>
    <t>Novo campo 
na tabela LT006?</t>
  </si>
  <si>
    <t>INSTR_PROTECTION-INSTRMNT_ID</t>
  </si>
  <si>
    <t>LT006_INSTR_PROT.INSTRMNT_ID</t>
  </si>
  <si>
    <t>INSTR_PROTECTION-PRTCTN_ID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</si>
  <si>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</si>
  <si>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LT006_INSTR_PROT.PRTCTN_ID</t>
  </si>
  <si>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</si>
  <si>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</si>
  <si>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Identifier applied to uniquely identify each instrument. Each instrument must have one instrument identifier.</t>
  </si>
  <si>
    <t>Not applicable: To be reported as "N/A". 
This information will be availabe in "02_04_nat_instr_count" table</t>
  </si>
  <si>
    <t>V_139</t>
  </si>
  <si>
    <t>Reporting data identifier</t>
  </si>
  <si>
    <t>The counterparty identifier of the reporting agent which reports the data.</t>
  </si>
  <si>
    <t>INSTRUMENT-COD_SOC</t>
  </si>
  <si>
    <t>Entity code of the informing society.</t>
  </si>
  <si>
    <t>Cargabal code or internal identifier of the informing society.</t>
  </si>
  <si>
    <t>reporting_data_id</t>
  </si>
  <si>
    <t>LT002_INSTRUMENT.COD_SOC</t>
  </si>
  <si>
    <t>V_140</t>
  </si>
  <si>
    <t>Observed agent identifier</t>
  </si>
  <si>
    <t>The counterparty identifier of the observed agent (i.e. an institutional unit of the reporting agent) whose data are reported by the reporting agent.</t>
  </si>
  <si>
    <t>INSTRUMENT-OBSRVD_AGNT_ID</t>
  </si>
  <si>
    <t>Counterparty identifier for the observed agent. If there are several observed agents to be reported please separate by comma (,).</t>
  </si>
  <si>
    <t>observed_agent_id</t>
  </si>
  <si>
    <t>LT002_INSTRUMENT.OBSRVD_AGNT_ID</t>
  </si>
  <si>
    <t>V_141</t>
  </si>
  <si>
    <t>Contract identifier</t>
  </si>
  <si>
    <t>An identifier applied by the reporting agent to uniquely identify each contract. The contract identifier refers to the credit agreement between two or more parties under which the instrument is created.</t>
  </si>
  <si>
    <t>INSTRUMENT-CNTRCT_ID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</si>
  <si>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</si>
  <si>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</si>
  <si>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LT002_INSTRUMENT.CNTRCT_ID</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</si>
  <si>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</si>
  <si>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Classification of the facility (exposure class) as defined in ITS 680/2014 Annex V Instructions FINREP (Counterparty breakdown).
Opções:
‣ Central banks
‣ Central
governments
‣ Credit institutions
‣ Other financial
corporations
‣ Non-financial
corporations
‣ Households</t>
  </si>
  <si>
    <t>V_35</t>
  </si>
  <si>
    <t>Instruments characteristics</t>
  </si>
  <si>
    <t>Type of instrument</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</si>
  <si>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</si>
  <si>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INSTRUMENT-TYP_INSTRMNT</t>
  </si>
  <si>
    <t>Classification of the instrument according to the type of contractual terms agreed between the parties.</t>
  </si>
  <si>
    <t>type_instrument</t>
  </si>
  <si>
    <t>V_142</t>
  </si>
  <si>
    <t>Amortization type</t>
  </si>
  <si>
    <t>Type of amortisation of the instrument including principal and interest at the reporting reference date.
Opções:
‣ French
‣ German
‣ Fixed amortisation schedule
‣ Bullet
‣ Other</t>
  </si>
  <si>
    <t>INSTRUMENT-TYP_AMRTSTN</t>
  </si>
  <si>
    <t>Type of amortisation</t>
  </si>
  <si>
    <t>Type of amortisation of the instrument including principal and interest.</t>
  </si>
  <si>
    <t>amortization_type</t>
  </si>
  <si>
    <t>V_143</t>
  </si>
  <si>
    <t>Currency</t>
  </si>
  <si>
    <t>Currency denomination of instruments, in accordance with the ISO 4217 standard.</t>
  </si>
  <si>
    <t>INSTRUMENT-CRRNCY_DNMNTN</t>
  </si>
  <si>
    <t>Currency denomination</t>
  </si>
  <si>
    <t>currency</t>
  </si>
  <si>
    <t>LT002_INSTRUMENT.CRRNCY_DNMNTN</t>
  </si>
  <si>
    <t>V_144</t>
  </si>
  <si>
    <t>Inception date</t>
  </si>
  <si>
    <t>DD/MM/AA</t>
  </si>
  <si>
    <t>The date on which the contractual relationship originated, i.e. the date on which the contract agreement becomes binding for all parties.</t>
  </si>
  <si>
    <t>INSTRUMENT-DT_INCPTN</t>
  </si>
  <si>
    <t>Date of inception</t>
  </si>
  <si>
    <t>The date on which the contractual relationship originated, i.e. the date on which the contract agreement becomes binding for all parties</t>
  </si>
  <si>
    <t>inception_date</t>
  </si>
  <si>
    <t>LT002_INSTRUMENT.DT_INCPTN</t>
  </si>
  <si>
    <t>V_145</t>
  </si>
  <si>
    <t>Interest rate information</t>
  </si>
  <si>
    <t>End date of interest-only period</t>
  </si>
  <si>
    <t>The date on which the interest-only period ends.</t>
  </si>
  <si>
    <t>INSTRUMENT-DT_END_INTRST_ONLY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</si>
  <si>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</si>
  <si>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</si>
  <si>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end_date_interest_only_period</t>
  </si>
  <si>
    <t>LT002_INSTRUMENT.DT_END_INTRST_ONLY</t>
  </si>
  <si>
    <t>V_146</t>
  </si>
  <si>
    <t>Interest rate cap</t>
  </si>
  <si>
    <t>Numeric. Reported in basis points with the same convention as for the attribute “interest rate spread/margin”.</t>
  </si>
  <si>
    <t>The maximum interest rate per annum that can be charged on the outstanding nominal amount (or parts thereof).</t>
  </si>
  <si>
    <t>interest_rate_cap</t>
  </si>
  <si>
    <t>Alterações ao Motor LT - Novos Campos: Definição Incompleta / Dados existem no Datalake -&gt; Dev Datalake (tabelas intermédias)</t>
  </si>
  <si>
    <t>V_147</t>
  </si>
  <si>
    <t>Interest rate floor</t>
  </si>
  <si>
    <t>The minimum interest rate per annum that can be charged on the outstanding nominal amount (or parts thereof).</t>
  </si>
  <si>
    <t>interest_rate_floor</t>
  </si>
  <si>
    <t>V_148</t>
  </si>
  <si>
    <t>Interest rate reset frequency</t>
  </si>
  <si>
    <t>Frequency at which the interest rate is reset after the initial fixed-rate period, if any.
Opções:
‣ Overnight
‣ Monthly/quarterly/semiannual/annual
‣ At creditor discretion
‣ Other frequency</t>
  </si>
  <si>
    <t>INSTRUMENT-INTRST_RT_RST_FRQNCY</t>
  </si>
  <si>
    <t>Frequency at which the interest rate is reset after the initial fixed-rate period, if any.</t>
  </si>
  <si>
    <t>interest_rate_reset_freq</t>
  </si>
  <si>
    <t>V_149</t>
  </si>
  <si>
    <t>Interest rate spread/margin</t>
  </si>
  <si>
    <t>Numeric (percentage)</t>
  </si>
  <si>
    <t>Margin or spread to add to the reference rate that is used for the calculation of the interest rate in basis points. This applies to interest rates charged for variable interest loans.</t>
  </si>
  <si>
    <t>interest_rate_spread_margin</t>
  </si>
  <si>
    <t>LT002_INSTRUMENT.SPRD</t>
  </si>
  <si>
    <t>V_150</t>
  </si>
  <si>
    <t>Interest rate type</t>
  </si>
  <si>
    <t>Classification of credit exposures based on the base rate for establishing the interest rate for each payment period.
Opções:
‣ Fixed
‣ Variable
‣ Mixed</t>
  </si>
  <si>
    <t>INSTRUMENT-TYP_INTRST_RT</t>
  </si>
  <si>
    <t>Type of interest rate</t>
  </si>
  <si>
    <t>Classification of credit exposures based on the base rate for establishing the interest rate for each payment period.</t>
  </si>
  <si>
    <t>interest_rate_type</t>
  </si>
  <si>
    <t>cod_tipo_taxa_ref_act</t>
  </si>
  <si>
    <t>V_151</t>
  </si>
  <si>
    <t>Instrument characteristics</t>
  </si>
  <si>
    <t>Legal final maturity date</t>
  </si>
  <si>
    <t>The contractual maturity date of the instrument, taking into account any agreements amending initial contracts.</t>
  </si>
  <si>
    <t>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</si>
  <si>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</si>
  <si>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</si>
  <si>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maturity_date</t>
  </si>
  <si>
    <t>LT002_INSTRUMENT.DT_LGL_FNL_MTRTY</t>
  </si>
  <si>
    <t>V_152</t>
  </si>
  <si>
    <t>Commitment amount at inception</t>
  </si>
  <si>
    <t>Observed agent’s maximum exposure to credit risk on the inception date of the instrument, without taking into account any protection held or other credit enhancements.</t>
  </si>
  <si>
    <t>INSTRUMENT-CMMTMNT_INCPTN_INSTRMNT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</si>
  <si>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</si>
  <si>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commitment_amount_inception</t>
  </si>
  <si>
    <t>LT002_INSTRUMENT.CMMTMNT_INCPTN_INSTRMNT</t>
  </si>
  <si>
    <t>V_153</t>
  </si>
  <si>
    <t>Payment frequency</t>
  </si>
  <si>
    <t>Frequency of payments due, either of principal or interest, i.e. number of months between payments at the reporting reference date.
Opções:
‣ Monthly/quarterly/semiannual/annual
‣ Bullet
‣ Zero coupon
‣ Other</t>
  </si>
  <si>
    <t>INSTRUMENT-PYMNT_FRQNCY</t>
  </si>
  <si>
    <t>Frequency of payments due, either of principal or interest, i.e. number of months between payments.</t>
  </si>
  <si>
    <t>payment_freq</t>
  </si>
  <si>
    <t>V_154</t>
  </si>
  <si>
    <t>Reference rate</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</si>
  <si>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</si>
  <si>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reference_rate</t>
  </si>
  <si>
    <t>V_155</t>
  </si>
  <si>
    <t>Settlement date</t>
  </si>
  <si>
    <t>The date on which the conditions specified in the contract are or can be executed for the first time, i.e. the date on which financial instruments are initially exchanged or created.</t>
  </si>
  <si>
    <t>settlement_date</t>
  </si>
  <si>
    <t>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</si>
  <si>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</si>
  <si>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</si>
  <si>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</si>
  <si>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INSTRUMENT-ANNLSD_AGRD_RT</t>
  </si>
  <si>
    <t>Interest rate at the reference date</t>
  </si>
  <si>
    <t>Annualised agreed rate or narrowly defined interest rate at reference date in accordance with Regulation (EU) No 1072/2013 of the European Central Bank (ECB/2013/34).</t>
  </si>
  <si>
    <t>interest_rate</t>
  </si>
  <si>
    <t>LT002_INSTRUMENT.ANNLSD_AGRD_RT</t>
  </si>
  <si>
    <t>V_157</t>
  </si>
  <si>
    <t>Next interest rate reset date</t>
  </si>
  <si>
    <t>The date when the next interest rate reset, as defined in Part 3 of Annex I to Regulation (EU) No 1071/2013 (ECB/2013/33), takes place.</t>
  </si>
  <si>
    <t>INSTRUMENT-DT_NXT_INTRST_RT_RST</t>
  </si>
  <si>
    <t>next_interest_rate_reset_date</t>
  </si>
  <si>
    <t>LT002_INSTRUMENT.DT_NXT_INTRST_RT_RST</t>
  </si>
  <si>
    <t>V_158</t>
  </si>
  <si>
    <t>Financial information</t>
  </si>
  <si>
    <t>Default status of the instrument</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</si>
  <si>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</si>
  <si>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INSTRUMENT-DFLT_STTS_INSTRMNT</t>
  </si>
  <si>
    <t>Identification of the default status of the instrument. Categories describing the situations in which an instrument can be described as being at default in accordance with Article 178 of Regulation (EU) No 575/2013.</t>
  </si>
  <si>
    <t>default_status_instrument</t>
  </si>
  <si>
    <t>V_159</t>
  </si>
  <si>
    <t>Date of the default status of the instrument</t>
  </si>
  <si>
    <t>The date on which the default status, as reported in the data attribute “default status of the instrument”, is considered to have occurred.</t>
  </si>
  <si>
    <t>INSTRUMENT-DT_DFLT_STTS_INSTRMNT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</si>
  <si>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</si>
  <si>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</si>
  <si>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date_default_status_instrument</t>
  </si>
  <si>
    <t>LT002_INSTRUMENT.DT_DFLT_STTS_INSTRMNT</t>
  </si>
  <si>
    <t>V_160</t>
  </si>
  <si>
    <t>Transferred amount</t>
  </si>
  <si>
    <t>Transferred amount of the economic ownership of the financial asset to third parties. This data attribute captures the part of the outstanding nominal amount that has been transferred to another creditor.</t>
  </si>
  <si>
    <t>transferred_amount</t>
  </si>
  <si>
    <t>V_161</t>
  </si>
  <si>
    <t>Arrears for the instrument</t>
  </si>
  <si>
    <t>Aggregated amount of the principal, interest and any fee payment outstanding at the reporting date, which is contractually due and has not been paid (past due).</t>
  </si>
  <si>
    <t>INSTRUMENT-ARRRS_INSTRMNT</t>
  </si>
  <si>
    <t>Total exposure in arrears</t>
  </si>
  <si>
    <t>arrears_instrument</t>
  </si>
  <si>
    <t>LT002_INSTRUMENT.ARRRS_INSTRMNT</t>
  </si>
  <si>
    <t>V_162</t>
  </si>
  <si>
    <t>Date of past due for the instrument</t>
  </si>
  <si>
    <t>The date on which the instrument became past due in accordance with Part 2.96 of Annex V to the amended Implementing Regulation (EU) No 680/2014.</t>
  </si>
  <si>
    <t>INSTRUMENT-DT_PST_D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</si>
  <si>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</si>
  <si>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</si>
  <si>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date_past_due_instrument</t>
  </si>
  <si>
    <t>LT002_INSTRUMENT.DT_PST_D</t>
  </si>
  <si>
    <t>V_163</t>
  </si>
  <si>
    <t>Financial information/Instrument characteristics</t>
  </si>
  <si>
    <t>Type of securitization</t>
  </si>
  <si>
    <t>Captures the type of securitisation, if any, to which the instrument has been subject, in accordance with Article 242(10), (11), 243 and 244 of Regulation (EU) No 575/2013.
Opções:
‣ Traditional securitisation
‣ Synthetic securitisation
‣ Not securitised</t>
  </si>
  <si>
    <t>type_securitization</t>
  </si>
  <si>
    <t>V_164</t>
  </si>
  <si>
    <t>Instrument charcteristics</t>
  </si>
  <si>
    <t>Outstanding nominal amount</t>
  </si>
  <si>
    <t>Principal amount outstanding at the end of the reporting reference date, including unpaid past due interest but excluding accrued interest, net of write-offs and write-downs as determined by the relevant accounting practices.</t>
  </si>
  <si>
    <t>INSTRUMENT-OTSTNDNG_NMNL_AMNT_INSTRMNT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</si>
  <si>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</si>
  <si>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</si>
  <si>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outstanding_nominal_amount</t>
  </si>
  <si>
    <t>LT002_INSTRUMENT.OTSTNDNG_NMNL_AMNT_INSTRMNT</t>
  </si>
  <si>
    <t>V_165</t>
  </si>
  <si>
    <t>Accrued interest</t>
  </si>
  <si>
    <t>The amount of accrued interest on loans at the reporting reference date as defined in Regulation (EU) No 1071/2013 (ECB/2013/33).</t>
  </si>
  <si>
    <t>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</si>
  <si>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</si>
  <si>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</si>
  <si>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accrued_interest</t>
  </si>
  <si>
    <t>LT002_INSTRUMENT.ACCRD_INTRST_INSTRMNT</t>
  </si>
  <si>
    <t>V_166</t>
  </si>
  <si>
    <t>Off-balancesheet amount</t>
  </si>
  <si>
    <t>Total nominal amount of off-balance-sheet exposures.</t>
  </si>
  <si>
    <t>INSTRUMENT-OFF_BLNC_SHT_AMNT_INSTRMNT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</si>
  <si>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</si>
  <si>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</si>
  <si>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off_balance_sheet_amount</t>
  </si>
  <si>
    <t>LT002_INSTRUMENT.OFF_BLNC_SHT_AMNT_INSTRMNT</t>
  </si>
  <si>
    <t>V_167</t>
  </si>
  <si>
    <t>Joint liabilities amount</t>
  </si>
  <si>
    <t>Outstanding nominal amount for which each debtor is liable in relation to a single instrument where there are two or more debtors.</t>
  </si>
  <si>
    <t>Not applicable: To be reported as "11111111111". 
This information will be availabe in "02_04_nat_instr_count" table</t>
  </si>
  <si>
    <t>joint_liabilities_amount</t>
  </si>
  <si>
    <t>V_168</t>
  </si>
  <si>
    <t>Informação financeira</t>
  </si>
  <si>
    <t>Accounting classification of instruments</t>
  </si>
  <si>
    <t>Accounting portfolio where the instrument is recorded in accordance with the accounting standard – IFRS or national GAAP – under Regulation (EU) 2015/534 (ECB/2015/13) applied by the observed agent’s legal entity.
Opções:</t>
  </si>
  <si>
    <t>INSTRUMENT-ACCNTNG_CLSSFCTN</t>
  </si>
  <si>
    <t>Accounting portfolio</t>
  </si>
  <si>
    <t>Accounting portfolio where the instrument is recorded in accordance with the accounting standard – IFRS or national GAAP – under Regulation (EU) 2015/534 (ECB/2015/13) applied by the observed agent’s legal entity.</t>
  </si>
  <si>
    <t>accounting_classification</t>
  </si>
  <si>
    <t>V_169</t>
  </si>
  <si>
    <t>Balance sheet recognition</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</si>
  <si>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</si>
  <si>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balance_sheet_recogn</t>
  </si>
  <si>
    <t>V_170</t>
  </si>
  <si>
    <t>Accumulated write-offs</t>
  </si>
  <si>
    <t>Cumulative amount of principal and past due interest of any debt instrument that the institution is no longer recognising because they are considered uncollectible, independently of the portfolio in which they were included.</t>
  </si>
  <si>
    <t>INSTRUMENT-ACCMLTD_WRTFFS_INSTRMNT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</si>
  <si>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</si>
  <si>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accum_write_offs</t>
  </si>
  <si>
    <t>LT002_INSTRUMENT.ACCMLTD_WRTFFS_INSTRMNT</t>
  </si>
  <si>
    <t>V_171</t>
  </si>
  <si>
    <t>Accumulated impairment 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</si>
  <si>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</si>
  <si>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INSTRUMENT-ACCMLTD_IMPRMNT_INSTRMNT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</si>
  <si>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</si>
  <si>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</si>
  <si>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accum_impairment_amount</t>
  </si>
  <si>
    <t>LT002_INSTRUMENT.ACCMLTD_IMPRMNT_INSTRMNT</t>
  </si>
  <si>
    <t>V_172</t>
  </si>
  <si>
    <t>Type of impairment</t>
  </si>
  <si>
    <t>This data attribute indicates the type of impairment to which the instrument is subject.
Opções:
‣ Stage 1 (IFRS)
‣ Stage 2 (IFRS)
‣ Stage 3 (IFRS)
‣ General allowances (GAAP)
‣ Specific allowances (GAAP)</t>
  </si>
  <si>
    <t>INSTRUMENT-IMPRMNT_STTS</t>
  </si>
  <si>
    <t>Impairment status</t>
  </si>
  <si>
    <t>Type of impairment.</t>
  </si>
  <si>
    <t>type_impairment</t>
  </si>
  <si>
    <t>V_173</t>
  </si>
  <si>
    <t>Impairment assessment method</t>
  </si>
  <si>
    <t>The method by which the impairment is assessed, if the instrument is subject to impairment in accordance with applied accounting standards.
Opções: 
‣ Individually assessed
‣ Collectively assessed</t>
  </si>
  <si>
    <t>INSTRUMENT-IMPRMNT_ASSSSMNT_MTHD</t>
  </si>
  <si>
    <t>The method by which the impairment is assessed, if the instrument is subject to impairment in accordance with applied accounting standards. Collective and individual methods are distinguished.</t>
  </si>
  <si>
    <t>impairment_assessment_method</t>
  </si>
  <si>
    <t>V_174</t>
  </si>
  <si>
    <t>Sources of encumbrance</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</si>
  <si>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</si>
  <si>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sources_encumbrance</t>
  </si>
  <si>
    <t>V_175</t>
  </si>
  <si>
    <t>Performing status of the instrument</t>
  </si>
  <si>
    <t>The instrument is to be classified on the reporting reference date, in accordance with Implementing Regulation (EU) No 680/2014.
Opções:
‣ Non-performing
‣ Performing</t>
  </si>
  <si>
    <t>INSTRUMENT-PRFRMNG_STTS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</si>
  <si>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</si>
  <si>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</si>
  <si>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perform_status_instrument</t>
  </si>
  <si>
    <t>V_176</t>
  </si>
  <si>
    <t>Date of the performing status of the instrument</t>
  </si>
  <si>
    <t>DD/MM/YYYY</t>
  </si>
  <si>
    <t>The date on which the performing status as reported in “performing status of the instrument” is considered to have been established or changed.</t>
  </si>
  <si>
    <t>INSTRUMENT-DT_PRFRMNG_STTS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</si>
  <si>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</si>
  <si>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</si>
  <si>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date_perform_status_instrument</t>
  </si>
  <si>
    <t>LT002_INSTRUMENT.DT_PRFRMNG_STTS</t>
  </si>
  <si>
    <t>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</si>
  <si>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</si>
  <si>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</si>
  <si>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INSTRUMENT-PRVSNS_OFF_BLNC_SHT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</si>
  <si>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</si>
  <si>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</si>
  <si>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provis_assoc_offbalance</t>
  </si>
  <si>
    <t>LT002_INSTRUMENT.PRVSNS_OFF_BLNC_SHT</t>
  </si>
  <si>
    <t>V_178</t>
  </si>
  <si>
    <t>Forbearance information</t>
  </si>
  <si>
    <t>Status of forbearance and renegotiation</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</si>
  <si>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</si>
  <si>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INSTRUMENT-FRBRNC_STTS_INSTRMNT</t>
  </si>
  <si>
    <t>Forbearance status</t>
  </si>
  <si>
    <t>Identification of forborne and renegotiated instruments.</t>
  </si>
  <si>
    <t>status_forbearance_reneg</t>
  </si>
  <si>
    <t>V_179</t>
  </si>
  <si>
    <t>Date of the forbearance and renegotiation status</t>
  </si>
  <si>
    <t>The date on which a forbearance or renegotiation status as reported under “status of forbearance and renegotiation” is considered to have occurred.</t>
  </si>
  <si>
    <t>INSTRUMENT-DT_FRBRNC_STTS</t>
  </si>
  <si>
    <t>Date of forbearance status</t>
  </si>
  <si>
    <t>Date of forbearance status. If the instrument has never been subject to forbearance measure then this date would be equal to the inception date.</t>
  </si>
  <si>
    <t>date_status_forbearance_reneg</t>
  </si>
  <si>
    <t>LT002_INSTRUMENT.DT_FRBRNC_STTS</t>
  </si>
  <si>
    <t>V_180</t>
  </si>
  <si>
    <t>Default information</t>
  </si>
  <si>
    <t>Cumulative recoveries since default</t>
  </si>
  <si>
    <t>The total amount recovered since the date of default received in relation to a defaulted instrument during the latest default period and only during that period.</t>
  </si>
  <si>
    <t>INSTRUMENT-CMLTV_RCVRS_SNC_DFLT_INSTRMNT</t>
  </si>
  <si>
    <t>The total amount recovered since the date of default.</t>
  </si>
  <si>
    <t>cumulative_recov_since_default</t>
  </si>
  <si>
    <t>LT002_INSTRUMENT.CMLTV_RCVRS_SNC_DFLT_INSTRMNT</t>
  </si>
  <si>
    <t>V_181</t>
  </si>
  <si>
    <t>Carrying amount</t>
  </si>
  <si>
    <t>The carrying amount in accordance with Annex V to Implementing Regulation (EU) No 680/2014.</t>
  </si>
  <si>
    <t>INSTRUMENT-CRRYNG_AMNT_INSTRMNT</t>
  </si>
  <si>
    <t>Net carrying amount including accrued interest as laid down in Annex 5 Regulation 680/2014.</t>
  </si>
  <si>
    <t>carrying_amount</t>
  </si>
  <si>
    <t>LT002_INSTRUMENT.CRRYNG_AMNT_INSTRMNT</t>
  </si>
  <si>
    <t>V_182</t>
  </si>
  <si>
    <t>Prudential portfolio</t>
  </si>
  <si>
    <t>Classification of exposures in the trading book as defined in Article 4(1)(86) of Regulation (EU) No 575/2013.
Opções:
‣ Trading book
‣ Non- trading book</t>
  </si>
  <si>
    <t>prudential_portfolio</t>
  </si>
  <si>
    <t>V_183</t>
  </si>
  <si>
    <t>Valuation</t>
  </si>
  <si>
    <t>Accumulated changes in fair value due to credit risk</t>
  </si>
  <si>
    <t>Accumulated changes in fair value due to credit risk in accordance with Part 2.46 of Annex V to Implementing Regulation (EU) No 680/2014.</t>
  </si>
  <si>
    <t>INSTRUMENT-ACCMLTD_CHNGS_FV_CR_INSTRMNT</t>
  </si>
  <si>
    <t>accum_changes_fv_due_cr</t>
  </si>
  <si>
    <t>LT002_INSTRUMENT.ACCMLTD_CHNGS_FV_CR_INSTRMNT</t>
  </si>
  <si>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</si>
  <si>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</si>
  <si>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</si>
  <si>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ENTITY-PD_CRR_RD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</si>
  <si>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</si>
  <si>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</si>
  <si>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probability_default</t>
  </si>
  <si>
    <t>LT003_ENTITY.PD_CRR_RD</t>
  </si>
  <si>
    <t>Numeric / Alphanumeric</t>
  </si>
  <si>
    <t>Internal credit rating/scoring issued to the Counterparty.</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</si>
  <si>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</si>
  <si>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V_184</t>
  </si>
  <si>
    <t>Counterparty characteristics</t>
  </si>
  <si>
    <t>Counterparty role</t>
  </si>
  <si>
    <t>The roles that counterparties assume in relation to an instrument recorded in the instrument dataset are recorded in the counterparty-instrument dataset.
Opções:
‣ Creditor
‣ Debtor
‣ Servicer
‣ Originator</t>
  </si>
  <si>
    <t>counterparty_role</t>
  </si>
  <si>
    <t>V_185</t>
  </si>
  <si>
    <t xml:space="preserve"> Default status of the counterparty</t>
  </si>
  <si>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</si>
  <si>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ENTITY-DFLT_STTS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</si>
  <si>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</si>
  <si>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</si>
  <si>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default_status_counterparty</t>
  </si>
  <si>
    <t>V_186</t>
  </si>
  <si>
    <t>Date of the default status of the counterparty</t>
  </si>
  <si>
    <t>The date on which the default status, as reported in the data attribute “Default status of the counterparty”, is considered to have arisen.</t>
  </si>
  <si>
    <t>ENTITY-DT_DFLT_STTS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</si>
  <si>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</si>
  <si>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date_default_status_counterparty</t>
  </si>
  <si>
    <t>LT003_ENTITY.DT_DFLT_STTS</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</si>
  <si>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</si>
  <si>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</si>
  <si>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</si>
  <si>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PROTECTION-PRTCTN_PRVDR_ID</t>
  </si>
  <si>
    <t>Protection Provider ID (Guarantor)</t>
  </si>
  <si>
    <t>Counterparty identifier for the protection provider. If the protection provider is not a legal entity, the protection provider identifier is not required to be reported.</t>
  </si>
  <si>
    <t>protection_provider_id</t>
  </si>
  <si>
    <t>LT004_PROTECTION.PRTCTN_PRVDR_ID</t>
  </si>
  <si>
    <t>Not applicable: To be reported as "N/A". 
This information will be availabe in "02_05_nat_instr_prot" table</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</si>
  <si>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</si>
  <si>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Building area of the building in square meters. Only applicable to Residential real estate collateral, Offices and commercial premises, Commercial real estate collateral, Hotels &amp; entertainment, Factories – warehouses.</t>
  </si>
  <si>
    <t>Land area of the property in square meters.</t>
  </si>
  <si>
    <t>Postcode where the property is located. Only applicable to Residential real estate collateral, Offices and commercial premises, Commercial real estate collateral, Hotels &amp; entertainment, Factories – Warehouses.</t>
  </si>
  <si>
    <t>The highest ranking position(s) in relation to the collateral held by the counterparty to secure the facility. In case the facility has several liens on one collateral, the highest claim is reported in this data field.</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</si>
  <si>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</si>
  <si>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</si>
  <si>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</si>
  <si>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PROTECTION-DT_PRTCTN_VL</t>
  </si>
  <si>
    <t>The date on which the latest appraisal or valuation of the protection was carried out prior to the reporting reference date.</t>
  </si>
  <si>
    <t>date_protection_value</t>
  </si>
  <si>
    <t>LT004_PROTECTION.DT_PRTCTN_VL</t>
  </si>
  <si>
    <t>V_220</t>
  </si>
  <si>
    <t>Protection value</t>
  </si>
  <si>
    <t>The amount of the protection value is the monetary value of the protection that was established at the latest valuation date</t>
  </si>
  <si>
    <t>PROTECTION-PRTCTN_VL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</si>
  <si>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</si>
  <si>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</si>
  <si>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protection_value</t>
  </si>
  <si>
    <t>LT004_PROTECTION.PRTCTN_VL</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</si>
  <si>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</si>
  <si>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</si>
  <si>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</si>
  <si>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</si>
  <si>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PROTECTION-DT_MTRTY_PRTCTN</t>
  </si>
  <si>
    <t>maturity_date_protection</t>
  </si>
  <si>
    <t>LT004_PROTECTION.DT_MTRTY_PRTCTN</t>
  </si>
  <si>
    <t>V_190</t>
  </si>
  <si>
    <t>Original protection value</t>
  </si>
  <si>
    <t>The monetary value of the protection item that was established at the date when the protection item was originally received as a credit protection.</t>
  </si>
  <si>
    <t>PROTECTION-ORGNL_PRTCTN_VL</t>
  </si>
  <si>
    <t>Original protection value (at inception)</t>
  </si>
  <si>
    <t>The original protection value is the monetary value of the protection item that was established at the date when the protection item was originally received as a credit protection.</t>
  </si>
  <si>
    <t>original_protection_value</t>
  </si>
  <si>
    <t>LT004_PROTECTION.ORGNL_PRTCTN_VL</t>
  </si>
  <si>
    <t>V_191</t>
  </si>
  <si>
    <t>Date of original protection value</t>
  </si>
  <si>
    <t>The date on which the latest appraisal or valuation of the protection was carried out prior to its initial receipt as credit protection.</t>
  </si>
  <si>
    <t>PROTECTION-DT_ORGNL_PRTCTN_VL</t>
  </si>
  <si>
    <t>The date of original protection value is the date on which the latest appraisal or valuation of the protection was carried out prior to its initial receipt as credit protection.</t>
  </si>
  <si>
    <t>date_original_protection_value</t>
  </si>
  <si>
    <t>V_192</t>
  </si>
  <si>
    <t>Type of protection value</t>
  </si>
  <si>
    <t>The type of the reported value of the protection item as reported in the data attribute “protection value”.
Options:
‣ Notional amount
‣ Fair value
‣ Market value
‣ Long-term sustainable value
‣ Other protection value</t>
  </si>
  <si>
    <t>PROTECTION-TYP_PRTCTN_VL</t>
  </si>
  <si>
    <t>Identification of the type of value provided in the data attribute “Protection value”.</t>
  </si>
  <si>
    <t>type_protection_value</t>
  </si>
  <si>
    <t>V_221</t>
  </si>
  <si>
    <t>Protection valuation approach</t>
  </si>
  <si>
    <t>Method used to determine the protection value.
Options:
‣ Mark-to-to-market valuation
‣ Counterparty estimation
‣ Creditor valuation
‣ Third party valuation</t>
  </si>
  <si>
    <t>PROTECTION-PRTCTN_VLTN_APPRCH</t>
  </si>
  <si>
    <t>Type of protection valuation; method used to determine the protection value.</t>
  </si>
  <si>
    <t>protection_val_approach</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</si>
  <si>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</si>
  <si>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</si>
  <si>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</si>
  <si>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Not applicable: To be reported as "11111111111". 
This information will be availabe in "02_05_nat_instr_prot" table</t>
  </si>
  <si>
    <t>protection_allocated_value</t>
  </si>
  <si>
    <t>V_194</t>
  </si>
  <si>
    <t>Third-party priority claims against the protection</t>
  </si>
  <si>
    <t>The maximum amount of any existing higher ranked liens with respect to third parties other than the observed agent against the protection.</t>
  </si>
  <si>
    <t>thirdparty_claims_protection</t>
  </si>
  <si>
    <t>INSTR_ENTITY-JNT_LBLTY_AMNT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</si>
  <si>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</si>
  <si>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</si>
  <si>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LT005_INSTR_ENT.JNT_LBLTY_AMNT</t>
  </si>
  <si>
    <t>INSTR_PROTECTION-PRTCTN_ALLCTD_VL</t>
  </si>
  <si>
    <t>LT006_INSTR_PROT.PRTCTN_ALLCTD_VL</t>
  </si>
  <si>
    <t>Third-partypriority claims against the protection</t>
  </si>
  <si>
    <t>INSTR_PROTECTION-THRD_PRTY_PRRTY_CLMS</t>
  </si>
  <si>
    <t>Third party priority claims against the protection </t>
  </si>
  <si>
    <t>LT006_INSTR_PROT.THRD_PRTY_PRRTY_CLMS</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</si>
  <si>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</si>
  <si>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</si>
  <si>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Not applicable: To be reported as "N/A". 
This information will be availabe in "03_04_off_instr_count" table</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</si>
  <si>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</si>
  <si>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</si>
  <si>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V_222</t>
  </si>
  <si>
    <t>Type</t>
  </si>
  <si>
    <t>Type of commitment or guarantee as per FINREP classification.
Options:
‣ Loan commitments given
‣ Financial guarantees given
‣ Other commitments given</t>
  </si>
  <si>
    <t>type</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</si>
  <si>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</si>
  <si>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V_23</t>
  </si>
  <si>
    <t>Credit conversion factor</t>
  </si>
  <si>
    <t>Credit conversion factor as defined by the CRR.</t>
  </si>
  <si>
    <t>INSTRUMENT-CCF</t>
  </si>
  <si>
    <t>Credit conversion factor (CCF) according to CRR</t>
  </si>
  <si>
    <t>Credit conversion factor according to regulation (EU) No 575/2013.</t>
  </si>
  <si>
    <t>credit_conversion_factor</t>
  </si>
  <si>
    <t>LT002_INSTRUMENT.CCF</t>
  </si>
  <si>
    <t>V_223</t>
  </si>
  <si>
    <t>Nominal amount</t>
  </si>
  <si>
    <t>Total nominal amount of off-balance-sheet exposure under IFRS 9.</t>
  </si>
  <si>
    <t>nominal_amount</t>
  </si>
  <si>
    <t>V_224</t>
  </si>
  <si>
    <t>Maturity / expiry date</t>
  </si>
  <si>
    <t>DD/MM/YY</t>
  </si>
  <si>
    <t>Expiry date.</t>
  </si>
  <si>
    <t>V_225</t>
  </si>
  <si>
    <t>Nominal interest rate or fee</t>
  </si>
  <si>
    <t>Notional interest rate or fee as agreed and payable.</t>
  </si>
  <si>
    <t>nominal_interest_rate_fee</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</si>
  <si>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</si>
  <si>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Aggregated amount of the nominal, interest and any fee payment outstanding at the reporting date, which is contractually due and has not been paid (past due).</t>
  </si>
  <si>
    <t>Not applicable: To be reported as "11111111111". 
This information will be availabe in "03_04_off_instr_count" table</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</si>
  <si>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</si>
  <si>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The amount of loss allowances that are held against or are allocated to the instrument on the reporting reference date. This data attribute applies to instruments subject to impairment under the applied accounting standard.</t>
  </si>
  <si>
    <t>This data attribute indicates the type of impairment to which the instrument is subject.
Options:
‣ Stage 1 (IFRS)
‣ Stage 2 (IFRS)
‣ Stage 3 (IFRS)
‣ General allowances (GAAP)
‣ Specific allowances (GAAP)</t>
  </si>
  <si>
    <t>The method by which the impairment is assessed, if the instrument is subject to impairment in accordance with applied accounting standards.
Options:
‣ Individually assessed
‣ Collectively assessed</t>
  </si>
  <si>
    <t>The instrument is to be classified on the reporting reference date, in accordance with Implementing Regulation (EU) No 680/2014.
Options:
‣ Non-performing
‣ Performing</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</si>
  <si>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</si>
  <si>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External Credit Rating</t>
  </si>
  <si>
    <t>External credit rating issued to the Counterparty (if any).</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</si>
  <si>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</si>
  <si>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Default status of the counterparty</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</si>
  <si>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</si>
  <si>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The date on which the default status, as reported in the data attribute
“Default status of the counterparty”, is considered to have arisen.</t>
  </si>
  <si>
    <t>V_195</t>
  </si>
  <si>
    <t>Legal entity identifier (LEI)</t>
  </si>
  <si>
    <t>The legal entity identifier (LEI) is the counterparty identifier assigned in accordance with the International Organization for Standardization (ISO) 17442 standard.</t>
  </si>
  <si>
    <t>ENTITY-LEI</t>
  </si>
  <si>
    <t>Legal entity identifier Counterparty</t>
  </si>
  <si>
    <t>Legal entity identifier counterparty.</t>
  </si>
  <si>
    <t>legal_entity_id</t>
  </si>
  <si>
    <t>LT003_ENTITY.LEI</t>
  </si>
  <si>
    <t>V_196</t>
  </si>
  <si>
    <t>National identifier</t>
  </si>
  <si>
    <t>A national identifier is a commonly used identification code which enables the unambiguous identification of a counterparty or of the legal entity of which the counterparty forms part within its country of residency.</t>
  </si>
  <si>
    <t>ENTITY-TAX_ID</t>
  </si>
  <si>
    <t>Fiscal ID</t>
  </si>
  <si>
    <t>Fiscal ID (CIF, NIF, Tax number, etc).</t>
  </si>
  <si>
    <t>national_id</t>
  </si>
  <si>
    <t>LT003_ENTITY.TAX_ID</t>
  </si>
  <si>
    <t>V_197</t>
  </si>
  <si>
    <t>Head office undertaking identifier</t>
  </si>
  <si>
    <t>The head office undertaking identifier is the counterparty identifier of the domestic part of the legal entity of which the institutional unit is a legally dependent part.</t>
  </si>
  <si>
    <t>head_office_undertaking_id</t>
  </si>
  <si>
    <t>V_198</t>
  </si>
  <si>
    <t>Immediate parent undertaking identifier</t>
  </si>
  <si>
    <t>The immediate parent undertaking identifier is the counterparty identifier for the domestic part of the legal entity which is the immediate parent undertaking of the counterparty.</t>
  </si>
  <si>
    <t>immediate_parent_undertaking_id</t>
  </si>
  <si>
    <t>V_199</t>
  </si>
  <si>
    <t>Ultimate parent undertaking identifier</t>
  </si>
  <si>
    <t>The ultimate parent undertaking identifier is the counterparty identifier for the domestic part of the legal entity which is the ultimate parent undertaking of the counterparty.</t>
  </si>
  <si>
    <t>ultimate_parent_undertaking_id</t>
  </si>
  <si>
    <t>V_200</t>
  </si>
  <si>
    <t>Name</t>
  </si>
  <si>
    <t>The full legal name of the counterparty.</t>
  </si>
  <si>
    <t>ENTITY-ENTTY_NM</t>
  </si>
  <si>
    <t>Name Counterparty</t>
  </si>
  <si>
    <t>name</t>
  </si>
  <si>
    <t>LT003_ENTITY.ENTTY_NM</t>
  </si>
  <si>
    <t>V_201</t>
  </si>
  <si>
    <t>Location information</t>
  </si>
  <si>
    <t>Address: street</t>
  </si>
  <si>
    <t>The counterparty’s street address, including the street number.</t>
  </si>
  <si>
    <t>address_street</t>
  </si>
  <si>
    <t>V_202</t>
  </si>
  <si>
    <t>Address: city/town/village</t>
  </si>
  <si>
    <t>The counterparty’s city, town or village.</t>
  </si>
  <si>
    <t>address_city_town_village</t>
  </si>
  <si>
    <t>V_203</t>
  </si>
  <si>
    <t>Address: postal code</t>
  </si>
  <si>
    <t>The counterparty’s postal code.</t>
  </si>
  <si>
    <t>address_postal_code</t>
  </si>
  <si>
    <t>V_204</t>
  </si>
  <si>
    <t>Address: county/administrative division</t>
  </si>
  <si>
    <t>The county or similar administrative division of counterparties resident in European Union Member States as per NUTS 3 classification.</t>
  </si>
  <si>
    <t>address_county_adm_div</t>
  </si>
  <si>
    <t>V_205</t>
  </si>
  <si>
    <t>Address: country</t>
  </si>
  <si>
    <t xml:space="preserve">The counterparty’s country.
Options: 
ISO 3166-1 alpha-2 codes: ISO 3166-1 alpha-2 code of the country
</t>
  </si>
  <si>
    <t>ENTITY-CNTRY</t>
  </si>
  <si>
    <t>Country of counterparty residence</t>
  </si>
  <si>
    <t>Country of counterparty residence.</t>
  </si>
  <si>
    <t>address_country</t>
  </si>
  <si>
    <t>V_206</t>
  </si>
  <si>
    <t>Legal form</t>
  </si>
  <si>
    <t>The type of business entity as defined in the national legal system.</t>
  </si>
  <si>
    <t>legal_form</t>
  </si>
  <si>
    <t>V_207</t>
  </si>
  <si>
    <t>Institutional sector</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</si>
  <si>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</si>
  <si>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institutional_sector</t>
  </si>
  <si>
    <t>csector_inst</t>
  </si>
  <si>
    <t>V_208</t>
  </si>
  <si>
    <t>Economic activity</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</si>
  <si>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</si>
  <si>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ENTITY-ECNMC_ACTVTY</t>
  </si>
  <si>
    <t>Economic activity counterparty</t>
  </si>
  <si>
    <t>The level four NACE code in accordance with Regulation (EC) No 1893/2006 is generally reported. If the level four NACE code is not available it may be allowed to report a level three or level two NACE code.</t>
  </si>
  <si>
    <t>economic_activity</t>
  </si>
  <si>
    <t>V_209</t>
  </si>
  <si>
    <t>Status of legal proceedings</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</si>
  <si>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</si>
  <si>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ENTITY-LGL_PRCDNG_STTS_LE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</si>
  <si>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</si>
  <si>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</si>
  <si>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status_legal_proceedings</t>
  </si>
  <si>
    <t>V_210</t>
  </si>
  <si>
    <t>Date of initiation of legal proceedings</t>
  </si>
  <si>
    <t>The date on which the legal proceedings, as reported under the attribute “status of legal proceedings”, were initiated. This date should be the most recent relevant date prior to the reporting date.</t>
  </si>
  <si>
    <t>ENTITY-DT_INTTN_LGL_PRCDNGS_LE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</si>
  <si>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</si>
  <si>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</si>
  <si>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date_init_legal_proceedings</t>
  </si>
  <si>
    <t>LT003_ENTITY.DT_INTTN_LGL_PRCDNGS_LE</t>
  </si>
  <si>
    <t>V_211</t>
  </si>
  <si>
    <t>Enterprise size</t>
  </si>
  <si>
    <t>The classification of enterprises by size, in accordance with the Annex to Commission Recommendation 2003/361/EC.
Options:
‣ Large enterprise
‣ Medium enterprise
‣ Small enterprise
‣ Microenterprise</t>
  </si>
  <si>
    <t>ENTITY-ENTRPRS_SZ_LE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</si>
  <si>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</si>
  <si>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</si>
  <si>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enterprise_size</t>
  </si>
  <si>
    <t>V_212</t>
  </si>
  <si>
    <t>Date of enterprise size</t>
  </si>
  <si>
    <t>The date to which the value provided in the “enterprise size” refers. This is the date of the latest data used to classify or review the classification of the enterprise.</t>
  </si>
  <si>
    <t>date_enterprise_size</t>
  </si>
  <si>
    <t>V_213</t>
  </si>
  <si>
    <t>Number of employees</t>
  </si>
  <si>
    <t>Number of employees working for the counterparty, in accordance with Article 5 of the Annex to Recommendation 2003/361/EC.</t>
  </si>
  <si>
    <t>number_employees</t>
  </si>
  <si>
    <t>V_214</t>
  </si>
  <si>
    <t>Balance sheet total</t>
  </si>
  <si>
    <t>The carrying value of the counterparty’s total assets in accordance with Regulation (EU) No 549/2013.</t>
  </si>
  <si>
    <t>balance_sheet_total</t>
  </si>
  <si>
    <t>V_215</t>
  </si>
  <si>
    <t>Annual turnover</t>
  </si>
  <si>
    <t>Numeric in euro</t>
  </si>
  <si>
    <t>The annual sales volume net of all discounts and sales taxes of the counterparty in accordance with Recommendation 2003/361/EC.</t>
  </si>
  <si>
    <t>ENTITY-ANNL_TRNVR_LE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</si>
  <si>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</si>
  <si>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</si>
  <si>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annual_turnover</t>
  </si>
  <si>
    <t>LT003_ENTITY.ANNL_TRNVR_LE</t>
  </si>
  <si>
    <t>V_216</t>
  </si>
  <si>
    <t>Accounting standard</t>
  </si>
  <si>
    <t>Accounting standard used by the observed agent’s legal entity.
Options:
‣ IFRS
‣ National GAAP consistent with IFRS
‣ National GAAP not consistent with IFRS</t>
  </si>
  <si>
    <t>ENTITY-ACCNTNG_FRMWRK_SL</t>
  </si>
  <si>
    <t>Accounting standard counterparty</t>
  </si>
  <si>
    <t>Accounting standard counterparty.</t>
  </si>
  <si>
    <t>accounting_standard</t>
  </si>
  <si>
    <t xml:space="preserve">An identifier applied to uniquely identify each protection/collateral used to secure the instrument.  </t>
  </si>
  <si>
    <t>Not applicable: To be reported as "N/A". 
This information will be availabe in "03_05_off_instr_prot" table</t>
  </si>
  <si>
    <t>Land area of the property in square meters. Only applicable to land.</t>
  </si>
  <si>
    <t>V_217</t>
  </si>
  <si>
    <t>Not applicable: To be reported as "11111111111". 
This information will be availabe in "03_05_off_instr_prot" table</t>
  </si>
  <si>
    <t>V_218</t>
  </si>
  <si>
    <t>Third party priority claims against the protection</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</si>
  <si>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</si>
  <si>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</si>
  <si>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</si>
  <si>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</si>
  <si>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</si>
  <si>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As per EMIR revised ITS Article 4a.</t>
  </si>
  <si>
    <t>unique_trade_id</t>
  </si>
  <si>
    <t>Counterparty ID</t>
  </si>
  <si>
    <t>Code used to identify the reporting counterparty. Where a contract is concluded in a trading venue and cleared by a CCP such that a counterparty is not aware of the identity of the other counterparty, the entity must identify that CCP as its counterparty.</t>
  </si>
  <si>
    <t>V_24</t>
  </si>
  <si>
    <t>Type of ID of the counterparty of the reporting entity</t>
  </si>
  <si>
    <t>Type of code used to identify the reporting counterparty.
Options based on ECB’s Securities Holding Statistics (field CL_SHS_ID_TYPE)</t>
  </si>
  <si>
    <t>counterparty_type_id</t>
  </si>
  <si>
    <t>V_25</t>
  </si>
  <si>
    <t>Country of the counterparty</t>
  </si>
  <si>
    <t>The country code of the country where the registered office of the counterparty is located.
based on ECB’s Securities Holding Statistics (field CL_SHS_ISSUER_AREA)</t>
  </si>
  <si>
    <t>counterparty_country</t>
  </si>
  <si>
    <t>V_26</t>
  </si>
  <si>
    <t>Base product</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</si>
  <si>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</si>
  <si>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base_product</t>
  </si>
  <si>
    <t>V_27</t>
  </si>
  <si>
    <t>Specific information</t>
  </si>
  <si>
    <t>Product ID</t>
  </si>
  <si>
    <t>product_id</t>
  </si>
  <si>
    <t>V_28</t>
  </si>
  <si>
    <t>Governing law</t>
  </si>
  <si>
    <t>Identify the law governing the financial contract.
Options based on ECB’s Securities Holding Statistics (field CL_SHS_ISSUER_AREA)</t>
  </si>
  <si>
    <t>governing_law</t>
  </si>
  <si>
    <t>V_29</t>
  </si>
  <si>
    <t>Contractual recognition – Write down and conversion powers (only for contracts governed by thirdcountry laws subject to the requirement of the contractual terms under the first subparagraph of Article 55(1) of BRRD)</t>
  </si>
  <si>
    <t>The contractual term required under Article 55(1) of the BRRD. When such a contractual term is included in a master agreement and applies to all trades governed by this agreement, it can be recorded at the master agreement level.
Options:
‣ YES (1)
‣ NO (2)</t>
  </si>
  <si>
    <t>contract_recogn_write_down</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</si>
  <si>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</si>
  <si>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</si>
  <si>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</si>
  <si>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contract_recogn_suspension</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</si>
  <si>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</si>
  <si>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</si>
  <si>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</si>
  <si>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contract_recogn_resolution</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</si>
  <si>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</si>
  <si>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</si>
  <si>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</si>
  <si>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
Options:
‣ YES (1)
‣ NO (2)</t>
  </si>
  <si>
    <t>collateral_portfolio</t>
  </si>
  <si>
    <t>V_33</t>
  </si>
  <si>
    <t>Collateral posted</t>
  </si>
  <si>
    <t>Value of the collateral posted by the reporting counterparty to the other counterparty. Portfolio means the net collateral posted calculated on the basis of net positions resulting from a set of contracts.</t>
  </si>
  <si>
    <t>In case that a unique trade identifier had more than one collateral posted, the equivalent values in euro will be summed</t>
  </si>
  <si>
    <t>collateral_posted</t>
  </si>
  <si>
    <t>V_34</t>
  </si>
  <si>
    <t>Currency of the collateral posted</t>
  </si>
  <si>
    <t>Specify the currency of the initial margin posted.
Options:
ISO 4217 Currency Codes</t>
  </si>
  <si>
    <t>collateral_posted_currency</t>
  </si>
  <si>
    <t>V_37</t>
  </si>
  <si>
    <t>Collateral received</t>
  </si>
  <si>
    <t>Value of the collateral received by the reporting counterparty from the other counterparty. Portfolio means the net collateral received calculated on the basis of net positions resulting from a set of contracts.</t>
  </si>
  <si>
    <t>In case that a unique trade identifier had more than one collateral received, the equivalent values in euro will be summed</t>
  </si>
  <si>
    <t>collateral_received</t>
  </si>
  <si>
    <t>V_38</t>
  </si>
  <si>
    <t>Currency of the collateral received</t>
  </si>
  <si>
    <t>Specify the currency of the collateral received.
Options:
ISO 4217 Currency Codes</t>
  </si>
  <si>
    <t>collateral_received_currency</t>
  </si>
  <si>
    <t>V_41</t>
  </si>
  <si>
    <t>Specific information derivatives</t>
  </si>
  <si>
    <t>Leg 1 cash flow</t>
  </si>
  <si>
    <t>Series of leg 1 cash flows (estimated) corresponding to settlement dates, including exchange of notional, if applicable. This should be reported as multidimensional i.e. one field containing a small data set (an array).</t>
  </si>
  <si>
    <t>It will be computed by reporting the cash flow corresponding to each of the settlement periods from the data date, as follows: 
a|b|c|d|e
    a: &lt;=30 days
    b: (30,90] days
    c: (90,365] days
    d: (365,1825] days
    e: &gt;1825 days</t>
  </si>
  <si>
    <t>leg_1_cash_flow</t>
  </si>
  <si>
    <t>V_42</t>
  </si>
  <si>
    <t>Leg 2 cash flow</t>
  </si>
  <si>
    <t xml:space="preserve">Series of leg 2 cash flows (estimated) corresponding to settlement dates, including exchange of notional, if applicable. This should be reported as multidimensional i.e. one field containing a small data set (an array).
</t>
  </si>
  <si>
    <t>leg_2_cash_flow</t>
  </si>
  <si>
    <t>V_43</t>
  </si>
  <si>
    <t>Specific information: interest rate derivatives</t>
  </si>
  <si>
    <t>Leg 1 reference rate</t>
  </si>
  <si>
    <t>Rate to which the leg 1 payment is attached, e.g. LIBOR USD, EUR, etc.
Options:
EUR, LIBOR UK, LIBOR USD, etc.</t>
  </si>
  <si>
    <t>leg_1_reference_rate</t>
  </si>
  <si>
    <t>V_44</t>
  </si>
  <si>
    <t>Leg 2 reference rate</t>
  </si>
  <si>
    <t>Rate to which the leg 2 payment is attached, e.g. LIBOR USD, EUR, etc.
Options:
EUR, LIBOR UK, LIBOR USD, etc.</t>
  </si>
  <si>
    <t>leg_2_reference_rate</t>
  </si>
  <si>
    <t>V_45</t>
  </si>
  <si>
    <t>Leg 1 reference period</t>
  </si>
  <si>
    <t>Reference period.
Options:
1d, 1w, 1M, 3M, 6M, 12M, 2Y, 3Y, etc</t>
  </si>
  <si>
    <t>leg_1_reference_period</t>
  </si>
  <si>
    <t>V_46</t>
  </si>
  <si>
    <t>Leg 2 reference period</t>
  </si>
  <si>
    <t>leg_2_reference_period</t>
  </si>
  <si>
    <t>V_49</t>
  </si>
  <si>
    <t>Specific information: credit derivatives</t>
  </si>
  <si>
    <t>Premium</t>
  </si>
  <si>
    <t>Premium paid on credit default swap (CDS) contract.</t>
  </si>
  <si>
    <t>premium</t>
  </si>
  <si>
    <t>V_51</t>
  </si>
  <si>
    <t>Details on the transaction</t>
  </si>
  <si>
    <t>Netting agreement</t>
  </si>
  <si>
    <t>If the financial contract is a part of a netting arrangement as defined in Article 2(1)(98) of Directive 2014/59/EU, a unique reference of the arrangement.</t>
  </si>
  <si>
    <t>netting_agreement</t>
  </si>
  <si>
    <t>V_52</t>
  </si>
  <si>
    <t>Accounting information</t>
  </si>
  <si>
    <t>Carrying amount of the derivative as reported in the last reported financial statements.</t>
  </si>
  <si>
    <t>LT002_INSTRUMENT.GRSS_CRRYNG_AMNT_INSTRMNT</t>
  </si>
  <si>
    <t>V_53</t>
  </si>
  <si>
    <t>Accounting standards</t>
  </si>
  <si>
    <t>Applied accounting standard.
Options:
(1) IFRS
(2) National GAAP</t>
  </si>
  <si>
    <t>V_54</t>
  </si>
  <si>
    <t>Accounting classification</t>
  </si>
  <si>
    <t>The accounting portfolio where the derivative is recorded in accordance with the accounting standard applied by the reporting counterparty.
Options:
(1) Trading book
(2) Non-trading book</t>
  </si>
  <si>
    <t>V_55</t>
  </si>
  <si>
    <t>Hierarchy</t>
  </si>
  <si>
    <t>Classification into the levels of IFRS 13 fair value hierarchy, where level 3 exposures are those for which valuation is based on unobservable model input parameters.
Options:
(1) Level 1
(2) Level 2
(3) Level 3</t>
  </si>
  <si>
    <t>hierarchy</t>
  </si>
  <si>
    <t>V_56</t>
  </si>
  <si>
    <t>Hedge ID</t>
  </si>
  <si>
    <t>Hedge ID if the position is part of an economic / accounting hedge.</t>
  </si>
  <si>
    <t>hedge_id</t>
  </si>
  <si>
    <t>The risk weight allocated to the instrument, calculated according to Articles 92(3) and 92(4) of Regulation (EU) No 575/2013 (CRR), where
applicable.</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</si>
  <si>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</si>
  <si>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t>V_58</t>
  </si>
  <si>
    <t>Financial contract type</t>
  </si>
  <si>
    <t>Financial contract ID</t>
  </si>
  <si>
    <t>Unique identifier for the debt security.</t>
  </si>
  <si>
    <t>financial_contract_id</t>
  </si>
  <si>
    <t>V_59</t>
  </si>
  <si>
    <t>Issuer identification</t>
  </si>
  <si>
    <t>ISIN</t>
  </si>
  <si>
    <t>International Securities Identification Number (ISIN).</t>
  </si>
  <si>
    <t>INSTRUMENT-ISIN</t>
  </si>
  <si>
    <t>International Securities Identification Number (ISIN)</t>
  </si>
  <si>
    <t>isin</t>
  </si>
  <si>
    <t>LT002_INSTRUMENT.ISIN</t>
  </si>
  <si>
    <t>V_60</t>
  </si>
  <si>
    <t>ID of the issuer</t>
  </si>
  <si>
    <t>Unique code (Legal Entity Identifier (LEI) where available) identifying the reporting counterparty (legal entity).</t>
  </si>
  <si>
    <t>INSTRUMENT-ISSR_ID</t>
  </si>
  <si>
    <t>issuer_id</t>
  </si>
  <si>
    <t>LT002_INSTRUMENT.ISSR_ID</t>
  </si>
  <si>
    <t>V_61</t>
  </si>
  <si>
    <t>Type of ID of the issuer</t>
  </si>
  <si>
    <t>Type of code used to identify the issuer (Legal entity).
Options based on ECB’s Securities Holding Statistics (field CL_SHS_ID_TYPE)</t>
  </si>
  <si>
    <t>INSTRUMENT-ISSR_ID_TYP</t>
  </si>
  <si>
    <t>Type of code used to identify the issuer (Legal entity)</t>
  </si>
  <si>
    <t>issuer_id_type</t>
  </si>
  <si>
    <t>V_62</t>
  </si>
  <si>
    <t>Country of the issuer</t>
  </si>
  <si>
    <t>The country code of the country where the registered office of the issuer is located. To be completed only where no ISIN has been provided.
Options based on ECB’s Securities Holding Statistics (field CL_SHS_ISSUER_AREA)</t>
  </si>
  <si>
    <t>INSTRUMENT-ISSR_CNTRY</t>
  </si>
  <si>
    <t>The country code of the country where the registered office of the issuer is located. To be completed only where no ISIN has been provided</t>
  </si>
  <si>
    <t>issuer_country</t>
  </si>
  <si>
    <t>V_63</t>
  </si>
  <si>
    <t>Issuer ESA 2010</t>
  </si>
  <si>
    <t>European System of National and Regional Accounts (ESA 2010) sector of the issuer.
Options based on ECB’s Securities Holding Statistics (field CL_SHS_ISSUER_ESA_2010)</t>
  </si>
  <si>
    <t>INSTRUMENT-ISSR_ESA_2010</t>
  </si>
  <si>
    <t>European System of National and Regional Accounts (ESA) 2010 sector of the issuer.</t>
  </si>
  <si>
    <t>issuer_esa_2010</t>
  </si>
  <si>
    <t>V_64</t>
  </si>
  <si>
    <t>Issuer NACE sector</t>
  </si>
  <si>
    <t>Sector according to NACE classification.
Options based on ECB’s Securities Holding Statistics (field CL_SHS_NACE)</t>
  </si>
  <si>
    <t>INSTRUMENT-ISSR_NACE_SCTR</t>
  </si>
  <si>
    <t>Sector according to NACE classification</t>
  </si>
  <si>
    <t>issuer_nace_sector</t>
  </si>
  <si>
    <t>V_65</t>
  </si>
  <si>
    <t>Issuer data</t>
  </si>
  <si>
    <t xml:space="preserve"> Issuer Rating(s)</t>
  </si>
  <si>
    <t>Rating of counterparty as of cut-off date. In the event of multiple ratings, these should be separated by comma, and the order should be the same that relating to the rating thresholds that are reported in field XYZ. If not rated, enter ‘NR’.</t>
  </si>
  <si>
    <t>INSTRUMENT-ISSR_RTNG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</si>
  <si>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</si>
  <si>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</si>
  <si>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issuer_ratings</t>
  </si>
  <si>
    <t>LT002_INSTRUMENT.ISSR_RTNG</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</si>
  <si>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</si>
  <si>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</si>
  <si>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</si>
  <si>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INSTRUMENT-ISSR_RTNG_SRC</t>
  </si>
  <si>
    <t>Issuer Rating(s) Source(s)</t>
  </si>
  <si>
    <t>issuer_ratings_sources</t>
  </si>
  <si>
    <t>V_67</t>
  </si>
  <si>
    <t>Type of Issuer</t>
  </si>
  <si>
    <t>Other group entity refers to entities that are part of the same group as the bank (inter-affiliate exposures). Third party refers to external parties.
Options:
‣ Other group entity (1)
‣ Third party (2)</t>
  </si>
  <si>
    <t>INSTRUMENT-ISSR_TYP</t>
  </si>
  <si>
    <t>Other group entity refers to entities that are part of the same group as the bank (inter-affiliate exposures). Third party refers to external parties.</t>
  </si>
  <si>
    <t>issuer_type</t>
  </si>
  <si>
    <t>V_68</t>
  </si>
  <si>
    <t>Currency of the value</t>
  </si>
  <si>
    <t>The currency used for the valuation of the security.
Options based on ECB’s Securities Holding Statistics (field CL_SHS_CURRENCY)</t>
  </si>
  <si>
    <t>INSTRUMENT-VLTN_CRRNCY</t>
  </si>
  <si>
    <t>The currency used for the valuation of the security. (local accounting currency)</t>
  </si>
  <si>
    <t>currency_value</t>
  </si>
  <si>
    <t>V_69</t>
  </si>
  <si>
    <t>Valuation timestamp</t>
  </si>
  <si>
    <t>Date and time of the last valuation.</t>
  </si>
  <si>
    <t>INSTRUMENT-DT_VLTN</t>
  </si>
  <si>
    <t>Valuation date</t>
  </si>
  <si>
    <t>Date of the last valuation.</t>
  </si>
  <si>
    <t>val_timestamp</t>
  </si>
  <si>
    <t>V_70</t>
  </si>
  <si>
    <t>Valuation type</t>
  </si>
  <si>
    <t>Indicate whether valuation was performed mark-to-market or markto- model.
Options:
‣ Mark-to-market (1)
‣ Mark-to-model (2)</t>
  </si>
  <si>
    <t>INSTRUMENT-VLTN_TYP</t>
  </si>
  <si>
    <t>Indicate whether valuation was performed mark-to-market or mark-to-model.</t>
  </si>
  <si>
    <t>val_type</t>
  </si>
  <si>
    <t>V_71</t>
  </si>
  <si>
    <t>Security characteristics</t>
  </si>
  <si>
    <t>Instrument class</t>
  </si>
  <si>
    <t>The class of the instrument according to ESA 2010.
Options based on ECB’s Securities Holding Statistics (field CL_SHS_INSTR_ESA2010)</t>
  </si>
  <si>
    <t>INSTRUMENT-INSTRMNT_CLSS</t>
  </si>
  <si>
    <t xml:space="preserve">The class of the instrument according to ESA 2010. </t>
  </si>
  <si>
    <t>instrument_class</t>
  </si>
  <si>
    <t>V_72</t>
  </si>
  <si>
    <t>Primary asset classification</t>
  </si>
  <si>
    <t>Type of instrument.
Options based on ECB’s Securities Holding Statistics (field CL_SHS_PRIMARY_ASSET_CLASS)</t>
  </si>
  <si>
    <t>INSTRUMENT-PRMRY_ASST_CLSSF</t>
  </si>
  <si>
    <t>Type of instrument.</t>
  </si>
  <si>
    <t>primary_asset_classification</t>
  </si>
  <si>
    <t>V_73</t>
  </si>
  <si>
    <t>Asset securitisation class</t>
  </si>
  <si>
    <t>To be reported if the instrument is a securitisation or covered bond.
Options based on ECB’s Securities Holding Statistics (field CL_SHS_ASSET_SECURITISATION_TYP)</t>
  </si>
  <si>
    <t>INSTRUMENT-ASST_SCRT_CLSS</t>
  </si>
  <si>
    <t>To be reported if the instrument is a securitisation or covered bond.</t>
  </si>
  <si>
    <t>asset_scrty_class</t>
  </si>
  <si>
    <t>V_74</t>
  </si>
  <si>
    <t>Type of placement</t>
  </si>
  <si>
    <t>Public or private. ‘Public’ refers to issuances in capital markets that have been allocated an ISIN. Private refers to securities structured for clients or other third parties that were sold bilaterally.
Options:
‣ Public (1)
‣ Private (2)</t>
  </si>
  <si>
    <t>INSTRUMENT-TYPE_OF_PLCMNT</t>
  </si>
  <si>
    <t xml:space="preserve">Public or private. Public refers to issuances in capital markets that have been allocated an ISIN. Private refers to securities structured for clients or other third parties that were sold bilaterally </t>
  </si>
  <si>
    <t>placement_type</t>
  </si>
  <si>
    <t>V_75</t>
  </si>
  <si>
    <t>Issuance date</t>
  </si>
  <si>
    <t>Issuance date.</t>
  </si>
  <si>
    <t>issuance_date</t>
  </si>
  <si>
    <t>V_76</t>
  </si>
  <si>
    <t>Maturity date</t>
  </si>
  <si>
    <t>Maturity date. Not applicable for perpetual instruments.</t>
  </si>
  <si>
    <t>V_77</t>
  </si>
  <si>
    <t>Guarantor ID</t>
  </si>
  <si>
    <t>Guarantor identifier if a guarantee has been provided.</t>
  </si>
  <si>
    <t>INSTRUMENT-GRNTR_ID</t>
  </si>
  <si>
    <t>guarantor_id</t>
  </si>
  <si>
    <t>V_78</t>
  </si>
  <si>
    <t>Guarantor ID type</t>
  </si>
  <si>
    <t>Options based on ECB’s Securities Holding Statistics (field CL_SHS_ID_TYPE)</t>
  </si>
  <si>
    <t>INSTRUMENT-GRNTR_ID_TYP</t>
  </si>
  <si>
    <t>Type of guarantor identifier if a guarantee has been provided.</t>
  </si>
  <si>
    <t>guarantor_id_type</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</si>
  <si>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</si>
  <si>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</si>
  <si>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</si>
  <si>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INSTRUMENT-INTRNL_RTNG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</si>
  <si>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</si>
  <si>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security_rating</t>
  </si>
  <si>
    <t>V_80</t>
  </si>
  <si>
    <t>Instrument seniority type</t>
  </si>
  <si>
    <t>Instrument type according to its seniority.
Options based on ECB’s Securities Holding Statistics (field CL_SHS_SENIORITY_TYPE)</t>
  </si>
  <si>
    <t>INSTRUMENT-INSTR_SNRTY_CLSS</t>
  </si>
  <si>
    <t>Instrument type according to its seniority.</t>
  </si>
  <si>
    <t>instrument_seniority_type</t>
  </si>
  <si>
    <t>V_81</t>
  </si>
  <si>
    <t>Coupon type</t>
  </si>
  <si>
    <t>Type of coupon.
Options:
‣ Fixed (1)
‣ Floating (2)
‣ Zero coupon (3)
‣ Other (4)</t>
  </si>
  <si>
    <t>coupon_type</t>
  </si>
  <si>
    <t>V_82</t>
  </si>
  <si>
    <t>Coupon frequency</t>
  </si>
  <si>
    <t>Frequency of coupon payment.
Options:
‣ Monthly (1)
‣ Semi-annual (2)
‣ Annual (3)
‣ Other (4)</t>
  </si>
  <si>
    <t>coupon_frequency</t>
  </si>
  <si>
    <t>V_83</t>
  </si>
  <si>
    <t>Coupon currency</t>
  </si>
  <si>
    <t>Currency in which the coupon is paid.
Options based on ISO 4217 Currency Codes</t>
  </si>
  <si>
    <t>INSTRUMENT-CPN_CRRNCY</t>
  </si>
  <si>
    <t xml:space="preserve">Coupon currency </t>
  </si>
  <si>
    <t>Currency in which the coupon is paid.</t>
  </si>
  <si>
    <t>coupon_currency</t>
  </si>
  <si>
    <t>V_84</t>
  </si>
  <si>
    <t>Coupon rate</t>
  </si>
  <si>
    <t>Coupon rate (if fixed).</t>
  </si>
  <si>
    <t>INSTRUMENT-CPN_RT</t>
  </si>
  <si>
    <t>coupon_rate</t>
  </si>
  <si>
    <t>LT002_INSTRUMENT.CPN_RT</t>
  </si>
  <si>
    <t>V_85</t>
  </si>
  <si>
    <t>Coupon rate (if floating).</t>
  </si>
  <si>
    <t>INSTRUMENT-RFRNC_RT</t>
  </si>
  <si>
    <t>LT002_INSTRUMENT.RFRNC_RT</t>
  </si>
  <si>
    <t>V_86</t>
  </si>
  <si>
    <t>Spread</t>
  </si>
  <si>
    <t>Spread over the reference rate (if floating).</t>
  </si>
  <si>
    <t>INSTRUMENT-SPRD</t>
  </si>
  <si>
    <t>spread</t>
  </si>
  <si>
    <t>V_87</t>
  </si>
  <si>
    <t>Currency of the nominal amount</t>
  </si>
  <si>
    <t>Currency for expressing the nominal of the security.
Options based on ISO 4217 Currency Codes</t>
  </si>
  <si>
    <t>nominal_amount_currency</t>
  </si>
  <si>
    <t>V_88</t>
  </si>
  <si>
    <t>Use of security</t>
  </si>
  <si>
    <t>Purchased under resale agreement</t>
  </si>
  <si>
    <t>Indicate whether the security was purchased with an agreement to resell it at a later stage (e.g. reverse repo, collateral swap, etc.).
Options:
‣ Yes (1)
‣ No (2)</t>
  </si>
  <si>
    <t>INSTRUMENT-PRCH_UNDR_RSL_AGR</t>
  </si>
  <si>
    <t>Indicate weather the security was purchased with an agreement to resell it at a later stage (e.g. reverse repo, collateral swap, etc.).</t>
  </si>
  <si>
    <t>purchased_resale_agr</t>
  </si>
  <si>
    <t>V_89</t>
  </si>
  <si>
    <t>Indicate the source of encumbrance for the security.
Options based on ECB’s Securities Holding Statistics (field CL_SHS_SRC_ENCMBRNC)</t>
  </si>
  <si>
    <t>INSTRUMENT-SRCS_ENCMBRNC</t>
  </si>
  <si>
    <t>Indicate the source of encumbrance for the security.</t>
  </si>
  <si>
    <t>V_90</t>
  </si>
  <si>
    <t>Eligibility for standard central bank (ECB) operations</t>
  </si>
  <si>
    <t>Indicate whether the security meets the eligibility criteria for standard central bank (ECB) operations.
Options:
‣ Yes (1)
‣ No (2)</t>
  </si>
  <si>
    <t>INSTRUMENT-ELGBLTY_ECB</t>
  </si>
  <si>
    <t>Indicate whether the security meets the eligibility criteria for standard central bank (ECB) operations.</t>
  </si>
  <si>
    <t>eligibility_ecb</t>
  </si>
  <si>
    <t>V_91</t>
  </si>
  <si>
    <t>Part of LCR buffer</t>
  </si>
  <si>
    <t>Indicate whether the security meets the eligibility criteria for standard central bank operations.
Options:
‣ Yes (1)
‣ No (2)</t>
  </si>
  <si>
    <t>INSTRUMENT-PRT_LCR_BFFR</t>
  </si>
  <si>
    <t>Indicate whether the security meets the eligibility criteria for LCR buffer.</t>
  </si>
  <si>
    <t>part_lcr_buffer</t>
  </si>
  <si>
    <t>V_92</t>
  </si>
  <si>
    <t>Category of LCR buffer</t>
  </si>
  <si>
    <t>Indicate which part of the LCR buffer the security was part of.
Options:
‣ L1 (1)
‣ L2A (2)
‣ L2B (3)</t>
  </si>
  <si>
    <t>INSTRUMENT-LCR_BFFR_CTGRY</t>
  </si>
  <si>
    <t>Indicate which part of the LCR buffer the security was part of.</t>
  </si>
  <si>
    <t>lcr_buffer_category</t>
  </si>
  <si>
    <t>V_93</t>
  </si>
  <si>
    <t>Accounting classification of the instrument</t>
  </si>
  <si>
    <t>Accounting classification to the instrument according to the IFRS or national general accepted accounting principles (GAAP).
Options based on ECB’s Securities Holding Statistics (field CL_SHS_ACCNTNG_CLSSFCTN)</t>
  </si>
  <si>
    <t>V_94</t>
  </si>
  <si>
    <t>Performing status of the instrument: performing vs non-performing.
Options based on ECB’s Securities Holding Statistics (field CL_SHS_PRFRMNG_STTS)</t>
  </si>
  <si>
    <t>perform_status</t>
  </si>
  <si>
    <t>V_95</t>
  </si>
  <si>
    <t>Prudential portfolio of the instrument</t>
  </si>
  <si>
    <t>Indicate if the instrument is classified in the trading book or in the banking book for prudential purposes.
Options based on ECB’s Securities Holding Statistics (field CL_SHS_PRDNTL_PRTFL)</t>
  </si>
  <si>
    <t>INSTRUMENT-PRDNTL_PRTFL</t>
  </si>
  <si>
    <t xml:space="preserve">Indicate if the instrument is classified in the trading book or in the banking book for prudential purposes. </t>
  </si>
  <si>
    <t>V_96</t>
  </si>
  <si>
    <t>INSTRUMENT-HEDGE_ID</t>
  </si>
  <si>
    <t>Hedge ID if the position is part of an economic/accounting hedge.</t>
  </si>
  <si>
    <t>The risk weight allocated to the instrument, calculated according to Articles 92(3) and 92(4) of Regulation (EU) No 575/2013 (CRR), where applicable.</t>
  </si>
  <si>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</si>
  <si>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Unique identifier for the equity investment security.</t>
  </si>
  <si>
    <t>ISIN code.</t>
  </si>
  <si>
    <t>Unique code (LEI where available) identifying the reporting counterparty (legal entity).</t>
  </si>
  <si>
    <t>Type of code used to identify the issuer (legal entity).
Options based on ECB’s Securities Holding Statistics (field CL_SHS_ID_TYPE)</t>
  </si>
  <si>
    <t>type_issuer_id</t>
  </si>
  <si>
    <t>The country code of the country where the registered office of the issuer is located. To be completed only when no ISIN has been provided.
Options based on ECB’s Securities Holding Statistics (field CL_SHS_ISSUER_AREA)</t>
  </si>
  <si>
    <t>country_issuer</t>
  </si>
  <si>
    <t>ESA 2010 sector of the issuer.
Options based on ECB’s Securities Holding Statistics (field CL_SHS_ISSUER_ESA_2010)</t>
  </si>
  <si>
    <t>Sector according to the NACE classification.
Options based on ECB’s Securities Holding Statistics (field CL_SHS_NACE)</t>
  </si>
  <si>
    <t>Issuer characteristics</t>
  </si>
  <si>
    <t>Rating of counterparty as of the cut-off date. In the event of multiple ratings, these should be separated by commas and the order should be the same as that relating to the rating thresholds reported in field XYZ. If not rated, enter ‘NR’.</t>
  </si>
  <si>
    <t>Issuer Rating(s) Source(S)</t>
  </si>
  <si>
    <t>The name of the agency providing the rating. In the event of multiple ratings, the sources should be separated by commas and their order should be the same as the thresholds and ratings provided in other fields.</t>
  </si>
  <si>
    <t>Other group entity’ refers to entities which form part of the same group as the bank (inter-affiliate exposures). ‘Third party’ refers to external parties.
Options:
‣ Other group entity (1)
‣ Third party (2)</t>
  </si>
  <si>
    <t>type_issuer</t>
  </si>
  <si>
    <t>Indicate whether the valuation was performed mark-to-market or mark-to-model.
Options:
‣ Mark-to-market (1)
‣ Mark-to-model (2)</t>
  </si>
  <si>
    <t>V_97</t>
  </si>
  <si>
    <t>Dividend yield</t>
  </si>
  <si>
    <t>Average expected yearly dividends over the next three years.
Options:
‣ Yes (1)
‣ No (2)</t>
  </si>
  <si>
    <t>dividend_yield</t>
  </si>
  <si>
    <t>Part of LCR
buffer</t>
  </si>
  <si>
    <t>Accounting classification of the instrument according to the IFRS or National GAAP.
Options based on ECB’s Securities Holding Statistics (field CL_SHS_ACCNTNG_CLSSFCTN)</t>
  </si>
  <si>
    <t>Prudential portfolio of the
instrument</t>
  </si>
  <si>
    <t>V_98</t>
  </si>
  <si>
    <t>DTA</t>
  </si>
  <si>
    <t>Tax group</t>
  </si>
  <si>
    <t>Group or tax group where the DTA/DTC is recognised.</t>
  </si>
  <si>
    <t>V_99</t>
  </si>
  <si>
    <t>Jurisdiction</t>
  </si>
  <si>
    <t>The tax jurisdiction in which the DTA/DTC is recognised.</t>
  </si>
  <si>
    <t>Campo produzido manualmente pela Contabilidade</t>
  </si>
  <si>
    <t>V_100</t>
  </si>
  <si>
    <t>Tax rate</t>
  </si>
  <si>
    <t>Current relevant tax rate.</t>
  </si>
  <si>
    <t>V_101</t>
  </si>
  <si>
    <t>Profit of relevant tax group</t>
  </si>
  <si>
    <t>Profit of relevant tax group as per last account reported.</t>
  </si>
  <si>
    <t>V_102</t>
  </si>
  <si>
    <t>Existence of a cap on DTA/DTC recognition</t>
  </si>
  <si>
    <t>Is tax group subject to a cap or limit (established in tax regulations) on the total value of DTA/DTC that it can recognise?
Opções:
‣ Yes (1)
‣ No (2)</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</si>
  <si>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</si>
  <si>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</si>
  <si>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</si>
  <si>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</si>
  <si>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</si>
  <si>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</si>
  <si>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</si>
  <si>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</si>
  <si>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</si>
  <si>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</si>
  <si>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</si>
  <si>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</si>
  <si>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</si>
  <si>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</si>
  <si>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</si>
  <si>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</si>
  <si>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</si>
  <si>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</si>
  <si>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</si>
  <si>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</si>
  <si>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</si>
  <si>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</si>
  <si>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</si>
  <si>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1 year.</t>
  </si>
  <si>
    <t>V_110</t>
  </si>
  <si>
    <t>DTA/DTC expiring within one to two years</t>
  </si>
  <si>
    <t>Value of recognised DTA/DTC with an expiry date of more than 1 but less than 2 years.</t>
  </si>
  <si>
    <t>V_111</t>
  </si>
  <si>
    <t>DTA/DTC expiring within two to three years</t>
  </si>
  <si>
    <t>Value of recognised DTA/DTC with an expiry date of more than 2 but less than 3 years.</t>
  </si>
  <si>
    <t>V_112</t>
  </si>
  <si>
    <t>DTA/DTC expiring within three to four years</t>
  </si>
  <si>
    <t>Value of recognised DTA/DTC with an expiry date of more than 3 but less than 4 years.</t>
  </si>
  <si>
    <t>V_113</t>
  </si>
  <si>
    <t>DTA/DTC expiring within four to five years</t>
  </si>
  <si>
    <t>Value of recognised DTA/DTC with an expiry date of more than 4 but less than 5 years.</t>
  </si>
  <si>
    <t>V_114</t>
  </si>
  <si>
    <t>DTA/DTC expiring in more than five years</t>
  </si>
  <si>
    <t>Value of recognised DTA/DTC with an expiry date of more than 5 years.</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</si>
  <si>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</si>
  <si>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</si>
  <si>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V_115</t>
  </si>
  <si>
    <t>Asset identifier ID</t>
  </si>
  <si>
    <t>Unique identifier for the asset.</t>
  </si>
  <si>
    <t>V_116</t>
  </si>
  <si>
    <t>Asset characteristics</t>
  </si>
  <si>
    <t>Intangible asset class</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</si>
  <si>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</si>
  <si>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V_117</t>
  </si>
  <si>
    <t>Acquisition/capitalisation date</t>
  </si>
  <si>
    <t>Date on which the asset was originally acquired/capitalised.</t>
  </si>
  <si>
    <t>V_118</t>
  </si>
  <si>
    <t>Initial fair value</t>
  </si>
  <si>
    <t>Fair value estimated on acquisition / capitalisation date.</t>
  </si>
  <si>
    <t>V_119</t>
  </si>
  <si>
    <t>Cumulative amortisation</t>
  </si>
  <si>
    <t>Cumulative amortisation since acquisition/capitalisation date, where the asset is amortised.</t>
  </si>
  <si>
    <t>V_120</t>
  </si>
  <si>
    <t>Impairment amount</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</si>
  <si>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</si>
  <si>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V_121</t>
  </si>
  <si>
    <t>Current carrying amount</t>
  </si>
  <si>
    <t>The carrying amount of the asset as of the cut-off date.</t>
  </si>
  <si>
    <t>V_122</t>
  </si>
  <si>
    <t>The currency in which the acquisition, costs, impairment and carrying amount are estimated.
Options:
ISO 4217 Currency Codes</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</si>
  <si>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</si>
  <si>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</si>
  <si>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</si>
  <si>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</si>
  <si>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</si>
  <si>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</si>
  <si>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</si>
  <si>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</si>
  <si>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</si>
  <si>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Valuation information</t>
  </si>
  <si>
    <t>V_127</t>
  </si>
  <si>
    <t>Internal/External Latest Valuation</t>
  </si>
  <si>
    <t>Indicate as to whether the latest valuation was performed internally or by an external appraiser.
Options:
(1) Internal
(2) External</t>
  </si>
  <si>
    <t>Valuation - Sheet</t>
  </si>
  <si>
    <t>Valuation - Campo</t>
  </si>
  <si>
    <t>campo_lt</t>
  </si>
  <si>
    <t>valor_origem</t>
  </si>
  <si>
    <t>valor_lt_proposto</t>
  </si>
  <si>
    <t>descritivo_lt</t>
  </si>
  <si>
    <t>INTRNL_SGMNT</t>
  </si>
  <si>
    <t>outras instituicoes financeiras</t>
  </si>
  <si>
    <t>Other financial corporations</t>
  </si>
  <si>
    <t>outras empresas nao financeiras</t>
  </si>
  <si>
    <t>Non-financial corporations</t>
  </si>
  <si>
    <t>particulares</t>
  </si>
  <si>
    <t>Households</t>
  </si>
  <si>
    <t>bancos centrais</t>
  </si>
  <si>
    <t>Central banks</t>
  </si>
  <si>
    <t>instituicoes de credito</t>
  </si>
  <si>
    <t>Credit institutions</t>
  </si>
  <si>
    <t>setor publico</t>
  </si>
  <si>
    <t>Central governments</t>
  </si>
  <si>
    <t>???????????????</t>
  </si>
  <si>
    <t>TYP_PRTCTN</t>
  </si>
  <si>
    <t>Life insurance policies pledged</t>
  </si>
  <si>
    <t>Other physical collateral</t>
  </si>
  <si>
    <t>Other physical collaterals</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</si>
  <si>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</si>
  <si>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</si>
  <si>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</si>
  <si>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</si>
  <si>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</si>
  <si>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</si>
  <si>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</si>
  <si>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</si>
  <si>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</si>
  <si>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</si>
  <si>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</si>
  <si>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 shares or units</t>
  </si>
  <si>
    <t>Equity and investment funds shares</t>
  </si>
  <si>
    <t>Automotive</t>
  </si>
  <si>
    <t>Aircraft</t>
  </si>
  <si>
    <t>Shipping</t>
  </si>
  <si>
    <t>TYP_INSTRMNT</t>
  </si>
  <si>
    <t>Overdraft</t>
  </si>
  <si>
    <t>Overdrafts</t>
  </si>
  <si>
    <t>Credit card debt</t>
  </si>
  <si>
    <t>Other</t>
  </si>
  <si>
    <t>Financial lease</t>
  </si>
  <si>
    <t>Financial leases</t>
  </si>
  <si>
    <t>Deposits other than reverse repurchase agreements</t>
  </si>
  <si>
    <t>Revolving credit other than overdrafts and credit card debt</t>
  </si>
  <si>
    <t>Credit lines other than revolving credit</t>
  </si>
  <si>
    <t>Reverse repurchase agreements</t>
  </si>
  <si>
    <t>Loan</t>
  </si>
  <si>
    <t>Loans other than overdrafts, convenience credit, extended credit, credit card credit, revolving credit other than credit card credit, reverse repurchase agreements, trade receivables and financial leases</t>
  </si>
  <si>
    <t>TYP_AMRTSTN</t>
  </si>
  <si>
    <t>French</t>
  </si>
  <si>
    <t>Fixed amortisation schedule</t>
  </si>
  <si>
    <t>Amortisation types other than French, German, Fixed amortisation schedule or bullet</t>
  </si>
  <si>
    <t>A</t>
  </si>
  <si>
    <t>Bullet</t>
  </si>
  <si>
    <t>NULL</t>
  </si>
  <si>
    <t>German</t>
  </si>
  <si>
    <t>P</t>
  </si>
  <si>
    <t>INTRST_RT_RST_FRQNCY</t>
  </si>
  <si>
    <t>Other frequency</t>
  </si>
  <si>
    <t>Other than overnight, monthly, quarterly, half yearly, annually or at creditor discretion</t>
  </si>
  <si>
    <t>Monthly/quarterly/semiannual/annual</t>
  </si>
  <si>
    <t>Monthly</t>
  </si>
  <si>
    <t>Quarterly</t>
  </si>
  <si>
    <t>Semi-annually</t>
  </si>
  <si>
    <t>Annual</t>
  </si>
  <si>
    <t>D01</t>
  </si>
  <si>
    <t>At creditor discretion</t>
  </si>
  <si>
    <t>Overnight</t>
  </si>
  <si>
    <t>TYP_INTRST_RT</t>
  </si>
  <si>
    <t>Fixed</t>
  </si>
  <si>
    <t>Variable</t>
  </si>
  <si>
    <t>Mixed</t>
  </si>
  <si>
    <t>PYMNT_FRQNCY</t>
  </si>
  <si>
    <t>Other than monthly, quarterly, half yearly, annually, bullet or zero coupon</t>
  </si>
  <si>
    <t>Zero-coupon</t>
  </si>
  <si>
    <t>DFLT_STTS_INSTRMNT</t>
  </si>
  <si>
    <t>Not in default</t>
  </si>
  <si>
    <t>Default because both unlikely to pay and more than 90/180 days past due</t>
  </si>
  <si>
    <t>Default because unlikely to pay (not more than 90/180 days past due)</t>
  </si>
  <si>
    <t>Default because unlikely to pay</t>
  </si>
  <si>
    <t>Default because more than 90/180 days past due</t>
  </si>
  <si>
    <t>ACCNTNG_CLSSFCTN</t>
  </si>
  <si>
    <t>Financial assets held for trading (IFRS)</t>
  </si>
  <si>
    <t>IFRS: Financial assets held for trading</t>
  </si>
  <si>
    <t>Trading Financial assets (GAAP)</t>
  </si>
  <si>
    <t>nGAAP: Trading Financial assets</t>
  </si>
  <si>
    <t>Financial assets designated at fair value through profit or loss (IFRS)</t>
  </si>
  <si>
    <t>IFRS: Financial assets designated at fair value through profit or loss</t>
  </si>
  <si>
    <t>Available-for-sale financial assets (GAAP)</t>
  </si>
  <si>
    <t>nGAAP: Available-for-sale financial assets</t>
  </si>
  <si>
    <t>Financial assets at amortised cost (IFRS)</t>
  </si>
  <si>
    <t>IFRS: Financial assets at amortised cost</t>
  </si>
  <si>
    <t>Non-trading non-derivative financial assets measured at fair value through profit or loss (GAAP)</t>
  </si>
  <si>
    <t>nGAAP: Non-trading non-derivative financial assets measured at fair value through profit or loss</t>
  </si>
  <si>
    <t>Financial assets at fair value through other comprehensive income (IFRS)</t>
  </si>
  <si>
    <t>IFRS: Financial assets at fair value through other comprehensive income</t>
  </si>
  <si>
    <t>Non-trading non-derivative financial assets measured at fair value to equity (GAAP)</t>
  </si>
  <si>
    <t>nGAAP: Non-trading non-derivative financial assets measured at fair value to equity</t>
  </si>
  <si>
    <t>Loans and receivables (GAAP)</t>
  </si>
  <si>
    <t>nGAAP: Loans and receivables</t>
  </si>
  <si>
    <t>Held-to-maturity investments (GAAP)</t>
  </si>
  <si>
    <t>nGAAP: Held-to-maturity investments</t>
  </si>
  <si>
    <t>nGAAP: Non-trading non-derivative financial instruments measured at a cost-based method</t>
  </si>
  <si>
    <t>Cash balances at central banks and other demand deposits (IFRS)</t>
  </si>
  <si>
    <t>IFRS: Cash balances at central banks and other demand deposits</t>
  </si>
  <si>
    <t>Other non-trading nonderivative financial assets (GAAP)</t>
  </si>
  <si>
    <t>nGAAP: Other Non-trading Non-derivative Financial assets</t>
  </si>
  <si>
    <t>Non-trading financial assets mandatorily at fair value through profit or loss (IFRS)</t>
  </si>
  <si>
    <t>IFRS: Non-trading financial assets mandatorily at fair value through profit or loss</t>
  </si>
  <si>
    <t>Cash balances at central banks and other demand deposits (GAAP)</t>
  </si>
  <si>
    <t>nGAAP: Cash balances at central banks and other demand deposits</t>
  </si>
  <si>
    <t>Financial assets held for trading (GAAP)</t>
  </si>
  <si>
    <t>nGAAP: Financial assets held for trading</t>
  </si>
  <si>
    <t>Financial assets designated at fair value through profit or loss (GAAP)</t>
  </si>
  <si>
    <t>nGAAP: Financial assets designated at fair value through profit or loss</t>
  </si>
  <si>
    <t>nGAAP: Non-trading financial assets mandatorily at fair value through profit or loss</t>
  </si>
  <si>
    <t>Non-trading debt instruments measured at a cost-based method (GAAP)</t>
  </si>
  <si>
    <t>Not Applicable</t>
  </si>
  <si>
    <t>IMPRMNT_STTS</t>
  </si>
  <si>
    <t>General allowances (GAAP)</t>
  </si>
  <si>
    <t>Stage 1 (IFRS)</t>
  </si>
  <si>
    <t>Stage 2 (IFRS)</t>
  </si>
  <si>
    <t>Stage 3 (IFRS)</t>
  </si>
  <si>
    <t>Specific allowances (GAAP)</t>
  </si>
  <si>
    <t>IMPRMNT_ASSSSMNT_MTHD</t>
  </si>
  <si>
    <t>Collectively assessed</t>
  </si>
  <si>
    <t>Individually assessed</t>
  </si>
  <si>
    <t>SRCS_ENCMBRNC</t>
  </si>
  <si>
    <t>EMISSAO RETIDA NÃO UTILIZADA NEM PRESA EM POOLS</t>
  </si>
  <si>
    <t>No encumbrance</t>
  </si>
  <si>
    <t>Unencumbered/No encumbrance - Instrument which has not been pledged or it is not subject to any form of arrangement to secure, collateralise or credit enhance any instrument from which it cannot be freely withdrawn</t>
  </si>
  <si>
    <t>EUROSISTEMA</t>
  </si>
  <si>
    <t>Central bank funding</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</si>
  <si>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</si>
  <si>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IM DERIVADOS</t>
  </si>
  <si>
    <t>Over-the-counter derivatives</t>
  </si>
  <si>
    <t>Over-the-counter derivatives - Over-the-counter derivatives in accordance with the EBA’s implementing technical standards on asset encumbrance reporting as referred to in Article 99(5) and Article 100 of Regulation (EU) No 575/2013.</t>
  </si>
  <si>
    <t>REVERSE REPOS</t>
  </si>
  <si>
    <t>Deposits – repurchase agreements other than to central banks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</si>
  <si>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</si>
  <si>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REPOS</t>
  </si>
  <si>
    <t>BEI</t>
  </si>
  <si>
    <t>Other sources of encumbrance</t>
  </si>
  <si>
    <t>Other sources of encumbrance - Other sources of encumbrance in accordance with the EBA’s implementing technical standards on asset encumbrance reporting as referred to in Article 99(5) and Article 100 of Regulation (EU) No 575/2013.</t>
  </si>
  <si>
    <t>SII</t>
  </si>
  <si>
    <t>FGD</t>
  </si>
  <si>
    <t>Exchange traded derivatives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</si>
  <si>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</si>
  <si>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</si>
  <si>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t>
  </si>
  <si>
    <t>Covered bonds securities issued in accordance with the EBA’s implementing technical standards on asset encumbrance reporting as referred to in Article 99(5) and Article 100 of Regulation (EU) No 575/2013.</t>
  </si>
  <si>
    <t>Debt securities issued – assetbacked securities</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</si>
  <si>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</si>
  <si>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</si>
  <si>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</si>
  <si>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POOL OBRIGACOES HIPOTECARIAS</t>
  </si>
  <si>
    <t>POOL TITULARIZACOES</t>
  </si>
  <si>
    <t>PRFRMNG_STTS</t>
  </si>
  <si>
    <t>Performing</t>
  </si>
  <si>
    <t>Non-performing</t>
  </si>
  <si>
    <t>FRBRNC_STTS_INSTRMNT</t>
  </si>
  <si>
    <t>Forborne: totally or partially refinanced debt</t>
  </si>
  <si>
    <t>Forborne: Refinanced debt</t>
  </si>
  <si>
    <t>Forborne: instruments with modified interest rate below market conditions</t>
  </si>
  <si>
    <t>Forborne: instruments with other modified terms and conditions</t>
  </si>
  <si>
    <t>Not forborne or renegotiated</t>
  </si>
  <si>
    <t>Renegotiated instrument without forbearance measures</t>
  </si>
  <si>
    <t>PRDNTL_PRTFL</t>
  </si>
  <si>
    <t>Trading book</t>
  </si>
  <si>
    <t>DFLT_STTS</t>
  </si>
  <si>
    <t>TYP_PRTCTN_VL</t>
  </si>
  <si>
    <t>Fair value</t>
  </si>
  <si>
    <t>Market value</t>
  </si>
  <si>
    <t>Notional amount</t>
  </si>
  <si>
    <t>Long-term sustainable value</t>
  </si>
  <si>
    <t>Other protection value</t>
  </si>
  <si>
    <t>PRTCTN_VLTN_APPRCH</t>
  </si>
  <si>
    <t>Counterparty estimation</t>
  </si>
  <si>
    <t>Creditor valuation</t>
  </si>
  <si>
    <t>Mark-to-market</t>
  </si>
  <si>
    <t>Other type of valuation</t>
  </si>
  <si>
    <t>Third party valuation</t>
  </si>
  <si>
    <t>Third-party valuation</t>
  </si>
  <si>
    <t>ECNMC_ACTVTY</t>
  </si>
  <si>
    <t>Crop and animal production, hunting and related service activities</t>
  </si>
  <si>
    <t>1.1</t>
  </si>
  <si>
    <t>Growing of non-perennial crops</t>
  </si>
  <si>
    <t>1.11</t>
  </si>
  <si>
    <t>Growing of cereals (except rice), leguminous crops and oil seeds</t>
  </si>
  <si>
    <t>1.12</t>
  </si>
  <si>
    <t>Growing of rice</t>
  </si>
  <si>
    <t>1.13</t>
  </si>
  <si>
    <t>Growing of vegetables and melons, roots and tubers</t>
  </si>
  <si>
    <t>1.14</t>
  </si>
  <si>
    <t>Growing of sugar cane</t>
  </si>
  <si>
    <t>1.15</t>
  </si>
  <si>
    <t>Growing of tobacco</t>
  </si>
  <si>
    <t>1.16</t>
  </si>
  <si>
    <t>Growing of fibre crops</t>
  </si>
  <si>
    <t>1.19</t>
  </si>
  <si>
    <t>Growing of other non-perennial crops</t>
  </si>
  <si>
    <t>1.2</t>
  </si>
  <si>
    <t>Growing of perennial crops</t>
  </si>
  <si>
    <t>1.21</t>
  </si>
  <si>
    <t>Growing of grapes</t>
  </si>
  <si>
    <t>1.22</t>
  </si>
  <si>
    <t>Growing of tropical and subtropical fruits</t>
  </si>
  <si>
    <t>1.23</t>
  </si>
  <si>
    <t>Growing of citrus fruits</t>
  </si>
  <si>
    <t>1.24</t>
  </si>
  <si>
    <t>Growing of pome fruits and stone fruits</t>
  </si>
  <si>
    <t>1.25</t>
  </si>
  <si>
    <t>Growing of other tree and bush fruits and nuts</t>
  </si>
  <si>
    <t>1.26</t>
  </si>
  <si>
    <t>Growing of oleaginous fruits</t>
  </si>
  <si>
    <t>1.27</t>
  </si>
  <si>
    <t>Growing of beverage crops</t>
  </si>
  <si>
    <t>1.28</t>
  </si>
  <si>
    <t>Growing of spices, aromatic, drug and pharmaceutical crops</t>
  </si>
  <si>
    <t>1.29</t>
  </si>
  <si>
    <t>Growing of other perennial crops</t>
  </si>
  <si>
    <t>1.3</t>
  </si>
  <si>
    <t>Plant propagation</t>
  </si>
  <si>
    <t>1.4</t>
  </si>
  <si>
    <t>Animal production</t>
  </si>
  <si>
    <t>1.41</t>
  </si>
  <si>
    <t>Raising of dairy cattle</t>
  </si>
  <si>
    <t>1.42</t>
  </si>
  <si>
    <t>Raising of other cattle and buffaloes</t>
  </si>
  <si>
    <t>1.43</t>
  </si>
  <si>
    <t>Raising of horses and other equines</t>
  </si>
  <si>
    <t>1.44</t>
  </si>
  <si>
    <t>Raising of camels and camelids</t>
  </si>
  <si>
    <t>1.45</t>
  </si>
  <si>
    <t>Raising of sheep and goats</t>
  </si>
  <si>
    <t>1.46</t>
  </si>
  <si>
    <t>Raising of swine/pigs</t>
  </si>
  <si>
    <t>1.47</t>
  </si>
  <si>
    <t>Raising of poultry</t>
  </si>
  <si>
    <t>1.49</t>
  </si>
  <si>
    <t>Raising of other animals</t>
  </si>
  <si>
    <t>1.5</t>
  </si>
  <si>
    <t>Mixed farming</t>
  </si>
  <si>
    <t>1.6</t>
  </si>
  <si>
    <t>Support activities to agriculture and post-harvest crop activities</t>
  </si>
  <si>
    <t>1.61</t>
  </si>
  <si>
    <t>Support activities for crop production</t>
  </si>
  <si>
    <t>1.62</t>
  </si>
  <si>
    <t>Support activities for animal production</t>
  </si>
  <si>
    <t>1.63</t>
  </si>
  <si>
    <t>Post-harvest crop activities</t>
  </si>
  <si>
    <t>1.64</t>
  </si>
  <si>
    <t>Seed processing for propagation</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</si>
  <si>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</si>
  <si>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</si>
  <si>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</si>
  <si>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</si>
  <si>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</si>
  <si>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</si>
  <si>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</si>
  <si>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</si>
  <si>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</si>
  <si>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</si>
  <si>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</si>
  <si>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</si>
  <si>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</si>
  <si>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</si>
  <si>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3.11</t>
  </si>
  <si>
    <t>Marine fishing</t>
  </si>
  <si>
    <t>3.12</t>
  </si>
  <si>
    <t>Freshwater fishing</t>
  </si>
  <si>
    <t>3.2</t>
  </si>
  <si>
    <t>Aquaculture</t>
  </si>
  <si>
    <t>3.21</t>
  </si>
  <si>
    <t>Marine aquaculture</t>
  </si>
  <si>
    <t>3.22</t>
  </si>
  <si>
    <t>Freshwater aquaculture</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</si>
  <si>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</si>
  <si>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</si>
  <si>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</si>
  <si>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</si>
  <si>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</si>
  <si>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</si>
  <si>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</si>
  <si>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</si>
  <si>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</si>
  <si>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</si>
  <si>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</si>
  <si>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</si>
  <si>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</si>
  <si>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</si>
  <si>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</si>
  <si>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7.21</t>
  </si>
  <si>
    <t>Mining of uranium and thorium ores</t>
  </si>
  <si>
    <t>7.29</t>
  </si>
  <si>
    <t>Mining of other non-ferrous metal ores</t>
  </si>
  <si>
    <t>Other mining and quarrying</t>
  </si>
  <si>
    <t>8.1</t>
  </si>
  <si>
    <t>Quarrying of stone, sand and clay</t>
  </si>
  <si>
    <t>8.11</t>
  </si>
  <si>
    <t>Quarrying of ornamental and building stone, limestone, gypsum, chalk and slate</t>
  </si>
  <si>
    <t>8.12</t>
  </si>
  <si>
    <t>Operation of gravel and sand pits; mining of clays and kaolin</t>
  </si>
  <si>
    <t>8.9</t>
  </si>
  <si>
    <t>Mining and quarrying n.e.c.</t>
  </si>
  <si>
    <t>8.91</t>
  </si>
  <si>
    <t>Mining of chemical and fertiliser minerals</t>
  </si>
  <si>
    <t>8.92</t>
  </si>
  <si>
    <t>Extraction of peat</t>
  </si>
  <si>
    <t>8.93</t>
  </si>
  <si>
    <t>Extraction of salt</t>
  </si>
  <si>
    <t>8.99</t>
  </si>
  <si>
    <t>Other mining and quarrying n.e.c.</t>
  </si>
  <si>
    <t>Mining support service activities</t>
  </si>
  <si>
    <t>9.1</t>
  </si>
  <si>
    <t>Support activities for petroleum and natural gas extraction</t>
  </si>
  <si>
    <t>9.9</t>
  </si>
  <si>
    <t>Support activities for other mining and quarrying</t>
  </si>
  <si>
    <t>Manufacture of food products</t>
  </si>
  <si>
    <t>10.1</t>
  </si>
  <si>
    <t>Processing and preserving of meat and production of meat products</t>
  </si>
  <si>
    <t>10.11</t>
  </si>
  <si>
    <t>Processing and preserving of meat</t>
  </si>
  <si>
    <t>10.12</t>
  </si>
  <si>
    <t>Processing and preserving of poultry meat</t>
  </si>
  <si>
    <t>10.13</t>
  </si>
  <si>
    <t>Production of meat and poultry meat products</t>
  </si>
  <si>
    <t>10.2</t>
  </si>
  <si>
    <t>Processing and preserving of fish, crustaceans and molluscs</t>
  </si>
  <si>
    <t>10.3</t>
  </si>
  <si>
    <t>Processing and preserving of fruit and vegetables</t>
  </si>
  <si>
    <t>10.31</t>
  </si>
  <si>
    <t>Processing and preserving of potatoes</t>
  </si>
  <si>
    <t>10.32</t>
  </si>
  <si>
    <t>Manufacture of fruit and vegetable juice</t>
  </si>
  <si>
    <t>10.39</t>
  </si>
  <si>
    <t>Other processing and preserving of fruit and vegetables</t>
  </si>
  <si>
    <t>10.4</t>
  </si>
  <si>
    <t>Manufacture of vegetable and animal oils and fats</t>
  </si>
  <si>
    <t>10.41</t>
  </si>
  <si>
    <t>Manufacture of oils and fats</t>
  </si>
  <si>
    <t>10.42</t>
  </si>
  <si>
    <t>Manufacture of margarine and similar edible fats</t>
  </si>
  <si>
    <t>10.5</t>
  </si>
  <si>
    <t>Manufacture of dairy products</t>
  </si>
  <si>
    <t>10.51</t>
  </si>
  <si>
    <t>Operation of dairies and cheese making</t>
  </si>
  <si>
    <t>10.52</t>
  </si>
  <si>
    <t>Manufacture of ice cream</t>
  </si>
  <si>
    <t>10.6</t>
  </si>
  <si>
    <t>Manufacture of grain mill products, starches and starch products</t>
  </si>
  <si>
    <t>10.61</t>
  </si>
  <si>
    <t>Manufacture of grain mill products</t>
  </si>
  <si>
    <t>10.62</t>
  </si>
  <si>
    <t>Manufacture of starches and starch products</t>
  </si>
  <si>
    <t>10.7</t>
  </si>
  <si>
    <t>Manufacture of bakery and farinaceous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</si>
  <si>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</si>
  <si>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</si>
  <si>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</si>
  <si>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</si>
  <si>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</si>
  <si>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</si>
  <si>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t>
  </si>
  <si>
    <t>Manufacture of other food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</si>
  <si>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</si>
  <si>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</si>
  <si>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</si>
  <si>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</si>
  <si>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</si>
  <si>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</si>
  <si>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</si>
  <si>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</si>
  <si>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</si>
  <si>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</si>
  <si>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</si>
  <si>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</si>
  <si>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</si>
  <si>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</si>
  <si>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t>
  </si>
  <si>
    <t>Manufacture of prepared animal feeds</t>
  </si>
  <si>
    <t>10.91</t>
  </si>
  <si>
    <t>Manufacture of prepared feeds for farm animals</t>
  </si>
  <si>
    <t>10.92</t>
  </si>
  <si>
    <t>Manufacture of prepared pet foods</t>
  </si>
  <si>
    <t>Manufacture of beverages</t>
  </si>
  <si>
    <t>11.01</t>
  </si>
  <si>
    <t>Distilling, rectifying and blending of spirits</t>
  </si>
  <si>
    <t>11.02</t>
  </si>
  <si>
    <t>Manufacture of wine from grape</t>
  </si>
  <si>
    <t>11.03</t>
  </si>
  <si>
    <t>Manufacture of cider and other fruit wines</t>
  </si>
  <si>
    <t>11.04</t>
  </si>
  <si>
    <t>Manufacture of other non-distilled fermented beverages</t>
  </si>
  <si>
    <t>11.05</t>
  </si>
  <si>
    <t>Manufacture of beer</t>
  </si>
  <si>
    <t>11.06</t>
  </si>
  <si>
    <t>Manufacture of malt</t>
  </si>
  <si>
    <t>11.07</t>
  </si>
  <si>
    <t>Manufacture of soft drinks; production of mineral waters and other bottled waters</t>
  </si>
  <si>
    <t>Manufacture of tobacco products</t>
  </si>
  <si>
    <t>Manufacture of textiles</t>
  </si>
  <si>
    <t>13.1</t>
  </si>
  <si>
    <t>Preparation and spinning of textile fibres</t>
  </si>
  <si>
    <t>13.2</t>
  </si>
  <si>
    <t>Weaving of textiles</t>
  </si>
  <si>
    <t>13.3</t>
  </si>
  <si>
    <t>Finishing of textiles</t>
  </si>
  <si>
    <t>13.9</t>
  </si>
  <si>
    <t>Manufacture of other textiles</t>
  </si>
  <si>
    <t>13.91</t>
  </si>
  <si>
    <t>Manufacture of knitted and crocheted fabrics</t>
  </si>
  <si>
    <t>13.92</t>
  </si>
  <si>
    <t>Manufacture of made-up textile articles, except apparel</t>
  </si>
  <si>
    <t>13.93</t>
  </si>
  <si>
    <t>Manufacture of carpets and rugs</t>
  </si>
  <si>
    <t>13.94</t>
  </si>
  <si>
    <t>Manufacture of cordage, rope, twine and netting</t>
  </si>
  <si>
    <t>13.95</t>
  </si>
  <si>
    <t>Manufacture of non-wovens and articles made from non-wovens, except apparel</t>
  </si>
  <si>
    <t>13.96</t>
  </si>
  <si>
    <t>Manufacture of other technical and industrial textiles</t>
  </si>
  <si>
    <t>13.99</t>
  </si>
  <si>
    <t>Manufacture of other textiles n.e.c.</t>
  </si>
  <si>
    <t>Manufacture of wearing apparel</t>
  </si>
  <si>
    <t>14.1</t>
  </si>
  <si>
    <t>Manufacture of wearing apparel, except fur apparel</t>
  </si>
  <si>
    <t>14.11</t>
  </si>
  <si>
    <t>Manufacture of leather clothes</t>
  </si>
  <si>
    <t>14.12</t>
  </si>
  <si>
    <t>Manufacture of workwear</t>
  </si>
  <si>
    <t>14.13</t>
  </si>
  <si>
    <t>Manufacture of other outerwear</t>
  </si>
  <si>
    <t>14.14</t>
  </si>
  <si>
    <t>Manufacture of underwear</t>
  </si>
  <si>
    <t>14.19</t>
  </si>
  <si>
    <t>Manufacture of other wearing apparel and accessories</t>
  </si>
  <si>
    <t>14.2</t>
  </si>
  <si>
    <t>Manufacture of articles of fur</t>
  </si>
  <si>
    <t>14.3</t>
  </si>
  <si>
    <t>Manufacture of knitted and crocheted apparel</t>
  </si>
  <si>
    <t>14.31</t>
  </si>
  <si>
    <t>Manufacture of knitted and crocheted hosiery</t>
  </si>
  <si>
    <t>14.39</t>
  </si>
  <si>
    <t>Manufacture of other knitted and crocheted apparel</t>
  </si>
  <si>
    <t>Manufacture of leather and related products</t>
  </si>
  <si>
    <t>15.1</t>
  </si>
  <si>
    <t>Tanning and dressing of leather; manufacture of luggage, handbags, saddlery and harness; dressing and dyeing of fur</t>
  </si>
  <si>
    <t>15.11</t>
  </si>
  <si>
    <t>Tanning and dressing of leather; dressing and dyeing of fur</t>
  </si>
  <si>
    <t>15.12</t>
  </si>
  <si>
    <t>Manufacture of luggage, handbags and the like, saddlery and harness</t>
  </si>
  <si>
    <t>15.2</t>
  </si>
  <si>
    <t>Manufacture of footwear</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</si>
  <si>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</si>
  <si>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</si>
  <si>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</si>
  <si>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</si>
  <si>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</si>
  <si>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16.21</t>
  </si>
  <si>
    <t>Manufacture of veneer sheets and wood-based panels</t>
  </si>
  <si>
    <t>16.22</t>
  </si>
  <si>
    <t>Manufacture of assembled parquet floors</t>
  </si>
  <si>
    <t>16.23</t>
  </si>
  <si>
    <t>Manufacture of other builders' carpentry and joinery</t>
  </si>
  <si>
    <t>16.24</t>
  </si>
  <si>
    <t>Manufacture of wooden containers</t>
  </si>
  <si>
    <t>16.29</t>
  </si>
  <si>
    <t>Manufacture of other products of wood; manufacture of articles of cork, straw and plaiting materials</t>
  </si>
  <si>
    <t>Manufacture of paper and paper products</t>
  </si>
  <si>
    <t>17.1</t>
  </si>
  <si>
    <t>Manufacture of pulp, paper and paperboard</t>
  </si>
  <si>
    <t>17.11</t>
  </si>
  <si>
    <t>Manufacture of pulp</t>
  </si>
  <si>
    <t>17.12</t>
  </si>
  <si>
    <t>Manufacture of paper and paperboard</t>
  </si>
  <si>
    <t>17.2</t>
  </si>
  <si>
    <t>Manufacture of articles of paper and paperboard</t>
  </si>
  <si>
    <t>17.21</t>
  </si>
  <si>
    <t>Manufacture of corrugated paper and paperboard and of containers of paper and paperboard</t>
  </si>
  <si>
    <t>17.22</t>
  </si>
  <si>
    <t>Manufacture of household and sanitary goods and of toilet requisites</t>
  </si>
  <si>
    <t>17.23</t>
  </si>
  <si>
    <t>Manufacture of paper stationery</t>
  </si>
  <si>
    <t>17.24</t>
  </si>
  <si>
    <t>Manufacture of wallpaper</t>
  </si>
  <si>
    <t>17.29</t>
  </si>
  <si>
    <t>Manufacture of other articles of paper and paperboard</t>
  </si>
  <si>
    <t>Printing and reproduction of recorded media</t>
  </si>
  <si>
    <t>18.1</t>
  </si>
  <si>
    <t>Printing and service activities related to printing</t>
  </si>
  <si>
    <t>18.11</t>
  </si>
  <si>
    <t>Printing of newspapers</t>
  </si>
  <si>
    <t>18.12</t>
  </si>
  <si>
    <t>Other printing</t>
  </si>
  <si>
    <t>18.13</t>
  </si>
  <si>
    <t>Pre-press and pre-media services</t>
  </si>
  <si>
    <t>18.14</t>
  </si>
  <si>
    <t>Binding and related services</t>
  </si>
  <si>
    <t>18.2</t>
  </si>
  <si>
    <t>Reproduction of recorded media</t>
  </si>
  <si>
    <t>Manufacture of coke and refined petroleum products</t>
  </si>
  <si>
    <t>19.1</t>
  </si>
  <si>
    <t>Manufacture of coke oven products</t>
  </si>
  <si>
    <t>19.2</t>
  </si>
  <si>
    <t>Manufacture of refined petroleum products</t>
  </si>
  <si>
    <t>Manufacture of chemicals and chemical products</t>
  </si>
  <si>
    <t>20.1</t>
  </si>
  <si>
    <t>Manufacture of basic chemicals, fertilisers and nitrogen compounds, plastics and synthetic rubber in primary forms</t>
  </si>
  <si>
    <t>20.11</t>
  </si>
  <si>
    <t>Manufacture of industrial gases</t>
  </si>
  <si>
    <t>20.12</t>
  </si>
  <si>
    <t>Manufacture of dyes and pigments</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</si>
  <si>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</si>
  <si>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</si>
  <si>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</si>
  <si>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</si>
  <si>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</si>
  <si>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</si>
  <si>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</si>
  <si>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</si>
  <si>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</si>
  <si>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</si>
  <si>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</si>
  <si>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</si>
  <si>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</si>
  <si>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</si>
  <si>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</si>
  <si>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</si>
  <si>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20.41</t>
  </si>
  <si>
    <t>Manufacture of soap and detergents, cleaning and polishing preparations</t>
  </si>
  <si>
    <t>20.42</t>
  </si>
  <si>
    <t>Manufacture of perfumes and toilet preparations</t>
  </si>
  <si>
    <t>20.5</t>
  </si>
  <si>
    <t>Manufacture of other chemical products</t>
  </si>
  <si>
    <t>20.51</t>
  </si>
  <si>
    <t>Manufacture of explosives</t>
  </si>
  <si>
    <t>20.52</t>
  </si>
  <si>
    <t>Manufacture of glues</t>
  </si>
  <si>
    <t>20.53</t>
  </si>
  <si>
    <t>Manufacture of essential oils</t>
  </si>
  <si>
    <t>20.59</t>
  </si>
  <si>
    <t>Manufacture of other chemical products n.e.c.</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</si>
  <si>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</si>
  <si>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</si>
  <si>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</si>
  <si>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</si>
  <si>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</si>
  <si>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</si>
  <si>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</si>
  <si>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</si>
  <si>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</si>
  <si>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</si>
  <si>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22.11</t>
  </si>
  <si>
    <t>Manufacture of rubber tyres and tubes; retreading and rebuilding of rubber tyres</t>
  </si>
  <si>
    <t>22.19</t>
  </si>
  <si>
    <t>Manufacture of other rubber products</t>
  </si>
  <si>
    <t>22.2</t>
  </si>
  <si>
    <t>Manufacture of plastic products</t>
  </si>
  <si>
    <t>22.21</t>
  </si>
  <si>
    <t>Manufacture of plastic plates, sheets, tubes and profiles</t>
  </si>
  <si>
    <t>22.22</t>
  </si>
  <si>
    <t>Manufacture of plastic packing goods</t>
  </si>
  <si>
    <t>22.23</t>
  </si>
  <si>
    <t>Manufacture of builders' ware of plastic</t>
  </si>
  <si>
    <t>22.29</t>
  </si>
  <si>
    <t>Manufacture of other plastic products</t>
  </si>
  <si>
    <t>Manufacture of other non-metallic mineral products</t>
  </si>
  <si>
    <t>23.1</t>
  </si>
  <si>
    <t>Manufacture of glass and glass products</t>
  </si>
  <si>
    <t>23.11</t>
  </si>
  <si>
    <t>Manufacture of flat glass</t>
  </si>
  <si>
    <t>23.12</t>
  </si>
  <si>
    <t>Shaping and processing of flat glass</t>
  </si>
  <si>
    <t>23.13</t>
  </si>
  <si>
    <t>Manufacture of hollow glass</t>
  </si>
  <si>
    <t>23.14</t>
  </si>
  <si>
    <t>Manufacture of glass fibres</t>
  </si>
  <si>
    <t>23.19</t>
  </si>
  <si>
    <t>Manufacture and processing of other glass, including technical glassware</t>
  </si>
  <si>
    <t>23.2</t>
  </si>
  <si>
    <t>Manufacture of refractory products</t>
  </si>
  <si>
    <t>23.3</t>
  </si>
  <si>
    <t>Manufacture of clay building materials</t>
  </si>
  <si>
    <t>23.31</t>
  </si>
  <si>
    <t>Manufacture of ceramic tiles and flags</t>
  </si>
  <si>
    <t>23.32</t>
  </si>
  <si>
    <t>Manufacture of bricks, tiles and construction products, in baked clay</t>
  </si>
  <si>
    <t>23.4</t>
  </si>
  <si>
    <t>Manufacture of other porcelain and ceramic products</t>
  </si>
  <si>
    <t>23.41</t>
  </si>
  <si>
    <t>Manufacture of ceramic household and ornamental articles</t>
  </si>
  <si>
    <t>23.42</t>
  </si>
  <si>
    <t>Manufacture of ceramic sanitary fixtures</t>
  </si>
  <si>
    <t>23.43</t>
  </si>
  <si>
    <t>Manufacture of ceramic insulators and insulating fittings</t>
  </si>
  <si>
    <t>23.44</t>
  </si>
  <si>
    <t>Manufacture of other technical ceramic products</t>
  </si>
  <si>
    <t>23.49</t>
  </si>
  <si>
    <t>Manufacture of other ceramic products</t>
  </si>
  <si>
    <t>23.5</t>
  </si>
  <si>
    <t>Manufacture of cement, lime and plaster</t>
  </si>
  <si>
    <t>23.51</t>
  </si>
  <si>
    <t>Manufacture of cement</t>
  </si>
  <si>
    <t>23.52</t>
  </si>
  <si>
    <t>Manufacture of lime and plaster</t>
  </si>
  <si>
    <t>23.6</t>
  </si>
  <si>
    <t>Manufacture of articles of concrete, cement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</si>
  <si>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</si>
  <si>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</si>
  <si>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</si>
  <si>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</si>
  <si>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</si>
  <si>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</si>
  <si>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</si>
  <si>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</si>
  <si>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</si>
  <si>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</si>
  <si>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</si>
  <si>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</si>
  <si>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</si>
  <si>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Cutting, shaping and finishing of stone</t>
  </si>
  <si>
    <t>23.9</t>
  </si>
  <si>
    <t>Manufacture of abrasive products and non-metallic mineral products n.e.c.</t>
  </si>
  <si>
    <t>23.91</t>
  </si>
  <si>
    <t>Production of abrasive products</t>
  </si>
  <si>
    <t>23.99</t>
  </si>
  <si>
    <t>Manufacture of other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</si>
  <si>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</si>
  <si>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</si>
  <si>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</si>
  <si>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</si>
  <si>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</si>
  <si>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</si>
  <si>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</si>
  <si>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24.31</t>
  </si>
  <si>
    <t>Cold drawing of bars</t>
  </si>
  <si>
    <t>24.32</t>
  </si>
  <si>
    <t>Cold rolling of narrow strip</t>
  </si>
  <si>
    <t>24.33</t>
  </si>
  <si>
    <t>Cold forming or folding</t>
  </si>
  <si>
    <t>24.34</t>
  </si>
  <si>
    <t>Cold drawing of wire</t>
  </si>
  <si>
    <t>24.4</t>
  </si>
  <si>
    <t>Manufacture of basic precious and other non-ferrous metals</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</si>
  <si>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</si>
  <si>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</si>
  <si>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</si>
  <si>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</si>
  <si>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</si>
  <si>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</si>
  <si>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</si>
  <si>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</si>
  <si>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</si>
  <si>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</si>
  <si>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</si>
  <si>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</si>
  <si>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t>
  </si>
  <si>
    <t>Casting of metals</t>
  </si>
  <si>
    <t>24.51</t>
  </si>
  <si>
    <t>Casting of iron</t>
  </si>
  <si>
    <t>24.52</t>
  </si>
  <si>
    <t>Casting of steel</t>
  </si>
  <si>
    <t>24.53</t>
  </si>
  <si>
    <t>Casting of light metals</t>
  </si>
  <si>
    <t>24.54</t>
  </si>
  <si>
    <t>Casting of other non-ferrous metals</t>
  </si>
  <si>
    <t>Manufacture of fabricated metal products, except machinery and equipment</t>
  </si>
  <si>
    <t>25.1</t>
  </si>
  <si>
    <t>Manufacture of structural metal products</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</si>
  <si>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</si>
  <si>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</si>
  <si>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</si>
  <si>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</si>
  <si>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</si>
  <si>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</si>
  <si>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</si>
  <si>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</si>
  <si>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</si>
  <si>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</si>
  <si>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</si>
  <si>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</si>
  <si>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</si>
  <si>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</si>
  <si>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</si>
  <si>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</si>
  <si>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</si>
  <si>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</si>
  <si>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25.61</t>
  </si>
  <si>
    <t>Treatment and coating of metals</t>
  </si>
  <si>
    <t>25.62</t>
  </si>
  <si>
    <t>Machining</t>
  </si>
  <si>
    <t>25.7</t>
  </si>
  <si>
    <t>Manufacture of cutlery, tools and general hardware</t>
  </si>
  <si>
    <t>25.71</t>
  </si>
  <si>
    <t>Manufacture of cutlery</t>
  </si>
  <si>
    <t>25.72</t>
  </si>
  <si>
    <t>Manufacture of locks and hinges</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</si>
  <si>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</si>
  <si>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</si>
  <si>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</si>
  <si>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</si>
  <si>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</si>
  <si>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</si>
  <si>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</si>
  <si>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</si>
  <si>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</si>
  <si>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</si>
  <si>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</si>
  <si>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</si>
  <si>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Manufacture of other fabricated metal products n.e.c.</t>
  </si>
  <si>
    <t>25.99</t>
  </si>
  <si>
    <t>Manufacture of computer, electronic and optical products</t>
  </si>
  <si>
    <t>26.1</t>
  </si>
  <si>
    <t>Manufacture of electronic components and boards</t>
  </si>
  <si>
    <t>26.11</t>
  </si>
  <si>
    <t>Manufacture of electronic components</t>
  </si>
  <si>
    <t>26.12</t>
  </si>
  <si>
    <t>Manufacture of loaded electronic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</si>
  <si>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</si>
  <si>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</si>
  <si>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</si>
  <si>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</si>
  <si>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</si>
  <si>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</si>
  <si>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</si>
  <si>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</si>
  <si>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26.51</t>
  </si>
  <si>
    <t>Manufacture of instruments and appliances for measuring, testing and navigation</t>
  </si>
  <si>
    <t>26.52</t>
  </si>
  <si>
    <t>Manufacture of watches and clocks</t>
  </si>
  <si>
    <t>26.6</t>
  </si>
  <si>
    <t>Manufacture of irradiation, electromedical and electrotherapeutic equipment</t>
  </si>
  <si>
    <t>26.7</t>
  </si>
  <si>
    <t>Manufacture of optical instruments and photographic equipment</t>
  </si>
  <si>
    <t>26.8</t>
  </si>
  <si>
    <t>Manufacture of magnetic and optical media</t>
  </si>
  <si>
    <t>Manufacture of electrical equipment</t>
  </si>
  <si>
    <t>27.1</t>
  </si>
  <si>
    <t>Manufacture of electric motors, generators, transformers and electricity distribution and control apparatus</t>
  </si>
  <si>
    <t>27.11</t>
  </si>
  <si>
    <t>Manufacture of electric motors, generators and transformers</t>
  </si>
  <si>
    <t>27.12</t>
  </si>
  <si>
    <t>Manufacture of electricity distribution and control apparatus</t>
  </si>
  <si>
    <t>27.2</t>
  </si>
  <si>
    <t>Manufacture of batteries and accumulators</t>
  </si>
  <si>
    <t>27.3</t>
  </si>
  <si>
    <t>Manufacture of wiring and wiring devices</t>
  </si>
  <si>
    <t>27.31</t>
  </si>
  <si>
    <t>Manufacture of fibre optic cables</t>
  </si>
  <si>
    <t>27.32</t>
  </si>
  <si>
    <t>Manufacture of other electronic and electric wires and cables</t>
  </si>
  <si>
    <t>27.33</t>
  </si>
  <si>
    <t>Manufacture of wiring devices</t>
  </si>
  <si>
    <t>27.4</t>
  </si>
  <si>
    <t>Manufacture of electric lighting equipment</t>
  </si>
  <si>
    <t>27.5</t>
  </si>
  <si>
    <t>Manufacture of domestic appliances</t>
  </si>
  <si>
    <t>27.51</t>
  </si>
  <si>
    <t>Manufacture of electric domestic appliances</t>
  </si>
  <si>
    <t>27.52</t>
  </si>
  <si>
    <t>Manufacture of non-electric domestic appliances</t>
  </si>
  <si>
    <t>27.9</t>
  </si>
  <si>
    <t>Manufacture of other electrical equipment</t>
  </si>
  <si>
    <t>Manufacture of machinery and equipment n.e.c.</t>
  </si>
  <si>
    <t>28.1</t>
  </si>
  <si>
    <t>Manufacture of general-purpose machinery</t>
  </si>
  <si>
    <t>28.11</t>
  </si>
  <si>
    <t>Manufacture of engines and turbines, except aircraft, vehicle and cycle engines</t>
  </si>
  <si>
    <t>28.12</t>
  </si>
  <si>
    <t>Manufacture of fluid power equipment</t>
  </si>
  <si>
    <t>28.13</t>
  </si>
  <si>
    <t>Manufacture of other pumps and compressors</t>
  </si>
  <si>
    <t>28.14</t>
  </si>
  <si>
    <t>Manufacture of other taps and valves</t>
  </si>
  <si>
    <t>28.15</t>
  </si>
  <si>
    <t>Manufacture of bearings, gears, gearing and driving elements</t>
  </si>
  <si>
    <t>28.2</t>
  </si>
  <si>
    <t>Manufacture of other general-purpose machinery</t>
  </si>
  <si>
    <t>28.21</t>
  </si>
  <si>
    <t>Manufacture of ovens, furnaces and furnace burners</t>
  </si>
  <si>
    <t>28.22</t>
  </si>
  <si>
    <t>Manufacture of lifting and handling equipment</t>
  </si>
  <si>
    <t>28.23</t>
  </si>
  <si>
    <t>Manufacture of office machinery and equipment (except computers and peripheral equipment)</t>
  </si>
  <si>
    <t>28.24</t>
  </si>
  <si>
    <t>Manufacture of power-driven hand tools</t>
  </si>
  <si>
    <t>28.25</t>
  </si>
  <si>
    <t>Manufacture of non-domestic cooling and ventilation equipment</t>
  </si>
  <si>
    <t>28.29</t>
  </si>
  <si>
    <t>Manufacture of other general-purpose machinery n.e.c.</t>
  </si>
  <si>
    <t>28.3</t>
  </si>
  <si>
    <t>Manufacture of agricultural and forestry machinery</t>
  </si>
  <si>
    <t>28.4</t>
  </si>
  <si>
    <t>Manufacture of metal forming machinery and machine tools</t>
  </si>
  <si>
    <t>28.41</t>
  </si>
  <si>
    <t>Manufacture of metal forming machinery</t>
  </si>
  <si>
    <t>28.49</t>
  </si>
  <si>
    <t>Manufacture of other machine tools</t>
  </si>
  <si>
    <t>28.9</t>
  </si>
  <si>
    <t>Manufacture of other special-purpose machinery</t>
  </si>
  <si>
    <t>28.91</t>
  </si>
  <si>
    <t>Manufacture of machinery for metallurgy</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</si>
  <si>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</si>
  <si>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</si>
  <si>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</si>
  <si>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</si>
  <si>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</si>
  <si>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</si>
  <si>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</si>
  <si>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</si>
  <si>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</si>
  <si>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</si>
  <si>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</si>
  <si>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n.e.c.</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</si>
  <si>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</si>
  <si>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</si>
  <si>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</si>
  <si>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</si>
  <si>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</si>
  <si>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</si>
  <si>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</si>
  <si>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29.31</t>
  </si>
  <si>
    <t>Manufacture of electrical and electronic equipment for motor vehicles</t>
  </si>
  <si>
    <t>29.32</t>
  </si>
  <si>
    <t>Manufacture of other parts and accessories for motor vehicles</t>
  </si>
  <si>
    <t>Manufacture of other transport equipment</t>
  </si>
  <si>
    <t>30.1</t>
  </si>
  <si>
    <t>Building of ships and boats</t>
  </si>
  <si>
    <t>30.11</t>
  </si>
  <si>
    <t>Building of ships and floating structures</t>
  </si>
  <si>
    <t>30.12</t>
  </si>
  <si>
    <t>Building of pleasure and sporting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</si>
  <si>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</si>
  <si>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</si>
  <si>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</si>
  <si>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</si>
  <si>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</si>
  <si>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</si>
  <si>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</si>
  <si>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</si>
  <si>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30.91</t>
  </si>
  <si>
    <t>Manufacture of motorcycles</t>
  </si>
  <si>
    <t>30.92</t>
  </si>
  <si>
    <t>Manufacture of bicycles and invalid carriages</t>
  </si>
  <si>
    <t>30.99</t>
  </si>
  <si>
    <t>Manufacture of other transport equipment n.e.c.</t>
  </si>
  <si>
    <t>Manufacture of furniture</t>
  </si>
  <si>
    <t>31.01</t>
  </si>
  <si>
    <t>Manufacture of office and shop furniture</t>
  </si>
  <si>
    <t>31.02</t>
  </si>
  <si>
    <t>Manufacture of kitchen furniture</t>
  </si>
  <si>
    <t>31.03</t>
  </si>
  <si>
    <t>Manufacture of mattresses</t>
  </si>
  <si>
    <t>31.09</t>
  </si>
  <si>
    <t>Manufacture of other furniture</t>
  </si>
  <si>
    <t>Other manufacturing</t>
  </si>
  <si>
    <t>32.1</t>
  </si>
  <si>
    <t>Manufacture of jewellery, bijouterie and related articles</t>
  </si>
  <si>
    <t>32.11</t>
  </si>
  <si>
    <t>Striking of coins</t>
  </si>
  <si>
    <t>32.12</t>
  </si>
  <si>
    <t>Manufacture of jewellery and related articles</t>
  </si>
  <si>
    <t>32.13</t>
  </si>
  <si>
    <t>Manufacture of imitation jewellery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</si>
  <si>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</si>
  <si>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</si>
  <si>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</si>
  <si>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</si>
  <si>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</si>
  <si>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</si>
  <si>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</si>
  <si>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</si>
  <si>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</si>
  <si>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</si>
  <si>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32.91</t>
  </si>
  <si>
    <t>Manufacture of brooms and brushes</t>
  </si>
  <si>
    <t>32.99</t>
  </si>
  <si>
    <t>Other manufacturing n.e.c.</t>
  </si>
  <si>
    <t>Repair and installation of machinery and equipment</t>
  </si>
  <si>
    <t>33.1</t>
  </si>
  <si>
    <t>Repair of fabricated metal products, machinery and equipment</t>
  </si>
  <si>
    <t>33.11</t>
  </si>
  <si>
    <t>Repair of fabricated metal products</t>
  </si>
  <si>
    <t>33.12</t>
  </si>
  <si>
    <t>Repair of machinery</t>
  </si>
  <si>
    <t>33.13</t>
  </si>
  <si>
    <t>Repair of electronic and optical equipment</t>
  </si>
  <si>
    <t>33.14</t>
  </si>
  <si>
    <t>Repair of electrical equipment</t>
  </si>
  <si>
    <t>33.15</t>
  </si>
  <si>
    <t>Repair and maintenance of ships and boats</t>
  </si>
  <si>
    <t>33.16</t>
  </si>
  <si>
    <t>Repair and maintenance of aircraft and spacecraft</t>
  </si>
  <si>
    <t>33.17</t>
  </si>
  <si>
    <t>Repair and maintenance of other transport equipment</t>
  </si>
  <si>
    <t>33.19</t>
  </si>
  <si>
    <t>Repair of other equipment</t>
  </si>
  <si>
    <t>33.2</t>
  </si>
  <si>
    <t>Installation of industrial machinery and equipment</t>
  </si>
  <si>
    <t>Electricity, gas, steam and air conditioning supply</t>
  </si>
  <si>
    <t>35.1</t>
  </si>
  <si>
    <t>Electric power generation, transmission and distribution</t>
  </si>
  <si>
    <t>35.11</t>
  </si>
  <si>
    <t>Production of electricity</t>
  </si>
  <si>
    <t>35.12</t>
  </si>
  <si>
    <t>Transmission of electricity</t>
  </si>
  <si>
    <t>35.13</t>
  </si>
  <si>
    <t>Distribution of electricity</t>
  </si>
  <si>
    <t>35.14</t>
  </si>
  <si>
    <t>Trade of electricity</t>
  </si>
  <si>
    <t>35.2</t>
  </si>
  <si>
    <t>Manufacture of gas; distribution of gaseous fuels through mains</t>
  </si>
  <si>
    <t>35.21</t>
  </si>
  <si>
    <t>Manufacture of gas</t>
  </si>
  <si>
    <t>35.22</t>
  </si>
  <si>
    <t>Distribution of gaseous fuels through mains</t>
  </si>
  <si>
    <t>35.23</t>
  </si>
  <si>
    <t>Trade of gas through mains</t>
  </si>
  <si>
    <t>35.3</t>
  </si>
  <si>
    <t>Steam and air conditioning supply</t>
  </si>
  <si>
    <t>Water collection, treatment and supply</t>
  </si>
  <si>
    <t>Sewerage</t>
  </si>
  <si>
    <t>Waste collection, treatment and disposal activities; materials recovery</t>
  </si>
  <si>
    <t>38.1</t>
  </si>
  <si>
    <t>Waste collection</t>
  </si>
  <si>
    <t>38.11</t>
  </si>
  <si>
    <t>Collection of non-hazardous waste</t>
  </si>
  <si>
    <t>38.12</t>
  </si>
  <si>
    <t>Collection of hazardous waste</t>
  </si>
  <si>
    <t>38.2</t>
  </si>
  <si>
    <t>Waste treatment and disposal</t>
  </si>
  <si>
    <t>38.21</t>
  </si>
  <si>
    <t>Treatment and disposal of non-hazardous waste</t>
  </si>
  <si>
    <t>38.22</t>
  </si>
  <si>
    <t>Treatment and disposal of hazardous waste</t>
  </si>
  <si>
    <t>38.3</t>
  </si>
  <si>
    <t>Materials recovery</t>
  </si>
  <si>
    <t>38.31</t>
  </si>
  <si>
    <t>Dismantling of wrecks</t>
  </si>
  <si>
    <t>38.32</t>
  </si>
  <si>
    <t>Recovery of sorted materials</t>
  </si>
  <si>
    <t>Remediation activities and other waste management services</t>
  </si>
  <si>
    <t>Construction of buildings</t>
  </si>
  <si>
    <t>41.1</t>
  </si>
  <si>
    <t>Development of building projects</t>
  </si>
  <si>
    <t>41.2</t>
  </si>
  <si>
    <t>Construction of residential and non-residential buildings</t>
  </si>
  <si>
    <t>Civil engineering</t>
  </si>
  <si>
    <t>42.1</t>
  </si>
  <si>
    <t>Construction of roads and railways</t>
  </si>
  <si>
    <t>42.11</t>
  </si>
  <si>
    <t>Construction of roads and motorways</t>
  </si>
  <si>
    <t>42.12</t>
  </si>
  <si>
    <t>Construction of railways and underground railways</t>
  </si>
  <si>
    <t>42.13</t>
  </si>
  <si>
    <t>Construction of bridges and tunnels</t>
  </si>
  <si>
    <t>42.2</t>
  </si>
  <si>
    <t>Construction of utility projects</t>
  </si>
  <si>
    <t>42.21</t>
  </si>
  <si>
    <t>Construction of utility projects for fluids</t>
  </si>
  <si>
    <t>42.22</t>
  </si>
  <si>
    <t>Construction of utility projects for electricity and telecommunications</t>
  </si>
  <si>
    <t>42.9</t>
  </si>
  <si>
    <t>Construction of other civil engineering projects</t>
  </si>
  <si>
    <t>42.91</t>
  </si>
  <si>
    <t>Construction of water projects</t>
  </si>
  <si>
    <t>42.99</t>
  </si>
  <si>
    <t>Construction of other civil engineering projects n.e.c.</t>
  </si>
  <si>
    <t>Specialised construction activities</t>
  </si>
  <si>
    <t>43.1</t>
  </si>
  <si>
    <t>Demolition and site preparation</t>
  </si>
  <si>
    <t>43.11</t>
  </si>
  <si>
    <t>Demolition</t>
  </si>
  <si>
    <t>43.12</t>
  </si>
  <si>
    <t>Site preparation</t>
  </si>
  <si>
    <t>43.13</t>
  </si>
  <si>
    <t>Test drilling and boring</t>
  </si>
  <si>
    <t>43.2</t>
  </si>
  <si>
    <t>Electrical, plumbing and other construction installation activities</t>
  </si>
  <si>
    <t>43.21</t>
  </si>
  <si>
    <t>Electrical installation</t>
  </si>
  <si>
    <t>43.22</t>
  </si>
  <si>
    <t>Plumbing, heat and air-conditioning installation</t>
  </si>
  <si>
    <t>43.29</t>
  </si>
  <si>
    <t>Other construction installation</t>
  </si>
  <si>
    <t>43.3</t>
  </si>
  <si>
    <t>Building completion and finishing</t>
  </si>
  <si>
    <t>43.31</t>
  </si>
  <si>
    <t>Plastering</t>
  </si>
  <si>
    <t>43.32</t>
  </si>
  <si>
    <t>Joinery installation</t>
  </si>
  <si>
    <t>43.33</t>
  </si>
  <si>
    <t>Floor and wall covering</t>
  </si>
  <si>
    <t>43.34</t>
  </si>
  <si>
    <t>Painting and glazing</t>
  </si>
  <si>
    <t>43.39</t>
  </si>
  <si>
    <t>Other building completion and finishing</t>
  </si>
  <si>
    <t>43.9</t>
  </si>
  <si>
    <t>Other specialised construction activities</t>
  </si>
  <si>
    <t>43.91</t>
  </si>
  <si>
    <t>Roofing activities</t>
  </si>
  <si>
    <t>43.99</t>
  </si>
  <si>
    <t>Other specialised construction activities n.e.c.</t>
  </si>
  <si>
    <t>Wholesale and retail trade and repair of motor vehicles and motorcycles</t>
  </si>
  <si>
    <t>45.1</t>
  </si>
  <si>
    <t>Sale of motor vehicles</t>
  </si>
  <si>
    <t>45.11</t>
  </si>
  <si>
    <t>Sale of cars and light motor vehicles</t>
  </si>
  <si>
    <t>45.19</t>
  </si>
  <si>
    <t>Sale of other motor vehicles</t>
  </si>
  <si>
    <t>45.2</t>
  </si>
  <si>
    <t>Maintenance and repair of motor vehicles</t>
  </si>
  <si>
    <t>45.3</t>
  </si>
  <si>
    <t>Sale of motor vehicle parts and accessories</t>
  </si>
  <si>
    <t>45.31</t>
  </si>
  <si>
    <t>Wholesale trade of motor vehicle parts and accessories</t>
  </si>
  <si>
    <t>45.32</t>
  </si>
  <si>
    <t>Retail trade of motor vehicle parts and accessories</t>
  </si>
  <si>
    <t>45.4</t>
  </si>
  <si>
    <t>Sale, maintenance and repair of motorcycles and related parts and accessories</t>
  </si>
  <si>
    <t>Wholesale trade, except of motor vehicles and motorcycles</t>
  </si>
  <si>
    <t>46.1</t>
  </si>
  <si>
    <t>Wholesale on a fee or contract basis</t>
  </si>
  <si>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</si>
  <si>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</si>
  <si>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</si>
  <si>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</si>
  <si>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</si>
  <si>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</si>
  <si>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</si>
  <si>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</si>
  <si>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</si>
  <si>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</si>
  <si>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</si>
  <si>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</si>
  <si>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</si>
  <si>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</si>
  <si>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</si>
  <si>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</si>
  <si>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</si>
  <si>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</si>
  <si>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</si>
  <si>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</si>
  <si>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</si>
  <si>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</si>
  <si>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</si>
  <si>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Wholesale of flowers and plants</t>
  </si>
  <si>
    <t>46.23</t>
  </si>
  <si>
    <t>Wholesale of live animals</t>
  </si>
  <si>
    <t>46.24</t>
  </si>
  <si>
    <t>Wholesale of hides, skins and leather</t>
  </si>
  <si>
    <t>46.3</t>
  </si>
  <si>
    <t>Wholesale of food, beverages and tobacco</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</si>
  <si>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</si>
  <si>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</si>
  <si>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</si>
  <si>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</si>
  <si>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</si>
  <si>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</si>
  <si>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</si>
  <si>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</si>
  <si>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</si>
  <si>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</si>
  <si>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</si>
  <si>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</si>
  <si>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</si>
  <si>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</si>
  <si>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</si>
  <si>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</si>
  <si>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</si>
  <si>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</si>
  <si>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t>
  </si>
  <si>
    <t>Wholesale of household goods</t>
  </si>
  <si>
    <t>46.41</t>
  </si>
  <si>
    <t>Wholesale of textiles</t>
  </si>
  <si>
    <t>46.42</t>
  </si>
  <si>
    <t>Wholesale of clothing and footwear</t>
  </si>
  <si>
    <t>46.43</t>
  </si>
  <si>
    <t>Wholesale of electrical household appliances</t>
  </si>
  <si>
    <t>46.44</t>
  </si>
  <si>
    <t>Wholesale of china and glassware and cleaning materials</t>
  </si>
  <si>
    <t>46.45</t>
  </si>
  <si>
    <t>Wholesale of perfume and cosmetics</t>
  </si>
  <si>
    <t>46.46</t>
  </si>
  <si>
    <t>Wholesale of pharmaceutical goods</t>
  </si>
  <si>
    <t>46.47</t>
  </si>
  <si>
    <t>Wholesale of furniture, carpets and lighting equipment</t>
  </si>
  <si>
    <t>46.48</t>
  </si>
  <si>
    <t>Wholesale of watches and jewellery</t>
  </si>
  <si>
    <t>46.49</t>
  </si>
  <si>
    <t>Wholesale of other household goods</t>
  </si>
  <si>
    <t>46.5</t>
  </si>
  <si>
    <t>Wholesale of information and communication equipment</t>
  </si>
  <si>
    <t>46.51</t>
  </si>
  <si>
    <t>Wholesale of computers, computer peripheral equipment and software</t>
  </si>
  <si>
    <t>46.52</t>
  </si>
  <si>
    <t>Wholesale of electronic and telecommunications equipment and parts</t>
  </si>
  <si>
    <t>46.6</t>
  </si>
  <si>
    <t>Wholesale of other machinery, equipment and supplies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</si>
  <si>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</si>
  <si>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</si>
  <si>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</si>
  <si>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</si>
  <si>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</si>
  <si>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</si>
  <si>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</si>
  <si>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</si>
  <si>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</si>
  <si>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</si>
  <si>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</si>
  <si>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</si>
  <si>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</si>
  <si>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</si>
  <si>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t>
  </si>
  <si>
    <t>Other specialised wholesale</t>
  </si>
  <si>
    <t>46.71</t>
  </si>
  <si>
    <t>Wholesale of solid, liquid and gaseous fuels and related products</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</si>
  <si>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</si>
  <si>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</si>
  <si>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</si>
  <si>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</si>
  <si>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</si>
  <si>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</si>
  <si>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</si>
  <si>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</si>
  <si>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</si>
  <si>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</si>
  <si>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</si>
  <si>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</si>
  <si>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</si>
  <si>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Non-specialised wholesale trade</t>
  </si>
  <si>
    <t>Retail trade, except of motor vehicles and motorcycles</t>
  </si>
  <si>
    <t>47.1</t>
  </si>
  <si>
    <t>Retail sale in non-specialised stores</t>
  </si>
  <si>
    <t>47.11</t>
  </si>
  <si>
    <t>Retail sale in non-specialised stores with food, beverages or tobacco predominating</t>
  </si>
  <si>
    <t>47.19</t>
  </si>
  <si>
    <t>Other retail sale in non-specialised stores</t>
  </si>
  <si>
    <t>47.2</t>
  </si>
  <si>
    <t>Retail sale of food, beverages and tobacco in specialised stores</t>
  </si>
  <si>
    <t>47.21</t>
  </si>
  <si>
    <t>Retail sale of fruit and vegetables in specialised stores</t>
  </si>
  <si>
    <t>47.22</t>
  </si>
  <si>
    <t>Retail sale of meat and meat products in specialised stores</t>
  </si>
  <si>
    <t>47.23</t>
  </si>
  <si>
    <t>Retail sale of fish, crustaceans and molluscs in specialised stores</t>
  </si>
  <si>
    <t>47.24</t>
  </si>
  <si>
    <t>Retail sale of bread, cakes, flour confectionery and sugar confectionery in specialised stores</t>
  </si>
  <si>
    <t>47.25</t>
  </si>
  <si>
    <t>Retail sale of beverages in specialised stores</t>
  </si>
  <si>
    <t>47.26</t>
  </si>
  <si>
    <t>Retail sale of tobacco products in specialised stores</t>
  </si>
  <si>
    <t>47.29</t>
  </si>
  <si>
    <t>Other retail sale of food in specialised stores</t>
  </si>
  <si>
    <t>47.3</t>
  </si>
  <si>
    <t>Retail sale of automotive fuel in specialised stores</t>
  </si>
  <si>
    <t>47.4</t>
  </si>
  <si>
    <t>Retail sale of information and communication equipment in specialised stores</t>
  </si>
  <si>
    <t>47.41</t>
  </si>
  <si>
    <t>Retail sale of computers, peripheral units and software in specialised stores</t>
  </si>
  <si>
    <t>47.42</t>
  </si>
  <si>
    <t>Retail sale of telecommunications equipment in specialised stores</t>
  </si>
  <si>
    <t>47.43</t>
  </si>
  <si>
    <t>Retail sale of audio and video equipment in specialised stores</t>
  </si>
  <si>
    <t>47.5</t>
  </si>
  <si>
    <t>Retail sale of other household equipment in specialised stores</t>
  </si>
  <si>
    <t>47.51</t>
  </si>
  <si>
    <t>Retail sale of textiles in specialised stores</t>
  </si>
  <si>
    <t>47.52</t>
  </si>
  <si>
    <t>Retail sale of hardware, paints and glass in specialised stores</t>
  </si>
  <si>
    <t>47.53</t>
  </si>
  <si>
    <t>Retail sale of carpets, rugs, wall and floor coverings in specialised stores</t>
  </si>
  <si>
    <t>47.54</t>
  </si>
  <si>
    <t>Retail sale of electrical household appliances in specialised stores</t>
  </si>
  <si>
    <t>47.59</t>
  </si>
  <si>
    <t>Retail sale of furniture, lighting equipment and other household articles in specialised stores</t>
  </si>
  <si>
    <t>47.6</t>
  </si>
  <si>
    <t>Retail sale of cultural and recreation goods in specialised stores</t>
  </si>
  <si>
    <t>47.61</t>
  </si>
  <si>
    <t>Retail sale of books in specialised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</si>
  <si>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</si>
  <si>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</si>
  <si>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</si>
  <si>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</si>
  <si>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</si>
  <si>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</si>
  <si>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</si>
  <si>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</si>
  <si>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t>
  </si>
  <si>
    <t>Retail sale of other goods in specialised stores</t>
  </si>
  <si>
    <t>47.71</t>
  </si>
  <si>
    <t>Retail sale of clothing in specialised stores</t>
  </si>
  <si>
    <t>47.72</t>
  </si>
  <si>
    <t>Retail sale of footwear and leather goods in specialised stores</t>
  </si>
  <si>
    <t>47.73</t>
  </si>
  <si>
    <t>Dispensing chemist in specialised stores</t>
  </si>
  <si>
    <t>47.74</t>
  </si>
  <si>
    <t>Retail sale of medical and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</si>
  <si>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</si>
  <si>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</si>
  <si>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</si>
  <si>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</si>
  <si>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</si>
  <si>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</si>
  <si>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</si>
  <si>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</si>
  <si>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</si>
  <si>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</si>
  <si>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t>
  </si>
  <si>
    <t>Retail sale via stalls and markets</t>
  </si>
  <si>
    <t>47.81</t>
  </si>
  <si>
    <t>Retail sale via stalls and markets of food, beverages and tobacco products</t>
  </si>
  <si>
    <t>47.82</t>
  </si>
  <si>
    <t>Retail sale via stalls and markets of textiles, clothing and footwear</t>
  </si>
  <si>
    <t>47.89</t>
  </si>
  <si>
    <t>Retail sale via stalls and markets of other goods</t>
  </si>
  <si>
    <t>47.9</t>
  </si>
  <si>
    <t>Retail trade not in stores, stalls or markets</t>
  </si>
  <si>
    <t>47.91</t>
  </si>
  <si>
    <t>Retail sale via mail order houses or via Internet</t>
  </si>
  <si>
    <t>47.99</t>
  </si>
  <si>
    <t>Other retail sale not in stores, stalls or markets</t>
  </si>
  <si>
    <t>Land transport and transport via pipelines</t>
  </si>
  <si>
    <t>49.1</t>
  </si>
  <si>
    <t>Passenger rail transport, interurban</t>
  </si>
  <si>
    <t>49.2</t>
  </si>
  <si>
    <t>Freight rail transport</t>
  </si>
  <si>
    <t>49.3</t>
  </si>
  <si>
    <t>Other passenger land transport</t>
  </si>
  <si>
    <t>49.31</t>
  </si>
  <si>
    <t>Urban and suburban passenger land transport</t>
  </si>
  <si>
    <t>49.32</t>
  </si>
  <si>
    <t>Taxi operation</t>
  </si>
  <si>
    <t>49.39</t>
  </si>
  <si>
    <t>Other passenger land transport n.e.c.</t>
  </si>
  <si>
    <t>49.4</t>
  </si>
  <si>
    <t>Freight transport by road and removal services</t>
  </si>
  <si>
    <t>49.41</t>
  </si>
  <si>
    <t>Freight transport by road</t>
  </si>
  <si>
    <t>49.42</t>
  </si>
  <si>
    <t>Removal services</t>
  </si>
  <si>
    <t>49.5</t>
  </si>
  <si>
    <t>Transport via pipeline</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</si>
  <si>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</si>
  <si>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</si>
  <si>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</si>
  <si>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</si>
  <si>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</si>
  <si>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</si>
  <si>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</si>
  <si>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</si>
  <si>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</si>
  <si>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</si>
  <si>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</si>
  <si>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</si>
  <si>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</si>
  <si>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</si>
  <si>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51.21</t>
  </si>
  <si>
    <t>Freight air transport</t>
  </si>
  <si>
    <t>51.22</t>
  </si>
  <si>
    <t>Space transport</t>
  </si>
  <si>
    <t>Warehousing and support activities for transportation</t>
  </si>
  <si>
    <t>52.1</t>
  </si>
  <si>
    <t>Warehousing and storage</t>
  </si>
  <si>
    <t>52.2</t>
  </si>
  <si>
    <t>Support activities for transportation</t>
  </si>
  <si>
    <t>52.21</t>
  </si>
  <si>
    <t>Service activities incidental to land transportation</t>
  </si>
  <si>
    <t>52.22</t>
  </si>
  <si>
    <t>Service activities incidental to water transportation</t>
  </si>
  <si>
    <t>52.23</t>
  </si>
  <si>
    <t>Service activities incidental to air transportation</t>
  </si>
  <si>
    <t>52.24</t>
  </si>
  <si>
    <t>Cargo handling</t>
  </si>
  <si>
    <t>52.29</t>
  </si>
  <si>
    <t>Other transportation support activities</t>
  </si>
  <si>
    <t>Postal and courier activities</t>
  </si>
  <si>
    <t>53.1</t>
  </si>
  <si>
    <t>Postal activities under universal service obligation</t>
  </si>
  <si>
    <t>53.2</t>
  </si>
  <si>
    <t>Other postal and courier activities</t>
  </si>
  <si>
    <t>Accommodation</t>
  </si>
  <si>
    <t>55.1</t>
  </si>
  <si>
    <t>Hotels and similar accommodation</t>
  </si>
  <si>
    <t>55.2</t>
  </si>
  <si>
    <t>Holiday and other short-stay accommodation</t>
  </si>
  <si>
    <t>55.3</t>
  </si>
  <si>
    <t>Camping grounds, recreational vehicle parks and trailer parks</t>
  </si>
  <si>
    <t>55.9</t>
  </si>
  <si>
    <t>Other accommodation</t>
  </si>
  <si>
    <t>Food and beverage service activities</t>
  </si>
  <si>
    <t>56.1</t>
  </si>
  <si>
    <t>Restaurants and mobile food service activities</t>
  </si>
  <si>
    <t>56.2</t>
  </si>
  <si>
    <t>Event catering and other food service activities</t>
  </si>
  <si>
    <t>56.21</t>
  </si>
  <si>
    <t>Event catering activities</t>
  </si>
  <si>
    <t>56.29</t>
  </si>
  <si>
    <t>Other food service activities</t>
  </si>
  <si>
    <t>56.3</t>
  </si>
  <si>
    <t>Beverage serving activities</t>
  </si>
  <si>
    <t>Publishing activities</t>
  </si>
  <si>
    <t>58.1</t>
  </si>
  <si>
    <t>Publishing of books, periodicals and other publishing activities</t>
  </si>
  <si>
    <t>58.11</t>
  </si>
  <si>
    <t>Book publishing</t>
  </si>
  <si>
    <t>58.12</t>
  </si>
  <si>
    <t>Publishing of directories and mailing lists</t>
  </si>
  <si>
    <t>58.13</t>
  </si>
  <si>
    <t>Publishing of newspapers</t>
  </si>
  <si>
    <t>58.14</t>
  </si>
  <si>
    <t>Publishing of journals and periodicals</t>
  </si>
  <si>
    <t>58.19</t>
  </si>
  <si>
    <t>Other publishing activities</t>
  </si>
  <si>
    <t>58.2</t>
  </si>
  <si>
    <t>Software publishing</t>
  </si>
  <si>
    <t>58.21</t>
  </si>
  <si>
    <t>Publishing of computer games</t>
  </si>
  <si>
    <t>58.29</t>
  </si>
  <si>
    <t>Other software publishing</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</si>
  <si>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</si>
  <si>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</si>
  <si>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</si>
  <si>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</si>
  <si>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</si>
  <si>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</si>
  <si>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</si>
  <si>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</si>
  <si>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</si>
  <si>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</si>
  <si>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</si>
  <si>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59.2</t>
  </si>
  <si>
    <t>Sound recording and music publishing activities</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</si>
  <si>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</si>
  <si>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</si>
  <si>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</si>
  <si>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</si>
  <si>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</si>
  <si>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</si>
  <si>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</si>
  <si>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</si>
  <si>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</si>
  <si>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</si>
  <si>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</si>
  <si>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</si>
  <si>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</si>
  <si>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</si>
  <si>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</si>
  <si>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62.01</t>
  </si>
  <si>
    <t>Computer programming activities</t>
  </si>
  <si>
    <t>62.02</t>
  </si>
  <si>
    <t>Computer consultancy activities</t>
  </si>
  <si>
    <t>62.03</t>
  </si>
  <si>
    <t>Computer facilities management activities</t>
  </si>
  <si>
    <t>62.09</t>
  </si>
  <si>
    <t>Other information technology and computer service activities</t>
  </si>
  <si>
    <t>Information service activities</t>
  </si>
  <si>
    <t>63.1</t>
  </si>
  <si>
    <t>Data processing, hosting and related activities; web portals</t>
  </si>
  <si>
    <t>63.11</t>
  </si>
  <si>
    <t>Data processing, hosting and related activities</t>
  </si>
  <si>
    <t>63.12</t>
  </si>
  <si>
    <t>Web portals</t>
  </si>
  <si>
    <t>63.9</t>
  </si>
  <si>
    <t>Other information service activities</t>
  </si>
  <si>
    <t>63.91</t>
  </si>
  <si>
    <t>News agency activities</t>
  </si>
  <si>
    <t>63.99</t>
  </si>
  <si>
    <t>Other information service activities n.e.c.</t>
  </si>
  <si>
    <t>Financial service activities, except insurance and pension funding</t>
  </si>
  <si>
    <t>64.1</t>
  </si>
  <si>
    <t>Monetary intermediation</t>
  </si>
  <si>
    <t>64.11</t>
  </si>
  <si>
    <t>Central banking</t>
  </si>
  <si>
    <t>64.19</t>
  </si>
  <si>
    <t>Other monetary intermediation</t>
  </si>
  <si>
    <t>64.2</t>
  </si>
  <si>
    <t>Activities of holding companies</t>
  </si>
  <si>
    <t>64.3</t>
  </si>
  <si>
    <t>Trusts, funds and similar financial entities</t>
  </si>
  <si>
    <t>64.9</t>
  </si>
  <si>
    <t>Other financial service activities, except insurance and pension funding</t>
  </si>
  <si>
    <t>64.91</t>
  </si>
  <si>
    <t>Financial leasing</t>
  </si>
  <si>
    <t>64.92</t>
  </si>
  <si>
    <t>Other credit granting</t>
  </si>
  <si>
    <t>64.99</t>
  </si>
  <si>
    <t>Other financial service activities, except insurance and pension funding n.e.c.</t>
  </si>
  <si>
    <t>Insurance, reinsurance and pension funding, except compulsory social security</t>
  </si>
  <si>
    <t>65.1</t>
  </si>
  <si>
    <t>Insurance</t>
  </si>
  <si>
    <t>65.11</t>
  </si>
  <si>
    <t>Life insurance</t>
  </si>
  <si>
    <t>65.12</t>
  </si>
  <si>
    <t>Non-life insurance</t>
  </si>
  <si>
    <t>65.2</t>
  </si>
  <si>
    <t>Reinsurance</t>
  </si>
  <si>
    <t>65.3</t>
  </si>
  <si>
    <t>Pension funding</t>
  </si>
  <si>
    <t>Activities auxiliary to financial services and insurance activities</t>
  </si>
  <si>
    <t>66.1</t>
  </si>
  <si>
    <t>Activities auxiliary to financial services, except insurance and pension funding</t>
  </si>
  <si>
    <t>66.11</t>
  </si>
  <si>
    <t>Administration of financial markets</t>
  </si>
  <si>
    <t>66.12</t>
  </si>
  <si>
    <t>Security and commodity contracts brokerage</t>
  </si>
  <si>
    <t>66.19</t>
  </si>
  <si>
    <t>Other activities auxiliary to financial services, except insurance and pension funding</t>
  </si>
  <si>
    <t>66.2</t>
  </si>
  <si>
    <t>Activities auxiliary to insurance and pension funding</t>
  </si>
  <si>
    <t>66.21</t>
  </si>
  <si>
    <t>Risk and damage evaluation</t>
  </si>
  <si>
    <t>66.22</t>
  </si>
  <si>
    <t>Activities of insurance agents and brokers</t>
  </si>
  <si>
    <t>66.29</t>
  </si>
  <si>
    <t>Other activities auxiliary to insurance and pension funding</t>
  </si>
  <si>
    <t>66.3</t>
  </si>
  <si>
    <t>Fund management activities</t>
  </si>
  <si>
    <t>Real estate activities</t>
  </si>
  <si>
    <t>68.1</t>
  </si>
  <si>
    <t>Buying and selling of own real estate</t>
  </si>
  <si>
    <t>68.2</t>
  </si>
  <si>
    <t>Rental and operating of own or leased real estate</t>
  </si>
  <si>
    <t>68.3</t>
  </si>
  <si>
    <t>Real estate activities on a fee or contract basis</t>
  </si>
  <si>
    <t>68.31</t>
  </si>
  <si>
    <t>Real estate agencies</t>
  </si>
  <si>
    <t>68.32</t>
  </si>
  <si>
    <t>Management of real estate on a fee or contract basis</t>
  </si>
  <si>
    <t>Legal and accounting activities</t>
  </si>
  <si>
    <t>69.1</t>
  </si>
  <si>
    <t>Legal activities</t>
  </si>
  <si>
    <t>69.2</t>
  </si>
  <si>
    <t>Accounting, bookkeeping and auditing activities; tax consultancy</t>
  </si>
  <si>
    <t>Activities of head offices; management consultancy activities</t>
  </si>
  <si>
    <t>70.1</t>
  </si>
  <si>
    <t>Activities of head offices</t>
  </si>
  <si>
    <t>70.2</t>
  </si>
  <si>
    <t>Management consultancy activities</t>
  </si>
  <si>
    <t>70.21</t>
  </si>
  <si>
    <t>Public relations and communication activities</t>
  </si>
  <si>
    <t>70.22</t>
  </si>
  <si>
    <t>Business and other management consultancy activities</t>
  </si>
  <si>
    <t>Architectural and engineering activities; technical testing and analysis</t>
  </si>
  <si>
    <t>71.1</t>
  </si>
  <si>
    <t>Architectural and engineering activities and related technical consultancy</t>
  </si>
  <si>
    <t>71.11</t>
  </si>
  <si>
    <t>Architectural activities</t>
  </si>
  <si>
    <t>71.12</t>
  </si>
  <si>
    <t>Engineering activities and related technical consultancy</t>
  </si>
  <si>
    <t>71.2</t>
  </si>
  <si>
    <t>Technical testing and analysis</t>
  </si>
  <si>
    <t>Scientific research and development</t>
  </si>
  <si>
    <t>72.1</t>
  </si>
  <si>
    <t>Research and experimental development on natural sciences and engineering</t>
  </si>
  <si>
    <t>72.11</t>
  </si>
  <si>
    <t>Research and experimental development on biotechnology</t>
  </si>
  <si>
    <t>72.19</t>
  </si>
  <si>
    <t>Other research and experimental development on natural sciences and engineering</t>
  </si>
  <si>
    <t>72.2</t>
  </si>
  <si>
    <t>Research and experimental development on social sciences and humanities</t>
  </si>
  <si>
    <t>Advertising and market research</t>
  </si>
  <si>
    <t>73.1</t>
  </si>
  <si>
    <t>Advertising</t>
  </si>
  <si>
    <t>73.11</t>
  </si>
  <si>
    <t>Advertising agencies</t>
  </si>
  <si>
    <t>73.12</t>
  </si>
  <si>
    <t>Media representation</t>
  </si>
  <si>
    <t>73.2</t>
  </si>
  <si>
    <t>Market research and public opinion polling</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</si>
  <si>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</si>
  <si>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</si>
  <si>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</si>
  <si>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</si>
  <si>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</si>
  <si>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</si>
  <si>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</si>
  <si>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</si>
  <si>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</si>
  <si>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Veterinary activities</t>
  </si>
  <si>
    <t>Rental and leasing activities</t>
  </si>
  <si>
    <t>77.1</t>
  </si>
  <si>
    <t>Rental and leasing of motor vehicles</t>
  </si>
  <si>
    <t>77.11</t>
  </si>
  <si>
    <t>Rental and leasing of cars and light motor vehicles</t>
  </si>
  <si>
    <t>77.12</t>
  </si>
  <si>
    <t>Rental and leasing of trucks</t>
  </si>
  <si>
    <t>77.2</t>
  </si>
  <si>
    <t>Rental and leasing of personal and household goods</t>
  </si>
  <si>
    <t>77.21</t>
  </si>
  <si>
    <t>Rental and leasing of recreational and sports goods</t>
  </si>
  <si>
    <t>77.22</t>
  </si>
  <si>
    <t>Rental of video tapes and disks</t>
  </si>
  <si>
    <t>77.29</t>
  </si>
  <si>
    <t>Rental and leasing of other personal and household goods</t>
  </si>
  <si>
    <t>77.3</t>
  </si>
  <si>
    <t>Rental and leasing of other machinery, equipment and tangible goods</t>
  </si>
  <si>
    <t>77.31</t>
  </si>
  <si>
    <t>Rental and leasing of agricultural machinery and equipment</t>
  </si>
  <si>
    <t>77.32</t>
  </si>
  <si>
    <t>Rental and leasing of construction and civil engineering machinery and equipment</t>
  </si>
  <si>
    <t>77.33</t>
  </si>
  <si>
    <t>Rental and leasing of office machinery and equipment (including computers)</t>
  </si>
  <si>
    <t>77.34</t>
  </si>
  <si>
    <t>Rental and leasing of water transport equipment</t>
  </si>
  <si>
    <t>77.35</t>
  </si>
  <si>
    <t>Rental and leasing of air transport equipment</t>
  </si>
  <si>
    <t>77.39</t>
  </si>
  <si>
    <t>Rental and leasing of other machinery, equipment and tangible goods n.e.c.</t>
  </si>
  <si>
    <t>77.4</t>
  </si>
  <si>
    <t>Leasing of intellectual property and similar products, except copyrighted works</t>
  </si>
  <si>
    <t>Employment activities</t>
  </si>
  <si>
    <t>78.1</t>
  </si>
  <si>
    <t>Activities of employment placement agencies</t>
  </si>
  <si>
    <t>78.2</t>
  </si>
  <si>
    <t>Temporary employment agency activities</t>
  </si>
  <si>
    <t>78.3</t>
  </si>
  <si>
    <t>Other human resources provision</t>
  </si>
  <si>
    <t>Travel agency, tour operator and other reservation service and related activities</t>
  </si>
  <si>
    <t>79.1</t>
  </si>
  <si>
    <t>Travel agency and tour operator activities</t>
  </si>
  <si>
    <t>79.11</t>
  </si>
  <si>
    <t>Travel agency activities</t>
  </si>
  <si>
    <t>79.12</t>
  </si>
  <si>
    <t>Tour operator activities</t>
  </si>
  <si>
    <t>79.9</t>
  </si>
  <si>
    <t>Other reservation service and related activities</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</si>
  <si>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</si>
  <si>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</si>
  <si>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</si>
  <si>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</si>
  <si>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</si>
  <si>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</si>
  <si>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</si>
  <si>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</si>
  <si>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</si>
  <si>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</si>
  <si>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</si>
  <si>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</si>
  <si>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81.21</t>
  </si>
  <si>
    <t>General cleaning of buildings</t>
  </si>
  <si>
    <t>81.22</t>
  </si>
  <si>
    <t>Other building and industrial cleaning activities</t>
  </si>
  <si>
    <t>81.29</t>
  </si>
  <si>
    <t>Other cleaning activities</t>
  </si>
  <si>
    <t>81.3</t>
  </si>
  <si>
    <t>Landscape service activities</t>
  </si>
  <si>
    <t>Office administrative, office support and other business support activities</t>
  </si>
  <si>
    <t>82.1</t>
  </si>
  <si>
    <t>Office administrative and support activities</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</si>
  <si>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</si>
  <si>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</si>
  <si>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</si>
  <si>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</si>
  <si>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</si>
  <si>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</si>
  <si>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</si>
  <si>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</si>
  <si>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t>
  </si>
  <si>
    <t>Business support service activities n.e.c.</t>
  </si>
  <si>
    <t>82.91</t>
  </si>
  <si>
    <t>Activities of collection agencies and credit bureaus</t>
  </si>
  <si>
    <t>82.92</t>
  </si>
  <si>
    <t>Packaging activities</t>
  </si>
  <si>
    <t>82.99</t>
  </si>
  <si>
    <t>Other business support service activities n.e.c.</t>
  </si>
  <si>
    <t>Public administration and defence; compulsory social security</t>
  </si>
  <si>
    <t>84.1</t>
  </si>
  <si>
    <t>Administration of the State and the economic and social policy of the community</t>
  </si>
  <si>
    <t>84.11</t>
  </si>
  <si>
    <t>General public administration activities</t>
  </si>
  <si>
    <t>84.12</t>
  </si>
  <si>
    <t>Regulation of the activities of providing health care, education, cultural services and other social services, excluding social security</t>
  </si>
  <si>
    <t>84.13</t>
  </si>
  <si>
    <t>Regulation of and contribution to more efficient operation of businesses</t>
  </si>
  <si>
    <t>84.2</t>
  </si>
  <si>
    <t>Provision of services to the community as a whole</t>
  </si>
  <si>
    <t>84.21</t>
  </si>
  <si>
    <t>Foreign affairs</t>
  </si>
  <si>
    <t>84.22</t>
  </si>
  <si>
    <t>Defence activities</t>
  </si>
  <si>
    <t>84.23</t>
  </si>
  <si>
    <t>Justice and judicial activities</t>
  </si>
  <si>
    <t>84.24</t>
  </si>
  <si>
    <t>Public order and safety activities</t>
  </si>
  <si>
    <t>84.25</t>
  </si>
  <si>
    <t>Fire service activities</t>
  </si>
  <si>
    <t>84.3</t>
  </si>
  <si>
    <t>Compulsory social security activities</t>
  </si>
  <si>
    <t>Education</t>
  </si>
  <si>
    <t>85.1</t>
  </si>
  <si>
    <t>Pre-primary education</t>
  </si>
  <si>
    <t>85.2</t>
  </si>
  <si>
    <t>Primary education</t>
  </si>
  <si>
    <t>85.3</t>
  </si>
  <si>
    <t>Secondary education</t>
  </si>
  <si>
    <t>85.31</t>
  </si>
  <si>
    <t>General secondary education</t>
  </si>
  <si>
    <t>85.32</t>
  </si>
  <si>
    <t>Technical and vocational secondary education</t>
  </si>
  <si>
    <t>85.4</t>
  </si>
  <si>
    <t>Higher education</t>
  </si>
  <si>
    <t>85.41</t>
  </si>
  <si>
    <t>Post-secondary non-tertiary education</t>
  </si>
  <si>
    <t>85.42</t>
  </si>
  <si>
    <t>Tertiary education</t>
  </si>
  <si>
    <t>85.5</t>
  </si>
  <si>
    <t>Other education</t>
  </si>
  <si>
    <t>85.51</t>
  </si>
  <si>
    <t>Sports and recreation education</t>
  </si>
  <si>
    <t>85.52</t>
  </si>
  <si>
    <t>Cultural education</t>
  </si>
  <si>
    <t>85.53</t>
  </si>
  <si>
    <t>Driving school activities</t>
  </si>
  <si>
    <t>85.59</t>
  </si>
  <si>
    <t>Other education n.e.c.</t>
  </si>
  <si>
    <t>85.6</t>
  </si>
  <si>
    <t>Educational support activities</t>
  </si>
  <si>
    <t>Human health activities</t>
  </si>
  <si>
    <t>86.1</t>
  </si>
  <si>
    <t>Hospital activities</t>
  </si>
  <si>
    <t>86.2</t>
  </si>
  <si>
    <t>Medical and dental practice activities</t>
  </si>
  <si>
    <t>86.21</t>
  </si>
  <si>
    <t>General medical practice activities</t>
  </si>
  <si>
    <t>86.22</t>
  </si>
  <si>
    <t>Specialist medical practice activities</t>
  </si>
  <si>
    <t>86.23</t>
  </si>
  <si>
    <t>Dental practice activities</t>
  </si>
  <si>
    <t>86.9</t>
  </si>
  <si>
    <t>Other human health activities</t>
  </si>
  <si>
    <t>Residential care activities</t>
  </si>
  <si>
    <t>87.1</t>
  </si>
  <si>
    <t>Residential nursing care activities</t>
  </si>
  <si>
    <t>87.2</t>
  </si>
  <si>
    <t>Residential care activities for mental retardation, mental health and substance abuse</t>
  </si>
  <si>
    <t>87.3</t>
  </si>
  <si>
    <t>Residential care activities for the elderly and disabled</t>
  </si>
  <si>
    <t>87.9</t>
  </si>
  <si>
    <t>Other residential care activities</t>
  </si>
  <si>
    <t>Social work activities without accommodation</t>
  </si>
  <si>
    <t>88.1</t>
  </si>
  <si>
    <t>Social work activities without accommodation for the elderly and disabled</t>
  </si>
  <si>
    <t>88.9</t>
  </si>
  <si>
    <t>Other social work activities without accommodation</t>
  </si>
  <si>
    <t>88.91</t>
  </si>
  <si>
    <t>Child day-care activities</t>
  </si>
  <si>
    <t>88.99</t>
  </si>
  <si>
    <t>Other social work activities without accommodation n.e.c.</t>
  </si>
  <si>
    <t>Creative, arts and entertainment activities</t>
  </si>
  <si>
    <t>90.01</t>
  </si>
  <si>
    <t>Performing arts</t>
  </si>
  <si>
    <t>90.02</t>
  </si>
  <si>
    <t>Support activities to performing arts</t>
  </si>
  <si>
    <t>90.03</t>
  </si>
  <si>
    <t>Artistic creation</t>
  </si>
  <si>
    <t>90.04</t>
  </si>
  <si>
    <t>Operation of arts facilities</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</si>
  <si>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</si>
  <si>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</si>
  <si>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</si>
  <si>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</si>
  <si>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</si>
  <si>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</si>
  <si>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</si>
  <si>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</si>
  <si>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</si>
  <si>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Gambling and betting activities</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</si>
  <si>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</si>
  <si>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</si>
  <si>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</si>
  <si>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</si>
  <si>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</si>
  <si>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</si>
  <si>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</si>
  <si>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</si>
  <si>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</si>
  <si>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</si>
  <si>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</si>
  <si>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</si>
  <si>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</si>
  <si>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</si>
  <si>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</si>
  <si>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</si>
  <si>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</si>
  <si>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</si>
  <si>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</si>
  <si>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</si>
  <si>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</si>
  <si>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</si>
  <si>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</si>
  <si>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</si>
  <si>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</si>
  <si>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</si>
  <si>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</si>
  <si>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</si>
  <si>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</si>
  <si>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</si>
  <si>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</si>
  <si>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</si>
  <si>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</si>
  <si>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</si>
  <si>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</si>
  <si>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</si>
  <si>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</si>
  <si>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</si>
  <si>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</si>
  <si>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</si>
  <si>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</si>
  <si>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</si>
  <si>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</si>
  <si>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</si>
  <si>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</si>
  <si>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</si>
  <si>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</si>
  <si>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</si>
  <si>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</si>
  <si>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</si>
  <si>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</si>
  <si>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</si>
  <si>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</si>
  <si>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</si>
  <si>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</si>
  <si>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</si>
  <si>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</si>
  <si>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</si>
  <si>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</si>
  <si>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</si>
  <si>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</si>
  <si>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</si>
  <si>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</si>
  <si>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</si>
  <si>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</si>
  <si>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</si>
  <si>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Activities of households as employers of domestic personnel</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</si>
  <si>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</si>
  <si>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</si>
  <si>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</si>
  <si>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</si>
  <si>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</si>
  <si>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Activities of extraterritorial organisations and bodies</t>
  </si>
  <si>
    <t>LGL_PRCDNG_STTS_LE</t>
  </si>
  <si>
    <t>No legal actions taken</t>
  </si>
  <si>
    <t>Under judicial administration, receivership or similar measures</t>
  </si>
  <si>
    <t>Bankruptcy/insolvency</t>
  </si>
  <si>
    <t>Bankruptcy / insolvency</t>
  </si>
  <si>
    <t>Other legal measures</t>
  </si>
  <si>
    <t>ENTRPRS_SZ_LE</t>
  </si>
  <si>
    <t>Large enterprise</t>
  </si>
  <si>
    <t>Microenterprise</t>
  </si>
  <si>
    <t>Micro enterprise</t>
  </si>
  <si>
    <t>Small enterprise</t>
  </si>
  <si>
    <t>Medium enterprise</t>
  </si>
  <si>
    <t>ACCNTNG_FRMWRK_SL</t>
  </si>
  <si>
    <t>IFRS</t>
  </si>
  <si>
    <t>National GAAP consistent with IFRS</t>
  </si>
  <si>
    <t>National GAAP not consistent with IFRS</t>
  </si>
  <si>
    <t>DERIVATIVES; DEBT_SECURITIES; EQUITY_INSTRUMENTS</t>
  </si>
  <si>
    <t>ISSR_CNTRY</t>
  </si>
  <si>
    <t>AD</t>
  </si>
  <si>
    <t>Andorra</t>
  </si>
  <si>
    <t>AE</t>
  </si>
  <si>
    <t>United Arab Emirates (the)</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</si>
  <si>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</si>
  <si>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</si>
  <si>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</si>
  <si>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</si>
  <si>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</si>
  <si>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</si>
  <si>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</si>
  <si>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</si>
  <si>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</si>
  <si>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</si>
  <si>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</si>
  <si>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</si>
  <si>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</si>
  <si>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</si>
  <si>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</si>
  <si>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</si>
  <si>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</si>
  <si>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</si>
  <si>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</si>
  <si>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</si>
  <si>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</si>
  <si>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</si>
  <si>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</si>
  <si>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</si>
  <si>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</si>
  <si>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</si>
  <si>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</si>
  <si>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</si>
  <si>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</si>
  <si>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</si>
  <si>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</si>
  <si>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</si>
  <si>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</si>
  <si>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</si>
  <si>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</si>
  <si>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</si>
  <si>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</si>
  <si>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</si>
  <si>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</si>
  <si>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</si>
  <si>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</si>
  <si>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</si>
  <si>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</si>
  <si>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</si>
  <si>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</si>
  <si>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</si>
  <si>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</si>
  <si>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</si>
  <si>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</si>
  <si>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</si>
  <si>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</si>
  <si>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</si>
  <si>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</si>
  <si>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</si>
  <si>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</si>
  <si>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Saint Eustatius and Saba</t>
  </si>
  <si>
    <t>BR</t>
  </si>
  <si>
    <t>Brazil</t>
  </si>
  <si>
    <t>BS</t>
  </si>
  <si>
    <t>Bahamas (the)</t>
  </si>
  <si>
    <t>BT</t>
  </si>
  <si>
    <t>Bhutan</t>
  </si>
  <si>
    <t>BV</t>
  </si>
  <si>
    <t>Bouvet Island</t>
  </si>
  <si>
    <t>BW</t>
  </si>
  <si>
    <t>Botswana</t>
  </si>
  <si>
    <t>BY</t>
  </si>
  <si>
    <t>Belarus</t>
  </si>
  <si>
    <t>BZ</t>
  </si>
  <si>
    <t>Belize</t>
  </si>
  <si>
    <t>CA</t>
  </si>
  <si>
    <t>Canada</t>
  </si>
  <si>
    <t>CC</t>
  </si>
  <si>
    <t>Cocos (Keeling) Islands (the)</t>
  </si>
  <si>
    <t>CD</t>
  </si>
  <si>
    <t>Congo (the Democratic Republic of the)</t>
  </si>
  <si>
    <t>CF</t>
  </si>
  <si>
    <t>Central African Republic (the)</t>
  </si>
  <si>
    <t>CG</t>
  </si>
  <si>
    <t>Congo (the)</t>
  </si>
  <si>
    <t>CH</t>
  </si>
  <si>
    <t>Switzerland</t>
  </si>
  <si>
    <t>CI</t>
  </si>
  <si>
    <t>Cote d'Ivoire</t>
  </si>
  <si>
    <t>CK</t>
  </si>
  <si>
    <t>Cook Islands (the)</t>
  </si>
  <si>
    <t>CL</t>
  </si>
  <si>
    <t>Chile</t>
  </si>
  <si>
    <t>CM</t>
  </si>
  <si>
    <t>Cameroon</t>
  </si>
  <si>
    <t>CN</t>
  </si>
  <si>
    <t>China</t>
  </si>
  <si>
    <t>CO</t>
  </si>
  <si>
    <t>Colombia</t>
  </si>
  <si>
    <t>CR</t>
  </si>
  <si>
    <t>Costa Rica</t>
  </si>
  <si>
    <t>CU</t>
  </si>
  <si>
    <t>Cuba</t>
  </si>
  <si>
    <t>CV</t>
  </si>
  <si>
    <t>Cabo Verde</t>
  </si>
  <si>
    <t>CW</t>
  </si>
  <si>
    <t>Curacao</t>
  </si>
  <si>
    <t>CX</t>
  </si>
  <si>
    <t>Christmas Island</t>
  </si>
  <si>
    <t>CY</t>
  </si>
  <si>
    <t>Cyprus</t>
  </si>
  <si>
    <t>CZ</t>
  </si>
  <si>
    <t>Czechia</t>
  </si>
  <si>
    <t>DE</t>
  </si>
  <si>
    <t>Germany</t>
  </si>
  <si>
    <t>DJ</t>
  </si>
  <si>
    <t>Djibouti</t>
  </si>
  <si>
    <t>DK</t>
  </si>
  <si>
    <t>Denmark</t>
  </si>
  <si>
    <t>DM</t>
  </si>
  <si>
    <t>Dominica</t>
  </si>
  <si>
    <t>DO</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</si>
  <si>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</si>
  <si>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</si>
  <si>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</si>
  <si>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</si>
  <si>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</si>
  <si>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</si>
  <si>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</si>
  <si>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</si>
  <si>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</si>
  <si>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</si>
  <si>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</si>
  <si>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</si>
  <si>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</si>
  <si>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</si>
  <si>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</si>
  <si>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</si>
  <si>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</si>
  <si>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</si>
  <si>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</si>
  <si>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</si>
  <si>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</si>
  <si>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</si>
  <si>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(the) [Malvinas]</t>
  </si>
  <si>
    <t>FM</t>
  </si>
  <si>
    <t>Micronesia (Federated States of)</t>
  </si>
  <si>
    <t>FO</t>
  </si>
  <si>
    <t>Faroe Islands (the)</t>
  </si>
  <si>
    <t>FR</t>
  </si>
  <si>
    <t>France</t>
  </si>
  <si>
    <t>GA</t>
  </si>
  <si>
    <t>Gabon</t>
  </si>
  <si>
    <t>GB</t>
  </si>
  <si>
    <t>United Kingdom of Great Britain and Northern Ireland (the)</t>
  </si>
  <si>
    <t>GD</t>
  </si>
  <si>
    <t>Grenada</t>
  </si>
  <si>
    <t>GE</t>
  </si>
  <si>
    <t>Georgia</t>
  </si>
  <si>
    <t>GG</t>
  </si>
  <si>
    <t>Guernsey</t>
  </si>
  <si>
    <t>GH</t>
  </si>
  <si>
    <t>Ghana</t>
  </si>
  <si>
    <t>GI</t>
  </si>
  <si>
    <t>Gibraltar</t>
  </si>
  <si>
    <t>GL</t>
  </si>
  <si>
    <t>Greenland</t>
  </si>
  <si>
    <t>GM</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</si>
  <si>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</si>
  <si>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</si>
  <si>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</si>
  <si>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</si>
  <si>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</si>
  <si>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</si>
  <si>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</si>
  <si>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</si>
  <si>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</si>
  <si>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</si>
  <si>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</si>
  <si>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</si>
  <si>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</si>
  <si>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</si>
  <si>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</si>
  <si>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</si>
  <si>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</si>
  <si>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</si>
  <si>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</si>
  <si>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</si>
  <si>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</si>
  <si>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</si>
  <si>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</si>
  <si>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</si>
  <si>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</si>
  <si>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</si>
  <si>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</si>
  <si>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</si>
  <si>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</si>
  <si>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</si>
  <si>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</si>
  <si>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</si>
  <si>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</si>
  <si>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</si>
  <si>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IM</t>
  </si>
  <si>
    <t>Isle of Man</t>
  </si>
  <si>
    <t>IN</t>
  </si>
  <si>
    <t>India</t>
  </si>
  <si>
    <t>IO</t>
  </si>
  <si>
    <t>British Indian Ocean Territory (the)</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</si>
  <si>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</si>
  <si>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</si>
  <si>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</si>
  <si>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</si>
  <si>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</si>
  <si>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</si>
  <si>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</si>
  <si>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</si>
  <si>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</si>
  <si>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</si>
  <si>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</si>
  <si>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</si>
  <si>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</si>
  <si>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</si>
  <si>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</si>
  <si>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</si>
  <si>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</si>
  <si>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</si>
  <si>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</si>
  <si>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</si>
  <si>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</si>
  <si>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</si>
  <si>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</si>
  <si>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</si>
  <si>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</si>
  <si>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</si>
  <si>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</si>
  <si>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</si>
  <si>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</si>
  <si>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</si>
  <si>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</si>
  <si>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</si>
  <si>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</si>
  <si>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</si>
  <si>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</si>
  <si>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 (the)</t>
  </si>
  <si>
    <t>KZ</t>
  </si>
  <si>
    <t>Kazakhstan</t>
  </si>
  <si>
    <t>LA</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</si>
  <si>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</si>
  <si>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</si>
  <si>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</si>
  <si>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</si>
  <si>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</si>
  <si>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</si>
  <si>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</si>
  <si>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</si>
  <si>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</si>
  <si>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</si>
  <si>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</si>
  <si>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</si>
  <si>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</si>
  <si>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</si>
  <si>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</si>
  <si>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</si>
  <si>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</si>
  <si>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</si>
  <si>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</si>
  <si>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</si>
  <si>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</si>
  <si>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</si>
  <si>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</si>
  <si>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</si>
  <si>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(the Republic of)</t>
  </si>
  <si>
    <t>ME</t>
  </si>
  <si>
    <t>Montenegro</t>
  </si>
  <si>
    <t>MF</t>
  </si>
  <si>
    <t>Saint Martin (French part)</t>
  </si>
  <si>
    <t>MG</t>
  </si>
  <si>
    <t>Madagascar</t>
  </si>
  <si>
    <t>MH</t>
  </si>
  <si>
    <t>Marshall Islands (the)</t>
  </si>
  <si>
    <t>MK</t>
  </si>
  <si>
    <t>Macedonia (the former Yugoslav Republic of)</t>
  </si>
  <si>
    <t>ML</t>
  </si>
  <si>
    <t>Mali</t>
  </si>
  <si>
    <t>MM</t>
  </si>
  <si>
    <t>Myanmar</t>
  </si>
  <si>
    <t>MN</t>
  </si>
  <si>
    <t>Mongolia</t>
  </si>
  <si>
    <t>MO</t>
  </si>
  <si>
    <t>Macao</t>
  </si>
  <si>
    <t>MP</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</si>
  <si>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</si>
  <si>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</si>
  <si>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</si>
  <si>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</si>
  <si>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</si>
  <si>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</si>
  <si>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</si>
  <si>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</si>
  <si>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</si>
  <si>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</si>
  <si>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</si>
  <si>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</si>
  <si>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</si>
  <si>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</si>
  <si>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</si>
  <si>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</si>
  <si>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</si>
  <si>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</si>
  <si>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</si>
  <si>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</si>
  <si>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</si>
  <si>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</si>
  <si>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</si>
  <si>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</si>
  <si>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 (the)</t>
  </si>
  <si>
    <t>NF</t>
  </si>
  <si>
    <t>Norfolk Island</t>
  </si>
  <si>
    <t>NG</t>
  </si>
  <si>
    <t>Nigeria</t>
  </si>
  <si>
    <t>NI</t>
  </si>
  <si>
    <t>Nicaragua</t>
  </si>
  <si>
    <t>NL</t>
  </si>
  <si>
    <t>Netherlands (the)</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</si>
  <si>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</si>
  <si>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</si>
  <si>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</si>
  <si>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</si>
  <si>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</si>
  <si>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</si>
  <si>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</si>
  <si>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</si>
  <si>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</si>
  <si>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</si>
  <si>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</si>
  <si>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</si>
  <si>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</si>
  <si>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</si>
  <si>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</si>
  <si>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</si>
  <si>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</si>
  <si>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</si>
  <si>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</si>
  <si>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</si>
  <si>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</si>
  <si>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</si>
  <si>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</si>
  <si>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</si>
  <si>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</si>
  <si>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</si>
  <si>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</si>
  <si>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</si>
  <si>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</si>
  <si>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</si>
  <si>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</si>
  <si>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</si>
  <si>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</si>
  <si>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</si>
  <si>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</si>
  <si>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</si>
  <si>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</si>
  <si>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</si>
  <si>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</si>
  <si>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</si>
  <si>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</si>
  <si>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</si>
  <si>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</si>
  <si>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</si>
  <si>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</si>
  <si>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</si>
  <si>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</si>
  <si>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</si>
  <si>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</si>
  <si>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</si>
  <si>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</si>
  <si>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</si>
  <si>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</si>
  <si>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</si>
  <si>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</si>
  <si>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</si>
  <si>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</si>
  <si>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</si>
  <si>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</si>
  <si>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</si>
  <si>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</si>
  <si>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</si>
  <si>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</si>
  <si>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</si>
  <si>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</si>
  <si>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</si>
  <si>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</si>
  <si>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</si>
  <si>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</si>
  <si>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</si>
  <si>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</si>
  <si>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</si>
  <si>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</si>
  <si>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</si>
  <si>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</si>
  <si>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</si>
  <si>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</si>
  <si>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</si>
  <si>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</si>
  <si>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</si>
  <si>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</si>
  <si>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</si>
  <si>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</si>
  <si>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</si>
  <si>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</si>
  <si>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</si>
  <si>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</si>
  <si>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</si>
  <si>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</si>
  <si>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</si>
  <si>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</si>
  <si>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</si>
  <si>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</si>
  <si>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</si>
  <si>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</si>
  <si>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</si>
  <si>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</si>
  <si>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</si>
  <si>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</si>
  <si>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</si>
  <si>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</si>
  <si>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</si>
  <si>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</si>
  <si>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</si>
  <si>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</si>
  <si>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</si>
  <si>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</si>
  <si>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</si>
  <si>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</si>
  <si>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</si>
  <si>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</si>
  <si>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</si>
  <si>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</si>
  <si>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</si>
  <si>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</si>
  <si>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</si>
  <si>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</si>
  <si>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</si>
  <si>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</si>
  <si>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</si>
  <si>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</si>
  <si>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</si>
  <si>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</si>
  <si>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</si>
  <si>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</si>
  <si>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</si>
  <si>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</si>
  <si>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</si>
  <si>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</si>
  <si>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</si>
  <si>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</si>
  <si>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</si>
  <si>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</si>
  <si>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</si>
  <si>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</si>
  <si>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</si>
  <si>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</si>
  <si>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</si>
  <si>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</si>
  <si>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</si>
  <si>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</si>
  <si>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</si>
  <si>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</si>
  <si>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</si>
  <si>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</si>
  <si>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</si>
  <si>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</si>
  <si>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</si>
  <si>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</si>
  <si>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</si>
  <si>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</si>
  <si>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</si>
  <si>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</si>
  <si>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</si>
  <si>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ZA</t>
  </si>
  <si>
    <t>South Africa</t>
  </si>
  <si>
    <t>ZM</t>
  </si>
  <si>
    <t>Zambia</t>
  </si>
  <si>
    <t>ZW</t>
  </si>
  <si>
    <t>Zimbabwe</t>
  </si>
  <si>
    <t>GF</t>
  </si>
  <si>
    <t>French Guiana</t>
  </si>
  <si>
    <t>GP</t>
  </si>
  <si>
    <t>Guadeloupe</t>
  </si>
  <si>
    <t>MC</t>
  </si>
  <si>
    <t>Monaco</t>
  </si>
  <si>
    <t>MQ</t>
  </si>
  <si>
    <t>Martinique</t>
  </si>
  <si>
    <t>PM</t>
  </si>
  <si>
    <t>Saint Pierre and Miquelon</t>
  </si>
  <si>
    <t>RE</t>
  </si>
  <si>
    <t>Réunion</t>
  </si>
  <si>
    <t>YT</t>
  </si>
  <si>
    <t>Mayotte</t>
  </si>
  <si>
    <t>__</t>
  </si>
  <si>
    <t>Not assigned yet</t>
  </si>
  <si>
    <t>E$</t>
  </si>
  <si>
    <t>European International Organisations</t>
  </si>
  <si>
    <t>N$</t>
  </si>
  <si>
    <t>Non-European International Organisations</t>
  </si>
  <si>
    <t>AN</t>
  </si>
  <si>
    <t>Netherlands Antilles</t>
  </si>
  <si>
    <t>XK</t>
  </si>
  <si>
    <t>Kosovo</t>
  </si>
  <si>
    <t>1C</t>
  </si>
  <si>
    <t>IMF (International Monetary Fund)</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</si>
  <si>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</si>
  <si>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</si>
  <si>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</si>
  <si>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</si>
  <si>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</si>
  <si>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</si>
  <si>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</si>
  <si>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</si>
  <si>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</si>
  <si>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</si>
  <si>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</si>
  <si>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</si>
  <si>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</si>
  <si>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</si>
  <si>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</si>
  <si>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</si>
  <si>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</si>
  <si>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</si>
  <si>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</si>
  <si>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</si>
  <si>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</si>
  <si>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</si>
  <si>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</si>
  <si>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</si>
  <si>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</si>
  <si>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</si>
  <si>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</si>
  <si>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</si>
  <si>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</si>
  <si>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</si>
  <si>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</si>
  <si>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</si>
  <si>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</si>
  <si>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</si>
  <si>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</si>
  <si>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</si>
  <si>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</si>
  <si>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</si>
  <si>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</si>
  <si>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</si>
  <si>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</si>
  <si>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</si>
  <si>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</si>
  <si>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</si>
  <si>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</si>
  <si>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</si>
  <si>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</si>
  <si>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</si>
  <si>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</si>
  <si>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</si>
  <si>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</si>
  <si>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</si>
  <si>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</si>
  <si>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</si>
  <si>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</si>
  <si>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</si>
  <si>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</si>
  <si>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</si>
  <si>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</si>
  <si>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</si>
  <si>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</si>
  <si>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</si>
  <si>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</si>
  <si>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</si>
  <si>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</si>
  <si>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</si>
  <si>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</si>
  <si>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</si>
  <si>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</si>
  <si>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</si>
  <si>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</si>
  <si>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</si>
  <si>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</si>
  <si>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</si>
  <si>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</si>
  <si>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</si>
  <si>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</si>
  <si>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</si>
  <si>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</si>
  <si>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</si>
  <si>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</si>
  <si>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</si>
  <si>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</si>
  <si>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</si>
  <si>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</si>
  <si>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</si>
  <si>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</si>
  <si>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</si>
  <si>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</si>
  <si>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</si>
  <si>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</si>
  <si>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</si>
  <si>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</si>
  <si>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</si>
  <si>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</si>
  <si>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</si>
  <si>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</si>
  <si>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</si>
  <si>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</si>
  <si>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</si>
  <si>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</si>
  <si>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</si>
  <si>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</si>
  <si>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</si>
  <si>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</si>
  <si>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</si>
  <si>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</si>
  <si>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</si>
  <si>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</si>
  <si>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</si>
  <si>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</si>
  <si>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</si>
  <si>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</si>
  <si>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</si>
  <si>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</si>
  <si>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</si>
  <si>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</si>
  <si>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</si>
  <si>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</si>
  <si>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</si>
  <si>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</si>
  <si>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</si>
  <si>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</si>
  <si>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</si>
  <si>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</si>
  <si>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</si>
  <si>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</si>
  <si>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</si>
  <si>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</si>
  <si>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</si>
  <si>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</si>
  <si>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</si>
  <si>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</si>
  <si>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</si>
  <si>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</si>
  <si>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</si>
  <si>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</si>
  <si>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</si>
  <si>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</si>
  <si>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</si>
  <si>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</si>
  <si>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</si>
  <si>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</si>
  <si>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</si>
  <si>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</si>
  <si>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</si>
  <si>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</si>
  <si>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</si>
  <si>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</si>
  <si>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</si>
  <si>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</si>
  <si>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</si>
  <si>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</si>
  <si>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</si>
  <si>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</si>
  <si>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</si>
  <si>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</si>
  <si>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</si>
  <si>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</si>
  <si>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</si>
  <si>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</si>
  <si>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</si>
  <si>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</si>
  <si>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</si>
  <si>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</si>
  <si>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</si>
  <si>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National GAAP</t>
  </si>
  <si>
    <t>DEBT_SECURITIES; EQUITY_INSTRUMENTS</t>
  </si>
  <si>
    <t>ISSR_ESA_2010</t>
  </si>
  <si>
    <t>S11</t>
  </si>
  <si>
    <t>S_11</t>
  </si>
  <si>
    <t>S_11001</t>
  </si>
  <si>
    <t>S_11002</t>
  </si>
  <si>
    <t>S_11003</t>
  </si>
  <si>
    <t>S121</t>
  </si>
  <si>
    <t>S_121</t>
  </si>
  <si>
    <t>The central bank</t>
  </si>
  <si>
    <t>S122</t>
  </si>
  <si>
    <t>S_122</t>
  </si>
  <si>
    <t>Deposit-taking corporations except the central bank</t>
  </si>
  <si>
    <t>S1220001</t>
  </si>
  <si>
    <t>S_12201</t>
  </si>
  <si>
    <t>S1220002</t>
  </si>
  <si>
    <t>S_12202</t>
  </si>
  <si>
    <t>S1220003</t>
  </si>
  <si>
    <t>S_12203</t>
  </si>
  <si>
    <t>S1220004</t>
  </si>
  <si>
    <t>S123</t>
  </si>
  <si>
    <t>S_123</t>
  </si>
  <si>
    <t>Money market funds (MMFs)</t>
  </si>
  <si>
    <t>S_12301</t>
  </si>
  <si>
    <t>S_12302</t>
  </si>
  <si>
    <t>S_12303</t>
  </si>
  <si>
    <t>S124</t>
  </si>
  <si>
    <t>S_124</t>
  </si>
  <si>
    <t>Non-MMF investment funds</t>
  </si>
  <si>
    <t>S1240001</t>
  </si>
  <si>
    <t>S_12401</t>
  </si>
  <si>
    <t>S1240002</t>
  </si>
  <si>
    <t>S_12402</t>
  </si>
  <si>
    <t>S1240003</t>
  </si>
  <si>
    <t>S_12403</t>
  </si>
  <si>
    <t>S125</t>
  </si>
  <si>
    <t>S_125</t>
  </si>
  <si>
    <t>Other financial intermediaries, except ICPFs</t>
  </si>
  <si>
    <t>S1250001</t>
  </si>
  <si>
    <t>S_12501</t>
  </si>
  <si>
    <t>S1250002</t>
  </si>
  <si>
    <t>S_12502</t>
  </si>
  <si>
    <t>S1250003</t>
  </si>
  <si>
    <t>S_12503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</si>
  <si>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</si>
  <si>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</si>
  <si>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</si>
  <si>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</si>
  <si>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</si>
  <si>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</si>
  <si>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</si>
  <si>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</si>
  <si>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</si>
  <si>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</si>
  <si>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</si>
  <si>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</si>
  <si>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</si>
  <si>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</si>
  <si>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</si>
  <si>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</si>
  <si>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</si>
  <si>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S_12601</t>
  </si>
  <si>
    <t>S1260002</t>
  </si>
  <si>
    <t>S_12602</t>
  </si>
  <si>
    <t>S1260003</t>
  </si>
  <si>
    <t>S_12603</t>
  </si>
  <si>
    <t>S1260004</t>
  </si>
  <si>
    <t>S1260005</t>
  </si>
  <si>
    <t>S1260006</t>
  </si>
  <si>
    <t>S1260007</t>
  </si>
  <si>
    <t>S1260008</t>
  </si>
  <si>
    <t>S1260009</t>
  </si>
  <si>
    <t>S1260010</t>
  </si>
  <si>
    <t>S1260011</t>
  </si>
  <si>
    <t>S1260012</t>
  </si>
  <si>
    <t>S127</t>
  </si>
  <si>
    <t>S_127</t>
  </si>
  <si>
    <t>Captive financial institutions and money lenders</t>
  </si>
  <si>
    <t>S1270001</t>
  </si>
  <si>
    <t>S_12701</t>
  </si>
  <si>
    <t>S1270002</t>
  </si>
  <si>
    <t>S_12702</t>
  </si>
  <si>
    <t>S1270003</t>
  </si>
  <si>
    <t>S_12703</t>
  </si>
  <si>
    <t>S1270004</t>
  </si>
  <si>
    <t>S1270005</t>
  </si>
  <si>
    <t>S1270006</t>
  </si>
  <si>
    <t>S128</t>
  </si>
  <si>
    <t>S_128</t>
  </si>
  <si>
    <t>Insurance corporations (ICs)</t>
  </si>
  <si>
    <t>S1280001</t>
  </si>
  <si>
    <t>S_12801</t>
  </si>
  <si>
    <t>S1280002</t>
  </si>
  <si>
    <t>S_12802</t>
  </si>
  <si>
    <t>S_12803</t>
  </si>
  <si>
    <t>S129</t>
  </si>
  <si>
    <t>S_129</t>
  </si>
  <si>
    <t>Pension funds (PFs)</t>
  </si>
  <si>
    <t>S_12901</t>
  </si>
  <si>
    <t>S_12902</t>
  </si>
  <si>
    <t>S_12903</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</si>
  <si>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</si>
  <si>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</si>
  <si>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</si>
  <si>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</si>
  <si>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</si>
  <si>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</si>
  <si>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</si>
  <si>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</si>
  <si>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</si>
  <si>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</si>
  <si>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</si>
  <si>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</si>
  <si>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</si>
  <si>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</si>
  <si>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</si>
  <si>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</si>
  <si>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</si>
  <si>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</si>
  <si>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</si>
  <si>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</si>
  <si>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</si>
  <si>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</si>
  <si>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S1313201</t>
  </si>
  <si>
    <t>S1313202</t>
  </si>
  <si>
    <t>S1313203</t>
  </si>
  <si>
    <t>S1313204</t>
  </si>
  <si>
    <t>S1313205</t>
  </si>
  <si>
    <t>S1313206</t>
  </si>
  <si>
    <t>S1314</t>
  </si>
  <si>
    <t>S_1314</t>
  </si>
  <si>
    <t>Social security funds</t>
  </si>
  <si>
    <t>S14</t>
  </si>
  <si>
    <t>S_14</t>
  </si>
  <si>
    <t>S141</t>
  </si>
  <si>
    <t>S142</t>
  </si>
  <si>
    <t>S143</t>
  </si>
  <si>
    <t>S144</t>
  </si>
  <si>
    <t>S1441</t>
  </si>
  <si>
    <t>S1442</t>
  </si>
  <si>
    <t>S1443</t>
  </si>
  <si>
    <t>S15</t>
  </si>
  <si>
    <t>S_15</t>
  </si>
  <si>
    <t>Non-profit insitutions serving households</t>
  </si>
  <si>
    <t>S201</t>
  </si>
  <si>
    <t>SOCIEDADES NAO FINANCEIRAS - NR</t>
  </si>
  <si>
    <t>S2025004</t>
  </si>
  <si>
    <t>OUTROS INTERMEDIARIOS FINANCEIROS - OUTROS - NR</t>
  </si>
  <si>
    <t>S20311</t>
  </si>
  <si>
    <t>ADMIN CENTRAL (EXCETO FUNDOS DE SEG SOC) - NR</t>
  </si>
  <si>
    <t xml:space="preserve">S1313131000    </t>
  </si>
  <si>
    <t xml:space="preserve">S1313132000    </t>
  </si>
  <si>
    <t xml:space="preserve">S1313133000    </t>
  </si>
  <si>
    <t xml:space="preserve">S16            </t>
  </si>
  <si>
    <t xml:space="preserve">S2021          </t>
  </si>
  <si>
    <t xml:space="preserve">S20221         </t>
  </si>
  <si>
    <t xml:space="preserve">S202221        </t>
  </si>
  <si>
    <t xml:space="preserve">S202222        </t>
  </si>
  <si>
    <t xml:space="preserve">S2024          </t>
  </si>
  <si>
    <t xml:space="preserve">S2025001       </t>
  </si>
  <si>
    <t xml:space="preserve">S2025002       </t>
  </si>
  <si>
    <t xml:space="preserve">S2025009       </t>
  </si>
  <si>
    <t xml:space="preserve">S2026          </t>
  </si>
  <si>
    <t xml:space="preserve">S2027          </t>
  </si>
  <si>
    <t xml:space="preserve">S2028          </t>
  </si>
  <si>
    <t xml:space="preserve">S2029          </t>
  </si>
  <si>
    <t xml:space="preserve">S20312         </t>
  </si>
  <si>
    <t xml:space="preserve">S20313         </t>
  </si>
  <si>
    <t xml:space="preserve">S20314         </t>
  </si>
  <si>
    <t xml:space="preserve">S204           </t>
  </si>
  <si>
    <t xml:space="preserve">S205           </t>
  </si>
  <si>
    <t xml:space="preserve">S3             </t>
  </si>
  <si>
    <t xml:space="preserve">S401100        </t>
  </si>
  <si>
    <t xml:space="preserve">S401201        </t>
  </si>
  <si>
    <t xml:space="preserve">S401311        </t>
  </si>
  <si>
    <t xml:space="preserve">S401341        </t>
  </si>
  <si>
    <t xml:space="preserve">S4013512       </t>
  </si>
  <si>
    <t xml:space="preserve">S401510        </t>
  </si>
  <si>
    <t xml:space="preserve">S402510        </t>
  </si>
  <si>
    <t>A.01</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</si>
  <si>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</si>
  <si>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</si>
  <si>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</si>
  <si>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</si>
  <si>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</si>
  <si>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</si>
  <si>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</si>
  <si>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</si>
  <si>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</si>
  <si>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</si>
  <si>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</si>
  <si>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</si>
  <si>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</si>
  <si>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</si>
  <si>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</si>
  <si>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</si>
  <si>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</si>
  <si>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</si>
  <si>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</si>
  <si>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</si>
  <si>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</si>
  <si>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</si>
  <si>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</si>
  <si>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</si>
  <si>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</si>
  <si>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</si>
  <si>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</si>
  <si>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</si>
  <si>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</si>
  <si>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</si>
  <si>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</si>
  <si>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</si>
  <si>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</si>
  <si>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</si>
  <si>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</si>
  <si>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</si>
  <si>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</si>
  <si>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</si>
  <si>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</si>
  <si>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</si>
  <si>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</si>
  <si>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</si>
  <si>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</si>
  <si>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</si>
  <si>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</si>
  <si>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</si>
  <si>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</si>
  <si>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</si>
  <si>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</si>
  <si>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</si>
  <si>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</si>
  <si>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</si>
  <si>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</si>
  <si>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</si>
  <si>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</si>
  <si>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</si>
  <si>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</si>
  <si>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</si>
  <si>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</si>
  <si>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</si>
  <si>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</si>
  <si>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</si>
  <si>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</si>
  <si>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</si>
  <si>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</si>
  <si>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</si>
  <si>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</si>
  <si>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</si>
  <si>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</si>
  <si>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</si>
  <si>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</si>
  <si>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</si>
  <si>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</si>
  <si>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</si>
  <si>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</si>
  <si>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</si>
  <si>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</si>
  <si>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</si>
  <si>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</si>
  <si>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</si>
  <si>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</si>
  <si>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</si>
  <si>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</si>
  <si>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</si>
  <si>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</si>
  <si>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</si>
  <si>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</si>
  <si>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</si>
  <si>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</si>
  <si>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</si>
  <si>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</si>
  <si>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</si>
  <si>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</si>
  <si>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</si>
  <si>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</si>
  <si>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</si>
  <si>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</si>
  <si>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</si>
  <si>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</si>
  <si>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</si>
  <si>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</si>
  <si>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</si>
  <si>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</si>
  <si>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</si>
  <si>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</si>
  <si>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</si>
  <si>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</si>
  <si>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</si>
  <si>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</si>
  <si>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</si>
  <si>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</si>
  <si>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</si>
  <si>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</si>
  <si>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</si>
  <si>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</si>
  <si>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</si>
  <si>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</si>
  <si>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</si>
  <si>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</si>
  <si>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</si>
  <si>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</si>
  <si>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</si>
  <si>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</si>
  <si>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</si>
  <si>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</si>
  <si>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</si>
  <si>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</si>
  <si>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</si>
  <si>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</si>
  <si>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</si>
  <si>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</si>
  <si>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</si>
  <si>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</si>
  <si>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</si>
  <si>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</si>
  <si>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</si>
  <si>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</si>
  <si>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</si>
  <si>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</si>
  <si>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</si>
  <si>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</si>
  <si>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</si>
  <si>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</si>
  <si>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</si>
  <si>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</si>
  <si>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</si>
  <si>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</si>
  <si>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</si>
  <si>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</si>
  <si>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</si>
  <si>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</si>
  <si>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</si>
  <si>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</si>
  <si>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</si>
  <si>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</si>
  <si>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</si>
  <si>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</si>
  <si>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</si>
  <si>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</si>
  <si>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</si>
  <si>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</si>
  <si>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</si>
  <si>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</si>
  <si>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</si>
  <si>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</si>
  <si>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</si>
  <si>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</si>
  <si>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</si>
  <si>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</si>
  <si>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</si>
  <si>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</si>
  <si>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</si>
  <si>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</si>
  <si>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</si>
  <si>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</si>
  <si>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</si>
  <si>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</si>
  <si>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</si>
  <si>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</si>
  <si>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</si>
  <si>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</si>
  <si>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</si>
  <si>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</si>
  <si>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</si>
  <si>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</si>
  <si>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</si>
  <si>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</si>
  <si>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</si>
  <si>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</si>
  <si>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</si>
  <si>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</si>
  <si>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</si>
  <si>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</si>
  <si>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</si>
  <si>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</si>
  <si>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</si>
  <si>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</si>
  <si>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</si>
  <si>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</si>
  <si>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</si>
  <si>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</si>
  <si>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</si>
  <si>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</si>
  <si>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</si>
  <si>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</si>
  <si>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</si>
  <si>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</si>
  <si>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</si>
  <si>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</si>
  <si>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</si>
  <si>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</si>
  <si>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</si>
  <si>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</si>
  <si>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</si>
  <si>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</si>
  <si>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</si>
  <si>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</si>
  <si>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</si>
  <si>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</si>
  <si>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</si>
  <si>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</si>
  <si>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</si>
  <si>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</si>
  <si>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</si>
  <si>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</si>
  <si>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</si>
  <si>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</si>
  <si>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</si>
  <si>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</si>
  <si>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</si>
  <si>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</si>
  <si>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</si>
  <si>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</si>
  <si>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</si>
  <si>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</si>
  <si>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</si>
  <si>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</si>
  <si>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</si>
  <si>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</si>
  <si>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</si>
  <si>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</si>
  <si>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</si>
  <si>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</si>
  <si>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</si>
  <si>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</si>
  <si>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</si>
  <si>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</si>
  <si>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</si>
  <si>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</si>
  <si>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</si>
  <si>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</si>
  <si>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</si>
  <si>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</si>
  <si>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</si>
  <si>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</si>
  <si>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</si>
  <si>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</si>
  <si>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</si>
  <si>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</si>
  <si>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</si>
  <si>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</si>
  <si>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</si>
  <si>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</si>
  <si>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</si>
  <si>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</si>
  <si>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</si>
  <si>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</si>
  <si>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</si>
  <si>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</si>
  <si>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</si>
  <si>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</si>
  <si>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</si>
  <si>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</si>
  <si>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</si>
  <si>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</si>
  <si>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</si>
  <si>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</si>
  <si>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</si>
  <si>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</si>
  <si>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</si>
  <si>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</si>
  <si>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</si>
  <si>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</si>
  <si>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</si>
  <si>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</si>
  <si>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</si>
  <si>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</si>
  <si>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</si>
  <si>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</si>
  <si>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</si>
  <si>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</si>
  <si>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</si>
  <si>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</si>
  <si>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</si>
  <si>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</si>
  <si>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</si>
  <si>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</si>
  <si>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</si>
  <si>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</si>
  <si>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</si>
  <si>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</si>
  <si>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</si>
  <si>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</si>
  <si>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</si>
  <si>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</si>
  <si>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</si>
  <si>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</si>
  <si>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</si>
  <si>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</si>
  <si>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</si>
  <si>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</si>
  <si>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</si>
  <si>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</si>
  <si>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</si>
  <si>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</si>
  <si>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</si>
  <si>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</si>
  <si>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</si>
  <si>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</si>
  <si>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</si>
  <si>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</si>
  <si>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</si>
  <si>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</si>
  <si>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</si>
  <si>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</si>
  <si>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</si>
  <si>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</si>
  <si>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</si>
  <si>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</si>
  <si>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</si>
  <si>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</si>
  <si>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</si>
  <si>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</si>
  <si>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</si>
  <si>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</si>
  <si>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</si>
  <si>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</si>
  <si>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</si>
  <si>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</si>
  <si>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</si>
  <si>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</si>
  <si>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</si>
  <si>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</si>
  <si>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</si>
  <si>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</si>
  <si>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</si>
  <si>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</si>
  <si>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</si>
  <si>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</si>
  <si>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</si>
  <si>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</si>
  <si>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</si>
  <si>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</si>
  <si>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</si>
  <si>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</si>
  <si>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</si>
  <si>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</si>
  <si>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</si>
  <si>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</si>
  <si>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</si>
  <si>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</si>
  <si>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</si>
  <si>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</si>
  <si>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</si>
  <si>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</si>
  <si>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</si>
  <si>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</si>
  <si>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</si>
  <si>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</si>
  <si>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</si>
  <si>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</si>
  <si>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</si>
  <si>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</si>
  <si>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</si>
  <si>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</si>
  <si>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</si>
  <si>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</si>
  <si>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</si>
  <si>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</si>
  <si>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</si>
  <si>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</si>
  <si>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</si>
  <si>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</si>
  <si>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</si>
  <si>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</si>
  <si>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</si>
  <si>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</si>
  <si>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</si>
  <si>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</si>
  <si>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</si>
  <si>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</si>
  <si>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</si>
  <si>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</si>
  <si>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</si>
  <si>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</si>
  <si>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</si>
  <si>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E.39</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</si>
  <si>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</si>
  <si>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</si>
  <si>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</si>
  <si>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</si>
  <si>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</si>
  <si>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</si>
  <si>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</si>
  <si>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</si>
  <si>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</si>
  <si>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</si>
  <si>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</si>
  <si>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</si>
  <si>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</si>
  <si>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</si>
  <si>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</si>
  <si>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</si>
  <si>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</si>
  <si>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</si>
  <si>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</si>
  <si>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</si>
  <si>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</si>
  <si>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</si>
  <si>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</si>
  <si>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</si>
  <si>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</si>
  <si>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</si>
  <si>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</si>
  <si>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</si>
  <si>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</si>
  <si>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</si>
  <si>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</si>
  <si>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</si>
  <si>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</si>
  <si>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</si>
  <si>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</si>
  <si>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</si>
  <si>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</si>
  <si>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</si>
  <si>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</si>
  <si>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</si>
  <si>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</si>
  <si>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</si>
  <si>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</si>
  <si>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</si>
  <si>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</si>
  <si>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</si>
  <si>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</si>
  <si>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</si>
  <si>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</si>
  <si>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</si>
  <si>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</si>
  <si>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</si>
  <si>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</si>
  <si>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</si>
  <si>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</si>
  <si>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</si>
  <si>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</si>
  <si>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</si>
  <si>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</si>
  <si>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</si>
  <si>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</si>
  <si>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</si>
  <si>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</si>
  <si>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</si>
  <si>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</si>
  <si>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</si>
  <si>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</si>
  <si>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</si>
  <si>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</si>
  <si>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</si>
  <si>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</si>
  <si>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</si>
  <si>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</si>
  <si>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</si>
  <si>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</si>
  <si>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</si>
  <si>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</si>
  <si>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</si>
  <si>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</si>
  <si>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</si>
  <si>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</si>
  <si>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</si>
  <si>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</si>
  <si>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</si>
  <si>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</si>
  <si>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</si>
  <si>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</si>
  <si>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</si>
  <si>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</si>
  <si>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</si>
  <si>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</si>
  <si>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</si>
  <si>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</si>
  <si>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</si>
  <si>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</si>
  <si>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</si>
  <si>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</si>
  <si>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</si>
  <si>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</si>
  <si>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</si>
  <si>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</si>
  <si>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</si>
  <si>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</si>
  <si>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</si>
  <si>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</si>
  <si>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</si>
  <si>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</si>
  <si>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</si>
  <si>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</si>
  <si>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</si>
  <si>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</si>
  <si>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</si>
  <si>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</si>
  <si>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</si>
  <si>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</si>
  <si>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</si>
  <si>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</si>
  <si>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</si>
  <si>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</si>
  <si>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</si>
  <si>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</si>
  <si>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</si>
  <si>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</si>
  <si>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</si>
  <si>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</si>
  <si>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</si>
  <si>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</si>
  <si>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</si>
  <si>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</si>
  <si>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</si>
  <si>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</si>
  <si>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</si>
  <si>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</si>
  <si>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</si>
  <si>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</si>
  <si>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</si>
  <si>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</si>
  <si>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</si>
  <si>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</si>
  <si>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</si>
  <si>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</si>
  <si>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</si>
  <si>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</si>
  <si>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</si>
  <si>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</si>
  <si>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</si>
  <si>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</si>
  <si>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</si>
  <si>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</si>
  <si>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</si>
  <si>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</si>
  <si>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</si>
  <si>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</si>
  <si>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</si>
  <si>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</si>
  <si>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</si>
  <si>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</si>
  <si>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</si>
  <si>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</si>
  <si>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</si>
  <si>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</si>
  <si>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</si>
  <si>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</si>
  <si>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</si>
  <si>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</si>
  <si>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</si>
  <si>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</si>
  <si>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</si>
  <si>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</si>
  <si>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</si>
  <si>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</si>
  <si>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</si>
  <si>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</si>
  <si>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</si>
  <si>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</si>
  <si>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</si>
  <si>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</si>
  <si>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</si>
  <si>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</si>
  <si>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</si>
  <si>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</si>
  <si>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</si>
  <si>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</si>
  <si>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</si>
  <si>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</si>
  <si>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</si>
  <si>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</si>
  <si>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</si>
  <si>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</si>
  <si>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</si>
  <si>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</si>
  <si>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</si>
  <si>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</si>
  <si>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</si>
  <si>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</si>
  <si>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</si>
  <si>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</si>
  <si>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</si>
  <si>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</si>
  <si>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</si>
  <si>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</si>
  <si>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</si>
  <si>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</si>
  <si>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</si>
  <si>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</si>
  <si>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</si>
  <si>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</si>
  <si>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</si>
  <si>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</si>
  <si>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</si>
  <si>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</si>
  <si>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</si>
  <si>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</si>
  <si>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</si>
  <si>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</si>
  <si>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</si>
  <si>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</si>
  <si>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</si>
  <si>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</si>
  <si>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</si>
  <si>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</si>
  <si>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</si>
  <si>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</si>
  <si>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</si>
  <si>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</si>
  <si>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</si>
  <si>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</si>
  <si>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</si>
  <si>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</si>
  <si>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</si>
  <si>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</si>
  <si>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</si>
  <si>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</si>
  <si>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</si>
  <si>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</si>
  <si>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</si>
  <si>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</si>
  <si>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</si>
  <si>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</si>
  <si>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</si>
  <si>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</si>
  <si>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</si>
  <si>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</si>
  <si>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</si>
  <si>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</si>
  <si>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</si>
  <si>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</si>
  <si>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</si>
  <si>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</si>
  <si>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</si>
  <si>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</si>
  <si>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</si>
  <si>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</si>
  <si>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</si>
  <si>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</si>
  <si>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</si>
  <si>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</si>
  <si>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</si>
  <si>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</si>
  <si>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</si>
  <si>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</si>
  <si>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</si>
  <si>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</si>
  <si>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</si>
  <si>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</si>
  <si>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</si>
  <si>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</si>
  <si>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</si>
  <si>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</si>
  <si>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</si>
  <si>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</si>
  <si>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</si>
  <si>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</si>
  <si>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</si>
  <si>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</si>
  <si>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</si>
  <si>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</si>
  <si>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</si>
  <si>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</si>
  <si>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</si>
  <si>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</si>
  <si>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</si>
  <si>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</si>
  <si>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</si>
  <si>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</si>
  <si>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</si>
  <si>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</si>
  <si>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</si>
  <si>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</si>
  <si>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</si>
  <si>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</si>
  <si>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</si>
  <si>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</si>
  <si>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</si>
  <si>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</si>
  <si>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</si>
  <si>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</si>
  <si>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</si>
  <si>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</si>
  <si>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</si>
  <si>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</si>
  <si>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</si>
  <si>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</si>
  <si>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</si>
  <si>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</si>
  <si>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</si>
  <si>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</si>
  <si>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</si>
  <si>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</si>
  <si>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</si>
  <si>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</si>
  <si>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</si>
  <si>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</si>
  <si>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</si>
  <si>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</si>
  <si>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</si>
  <si>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</si>
  <si>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</si>
  <si>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</si>
  <si>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</si>
  <si>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</si>
  <si>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</si>
  <si>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</si>
  <si>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</si>
  <si>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</si>
  <si>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</si>
  <si>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</si>
  <si>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</si>
  <si>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</si>
  <si>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</si>
  <si>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</si>
  <si>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</si>
  <si>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</si>
  <si>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</si>
  <si>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</si>
  <si>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</si>
  <si>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</si>
  <si>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</si>
  <si>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</si>
  <si>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</si>
  <si>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</si>
  <si>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</si>
  <si>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</si>
  <si>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</si>
  <si>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</si>
  <si>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</si>
  <si>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</si>
  <si>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</si>
  <si>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</si>
  <si>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</si>
  <si>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</si>
  <si>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</si>
  <si>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</si>
  <si>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</si>
  <si>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</si>
  <si>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</si>
  <si>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</si>
  <si>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</si>
  <si>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</si>
  <si>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</si>
  <si>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</si>
  <si>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</si>
  <si>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</si>
  <si>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</si>
  <si>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</si>
  <si>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</si>
  <si>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</si>
  <si>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</si>
  <si>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</si>
  <si>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</si>
  <si>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</si>
  <si>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</si>
  <si>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</si>
  <si>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</si>
  <si>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</si>
  <si>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</si>
  <si>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</si>
  <si>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</si>
  <si>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</si>
  <si>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</si>
  <si>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</si>
  <si>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</si>
  <si>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</si>
  <si>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</si>
  <si>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</si>
  <si>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</si>
  <si>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</si>
  <si>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</si>
  <si>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</si>
  <si>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</si>
  <si>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</si>
  <si>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</si>
  <si>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</si>
  <si>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</si>
  <si>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</si>
  <si>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</si>
  <si>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</si>
  <si>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</si>
  <si>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</si>
  <si>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</si>
  <si>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</si>
  <si>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</si>
  <si>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</si>
  <si>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</si>
  <si>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</si>
  <si>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</si>
  <si>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</si>
  <si>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</si>
  <si>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</si>
  <si>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</si>
  <si>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</si>
  <si>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</si>
  <si>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</si>
  <si>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</si>
  <si>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</si>
  <si>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</si>
  <si>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</si>
  <si>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</si>
  <si>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</si>
  <si>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</si>
  <si>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</si>
  <si>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</si>
  <si>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</si>
  <si>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</si>
  <si>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</si>
  <si>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ISSR_TYP</t>
  </si>
  <si>
    <t>Third party</t>
  </si>
  <si>
    <t>Other group entity</t>
  </si>
  <si>
    <t>DEBT_SECURITIES</t>
  </si>
  <si>
    <t>ASST_SCRT_CLSS</t>
  </si>
  <si>
    <t>Loans to corporates</t>
  </si>
  <si>
    <t>Small and medium-sized enterprises (SME) loans ABS - Detailed asset type breakdown of ABSs mainly in accordance with definitions of European and American Securitisation Forum.</t>
  </si>
  <si>
    <t>Other Assets</t>
  </si>
  <si>
    <t>Other Assets ABS - An ABS that is of a type not listed separately.</t>
  </si>
  <si>
    <t>Residential mortgages</t>
  </si>
  <si>
    <t>Residential mortgage-backed security (RMBS) - Detailed asset type breakdown of MBSs mainly in accordance</t>
  </si>
  <si>
    <t>Commercial mortgages</t>
  </si>
  <si>
    <t>Loans to SMEs</t>
  </si>
  <si>
    <t>Consumer loans</t>
  </si>
  <si>
    <t>Other retail exposures</t>
  </si>
  <si>
    <t>Not applicable</t>
  </si>
  <si>
    <t>Securitisation</t>
  </si>
  <si>
    <t>Asset-backed security (ABS)</t>
  </si>
  <si>
    <t>Auto loans ABS</t>
  </si>
  <si>
    <t>Consumer loans ABS</t>
  </si>
  <si>
    <t>Credit card receivables ABS</t>
  </si>
  <si>
    <t>Equipment leases ABS</t>
  </si>
  <si>
    <t>Home equity loans ABS</t>
  </si>
  <si>
    <t>Manufactured housing leases ABS</t>
  </si>
  <si>
    <t>Student loans ABS</t>
  </si>
  <si>
    <t>Whole Business Securitisation (WBS) ABS</t>
  </si>
  <si>
    <t>Mixed ABS</t>
  </si>
  <si>
    <t>ABS - No detailed classification available</t>
  </si>
  <si>
    <t>Mortgage-backed security (MBS)</t>
  </si>
  <si>
    <t>Commercial mortgage-backed security (CMBS)</t>
  </si>
  <si>
    <t>Mixed MBS</t>
  </si>
  <si>
    <t>Other MBS</t>
  </si>
  <si>
    <t>MBS - No detailed classification available</t>
  </si>
  <si>
    <t xml:space="preserve">Collateralised Debt Obligation (CDO) </t>
  </si>
  <si>
    <t>Collateralised Mortgage Obligation (CMO)</t>
  </si>
  <si>
    <t>Mixed securitisation</t>
  </si>
  <si>
    <t>Other securitisation</t>
  </si>
  <si>
    <t>Securitisation - No detailed classification available</t>
  </si>
  <si>
    <t>Covered Bond</t>
  </si>
  <si>
    <t>Public sector Covered bond</t>
  </si>
  <si>
    <t>Mortgage Covered bond</t>
  </si>
  <si>
    <t>Ship Covered bond</t>
  </si>
  <si>
    <t>Aircraft Covered bond</t>
  </si>
  <si>
    <t>Mixed Covered bond</t>
  </si>
  <si>
    <t>Other Covered bond</t>
  </si>
  <si>
    <t>Covered Bond - No detailed classification available</t>
  </si>
  <si>
    <t>Securitisation and Covered Bond - No detailed classification available</t>
  </si>
  <si>
    <t>TYPE_OF_PLCMNT</t>
  </si>
  <si>
    <t>Public</t>
  </si>
  <si>
    <t>Private</t>
  </si>
  <si>
    <t>Zero coupon</t>
  </si>
  <si>
    <t/>
  </si>
  <si>
    <t>Not applicable   Notes: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</si>
  <si>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LCR_BFFR_CTGRY</t>
  </si>
  <si>
    <t>L1</t>
  </si>
  <si>
    <t>L1 (1)</t>
  </si>
  <si>
    <t>L2A</t>
  </si>
  <si>
    <t>L2A (2)</t>
  </si>
  <si>
    <t>L2B</t>
  </si>
  <si>
    <t>L2B (3)</t>
  </si>
  <si>
    <t>tabela</t>
  </si>
  <si>
    <t>campo_conceito</t>
  </si>
  <si>
    <t>regra_conversao</t>
  </si>
  <si>
    <t>valor_conceito</t>
  </si>
  <si>
    <t>valor_final_proposto</t>
  </si>
  <si>
    <t>descritivo_valor_final</t>
  </si>
  <si>
    <t>LT002_INSTRUMENT</t>
  </si>
  <si>
    <t>LT003_ENTITY</t>
  </si>
  <si>
    <t>ELGBLTY_ECB</t>
  </si>
  <si>
    <t>Y</t>
  </si>
  <si>
    <t>Yes</t>
  </si>
  <si>
    <t>N</t>
  </si>
  <si>
    <t>No</t>
  </si>
  <si>
    <t>resto setores / clientes</t>
  </si>
  <si>
    <t>Other group entity (1)</t>
  </si>
  <si>
    <t>Third party (2)</t>
  </si>
  <si>
    <t>PRCH_UNDR_RSL_AGR</t>
  </si>
  <si>
    <t>Non-trading book</t>
  </si>
  <si>
    <t xml:space="preserve">	Performing</t>
  </si>
  <si>
    <t>PRT_LCR_BFFR</t>
  </si>
  <si>
    <t>LT004_PROTECTION</t>
  </si>
  <si>
    <t>Mark-to-market valuation</t>
  </si>
  <si>
    <t>Annual (3)</t>
  </si>
  <si>
    <t>Other (4)</t>
  </si>
  <si>
    <t>Monthly (1)</t>
  </si>
  <si>
    <t>Semi-annual (2)</t>
  </si>
  <si>
    <t>Deposits other than repurchase agreements - Deposits other than repurchase agreements in accordance with the EBA’s implementing technical standards on asset encumbrance reporting as referred to in Article 99(5) and Article 100 of Regulation (EU) No 575/2013.</t>
  </si>
  <si>
    <t>Debt securities issued - covered bonds securities  - Covered bonds securities issued in accordance with the EBA’s implementing technical standards on asset encumbrance reporting as referred to in Article 99(5) and Article 100 of Regulation (EU) No 575/2013.</t>
  </si>
  <si>
    <t>Debt securities issued - asset-backed securities  - Asset-backed securities (ABS) issued in accordance with the EBA’s implementing technical standards on asset encumbrance reporting as referred to in Article 99(5) and Article 100 of Regulation (EU) No 575/2013.</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</si>
  <si>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</si>
  <si>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Guarantees</t>
  </si>
  <si>
    <t>FX</t>
  </si>
  <si>
    <t>Security Lending</t>
  </si>
  <si>
    <t>Structured Product</t>
  </si>
  <si>
    <t>Fixed Income</t>
  </si>
  <si>
    <t>Repo</t>
  </si>
  <si>
    <t>Cash Flow Matching</t>
  </si>
  <si>
    <t>Commodity</t>
  </si>
  <si>
    <t>Securities Depository / Custody</t>
  </si>
  <si>
    <t>Exchange-traded securities</t>
  </si>
  <si>
    <t>Correspondents</t>
  </si>
  <si>
    <t>Collateral</t>
  </si>
  <si>
    <t>Securitization</t>
  </si>
  <si>
    <t>Spot</t>
  </si>
  <si>
    <t>Collateral Related with global markets business</t>
  </si>
  <si>
    <t>Fixed (1)</t>
  </si>
  <si>
    <t>Floating (2)</t>
  </si>
  <si>
    <t>Auto collateral</t>
  </si>
  <si>
    <t>Types of protection values other than notional amount, market value, fair value or long-term sustainable value</t>
  </si>
  <si>
    <t>Public (1)</t>
  </si>
  <si>
    <t>Private (2)</t>
  </si>
  <si>
    <t>VLTN_TYP</t>
  </si>
  <si>
    <t>Mark-to-market (1)</t>
  </si>
  <si>
    <t>Mark-to-model (2)</t>
  </si>
  <si>
    <t>Mark-to-model</t>
  </si>
  <si>
    <t>ambito</t>
  </si>
  <si>
    <t>segmento</t>
  </si>
  <si>
    <t>SRB_Valuation</t>
  </si>
  <si>
    <t>tabela_conceito</t>
  </si>
  <si>
    <t>valor_destino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</si>
  <si>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</si>
  <si>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</si>
  <si>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</si>
  <si>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</si>
  <si>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</si>
  <si>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</si>
  <si>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</si>
  <si>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</si>
  <si>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</si>
  <si>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</si>
  <si>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</si>
  <si>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</si>
  <si>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</si>
  <si>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</si>
  <si>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</si>
  <si>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</si>
  <si>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</si>
  <si>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</si>
  <si>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</si>
  <si>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</si>
  <si>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</si>
  <si>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INSTITUTIONAL_SECTOR</t>
  </si>
  <si>
    <t>S12</t>
  </si>
  <si>
    <t>Central Bank</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</si>
  <si>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</si>
  <si>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</si>
  <si>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</si>
  <si>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</si>
  <si>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Insurance corporations</t>
  </si>
  <si>
    <t>Pension funds</t>
  </si>
  <si>
    <t>S1313131000</t>
  </si>
  <si>
    <t>S1313132000</t>
  </si>
  <si>
    <t>S1313133000</t>
  </si>
  <si>
    <t>Non-profit institutions serving households</t>
  </si>
  <si>
    <t>S16</t>
  </si>
  <si>
    <t>S202</t>
  </si>
  <si>
    <t>S2021</t>
  </si>
  <si>
    <t>S2022</t>
  </si>
  <si>
    <t>S20221</t>
  </si>
  <si>
    <t>S202221</t>
  </si>
  <si>
    <t>S202222</t>
  </si>
  <si>
    <t>S2023</t>
  </si>
  <si>
    <t>S20231</t>
  </si>
  <si>
    <t>S20232</t>
  </si>
  <si>
    <t>S2024</t>
  </si>
  <si>
    <t>S2025</t>
  </si>
  <si>
    <t>S2025001</t>
  </si>
  <si>
    <t>S2025002</t>
  </si>
  <si>
    <t>S2025003</t>
  </si>
  <si>
    <t>S2025009</t>
  </si>
  <si>
    <t>S2026</t>
  </si>
  <si>
    <t>S2027</t>
  </si>
  <si>
    <t>S2028</t>
  </si>
  <si>
    <t>S2029</t>
  </si>
  <si>
    <t>S203</t>
  </si>
  <si>
    <t>S20312</t>
  </si>
  <si>
    <t>S20313</t>
  </si>
  <si>
    <t>S20314</t>
  </si>
  <si>
    <t>S204</t>
  </si>
  <si>
    <t>S2041</t>
  </si>
  <si>
    <t>S2042</t>
  </si>
  <si>
    <t>S205</t>
  </si>
  <si>
    <t>S3</t>
  </si>
  <si>
    <t>S401100</t>
  </si>
  <si>
    <t>S401201</t>
  </si>
  <si>
    <t>S401311</t>
  </si>
  <si>
    <t>S401341</t>
  </si>
  <si>
    <t>S4013511</t>
  </si>
  <si>
    <t>S4013512</t>
  </si>
  <si>
    <t>S401510</t>
  </si>
  <si>
    <t>S402510</t>
  </si>
  <si>
    <t>TYPE</t>
  </si>
  <si>
    <t>Financial guarantees given</t>
  </si>
  <si>
    <t>produto</t>
  </si>
  <si>
    <t>garantias financeiras prestadas</t>
  </si>
  <si>
    <t>Loan commitments given</t>
  </si>
  <si>
    <t>compromissos perante terceiros</t>
  </si>
  <si>
    <t>compromissos de credito concedidos</t>
  </si>
  <si>
    <t>Other commitments given</t>
  </si>
  <si>
    <t>outras responsabilidades perante terceiros</t>
  </si>
  <si>
    <t>garantias prestadas</t>
  </si>
  <si>
    <t>CRR_EXPOSURE_CLASS</t>
  </si>
  <si>
    <t>Central governments and central banks (ICENGOV)</t>
  </si>
  <si>
    <t>I_1.0</t>
  </si>
  <si>
    <t>I_1.1</t>
  </si>
  <si>
    <t>I_1.2</t>
  </si>
  <si>
    <t>Institutions (IINSTIT)</t>
  </si>
  <si>
    <t>I_2.0</t>
  </si>
  <si>
    <t>I_2.1</t>
  </si>
  <si>
    <t>I_2.2</t>
  </si>
  <si>
    <t>Corporates (ICORPOR)</t>
  </si>
  <si>
    <t>I_3.0</t>
  </si>
  <si>
    <t>I_3.1</t>
  </si>
  <si>
    <t>I_3.2</t>
  </si>
  <si>
    <t>I_4.0</t>
  </si>
  <si>
    <t>I_4.1</t>
  </si>
  <si>
    <t>I_4.2</t>
  </si>
  <si>
    <t>I_5.0</t>
  </si>
  <si>
    <t>I_5.1</t>
  </si>
  <si>
    <t>I_5.2</t>
  </si>
  <si>
    <t>Retail (IRETAIL)</t>
  </si>
  <si>
    <t>I_6.0</t>
  </si>
  <si>
    <t>I_6.1</t>
  </si>
  <si>
    <t>I_6.2</t>
  </si>
  <si>
    <t>I_6.3</t>
  </si>
  <si>
    <t>I_6.4</t>
  </si>
  <si>
    <t>I_6.5</t>
  </si>
  <si>
    <t>Equity (IEQUITY)</t>
  </si>
  <si>
    <t>I_7.0</t>
  </si>
  <si>
    <t>Items representing securitisation positions</t>
  </si>
  <si>
    <t>I_8.0</t>
  </si>
  <si>
    <t>Other non-credit-obligation assets (IOTHERC)</t>
  </si>
  <si>
    <t>I_9.0</t>
  </si>
  <si>
    <t>Central governments or central banks (SCENGOV)</t>
  </si>
  <si>
    <t>S_1.0</t>
  </si>
  <si>
    <t>Regional governments or local authorities (SREGGOV)</t>
  </si>
  <si>
    <t>S_2.0</t>
  </si>
  <si>
    <t>Public sector entities (SPUBSEC)</t>
  </si>
  <si>
    <t>S_3.0</t>
  </si>
  <si>
    <t>Multilateral development banks (SDEVBAN)</t>
  </si>
  <si>
    <t>S_4.0</t>
  </si>
  <si>
    <t>International organisation (SINTORG)</t>
  </si>
  <si>
    <t>S_5.0</t>
  </si>
  <si>
    <t>Institutions (SINSTIT)</t>
  </si>
  <si>
    <t>S_6.0</t>
  </si>
  <si>
    <t>Corporates (SCORPOR)</t>
  </si>
  <si>
    <t>S_7.0</t>
  </si>
  <si>
    <t>Retail (SRETAIL)</t>
  </si>
  <si>
    <t>S_8.0</t>
  </si>
  <si>
    <t>Secured by mortgages and immovable property (SSECMOR)</t>
  </si>
  <si>
    <t>S_9.0</t>
  </si>
  <si>
    <t>Defaulted (SDEFAUL)</t>
  </si>
  <si>
    <t>S_10.0</t>
  </si>
  <si>
    <t>High risk (SHIGHRI)</t>
  </si>
  <si>
    <t>S_11.0</t>
  </si>
  <si>
    <t>Covered bonds (SCOVBON)</t>
  </si>
  <si>
    <t>S_12.0</t>
  </si>
  <si>
    <t>Institutions and corporates with a short term credit assessment (SSHOTER)</t>
  </si>
  <si>
    <t>S_13.0</t>
  </si>
  <si>
    <t>Collective investment undertakings (SCOLINV)</t>
  </si>
  <si>
    <t>S_14.0</t>
  </si>
  <si>
    <t>Equity (SEQUITY)</t>
  </si>
  <si>
    <t>S_15.0</t>
  </si>
  <si>
    <t>Other (SOTHERI)</t>
  </si>
  <si>
    <t>S_16.0</t>
  </si>
  <si>
    <t>S_17.0</t>
  </si>
  <si>
    <t>LT005_INSTR_ENT</t>
  </si>
  <si>
    <t>COUNTERPARTY_ROLE</t>
  </si>
  <si>
    <t>Debtor</t>
  </si>
  <si>
    <t>tipo_conta</t>
  </si>
  <si>
    <t>EA</t>
  </si>
  <si>
    <t>Creditor</t>
  </si>
  <si>
    <t>EP</t>
  </si>
  <si>
    <t>BASE_PRODUCT</t>
  </si>
  <si>
    <t>NDF (4.2)</t>
  </si>
  <si>
    <t>field65</t>
  </si>
  <si>
    <t>CURR_FXD_FXD</t>
  </si>
  <si>
    <t xml:space="preserve">instrumento </t>
  </si>
  <si>
    <t>FX Non Delivery Forward</t>
  </si>
  <si>
    <t>Spot (4.1)</t>
  </si>
  <si>
    <t>ctipo_oper</t>
  </si>
  <si>
    <t>SPT</t>
  </si>
  <si>
    <t>Forward (4.4)</t>
  </si>
  <si>
    <t>FWD</t>
  </si>
  <si>
    <t>CURR_FXD_XSW</t>
  </si>
  <si>
    <t>Simple Exotic (4.6)</t>
  </si>
  <si>
    <t>CURR_OPT_ASN</t>
  </si>
  <si>
    <t>CURR_OPT_BAR</t>
  </si>
  <si>
    <t>CURR_OPT_FLEX</t>
  </si>
  <si>
    <t>Vanilla Option (4.5)</t>
  </si>
  <si>
    <t>CURR_OPT_SMP</t>
  </si>
  <si>
    <t>Option (5.4)</t>
  </si>
  <si>
    <t>EQD_OPT_FLEX</t>
  </si>
  <si>
    <t>CapFloor (2.3)</t>
  </si>
  <si>
    <t>IRD_CF</t>
  </si>
  <si>
    <t>IR Swap (2.1)</t>
  </si>
  <si>
    <t>IRD_IRS</t>
  </si>
  <si>
    <t>Cross Currency (2.4)</t>
  </si>
  <si>
    <t>IRD_CS</t>
  </si>
  <si>
    <t>FRA (2.2)</t>
  </si>
  <si>
    <t>IRD_FRA</t>
  </si>
  <si>
    <t>TYPE_SECURITIZATION</t>
  </si>
  <si>
    <t>Not securitised</t>
  </si>
  <si>
    <t>titu_tip</t>
  </si>
  <si>
    <t>00</t>
  </si>
  <si>
    <t>Traditional securitisation</t>
  </si>
  <si>
    <t>01</t>
  </si>
  <si>
    <t>Synthetic securitisation</t>
  </si>
  <si>
    <t>02</t>
  </si>
  <si>
    <t>99999</t>
  </si>
  <si>
    <t>REFERENCE_RATE</t>
  </si>
  <si>
    <t>EURIBOR</t>
  </si>
  <si>
    <t>OTHER SINGLE REFERENCE RATES</t>
  </si>
  <si>
    <t>04I</t>
  </si>
  <si>
    <t>12A</t>
  </si>
  <si>
    <t>12E</t>
  </si>
  <si>
    <t>12M</t>
  </si>
  <si>
    <t>1EA</t>
  </si>
  <si>
    <t>1EM</t>
  </si>
  <si>
    <t>1ME</t>
  </si>
  <si>
    <t>2AE</t>
  </si>
  <si>
    <t>2SE</t>
  </si>
  <si>
    <t>3AE</t>
  </si>
  <si>
    <t>3EA</t>
  </si>
  <si>
    <t>3EM</t>
  </si>
  <si>
    <t>3ME</t>
  </si>
  <si>
    <t>6AE</t>
  </si>
  <si>
    <t>6EA</t>
  </si>
  <si>
    <t>6EM</t>
  </si>
  <si>
    <t>6ME</t>
  </si>
  <si>
    <t>8ME</t>
  </si>
  <si>
    <t>9ME</t>
  </si>
  <si>
    <t>A12</t>
  </si>
  <si>
    <t>BCE</t>
  </si>
  <si>
    <t>DMM</t>
  </si>
  <si>
    <t>DNZ</t>
  </si>
  <si>
    <t>DTT</t>
  </si>
  <si>
    <t>E3M</t>
  </si>
  <si>
    <t>E3S</t>
  </si>
  <si>
    <t>E3T</t>
  </si>
  <si>
    <t>E6M</t>
  </si>
  <si>
    <t>EA2</t>
  </si>
  <si>
    <t>EM2</t>
  </si>
  <si>
    <t>EM4</t>
  </si>
  <si>
    <t>EM8</t>
  </si>
  <si>
    <t>EM9</t>
  </si>
  <si>
    <t>EMM</t>
  </si>
  <si>
    <t>EOM</t>
  </si>
  <si>
    <t>ES2</t>
  </si>
  <si>
    <t>ESM</t>
  </si>
  <si>
    <t>EST</t>
  </si>
  <si>
    <t>EU3</t>
  </si>
  <si>
    <t>EU6</t>
  </si>
  <si>
    <t>EUA</t>
  </si>
  <si>
    <t>EUB</t>
  </si>
  <si>
    <t>EUD</t>
  </si>
  <si>
    <t>EUR</t>
  </si>
  <si>
    <t>EUS</t>
  </si>
  <si>
    <t>EUT</t>
  </si>
  <si>
    <t>HPP</t>
  </si>
  <si>
    <t>I5C</t>
  </si>
  <si>
    <t>I5R</t>
  </si>
  <si>
    <t>I5T</t>
  </si>
  <si>
    <t>I5V</t>
  </si>
  <si>
    <t>I5X</t>
  </si>
  <si>
    <t>I6F</t>
  </si>
  <si>
    <t>I6H</t>
  </si>
  <si>
    <t>I6I</t>
  </si>
  <si>
    <t>I7K</t>
  </si>
  <si>
    <t>I7L</t>
  </si>
  <si>
    <t>I7M</t>
  </si>
  <si>
    <t>I7X</t>
  </si>
  <si>
    <t>I8I</t>
  </si>
  <si>
    <t>I8J</t>
  </si>
  <si>
    <t>I8K</t>
  </si>
  <si>
    <t>I8L</t>
  </si>
  <si>
    <t>I8M</t>
  </si>
  <si>
    <t>LBA</t>
  </si>
  <si>
    <t>LDE</t>
  </si>
  <si>
    <t>LDG</t>
  </si>
  <si>
    <t>LI6</t>
  </si>
  <si>
    <t>LIT</t>
  </si>
  <si>
    <t>MID</t>
  </si>
  <si>
    <t>MTD</t>
  </si>
  <si>
    <t>MTU</t>
  </si>
  <si>
    <t>NUL</t>
  </si>
  <si>
    <t>S3Y</t>
  </si>
  <si>
    <t>S7Y</t>
  </si>
  <si>
    <t>S8Y</t>
  </si>
  <si>
    <t>S9Y</t>
  </si>
  <si>
    <t>ST5</t>
  </si>
  <si>
    <t>STU</t>
  </si>
  <si>
    <t>STZ</t>
  </si>
  <si>
    <t>SW4</t>
  </si>
  <si>
    <t>SW5</t>
  </si>
  <si>
    <t>SW6</t>
  </si>
  <si>
    <t>SW7</t>
  </si>
  <si>
    <t>SW8</t>
  </si>
  <si>
    <t>SWA</t>
  </si>
  <si>
    <t>TCE</t>
  </si>
  <si>
    <t>TCS</t>
  </si>
  <si>
    <t>TDC</t>
  </si>
  <si>
    <t>TDZ</t>
  </si>
  <si>
    <t>TSC</t>
  </si>
  <si>
    <t>TTN</t>
  </si>
  <si>
    <t>TUZ</t>
  </si>
  <si>
    <t>TX4</t>
  </si>
  <si>
    <t>TX5</t>
  </si>
  <si>
    <t>TX7</t>
  </si>
  <si>
    <t>TXJ</t>
  </si>
  <si>
    <t>TXL</t>
  </si>
  <si>
    <t>TZZ</t>
  </si>
  <si>
    <t>W10</t>
  </si>
  <si>
    <t>W12</t>
  </si>
  <si>
    <t>W15</t>
  </si>
  <si>
    <t>W20</t>
  </si>
  <si>
    <t>X1F</t>
  </si>
  <si>
    <t>EURIBOR1M</t>
  </si>
  <si>
    <t>EURIBORSW</t>
  </si>
  <si>
    <t>EURIBORSW0</t>
  </si>
  <si>
    <t>TSRRGB1YRT</t>
  </si>
  <si>
    <t>TSRRGB3MRT</t>
  </si>
  <si>
    <t>EUR10M-AVEM</t>
  </si>
  <si>
    <t>IRCHSARO12M</t>
  </si>
  <si>
    <t>IRCHSARON6M</t>
  </si>
  <si>
    <t>IRJPYTOFR3M</t>
  </si>
  <si>
    <t>IRJPYTOFR6M</t>
  </si>
  <si>
    <t>IRUSDSOF12M</t>
  </si>
  <si>
    <t>IRUSDSOFR1M</t>
  </si>
  <si>
    <t>IRUSDSOFR3M</t>
  </si>
  <si>
    <t>Mapeamento</t>
  </si>
  <si>
    <t>Alterações ao Motor LT - Novos Campos: Definição Fechada / Dados não existem no Datalake -&gt; Ingesta</t>
  </si>
  <si>
    <t xml:space="preserve">Alterações ao Motor LT - Novos Campos: Definição Fechada / Dados não existem no Datalake -&gt; Ingesta + Dev Datalake (tabelas intermédias) </t>
  </si>
  <si>
    <t>Alterações ao Motor LT - Novos Campos: Definição Fechada / Dados não existem no Datalake -&gt; Ingesta + Dev Datalake (tabelas intermédias) + Dev Aplicação Origem Origem</t>
  </si>
  <si>
    <t>•	Exposures to legal persons:
tipo_conta='A' e instrumento_financeiro='credito concedido e outros ativos financeiros' e contraparte &lt;&gt; ‘particulares’ e contraparte_i &lt;&gt; ‘particulares’ e carteira_contabilistica &lt;&gt; 'ativos nao correntes detidos para venda'
•	Exposures to natural persons:
tipo_conta='A' e instrumento_financeiro='credito concedido e outros ativos financeiros' e contraparte = ‘particulares’ e contraparte_i = ‘particulares’ e carteira_contabilistica &lt;&gt; 'ativos nao correntes detidos para venda'
•	Off-balance sheet exposures:
tipo_conta='EA'
•	Derivatives:
instrumento_financeiro='derivados’ e tipo_conta in ('A', 'P')
•	Debt securities:
tipo_conta='A' e instrumento_financeiro='instrumentos de divida'
•	Equity:
tipo_conta='A' e instrumento_financeiro='instrumentos de capital' e carteira_contabilistica &lt;&gt; 'ativos nao correntes detidos para venda'</t>
  </si>
  <si>
    <t>Notas</t>
  </si>
  <si>
    <t>Em análise</t>
  </si>
  <si>
    <t>LT003_ENTITY.INTRNL_RTNG</t>
  </si>
  <si>
    <t>Necessário validar a necessidade de criar um novo campo ("PD misto" ) na LT002_INSTRUMENT dado que se solicita um "misto" entre a PD 12m (PD12M_IFRS9) e a PD lifetime (PD_LT_IFRS9), campos já existentes nessa tabela. A lógica a validar será: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END as PD_IFRS9_12M_LFTM_RD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 IFRS9_EAD) / SUM(IFRS9_EAD) 
             ELSE AVG(PD_IFRS9_12M_LFTM_RD)
    END as ifrs9_prob_default_impairment</t>
  </si>
  <si>
    <t>Campo "narbrut" da tabela cd_garantias.gt009_bens_imov</t>
  </si>
  <si>
    <t>Campo "narterr" da tabela cd_garantias.gt009_bens_imov</t>
  </si>
  <si>
    <t>Reportar sempre: 'N/A'</t>
  </si>
  <si>
    <t>Reportar sempre: 11111111111</t>
  </si>
  <si>
    <t>Reportar sempre: 1</t>
  </si>
  <si>
    <t>‣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 Traduzir o campo "segmento_corep_final" seguindo a parametrização apresentada na sheet 'LT831' filtrando por tabela_conceito = 'LT002_INSTRUMENT' e campo_conceito = 'CRR_EXPOSURE_CLASS'
Exemplo: O contrato A tem associados os seguintes códigos "segmento_corep_final" distintos:  I_3.1, I_5.1, S_1.0:
      1. Remover o Standard: I_3.1, I_5.1;
      2. Ficar com o menor numérico: I_3.1.</t>
  </si>
  <si>
    <t>‣ Necessário criar um novo campo no Loan Tapes que deverá ser alimentado pela tabela al029_cnt_core_m. No entanto de momento esta informação não existe na tabela al029_cnt_core_m, está em curso a análise de um desenvolvimento no ambiente ALM que prevê adicionar 8 campos à tabela al029_cnt_core_m: cap do indexante passivo, cap do all-in passivo (indexante+spread), floor do indexante passivo, floor do all-in passivo (indexante+spread), cap do indexante ativo, cap do all-in ativo(indexante+spread), floor do indexante ativo, floor do all-in ativo(indexante+spread). Este datapoint será alimentado por um destes novos campos.</t>
  </si>
  <si>
    <t>Criar um novo campo "SETTLEMENT_DATE" na tabela LT002_INSTRUMENT, que será uma 'cópia' do campo LT002_INSTRUMENT.DT_INCPTN.</t>
  </si>
  <si>
    <t xml:space="preserve">Reportar sempre: 'Entirely recognised' </t>
  </si>
  <si>
    <t>LT004_PROTECTION.DT_ORGNL_PRTCTN_VL</t>
  </si>
  <si>
    <t xml:space="preserve">LT004_PROTECTION.PRTCTN_VL
</t>
  </si>
  <si>
    <t>Reportar sempre: '0'</t>
  </si>
  <si>
    <t>‣ Este campo deve ser obtido a partir do campo "tipo_conta" da tabela fr802_pl_contas:
          1. Ligar o universo à tabela fr802_pl_contas através do campo "conta", obtendo o campo "tipo_conta";
          2. Se para a mesma conta existir  mais do que um "tipo_conta" distinto, deve-se trazer apenas um deles segundo a seguinte ordem de prioridades 'A', 'EA', 'P', 'EP'. 
                Se nenhum dos 'tipo_conta' for uma das opções ('A', 'EA', 'P', 'EP') então é indifrente qual é utilizado, de forma a que se pode trazer por exemplo o 1º encontrado.
‣ Traduzir o campo "tipo_conta" seguindo a parametrização apresentada na sheet 'LT831' filtrando por tabela_conceito = 'LT005_INSTR_ENT' e campo_conceito = 'COUNTERPARTY_ROLE'</t>
  </si>
  <si>
    <t>‣ Este campo deve ser obtido a partir da tabela fr802_pl_contas ligando o universo de contratos FINREP à tabela fr802_pl_contas através do campo 'conta', filtrando a tabela pelo campo carteira_contabilistica = 'garantias e compromissos concedidos', obtendo o campo "produto".
METODOLOGIA DE CRUZAMENTO:
Replicar a lógica de ligação com a FR802_PL_CONTAS já aplicada para outros campos do Modelo Loan Tape.
‣ Traduzir o campo "produto" seguindo a parametrização apresentada na sheet 'LT831' filtrando por tabela_conceito = 'LT002_INSTRUMENT' e campo_conceito = 'TYPE'</t>
  </si>
  <si>
    <t>‣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 Traduzir o campo "segmento_corep_final" seguindo a parametrização apresentada na sheet 'LT831' filtrando por tabela_conceito = 'LT002_INSTRUMENT' e campo_conceito = 'CRR_EXPOSURE_CLASS'
Exemplo: O contrato A tem associados os seguintes códigos "segmento_corep_final" distintos:  I_3.1, I_5.1, S_1.0:
      1. Remover o Standard: I_3.1, I_5.1;
      2. Ficar com o menor numérico: I_3.1.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</si>
  <si>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Conceito do campo não está claro.</t>
  </si>
  <si>
    <t>Informação não parece existir no datalake, necessário avaliar fontes alternativas.</t>
  </si>
  <si>
    <t>LT003_ENTITY.PST_CD</t>
  </si>
  <si>
    <t>Campo "cnuts3" da cd_captools.ct003_univ_cli</t>
  </si>
  <si>
    <t>LT003_ENTITY.CNTRY</t>
  </si>
  <si>
    <t>‣ Campo "csector_inst" da tabela cd_captools.ct003_univ_cli
‣ Traduzir o campo "csector_inst" seguindo a parametrização apresentada na sheet 'LT831' filtrando por campo_conceito = 'INSTITUTIONAL_SECTOR'</t>
  </si>
  <si>
    <t>LT003_ENTITY.ECNMC_ACTVTY</t>
  </si>
  <si>
    <t>‣ Se o cliente for uma pessoa física, então reportar N/A; 
‣ Se o cliente for uma pessoa jurídica, então recuar até à data em que o enterprize size (COD_EMPR_PME) alterou em relação ao valor que tem à data de referência (se nunca mudou será a data de constituição do cliente).
1) Cruzar LT003_ENTITY com a tabela CT003_UNIV_CLI para obter o campo ITIP_CLI:
LT003_ENTITY
LEFT JOIN
(SELECT ZCLIENTE, ITIP_CLI FROM CT003_UNIV_CLI) as CT003
ON ENTTY_ID = ZCLIENTE
2) Cruzar LT003_ENTITY com a tabela CT063_UNIV_PME para obter o campo DATE_ENTERPRIZE_SIZE_AUX:
LT003_ENTITY
LEFT JOIN
(
    SELECT
        ZCLIENTE,
        MAX(REF_DATE) as DATE_OF_ENTERPRIZE_SIZE_AUX
    FROM
    (
        SELECT
            ZCLIENTE,
            COD_EMPR_PME,
            LAG(COD_EMPR_PME) OVER(PARTITION BY ZCLIENTE ORDER BY REF_DATE) as COD_EMPR_PME_ANTERIOR,
            REF_DATE
        FROM CD_CAPTOOLS.CT063_UNIV_PME
        WHERE REF_DATE &lt;= 'ref_date'
    ) as pme
    WHERE NVL(COD_EMPR_PME,11111111111) != NVL(COD_EMPR_PME_ANTERIOR,11111111111)
    AND COD_EMPR_PME IS NOT NULL
    GROUP BY ZCLIENTE
) as PME
ON ENTTY_ID = ZCLIENTE
3) Aplicar a lógica de produção do campo DATE_ENTERPRIZE_SIZE:
IF( ITIP_CLI = 'J',  NVL(DATE_ENTERPRIZE_SIZE_AUX, '00/00/0000'), '11/11/1111' ) as DATE_ENTERPRIZE_SIZE</t>
  </si>
  <si>
    <t>‣ Se tipo_empr='Associada' utilizar o campo  num_empg_grup da tabela business_sme2003361.out_sme_2003_361
‣ Se tipo_empr='Autonoma' utilizar o campo  num_empg_indv da tabela business_sme2003361.out_sme_2003_361</t>
  </si>
  <si>
    <t>‣ Se tipo_empr='Associada' utilizar o campo  ativo_grup da tabela business_sme2003361.out_sme_2003_361
‣ Se tipo_empr='Autonoma' utilizar o campo  ativo_indv da tabela business_sme2003361.out_sme_2003_361</t>
  </si>
  <si>
    <t>Reportar sempre: 0</t>
  </si>
  <si>
    <t>Esta informação não existia no datalake, foi endereçado um desenvolvimento às areas de ALM e SIGOM de forma a passar a aprovisionar esta informação nas tabelas al005_det_swapc e al011_derivados</t>
  </si>
  <si>
    <t>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 da tabela LT002:
Metodologia de cruzamento:
	1) Cruzar o universo obtido no 2º Passo (UNIV_DERV_REPO) com o universo de clientes para obter o CLEI, CCLI_GRUPO, CNUM_DOC_IDENTIF2 e CTIPO_DOC_IDENTIF2.
	UNIV_DERV_REPO
	LEFT JOIN
	(SELECT * FROM CT003_UNIV_CLI)  AS CT003
	ON CT003.ZCLIENTE = UNIV_DERV_REPO.ENTTY_ID
	2) Cruzar com a tabela TAT 151 para obter os códigos correspondentes ao TAX ID
	LEFT JOIN
	(SELECT * FROM TAT91_TABELAS)
	ON TAYD91C0_CELEMTAB = CTIPO_DOC_IDENTIF2
	3) Cruzar com o universo de clientes para obter o valor máximo do campo CLEI (MAX_CLEI) para cada CCLI_GRUPO
	LEFT JOIN 
	(SELECT * FROM CT003_UNIV_CLI 
	GROUP BY CCLI_GRUPO)
	ON CCLI_GRUPO = CCLI_GRUPO
Metodologia de Cálculo:
	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t>
  </si>
  <si>
    <t>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ISSR_ID_TYP da tabela LT002:
Realizar metodologia de cruzamento semelhante à implementada no campo  ISSR_ID.
Quando ISSR_ID = CLEI ou ISSR_ID = MAX_CLEI, assumir 'LEI', quando o ISSR_ID = TAX_ID, assumir 'TAX', quando ISSR_ID = ZCLIENTE, assumir 'OTHER'</t>
  </si>
  <si>
    <t>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ISSR_CNTRY da tabela LT002:
NOTA: Como é um novo campo e já se confirmou que a parametrização presente no campo_lt = 'CNTRY' da tabela LT803 não responde ao pedido pelo SRB, então terá de se criar uma nova parametrização na nova tabela LT831. 
Metodologia de cruzamento (Alterar quando se fechar a parametrização):
	1) Cruzar o universo obtido no 2º Passo (UNIV_DERV_REPO) com o universo de clientes para obter o CPAIS_RESIDENCIA.
	UNIV_DERV_REPO
	LEFT JOIN
	(SELECT * FROM CT003_UNIV_CLI) 
	ON ZCLIENTE = UNIV_DERV_REPO.ENTTY_ID
	2) Cruzar com a informação da tabela de parametrização
	LEFT JOIN
	SELECT * FROM LT803_CODIGOS_LT 
	ON VALOR_ORIGEM = CPAIS_RESIDENCIA
Metodologia de Cálculo (Alterar quando se fechar a parametrização):
	VALOR_LT
	WHERE CAMPO_LT = 'CNTRY'
	AND VALOR_ORIGEM = CPAIS_RESIDENCIA
‣ Falta acabar de definir a parametrização a aplicar neste campo</t>
  </si>
  <si>
    <t>Esta informação não existia no datalake, foi endereçado um desenvolvimento às areas de ALM e SIGOM de forma a passar a aprovisionar esta informação nas tabelas al005_det_swapc e al011_derivados.</t>
  </si>
  <si>
    <t>LT002_INSTRUMENT.PRDCT</t>
  </si>
  <si>
    <t>Regra quase finalizada, falta confirmar a forma correta de verificar se um contrato Finrep está ao abrigo de um contrato ISDA.
Query proposta:
SELECT
    instrmnt_id,
    IF(al012.zcliente IS NOT NULL AND al029.dinicio &lt;= '2022-10-01', 'YES (1)', 'NO (2)' ) as contract_recogn_write_down,
    IF(al012.zcliente IS NOT NULL AND al029.dinicio &lt;= '2022-10-01', 'YES (1)', 'NO (2)' ) as contract_recogn_suspension,
    IF(al012.zcliente IS NOT NULL AND al029.dinicio &lt;= '2022-10-01', 'YES (1)', 'NO (2)' ) as contract_recogn_resolution
FROM
(
    SELECT
        instrmnt_id
    FROM bu_loantape_work.lt002_instrument_srb
    WHERE ambito = 'SRB_VALUATION'
    AND segmento = 'Derivatives'
    AND ref_date = '2024-11-30'
) as lt002 -- 496
LEFT JOIN
(
    SELECT
        CONCAT(cempresa_fr,cbalcao_fr,cnumecta_fr,zdeposit_fr) as contract_id_fr,
        CONCAT(cempresa,cbalcao,cnumecta,zdeposit) as contract_id_ct
    FROM cd_captools.kt_chaves_finrep
    WHERE ref_date = '2024-11-30'
) as chaves_finrep
ON chaves_finrep.contract_id_fr = lt002.instrmnt_id
LEFT JOIN
(
    SELECT
        CONCAT(cempresa_master,cbalcao_master,cnumecta_master,zdeposit_master) as contract_id_ct,
        CONCAT(cempresa,cbalcao,cnumecta,zdeposit) as contract_id_alm
    FROM cd_alm.kt_chaves_alm_m
    WHERE ref_date = '2024-11-30'
) as chaves_alm
ON chaves_alm.contract_id_ct = chaves_finrep.contract_id_ct
LEFT JOIN
(
    SELECT
        CONCAT(cempresa,cbalcao,cnumecta,zdeposit) as contract_id_alm,
        zcliente,
        dinicio
    FROM cd_alm.al029_cnt_core_m
    WHERE ref_date = '2024-11-30'
) as al029
ON chaves_alm.contract_id_alm = al029.contract_id_alm
LEFT JOIN
(
    SELECT
        zcliente
    FROM cd_alm.al012_cq_alm 
    WHERE ref_date = '2024-11-30'
    AND operativa = 'Derivados'
    AND cod_tip_contrato = 'ISDA'
    GROUP BY zcliente
) as al012
ON al029.zcliente = al012.zcliente</t>
  </si>
  <si>
    <t>Reportar sempre: 'MISS'</t>
  </si>
  <si>
    <t>Necessário validar se o campo al011_derivados.taxa_var_1 é uma fonte viável para este campo</t>
  </si>
  <si>
    <t>Necessário validar se o campo al011_derivados.taxa_var_2 é uma fonte viável para este campo</t>
  </si>
  <si>
    <t>LT002_INSTRUMENT.HEDGE_ID</t>
  </si>
  <si>
    <t>LT002_INSTRUMENT.ISSR_ID_TYP</t>
  </si>
  <si>
    <t>LT002_INSTRUMENT.ISSR_CNTRY
‣ Falta terminar de analisar a parametrização que deverá ser aplicada na tabela LT803</t>
  </si>
  <si>
    <t>LT002_INSTRUMENT.ISSR_ESA_2010
‣ Falta terminar de analisar a parametrização que deverá ser aplicada na tabela LT803</t>
  </si>
  <si>
    <t>LT002_INSTRUMENT.ISSR_RTNG_SRC</t>
  </si>
  <si>
    <t>LT002_INSTRUMENT.VLTN_CRRNCY</t>
  </si>
  <si>
    <t>LT002_INSTRUMENT.DT_VLTN</t>
  </si>
  <si>
    <t>LT002_INSTRUMENT.INSTRMNT_CLSS</t>
  </si>
  <si>
    <t>LT002_INSTRUMENT.PRMRY_ASST_CLSSF</t>
  </si>
  <si>
    <t>LT002_INSTRUMENT.ASST_SCRT_CLSS
‣ Falta terminar de analisar a parametrização que deverá ser aplicada na tabela LT803</t>
  </si>
  <si>
    <t>LT002_INSTRUMENT.GRNTR_ID</t>
  </si>
  <si>
    <t>LT002_INSTRUMENT.GRNTR_ID_TYP</t>
  </si>
  <si>
    <t>LT002_INSTRUMENT.INSTR_SNRTY_CLSS</t>
  </si>
  <si>
    <t>LT002_INSTRUMENT.CPN_CRRNCY</t>
  </si>
  <si>
    <t>LT002_INSTRUMENT.SRCS_ENCMBRNC
‣ Falta terminar de analisar a parametrização que deverá ser aplicada na tabela LT803</t>
  </si>
  <si>
    <t>LT002_INSTRUMENT.ACCNTNG_CLSSFCTN</t>
  </si>
  <si>
    <t>LT002_INSTRUMENT.PRFRMNG_STTS</t>
  </si>
  <si>
    <t>LT002_INSTRUMENT.PRDNTL_PRTFL</t>
  </si>
  <si>
    <t>‣ Reportar o campo "cod_tipo_taxa_ref_act" da tabela cd_alm.al029_cnt_core_m;
‣ O campo acima responde à finalidade pedida neste report, no entanto é necessário criar um campo novo no Loan Tape, que tem de ser genérico, caso outros reports também necessitem do o consumir. Necessário confirmar se a seguinte regra responde de forma genérica a este conceito:
        Reportar: SELECT CONCAT(TRIM(cod_tipo_taxa_ref_act),TRIM(cod_tipo_taxa_ref_pas)) FROM cd_alm.al029_cnt_core_m;
‣ Falta finalizar a parametrização a aplicar neste campo.</t>
  </si>
  <si>
    <t xml:space="preserve">‣ Esta informação não existia no Datalake, foi necessário pedir a ingesta da tabela “JM_SPV” da BDR, a qual já foi implementada;
‣ O Loan Tape não pode consumir informação diretamente da ingesta acima. A informação ingestada deve ser processada e introduzida numa nova tabela cd_captools.ctxxx_securitis_cap. A lógica desta tabela já foi definida e o seu desenvolvimento já foi endereçado;
‣ De seguida está a lógica que foi definida para produzir este campo, falta apenas confirmar qual o campo da tabela ct013_rwa_princ que deverá ser usado como fator de peso de forma a resolver a ambiguidade que surge ao ligar o universo FINREP ao universo da BDR:
1º Passo - Obter para cada contrato (INSTRMNT_ID) o par (S1EMP, COD_SPV) mais 'significativo':
     1. Seguir a lógica do campo RWA_MTHD, de momento a lógica é: se existir IRB e Standard então trazer informação relativa a IRB;
     2. Se mesmo assim ainda existirem vários pares (S1EMP, COD_SPV) distintos então: recuperar o par (S1EMP, COD_SPV) com o maior valor atribuído no campo !CAMPO DE PESO!;
     3. Ficamos então com uma tabela intermédia (TITU_TIP_INTR) com uma relação única entre cada contrato (INSTRMNT_ID) e os campos (S1EMP, COD_SPV).
2ª Passo - Ligar os pares (S1EMP, COD_SPV) obtidos no passo anterior com a tabela cd_captools.ctxxx_securitis_cap de forma a obter o campo TITU_TIP:
TITU_TIP_INTR
LEFT JOIN
(SELECT
      S1EMP,
      COD_SPV,
      TITU_TIP 
 FROM cd_captools.ctxxx_securitis_cap
) as SECUR_CAP
ON TITU_TIP_INTR.S1EMP = SECUR_CAP.S1EMP
AND TITU_TIP_INTR.COD_SPV = SECUR_CAP.COD_SPV
‣ Traduzir o campo " TITU_TIP " seguindo a parametrização apresentada na sheet 'LT831' filtrando por tabela_conceito = 'LT002_INSTRUMENT' e campo_conceito = 'TYPE_SECURITIZATION'.
</t>
  </si>
  <si>
    <t xml:space="preserve">Campo "nmorada" da cd_captools.ct003_univ_cli </t>
  </si>
  <si>
    <t xml:space="preserve">Campo "nlocalid" da cd_captools.ct003_univ_cli </t>
  </si>
  <si>
    <t>‣ Campo parcialmente definido, ainda está a ser avaliada a necessidade de aplicar uma regra complementar à regra definida de seguida:
     - Schema DL: cd_captools; cd_alm; cd_estruturais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ccli_grupo da CT003_UNIV_CLI  com o  zcligrupo  da MAT05_DADOSEMP para obter o cformjur:
         MAT05_DADOSEMP 
         INNER JOIN
         (SELECT zcligrupo, MAX(dano) FROM CD_CAPTOOLS.MAT05_DADOSEMP WHERE data_date_part &lt;= REF_DATE)
         ON zcligrupo = zcligrupo
         AND dano = MAX(dano)
     3) Cruzar com tabela TAT 264 para descodificar o cformjur:
         LEFT JOIN 
         (SELECT * FROM TAT91_TABELAS)
         ON cformjur = tayd91c0_celemtab"
‣ Query usada para adicionar o Legal Form à tabela lt003:
SELECT
    lt003.entty_id,
    ct003.itip_cli,
    ct003.ccli_grupo,
    mat05.cformjur,
    tat.tayd91c0_gelemtab
FROM
(
    SELECT
        entty_id
    FROM bu_loantape_work.lt003_entity_srb
    WHERE ambito = 'SRB_VALUATION'
    AND segmento = 'Off-balance sheet exposures'
    AND ref_date = '2024-11-30'
) as lt003
LEFT JOIN
(
    SELECT
        zcliente,
        itip_cli,
        ccli_grupo as ccli_grupo
    FROM cd_captools.ct003_univ_cli
    WHERE ref_date = '2024-11-30'
) as ct003
ON lt003.entty_id = ct003.zcliente
LEFT JOIN
(
    SELECT
        lpad(CAST(zcligrupo AS STRING),10,'0') as zcligrupo,
        cformjur,
        ROW_NUMBER() OVER(PARTITION BY zcligrupo ORDER BY dano DESC) as row_num
    FROM cd_alm.mat05_dadosemp 
    WHERE data_date_part = (SELECT MAX(data_date_part) FROM cd_alm.mat05_dadosemp WHERE data_date_part &lt; '2024-11-30')
    AND dano &lt;= CAST(SUBSTR('2024-11-30',1,4) AS INT)
) as mat05
ON ct003.ccli_grupo = mat05.zcligrupo
AND mat05.row_num = 1
LEFT JOIN
(
    SELECT
        tayd91c0_celemtab,
        tayd91c0_gelemtab
    FROM cd_estruturais.tat91_tabelas 
    WHERE data_date_part = (SELECT MAX(data_date_part) FROM cd_estruturais.tat91_tabelas)
    AND tayd91c0_ctabela = '264'
) as tat
ON mat05.cformjur = tat.tayd91c0_celemtab
WHERE ct003.itip_cli = 'J'
AND mat05.zcligrupo IS NOT NULL
AND TRIM(mat05.cformjur) &lt;&gt; ''</t>
  </si>
  <si>
    <t>Deverá ser usado o campo do Loan Tape:
LT002_INSTRUMENT.ISSR_ID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</si>
  <si>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 xml:space="preserve">Deverá ser usado o campo do Loan Tape:
LT002_INSTRUMENT.ISSR_ID_TYP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
</t>
  </si>
  <si>
    <t>Deverá ser usado o campo do Loan Tape:
LT002_INSTRUMENT.ISSR_CNTRY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
‣ Falta terminar de analisar a parametrização que deverá ser aplicada na tabela LT803</t>
  </si>
  <si>
    <t>Deverá ser usado o campo do Loan Tape:
LT002_INSTRUMENT.ISSR_ESA_2010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
‣ Falta terminar de analisar a parametrização que deverá ser aplicada na tabela LT803</t>
  </si>
  <si>
    <t>Deverá ser usado o campo do Loan Tape:
LT002_INSTRUMENT.ISSR_RTNG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</si>
  <si>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Deverá ser usado o campo do Loan Tape:
LT002_INSTRUMENT.ISSR_RTNG_SRC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</si>
  <si>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Novo campo que segue a seguinte regra:
     - Se for um contrato de Equity ('flag_inst_cap'=1) reportar 'MISS', nos restantes reportar 'N/A'
O campo 'flag_inst_cap' deverá ser adicionado à tabela LT001_UNIV_OPER para uso na lógica acima, com a seguinte regra: 
IF(cd_captools.fr802_pl_contas.instrumento_financeiro = 'instrumentos de capital', 1, 0)</t>
  </si>
  <si>
    <t>LT002_INSTRUMENT.INTRNL_SGMNT
‣ Traduzir o campo "INTRNL_SGMNT" seguindo as parametrizações apresentadas nas sheets:
     ‣ LT829 - filtrando por campo_conceito = 'INTRNL_SGMNT' e regra_conversao = '1';
     ‣ LT830 - filtrando por segmento = 'Exposures to legal persons' e campo_conceito = 'INTRNL_SGMNT'.</t>
  </si>
  <si>
    <t>LT004_PROTECTION.TYP_PRTCTN
‣ Traduzir o campo "TYP_PRTCTN" seguindo as parametrizações apresentadas nas sheets:
     ‣ LT829 - filtrando por campo_conceito = 'TYP_PRTCTN' e regra_conversao = '1';
     ‣ LT830 - filtrando por segmento = 'Exposures to legal persons' e campo_conceito = 'TYP_PRTCTN'.</t>
  </si>
  <si>
    <t>LT002_INSTRUMENT.INTRNL_SGMNT
‣ Traduzir o campo "INTRNL_SGMNT" seguindo as parametrizações apresentadas nas sheets:
     ‣ LT829 - filtrando por campo_conceito = 'INTRNL_SGMNT' e regra_conversao = '1';
     ‣ LT830 - filtrando por segmento = 'Exposures to natural persons' e campo_conceito = 'INTRNL_SGMNT'.</t>
  </si>
  <si>
    <t>LT002_INSTRUMENT.TYP_INSTRMNT
‣ Traduzir o campo "TYP_INSTRMNT" seguindo as parametrizações apresentadas nas sheets:
     ‣ LT829 - filtrando por campo_conceito = 'TYP_INSTRMNT' e regra_conversao = '1';
     ‣ LT830 - filtrando por segmento = 'Exposures to natural persons' e campo_conceito = 'TYP_INSTRMNT'.</t>
  </si>
  <si>
    <t>LT002_INSTRUMENT.TYP_AMRTSTN
‣ Traduzir o campo "TYP_AMRTSTN" seguindo as parametrizações apresentadas nas sheets:
     ‣ LT829 - filtrando por campo_conceito = 'TYP_AMRTSTN' e regra_conversao = '1';
     ‣ LT830 - filtrando por segmento = 'Exposures to natural persons' e campo_conceito = 'TYP_AMRTSTN'.</t>
  </si>
  <si>
    <t>LT002_INSTRUMENT.INTRST_RT_RST_FRQNCY
‣ Traduzir o campo "INTRST_RT_RST_FRQNCY" seguindo as parametrizações apresentadas nas sheets:
     ‣ LT829 - filtrando por campo_conceito = 'INTRST_RT_RST_FRQNCY' e regra_conversao = '1';
     ‣ LT830 - filtrando por segmento = 'Exposures to natural persons' e campo_conceito = 'INTRST_RT_RST_FRQNCY'.</t>
  </si>
  <si>
    <t>ILT002_INSTRUMENT.TYP_INTRST_RT
‣ Traduzir o campo "TYP_INTRST_RT" seguindo as parametrizações apresentadas nas sheets:
     ‣ LT829 - filtrando por campo_conceito = 'TYP_INTRST_RT' e regra_conversao = '1';
     ‣ LT830 - filtrando por segmento = 'Exposures to natural persons' e campo_conceito = 'TYP_INTRST_RT'.</t>
  </si>
  <si>
    <t>LT002_INSTRUMENT.PYMNT_FRQNCY
‣ Traduzir o campo "PYMNT_FRQNCY" seguindo as parametrizações apresentadas nas sheets:
     ‣ LT829 - filtrando por campo_conceito = 'PYMNT_FRQNCY' e regra_conversao = '1';
     ‣ LT830 - filtrando por segmento = 'Exposures to natural persons' e campo_conceito = 'PYMNT_FRQNCY'.</t>
  </si>
  <si>
    <t>LT002_INSTRUMENT.DFLT_STTS_INSTRMNT
‣ Traduzir o campo "DFLT_STTS_INSTRMNT" seguindo as parametrizações apresentadas nas sheets:
     ‣ LT829 - filtrando por campo_conceito = 'DFLT_STTS_INSTRMNT' e regra_conversao = '1';
     ‣ LT830 - filtrando por segmento = 'Exposures to natural persons', campo_conceito = 'DFLT_STTS_INSTRMNT'.</t>
  </si>
  <si>
    <t>LT002_INSTRUMENT.ACCNTNG_CLSSFCTN
‣ Traduzir o campo "ACCNTNG_CLSSFCTN" seguindo as parametrizações apresentadas nas sheets:
     ‣ LT829 - filtrando por campo_conceito = 'ACCNTNG_CLSSFCTN' e regra_conversao = '1';
     ‣ LT830 - filtrando por segmento = 'Exposures to natural persons', campo_conceito = 'ACCNTNG_CLSSFCTN'.</t>
  </si>
  <si>
    <t>LT002_INSTRUMENT.IMPRMNT_STTS
‣ Traduzir o campo "IMPRMNT_STTS" seguindo as parametrizações apresentadas nas sheets:
     ‣ LT829 - filtrando por campo_conceito = 'IMPRMNT_STTS' e regra_conversao = '1';
     ‣ LT830 - filtrando por segmento = 'Exposures to natural persons' e campo_conceito = 'IMPRMNT_STTS'.</t>
  </si>
  <si>
    <t>LT002_INSTRUMENT.IMPRMNT_ASSSSMNT_MTHD
‣ Traduzir o campo "IMPRMNT_ASSSSMNT_MTHD" seguindo as parametrizações apresentadas nas sheets:
     ‣ LT829 - filtrando por campo_conceito = 'IMPRMNT_ASSSSMNT_MTHD' e regra_conversao = '1';
     ‣ LT830 - filtrando por segmento = 'Exposures to natural persons' e campo_conceito = 'IMPRMNT_ASSSSMNT_MTHD'.</t>
  </si>
  <si>
    <t>LT002_INSTRUMENT.SRCS_ENCMBRNC
‣ Traduzir o campo "SRCS_ENCMBRNC" seguindo as parametrizações apresentadas nas sheets:
     ‣ LT829 - filtrando por campo_conceito = 'SRCS_ENCMBRNC' e regra_conversao = '1';
     ‣ LT830 - filtrando por segmento = 'Exposures to natural persons' e campo_conceito = 'SRCS_ENCMBRNC'.</t>
  </si>
  <si>
    <t>LT002_INSTRUMENT.PRFRMNG_STTS
‣ Traduzir o campo "PRFRMNG_STTS" seguindo as parametrizações apresentadas nas sheets:
     ‣ LT829 - filtrando por campo_conceito = 'PRFRMNG_STTS' e regra_conversao = '1';
     ‣ LT830 - filtrando por segmento = 'Exposures to natural persons' e campo_conceito = 'PRFRMNG_STTS'.</t>
  </si>
  <si>
    <t>LT002_INSTRUMENT.FRBRNC_STTS_INSTRMNT
‣ Traduzir o campo "FRBRNC_STTS_INSTRMNT" seguindo as parametrizações apresentadas nas sheets:
     ‣ LT829 - filtrando por campo_conceito = 'FRBRNC_STTS_INSTRMNT' e regra_conversao = '1';
     ‣ LT830 - filtrando por segmento = 'Exposures to natural persons' e campo_conceito = 'FRBRNC_STTS_INSTRMNT'.</t>
  </si>
  <si>
    <t>LT002_INSTRUMENT.PRDNTL_PRTFL
‣ Traduzir o campo "PRDNTL_PRTFL" seguindo as parametrizações apresentadas nas sheets:
     ‣ LT829 - filtrando por campo_conceito = 'PRDNTL_PRTFL' e regra_conversao = '1';
     ‣ LT830 - filtrando por segmento = 'Exposures to natural persons' e campo_conceito = 'PRDNTL_PRTFL'.</t>
  </si>
  <si>
    <t>LT003_ENTITY.DFLT_STTS
‣ Traduzir o campo "DFLT_STTS" seguindo as parametrizações apresentadas nas sheets:
     ‣ LT829 - filtrando por campo_conceito = 'DFLT_STTS' e regra_conversao = '1';
     ‣ LT830 - filtrando por segmento = 'Exposures to natural persons', campo_conceito = 'DFLT_STTS'.</t>
  </si>
  <si>
    <t>LT004_PROTECTION.TYP_PRTCTN
‣ Traduzir o campo "TYP_PRTCTN" seguindo as parametrizações apresentadas nas sheets:
     ‣ LT829 - filtrando por campo_conceito = 'TYP_PRTCTN' e regra_conversao = '1';
     ‣ LT830 - filtrando por segmento = 'Exposures to natural persons' e campo_conceito = 'TYP_PRTCTN'.</t>
  </si>
  <si>
    <t>LT004_PROTECTION.TYP_PRTCTN_VL
‣ Traduzir o campo "TYP_PRTCTN_VL" seguindo as parametrizações apresentadas nas sheets:
     ‣ LT829 - filtrando por campo_conceito = 'TYP_PRTCTN_VL' e regra_conversao = '1';
     ‣ LT830 - filtrando por segmento = 'Exposures to natural persons' e campo_conceito = 'TYP_PRTCTN_VL'.</t>
  </si>
  <si>
    <t>LT004_PROTECTION.PRTCTN_VLTN_APPRCH
‣ Traduzir o campo "PRTCTN_VLTN_APPRCH" seguindo as parametrizações apresentadas nas sheets:
     ‣ LT829 - filtrando por campo_conceito = 'PRTCTN_VLTN_APPRCH' e regra_conversao = '1';
     ‣ LT830 - filtrando por segmento = 'Exposures to natural persons' e campo_conceito = 'PRTCTN_VLTN_APPRCH'.</t>
  </si>
  <si>
    <t>LT002_INSTRUMENT.INTRNL_SGMNT
‣ Traduzir o campo "INTRNL_SGMNT" seguindo as parametrizações apresentadas nas sheets:
     ‣ LT829 - filtrando por campo_conceito = 'INTRNL_SGMNT' e regra_conversao = '1';
     ‣ LT830 - filtrando por segmento = 'Off-balance sheet exposures' e campo_conceito = 'INTRNL_SGMNT'.</t>
  </si>
  <si>
    <t>LT002_INSTRUMENT.DFLT_STTS_INSTRMNT
‣ Traduzir o campo "DFLT_STTS_INSTRMNT" seguindo as parametrizações apresentadas nas sheets:
     ‣ LT829 - filtrando por campo_conceito = 'DFLT_STTS_INSTRMNT' e regra_conversao = '1';
     ‣ LT830 - filtrando por segmento = 'Off-balance sheet exposures' e campo_conceito = 'DFLT_STTS_INSTRMNT'.</t>
  </si>
  <si>
    <t>LT002_INSTRUMENT.IMPRMNT_STTS
‣ Traduzir o campo "IMPRMNT_STTS" seguindo as parametrizações apresentadas nas sheets:
     ‣ LT829 - filtrando por campo_conceito = 'IMPRMNT_STTS' e regra_conversao = '1';
     ‣ LT830 - filtrando por segmento = 'Off-balance sheet exposures' e campo_conceito = 'IMPRMNT_STTS'.</t>
  </si>
  <si>
    <t>LT002_INSTRUMENT.IMPRMNT_ASSSSMNT_MTHD
‣ Traduzir o campo "IMPRMNT_ASSSSMNT_MTHD" seguindo as parametrizações apresentadas nas sheets:
     ‣ LT829 - filtrando por campo_conceito = 'IMPRMNT_ASSSSMNT_MTHD' e regra_conversao = '1';
     ‣ LT830 - filtrando por segmento = 'Off-balance sheet exposures' e campo_conceito = 'IMPRMNT_ASSSSMNT_MTHD'.</t>
  </si>
  <si>
    <t>LT002_INSTRUMENT.PRFRMNG_STTS
‣ Traduzir o campo "PRFRMNG_STTS" seguindo as parametrizações apresentadas nas sheets:
     ‣ LT829 - filtrando por campo_conceito = 'PRFRMNG_STTS' e regra_conversao = '1';
     ‣ LT830 - filtrando por segmento = 'Off-balance sheet exposures' e campo_conceito = 'PRFRMNG_STTS'.</t>
  </si>
  <si>
    <t>LT002_INSTRUMENT.FRBRNC_STTS_INSTRMNT
‣ Traduzir o campo "FRBRNC_STTS_INSTRMNT" seguindo as parametrizações apresentadas nas sheets:
     ‣ LT829 - filtrando por campo_conceito = 'FRBRNC_STTS_INSTRMNT' e regra_conversao = '1';
     ‣ LT830 - filtrando por segmento = 'Off-balance sheet exposures' e campo_conceito = 'FRBRNC_STTS_INSTRMNT'.</t>
  </si>
  <si>
    <t>LT003_ENTITY.DFLT_STTS
‣ Traduzir o campo "DFLT_STTS" seguindo as parametrizações apresentadas nas sheets:
     ‣ LT829 - filtrando por campo_conceito = 'DFLT_STTS' e regra_conversao = '1';
     ‣ LT830 - filtrando por segmento = 'Off-balance sheet exposures' e campo_conceito = 'DFLT_STTS'.</t>
  </si>
  <si>
    <t>LT003_ENTITY.LGL_PRCDNG_STTS_LE
‣ Traduzir o campo "LGL_PRCDNG_STTS_LE" seguindo as parametrizações apresentadas nas sheets:
     ‣ LT829 - filtrando por campo_conceito = 'LGL_PRCDNG_STTS_LE' e regra_conversao = '1';
     ‣ LT830 - filtrando por segmento = 'Off-balance sheet exposures' e campo_conceito = 'LGL_PRCDNG_STTS_LE'.</t>
  </si>
  <si>
    <t>LT003_ENTITY.ENTRPRS_SZ_LE
‣ Traduzir o campo "ENTRPRS_SZ_LE" seguindo as parametrizações apresentadas nas sheets:
     ‣ LT829 - filtrando por campo_conceito = 'ENTRPRS_SZ_LE' e regra_conversao = '1';
     ‣ LT830 - filtrando por segmento = 'Off-balance sheet exposures' e campo_conceito = 'ENTRPRS_SZ_LE'.</t>
  </si>
  <si>
    <t>LT003_ENTITY.ACCNTNG_FRMWRK_SL
‣ Traduzir o campo "ACCNTNG_FRMWRK_SL" seguindo as parametrizações apresentadas nas sheets:
     ‣ LT829 - filtrando por campo_conceito = 'ACCNTNG_FRMWRK_SL' e regra_conversao = '1';
     ‣ LT830 - filtrando por segmento = 'Off-balance sheet exposures', campo_conceito = 'ACCNTNG_FRMWRK_SL.</t>
  </si>
  <si>
    <t>LT004_PROTECTION.TYP_PRTCTN
‣ Traduzir o campo "TYP_PRTCTN" seguindo as parametrizações apresentadas nas sheets:
     ‣ LT829 - filtrando por campo_conceito = 'TYP_PRTCTN' e regra_conversao = '1';
     ‣ LT830 - filtrando por segmento = 'Off-balance sheet exposures' e campo_conceito = 'TYP_PRTCTN'.</t>
  </si>
  <si>
    <t>LT004_PROTECTION.TYP_PRTCTN_VL
‣ Traduzir o campo "TYP_PRTCTN_VL" seguindo as parametrizações apresentadas nas sheets:
     ‣ LT829 - filtrando por campo_conceito = 'TYP_PRTCTN_VL' e regra_conversao = '1';
     ‣ LT830 - filtrando por segmento = 'Off-balance sheet exposures' e campo_conceito = 'TYP_PRTCTN_VL'.</t>
  </si>
  <si>
    <t>LT004_PROTECTION.PRTCTN_VLTN_APPRCH
‣ Traduzir o campo "PRTCTN_VLTN_APPRCH" seguindo as parametrizações apresentadas nas sheets:
     ‣ LT829 - filtrando por campo_conceito = 'PRTCTN_VLTN_APPRCH' e regra_conversao = '1';
     ‣ LT830 - filtrando por segmento = 'Off-balance sheet exposures' e campo_conceito = 'PRTCTN_VLTN_APPRCH'.</t>
  </si>
  <si>
    <t>LT002_INSTRUMENT.ACCNTNG_CLSSFCTN
‣ Traduzir o campo "ACCNTNG_CLSSFCTN" seguindo as parametrizações apresentadas nas sheets:
     ‣ LT829 - filtrando por campo_conceito = 'ACCNTNG_CLSSFCTN' e regra_conversao = '2';
     ‣ LT830 - filtrando por segmento = 'Derivatives' e campo_conceito = 'ACCNTNG_CLSSFCTN'.</t>
  </si>
  <si>
    <t>LT002_INSTRUMENT.PRDNTL_PRTFL
‣ Traduzir o campo "PRDNTL_PRTFL" seguindo as parametrizações apresentadas nas sheets:
     ‣ LT829 - filtrando por campo_conceito = 'PRDNTL_PRTFL' e regra_conversao = '1';
     ‣ LT830 - filtrando por segmento = 'Derivatives' e campo_conceito = 'PRDNTL_PRTFL'.</t>
  </si>
  <si>
    <t>LT002_INSTRUMENT.ISSR_NACE_SCTR
‣ Traduzir o campo "ISSR_NACE_SCTR" seguindo as parametrizações apresentadas nas sheets:
     ‣ LT829 - filtrando por campo_conceito = 'ECNMC_ACTVTY' e regra_conversao = '1';
     ‣ LT830 - filtrando por segmento = 'Debt securities' e campo_conceito = 'ECNMC_ACTVTY'.</t>
  </si>
  <si>
    <t>LT002_INSTRUMENT.ISSR_TYP
‣ Traduzir o campo "ISSR_TYP" seguindo as parametrizações apresentadas nas sheets:
     ‣ LT829 - filtrando por campo_conceito = 'ISSR_TYP' e regra_conversao = '1';
     ‣ LT830 - filtrando por segmento = 'Debt securities' e campo_conceito = 'ISSR_TYP'.</t>
  </si>
  <si>
    <t>LT002_INSTRUMENT.VLTN_TYP
‣ Traduzir o campo "VLTN_TYP" seguindo as parametrizações apresentadas nas sheets:
     ‣ LT829 - filtrando por campo_conceito = 'VLTN_TYP' e regra_conversao = '1';
     ‣ LT830 - filtrando por segmento = 'Debt securities' e campo_conceito = 'VLTN_TYP'.</t>
  </si>
  <si>
    <t>LT002_INSTRUMENT.TYPE_OF_PLCMNT
‣ Traduzir o campo "TYPE_OF_PLCMNT" seguindo as parametrizações apresentadas nas sheets:
     ‣ LT829 - filtrando por campo_conceito = 'TYPE_OF_PLCMNT' e regra_conversao = '1';
     ‣ LT830 - filtrando por segmento = 'Debt securities' e campo_conceito = 'TYPE_OF_PLCMNT'.</t>
  </si>
  <si>
    <t>LT002_INSTRUMENT.TYP_INTRST_RT
‣ Traduzir o campo "TYP_INTRST_RT" seguindo as parametrizações apresentadas nas sheets:
     ‣ LT829 - filtrando por campo_conceito = 'TYP_INTRST_RT' e regra_conversao = '2';
     ‣ LT830 - filtrando por segmento = 'Exposures to natural persons' e campo_conceito = 'TYP_INTRST_RT'.</t>
  </si>
  <si>
    <t>LT002_INSTRUMENT.PYMNT_FRQNCY
‣ Traduzir o campo "PYMNT_FRQNCY" seguindo as parametrizações apresentadas nas sheets:
     ‣ LT829 - filtrando por campo_conceito = 'PYMNT_FRQNCY' e regra_conversao = '2';
     ‣ LT830 - filtrando por segmento = 'Debt securities' e campo_conceito = 'PYMNT_FRQNCY'.</t>
  </si>
  <si>
    <t>LT002_INSTRUMENT.PRCH_UNDR_RSL_AGR
‣ Traduzir o campo "PRCH_UNDR_RSL_AGR" seguindo as parametrizações apresentadas nas sheets:
     ‣ LT829 - filtrando por campo_conceito = 'PRCH_UNDR_RSL_AGR' e regra_conversao = '1';
     ‣ LT830 - filtrando por segmento = 'Debt securities' e campo_conceito = 'PRCH_UNDR_RSL_AGR'.</t>
  </si>
  <si>
    <t>LT002_INSTRUMENT.ELGBLTY_ECB
‣ Traduzir o campo "ELGBLTY_ECB" seguindo as parametrizações apresentadas nas sheets:
     ‣ LT829 - filtrando por campo_conceito = 'ELGBLTY_ECB' e regra_conversao = '1';
     ‣ LT830 - filtrando por segmento = 'Debt securities' e campo_conceito = 'ELGBLTY_ECB'.</t>
  </si>
  <si>
    <t>LT002_INSTRUMENT.PRT_LCR_BFFR
‣ Traduzir o campo "PRT_LCR_BFFR" seguindo as parametrizações apresentadas nas sheets:
     ‣ LT829 - filtrando por campo_conceito = 'PRT_LCR_BFFR' e regra_conversao = '1';
     ‣ LT830 - filtrando por segmento = 'Debt securities' e campo_conceito = 'PRT_LCR_BFFR'.</t>
  </si>
  <si>
    <t>LT002_INSTRUMENT.LCR_BFFR_CTGRY
‣ Traduzir o campo "LCR_BFFR_CTGRY" seguindo as parametrizações apresentadas nas sheets:
     ‣ LT829 - filtrando por campo_conceito = 'LCR_BFFR_CTGRY' e regra_conversao = '1';
     ‣ LT830 - filtrando por segmento = 'Debt securities' e campo_conceito = 'LCR_BFFR_CTGRY'.</t>
  </si>
  <si>
    <t xml:space="preserve">Deverá ser usado o campo do Loan Tape:
LT002_INSTRUMENT.ISSR_NACE_SCTR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
‣ Traduzir o campo "ISSR_NACE_SCTR" seguindo as parametrizações apresentadas nas sheets:
     ‣ LT829 - filtrando por campo_conceito = 'ECNMC_ACTVTY' e regra_conversao = '1';
     ‣ LT830 - filtrando por segmento = 'Equity' e campo_conceito = 'ECNMC_ACTVTY'.
</t>
  </si>
  <si>
    <t xml:space="preserve">Deverá ser usado o campo do Loan Tape:
LT002_INSTRUMENT.ISSR_TYP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
‣ Traduzir o campo "ISSR_TYP" seguindo as parametrizações apresentadas nas sheets:
     ‣ LT829 - filtrando por campo_conceito = 'ISSR_TYP' e regra_conversao = '1';
     ‣ LT830 - filtrando por segmento = 'Equity' e campo_conceito = 'ISSR_TYP'.
</t>
  </si>
  <si>
    <t>Deverá ser usado o campo do Loan Tape:
LT002_INSTRUMENT.VLTN_TYP
Com uma alteração na regra de N/A:
 - Se flag_inst_div = 0 (LT001_UNIV_OPER) AND flag_inst_cap = 0 (LT001_UNIV_OPER)
O campo 'flag_inst_cap' deverá ser adicionado à tabela LT001_UNIV_OPER para uso na lógica acima, com a seguinte regra: 
IF(cd_captools.fr802_pl_contas.instrumento_financeiro = 'instrumentos de capital', 1, 0)
‣ Traduzir o campo "VLTN_TYP" seguindo as parametrizações apresentadas nas sheets:
     ‣ LT829 - filtrando por campo_conceito = 'VLTN_TYP' e regra_conversao = '1';
     ‣ LT830 - filtrando por segmento = 'Equity' e campo_conceito = 'VLTN_TYP'.</t>
  </si>
  <si>
    <t>LT002_INSTRUMENT.PRT_LCR_BFFR
‣ Traduzir o campo "PRT_LCR_BFFR" seguindo as parametrizações apresentadas nas sheets:
     ‣ LT829 - filtrando por campo_conceito = 'PRT_LCR_BFFR' e regra_conversao = '1';
     ‣ LT830 - filtrando por segmento = 'Equity' e campo_conceito = 'PRT_LCR_BFFR'.</t>
  </si>
  <si>
    <t>Fonte de informação:
al012_cq_alm.cod_ref_cq
Lógica a aplicar:
- Se houver duplicados, utilizar  o cod_ref_cq com a data fim mais recente (campo dt_fim).
- A tabela al012_cq_alm é atacada por zcliente e não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zcliente com cod_ref_cq preenchido, preencher 'N/A'</t>
  </si>
  <si>
    <t xml:space="preserve">Estão a ser analisados os pontos abaixo:
- Terá de ser adicionada uma coluna nova à tabela do dicionário de títulos para refletir esta informação;
- Para os restantes (que não Títulos), terá de ser criada uma tabela de parametrização com os seguintes campos: carteira_contabilistica, cempresa, cbalcao, cnumecta, zdeposit, folder murex (que existe na al011_derivados e al005_det_swapc) e hierarquia;
- Terá de se definir quem será o Owner desta informação. </t>
  </si>
  <si>
    <t>Conceito a revisitar no futuro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</si>
</sst>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rgb="FF000000"/>
      <name val="Calibri"/>
      <family val="2"/>
      <scheme val="minor"/>
    </font>
    <font>
      <b/>
      <sz val="14"/>
      <color theme="0"/>
      <name val="Calibri"/>
      <family val="2"/>
      <scheme val="minor"/>
    </font>
    <font>
      <sz val="11"/>
      <color rgb="FF000000"/>
      <name val="Calibri"/>
      <family val="2"/>
    </font>
    <font>
      <sz val="11"/>
      <name val="Calibri"/>
      <family val="2"/>
    </font>
    <font>
      <sz val="11"/>
      <color rgb="FF242424"/>
      <name val="Aptos Narrow"/>
      <charset val="1"/>
    </font>
    <font>
      <strike/>
      <sz val="11"/>
      <color rgb="FF000000"/>
      <name val="Calibri"/>
      <family val="2"/>
      <scheme val="minor"/>
    </font>
    <font>
      <sz val="11"/>
      <color rgb="FF000000"/>
      <name val="Calibri"/>
    </font>
    <font>
      <b/>
      <sz val="11"/>
      <color theme="0"/>
      <name val="Calibri"/>
      <family val="2"/>
      <charset val="1"/>
    </font>
    <font>
      <b/>
      <sz val="11"/>
      <color rgb="FF000000"/>
      <name val="Calibri"/>
      <scheme val="minor"/>
    </font>
    <font>
      <b/>
      <sz val="11"/>
      <color rgb="FFFFFFFF"/>
      <name val="Calibri"/>
      <family val="2"/>
    </font>
  </fonts>
  <fills count="26">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5"/>
        <bgColor indexed="6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2"/>
        <bgColor indexed="64"/>
      </patternFill>
    </fill>
    <fill>
      <patternFill patternType="solid">
        <fgColor theme="2"/>
        <bgColor theme="4" tint="0.79998168889431442"/>
      </patternFill>
    </fill>
    <fill>
      <patternFill patternType="solid">
        <fgColor theme="4"/>
        <bgColor indexed="64"/>
      </patternFill>
    </fill>
    <fill>
      <patternFill patternType="solid">
        <fgColor rgb="FFFFFF00"/>
        <bgColor rgb="FF000000"/>
      </patternFill>
    </fill>
    <fill>
      <patternFill patternType="solid">
        <fgColor rgb="FFFFFFFF"/>
        <bgColor rgb="FF000000"/>
      </patternFill>
    </fill>
    <fill>
      <patternFill patternType="solid">
        <fgColor theme="4" tint="-0.499984740745262"/>
        <bgColor indexed="64"/>
      </patternFill>
    </fill>
    <fill>
      <patternFill patternType="solid">
        <fgColor theme="4" tint="-0.499984740745262"/>
        <bgColor rgb="FFDDEBF7"/>
      </patternFill>
    </fill>
  </fills>
  <borders count="97">
    <border>
      <left/>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style="medium">
        <color indexed="64"/>
      </top>
      <bottom style="medium">
        <color indexed="64"/>
      </bottom>
      <diagonal/>
    </border>
    <border>
      <left/>
      <right/>
      <top style="medium">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bottom/>
      <diagonal/>
    </border>
    <border>
      <left style="thin">
        <color rgb="FF000000"/>
      </left>
      <right style="medium">
        <color indexed="64"/>
      </right>
      <top/>
      <bottom style="medium">
        <color indexed="64"/>
      </bottom>
      <diagonal/>
    </border>
    <border>
      <left style="thin">
        <color rgb="FF000000"/>
      </left>
      <right style="thin">
        <color rgb="FF000000"/>
      </right>
      <top/>
      <bottom style="medium">
        <color indexed="64"/>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rgb="FF000000"/>
      </bottom>
      <diagonal/>
    </border>
    <border>
      <left style="medium">
        <color rgb="FF000000"/>
      </left>
      <right style="thin">
        <color rgb="FF000000"/>
      </right>
      <top/>
      <bottom style="medium">
        <color rgb="FF000000"/>
      </bottom>
      <diagonal/>
    </border>
    <border>
      <left/>
      <right style="medium">
        <color indexed="64"/>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s>
  <cellStyleXfs count="4">
    <xf numFmtId="0" fontId="0" fillId="0" borderId="0"/>
    <xf numFmtId="0" fontId="5" fillId="0" borderId="0"/>
    <xf numFmtId="0" fontId="7" fillId="0" borderId="0" applyNumberFormat="0" applyFill="0" applyBorder="0" applyAlignment="0" applyProtection="0"/>
    <xf numFmtId="0" fontId="5" fillId="0" borderId="0"/>
  </cellStyleXfs>
  <cellXfs count="685">
    <xf numFmtId="0" fontId="0" fillId="0" borderId="0" xfId="0"/>
    <xf numFmtId="0" fontId="1" fillId="2" borderId="2"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4" fillId="12" borderId="0" xfId="0" applyFont="1" applyFill="1" applyAlignment="1">
      <alignment horizontal="center" vertical="center"/>
    </xf>
    <xf numFmtId="0" fontId="0" fillId="5" borderId="0" xfId="0" applyFill="1" applyAlignment="1">
      <alignment horizontal="left" vertical="center" wrapText="1"/>
    </xf>
    <xf numFmtId="0" fontId="0" fillId="11" borderId="0" xfId="0" applyFill="1" applyAlignment="1">
      <alignment horizontal="left" vertical="center" wrapText="1"/>
    </xf>
    <xf numFmtId="0" fontId="0" fillId="5" borderId="0" xfId="0" applyFill="1" applyAlignment="1">
      <alignment horizontal="center" vertical="center" wrapText="1"/>
    </xf>
    <xf numFmtId="0" fontId="4" fillId="11" borderId="0" xfId="0" applyFont="1" applyFill="1" applyAlignment="1">
      <alignment horizontal="center" vertical="center"/>
    </xf>
    <xf numFmtId="0" fontId="4" fillId="12" borderId="0" xfId="0" applyFont="1" applyFill="1" applyAlignment="1">
      <alignment horizontal="center" vertical="center" wrapText="1"/>
    </xf>
    <xf numFmtId="0" fontId="0" fillId="11" borderId="0" xfId="0" applyFill="1" applyAlignment="1">
      <alignment horizontal="center" vertical="center" wrapText="1"/>
    </xf>
    <xf numFmtId="0" fontId="0" fillId="5" borderId="0" xfId="0" quotePrefix="1" applyFill="1" applyAlignment="1">
      <alignment horizontal="center" vertical="center" wrapText="1"/>
    </xf>
    <xf numFmtId="0" fontId="0" fillId="11" borderId="0" xfId="0" quotePrefix="1" applyFill="1" applyAlignment="1">
      <alignment horizontal="center" vertical="center" wrapText="1"/>
    </xf>
    <xf numFmtId="0" fontId="6" fillId="5" borderId="0" xfId="0" applyFont="1" applyFill="1" applyAlignment="1">
      <alignment horizontal="center" vertical="center" wrapText="1"/>
    </xf>
    <xf numFmtId="0" fontId="0" fillId="11" borderId="0" xfId="0" applyFill="1"/>
    <xf numFmtId="0" fontId="1" fillId="2" borderId="2" xfId="0" applyFont="1" applyFill="1" applyBorder="1" applyAlignment="1">
      <alignment horizontal="left" vertical="top" wrapText="1"/>
    </xf>
    <xf numFmtId="0" fontId="0" fillId="0" borderId="0" xfId="0" applyAlignment="1">
      <alignment horizontal="center"/>
    </xf>
    <xf numFmtId="0" fontId="1" fillId="0" borderId="0" xfId="0" applyFont="1" applyAlignment="1">
      <alignment horizontal="center" vertical="center"/>
    </xf>
    <xf numFmtId="0" fontId="1" fillId="19" borderId="15" xfId="0" applyFont="1" applyFill="1" applyBorder="1" applyAlignment="1">
      <alignment horizontal="center" vertical="center"/>
    </xf>
    <xf numFmtId="0" fontId="1" fillId="19" borderId="1" xfId="0" applyFont="1" applyFill="1" applyBorder="1" applyAlignment="1">
      <alignment horizontal="right"/>
    </xf>
    <xf numFmtId="0" fontId="1" fillId="19" borderId="13" xfId="0" applyFont="1" applyFill="1" applyBorder="1" applyAlignment="1">
      <alignment horizontal="center" vertical="center"/>
    </xf>
    <xf numFmtId="0" fontId="1" fillId="19" borderId="14" xfId="0" applyFont="1" applyFill="1" applyBorder="1" applyAlignment="1">
      <alignment horizontal="center" vertical="center"/>
    </xf>
    <xf numFmtId="0" fontId="0" fillId="0" borderId="4" xfId="0" applyBorder="1"/>
    <xf numFmtId="0" fontId="0" fillId="0" borderId="3" xfId="0" applyBorder="1" applyAlignment="1">
      <alignment horizontal="left"/>
    </xf>
    <xf numFmtId="0" fontId="1" fillId="19" borderId="12" xfId="0" applyFont="1" applyFill="1" applyBorder="1" applyAlignment="1">
      <alignment horizontal="center" vertical="center"/>
    </xf>
    <xf numFmtId="0" fontId="0" fillId="0" borderId="12" xfId="0" applyBorder="1"/>
    <xf numFmtId="0" fontId="1" fillId="19" borderId="18" xfId="0" applyFont="1" applyFill="1" applyBorder="1"/>
    <xf numFmtId="0" fontId="1" fillId="19" borderId="3" xfId="0" applyFont="1" applyFill="1" applyBorder="1" applyAlignment="1">
      <alignment horizontal="center" vertical="center"/>
    </xf>
    <xf numFmtId="0" fontId="1" fillId="19" borderId="4" xfId="0" applyFont="1" applyFill="1" applyBorder="1" applyAlignment="1">
      <alignment horizontal="center" vertical="center"/>
    </xf>
    <xf numFmtId="0" fontId="1" fillId="0" borderId="3" xfId="0" applyFont="1" applyBorder="1" applyAlignment="1">
      <alignment horizontal="center"/>
    </xf>
    <xf numFmtId="10" fontId="0" fillId="0" borderId="4" xfId="0" applyNumberFormat="1" applyBorder="1" applyAlignment="1">
      <alignment horizontal="center"/>
    </xf>
    <xf numFmtId="0" fontId="1" fillId="19" borderId="5" xfId="0" applyFont="1" applyFill="1" applyBorder="1" applyAlignment="1">
      <alignment horizontal="center"/>
    </xf>
    <xf numFmtId="10" fontId="1" fillId="19" borderId="6" xfId="0" applyNumberFormat="1" applyFont="1" applyFill="1"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1" fillId="19" borderId="21" xfId="0" applyFont="1" applyFill="1" applyBorder="1" applyAlignment="1">
      <alignment horizontal="center"/>
    </xf>
    <xf numFmtId="0" fontId="1" fillId="19" borderId="4" xfId="0" applyFont="1" applyFill="1" applyBorder="1" applyAlignment="1">
      <alignment horizontal="center" vertical="center" wrapText="1"/>
    </xf>
    <xf numFmtId="10" fontId="1" fillId="0" borderId="4" xfId="0" applyNumberFormat="1" applyFont="1" applyBorder="1" applyAlignment="1">
      <alignment horizontal="center"/>
    </xf>
    <xf numFmtId="0" fontId="0" fillId="0" borderId="23" xfId="0" applyBorder="1"/>
    <xf numFmtId="0" fontId="0" fillId="0" borderId="9" xfId="0" applyBorder="1" applyAlignment="1">
      <alignment horizontal="left"/>
    </xf>
    <xf numFmtId="0" fontId="0" fillId="9" borderId="3" xfId="0" applyFill="1" applyBorder="1" applyAlignment="1">
      <alignment horizontal="center"/>
    </xf>
    <xf numFmtId="0" fontId="2" fillId="11" borderId="11" xfId="0" applyFont="1" applyFill="1" applyBorder="1" applyAlignment="1">
      <alignment vertical="center" wrapText="1"/>
    </xf>
    <xf numFmtId="0" fontId="0" fillId="11" borderId="0" xfId="0" applyFill="1" applyAlignment="1">
      <alignment horizontal="left" vertical="center"/>
    </xf>
    <xf numFmtId="0" fontId="4" fillId="4" borderId="24" xfId="0" applyFont="1" applyFill="1" applyBorder="1" applyAlignment="1">
      <alignment horizontal="center" vertical="center"/>
    </xf>
    <xf numFmtId="0" fontId="0" fillId="3" borderId="24" xfId="0"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horizontal="left" vertical="center" wrapText="1"/>
    </xf>
    <xf numFmtId="0" fontId="4" fillId="4" borderId="28" xfId="0" applyFont="1" applyFill="1" applyBorder="1" applyAlignment="1">
      <alignment horizontal="center" vertical="center"/>
    </xf>
    <xf numFmtId="0" fontId="4" fillId="4" borderId="29" xfId="0" applyFont="1" applyFill="1" applyBorder="1" applyAlignment="1">
      <alignment horizontal="center" vertical="center"/>
    </xf>
    <xf numFmtId="0" fontId="0" fillId="3" borderId="28" xfId="0" applyFill="1" applyBorder="1" applyAlignment="1">
      <alignment horizontal="center" vertical="center" wrapText="1"/>
    </xf>
    <xf numFmtId="0" fontId="0" fillId="3" borderId="29" xfId="0" applyFill="1" applyBorder="1" applyAlignment="1">
      <alignment horizontal="left" vertical="center" wrapText="1"/>
    </xf>
    <xf numFmtId="0" fontId="0" fillId="0" borderId="28" xfId="0" applyBorder="1" applyAlignment="1">
      <alignment horizontal="center" vertical="center" wrapText="1"/>
    </xf>
    <xf numFmtId="0" fontId="0" fillId="0" borderId="29" xfId="0" applyBorder="1" applyAlignment="1">
      <alignment horizontal="left" vertical="center" wrapText="1"/>
    </xf>
    <xf numFmtId="0" fontId="0" fillId="3" borderId="30" xfId="0" applyFill="1" applyBorder="1" applyAlignment="1">
      <alignment horizontal="center" vertical="center" wrapText="1"/>
    </xf>
    <xf numFmtId="0" fontId="0" fillId="3" borderId="31" xfId="0" applyFill="1" applyBorder="1" applyAlignment="1">
      <alignment horizontal="center" vertical="center" wrapText="1"/>
    </xf>
    <xf numFmtId="0" fontId="0" fillId="3" borderId="32" xfId="0" applyFill="1" applyBorder="1" applyAlignment="1">
      <alignment horizontal="left" vertical="center" wrapText="1"/>
    </xf>
    <xf numFmtId="0" fontId="4" fillId="13" borderId="24" xfId="0" applyFont="1" applyFill="1" applyBorder="1" applyAlignment="1">
      <alignment horizontal="center" vertical="center" wrapText="1"/>
    </xf>
    <xf numFmtId="0" fontId="0" fillId="7" borderId="24" xfId="0" applyFill="1" applyBorder="1" applyAlignment="1">
      <alignment horizontal="center" vertical="center" wrapText="1"/>
    </xf>
    <xf numFmtId="0" fontId="0" fillId="7" borderId="24" xfId="0" applyFill="1" applyBorder="1" applyAlignment="1">
      <alignment horizontal="left" vertical="center" wrapText="1"/>
    </xf>
    <xf numFmtId="0" fontId="0" fillId="11" borderId="24" xfId="0" applyFill="1" applyBorder="1" applyAlignment="1">
      <alignment horizontal="center" vertical="center" wrapText="1"/>
    </xf>
    <xf numFmtId="0" fontId="0" fillId="11" borderId="24" xfId="0" quotePrefix="1" applyFill="1" applyBorder="1" applyAlignment="1">
      <alignment horizontal="center" vertical="center" wrapText="1"/>
    </xf>
    <xf numFmtId="0" fontId="0" fillId="7" borderId="24" xfId="0" quotePrefix="1" applyFill="1" applyBorder="1" applyAlignment="1">
      <alignment horizontal="center" vertical="center" wrapText="1"/>
    </xf>
    <xf numFmtId="0" fontId="0" fillId="11" borderId="24" xfId="0" applyFill="1" applyBorder="1" applyAlignment="1">
      <alignment horizontal="left" vertical="center" wrapText="1"/>
    </xf>
    <xf numFmtId="0" fontId="4" fillId="13" borderId="28" xfId="0" applyFont="1" applyFill="1" applyBorder="1" applyAlignment="1">
      <alignment horizontal="center" vertical="center" wrapText="1"/>
    </xf>
    <xf numFmtId="0" fontId="4" fillId="13" borderId="29" xfId="0" applyFont="1" applyFill="1" applyBorder="1" applyAlignment="1">
      <alignment horizontal="center" vertical="center" wrapText="1"/>
    </xf>
    <xf numFmtId="0" fontId="0" fillId="7" borderId="28" xfId="0" applyFill="1" applyBorder="1" applyAlignment="1">
      <alignment horizontal="center" vertical="center" wrapText="1"/>
    </xf>
    <xf numFmtId="0" fontId="0" fillId="7" borderId="29" xfId="0" applyFill="1" applyBorder="1" applyAlignment="1">
      <alignment horizontal="left" vertical="center" wrapText="1"/>
    </xf>
    <xf numFmtId="0" fontId="0" fillId="11" borderId="28" xfId="0" applyFill="1" applyBorder="1" applyAlignment="1">
      <alignment horizontal="center" vertical="center" wrapText="1"/>
    </xf>
    <xf numFmtId="0" fontId="0" fillId="11" borderId="29" xfId="0" quotePrefix="1" applyFill="1" applyBorder="1" applyAlignment="1">
      <alignment horizontal="center" vertical="center" wrapText="1"/>
    </xf>
    <xf numFmtId="0" fontId="0" fillId="7" borderId="28" xfId="0" quotePrefix="1" applyFill="1" applyBorder="1" applyAlignment="1">
      <alignment horizontal="center" vertical="center" wrapText="1"/>
    </xf>
    <xf numFmtId="0" fontId="0" fillId="7" borderId="29" xfId="0" quotePrefix="1" applyFill="1" applyBorder="1" applyAlignment="1">
      <alignment horizontal="center" vertical="center" wrapText="1"/>
    </xf>
    <xf numFmtId="0" fontId="0" fillId="7" borderId="29" xfId="0" applyFill="1" applyBorder="1" applyAlignment="1">
      <alignment horizontal="center" vertical="center" wrapText="1"/>
    </xf>
    <xf numFmtId="0" fontId="0" fillId="7" borderId="30" xfId="0" applyFill="1" applyBorder="1" applyAlignment="1">
      <alignment horizontal="center" vertical="center" wrapText="1"/>
    </xf>
    <xf numFmtId="0" fontId="0" fillId="7" borderId="31" xfId="0" applyFill="1" applyBorder="1" applyAlignment="1">
      <alignment horizontal="left" vertical="center" wrapText="1"/>
    </xf>
    <xf numFmtId="0" fontId="0" fillId="7" borderId="32" xfId="0" applyFill="1" applyBorder="1" applyAlignment="1">
      <alignment horizontal="left" vertical="center" wrapText="1"/>
    </xf>
    <xf numFmtId="0" fontId="4" fillId="15" borderId="24" xfId="0" applyFont="1" applyFill="1" applyBorder="1" applyAlignment="1">
      <alignment horizontal="center" vertical="center"/>
    </xf>
    <xf numFmtId="0" fontId="0" fillId="5" borderId="24" xfId="0" applyFill="1" applyBorder="1" applyAlignment="1">
      <alignment horizontal="left" vertical="center" wrapText="1"/>
    </xf>
    <xf numFmtId="0" fontId="0" fillId="5" borderId="24" xfId="0" applyFill="1" applyBorder="1" applyAlignment="1">
      <alignment horizontal="center" vertical="center" wrapText="1"/>
    </xf>
    <xf numFmtId="0" fontId="0" fillId="0" borderId="29" xfId="0" applyBorder="1" applyAlignment="1">
      <alignment horizontal="center" vertical="center" wrapText="1"/>
    </xf>
    <xf numFmtId="0" fontId="3" fillId="3" borderId="24" xfId="0" applyFont="1" applyFill="1" applyBorder="1" applyAlignment="1">
      <alignment horizontal="center" vertical="center" wrapText="1"/>
    </xf>
    <xf numFmtId="0" fontId="0" fillId="3" borderId="32" xfId="0" applyFill="1" applyBorder="1" applyAlignment="1">
      <alignment horizontal="left" vertical="top" wrapText="1"/>
    </xf>
    <xf numFmtId="0" fontId="0" fillId="7" borderId="29" xfId="0" applyFill="1" applyBorder="1" applyAlignment="1">
      <alignment horizontal="left" vertical="top" wrapText="1"/>
    </xf>
    <xf numFmtId="0" fontId="0" fillId="0" borderId="29" xfId="0" applyBorder="1" applyAlignment="1">
      <alignment horizontal="left" vertical="top" wrapText="1"/>
    </xf>
    <xf numFmtId="0" fontId="0" fillId="7" borderId="30" xfId="0" quotePrefix="1" applyFill="1" applyBorder="1" applyAlignment="1">
      <alignment horizontal="center" vertical="center" wrapText="1"/>
    </xf>
    <xf numFmtId="0" fontId="0" fillId="7" borderId="31" xfId="0" quotePrefix="1" applyFill="1" applyBorder="1" applyAlignment="1">
      <alignment horizontal="center" vertical="center" wrapText="1"/>
    </xf>
    <xf numFmtId="0" fontId="0" fillId="7" borderId="32" xfId="0" quotePrefix="1" applyFill="1" applyBorder="1" applyAlignment="1">
      <alignment horizontal="center" vertical="center" wrapText="1"/>
    </xf>
    <xf numFmtId="0" fontId="0" fillId="19" borderId="24" xfId="0" applyFill="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left" vertical="top" wrapText="1"/>
    </xf>
    <xf numFmtId="0" fontId="0" fillId="5" borderId="24" xfId="0" quotePrefix="1" applyFill="1" applyBorder="1" applyAlignment="1">
      <alignment horizontal="center" vertical="center" wrapText="1"/>
    </xf>
    <xf numFmtId="0" fontId="0" fillId="0" borderId="24" xfId="0" quotePrefix="1" applyBorder="1" applyAlignment="1">
      <alignment horizontal="center" vertical="center" wrapText="1"/>
    </xf>
    <xf numFmtId="0" fontId="0" fillId="5" borderId="28" xfId="0" applyFill="1" applyBorder="1" applyAlignment="1">
      <alignment horizontal="center" vertical="center" wrapText="1"/>
    </xf>
    <xf numFmtId="0" fontId="0" fillId="5" borderId="29" xfId="0" quotePrefix="1" applyFill="1" applyBorder="1" applyAlignment="1">
      <alignment horizontal="center" vertical="center" wrapText="1"/>
    </xf>
    <xf numFmtId="0" fontId="0" fillId="0" borderId="28" xfId="0" quotePrefix="1" applyBorder="1" applyAlignment="1">
      <alignment horizontal="center" vertical="center" wrapText="1"/>
    </xf>
    <xf numFmtId="0" fontId="0" fillId="0" borderId="29" xfId="0" quotePrefix="1" applyBorder="1" applyAlignment="1">
      <alignment horizontal="center" vertical="center" wrapText="1"/>
    </xf>
    <xf numFmtId="0" fontId="0" fillId="0" borderId="30" xfId="0" quotePrefix="1" applyBorder="1" applyAlignment="1">
      <alignment horizontal="center" vertical="center" wrapText="1"/>
    </xf>
    <xf numFmtId="0" fontId="0" fillId="0" borderId="31" xfId="0" quotePrefix="1" applyBorder="1" applyAlignment="1">
      <alignment horizontal="center" vertical="center" wrapText="1"/>
    </xf>
    <xf numFmtId="0" fontId="0" fillId="0" borderId="32" xfId="0" quotePrefix="1" applyBorder="1" applyAlignment="1">
      <alignment horizontal="center" vertical="center" wrapText="1"/>
    </xf>
    <xf numFmtId="0" fontId="0" fillId="5" borderId="29" xfId="0" applyFill="1" applyBorder="1" applyAlignment="1">
      <alignment horizontal="left" vertical="center" wrapText="1"/>
    </xf>
    <xf numFmtId="0" fontId="0" fillId="5" borderId="24" xfId="0" applyFill="1" applyBorder="1" applyAlignment="1">
      <alignment horizontal="center" vertical="center"/>
    </xf>
    <xf numFmtId="0" fontId="3" fillId="5" borderId="24" xfId="0" applyFont="1" applyFill="1" applyBorder="1" applyAlignment="1">
      <alignment horizontal="center" vertical="center"/>
    </xf>
    <xf numFmtId="0" fontId="0" fillId="5" borderId="30" xfId="0" applyFill="1" applyBorder="1" applyAlignment="1">
      <alignment horizontal="center" vertical="center"/>
    </xf>
    <xf numFmtId="0" fontId="3" fillId="5" borderId="31" xfId="0" applyFont="1" applyFill="1" applyBorder="1" applyAlignment="1">
      <alignment horizontal="center" vertical="center"/>
    </xf>
    <xf numFmtId="0" fontId="0" fillId="5" borderId="31" xfId="0" applyFill="1" applyBorder="1" applyAlignment="1">
      <alignment horizontal="center" vertical="center" wrapText="1"/>
    </xf>
    <xf numFmtId="0" fontId="0" fillId="5" borderId="32" xfId="0" applyFill="1" applyBorder="1" applyAlignment="1">
      <alignment horizontal="left" vertical="center" wrapText="1"/>
    </xf>
    <xf numFmtId="0" fontId="0" fillId="5" borderId="30" xfId="0" applyFill="1" applyBorder="1" applyAlignment="1">
      <alignment horizontal="center" vertical="center" wrapText="1"/>
    </xf>
    <xf numFmtId="0" fontId="0" fillId="5" borderId="31" xfId="0" applyFill="1" applyBorder="1" applyAlignment="1">
      <alignment horizontal="left" vertical="center" wrapText="1"/>
    </xf>
    <xf numFmtId="0" fontId="0" fillId="5" borderId="32" xfId="0" applyFill="1" applyBorder="1" applyAlignment="1">
      <alignment horizontal="left" vertical="top" wrapText="1"/>
    </xf>
    <xf numFmtId="0" fontId="0" fillId="5" borderId="28" xfId="0" applyFill="1" applyBorder="1" applyAlignment="1">
      <alignment horizontal="center" vertical="center"/>
    </xf>
    <xf numFmtId="0" fontId="0" fillId="0" borderId="24" xfId="0" applyBorder="1" applyAlignment="1">
      <alignment horizontal="center" vertical="top" wrapText="1"/>
    </xf>
    <xf numFmtId="0" fontId="0" fillId="3" borderId="24" xfId="0" applyFill="1" applyBorder="1" applyAlignment="1">
      <alignment horizontal="center" vertical="top" wrapText="1"/>
    </xf>
    <xf numFmtId="0" fontId="0" fillId="3" borderId="29" xfId="0" applyFill="1" applyBorder="1" applyAlignment="1">
      <alignment horizontal="left" vertical="top" wrapText="1"/>
    </xf>
    <xf numFmtId="0" fontId="0" fillId="8" borderId="24" xfId="0" quotePrefix="1" applyFill="1" applyBorder="1" applyAlignment="1">
      <alignment horizontal="center" vertical="center" wrapText="1"/>
    </xf>
    <xf numFmtId="0" fontId="0" fillId="8" borderId="24" xfId="0" applyFill="1" applyBorder="1" applyAlignment="1">
      <alignment horizontal="left" vertical="center" wrapText="1"/>
    </xf>
    <xf numFmtId="0" fontId="6" fillId="5" borderId="24" xfId="0" applyFont="1" applyFill="1" applyBorder="1" applyAlignment="1">
      <alignment horizontal="center" vertical="center" wrapText="1"/>
    </xf>
    <xf numFmtId="0" fontId="6" fillId="5" borderId="24" xfId="0" applyFont="1" applyFill="1" applyBorder="1" applyAlignment="1">
      <alignment horizontal="left" vertical="center" wrapText="1"/>
    </xf>
    <xf numFmtId="0" fontId="0" fillId="5" borderId="28" xfId="0" quotePrefix="1" applyFill="1" applyBorder="1" applyAlignment="1">
      <alignment horizontal="center" vertical="center" wrapText="1"/>
    </xf>
    <xf numFmtId="0" fontId="0" fillId="8" borderId="28" xfId="0" quotePrefix="1" applyFill="1" applyBorder="1" applyAlignment="1">
      <alignment horizontal="center" vertical="center" wrapText="1"/>
    </xf>
    <xf numFmtId="0" fontId="0" fillId="8" borderId="29" xfId="0" quotePrefix="1" applyFill="1" applyBorder="1" applyAlignment="1">
      <alignment horizontal="center" vertical="center" wrapText="1"/>
    </xf>
    <xf numFmtId="0" fontId="0" fillId="8" borderId="29" xfId="0" applyFill="1" applyBorder="1" applyAlignment="1">
      <alignment horizontal="left" vertical="top" wrapText="1"/>
    </xf>
    <xf numFmtId="0" fontId="0" fillId="5" borderId="29" xfId="0" applyFill="1" applyBorder="1" applyAlignment="1">
      <alignment horizontal="left" vertical="top" wrapText="1"/>
    </xf>
    <xf numFmtId="0" fontId="0" fillId="11" borderId="29" xfId="0" applyFill="1" applyBorder="1" applyAlignment="1">
      <alignment horizontal="left" vertical="top" wrapText="1"/>
    </xf>
    <xf numFmtId="0" fontId="6" fillId="5" borderId="28" xfId="0" applyFont="1" applyFill="1" applyBorder="1" applyAlignment="1">
      <alignment horizontal="center" vertical="center" wrapText="1"/>
    </xf>
    <xf numFmtId="0" fontId="6" fillId="5" borderId="29" xfId="0" applyFont="1" applyFill="1" applyBorder="1" applyAlignment="1">
      <alignment horizontal="left" vertical="top" wrapText="1"/>
    </xf>
    <xf numFmtId="0" fontId="0" fillId="7" borderId="28" xfId="0" applyFill="1" applyBorder="1" applyAlignment="1">
      <alignment horizontal="center" vertical="top"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28" xfId="0" applyBorder="1" applyAlignment="1">
      <alignment horizontal="center" vertical="top" wrapText="1"/>
    </xf>
    <xf numFmtId="0" fontId="0" fillId="7" borderId="30" xfId="0" applyFill="1" applyBorder="1" applyAlignment="1">
      <alignment horizontal="center" vertical="top" wrapText="1"/>
    </xf>
    <xf numFmtId="0" fontId="0" fillId="7" borderId="32" xfId="0" applyFill="1" applyBorder="1" applyAlignment="1">
      <alignment horizontal="left" vertical="top" wrapText="1"/>
    </xf>
    <xf numFmtId="0" fontId="0" fillId="3" borderId="24" xfId="0" applyFill="1" applyBorder="1" applyAlignment="1">
      <alignment horizontal="center" vertical="center"/>
    </xf>
    <xf numFmtId="0" fontId="0" fillId="3" borderId="28" xfId="0" applyFill="1" applyBorder="1" applyAlignment="1">
      <alignment horizontal="center" vertical="center"/>
    </xf>
    <xf numFmtId="0" fontId="0" fillId="3" borderId="30" xfId="0" applyFill="1" applyBorder="1" applyAlignment="1">
      <alignment horizontal="center" vertical="center"/>
    </xf>
    <xf numFmtId="0" fontId="0" fillId="3" borderId="31" xfId="0" applyFill="1" applyBorder="1" applyAlignment="1">
      <alignment horizontal="center" vertical="center"/>
    </xf>
    <xf numFmtId="0" fontId="0" fillId="11" borderId="28" xfId="0" quotePrefix="1" applyFill="1" applyBorder="1" applyAlignment="1">
      <alignment horizontal="center" vertical="center" wrapText="1"/>
    </xf>
    <xf numFmtId="0" fontId="0" fillId="17" borderId="24" xfId="0" applyFill="1" applyBorder="1" applyAlignment="1">
      <alignment horizontal="center" vertical="center" wrapText="1"/>
    </xf>
    <xf numFmtId="0" fontId="0" fillId="17" borderId="28" xfId="0" applyFill="1" applyBorder="1" applyAlignment="1">
      <alignment horizontal="center" vertical="center" wrapText="1"/>
    </xf>
    <xf numFmtId="0" fontId="4" fillId="15" borderId="28" xfId="0" applyFont="1" applyFill="1" applyBorder="1" applyAlignment="1">
      <alignment horizontal="center" vertical="center" wrapText="1"/>
    </xf>
    <xf numFmtId="0" fontId="4" fillId="15" borderId="24" xfId="0" applyFont="1" applyFill="1" applyBorder="1" applyAlignment="1">
      <alignment horizontal="center" vertical="center" wrapText="1"/>
    </xf>
    <xf numFmtId="0" fontId="0" fillId="19" borderId="24" xfId="0" applyFill="1" applyBorder="1" applyAlignment="1">
      <alignment horizontal="left" vertical="center" wrapText="1"/>
    </xf>
    <xf numFmtId="0" fontId="0" fillId="19" borderId="24" xfId="0" applyFill="1" applyBorder="1" applyAlignment="1">
      <alignment horizontal="left" vertical="top" wrapText="1"/>
    </xf>
    <xf numFmtId="0" fontId="0" fillId="17" borderId="24" xfId="0" applyFill="1" applyBorder="1" applyAlignment="1">
      <alignment horizontal="left" vertical="center" wrapText="1"/>
    </xf>
    <xf numFmtId="0" fontId="0" fillId="11" borderId="24" xfId="0" quotePrefix="1" applyFill="1" applyBorder="1" applyAlignment="1">
      <alignment horizontal="left" vertical="top" wrapText="1"/>
    </xf>
    <xf numFmtId="0" fontId="0" fillId="19" borderId="24" xfId="0" quotePrefix="1" applyFill="1" applyBorder="1" applyAlignment="1">
      <alignment horizontal="left" vertical="top" wrapText="1"/>
    </xf>
    <xf numFmtId="0" fontId="0" fillId="17" borderId="24" xfId="0" applyFill="1" applyBorder="1" applyAlignment="1">
      <alignment horizontal="left" vertical="top" wrapText="1"/>
    </xf>
    <xf numFmtId="0" fontId="0" fillId="14" borderId="45" xfId="0" applyFill="1" applyBorder="1" applyAlignment="1">
      <alignment horizontal="left" vertical="center" wrapText="1"/>
    </xf>
    <xf numFmtId="0" fontId="4" fillId="15" borderId="31" xfId="0" applyFont="1" applyFill="1" applyBorder="1" applyAlignment="1">
      <alignment horizontal="center" vertical="center" wrapText="1"/>
    </xf>
    <xf numFmtId="0" fontId="4" fillId="15" borderId="31" xfId="0" applyFont="1" applyFill="1" applyBorder="1" applyAlignment="1">
      <alignment horizontal="center" vertical="center"/>
    </xf>
    <xf numFmtId="0" fontId="0" fillId="0" borderId="24" xfId="0" applyBorder="1" applyAlignment="1">
      <alignment horizontal="center"/>
    </xf>
    <xf numFmtId="0" fontId="8" fillId="0" borderId="32" xfId="0" applyFont="1" applyBorder="1" applyAlignment="1">
      <alignment horizontal="left" vertical="top" wrapText="1"/>
    </xf>
    <xf numFmtId="0" fontId="10" fillId="0" borderId="17" xfId="0" applyFont="1" applyBorder="1"/>
    <xf numFmtId="0" fontId="10" fillId="22" borderId="17" xfId="0" applyFont="1" applyFill="1" applyBorder="1"/>
    <xf numFmtId="0" fontId="10" fillId="0" borderId="37" xfId="0" applyFont="1" applyBorder="1"/>
    <xf numFmtId="0" fontId="10" fillId="22" borderId="37" xfId="0" applyFont="1" applyFill="1" applyBorder="1"/>
    <xf numFmtId="0" fontId="10" fillId="23" borderId="17" xfId="0" applyFont="1" applyFill="1" applyBorder="1"/>
    <xf numFmtId="0" fontId="10" fillId="0" borderId="16" xfId="0" applyFont="1" applyBorder="1"/>
    <xf numFmtId="0" fontId="10" fillId="22" borderId="16" xfId="0" applyFont="1" applyFill="1" applyBorder="1"/>
    <xf numFmtId="0" fontId="10" fillId="0" borderId="20" xfId="0" applyFont="1" applyBorder="1"/>
    <xf numFmtId="0" fontId="0" fillId="0" borderId="24" xfId="0" applyBorder="1"/>
    <xf numFmtId="0" fontId="0" fillId="0" borderId="26" xfId="0" applyBorder="1"/>
    <xf numFmtId="0" fontId="0" fillId="0" borderId="31" xfId="0" applyBorder="1"/>
    <xf numFmtId="0" fontId="10" fillId="0" borderId="24" xfId="0" applyFont="1" applyBorder="1"/>
    <xf numFmtId="0" fontId="0" fillId="0" borderId="47" xfId="0" applyBorder="1"/>
    <xf numFmtId="0" fontId="0" fillId="0" borderId="25" xfId="0" applyBorder="1"/>
    <xf numFmtId="0" fontId="10" fillId="0" borderId="26" xfId="0" applyFont="1" applyBorder="1"/>
    <xf numFmtId="0" fontId="0" fillId="0" borderId="28" xfId="0" applyBorder="1"/>
    <xf numFmtId="0" fontId="0" fillId="0" borderId="30" xfId="0" applyBorder="1"/>
    <xf numFmtId="0" fontId="0" fillId="0" borderId="49" xfId="0" applyBorder="1"/>
    <xf numFmtId="0" fontId="10" fillId="0" borderId="47" xfId="0" applyFont="1" applyBorder="1"/>
    <xf numFmtId="0" fontId="0" fillId="0" borderId="26" xfId="0" applyBorder="1" applyAlignment="1">
      <alignment horizontal="center" vertical="top"/>
    </xf>
    <xf numFmtId="0" fontId="0" fillId="0" borderId="24" xfId="0" applyBorder="1" applyAlignment="1">
      <alignment horizontal="center" vertical="top"/>
    </xf>
    <xf numFmtId="0" fontId="0" fillId="0" borderId="26" xfId="0" applyBorder="1" applyAlignment="1">
      <alignment horizontal="left" vertical="top"/>
    </xf>
    <xf numFmtId="0" fontId="0" fillId="0" borderId="24" xfId="0" applyBorder="1" applyAlignment="1">
      <alignment horizontal="left" vertical="top"/>
    </xf>
    <xf numFmtId="0" fontId="10" fillId="0" borderId="26" xfId="0" applyFont="1" applyBorder="1" applyAlignment="1">
      <alignment horizontal="left"/>
    </xf>
    <xf numFmtId="0" fontId="10" fillId="0" borderId="26" xfId="0" applyFont="1" applyBorder="1" applyAlignment="1">
      <alignment horizontal="center"/>
    </xf>
    <xf numFmtId="0" fontId="10" fillId="0" borderId="24" xfId="0" applyFont="1" applyBorder="1" applyAlignment="1">
      <alignment horizontal="center"/>
    </xf>
    <xf numFmtId="0" fontId="0" fillId="0" borderId="26" xfId="0" applyBorder="1" applyAlignment="1">
      <alignment horizontal="center"/>
    </xf>
    <xf numFmtId="0" fontId="0" fillId="0" borderId="47" xfId="0" applyBorder="1" applyAlignment="1">
      <alignment horizontal="center"/>
    </xf>
    <xf numFmtId="0" fontId="0" fillId="0" borderId="31" xfId="0" applyBorder="1" applyAlignment="1">
      <alignment horizontal="center"/>
    </xf>
    <xf numFmtId="0" fontId="0" fillId="0" borderId="47" xfId="0" applyBorder="1" applyAlignment="1">
      <alignment horizontal="center" vertical="top"/>
    </xf>
    <xf numFmtId="0" fontId="0" fillId="0" borderId="47" xfId="0" applyBorder="1" applyAlignment="1">
      <alignment horizontal="left" vertical="top"/>
    </xf>
    <xf numFmtId="0" fontId="0" fillId="0" borderId="24" xfId="0" applyBorder="1" applyAlignment="1">
      <alignment horizontal="left"/>
    </xf>
    <xf numFmtId="0" fontId="0" fillId="0" borderId="47" xfId="0" applyBorder="1" applyAlignment="1">
      <alignment horizontal="left"/>
    </xf>
    <xf numFmtId="0" fontId="0" fillId="0" borderId="31" xfId="0" applyBorder="1" applyAlignment="1">
      <alignment horizontal="center" vertical="top"/>
    </xf>
    <xf numFmtId="0" fontId="0" fillId="0" borderId="31" xfId="0" applyBorder="1" applyAlignment="1">
      <alignment horizontal="left" vertical="top"/>
    </xf>
    <xf numFmtId="0" fontId="0" fillId="0" borderId="45" xfId="0" applyBorder="1"/>
    <xf numFmtId="0" fontId="0" fillId="0" borderId="45" xfId="0" applyBorder="1" applyAlignment="1">
      <alignment horizontal="center"/>
    </xf>
    <xf numFmtId="0" fontId="10" fillId="0" borderId="47" xfId="0" applyFont="1" applyBorder="1" applyAlignment="1">
      <alignment horizontal="center"/>
    </xf>
    <xf numFmtId="0" fontId="11" fillId="0" borderId="20" xfId="0" applyFont="1" applyBorder="1"/>
    <xf numFmtId="0" fontId="0" fillId="0" borderId="26" xfId="0" applyBorder="1" applyAlignment="1">
      <alignment horizontal="left"/>
    </xf>
    <xf numFmtId="0" fontId="0" fillId="0" borderId="28" xfId="0" applyBorder="1" applyAlignment="1">
      <alignment horizontal="left"/>
    </xf>
    <xf numFmtId="0" fontId="0" fillId="0" borderId="27" xfId="0" applyBorder="1"/>
    <xf numFmtId="0" fontId="0" fillId="0" borderId="29" xfId="0" applyBorder="1"/>
    <xf numFmtId="0" fontId="0" fillId="0" borderId="50" xfId="0" applyBorder="1"/>
    <xf numFmtId="0" fontId="8" fillId="0" borderId="24" xfId="0" quotePrefix="1" applyFont="1" applyBorder="1" applyAlignment="1">
      <alignment horizontal="left" vertical="top" wrapText="1"/>
    </xf>
    <xf numFmtId="0" fontId="0" fillId="0" borderId="33" xfId="0" applyBorder="1"/>
    <xf numFmtId="0" fontId="0" fillId="0" borderId="57" xfId="0" applyBorder="1"/>
    <xf numFmtId="0" fontId="0" fillId="0" borderId="58" xfId="0" applyBorder="1"/>
    <xf numFmtId="0" fontId="0" fillId="11" borderId="24" xfId="0" applyFill="1" applyBorder="1" applyAlignment="1">
      <alignment horizontal="center" vertical="top"/>
    </xf>
    <xf numFmtId="0" fontId="0" fillId="11" borderId="24" xfId="0" applyFill="1" applyBorder="1" applyAlignment="1">
      <alignment horizontal="left" vertical="top"/>
    </xf>
    <xf numFmtId="0" fontId="10" fillId="0" borderId="24" xfId="0" applyFont="1" applyBorder="1" applyAlignment="1">
      <alignment horizontal="left"/>
    </xf>
    <xf numFmtId="0" fontId="10" fillId="0" borderId="47" xfId="0" applyFont="1" applyBorder="1" applyAlignment="1">
      <alignment horizontal="left"/>
    </xf>
    <xf numFmtId="0" fontId="10" fillId="0" borderId="47" xfId="0" applyFont="1" applyBorder="1" applyAlignment="1">
      <alignment horizontal="left" vertical="top"/>
    </xf>
    <xf numFmtId="0" fontId="10" fillId="0" borderId="26" xfId="0" applyFont="1" applyBorder="1" applyAlignment="1">
      <alignment horizontal="center" vertical="top"/>
    </xf>
    <xf numFmtId="0" fontId="10" fillId="0" borderId="26" xfId="0" applyFont="1" applyBorder="1" applyAlignment="1">
      <alignment horizontal="left" vertical="top"/>
    </xf>
    <xf numFmtId="0" fontId="10" fillId="0" borderId="24" xfId="0" applyFont="1" applyBorder="1" applyAlignment="1">
      <alignment horizontal="center" vertical="top"/>
    </xf>
    <xf numFmtId="0" fontId="10" fillId="0" borderId="24" xfId="0" applyFont="1" applyBorder="1" applyAlignment="1">
      <alignment horizontal="left" vertical="top"/>
    </xf>
    <xf numFmtId="0" fontId="10" fillId="0" borderId="47" xfId="0" applyFont="1" applyBorder="1" applyAlignment="1">
      <alignment horizontal="center" vertical="top"/>
    </xf>
    <xf numFmtId="0" fontId="0" fillId="0" borderId="30" xfId="0" applyBorder="1" applyAlignment="1">
      <alignment horizontal="left"/>
    </xf>
    <xf numFmtId="0" fontId="0" fillId="17" borderId="57" xfId="0" applyFill="1" applyBorder="1" applyAlignment="1">
      <alignment horizontal="center" vertical="center" wrapText="1"/>
    </xf>
    <xf numFmtId="0" fontId="0" fillId="11" borderId="45" xfId="0" applyFill="1" applyBorder="1" applyAlignment="1">
      <alignment horizontal="left" vertical="center" wrapText="1"/>
    </xf>
    <xf numFmtId="0" fontId="0" fillId="0" borderId="59" xfId="0" applyBorder="1"/>
    <xf numFmtId="0" fontId="0" fillId="0" borderId="29" xfId="0" applyBorder="1" applyAlignment="1">
      <alignment horizontal="left" vertical="top"/>
    </xf>
    <xf numFmtId="0" fontId="0" fillId="0" borderId="50" xfId="0" applyBorder="1" applyAlignment="1">
      <alignment horizontal="left" vertical="top"/>
    </xf>
    <xf numFmtId="0" fontId="0" fillId="0" borderId="32" xfId="0" applyBorder="1" applyAlignment="1">
      <alignment horizontal="left" vertical="top"/>
    </xf>
    <xf numFmtId="0" fontId="0" fillId="0" borderId="29" xfId="0" applyBorder="1" applyAlignment="1">
      <alignment horizontal="center" vertical="top"/>
    </xf>
    <xf numFmtId="0" fontId="10" fillId="0" borderId="31" xfId="0" applyFont="1" applyBorder="1"/>
    <xf numFmtId="0" fontId="10" fillId="0" borderId="45" xfId="0" applyFont="1" applyBorder="1" applyAlignment="1">
      <alignment horizontal="center"/>
    </xf>
    <xf numFmtId="0" fontId="10" fillId="0" borderId="45" xfId="0" applyFont="1" applyBorder="1"/>
    <xf numFmtId="0" fontId="10" fillId="0" borderId="29" xfId="0" applyFont="1" applyBorder="1"/>
    <xf numFmtId="0" fontId="0" fillId="0" borderId="61" xfId="0" applyBorder="1"/>
    <xf numFmtId="0" fontId="10" fillId="0" borderId="46" xfId="0" applyFont="1" applyBorder="1"/>
    <xf numFmtId="0" fontId="10" fillId="0" borderId="50" xfId="0" applyFont="1" applyBorder="1"/>
    <xf numFmtId="0" fontId="0" fillId="0" borderId="27" xfId="0" applyBorder="1" applyAlignment="1">
      <alignment horizontal="left" vertical="top"/>
    </xf>
    <xf numFmtId="0" fontId="10" fillId="0" borderId="50" xfId="0" applyFont="1" applyBorder="1" applyAlignment="1">
      <alignment horizontal="left" vertical="top"/>
    </xf>
    <xf numFmtId="0" fontId="0" fillId="11" borderId="29" xfId="0" applyFill="1" applyBorder="1" applyAlignment="1">
      <alignment horizontal="left" vertical="top"/>
    </xf>
    <xf numFmtId="0" fontId="10" fillId="0" borderId="27" xfId="0" applyFont="1" applyBorder="1" applyAlignment="1">
      <alignment horizontal="left"/>
    </xf>
    <xf numFmtId="0" fontId="10" fillId="0" borderId="29" xfId="0" applyFont="1" applyBorder="1" applyAlignment="1">
      <alignment horizontal="left"/>
    </xf>
    <xf numFmtId="0" fontId="10" fillId="0" borderId="50" xfId="0" applyFont="1" applyBorder="1" applyAlignment="1">
      <alignment horizontal="left"/>
    </xf>
    <xf numFmtId="0" fontId="10" fillId="0" borderId="27" xfId="0" applyFont="1" applyBorder="1" applyAlignment="1">
      <alignment horizontal="left" vertical="top"/>
    </xf>
    <xf numFmtId="0" fontId="10" fillId="0" borderId="29" xfId="0" applyFont="1" applyBorder="1" applyAlignment="1">
      <alignment horizontal="left" vertical="top"/>
    </xf>
    <xf numFmtId="0" fontId="0" fillId="0" borderId="40" xfId="0" applyBorder="1"/>
    <xf numFmtId="0" fontId="0" fillId="0" borderId="38" xfId="0" applyBorder="1"/>
    <xf numFmtId="0" fontId="0" fillId="0" borderId="39" xfId="0" applyBorder="1"/>
    <xf numFmtId="0" fontId="0" fillId="0" borderId="62" xfId="0" applyBorder="1"/>
    <xf numFmtId="0" fontId="0" fillId="0" borderId="38" xfId="0" applyBorder="1" applyAlignment="1">
      <alignment horizontal="left"/>
    </xf>
    <xf numFmtId="0" fontId="0" fillId="0" borderId="39" xfId="0" applyBorder="1" applyAlignment="1">
      <alignment horizontal="left"/>
    </xf>
    <xf numFmtId="0" fontId="0" fillId="0" borderId="61" xfId="0" applyBorder="1" applyAlignment="1">
      <alignment horizontal="left"/>
    </xf>
    <xf numFmtId="0" fontId="0" fillId="0" borderId="27" xfId="0" applyBorder="1" applyAlignment="1">
      <alignment horizontal="center"/>
    </xf>
    <xf numFmtId="0" fontId="0" fillId="0" borderId="29" xfId="0" applyBorder="1" applyAlignment="1">
      <alignment horizontal="center"/>
    </xf>
    <xf numFmtId="0" fontId="0" fillId="0" borderId="32" xfId="0" applyBorder="1" applyAlignment="1">
      <alignment horizontal="center"/>
    </xf>
    <xf numFmtId="0" fontId="0" fillId="0" borderId="47" xfId="0" quotePrefix="1" applyBorder="1"/>
    <xf numFmtId="0" fontId="0" fillId="0" borderId="24" xfId="0" quotePrefix="1" applyBorder="1"/>
    <xf numFmtId="0" fontId="0" fillId="0" borderId="26" xfId="0" quotePrefix="1" applyBorder="1"/>
    <xf numFmtId="0" fontId="0" fillId="0" borderId="50" xfId="0" applyBorder="1" applyAlignment="1">
      <alignment horizontal="center"/>
    </xf>
    <xf numFmtId="0" fontId="0" fillId="0" borderId="31" xfId="0" applyBorder="1" applyAlignment="1">
      <alignment horizontal="left"/>
    </xf>
    <xf numFmtId="0" fontId="0" fillId="3" borderId="24" xfId="0" applyFill="1" applyBorder="1" applyAlignment="1">
      <alignment horizontal="center" vertical="center" wrapText="1"/>
    </xf>
    <xf numFmtId="0" fontId="0" fillId="3" borderId="28" xfId="0" applyFill="1" applyBorder="1" applyAlignment="1">
      <alignment horizontal="center" vertical="center" wrapText="1"/>
    </xf>
    <xf numFmtId="0" fontId="0" fillId="7" borderId="28" xfId="0" applyFill="1" applyBorder="1" applyAlignment="1">
      <alignment horizontal="center" vertical="center" wrapText="1"/>
    </xf>
    <xf numFmtId="0" fontId="0" fillId="7" borderId="28" xfId="0" quotePrefix="1" applyFill="1" applyBorder="1" applyAlignment="1">
      <alignment horizontal="center" vertical="center" wrapText="1"/>
    </xf>
    <xf numFmtId="0" fontId="0" fillId="0" borderId="24" xfId="0" applyBorder="1" applyAlignment="1">
      <alignment horizontal="center" vertical="center" wrapText="1"/>
    </xf>
    <xf numFmtId="0" fontId="0" fillId="0" borderId="28" xfId="0" applyBorder="1" applyAlignment="1">
      <alignment horizontal="center" vertical="center" wrapText="1"/>
    </xf>
    <xf numFmtId="0" fontId="0" fillId="14" borderId="24" xfId="0" applyFill="1" applyBorder="1" applyAlignment="1">
      <alignment horizontal="center" vertical="center" wrapText="1"/>
    </xf>
    <xf numFmtId="0" fontId="0" fillId="11" borderId="24" xfId="0" applyFill="1" applyBorder="1" applyAlignment="1">
      <alignment horizontal="center" vertical="center" wrapText="1"/>
    </xf>
    <xf numFmtId="0" fontId="0" fillId="14" borderId="24" xfId="0" applyFill="1" applyBorder="1" applyAlignment="1">
      <alignment horizontal="left" vertical="center" wrapText="1"/>
    </xf>
    <xf numFmtId="0" fontId="0" fillId="11" borderId="24" xfId="0" applyFill="1" applyBorder="1" applyAlignment="1">
      <alignment horizontal="left" vertical="center" wrapText="1"/>
    </xf>
    <xf numFmtId="0" fontId="0" fillId="7" borderId="24" xfId="0" quotePrefix="1" applyFill="1" applyBorder="1" applyAlignment="1">
      <alignment horizontal="center" vertical="center" wrapText="1"/>
    </xf>
    <xf numFmtId="0" fontId="0" fillId="7" borderId="29" xfId="0" quotePrefix="1" applyFill="1" applyBorder="1" applyAlignment="1">
      <alignment horizontal="center" vertical="center" wrapText="1"/>
    </xf>
    <xf numFmtId="0" fontId="0" fillId="11" borderId="24" xfId="0" quotePrefix="1" applyFill="1" applyBorder="1" applyAlignment="1">
      <alignment horizontal="center" vertical="center" wrapText="1"/>
    </xf>
    <xf numFmtId="0" fontId="0" fillId="11" borderId="28" xfId="0" applyFill="1" applyBorder="1" applyAlignment="1">
      <alignment horizontal="center" vertical="center" wrapText="1"/>
    </xf>
    <xf numFmtId="0" fontId="0" fillId="14" borderId="24" xfId="0" applyFill="1" applyBorder="1" applyAlignment="1">
      <alignment horizontal="left" vertical="top" wrapText="1"/>
    </xf>
    <xf numFmtId="0" fontId="0" fillId="0" borderId="24" xfId="0" applyBorder="1" applyAlignment="1">
      <alignment horizontal="left" vertical="center" wrapText="1"/>
    </xf>
    <xf numFmtId="0" fontId="0" fillId="3" borderId="29" xfId="0" applyFill="1" applyBorder="1" applyAlignment="1">
      <alignment horizontal="left" vertical="center" wrapText="1"/>
    </xf>
    <xf numFmtId="0" fontId="0" fillId="7" borderId="24" xfId="0" applyFill="1" applyBorder="1" applyAlignment="1">
      <alignment horizontal="left" vertical="center" wrapText="1"/>
    </xf>
    <xf numFmtId="0" fontId="0" fillId="7" borderId="29" xfId="0" applyFill="1" applyBorder="1" applyAlignment="1">
      <alignment horizontal="left" vertical="center" wrapText="1"/>
    </xf>
    <xf numFmtId="0" fontId="0" fillId="0" borderId="29" xfId="0" applyBorder="1" applyAlignment="1">
      <alignment horizontal="left" vertical="center" wrapText="1"/>
    </xf>
    <xf numFmtId="0" fontId="0" fillId="11" borderId="28" xfId="0" quotePrefix="1" applyFill="1" applyBorder="1" applyAlignment="1">
      <alignment horizontal="center" vertical="center" wrapText="1"/>
    </xf>
    <xf numFmtId="0" fontId="0" fillId="5" borderId="24" xfId="0" applyFill="1" applyBorder="1" applyAlignment="1">
      <alignment horizontal="left" vertical="center" wrapText="1"/>
    </xf>
    <xf numFmtId="0" fontId="0" fillId="0" borderId="29" xfId="0" applyBorder="1" applyAlignment="1">
      <alignment horizontal="left" vertical="top" wrapText="1"/>
    </xf>
    <xf numFmtId="0" fontId="0" fillId="0" borderId="24" xfId="0" applyBorder="1" applyAlignment="1">
      <alignment horizontal="left" vertical="top" wrapText="1"/>
    </xf>
    <xf numFmtId="0" fontId="0" fillId="5" borderId="28" xfId="0" applyFill="1" applyBorder="1" applyAlignment="1">
      <alignment horizontal="center" vertical="center" wrapText="1"/>
    </xf>
    <xf numFmtId="0" fontId="0" fillId="20" borderId="24" xfId="0" applyFill="1" applyBorder="1" applyAlignment="1">
      <alignment horizontal="left" vertical="center" wrapText="1"/>
    </xf>
    <xf numFmtId="0" fontId="0" fillId="20" borderId="24" xfId="0" applyFill="1" applyBorder="1" applyAlignment="1">
      <alignment horizontal="center" vertical="center" wrapText="1"/>
    </xf>
    <xf numFmtId="0" fontId="0" fillId="5" borderId="24" xfId="0" applyFill="1" applyBorder="1" applyAlignment="1">
      <alignment horizontal="center" vertical="center" wrapText="1"/>
    </xf>
    <xf numFmtId="0" fontId="0" fillId="14" borderId="45" xfId="0" applyFill="1" applyBorder="1" applyAlignment="1">
      <alignment horizontal="center" vertical="center" wrapText="1"/>
    </xf>
    <xf numFmtId="0" fontId="0" fillId="17" borderId="24" xfId="0" applyFill="1" applyBorder="1" applyAlignment="1">
      <alignment horizontal="center" vertical="center" wrapText="1"/>
    </xf>
    <xf numFmtId="0" fontId="0" fillId="17" borderId="28" xfId="0" applyFill="1" applyBorder="1" applyAlignment="1">
      <alignment horizontal="center" vertical="center" wrapText="1"/>
    </xf>
    <xf numFmtId="0" fontId="0" fillId="0" borderId="28" xfId="0" quotePrefix="1" applyBorder="1" applyAlignment="1">
      <alignment horizontal="center" vertical="center" wrapText="1"/>
    </xf>
    <xf numFmtId="0" fontId="0" fillId="0" borderId="24" xfId="0" quotePrefix="1" applyBorder="1" applyAlignment="1">
      <alignment horizontal="center" vertical="center" wrapText="1"/>
    </xf>
    <xf numFmtId="0" fontId="0" fillId="0" borderId="29" xfId="0" quotePrefix="1" applyBorder="1" applyAlignment="1">
      <alignment horizontal="center" vertical="center" wrapText="1"/>
    </xf>
    <xf numFmtId="0" fontId="0" fillId="19" borderId="24" xfId="0" quotePrefix="1" applyFill="1" applyBorder="1" applyAlignment="1">
      <alignment horizontal="center" vertical="center" wrapText="1"/>
    </xf>
    <xf numFmtId="0" fontId="0" fillId="17" borderId="24" xfId="0" applyFill="1" applyBorder="1" applyAlignment="1">
      <alignment horizontal="left" vertical="top" wrapText="1"/>
    </xf>
    <xf numFmtId="0" fontId="0" fillId="17" borderId="24" xfId="0" applyFill="1" applyBorder="1" applyAlignment="1">
      <alignment horizontal="left" vertical="center" wrapText="1"/>
    </xf>
    <xf numFmtId="0" fontId="0" fillId="20" borderId="24" xfId="0" applyFill="1" applyBorder="1" applyAlignment="1">
      <alignment horizontal="left" vertical="top" wrapText="1"/>
    </xf>
    <xf numFmtId="0" fontId="0" fillId="11" borderId="24" xfId="0" quotePrefix="1" applyFill="1" applyBorder="1" applyAlignment="1">
      <alignment horizontal="left" vertical="center" wrapText="1"/>
    </xf>
    <xf numFmtId="0" fontId="0" fillId="11" borderId="24" xfId="0" applyFill="1" applyBorder="1" applyAlignment="1">
      <alignment horizontal="left" vertical="top" wrapText="1"/>
    </xf>
    <xf numFmtId="0" fontId="4" fillId="15" borderId="69" xfId="0" applyFont="1" applyFill="1" applyBorder="1" applyAlignment="1">
      <alignment horizontal="center" vertical="center" wrapText="1"/>
    </xf>
    <xf numFmtId="0" fontId="4" fillId="15" borderId="70" xfId="0" applyFont="1" applyFill="1" applyBorder="1" applyAlignment="1">
      <alignment horizontal="center" vertical="center"/>
    </xf>
    <xf numFmtId="0" fontId="0" fillId="11" borderId="69" xfId="0" applyFill="1" applyBorder="1" applyAlignment="1">
      <alignment horizontal="center" vertical="center" wrapText="1"/>
    </xf>
    <xf numFmtId="0" fontId="0" fillId="11" borderId="70" xfId="0" applyFill="1" applyBorder="1" applyAlignment="1">
      <alignment horizontal="center" vertical="center" wrapText="1"/>
    </xf>
    <xf numFmtId="0" fontId="0" fillId="19" borderId="69" xfId="0" applyFill="1" applyBorder="1" applyAlignment="1">
      <alignment horizontal="center" vertical="center" wrapText="1"/>
    </xf>
    <xf numFmtId="0" fontId="0" fillId="14" borderId="70" xfId="0" applyFill="1" applyBorder="1" applyAlignment="1">
      <alignment horizontal="center" vertical="center" wrapText="1"/>
    </xf>
    <xf numFmtId="0" fontId="0" fillId="20" borderId="69" xfId="0" applyFill="1" applyBorder="1" applyAlignment="1">
      <alignment horizontal="center" vertical="center" wrapText="1"/>
    </xf>
    <xf numFmtId="0" fontId="0" fillId="20" borderId="71" xfId="0" applyFill="1" applyBorder="1" applyAlignment="1">
      <alignment horizontal="center" vertical="center" wrapText="1"/>
    </xf>
    <xf numFmtId="0" fontId="0" fillId="20" borderId="72" xfId="0" applyFill="1" applyBorder="1" applyAlignment="1">
      <alignment horizontal="center" vertical="center" wrapText="1"/>
    </xf>
    <xf numFmtId="0" fontId="0" fillId="20" borderId="72" xfId="0" applyFill="1" applyBorder="1" applyAlignment="1">
      <alignment horizontal="left" vertical="center" wrapText="1"/>
    </xf>
    <xf numFmtId="0" fontId="0" fillId="20" borderId="73" xfId="0" applyFill="1" applyBorder="1" applyAlignment="1">
      <alignment horizontal="center" vertical="center" wrapText="1"/>
    </xf>
    <xf numFmtId="0" fontId="4" fillId="15" borderId="74" xfId="0" applyFont="1" applyFill="1" applyBorder="1" applyAlignment="1">
      <alignment horizontal="center" vertical="center" wrapText="1"/>
    </xf>
    <xf numFmtId="0" fontId="4" fillId="15" borderId="75" xfId="0" applyFont="1" applyFill="1" applyBorder="1" applyAlignment="1">
      <alignment horizontal="center" vertical="center"/>
    </xf>
    <xf numFmtId="0" fontId="0" fillId="11" borderId="69" xfId="0" quotePrefix="1" applyFill="1" applyBorder="1" applyAlignment="1">
      <alignment horizontal="center" vertical="center" wrapText="1"/>
    </xf>
    <xf numFmtId="0" fontId="0" fillId="0" borderId="70" xfId="0" applyBorder="1" applyAlignment="1">
      <alignment horizontal="center" vertical="center" wrapText="1"/>
    </xf>
    <xf numFmtId="0" fontId="0" fillId="20" borderId="70" xfId="0" applyFill="1" applyBorder="1" applyAlignment="1">
      <alignment horizontal="center" vertical="center" wrapText="1"/>
    </xf>
    <xf numFmtId="0" fontId="0" fillId="11" borderId="71" xfId="0" applyFill="1" applyBorder="1" applyAlignment="1">
      <alignment horizontal="center" vertical="center" wrapText="1"/>
    </xf>
    <xf numFmtId="0" fontId="0" fillId="11" borderId="72" xfId="0" applyFill="1" applyBorder="1" applyAlignment="1">
      <alignment horizontal="center" vertical="center" wrapText="1"/>
    </xf>
    <xf numFmtId="0" fontId="0" fillId="11" borderId="73" xfId="0" applyFill="1" applyBorder="1" applyAlignment="1">
      <alignment horizontal="center" vertical="center" wrapText="1"/>
    </xf>
    <xf numFmtId="0" fontId="0" fillId="11" borderId="72" xfId="0" applyFill="1" applyBorder="1" applyAlignment="1">
      <alignment horizontal="left" vertical="center" wrapText="1"/>
    </xf>
    <xf numFmtId="0" fontId="0" fillId="5" borderId="71" xfId="0" applyFill="1" applyBorder="1" applyAlignment="1">
      <alignment horizontal="center" vertical="center" wrapText="1"/>
    </xf>
    <xf numFmtId="0" fontId="0" fillId="5" borderId="72" xfId="0" applyFill="1" applyBorder="1" applyAlignment="1">
      <alignment horizontal="center" vertical="center" wrapText="1"/>
    </xf>
    <xf numFmtId="0" fontId="0" fillId="5" borderId="73" xfId="0" applyFill="1" applyBorder="1" applyAlignment="1">
      <alignment horizontal="center" vertical="center" wrapText="1"/>
    </xf>
    <xf numFmtId="0" fontId="0" fillId="5" borderId="72" xfId="0" applyFill="1" applyBorder="1" applyAlignment="1">
      <alignment horizontal="left" vertical="center" wrapText="1"/>
    </xf>
    <xf numFmtId="0" fontId="0" fillId="14" borderId="69" xfId="0" applyFill="1" applyBorder="1" applyAlignment="1">
      <alignment horizontal="center" vertical="center" wrapText="1"/>
    </xf>
    <xf numFmtId="0" fontId="0" fillId="14" borderId="71" xfId="0" applyFill="1" applyBorder="1" applyAlignment="1">
      <alignment horizontal="center" vertical="center" wrapText="1"/>
    </xf>
    <xf numFmtId="0" fontId="0" fillId="14" borderId="72" xfId="0" applyFill="1" applyBorder="1" applyAlignment="1">
      <alignment horizontal="center" vertical="center" wrapText="1"/>
    </xf>
    <xf numFmtId="0" fontId="0" fillId="14" borderId="72" xfId="0" applyFill="1" applyBorder="1" applyAlignment="1">
      <alignment horizontal="left" vertical="center" wrapText="1"/>
    </xf>
    <xf numFmtId="0" fontId="0" fillId="14" borderId="73" xfId="0" applyFill="1" applyBorder="1" applyAlignment="1">
      <alignment horizontal="center" vertical="center" wrapText="1"/>
    </xf>
    <xf numFmtId="0" fontId="0" fillId="14" borderId="76" xfId="0" applyFill="1" applyBorder="1" applyAlignment="1">
      <alignment horizontal="center" vertical="center" wrapText="1"/>
    </xf>
    <xf numFmtId="0" fontId="0" fillId="14" borderId="77" xfId="0" applyFill="1" applyBorder="1" applyAlignment="1">
      <alignment horizontal="center" vertical="center" wrapText="1"/>
    </xf>
    <xf numFmtId="0" fontId="0" fillId="11" borderId="70" xfId="0" quotePrefix="1" applyFill="1" applyBorder="1" applyAlignment="1">
      <alignment horizontal="center" vertical="center" wrapText="1"/>
    </xf>
    <xf numFmtId="0" fontId="0" fillId="19" borderId="69" xfId="0" quotePrefix="1" applyFill="1" applyBorder="1" applyAlignment="1">
      <alignment horizontal="center" vertical="center" wrapText="1"/>
    </xf>
    <xf numFmtId="0" fontId="0" fillId="19" borderId="70" xfId="0" quotePrefix="1" applyFill="1" applyBorder="1" applyAlignment="1">
      <alignment horizontal="center" vertical="center" wrapText="1"/>
    </xf>
    <xf numFmtId="0" fontId="0" fillId="0" borderId="69" xfId="0" applyBorder="1" applyAlignment="1">
      <alignment horizontal="center" vertical="center" wrapText="1"/>
    </xf>
    <xf numFmtId="0" fontId="0" fillId="17" borderId="69" xfId="0" applyFill="1" applyBorder="1" applyAlignment="1">
      <alignment horizontal="center" vertical="center" wrapText="1"/>
    </xf>
    <xf numFmtId="0" fontId="0" fillId="17" borderId="70" xfId="0" applyFill="1" applyBorder="1" applyAlignment="1">
      <alignment horizontal="center" vertical="center" wrapText="1"/>
    </xf>
    <xf numFmtId="0" fontId="0" fillId="20" borderId="24" xfId="0" quotePrefix="1" applyFill="1" applyBorder="1" applyAlignment="1">
      <alignment horizontal="left"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72" xfId="0" applyBorder="1" applyAlignment="1">
      <alignment horizontal="left" vertical="center" wrapText="1"/>
    </xf>
    <xf numFmtId="0" fontId="0" fillId="0" borderId="73" xfId="0" applyBorder="1" applyAlignment="1">
      <alignment horizontal="center" vertical="center" wrapText="1"/>
    </xf>
    <xf numFmtId="0" fontId="0" fillId="14" borderId="24" xfId="0" quotePrefix="1" applyFill="1" applyBorder="1" applyAlignment="1">
      <alignment horizontal="left" vertical="center" wrapText="1"/>
    </xf>
    <xf numFmtId="0" fontId="0" fillId="0" borderId="24" xfId="0" quotePrefix="1" applyBorder="1" applyAlignment="1">
      <alignment horizontal="left" vertical="center" wrapText="1"/>
    </xf>
    <xf numFmtId="0" fontId="0" fillId="17" borderId="71" xfId="0" applyFill="1" applyBorder="1" applyAlignment="1">
      <alignment horizontal="center" vertical="center" wrapText="1"/>
    </xf>
    <xf numFmtId="0" fontId="0" fillId="17" borderId="72" xfId="0" applyFill="1" applyBorder="1" applyAlignment="1">
      <alignment horizontal="center" vertical="center" wrapText="1"/>
    </xf>
    <xf numFmtId="0" fontId="0" fillId="17" borderId="73" xfId="0" applyFill="1" applyBorder="1" applyAlignment="1">
      <alignment horizontal="center" vertical="center" wrapText="1"/>
    </xf>
    <xf numFmtId="0" fontId="0" fillId="17" borderId="72" xfId="0" quotePrefix="1" applyFill="1" applyBorder="1" applyAlignment="1">
      <alignment horizontal="left" vertical="center" wrapText="1"/>
    </xf>
    <xf numFmtId="0" fontId="0" fillId="5" borderId="69" xfId="0" applyFill="1" applyBorder="1" applyAlignment="1">
      <alignment horizontal="center" vertical="center" wrapText="1"/>
    </xf>
    <xf numFmtId="0" fontId="0" fillId="5" borderId="70" xfId="0" applyFill="1" applyBorder="1" applyAlignment="1">
      <alignment horizontal="center" vertical="center" wrapText="1"/>
    </xf>
    <xf numFmtId="0" fontId="0" fillId="0" borderId="72" xfId="0" quotePrefix="1" applyBorder="1" applyAlignment="1">
      <alignment horizontal="left" vertical="top" wrapText="1"/>
    </xf>
    <xf numFmtId="0" fontId="0" fillId="0" borderId="69" xfId="0" quotePrefix="1" applyBorder="1" applyAlignment="1">
      <alignment horizontal="center" vertical="center" wrapText="1"/>
    </xf>
    <xf numFmtId="0" fontId="14" fillId="14" borderId="24" xfId="0" applyFont="1" applyFill="1" applyBorder="1" applyAlignment="1">
      <alignment horizontal="left" vertical="center" wrapText="1"/>
    </xf>
    <xf numFmtId="0" fontId="0" fillId="19" borderId="70" xfId="0" applyFill="1" applyBorder="1" applyAlignment="1">
      <alignment horizontal="center" vertical="center" wrapText="1"/>
    </xf>
    <xf numFmtId="0" fontId="0" fillId="0" borderId="72" xfId="0" applyBorder="1" applyAlignment="1">
      <alignment horizontal="left" vertical="top" wrapText="1"/>
    </xf>
    <xf numFmtId="0" fontId="10" fillId="11" borderId="69" xfId="0" applyFont="1" applyFill="1" applyBorder="1" applyAlignment="1">
      <alignment horizontal="center" vertical="center" wrapText="1"/>
    </xf>
    <xf numFmtId="0" fontId="10" fillId="11" borderId="24" xfId="0" applyFont="1" applyFill="1" applyBorder="1" applyAlignment="1">
      <alignment horizontal="center" vertical="center" wrapText="1"/>
    </xf>
    <xf numFmtId="0" fontId="14" fillId="11" borderId="24" xfId="0" applyFont="1" applyFill="1" applyBorder="1" applyAlignment="1">
      <alignment horizontal="left" vertical="top" wrapText="1"/>
    </xf>
    <xf numFmtId="0" fontId="0" fillId="17" borderId="72" xfId="0" applyFill="1" applyBorder="1" applyAlignment="1">
      <alignment horizontal="left" vertical="center" wrapText="1"/>
    </xf>
    <xf numFmtId="0" fontId="0" fillId="17" borderId="87" xfId="0" applyFill="1" applyBorder="1" applyAlignment="1">
      <alignment horizontal="center" vertical="center" wrapText="1"/>
    </xf>
    <xf numFmtId="0" fontId="9" fillId="15" borderId="88" xfId="0" applyFont="1" applyFill="1" applyBorder="1" applyAlignment="1">
      <alignment horizontal="center" vertical="center"/>
    </xf>
    <xf numFmtId="0" fontId="4" fillId="15" borderId="89" xfId="0" applyFont="1" applyFill="1" applyBorder="1" applyAlignment="1">
      <alignment horizontal="center" vertical="center"/>
    </xf>
    <xf numFmtId="0" fontId="0" fillId="14" borderId="90" xfId="0" applyFill="1" applyBorder="1" applyAlignment="1">
      <alignment horizontal="center" vertical="center"/>
    </xf>
    <xf numFmtId="0" fontId="0" fillId="0" borderId="91" xfId="0" applyBorder="1" applyAlignment="1">
      <alignment horizontal="center" vertical="center"/>
    </xf>
    <xf numFmtId="0" fontId="0" fillId="14" borderId="91" xfId="0" applyFill="1" applyBorder="1" applyAlignment="1">
      <alignment horizontal="center" vertical="center"/>
    </xf>
    <xf numFmtId="0" fontId="0" fillId="14" borderId="92" xfId="0" applyFill="1" applyBorder="1" applyAlignment="1">
      <alignment horizontal="center" vertical="center"/>
    </xf>
    <xf numFmtId="0" fontId="0" fillId="14" borderId="93" xfId="0" applyFill="1" applyBorder="1" applyAlignment="1">
      <alignment horizontal="center" vertical="center"/>
    </xf>
    <xf numFmtId="0" fontId="0" fillId="0" borderId="0" xfId="0" quotePrefix="1"/>
    <xf numFmtId="0" fontId="15" fillId="24" borderId="56" xfId="0" applyFont="1" applyFill="1" applyBorder="1" applyAlignment="1">
      <alignment horizontal="center"/>
    </xf>
    <xf numFmtId="0" fontId="15" fillId="24" borderId="55" xfId="0" applyFont="1" applyFill="1" applyBorder="1" applyAlignment="1">
      <alignment horizontal="center"/>
    </xf>
    <xf numFmtId="0" fontId="15" fillId="24" borderId="55" xfId="0" applyFont="1" applyFill="1" applyBorder="1" applyAlignment="1">
      <alignment horizontal="center" vertical="top"/>
    </xf>
    <xf numFmtId="0" fontId="15" fillId="24" borderId="55" xfId="0" applyFont="1" applyFill="1" applyBorder="1" applyAlignment="1">
      <alignment horizontal="left" vertical="top"/>
    </xf>
    <xf numFmtId="0" fontId="4" fillId="24" borderId="41" xfId="0" applyFont="1" applyFill="1" applyBorder="1" applyAlignment="1">
      <alignment horizontal="left" vertical="top"/>
    </xf>
    <xf numFmtId="0" fontId="15" fillId="24" borderId="42" xfId="0" applyFont="1" applyFill="1" applyBorder="1" applyAlignment="1">
      <alignment horizontal="center"/>
    </xf>
    <xf numFmtId="0" fontId="15" fillId="24" borderId="48" xfId="0" applyFont="1" applyFill="1" applyBorder="1" applyAlignment="1">
      <alignment horizontal="center"/>
    </xf>
    <xf numFmtId="0" fontId="15" fillId="24" borderId="60" xfId="0" applyFont="1" applyFill="1" applyBorder="1" applyAlignment="1">
      <alignment horizontal="center"/>
    </xf>
    <xf numFmtId="0" fontId="15" fillId="24" borderId="43" xfId="0" applyFont="1" applyFill="1" applyBorder="1" applyAlignment="1">
      <alignment horizontal="center"/>
    </xf>
    <xf numFmtId="0" fontId="0" fillId="0" borderId="24" xfId="0" applyBorder="1" applyAlignment="1">
      <alignment horizontal="left" vertical="center" wrapText="1"/>
    </xf>
    <xf numFmtId="0" fontId="0" fillId="20" borderId="24" xfId="0" applyFill="1" applyBorder="1" applyAlignment="1">
      <alignment horizontal="left" vertical="center" wrapText="1"/>
    </xf>
    <xf numFmtId="0" fontId="10" fillId="11" borderId="7" xfId="0" applyFont="1" applyFill="1" applyBorder="1"/>
    <xf numFmtId="0" fontId="10" fillId="11" borderId="9" xfId="0" applyFont="1" applyFill="1" applyBorder="1"/>
    <xf numFmtId="0" fontId="10" fillId="11" borderId="13" xfId="0" applyFont="1" applyFill="1" applyBorder="1"/>
    <xf numFmtId="0" fontId="10" fillId="11" borderId="36" xfId="0" applyFont="1" applyFill="1" applyBorder="1"/>
    <xf numFmtId="0" fontId="17" fillId="24" borderId="35" xfId="0" applyFont="1" applyFill="1" applyBorder="1" applyAlignment="1">
      <alignment horizontal="center" vertical="center"/>
    </xf>
    <xf numFmtId="0" fontId="17" fillId="24" borderId="34" xfId="0" applyFont="1" applyFill="1" applyBorder="1" applyAlignment="1">
      <alignment horizontal="center" vertical="center"/>
    </xf>
    <xf numFmtId="0" fontId="17" fillId="25" borderId="34" xfId="0" applyFont="1" applyFill="1" applyBorder="1" applyAlignment="1">
      <alignment horizontal="center" vertical="center"/>
    </xf>
    <xf numFmtId="0" fontId="17" fillId="25" borderId="10" xfId="0" applyFont="1" applyFill="1" applyBorder="1" applyAlignment="1">
      <alignment horizontal="center" vertical="center"/>
    </xf>
    <xf numFmtId="0" fontId="10" fillId="0" borderId="94" xfId="0" applyFont="1" applyBorder="1"/>
    <xf numFmtId="0" fontId="10" fillId="22" borderId="94" xfId="0" applyFont="1" applyFill="1" applyBorder="1"/>
    <xf numFmtId="0" fontId="10" fillId="22" borderId="95" xfId="0" applyFont="1" applyFill="1" applyBorder="1"/>
    <xf numFmtId="0" fontId="10" fillId="0" borderId="22" xfId="0" applyFont="1" applyBorder="1"/>
    <xf numFmtId="0" fontId="11" fillId="0" borderId="22" xfId="0" applyFont="1" applyBorder="1"/>
    <xf numFmtId="0" fontId="0" fillId="10" borderId="70" xfId="0" applyFill="1" applyBorder="1" applyAlignment="1">
      <alignment horizontal="left" vertical="top"/>
    </xf>
    <xf numFmtId="0" fontId="10" fillId="22" borderId="96" xfId="0" applyFont="1" applyFill="1" applyBorder="1"/>
    <xf numFmtId="0" fontId="4" fillId="24" borderId="42" xfId="0" applyFont="1" applyFill="1" applyBorder="1"/>
    <xf numFmtId="0" fontId="4" fillId="24" borderId="43" xfId="0" applyFont="1" applyFill="1" applyBorder="1"/>
    <xf numFmtId="0" fontId="4" fillId="24" borderId="48" xfId="0" applyFont="1" applyFill="1" applyBorder="1"/>
    <xf numFmtId="0" fontId="16" fillId="0" borderId="13" xfId="0" applyFont="1" applyBorder="1" applyAlignment="1">
      <alignment horizontal="left" vertical="top" wrapText="1"/>
    </xf>
    <xf numFmtId="0" fontId="16" fillId="0" borderId="64" xfId="0" applyFont="1" applyBorder="1" applyAlignment="1">
      <alignment horizontal="left" vertical="top" wrapText="1"/>
    </xf>
    <xf numFmtId="0" fontId="16" fillId="0" borderId="14" xfId="0" applyFont="1" applyBorder="1" applyAlignment="1">
      <alignment horizontal="left" vertical="top" wrapText="1"/>
    </xf>
    <xf numFmtId="0" fontId="16" fillId="0" borderId="3" xfId="0" applyFont="1" applyBorder="1" applyAlignment="1">
      <alignment horizontal="left" vertical="top" wrapText="1"/>
    </xf>
    <xf numFmtId="0" fontId="16" fillId="0" borderId="63" xfId="0" applyFont="1" applyBorder="1" applyAlignment="1">
      <alignment horizontal="left" vertical="top" wrapText="1"/>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16" fillId="0" borderId="65" xfId="0" applyFont="1" applyBorder="1" applyAlignment="1">
      <alignment horizontal="left" vertical="top" wrapText="1"/>
    </xf>
    <xf numFmtId="0" fontId="16" fillId="0" borderId="6" xfId="0" applyFont="1" applyBorder="1" applyAlignment="1">
      <alignment horizontal="left" vertical="top" wrapText="1"/>
    </xf>
    <xf numFmtId="0" fontId="0" fillId="11" borderId="49" xfId="0" applyFill="1" applyBorder="1" applyAlignment="1">
      <alignment horizontal="center" vertical="center" wrapText="1"/>
    </xf>
    <xf numFmtId="0" fontId="0" fillId="11" borderId="53" xfId="0" applyFill="1" applyBorder="1" applyAlignment="1">
      <alignment horizontal="center" vertical="center" wrapText="1"/>
    </xf>
    <xf numFmtId="0" fontId="0" fillId="11" borderId="86" xfId="0" applyFill="1" applyBorder="1" applyAlignment="1">
      <alignment horizontal="center" vertical="center" wrapText="1"/>
    </xf>
    <xf numFmtId="0" fontId="0" fillId="0" borderId="50" xfId="0" applyBorder="1" applyAlignment="1">
      <alignment horizontal="left" vertical="center" wrapText="1"/>
    </xf>
    <xf numFmtId="0" fontId="0" fillId="0" borderId="52" xfId="0" applyBorder="1" applyAlignment="1">
      <alignment horizontal="left" vertical="center" wrapText="1"/>
    </xf>
    <xf numFmtId="0" fontId="0" fillId="0" borderId="46" xfId="0" applyBorder="1" applyAlignment="1">
      <alignment horizontal="left" vertical="center" wrapText="1"/>
    </xf>
    <xf numFmtId="0" fontId="9" fillId="15" borderId="66" xfId="0" applyFont="1" applyFill="1" applyBorder="1" applyAlignment="1">
      <alignment horizontal="center" vertical="center"/>
    </xf>
    <xf numFmtId="0" fontId="9" fillId="15" borderId="67" xfId="0" applyFont="1" applyFill="1" applyBorder="1" applyAlignment="1">
      <alignment horizontal="center" vertical="center"/>
    </xf>
    <xf numFmtId="0" fontId="9" fillId="15" borderId="68" xfId="0" applyFont="1" applyFill="1" applyBorder="1" applyAlignment="1">
      <alignment horizontal="center" vertical="center"/>
    </xf>
    <xf numFmtId="0" fontId="0" fillId="3" borderId="47" xfId="0" applyFill="1" applyBorder="1" applyAlignment="1">
      <alignment horizontal="center" vertical="center" wrapText="1"/>
    </xf>
    <xf numFmtId="0" fontId="0" fillId="3" borderId="51" xfId="0" applyFill="1" applyBorder="1" applyAlignment="1">
      <alignment horizontal="center" vertical="center" wrapText="1"/>
    </xf>
    <xf numFmtId="0" fontId="0" fillId="3" borderId="45" xfId="0" applyFill="1" applyBorder="1" applyAlignment="1">
      <alignment horizontal="center" vertical="center" wrapText="1"/>
    </xf>
    <xf numFmtId="0" fontId="0" fillId="3" borderId="49" xfId="0" applyFill="1" applyBorder="1" applyAlignment="1">
      <alignment horizontal="center" vertical="center" wrapText="1"/>
    </xf>
    <xf numFmtId="0" fontId="0" fillId="3" borderId="53" xfId="0" applyFill="1" applyBorder="1" applyAlignment="1">
      <alignment horizontal="center" vertical="center" wrapText="1"/>
    </xf>
    <xf numFmtId="0" fontId="0" fillId="3" borderId="44" xfId="0" applyFill="1" applyBorder="1" applyAlignment="1">
      <alignment horizontal="center" vertical="center" wrapText="1"/>
    </xf>
    <xf numFmtId="0" fontId="0" fillId="7" borderId="49" xfId="0" applyFill="1" applyBorder="1" applyAlignment="1">
      <alignment horizontal="center" vertical="center" wrapText="1"/>
    </xf>
    <xf numFmtId="0" fontId="0" fillId="7" borderId="53" xfId="0" applyFill="1" applyBorder="1" applyAlignment="1">
      <alignment horizontal="center" vertical="center" wrapText="1"/>
    </xf>
    <xf numFmtId="0" fontId="0" fillId="7" borderId="44" xfId="0" applyFill="1" applyBorder="1" applyAlignment="1">
      <alignment horizontal="center" vertical="center" wrapText="1"/>
    </xf>
    <xf numFmtId="0" fontId="0" fillId="7" borderId="49" xfId="0" quotePrefix="1" applyFill="1" applyBorder="1" applyAlignment="1">
      <alignment horizontal="center" vertical="center" wrapText="1"/>
    </xf>
    <xf numFmtId="0" fontId="0" fillId="7" borderId="53" xfId="0" quotePrefix="1" applyFill="1" applyBorder="1" applyAlignment="1">
      <alignment horizontal="center" vertical="center" wrapText="1"/>
    </xf>
    <xf numFmtId="0" fontId="0" fillId="7" borderId="44" xfId="0" quotePrefix="1" applyFill="1" applyBorder="1" applyAlignment="1">
      <alignment horizontal="center" vertical="center" wrapText="1"/>
    </xf>
    <xf numFmtId="0" fontId="0" fillId="14" borderId="82" xfId="0" applyFill="1" applyBorder="1" applyAlignment="1">
      <alignment horizontal="center" vertical="center" wrapText="1"/>
    </xf>
    <xf numFmtId="0" fontId="0" fillId="14" borderId="83" xfId="0" applyFill="1" applyBorder="1" applyAlignment="1">
      <alignment horizontal="center" vertical="center" wrapText="1"/>
    </xf>
    <xf numFmtId="0" fontId="0" fillId="14" borderId="76" xfId="0" applyFill="1" applyBorder="1" applyAlignment="1">
      <alignment horizontal="center" vertical="center" wrapText="1"/>
    </xf>
    <xf numFmtId="0" fontId="9" fillId="21" borderId="25" xfId="0" applyFont="1" applyFill="1" applyBorder="1" applyAlignment="1">
      <alignment horizontal="center" vertical="center"/>
    </xf>
    <xf numFmtId="0" fontId="9" fillId="21" borderId="26" xfId="0" applyFont="1" applyFill="1" applyBorder="1" applyAlignment="1">
      <alignment horizontal="center" vertical="center"/>
    </xf>
    <xf numFmtId="0" fontId="9" fillId="21" borderId="27" xfId="0" applyFont="1" applyFill="1" applyBorder="1" applyAlignment="1">
      <alignment horizontal="center" vertical="center"/>
    </xf>
    <xf numFmtId="0" fontId="9" fillId="16" borderId="25" xfId="0" applyFont="1" applyFill="1" applyBorder="1" applyAlignment="1">
      <alignment horizontal="center" vertical="center" wrapText="1"/>
    </xf>
    <xf numFmtId="0" fontId="9" fillId="16" borderId="26" xfId="0" applyFont="1" applyFill="1" applyBorder="1" applyAlignment="1">
      <alignment horizontal="center" vertical="center" wrapText="1"/>
    </xf>
    <xf numFmtId="0" fontId="9" fillId="16" borderId="27" xfId="0" applyFont="1" applyFill="1" applyBorder="1" applyAlignment="1">
      <alignment horizontal="center" vertical="center" wrapText="1"/>
    </xf>
    <xf numFmtId="0" fontId="0" fillId="3" borderId="50" xfId="0" applyFill="1" applyBorder="1" applyAlignment="1">
      <alignment horizontal="left" vertical="center" wrapText="1"/>
    </xf>
    <xf numFmtId="0" fontId="0" fillId="3" borderId="52" xfId="0" applyFill="1" applyBorder="1" applyAlignment="1">
      <alignment horizontal="left" vertical="center" wrapText="1"/>
    </xf>
    <xf numFmtId="0" fontId="0" fillId="3" borderId="46" xfId="0" applyFill="1" applyBorder="1" applyAlignment="1">
      <alignment horizontal="left" vertical="center" wrapText="1"/>
    </xf>
    <xf numFmtId="0" fontId="0" fillId="7" borderId="50" xfId="0" applyFill="1" applyBorder="1" applyAlignment="1">
      <alignment horizontal="left" vertical="center" wrapText="1"/>
    </xf>
    <xf numFmtId="0" fontId="0" fillId="7" borderId="52" xfId="0" applyFill="1" applyBorder="1" applyAlignment="1">
      <alignment horizontal="left" vertical="center" wrapText="1"/>
    </xf>
    <xf numFmtId="0" fontId="0" fillId="7" borderId="46" xfId="0" applyFill="1" applyBorder="1" applyAlignment="1">
      <alignment horizontal="left" vertical="center" wrapText="1"/>
    </xf>
    <xf numFmtId="0" fontId="0" fillId="7" borderId="47" xfId="0" applyFill="1" applyBorder="1" applyAlignment="1">
      <alignment horizontal="left" vertical="center" wrapText="1"/>
    </xf>
    <xf numFmtId="0" fontId="0" fillId="7" borderId="51" xfId="0" applyFill="1" applyBorder="1" applyAlignment="1">
      <alignment horizontal="left" vertical="center" wrapText="1"/>
    </xf>
    <xf numFmtId="0" fontId="0" fillId="7" borderId="45" xfId="0" applyFill="1" applyBorder="1" applyAlignment="1">
      <alignment horizontal="left" vertical="center" wrapText="1"/>
    </xf>
    <xf numFmtId="0" fontId="0" fillId="0" borderId="47" xfId="0" applyBorder="1" applyAlignment="1">
      <alignment horizontal="center" vertical="center" wrapText="1"/>
    </xf>
    <xf numFmtId="0" fontId="0" fillId="0" borderId="51" xfId="0" applyBorder="1" applyAlignment="1">
      <alignment horizontal="center" vertical="center" wrapText="1"/>
    </xf>
    <xf numFmtId="0" fontId="0" fillId="0" borderId="45" xfId="0" applyBorder="1" applyAlignment="1">
      <alignment horizontal="center" vertical="center" wrapText="1"/>
    </xf>
    <xf numFmtId="0" fontId="0" fillId="0" borderId="49" xfId="0" applyBorder="1" applyAlignment="1">
      <alignment horizontal="center" vertical="center" wrapText="1"/>
    </xf>
    <xf numFmtId="0" fontId="0" fillId="0" borderId="53" xfId="0" applyBorder="1" applyAlignment="1">
      <alignment horizontal="center" vertical="center" wrapText="1"/>
    </xf>
    <xf numFmtId="0" fontId="0" fillId="0" borderId="44" xfId="0" applyBorder="1" applyAlignment="1">
      <alignment horizontal="center" vertical="center" wrapText="1"/>
    </xf>
    <xf numFmtId="0" fontId="0" fillId="14" borderId="47" xfId="0" applyFill="1" applyBorder="1" applyAlignment="1">
      <alignment horizontal="center" vertical="center" wrapText="1"/>
    </xf>
    <xf numFmtId="0" fontId="0" fillId="14" borderId="51" xfId="0" applyFill="1" applyBorder="1" applyAlignment="1">
      <alignment horizontal="center" vertical="center" wrapText="1"/>
    </xf>
    <xf numFmtId="0" fontId="0" fillId="14" borderId="45" xfId="0" applyFill="1" applyBorder="1" applyAlignment="1">
      <alignment horizontal="center" vertical="center" wrapText="1"/>
    </xf>
    <xf numFmtId="0" fontId="6" fillId="0" borderId="82" xfId="2" quotePrefix="1" applyFont="1" applyFill="1" applyBorder="1" applyAlignment="1">
      <alignment horizontal="center" vertical="center" wrapText="1"/>
    </xf>
    <xf numFmtId="0" fontId="6" fillId="0" borderId="83" xfId="2" quotePrefix="1" applyFont="1" applyFill="1" applyBorder="1" applyAlignment="1">
      <alignment horizontal="center" vertical="center" wrapText="1"/>
    </xf>
    <xf numFmtId="0" fontId="6" fillId="0" borderId="76" xfId="2" quotePrefix="1" applyFont="1" applyFill="1" applyBorder="1" applyAlignment="1">
      <alignment horizontal="center" vertical="center" wrapText="1"/>
    </xf>
    <xf numFmtId="0" fontId="6" fillId="0" borderId="47" xfId="2" quotePrefix="1" applyFont="1" applyFill="1" applyBorder="1" applyAlignment="1">
      <alignment horizontal="center" vertical="center" wrapText="1"/>
    </xf>
    <xf numFmtId="0" fontId="6" fillId="0" borderId="51" xfId="2" quotePrefix="1" applyFont="1" applyFill="1" applyBorder="1" applyAlignment="1">
      <alignment horizontal="center" vertical="center" wrapText="1"/>
    </xf>
    <xf numFmtId="0" fontId="6" fillId="0" borderId="45" xfId="2" quotePrefix="1" applyFont="1" applyFill="1" applyBorder="1" applyAlignment="1">
      <alignment horizontal="center" vertical="center" wrapText="1"/>
    </xf>
    <xf numFmtId="0" fontId="0" fillId="11" borderId="49" xfId="0" quotePrefix="1" applyFill="1" applyBorder="1" applyAlignment="1">
      <alignment horizontal="center" vertical="center" wrapText="1"/>
    </xf>
    <xf numFmtId="0" fontId="0" fillId="11" borderId="53" xfId="0" quotePrefix="1" applyFill="1" applyBorder="1" applyAlignment="1">
      <alignment horizontal="center" vertical="center" wrapText="1"/>
    </xf>
    <xf numFmtId="0" fontId="0" fillId="11" borderId="44" xfId="0" quotePrefix="1" applyFill="1" applyBorder="1" applyAlignment="1">
      <alignment horizontal="center" vertical="center" wrapText="1"/>
    </xf>
    <xf numFmtId="0" fontId="0" fillId="14" borderId="78" xfId="0" applyFill="1" applyBorder="1" applyAlignment="1">
      <alignment horizontal="center" vertical="center" wrapText="1"/>
    </xf>
    <xf numFmtId="0" fontId="0" fillId="14" borderId="79" xfId="0" applyFill="1" applyBorder="1" applyAlignment="1">
      <alignment horizontal="center" vertical="center" wrapText="1"/>
    </xf>
    <xf numFmtId="0" fontId="0" fillId="14" borderId="77" xfId="0" applyFill="1" applyBorder="1" applyAlignment="1">
      <alignment horizontal="center" vertical="center" wrapText="1"/>
    </xf>
    <xf numFmtId="0" fontId="6" fillId="0" borderId="78" xfId="2" quotePrefix="1" applyFont="1" applyFill="1" applyBorder="1" applyAlignment="1">
      <alignment horizontal="center" vertical="center" wrapText="1"/>
    </xf>
    <xf numFmtId="0" fontId="6" fillId="0" borderId="79" xfId="2" quotePrefix="1" applyFont="1" applyFill="1" applyBorder="1" applyAlignment="1">
      <alignment horizontal="center" vertical="center" wrapText="1"/>
    </xf>
    <xf numFmtId="0" fontId="6" fillId="0" borderId="77" xfId="2" quotePrefix="1" applyFont="1" applyFill="1" applyBorder="1" applyAlignment="1">
      <alignment horizontal="center" vertical="center" wrapText="1"/>
    </xf>
    <xf numFmtId="0" fontId="0" fillId="11" borderId="78" xfId="0" applyFill="1" applyBorder="1" applyAlignment="1">
      <alignment horizontal="center" vertical="center" wrapText="1"/>
    </xf>
    <xf numFmtId="0" fontId="0" fillId="11" borderId="79" xfId="0" applyFill="1" applyBorder="1" applyAlignment="1">
      <alignment horizontal="center" vertical="center" wrapText="1"/>
    </xf>
    <xf numFmtId="0" fontId="0" fillId="11" borderId="77" xfId="0" applyFill="1" applyBorder="1" applyAlignment="1">
      <alignment horizontal="center" vertical="center" wrapText="1"/>
    </xf>
    <xf numFmtId="0" fontId="0" fillId="14" borderId="47" xfId="0" applyFill="1" applyBorder="1" applyAlignment="1">
      <alignment horizontal="left" vertical="center" wrapText="1"/>
    </xf>
    <xf numFmtId="0" fontId="0" fillId="14" borderId="51" xfId="0" applyFill="1" applyBorder="1" applyAlignment="1">
      <alignment horizontal="left" vertical="center" wrapText="1"/>
    </xf>
    <xf numFmtId="0" fontId="0" fillId="14" borderId="45" xfId="0" applyFill="1" applyBorder="1" applyAlignment="1">
      <alignment horizontal="left" vertical="center" wrapText="1"/>
    </xf>
    <xf numFmtId="0" fontId="0" fillId="14" borderId="47" xfId="0" applyFill="1" applyBorder="1" applyAlignment="1">
      <alignment horizontal="left" vertical="top" wrapText="1"/>
    </xf>
    <xf numFmtId="0" fontId="0" fillId="14" borderId="51" xfId="0" applyFill="1" applyBorder="1" applyAlignment="1">
      <alignment horizontal="left" vertical="top" wrapText="1"/>
    </xf>
    <xf numFmtId="0" fontId="0" fillId="14" borderId="45" xfId="0" applyFill="1" applyBorder="1" applyAlignment="1">
      <alignment horizontal="left" vertical="top" wrapText="1"/>
    </xf>
    <xf numFmtId="0" fontId="6" fillId="0" borderId="47" xfId="2" quotePrefix="1" applyFont="1" applyFill="1" applyBorder="1" applyAlignment="1">
      <alignment horizontal="left" vertical="top" wrapText="1"/>
    </xf>
    <xf numFmtId="0" fontId="6" fillId="0" borderId="51" xfId="2" quotePrefix="1" applyFont="1" applyFill="1" applyBorder="1" applyAlignment="1">
      <alignment horizontal="left" vertical="top" wrapText="1"/>
    </xf>
    <xf numFmtId="0" fontId="6" fillId="0" borderId="45" xfId="2" quotePrefix="1" applyFont="1" applyFill="1" applyBorder="1" applyAlignment="1">
      <alignment horizontal="left" vertical="top" wrapText="1"/>
    </xf>
    <xf numFmtId="0" fontId="0" fillId="11" borderId="47" xfId="0" applyFill="1" applyBorder="1" applyAlignment="1">
      <alignment horizontal="center" vertical="center" wrapText="1"/>
    </xf>
    <xf numFmtId="0" fontId="0" fillId="11" borderId="51" xfId="0" applyFill="1" applyBorder="1" applyAlignment="1">
      <alignment horizontal="center" vertical="center" wrapText="1"/>
    </xf>
    <xf numFmtId="0" fontId="0" fillId="11" borderId="45" xfId="0" applyFill="1" applyBorder="1" applyAlignment="1">
      <alignment horizontal="center" vertical="center" wrapText="1"/>
    </xf>
    <xf numFmtId="0" fontId="0" fillId="11" borderId="47" xfId="0" applyFill="1" applyBorder="1" applyAlignment="1">
      <alignment horizontal="left" vertical="center" wrapText="1"/>
    </xf>
    <xf numFmtId="0" fontId="0" fillId="11" borderId="51" xfId="0" applyFill="1" applyBorder="1" applyAlignment="1">
      <alignment horizontal="left" vertical="center" wrapText="1"/>
    </xf>
    <xf numFmtId="0" fontId="0" fillId="11" borderId="85" xfId="0" applyFill="1" applyBorder="1" applyAlignment="1">
      <alignment horizontal="left" vertical="center" wrapText="1"/>
    </xf>
    <xf numFmtId="0" fontId="0" fillId="11" borderId="45" xfId="0" applyFill="1" applyBorder="1" applyAlignment="1">
      <alignment horizontal="left" vertical="center" wrapText="1"/>
    </xf>
    <xf numFmtId="0" fontId="0" fillId="7" borderId="47" xfId="0" quotePrefix="1" applyFill="1" applyBorder="1" applyAlignment="1">
      <alignment horizontal="center" vertical="center" wrapText="1"/>
    </xf>
    <xf numFmtId="0" fontId="0" fillId="7" borderId="51" xfId="0" quotePrefix="1" applyFill="1" applyBorder="1" applyAlignment="1">
      <alignment horizontal="center" vertical="center" wrapText="1"/>
    </xf>
    <xf numFmtId="0" fontId="0" fillId="7" borderId="45" xfId="0" quotePrefix="1" applyFill="1" applyBorder="1" applyAlignment="1">
      <alignment horizontal="center" vertical="center" wrapText="1"/>
    </xf>
    <xf numFmtId="0" fontId="0" fillId="7" borderId="50" xfId="0" quotePrefix="1" applyFill="1" applyBorder="1" applyAlignment="1">
      <alignment horizontal="center" vertical="center" wrapText="1"/>
    </xf>
    <xf numFmtId="0" fontId="0" fillId="7" borderId="52" xfId="0" quotePrefix="1" applyFill="1" applyBorder="1" applyAlignment="1">
      <alignment horizontal="center" vertical="center" wrapText="1"/>
    </xf>
    <xf numFmtId="0" fontId="0" fillId="7" borderId="46" xfId="0" quotePrefix="1" applyFill="1" applyBorder="1" applyAlignment="1">
      <alignment horizontal="center" vertical="center" wrapText="1"/>
    </xf>
    <xf numFmtId="0" fontId="0" fillId="11" borderId="47" xfId="0" quotePrefix="1" applyFill="1" applyBorder="1" applyAlignment="1">
      <alignment horizontal="center" vertical="center" wrapText="1"/>
    </xf>
    <xf numFmtId="0" fontId="0" fillId="11" borderId="51"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50" xfId="0" quotePrefix="1" applyFill="1" applyBorder="1" applyAlignment="1">
      <alignment horizontal="center" vertical="center" wrapText="1"/>
    </xf>
    <xf numFmtId="0" fontId="0" fillId="11" borderId="52" xfId="0" quotePrefix="1" applyFill="1" applyBorder="1" applyAlignment="1">
      <alignment horizontal="center" vertical="center" wrapText="1"/>
    </xf>
    <xf numFmtId="0" fontId="0" fillId="11" borderId="46" xfId="0" quotePrefix="1" applyFill="1" applyBorder="1" applyAlignment="1">
      <alignment horizontal="center" vertical="center" wrapText="1"/>
    </xf>
    <xf numFmtId="0" fontId="0" fillId="11" borderId="82" xfId="0" applyFill="1" applyBorder="1" applyAlignment="1">
      <alignment horizontal="center" vertical="center" wrapText="1"/>
    </xf>
    <xf numFmtId="0" fontId="0" fillId="11" borderId="83" xfId="0" applyFill="1" applyBorder="1" applyAlignment="1">
      <alignment horizontal="center" vertical="center" wrapText="1"/>
    </xf>
    <xf numFmtId="0" fontId="0" fillId="11" borderId="76" xfId="0" applyFill="1" applyBorder="1" applyAlignment="1">
      <alignment horizontal="center" vertical="center" wrapText="1"/>
    </xf>
    <xf numFmtId="0" fontId="0" fillId="3" borderId="86" xfId="0" applyFill="1" applyBorder="1" applyAlignment="1">
      <alignment horizontal="center" vertical="center" wrapText="1"/>
    </xf>
    <xf numFmtId="0" fontId="0" fillId="3" borderId="85" xfId="0" applyFill="1" applyBorder="1" applyAlignment="1">
      <alignment horizontal="center" vertical="center" wrapText="1"/>
    </xf>
    <xf numFmtId="0" fontId="0" fillId="11" borderId="50" xfId="0" applyFill="1" applyBorder="1" applyAlignment="1">
      <alignment horizontal="left" vertical="center" wrapText="1"/>
    </xf>
    <xf numFmtId="0" fontId="0" fillId="11" borderId="52" xfId="0" applyFill="1" applyBorder="1" applyAlignment="1">
      <alignment horizontal="left" vertical="center" wrapText="1"/>
    </xf>
    <xf numFmtId="0" fontId="0" fillId="11" borderId="54" xfId="0" applyFill="1" applyBorder="1" applyAlignment="1">
      <alignment horizontal="left" vertical="center" wrapText="1"/>
    </xf>
    <xf numFmtId="0" fontId="0" fillId="14" borderId="80" xfId="0" applyFill="1" applyBorder="1" applyAlignment="1">
      <alignment horizontal="center" vertical="center" wrapText="1"/>
    </xf>
    <xf numFmtId="0" fontId="0" fillId="14" borderId="84" xfId="0" applyFill="1" applyBorder="1" applyAlignment="1">
      <alignment horizontal="center" vertical="center" wrapText="1"/>
    </xf>
    <xf numFmtId="0" fontId="0" fillId="14" borderId="81" xfId="0" applyFill="1" applyBorder="1" applyAlignment="1">
      <alignment horizontal="center" vertical="center" wrapText="1"/>
    </xf>
    <xf numFmtId="0" fontId="0" fillId="3" borderId="54" xfId="0" applyFill="1" applyBorder="1" applyAlignment="1">
      <alignment horizontal="left" vertical="center" wrapText="1"/>
    </xf>
    <xf numFmtId="0" fontId="0" fillId="14" borderId="81" xfId="0" applyFill="1" applyBorder="1" applyAlignment="1">
      <alignment horizontal="left" vertical="center" wrapText="1"/>
    </xf>
    <xf numFmtId="0" fontId="0" fillId="7" borderId="85" xfId="0" applyFill="1" applyBorder="1" applyAlignment="1">
      <alignment horizontal="left" vertical="center" wrapText="1"/>
    </xf>
    <xf numFmtId="0" fontId="0" fillId="7" borderId="54" xfId="0" applyFill="1" applyBorder="1" applyAlignment="1">
      <alignment horizontal="left" vertical="center" wrapText="1"/>
    </xf>
    <xf numFmtId="0" fontId="0" fillId="7" borderId="86" xfId="0" applyFill="1" applyBorder="1" applyAlignment="1">
      <alignment horizontal="center" vertical="center" wrapText="1"/>
    </xf>
    <xf numFmtId="0" fontId="0" fillId="0" borderId="29" xfId="0" applyBorder="1" applyAlignment="1">
      <alignment horizontal="left" vertical="center" wrapText="1"/>
    </xf>
    <xf numFmtId="0" fontId="0" fillId="11" borderId="24" xfId="0" applyFill="1" applyBorder="1" applyAlignment="1">
      <alignment horizontal="center" vertical="center" wrapText="1"/>
    </xf>
    <xf numFmtId="0" fontId="0" fillId="11" borderId="69" xfId="0" applyFill="1" applyBorder="1" applyAlignment="1">
      <alignment horizontal="center" vertical="center" wrapText="1"/>
    </xf>
    <xf numFmtId="0" fontId="0" fillId="11" borderId="70" xfId="0" applyFill="1" applyBorder="1" applyAlignment="1">
      <alignment horizontal="center" vertical="center" wrapText="1"/>
    </xf>
    <xf numFmtId="0" fontId="0" fillId="0" borderId="24"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left" vertical="top" wrapText="1"/>
    </xf>
    <xf numFmtId="0" fontId="0" fillId="11" borderId="24" xfId="0" applyFill="1" applyBorder="1" applyAlignment="1">
      <alignment horizontal="left" vertical="top" wrapText="1"/>
    </xf>
    <xf numFmtId="0" fontId="0" fillId="0" borderId="24" xfId="0" applyBorder="1" applyAlignment="1">
      <alignment horizontal="left" vertical="center" wrapText="1"/>
    </xf>
    <xf numFmtId="0" fontId="0" fillId="3" borderId="28" xfId="0" applyFill="1" applyBorder="1" applyAlignment="1">
      <alignment horizontal="center" vertical="center" wrapText="1"/>
    </xf>
    <xf numFmtId="0" fontId="3" fillId="3" borderId="24" xfId="0" applyFont="1" applyFill="1" applyBorder="1" applyAlignment="1">
      <alignment horizontal="center" vertical="center" wrapText="1"/>
    </xf>
    <xf numFmtId="0" fontId="0" fillId="3" borderId="24" xfId="0" applyFill="1" applyBorder="1" applyAlignment="1">
      <alignment horizontal="center" vertical="center" wrapText="1"/>
    </xf>
    <xf numFmtId="0" fontId="0" fillId="3" borderId="29" xfId="0" applyFill="1" applyBorder="1" applyAlignment="1">
      <alignment horizontal="left" vertical="center" wrapText="1"/>
    </xf>
    <xf numFmtId="0" fontId="0" fillId="7" borderId="28" xfId="0" applyFill="1" applyBorder="1" applyAlignment="1">
      <alignment horizontal="center" vertical="center" wrapText="1"/>
    </xf>
    <xf numFmtId="0" fontId="0" fillId="5" borderId="24" xfId="0" quotePrefix="1" applyFill="1" applyBorder="1" applyAlignment="1">
      <alignment horizontal="left" vertical="center" wrapText="1"/>
    </xf>
    <xf numFmtId="0" fontId="0" fillId="5" borderId="24" xfId="0" applyFill="1" applyBorder="1" applyAlignment="1">
      <alignment horizontal="left" vertical="center" wrapText="1"/>
    </xf>
    <xf numFmtId="0" fontId="0" fillId="5" borderId="28" xfId="0" applyFill="1" applyBorder="1" applyAlignment="1">
      <alignment horizontal="center" vertical="center" wrapText="1"/>
    </xf>
    <xf numFmtId="0" fontId="0" fillId="20" borderId="24" xfId="0" applyFill="1" applyBorder="1" applyAlignment="1">
      <alignment horizontal="left" vertical="center" wrapText="1"/>
    </xf>
    <xf numFmtId="0" fontId="0" fillId="7" borderId="24" xfId="0" applyFill="1" applyBorder="1" applyAlignment="1">
      <alignment horizontal="left" vertical="center" wrapText="1"/>
    </xf>
    <xf numFmtId="0" fontId="0" fillId="7" borderId="29" xfId="0" applyFill="1" applyBorder="1" applyAlignment="1">
      <alignment horizontal="left" vertical="center" wrapText="1"/>
    </xf>
    <xf numFmtId="0" fontId="0" fillId="20" borderId="76" xfId="0" applyFill="1" applyBorder="1" applyAlignment="1">
      <alignment horizontal="center" vertical="center" wrapText="1"/>
    </xf>
    <xf numFmtId="0" fontId="0" fillId="20" borderId="69" xfId="0" applyFill="1" applyBorder="1" applyAlignment="1">
      <alignment horizontal="center" vertical="center" wrapText="1"/>
    </xf>
    <xf numFmtId="0" fontId="0" fillId="5" borderId="69" xfId="0" applyFill="1" applyBorder="1" applyAlignment="1">
      <alignment horizontal="center" vertical="center" wrapText="1"/>
    </xf>
    <xf numFmtId="0" fontId="0" fillId="20" borderId="24" xfId="0" applyFill="1" applyBorder="1" applyAlignment="1">
      <alignment horizontal="center" vertical="center" wrapText="1"/>
    </xf>
    <xf numFmtId="0" fontId="0" fillId="20" borderId="45" xfId="0" applyFill="1" applyBorder="1" applyAlignment="1">
      <alignment horizontal="center" vertical="center" wrapText="1"/>
    </xf>
    <xf numFmtId="0" fontId="0" fillId="5" borderId="24" xfId="0" applyFill="1" applyBorder="1" applyAlignment="1">
      <alignment horizontal="center" vertical="center" wrapText="1"/>
    </xf>
    <xf numFmtId="0" fontId="0" fillId="20" borderId="45" xfId="0" applyFill="1" applyBorder="1" applyAlignment="1">
      <alignment horizontal="left" vertical="center" wrapText="1"/>
    </xf>
    <xf numFmtId="0" fontId="0" fillId="14" borderId="70" xfId="0" applyFill="1" applyBorder="1" applyAlignment="1">
      <alignment horizontal="center" vertical="center" wrapText="1"/>
    </xf>
    <xf numFmtId="0" fontId="0" fillId="5" borderId="70" xfId="0" applyFill="1" applyBorder="1" applyAlignment="1">
      <alignment horizontal="center" vertical="center" wrapText="1"/>
    </xf>
    <xf numFmtId="0" fontId="0" fillId="5" borderId="24" xfId="0" quotePrefix="1" applyFill="1" applyBorder="1" applyAlignment="1">
      <alignment horizontal="center" vertical="center" wrapText="1"/>
    </xf>
    <xf numFmtId="0" fontId="0" fillId="5" borderId="29" xfId="0" quotePrefix="1" applyFill="1" applyBorder="1" applyAlignment="1">
      <alignment horizontal="center" vertical="center" wrapText="1"/>
    </xf>
    <xf numFmtId="0" fontId="0" fillId="5" borderId="29" xfId="0" applyFill="1" applyBorder="1" applyAlignment="1">
      <alignment horizontal="center" vertical="center" wrapText="1"/>
    </xf>
    <xf numFmtId="0" fontId="0" fillId="20" borderId="77" xfId="0" applyFill="1" applyBorder="1" applyAlignment="1">
      <alignment horizontal="center" vertical="center" wrapText="1"/>
    </xf>
    <xf numFmtId="0" fontId="0" fillId="20" borderId="70" xfId="0" applyFill="1" applyBorder="1" applyAlignment="1">
      <alignment horizontal="center" vertical="center" wrapText="1"/>
    </xf>
    <xf numFmtId="0" fontId="0" fillId="7" borderId="29" xfId="0" applyFill="1" applyBorder="1" applyAlignment="1">
      <alignment horizontal="left" vertical="top" wrapText="1"/>
    </xf>
    <xf numFmtId="0" fontId="0" fillId="5" borderId="28" xfId="0" applyFill="1" applyBorder="1" applyAlignment="1">
      <alignment horizontal="center" vertical="center"/>
    </xf>
    <xf numFmtId="0" fontId="0" fillId="5" borderId="30" xfId="0" applyFill="1" applyBorder="1" applyAlignment="1">
      <alignment horizontal="center" vertical="center"/>
    </xf>
    <xf numFmtId="0" fontId="3" fillId="5" borderId="24" xfId="0" applyFont="1" applyFill="1" applyBorder="1" applyAlignment="1">
      <alignment horizontal="center" vertical="center" wrapText="1"/>
    </xf>
    <xf numFmtId="0" fontId="3" fillId="5" borderId="24" xfId="0" applyFont="1" applyFill="1" applyBorder="1" applyAlignment="1">
      <alignment horizontal="center" vertical="center"/>
    </xf>
    <xf numFmtId="0" fontId="3" fillId="5" borderId="31" xfId="0" applyFont="1" applyFill="1" applyBorder="1" applyAlignment="1">
      <alignment horizontal="center" vertical="center"/>
    </xf>
    <xf numFmtId="0" fontId="0" fillId="5" borderId="24" xfId="0" applyFill="1" applyBorder="1" applyAlignment="1">
      <alignment horizontal="center" vertical="center"/>
    </xf>
    <xf numFmtId="0" fontId="0" fillId="5" borderId="31" xfId="0" applyFill="1" applyBorder="1" applyAlignment="1">
      <alignment horizontal="center" vertical="center"/>
    </xf>
    <xf numFmtId="0" fontId="0" fillId="5" borderId="31" xfId="0" applyFill="1" applyBorder="1" applyAlignment="1">
      <alignment horizontal="center" vertical="center" wrapText="1"/>
    </xf>
    <xf numFmtId="0" fontId="0" fillId="5" borderId="29" xfId="0" applyFill="1" applyBorder="1" applyAlignment="1">
      <alignment horizontal="left" vertical="center" wrapText="1"/>
    </xf>
    <xf numFmtId="0" fontId="0" fillId="5" borderId="32" xfId="0" applyFill="1" applyBorder="1" applyAlignment="1">
      <alignment horizontal="left" vertical="center" wrapText="1"/>
    </xf>
    <xf numFmtId="0" fontId="0" fillId="5" borderId="73" xfId="0" applyFill="1" applyBorder="1" applyAlignment="1">
      <alignment horizontal="center" vertical="center" wrapText="1"/>
    </xf>
    <xf numFmtId="0" fontId="0" fillId="5" borderId="71"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72" xfId="0" applyFill="1" applyBorder="1" applyAlignment="1">
      <alignment horizontal="left" vertical="center" wrapText="1"/>
    </xf>
    <xf numFmtId="0" fontId="0" fillId="5" borderId="31" xfId="0" applyFill="1" applyBorder="1" applyAlignment="1">
      <alignment horizontal="left" vertical="center" wrapText="1"/>
    </xf>
    <xf numFmtId="0" fontId="0" fillId="5" borderId="72" xfId="0" applyFill="1" applyBorder="1" applyAlignment="1">
      <alignment horizontal="center" vertical="center" wrapText="1"/>
    </xf>
    <xf numFmtId="0" fontId="0" fillId="17" borderId="70" xfId="0" applyFill="1" applyBorder="1" applyAlignment="1">
      <alignment horizontal="center" vertical="center" wrapText="1"/>
    </xf>
    <xf numFmtId="0" fontId="0" fillId="0" borderId="70" xfId="0" applyBorder="1" applyAlignment="1">
      <alignment horizontal="center" vertical="center" wrapText="1"/>
    </xf>
    <xf numFmtId="0" fontId="0" fillId="14" borderId="69" xfId="0" applyFill="1" applyBorder="1" applyAlignment="1">
      <alignment horizontal="center" vertical="center" wrapText="1"/>
    </xf>
    <xf numFmtId="0" fontId="0" fillId="0" borderId="69" xfId="0" quotePrefix="1" applyBorder="1" applyAlignment="1">
      <alignment horizontal="center" vertical="center" wrapText="1"/>
    </xf>
    <xf numFmtId="0" fontId="6" fillId="17" borderId="69" xfId="2" quotePrefix="1" applyFont="1" applyFill="1" applyBorder="1" applyAlignment="1">
      <alignment horizontal="center" vertical="center" wrapText="1"/>
    </xf>
    <xf numFmtId="0" fontId="0" fillId="14" borderId="24" xfId="0" applyFill="1" applyBorder="1" applyAlignment="1">
      <alignment horizontal="center" vertical="center" wrapText="1"/>
    </xf>
    <xf numFmtId="0" fontId="0" fillId="0" borderId="70" xfId="0" quotePrefix="1" applyBorder="1" applyAlignment="1">
      <alignment horizontal="center" vertical="center" wrapText="1"/>
    </xf>
    <xf numFmtId="0" fontId="6" fillId="17" borderId="70" xfId="2" quotePrefix="1" applyFont="1" applyFill="1" applyBorder="1" applyAlignment="1">
      <alignment horizontal="center" vertical="center" wrapText="1"/>
    </xf>
    <xf numFmtId="0" fontId="0" fillId="0" borderId="24" xfId="0" applyBorder="1" applyAlignment="1">
      <alignment horizontal="left" vertical="top" wrapText="1"/>
    </xf>
    <xf numFmtId="0" fontId="0" fillId="17" borderId="24" xfId="0" applyFill="1" applyBorder="1" applyAlignment="1">
      <alignment horizontal="left" vertical="top" wrapText="1"/>
    </xf>
    <xf numFmtId="0" fontId="0" fillId="17" borderId="24" xfId="0" applyFill="1" applyBorder="1" applyAlignment="1">
      <alignment horizontal="center" vertical="center" wrapText="1"/>
    </xf>
    <xf numFmtId="0" fontId="0" fillId="7" borderId="29" xfId="0" quotePrefix="1" applyFill="1" applyBorder="1" applyAlignment="1">
      <alignment horizontal="center" vertical="center" wrapText="1"/>
    </xf>
    <xf numFmtId="0" fontId="6" fillId="17" borderId="24" xfId="2" quotePrefix="1" applyFont="1" applyFill="1" applyBorder="1" applyAlignment="1">
      <alignment horizontal="center" vertical="center" wrapText="1"/>
    </xf>
    <xf numFmtId="0" fontId="0" fillId="8" borderId="29" xfId="0" applyFill="1" applyBorder="1" applyAlignment="1">
      <alignment horizontal="left" vertical="top" wrapText="1"/>
    </xf>
    <xf numFmtId="0" fontId="0" fillId="5" borderId="29" xfId="0" applyFill="1" applyBorder="1" applyAlignment="1">
      <alignment horizontal="left" vertical="top" wrapText="1"/>
    </xf>
    <xf numFmtId="0" fontId="0" fillId="14" borderId="24" xfId="0" applyFill="1" applyBorder="1" applyAlignment="1">
      <alignment horizontal="left" vertical="center" wrapText="1"/>
    </xf>
    <xf numFmtId="0" fontId="10" fillId="0" borderId="24" xfId="0" applyFont="1" applyBorder="1" applyAlignment="1">
      <alignment vertical="top" wrapText="1"/>
    </xf>
    <xf numFmtId="0" fontId="6" fillId="17" borderId="24" xfId="2" quotePrefix="1" applyFont="1" applyFill="1" applyBorder="1" applyAlignment="1">
      <alignment horizontal="left" vertical="top" wrapText="1"/>
    </xf>
    <xf numFmtId="0" fontId="0" fillId="8" borderId="28" xfId="0" quotePrefix="1" applyFill="1" applyBorder="1" applyAlignment="1">
      <alignment horizontal="center" vertical="center" wrapText="1"/>
    </xf>
    <xf numFmtId="0" fontId="0" fillId="17" borderId="69" xfId="0" applyFill="1" applyBorder="1" applyAlignment="1">
      <alignment horizontal="center" vertical="center" wrapText="1"/>
    </xf>
    <xf numFmtId="0" fontId="0" fillId="8" borderId="28" xfId="0" applyFill="1" applyBorder="1" applyAlignment="1">
      <alignment horizontal="center" vertical="center" wrapText="1"/>
    </xf>
    <xf numFmtId="0" fontId="0" fillId="3" borderId="29" xfId="0" applyFill="1" applyBorder="1" applyAlignment="1">
      <alignment horizontal="left" vertical="top" wrapText="1"/>
    </xf>
    <xf numFmtId="0" fontId="0" fillId="7" borderId="28" xfId="0" quotePrefix="1" applyFill="1" applyBorder="1" applyAlignment="1">
      <alignment horizontal="center" vertical="center" wrapText="1"/>
    </xf>
    <xf numFmtId="0" fontId="0" fillId="0" borderId="69" xfId="0" applyBorder="1" applyAlignment="1">
      <alignment horizontal="center" vertical="center" wrapText="1"/>
    </xf>
    <xf numFmtId="0" fontId="0" fillId="11" borderId="24" xfId="0" applyFill="1" applyBorder="1" applyAlignment="1">
      <alignment horizontal="left" vertical="center" wrapText="1"/>
    </xf>
    <xf numFmtId="0" fontId="0" fillId="0" borderId="29" xfId="0" quotePrefix="1" applyBorder="1" applyAlignment="1">
      <alignment horizontal="center" vertical="center" wrapText="1"/>
    </xf>
    <xf numFmtId="0" fontId="0" fillId="0" borderId="29" xfId="0" applyBorder="1" applyAlignment="1">
      <alignment horizontal="center" vertical="center" wrapText="1"/>
    </xf>
    <xf numFmtId="0" fontId="0" fillId="0" borderId="24" xfId="0" quotePrefix="1" applyBorder="1" applyAlignment="1">
      <alignment horizontal="center" vertical="center" wrapText="1"/>
    </xf>
    <xf numFmtId="0" fontId="0" fillId="5" borderId="28" xfId="0" quotePrefix="1" applyFill="1" applyBorder="1" applyAlignment="1">
      <alignment horizontal="center" vertical="center" wrapText="1"/>
    </xf>
    <xf numFmtId="0" fontId="0" fillId="17" borderId="24" xfId="0" applyFill="1" applyBorder="1" applyAlignment="1">
      <alignment horizontal="left" vertical="center" wrapText="1"/>
    </xf>
    <xf numFmtId="0" fontId="0" fillId="8" borderId="24" xfId="0" quotePrefix="1" applyFill="1" applyBorder="1" applyAlignment="1">
      <alignment horizontal="center" vertical="center" wrapText="1"/>
    </xf>
    <xf numFmtId="0" fontId="0" fillId="8" borderId="29" xfId="0" quotePrefix="1" applyFill="1" applyBorder="1" applyAlignment="1">
      <alignment horizontal="center" vertical="center" wrapText="1"/>
    </xf>
    <xf numFmtId="0" fontId="0" fillId="8" borderId="24" xfId="0" applyFill="1" applyBorder="1" applyAlignment="1">
      <alignment horizontal="left" vertical="center" wrapText="1"/>
    </xf>
    <xf numFmtId="0" fontId="0" fillId="7" borderId="24" xfId="0" quotePrefix="1" applyFill="1" applyBorder="1" applyAlignment="1">
      <alignment horizontal="center" vertical="center" wrapText="1"/>
    </xf>
    <xf numFmtId="0" fontId="0" fillId="17" borderId="78" xfId="0" applyFill="1" applyBorder="1" applyAlignment="1">
      <alignment horizontal="center" vertical="center" wrapText="1"/>
    </xf>
    <xf numFmtId="0" fontId="0" fillId="17" borderId="79" xfId="0" applyFill="1" applyBorder="1" applyAlignment="1">
      <alignment horizontal="center" vertical="center" wrapText="1"/>
    </xf>
    <xf numFmtId="0" fontId="0" fillId="17" borderId="77" xfId="0" applyFill="1" applyBorder="1" applyAlignment="1">
      <alignment horizontal="center" vertical="center" wrapText="1"/>
    </xf>
    <xf numFmtId="0" fontId="0" fillId="0" borderId="47" xfId="0" applyBorder="1" applyAlignment="1">
      <alignment horizontal="left" vertical="center" wrapText="1"/>
    </xf>
    <xf numFmtId="0" fontId="0" fillId="0" borderId="51" xfId="0" applyBorder="1" applyAlignment="1">
      <alignment horizontal="left" vertical="center" wrapText="1"/>
    </xf>
    <xf numFmtId="0" fontId="0" fillId="0" borderId="45" xfId="0" applyBorder="1" applyAlignment="1">
      <alignment horizontal="left" vertical="center" wrapText="1"/>
    </xf>
    <xf numFmtId="0" fontId="0" fillId="17" borderId="47" xfId="0" applyFill="1" applyBorder="1" applyAlignment="1">
      <alignment horizontal="center" vertical="center" wrapText="1"/>
    </xf>
    <xf numFmtId="0" fontId="0" fillId="17" borderId="51" xfId="0" applyFill="1" applyBorder="1" applyAlignment="1">
      <alignment horizontal="center" vertical="center" wrapText="1"/>
    </xf>
    <xf numFmtId="0" fontId="0" fillId="17" borderId="45" xfId="0" applyFill="1" applyBorder="1" applyAlignment="1">
      <alignment horizontal="center" vertical="center" wrapText="1"/>
    </xf>
    <xf numFmtId="0" fontId="0" fillId="17" borderId="82" xfId="0" applyFill="1" applyBorder="1" applyAlignment="1">
      <alignment horizontal="center" vertical="center" wrapText="1"/>
    </xf>
    <xf numFmtId="0" fontId="0" fillId="17" borderId="83" xfId="0" applyFill="1" applyBorder="1" applyAlignment="1">
      <alignment horizontal="center" vertical="center" wrapText="1"/>
    </xf>
    <xf numFmtId="0" fontId="0" fillId="17" borderId="76" xfId="0" applyFill="1"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77" xfId="0" applyBorder="1" applyAlignment="1">
      <alignment horizontal="center" vertical="center" wrapText="1"/>
    </xf>
    <xf numFmtId="0" fontId="0" fillId="11" borderId="47" xfId="0" applyFill="1" applyBorder="1" applyAlignment="1">
      <alignment horizontal="left" vertical="top" wrapText="1"/>
    </xf>
    <xf numFmtId="0" fontId="0" fillId="11" borderId="51" xfId="0" applyFill="1" applyBorder="1" applyAlignment="1">
      <alignment horizontal="left" vertical="top" wrapText="1"/>
    </xf>
    <xf numFmtId="0" fontId="0" fillId="11" borderId="45" xfId="0" applyFill="1" applyBorder="1" applyAlignment="1">
      <alignment horizontal="left" vertical="top" wrapText="1"/>
    </xf>
    <xf numFmtId="0" fontId="0" fillId="17" borderId="47" xfId="0" applyFill="1" applyBorder="1" applyAlignment="1">
      <alignment horizontal="left" vertical="top" wrapText="1"/>
    </xf>
    <xf numFmtId="0" fontId="0" fillId="17" borderId="51" xfId="0" applyFill="1" applyBorder="1" applyAlignment="1">
      <alignment horizontal="left" vertical="top" wrapText="1"/>
    </xf>
    <xf numFmtId="0" fontId="0" fillId="17" borderId="45" xfId="0" applyFill="1" applyBorder="1" applyAlignment="1">
      <alignment horizontal="left" vertical="top" wrapText="1"/>
    </xf>
    <xf numFmtId="0" fontId="0" fillId="0" borderId="82" xfId="0" applyBorder="1" applyAlignment="1">
      <alignment horizontal="center" vertical="center" wrapText="1"/>
    </xf>
    <xf numFmtId="0" fontId="0" fillId="0" borderId="83" xfId="0" applyBorder="1" applyAlignment="1">
      <alignment horizontal="center" vertical="center" wrapText="1"/>
    </xf>
    <xf numFmtId="0" fontId="0" fillId="0" borderId="76" xfId="0" applyBorder="1" applyAlignment="1">
      <alignment horizontal="center" vertical="center" wrapText="1"/>
    </xf>
    <xf numFmtId="0" fontId="0" fillId="7" borderId="24" xfId="0" applyFill="1" applyBorder="1" applyAlignment="1">
      <alignment horizontal="center" vertical="center" wrapText="1"/>
    </xf>
    <xf numFmtId="0" fontId="0" fillId="7" borderId="29" xfId="0" applyFill="1" applyBorder="1" applyAlignment="1">
      <alignment horizontal="center" vertical="center" wrapText="1"/>
    </xf>
    <xf numFmtId="0" fontId="12" fillId="14" borderId="24" xfId="0" applyFont="1" applyFill="1" applyBorder="1" applyAlignment="1">
      <alignment horizontal="center" vertical="center" wrapText="1"/>
    </xf>
    <xf numFmtId="0" fontId="0" fillId="14" borderId="24" xfId="0" quotePrefix="1" applyFill="1" applyBorder="1" applyAlignment="1">
      <alignment horizontal="left" vertical="center" wrapText="1"/>
    </xf>
    <xf numFmtId="0" fontId="0" fillId="18" borderId="24" xfId="0" applyFill="1" applyBorder="1" applyAlignment="1">
      <alignment horizontal="center" vertical="center" wrapText="1"/>
    </xf>
    <xf numFmtId="0" fontId="0" fillId="18" borderId="70" xfId="0" applyFill="1" applyBorder="1" applyAlignment="1">
      <alignment horizontal="center" vertical="center" wrapText="1"/>
    </xf>
    <xf numFmtId="0" fontId="0" fillId="18" borderId="24" xfId="0" applyFill="1" applyBorder="1" applyAlignment="1">
      <alignment horizontal="left" vertical="center" wrapText="1"/>
    </xf>
    <xf numFmtId="0" fontId="0" fillId="18" borderId="69" xfId="0" applyFill="1" applyBorder="1" applyAlignment="1">
      <alignment horizontal="center" vertical="center" wrapText="1"/>
    </xf>
    <xf numFmtId="0" fontId="0" fillId="0" borderId="24" xfId="0" quotePrefix="1" applyBorder="1" applyAlignment="1">
      <alignment horizontal="left" vertical="top" wrapText="1"/>
    </xf>
    <xf numFmtId="0" fontId="0" fillId="20" borderId="24" xfId="0" applyFill="1" applyBorder="1" applyAlignment="1">
      <alignment horizontal="left" vertical="top" wrapText="1"/>
    </xf>
    <xf numFmtId="0" fontId="0" fillId="0" borderId="28" xfId="0" quotePrefix="1" applyBorder="1" applyAlignment="1">
      <alignment horizontal="center" vertical="center" wrapText="1"/>
    </xf>
    <xf numFmtId="0" fontId="0" fillId="11" borderId="24" xfId="0" quotePrefix="1" applyFill="1" applyBorder="1" applyAlignment="1">
      <alignment horizontal="left" vertical="center" wrapText="1"/>
    </xf>
    <xf numFmtId="0" fontId="0" fillId="3" borderId="30" xfId="0" applyFill="1" applyBorder="1" applyAlignment="1">
      <alignment horizontal="center" vertical="center" wrapText="1"/>
    </xf>
    <xf numFmtId="0" fontId="0" fillId="3" borderId="31" xfId="0" applyFill="1" applyBorder="1" applyAlignment="1">
      <alignment horizontal="center" vertical="center" wrapText="1"/>
    </xf>
    <xf numFmtId="0" fontId="0" fillId="3" borderId="32" xfId="0" applyFill="1" applyBorder="1" applyAlignment="1">
      <alignment horizontal="left" vertical="center" wrapText="1"/>
    </xf>
    <xf numFmtId="0" fontId="0" fillId="7" borderId="30" xfId="0" applyFill="1" applyBorder="1" applyAlignment="1">
      <alignment horizontal="center" vertical="center" wrapText="1"/>
    </xf>
    <xf numFmtId="0" fontId="0" fillId="20" borderId="31" xfId="0" applyFill="1" applyBorder="1" applyAlignment="1">
      <alignment horizontal="left" vertical="center" wrapText="1"/>
    </xf>
    <xf numFmtId="0" fontId="0" fillId="7" borderId="31" xfId="0" applyFill="1" applyBorder="1" applyAlignment="1">
      <alignment horizontal="center" vertical="center" wrapText="1"/>
    </xf>
    <xf numFmtId="0" fontId="0" fillId="7" borderId="32" xfId="0" applyFill="1" applyBorder="1" applyAlignment="1">
      <alignment horizontal="center" vertical="center" wrapText="1"/>
    </xf>
    <xf numFmtId="0" fontId="0" fillId="20" borderId="31" xfId="0" applyFill="1" applyBorder="1" applyAlignment="1">
      <alignment horizontal="center" vertical="center" wrapText="1"/>
    </xf>
    <xf numFmtId="0" fontId="0" fillId="20" borderId="28" xfId="0" applyFill="1" applyBorder="1" applyAlignment="1">
      <alignment horizontal="center" vertical="center" wrapText="1"/>
    </xf>
    <xf numFmtId="0" fontId="0" fillId="20" borderId="30" xfId="0" applyFill="1" applyBorder="1" applyAlignment="1">
      <alignment horizontal="center" vertical="center" wrapText="1"/>
    </xf>
    <xf numFmtId="0" fontId="0" fillId="17" borderId="47" xfId="0" applyFill="1" applyBorder="1" applyAlignment="1">
      <alignment horizontal="left" vertical="center" wrapText="1"/>
    </xf>
    <xf numFmtId="0" fontId="0" fillId="17" borderId="51" xfId="0" applyFill="1" applyBorder="1" applyAlignment="1">
      <alignment horizontal="left" vertical="center" wrapText="1"/>
    </xf>
    <xf numFmtId="0" fontId="0" fillId="17" borderId="45" xfId="0" applyFill="1" applyBorder="1" applyAlignment="1">
      <alignment horizontal="left" vertical="center" wrapText="1"/>
    </xf>
    <xf numFmtId="0" fontId="0" fillId="11" borderId="28" xfId="0" applyFill="1" applyBorder="1" applyAlignment="1">
      <alignment horizontal="center" vertical="center" wrapText="1"/>
    </xf>
    <xf numFmtId="0" fontId="0" fillId="17" borderId="49" xfId="0" applyFill="1" applyBorder="1" applyAlignment="1">
      <alignment horizontal="center" vertical="center" wrapText="1"/>
    </xf>
    <xf numFmtId="0" fontId="0" fillId="17" borderId="53" xfId="0" applyFill="1" applyBorder="1" applyAlignment="1">
      <alignment horizontal="center" vertical="center" wrapText="1"/>
    </xf>
    <xf numFmtId="0" fontId="0" fillId="17" borderId="44" xfId="0" applyFill="1" applyBorder="1" applyAlignment="1">
      <alignment horizontal="center" vertical="center" wrapText="1"/>
    </xf>
    <xf numFmtId="0" fontId="8" fillId="17" borderId="70" xfId="0" applyFont="1" applyFill="1" applyBorder="1" applyAlignment="1">
      <alignment horizontal="center" vertical="center" wrapText="1"/>
    </xf>
    <xf numFmtId="0" fontId="8" fillId="17" borderId="24" xfId="0" applyFont="1" applyFill="1" applyBorder="1" applyAlignment="1">
      <alignment horizontal="center" vertical="center" wrapText="1"/>
    </xf>
    <xf numFmtId="0" fontId="12" fillId="20" borderId="69" xfId="0" applyFont="1" applyFill="1" applyBorder="1" applyAlignment="1">
      <alignment horizontal="center" vertical="center" wrapText="1"/>
    </xf>
    <xf numFmtId="0" fontId="8" fillId="17" borderId="69" xfId="0" applyFont="1" applyFill="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left" vertical="center" wrapText="1"/>
    </xf>
    <xf numFmtId="0" fontId="12" fillId="11" borderId="24" xfId="0" applyFont="1" applyFill="1" applyBorder="1" applyAlignment="1">
      <alignment horizontal="center" vertical="center" wrapText="1"/>
    </xf>
    <xf numFmtId="0" fontId="0" fillId="11" borderId="72" xfId="0" applyFill="1" applyBorder="1" applyAlignment="1">
      <alignment horizontal="center" vertical="center" wrapText="1"/>
    </xf>
    <xf numFmtId="0" fontId="0" fillId="11" borderId="71" xfId="0" applyFill="1" applyBorder="1" applyAlignment="1">
      <alignment horizontal="center" vertical="center" wrapText="1"/>
    </xf>
    <xf numFmtId="0" fontId="0" fillId="11" borderId="72" xfId="0" applyFill="1" applyBorder="1" applyAlignment="1">
      <alignment horizontal="left" vertical="center" wrapText="1"/>
    </xf>
    <xf numFmtId="0" fontId="0" fillId="0" borderId="31" xfId="0" applyBorder="1" applyAlignment="1">
      <alignment horizontal="left" vertical="center" wrapText="1"/>
    </xf>
    <xf numFmtId="0" fontId="8" fillId="17" borderId="24" xfId="0" applyFont="1" applyFill="1" applyBorder="1" applyAlignment="1">
      <alignment horizontal="left" vertical="top" wrapText="1"/>
    </xf>
    <xf numFmtId="0" fontId="0" fillId="11" borderId="73" xfId="0" applyFill="1" applyBorder="1" applyAlignment="1">
      <alignment horizontal="center" vertical="center" wrapText="1"/>
    </xf>
    <xf numFmtId="0" fontId="0" fillId="11" borderId="29" xfId="0" applyFill="1" applyBorder="1" applyAlignment="1">
      <alignment horizontal="left" vertical="center" wrapText="1"/>
    </xf>
    <xf numFmtId="0" fontId="0" fillId="6" borderId="28" xfId="0" applyFill="1" applyBorder="1" applyAlignment="1">
      <alignment horizontal="center" vertical="center" wrapText="1"/>
    </xf>
    <xf numFmtId="0" fontId="0" fillId="6" borderId="24" xfId="0" applyFill="1" applyBorder="1" applyAlignment="1">
      <alignment horizontal="center" vertical="center" wrapText="1"/>
    </xf>
    <xf numFmtId="0" fontId="0" fillId="8" borderId="24" xfId="0" applyFill="1" applyBorder="1" applyAlignment="1">
      <alignment horizontal="center" vertical="center" wrapText="1"/>
    </xf>
    <xf numFmtId="0" fontId="0" fillId="6" borderId="29" xfId="0" applyFill="1" applyBorder="1" applyAlignment="1">
      <alignment horizontal="left" vertical="center" wrapText="1"/>
    </xf>
    <xf numFmtId="0" fontId="0" fillId="11" borderId="30" xfId="0" applyFill="1" applyBorder="1" applyAlignment="1">
      <alignment horizontal="center" vertical="center" wrapText="1"/>
    </xf>
    <xf numFmtId="0" fontId="0" fillId="11" borderId="31" xfId="0" applyFill="1" applyBorder="1" applyAlignment="1">
      <alignment horizontal="center" vertical="center" wrapText="1"/>
    </xf>
    <xf numFmtId="0" fontId="0" fillId="11" borderId="32" xfId="0" applyFill="1" applyBorder="1" applyAlignment="1">
      <alignment horizontal="left" vertical="center" wrapText="1"/>
    </xf>
    <xf numFmtId="0" fontId="0" fillId="11" borderId="28" xfId="0" quotePrefix="1" applyFill="1" applyBorder="1" applyAlignment="1">
      <alignment horizontal="center" vertical="center" wrapText="1"/>
    </xf>
    <xf numFmtId="0" fontId="0" fillId="11" borderId="24" xfId="0" quotePrefix="1" applyFill="1" applyBorder="1" applyAlignment="1">
      <alignment horizontal="center" vertical="center" wrapText="1"/>
    </xf>
    <xf numFmtId="0" fontId="0" fillId="11" borderId="29" xfId="0" quotePrefix="1" applyFill="1" applyBorder="1" applyAlignment="1">
      <alignment horizontal="center" vertical="center" wrapText="1"/>
    </xf>
    <xf numFmtId="0" fontId="0" fillId="11" borderId="29" xfId="0" applyFill="1" applyBorder="1" applyAlignment="1">
      <alignment horizontal="center" vertical="center" wrapText="1"/>
    </xf>
    <xf numFmtId="0" fontId="0" fillId="11" borderId="32" xfId="0" applyFill="1" applyBorder="1" applyAlignment="1">
      <alignment horizontal="center" vertical="center" wrapText="1"/>
    </xf>
    <xf numFmtId="0" fontId="0" fillId="8" borderId="29" xfId="0" applyFill="1" applyBorder="1" applyAlignment="1">
      <alignment horizontal="center" vertical="center" wrapText="1"/>
    </xf>
    <xf numFmtId="0" fontId="12" fillId="17" borderId="69" xfId="0" applyFont="1" applyFill="1" applyBorder="1" applyAlignment="1">
      <alignment horizontal="center" vertical="center" wrapText="1"/>
    </xf>
    <xf numFmtId="0" fontId="0" fillId="14" borderId="24" xfId="0" applyFill="1" applyBorder="1" applyAlignment="1">
      <alignment horizontal="left" vertical="top" wrapText="1"/>
    </xf>
    <xf numFmtId="0" fontId="12" fillId="14" borderId="69" xfId="0" applyFont="1" applyFill="1" applyBorder="1" applyAlignment="1">
      <alignment horizontal="center"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0" fillId="0" borderId="7" xfId="0" applyBorder="1" applyAlignment="1">
      <alignment horizontal="left" vertical="center"/>
    </xf>
    <xf numFmtId="0" fontId="1" fillId="19" borderId="13" xfId="0" applyFont="1" applyFill="1" applyBorder="1" applyAlignment="1">
      <alignment horizontal="center" vertical="center" wrapText="1"/>
    </xf>
    <xf numFmtId="0" fontId="1" fillId="19" borderId="14" xfId="0" applyFont="1" applyFill="1" applyBorder="1" applyAlignment="1">
      <alignment horizontal="center" vertical="center" wrapText="1"/>
    </xf>
    <xf numFmtId="0" fontId="1" fillId="19" borderId="19" xfId="0" applyFont="1" applyFill="1" applyBorder="1" applyAlignment="1">
      <alignment horizontal="center" vertical="center" wrapText="1"/>
    </xf>
    <xf numFmtId="0" fontId="1" fillId="19" borderId="22" xfId="0" applyFont="1" applyFill="1" applyBorder="1" applyAlignment="1">
      <alignment horizontal="center" vertical="center" wrapText="1"/>
    </xf>
    <xf numFmtId="0" fontId="1" fillId="19" borderId="20" xfId="0" applyFont="1" applyFill="1" applyBorder="1" applyAlignment="1">
      <alignment horizontal="center" vertical="center" wrapText="1"/>
    </xf>
  </cellXfs>
  <cellStyles count="4">
    <cellStyle name="Hyperlink" xfId="2" builtinId="8"/>
    <cellStyle name="Normal" xfId="0" builtinId="0"/>
    <cellStyle name="Normal 2" xfId="1"/>
    <cellStyle name="Normal 2 2" xfId="3"/>
  </cellStyles>
  <dxfs count="0"/>
  <tableStyles count="0" defaultTableStyle="TableStyleMedium2" defaultPivotStyle="PivotStyleLight16"/>
  <colors>
    <mruColors>
      <color rgb="FF0EF2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2371725</xdr:colOff>
          <xdr:row>80</xdr:row>
          <xdr:rowOff>9525</xdr:rowOff>
        </xdr:from>
        <xdr:to>
          <xdr:col>4</xdr:col>
          <xdr:colOff>2895600</xdr:colOff>
          <xdr:row>82</xdr:row>
          <xdr:rowOff>57150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26"/>
  <sheetViews>
    <sheetView tabSelected="1" zoomScale="85" zoomScaleNormal="85" workbookViewId="0">
      <selection sqref="A1:F20"/>
    </sheetView>
  </sheetViews>
  <sheetFormatPr defaultRowHeight="15"/>
  <cols>
    <col min="1" max="1" width="32.85546875" customWidth="1"/>
    <col min="2" max="2" width="10.5703125" bestFit="1" customWidth="1"/>
    <col min="3" max="3" width="42.85546875" bestFit="1" customWidth="1"/>
    <col min="4" max="6" width="32.85546875" customWidth="1"/>
  </cols>
  <sheetData>
    <row r="1" spans="1:6" ht="15" customHeight="1">
      <c r="A1" s="389" t="s">
        <v>5151</v>
      </c>
      <c r="B1" s="390"/>
      <c r="C1" s="390"/>
      <c r="D1" s="390"/>
      <c r="E1" s="390"/>
      <c r="F1" s="391"/>
    </row>
    <row r="2" spans="1:6" ht="14.45" customHeight="1">
      <c r="A2" s="392"/>
      <c r="B2" s="393"/>
      <c r="C2" s="393"/>
      <c r="D2" s="393"/>
      <c r="E2" s="393"/>
      <c r="F2" s="394"/>
    </row>
    <row r="3" spans="1:6" ht="14.45" customHeight="1">
      <c r="A3" s="392"/>
      <c r="B3" s="393"/>
      <c r="C3" s="393"/>
      <c r="D3" s="393"/>
      <c r="E3" s="393"/>
      <c r="F3" s="394"/>
    </row>
    <row r="4" spans="1:6" ht="14.45" customHeight="1">
      <c r="A4" s="392"/>
      <c r="B4" s="393"/>
      <c r="C4" s="393"/>
      <c r="D4" s="393"/>
      <c r="E4" s="393"/>
      <c r="F4" s="394"/>
    </row>
    <row r="5" spans="1:6" ht="14.45" customHeight="1">
      <c r="A5" s="392"/>
      <c r="B5" s="393"/>
      <c r="C5" s="393"/>
      <c r="D5" s="393"/>
      <c r="E5" s="393"/>
      <c r="F5" s="394"/>
    </row>
    <row r="6" spans="1:6" ht="14.45" customHeight="1">
      <c r="A6" s="392"/>
      <c r="B6" s="393"/>
      <c r="C6" s="393"/>
      <c r="D6" s="393"/>
      <c r="E6" s="393"/>
      <c r="F6" s="394"/>
    </row>
    <row r="7" spans="1:6" ht="14.45" customHeight="1">
      <c r="A7" s="392"/>
      <c r="B7" s="393"/>
      <c r="C7" s="393"/>
      <c r="D7" s="393"/>
      <c r="E7" s="393"/>
      <c r="F7" s="394"/>
    </row>
    <row r="8" spans="1:6" ht="14.45" customHeight="1">
      <c r="A8" s="392"/>
      <c r="B8" s="393"/>
      <c r="C8" s="393"/>
      <c r="D8" s="393"/>
      <c r="E8" s="393"/>
      <c r="F8" s="394"/>
    </row>
    <row r="9" spans="1:6" ht="14.45" customHeight="1">
      <c r="A9" s="392"/>
      <c r="B9" s="393"/>
      <c r="C9" s="393"/>
      <c r="D9" s="393"/>
      <c r="E9" s="393"/>
      <c r="F9" s="394"/>
    </row>
    <row r="10" spans="1:6" ht="14.45" customHeight="1">
      <c r="A10" s="392"/>
      <c r="B10" s="393"/>
      <c r="C10" s="393"/>
      <c r="D10" s="393"/>
      <c r="E10" s="393"/>
      <c r="F10" s="394"/>
    </row>
    <row r="11" spans="1:6" ht="14.45" customHeight="1">
      <c r="A11" s="392"/>
      <c r="B11" s="393"/>
      <c r="C11" s="393"/>
      <c r="D11" s="393"/>
      <c r="E11" s="393"/>
      <c r="F11" s="394"/>
    </row>
    <row r="12" spans="1:6" ht="14.45" customHeight="1">
      <c r="A12" s="392"/>
      <c r="B12" s="393"/>
      <c r="C12" s="393"/>
      <c r="D12" s="393"/>
      <c r="E12" s="393"/>
      <c r="F12" s="394"/>
    </row>
    <row r="13" spans="1:6" ht="14.45" customHeight="1">
      <c r="A13" s="392"/>
      <c r="B13" s="393"/>
      <c r="C13" s="393"/>
      <c r="D13" s="393"/>
      <c r="E13" s="393"/>
      <c r="F13" s="394"/>
    </row>
    <row r="14" spans="1:6" ht="14.45" customHeight="1">
      <c r="A14" s="392"/>
      <c r="B14" s="393"/>
      <c r="C14" s="393"/>
      <c r="D14" s="393"/>
      <c r="E14" s="393"/>
      <c r="F14" s="394"/>
    </row>
    <row r="15" spans="1:6" ht="14.45" customHeight="1">
      <c r="A15" s="392"/>
      <c r="B15" s="393"/>
      <c r="C15" s="393"/>
      <c r="D15" s="393"/>
      <c r="E15" s="393"/>
      <c r="F15" s="394"/>
    </row>
    <row r="16" spans="1:6" ht="14.45" customHeight="1">
      <c r="A16" s="392"/>
      <c r="B16" s="393"/>
      <c r="C16" s="393"/>
      <c r="D16" s="393"/>
      <c r="E16" s="393"/>
      <c r="F16" s="394"/>
    </row>
    <row r="17" spans="1:6" ht="14.45" customHeight="1">
      <c r="A17" s="392"/>
      <c r="B17" s="393"/>
      <c r="C17" s="393"/>
      <c r="D17" s="393"/>
      <c r="E17" s="393"/>
      <c r="F17" s="394"/>
    </row>
    <row r="18" spans="1:6" ht="14.45" customHeight="1">
      <c r="A18" s="392"/>
      <c r="B18" s="393"/>
      <c r="C18" s="393"/>
      <c r="D18" s="393"/>
      <c r="E18" s="393"/>
      <c r="F18" s="394"/>
    </row>
    <row r="19" spans="1:6" ht="14.45" customHeight="1">
      <c r="A19" s="392"/>
      <c r="B19" s="393"/>
      <c r="C19" s="393"/>
      <c r="D19" s="393"/>
      <c r="E19" s="393"/>
      <c r="F19" s="394"/>
    </row>
    <row r="20" spans="1:6" ht="14.45" customHeight="1" thickBot="1">
      <c r="A20" s="395"/>
      <c r="B20" s="396"/>
      <c r="C20" s="396"/>
      <c r="D20" s="396"/>
      <c r="E20" s="396"/>
      <c r="F20" s="397"/>
    </row>
    <row r="21" spans="1:6" ht="14.45" customHeight="1"/>
    <row r="22" spans="1:6" ht="14.45" customHeight="1"/>
    <row r="24" spans="1:6" ht="14.45" customHeight="1"/>
    <row r="25" spans="1:6" ht="14.45" customHeight="1"/>
    <row r="26" spans="1:6" ht="14.45" customHeight="1"/>
  </sheetData>
  <mergeCells count="1">
    <mergeCell ref="A1:F2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2"/>
  <sheetViews>
    <sheetView zoomScaleNormal="100" workbookViewId="0"/>
  </sheetViews>
  <sheetFormatPr defaultRowHeight="15"/>
  <cols>
    <col min="1" max="1" width="167.85546875" customWidth="1"/>
  </cols>
  <sheetData>
    <row r="1" spans="1:1" ht="199.5" thickBot="1">
      <c r="A1" s="20" t="s">
        <v>40</v>
      </c>
    </row>
    <row r="2" spans="1:1" ht="169.5" hidden="1" thickBot="1">
      <c r="A2" s="1" t="s">
        <v>41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177"/>
  <sheetViews>
    <sheetView zoomScale="70" zoomScaleNormal="70" workbookViewId="0">
      <pane xSplit="5" ySplit="2" topLeftCell="H3" activePane="bottomRight" state="frozen"/>
      <selection pane="topRight" activeCell="G1" sqref="G1"/>
      <selection pane="bottomLeft" activeCell="A3" sqref="A3"/>
      <selection pane="bottomRight" activeCell="M2" sqref="M2"/>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style="7" customWidth="1"/>
    <col min="6" max="6" width="2" style="47" customWidth="1"/>
    <col min="7" max="7" width="37.28515625" style="4" customWidth="1"/>
    <col min="8" max="8" width="23.85546875" style="4" bestFit="1" customWidth="1"/>
    <col min="9" max="9" width="36.140625" style="4" customWidth="1"/>
    <col min="10" max="10" width="2.28515625" style="47" customWidth="1"/>
    <col min="11" max="11" width="18.5703125" style="47" bestFit="1" customWidth="1"/>
    <col min="12" max="12" width="26.85546875" style="47" bestFit="1" customWidth="1"/>
    <col min="13" max="13" width="51" style="4" customWidth="1"/>
    <col min="14" max="14" width="36.42578125" style="8"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3"/>
      <c r="G2" s="68" t="s">
        <v>50</v>
      </c>
      <c r="H2" s="61" t="s">
        <v>51</v>
      </c>
      <c r="I2" s="69" t="s">
        <v>52</v>
      </c>
      <c r="J2" s="13"/>
      <c r="K2" s="292" t="s">
        <v>53</v>
      </c>
      <c r="L2" s="144" t="s">
        <v>54</v>
      </c>
      <c r="M2" s="80" t="s">
        <v>5147</v>
      </c>
      <c r="N2" s="293" t="s">
        <v>5152</v>
      </c>
    </row>
    <row r="3" spans="1:14" ht="14.45" customHeight="1">
      <c r="A3" s="410" t="s">
        <v>55</v>
      </c>
      <c r="B3" s="407" t="s">
        <v>56</v>
      </c>
      <c r="C3" s="407" t="s">
        <v>57</v>
      </c>
      <c r="D3" s="407" t="s">
        <v>58</v>
      </c>
      <c r="E3" s="428" t="s">
        <v>59</v>
      </c>
      <c r="F3" s="11"/>
      <c r="G3" s="413" t="s">
        <v>60</v>
      </c>
      <c r="H3" s="434" t="s">
        <v>61</v>
      </c>
      <c r="I3" s="431" t="s">
        <v>62</v>
      </c>
      <c r="J3" s="11"/>
      <c r="K3" s="419" t="s">
        <v>63</v>
      </c>
      <c r="L3" s="443" t="s">
        <v>64</v>
      </c>
      <c r="M3" s="464" t="s">
        <v>65</v>
      </c>
      <c r="N3" s="455"/>
    </row>
    <row r="4" spans="1:14">
      <c r="A4" s="411"/>
      <c r="B4" s="408"/>
      <c r="C4" s="408"/>
      <c r="D4" s="408"/>
      <c r="E4" s="429"/>
      <c r="F4" s="11"/>
      <c r="G4" s="414"/>
      <c r="H4" s="435"/>
      <c r="I4" s="432"/>
      <c r="J4" s="11"/>
      <c r="K4" s="420"/>
      <c r="L4" s="444"/>
      <c r="M4" s="465"/>
      <c r="N4" s="456"/>
    </row>
    <row r="5" spans="1:14">
      <c r="A5" s="411"/>
      <c r="B5" s="408"/>
      <c r="C5" s="408"/>
      <c r="D5" s="408"/>
      <c r="E5" s="429"/>
      <c r="F5" s="11"/>
      <c r="G5" s="414"/>
      <c r="H5" s="435"/>
      <c r="I5" s="432"/>
      <c r="J5" s="11"/>
      <c r="K5" s="420"/>
      <c r="L5" s="444"/>
      <c r="M5" s="465"/>
      <c r="N5" s="456"/>
    </row>
    <row r="6" spans="1:14">
      <c r="A6" s="412"/>
      <c r="B6" s="409"/>
      <c r="C6" s="409"/>
      <c r="D6" s="409"/>
      <c r="E6" s="430"/>
      <c r="F6" s="11"/>
      <c r="G6" s="415"/>
      <c r="H6" s="436"/>
      <c r="I6" s="433"/>
      <c r="J6" s="11"/>
      <c r="K6" s="421"/>
      <c r="L6" s="445"/>
      <c r="M6" s="466"/>
      <c r="N6" s="457"/>
    </row>
    <row r="7" spans="1:14" ht="45">
      <c r="A7" s="56" t="s">
        <v>66</v>
      </c>
      <c r="B7" s="50" t="s">
        <v>56</v>
      </c>
      <c r="C7" s="50" t="s">
        <v>67</v>
      </c>
      <c r="D7" s="50" t="s">
        <v>58</v>
      </c>
      <c r="E7" s="57" t="s">
        <v>68</v>
      </c>
      <c r="F7" s="11"/>
      <c r="G7" s="72" t="s">
        <v>69</v>
      </c>
      <c r="H7" s="65" t="s">
        <v>33</v>
      </c>
      <c r="I7" s="73" t="s">
        <v>33</v>
      </c>
      <c r="J7" s="11"/>
      <c r="K7" s="294" t="s">
        <v>70</v>
      </c>
      <c r="L7" s="259" t="s">
        <v>71</v>
      </c>
      <c r="M7" s="290" t="s">
        <v>5158</v>
      </c>
      <c r="N7" s="295"/>
    </row>
    <row r="8" spans="1:14" ht="14.45" customHeight="1">
      <c r="A8" s="410" t="s">
        <v>73</v>
      </c>
      <c r="B8" s="407" t="s">
        <v>74</v>
      </c>
      <c r="C8" s="407" t="s">
        <v>75</v>
      </c>
      <c r="D8" s="407" t="s">
        <v>76</v>
      </c>
      <c r="E8" s="428" t="s">
        <v>77</v>
      </c>
      <c r="F8" s="11"/>
      <c r="G8" s="416" t="s">
        <v>33</v>
      </c>
      <c r="H8" s="480" t="s">
        <v>33</v>
      </c>
      <c r="I8" s="483" t="s">
        <v>33</v>
      </c>
      <c r="J8" s="11"/>
      <c r="K8" s="419" t="s">
        <v>70</v>
      </c>
      <c r="L8" s="443" t="s">
        <v>78</v>
      </c>
      <c r="M8" s="467" t="s">
        <v>5161</v>
      </c>
      <c r="N8" s="455"/>
    </row>
    <row r="9" spans="1:14">
      <c r="A9" s="411"/>
      <c r="B9" s="408"/>
      <c r="C9" s="408"/>
      <c r="D9" s="408"/>
      <c r="E9" s="429"/>
      <c r="F9" s="11"/>
      <c r="G9" s="417"/>
      <c r="H9" s="481"/>
      <c r="I9" s="484"/>
      <c r="J9" s="11"/>
      <c r="K9" s="420"/>
      <c r="L9" s="444"/>
      <c r="M9" s="468"/>
      <c r="N9" s="456"/>
    </row>
    <row r="10" spans="1:14">
      <c r="A10" s="412"/>
      <c r="B10" s="409"/>
      <c r="C10" s="409"/>
      <c r="D10" s="409"/>
      <c r="E10" s="430"/>
      <c r="F10" s="11"/>
      <c r="G10" s="418"/>
      <c r="H10" s="482"/>
      <c r="I10" s="485"/>
      <c r="J10" s="11"/>
      <c r="K10" s="421"/>
      <c r="L10" s="445"/>
      <c r="M10" s="469"/>
      <c r="N10" s="457"/>
    </row>
    <row r="11" spans="1:14" ht="14.45" customHeight="1">
      <c r="A11" s="440" t="s">
        <v>81</v>
      </c>
      <c r="B11" s="437" t="s">
        <v>74</v>
      </c>
      <c r="C11" s="437" t="s">
        <v>82</v>
      </c>
      <c r="D11" s="437" t="s">
        <v>76</v>
      </c>
      <c r="E11" s="401" t="s">
        <v>83</v>
      </c>
      <c r="F11" s="11"/>
      <c r="G11" s="452" t="s">
        <v>33</v>
      </c>
      <c r="H11" s="486" t="s">
        <v>33</v>
      </c>
      <c r="I11" s="489" t="s">
        <v>33</v>
      </c>
      <c r="J11" s="11"/>
      <c r="K11" s="446" t="s">
        <v>63</v>
      </c>
      <c r="L11" s="449" t="s">
        <v>84</v>
      </c>
      <c r="M11" s="470" t="s">
        <v>5222</v>
      </c>
      <c r="N11" s="458"/>
    </row>
    <row r="12" spans="1:14">
      <c r="A12" s="441"/>
      <c r="B12" s="438"/>
      <c r="C12" s="438"/>
      <c r="D12" s="438"/>
      <c r="E12" s="402"/>
      <c r="F12" s="11"/>
      <c r="G12" s="453"/>
      <c r="H12" s="487"/>
      <c r="I12" s="490"/>
      <c r="J12" s="11"/>
      <c r="K12" s="447"/>
      <c r="L12" s="450"/>
      <c r="M12" s="471"/>
      <c r="N12" s="459"/>
    </row>
    <row r="13" spans="1:14">
      <c r="A13" s="441"/>
      <c r="B13" s="438"/>
      <c r="C13" s="438"/>
      <c r="D13" s="438"/>
      <c r="E13" s="402"/>
      <c r="F13" s="11"/>
      <c r="G13" s="453"/>
      <c r="H13" s="487"/>
      <c r="I13" s="490"/>
      <c r="J13" s="11"/>
      <c r="K13" s="447"/>
      <c r="L13" s="450"/>
      <c r="M13" s="471"/>
      <c r="N13" s="459"/>
    </row>
    <row r="14" spans="1:14">
      <c r="A14" s="441"/>
      <c r="B14" s="438"/>
      <c r="C14" s="438"/>
      <c r="D14" s="438"/>
      <c r="E14" s="402"/>
      <c r="F14" s="11"/>
      <c r="G14" s="453"/>
      <c r="H14" s="487"/>
      <c r="I14" s="490"/>
      <c r="J14" s="11"/>
      <c r="K14" s="447"/>
      <c r="L14" s="450"/>
      <c r="M14" s="471"/>
      <c r="N14" s="459"/>
    </row>
    <row r="15" spans="1:14">
      <c r="A15" s="441"/>
      <c r="B15" s="438"/>
      <c r="C15" s="438"/>
      <c r="D15" s="438"/>
      <c r="E15" s="402"/>
      <c r="F15" s="11"/>
      <c r="G15" s="453"/>
      <c r="H15" s="487"/>
      <c r="I15" s="490"/>
      <c r="J15" s="11"/>
      <c r="K15" s="447"/>
      <c r="L15" s="450"/>
      <c r="M15" s="471"/>
      <c r="N15" s="459"/>
    </row>
    <row r="16" spans="1:14">
      <c r="A16" s="441"/>
      <c r="B16" s="438"/>
      <c r="C16" s="438"/>
      <c r="D16" s="438"/>
      <c r="E16" s="402"/>
      <c r="F16" s="11"/>
      <c r="G16" s="453"/>
      <c r="H16" s="487"/>
      <c r="I16" s="490"/>
      <c r="J16" s="11"/>
      <c r="K16" s="447"/>
      <c r="L16" s="450"/>
      <c r="M16" s="471"/>
      <c r="N16" s="459"/>
    </row>
    <row r="17" spans="1:18">
      <c r="A17" s="442"/>
      <c r="B17" s="439"/>
      <c r="C17" s="439"/>
      <c r="D17" s="439"/>
      <c r="E17" s="403"/>
      <c r="F17" s="11"/>
      <c r="G17" s="454"/>
      <c r="H17" s="488"/>
      <c r="I17" s="491"/>
      <c r="J17" s="11"/>
      <c r="K17" s="448"/>
      <c r="L17" s="451"/>
      <c r="M17" s="472"/>
      <c r="N17" s="460"/>
    </row>
    <row r="18" spans="1:18" ht="14.45" customHeight="1">
      <c r="A18" s="410" t="s">
        <v>85</v>
      </c>
      <c r="B18" s="407" t="s">
        <v>86</v>
      </c>
      <c r="C18" s="407" t="s">
        <v>87</v>
      </c>
      <c r="D18" s="407" t="s">
        <v>88</v>
      </c>
      <c r="E18" s="428" t="s">
        <v>89</v>
      </c>
      <c r="F18" s="11"/>
      <c r="G18" s="413" t="s">
        <v>90</v>
      </c>
      <c r="H18" s="434" t="s">
        <v>91</v>
      </c>
      <c r="I18" s="431" t="s">
        <v>92</v>
      </c>
      <c r="J18" s="11"/>
      <c r="K18" s="419" t="s">
        <v>63</v>
      </c>
      <c r="L18" s="443" t="s">
        <v>93</v>
      </c>
      <c r="M18" s="464" t="s">
        <v>94</v>
      </c>
      <c r="N18" s="455"/>
    </row>
    <row r="19" spans="1:18">
      <c r="A19" s="411"/>
      <c r="B19" s="408"/>
      <c r="C19" s="408"/>
      <c r="D19" s="408"/>
      <c r="E19" s="429"/>
      <c r="F19" s="11"/>
      <c r="G19" s="414"/>
      <c r="H19" s="435"/>
      <c r="I19" s="432"/>
      <c r="J19" s="11"/>
      <c r="K19" s="420"/>
      <c r="L19" s="444"/>
      <c r="M19" s="465"/>
      <c r="N19" s="456"/>
    </row>
    <row r="20" spans="1:18">
      <c r="A20" s="412"/>
      <c r="B20" s="409"/>
      <c r="C20" s="409"/>
      <c r="D20" s="409"/>
      <c r="E20" s="430"/>
      <c r="F20" s="11"/>
      <c r="G20" s="415"/>
      <c r="H20" s="436"/>
      <c r="I20" s="433"/>
      <c r="J20" s="11"/>
      <c r="K20" s="421"/>
      <c r="L20" s="445"/>
      <c r="M20" s="466"/>
      <c r="N20" s="457"/>
    </row>
    <row r="21" spans="1:18" ht="14.45" customHeight="1">
      <c r="A21" s="440" t="s">
        <v>95</v>
      </c>
      <c r="B21" s="437" t="s">
        <v>86</v>
      </c>
      <c r="C21" s="437" t="s">
        <v>96</v>
      </c>
      <c r="D21" s="437" t="s">
        <v>97</v>
      </c>
      <c r="E21" s="401" t="s">
        <v>98</v>
      </c>
      <c r="F21" s="11"/>
      <c r="G21" s="398" t="s">
        <v>99</v>
      </c>
      <c r="H21" s="476" t="s">
        <v>100</v>
      </c>
      <c r="I21" s="497" t="s">
        <v>101</v>
      </c>
      <c r="J21" s="11"/>
      <c r="K21" s="492" t="s">
        <v>63</v>
      </c>
      <c r="L21" s="473" t="s">
        <v>102</v>
      </c>
      <c r="M21" s="476" t="s">
        <v>103</v>
      </c>
      <c r="N21" s="461"/>
    </row>
    <row r="22" spans="1:18">
      <c r="A22" s="441"/>
      <c r="B22" s="438"/>
      <c r="C22" s="438"/>
      <c r="D22" s="438"/>
      <c r="E22" s="402"/>
      <c r="F22" s="11"/>
      <c r="G22" s="399"/>
      <c r="H22" s="477"/>
      <c r="I22" s="498"/>
      <c r="J22" s="11"/>
      <c r="K22" s="493"/>
      <c r="L22" s="474"/>
      <c r="M22" s="477"/>
      <c r="N22" s="462"/>
    </row>
    <row r="23" spans="1:18">
      <c r="A23" s="441"/>
      <c r="B23" s="438"/>
      <c r="C23" s="438"/>
      <c r="D23" s="438"/>
      <c r="E23" s="402"/>
      <c r="F23" s="11"/>
      <c r="G23" s="399"/>
      <c r="H23" s="477"/>
      <c r="I23" s="498"/>
      <c r="J23" s="11"/>
      <c r="K23" s="493"/>
      <c r="L23" s="474"/>
      <c r="M23" s="477"/>
      <c r="N23" s="462"/>
    </row>
    <row r="24" spans="1:18" ht="15.75" thickBot="1">
      <c r="A24" s="442"/>
      <c r="B24" s="439"/>
      <c r="C24" s="439"/>
      <c r="D24" s="439"/>
      <c r="E24" s="403"/>
      <c r="F24" s="11"/>
      <c r="G24" s="400"/>
      <c r="H24" s="478"/>
      <c r="I24" s="499"/>
      <c r="J24" s="11"/>
      <c r="K24" s="494"/>
      <c r="L24" s="475"/>
      <c r="M24" s="479"/>
      <c r="N24" s="463"/>
    </row>
    <row r="25" spans="1:18" ht="14.45" customHeight="1">
      <c r="A25" s="410" t="s">
        <v>104</v>
      </c>
      <c r="B25" s="407" t="s">
        <v>86</v>
      </c>
      <c r="C25" s="407" t="s">
        <v>105</v>
      </c>
      <c r="D25" s="407" t="s">
        <v>97</v>
      </c>
      <c r="E25" s="428" t="s">
        <v>106</v>
      </c>
      <c r="F25" s="11"/>
      <c r="G25" s="413" t="s">
        <v>107</v>
      </c>
      <c r="H25" s="434" t="s">
        <v>108</v>
      </c>
      <c r="I25" s="431" t="s">
        <v>109</v>
      </c>
      <c r="J25" s="11"/>
      <c r="K25" s="419" t="s">
        <v>63</v>
      </c>
      <c r="L25" s="443" t="s">
        <v>110</v>
      </c>
      <c r="M25" s="464" t="s">
        <v>111</v>
      </c>
      <c r="N25" s="455"/>
    </row>
    <row r="26" spans="1:18">
      <c r="A26" s="411"/>
      <c r="B26" s="408"/>
      <c r="C26" s="408"/>
      <c r="D26" s="408"/>
      <c r="E26" s="429"/>
      <c r="F26" s="11"/>
      <c r="G26" s="414"/>
      <c r="H26" s="435"/>
      <c r="I26" s="432"/>
      <c r="J26" s="11"/>
      <c r="K26" s="420"/>
      <c r="L26" s="444"/>
      <c r="M26" s="465"/>
      <c r="N26" s="456"/>
    </row>
    <row r="27" spans="1:18" ht="15.75" thickBot="1">
      <c r="A27" s="495"/>
      <c r="B27" s="496"/>
      <c r="C27" s="496"/>
      <c r="D27" s="496"/>
      <c r="E27" s="503"/>
      <c r="F27" s="11"/>
      <c r="G27" s="507"/>
      <c r="H27" s="505"/>
      <c r="I27" s="506"/>
      <c r="J27" s="11"/>
      <c r="K27" s="501"/>
      <c r="L27" s="502"/>
      <c r="M27" s="504"/>
      <c r="N27" s="500"/>
    </row>
    <row r="28" spans="1:18">
      <c r="K28" s="4"/>
      <c r="L28" s="4"/>
      <c r="N28" s="4"/>
      <c r="O28" s="4"/>
      <c r="P28" s="4"/>
      <c r="Q28" s="4"/>
      <c r="R28" s="4"/>
    </row>
    <row r="29" spans="1:18">
      <c r="K29" s="4"/>
      <c r="L29" s="4"/>
      <c r="N29" s="4"/>
      <c r="O29" s="4"/>
      <c r="P29" s="4"/>
      <c r="Q29" s="4"/>
      <c r="R29" s="4"/>
    </row>
    <row r="30" spans="1:18">
      <c r="K30" s="4"/>
      <c r="L30" s="4"/>
      <c r="N30" s="4"/>
      <c r="O30" s="4"/>
      <c r="P30" s="4"/>
      <c r="Q30" s="4"/>
      <c r="R30" s="4"/>
    </row>
    <row r="31" spans="1:18">
      <c r="K31" s="4"/>
      <c r="L31" s="4"/>
      <c r="N31" s="4"/>
      <c r="O31" s="4"/>
      <c r="P31" s="4"/>
      <c r="Q31" s="4"/>
      <c r="R31" s="4"/>
    </row>
    <row r="32" spans="1:18">
      <c r="K32" s="4"/>
      <c r="L32" s="4"/>
      <c r="N32" s="4"/>
      <c r="O32" s="4"/>
      <c r="P32" s="4"/>
      <c r="Q32" s="4"/>
      <c r="R32" s="4"/>
    </row>
    <row r="33" spans="11:18">
      <c r="K33" s="4"/>
      <c r="L33" s="4"/>
      <c r="N33" s="4"/>
      <c r="O33" s="4"/>
      <c r="P33" s="4"/>
      <c r="Q33" s="4"/>
      <c r="R33" s="4"/>
    </row>
    <row r="34" spans="11:18">
      <c r="K34" s="4"/>
      <c r="L34" s="4"/>
      <c r="N34" s="4"/>
      <c r="O34" s="4"/>
      <c r="P34" s="4"/>
      <c r="Q34" s="4"/>
      <c r="R34" s="4"/>
    </row>
    <row r="35" spans="11:18">
      <c r="K35" s="4"/>
      <c r="L35" s="4"/>
      <c r="N35" s="4"/>
      <c r="O35" s="4"/>
      <c r="P35" s="4"/>
      <c r="Q35" s="4"/>
      <c r="R35" s="4"/>
    </row>
    <row r="36" spans="11:18">
      <c r="K36" s="4"/>
      <c r="L36" s="4"/>
      <c r="N36" s="4"/>
      <c r="O36" s="4"/>
      <c r="P36" s="4"/>
      <c r="Q36" s="4"/>
      <c r="R36" s="4"/>
    </row>
    <row r="37" spans="11:18">
      <c r="K37" s="4"/>
      <c r="L37" s="4"/>
      <c r="N37" s="4"/>
      <c r="O37" s="4"/>
      <c r="P37" s="4"/>
      <c r="Q37" s="4"/>
      <c r="R37" s="4"/>
    </row>
    <row r="38" spans="11:18">
      <c r="K38" s="4"/>
      <c r="L38" s="4"/>
      <c r="N38" s="4"/>
      <c r="O38" s="4"/>
      <c r="P38" s="4"/>
      <c r="Q38" s="4"/>
      <c r="R38" s="4"/>
    </row>
    <row r="39" spans="11:18">
      <c r="K39" s="4"/>
      <c r="L39" s="4"/>
      <c r="N39" s="4"/>
      <c r="O39" s="4"/>
      <c r="P39" s="4"/>
      <c r="Q39" s="4"/>
      <c r="R39" s="4"/>
    </row>
    <row r="40" spans="11:18">
      <c r="K40" s="4"/>
      <c r="L40" s="4"/>
      <c r="N40" s="4"/>
      <c r="O40" s="4"/>
      <c r="P40" s="4"/>
      <c r="Q40" s="4"/>
      <c r="R40" s="4"/>
    </row>
    <row r="41" spans="11:18">
      <c r="K41" s="4"/>
      <c r="L41" s="4"/>
      <c r="N41" s="4"/>
      <c r="O41" s="4"/>
      <c r="P41" s="4"/>
      <c r="Q41" s="4"/>
      <c r="R41" s="4"/>
    </row>
    <row r="42" spans="11:18">
      <c r="K42" s="4"/>
      <c r="L42" s="4"/>
      <c r="N42" s="4"/>
      <c r="O42" s="4"/>
      <c r="P42" s="4"/>
      <c r="Q42" s="4"/>
      <c r="R42" s="4"/>
    </row>
    <row r="43" spans="11:18">
      <c r="K43" s="4"/>
      <c r="L43" s="4"/>
      <c r="N43" s="4"/>
      <c r="O43" s="4"/>
      <c r="P43" s="4"/>
      <c r="Q43" s="4"/>
      <c r="R43" s="4"/>
    </row>
    <row r="44" spans="11:18">
      <c r="K44" s="4"/>
      <c r="L44" s="4"/>
      <c r="N44" s="4"/>
      <c r="O44" s="4"/>
      <c r="P44" s="4"/>
      <c r="Q44" s="4"/>
      <c r="R44" s="4"/>
    </row>
    <row r="45" spans="11:18">
      <c r="K45" s="4"/>
      <c r="L45" s="4"/>
      <c r="N45" s="4"/>
      <c r="O45" s="4"/>
      <c r="P45" s="4"/>
      <c r="Q45" s="4"/>
      <c r="R45" s="4"/>
    </row>
    <row r="46" spans="11:18">
      <c r="K46" s="4"/>
      <c r="L46" s="4"/>
      <c r="N46" s="4"/>
      <c r="O46" s="4"/>
      <c r="P46" s="4"/>
      <c r="Q46" s="4"/>
      <c r="R46" s="4"/>
    </row>
    <row r="47" spans="11:18">
      <c r="K47" s="4"/>
      <c r="L47" s="4"/>
      <c r="N47" s="4"/>
      <c r="O47" s="4"/>
      <c r="P47" s="4"/>
      <c r="Q47" s="4"/>
      <c r="R47" s="4"/>
    </row>
    <row r="48" spans="11:18">
      <c r="K48" s="4"/>
      <c r="L48" s="4"/>
      <c r="N48" s="4"/>
      <c r="O48" s="4"/>
      <c r="P48" s="4"/>
      <c r="Q48" s="4"/>
      <c r="R48" s="4"/>
    </row>
    <row r="49" spans="11:18">
      <c r="K49" s="4"/>
      <c r="L49" s="4"/>
      <c r="N49" s="4"/>
      <c r="O49" s="4"/>
      <c r="P49" s="4"/>
      <c r="Q49" s="4"/>
      <c r="R49" s="4"/>
    </row>
    <row r="50" spans="11:18">
      <c r="K50" s="4"/>
      <c r="L50" s="4"/>
      <c r="N50" s="4"/>
      <c r="O50" s="4"/>
      <c r="P50" s="4"/>
      <c r="Q50" s="4"/>
      <c r="R50" s="4"/>
    </row>
    <row r="51" spans="11:18">
      <c r="K51" s="4"/>
      <c r="L51" s="4"/>
      <c r="N51" s="4"/>
      <c r="O51" s="4"/>
      <c r="P51" s="4"/>
      <c r="Q51" s="4"/>
      <c r="R51" s="4"/>
    </row>
    <row r="52" spans="11:18">
      <c r="K52" s="4"/>
      <c r="L52" s="4"/>
      <c r="N52" s="4"/>
      <c r="O52" s="4"/>
      <c r="P52" s="4"/>
      <c r="Q52" s="4"/>
      <c r="R52" s="4"/>
    </row>
    <row r="53" spans="11:18">
      <c r="K53" s="4"/>
      <c r="L53" s="4"/>
      <c r="N53" s="4"/>
      <c r="O53" s="4"/>
      <c r="P53" s="4"/>
      <c r="Q53" s="4"/>
      <c r="R53" s="4"/>
    </row>
    <row r="54" spans="11:18">
      <c r="K54" s="4"/>
      <c r="L54" s="4"/>
      <c r="N54" s="4"/>
      <c r="O54" s="4"/>
      <c r="P54" s="4"/>
      <c r="Q54" s="4"/>
      <c r="R54" s="4"/>
    </row>
    <row r="55" spans="11:18">
      <c r="K55" s="4"/>
      <c r="L55" s="4"/>
      <c r="N55" s="4"/>
      <c r="O55" s="4"/>
      <c r="P55" s="4"/>
      <c r="Q55" s="4"/>
      <c r="R55" s="4"/>
    </row>
    <row r="56" spans="11:18">
      <c r="K56" s="4"/>
      <c r="L56" s="4"/>
      <c r="N56" s="4"/>
      <c r="O56" s="4"/>
      <c r="P56" s="4"/>
      <c r="Q56" s="4"/>
      <c r="R56" s="4"/>
    </row>
    <row r="57" spans="11:18">
      <c r="K57" s="4"/>
      <c r="L57" s="4"/>
      <c r="N57" s="4"/>
      <c r="O57" s="4"/>
      <c r="P57" s="4"/>
      <c r="Q57" s="4"/>
      <c r="R57" s="4"/>
    </row>
    <row r="58" spans="11:18">
      <c r="K58" s="4"/>
      <c r="L58" s="4"/>
      <c r="N58" s="4"/>
      <c r="O58" s="4"/>
      <c r="P58" s="4"/>
      <c r="Q58" s="4"/>
      <c r="R58" s="4"/>
    </row>
    <row r="59" spans="11:18">
      <c r="K59" s="4"/>
      <c r="L59" s="4"/>
      <c r="N59" s="4"/>
      <c r="O59" s="4"/>
      <c r="P59" s="4"/>
      <c r="Q59" s="4"/>
      <c r="R59" s="4"/>
    </row>
    <row r="60" spans="11:18">
      <c r="K60" s="4"/>
      <c r="L60" s="4"/>
      <c r="N60" s="4"/>
      <c r="O60" s="4"/>
      <c r="P60" s="4"/>
      <c r="Q60" s="4"/>
      <c r="R60" s="4"/>
    </row>
    <row r="61" spans="11:18">
      <c r="K61" s="4"/>
      <c r="L61" s="4"/>
      <c r="N61" s="4"/>
      <c r="O61" s="4"/>
      <c r="P61" s="4"/>
      <c r="Q61" s="4"/>
      <c r="R61" s="4"/>
    </row>
    <row r="62" spans="11:18">
      <c r="K62" s="4"/>
      <c r="L62" s="4"/>
      <c r="N62" s="4"/>
      <c r="O62" s="4"/>
      <c r="P62" s="4"/>
      <c r="Q62" s="4"/>
      <c r="R62" s="4"/>
    </row>
    <row r="63" spans="11:18">
      <c r="K63" s="4"/>
      <c r="L63" s="4"/>
      <c r="N63" s="4"/>
      <c r="O63" s="4"/>
      <c r="P63" s="4"/>
      <c r="Q63" s="4"/>
      <c r="R63" s="4"/>
    </row>
    <row r="64" spans="11:18">
      <c r="K64" s="4"/>
      <c r="L64" s="4"/>
      <c r="N64" s="4"/>
      <c r="O64" s="4"/>
      <c r="P64" s="4"/>
      <c r="Q64" s="4"/>
      <c r="R64" s="4"/>
    </row>
    <row r="65" spans="11:18">
      <c r="K65" s="4"/>
      <c r="L65" s="4"/>
      <c r="N65" s="4"/>
      <c r="O65" s="4"/>
      <c r="P65" s="4"/>
      <c r="Q65" s="4"/>
      <c r="R65" s="4"/>
    </row>
    <row r="66" spans="11:18">
      <c r="K66" s="4"/>
      <c r="L66" s="4"/>
      <c r="N66" s="4"/>
      <c r="O66" s="4"/>
      <c r="P66" s="4"/>
      <c r="Q66" s="4"/>
      <c r="R66" s="4"/>
    </row>
    <row r="67" spans="11:18">
      <c r="K67" s="4"/>
      <c r="L67" s="4"/>
      <c r="N67" s="4"/>
      <c r="O67" s="4"/>
      <c r="P67" s="4"/>
      <c r="Q67" s="4"/>
      <c r="R67" s="4"/>
    </row>
    <row r="68" spans="11:18">
      <c r="K68" s="4"/>
      <c r="L68" s="4"/>
      <c r="N68" s="4"/>
      <c r="O68" s="4"/>
      <c r="P68" s="4"/>
      <c r="Q68" s="4"/>
      <c r="R68" s="4"/>
    </row>
    <row r="69" spans="11:18">
      <c r="K69" s="4"/>
      <c r="L69" s="4"/>
      <c r="N69" s="4"/>
      <c r="O69" s="4"/>
      <c r="P69" s="4"/>
      <c r="Q69" s="4"/>
      <c r="R69" s="4"/>
    </row>
    <row r="70" spans="11:18">
      <c r="K70" s="4"/>
      <c r="L70" s="4"/>
      <c r="N70" s="4"/>
      <c r="O70" s="4"/>
      <c r="P70" s="4"/>
      <c r="Q70" s="4"/>
      <c r="R70" s="4"/>
    </row>
    <row r="71" spans="11:18">
      <c r="K71" s="4"/>
      <c r="L71" s="4"/>
      <c r="N71" s="4"/>
      <c r="O71" s="4"/>
      <c r="P71" s="4"/>
      <c r="Q71" s="4"/>
      <c r="R71" s="4"/>
    </row>
    <row r="72" spans="11:18">
      <c r="K72" s="4"/>
      <c r="L72" s="4"/>
      <c r="N72" s="4"/>
      <c r="O72" s="4"/>
      <c r="P72" s="4"/>
      <c r="Q72" s="4"/>
      <c r="R72" s="4"/>
    </row>
    <row r="73" spans="11:18">
      <c r="K73" s="4"/>
      <c r="L73" s="4"/>
      <c r="N73" s="4"/>
      <c r="O73" s="4"/>
      <c r="P73" s="4"/>
      <c r="Q73" s="4"/>
      <c r="R73" s="4"/>
    </row>
    <row r="74" spans="11:18">
      <c r="K74" s="4"/>
      <c r="L74" s="4"/>
      <c r="N74" s="4"/>
      <c r="O74" s="4"/>
      <c r="P74" s="4"/>
      <c r="Q74" s="4"/>
      <c r="R74" s="4"/>
    </row>
    <row r="75" spans="11:18">
      <c r="K75" s="4"/>
      <c r="L75" s="4"/>
      <c r="N75" s="4"/>
      <c r="O75" s="4"/>
      <c r="P75" s="4"/>
      <c r="Q75" s="4"/>
      <c r="R75" s="4"/>
    </row>
    <row r="76" spans="11:18">
      <c r="K76" s="4"/>
      <c r="L76" s="4"/>
      <c r="N76" s="4"/>
      <c r="O76" s="4"/>
      <c r="P76" s="4"/>
      <c r="Q76" s="4"/>
      <c r="R76" s="4"/>
    </row>
    <row r="77" spans="11:18">
      <c r="K77" s="4"/>
      <c r="L77" s="4"/>
      <c r="N77" s="4"/>
      <c r="O77" s="4"/>
      <c r="P77" s="4"/>
      <c r="Q77" s="4"/>
      <c r="R77" s="4"/>
    </row>
    <row r="78" spans="11:18">
      <c r="K78" s="4"/>
      <c r="L78" s="4"/>
      <c r="N78" s="4"/>
      <c r="O78" s="4"/>
      <c r="P78" s="4"/>
      <c r="Q78" s="4"/>
      <c r="R78" s="4"/>
    </row>
    <row r="79" spans="11:18">
      <c r="K79" s="4"/>
      <c r="L79" s="4"/>
      <c r="N79" s="4"/>
      <c r="O79" s="4"/>
      <c r="P79" s="4"/>
      <c r="Q79" s="4"/>
      <c r="R79" s="4"/>
    </row>
    <row r="80" spans="11:18">
      <c r="K80" s="4"/>
      <c r="L80" s="4"/>
      <c r="N80" s="4"/>
      <c r="O80" s="4"/>
      <c r="P80" s="4"/>
      <c r="Q80" s="4"/>
      <c r="R80" s="4"/>
    </row>
    <row r="81" spans="11:18">
      <c r="K81" s="4"/>
      <c r="L81" s="4"/>
      <c r="N81" s="4"/>
      <c r="O81" s="4"/>
      <c r="P81" s="4"/>
      <c r="Q81" s="4"/>
      <c r="R81" s="4"/>
    </row>
    <row r="82" spans="11:18">
      <c r="K82" s="4"/>
      <c r="L82" s="4"/>
      <c r="N82" s="4"/>
      <c r="O82" s="4"/>
      <c r="P82" s="4"/>
      <c r="Q82" s="4"/>
      <c r="R82" s="4"/>
    </row>
    <row r="83" spans="11:18">
      <c r="K83" s="4"/>
      <c r="L83" s="4"/>
      <c r="N83" s="4"/>
      <c r="O83" s="4"/>
      <c r="P83" s="4"/>
      <c r="Q83" s="4"/>
      <c r="R83" s="4"/>
    </row>
    <row r="84" spans="11:18">
      <c r="K84" s="4"/>
      <c r="L84" s="4"/>
      <c r="N84" s="4"/>
      <c r="O84" s="4"/>
      <c r="P84" s="4"/>
      <c r="Q84" s="4"/>
      <c r="R84" s="4"/>
    </row>
    <row r="85" spans="11:18">
      <c r="K85" s="4"/>
      <c r="L85" s="4"/>
      <c r="N85" s="4"/>
      <c r="O85" s="4"/>
      <c r="P85" s="4"/>
      <c r="Q85" s="4"/>
      <c r="R85" s="4"/>
    </row>
    <row r="86" spans="11:18">
      <c r="K86" s="4"/>
      <c r="L86" s="4"/>
      <c r="N86" s="4"/>
      <c r="O86" s="4"/>
      <c r="P86" s="4"/>
      <c r="Q86" s="4"/>
      <c r="R86" s="4"/>
    </row>
    <row r="87" spans="11:18">
      <c r="K87" s="4"/>
      <c r="L87" s="4"/>
      <c r="N87" s="4"/>
      <c r="O87" s="4"/>
      <c r="P87" s="4"/>
      <c r="Q87" s="4"/>
      <c r="R87" s="4"/>
    </row>
    <row r="88" spans="11:18">
      <c r="K88" s="4"/>
      <c r="L88" s="4"/>
      <c r="N88" s="4"/>
      <c r="O88" s="4"/>
      <c r="P88" s="4"/>
      <c r="Q88" s="4"/>
      <c r="R88" s="4"/>
    </row>
    <row r="89" spans="11:18">
      <c r="K89" s="4"/>
      <c r="L89" s="4"/>
      <c r="N89" s="4"/>
      <c r="O89" s="4"/>
      <c r="P89" s="4"/>
      <c r="Q89" s="4"/>
      <c r="R89" s="4"/>
    </row>
    <row r="90" spans="11:18">
      <c r="K90" s="4"/>
      <c r="L90" s="4"/>
      <c r="N90" s="4"/>
      <c r="O90" s="4"/>
      <c r="P90" s="4"/>
      <c r="Q90" s="4"/>
      <c r="R90" s="4"/>
    </row>
    <row r="91" spans="11:18">
      <c r="K91" s="4"/>
      <c r="L91" s="4"/>
      <c r="N91" s="4"/>
      <c r="O91" s="4"/>
      <c r="P91" s="4"/>
      <c r="Q91" s="4"/>
      <c r="R91" s="4"/>
    </row>
    <row r="92" spans="11:18">
      <c r="K92" s="4"/>
      <c r="L92" s="4"/>
      <c r="N92" s="4"/>
      <c r="O92" s="4"/>
      <c r="P92" s="4"/>
      <c r="Q92" s="4"/>
      <c r="R92" s="4"/>
    </row>
    <row r="93" spans="11:18">
      <c r="K93" s="4"/>
      <c r="L93" s="4"/>
      <c r="N93" s="4"/>
      <c r="O93" s="4"/>
      <c r="P93" s="4"/>
      <c r="Q93" s="4"/>
      <c r="R93" s="4"/>
    </row>
    <row r="94" spans="11:18">
      <c r="K94" s="4"/>
      <c r="L94" s="4"/>
      <c r="N94" s="4"/>
      <c r="O94" s="4"/>
      <c r="P94" s="4"/>
      <c r="Q94" s="4"/>
      <c r="R94" s="4"/>
    </row>
    <row r="95" spans="11:18">
      <c r="K95" s="4"/>
      <c r="L95" s="4"/>
      <c r="N95" s="4"/>
      <c r="O95" s="4"/>
      <c r="P95" s="4"/>
      <c r="Q95" s="4"/>
      <c r="R95" s="4"/>
    </row>
    <row r="96" spans="11:18">
      <c r="K96" s="4"/>
      <c r="L96" s="4"/>
      <c r="N96" s="4"/>
      <c r="O96" s="4"/>
      <c r="P96" s="4"/>
      <c r="Q96" s="4"/>
      <c r="R96" s="4"/>
    </row>
    <row r="97" spans="11:18">
      <c r="K97" s="4"/>
      <c r="L97" s="4"/>
      <c r="N97" s="4"/>
      <c r="O97" s="4"/>
      <c r="P97" s="4"/>
      <c r="Q97" s="4"/>
      <c r="R97" s="4"/>
    </row>
    <row r="98" spans="11:18">
      <c r="K98" s="4"/>
      <c r="L98" s="4"/>
      <c r="N98" s="4"/>
      <c r="O98" s="4"/>
      <c r="P98" s="4"/>
      <c r="Q98" s="4"/>
      <c r="R98" s="4"/>
    </row>
    <row r="99" spans="11:18">
      <c r="K99" s="4"/>
      <c r="L99" s="4"/>
      <c r="N99" s="4"/>
      <c r="O99" s="4"/>
      <c r="P99" s="4"/>
      <c r="Q99" s="4"/>
      <c r="R99" s="4"/>
    </row>
    <row r="100" spans="11:18">
      <c r="K100" s="4"/>
      <c r="L100" s="4"/>
      <c r="N100" s="4"/>
      <c r="O100" s="4"/>
      <c r="P100" s="4"/>
      <c r="Q100" s="4"/>
      <c r="R100" s="4"/>
    </row>
    <row r="101" spans="11:18">
      <c r="K101" s="4"/>
      <c r="L101" s="4"/>
      <c r="N101" s="4"/>
      <c r="O101" s="4"/>
      <c r="P101" s="4"/>
      <c r="Q101" s="4"/>
      <c r="R101" s="4"/>
    </row>
    <row r="102" spans="11:18">
      <c r="K102" s="4"/>
      <c r="L102" s="4"/>
      <c r="N102" s="4"/>
      <c r="O102" s="4"/>
      <c r="P102" s="4"/>
      <c r="Q102" s="4"/>
      <c r="R102" s="4"/>
    </row>
    <row r="103" spans="11:18">
      <c r="K103" s="4"/>
      <c r="L103" s="4"/>
      <c r="N103" s="4"/>
      <c r="O103" s="4"/>
      <c r="P103" s="4"/>
      <c r="Q103" s="4"/>
      <c r="R103" s="4"/>
    </row>
    <row r="104" spans="11:18">
      <c r="K104" s="4"/>
      <c r="L104" s="4"/>
      <c r="N104" s="4"/>
      <c r="O104" s="4"/>
      <c r="P104" s="4"/>
      <c r="Q104" s="4"/>
      <c r="R104" s="4"/>
    </row>
    <row r="105" spans="11:18">
      <c r="K105" s="4"/>
      <c r="L105" s="4"/>
      <c r="N105" s="4"/>
      <c r="O105" s="4"/>
      <c r="P105" s="4"/>
      <c r="Q105" s="4"/>
      <c r="R105" s="4"/>
    </row>
    <row r="106" spans="11:18">
      <c r="K106" s="4"/>
      <c r="L106" s="4"/>
      <c r="N106" s="4"/>
      <c r="O106" s="4"/>
      <c r="P106" s="4"/>
      <c r="Q106" s="4"/>
      <c r="R106" s="4"/>
    </row>
    <row r="107" spans="11:18">
      <c r="K107" s="4"/>
      <c r="L107" s="4"/>
      <c r="N107" s="4"/>
      <c r="O107" s="4"/>
      <c r="P107" s="4"/>
      <c r="Q107" s="4"/>
      <c r="R107" s="4"/>
    </row>
    <row r="108" spans="11:18">
      <c r="K108" s="4"/>
      <c r="L108" s="4"/>
      <c r="N108" s="4"/>
      <c r="O108" s="4"/>
      <c r="P108" s="4"/>
      <c r="Q108" s="4"/>
      <c r="R108" s="4"/>
    </row>
    <row r="109" spans="11:18">
      <c r="K109" s="4"/>
      <c r="L109" s="4"/>
      <c r="N109" s="4"/>
      <c r="O109" s="4"/>
      <c r="P109" s="4"/>
      <c r="Q109" s="4"/>
      <c r="R109" s="4"/>
    </row>
    <row r="110" spans="11:18">
      <c r="K110" s="4"/>
      <c r="L110" s="4"/>
      <c r="N110" s="4"/>
      <c r="O110" s="4"/>
      <c r="P110" s="4"/>
      <c r="Q110" s="4"/>
      <c r="R110" s="4"/>
    </row>
    <row r="111" spans="11:18">
      <c r="K111" s="4"/>
      <c r="L111" s="4"/>
      <c r="N111" s="4"/>
      <c r="O111" s="4"/>
      <c r="P111" s="4"/>
      <c r="Q111" s="4"/>
      <c r="R111" s="4"/>
    </row>
    <row r="112" spans="11:18">
      <c r="K112" s="4"/>
      <c r="L112" s="4"/>
      <c r="N112" s="4"/>
      <c r="O112" s="4"/>
      <c r="P112" s="4"/>
      <c r="Q112" s="4"/>
      <c r="R112" s="4"/>
    </row>
    <row r="113" spans="11:18">
      <c r="K113" s="4"/>
      <c r="L113" s="4"/>
      <c r="N113" s="4"/>
      <c r="O113" s="4"/>
      <c r="P113" s="4"/>
      <c r="Q113" s="4"/>
      <c r="R113" s="4"/>
    </row>
    <row r="114" spans="11:18">
      <c r="K114" s="4"/>
      <c r="L114" s="4"/>
      <c r="N114" s="4"/>
      <c r="O114" s="4"/>
      <c r="P114" s="4"/>
      <c r="Q114" s="4"/>
      <c r="R114" s="4"/>
    </row>
    <row r="115" spans="11:18">
      <c r="K115" s="4"/>
      <c r="L115" s="4"/>
      <c r="N115" s="4"/>
      <c r="O115" s="4"/>
      <c r="P115" s="4"/>
      <c r="Q115" s="4"/>
      <c r="R115" s="4"/>
    </row>
    <row r="116" spans="11:18">
      <c r="K116" s="4"/>
      <c r="L116" s="4"/>
      <c r="N116" s="4"/>
      <c r="O116" s="4"/>
      <c r="P116" s="4"/>
      <c r="Q116" s="4"/>
      <c r="R116" s="4"/>
    </row>
    <row r="117" spans="11:18">
      <c r="K117" s="4"/>
      <c r="L117" s="4"/>
      <c r="N117" s="4"/>
      <c r="O117" s="4"/>
      <c r="P117" s="4"/>
      <c r="Q117" s="4"/>
      <c r="R117" s="4"/>
    </row>
    <row r="118" spans="11:18">
      <c r="K118" s="4"/>
      <c r="L118" s="4"/>
      <c r="N118" s="4"/>
      <c r="O118" s="4"/>
      <c r="P118" s="4"/>
      <c r="Q118" s="4"/>
      <c r="R118" s="4"/>
    </row>
    <row r="119" spans="11:18">
      <c r="K119" s="4"/>
      <c r="L119" s="4"/>
      <c r="N119" s="4"/>
      <c r="O119" s="4"/>
      <c r="P119" s="4"/>
      <c r="Q119" s="4"/>
      <c r="R119" s="4"/>
    </row>
    <row r="120" spans="11:18">
      <c r="K120" s="4"/>
      <c r="L120" s="4"/>
      <c r="N120" s="4"/>
      <c r="O120" s="4"/>
      <c r="P120" s="4"/>
      <c r="Q120" s="4"/>
      <c r="R120" s="4"/>
    </row>
    <row r="121" spans="11:18">
      <c r="K121" s="4"/>
      <c r="L121" s="4"/>
      <c r="N121" s="4"/>
      <c r="O121" s="4"/>
      <c r="P121" s="4"/>
      <c r="Q121" s="4"/>
      <c r="R121" s="4"/>
    </row>
    <row r="122" spans="11:18">
      <c r="K122" s="4"/>
      <c r="L122" s="4"/>
      <c r="N122" s="4"/>
      <c r="O122" s="4"/>
      <c r="P122" s="4"/>
      <c r="Q122" s="4"/>
      <c r="R122" s="4"/>
    </row>
    <row r="123" spans="11:18">
      <c r="K123" s="4"/>
      <c r="L123" s="4"/>
      <c r="N123" s="4"/>
      <c r="O123" s="4"/>
      <c r="P123" s="4"/>
      <c r="Q123" s="4"/>
      <c r="R123" s="4"/>
    </row>
    <row r="124" spans="11:18">
      <c r="K124" s="4"/>
      <c r="L124" s="4"/>
      <c r="N124" s="4"/>
      <c r="O124" s="4"/>
      <c r="P124" s="4"/>
      <c r="Q124" s="4"/>
      <c r="R124" s="4"/>
    </row>
    <row r="125" spans="11:18">
      <c r="K125" s="4"/>
      <c r="L125" s="4"/>
      <c r="N125" s="4"/>
      <c r="O125" s="4"/>
      <c r="P125" s="4"/>
      <c r="Q125" s="4"/>
      <c r="R125" s="4"/>
    </row>
    <row r="126" spans="11:18">
      <c r="K126" s="4"/>
      <c r="L126" s="4"/>
      <c r="N126" s="4"/>
      <c r="O126" s="4"/>
      <c r="P126" s="4"/>
      <c r="Q126" s="4"/>
      <c r="R126" s="4"/>
    </row>
    <row r="127" spans="11:18">
      <c r="K127" s="4"/>
      <c r="L127" s="4"/>
      <c r="N127" s="4"/>
      <c r="O127" s="4"/>
      <c r="P127" s="4"/>
      <c r="Q127" s="4"/>
      <c r="R127" s="4"/>
    </row>
    <row r="128" spans="11:18">
      <c r="K128" s="4"/>
      <c r="L128" s="4"/>
      <c r="N128" s="4"/>
      <c r="O128" s="4"/>
      <c r="P128" s="4"/>
      <c r="Q128" s="4"/>
      <c r="R128" s="4"/>
    </row>
    <row r="129" spans="11:18">
      <c r="K129" s="4"/>
      <c r="L129" s="4"/>
      <c r="N129" s="4"/>
      <c r="O129" s="4"/>
      <c r="P129" s="4"/>
      <c r="Q129" s="4"/>
      <c r="R129" s="4"/>
    </row>
    <row r="130" spans="11:18">
      <c r="K130" s="4"/>
      <c r="L130" s="4"/>
      <c r="N130" s="4"/>
      <c r="O130" s="4"/>
      <c r="P130" s="4"/>
      <c r="Q130" s="4"/>
      <c r="R130" s="4"/>
    </row>
    <row r="131" spans="11:18">
      <c r="K131" s="4"/>
      <c r="L131" s="4"/>
      <c r="N131" s="4"/>
      <c r="O131" s="4"/>
      <c r="P131" s="4"/>
      <c r="Q131" s="4"/>
      <c r="R131" s="4"/>
    </row>
    <row r="132" spans="11:18">
      <c r="K132" s="4"/>
      <c r="L132" s="4"/>
      <c r="N132" s="4"/>
      <c r="O132" s="4"/>
      <c r="P132" s="4"/>
      <c r="Q132" s="4"/>
      <c r="R132" s="4"/>
    </row>
    <row r="133" spans="11:18">
      <c r="K133" s="4"/>
      <c r="L133" s="4"/>
      <c r="N133" s="4"/>
      <c r="O133" s="4"/>
      <c r="P133" s="4"/>
      <c r="Q133" s="4"/>
      <c r="R133" s="4"/>
    </row>
    <row r="134" spans="11:18">
      <c r="K134" s="4"/>
      <c r="L134" s="4"/>
      <c r="N134" s="4"/>
      <c r="O134" s="4"/>
      <c r="P134" s="4"/>
      <c r="Q134" s="4"/>
      <c r="R134" s="4"/>
    </row>
    <row r="135" spans="11:18">
      <c r="K135" s="4"/>
      <c r="L135" s="4"/>
      <c r="N135" s="4"/>
      <c r="O135" s="4"/>
      <c r="P135" s="4"/>
      <c r="Q135" s="4"/>
      <c r="R135" s="4"/>
    </row>
    <row r="136" spans="11:18">
      <c r="K136" s="4"/>
      <c r="L136" s="4"/>
      <c r="N136" s="4"/>
      <c r="O136" s="4"/>
      <c r="P136" s="4"/>
      <c r="Q136" s="4"/>
      <c r="R136" s="4"/>
    </row>
    <row r="137" spans="11:18">
      <c r="K137" s="4"/>
      <c r="L137" s="4"/>
      <c r="N137" s="4"/>
      <c r="O137" s="4"/>
      <c r="P137" s="4"/>
      <c r="Q137" s="4"/>
      <c r="R137" s="4"/>
    </row>
    <row r="138" spans="11:18">
      <c r="K138" s="4"/>
      <c r="L138" s="4"/>
      <c r="N138" s="4"/>
      <c r="O138" s="4"/>
      <c r="P138" s="4"/>
      <c r="Q138" s="4"/>
      <c r="R138" s="4"/>
    </row>
    <row r="139" spans="11:18">
      <c r="K139" s="4"/>
      <c r="L139" s="4"/>
      <c r="N139" s="4"/>
      <c r="O139" s="4"/>
      <c r="P139" s="4"/>
      <c r="Q139" s="4"/>
      <c r="R139" s="4"/>
    </row>
    <row r="140" spans="11:18">
      <c r="K140" s="4"/>
      <c r="L140" s="4"/>
      <c r="N140" s="4"/>
      <c r="O140" s="4"/>
      <c r="P140" s="4"/>
      <c r="Q140" s="4"/>
      <c r="R140" s="4"/>
    </row>
    <row r="141" spans="11:18">
      <c r="K141" s="4"/>
      <c r="L141" s="4"/>
      <c r="N141" s="4"/>
      <c r="O141" s="4"/>
      <c r="P141" s="4"/>
      <c r="Q141" s="4"/>
      <c r="R141" s="4"/>
    </row>
    <row r="142" spans="11:18">
      <c r="K142" s="4"/>
      <c r="L142" s="4"/>
      <c r="N142" s="4"/>
      <c r="O142" s="4"/>
      <c r="P142" s="4"/>
      <c r="Q142" s="4"/>
      <c r="R142" s="4"/>
    </row>
    <row r="143" spans="11:18">
      <c r="K143" s="4"/>
      <c r="L143" s="4"/>
      <c r="N143" s="4"/>
      <c r="O143" s="4"/>
      <c r="P143" s="4"/>
      <c r="Q143" s="4"/>
      <c r="R143" s="4"/>
    </row>
    <row r="144" spans="11:18">
      <c r="K144" s="4"/>
      <c r="L144" s="4"/>
      <c r="N144" s="4"/>
      <c r="O144" s="4"/>
      <c r="P144" s="4"/>
      <c r="Q144" s="4"/>
      <c r="R144" s="4"/>
    </row>
    <row r="145" spans="11:18">
      <c r="K145" s="4"/>
      <c r="L145" s="4"/>
      <c r="N145" s="4"/>
      <c r="O145" s="4"/>
      <c r="P145" s="4"/>
      <c r="Q145" s="4"/>
      <c r="R145" s="4"/>
    </row>
    <row r="146" spans="11:18">
      <c r="K146" s="4"/>
      <c r="L146" s="4"/>
      <c r="N146" s="4"/>
      <c r="O146" s="4"/>
      <c r="P146" s="4"/>
      <c r="Q146" s="4"/>
      <c r="R146" s="4"/>
    </row>
    <row r="147" spans="11:18">
      <c r="K147" s="4"/>
      <c r="L147" s="4"/>
      <c r="N147" s="4"/>
      <c r="O147" s="4"/>
      <c r="P147" s="4"/>
      <c r="Q147" s="4"/>
      <c r="R147" s="4"/>
    </row>
    <row r="148" spans="11:18">
      <c r="K148" s="4"/>
      <c r="L148" s="4"/>
      <c r="N148" s="4"/>
      <c r="O148" s="4"/>
      <c r="P148" s="4"/>
      <c r="Q148" s="4"/>
      <c r="R148" s="4"/>
    </row>
    <row r="149" spans="11:18">
      <c r="K149" s="4"/>
      <c r="L149" s="4"/>
      <c r="N149" s="4"/>
      <c r="O149" s="4"/>
      <c r="P149" s="4"/>
      <c r="Q149" s="4"/>
      <c r="R149" s="4"/>
    </row>
    <row r="150" spans="11:18">
      <c r="K150" s="4"/>
      <c r="L150" s="4"/>
      <c r="N150" s="4"/>
      <c r="O150" s="4"/>
      <c r="P150" s="4"/>
      <c r="Q150" s="4"/>
      <c r="R150" s="4"/>
    </row>
    <row r="151" spans="11:18">
      <c r="K151" s="4"/>
      <c r="L151" s="4"/>
      <c r="N151" s="4"/>
      <c r="O151" s="4"/>
      <c r="P151" s="4"/>
      <c r="Q151" s="4"/>
      <c r="R151" s="4"/>
    </row>
    <row r="152" spans="11:18">
      <c r="K152" s="4"/>
      <c r="L152" s="4"/>
      <c r="N152" s="4"/>
      <c r="O152" s="4"/>
      <c r="P152" s="4"/>
      <c r="Q152" s="4"/>
      <c r="R152" s="4"/>
    </row>
    <row r="153" spans="11:18">
      <c r="K153" s="4"/>
      <c r="L153" s="4"/>
      <c r="N153" s="4"/>
      <c r="O153" s="4"/>
      <c r="P153" s="4"/>
      <c r="Q153" s="4"/>
      <c r="R153" s="4"/>
    </row>
    <row r="154" spans="11:18">
      <c r="K154" s="4"/>
      <c r="L154" s="4"/>
      <c r="N154" s="4"/>
      <c r="O154" s="4"/>
      <c r="P154" s="4"/>
      <c r="Q154" s="4"/>
      <c r="R154" s="4"/>
    </row>
    <row r="155" spans="11:18">
      <c r="K155" s="4"/>
      <c r="L155" s="4"/>
      <c r="N155" s="4"/>
      <c r="O155" s="4"/>
      <c r="P155" s="4"/>
      <c r="Q155" s="4"/>
      <c r="R155" s="4"/>
    </row>
    <row r="156" spans="11:18">
      <c r="K156" s="4"/>
      <c r="L156" s="4"/>
      <c r="N156" s="4"/>
      <c r="O156" s="4"/>
      <c r="P156" s="4"/>
      <c r="Q156" s="4"/>
      <c r="R156" s="4"/>
    </row>
    <row r="157" spans="11:18">
      <c r="K157" s="4"/>
      <c r="L157" s="4"/>
      <c r="N157" s="4"/>
      <c r="O157" s="4"/>
      <c r="P157" s="4"/>
      <c r="Q157" s="4"/>
      <c r="R157" s="4"/>
    </row>
    <row r="158" spans="11:18">
      <c r="K158" s="4"/>
      <c r="L158" s="4"/>
      <c r="N158" s="4"/>
      <c r="O158" s="4"/>
      <c r="P158" s="4"/>
      <c r="Q158" s="4"/>
      <c r="R158" s="4"/>
    </row>
    <row r="159" spans="11:18">
      <c r="K159" s="4"/>
      <c r="L159" s="4"/>
      <c r="N159" s="4"/>
      <c r="O159" s="4"/>
      <c r="P159" s="4"/>
      <c r="Q159" s="4"/>
      <c r="R159" s="4"/>
    </row>
    <row r="160" spans="11:18">
      <c r="K160" s="4"/>
      <c r="L160" s="4"/>
      <c r="N160" s="4"/>
      <c r="O160" s="4"/>
      <c r="P160" s="4"/>
      <c r="Q160" s="4"/>
      <c r="R160" s="4"/>
    </row>
    <row r="161" spans="11:18">
      <c r="K161" s="4"/>
      <c r="L161" s="4"/>
      <c r="N161" s="4"/>
      <c r="O161" s="4"/>
      <c r="P161" s="4"/>
      <c r="Q161" s="4"/>
      <c r="R161" s="4"/>
    </row>
    <row r="162" spans="11:18">
      <c r="K162" s="4"/>
      <c r="L162" s="4"/>
      <c r="N162" s="4"/>
      <c r="O162" s="4"/>
      <c r="P162" s="4"/>
      <c r="Q162" s="4"/>
      <c r="R162" s="4"/>
    </row>
    <row r="163" spans="11:18">
      <c r="K163" s="4"/>
      <c r="L163" s="4"/>
      <c r="N163" s="4"/>
      <c r="O163" s="4"/>
      <c r="P163" s="4"/>
      <c r="Q163" s="4"/>
      <c r="R163" s="4"/>
    </row>
    <row r="164" spans="11:18">
      <c r="K164" s="4"/>
      <c r="L164" s="4"/>
      <c r="N164" s="4"/>
      <c r="O164" s="4"/>
      <c r="P164" s="4"/>
      <c r="Q164" s="4"/>
      <c r="R164" s="4"/>
    </row>
    <row r="165" spans="11:18">
      <c r="K165" s="4"/>
      <c r="L165" s="4"/>
      <c r="N165" s="4"/>
      <c r="O165" s="4"/>
      <c r="P165" s="4"/>
      <c r="Q165" s="4"/>
      <c r="R165" s="4"/>
    </row>
    <row r="166" spans="11:18">
      <c r="K166" s="4"/>
      <c r="L166" s="4"/>
      <c r="N166" s="4"/>
      <c r="O166" s="4"/>
      <c r="P166" s="4"/>
      <c r="Q166" s="4"/>
      <c r="R166" s="4"/>
    </row>
    <row r="167" spans="11:18">
      <c r="K167" s="4"/>
      <c r="L167" s="4"/>
      <c r="N167" s="4"/>
      <c r="O167" s="4"/>
      <c r="P167" s="4"/>
      <c r="Q167" s="4"/>
      <c r="R167" s="4"/>
    </row>
    <row r="168" spans="11:18">
      <c r="K168" s="4"/>
      <c r="L168" s="4"/>
      <c r="N168" s="4"/>
      <c r="O168" s="4"/>
      <c r="P168" s="4"/>
      <c r="Q168" s="4"/>
      <c r="R168" s="4"/>
    </row>
    <row r="169" spans="11:18">
      <c r="K169" s="4"/>
      <c r="L169" s="4"/>
      <c r="N169" s="4"/>
      <c r="O169" s="4"/>
      <c r="P169" s="4"/>
      <c r="Q169" s="4"/>
      <c r="R169" s="4"/>
    </row>
    <row r="170" spans="11:18">
      <c r="K170" s="4"/>
      <c r="L170" s="4"/>
      <c r="N170" s="4"/>
      <c r="O170" s="4"/>
      <c r="P170" s="4"/>
      <c r="Q170" s="4"/>
      <c r="R170" s="4"/>
    </row>
    <row r="171" spans="11:18">
      <c r="K171" s="4"/>
      <c r="L171" s="4"/>
      <c r="N171" s="4"/>
      <c r="O171" s="4"/>
      <c r="P171" s="4"/>
      <c r="Q171" s="4"/>
      <c r="R171" s="4"/>
    </row>
    <row r="172" spans="11:18">
      <c r="K172" s="4"/>
      <c r="L172" s="4"/>
      <c r="N172" s="4"/>
      <c r="O172" s="4"/>
      <c r="P172" s="4"/>
      <c r="Q172" s="4"/>
      <c r="R172" s="4"/>
    </row>
    <row r="173" spans="11:18">
      <c r="K173" s="4"/>
      <c r="L173" s="4"/>
      <c r="N173" s="4"/>
      <c r="O173" s="4"/>
      <c r="P173" s="4"/>
      <c r="Q173" s="4"/>
      <c r="R173" s="4"/>
    </row>
    <row r="174" spans="11:18">
      <c r="K174" s="4"/>
      <c r="L174" s="4"/>
      <c r="N174" s="4"/>
      <c r="O174" s="4"/>
      <c r="P174" s="4"/>
      <c r="Q174" s="4"/>
      <c r="R174" s="4"/>
    </row>
    <row r="175" spans="11:18">
      <c r="K175" s="4"/>
      <c r="L175" s="4"/>
      <c r="N175" s="4"/>
      <c r="O175" s="4"/>
      <c r="P175" s="4"/>
      <c r="Q175" s="4"/>
      <c r="R175" s="4"/>
    </row>
    <row r="176" spans="11:18">
      <c r="K176" s="4"/>
      <c r="L176" s="4"/>
      <c r="N176" s="4"/>
      <c r="O176" s="4"/>
      <c r="P176" s="4"/>
      <c r="Q176" s="4"/>
      <c r="R176" s="4"/>
    </row>
    <row r="177" spans="11:18">
      <c r="K177" s="4"/>
      <c r="L177" s="4"/>
      <c r="N177" s="4"/>
      <c r="O177" s="4"/>
      <c r="P177" s="4"/>
      <c r="Q177" s="4"/>
      <c r="R177" s="4"/>
    </row>
  </sheetData>
  <autoFilter ref="A2:N2"/>
  <mergeCells count="75">
    <mergeCell ref="N25:N27"/>
    <mergeCell ref="K25:K27"/>
    <mergeCell ref="L25:L27"/>
    <mergeCell ref="E25:E27"/>
    <mergeCell ref="M25:M27"/>
    <mergeCell ref="H25:H27"/>
    <mergeCell ref="I25:I27"/>
    <mergeCell ref="G25:G27"/>
    <mergeCell ref="A25:A27"/>
    <mergeCell ref="B25:B27"/>
    <mergeCell ref="C25:C27"/>
    <mergeCell ref="D25:D27"/>
    <mergeCell ref="A21:A24"/>
    <mergeCell ref="B21:B24"/>
    <mergeCell ref="C21:C24"/>
    <mergeCell ref="D21:D24"/>
    <mergeCell ref="C18:C20"/>
    <mergeCell ref="B18:B20"/>
    <mergeCell ref="K18:K20"/>
    <mergeCell ref="D18:D20"/>
    <mergeCell ref="A18:A20"/>
    <mergeCell ref="G18:G20"/>
    <mergeCell ref="E18:E20"/>
    <mergeCell ref="H18:H20"/>
    <mergeCell ref="I18:I20"/>
    <mergeCell ref="M3:M6"/>
    <mergeCell ref="M8:M10"/>
    <mergeCell ref="M11:M17"/>
    <mergeCell ref="L21:L24"/>
    <mergeCell ref="H21:H24"/>
    <mergeCell ref="L8:L10"/>
    <mergeCell ref="M18:M20"/>
    <mergeCell ref="M21:M24"/>
    <mergeCell ref="H8:H10"/>
    <mergeCell ref="I8:I10"/>
    <mergeCell ref="H11:H17"/>
    <mergeCell ref="I11:I17"/>
    <mergeCell ref="K21:K24"/>
    <mergeCell ref="L18:L20"/>
    <mergeCell ref="I21:I24"/>
    <mergeCell ref="N3:N6"/>
    <mergeCell ref="N8:N10"/>
    <mergeCell ref="N11:N17"/>
    <mergeCell ref="N18:N20"/>
    <mergeCell ref="N21:N24"/>
    <mergeCell ref="A8:A10"/>
    <mergeCell ref="G3:G6"/>
    <mergeCell ref="G8:G10"/>
    <mergeCell ref="K3:K6"/>
    <mergeCell ref="K8:K10"/>
    <mergeCell ref="A3:A6"/>
    <mergeCell ref="B3:B6"/>
    <mergeCell ref="C3:C6"/>
    <mergeCell ref="E8:E10"/>
    <mergeCell ref="I3:I6"/>
    <mergeCell ref="H3:H6"/>
    <mergeCell ref="D8:D10"/>
    <mergeCell ref="D3:D6"/>
    <mergeCell ref="E3:E6"/>
    <mergeCell ref="G21:G24"/>
    <mergeCell ref="E21:E24"/>
    <mergeCell ref="K1:N1"/>
    <mergeCell ref="C8:C10"/>
    <mergeCell ref="B8:B10"/>
    <mergeCell ref="A1:E1"/>
    <mergeCell ref="G1:I1"/>
    <mergeCell ref="B11:B17"/>
    <mergeCell ref="A11:A17"/>
    <mergeCell ref="L3:L6"/>
    <mergeCell ref="D11:D17"/>
    <mergeCell ref="K11:K17"/>
    <mergeCell ref="C11:C17"/>
    <mergeCell ref="L11:L17"/>
    <mergeCell ref="G11:G17"/>
    <mergeCell ref="E11:E1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17"/>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4"/>
      <c r="G2" s="68" t="s">
        <v>50</v>
      </c>
      <c r="H2" s="61" t="s">
        <v>51</v>
      </c>
      <c r="I2" s="69" t="s">
        <v>52</v>
      </c>
      <c r="J2" s="14"/>
      <c r="K2" s="292" t="s">
        <v>113</v>
      </c>
      <c r="L2" s="144" t="s">
        <v>54</v>
      </c>
      <c r="M2" s="80" t="s">
        <v>5147</v>
      </c>
      <c r="N2" s="293" t="s">
        <v>5152</v>
      </c>
    </row>
    <row r="3" spans="1:14" ht="120">
      <c r="A3" s="54" t="s">
        <v>66</v>
      </c>
      <c r="B3" s="84" t="s">
        <v>56</v>
      </c>
      <c r="C3" s="49" t="s">
        <v>67</v>
      </c>
      <c r="D3" s="49" t="s">
        <v>58</v>
      </c>
      <c r="E3" s="55" t="s">
        <v>68</v>
      </c>
      <c r="F3" s="10"/>
      <c r="G3" s="70" t="s">
        <v>114</v>
      </c>
      <c r="H3" s="63" t="s">
        <v>115</v>
      </c>
      <c r="I3" s="86" t="s">
        <v>116</v>
      </c>
      <c r="J3" s="10"/>
      <c r="K3" s="296" t="s">
        <v>63</v>
      </c>
      <c r="L3" s="91" t="s">
        <v>71</v>
      </c>
      <c r="M3" s="145" t="s">
        <v>117</v>
      </c>
      <c r="N3" s="297"/>
    </row>
    <row r="4" spans="1:14" ht="90">
      <c r="A4" s="56" t="s">
        <v>118</v>
      </c>
      <c r="B4" s="50" t="s">
        <v>86</v>
      </c>
      <c r="C4" s="50" t="s">
        <v>119</v>
      </c>
      <c r="D4" s="50" t="s">
        <v>120</v>
      </c>
      <c r="E4" s="57" t="s">
        <v>121</v>
      </c>
      <c r="F4" s="10"/>
      <c r="G4" s="56" t="s">
        <v>122</v>
      </c>
      <c r="H4" s="51" t="s">
        <v>123</v>
      </c>
      <c r="I4" s="87" t="s">
        <v>124</v>
      </c>
      <c r="J4" s="10"/>
      <c r="K4" s="294" t="s">
        <v>63</v>
      </c>
      <c r="L4" s="259" t="s">
        <v>125</v>
      </c>
      <c r="M4" s="261" t="s">
        <v>5154</v>
      </c>
      <c r="N4" s="295"/>
    </row>
    <row r="5" spans="1:14" ht="60">
      <c r="A5" s="54" t="s">
        <v>126</v>
      </c>
      <c r="B5" s="49" t="s">
        <v>86</v>
      </c>
      <c r="C5" s="49" t="s">
        <v>127</v>
      </c>
      <c r="D5" s="49" t="s">
        <v>58</v>
      </c>
      <c r="E5" s="55" t="s">
        <v>128</v>
      </c>
      <c r="F5" s="10"/>
      <c r="G5" s="70" t="s">
        <v>129</v>
      </c>
      <c r="H5" s="63" t="s">
        <v>130</v>
      </c>
      <c r="I5" s="71" t="s">
        <v>131</v>
      </c>
      <c r="J5" s="10"/>
      <c r="K5" s="298" t="s">
        <v>63</v>
      </c>
      <c r="L5" s="278" t="s">
        <v>132</v>
      </c>
      <c r="M5" s="277" t="s">
        <v>133</v>
      </c>
      <c r="N5" s="297"/>
    </row>
    <row r="6" spans="1:14">
      <c r="A6" s="513" t="s">
        <v>134</v>
      </c>
      <c r="B6" s="512" t="s">
        <v>86</v>
      </c>
      <c r="C6" s="512" t="s">
        <v>135</v>
      </c>
      <c r="D6" s="512" t="s">
        <v>97</v>
      </c>
      <c r="E6" s="514" t="s">
        <v>136</v>
      </c>
      <c r="F6" s="10"/>
      <c r="G6" s="513" t="s">
        <v>137</v>
      </c>
      <c r="H6" s="516" t="s">
        <v>138</v>
      </c>
      <c r="I6" s="508" t="s">
        <v>139</v>
      </c>
      <c r="J6" s="10"/>
      <c r="K6" s="510" t="s">
        <v>70</v>
      </c>
      <c r="L6" s="509" t="s">
        <v>140</v>
      </c>
      <c r="M6" s="515" t="s">
        <v>5155</v>
      </c>
      <c r="N6" s="511" t="s">
        <v>5153</v>
      </c>
    </row>
    <row r="7" spans="1:14">
      <c r="A7" s="513"/>
      <c r="B7" s="512"/>
      <c r="C7" s="512"/>
      <c r="D7" s="512"/>
      <c r="E7" s="514"/>
      <c r="F7" s="11"/>
      <c r="G7" s="513"/>
      <c r="H7" s="516"/>
      <c r="I7" s="508"/>
      <c r="J7" s="11"/>
      <c r="K7" s="510"/>
      <c r="L7" s="509"/>
      <c r="M7" s="515"/>
      <c r="N7" s="511"/>
    </row>
    <row r="8" spans="1:14">
      <c r="A8" s="513"/>
      <c r="B8" s="512"/>
      <c r="C8" s="512"/>
      <c r="D8" s="512"/>
      <c r="E8" s="514"/>
      <c r="F8" s="10"/>
      <c r="G8" s="513"/>
      <c r="H8" s="516"/>
      <c r="I8" s="508"/>
      <c r="J8" s="10"/>
      <c r="K8" s="510"/>
      <c r="L8" s="509"/>
      <c r="M8" s="515"/>
      <c r="N8" s="511"/>
    </row>
    <row r="9" spans="1:14">
      <c r="A9" s="513"/>
      <c r="B9" s="512"/>
      <c r="C9" s="512"/>
      <c r="D9" s="512"/>
      <c r="E9" s="514"/>
      <c r="F9" s="10"/>
      <c r="G9" s="513"/>
      <c r="H9" s="516"/>
      <c r="I9" s="508"/>
      <c r="J9" s="10"/>
      <c r="K9" s="510"/>
      <c r="L9" s="509"/>
      <c r="M9" s="515"/>
      <c r="N9" s="511"/>
    </row>
    <row r="10" spans="1:14">
      <c r="A10" s="513"/>
      <c r="B10" s="512"/>
      <c r="C10" s="512"/>
      <c r="D10" s="512"/>
      <c r="E10" s="514"/>
      <c r="F10" s="10"/>
      <c r="G10" s="513"/>
      <c r="H10" s="516"/>
      <c r="I10" s="508"/>
      <c r="J10" s="10"/>
      <c r="K10" s="510"/>
      <c r="L10" s="509"/>
      <c r="M10" s="515"/>
      <c r="N10" s="511"/>
    </row>
    <row r="11" spans="1:14">
      <c r="A11" s="513"/>
      <c r="B11" s="512"/>
      <c r="C11" s="512"/>
      <c r="D11" s="512"/>
      <c r="E11" s="514"/>
      <c r="F11" s="11"/>
      <c r="G11" s="513"/>
      <c r="H11" s="516"/>
      <c r="I11" s="508"/>
      <c r="J11" s="11"/>
      <c r="K11" s="510"/>
      <c r="L11" s="509"/>
      <c r="M11" s="515"/>
      <c r="N11" s="511"/>
    </row>
    <row r="12" spans="1:14">
      <c r="A12" s="513"/>
      <c r="B12" s="512"/>
      <c r="C12" s="512"/>
      <c r="D12" s="512"/>
      <c r="E12" s="514"/>
      <c r="F12" s="11"/>
      <c r="G12" s="513"/>
      <c r="H12" s="516"/>
      <c r="I12" s="508"/>
      <c r="J12" s="11"/>
      <c r="K12" s="510"/>
      <c r="L12" s="509"/>
      <c r="M12" s="515"/>
      <c r="N12" s="511"/>
    </row>
    <row r="13" spans="1:14">
      <c r="A13" s="513"/>
      <c r="B13" s="512"/>
      <c r="C13" s="512"/>
      <c r="D13" s="512"/>
      <c r="E13" s="514"/>
      <c r="F13" s="11"/>
      <c r="G13" s="513"/>
      <c r="H13" s="516"/>
      <c r="I13" s="508"/>
      <c r="J13" s="11"/>
      <c r="K13" s="510"/>
      <c r="L13" s="509"/>
      <c r="M13" s="515"/>
      <c r="N13" s="511"/>
    </row>
    <row r="14" spans="1:14">
      <c r="A14" s="513"/>
      <c r="B14" s="512"/>
      <c r="C14" s="512"/>
      <c r="D14" s="512"/>
      <c r="E14" s="514"/>
      <c r="F14" s="11"/>
      <c r="G14" s="513"/>
      <c r="H14" s="516"/>
      <c r="I14" s="508"/>
      <c r="J14" s="11"/>
      <c r="K14" s="510"/>
      <c r="L14" s="509"/>
      <c r="M14" s="515"/>
      <c r="N14" s="511"/>
    </row>
    <row r="15" spans="1:14">
      <c r="A15" s="513"/>
      <c r="B15" s="512"/>
      <c r="C15" s="512"/>
      <c r="D15" s="512"/>
      <c r="E15" s="514"/>
      <c r="F15" s="11"/>
      <c r="G15" s="513"/>
      <c r="H15" s="516"/>
      <c r="I15" s="508"/>
      <c r="J15" s="11"/>
      <c r="K15" s="510"/>
      <c r="L15" s="509"/>
      <c r="M15" s="515"/>
      <c r="N15" s="511"/>
    </row>
    <row r="16" spans="1:14">
      <c r="A16" s="513"/>
      <c r="B16" s="512"/>
      <c r="C16" s="512"/>
      <c r="D16" s="512"/>
      <c r="E16" s="514"/>
      <c r="F16" s="11"/>
      <c r="G16" s="513"/>
      <c r="H16" s="516"/>
      <c r="I16" s="508"/>
      <c r="J16" s="11"/>
      <c r="K16" s="510"/>
      <c r="L16" s="509"/>
      <c r="M16" s="515"/>
      <c r="N16" s="511"/>
    </row>
    <row r="17" spans="1:14" ht="180.75" thickBot="1">
      <c r="A17" s="58" t="s">
        <v>142</v>
      </c>
      <c r="B17" s="59" t="s">
        <v>86</v>
      </c>
      <c r="C17" s="59" t="s">
        <v>143</v>
      </c>
      <c r="D17" s="59" t="s">
        <v>97</v>
      </c>
      <c r="E17" s="85" t="s">
        <v>144</v>
      </c>
      <c r="F17" s="11"/>
      <c r="G17" s="88" t="s">
        <v>33</v>
      </c>
      <c r="H17" s="89" t="s">
        <v>33</v>
      </c>
      <c r="I17" s="90" t="s">
        <v>33</v>
      </c>
      <c r="J17" s="11"/>
      <c r="K17" s="299" t="s">
        <v>70</v>
      </c>
      <c r="L17" s="300" t="s">
        <v>145</v>
      </c>
      <c r="M17" s="301" t="s">
        <v>5159</v>
      </c>
      <c r="N17" s="302"/>
    </row>
  </sheetData>
  <autoFilter ref="A2:N17"/>
  <mergeCells count="15">
    <mergeCell ref="A1:E1"/>
    <mergeCell ref="G1:I1"/>
    <mergeCell ref="I6:I16"/>
    <mergeCell ref="L6:L16"/>
    <mergeCell ref="K1:N1"/>
    <mergeCell ref="K6:K16"/>
    <mergeCell ref="N6:N16"/>
    <mergeCell ref="D6:D16"/>
    <mergeCell ref="C6:C16"/>
    <mergeCell ref="B6:B16"/>
    <mergeCell ref="A6:A16"/>
    <mergeCell ref="E6:E16"/>
    <mergeCell ref="G6:G16"/>
    <mergeCell ref="M6:M16"/>
    <mergeCell ref="H6:H1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18"/>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style="21" customWidth="1"/>
    <col min="14" max="14" width="36.42578125" style="21"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75" thickBot="1">
      <c r="A2" s="52" t="s">
        <v>45</v>
      </c>
      <c r="B2" s="48" t="s">
        <v>46</v>
      </c>
      <c r="C2" s="48" t="s">
        <v>47</v>
      </c>
      <c r="D2" s="48" t="s">
        <v>48</v>
      </c>
      <c r="E2" s="53" t="s">
        <v>49</v>
      </c>
      <c r="F2" s="14"/>
      <c r="G2" s="68" t="s">
        <v>50</v>
      </c>
      <c r="H2" s="61" t="s">
        <v>51</v>
      </c>
      <c r="I2" s="69" t="s">
        <v>52</v>
      </c>
      <c r="J2" s="14"/>
      <c r="K2" s="303" t="s">
        <v>147</v>
      </c>
      <c r="L2" s="152" t="s">
        <v>54</v>
      </c>
      <c r="M2" s="153" t="s">
        <v>5147</v>
      </c>
      <c r="N2" s="304" t="s">
        <v>5152</v>
      </c>
    </row>
    <row r="3" spans="1:14">
      <c r="A3" s="517" t="s">
        <v>148</v>
      </c>
      <c r="B3" s="518" t="s">
        <v>56</v>
      </c>
      <c r="C3" s="519" t="s">
        <v>149</v>
      </c>
      <c r="D3" s="519" t="s">
        <v>58</v>
      </c>
      <c r="E3" s="520" t="s">
        <v>150</v>
      </c>
      <c r="F3" s="11"/>
      <c r="G3" s="521" t="s">
        <v>151</v>
      </c>
      <c r="H3" s="526" t="s">
        <v>152</v>
      </c>
      <c r="I3" s="527" t="s">
        <v>153</v>
      </c>
      <c r="J3" s="11"/>
      <c r="K3" s="528" t="s">
        <v>63</v>
      </c>
      <c r="L3" s="532" t="s">
        <v>154</v>
      </c>
      <c r="M3" s="534" t="s">
        <v>155</v>
      </c>
      <c r="N3" s="457"/>
    </row>
    <row r="4" spans="1:14">
      <c r="A4" s="517"/>
      <c r="B4" s="518"/>
      <c r="C4" s="519"/>
      <c r="D4" s="519"/>
      <c r="E4" s="520"/>
      <c r="F4" s="11"/>
      <c r="G4" s="521"/>
      <c r="H4" s="526"/>
      <c r="I4" s="527"/>
      <c r="J4" s="11"/>
      <c r="K4" s="529"/>
      <c r="L4" s="531"/>
      <c r="M4" s="525"/>
      <c r="N4" s="535"/>
    </row>
    <row r="5" spans="1:14">
      <c r="A5" s="517"/>
      <c r="B5" s="518"/>
      <c r="C5" s="519"/>
      <c r="D5" s="519"/>
      <c r="E5" s="520"/>
      <c r="F5" s="11"/>
      <c r="G5" s="521"/>
      <c r="H5" s="526"/>
      <c r="I5" s="527"/>
      <c r="J5" s="11"/>
      <c r="K5" s="529"/>
      <c r="L5" s="531"/>
      <c r="M5" s="525"/>
      <c r="N5" s="535"/>
    </row>
    <row r="6" spans="1:14">
      <c r="A6" s="517"/>
      <c r="B6" s="518"/>
      <c r="C6" s="519"/>
      <c r="D6" s="519"/>
      <c r="E6" s="520"/>
      <c r="F6" s="11"/>
      <c r="G6" s="521"/>
      <c r="H6" s="526"/>
      <c r="I6" s="527"/>
      <c r="J6" s="11"/>
      <c r="K6" s="529"/>
      <c r="L6" s="531"/>
      <c r="M6" s="525"/>
      <c r="N6" s="535"/>
    </row>
    <row r="7" spans="1:14">
      <c r="A7" s="513" t="s">
        <v>55</v>
      </c>
      <c r="B7" s="512" t="s">
        <v>56</v>
      </c>
      <c r="C7" s="512" t="s">
        <v>57</v>
      </c>
      <c r="D7" s="512" t="s">
        <v>58</v>
      </c>
      <c r="E7" s="508" t="s">
        <v>156</v>
      </c>
      <c r="F7" s="11"/>
      <c r="G7" s="524" t="s">
        <v>157</v>
      </c>
      <c r="H7" s="537" t="s">
        <v>33</v>
      </c>
      <c r="I7" s="538" t="s">
        <v>33</v>
      </c>
      <c r="J7" s="11"/>
      <c r="K7" s="530" t="s">
        <v>70</v>
      </c>
      <c r="L7" s="533" t="s">
        <v>64</v>
      </c>
      <c r="M7" s="522" t="s">
        <v>5158</v>
      </c>
      <c r="N7" s="536"/>
    </row>
    <row r="8" spans="1:14">
      <c r="A8" s="513"/>
      <c r="B8" s="512"/>
      <c r="C8" s="512"/>
      <c r="D8" s="512"/>
      <c r="E8" s="508"/>
      <c r="F8" s="11"/>
      <c r="G8" s="524"/>
      <c r="H8" s="533"/>
      <c r="I8" s="539"/>
      <c r="J8" s="11"/>
      <c r="K8" s="530"/>
      <c r="L8" s="533"/>
      <c r="M8" s="523"/>
      <c r="N8" s="536"/>
    </row>
    <row r="9" spans="1:14">
      <c r="A9" s="513"/>
      <c r="B9" s="512"/>
      <c r="C9" s="512"/>
      <c r="D9" s="512"/>
      <c r="E9" s="508"/>
      <c r="F9" s="11"/>
      <c r="G9" s="524"/>
      <c r="H9" s="533"/>
      <c r="I9" s="539"/>
      <c r="J9" s="11"/>
      <c r="K9" s="530"/>
      <c r="L9" s="533"/>
      <c r="M9" s="523"/>
      <c r="N9" s="536"/>
    </row>
    <row r="10" spans="1:14">
      <c r="A10" s="513"/>
      <c r="B10" s="512"/>
      <c r="C10" s="512"/>
      <c r="D10" s="512"/>
      <c r="E10" s="508"/>
      <c r="F10" s="11"/>
      <c r="G10" s="524"/>
      <c r="H10" s="533"/>
      <c r="I10" s="539"/>
      <c r="J10" s="11"/>
      <c r="K10" s="530"/>
      <c r="L10" s="533"/>
      <c r="M10" s="523"/>
      <c r="N10" s="536"/>
    </row>
    <row r="11" spans="1:14">
      <c r="A11" s="517" t="s">
        <v>158</v>
      </c>
      <c r="B11" s="518" t="s">
        <v>56</v>
      </c>
      <c r="C11" s="519" t="s">
        <v>159</v>
      </c>
      <c r="D11" s="519" t="s">
        <v>76</v>
      </c>
      <c r="E11" s="520" t="s">
        <v>160</v>
      </c>
      <c r="F11" s="11"/>
      <c r="G11" s="521" t="s">
        <v>161</v>
      </c>
      <c r="H11" s="526" t="s">
        <v>162</v>
      </c>
      <c r="I11" s="527" t="s">
        <v>163</v>
      </c>
      <c r="J11" s="11"/>
      <c r="K11" s="529" t="s">
        <v>63</v>
      </c>
      <c r="L11" s="531" t="s">
        <v>164</v>
      </c>
      <c r="M11" s="525" t="s">
        <v>5223</v>
      </c>
      <c r="N11" s="535"/>
    </row>
    <row r="12" spans="1:14">
      <c r="A12" s="517"/>
      <c r="B12" s="518"/>
      <c r="C12" s="519"/>
      <c r="D12" s="519"/>
      <c r="E12" s="520"/>
      <c r="F12" s="11"/>
      <c r="G12" s="521"/>
      <c r="H12" s="526"/>
      <c r="I12" s="527"/>
      <c r="J12" s="11"/>
      <c r="K12" s="529"/>
      <c r="L12" s="531"/>
      <c r="M12" s="525"/>
      <c r="N12" s="535"/>
    </row>
    <row r="13" spans="1:14">
      <c r="A13" s="517"/>
      <c r="B13" s="518"/>
      <c r="C13" s="519"/>
      <c r="D13" s="519"/>
      <c r="E13" s="520"/>
      <c r="F13" s="11"/>
      <c r="G13" s="521"/>
      <c r="H13" s="526"/>
      <c r="I13" s="527"/>
      <c r="J13" s="11"/>
      <c r="K13" s="529"/>
      <c r="L13" s="531"/>
      <c r="M13" s="525"/>
      <c r="N13" s="535"/>
    </row>
    <row r="14" spans="1:14" ht="75">
      <c r="A14" s="56" t="s">
        <v>165</v>
      </c>
      <c r="B14" s="50" t="s">
        <v>166</v>
      </c>
      <c r="C14" s="50" t="s">
        <v>167</v>
      </c>
      <c r="D14" s="50" t="s">
        <v>168</v>
      </c>
      <c r="E14" s="87" t="s">
        <v>169</v>
      </c>
      <c r="F14" s="11"/>
      <c r="G14" s="99" t="s">
        <v>33</v>
      </c>
      <c r="H14" s="96" t="s">
        <v>33</v>
      </c>
      <c r="I14" s="100" t="s">
        <v>33</v>
      </c>
      <c r="J14" s="11"/>
      <c r="K14" s="305" t="s">
        <v>170</v>
      </c>
      <c r="L14" s="264" t="s">
        <v>171</v>
      </c>
      <c r="M14" s="290" t="s">
        <v>5156</v>
      </c>
      <c r="N14" s="295"/>
    </row>
    <row r="15" spans="1:14" ht="45">
      <c r="A15" s="54" t="s">
        <v>173</v>
      </c>
      <c r="B15" s="49" t="s">
        <v>166</v>
      </c>
      <c r="C15" s="49" t="s">
        <v>174</v>
      </c>
      <c r="D15" s="49" t="s">
        <v>168</v>
      </c>
      <c r="E15" s="55" t="s">
        <v>175</v>
      </c>
      <c r="F15" s="11"/>
      <c r="G15" s="74" t="s">
        <v>33</v>
      </c>
      <c r="H15" s="66" t="s">
        <v>33</v>
      </c>
      <c r="I15" s="75" t="s">
        <v>33</v>
      </c>
      <c r="J15" s="11"/>
      <c r="K15" s="298" t="s">
        <v>176</v>
      </c>
      <c r="L15" s="278" t="s">
        <v>177</v>
      </c>
      <c r="M15" s="277" t="s">
        <v>5157</v>
      </c>
      <c r="N15" s="297"/>
    </row>
    <row r="16" spans="1:14" ht="75">
      <c r="A16" s="56" t="s">
        <v>178</v>
      </c>
      <c r="B16" s="50" t="s">
        <v>179</v>
      </c>
      <c r="C16" s="50" t="s">
        <v>180</v>
      </c>
      <c r="D16" s="50" t="s">
        <v>168</v>
      </c>
      <c r="E16" s="87" t="s">
        <v>181</v>
      </c>
      <c r="F16" s="11"/>
      <c r="G16" s="56" t="s">
        <v>182</v>
      </c>
      <c r="H16" s="51" t="s">
        <v>183</v>
      </c>
      <c r="I16" s="57" t="s">
        <v>184</v>
      </c>
      <c r="J16" s="11"/>
      <c r="K16" s="294" t="s">
        <v>63</v>
      </c>
      <c r="L16" s="259" t="s">
        <v>185</v>
      </c>
      <c r="M16" s="261" t="s">
        <v>186</v>
      </c>
      <c r="N16" s="306"/>
    </row>
    <row r="17" spans="1:14" ht="75">
      <c r="A17" s="54" t="s">
        <v>187</v>
      </c>
      <c r="B17" s="49" t="s">
        <v>188</v>
      </c>
      <c r="C17" s="49" t="s">
        <v>189</v>
      </c>
      <c r="D17" s="49" t="s">
        <v>168</v>
      </c>
      <c r="E17" s="55" t="s">
        <v>190</v>
      </c>
      <c r="F17" s="11"/>
      <c r="G17" s="74" t="s">
        <v>33</v>
      </c>
      <c r="H17" s="66" t="s">
        <v>33</v>
      </c>
      <c r="I17" s="75" t="s">
        <v>33</v>
      </c>
      <c r="J17" s="11"/>
      <c r="K17" s="296" t="s">
        <v>70</v>
      </c>
      <c r="L17" s="91" t="s">
        <v>191</v>
      </c>
      <c r="M17" s="145" t="s">
        <v>5160</v>
      </c>
      <c r="N17" s="307"/>
    </row>
    <row r="18" spans="1:14" ht="195.75" thickBot="1">
      <c r="A18" s="92" t="s">
        <v>192</v>
      </c>
      <c r="B18" s="93" t="s">
        <v>193</v>
      </c>
      <c r="C18" s="93" t="s">
        <v>194</v>
      </c>
      <c r="D18" s="93" t="s">
        <v>76</v>
      </c>
      <c r="E18" s="155" t="s">
        <v>195</v>
      </c>
      <c r="F18" s="11"/>
      <c r="G18" s="101" t="s">
        <v>33</v>
      </c>
      <c r="H18" s="102" t="s">
        <v>33</v>
      </c>
      <c r="I18" s="103" t="s">
        <v>33</v>
      </c>
      <c r="J18" s="11"/>
      <c r="K18" s="308" t="s">
        <v>70</v>
      </c>
      <c r="L18" s="309" t="s">
        <v>196</v>
      </c>
      <c r="M18" s="311" t="s">
        <v>5273</v>
      </c>
      <c r="N18" s="310" t="s">
        <v>5153</v>
      </c>
    </row>
  </sheetData>
  <autoFilter ref="A2:N18"/>
  <mergeCells count="39">
    <mergeCell ref="B3:B6"/>
    <mergeCell ref="K1:N1"/>
    <mergeCell ref="K3:K6"/>
    <mergeCell ref="K7:K10"/>
    <mergeCell ref="K11:K13"/>
    <mergeCell ref="L11:L13"/>
    <mergeCell ref="L3:L6"/>
    <mergeCell ref="L7:L10"/>
    <mergeCell ref="M3:M6"/>
    <mergeCell ref="N3:N6"/>
    <mergeCell ref="N7:N10"/>
    <mergeCell ref="N11:N13"/>
    <mergeCell ref="H3:H6"/>
    <mergeCell ref="I3:I6"/>
    <mergeCell ref="H7:H10"/>
    <mergeCell ref="I7:I10"/>
    <mergeCell ref="M7:M10"/>
    <mergeCell ref="E7:E10"/>
    <mergeCell ref="G3:G6"/>
    <mergeCell ref="G7:G10"/>
    <mergeCell ref="M11:M13"/>
    <mergeCell ref="H11:H13"/>
    <mergeCell ref="I11:I13"/>
    <mergeCell ref="A1:E1"/>
    <mergeCell ref="G1:I1"/>
    <mergeCell ref="A11:A13"/>
    <mergeCell ref="B11:B13"/>
    <mergeCell ref="C11:C13"/>
    <mergeCell ref="D11:D13"/>
    <mergeCell ref="E3:E6"/>
    <mergeCell ref="G11:G13"/>
    <mergeCell ref="E11:E13"/>
    <mergeCell ref="A3:A6"/>
    <mergeCell ref="A7:A10"/>
    <mergeCell ref="B7:B10"/>
    <mergeCell ref="C7:C10"/>
    <mergeCell ref="D7:D10"/>
    <mergeCell ref="D3:D6"/>
    <mergeCell ref="C3:C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N7"/>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75" thickBot="1">
      <c r="A2" s="52" t="s">
        <v>45</v>
      </c>
      <c r="B2" s="48" t="s">
        <v>46</v>
      </c>
      <c r="C2" s="48" t="s">
        <v>47</v>
      </c>
      <c r="D2" s="48" t="s">
        <v>48</v>
      </c>
      <c r="E2" s="53" t="s">
        <v>49</v>
      </c>
      <c r="F2" s="9"/>
      <c r="G2" s="68" t="s">
        <v>50</v>
      </c>
      <c r="H2" s="61" t="s">
        <v>51</v>
      </c>
      <c r="I2" s="69" t="s">
        <v>52</v>
      </c>
      <c r="J2" s="9"/>
      <c r="K2" s="303" t="s">
        <v>197</v>
      </c>
      <c r="L2" s="152" t="s">
        <v>54</v>
      </c>
      <c r="M2" s="153" t="s">
        <v>5147</v>
      </c>
      <c r="N2" s="304" t="s">
        <v>5152</v>
      </c>
    </row>
    <row r="3" spans="1:14">
      <c r="A3" s="517" t="s">
        <v>55</v>
      </c>
      <c r="B3" s="519" t="s">
        <v>56</v>
      </c>
      <c r="C3" s="519" t="s">
        <v>57</v>
      </c>
      <c r="D3" s="519" t="s">
        <v>58</v>
      </c>
      <c r="E3" s="520" t="s">
        <v>59</v>
      </c>
      <c r="F3" s="10"/>
      <c r="G3" s="521" t="s">
        <v>198</v>
      </c>
      <c r="H3" s="526" t="s">
        <v>61</v>
      </c>
      <c r="I3" s="542" t="s">
        <v>199</v>
      </c>
      <c r="J3" s="10"/>
      <c r="K3" s="528" t="s">
        <v>63</v>
      </c>
      <c r="L3" s="532" t="s">
        <v>64</v>
      </c>
      <c r="M3" s="534" t="s">
        <v>200</v>
      </c>
      <c r="N3" s="540"/>
    </row>
    <row r="4" spans="1:14">
      <c r="A4" s="517"/>
      <c r="B4" s="519"/>
      <c r="C4" s="519"/>
      <c r="D4" s="519"/>
      <c r="E4" s="520"/>
      <c r="F4" s="10"/>
      <c r="G4" s="521"/>
      <c r="H4" s="526"/>
      <c r="I4" s="542"/>
      <c r="J4" s="10"/>
      <c r="K4" s="529"/>
      <c r="L4" s="531"/>
      <c r="M4" s="525"/>
      <c r="N4" s="541"/>
    </row>
    <row r="5" spans="1:14">
      <c r="A5" s="517"/>
      <c r="B5" s="519"/>
      <c r="C5" s="519"/>
      <c r="D5" s="519"/>
      <c r="E5" s="520"/>
      <c r="F5" s="10"/>
      <c r="G5" s="521"/>
      <c r="H5" s="526"/>
      <c r="I5" s="542"/>
      <c r="J5" s="10"/>
      <c r="K5" s="529"/>
      <c r="L5" s="531"/>
      <c r="M5" s="525"/>
      <c r="N5" s="541"/>
    </row>
    <row r="6" spans="1:14">
      <c r="A6" s="517"/>
      <c r="B6" s="519"/>
      <c r="C6" s="519"/>
      <c r="D6" s="519"/>
      <c r="E6" s="520"/>
      <c r="F6" s="10"/>
      <c r="G6" s="521"/>
      <c r="H6" s="526"/>
      <c r="I6" s="542"/>
      <c r="J6" s="10"/>
      <c r="K6" s="529"/>
      <c r="L6" s="531"/>
      <c r="M6" s="525"/>
      <c r="N6" s="541"/>
    </row>
    <row r="7" spans="1:14" ht="135.75" thickBot="1">
      <c r="A7" s="107" t="s">
        <v>66</v>
      </c>
      <c r="B7" s="108" t="s">
        <v>56</v>
      </c>
      <c r="C7" s="109" t="s">
        <v>67</v>
      </c>
      <c r="D7" s="109" t="s">
        <v>58</v>
      </c>
      <c r="E7" s="110" t="s">
        <v>68</v>
      </c>
      <c r="F7" s="10"/>
      <c r="G7" s="111" t="s">
        <v>201</v>
      </c>
      <c r="H7" s="112" t="s">
        <v>115</v>
      </c>
      <c r="I7" s="113" t="s">
        <v>202</v>
      </c>
      <c r="J7" s="10"/>
      <c r="K7" s="312" t="s">
        <v>63</v>
      </c>
      <c r="L7" s="313" t="s">
        <v>71</v>
      </c>
      <c r="M7" s="315" t="s">
        <v>203</v>
      </c>
      <c r="N7" s="314"/>
    </row>
  </sheetData>
  <autoFilter ref="A2:N2"/>
  <mergeCells count="15">
    <mergeCell ref="A1:E1"/>
    <mergeCell ref="G1:I1"/>
    <mergeCell ref="L3:L6"/>
    <mergeCell ref="K1:N1"/>
    <mergeCell ref="K3:K6"/>
    <mergeCell ref="N3:N6"/>
    <mergeCell ref="D3:D6"/>
    <mergeCell ref="C3:C6"/>
    <mergeCell ref="B3:B6"/>
    <mergeCell ref="A3:A6"/>
    <mergeCell ref="M3:M6"/>
    <mergeCell ref="G3:G6"/>
    <mergeCell ref="E3:E6"/>
    <mergeCell ref="H3:H6"/>
    <mergeCell ref="I3:I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10"/>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9"/>
      <c r="G2" s="68" t="s">
        <v>50</v>
      </c>
      <c r="H2" s="61" t="s">
        <v>51</v>
      </c>
      <c r="I2" s="69" t="s">
        <v>52</v>
      </c>
      <c r="J2" s="9"/>
      <c r="K2" s="292" t="s">
        <v>204</v>
      </c>
      <c r="L2" s="144" t="s">
        <v>54</v>
      </c>
      <c r="M2" s="80" t="s">
        <v>5147</v>
      </c>
      <c r="N2" s="293" t="s">
        <v>5152</v>
      </c>
    </row>
    <row r="3" spans="1:14">
      <c r="A3" s="517" t="s">
        <v>55</v>
      </c>
      <c r="B3" s="519" t="s">
        <v>56</v>
      </c>
      <c r="C3" s="519" t="s">
        <v>57</v>
      </c>
      <c r="D3" s="519" t="s">
        <v>58</v>
      </c>
      <c r="E3" s="520" t="s">
        <v>59</v>
      </c>
      <c r="F3" s="10"/>
      <c r="G3" s="521" t="s">
        <v>205</v>
      </c>
      <c r="H3" s="526" t="s">
        <v>61</v>
      </c>
      <c r="I3" s="527" t="s">
        <v>199</v>
      </c>
      <c r="J3" s="10"/>
      <c r="K3" s="529" t="s">
        <v>63</v>
      </c>
      <c r="L3" s="531" t="s">
        <v>64</v>
      </c>
      <c r="M3" s="525" t="s">
        <v>206</v>
      </c>
      <c r="N3" s="541"/>
    </row>
    <row r="4" spans="1:14">
      <c r="A4" s="517"/>
      <c r="B4" s="519"/>
      <c r="C4" s="519"/>
      <c r="D4" s="519"/>
      <c r="E4" s="520"/>
      <c r="F4" s="10"/>
      <c r="G4" s="521"/>
      <c r="H4" s="526"/>
      <c r="I4" s="527"/>
      <c r="J4" s="10"/>
      <c r="K4" s="529"/>
      <c r="L4" s="531"/>
      <c r="M4" s="525"/>
      <c r="N4" s="541"/>
    </row>
    <row r="5" spans="1:14">
      <c r="A5" s="517"/>
      <c r="B5" s="519"/>
      <c r="C5" s="519"/>
      <c r="D5" s="519"/>
      <c r="E5" s="520"/>
      <c r="F5" s="10"/>
      <c r="G5" s="521"/>
      <c r="H5" s="526"/>
      <c r="I5" s="527"/>
      <c r="J5" s="10"/>
      <c r="K5" s="529"/>
      <c r="L5" s="531"/>
      <c r="M5" s="525"/>
      <c r="N5" s="541"/>
    </row>
    <row r="6" spans="1:14">
      <c r="A6" s="517"/>
      <c r="B6" s="519"/>
      <c r="C6" s="519"/>
      <c r="D6" s="519"/>
      <c r="E6" s="520"/>
      <c r="F6" s="10"/>
      <c r="G6" s="521"/>
      <c r="H6" s="526"/>
      <c r="I6" s="527"/>
      <c r="J6" s="10"/>
      <c r="K6" s="529"/>
      <c r="L6" s="531"/>
      <c r="M6" s="525"/>
      <c r="N6" s="541"/>
    </row>
    <row r="7" spans="1:14">
      <c r="A7" s="543" t="s">
        <v>148</v>
      </c>
      <c r="B7" s="545" t="s">
        <v>56</v>
      </c>
      <c r="C7" s="548" t="s">
        <v>149</v>
      </c>
      <c r="D7" s="533" t="s">
        <v>58</v>
      </c>
      <c r="E7" s="551" t="s">
        <v>150</v>
      </c>
      <c r="F7" s="11"/>
      <c r="G7" s="524" t="s">
        <v>207</v>
      </c>
      <c r="H7" s="523" t="s">
        <v>152</v>
      </c>
      <c r="I7" s="551" t="s">
        <v>208</v>
      </c>
      <c r="J7" s="11"/>
      <c r="K7" s="530" t="s">
        <v>63</v>
      </c>
      <c r="L7" s="533" t="s">
        <v>154</v>
      </c>
      <c r="M7" s="523" t="s">
        <v>209</v>
      </c>
      <c r="N7" s="536"/>
    </row>
    <row r="8" spans="1:14">
      <c r="A8" s="543"/>
      <c r="B8" s="546"/>
      <c r="C8" s="548"/>
      <c r="D8" s="533"/>
      <c r="E8" s="551"/>
      <c r="F8" s="11"/>
      <c r="G8" s="524"/>
      <c r="H8" s="523"/>
      <c r="I8" s="551"/>
      <c r="J8" s="11"/>
      <c r="K8" s="530"/>
      <c r="L8" s="533"/>
      <c r="M8" s="523"/>
      <c r="N8" s="536"/>
    </row>
    <row r="9" spans="1:14">
      <c r="A9" s="543"/>
      <c r="B9" s="546"/>
      <c r="C9" s="548"/>
      <c r="D9" s="533"/>
      <c r="E9" s="551"/>
      <c r="F9" s="11"/>
      <c r="G9" s="524"/>
      <c r="H9" s="523"/>
      <c r="I9" s="551"/>
      <c r="J9" s="11"/>
      <c r="K9" s="530"/>
      <c r="L9" s="533"/>
      <c r="M9" s="523"/>
      <c r="N9" s="536"/>
    </row>
    <row r="10" spans="1:14" ht="15.75" thickBot="1">
      <c r="A10" s="544"/>
      <c r="B10" s="547"/>
      <c r="C10" s="549"/>
      <c r="D10" s="550"/>
      <c r="E10" s="552"/>
      <c r="F10" s="11"/>
      <c r="G10" s="555"/>
      <c r="H10" s="557"/>
      <c r="I10" s="552"/>
      <c r="J10" s="11"/>
      <c r="K10" s="554"/>
      <c r="L10" s="558"/>
      <c r="M10" s="556"/>
      <c r="N10" s="553"/>
    </row>
  </sheetData>
  <autoFilter ref="A2:N2"/>
  <mergeCells count="27">
    <mergeCell ref="N7:N10"/>
    <mergeCell ref="K1:N1"/>
    <mergeCell ref="K3:K6"/>
    <mergeCell ref="K7:K10"/>
    <mergeCell ref="G7:G10"/>
    <mergeCell ref="M7:M10"/>
    <mergeCell ref="G1:I1"/>
    <mergeCell ref="H7:H10"/>
    <mergeCell ref="I7:I10"/>
    <mergeCell ref="L7:L10"/>
    <mergeCell ref="N3:N6"/>
    <mergeCell ref="G3:G6"/>
    <mergeCell ref="M3:M6"/>
    <mergeCell ref="H3:H6"/>
    <mergeCell ref="I3:I6"/>
    <mergeCell ref="L3:L6"/>
    <mergeCell ref="A1:E1"/>
    <mergeCell ref="A7:A10"/>
    <mergeCell ref="B7:B10"/>
    <mergeCell ref="C7:C10"/>
    <mergeCell ref="D7:D10"/>
    <mergeCell ref="E7:E10"/>
    <mergeCell ref="A3:A6"/>
    <mergeCell ref="B3:B6"/>
    <mergeCell ref="C3:C6"/>
    <mergeCell ref="D3:D6"/>
    <mergeCell ref="E3:E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2"/>
  <sheetViews>
    <sheetView zoomScaleNormal="100" workbookViewId="0"/>
  </sheetViews>
  <sheetFormatPr defaultRowHeight="15"/>
  <cols>
    <col min="1" max="1" width="167.85546875" customWidth="1"/>
  </cols>
  <sheetData>
    <row r="1" spans="1:1" ht="274.5" thickBot="1">
      <c r="A1" s="20" t="s">
        <v>210</v>
      </c>
    </row>
    <row r="2" spans="1:1" ht="259.5" hidden="1" thickBot="1">
      <c r="A2" s="1" t="s">
        <v>211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N113"/>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3"/>
      <c r="G2" s="68" t="s">
        <v>50</v>
      </c>
      <c r="H2" s="61" t="s">
        <v>51</v>
      </c>
      <c r="I2" s="69" t="s">
        <v>52</v>
      </c>
      <c r="J2" s="14"/>
      <c r="K2" s="292" t="s">
        <v>53</v>
      </c>
      <c r="L2" s="144" t="s">
        <v>54</v>
      </c>
      <c r="M2" s="80" t="s">
        <v>5147</v>
      </c>
      <c r="N2" s="293" t="s">
        <v>5152</v>
      </c>
    </row>
    <row r="3" spans="1:14">
      <c r="A3" s="517" t="s">
        <v>55</v>
      </c>
      <c r="B3" s="519" t="s">
        <v>56</v>
      </c>
      <c r="C3" s="519" t="s">
        <v>57</v>
      </c>
      <c r="D3" s="519" t="s">
        <v>58</v>
      </c>
      <c r="E3" s="520" t="s">
        <v>212</v>
      </c>
      <c r="F3" s="11"/>
      <c r="G3" s="521" t="s">
        <v>60</v>
      </c>
      <c r="H3" s="526" t="s">
        <v>61</v>
      </c>
      <c r="I3" s="527" t="s">
        <v>62</v>
      </c>
      <c r="J3" s="12"/>
      <c r="K3" s="561" t="s">
        <v>63</v>
      </c>
      <c r="L3" s="564" t="s">
        <v>64</v>
      </c>
      <c r="M3" s="574" t="s">
        <v>65</v>
      </c>
      <c r="N3" s="535"/>
    </row>
    <row r="4" spans="1:14">
      <c r="A4" s="517"/>
      <c r="B4" s="519"/>
      <c r="C4" s="519"/>
      <c r="D4" s="519"/>
      <c r="E4" s="520"/>
      <c r="F4" s="11"/>
      <c r="G4" s="521"/>
      <c r="H4" s="526"/>
      <c r="I4" s="527"/>
      <c r="J4" s="12"/>
      <c r="K4" s="561"/>
      <c r="L4" s="564"/>
      <c r="M4" s="574"/>
      <c r="N4" s="535"/>
    </row>
    <row r="5" spans="1:14">
      <c r="A5" s="517"/>
      <c r="B5" s="519"/>
      <c r="C5" s="519"/>
      <c r="D5" s="519"/>
      <c r="E5" s="520"/>
      <c r="F5" s="11"/>
      <c r="G5" s="521"/>
      <c r="H5" s="526"/>
      <c r="I5" s="527"/>
      <c r="J5" s="12"/>
      <c r="K5" s="561"/>
      <c r="L5" s="564"/>
      <c r="M5" s="574"/>
      <c r="N5" s="535"/>
    </row>
    <row r="6" spans="1:14">
      <c r="A6" s="517"/>
      <c r="B6" s="519"/>
      <c r="C6" s="519"/>
      <c r="D6" s="519"/>
      <c r="E6" s="520"/>
      <c r="F6" s="11"/>
      <c r="G6" s="521"/>
      <c r="H6" s="526"/>
      <c r="I6" s="527"/>
      <c r="J6" s="12"/>
      <c r="K6" s="561"/>
      <c r="L6" s="564"/>
      <c r="M6" s="574"/>
      <c r="N6" s="535"/>
    </row>
    <row r="7" spans="1:14" ht="60">
      <c r="A7" s="56" t="s">
        <v>66</v>
      </c>
      <c r="B7" s="50" t="s">
        <v>56</v>
      </c>
      <c r="C7" s="50" t="s">
        <v>67</v>
      </c>
      <c r="D7" s="50" t="s">
        <v>58</v>
      </c>
      <c r="E7" s="57" t="s">
        <v>68</v>
      </c>
      <c r="F7" s="11"/>
      <c r="G7" s="56" t="s">
        <v>213</v>
      </c>
      <c r="H7" s="96" t="s">
        <v>33</v>
      </c>
      <c r="I7" s="100" t="s">
        <v>33</v>
      </c>
      <c r="J7" s="15"/>
      <c r="K7" s="294" t="s">
        <v>70</v>
      </c>
      <c r="L7" s="259" t="s">
        <v>71</v>
      </c>
      <c r="M7" s="261" t="s">
        <v>5158</v>
      </c>
      <c r="N7" s="295"/>
    </row>
    <row r="8" spans="1:14" ht="30">
      <c r="A8" s="54" t="s">
        <v>214</v>
      </c>
      <c r="B8" s="49" t="s">
        <v>56</v>
      </c>
      <c r="C8" s="49" t="s">
        <v>215</v>
      </c>
      <c r="D8" s="49" t="s">
        <v>58</v>
      </c>
      <c r="E8" s="55" t="s">
        <v>216</v>
      </c>
      <c r="F8" s="11"/>
      <c r="G8" s="70" t="s">
        <v>217</v>
      </c>
      <c r="H8" s="63" t="s">
        <v>218</v>
      </c>
      <c r="I8" s="71" t="s">
        <v>219</v>
      </c>
      <c r="J8" s="12"/>
      <c r="K8" s="316" t="s">
        <v>63</v>
      </c>
      <c r="L8" s="258" t="s">
        <v>220</v>
      </c>
      <c r="M8" s="260" t="s">
        <v>221</v>
      </c>
      <c r="N8" s="297"/>
    </row>
    <row r="9" spans="1:14" ht="60">
      <c r="A9" s="56" t="s">
        <v>222</v>
      </c>
      <c r="B9" s="50" t="s">
        <v>56</v>
      </c>
      <c r="C9" s="50" t="s">
        <v>223</v>
      </c>
      <c r="D9" s="50" t="s">
        <v>58</v>
      </c>
      <c r="E9" s="87" t="s">
        <v>224</v>
      </c>
      <c r="F9" s="11"/>
      <c r="G9" s="56" t="s">
        <v>225</v>
      </c>
      <c r="H9" s="51" t="s">
        <v>223</v>
      </c>
      <c r="I9" s="87" t="s">
        <v>226</v>
      </c>
      <c r="J9" s="15"/>
      <c r="K9" s="294" t="s">
        <v>63</v>
      </c>
      <c r="L9" s="259" t="s">
        <v>227</v>
      </c>
      <c r="M9" s="261" t="s">
        <v>228</v>
      </c>
      <c r="N9" s="295"/>
    </row>
    <row r="10" spans="1:14">
      <c r="A10" s="517" t="s">
        <v>229</v>
      </c>
      <c r="B10" s="519" t="s">
        <v>56</v>
      </c>
      <c r="C10" s="519" t="s">
        <v>230</v>
      </c>
      <c r="D10" s="519" t="s">
        <v>58</v>
      </c>
      <c r="E10" s="520" t="s">
        <v>231</v>
      </c>
      <c r="F10" s="11"/>
      <c r="G10" s="521" t="s">
        <v>232</v>
      </c>
      <c r="H10" s="526" t="s">
        <v>233</v>
      </c>
      <c r="I10" s="542" t="s">
        <v>234</v>
      </c>
      <c r="J10" s="12"/>
      <c r="K10" s="561" t="s">
        <v>63</v>
      </c>
      <c r="L10" s="564" t="s">
        <v>112</v>
      </c>
      <c r="M10" s="574" t="s">
        <v>235</v>
      </c>
      <c r="N10" s="535"/>
    </row>
    <row r="11" spans="1:14">
      <c r="A11" s="517"/>
      <c r="B11" s="519"/>
      <c r="C11" s="519"/>
      <c r="D11" s="519"/>
      <c r="E11" s="520"/>
      <c r="F11" s="11"/>
      <c r="G11" s="521"/>
      <c r="H11" s="526"/>
      <c r="I11" s="542"/>
      <c r="J11" s="12"/>
      <c r="K11" s="561"/>
      <c r="L11" s="564"/>
      <c r="M11" s="574"/>
      <c r="N11" s="535"/>
    </row>
    <row r="12" spans="1:14">
      <c r="A12" s="517"/>
      <c r="B12" s="519"/>
      <c r="C12" s="519"/>
      <c r="D12" s="519"/>
      <c r="E12" s="520"/>
      <c r="F12" s="11"/>
      <c r="G12" s="521"/>
      <c r="H12" s="526"/>
      <c r="I12" s="542"/>
      <c r="J12" s="12"/>
      <c r="K12" s="561"/>
      <c r="L12" s="564"/>
      <c r="M12" s="574"/>
      <c r="N12" s="535"/>
    </row>
    <row r="13" spans="1:14">
      <c r="A13" s="517"/>
      <c r="B13" s="519"/>
      <c r="C13" s="519"/>
      <c r="D13" s="519"/>
      <c r="E13" s="520"/>
      <c r="F13" s="11"/>
      <c r="G13" s="521"/>
      <c r="H13" s="526"/>
      <c r="I13" s="542"/>
      <c r="J13" s="12"/>
      <c r="K13" s="561"/>
      <c r="L13" s="564"/>
      <c r="M13" s="574"/>
      <c r="N13" s="535"/>
    </row>
    <row r="14" spans="1:14">
      <c r="A14" s="513" t="s">
        <v>73</v>
      </c>
      <c r="B14" s="512" t="s">
        <v>74</v>
      </c>
      <c r="C14" s="512" t="s">
        <v>75</v>
      </c>
      <c r="D14" s="512" t="s">
        <v>76</v>
      </c>
      <c r="E14" s="508" t="s">
        <v>236</v>
      </c>
      <c r="F14" s="11"/>
      <c r="G14" s="587" t="s">
        <v>33</v>
      </c>
      <c r="H14" s="537" t="s">
        <v>33</v>
      </c>
      <c r="I14" s="538" t="s">
        <v>33</v>
      </c>
      <c r="J14" s="16"/>
      <c r="K14" s="562" t="s">
        <v>70</v>
      </c>
      <c r="L14" s="586" t="s">
        <v>78</v>
      </c>
      <c r="M14" s="575" t="s">
        <v>5161</v>
      </c>
      <c r="N14" s="565"/>
    </row>
    <row r="15" spans="1:14">
      <c r="A15" s="513"/>
      <c r="B15" s="512"/>
      <c r="C15" s="512"/>
      <c r="D15" s="512"/>
      <c r="E15" s="508"/>
      <c r="F15" s="11"/>
      <c r="G15" s="587"/>
      <c r="H15" s="537"/>
      <c r="I15" s="538"/>
      <c r="J15" s="12"/>
      <c r="K15" s="562"/>
      <c r="L15" s="586"/>
      <c r="M15" s="575"/>
      <c r="N15" s="565"/>
    </row>
    <row r="16" spans="1:14">
      <c r="A16" s="513"/>
      <c r="B16" s="512"/>
      <c r="C16" s="512"/>
      <c r="D16" s="512"/>
      <c r="E16" s="508"/>
      <c r="F16" s="11"/>
      <c r="G16" s="587"/>
      <c r="H16" s="537"/>
      <c r="I16" s="538"/>
      <c r="J16" s="12"/>
      <c r="K16" s="562"/>
      <c r="L16" s="586"/>
      <c r="M16" s="575"/>
      <c r="N16" s="565"/>
    </row>
    <row r="17" spans="1:14">
      <c r="A17" s="517" t="s">
        <v>81</v>
      </c>
      <c r="B17" s="519" t="s">
        <v>74</v>
      </c>
      <c r="C17" s="519" t="s">
        <v>82</v>
      </c>
      <c r="D17" s="519" t="s">
        <v>76</v>
      </c>
      <c r="E17" s="520" t="s">
        <v>237</v>
      </c>
      <c r="F17" s="11"/>
      <c r="G17" s="577" t="s">
        <v>33</v>
      </c>
      <c r="H17" s="589" t="s">
        <v>33</v>
      </c>
      <c r="I17" s="590" t="s">
        <v>33</v>
      </c>
      <c r="J17" s="17"/>
      <c r="K17" s="563" t="s">
        <v>63</v>
      </c>
      <c r="L17" s="571" t="s">
        <v>84</v>
      </c>
      <c r="M17" s="576" t="s">
        <v>5224</v>
      </c>
      <c r="N17" s="566"/>
    </row>
    <row r="18" spans="1:14">
      <c r="A18" s="517"/>
      <c r="B18" s="519"/>
      <c r="C18" s="519"/>
      <c r="D18" s="519"/>
      <c r="E18" s="520"/>
      <c r="F18" s="11"/>
      <c r="G18" s="577"/>
      <c r="H18" s="589"/>
      <c r="I18" s="590"/>
      <c r="J18" s="15"/>
      <c r="K18" s="563"/>
      <c r="L18" s="571"/>
      <c r="M18" s="576"/>
      <c r="N18" s="566"/>
    </row>
    <row r="19" spans="1:14">
      <c r="A19" s="517"/>
      <c r="B19" s="519"/>
      <c r="C19" s="519"/>
      <c r="D19" s="519"/>
      <c r="E19" s="520"/>
      <c r="F19" s="11"/>
      <c r="G19" s="577"/>
      <c r="H19" s="589"/>
      <c r="I19" s="590"/>
      <c r="J19" s="15"/>
      <c r="K19" s="563"/>
      <c r="L19" s="571"/>
      <c r="M19" s="576"/>
      <c r="N19" s="566"/>
    </row>
    <row r="20" spans="1:14">
      <c r="A20" s="517"/>
      <c r="B20" s="519"/>
      <c r="C20" s="519"/>
      <c r="D20" s="519"/>
      <c r="E20" s="520"/>
      <c r="F20" s="11"/>
      <c r="G20" s="577"/>
      <c r="H20" s="589"/>
      <c r="I20" s="590"/>
      <c r="J20" s="15"/>
      <c r="K20" s="563"/>
      <c r="L20" s="571"/>
      <c r="M20" s="576"/>
      <c r="N20" s="566"/>
    </row>
    <row r="21" spans="1:14">
      <c r="A21" s="517"/>
      <c r="B21" s="519"/>
      <c r="C21" s="519"/>
      <c r="D21" s="519"/>
      <c r="E21" s="520"/>
      <c r="F21" s="11"/>
      <c r="G21" s="577"/>
      <c r="H21" s="589"/>
      <c r="I21" s="590"/>
      <c r="J21" s="15"/>
      <c r="K21" s="563"/>
      <c r="L21" s="571"/>
      <c r="M21" s="576"/>
      <c r="N21" s="566"/>
    </row>
    <row r="22" spans="1:14">
      <c r="A22" s="517"/>
      <c r="B22" s="519"/>
      <c r="C22" s="519"/>
      <c r="D22" s="519"/>
      <c r="E22" s="520"/>
      <c r="F22" s="11"/>
      <c r="G22" s="577"/>
      <c r="H22" s="589"/>
      <c r="I22" s="590"/>
      <c r="J22" s="15"/>
      <c r="K22" s="563"/>
      <c r="L22" s="571"/>
      <c r="M22" s="576"/>
      <c r="N22" s="566"/>
    </row>
    <row r="23" spans="1:14">
      <c r="A23" s="517"/>
      <c r="B23" s="519"/>
      <c r="C23" s="519"/>
      <c r="D23" s="519"/>
      <c r="E23" s="520"/>
      <c r="F23" s="11"/>
      <c r="G23" s="577"/>
      <c r="H23" s="589"/>
      <c r="I23" s="590"/>
      <c r="J23" s="15"/>
      <c r="K23" s="563"/>
      <c r="L23" s="571"/>
      <c r="M23" s="576"/>
      <c r="N23" s="566"/>
    </row>
    <row r="24" spans="1:14">
      <c r="A24" s="513" t="s">
        <v>85</v>
      </c>
      <c r="B24" s="512" t="s">
        <v>86</v>
      </c>
      <c r="C24" s="512" t="s">
        <v>87</v>
      </c>
      <c r="D24" s="512" t="s">
        <v>88</v>
      </c>
      <c r="E24" s="508" t="s">
        <v>89</v>
      </c>
      <c r="F24" s="11"/>
      <c r="G24" s="524" t="s">
        <v>90</v>
      </c>
      <c r="H24" s="523" t="s">
        <v>91</v>
      </c>
      <c r="I24" s="551" t="s">
        <v>92</v>
      </c>
      <c r="J24" s="12"/>
      <c r="K24" s="530" t="s">
        <v>63</v>
      </c>
      <c r="L24" s="533" t="s">
        <v>93</v>
      </c>
      <c r="M24" s="523" t="s">
        <v>94</v>
      </c>
      <c r="N24" s="536"/>
    </row>
    <row r="25" spans="1:14">
      <c r="A25" s="513"/>
      <c r="B25" s="512"/>
      <c r="C25" s="512"/>
      <c r="D25" s="512"/>
      <c r="E25" s="508"/>
      <c r="F25" s="11"/>
      <c r="G25" s="524"/>
      <c r="H25" s="523"/>
      <c r="I25" s="551"/>
      <c r="J25" s="12"/>
      <c r="K25" s="530"/>
      <c r="L25" s="533"/>
      <c r="M25" s="523"/>
      <c r="N25" s="536"/>
    </row>
    <row r="26" spans="1:14">
      <c r="A26" s="513"/>
      <c r="B26" s="512"/>
      <c r="C26" s="512"/>
      <c r="D26" s="512"/>
      <c r="E26" s="508"/>
      <c r="F26" s="11"/>
      <c r="G26" s="524"/>
      <c r="H26" s="523"/>
      <c r="I26" s="551"/>
      <c r="J26" s="12"/>
      <c r="K26" s="530"/>
      <c r="L26" s="533"/>
      <c r="M26" s="523"/>
      <c r="N26" s="536"/>
    </row>
    <row r="27" spans="1:14">
      <c r="A27" s="517" t="s">
        <v>95</v>
      </c>
      <c r="B27" s="519" t="s">
        <v>86</v>
      </c>
      <c r="C27" s="519" t="s">
        <v>96</v>
      </c>
      <c r="D27" s="519" t="s">
        <v>97</v>
      </c>
      <c r="E27" s="520" t="s">
        <v>98</v>
      </c>
      <c r="F27" s="11"/>
      <c r="G27" s="579" t="s">
        <v>99</v>
      </c>
      <c r="H27" s="591" t="s">
        <v>100</v>
      </c>
      <c r="I27" s="572" t="s">
        <v>101</v>
      </c>
      <c r="J27" s="15"/>
      <c r="K27" s="578" t="s">
        <v>63</v>
      </c>
      <c r="L27" s="569" t="s">
        <v>102</v>
      </c>
      <c r="M27" s="588" t="s">
        <v>103</v>
      </c>
      <c r="N27" s="559"/>
    </row>
    <row r="28" spans="1:14">
      <c r="A28" s="517"/>
      <c r="B28" s="519"/>
      <c r="C28" s="519"/>
      <c r="D28" s="519"/>
      <c r="E28" s="520"/>
      <c r="F28" s="11"/>
      <c r="G28" s="579"/>
      <c r="H28" s="591"/>
      <c r="I28" s="572"/>
      <c r="J28" s="15"/>
      <c r="K28" s="578"/>
      <c r="L28" s="569"/>
      <c r="M28" s="588"/>
      <c r="N28" s="559"/>
    </row>
    <row r="29" spans="1:14">
      <c r="A29" s="517"/>
      <c r="B29" s="519"/>
      <c r="C29" s="519"/>
      <c r="D29" s="519"/>
      <c r="E29" s="520"/>
      <c r="F29" s="11"/>
      <c r="G29" s="579"/>
      <c r="H29" s="591"/>
      <c r="I29" s="572"/>
      <c r="J29" s="15"/>
      <c r="K29" s="578"/>
      <c r="L29" s="569"/>
      <c r="M29" s="588"/>
      <c r="N29" s="559"/>
    </row>
    <row r="30" spans="1:14">
      <c r="A30" s="517"/>
      <c r="B30" s="519"/>
      <c r="C30" s="519"/>
      <c r="D30" s="519"/>
      <c r="E30" s="520"/>
      <c r="F30" s="11"/>
      <c r="G30" s="579"/>
      <c r="H30" s="591"/>
      <c r="I30" s="572"/>
      <c r="J30" s="15"/>
      <c r="K30" s="578"/>
      <c r="L30" s="569"/>
      <c r="M30" s="588"/>
      <c r="N30" s="559"/>
    </row>
    <row r="31" spans="1:14">
      <c r="A31" s="513" t="s">
        <v>104</v>
      </c>
      <c r="B31" s="512" t="s">
        <v>86</v>
      </c>
      <c r="C31" s="512" t="s">
        <v>105</v>
      </c>
      <c r="D31" s="512" t="s">
        <v>97</v>
      </c>
      <c r="E31" s="508" t="s">
        <v>106</v>
      </c>
      <c r="F31" s="11"/>
      <c r="G31" s="524" t="s">
        <v>107</v>
      </c>
      <c r="H31" s="523" t="s">
        <v>108</v>
      </c>
      <c r="I31" s="573" t="s">
        <v>109</v>
      </c>
      <c r="J31" s="12"/>
      <c r="K31" s="530" t="s">
        <v>63</v>
      </c>
      <c r="L31" s="533" t="s">
        <v>110</v>
      </c>
      <c r="M31" s="523" t="s">
        <v>111</v>
      </c>
      <c r="N31" s="536"/>
    </row>
    <row r="32" spans="1:14">
      <c r="A32" s="513"/>
      <c r="B32" s="512"/>
      <c r="C32" s="512"/>
      <c r="D32" s="512"/>
      <c r="E32" s="508"/>
      <c r="F32" s="11"/>
      <c r="G32" s="524"/>
      <c r="H32" s="523"/>
      <c r="I32" s="573"/>
      <c r="J32" s="12"/>
      <c r="K32" s="530"/>
      <c r="L32" s="533"/>
      <c r="M32" s="523"/>
      <c r="N32" s="536"/>
    </row>
    <row r="33" spans="1:14">
      <c r="A33" s="513"/>
      <c r="B33" s="512"/>
      <c r="C33" s="512"/>
      <c r="D33" s="512"/>
      <c r="E33" s="508"/>
      <c r="F33" s="11"/>
      <c r="G33" s="524"/>
      <c r="H33" s="523"/>
      <c r="I33" s="573"/>
      <c r="J33" s="12"/>
      <c r="K33" s="530"/>
      <c r="L33" s="533"/>
      <c r="M33" s="523"/>
      <c r="N33" s="536"/>
    </row>
    <row r="34" spans="1:14">
      <c r="A34" s="517" t="s">
        <v>238</v>
      </c>
      <c r="B34" s="519" t="s">
        <v>239</v>
      </c>
      <c r="C34" s="519" t="s">
        <v>240</v>
      </c>
      <c r="D34" s="519" t="s">
        <v>76</v>
      </c>
      <c r="E34" s="520" t="s">
        <v>241</v>
      </c>
      <c r="F34" s="11"/>
      <c r="G34" s="521" t="s">
        <v>242</v>
      </c>
      <c r="H34" s="526" t="s">
        <v>240</v>
      </c>
      <c r="I34" s="542" t="s">
        <v>243</v>
      </c>
      <c r="J34" s="12"/>
      <c r="K34" s="578" t="s">
        <v>63</v>
      </c>
      <c r="L34" s="569" t="s">
        <v>244</v>
      </c>
      <c r="M34" s="568" t="s">
        <v>5225</v>
      </c>
      <c r="N34" s="559"/>
    </row>
    <row r="35" spans="1:14">
      <c r="A35" s="517"/>
      <c r="B35" s="519"/>
      <c r="C35" s="519"/>
      <c r="D35" s="519"/>
      <c r="E35" s="520"/>
      <c r="F35" s="11"/>
      <c r="G35" s="521"/>
      <c r="H35" s="526"/>
      <c r="I35" s="542"/>
      <c r="J35" s="12"/>
      <c r="K35" s="578"/>
      <c r="L35" s="569"/>
      <c r="M35" s="568"/>
      <c r="N35" s="559"/>
    </row>
    <row r="36" spans="1:14">
      <c r="A36" s="517"/>
      <c r="B36" s="519"/>
      <c r="C36" s="519"/>
      <c r="D36" s="519"/>
      <c r="E36" s="520"/>
      <c r="F36" s="11"/>
      <c r="G36" s="521"/>
      <c r="H36" s="526"/>
      <c r="I36" s="542"/>
      <c r="J36" s="12"/>
      <c r="K36" s="578"/>
      <c r="L36" s="569"/>
      <c r="M36" s="568"/>
      <c r="N36" s="559"/>
    </row>
    <row r="37" spans="1:14">
      <c r="A37" s="513" t="s">
        <v>245</v>
      </c>
      <c r="B37" s="512" t="s">
        <v>239</v>
      </c>
      <c r="C37" s="512" t="s">
        <v>246</v>
      </c>
      <c r="D37" s="512" t="s">
        <v>76</v>
      </c>
      <c r="E37" s="508" t="s">
        <v>247</v>
      </c>
      <c r="F37" s="11"/>
      <c r="G37" s="513" t="s">
        <v>248</v>
      </c>
      <c r="H37" s="516" t="s">
        <v>249</v>
      </c>
      <c r="I37" s="508" t="s">
        <v>250</v>
      </c>
      <c r="J37" s="15"/>
      <c r="K37" s="582" t="s">
        <v>63</v>
      </c>
      <c r="L37" s="512" t="s">
        <v>251</v>
      </c>
      <c r="M37" s="567" t="s">
        <v>5226</v>
      </c>
      <c r="N37" s="560"/>
    </row>
    <row r="38" spans="1:14">
      <c r="A38" s="513"/>
      <c r="B38" s="512"/>
      <c r="C38" s="512"/>
      <c r="D38" s="512"/>
      <c r="E38" s="508"/>
      <c r="F38" s="11"/>
      <c r="G38" s="513"/>
      <c r="H38" s="516"/>
      <c r="I38" s="508"/>
      <c r="J38" s="15"/>
      <c r="K38" s="582"/>
      <c r="L38" s="512"/>
      <c r="M38" s="567"/>
      <c r="N38" s="560"/>
    </row>
    <row r="39" spans="1:14">
      <c r="A39" s="513"/>
      <c r="B39" s="512"/>
      <c r="C39" s="512"/>
      <c r="D39" s="512"/>
      <c r="E39" s="508"/>
      <c r="F39" s="11"/>
      <c r="G39" s="513"/>
      <c r="H39" s="516"/>
      <c r="I39" s="508"/>
      <c r="J39" s="15"/>
      <c r="K39" s="582"/>
      <c r="L39" s="512"/>
      <c r="M39" s="567"/>
      <c r="N39" s="560"/>
    </row>
    <row r="40" spans="1:14">
      <c r="A40" s="517" t="s">
        <v>252</v>
      </c>
      <c r="B40" s="519" t="s">
        <v>239</v>
      </c>
      <c r="C40" s="519" t="s">
        <v>253</v>
      </c>
      <c r="D40" s="519" t="s">
        <v>76</v>
      </c>
      <c r="E40" s="520" t="s">
        <v>254</v>
      </c>
      <c r="F40" s="11"/>
      <c r="G40" s="521" t="s">
        <v>255</v>
      </c>
      <c r="H40" s="526" t="s">
        <v>256</v>
      </c>
      <c r="I40" s="527" t="s">
        <v>254</v>
      </c>
      <c r="J40" s="12"/>
      <c r="K40" s="561" t="s">
        <v>63</v>
      </c>
      <c r="L40" s="564" t="s">
        <v>257</v>
      </c>
      <c r="M40" s="574" t="s">
        <v>258</v>
      </c>
      <c r="N40" s="535"/>
    </row>
    <row r="41" spans="1:14">
      <c r="A41" s="517"/>
      <c r="B41" s="519"/>
      <c r="C41" s="519"/>
      <c r="D41" s="519"/>
      <c r="E41" s="520"/>
      <c r="F41" s="11"/>
      <c r="G41" s="521"/>
      <c r="H41" s="526"/>
      <c r="I41" s="527"/>
      <c r="J41" s="12"/>
      <c r="K41" s="561"/>
      <c r="L41" s="564"/>
      <c r="M41" s="574"/>
      <c r="N41" s="535"/>
    </row>
    <row r="42" spans="1:14" ht="60">
      <c r="A42" s="56" t="s">
        <v>259</v>
      </c>
      <c r="B42" s="50" t="s">
        <v>239</v>
      </c>
      <c r="C42" s="50" t="s">
        <v>260</v>
      </c>
      <c r="D42" s="50" t="s">
        <v>261</v>
      </c>
      <c r="E42" s="87" t="s">
        <v>262</v>
      </c>
      <c r="F42" s="11"/>
      <c r="G42" s="56" t="s">
        <v>263</v>
      </c>
      <c r="H42" s="51" t="s">
        <v>264</v>
      </c>
      <c r="I42" s="87" t="s">
        <v>265</v>
      </c>
      <c r="J42" s="15"/>
      <c r="K42" s="294" t="s">
        <v>63</v>
      </c>
      <c r="L42" s="259" t="s">
        <v>266</v>
      </c>
      <c r="M42" s="261" t="s">
        <v>267</v>
      </c>
      <c r="N42" s="295"/>
    </row>
    <row r="43" spans="1:14" ht="165">
      <c r="A43" s="54" t="s">
        <v>268</v>
      </c>
      <c r="B43" s="49" t="s">
        <v>269</v>
      </c>
      <c r="C43" s="49" t="s">
        <v>270</v>
      </c>
      <c r="D43" s="49" t="s">
        <v>261</v>
      </c>
      <c r="E43" s="55" t="s">
        <v>271</v>
      </c>
      <c r="F43" s="11"/>
      <c r="G43" s="70" t="s">
        <v>272</v>
      </c>
      <c r="H43" s="63" t="s">
        <v>273</v>
      </c>
      <c r="I43" s="86" t="s">
        <v>274</v>
      </c>
      <c r="J43" s="12"/>
      <c r="K43" s="316" t="s">
        <v>63</v>
      </c>
      <c r="L43" s="258" t="s">
        <v>275</v>
      </c>
      <c r="M43" s="260" t="s">
        <v>276</v>
      </c>
      <c r="N43" s="297"/>
    </row>
    <row r="44" spans="1:14" ht="195">
      <c r="A44" s="56" t="s">
        <v>277</v>
      </c>
      <c r="B44" s="50" t="s">
        <v>269</v>
      </c>
      <c r="C44" s="50" t="s">
        <v>278</v>
      </c>
      <c r="D44" s="115" t="s">
        <v>279</v>
      </c>
      <c r="E44" s="57" t="s">
        <v>280</v>
      </c>
      <c r="F44" s="11"/>
      <c r="G44" s="99" t="s">
        <v>33</v>
      </c>
      <c r="H44" s="96" t="s">
        <v>33</v>
      </c>
      <c r="I44" s="100" t="s">
        <v>33</v>
      </c>
      <c r="J44" s="17"/>
      <c r="K44" s="305" t="s">
        <v>70</v>
      </c>
      <c r="L44" s="264" t="s">
        <v>281</v>
      </c>
      <c r="M44" s="148" t="s">
        <v>5162</v>
      </c>
      <c r="N44" s="323" t="s">
        <v>5153</v>
      </c>
    </row>
    <row r="45" spans="1:14" ht="195">
      <c r="A45" s="54" t="s">
        <v>283</v>
      </c>
      <c r="B45" s="49" t="s">
        <v>269</v>
      </c>
      <c r="C45" s="49" t="s">
        <v>284</v>
      </c>
      <c r="D45" s="116" t="s">
        <v>279</v>
      </c>
      <c r="E45" s="55" t="s">
        <v>285</v>
      </c>
      <c r="F45" s="11"/>
      <c r="G45" s="123" t="s">
        <v>33</v>
      </c>
      <c r="H45" s="118" t="s">
        <v>33</v>
      </c>
      <c r="I45" s="124" t="s">
        <v>33</v>
      </c>
      <c r="J45" s="17"/>
      <c r="K45" s="324" t="s">
        <v>70</v>
      </c>
      <c r="L45" s="286" t="s">
        <v>286</v>
      </c>
      <c r="M45" s="149" t="s">
        <v>5162</v>
      </c>
      <c r="N45" s="325" t="s">
        <v>5153</v>
      </c>
    </row>
    <row r="46" spans="1:14" ht="120">
      <c r="A46" s="257" t="s">
        <v>287</v>
      </c>
      <c r="B46" s="256" t="s">
        <v>269</v>
      </c>
      <c r="C46" s="256" t="s">
        <v>288</v>
      </c>
      <c r="D46" s="256" t="s">
        <v>76</v>
      </c>
      <c r="E46" s="271" t="s">
        <v>289</v>
      </c>
      <c r="F46" s="11"/>
      <c r="G46" s="257" t="s">
        <v>290</v>
      </c>
      <c r="H46" s="267" t="s">
        <v>288</v>
      </c>
      <c r="I46" s="271" t="s">
        <v>291</v>
      </c>
      <c r="J46" s="15"/>
      <c r="K46" s="326" t="s">
        <v>63</v>
      </c>
      <c r="L46" s="256" t="s">
        <v>292</v>
      </c>
      <c r="M46" s="275" t="s">
        <v>5227</v>
      </c>
      <c r="N46" s="306"/>
    </row>
    <row r="47" spans="1:14">
      <c r="A47" s="517" t="s">
        <v>293</v>
      </c>
      <c r="B47" s="519" t="s">
        <v>269</v>
      </c>
      <c r="C47" s="519" t="s">
        <v>294</v>
      </c>
      <c r="D47" s="519" t="s">
        <v>295</v>
      </c>
      <c r="E47" s="580" t="s">
        <v>296</v>
      </c>
      <c r="F47" s="11"/>
      <c r="G47" s="581" t="s">
        <v>33</v>
      </c>
      <c r="H47" s="592" t="s">
        <v>33</v>
      </c>
      <c r="I47" s="570" t="s">
        <v>33</v>
      </c>
      <c r="J47" s="16"/>
      <c r="K47" s="561" t="s">
        <v>63</v>
      </c>
      <c r="L47" s="564" t="s">
        <v>297</v>
      </c>
      <c r="M47" s="574" t="s">
        <v>298</v>
      </c>
      <c r="N47" s="535"/>
    </row>
    <row r="48" spans="1:14">
      <c r="A48" s="517"/>
      <c r="B48" s="519"/>
      <c r="C48" s="519"/>
      <c r="D48" s="519"/>
      <c r="E48" s="580"/>
      <c r="F48" s="11"/>
      <c r="G48" s="581"/>
      <c r="H48" s="592"/>
      <c r="I48" s="570"/>
      <c r="J48" s="12"/>
      <c r="K48" s="561"/>
      <c r="L48" s="564"/>
      <c r="M48" s="574"/>
      <c r="N48" s="535"/>
    </row>
    <row r="49" spans="1:14" ht="105">
      <c r="A49" s="257" t="s">
        <v>299</v>
      </c>
      <c r="B49" s="256" t="s">
        <v>269</v>
      </c>
      <c r="C49" s="256" t="s">
        <v>300</v>
      </c>
      <c r="D49" s="256" t="s">
        <v>76</v>
      </c>
      <c r="E49" s="274" t="s">
        <v>301</v>
      </c>
      <c r="F49" s="11"/>
      <c r="G49" s="257" t="s">
        <v>302</v>
      </c>
      <c r="H49" s="267" t="s">
        <v>303</v>
      </c>
      <c r="I49" s="271" t="s">
        <v>304</v>
      </c>
      <c r="J49" s="15"/>
      <c r="K49" s="326" t="s">
        <v>63</v>
      </c>
      <c r="L49" s="256" t="s">
        <v>305</v>
      </c>
      <c r="M49" s="275" t="s">
        <v>5228</v>
      </c>
      <c r="N49" s="306"/>
    </row>
    <row r="50" spans="1:14" ht="90">
      <c r="A50" s="54" t="s">
        <v>307</v>
      </c>
      <c r="B50" s="49" t="s">
        <v>308</v>
      </c>
      <c r="C50" s="49" t="s">
        <v>309</v>
      </c>
      <c r="D50" s="49" t="s">
        <v>261</v>
      </c>
      <c r="E50" s="55" t="s">
        <v>310</v>
      </c>
      <c r="F50" s="11"/>
      <c r="G50" s="70" t="s">
        <v>311</v>
      </c>
      <c r="H50" s="63" t="s">
        <v>312</v>
      </c>
      <c r="I50" s="86" t="s">
        <v>313</v>
      </c>
      <c r="J50" s="12"/>
      <c r="K50" s="316" t="s">
        <v>63</v>
      </c>
      <c r="L50" s="258" t="s">
        <v>314</v>
      </c>
      <c r="M50" s="260" t="s">
        <v>315</v>
      </c>
      <c r="N50" s="297"/>
    </row>
    <row r="51" spans="1:14" ht="165">
      <c r="A51" s="56" t="s">
        <v>316</v>
      </c>
      <c r="B51" s="50" t="s">
        <v>308</v>
      </c>
      <c r="C51" s="50" t="s">
        <v>317</v>
      </c>
      <c r="D51" s="50" t="s">
        <v>88</v>
      </c>
      <c r="E51" s="57" t="s">
        <v>318</v>
      </c>
      <c r="F51" s="11"/>
      <c r="G51" s="72" t="s">
        <v>319</v>
      </c>
      <c r="H51" s="67" t="s">
        <v>317</v>
      </c>
      <c r="I51" s="127" t="s">
        <v>320</v>
      </c>
      <c r="J51" s="15"/>
      <c r="K51" s="294" t="s">
        <v>63</v>
      </c>
      <c r="L51" s="259" t="s">
        <v>321</v>
      </c>
      <c r="M51" s="261" t="s">
        <v>322</v>
      </c>
      <c r="N51" s="306"/>
    </row>
    <row r="52" spans="1:14">
      <c r="A52" s="517" t="s">
        <v>323</v>
      </c>
      <c r="B52" s="519" t="s">
        <v>308</v>
      </c>
      <c r="C52" s="519" t="s">
        <v>324</v>
      </c>
      <c r="D52" s="519" t="s">
        <v>76</v>
      </c>
      <c r="E52" s="520" t="s">
        <v>325</v>
      </c>
      <c r="F52" s="11"/>
      <c r="G52" s="521" t="s">
        <v>326</v>
      </c>
      <c r="H52" s="526" t="s">
        <v>324</v>
      </c>
      <c r="I52" s="527" t="s">
        <v>327</v>
      </c>
      <c r="J52" s="12"/>
      <c r="K52" s="578" t="s">
        <v>63</v>
      </c>
      <c r="L52" s="569" t="s">
        <v>328</v>
      </c>
      <c r="M52" s="568" t="s">
        <v>5229</v>
      </c>
      <c r="N52" s="559"/>
    </row>
    <row r="53" spans="1:14">
      <c r="A53" s="517"/>
      <c r="B53" s="519"/>
      <c r="C53" s="519"/>
      <c r="D53" s="519"/>
      <c r="E53" s="520"/>
      <c r="F53" s="11"/>
      <c r="G53" s="521"/>
      <c r="H53" s="526"/>
      <c r="I53" s="527"/>
      <c r="J53" s="12"/>
      <c r="K53" s="578"/>
      <c r="L53" s="569"/>
      <c r="M53" s="568"/>
      <c r="N53" s="559"/>
    </row>
    <row r="54" spans="1:14">
      <c r="A54" s="517"/>
      <c r="B54" s="519"/>
      <c r="C54" s="519"/>
      <c r="D54" s="519"/>
      <c r="E54" s="520"/>
      <c r="F54" s="11"/>
      <c r="G54" s="521"/>
      <c r="H54" s="526"/>
      <c r="I54" s="527"/>
      <c r="J54" s="12"/>
      <c r="K54" s="578"/>
      <c r="L54" s="569"/>
      <c r="M54" s="568"/>
      <c r="N54" s="559"/>
    </row>
    <row r="55" spans="1:14">
      <c r="A55" s="517"/>
      <c r="B55" s="519"/>
      <c r="C55" s="519"/>
      <c r="D55" s="519"/>
      <c r="E55" s="520"/>
      <c r="F55" s="11"/>
      <c r="G55" s="521"/>
      <c r="H55" s="526"/>
      <c r="I55" s="527"/>
      <c r="J55" s="12"/>
      <c r="K55" s="578"/>
      <c r="L55" s="569"/>
      <c r="M55" s="568"/>
      <c r="N55" s="559"/>
    </row>
    <row r="56" spans="1:14">
      <c r="A56" s="517"/>
      <c r="B56" s="519"/>
      <c r="C56" s="519"/>
      <c r="D56" s="519"/>
      <c r="E56" s="520"/>
      <c r="F56" s="11"/>
      <c r="G56" s="521"/>
      <c r="H56" s="526"/>
      <c r="I56" s="527"/>
      <c r="J56" s="12"/>
      <c r="K56" s="578"/>
      <c r="L56" s="569"/>
      <c r="M56" s="568"/>
      <c r="N56" s="559"/>
    </row>
    <row r="57" spans="1:14">
      <c r="A57" s="517"/>
      <c r="B57" s="519"/>
      <c r="C57" s="519"/>
      <c r="D57" s="519"/>
      <c r="E57" s="520"/>
      <c r="F57" s="11"/>
      <c r="G57" s="521"/>
      <c r="H57" s="526"/>
      <c r="I57" s="527"/>
      <c r="J57" s="12"/>
      <c r="K57" s="578"/>
      <c r="L57" s="569"/>
      <c r="M57" s="568"/>
      <c r="N57" s="559"/>
    </row>
    <row r="58" spans="1:14">
      <c r="A58" s="517"/>
      <c r="B58" s="519"/>
      <c r="C58" s="519"/>
      <c r="D58" s="519"/>
      <c r="E58" s="520"/>
      <c r="F58" s="11"/>
      <c r="G58" s="521"/>
      <c r="H58" s="526"/>
      <c r="I58" s="527"/>
      <c r="J58" s="12"/>
      <c r="K58" s="578"/>
      <c r="L58" s="569"/>
      <c r="M58" s="568"/>
      <c r="N58" s="559"/>
    </row>
    <row r="59" spans="1:14" ht="159" customHeight="1">
      <c r="A59" s="257" t="s">
        <v>329</v>
      </c>
      <c r="B59" s="256" t="s">
        <v>308</v>
      </c>
      <c r="C59" s="256" t="s">
        <v>330</v>
      </c>
      <c r="D59" s="256" t="s">
        <v>76</v>
      </c>
      <c r="E59" s="271" t="s">
        <v>331</v>
      </c>
      <c r="F59" s="11"/>
      <c r="G59" s="257" t="s">
        <v>33</v>
      </c>
      <c r="H59" s="284" t="s">
        <v>33</v>
      </c>
      <c r="I59" s="285" t="s">
        <v>33</v>
      </c>
      <c r="J59" s="15"/>
      <c r="K59" s="305" t="s">
        <v>70</v>
      </c>
      <c r="L59" s="264" t="s">
        <v>332</v>
      </c>
      <c r="M59" s="148" t="s">
        <v>5210</v>
      </c>
      <c r="N59" s="295" t="s">
        <v>5153</v>
      </c>
    </row>
    <row r="60" spans="1:14" ht="60">
      <c r="A60" s="54" t="s">
        <v>333</v>
      </c>
      <c r="B60" s="49" t="s">
        <v>308</v>
      </c>
      <c r="C60" s="49" t="s">
        <v>334</v>
      </c>
      <c r="D60" s="49" t="s">
        <v>261</v>
      </c>
      <c r="E60" s="117" t="s">
        <v>335</v>
      </c>
      <c r="F60" s="11"/>
      <c r="G60" s="70" t="s">
        <v>33</v>
      </c>
      <c r="H60" s="66" t="s">
        <v>33</v>
      </c>
      <c r="I60" s="75" t="s">
        <v>33</v>
      </c>
      <c r="J60" s="12"/>
      <c r="K60" s="316" t="s">
        <v>70</v>
      </c>
      <c r="L60" s="258" t="s">
        <v>336</v>
      </c>
      <c r="M60" s="260" t="s">
        <v>5163</v>
      </c>
      <c r="N60" s="297"/>
    </row>
    <row r="61" spans="1:14">
      <c r="A61" s="513" t="s">
        <v>337</v>
      </c>
      <c r="B61" s="512" t="s">
        <v>269</v>
      </c>
      <c r="C61" s="512" t="s">
        <v>338</v>
      </c>
      <c r="D61" s="512" t="s">
        <v>339</v>
      </c>
      <c r="E61" s="508" t="s">
        <v>340</v>
      </c>
      <c r="F61" s="11"/>
      <c r="G61" s="513" t="s">
        <v>341</v>
      </c>
      <c r="H61" s="516" t="s">
        <v>342</v>
      </c>
      <c r="I61" s="514" t="s">
        <v>343</v>
      </c>
      <c r="J61" s="15"/>
      <c r="K61" s="510" t="s">
        <v>63</v>
      </c>
      <c r="L61" s="509" t="s">
        <v>344</v>
      </c>
      <c r="M61" s="583" t="s">
        <v>345</v>
      </c>
      <c r="N61" s="511"/>
    </row>
    <row r="62" spans="1:14">
      <c r="A62" s="513"/>
      <c r="B62" s="512"/>
      <c r="C62" s="512"/>
      <c r="D62" s="512"/>
      <c r="E62" s="508"/>
      <c r="F62" s="11"/>
      <c r="G62" s="513"/>
      <c r="H62" s="516"/>
      <c r="I62" s="514"/>
      <c r="J62" s="15"/>
      <c r="K62" s="510"/>
      <c r="L62" s="509"/>
      <c r="M62" s="583"/>
      <c r="N62" s="511"/>
    </row>
    <row r="63" spans="1:14">
      <c r="A63" s="517" t="s">
        <v>346</v>
      </c>
      <c r="B63" s="519" t="s">
        <v>269</v>
      </c>
      <c r="C63" s="519" t="s">
        <v>347</v>
      </c>
      <c r="D63" s="519" t="s">
        <v>261</v>
      </c>
      <c r="E63" s="520" t="s">
        <v>348</v>
      </c>
      <c r="F63" s="11"/>
      <c r="G63" s="521" t="s">
        <v>349</v>
      </c>
      <c r="H63" s="526" t="s">
        <v>347</v>
      </c>
      <c r="I63" s="527" t="s">
        <v>348</v>
      </c>
      <c r="J63" s="12"/>
      <c r="K63" s="561" t="s">
        <v>63</v>
      </c>
      <c r="L63" s="564" t="s">
        <v>350</v>
      </c>
      <c r="M63" s="574" t="s">
        <v>351</v>
      </c>
      <c r="N63" s="535"/>
    </row>
    <row r="64" spans="1:14">
      <c r="A64" s="517"/>
      <c r="B64" s="519"/>
      <c r="C64" s="519"/>
      <c r="D64" s="519"/>
      <c r="E64" s="520"/>
      <c r="F64" s="11"/>
      <c r="G64" s="521"/>
      <c r="H64" s="526"/>
      <c r="I64" s="527"/>
      <c r="J64" s="12"/>
      <c r="K64" s="561"/>
      <c r="L64" s="564"/>
      <c r="M64" s="574"/>
      <c r="N64" s="535"/>
    </row>
    <row r="65" spans="1:14">
      <c r="A65" s="513" t="s">
        <v>352</v>
      </c>
      <c r="B65" s="512" t="s">
        <v>353</v>
      </c>
      <c r="C65" s="512" t="s">
        <v>354</v>
      </c>
      <c r="D65" s="512" t="s">
        <v>76</v>
      </c>
      <c r="E65" s="508" t="s">
        <v>355</v>
      </c>
      <c r="F65" s="11"/>
      <c r="G65" s="513" t="s">
        <v>356</v>
      </c>
      <c r="H65" s="516" t="s">
        <v>354</v>
      </c>
      <c r="I65" s="508" t="s">
        <v>357</v>
      </c>
      <c r="J65" s="15"/>
      <c r="K65" s="582" t="s">
        <v>63</v>
      </c>
      <c r="L65" s="512" t="s">
        <v>358</v>
      </c>
      <c r="M65" s="567" t="s">
        <v>5230</v>
      </c>
      <c r="N65" s="560"/>
    </row>
    <row r="66" spans="1:14">
      <c r="A66" s="513"/>
      <c r="B66" s="512"/>
      <c r="C66" s="512"/>
      <c r="D66" s="512"/>
      <c r="E66" s="508"/>
      <c r="F66" s="11"/>
      <c r="G66" s="513"/>
      <c r="H66" s="516"/>
      <c r="I66" s="508"/>
      <c r="J66" s="15"/>
      <c r="K66" s="582"/>
      <c r="L66" s="512"/>
      <c r="M66" s="567"/>
      <c r="N66" s="560"/>
    </row>
    <row r="67" spans="1:14">
      <c r="A67" s="513"/>
      <c r="B67" s="512"/>
      <c r="C67" s="512"/>
      <c r="D67" s="512"/>
      <c r="E67" s="508"/>
      <c r="F67" s="11"/>
      <c r="G67" s="513"/>
      <c r="H67" s="516"/>
      <c r="I67" s="508"/>
      <c r="J67" s="15"/>
      <c r="K67" s="582"/>
      <c r="L67" s="512"/>
      <c r="M67" s="567"/>
      <c r="N67" s="560"/>
    </row>
    <row r="68" spans="1:14" ht="180">
      <c r="A68" s="54" t="s">
        <v>359</v>
      </c>
      <c r="B68" s="49" t="s">
        <v>353</v>
      </c>
      <c r="C68" s="49" t="s">
        <v>360</v>
      </c>
      <c r="D68" s="49" t="s">
        <v>261</v>
      </c>
      <c r="E68" s="55" t="s">
        <v>361</v>
      </c>
      <c r="F68" s="11"/>
      <c r="G68" s="70" t="s">
        <v>362</v>
      </c>
      <c r="H68" s="63" t="s">
        <v>363</v>
      </c>
      <c r="I68" s="86" t="s">
        <v>364</v>
      </c>
      <c r="J68" s="12"/>
      <c r="K68" s="316" t="s">
        <v>63</v>
      </c>
      <c r="L68" s="258" t="s">
        <v>365</v>
      </c>
      <c r="M68" s="260" t="s">
        <v>366</v>
      </c>
      <c r="N68" s="297"/>
    </row>
    <row r="69" spans="1:14" ht="75">
      <c r="A69" s="56" t="s">
        <v>367</v>
      </c>
      <c r="B69" s="50" t="s">
        <v>353</v>
      </c>
      <c r="C69" s="50" t="s">
        <v>368</v>
      </c>
      <c r="D69" s="50" t="s">
        <v>88</v>
      </c>
      <c r="E69" s="57" t="s">
        <v>369</v>
      </c>
      <c r="F69" s="11"/>
      <c r="G69" s="56" t="s">
        <v>33</v>
      </c>
      <c r="H69" s="96" t="s">
        <v>33</v>
      </c>
      <c r="I69" s="100" t="s">
        <v>33</v>
      </c>
      <c r="J69" s="15"/>
      <c r="K69" s="294" t="s">
        <v>70</v>
      </c>
      <c r="L69" s="259" t="s">
        <v>370</v>
      </c>
      <c r="M69" s="290" t="s">
        <v>5159</v>
      </c>
      <c r="N69" s="295"/>
    </row>
    <row r="70" spans="1:14" ht="75">
      <c r="A70" s="54" t="s">
        <v>371</v>
      </c>
      <c r="B70" s="49" t="s">
        <v>353</v>
      </c>
      <c r="C70" s="49" t="s">
        <v>372</v>
      </c>
      <c r="D70" s="49" t="s">
        <v>88</v>
      </c>
      <c r="E70" s="117" t="s">
        <v>373</v>
      </c>
      <c r="F70" s="11"/>
      <c r="G70" s="70" t="s">
        <v>374</v>
      </c>
      <c r="H70" s="63" t="s">
        <v>375</v>
      </c>
      <c r="I70" s="86" t="s">
        <v>373</v>
      </c>
      <c r="J70" s="12"/>
      <c r="K70" s="296" t="s">
        <v>63</v>
      </c>
      <c r="L70" s="91" t="s">
        <v>376</v>
      </c>
      <c r="M70" s="145" t="s">
        <v>377</v>
      </c>
      <c r="N70" s="297"/>
    </row>
    <row r="71" spans="1:14" ht="135">
      <c r="A71" s="56" t="s">
        <v>378</v>
      </c>
      <c r="B71" s="50" t="s">
        <v>353</v>
      </c>
      <c r="C71" s="50" t="s">
        <v>379</v>
      </c>
      <c r="D71" s="50" t="s">
        <v>261</v>
      </c>
      <c r="E71" s="87" t="s">
        <v>380</v>
      </c>
      <c r="F71" s="11"/>
      <c r="G71" s="56" t="s">
        <v>381</v>
      </c>
      <c r="H71" s="51" t="s">
        <v>382</v>
      </c>
      <c r="I71" s="87" t="s">
        <v>383</v>
      </c>
      <c r="J71" s="15"/>
      <c r="K71" s="326" t="s">
        <v>63</v>
      </c>
      <c r="L71" s="256" t="s">
        <v>384</v>
      </c>
      <c r="M71" s="267" t="s">
        <v>385</v>
      </c>
      <c r="N71" s="306"/>
    </row>
    <row r="72" spans="1:14" ht="102.95" customHeight="1">
      <c r="A72" s="54" t="s">
        <v>386</v>
      </c>
      <c r="B72" s="49" t="s">
        <v>387</v>
      </c>
      <c r="C72" s="49" t="s">
        <v>388</v>
      </c>
      <c r="D72" s="49" t="s">
        <v>76</v>
      </c>
      <c r="E72" s="117" t="s">
        <v>389</v>
      </c>
      <c r="F72" s="11"/>
      <c r="G72" s="70" t="s">
        <v>33</v>
      </c>
      <c r="H72" s="66" t="s">
        <v>33</v>
      </c>
      <c r="I72" s="75" t="s">
        <v>33</v>
      </c>
      <c r="J72" s="12"/>
      <c r="K72" s="296" t="s">
        <v>70</v>
      </c>
      <c r="L72" s="91" t="s">
        <v>390</v>
      </c>
      <c r="M72" s="146" t="s">
        <v>5211</v>
      </c>
      <c r="N72" s="297" t="s">
        <v>5153</v>
      </c>
    </row>
    <row r="73" spans="1:14" ht="120">
      <c r="A73" s="56" t="s">
        <v>391</v>
      </c>
      <c r="B73" s="50" t="s">
        <v>392</v>
      </c>
      <c r="C73" s="50" t="s">
        <v>393</v>
      </c>
      <c r="D73" s="50" t="s">
        <v>88</v>
      </c>
      <c r="E73" s="57" t="s">
        <v>394</v>
      </c>
      <c r="F73" s="11"/>
      <c r="G73" s="128" t="s">
        <v>395</v>
      </c>
      <c r="H73" s="121" t="s">
        <v>396</v>
      </c>
      <c r="I73" s="129" t="s">
        <v>397</v>
      </c>
      <c r="J73" s="18"/>
      <c r="K73" s="326" t="s">
        <v>63</v>
      </c>
      <c r="L73" s="256" t="s">
        <v>398</v>
      </c>
      <c r="M73" s="267" t="s">
        <v>399</v>
      </c>
      <c r="N73" s="306"/>
    </row>
    <row r="74" spans="1:14" ht="165">
      <c r="A74" s="54" t="s">
        <v>400</v>
      </c>
      <c r="B74" s="49" t="s">
        <v>392</v>
      </c>
      <c r="C74" s="49" t="s">
        <v>401</v>
      </c>
      <c r="D74" s="49" t="s">
        <v>88</v>
      </c>
      <c r="E74" s="55" t="s">
        <v>402</v>
      </c>
      <c r="F74" s="11"/>
      <c r="G74" s="70" t="s">
        <v>403</v>
      </c>
      <c r="H74" s="63" t="s">
        <v>404</v>
      </c>
      <c r="I74" s="86" t="s">
        <v>405</v>
      </c>
      <c r="J74" s="12"/>
      <c r="K74" s="298" t="s">
        <v>63</v>
      </c>
      <c r="L74" s="278" t="s">
        <v>406</v>
      </c>
      <c r="M74" s="277" t="s">
        <v>407</v>
      </c>
      <c r="N74" s="297"/>
    </row>
    <row r="75" spans="1:14" ht="240">
      <c r="A75" s="56" t="s">
        <v>408</v>
      </c>
      <c r="B75" s="50" t="s">
        <v>353</v>
      </c>
      <c r="C75" s="50" t="s">
        <v>409</v>
      </c>
      <c r="D75" s="50" t="s">
        <v>88</v>
      </c>
      <c r="E75" s="57" t="s">
        <v>410</v>
      </c>
      <c r="F75" s="11"/>
      <c r="G75" s="56" t="s">
        <v>411</v>
      </c>
      <c r="H75" s="51" t="s">
        <v>412</v>
      </c>
      <c r="I75" s="87" t="s">
        <v>413</v>
      </c>
      <c r="J75" s="15"/>
      <c r="K75" s="326" t="s">
        <v>63</v>
      </c>
      <c r="L75" s="256" t="s">
        <v>414</v>
      </c>
      <c r="M75" s="267" t="s">
        <v>415</v>
      </c>
      <c r="N75" s="306"/>
    </row>
    <row r="76" spans="1:14" ht="60">
      <c r="A76" s="54" t="s">
        <v>416</v>
      </c>
      <c r="B76" s="49" t="s">
        <v>353</v>
      </c>
      <c r="C76" s="49" t="s">
        <v>417</v>
      </c>
      <c r="D76" s="49" t="s">
        <v>88</v>
      </c>
      <c r="E76" s="55" t="s">
        <v>418</v>
      </c>
      <c r="F76" s="11"/>
      <c r="G76" s="130" t="s">
        <v>419</v>
      </c>
      <c r="H76" s="66" t="s">
        <v>33</v>
      </c>
      <c r="I76" s="75" t="s">
        <v>33</v>
      </c>
      <c r="J76" s="12"/>
      <c r="K76" s="298" t="s">
        <v>70</v>
      </c>
      <c r="L76" s="278" t="s">
        <v>420</v>
      </c>
      <c r="M76" s="329" t="s">
        <v>5159</v>
      </c>
      <c r="N76" s="297"/>
    </row>
    <row r="77" spans="1:14">
      <c r="A77" s="513" t="s">
        <v>421</v>
      </c>
      <c r="B77" s="512" t="s">
        <v>422</v>
      </c>
      <c r="C77" s="512" t="s">
        <v>423</v>
      </c>
      <c r="D77" s="512" t="s">
        <v>76</v>
      </c>
      <c r="E77" s="514" t="s">
        <v>424</v>
      </c>
      <c r="F77" s="11"/>
      <c r="G77" s="513" t="s">
        <v>425</v>
      </c>
      <c r="H77" s="516" t="s">
        <v>426</v>
      </c>
      <c r="I77" s="514" t="s">
        <v>427</v>
      </c>
      <c r="J77" s="15"/>
      <c r="K77" s="582" t="s">
        <v>63</v>
      </c>
      <c r="L77" s="512" t="s">
        <v>428</v>
      </c>
      <c r="M77" s="567" t="s">
        <v>5231</v>
      </c>
      <c r="N77" s="560"/>
    </row>
    <row r="78" spans="1:14">
      <c r="A78" s="513"/>
      <c r="B78" s="512"/>
      <c r="C78" s="512"/>
      <c r="D78" s="512"/>
      <c r="E78" s="514"/>
      <c r="F78" s="11"/>
      <c r="G78" s="513"/>
      <c r="H78" s="516"/>
      <c r="I78" s="514"/>
      <c r="J78" s="15"/>
      <c r="K78" s="582"/>
      <c r="L78" s="512"/>
      <c r="M78" s="567"/>
      <c r="N78" s="560"/>
    </row>
    <row r="79" spans="1:14">
      <c r="A79" s="513"/>
      <c r="B79" s="512"/>
      <c r="C79" s="512"/>
      <c r="D79" s="512"/>
      <c r="E79" s="514"/>
      <c r="F79" s="11"/>
      <c r="G79" s="513"/>
      <c r="H79" s="516"/>
      <c r="I79" s="514"/>
      <c r="J79" s="15"/>
      <c r="K79" s="582"/>
      <c r="L79" s="512"/>
      <c r="M79" s="567"/>
      <c r="N79" s="560"/>
    </row>
    <row r="80" spans="1:14">
      <c r="A80" s="513"/>
      <c r="B80" s="512"/>
      <c r="C80" s="512"/>
      <c r="D80" s="512"/>
      <c r="E80" s="514"/>
      <c r="F80" s="11"/>
      <c r="G80" s="513"/>
      <c r="H80" s="516"/>
      <c r="I80" s="514"/>
      <c r="J80" s="15"/>
      <c r="K80" s="582"/>
      <c r="L80" s="512"/>
      <c r="M80" s="567"/>
      <c r="N80" s="560"/>
    </row>
    <row r="81" spans="1:14">
      <c r="A81" s="513"/>
      <c r="B81" s="512"/>
      <c r="C81" s="512"/>
      <c r="D81" s="512"/>
      <c r="E81" s="514"/>
      <c r="F81" s="11"/>
      <c r="G81" s="513"/>
      <c r="H81" s="516"/>
      <c r="I81" s="514"/>
      <c r="J81" s="15"/>
      <c r="K81" s="582"/>
      <c r="L81" s="512"/>
      <c r="M81" s="567"/>
      <c r="N81" s="560"/>
    </row>
    <row r="82" spans="1:14">
      <c r="A82" s="513"/>
      <c r="B82" s="512"/>
      <c r="C82" s="512"/>
      <c r="D82" s="512"/>
      <c r="E82" s="514"/>
      <c r="F82" s="11"/>
      <c r="G82" s="513"/>
      <c r="H82" s="516"/>
      <c r="I82" s="514"/>
      <c r="J82" s="15"/>
      <c r="K82" s="582"/>
      <c r="L82" s="512"/>
      <c r="M82" s="567"/>
      <c r="N82" s="560"/>
    </row>
    <row r="83" spans="1:14">
      <c r="A83" s="513"/>
      <c r="B83" s="512"/>
      <c r="C83" s="512"/>
      <c r="D83" s="512"/>
      <c r="E83" s="514"/>
      <c r="F83" s="11"/>
      <c r="G83" s="513"/>
      <c r="H83" s="516"/>
      <c r="I83" s="514"/>
      <c r="J83" s="15"/>
      <c r="K83" s="582"/>
      <c r="L83" s="512"/>
      <c r="M83" s="567"/>
      <c r="N83" s="560"/>
    </row>
    <row r="84" spans="1:14" ht="150">
      <c r="A84" s="54" t="s">
        <v>429</v>
      </c>
      <c r="B84" s="49" t="s">
        <v>422</v>
      </c>
      <c r="C84" s="49" t="s">
        <v>430</v>
      </c>
      <c r="D84" s="49" t="s">
        <v>76</v>
      </c>
      <c r="E84" s="117" t="s">
        <v>431</v>
      </c>
      <c r="F84" s="11"/>
      <c r="G84" s="70" t="s">
        <v>33</v>
      </c>
      <c r="H84" s="66" t="s">
        <v>33</v>
      </c>
      <c r="I84" s="75" t="s">
        <v>33</v>
      </c>
      <c r="J84" s="12"/>
      <c r="K84" s="298" t="s">
        <v>70</v>
      </c>
      <c r="L84" s="278" t="s">
        <v>432</v>
      </c>
      <c r="M84" s="329" t="s">
        <v>5164</v>
      </c>
      <c r="N84" s="297"/>
    </row>
    <row r="85" spans="1:14" ht="210">
      <c r="A85" s="56" t="s">
        <v>433</v>
      </c>
      <c r="B85" s="50" t="s">
        <v>353</v>
      </c>
      <c r="C85" s="50" t="s">
        <v>434</v>
      </c>
      <c r="D85" s="50" t="s">
        <v>88</v>
      </c>
      <c r="E85" s="87" t="s">
        <v>435</v>
      </c>
      <c r="F85" s="11"/>
      <c r="G85" s="56" t="s">
        <v>436</v>
      </c>
      <c r="H85" s="51" t="s">
        <v>434</v>
      </c>
      <c r="I85" s="87" t="s">
        <v>437</v>
      </c>
      <c r="J85" s="15"/>
      <c r="K85" s="326" t="s">
        <v>63</v>
      </c>
      <c r="L85" s="256" t="s">
        <v>438</v>
      </c>
      <c r="M85" s="267" t="s">
        <v>439</v>
      </c>
      <c r="N85" s="306"/>
    </row>
    <row r="86" spans="1:14">
      <c r="A86" s="517" t="s">
        <v>440</v>
      </c>
      <c r="B86" s="519" t="s">
        <v>353</v>
      </c>
      <c r="C86" s="519" t="s">
        <v>441</v>
      </c>
      <c r="D86" s="519" t="s">
        <v>88</v>
      </c>
      <c r="E86" s="520" t="s">
        <v>442</v>
      </c>
      <c r="F86" s="11"/>
      <c r="G86" s="521" t="s">
        <v>443</v>
      </c>
      <c r="H86" s="526" t="s">
        <v>444</v>
      </c>
      <c r="I86" s="527" t="s">
        <v>445</v>
      </c>
      <c r="J86" s="12"/>
      <c r="K86" s="529" t="s">
        <v>63</v>
      </c>
      <c r="L86" s="531" t="s">
        <v>446</v>
      </c>
      <c r="M86" s="525" t="s">
        <v>447</v>
      </c>
      <c r="N86" s="535"/>
    </row>
    <row r="87" spans="1:14">
      <c r="A87" s="517"/>
      <c r="B87" s="519"/>
      <c r="C87" s="519"/>
      <c r="D87" s="519"/>
      <c r="E87" s="520"/>
      <c r="F87" s="11"/>
      <c r="G87" s="521"/>
      <c r="H87" s="526"/>
      <c r="I87" s="527"/>
      <c r="J87" s="12"/>
      <c r="K87" s="529"/>
      <c r="L87" s="531"/>
      <c r="M87" s="525"/>
      <c r="N87" s="535"/>
    </row>
    <row r="88" spans="1:14">
      <c r="A88" s="513" t="s">
        <v>448</v>
      </c>
      <c r="B88" s="512" t="s">
        <v>353</v>
      </c>
      <c r="C88" s="512" t="s">
        <v>449</v>
      </c>
      <c r="D88" s="512" t="s">
        <v>76</v>
      </c>
      <c r="E88" s="508" t="s">
        <v>450</v>
      </c>
      <c r="F88" s="11"/>
      <c r="G88" s="513" t="s">
        <v>451</v>
      </c>
      <c r="H88" s="516" t="s">
        <v>452</v>
      </c>
      <c r="I88" s="508" t="s">
        <v>453</v>
      </c>
      <c r="J88" s="15"/>
      <c r="K88" s="582" t="s">
        <v>63</v>
      </c>
      <c r="L88" s="512" t="s">
        <v>454</v>
      </c>
      <c r="M88" s="567" t="s">
        <v>5232</v>
      </c>
      <c r="N88" s="560"/>
    </row>
    <row r="89" spans="1:14">
      <c r="A89" s="513"/>
      <c r="B89" s="512"/>
      <c r="C89" s="512"/>
      <c r="D89" s="512"/>
      <c r="E89" s="508"/>
      <c r="F89" s="11"/>
      <c r="G89" s="513"/>
      <c r="H89" s="516"/>
      <c r="I89" s="508"/>
      <c r="J89" s="15"/>
      <c r="K89" s="582"/>
      <c r="L89" s="512"/>
      <c r="M89" s="567"/>
      <c r="N89" s="560"/>
    </row>
    <row r="90" spans="1:14">
      <c r="A90" s="513"/>
      <c r="B90" s="512"/>
      <c r="C90" s="512"/>
      <c r="D90" s="512"/>
      <c r="E90" s="508"/>
      <c r="F90" s="11"/>
      <c r="G90" s="513"/>
      <c r="H90" s="516"/>
      <c r="I90" s="508"/>
      <c r="J90" s="15"/>
      <c r="K90" s="582"/>
      <c r="L90" s="512"/>
      <c r="M90" s="567"/>
      <c r="N90" s="560"/>
    </row>
    <row r="91" spans="1:14">
      <c r="A91" s="517" t="s">
        <v>455</v>
      </c>
      <c r="B91" s="519" t="s">
        <v>353</v>
      </c>
      <c r="C91" s="519" t="s">
        <v>456</v>
      </c>
      <c r="D91" s="519" t="s">
        <v>76</v>
      </c>
      <c r="E91" s="580" t="s">
        <v>457</v>
      </c>
      <c r="F91" s="11"/>
      <c r="G91" s="521" t="s">
        <v>458</v>
      </c>
      <c r="H91" s="526" t="s">
        <v>456</v>
      </c>
      <c r="I91" s="527" t="s">
        <v>459</v>
      </c>
      <c r="J91" s="12"/>
      <c r="K91" s="578" t="s">
        <v>63</v>
      </c>
      <c r="L91" s="569" t="s">
        <v>460</v>
      </c>
      <c r="M91" s="568" t="s">
        <v>5233</v>
      </c>
      <c r="N91" s="559"/>
    </row>
    <row r="92" spans="1:14">
      <c r="A92" s="517"/>
      <c r="B92" s="519"/>
      <c r="C92" s="519"/>
      <c r="D92" s="519"/>
      <c r="E92" s="580"/>
      <c r="F92" s="11"/>
      <c r="G92" s="521"/>
      <c r="H92" s="526"/>
      <c r="I92" s="527"/>
      <c r="J92" s="12"/>
      <c r="K92" s="578"/>
      <c r="L92" s="569"/>
      <c r="M92" s="568"/>
      <c r="N92" s="559"/>
    </row>
    <row r="93" spans="1:14">
      <c r="A93" s="517"/>
      <c r="B93" s="519"/>
      <c r="C93" s="519"/>
      <c r="D93" s="519"/>
      <c r="E93" s="580"/>
      <c r="F93" s="11"/>
      <c r="G93" s="521"/>
      <c r="H93" s="526"/>
      <c r="I93" s="527"/>
      <c r="J93" s="12"/>
      <c r="K93" s="578"/>
      <c r="L93" s="569"/>
      <c r="M93" s="568"/>
      <c r="N93" s="559"/>
    </row>
    <row r="94" spans="1:14">
      <c r="A94" s="513" t="s">
        <v>461</v>
      </c>
      <c r="B94" s="512" t="s">
        <v>308</v>
      </c>
      <c r="C94" s="512" t="s">
        <v>462</v>
      </c>
      <c r="D94" s="512" t="s">
        <v>76</v>
      </c>
      <c r="E94" s="514" t="s">
        <v>463</v>
      </c>
      <c r="F94" s="11"/>
      <c r="G94" s="513" t="s">
        <v>33</v>
      </c>
      <c r="H94" s="586" t="s">
        <v>33</v>
      </c>
      <c r="I94" s="584" t="s">
        <v>33</v>
      </c>
      <c r="J94" s="15"/>
      <c r="K94" s="582" t="s">
        <v>63</v>
      </c>
      <c r="L94" s="512" t="s">
        <v>464</v>
      </c>
      <c r="M94" s="567" t="s">
        <v>5234</v>
      </c>
      <c r="N94" s="560"/>
    </row>
    <row r="95" spans="1:14">
      <c r="A95" s="513"/>
      <c r="B95" s="512"/>
      <c r="C95" s="512"/>
      <c r="D95" s="512"/>
      <c r="E95" s="514"/>
      <c r="F95" s="11"/>
      <c r="G95" s="513"/>
      <c r="H95" s="512"/>
      <c r="I95" s="585"/>
      <c r="J95" s="15"/>
      <c r="K95" s="582"/>
      <c r="L95" s="512"/>
      <c r="M95" s="567"/>
      <c r="N95" s="560"/>
    </row>
    <row r="96" spans="1:14">
      <c r="A96" s="513"/>
      <c r="B96" s="512"/>
      <c r="C96" s="512"/>
      <c r="D96" s="512"/>
      <c r="E96" s="514"/>
      <c r="F96" s="11"/>
      <c r="G96" s="513"/>
      <c r="H96" s="512"/>
      <c r="I96" s="585"/>
      <c r="J96" s="15"/>
      <c r="K96" s="582"/>
      <c r="L96" s="512"/>
      <c r="M96" s="567"/>
      <c r="N96" s="560"/>
    </row>
    <row r="97" spans="1:14" ht="135">
      <c r="A97" s="54" t="s">
        <v>465</v>
      </c>
      <c r="B97" s="49" t="s">
        <v>353</v>
      </c>
      <c r="C97" s="49" t="s">
        <v>466</v>
      </c>
      <c r="D97" s="49" t="s">
        <v>76</v>
      </c>
      <c r="E97" s="55" t="s">
        <v>467</v>
      </c>
      <c r="F97" s="11"/>
      <c r="G97" s="70" t="s">
        <v>468</v>
      </c>
      <c r="H97" s="63" t="s">
        <v>469</v>
      </c>
      <c r="I97" s="86" t="s">
        <v>470</v>
      </c>
      <c r="J97" s="12"/>
      <c r="K97" s="327" t="s">
        <v>63</v>
      </c>
      <c r="L97" s="281" t="s">
        <v>471</v>
      </c>
      <c r="M97" s="288" t="s">
        <v>5235</v>
      </c>
      <c r="N97" s="328"/>
    </row>
    <row r="98" spans="1:14" ht="105">
      <c r="A98" s="56" t="s">
        <v>472</v>
      </c>
      <c r="B98" s="50" t="s">
        <v>353</v>
      </c>
      <c r="C98" s="50" t="s">
        <v>473</v>
      </c>
      <c r="D98" s="50" t="s">
        <v>474</v>
      </c>
      <c r="E98" s="87" t="s">
        <v>475</v>
      </c>
      <c r="F98" s="11"/>
      <c r="G98" s="56" t="s">
        <v>476</v>
      </c>
      <c r="H98" s="51" t="s">
        <v>477</v>
      </c>
      <c r="I98" s="87" t="s">
        <v>478</v>
      </c>
      <c r="J98" s="15"/>
      <c r="K98" s="326" t="s">
        <v>63</v>
      </c>
      <c r="L98" s="256" t="s">
        <v>479</v>
      </c>
      <c r="M98" s="267" t="s">
        <v>480</v>
      </c>
      <c r="N98" s="306"/>
    </row>
    <row r="99" spans="1:14" ht="105">
      <c r="A99" s="54" t="s">
        <v>481</v>
      </c>
      <c r="B99" s="49" t="s">
        <v>353</v>
      </c>
      <c r="C99" s="49" t="s">
        <v>482</v>
      </c>
      <c r="D99" s="49" t="s">
        <v>88</v>
      </c>
      <c r="E99" s="117" t="s">
        <v>483</v>
      </c>
      <c r="F99" s="11"/>
      <c r="G99" s="70" t="s">
        <v>484</v>
      </c>
      <c r="H99" s="63" t="s">
        <v>485</v>
      </c>
      <c r="I99" s="86" t="s">
        <v>486</v>
      </c>
      <c r="J99" s="12"/>
      <c r="K99" s="298" t="s">
        <v>63</v>
      </c>
      <c r="L99" s="278" t="s">
        <v>487</v>
      </c>
      <c r="M99" s="277" t="s">
        <v>488</v>
      </c>
      <c r="N99" s="307"/>
    </row>
    <row r="100" spans="1:14">
      <c r="A100" s="513" t="s">
        <v>489</v>
      </c>
      <c r="B100" s="512" t="s">
        <v>490</v>
      </c>
      <c r="C100" s="512" t="s">
        <v>491</v>
      </c>
      <c r="D100" s="512" t="s">
        <v>76</v>
      </c>
      <c r="E100" s="508" t="s">
        <v>492</v>
      </c>
      <c r="F100" s="11"/>
      <c r="G100" s="513" t="s">
        <v>493</v>
      </c>
      <c r="H100" s="516" t="s">
        <v>494</v>
      </c>
      <c r="I100" s="508" t="s">
        <v>495</v>
      </c>
      <c r="J100" s="15"/>
      <c r="K100" s="582" t="s">
        <v>63</v>
      </c>
      <c r="L100" s="512" t="s">
        <v>496</v>
      </c>
      <c r="M100" s="516" t="s">
        <v>5236</v>
      </c>
      <c r="N100" s="560"/>
    </row>
    <row r="101" spans="1:14">
      <c r="A101" s="513"/>
      <c r="B101" s="512"/>
      <c r="C101" s="512"/>
      <c r="D101" s="512"/>
      <c r="E101" s="508"/>
      <c r="F101" s="11"/>
      <c r="G101" s="513"/>
      <c r="H101" s="516"/>
      <c r="I101" s="508"/>
      <c r="J101" s="15"/>
      <c r="K101" s="582"/>
      <c r="L101" s="512"/>
      <c r="M101" s="516"/>
      <c r="N101" s="560"/>
    </row>
    <row r="102" spans="1:14">
      <c r="A102" s="513"/>
      <c r="B102" s="512"/>
      <c r="C102" s="512"/>
      <c r="D102" s="512"/>
      <c r="E102" s="508"/>
      <c r="F102" s="11"/>
      <c r="G102" s="513"/>
      <c r="H102" s="516"/>
      <c r="I102" s="508"/>
      <c r="J102" s="15"/>
      <c r="K102" s="582"/>
      <c r="L102" s="512"/>
      <c r="M102" s="516"/>
      <c r="N102" s="560"/>
    </row>
    <row r="103" spans="1:14" ht="60">
      <c r="A103" s="54" t="s">
        <v>497</v>
      </c>
      <c r="B103" s="49" t="s">
        <v>490</v>
      </c>
      <c r="C103" s="49" t="s">
        <v>498</v>
      </c>
      <c r="D103" s="49" t="s">
        <v>474</v>
      </c>
      <c r="E103" s="117" t="s">
        <v>499</v>
      </c>
      <c r="F103" s="11"/>
      <c r="G103" s="70" t="s">
        <v>500</v>
      </c>
      <c r="H103" s="63" t="s">
        <v>501</v>
      </c>
      <c r="I103" s="86" t="s">
        <v>502</v>
      </c>
      <c r="J103" s="12"/>
      <c r="K103" s="298" t="s">
        <v>63</v>
      </c>
      <c r="L103" s="278" t="s">
        <v>503</v>
      </c>
      <c r="M103" s="277" t="s">
        <v>504</v>
      </c>
      <c r="N103" s="297"/>
    </row>
    <row r="104" spans="1:14" ht="60">
      <c r="A104" s="56" t="s">
        <v>505</v>
      </c>
      <c r="B104" s="50" t="s">
        <v>506</v>
      </c>
      <c r="C104" s="50" t="s">
        <v>507</v>
      </c>
      <c r="D104" s="50" t="s">
        <v>88</v>
      </c>
      <c r="E104" s="57" t="s">
        <v>508</v>
      </c>
      <c r="F104" s="11"/>
      <c r="G104" s="56" t="s">
        <v>509</v>
      </c>
      <c r="H104" s="51" t="s">
        <v>507</v>
      </c>
      <c r="I104" s="57" t="s">
        <v>510</v>
      </c>
      <c r="J104" s="15"/>
      <c r="K104" s="326" t="s">
        <v>63</v>
      </c>
      <c r="L104" s="256" t="s">
        <v>511</v>
      </c>
      <c r="M104" s="267" t="s">
        <v>512</v>
      </c>
      <c r="N104" s="306"/>
    </row>
    <row r="105" spans="1:14" ht="45">
      <c r="A105" s="253" t="s">
        <v>513</v>
      </c>
      <c r="B105" s="252" t="s">
        <v>353</v>
      </c>
      <c r="C105" s="252" t="s">
        <v>514</v>
      </c>
      <c r="D105" s="252" t="s">
        <v>88</v>
      </c>
      <c r="E105" s="268" t="s">
        <v>515</v>
      </c>
      <c r="F105" s="11"/>
      <c r="G105" s="254" t="s">
        <v>516</v>
      </c>
      <c r="H105" s="269" t="s">
        <v>514</v>
      </c>
      <c r="I105" s="270" t="s">
        <v>517</v>
      </c>
      <c r="J105" s="12"/>
      <c r="K105" s="298" t="s">
        <v>63</v>
      </c>
      <c r="L105" s="278" t="s">
        <v>518</v>
      </c>
      <c r="M105" s="277" t="s">
        <v>519</v>
      </c>
      <c r="N105" s="297"/>
    </row>
    <row r="106" spans="1:14">
      <c r="A106" s="513" t="s">
        <v>520</v>
      </c>
      <c r="B106" s="512" t="s">
        <v>353</v>
      </c>
      <c r="C106" s="512" t="s">
        <v>521</v>
      </c>
      <c r="D106" s="512" t="s">
        <v>76</v>
      </c>
      <c r="E106" s="508" t="s">
        <v>522</v>
      </c>
      <c r="F106" s="11"/>
      <c r="G106" s="513" t="s">
        <v>33</v>
      </c>
      <c r="H106" s="586" t="s">
        <v>33</v>
      </c>
      <c r="I106" s="584" t="s">
        <v>33</v>
      </c>
      <c r="J106" s="15"/>
      <c r="K106" s="582" t="s">
        <v>63</v>
      </c>
      <c r="L106" s="512" t="s">
        <v>523</v>
      </c>
      <c r="M106" s="567" t="s">
        <v>5237</v>
      </c>
      <c r="N106" s="560"/>
    </row>
    <row r="107" spans="1:14">
      <c r="A107" s="513"/>
      <c r="B107" s="512"/>
      <c r="C107" s="512"/>
      <c r="D107" s="512"/>
      <c r="E107" s="508"/>
      <c r="F107" s="11"/>
      <c r="G107" s="513"/>
      <c r="H107" s="512"/>
      <c r="I107" s="585"/>
      <c r="J107" s="15"/>
      <c r="K107" s="582"/>
      <c r="L107" s="512"/>
      <c r="M107" s="567"/>
      <c r="N107" s="560"/>
    </row>
    <row r="108" spans="1:14">
      <c r="A108" s="513"/>
      <c r="B108" s="512"/>
      <c r="C108" s="512"/>
      <c r="D108" s="512"/>
      <c r="E108" s="508"/>
      <c r="F108" s="11"/>
      <c r="G108" s="513"/>
      <c r="H108" s="512"/>
      <c r="I108" s="585"/>
      <c r="J108" s="15"/>
      <c r="K108" s="582"/>
      <c r="L108" s="512"/>
      <c r="M108" s="567"/>
      <c r="N108" s="560"/>
    </row>
    <row r="109" spans="1:14">
      <c r="A109" s="513"/>
      <c r="B109" s="512"/>
      <c r="C109" s="512"/>
      <c r="D109" s="512"/>
      <c r="E109" s="508"/>
      <c r="F109" s="11"/>
      <c r="G109" s="513"/>
      <c r="H109" s="512"/>
      <c r="I109" s="585"/>
      <c r="J109" s="15"/>
      <c r="K109" s="582"/>
      <c r="L109" s="512"/>
      <c r="M109" s="567"/>
      <c r="N109" s="560"/>
    </row>
    <row r="110" spans="1:14">
      <c r="A110" s="513"/>
      <c r="B110" s="512"/>
      <c r="C110" s="512"/>
      <c r="D110" s="512"/>
      <c r="E110" s="508"/>
      <c r="F110" s="11"/>
      <c r="G110" s="513"/>
      <c r="H110" s="512"/>
      <c r="I110" s="585"/>
      <c r="J110" s="15"/>
      <c r="K110" s="582"/>
      <c r="L110" s="512"/>
      <c r="M110" s="567"/>
      <c r="N110" s="560"/>
    </row>
    <row r="111" spans="1:14">
      <c r="A111" s="513"/>
      <c r="B111" s="512"/>
      <c r="C111" s="512"/>
      <c r="D111" s="512"/>
      <c r="E111" s="508"/>
      <c r="F111" s="11"/>
      <c r="G111" s="513"/>
      <c r="H111" s="512"/>
      <c r="I111" s="585"/>
      <c r="J111" s="15"/>
      <c r="K111" s="582"/>
      <c r="L111" s="512"/>
      <c r="M111" s="567"/>
      <c r="N111" s="560"/>
    </row>
    <row r="112" spans="1:14">
      <c r="A112" s="513"/>
      <c r="B112" s="512"/>
      <c r="C112" s="512"/>
      <c r="D112" s="512"/>
      <c r="E112" s="508"/>
      <c r="F112" s="11"/>
      <c r="G112" s="513"/>
      <c r="H112" s="512"/>
      <c r="I112" s="585"/>
      <c r="J112" s="15"/>
      <c r="K112" s="582"/>
      <c r="L112" s="512"/>
      <c r="M112" s="567"/>
      <c r="N112" s="560"/>
    </row>
    <row r="113" spans="1:14" ht="60.75" thickBot="1">
      <c r="A113" s="58" t="s">
        <v>524</v>
      </c>
      <c r="B113" s="59" t="s">
        <v>525</v>
      </c>
      <c r="C113" s="59" t="s">
        <v>526</v>
      </c>
      <c r="D113" s="59" t="s">
        <v>88</v>
      </c>
      <c r="E113" s="60" t="s">
        <v>527</v>
      </c>
      <c r="F113" s="11"/>
      <c r="G113" s="77" t="s">
        <v>528</v>
      </c>
      <c r="H113" s="78" t="s">
        <v>526</v>
      </c>
      <c r="I113" s="79" t="s">
        <v>527</v>
      </c>
      <c r="J113" s="12"/>
      <c r="K113" s="299" t="s">
        <v>63</v>
      </c>
      <c r="L113" s="300" t="s">
        <v>529</v>
      </c>
      <c r="M113" s="301" t="s">
        <v>530</v>
      </c>
      <c r="N113" s="320"/>
    </row>
  </sheetData>
  <autoFilter ref="A2:N113"/>
  <mergeCells count="267">
    <mergeCell ref="N100:N102"/>
    <mergeCell ref="G106:G112"/>
    <mergeCell ref="H106:H112"/>
    <mergeCell ref="L106:L112"/>
    <mergeCell ref="K106:K112"/>
    <mergeCell ref="N106:N112"/>
    <mergeCell ref="H14:H16"/>
    <mergeCell ref="I14:I16"/>
    <mergeCell ref="H17:H23"/>
    <mergeCell ref="I17:I23"/>
    <mergeCell ref="H24:H26"/>
    <mergeCell ref="I24:I26"/>
    <mergeCell ref="H27:H30"/>
    <mergeCell ref="H31:H33"/>
    <mergeCell ref="H34:H36"/>
    <mergeCell ref="H37:H39"/>
    <mergeCell ref="H40:H41"/>
    <mergeCell ref="H47:H48"/>
    <mergeCell ref="H52:H58"/>
    <mergeCell ref="H61:H62"/>
    <mergeCell ref="H63:H64"/>
    <mergeCell ref="H65:H67"/>
    <mergeCell ref="H77:H83"/>
    <mergeCell ref="M77:M83"/>
    <mergeCell ref="I77:I83"/>
    <mergeCell ref="G77:G83"/>
    <mergeCell ref="L77:L83"/>
    <mergeCell ref="L88:L90"/>
    <mergeCell ref="K86:K87"/>
    <mergeCell ref="H86:H87"/>
    <mergeCell ref="G40:G41"/>
    <mergeCell ref="N94:N96"/>
    <mergeCell ref="A106:A112"/>
    <mergeCell ref="B106:B112"/>
    <mergeCell ref="C106:C112"/>
    <mergeCell ref="D106:D112"/>
    <mergeCell ref="E106:E112"/>
    <mergeCell ref="M106:M112"/>
    <mergeCell ref="I106:I112"/>
    <mergeCell ref="G14:G16"/>
    <mergeCell ref="H3:H6"/>
    <mergeCell ref="I3:I6"/>
    <mergeCell ref="H10:H13"/>
    <mergeCell ref="I10:I13"/>
    <mergeCell ref="L3:L6"/>
    <mergeCell ref="L10:L13"/>
    <mergeCell ref="L14:L16"/>
    <mergeCell ref="G3:G6"/>
    <mergeCell ref="M3:M6"/>
    <mergeCell ref="E3:E6"/>
    <mergeCell ref="D3:D6"/>
    <mergeCell ref="C3:C6"/>
    <mergeCell ref="B3:B6"/>
    <mergeCell ref="A3:A6"/>
    <mergeCell ref="C14:C16"/>
    <mergeCell ref="G37:G39"/>
    <mergeCell ref="E100:E102"/>
    <mergeCell ref="D100:D102"/>
    <mergeCell ref="C100:C102"/>
    <mergeCell ref="B100:B102"/>
    <mergeCell ref="A100:A102"/>
    <mergeCell ref="I100:I102"/>
    <mergeCell ref="M100:M102"/>
    <mergeCell ref="A94:A96"/>
    <mergeCell ref="B94:B96"/>
    <mergeCell ref="C94:C96"/>
    <mergeCell ref="D94:D96"/>
    <mergeCell ref="E94:E96"/>
    <mergeCell ref="M94:M96"/>
    <mergeCell ref="I94:I96"/>
    <mergeCell ref="L94:L96"/>
    <mergeCell ref="L100:L102"/>
    <mergeCell ref="K100:K102"/>
    <mergeCell ref="K94:K96"/>
    <mergeCell ref="G94:G96"/>
    <mergeCell ref="G100:G102"/>
    <mergeCell ref="H94:H96"/>
    <mergeCell ref="H100:H102"/>
    <mergeCell ref="N86:N87"/>
    <mergeCell ref="A91:A93"/>
    <mergeCell ref="B91:B93"/>
    <mergeCell ref="C91:C93"/>
    <mergeCell ref="D91:D93"/>
    <mergeCell ref="E91:E93"/>
    <mergeCell ref="M91:M93"/>
    <mergeCell ref="I91:I93"/>
    <mergeCell ref="G91:G93"/>
    <mergeCell ref="L91:L93"/>
    <mergeCell ref="K91:K93"/>
    <mergeCell ref="N91:N93"/>
    <mergeCell ref="N88:N90"/>
    <mergeCell ref="H91:H93"/>
    <mergeCell ref="M86:M87"/>
    <mergeCell ref="I86:I87"/>
    <mergeCell ref="A88:A90"/>
    <mergeCell ref="B88:B90"/>
    <mergeCell ref="C88:C90"/>
    <mergeCell ref="D88:D90"/>
    <mergeCell ref="E88:E90"/>
    <mergeCell ref="M88:M90"/>
    <mergeCell ref="I88:I90"/>
    <mergeCell ref="G86:G87"/>
    <mergeCell ref="D65:D67"/>
    <mergeCell ref="E86:E87"/>
    <mergeCell ref="L86:L87"/>
    <mergeCell ref="K88:K90"/>
    <mergeCell ref="B65:B67"/>
    <mergeCell ref="C65:C67"/>
    <mergeCell ref="I65:I67"/>
    <mergeCell ref="L63:L64"/>
    <mergeCell ref="L65:L67"/>
    <mergeCell ref="D86:D87"/>
    <mergeCell ref="C86:C87"/>
    <mergeCell ref="B86:B87"/>
    <mergeCell ref="K77:K83"/>
    <mergeCell ref="G65:G67"/>
    <mergeCell ref="G88:G90"/>
    <mergeCell ref="H88:H90"/>
    <mergeCell ref="K65:K67"/>
    <mergeCell ref="A86:A87"/>
    <mergeCell ref="A61:A62"/>
    <mergeCell ref="G61:G62"/>
    <mergeCell ref="M61:M62"/>
    <mergeCell ref="E61:E62"/>
    <mergeCell ref="D61:D62"/>
    <mergeCell ref="C61:C62"/>
    <mergeCell ref="B61:B62"/>
    <mergeCell ref="L61:L62"/>
    <mergeCell ref="A77:A83"/>
    <mergeCell ref="B77:B83"/>
    <mergeCell ref="C77:C83"/>
    <mergeCell ref="D77:D83"/>
    <mergeCell ref="E77:E83"/>
    <mergeCell ref="G63:G64"/>
    <mergeCell ref="M63:M64"/>
    <mergeCell ref="A63:A64"/>
    <mergeCell ref="B63:B64"/>
    <mergeCell ref="C63:C64"/>
    <mergeCell ref="D63:D64"/>
    <mergeCell ref="E63:E64"/>
    <mergeCell ref="M65:M67"/>
    <mergeCell ref="E65:E67"/>
    <mergeCell ref="A40:A41"/>
    <mergeCell ref="B40:B41"/>
    <mergeCell ref="M40:M41"/>
    <mergeCell ref="I40:I41"/>
    <mergeCell ref="L40:L41"/>
    <mergeCell ref="K40:K41"/>
    <mergeCell ref="A65:A67"/>
    <mergeCell ref="A47:A48"/>
    <mergeCell ref="B47:B48"/>
    <mergeCell ref="C47:C48"/>
    <mergeCell ref="D47:D48"/>
    <mergeCell ref="E47:E48"/>
    <mergeCell ref="G47:G48"/>
    <mergeCell ref="M47:M48"/>
    <mergeCell ref="A52:A58"/>
    <mergeCell ref="G52:G58"/>
    <mergeCell ref="M52:M58"/>
    <mergeCell ref="E52:E58"/>
    <mergeCell ref="D52:D58"/>
    <mergeCell ref="C52:C58"/>
    <mergeCell ref="B52:B58"/>
    <mergeCell ref="K52:K58"/>
    <mergeCell ref="K61:K62"/>
    <mergeCell ref="K63:K64"/>
    <mergeCell ref="L31:L33"/>
    <mergeCell ref="K24:K26"/>
    <mergeCell ref="K27:K30"/>
    <mergeCell ref="K31:K33"/>
    <mergeCell ref="G31:G33"/>
    <mergeCell ref="M31:M33"/>
    <mergeCell ref="G27:G30"/>
    <mergeCell ref="C31:C33"/>
    <mergeCell ref="E40:E41"/>
    <mergeCell ref="D40:D41"/>
    <mergeCell ref="C40:C41"/>
    <mergeCell ref="G34:G36"/>
    <mergeCell ref="M27:M30"/>
    <mergeCell ref="K34:K36"/>
    <mergeCell ref="K37:K39"/>
    <mergeCell ref="M24:M26"/>
    <mergeCell ref="G24:G26"/>
    <mergeCell ref="E24:E26"/>
    <mergeCell ref="A24:A26"/>
    <mergeCell ref="B24:B26"/>
    <mergeCell ref="C24:C26"/>
    <mergeCell ref="D24:D26"/>
    <mergeCell ref="L24:L26"/>
    <mergeCell ref="L27:L30"/>
    <mergeCell ref="G10:G13"/>
    <mergeCell ref="M10:M13"/>
    <mergeCell ref="A10:A13"/>
    <mergeCell ref="E17:E23"/>
    <mergeCell ref="A14:A16"/>
    <mergeCell ref="B14:B16"/>
    <mergeCell ref="D17:D23"/>
    <mergeCell ref="C17:C23"/>
    <mergeCell ref="M14:M16"/>
    <mergeCell ref="M17:M23"/>
    <mergeCell ref="E10:E13"/>
    <mergeCell ref="D10:D13"/>
    <mergeCell ref="C10:C13"/>
    <mergeCell ref="B10:B13"/>
    <mergeCell ref="B17:B23"/>
    <mergeCell ref="D14:D16"/>
    <mergeCell ref="E14:E16"/>
    <mergeCell ref="G17:G23"/>
    <mergeCell ref="D27:D30"/>
    <mergeCell ref="D31:D33"/>
    <mergeCell ref="C27:C30"/>
    <mergeCell ref="D34:D36"/>
    <mergeCell ref="C34:C36"/>
    <mergeCell ref="B34:B36"/>
    <mergeCell ref="B27:B30"/>
    <mergeCell ref="B31:B33"/>
    <mergeCell ref="A17:A23"/>
    <mergeCell ref="A27:A30"/>
    <mergeCell ref="A31:A33"/>
    <mergeCell ref="M34:M36"/>
    <mergeCell ref="L34:L36"/>
    <mergeCell ref="L37:L39"/>
    <mergeCell ref="A1:E1"/>
    <mergeCell ref="G1:I1"/>
    <mergeCell ref="I47:I48"/>
    <mergeCell ref="I52:I58"/>
    <mergeCell ref="I61:I62"/>
    <mergeCell ref="I63:I64"/>
    <mergeCell ref="L17:L23"/>
    <mergeCell ref="L52:L58"/>
    <mergeCell ref="C37:C39"/>
    <mergeCell ref="B37:B39"/>
    <mergeCell ref="A37:A39"/>
    <mergeCell ref="I27:I30"/>
    <mergeCell ref="I31:I33"/>
    <mergeCell ref="I37:I39"/>
    <mergeCell ref="I34:I36"/>
    <mergeCell ref="E37:E39"/>
    <mergeCell ref="E34:E36"/>
    <mergeCell ref="D37:D39"/>
    <mergeCell ref="A34:A36"/>
    <mergeCell ref="E27:E30"/>
    <mergeCell ref="E31:E33"/>
    <mergeCell ref="N52:N58"/>
    <mergeCell ref="N61:N62"/>
    <mergeCell ref="N63:N64"/>
    <mergeCell ref="N65:N67"/>
    <mergeCell ref="N77:N83"/>
    <mergeCell ref="K1:N1"/>
    <mergeCell ref="K3:K6"/>
    <mergeCell ref="K10:K13"/>
    <mergeCell ref="K14:K16"/>
    <mergeCell ref="K17:K23"/>
    <mergeCell ref="L47:L48"/>
    <mergeCell ref="K47:K48"/>
    <mergeCell ref="N3:N6"/>
    <mergeCell ref="N10:N13"/>
    <mergeCell ref="N14:N16"/>
    <mergeCell ref="N17:N23"/>
    <mergeCell ref="N24:N26"/>
    <mergeCell ref="N27:N30"/>
    <mergeCell ref="N31:N33"/>
    <mergeCell ref="N34:N36"/>
    <mergeCell ref="N37:N39"/>
    <mergeCell ref="N40:N41"/>
    <mergeCell ref="N47:N48"/>
    <mergeCell ref="M37:M39"/>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2371725</xdr:colOff>
                <xdr:row>80</xdr:row>
                <xdr:rowOff>9525</xdr:rowOff>
              </from>
              <to>
                <xdr:col>4</xdr:col>
                <xdr:colOff>2895600</xdr:colOff>
                <xdr:row>82</xdr:row>
                <xdr:rowOff>57150</xdr:rowOff>
              </to>
            </anchor>
          </objectPr>
        </oleObject>
      </mc:Choice>
      <mc:Fallback>
        <oleObject progId="Worksheet" dvAspect="DVASPECT_ICON" shapeId="6145"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N29"/>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75" thickBot="1">
      <c r="A2" s="52" t="s">
        <v>45</v>
      </c>
      <c r="B2" s="48" t="s">
        <v>46</v>
      </c>
      <c r="C2" s="48" t="s">
        <v>47</v>
      </c>
      <c r="D2" s="48" t="s">
        <v>48</v>
      </c>
      <c r="E2" s="53" t="s">
        <v>49</v>
      </c>
      <c r="F2" s="13"/>
      <c r="G2" s="68" t="s">
        <v>50</v>
      </c>
      <c r="H2" s="61" t="s">
        <v>51</v>
      </c>
      <c r="I2" s="69" t="s">
        <v>52</v>
      </c>
      <c r="J2" s="14"/>
      <c r="K2" s="303" t="s">
        <v>113</v>
      </c>
      <c r="L2" s="152" t="s">
        <v>54</v>
      </c>
      <c r="M2" s="153" t="s">
        <v>5147</v>
      </c>
      <c r="N2" s="304" t="s">
        <v>5152</v>
      </c>
    </row>
    <row r="3" spans="1:14" ht="120">
      <c r="A3" s="54" t="s">
        <v>66</v>
      </c>
      <c r="B3" s="49" t="s">
        <v>56</v>
      </c>
      <c r="C3" s="49" t="s">
        <v>67</v>
      </c>
      <c r="D3" s="49" t="s">
        <v>58</v>
      </c>
      <c r="E3" s="55" t="s">
        <v>68</v>
      </c>
      <c r="F3" s="10"/>
      <c r="G3" s="70" t="s">
        <v>114</v>
      </c>
      <c r="H3" s="63" t="s">
        <v>115</v>
      </c>
      <c r="I3" s="86" t="s">
        <v>116</v>
      </c>
      <c r="J3" s="10"/>
      <c r="K3" s="321" t="s">
        <v>63</v>
      </c>
      <c r="L3" s="280" t="s">
        <v>71</v>
      </c>
      <c r="M3" s="151" t="s">
        <v>117</v>
      </c>
      <c r="N3" s="322"/>
    </row>
    <row r="4" spans="1:14">
      <c r="A4" s="513" t="s">
        <v>214</v>
      </c>
      <c r="B4" s="512" t="s">
        <v>86</v>
      </c>
      <c r="C4" s="512" t="s">
        <v>531</v>
      </c>
      <c r="D4" s="512" t="s">
        <v>532</v>
      </c>
      <c r="E4" s="508" t="s">
        <v>533</v>
      </c>
      <c r="F4" s="11"/>
      <c r="G4" s="513" t="s">
        <v>534</v>
      </c>
      <c r="H4" s="516" t="s">
        <v>535</v>
      </c>
      <c r="I4" s="508" t="s">
        <v>536</v>
      </c>
      <c r="J4" s="11"/>
      <c r="K4" s="614" t="s">
        <v>63</v>
      </c>
      <c r="L4" s="437" t="s">
        <v>537</v>
      </c>
      <c r="M4" s="596" t="s">
        <v>538</v>
      </c>
      <c r="N4" s="605"/>
    </row>
    <row r="5" spans="1:14">
      <c r="A5" s="513"/>
      <c r="B5" s="512"/>
      <c r="C5" s="512"/>
      <c r="D5" s="512"/>
      <c r="E5" s="508"/>
      <c r="F5" s="11"/>
      <c r="G5" s="513"/>
      <c r="H5" s="516"/>
      <c r="I5" s="508"/>
      <c r="J5" s="11"/>
      <c r="K5" s="615"/>
      <c r="L5" s="438"/>
      <c r="M5" s="597"/>
      <c r="N5" s="606"/>
    </row>
    <row r="6" spans="1:14">
      <c r="A6" s="513"/>
      <c r="B6" s="512"/>
      <c r="C6" s="512"/>
      <c r="D6" s="512"/>
      <c r="E6" s="508"/>
      <c r="F6" s="11"/>
      <c r="G6" s="513"/>
      <c r="H6" s="516"/>
      <c r="I6" s="508"/>
      <c r="J6" s="11"/>
      <c r="K6" s="615"/>
      <c r="L6" s="438"/>
      <c r="M6" s="597"/>
      <c r="N6" s="606"/>
    </row>
    <row r="7" spans="1:14">
      <c r="A7" s="513"/>
      <c r="B7" s="512"/>
      <c r="C7" s="512"/>
      <c r="D7" s="512"/>
      <c r="E7" s="508"/>
      <c r="F7" s="11"/>
      <c r="G7" s="513"/>
      <c r="H7" s="516"/>
      <c r="I7" s="508"/>
      <c r="J7" s="11"/>
      <c r="K7" s="615"/>
      <c r="L7" s="438"/>
      <c r="M7" s="597"/>
      <c r="N7" s="606"/>
    </row>
    <row r="8" spans="1:14">
      <c r="A8" s="513"/>
      <c r="B8" s="512"/>
      <c r="C8" s="512"/>
      <c r="D8" s="512"/>
      <c r="E8" s="508"/>
      <c r="F8" s="11"/>
      <c r="G8" s="513"/>
      <c r="H8" s="516"/>
      <c r="I8" s="508"/>
      <c r="J8" s="11"/>
      <c r="K8" s="615"/>
      <c r="L8" s="438"/>
      <c r="M8" s="597"/>
      <c r="N8" s="606"/>
    </row>
    <row r="9" spans="1:14">
      <c r="A9" s="513"/>
      <c r="B9" s="512"/>
      <c r="C9" s="512"/>
      <c r="D9" s="512"/>
      <c r="E9" s="508"/>
      <c r="F9" s="11"/>
      <c r="G9" s="513"/>
      <c r="H9" s="516"/>
      <c r="I9" s="508"/>
      <c r="J9" s="11"/>
      <c r="K9" s="615"/>
      <c r="L9" s="438"/>
      <c r="M9" s="597"/>
      <c r="N9" s="606"/>
    </row>
    <row r="10" spans="1:14">
      <c r="A10" s="513"/>
      <c r="B10" s="512"/>
      <c r="C10" s="512"/>
      <c r="D10" s="512"/>
      <c r="E10" s="508"/>
      <c r="F10" s="11"/>
      <c r="G10" s="513"/>
      <c r="H10" s="516"/>
      <c r="I10" s="508"/>
      <c r="J10" s="11"/>
      <c r="K10" s="615"/>
      <c r="L10" s="438"/>
      <c r="M10" s="597"/>
      <c r="N10" s="606"/>
    </row>
    <row r="11" spans="1:14">
      <c r="A11" s="513"/>
      <c r="B11" s="512"/>
      <c r="C11" s="512"/>
      <c r="D11" s="512"/>
      <c r="E11" s="508"/>
      <c r="F11" s="11"/>
      <c r="G11" s="513"/>
      <c r="H11" s="516"/>
      <c r="I11" s="508"/>
      <c r="J11" s="11"/>
      <c r="K11" s="616"/>
      <c r="L11" s="439"/>
      <c r="M11" s="598"/>
      <c r="N11" s="607"/>
    </row>
    <row r="12" spans="1:14" ht="90">
      <c r="A12" s="54" t="s">
        <v>118</v>
      </c>
      <c r="B12" s="49" t="s">
        <v>86</v>
      </c>
      <c r="C12" s="49" t="s">
        <v>119</v>
      </c>
      <c r="D12" s="49" t="s">
        <v>539</v>
      </c>
      <c r="E12" s="55" t="s">
        <v>540</v>
      </c>
      <c r="F12" s="10"/>
      <c r="G12" s="70" t="s">
        <v>122</v>
      </c>
      <c r="H12" s="119" t="s">
        <v>123</v>
      </c>
      <c r="I12" s="125" t="s">
        <v>124</v>
      </c>
      <c r="J12" s="10"/>
      <c r="K12" s="316" t="s">
        <v>63</v>
      </c>
      <c r="L12" s="258" t="s">
        <v>125</v>
      </c>
      <c r="M12" s="260" t="s">
        <v>5154</v>
      </c>
      <c r="N12" s="297"/>
    </row>
    <row r="13" spans="1:14">
      <c r="A13" s="513" t="s">
        <v>134</v>
      </c>
      <c r="B13" s="512" t="s">
        <v>86</v>
      </c>
      <c r="C13" s="512" t="s">
        <v>135</v>
      </c>
      <c r="D13" s="512" t="s">
        <v>97</v>
      </c>
      <c r="E13" s="508" t="s">
        <v>136</v>
      </c>
      <c r="F13" s="11"/>
      <c r="G13" s="513" t="s">
        <v>137</v>
      </c>
      <c r="H13" s="516" t="s">
        <v>138</v>
      </c>
      <c r="I13" s="508" t="s">
        <v>139</v>
      </c>
      <c r="J13" s="11"/>
      <c r="K13" s="492" t="s">
        <v>70</v>
      </c>
      <c r="L13" s="473" t="s">
        <v>140</v>
      </c>
      <c r="M13" s="608" t="s">
        <v>5155</v>
      </c>
      <c r="N13" s="461" t="s">
        <v>5153</v>
      </c>
    </row>
    <row r="14" spans="1:14">
      <c r="A14" s="513"/>
      <c r="B14" s="512"/>
      <c r="C14" s="512"/>
      <c r="D14" s="512"/>
      <c r="E14" s="508"/>
      <c r="F14" s="11"/>
      <c r="G14" s="513"/>
      <c r="H14" s="516"/>
      <c r="I14" s="508"/>
      <c r="J14" s="11"/>
      <c r="K14" s="493"/>
      <c r="L14" s="474"/>
      <c r="M14" s="609"/>
      <c r="N14" s="462"/>
    </row>
    <row r="15" spans="1:14">
      <c r="A15" s="513"/>
      <c r="B15" s="512"/>
      <c r="C15" s="512"/>
      <c r="D15" s="512"/>
      <c r="E15" s="508"/>
      <c r="F15" s="11"/>
      <c r="G15" s="513"/>
      <c r="H15" s="516"/>
      <c r="I15" s="508"/>
      <c r="J15" s="11"/>
      <c r="K15" s="493"/>
      <c r="L15" s="474"/>
      <c r="M15" s="609"/>
      <c r="N15" s="462"/>
    </row>
    <row r="16" spans="1:14">
      <c r="A16" s="513"/>
      <c r="B16" s="512"/>
      <c r="C16" s="512"/>
      <c r="D16" s="512"/>
      <c r="E16" s="508"/>
      <c r="F16" s="11"/>
      <c r="G16" s="513"/>
      <c r="H16" s="516"/>
      <c r="I16" s="508"/>
      <c r="J16" s="11"/>
      <c r="K16" s="493"/>
      <c r="L16" s="474"/>
      <c r="M16" s="609"/>
      <c r="N16" s="462"/>
    </row>
    <row r="17" spans="1:14">
      <c r="A17" s="513"/>
      <c r="B17" s="512"/>
      <c r="C17" s="512"/>
      <c r="D17" s="512"/>
      <c r="E17" s="508"/>
      <c r="F17" s="11"/>
      <c r="G17" s="513"/>
      <c r="H17" s="516"/>
      <c r="I17" s="508"/>
      <c r="J17" s="11"/>
      <c r="K17" s="493"/>
      <c r="L17" s="474"/>
      <c r="M17" s="609"/>
      <c r="N17" s="462"/>
    </row>
    <row r="18" spans="1:14">
      <c r="A18" s="513"/>
      <c r="B18" s="512"/>
      <c r="C18" s="512"/>
      <c r="D18" s="512"/>
      <c r="E18" s="508"/>
      <c r="F18" s="11"/>
      <c r="G18" s="513"/>
      <c r="H18" s="516"/>
      <c r="I18" s="508"/>
      <c r="J18" s="11"/>
      <c r="K18" s="493"/>
      <c r="L18" s="474"/>
      <c r="M18" s="609"/>
      <c r="N18" s="462"/>
    </row>
    <row r="19" spans="1:14">
      <c r="A19" s="513"/>
      <c r="B19" s="512"/>
      <c r="C19" s="512"/>
      <c r="D19" s="512"/>
      <c r="E19" s="508"/>
      <c r="F19" s="11"/>
      <c r="G19" s="513"/>
      <c r="H19" s="516"/>
      <c r="I19" s="508"/>
      <c r="J19" s="11"/>
      <c r="K19" s="493"/>
      <c r="L19" s="474"/>
      <c r="M19" s="609"/>
      <c r="N19" s="462"/>
    </row>
    <row r="20" spans="1:14">
      <c r="A20" s="513"/>
      <c r="B20" s="512"/>
      <c r="C20" s="512"/>
      <c r="D20" s="512"/>
      <c r="E20" s="508"/>
      <c r="F20" s="11"/>
      <c r="G20" s="513"/>
      <c r="H20" s="516"/>
      <c r="I20" s="508"/>
      <c r="J20" s="11"/>
      <c r="K20" s="493"/>
      <c r="L20" s="474"/>
      <c r="M20" s="609"/>
      <c r="N20" s="462"/>
    </row>
    <row r="21" spans="1:14">
      <c r="A21" s="513"/>
      <c r="B21" s="512"/>
      <c r="C21" s="512"/>
      <c r="D21" s="512"/>
      <c r="E21" s="508"/>
      <c r="F21" s="11"/>
      <c r="G21" s="513"/>
      <c r="H21" s="516"/>
      <c r="I21" s="508"/>
      <c r="J21" s="11"/>
      <c r="K21" s="493"/>
      <c r="L21" s="474"/>
      <c r="M21" s="609"/>
      <c r="N21" s="462"/>
    </row>
    <row r="22" spans="1:14">
      <c r="A22" s="513"/>
      <c r="B22" s="512"/>
      <c r="C22" s="512"/>
      <c r="D22" s="512"/>
      <c r="E22" s="508"/>
      <c r="F22" s="11"/>
      <c r="G22" s="513"/>
      <c r="H22" s="516"/>
      <c r="I22" s="508"/>
      <c r="J22" s="11"/>
      <c r="K22" s="493"/>
      <c r="L22" s="474"/>
      <c r="M22" s="609"/>
      <c r="N22" s="462"/>
    </row>
    <row r="23" spans="1:14">
      <c r="A23" s="513"/>
      <c r="B23" s="512"/>
      <c r="C23" s="512"/>
      <c r="D23" s="512"/>
      <c r="E23" s="508"/>
      <c r="F23" s="11"/>
      <c r="G23" s="513"/>
      <c r="H23" s="516"/>
      <c r="I23" s="508"/>
      <c r="J23" s="11"/>
      <c r="K23" s="494"/>
      <c r="L23" s="475"/>
      <c r="M23" s="610"/>
      <c r="N23" s="463"/>
    </row>
    <row r="24" spans="1:14" ht="180">
      <c r="A24" s="54" t="s">
        <v>142</v>
      </c>
      <c r="B24" s="49" t="s">
        <v>86</v>
      </c>
      <c r="C24" s="49" t="s">
        <v>143</v>
      </c>
      <c r="D24" s="49" t="s">
        <v>97</v>
      </c>
      <c r="E24" s="117" t="s">
        <v>541</v>
      </c>
      <c r="F24" s="10"/>
      <c r="G24" s="74" t="s">
        <v>33</v>
      </c>
      <c r="H24" s="66" t="s">
        <v>33</v>
      </c>
      <c r="I24" s="75" t="s">
        <v>33</v>
      </c>
      <c r="J24" s="10"/>
      <c r="K24" s="316" t="s">
        <v>70</v>
      </c>
      <c r="L24" s="258" t="s">
        <v>145</v>
      </c>
      <c r="M24" s="334" t="s">
        <v>5159</v>
      </c>
      <c r="N24" s="297"/>
    </row>
    <row r="25" spans="1:14" ht="135">
      <c r="A25" s="56" t="s">
        <v>542</v>
      </c>
      <c r="B25" s="50" t="s">
        <v>543</v>
      </c>
      <c r="C25" s="50" t="s">
        <v>544</v>
      </c>
      <c r="D25" s="50" t="s">
        <v>76</v>
      </c>
      <c r="E25" s="87" t="s">
        <v>545</v>
      </c>
      <c r="F25" s="11"/>
      <c r="G25" s="56" t="s">
        <v>213</v>
      </c>
      <c r="H25" s="96" t="s">
        <v>33</v>
      </c>
      <c r="I25" s="83" t="s">
        <v>33</v>
      </c>
      <c r="J25" s="11"/>
      <c r="K25" s="326" t="s">
        <v>70</v>
      </c>
      <c r="L25" s="256" t="s">
        <v>546</v>
      </c>
      <c r="M25" s="335" t="s">
        <v>5158</v>
      </c>
      <c r="N25" s="306"/>
    </row>
    <row r="26" spans="1:14">
      <c r="A26" s="517" t="s">
        <v>547</v>
      </c>
      <c r="B26" s="519" t="s">
        <v>353</v>
      </c>
      <c r="C26" s="519" t="s">
        <v>548</v>
      </c>
      <c r="D26" s="519" t="s">
        <v>76</v>
      </c>
      <c r="E26" s="580" t="s">
        <v>549</v>
      </c>
      <c r="F26" s="10"/>
      <c r="G26" s="521" t="s">
        <v>550</v>
      </c>
      <c r="H26" s="526" t="s">
        <v>551</v>
      </c>
      <c r="I26" s="542" t="s">
        <v>552</v>
      </c>
      <c r="J26" s="10"/>
      <c r="K26" s="602" t="s">
        <v>63</v>
      </c>
      <c r="L26" s="599" t="s">
        <v>553</v>
      </c>
      <c r="M26" s="611" t="s">
        <v>5238</v>
      </c>
      <c r="N26" s="593"/>
    </row>
    <row r="27" spans="1:14">
      <c r="A27" s="517"/>
      <c r="B27" s="519"/>
      <c r="C27" s="519"/>
      <c r="D27" s="519"/>
      <c r="E27" s="580"/>
      <c r="F27" s="10"/>
      <c r="G27" s="521"/>
      <c r="H27" s="526"/>
      <c r="I27" s="542"/>
      <c r="J27" s="10"/>
      <c r="K27" s="603"/>
      <c r="L27" s="600"/>
      <c r="M27" s="612"/>
      <c r="N27" s="594"/>
    </row>
    <row r="28" spans="1:14">
      <c r="A28" s="517"/>
      <c r="B28" s="519"/>
      <c r="C28" s="519"/>
      <c r="D28" s="519"/>
      <c r="E28" s="580"/>
      <c r="F28" s="10"/>
      <c r="G28" s="521"/>
      <c r="H28" s="526"/>
      <c r="I28" s="542"/>
      <c r="J28" s="10"/>
      <c r="K28" s="604"/>
      <c r="L28" s="601"/>
      <c r="M28" s="613"/>
      <c r="N28" s="595"/>
    </row>
    <row r="29" spans="1:14" ht="45" customHeight="1" thickBot="1">
      <c r="A29" s="92" t="s">
        <v>554</v>
      </c>
      <c r="B29" s="93" t="s">
        <v>353</v>
      </c>
      <c r="C29" s="93" t="s">
        <v>555</v>
      </c>
      <c r="D29" s="93" t="s">
        <v>474</v>
      </c>
      <c r="E29" s="94" t="s">
        <v>556</v>
      </c>
      <c r="F29" s="11"/>
      <c r="G29" s="92" t="s">
        <v>557</v>
      </c>
      <c r="H29" s="131" t="s">
        <v>363</v>
      </c>
      <c r="I29" s="94" t="s">
        <v>558</v>
      </c>
      <c r="J29" s="11"/>
      <c r="K29" s="330" t="s">
        <v>63</v>
      </c>
      <c r="L29" s="331" t="s">
        <v>559</v>
      </c>
      <c r="M29" s="332" t="s">
        <v>560</v>
      </c>
      <c r="N29" s="333"/>
    </row>
  </sheetData>
  <autoFilter ref="A2:N29"/>
  <mergeCells count="39">
    <mergeCell ref="K1:N1"/>
    <mergeCell ref="K4:K11"/>
    <mergeCell ref="K13:K23"/>
    <mergeCell ref="G13:G23"/>
    <mergeCell ref="N13:N23"/>
    <mergeCell ref="N26:N28"/>
    <mergeCell ref="M4:M11"/>
    <mergeCell ref="G26:G28"/>
    <mergeCell ref="L26:L28"/>
    <mergeCell ref="K26:K28"/>
    <mergeCell ref="L4:L11"/>
    <mergeCell ref="L13:L23"/>
    <mergeCell ref="N4:N11"/>
    <mergeCell ref="H13:H23"/>
    <mergeCell ref="I13:I23"/>
    <mergeCell ref="H26:H28"/>
    <mergeCell ref="I26:I28"/>
    <mergeCell ref="M13:M23"/>
    <mergeCell ref="M26:M28"/>
    <mergeCell ref="H4:H11"/>
    <mergeCell ref="I4:I11"/>
    <mergeCell ref="D13:D23"/>
    <mergeCell ref="C13:C23"/>
    <mergeCell ref="B13:B23"/>
    <mergeCell ref="E13:E23"/>
    <mergeCell ref="A26:A28"/>
    <mergeCell ref="A13:A23"/>
    <mergeCell ref="D26:D28"/>
    <mergeCell ref="E26:E28"/>
    <mergeCell ref="B26:B28"/>
    <mergeCell ref="C26:C28"/>
    <mergeCell ref="E4:E11"/>
    <mergeCell ref="A1:E1"/>
    <mergeCell ref="G1:I1"/>
    <mergeCell ref="D4:D11"/>
    <mergeCell ref="A4:A11"/>
    <mergeCell ref="C4:C11"/>
    <mergeCell ref="B4:B11"/>
    <mergeCell ref="G4:G1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N27"/>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3"/>
      <c r="G2" s="68" t="s">
        <v>50</v>
      </c>
      <c r="H2" s="61" t="s">
        <v>51</v>
      </c>
      <c r="I2" s="69" t="s">
        <v>52</v>
      </c>
      <c r="J2" s="14"/>
      <c r="K2" s="292" t="s">
        <v>147</v>
      </c>
      <c r="L2" s="144" t="s">
        <v>54</v>
      </c>
      <c r="M2" s="80" t="s">
        <v>5147</v>
      </c>
      <c r="N2" s="293" t="s">
        <v>5152</v>
      </c>
    </row>
    <row r="3" spans="1:14">
      <c r="A3" s="517" t="s">
        <v>148</v>
      </c>
      <c r="B3" s="519" t="s">
        <v>56</v>
      </c>
      <c r="C3" s="519" t="s">
        <v>149</v>
      </c>
      <c r="D3" s="519" t="s">
        <v>58</v>
      </c>
      <c r="E3" s="520" t="s">
        <v>150</v>
      </c>
      <c r="F3" s="12"/>
      <c r="G3" s="521" t="s">
        <v>151</v>
      </c>
      <c r="H3" s="526" t="s">
        <v>152</v>
      </c>
      <c r="I3" s="527" t="s">
        <v>153</v>
      </c>
      <c r="J3" s="12"/>
      <c r="K3" s="561" t="s">
        <v>63</v>
      </c>
      <c r="L3" s="564" t="s">
        <v>154</v>
      </c>
      <c r="M3" s="574" t="s">
        <v>155</v>
      </c>
      <c r="N3" s="535"/>
    </row>
    <row r="4" spans="1:14">
      <c r="A4" s="517"/>
      <c r="B4" s="519"/>
      <c r="C4" s="519"/>
      <c r="D4" s="519"/>
      <c r="E4" s="520"/>
      <c r="F4" s="12"/>
      <c r="G4" s="521"/>
      <c r="H4" s="526"/>
      <c r="I4" s="527"/>
      <c r="J4" s="12"/>
      <c r="K4" s="561"/>
      <c r="L4" s="564"/>
      <c r="M4" s="574"/>
      <c r="N4" s="535"/>
    </row>
    <row r="5" spans="1:14">
      <c r="A5" s="517"/>
      <c r="B5" s="519"/>
      <c r="C5" s="519"/>
      <c r="D5" s="519"/>
      <c r="E5" s="520"/>
      <c r="F5" s="12"/>
      <c r="G5" s="521"/>
      <c r="H5" s="526"/>
      <c r="I5" s="527"/>
      <c r="J5" s="12"/>
      <c r="K5" s="561"/>
      <c r="L5" s="564"/>
      <c r="M5" s="574"/>
      <c r="N5" s="535"/>
    </row>
    <row r="6" spans="1:14">
      <c r="A6" s="517"/>
      <c r="B6" s="519"/>
      <c r="C6" s="519"/>
      <c r="D6" s="519"/>
      <c r="E6" s="520"/>
      <c r="F6" s="12"/>
      <c r="G6" s="521"/>
      <c r="H6" s="526"/>
      <c r="I6" s="527"/>
      <c r="J6" s="12"/>
      <c r="K6" s="561"/>
      <c r="L6" s="564"/>
      <c r="M6" s="574"/>
      <c r="N6" s="535"/>
    </row>
    <row r="7" spans="1:14" ht="105">
      <c r="A7" s="56" t="s">
        <v>561</v>
      </c>
      <c r="B7" s="50" t="s">
        <v>56</v>
      </c>
      <c r="C7" s="50" t="s">
        <v>562</v>
      </c>
      <c r="D7" s="50" t="s">
        <v>58</v>
      </c>
      <c r="E7" s="87" t="s">
        <v>563</v>
      </c>
      <c r="F7" s="11"/>
      <c r="G7" s="56" t="s">
        <v>564</v>
      </c>
      <c r="H7" s="51" t="s">
        <v>565</v>
      </c>
      <c r="I7" s="87" t="s">
        <v>566</v>
      </c>
      <c r="J7" s="11"/>
      <c r="K7" s="294" t="s">
        <v>63</v>
      </c>
      <c r="L7" s="259" t="s">
        <v>567</v>
      </c>
      <c r="M7" s="261" t="s">
        <v>568</v>
      </c>
      <c r="N7" s="306"/>
    </row>
    <row r="8" spans="1:14">
      <c r="A8" s="517" t="s">
        <v>55</v>
      </c>
      <c r="B8" s="519" t="s">
        <v>56</v>
      </c>
      <c r="C8" s="519" t="s">
        <v>57</v>
      </c>
      <c r="D8" s="519" t="s">
        <v>58</v>
      </c>
      <c r="E8" s="520" t="s">
        <v>156</v>
      </c>
      <c r="F8" s="12"/>
      <c r="G8" s="521" t="s">
        <v>569</v>
      </c>
      <c r="H8" s="592" t="s">
        <v>33</v>
      </c>
      <c r="I8" s="570" t="s">
        <v>33</v>
      </c>
      <c r="J8" s="12"/>
      <c r="K8" s="561" t="s">
        <v>70</v>
      </c>
      <c r="L8" s="619" t="s">
        <v>64</v>
      </c>
      <c r="M8" s="620" t="s">
        <v>5158</v>
      </c>
      <c r="N8" s="535"/>
    </row>
    <row r="9" spans="1:14">
      <c r="A9" s="517"/>
      <c r="B9" s="519"/>
      <c r="C9" s="519"/>
      <c r="D9" s="519"/>
      <c r="E9" s="520"/>
      <c r="F9" s="12"/>
      <c r="G9" s="521"/>
      <c r="H9" s="617"/>
      <c r="I9" s="618"/>
      <c r="J9" s="12"/>
      <c r="K9" s="561"/>
      <c r="L9" s="564"/>
      <c r="M9" s="574"/>
      <c r="N9" s="535"/>
    </row>
    <row r="10" spans="1:14">
      <c r="A10" s="517"/>
      <c r="B10" s="519"/>
      <c r="C10" s="519"/>
      <c r="D10" s="519"/>
      <c r="E10" s="520"/>
      <c r="F10" s="12"/>
      <c r="G10" s="521"/>
      <c r="H10" s="617"/>
      <c r="I10" s="618"/>
      <c r="J10" s="12"/>
      <c r="K10" s="561"/>
      <c r="L10" s="564"/>
      <c r="M10" s="574"/>
      <c r="N10" s="535"/>
    </row>
    <row r="11" spans="1:14">
      <c r="A11" s="517"/>
      <c r="B11" s="519"/>
      <c r="C11" s="519"/>
      <c r="D11" s="519"/>
      <c r="E11" s="520"/>
      <c r="F11" s="12"/>
      <c r="G11" s="521"/>
      <c r="H11" s="617"/>
      <c r="I11" s="618"/>
      <c r="J11" s="12"/>
      <c r="K11" s="561"/>
      <c r="L11" s="564"/>
      <c r="M11" s="574"/>
      <c r="N11" s="535"/>
    </row>
    <row r="12" spans="1:14">
      <c r="A12" s="513" t="s">
        <v>158</v>
      </c>
      <c r="B12" s="512" t="s">
        <v>56</v>
      </c>
      <c r="C12" s="512" t="s">
        <v>159</v>
      </c>
      <c r="D12" s="512" t="s">
        <v>76</v>
      </c>
      <c r="E12" s="508" t="s">
        <v>570</v>
      </c>
      <c r="F12" s="15"/>
      <c r="G12" s="513" t="s">
        <v>161</v>
      </c>
      <c r="H12" s="516" t="s">
        <v>162</v>
      </c>
      <c r="I12" s="508" t="s">
        <v>163</v>
      </c>
      <c r="J12" s="15"/>
      <c r="K12" s="582" t="s">
        <v>63</v>
      </c>
      <c r="L12" s="512" t="s">
        <v>164</v>
      </c>
      <c r="M12" s="516" t="s">
        <v>5239</v>
      </c>
      <c r="N12" s="560"/>
    </row>
    <row r="13" spans="1:14">
      <c r="A13" s="513"/>
      <c r="B13" s="512"/>
      <c r="C13" s="512"/>
      <c r="D13" s="512"/>
      <c r="E13" s="508"/>
      <c r="F13" s="15"/>
      <c r="G13" s="513"/>
      <c r="H13" s="516"/>
      <c r="I13" s="508"/>
      <c r="J13" s="15"/>
      <c r="K13" s="582"/>
      <c r="L13" s="512"/>
      <c r="M13" s="516"/>
      <c r="N13" s="560"/>
    </row>
    <row r="14" spans="1:14">
      <c r="A14" s="513"/>
      <c r="B14" s="512"/>
      <c r="C14" s="512"/>
      <c r="D14" s="512"/>
      <c r="E14" s="508"/>
      <c r="F14" s="15"/>
      <c r="G14" s="513"/>
      <c r="H14" s="516"/>
      <c r="I14" s="508"/>
      <c r="J14" s="15"/>
      <c r="K14" s="582"/>
      <c r="L14" s="512"/>
      <c r="M14" s="516"/>
      <c r="N14" s="560"/>
    </row>
    <row r="15" spans="1:14" ht="75">
      <c r="A15" s="54" t="s">
        <v>165</v>
      </c>
      <c r="B15" s="49" t="s">
        <v>166</v>
      </c>
      <c r="C15" s="49" t="s">
        <v>167</v>
      </c>
      <c r="D15" s="49" t="s">
        <v>168</v>
      </c>
      <c r="E15" s="117" t="s">
        <v>571</v>
      </c>
      <c r="F15" s="10"/>
      <c r="G15" s="74" t="s">
        <v>33</v>
      </c>
      <c r="H15" s="66" t="s">
        <v>33</v>
      </c>
      <c r="I15" s="75" t="s">
        <v>33</v>
      </c>
      <c r="J15" s="10"/>
      <c r="K15" s="316" t="s">
        <v>170</v>
      </c>
      <c r="L15" s="258" t="s">
        <v>171</v>
      </c>
      <c r="M15" s="260" t="s">
        <v>5156</v>
      </c>
      <c r="N15" s="297"/>
    </row>
    <row r="16" spans="1:14" ht="30">
      <c r="A16" s="72" t="s">
        <v>173</v>
      </c>
      <c r="B16" s="50" t="s">
        <v>166</v>
      </c>
      <c r="C16" s="50" t="s">
        <v>174</v>
      </c>
      <c r="D16" s="50" t="s">
        <v>168</v>
      </c>
      <c r="E16" s="57" t="s">
        <v>572</v>
      </c>
      <c r="F16" s="11"/>
      <c r="G16" s="99" t="s">
        <v>33</v>
      </c>
      <c r="H16" s="96" t="s">
        <v>33</v>
      </c>
      <c r="I16" s="100" t="s">
        <v>33</v>
      </c>
      <c r="J16" s="11"/>
      <c r="K16" s="305" t="s">
        <v>176</v>
      </c>
      <c r="L16" s="264" t="s">
        <v>177</v>
      </c>
      <c r="M16" s="290" t="s">
        <v>5157</v>
      </c>
      <c r="N16" s="295"/>
    </row>
    <row r="17" spans="1:14" ht="75">
      <c r="A17" s="54" t="s">
        <v>178</v>
      </c>
      <c r="B17" s="49" t="s">
        <v>179</v>
      </c>
      <c r="C17" s="49" t="s">
        <v>180</v>
      </c>
      <c r="D17" s="49" t="s">
        <v>168</v>
      </c>
      <c r="E17" s="117" t="s">
        <v>573</v>
      </c>
      <c r="F17" s="10"/>
      <c r="G17" s="70" t="s">
        <v>182</v>
      </c>
      <c r="H17" s="63" t="s">
        <v>183</v>
      </c>
      <c r="I17" s="71" t="s">
        <v>184</v>
      </c>
      <c r="J17" s="10"/>
      <c r="K17" s="316" t="s">
        <v>63</v>
      </c>
      <c r="L17" s="258" t="s">
        <v>185</v>
      </c>
      <c r="M17" s="260" t="s">
        <v>186</v>
      </c>
      <c r="N17" s="297"/>
    </row>
    <row r="18" spans="1:14" ht="75">
      <c r="A18" s="72" t="s">
        <v>187</v>
      </c>
      <c r="B18" s="50" t="s">
        <v>188</v>
      </c>
      <c r="C18" s="50" t="s">
        <v>189</v>
      </c>
      <c r="D18" s="50" t="s">
        <v>168</v>
      </c>
      <c r="E18" s="87" t="s">
        <v>574</v>
      </c>
      <c r="F18" s="11"/>
      <c r="G18" s="99" t="s">
        <v>33</v>
      </c>
      <c r="H18" s="96" t="s">
        <v>33</v>
      </c>
      <c r="I18" s="100" t="s">
        <v>33</v>
      </c>
      <c r="J18" s="11"/>
      <c r="K18" s="294" t="s">
        <v>70</v>
      </c>
      <c r="L18" s="259" t="s">
        <v>191</v>
      </c>
      <c r="M18" s="290" t="s">
        <v>5160</v>
      </c>
      <c r="N18" s="295"/>
    </row>
    <row r="19" spans="1:14" ht="120">
      <c r="A19" s="54" t="s">
        <v>575</v>
      </c>
      <c r="B19" s="49" t="s">
        <v>525</v>
      </c>
      <c r="C19" s="49" t="s">
        <v>576</v>
      </c>
      <c r="D19" s="49" t="s">
        <v>474</v>
      </c>
      <c r="E19" s="117" t="s">
        <v>577</v>
      </c>
      <c r="F19" s="10"/>
      <c r="G19" s="70" t="s">
        <v>578</v>
      </c>
      <c r="H19" s="63" t="s">
        <v>576</v>
      </c>
      <c r="I19" s="86" t="s">
        <v>579</v>
      </c>
      <c r="J19" s="10"/>
      <c r="K19" s="316" t="s">
        <v>63</v>
      </c>
      <c r="L19" s="258" t="s">
        <v>580</v>
      </c>
      <c r="M19" s="260" t="s">
        <v>581</v>
      </c>
      <c r="N19" s="297"/>
    </row>
    <row r="20" spans="1:14" ht="180">
      <c r="A20" s="56" t="s">
        <v>582</v>
      </c>
      <c r="B20" s="50" t="s">
        <v>525</v>
      </c>
      <c r="C20" s="50" t="s">
        <v>583</v>
      </c>
      <c r="D20" s="50" t="s">
        <v>88</v>
      </c>
      <c r="E20" s="87" t="s">
        <v>584</v>
      </c>
      <c r="F20" s="11"/>
      <c r="G20" s="56" t="s">
        <v>585</v>
      </c>
      <c r="H20" s="51" t="s">
        <v>586</v>
      </c>
      <c r="I20" s="87" t="s">
        <v>587</v>
      </c>
      <c r="J20" s="11"/>
      <c r="K20" s="294" t="s">
        <v>63</v>
      </c>
      <c r="L20" s="259" t="s">
        <v>588</v>
      </c>
      <c r="M20" s="261" t="s">
        <v>589</v>
      </c>
      <c r="N20" s="306"/>
    </row>
    <row r="21" spans="1:14" ht="90">
      <c r="A21" s="54" t="s">
        <v>590</v>
      </c>
      <c r="B21" s="49" t="s">
        <v>591</v>
      </c>
      <c r="C21" s="49" t="s">
        <v>592</v>
      </c>
      <c r="D21" s="49" t="s">
        <v>474</v>
      </c>
      <c r="E21" s="117" t="s">
        <v>593</v>
      </c>
      <c r="F21" s="10"/>
      <c r="G21" s="70" t="s">
        <v>594</v>
      </c>
      <c r="H21" s="63" t="s">
        <v>592</v>
      </c>
      <c r="I21" s="86" t="s">
        <v>593</v>
      </c>
      <c r="J21" s="10"/>
      <c r="K21" s="316" t="s">
        <v>63</v>
      </c>
      <c r="L21" s="258" t="s">
        <v>595</v>
      </c>
      <c r="M21" s="260" t="s">
        <v>596</v>
      </c>
      <c r="N21" s="297"/>
    </row>
    <row r="22" spans="1:14" ht="75">
      <c r="A22" s="56" t="s">
        <v>597</v>
      </c>
      <c r="B22" s="50" t="s">
        <v>525</v>
      </c>
      <c r="C22" s="50" t="s">
        <v>598</v>
      </c>
      <c r="D22" s="50" t="s">
        <v>88</v>
      </c>
      <c r="E22" s="87" t="s">
        <v>599</v>
      </c>
      <c r="F22" s="11"/>
      <c r="G22" s="56" t="s">
        <v>600</v>
      </c>
      <c r="H22" s="51" t="s">
        <v>601</v>
      </c>
      <c r="I22" s="87" t="s">
        <v>602</v>
      </c>
      <c r="J22" s="11"/>
      <c r="K22" s="294" t="s">
        <v>63</v>
      </c>
      <c r="L22" s="259" t="s">
        <v>603</v>
      </c>
      <c r="M22" s="261" t="s">
        <v>604</v>
      </c>
      <c r="N22" s="306"/>
    </row>
    <row r="23" spans="1:14" ht="75">
      <c r="A23" s="54" t="s">
        <v>605</v>
      </c>
      <c r="B23" s="49" t="s">
        <v>525</v>
      </c>
      <c r="C23" s="49" t="s">
        <v>606</v>
      </c>
      <c r="D23" s="49" t="s">
        <v>474</v>
      </c>
      <c r="E23" s="117" t="s">
        <v>607</v>
      </c>
      <c r="F23" s="10"/>
      <c r="G23" s="70" t="s">
        <v>608</v>
      </c>
      <c r="H23" s="63" t="s">
        <v>606</v>
      </c>
      <c r="I23" s="86" t="s">
        <v>609</v>
      </c>
      <c r="J23" s="10"/>
      <c r="K23" s="316" t="s">
        <v>63</v>
      </c>
      <c r="L23" s="258" t="s">
        <v>610</v>
      </c>
      <c r="M23" s="260" t="s">
        <v>5165</v>
      </c>
      <c r="N23" s="297"/>
    </row>
    <row r="24" spans="1:14" ht="135">
      <c r="A24" s="56" t="s">
        <v>611</v>
      </c>
      <c r="B24" s="50" t="s">
        <v>525</v>
      </c>
      <c r="C24" s="50" t="s">
        <v>612</v>
      </c>
      <c r="D24" s="50" t="s">
        <v>76</v>
      </c>
      <c r="E24" s="87" t="s">
        <v>613</v>
      </c>
      <c r="F24" s="11"/>
      <c r="G24" s="56" t="s">
        <v>614</v>
      </c>
      <c r="H24" s="51" t="s">
        <v>612</v>
      </c>
      <c r="I24" s="57" t="s">
        <v>615</v>
      </c>
      <c r="J24" s="11"/>
      <c r="K24" s="326" t="s">
        <v>63</v>
      </c>
      <c r="L24" s="256" t="s">
        <v>616</v>
      </c>
      <c r="M24" s="267" t="s">
        <v>5240</v>
      </c>
      <c r="N24" s="306"/>
    </row>
    <row r="25" spans="1:14" ht="120">
      <c r="A25" s="54" t="s">
        <v>617</v>
      </c>
      <c r="B25" s="49" t="s">
        <v>525</v>
      </c>
      <c r="C25" s="49" t="s">
        <v>618</v>
      </c>
      <c r="D25" s="49" t="s">
        <v>76</v>
      </c>
      <c r="E25" s="117" t="s">
        <v>619</v>
      </c>
      <c r="F25" s="10"/>
      <c r="G25" s="70" t="s">
        <v>620</v>
      </c>
      <c r="H25" s="63" t="s">
        <v>618</v>
      </c>
      <c r="I25" s="71" t="s">
        <v>621</v>
      </c>
      <c r="J25" s="10"/>
      <c r="K25" s="327" t="s">
        <v>63</v>
      </c>
      <c r="L25" s="281" t="s">
        <v>622</v>
      </c>
      <c r="M25" s="287" t="s">
        <v>5241</v>
      </c>
      <c r="N25" s="328"/>
    </row>
    <row r="26" spans="1:14" ht="90">
      <c r="A26" s="56" t="s">
        <v>623</v>
      </c>
      <c r="B26" s="50" t="s">
        <v>525</v>
      </c>
      <c r="C26" s="50" t="s">
        <v>624</v>
      </c>
      <c r="D26" s="50" t="s">
        <v>88</v>
      </c>
      <c r="E26" s="87" t="s">
        <v>625</v>
      </c>
      <c r="F26" s="11"/>
      <c r="G26" s="133" t="s">
        <v>626</v>
      </c>
      <c r="H26" s="96" t="s">
        <v>33</v>
      </c>
      <c r="I26" s="100" t="s">
        <v>33</v>
      </c>
      <c r="J26" s="11"/>
      <c r="K26" s="294" t="s">
        <v>70</v>
      </c>
      <c r="L26" s="259" t="s">
        <v>627</v>
      </c>
      <c r="M26" s="261" t="s">
        <v>5166</v>
      </c>
      <c r="N26" s="295"/>
    </row>
    <row r="27" spans="1:14" ht="60.75" thickBot="1">
      <c r="A27" s="58" t="s">
        <v>628</v>
      </c>
      <c r="B27" s="59" t="s">
        <v>188</v>
      </c>
      <c r="C27" s="59" t="s">
        <v>629</v>
      </c>
      <c r="D27" s="59" t="s">
        <v>88</v>
      </c>
      <c r="E27" s="85" t="s">
        <v>630</v>
      </c>
      <c r="F27" s="10"/>
      <c r="G27" s="134" t="s">
        <v>626</v>
      </c>
      <c r="H27" s="89" t="s">
        <v>33</v>
      </c>
      <c r="I27" s="90" t="s">
        <v>33</v>
      </c>
      <c r="J27" s="10"/>
      <c r="K27" s="336" t="s">
        <v>70</v>
      </c>
      <c r="L27" s="337" t="s">
        <v>631</v>
      </c>
      <c r="M27" s="339" t="s">
        <v>5167</v>
      </c>
      <c r="N27" s="338"/>
    </row>
  </sheetData>
  <autoFilter ref="A2:N27"/>
  <mergeCells count="39">
    <mergeCell ref="N8:N11"/>
    <mergeCell ref="G12:G14"/>
    <mergeCell ref="H8:H11"/>
    <mergeCell ref="I8:I11"/>
    <mergeCell ref="L8:L11"/>
    <mergeCell ref="N12:N14"/>
    <mergeCell ref="M12:M14"/>
    <mergeCell ref="H12:H14"/>
    <mergeCell ref="I12:I14"/>
    <mergeCell ref="G8:G11"/>
    <mergeCell ref="M8:M11"/>
    <mergeCell ref="L12:L14"/>
    <mergeCell ref="K12:K14"/>
    <mergeCell ref="K8:K11"/>
    <mergeCell ref="L3:L6"/>
    <mergeCell ref="A12:A14"/>
    <mergeCell ref="B12:B14"/>
    <mergeCell ref="C12:C14"/>
    <mergeCell ref="D12:D14"/>
    <mergeCell ref="E12:E14"/>
    <mergeCell ref="A8:A11"/>
    <mergeCell ref="B8:B11"/>
    <mergeCell ref="C8:C11"/>
    <mergeCell ref="D8:D11"/>
    <mergeCell ref="E8:E11"/>
    <mergeCell ref="A1:E1"/>
    <mergeCell ref="G1:I1"/>
    <mergeCell ref="M3:M6"/>
    <mergeCell ref="A3:A6"/>
    <mergeCell ref="B3:B6"/>
    <mergeCell ref="C3:C6"/>
    <mergeCell ref="D3:D6"/>
    <mergeCell ref="E3:E6"/>
    <mergeCell ref="G3:G6"/>
    <mergeCell ref="K1:N1"/>
    <mergeCell ref="N3:N6"/>
    <mergeCell ref="H3:H6"/>
    <mergeCell ref="I3:I6"/>
    <mergeCell ref="K3:K6"/>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N9"/>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ustomHeight="1"/>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3"/>
      <c r="G2" s="68" t="s">
        <v>50</v>
      </c>
      <c r="H2" s="61" t="s">
        <v>51</v>
      </c>
      <c r="I2" s="69" t="s">
        <v>52</v>
      </c>
      <c r="J2" s="14"/>
      <c r="K2" s="292" t="s">
        <v>197</v>
      </c>
      <c r="L2" s="144" t="s">
        <v>54</v>
      </c>
      <c r="M2" s="80" t="s">
        <v>5147</v>
      </c>
      <c r="N2" s="293" t="s">
        <v>5152</v>
      </c>
    </row>
    <row r="3" spans="1:14" ht="14.45" customHeight="1">
      <c r="A3" s="517" t="s">
        <v>55</v>
      </c>
      <c r="B3" s="519" t="s">
        <v>56</v>
      </c>
      <c r="C3" s="519" t="s">
        <v>57</v>
      </c>
      <c r="D3" s="519" t="s">
        <v>58</v>
      </c>
      <c r="E3" s="520" t="s">
        <v>59</v>
      </c>
      <c r="F3" s="10"/>
      <c r="G3" s="521" t="s">
        <v>198</v>
      </c>
      <c r="H3" s="526" t="s">
        <v>61</v>
      </c>
      <c r="I3" s="542" t="s">
        <v>199</v>
      </c>
      <c r="J3" s="10"/>
      <c r="K3" s="624" t="s">
        <v>63</v>
      </c>
      <c r="L3" s="621" t="s">
        <v>64</v>
      </c>
      <c r="M3" s="623" t="s">
        <v>200</v>
      </c>
      <c r="N3" s="622"/>
    </row>
    <row r="4" spans="1:14">
      <c r="A4" s="517"/>
      <c r="B4" s="519"/>
      <c r="C4" s="519"/>
      <c r="D4" s="519"/>
      <c r="E4" s="520"/>
      <c r="F4" s="10"/>
      <c r="G4" s="521"/>
      <c r="H4" s="526"/>
      <c r="I4" s="542"/>
      <c r="J4" s="10"/>
      <c r="K4" s="624"/>
      <c r="L4" s="621"/>
      <c r="M4" s="623"/>
      <c r="N4" s="622"/>
    </row>
    <row r="5" spans="1:14">
      <c r="A5" s="517"/>
      <c r="B5" s="519"/>
      <c r="C5" s="519"/>
      <c r="D5" s="519"/>
      <c r="E5" s="520"/>
      <c r="F5" s="10"/>
      <c r="G5" s="521"/>
      <c r="H5" s="526"/>
      <c r="I5" s="542"/>
      <c r="J5" s="10"/>
      <c r="K5" s="624"/>
      <c r="L5" s="621"/>
      <c r="M5" s="623"/>
      <c r="N5" s="622"/>
    </row>
    <row r="6" spans="1:14">
      <c r="A6" s="517"/>
      <c r="B6" s="519"/>
      <c r="C6" s="519"/>
      <c r="D6" s="519"/>
      <c r="E6" s="520"/>
      <c r="F6" s="10"/>
      <c r="G6" s="521"/>
      <c r="H6" s="526"/>
      <c r="I6" s="542"/>
      <c r="J6" s="10"/>
      <c r="K6" s="624"/>
      <c r="L6" s="621"/>
      <c r="M6" s="623"/>
      <c r="N6" s="622"/>
    </row>
    <row r="7" spans="1:14" ht="43.5" customHeight="1">
      <c r="A7" s="114" t="s">
        <v>66</v>
      </c>
      <c r="B7" s="120" t="s">
        <v>56</v>
      </c>
      <c r="C7" s="82" t="s">
        <v>67</v>
      </c>
      <c r="D7" s="82" t="s">
        <v>58</v>
      </c>
      <c r="E7" s="104" t="s">
        <v>68</v>
      </c>
      <c r="F7" s="10"/>
      <c r="G7" s="97" t="s">
        <v>201</v>
      </c>
      <c r="H7" s="81" t="s">
        <v>115</v>
      </c>
      <c r="I7" s="126" t="s">
        <v>202</v>
      </c>
      <c r="J7" s="10"/>
      <c r="K7" s="340" t="s">
        <v>63</v>
      </c>
      <c r="L7" s="279" t="s">
        <v>71</v>
      </c>
      <c r="M7" s="273" t="s">
        <v>203</v>
      </c>
      <c r="N7" s="341"/>
    </row>
    <row r="8" spans="1:14" ht="105" customHeight="1">
      <c r="A8" s="54" t="s">
        <v>416</v>
      </c>
      <c r="B8" s="49" t="s">
        <v>353</v>
      </c>
      <c r="C8" s="49" t="s">
        <v>417</v>
      </c>
      <c r="D8" s="49" t="s">
        <v>88</v>
      </c>
      <c r="E8" s="55" t="s">
        <v>418</v>
      </c>
      <c r="F8" s="11"/>
      <c r="G8" s="70" t="s">
        <v>632</v>
      </c>
      <c r="H8" s="63" t="s">
        <v>633</v>
      </c>
      <c r="I8" s="86" t="s">
        <v>634</v>
      </c>
      <c r="J8" s="12"/>
      <c r="K8" s="298" t="s">
        <v>63</v>
      </c>
      <c r="L8" s="278" t="s">
        <v>420</v>
      </c>
      <c r="M8" s="277" t="s">
        <v>635</v>
      </c>
      <c r="N8" s="307"/>
    </row>
    <row r="9" spans="1:14" ht="174" customHeight="1" thickBot="1">
      <c r="A9" s="92" t="s">
        <v>542</v>
      </c>
      <c r="B9" s="93" t="s">
        <v>543</v>
      </c>
      <c r="C9" s="93" t="s">
        <v>544</v>
      </c>
      <c r="D9" s="93" t="s">
        <v>76</v>
      </c>
      <c r="E9" s="94" t="s">
        <v>545</v>
      </c>
      <c r="F9" s="11"/>
      <c r="G9" s="101" t="s">
        <v>33</v>
      </c>
      <c r="H9" s="102" t="s">
        <v>33</v>
      </c>
      <c r="I9" s="103" t="s">
        <v>33</v>
      </c>
      <c r="J9" s="11"/>
      <c r="K9" s="330" t="s">
        <v>70</v>
      </c>
      <c r="L9" s="331" t="s">
        <v>546</v>
      </c>
      <c r="M9" s="342" t="s">
        <v>5168</v>
      </c>
      <c r="N9" s="333"/>
    </row>
  </sheetData>
  <autoFilter ref="A2:N2"/>
  <mergeCells count="15">
    <mergeCell ref="A1:E1"/>
    <mergeCell ref="G1:I1"/>
    <mergeCell ref="L3:L6"/>
    <mergeCell ref="K1:N1"/>
    <mergeCell ref="N3:N6"/>
    <mergeCell ref="A3:A6"/>
    <mergeCell ref="B3:B6"/>
    <mergeCell ref="C3:C6"/>
    <mergeCell ref="D3:D6"/>
    <mergeCell ref="E3:E6"/>
    <mergeCell ref="G3:G6"/>
    <mergeCell ref="M3:M6"/>
    <mergeCell ref="H3:H6"/>
    <mergeCell ref="I3:I6"/>
    <mergeCell ref="K3:K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12"/>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ustomHeight="1"/>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3"/>
      <c r="G2" s="68" t="s">
        <v>50</v>
      </c>
      <c r="H2" s="61" t="s">
        <v>51</v>
      </c>
      <c r="I2" s="69" t="s">
        <v>52</v>
      </c>
      <c r="J2" s="14"/>
      <c r="K2" s="292" t="s">
        <v>204</v>
      </c>
      <c r="L2" s="144" t="s">
        <v>54</v>
      </c>
      <c r="M2" s="80" t="s">
        <v>5147</v>
      </c>
      <c r="N2" s="293" t="s">
        <v>5152</v>
      </c>
    </row>
    <row r="3" spans="1:14" ht="14.45" customHeight="1">
      <c r="A3" s="517" t="s">
        <v>55</v>
      </c>
      <c r="B3" s="519" t="s">
        <v>56</v>
      </c>
      <c r="C3" s="519" t="s">
        <v>57</v>
      </c>
      <c r="D3" s="519" t="s">
        <v>58</v>
      </c>
      <c r="E3" s="520" t="s">
        <v>59</v>
      </c>
      <c r="F3" s="10"/>
      <c r="G3" s="521" t="s">
        <v>205</v>
      </c>
      <c r="H3" s="526" t="s">
        <v>61</v>
      </c>
      <c r="I3" s="527" t="s">
        <v>199</v>
      </c>
      <c r="J3" s="10"/>
      <c r="K3" s="529" t="s">
        <v>63</v>
      </c>
      <c r="L3" s="531" t="s">
        <v>64</v>
      </c>
      <c r="M3" s="531" t="s">
        <v>206</v>
      </c>
      <c r="N3" s="541"/>
    </row>
    <row r="4" spans="1:14">
      <c r="A4" s="517"/>
      <c r="B4" s="519"/>
      <c r="C4" s="519"/>
      <c r="D4" s="519"/>
      <c r="E4" s="520"/>
      <c r="F4" s="10"/>
      <c r="G4" s="521"/>
      <c r="H4" s="526"/>
      <c r="I4" s="527"/>
      <c r="J4" s="10"/>
      <c r="K4" s="529"/>
      <c r="L4" s="531"/>
      <c r="M4" s="531"/>
      <c r="N4" s="541"/>
    </row>
    <row r="5" spans="1:14">
      <c r="A5" s="517"/>
      <c r="B5" s="519"/>
      <c r="C5" s="519"/>
      <c r="D5" s="519"/>
      <c r="E5" s="520"/>
      <c r="F5" s="10"/>
      <c r="G5" s="521"/>
      <c r="H5" s="526"/>
      <c r="I5" s="527"/>
      <c r="J5" s="10"/>
      <c r="K5" s="529"/>
      <c r="L5" s="531"/>
      <c r="M5" s="531"/>
      <c r="N5" s="541"/>
    </row>
    <row r="6" spans="1:14" ht="34.5" customHeight="1">
      <c r="A6" s="517"/>
      <c r="B6" s="519"/>
      <c r="C6" s="519"/>
      <c r="D6" s="519"/>
      <c r="E6" s="520"/>
      <c r="F6" s="10"/>
      <c r="G6" s="521"/>
      <c r="H6" s="526"/>
      <c r="I6" s="527"/>
      <c r="J6" s="10"/>
      <c r="K6" s="529"/>
      <c r="L6" s="531"/>
      <c r="M6" s="531"/>
      <c r="N6" s="541"/>
    </row>
    <row r="7" spans="1:14" ht="14.45" customHeight="1">
      <c r="A7" s="524" t="s">
        <v>148</v>
      </c>
      <c r="B7" s="533" t="s">
        <v>56</v>
      </c>
      <c r="C7" s="533" t="s">
        <v>149</v>
      </c>
      <c r="D7" s="533" t="s">
        <v>58</v>
      </c>
      <c r="E7" s="551" t="s">
        <v>150</v>
      </c>
      <c r="F7" s="12"/>
      <c r="G7" s="524" t="s">
        <v>207</v>
      </c>
      <c r="H7" s="523" t="s">
        <v>152</v>
      </c>
      <c r="I7" s="551" t="s">
        <v>208</v>
      </c>
      <c r="J7" s="12"/>
      <c r="K7" s="582" t="s">
        <v>63</v>
      </c>
      <c r="L7" s="512" t="s">
        <v>154</v>
      </c>
      <c r="M7" s="512" t="s">
        <v>209</v>
      </c>
      <c r="N7" s="560"/>
    </row>
    <row r="8" spans="1:14">
      <c r="A8" s="524"/>
      <c r="B8" s="533"/>
      <c r="C8" s="533"/>
      <c r="D8" s="533"/>
      <c r="E8" s="551"/>
      <c r="F8" s="12"/>
      <c r="G8" s="524"/>
      <c r="H8" s="523"/>
      <c r="I8" s="551"/>
      <c r="J8" s="12"/>
      <c r="K8" s="582"/>
      <c r="L8" s="512"/>
      <c r="M8" s="512"/>
      <c r="N8" s="560"/>
    </row>
    <row r="9" spans="1:14">
      <c r="A9" s="524"/>
      <c r="B9" s="533"/>
      <c r="C9" s="533"/>
      <c r="D9" s="533"/>
      <c r="E9" s="551"/>
      <c r="F9" s="12"/>
      <c r="G9" s="524"/>
      <c r="H9" s="523"/>
      <c r="I9" s="551"/>
      <c r="J9" s="12"/>
      <c r="K9" s="582"/>
      <c r="L9" s="512"/>
      <c r="M9" s="512"/>
      <c r="N9" s="560"/>
    </row>
    <row r="10" spans="1:14" ht="25.5" customHeight="1">
      <c r="A10" s="524"/>
      <c r="B10" s="533"/>
      <c r="C10" s="533"/>
      <c r="D10" s="533"/>
      <c r="E10" s="551"/>
      <c r="F10" s="12"/>
      <c r="G10" s="524"/>
      <c r="H10" s="523"/>
      <c r="I10" s="551"/>
      <c r="J10" s="12"/>
      <c r="K10" s="582"/>
      <c r="L10" s="512"/>
      <c r="M10" s="512"/>
      <c r="N10" s="560"/>
    </row>
    <row r="11" spans="1:14" ht="118.5" customHeight="1">
      <c r="A11" s="54" t="s">
        <v>623</v>
      </c>
      <c r="B11" s="49" t="s">
        <v>525</v>
      </c>
      <c r="C11" s="49" t="s">
        <v>624</v>
      </c>
      <c r="D11" s="49" t="s">
        <v>88</v>
      </c>
      <c r="E11" s="55" t="s">
        <v>625</v>
      </c>
      <c r="F11" s="10"/>
      <c r="G11" s="70" t="s">
        <v>636</v>
      </c>
      <c r="H11" s="63" t="s">
        <v>624</v>
      </c>
      <c r="I11" s="71" t="s">
        <v>625</v>
      </c>
      <c r="J11" s="10"/>
      <c r="K11" s="298" t="s">
        <v>63</v>
      </c>
      <c r="L11" s="278" t="s">
        <v>627</v>
      </c>
      <c r="M11" s="278" t="s">
        <v>637</v>
      </c>
      <c r="N11" s="307"/>
    </row>
    <row r="12" spans="1:14" ht="74.25" customHeight="1" thickBot="1">
      <c r="A12" s="111" t="s">
        <v>628</v>
      </c>
      <c r="B12" s="109" t="s">
        <v>188</v>
      </c>
      <c r="C12" s="109" t="s">
        <v>638</v>
      </c>
      <c r="D12" s="109" t="s">
        <v>88</v>
      </c>
      <c r="E12" s="110" t="s">
        <v>630</v>
      </c>
      <c r="F12" s="10"/>
      <c r="G12" s="111" t="s">
        <v>639</v>
      </c>
      <c r="H12" s="112" t="s">
        <v>640</v>
      </c>
      <c r="I12" s="110" t="s">
        <v>630</v>
      </c>
      <c r="J12" s="10"/>
      <c r="K12" s="330" t="s">
        <v>63</v>
      </c>
      <c r="L12" s="331" t="s">
        <v>631</v>
      </c>
      <c r="M12" s="331" t="s">
        <v>641</v>
      </c>
      <c r="N12" s="333"/>
    </row>
  </sheetData>
  <autoFilter ref="A2:N12"/>
  <mergeCells count="27">
    <mergeCell ref="A7:A10"/>
    <mergeCell ref="B7:B10"/>
    <mergeCell ref="C7:C10"/>
    <mergeCell ref="D7:D10"/>
    <mergeCell ref="E7:E10"/>
    <mergeCell ref="K1:N1"/>
    <mergeCell ref="K3:K6"/>
    <mergeCell ref="N3:N6"/>
    <mergeCell ref="A1:E1"/>
    <mergeCell ref="G1:I1"/>
    <mergeCell ref="A3:A6"/>
    <mergeCell ref="B3:B6"/>
    <mergeCell ref="C3:C6"/>
    <mergeCell ref="D3:D6"/>
    <mergeCell ref="E3:E6"/>
    <mergeCell ref="N7:N10"/>
    <mergeCell ref="G3:G6"/>
    <mergeCell ref="H3:H6"/>
    <mergeCell ref="I3:I6"/>
    <mergeCell ref="L3:L6"/>
    <mergeCell ref="M3:M6"/>
    <mergeCell ref="G7:G10"/>
    <mergeCell ref="M7:M10"/>
    <mergeCell ref="H7:H10"/>
    <mergeCell ref="I7:I10"/>
    <mergeCell ref="L7:L10"/>
    <mergeCell ref="K7:K1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2"/>
  <sheetViews>
    <sheetView zoomScaleNormal="100" workbookViewId="0"/>
  </sheetViews>
  <sheetFormatPr defaultRowHeight="15"/>
  <cols>
    <col min="1" max="1" width="167.85546875" customWidth="1"/>
  </cols>
  <sheetData>
    <row r="1" spans="1:1" ht="199.5" thickBot="1">
      <c r="A1" s="20" t="s">
        <v>642</v>
      </c>
    </row>
    <row r="2" spans="1:1" ht="229.5" hidden="1" thickBot="1">
      <c r="A2" s="1" t="s">
        <v>643</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N66"/>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s="4" customFormat="1" ht="30">
      <c r="A2" s="52" t="s">
        <v>45</v>
      </c>
      <c r="B2" s="48" t="s">
        <v>46</v>
      </c>
      <c r="C2" s="48" t="s">
        <v>47</v>
      </c>
      <c r="D2" s="48" t="s">
        <v>48</v>
      </c>
      <c r="E2" s="53" t="s">
        <v>49</v>
      </c>
      <c r="F2" s="13"/>
      <c r="G2" s="68" t="s">
        <v>50</v>
      </c>
      <c r="H2" s="61" t="s">
        <v>51</v>
      </c>
      <c r="I2" s="69" t="s">
        <v>52</v>
      </c>
      <c r="J2" s="14"/>
      <c r="K2" s="292" t="s">
        <v>53</v>
      </c>
      <c r="L2" s="144" t="s">
        <v>54</v>
      </c>
      <c r="M2" s="80" t="s">
        <v>5147</v>
      </c>
      <c r="N2" s="293" t="s">
        <v>5152</v>
      </c>
    </row>
    <row r="3" spans="1:14">
      <c r="A3" s="517" t="s">
        <v>55</v>
      </c>
      <c r="B3" s="519" t="s">
        <v>56</v>
      </c>
      <c r="C3" s="519" t="s">
        <v>57</v>
      </c>
      <c r="D3" s="519" t="s">
        <v>58</v>
      </c>
      <c r="E3" s="520" t="s">
        <v>156</v>
      </c>
      <c r="F3" s="10"/>
      <c r="G3" s="521" t="s">
        <v>60</v>
      </c>
      <c r="H3" s="526" t="s">
        <v>61</v>
      </c>
      <c r="I3" s="542" t="s">
        <v>62</v>
      </c>
      <c r="J3" s="10"/>
      <c r="K3" s="561" t="s">
        <v>63</v>
      </c>
      <c r="L3" s="564" t="s">
        <v>64</v>
      </c>
      <c r="M3" s="574" t="s">
        <v>65</v>
      </c>
      <c r="N3" s="535"/>
    </row>
    <row r="4" spans="1:14">
      <c r="A4" s="517"/>
      <c r="B4" s="519"/>
      <c r="C4" s="519"/>
      <c r="D4" s="519"/>
      <c r="E4" s="520"/>
      <c r="F4" s="10"/>
      <c r="G4" s="521"/>
      <c r="H4" s="526"/>
      <c r="I4" s="542"/>
      <c r="J4" s="10"/>
      <c r="K4" s="561"/>
      <c r="L4" s="564"/>
      <c r="M4" s="574"/>
      <c r="N4" s="535"/>
    </row>
    <row r="5" spans="1:14">
      <c r="A5" s="517"/>
      <c r="B5" s="519"/>
      <c r="C5" s="519"/>
      <c r="D5" s="519"/>
      <c r="E5" s="520"/>
      <c r="F5" s="10"/>
      <c r="G5" s="521"/>
      <c r="H5" s="526"/>
      <c r="I5" s="542"/>
      <c r="J5" s="10"/>
      <c r="K5" s="561"/>
      <c r="L5" s="564"/>
      <c r="M5" s="574"/>
      <c r="N5" s="535"/>
    </row>
    <row r="6" spans="1:14">
      <c r="A6" s="517"/>
      <c r="B6" s="519"/>
      <c r="C6" s="519"/>
      <c r="D6" s="519"/>
      <c r="E6" s="520"/>
      <c r="F6" s="10"/>
      <c r="G6" s="521"/>
      <c r="H6" s="526"/>
      <c r="I6" s="542"/>
      <c r="J6" s="10"/>
      <c r="K6" s="561"/>
      <c r="L6" s="564"/>
      <c r="M6" s="574"/>
      <c r="N6" s="535"/>
    </row>
    <row r="7" spans="1:14" ht="60">
      <c r="A7" s="56" t="s">
        <v>66</v>
      </c>
      <c r="B7" s="50" t="s">
        <v>56</v>
      </c>
      <c r="C7" s="50" t="s">
        <v>67</v>
      </c>
      <c r="D7" s="50" t="s">
        <v>58</v>
      </c>
      <c r="E7" s="57" t="s">
        <v>68</v>
      </c>
      <c r="F7" s="11"/>
      <c r="G7" s="56" t="s">
        <v>644</v>
      </c>
      <c r="H7" s="96" t="s">
        <v>33</v>
      </c>
      <c r="I7" s="100" t="s">
        <v>33</v>
      </c>
      <c r="J7" s="11"/>
      <c r="K7" s="326" t="s">
        <v>70</v>
      </c>
      <c r="L7" s="256" t="s">
        <v>71</v>
      </c>
      <c r="M7" s="335" t="s">
        <v>5158</v>
      </c>
      <c r="N7" s="306"/>
    </row>
    <row r="8" spans="1:14" ht="45">
      <c r="A8" s="54" t="s">
        <v>214</v>
      </c>
      <c r="B8" s="49" t="s">
        <v>56</v>
      </c>
      <c r="C8" s="49" t="s">
        <v>215</v>
      </c>
      <c r="D8" s="49" t="s">
        <v>58</v>
      </c>
      <c r="E8" s="117" t="s">
        <v>645</v>
      </c>
      <c r="F8" s="10"/>
      <c r="G8" s="70" t="s">
        <v>217</v>
      </c>
      <c r="H8" s="63" t="s">
        <v>218</v>
      </c>
      <c r="I8" s="71" t="s">
        <v>219</v>
      </c>
      <c r="J8" s="10"/>
      <c r="K8" s="316" t="s">
        <v>63</v>
      </c>
      <c r="L8" s="258" t="s">
        <v>220</v>
      </c>
      <c r="M8" s="260" t="s">
        <v>221</v>
      </c>
      <c r="N8" s="297"/>
    </row>
    <row r="9" spans="1:14" ht="60">
      <c r="A9" s="56" t="s">
        <v>222</v>
      </c>
      <c r="B9" s="50" t="s">
        <v>56</v>
      </c>
      <c r="C9" s="50" t="s">
        <v>223</v>
      </c>
      <c r="D9" s="50" t="s">
        <v>58</v>
      </c>
      <c r="E9" s="57" t="s">
        <v>646</v>
      </c>
      <c r="F9" s="11"/>
      <c r="G9" s="56" t="s">
        <v>225</v>
      </c>
      <c r="H9" s="51" t="s">
        <v>223</v>
      </c>
      <c r="I9" s="57" t="s">
        <v>226</v>
      </c>
      <c r="J9" s="11"/>
      <c r="K9" s="294" t="s">
        <v>63</v>
      </c>
      <c r="L9" s="259" t="s">
        <v>227</v>
      </c>
      <c r="M9" s="261" t="s">
        <v>228</v>
      </c>
      <c r="N9" s="306"/>
    </row>
    <row r="10" spans="1:14">
      <c r="A10" s="517" t="s">
        <v>229</v>
      </c>
      <c r="B10" s="519" t="s">
        <v>56</v>
      </c>
      <c r="C10" s="519" t="s">
        <v>230</v>
      </c>
      <c r="D10" s="519" t="s">
        <v>58</v>
      </c>
      <c r="E10" s="520" t="s">
        <v>231</v>
      </c>
      <c r="F10" s="10"/>
      <c r="G10" s="521" t="s">
        <v>232</v>
      </c>
      <c r="H10" s="526" t="s">
        <v>233</v>
      </c>
      <c r="I10" s="542" t="s">
        <v>234</v>
      </c>
      <c r="J10" s="10"/>
      <c r="K10" s="561" t="s">
        <v>63</v>
      </c>
      <c r="L10" s="564" t="s">
        <v>112</v>
      </c>
      <c r="M10" s="574" t="s">
        <v>235</v>
      </c>
      <c r="N10" s="535"/>
    </row>
    <row r="11" spans="1:14">
      <c r="A11" s="517"/>
      <c r="B11" s="519"/>
      <c r="C11" s="519"/>
      <c r="D11" s="519"/>
      <c r="E11" s="520"/>
      <c r="F11" s="10"/>
      <c r="G11" s="521"/>
      <c r="H11" s="526"/>
      <c r="I11" s="542"/>
      <c r="J11" s="10"/>
      <c r="K11" s="561"/>
      <c r="L11" s="564"/>
      <c r="M11" s="574"/>
      <c r="N11" s="535"/>
    </row>
    <row r="12" spans="1:14">
      <c r="A12" s="517"/>
      <c r="B12" s="519"/>
      <c r="C12" s="519"/>
      <c r="D12" s="519"/>
      <c r="E12" s="520"/>
      <c r="F12" s="10"/>
      <c r="G12" s="521"/>
      <c r="H12" s="526"/>
      <c r="I12" s="542"/>
      <c r="J12" s="10"/>
      <c r="K12" s="561"/>
      <c r="L12" s="564"/>
      <c r="M12" s="574"/>
      <c r="N12" s="535"/>
    </row>
    <row r="13" spans="1:14">
      <c r="A13" s="517"/>
      <c r="B13" s="519"/>
      <c r="C13" s="519"/>
      <c r="D13" s="519"/>
      <c r="E13" s="520"/>
      <c r="F13" s="10"/>
      <c r="G13" s="521"/>
      <c r="H13" s="526"/>
      <c r="I13" s="542"/>
      <c r="J13" s="10"/>
      <c r="K13" s="561"/>
      <c r="L13" s="564"/>
      <c r="M13" s="574"/>
      <c r="N13" s="535"/>
    </row>
    <row r="14" spans="1:14" ht="195">
      <c r="A14" s="56" t="s">
        <v>647</v>
      </c>
      <c r="B14" s="50" t="s">
        <v>74</v>
      </c>
      <c r="C14" s="50" t="s">
        <v>648</v>
      </c>
      <c r="D14" s="50" t="s">
        <v>76</v>
      </c>
      <c r="E14" s="57" t="s">
        <v>649</v>
      </c>
      <c r="F14" s="11"/>
      <c r="G14" s="99" t="s">
        <v>33</v>
      </c>
      <c r="H14" s="96" t="s">
        <v>33</v>
      </c>
      <c r="I14" s="100" t="s">
        <v>33</v>
      </c>
      <c r="J14" s="11"/>
      <c r="K14" s="343" t="s">
        <v>70</v>
      </c>
      <c r="L14" s="284" t="s">
        <v>650</v>
      </c>
      <c r="M14" s="200" t="s">
        <v>5169</v>
      </c>
      <c r="N14" s="306"/>
    </row>
    <row r="15" spans="1:14">
      <c r="A15" s="517" t="s">
        <v>73</v>
      </c>
      <c r="B15" s="519" t="s">
        <v>74</v>
      </c>
      <c r="C15" s="519" t="s">
        <v>75</v>
      </c>
      <c r="D15" s="519" t="s">
        <v>76</v>
      </c>
      <c r="E15" s="580" t="s">
        <v>651</v>
      </c>
      <c r="F15" s="10"/>
      <c r="G15" s="581" t="s">
        <v>33</v>
      </c>
      <c r="H15" s="592" t="s">
        <v>33</v>
      </c>
      <c r="I15" s="570" t="s">
        <v>33</v>
      </c>
      <c r="J15" s="10"/>
      <c r="K15" s="529" t="s">
        <v>70</v>
      </c>
      <c r="L15" s="531" t="s">
        <v>78</v>
      </c>
      <c r="M15" s="626" t="s">
        <v>5170</v>
      </c>
      <c r="N15" s="541"/>
    </row>
    <row r="16" spans="1:14">
      <c r="A16" s="517"/>
      <c r="B16" s="519"/>
      <c r="C16" s="519"/>
      <c r="D16" s="519"/>
      <c r="E16" s="580"/>
      <c r="F16" s="10"/>
      <c r="G16" s="521"/>
      <c r="H16" s="617"/>
      <c r="I16" s="618"/>
      <c r="J16" s="10"/>
      <c r="K16" s="529"/>
      <c r="L16" s="531"/>
      <c r="M16" s="626"/>
      <c r="N16" s="541"/>
    </row>
    <row r="17" spans="1:14">
      <c r="A17" s="517"/>
      <c r="B17" s="519"/>
      <c r="C17" s="519"/>
      <c r="D17" s="519"/>
      <c r="E17" s="580"/>
      <c r="F17" s="10"/>
      <c r="G17" s="521"/>
      <c r="H17" s="617"/>
      <c r="I17" s="618"/>
      <c r="J17" s="10"/>
      <c r="K17" s="529"/>
      <c r="L17" s="531"/>
      <c r="M17" s="626"/>
      <c r="N17" s="541"/>
    </row>
    <row r="18" spans="1:14">
      <c r="A18" s="513" t="s">
        <v>81</v>
      </c>
      <c r="B18" s="512" t="s">
        <v>74</v>
      </c>
      <c r="C18" s="512" t="s">
        <v>82</v>
      </c>
      <c r="D18" s="512" t="s">
        <v>76</v>
      </c>
      <c r="E18" s="514" t="s">
        <v>83</v>
      </c>
      <c r="F18" s="11"/>
      <c r="G18" s="627" t="s">
        <v>33</v>
      </c>
      <c r="H18" s="586" t="s">
        <v>33</v>
      </c>
      <c r="I18" s="584" t="s">
        <v>33</v>
      </c>
      <c r="J18" s="11"/>
      <c r="K18" s="562" t="s">
        <v>63</v>
      </c>
      <c r="L18" s="586" t="s">
        <v>84</v>
      </c>
      <c r="M18" s="625" t="s">
        <v>5242</v>
      </c>
      <c r="N18" s="560"/>
    </row>
    <row r="19" spans="1:14">
      <c r="A19" s="513"/>
      <c r="B19" s="512"/>
      <c r="C19" s="512"/>
      <c r="D19" s="512"/>
      <c r="E19" s="514"/>
      <c r="F19" s="11"/>
      <c r="G19" s="513"/>
      <c r="H19" s="512"/>
      <c r="I19" s="585"/>
      <c r="J19" s="11"/>
      <c r="K19" s="582"/>
      <c r="L19" s="586"/>
      <c r="M19" s="625"/>
      <c r="N19" s="565"/>
    </row>
    <row r="20" spans="1:14">
      <c r="A20" s="513"/>
      <c r="B20" s="512"/>
      <c r="C20" s="512"/>
      <c r="D20" s="512"/>
      <c r="E20" s="514"/>
      <c r="F20" s="11"/>
      <c r="G20" s="513"/>
      <c r="H20" s="512"/>
      <c r="I20" s="585"/>
      <c r="J20" s="11"/>
      <c r="K20" s="582"/>
      <c r="L20" s="586"/>
      <c r="M20" s="625"/>
      <c r="N20" s="565"/>
    </row>
    <row r="21" spans="1:14">
      <c r="A21" s="517" t="s">
        <v>652</v>
      </c>
      <c r="B21" s="519" t="s">
        <v>86</v>
      </c>
      <c r="C21" s="519" t="s">
        <v>653</v>
      </c>
      <c r="D21" s="519" t="s">
        <v>97</v>
      </c>
      <c r="E21" s="520" t="s">
        <v>654</v>
      </c>
      <c r="F21" s="10"/>
      <c r="G21" s="521" t="s">
        <v>655</v>
      </c>
      <c r="H21" s="526" t="s">
        <v>656</v>
      </c>
      <c r="I21" s="527" t="s">
        <v>657</v>
      </c>
      <c r="J21" s="10"/>
      <c r="K21" s="529" t="s">
        <v>63</v>
      </c>
      <c r="L21" s="531" t="s">
        <v>658</v>
      </c>
      <c r="M21" s="525" t="s">
        <v>659</v>
      </c>
      <c r="N21" s="541"/>
    </row>
    <row r="22" spans="1:14">
      <c r="A22" s="517"/>
      <c r="B22" s="519"/>
      <c r="C22" s="519"/>
      <c r="D22" s="519"/>
      <c r="E22" s="520"/>
      <c r="F22" s="10"/>
      <c r="G22" s="521"/>
      <c r="H22" s="526"/>
      <c r="I22" s="527"/>
      <c r="J22" s="10"/>
      <c r="K22" s="529"/>
      <c r="L22" s="531"/>
      <c r="M22" s="525"/>
      <c r="N22" s="541"/>
    </row>
    <row r="23" spans="1:14">
      <c r="A23" s="517"/>
      <c r="B23" s="519"/>
      <c r="C23" s="519"/>
      <c r="D23" s="519"/>
      <c r="E23" s="520"/>
      <c r="F23" s="10"/>
      <c r="G23" s="521"/>
      <c r="H23" s="526"/>
      <c r="I23" s="527"/>
      <c r="J23" s="10"/>
      <c r="K23" s="529"/>
      <c r="L23" s="531"/>
      <c r="M23" s="525"/>
      <c r="N23" s="541"/>
    </row>
    <row r="24" spans="1:14">
      <c r="A24" s="517"/>
      <c r="B24" s="519"/>
      <c r="C24" s="519"/>
      <c r="D24" s="519"/>
      <c r="E24" s="520"/>
      <c r="F24" s="10"/>
      <c r="G24" s="521"/>
      <c r="H24" s="526"/>
      <c r="I24" s="527"/>
      <c r="J24" s="10"/>
      <c r="K24" s="529"/>
      <c r="L24" s="531"/>
      <c r="M24" s="525"/>
      <c r="N24" s="541"/>
    </row>
    <row r="25" spans="1:14">
      <c r="A25" s="517"/>
      <c r="B25" s="519"/>
      <c r="C25" s="519"/>
      <c r="D25" s="519"/>
      <c r="E25" s="520"/>
      <c r="F25" s="10"/>
      <c r="G25" s="521"/>
      <c r="H25" s="526"/>
      <c r="I25" s="527"/>
      <c r="J25" s="10"/>
      <c r="K25" s="529"/>
      <c r="L25" s="531"/>
      <c r="M25" s="525"/>
      <c r="N25" s="541"/>
    </row>
    <row r="26" spans="1:14">
      <c r="A26" s="517"/>
      <c r="B26" s="519"/>
      <c r="C26" s="519"/>
      <c r="D26" s="519"/>
      <c r="E26" s="520"/>
      <c r="F26" s="10"/>
      <c r="G26" s="521"/>
      <c r="H26" s="526"/>
      <c r="I26" s="527"/>
      <c r="J26" s="10"/>
      <c r="K26" s="529"/>
      <c r="L26" s="531"/>
      <c r="M26" s="525"/>
      <c r="N26" s="541"/>
    </row>
    <row r="27" spans="1:14">
      <c r="A27" s="517"/>
      <c r="B27" s="519"/>
      <c r="C27" s="519"/>
      <c r="D27" s="519"/>
      <c r="E27" s="520"/>
      <c r="F27" s="10"/>
      <c r="G27" s="521"/>
      <c r="H27" s="526"/>
      <c r="I27" s="527"/>
      <c r="J27" s="10"/>
      <c r="K27" s="529"/>
      <c r="L27" s="531"/>
      <c r="M27" s="525"/>
      <c r="N27" s="541"/>
    </row>
    <row r="28" spans="1:14">
      <c r="A28" s="517"/>
      <c r="B28" s="519"/>
      <c r="C28" s="519"/>
      <c r="D28" s="519"/>
      <c r="E28" s="520"/>
      <c r="F28" s="10"/>
      <c r="G28" s="521"/>
      <c r="H28" s="526"/>
      <c r="I28" s="527"/>
      <c r="J28" s="10"/>
      <c r="K28" s="529"/>
      <c r="L28" s="531"/>
      <c r="M28" s="525"/>
      <c r="N28" s="541"/>
    </row>
    <row r="29" spans="1:14">
      <c r="A29" s="513" t="s">
        <v>85</v>
      </c>
      <c r="B29" s="512" t="s">
        <v>86</v>
      </c>
      <c r="C29" s="512" t="s">
        <v>87</v>
      </c>
      <c r="D29" s="512" t="s">
        <v>88</v>
      </c>
      <c r="E29" s="508" t="s">
        <v>89</v>
      </c>
      <c r="F29" s="11"/>
      <c r="G29" s="513" t="s">
        <v>90</v>
      </c>
      <c r="H29" s="516" t="s">
        <v>91</v>
      </c>
      <c r="I29" s="508" t="s">
        <v>92</v>
      </c>
      <c r="J29" s="11"/>
      <c r="K29" s="582" t="s">
        <v>63</v>
      </c>
      <c r="L29" s="512" t="s">
        <v>93</v>
      </c>
      <c r="M29" s="516" t="s">
        <v>94</v>
      </c>
      <c r="N29" s="560"/>
    </row>
    <row r="30" spans="1:14">
      <c r="A30" s="513"/>
      <c r="B30" s="512"/>
      <c r="C30" s="512"/>
      <c r="D30" s="512"/>
      <c r="E30" s="508"/>
      <c r="F30" s="11"/>
      <c r="G30" s="513"/>
      <c r="H30" s="516"/>
      <c r="I30" s="508"/>
      <c r="J30" s="11"/>
      <c r="K30" s="582"/>
      <c r="L30" s="512"/>
      <c r="M30" s="516"/>
      <c r="N30" s="560"/>
    </row>
    <row r="31" spans="1:14">
      <c r="A31" s="513"/>
      <c r="B31" s="512"/>
      <c r="C31" s="512"/>
      <c r="D31" s="512"/>
      <c r="E31" s="508"/>
      <c r="F31" s="11"/>
      <c r="G31" s="513"/>
      <c r="H31" s="516"/>
      <c r="I31" s="508"/>
      <c r="J31" s="11"/>
      <c r="K31" s="582"/>
      <c r="L31" s="512"/>
      <c r="M31" s="516"/>
      <c r="N31" s="560"/>
    </row>
    <row r="32" spans="1:14">
      <c r="A32" s="517" t="s">
        <v>95</v>
      </c>
      <c r="B32" s="519" t="s">
        <v>86</v>
      </c>
      <c r="C32" s="519" t="s">
        <v>96</v>
      </c>
      <c r="D32" s="519" t="s">
        <v>88</v>
      </c>
      <c r="E32" s="520" t="s">
        <v>98</v>
      </c>
      <c r="F32" s="10"/>
      <c r="G32" s="521" t="s">
        <v>99</v>
      </c>
      <c r="H32" s="526" t="s">
        <v>100</v>
      </c>
      <c r="I32" s="527" t="s">
        <v>101</v>
      </c>
      <c r="J32" s="10"/>
      <c r="K32" s="561" t="s">
        <v>63</v>
      </c>
      <c r="L32" s="564" t="s">
        <v>102</v>
      </c>
      <c r="M32" s="574" t="s">
        <v>103</v>
      </c>
      <c r="N32" s="535"/>
    </row>
    <row r="33" spans="1:14">
      <c r="A33" s="517"/>
      <c r="B33" s="519"/>
      <c r="C33" s="519"/>
      <c r="D33" s="519"/>
      <c r="E33" s="520"/>
      <c r="F33" s="10"/>
      <c r="G33" s="521"/>
      <c r="H33" s="526"/>
      <c r="I33" s="527"/>
      <c r="J33" s="10"/>
      <c r="K33" s="561"/>
      <c r="L33" s="564"/>
      <c r="M33" s="574"/>
      <c r="N33" s="535"/>
    </row>
    <row r="34" spans="1:14">
      <c r="A34" s="517"/>
      <c r="B34" s="519"/>
      <c r="C34" s="519"/>
      <c r="D34" s="519"/>
      <c r="E34" s="520"/>
      <c r="F34" s="10"/>
      <c r="G34" s="521"/>
      <c r="H34" s="526"/>
      <c r="I34" s="527"/>
      <c r="J34" s="10"/>
      <c r="K34" s="561"/>
      <c r="L34" s="564"/>
      <c r="M34" s="574"/>
      <c r="N34" s="535"/>
    </row>
    <row r="35" spans="1:14">
      <c r="A35" s="517"/>
      <c r="B35" s="519"/>
      <c r="C35" s="519"/>
      <c r="D35" s="519"/>
      <c r="E35" s="520"/>
      <c r="F35" s="10"/>
      <c r="G35" s="521"/>
      <c r="H35" s="526"/>
      <c r="I35" s="527"/>
      <c r="J35" s="10"/>
      <c r="K35" s="561"/>
      <c r="L35" s="564"/>
      <c r="M35" s="574"/>
      <c r="N35" s="535"/>
    </row>
    <row r="36" spans="1:14">
      <c r="A36" s="517"/>
      <c r="B36" s="519"/>
      <c r="C36" s="519"/>
      <c r="D36" s="519"/>
      <c r="E36" s="520"/>
      <c r="F36" s="10"/>
      <c r="G36" s="521"/>
      <c r="H36" s="526"/>
      <c r="I36" s="527"/>
      <c r="J36" s="10"/>
      <c r="K36" s="561"/>
      <c r="L36" s="564"/>
      <c r="M36" s="574"/>
      <c r="N36" s="535"/>
    </row>
    <row r="37" spans="1:14">
      <c r="A37" s="517"/>
      <c r="B37" s="519"/>
      <c r="C37" s="519"/>
      <c r="D37" s="519"/>
      <c r="E37" s="520"/>
      <c r="F37" s="10"/>
      <c r="G37" s="521"/>
      <c r="H37" s="526"/>
      <c r="I37" s="527"/>
      <c r="J37" s="10"/>
      <c r="K37" s="561"/>
      <c r="L37" s="564"/>
      <c r="M37" s="574"/>
      <c r="N37" s="535"/>
    </row>
    <row r="38" spans="1:14">
      <c r="A38" s="517"/>
      <c r="B38" s="519"/>
      <c r="C38" s="519"/>
      <c r="D38" s="519"/>
      <c r="E38" s="520"/>
      <c r="F38" s="10"/>
      <c r="G38" s="521"/>
      <c r="H38" s="526"/>
      <c r="I38" s="527"/>
      <c r="J38" s="10"/>
      <c r="K38" s="561"/>
      <c r="L38" s="564"/>
      <c r="M38" s="574"/>
      <c r="N38" s="535"/>
    </row>
    <row r="39" spans="1:14">
      <c r="A39" s="517"/>
      <c r="B39" s="519"/>
      <c r="C39" s="519"/>
      <c r="D39" s="519"/>
      <c r="E39" s="520"/>
      <c r="F39" s="10"/>
      <c r="G39" s="521"/>
      <c r="H39" s="526"/>
      <c r="I39" s="527"/>
      <c r="J39" s="10"/>
      <c r="K39" s="561"/>
      <c r="L39" s="564"/>
      <c r="M39" s="574"/>
      <c r="N39" s="535"/>
    </row>
    <row r="40" spans="1:14">
      <c r="A40" s="513" t="s">
        <v>104</v>
      </c>
      <c r="B40" s="512" t="s">
        <v>86</v>
      </c>
      <c r="C40" s="512" t="s">
        <v>105</v>
      </c>
      <c r="D40" s="512" t="s">
        <v>88</v>
      </c>
      <c r="E40" s="508" t="s">
        <v>106</v>
      </c>
      <c r="F40" s="11"/>
      <c r="G40" s="513" t="s">
        <v>107</v>
      </c>
      <c r="H40" s="516" t="s">
        <v>108</v>
      </c>
      <c r="I40" s="514" t="s">
        <v>109</v>
      </c>
      <c r="J40" s="11"/>
      <c r="K40" s="582" t="s">
        <v>63</v>
      </c>
      <c r="L40" s="512" t="s">
        <v>110</v>
      </c>
      <c r="M40" s="516" t="s">
        <v>111</v>
      </c>
      <c r="N40" s="560"/>
    </row>
    <row r="41" spans="1:14">
      <c r="A41" s="513"/>
      <c r="B41" s="512"/>
      <c r="C41" s="512"/>
      <c r="D41" s="512"/>
      <c r="E41" s="508"/>
      <c r="F41" s="11"/>
      <c r="G41" s="513"/>
      <c r="H41" s="516"/>
      <c r="I41" s="514"/>
      <c r="J41" s="11"/>
      <c r="K41" s="582"/>
      <c r="L41" s="512"/>
      <c r="M41" s="516"/>
      <c r="N41" s="560"/>
    </row>
    <row r="42" spans="1:14">
      <c r="A42" s="513"/>
      <c r="B42" s="512"/>
      <c r="C42" s="512"/>
      <c r="D42" s="512"/>
      <c r="E42" s="508"/>
      <c r="F42" s="11"/>
      <c r="G42" s="513"/>
      <c r="H42" s="516"/>
      <c r="I42" s="514"/>
      <c r="J42" s="11"/>
      <c r="K42" s="582"/>
      <c r="L42" s="512"/>
      <c r="M42" s="516"/>
      <c r="N42" s="560"/>
    </row>
    <row r="43" spans="1:14" ht="240">
      <c r="A43" s="54" t="s">
        <v>660</v>
      </c>
      <c r="B43" s="49" t="s">
        <v>353</v>
      </c>
      <c r="C43" s="49" t="s">
        <v>661</v>
      </c>
      <c r="D43" s="49" t="s">
        <v>88</v>
      </c>
      <c r="E43" s="55" t="s">
        <v>662</v>
      </c>
      <c r="F43" s="10"/>
      <c r="G43" s="70" t="s">
        <v>411</v>
      </c>
      <c r="H43" s="63" t="s">
        <v>412</v>
      </c>
      <c r="I43" s="86" t="s">
        <v>413</v>
      </c>
      <c r="J43" s="10"/>
      <c r="K43" s="316" t="s">
        <v>63</v>
      </c>
      <c r="L43" s="258" t="s">
        <v>663</v>
      </c>
      <c r="M43" s="344" t="s">
        <v>415</v>
      </c>
      <c r="N43" s="297"/>
    </row>
    <row r="44" spans="1:14" ht="90">
      <c r="A44" s="56" t="s">
        <v>664</v>
      </c>
      <c r="B44" s="50" t="s">
        <v>353</v>
      </c>
      <c r="C44" s="50" t="s">
        <v>665</v>
      </c>
      <c r="D44" s="50" t="s">
        <v>666</v>
      </c>
      <c r="E44" s="57" t="s">
        <v>667</v>
      </c>
      <c r="F44" s="11"/>
      <c r="G44" s="56" t="s">
        <v>311</v>
      </c>
      <c r="H44" s="51" t="s">
        <v>312</v>
      </c>
      <c r="I44" s="57" t="s">
        <v>313</v>
      </c>
      <c r="J44" s="11"/>
      <c r="K44" s="294" t="s">
        <v>63</v>
      </c>
      <c r="L44" s="259" t="s">
        <v>314</v>
      </c>
      <c r="M44" s="261" t="s">
        <v>315</v>
      </c>
      <c r="N44" s="295"/>
    </row>
    <row r="45" spans="1:14" ht="30">
      <c r="A45" s="253" t="s">
        <v>668</v>
      </c>
      <c r="B45" s="252" t="s">
        <v>353</v>
      </c>
      <c r="C45" s="252" t="s">
        <v>669</v>
      </c>
      <c r="D45" s="252" t="s">
        <v>97</v>
      </c>
      <c r="E45" s="268" t="s">
        <v>670</v>
      </c>
      <c r="F45" s="10"/>
      <c r="G45" s="255" t="s">
        <v>33</v>
      </c>
      <c r="H45" s="262" t="s">
        <v>33</v>
      </c>
      <c r="I45" s="263" t="s">
        <v>33</v>
      </c>
      <c r="J45" s="10"/>
      <c r="K45" s="316" t="s">
        <v>70</v>
      </c>
      <c r="L45" s="258" t="s">
        <v>671</v>
      </c>
      <c r="M45" s="344" t="s">
        <v>5171</v>
      </c>
      <c r="N45" s="297" t="s">
        <v>5153</v>
      </c>
    </row>
    <row r="46" spans="1:14">
      <c r="A46" s="513" t="s">
        <v>352</v>
      </c>
      <c r="B46" s="512" t="s">
        <v>353</v>
      </c>
      <c r="C46" s="512" t="s">
        <v>354</v>
      </c>
      <c r="D46" s="512" t="s">
        <v>76</v>
      </c>
      <c r="E46" s="514" t="s">
        <v>672</v>
      </c>
      <c r="F46" s="11"/>
      <c r="G46" s="513" t="s">
        <v>356</v>
      </c>
      <c r="H46" s="516" t="s">
        <v>354</v>
      </c>
      <c r="I46" s="508" t="s">
        <v>357</v>
      </c>
      <c r="J46" s="11"/>
      <c r="K46" s="582" t="s">
        <v>63</v>
      </c>
      <c r="L46" s="512" t="s">
        <v>358</v>
      </c>
      <c r="M46" s="567" t="s">
        <v>5243</v>
      </c>
      <c r="N46" s="560"/>
    </row>
    <row r="47" spans="1:14">
      <c r="A47" s="513"/>
      <c r="B47" s="512"/>
      <c r="C47" s="512"/>
      <c r="D47" s="512"/>
      <c r="E47" s="514"/>
      <c r="F47" s="11"/>
      <c r="G47" s="513"/>
      <c r="H47" s="516"/>
      <c r="I47" s="508"/>
      <c r="J47" s="11"/>
      <c r="K47" s="582"/>
      <c r="L47" s="512"/>
      <c r="M47" s="567"/>
      <c r="N47" s="560"/>
    </row>
    <row r="48" spans="1:14">
      <c r="A48" s="513"/>
      <c r="B48" s="512"/>
      <c r="C48" s="512"/>
      <c r="D48" s="512"/>
      <c r="E48" s="514"/>
      <c r="F48" s="11"/>
      <c r="G48" s="513"/>
      <c r="H48" s="516"/>
      <c r="I48" s="508"/>
      <c r="J48" s="11"/>
      <c r="K48" s="582"/>
      <c r="L48" s="512"/>
      <c r="M48" s="567"/>
      <c r="N48" s="560"/>
    </row>
    <row r="49" spans="1:14" ht="180">
      <c r="A49" s="54" t="s">
        <v>359</v>
      </c>
      <c r="B49" s="49" t="s">
        <v>353</v>
      </c>
      <c r="C49" s="49" t="s">
        <v>360</v>
      </c>
      <c r="D49" s="49" t="s">
        <v>666</v>
      </c>
      <c r="E49" s="55" t="s">
        <v>361</v>
      </c>
      <c r="F49" s="10"/>
      <c r="G49" s="70" t="s">
        <v>362</v>
      </c>
      <c r="H49" s="63" t="s">
        <v>363</v>
      </c>
      <c r="I49" s="86" t="s">
        <v>364</v>
      </c>
      <c r="J49" s="10"/>
      <c r="K49" s="316" t="s">
        <v>63</v>
      </c>
      <c r="L49" s="258" t="s">
        <v>365</v>
      </c>
      <c r="M49" s="260" t="s">
        <v>366</v>
      </c>
      <c r="N49" s="297"/>
    </row>
    <row r="50" spans="1:14" ht="75">
      <c r="A50" s="56" t="s">
        <v>371</v>
      </c>
      <c r="B50" s="50" t="s">
        <v>353</v>
      </c>
      <c r="C50" s="50" t="s">
        <v>372</v>
      </c>
      <c r="D50" s="50" t="s">
        <v>88</v>
      </c>
      <c r="E50" s="87" t="s">
        <v>673</v>
      </c>
      <c r="F50" s="11"/>
      <c r="G50" s="56" t="s">
        <v>374</v>
      </c>
      <c r="H50" s="51" t="s">
        <v>375</v>
      </c>
      <c r="I50" s="87" t="s">
        <v>373</v>
      </c>
      <c r="J50" s="11"/>
      <c r="K50" s="326" t="s">
        <v>63</v>
      </c>
      <c r="L50" s="256" t="s">
        <v>376</v>
      </c>
      <c r="M50" s="267" t="s">
        <v>377</v>
      </c>
      <c r="N50" s="306"/>
    </row>
    <row r="51" spans="1:14" ht="135">
      <c r="A51" s="54" t="s">
        <v>378</v>
      </c>
      <c r="B51" s="49" t="s">
        <v>353</v>
      </c>
      <c r="C51" s="49" t="s">
        <v>379</v>
      </c>
      <c r="D51" s="49" t="s">
        <v>666</v>
      </c>
      <c r="E51" s="55" t="s">
        <v>380</v>
      </c>
      <c r="F51" s="10"/>
      <c r="G51" s="70" t="s">
        <v>381</v>
      </c>
      <c r="H51" s="63" t="s">
        <v>382</v>
      </c>
      <c r="I51" s="86" t="s">
        <v>383</v>
      </c>
      <c r="J51" s="10"/>
      <c r="K51" s="316" t="s">
        <v>63</v>
      </c>
      <c r="L51" s="258" t="s">
        <v>384</v>
      </c>
      <c r="M51" s="260" t="s">
        <v>385</v>
      </c>
      <c r="N51" s="297"/>
    </row>
    <row r="52" spans="1:14" ht="60">
      <c r="A52" s="56" t="s">
        <v>416</v>
      </c>
      <c r="B52" s="50" t="s">
        <v>353</v>
      </c>
      <c r="C52" s="50" t="s">
        <v>417</v>
      </c>
      <c r="D52" s="50" t="s">
        <v>88</v>
      </c>
      <c r="E52" s="57" t="s">
        <v>418</v>
      </c>
      <c r="F52" s="11"/>
      <c r="G52" s="56" t="s">
        <v>674</v>
      </c>
      <c r="H52" s="96" t="s">
        <v>33</v>
      </c>
      <c r="I52" s="100" t="s">
        <v>33</v>
      </c>
      <c r="J52" s="11"/>
      <c r="K52" s="326" t="s">
        <v>70</v>
      </c>
      <c r="L52" s="256" t="s">
        <v>420</v>
      </c>
      <c r="M52" s="335" t="s">
        <v>5159</v>
      </c>
      <c r="N52" s="306"/>
    </row>
    <row r="53" spans="1:14">
      <c r="A53" s="517" t="s">
        <v>440</v>
      </c>
      <c r="B53" s="519" t="s">
        <v>353</v>
      </c>
      <c r="C53" s="519" t="s">
        <v>441</v>
      </c>
      <c r="D53" s="519" t="s">
        <v>88</v>
      </c>
      <c r="E53" s="580" t="s">
        <v>675</v>
      </c>
      <c r="F53" s="10"/>
      <c r="G53" s="521" t="s">
        <v>443</v>
      </c>
      <c r="H53" s="526" t="s">
        <v>444</v>
      </c>
      <c r="I53" s="542" t="s">
        <v>676</v>
      </c>
      <c r="J53" s="10"/>
      <c r="K53" s="561" t="s">
        <v>63</v>
      </c>
      <c r="L53" s="564" t="s">
        <v>446</v>
      </c>
      <c r="M53" s="574" t="s">
        <v>447</v>
      </c>
      <c r="N53" s="535"/>
    </row>
    <row r="54" spans="1:14">
      <c r="A54" s="517"/>
      <c r="B54" s="519"/>
      <c r="C54" s="519"/>
      <c r="D54" s="519"/>
      <c r="E54" s="580"/>
      <c r="F54" s="10"/>
      <c r="G54" s="521"/>
      <c r="H54" s="526"/>
      <c r="I54" s="542"/>
      <c r="J54" s="10"/>
      <c r="K54" s="561"/>
      <c r="L54" s="564"/>
      <c r="M54" s="574"/>
      <c r="N54" s="535"/>
    </row>
    <row r="55" spans="1:14">
      <c r="A55" s="513" t="s">
        <v>448</v>
      </c>
      <c r="B55" s="512" t="s">
        <v>353</v>
      </c>
      <c r="C55" s="512" t="s">
        <v>449</v>
      </c>
      <c r="D55" s="512" t="s">
        <v>76</v>
      </c>
      <c r="E55" s="508" t="s">
        <v>677</v>
      </c>
      <c r="F55" s="11"/>
      <c r="G55" s="513" t="s">
        <v>451</v>
      </c>
      <c r="H55" s="516" t="s">
        <v>452</v>
      </c>
      <c r="I55" s="508" t="s">
        <v>453</v>
      </c>
      <c r="J55" s="11"/>
      <c r="K55" s="582" t="s">
        <v>63</v>
      </c>
      <c r="L55" s="512" t="s">
        <v>454</v>
      </c>
      <c r="M55" s="567" t="s">
        <v>5244</v>
      </c>
      <c r="N55" s="560"/>
    </row>
    <row r="56" spans="1:14">
      <c r="A56" s="513"/>
      <c r="B56" s="512"/>
      <c r="C56" s="512"/>
      <c r="D56" s="512"/>
      <c r="E56" s="508"/>
      <c r="F56" s="11"/>
      <c r="G56" s="513"/>
      <c r="H56" s="516"/>
      <c r="I56" s="508"/>
      <c r="J56" s="11"/>
      <c r="K56" s="582"/>
      <c r="L56" s="512"/>
      <c r="M56" s="567"/>
      <c r="N56" s="560"/>
    </row>
    <row r="57" spans="1:14">
      <c r="A57" s="513"/>
      <c r="B57" s="512"/>
      <c r="C57" s="512"/>
      <c r="D57" s="512"/>
      <c r="E57" s="508"/>
      <c r="F57" s="11"/>
      <c r="G57" s="513"/>
      <c r="H57" s="516"/>
      <c r="I57" s="508"/>
      <c r="J57" s="11"/>
      <c r="K57" s="582"/>
      <c r="L57" s="512"/>
      <c r="M57" s="567"/>
      <c r="N57" s="560"/>
    </row>
    <row r="58" spans="1:14">
      <c r="A58" s="517" t="s">
        <v>455</v>
      </c>
      <c r="B58" s="519" t="s">
        <v>353</v>
      </c>
      <c r="C58" s="519" t="s">
        <v>456</v>
      </c>
      <c r="D58" s="519" t="s">
        <v>76</v>
      </c>
      <c r="E58" s="580" t="s">
        <v>678</v>
      </c>
      <c r="F58" s="10"/>
      <c r="G58" s="521" t="s">
        <v>458</v>
      </c>
      <c r="H58" s="526" t="s">
        <v>456</v>
      </c>
      <c r="I58" s="542" t="s">
        <v>459</v>
      </c>
      <c r="J58" s="10"/>
      <c r="K58" s="578" t="s">
        <v>63</v>
      </c>
      <c r="L58" s="569" t="s">
        <v>460</v>
      </c>
      <c r="M58" s="568" t="s">
        <v>5245</v>
      </c>
      <c r="N58" s="559"/>
    </row>
    <row r="59" spans="1:14">
      <c r="A59" s="517"/>
      <c r="B59" s="519"/>
      <c r="C59" s="519"/>
      <c r="D59" s="519"/>
      <c r="E59" s="580"/>
      <c r="F59" s="10"/>
      <c r="G59" s="521"/>
      <c r="H59" s="526"/>
      <c r="I59" s="542"/>
      <c r="J59" s="10"/>
      <c r="K59" s="578"/>
      <c r="L59" s="569"/>
      <c r="M59" s="568"/>
      <c r="N59" s="559"/>
    </row>
    <row r="60" spans="1:14">
      <c r="A60" s="517"/>
      <c r="B60" s="519"/>
      <c r="C60" s="519"/>
      <c r="D60" s="519"/>
      <c r="E60" s="580"/>
      <c r="F60" s="10"/>
      <c r="G60" s="521"/>
      <c r="H60" s="526"/>
      <c r="I60" s="542"/>
      <c r="J60" s="10"/>
      <c r="K60" s="578"/>
      <c r="L60" s="569"/>
      <c r="M60" s="568"/>
      <c r="N60" s="559"/>
    </row>
    <row r="61" spans="1:14" ht="135">
      <c r="A61" s="56" t="s">
        <v>465</v>
      </c>
      <c r="B61" s="50" t="s">
        <v>353</v>
      </c>
      <c r="C61" s="50" t="s">
        <v>466</v>
      </c>
      <c r="D61" s="50" t="s">
        <v>76</v>
      </c>
      <c r="E61" s="57" t="s">
        <v>679</v>
      </c>
      <c r="F61" s="11"/>
      <c r="G61" s="56" t="s">
        <v>468</v>
      </c>
      <c r="H61" s="51" t="s">
        <v>469</v>
      </c>
      <c r="I61" s="87" t="s">
        <v>470</v>
      </c>
      <c r="J61" s="11"/>
      <c r="K61" s="326" t="s">
        <v>63</v>
      </c>
      <c r="L61" s="256" t="s">
        <v>471</v>
      </c>
      <c r="M61" s="267" t="s">
        <v>5246</v>
      </c>
      <c r="N61" s="306"/>
    </row>
    <row r="62" spans="1:14" ht="105">
      <c r="A62" s="54" t="s">
        <v>472</v>
      </c>
      <c r="B62" s="49" t="s">
        <v>353</v>
      </c>
      <c r="C62" s="49" t="s">
        <v>473</v>
      </c>
      <c r="D62" s="49" t="s">
        <v>666</v>
      </c>
      <c r="E62" s="55" t="s">
        <v>475</v>
      </c>
      <c r="F62" s="10"/>
      <c r="G62" s="70" t="s">
        <v>476</v>
      </c>
      <c r="H62" s="63" t="s">
        <v>477</v>
      </c>
      <c r="I62" s="86" t="s">
        <v>478</v>
      </c>
      <c r="J62" s="10"/>
      <c r="K62" s="316" t="s">
        <v>63</v>
      </c>
      <c r="L62" s="258" t="s">
        <v>479</v>
      </c>
      <c r="M62" s="260" t="s">
        <v>480</v>
      </c>
      <c r="N62" s="297"/>
    </row>
    <row r="63" spans="1:14">
      <c r="A63" s="513" t="s">
        <v>489</v>
      </c>
      <c r="B63" s="512" t="s">
        <v>490</v>
      </c>
      <c r="C63" s="512" t="s">
        <v>491</v>
      </c>
      <c r="D63" s="512" t="s">
        <v>76</v>
      </c>
      <c r="E63" s="508" t="s">
        <v>680</v>
      </c>
      <c r="F63" s="11"/>
      <c r="G63" s="513" t="s">
        <v>493</v>
      </c>
      <c r="H63" s="516" t="s">
        <v>494</v>
      </c>
      <c r="I63" s="508" t="s">
        <v>495</v>
      </c>
      <c r="J63" s="11"/>
      <c r="K63" s="582" t="s">
        <v>63</v>
      </c>
      <c r="L63" s="512" t="s">
        <v>496</v>
      </c>
      <c r="M63" s="567" t="s">
        <v>5247</v>
      </c>
      <c r="N63" s="560"/>
    </row>
    <row r="64" spans="1:14">
      <c r="A64" s="513"/>
      <c r="B64" s="512"/>
      <c r="C64" s="512"/>
      <c r="D64" s="512"/>
      <c r="E64" s="508"/>
      <c r="F64" s="11"/>
      <c r="G64" s="513"/>
      <c r="H64" s="516"/>
      <c r="I64" s="508"/>
      <c r="J64" s="11"/>
      <c r="K64" s="582"/>
      <c r="L64" s="512"/>
      <c r="M64" s="567"/>
      <c r="N64" s="560"/>
    </row>
    <row r="65" spans="1:14">
      <c r="A65" s="513"/>
      <c r="B65" s="512"/>
      <c r="C65" s="512"/>
      <c r="D65" s="512"/>
      <c r="E65" s="508"/>
      <c r="F65" s="11"/>
      <c r="G65" s="513"/>
      <c r="H65" s="516"/>
      <c r="I65" s="508"/>
      <c r="J65" s="11"/>
      <c r="K65" s="582"/>
      <c r="L65" s="512"/>
      <c r="M65" s="567"/>
      <c r="N65" s="560"/>
    </row>
    <row r="66" spans="1:14" ht="60.75" thickBot="1">
      <c r="A66" s="58" t="s">
        <v>497</v>
      </c>
      <c r="B66" s="59" t="s">
        <v>490</v>
      </c>
      <c r="C66" s="59" t="s">
        <v>498</v>
      </c>
      <c r="D66" s="59" t="s">
        <v>666</v>
      </c>
      <c r="E66" s="60" t="s">
        <v>499</v>
      </c>
      <c r="F66" s="10"/>
      <c r="G66" s="77" t="s">
        <v>500</v>
      </c>
      <c r="H66" s="78" t="s">
        <v>501</v>
      </c>
      <c r="I66" s="135" t="s">
        <v>502</v>
      </c>
      <c r="J66" s="10"/>
      <c r="K66" s="317" t="s">
        <v>63</v>
      </c>
      <c r="L66" s="318" t="s">
        <v>503</v>
      </c>
      <c r="M66" s="319" t="s">
        <v>504</v>
      </c>
      <c r="N66" s="320"/>
    </row>
  </sheetData>
  <autoFilter ref="A2:N2"/>
  <mergeCells count="159">
    <mergeCell ref="N53:N54"/>
    <mergeCell ref="N55:N57"/>
    <mergeCell ref="N58:N60"/>
    <mergeCell ref="N63:N65"/>
    <mergeCell ref="N10:N13"/>
    <mergeCell ref="N15:N17"/>
    <mergeCell ref="N18:N20"/>
    <mergeCell ref="N21:N28"/>
    <mergeCell ref="N29:N31"/>
    <mergeCell ref="N32:N39"/>
    <mergeCell ref="N40:N42"/>
    <mergeCell ref="N46:N48"/>
    <mergeCell ref="G55:G57"/>
    <mergeCell ref="M55:M57"/>
    <mergeCell ref="G53:G54"/>
    <mergeCell ref="M53:M54"/>
    <mergeCell ref="A63:A65"/>
    <mergeCell ref="B63:B65"/>
    <mergeCell ref="C63:C65"/>
    <mergeCell ref="D63:D65"/>
    <mergeCell ref="E63:E65"/>
    <mergeCell ref="G63:G65"/>
    <mergeCell ref="M63:M65"/>
    <mergeCell ref="G58:G60"/>
    <mergeCell ref="M58:M60"/>
    <mergeCell ref="H53:H54"/>
    <mergeCell ref="I53:I54"/>
    <mergeCell ref="H55:H57"/>
    <mergeCell ref="I55:I57"/>
    <mergeCell ref="H58:H60"/>
    <mergeCell ref="I58:I60"/>
    <mergeCell ref="H63:H65"/>
    <mergeCell ref="I63:I65"/>
    <mergeCell ref="A58:A60"/>
    <mergeCell ref="B58:B60"/>
    <mergeCell ref="C58:C60"/>
    <mergeCell ref="D58:D60"/>
    <mergeCell ref="E58:E60"/>
    <mergeCell ref="A55:A57"/>
    <mergeCell ref="B55:B57"/>
    <mergeCell ref="C55:C57"/>
    <mergeCell ref="D55:D57"/>
    <mergeCell ref="E55:E57"/>
    <mergeCell ref="G40:G42"/>
    <mergeCell ref="M40:M42"/>
    <mergeCell ref="A40:A42"/>
    <mergeCell ref="B40:B42"/>
    <mergeCell ref="C40:C42"/>
    <mergeCell ref="D40:D42"/>
    <mergeCell ref="E40:E42"/>
    <mergeCell ref="A53:A54"/>
    <mergeCell ref="B53:B54"/>
    <mergeCell ref="C53:C54"/>
    <mergeCell ref="D53:D54"/>
    <mergeCell ref="E53:E54"/>
    <mergeCell ref="A46:A48"/>
    <mergeCell ref="B46:B48"/>
    <mergeCell ref="C46:C48"/>
    <mergeCell ref="D46:D48"/>
    <mergeCell ref="E46:E48"/>
    <mergeCell ref="G46:G48"/>
    <mergeCell ref="K46:K48"/>
    <mergeCell ref="M46:M48"/>
    <mergeCell ref="H40:H42"/>
    <mergeCell ref="I40:I42"/>
    <mergeCell ref="H46:H48"/>
    <mergeCell ref="I46:I48"/>
    <mergeCell ref="A32:A39"/>
    <mergeCell ref="B32:B39"/>
    <mergeCell ref="C32:C39"/>
    <mergeCell ref="D32:D39"/>
    <mergeCell ref="E32:E39"/>
    <mergeCell ref="M29:M31"/>
    <mergeCell ref="G32:G39"/>
    <mergeCell ref="M32:M39"/>
    <mergeCell ref="H32:H39"/>
    <mergeCell ref="I32:I39"/>
    <mergeCell ref="L32:L39"/>
    <mergeCell ref="A21:A28"/>
    <mergeCell ref="B21:B28"/>
    <mergeCell ref="C21:C28"/>
    <mergeCell ref="D21:D28"/>
    <mergeCell ref="E21:E28"/>
    <mergeCell ref="G21:G28"/>
    <mergeCell ref="M21:M28"/>
    <mergeCell ref="H21:H28"/>
    <mergeCell ref="I21:I28"/>
    <mergeCell ref="H29:H31"/>
    <mergeCell ref="I29:I31"/>
    <mergeCell ref="A18:A20"/>
    <mergeCell ref="B18:B20"/>
    <mergeCell ref="C18:C20"/>
    <mergeCell ref="D18:D20"/>
    <mergeCell ref="E18:E20"/>
    <mergeCell ref="G18:G20"/>
    <mergeCell ref="A1:E1"/>
    <mergeCell ref="G1:I1"/>
    <mergeCell ref="A3:A6"/>
    <mergeCell ref="B3:B6"/>
    <mergeCell ref="C3:C6"/>
    <mergeCell ref="D3:D6"/>
    <mergeCell ref="E3:E6"/>
    <mergeCell ref="G3:G6"/>
    <mergeCell ref="B10:B13"/>
    <mergeCell ref="C10:C13"/>
    <mergeCell ref="D10:D13"/>
    <mergeCell ref="E10:E13"/>
    <mergeCell ref="H10:H13"/>
    <mergeCell ref="I10:I13"/>
    <mergeCell ref="H15:H17"/>
    <mergeCell ref="I15:I17"/>
    <mergeCell ref="H18:H20"/>
    <mergeCell ref="I18:I20"/>
    <mergeCell ref="M3:M6"/>
    <mergeCell ref="L3:L6"/>
    <mergeCell ref="K1:N1"/>
    <mergeCell ref="N3:N6"/>
    <mergeCell ref="A29:A31"/>
    <mergeCell ref="B29:B31"/>
    <mergeCell ref="C29:C31"/>
    <mergeCell ref="D29:D31"/>
    <mergeCell ref="E29:E31"/>
    <mergeCell ref="G29:G31"/>
    <mergeCell ref="L29:L31"/>
    <mergeCell ref="M18:M20"/>
    <mergeCell ref="H3:H6"/>
    <mergeCell ref="I3:I6"/>
    <mergeCell ref="A15:A17"/>
    <mergeCell ref="B15:B17"/>
    <mergeCell ref="C15:C17"/>
    <mergeCell ref="D15:D17"/>
    <mergeCell ref="E15:E17"/>
    <mergeCell ref="G15:G17"/>
    <mergeCell ref="M15:M17"/>
    <mergeCell ref="G10:G13"/>
    <mergeCell ref="M10:M13"/>
    <mergeCell ref="A10:A13"/>
    <mergeCell ref="K53:K54"/>
    <mergeCell ref="K55:K57"/>
    <mergeCell ref="K58:K60"/>
    <mergeCell ref="K63:K65"/>
    <mergeCell ref="L58:L60"/>
    <mergeCell ref="L63:L65"/>
    <mergeCell ref="K3:K6"/>
    <mergeCell ref="K10:K13"/>
    <mergeCell ref="K15:K17"/>
    <mergeCell ref="K18:K20"/>
    <mergeCell ref="K21:K28"/>
    <mergeCell ref="K29:K31"/>
    <mergeCell ref="K32:K39"/>
    <mergeCell ref="K40:K42"/>
    <mergeCell ref="L40:L42"/>
    <mergeCell ref="L46:L48"/>
    <mergeCell ref="L53:L54"/>
    <mergeCell ref="L55:L57"/>
    <mergeCell ref="L10:L13"/>
    <mergeCell ref="L15:L17"/>
    <mergeCell ref="L18:L20"/>
    <mergeCell ref="L21:L28"/>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N59"/>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style="2" customWidth="1"/>
    <col min="2" max="2" width="13.42578125" style="2" customWidth="1"/>
    <col min="3" max="3" width="24.42578125" style="2" bestFit="1" customWidth="1"/>
    <col min="4" max="4" width="16.28515625" style="2" customWidth="1"/>
    <col min="5" max="5" width="48" style="3" customWidth="1"/>
    <col min="6" max="6" width="2" style="3" customWidth="1"/>
    <col min="7" max="7" width="37.28515625" style="3" customWidth="1"/>
    <col min="8" max="8" width="23.85546875" style="3" bestFit="1" customWidth="1"/>
    <col min="9" max="9" width="36.140625" style="3" customWidth="1"/>
    <col min="10" max="10" width="2.28515625" style="3" customWidth="1"/>
    <col min="11" max="11" width="18.5703125" style="3" bestFit="1" customWidth="1"/>
    <col min="12" max="12" width="26.85546875" style="3" bestFit="1" customWidth="1"/>
    <col min="13" max="13" width="51" style="3" customWidth="1"/>
    <col min="14" max="14" width="36.42578125" style="3" customWidth="1"/>
    <col min="15" max="15" width="8.7109375" style="3" customWidth="1"/>
    <col min="16" max="16384" width="8.7109375" style="3"/>
  </cols>
  <sheetData>
    <row r="1" spans="1:14" customFormat="1"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13"/>
      <c r="G2" s="68" t="s">
        <v>50</v>
      </c>
      <c r="H2" s="61" t="s">
        <v>51</v>
      </c>
      <c r="I2" s="69" t="s">
        <v>52</v>
      </c>
      <c r="J2" s="14"/>
      <c r="K2" s="292" t="s">
        <v>113</v>
      </c>
      <c r="L2" s="144" t="s">
        <v>54</v>
      </c>
      <c r="M2" s="80" t="s">
        <v>5147</v>
      </c>
      <c r="N2" s="293" t="s">
        <v>5152</v>
      </c>
    </row>
    <row r="3" spans="1:14" ht="120">
      <c r="A3" s="54" t="s">
        <v>66</v>
      </c>
      <c r="B3" s="49" t="s">
        <v>56</v>
      </c>
      <c r="C3" s="49" t="s">
        <v>67</v>
      </c>
      <c r="D3" s="49" t="s">
        <v>58</v>
      </c>
      <c r="E3" s="55" t="s">
        <v>68</v>
      </c>
      <c r="F3" s="10"/>
      <c r="G3" s="70" t="s">
        <v>114</v>
      </c>
      <c r="H3" s="63" t="s">
        <v>115</v>
      </c>
      <c r="I3" s="86" t="s">
        <v>116</v>
      </c>
      <c r="J3" s="10"/>
      <c r="K3" s="316" t="s">
        <v>63</v>
      </c>
      <c r="L3" s="258" t="s">
        <v>71</v>
      </c>
      <c r="M3" s="260" t="s">
        <v>117</v>
      </c>
      <c r="N3" s="297"/>
    </row>
    <row r="4" spans="1:14">
      <c r="A4" s="513" t="s">
        <v>214</v>
      </c>
      <c r="B4" s="512" t="s">
        <v>86</v>
      </c>
      <c r="C4" s="512" t="s">
        <v>531</v>
      </c>
      <c r="D4" s="512" t="s">
        <v>97</v>
      </c>
      <c r="E4" s="508" t="s">
        <v>533</v>
      </c>
      <c r="F4" s="11"/>
      <c r="G4" s="513" t="s">
        <v>534</v>
      </c>
      <c r="H4" s="516" t="s">
        <v>535</v>
      </c>
      <c r="I4" s="508" t="s">
        <v>536</v>
      </c>
      <c r="J4" s="11"/>
      <c r="K4" s="582" t="s">
        <v>63</v>
      </c>
      <c r="L4" s="512" t="s">
        <v>537</v>
      </c>
      <c r="M4" s="516" t="s">
        <v>538</v>
      </c>
      <c r="N4" s="560"/>
    </row>
    <row r="5" spans="1:14">
      <c r="A5" s="513"/>
      <c r="B5" s="512"/>
      <c r="C5" s="512"/>
      <c r="D5" s="512"/>
      <c r="E5" s="508"/>
      <c r="F5" s="11"/>
      <c r="G5" s="513"/>
      <c r="H5" s="516"/>
      <c r="I5" s="508"/>
      <c r="J5" s="11"/>
      <c r="K5" s="582"/>
      <c r="L5" s="512"/>
      <c r="M5" s="516"/>
      <c r="N5" s="560"/>
    </row>
    <row r="6" spans="1:14">
      <c r="A6" s="513"/>
      <c r="B6" s="512"/>
      <c r="C6" s="512"/>
      <c r="D6" s="512"/>
      <c r="E6" s="508"/>
      <c r="F6" s="11"/>
      <c r="G6" s="513"/>
      <c r="H6" s="516"/>
      <c r="I6" s="508"/>
      <c r="J6" s="11"/>
      <c r="K6" s="582"/>
      <c r="L6" s="512"/>
      <c r="M6" s="516"/>
      <c r="N6" s="560"/>
    </row>
    <row r="7" spans="1:14">
      <c r="A7" s="513"/>
      <c r="B7" s="512"/>
      <c r="C7" s="512"/>
      <c r="D7" s="512"/>
      <c r="E7" s="508"/>
      <c r="F7" s="11"/>
      <c r="G7" s="513"/>
      <c r="H7" s="516"/>
      <c r="I7" s="508"/>
      <c r="J7" s="11"/>
      <c r="K7" s="582"/>
      <c r="L7" s="512"/>
      <c r="M7" s="516"/>
      <c r="N7" s="560"/>
    </row>
    <row r="8" spans="1:14">
      <c r="A8" s="513"/>
      <c r="B8" s="512"/>
      <c r="C8" s="512"/>
      <c r="D8" s="512"/>
      <c r="E8" s="508"/>
      <c r="F8" s="11"/>
      <c r="G8" s="513"/>
      <c r="H8" s="516"/>
      <c r="I8" s="508"/>
      <c r="J8" s="11"/>
      <c r="K8" s="582"/>
      <c r="L8" s="512"/>
      <c r="M8" s="516"/>
      <c r="N8" s="560"/>
    </row>
    <row r="9" spans="1:14">
      <c r="A9" s="513"/>
      <c r="B9" s="512"/>
      <c r="C9" s="512"/>
      <c r="D9" s="512"/>
      <c r="E9" s="508"/>
      <c r="F9" s="11"/>
      <c r="G9" s="513"/>
      <c r="H9" s="516"/>
      <c r="I9" s="508"/>
      <c r="J9" s="11"/>
      <c r="K9" s="582"/>
      <c r="L9" s="512"/>
      <c r="M9" s="516"/>
      <c r="N9" s="560"/>
    </row>
    <row r="10" spans="1:14">
      <c r="A10" s="513"/>
      <c r="B10" s="512"/>
      <c r="C10" s="512"/>
      <c r="D10" s="512"/>
      <c r="E10" s="508"/>
      <c r="F10" s="11"/>
      <c r="G10" s="513"/>
      <c r="H10" s="516"/>
      <c r="I10" s="508"/>
      <c r="J10" s="11"/>
      <c r="K10" s="582"/>
      <c r="L10" s="512"/>
      <c r="M10" s="516"/>
      <c r="N10" s="560"/>
    </row>
    <row r="11" spans="1:14">
      <c r="A11" s="513"/>
      <c r="B11" s="512"/>
      <c r="C11" s="512"/>
      <c r="D11" s="512"/>
      <c r="E11" s="508"/>
      <c r="F11" s="11"/>
      <c r="G11" s="513"/>
      <c r="H11" s="516"/>
      <c r="I11" s="508"/>
      <c r="J11" s="11"/>
      <c r="K11" s="582"/>
      <c r="L11" s="512"/>
      <c r="M11" s="516"/>
      <c r="N11" s="560"/>
    </row>
    <row r="12" spans="1:14" ht="90">
      <c r="A12" s="54" t="s">
        <v>118</v>
      </c>
      <c r="B12" s="49" t="s">
        <v>86</v>
      </c>
      <c r="C12" s="49" t="s">
        <v>119</v>
      </c>
      <c r="D12" s="49" t="s">
        <v>539</v>
      </c>
      <c r="E12" s="55" t="s">
        <v>540</v>
      </c>
      <c r="F12" s="10"/>
      <c r="G12" s="70" t="s">
        <v>122</v>
      </c>
      <c r="H12" s="63" t="s">
        <v>123</v>
      </c>
      <c r="I12" s="71" t="s">
        <v>124</v>
      </c>
      <c r="J12" s="10"/>
      <c r="K12" s="316" t="s">
        <v>63</v>
      </c>
      <c r="L12" s="258" t="s">
        <v>125</v>
      </c>
      <c r="M12" s="260" t="s">
        <v>5154</v>
      </c>
      <c r="N12" s="297"/>
    </row>
    <row r="13" spans="1:14" ht="30">
      <c r="A13" s="56" t="s">
        <v>126</v>
      </c>
      <c r="B13" s="50" t="s">
        <v>86</v>
      </c>
      <c r="C13" s="50" t="s">
        <v>681</v>
      </c>
      <c r="D13" s="50" t="s">
        <v>58</v>
      </c>
      <c r="E13" s="57" t="s">
        <v>682</v>
      </c>
      <c r="F13" s="11"/>
      <c r="G13" s="56" t="s">
        <v>129</v>
      </c>
      <c r="H13" s="51" t="s">
        <v>130</v>
      </c>
      <c r="I13" s="57" t="s">
        <v>131</v>
      </c>
      <c r="J13" s="11"/>
      <c r="K13" s="326" t="s">
        <v>63</v>
      </c>
      <c r="L13" s="256" t="s">
        <v>132</v>
      </c>
      <c r="M13" s="267" t="s">
        <v>133</v>
      </c>
      <c r="N13" s="306"/>
    </row>
    <row r="14" spans="1:14" ht="14.45" customHeight="1">
      <c r="A14" s="517" t="s">
        <v>134</v>
      </c>
      <c r="B14" s="519" t="s">
        <v>86</v>
      </c>
      <c r="C14" s="519" t="s">
        <v>135</v>
      </c>
      <c r="D14" s="519" t="s">
        <v>97</v>
      </c>
      <c r="E14" s="580" t="s">
        <v>136</v>
      </c>
      <c r="F14" s="10"/>
      <c r="G14" s="521" t="s">
        <v>137</v>
      </c>
      <c r="H14" s="526" t="s">
        <v>138</v>
      </c>
      <c r="I14" s="527" t="s">
        <v>139</v>
      </c>
      <c r="J14" s="10"/>
      <c r="K14" s="419" t="s">
        <v>70</v>
      </c>
      <c r="L14" s="443" t="s">
        <v>140</v>
      </c>
      <c r="M14" s="467" t="s">
        <v>5155</v>
      </c>
      <c r="N14" s="455" t="s">
        <v>5153</v>
      </c>
    </row>
    <row r="15" spans="1:14">
      <c r="A15" s="517"/>
      <c r="B15" s="519"/>
      <c r="C15" s="519"/>
      <c r="D15" s="519"/>
      <c r="E15" s="580"/>
      <c r="F15" s="10"/>
      <c r="G15" s="521"/>
      <c r="H15" s="526"/>
      <c r="I15" s="527"/>
      <c r="J15" s="10"/>
      <c r="K15" s="420"/>
      <c r="L15" s="444"/>
      <c r="M15" s="468"/>
      <c r="N15" s="456"/>
    </row>
    <row r="16" spans="1:14">
      <c r="A16" s="517"/>
      <c r="B16" s="519"/>
      <c r="C16" s="519"/>
      <c r="D16" s="519"/>
      <c r="E16" s="580"/>
      <c r="F16" s="10"/>
      <c r="G16" s="521"/>
      <c r="H16" s="526"/>
      <c r="I16" s="527"/>
      <c r="J16" s="10"/>
      <c r="K16" s="420"/>
      <c r="L16" s="444"/>
      <c r="M16" s="468"/>
      <c r="N16" s="456"/>
    </row>
    <row r="17" spans="1:14">
      <c r="A17" s="517"/>
      <c r="B17" s="519"/>
      <c r="C17" s="519"/>
      <c r="D17" s="519"/>
      <c r="E17" s="580"/>
      <c r="F17" s="10"/>
      <c r="G17" s="521"/>
      <c r="H17" s="526"/>
      <c r="I17" s="527"/>
      <c r="J17" s="10"/>
      <c r="K17" s="420"/>
      <c r="L17" s="444"/>
      <c r="M17" s="468"/>
      <c r="N17" s="456"/>
    </row>
    <row r="18" spans="1:14">
      <c r="A18" s="517"/>
      <c r="B18" s="519"/>
      <c r="C18" s="519"/>
      <c r="D18" s="519"/>
      <c r="E18" s="580"/>
      <c r="F18" s="10"/>
      <c r="G18" s="521"/>
      <c r="H18" s="526"/>
      <c r="I18" s="527"/>
      <c r="J18" s="10"/>
      <c r="K18" s="420"/>
      <c r="L18" s="444"/>
      <c r="M18" s="468"/>
      <c r="N18" s="456"/>
    </row>
    <row r="19" spans="1:14">
      <c r="A19" s="517"/>
      <c r="B19" s="519"/>
      <c r="C19" s="519"/>
      <c r="D19" s="519"/>
      <c r="E19" s="580"/>
      <c r="F19" s="10"/>
      <c r="G19" s="521"/>
      <c r="H19" s="526"/>
      <c r="I19" s="527"/>
      <c r="J19" s="10"/>
      <c r="K19" s="420"/>
      <c r="L19" s="444"/>
      <c r="M19" s="468"/>
      <c r="N19" s="456"/>
    </row>
    <row r="20" spans="1:14">
      <c r="A20" s="517"/>
      <c r="B20" s="519"/>
      <c r="C20" s="519"/>
      <c r="D20" s="519"/>
      <c r="E20" s="580"/>
      <c r="F20" s="10"/>
      <c r="G20" s="521"/>
      <c r="H20" s="526"/>
      <c r="I20" s="527"/>
      <c r="J20" s="10"/>
      <c r="K20" s="420"/>
      <c r="L20" s="444"/>
      <c r="M20" s="468"/>
      <c r="N20" s="456"/>
    </row>
    <row r="21" spans="1:14">
      <c r="A21" s="517"/>
      <c r="B21" s="519"/>
      <c r="C21" s="519"/>
      <c r="D21" s="519"/>
      <c r="E21" s="580"/>
      <c r="F21" s="10"/>
      <c r="G21" s="521"/>
      <c r="H21" s="526"/>
      <c r="I21" s="527"/>
      <c r="J21" s="10"/>
      <c r="K21" s="420"/>
      <c r="L21" s="444"/>
      <c r="M21" s="468"/>
      <c r="N21" s="456"/>
    </row>
    <row r="22" spans="1:14">
      <c r="A22" s="517"/>
      <c r="B22" s="519"/>
      <c r="C22" s="519"/>
      <c r="D22" s="519"/>
      <c r="E22" s="580"/>
      <c r="F22" s="10"/>
      <c r="G22" s="521"/>
      <c r="H22" s="526"/>
      <c r="I22" s="527"/>
      <c r="J22" s="10"/>
      <c r="K22" s="420"/>
      <c r="L22" s="444"/>
      <c r="M22" s="468"/>
      <c r="N22" s="456"/>
    </row>
    <row r="23" spans="1:14">
      <c r="A23" s="517"/>
      <c r="B23" s="519"/>
      <c r="C23" s="519"/>
      <c r="D23" s="519"/>
      <c r="E23" s="580"/>
      <c r="F23" s="10"/>
      <c r="G23" s="521"/>
      <c r="H23" s="526"/>
      <c r="I23" s="527"/>
      <c r="J23" s="10"/>
      <c r="K23" s="420"/>
      <c r="L23" s="444"/>
      <c r="M23" s="468"/>
      <c r="N23" s="456"/>
    </row>
    <row r="24" spans="1:14">
      <c r="A24" s="517"/>
      <c r="B24" s="519"/>
      <c r="C24" s="519"/>
      <c r="D24" s="519"/>
      <c r="E24" s="580"/>
      <c r="F24" s="10"/>
      <c r="G24" s="521"/>
      <c r="H24" s="526"/>
      <c r="I24" s="527"/>
      <c r="J24" s="10"/>
      <c r="K24" s="420"/>
      <c r="L24" s="444"/>
      <c r="M24" s="468"/>
      <c r="N24" s="456"/>
    </row>
    <row r="25" spans="1:14">
      <c r="A25" s="517"/>
      <c r="B25" s="519"/>
      <c r="C25" s="519"/>
      <c r="D25" s="519"/>
      <c r="E25" s="580"/>
      <c r="F25" s="10"/>
      <c r="G25" s="521"/>
      <c r="H25" s="526"/>
      <c r="I25" s="527"/>
      <c r="J25" s="10"/>
      <c r="K25" s="420"/>
      <c r="L25" s="444"/>
      <c r="M25" s="468"/>
      <c r="N25" s="456"/>
    </row>
    <row r="26" spans="1:14">
      <c r="A26" s="517"/>
      <c r="B26" s="519"/>
      <c r="C26" s="519"/>
      <c r="D26" s="519"/>
      <c r="E26" s="580"/>
      <c r="F26" s="10"/>
      <c r="G26" s="521"/>
      <c r="H26" s="526"/>
      <c r="I26" s="527"/>
      <c r="J26" s="10"/>
      <c r="K26" s="421"/>
      <c r="L26" s="445"/>
      <c r="M26" s="469"/>
      <c r="N26" s="457"/>
    </row>
    <row r="27" spans="1:14" ht="180">
      <c r="A27" s="56" t="s">
        <v>142</v>
      </c>
      <c r="B27" s="50" t="s">
        <v>86</v>
      </c>
      <c r="C27" s="50" t="s">
        <v>143</v>
      </c>
      <c r="D27" s="50" t="s">
        <v>97</v>
      </c>
      <c r="E27" s="87" t="s">
        <v>683</v>
      </c>
      <c r="F27" s="11"/>
      <c r="G27" s="99" t="s">
        <v>33</v>
      </c>
      <c r="H27" s="96" t="s">
        <v>33</v>
      </c>
      <c r="I27" s="100" t="s">
        <v>33</v>
      </c>
      <c r="J27" s="11"/>
      <c r="K27" s="326" t="s">
        <v>70</v>
      </c>
      <c r="L27" s="256" t="s">
        <v>145</v>
      </c>
      <c r="M27" s="335" t="s">
        <v>5159</v>
      </c>
      <c r="N27" s="306"/>
    </row>
    <row r="28" spans="1:14">
      <c r="A28" s="517" t="s">
        <v>547</v>
      </c>
      <c r="B28" s="519" t="s">
        <v>353</v>
      </c>
      <c r="C28" s="519" t="s">
        <v>684</v>
      </c>
      <c r="D28" s="519" t="s">
        <v>76</v>
      </c>
      <c r="E28" s="520" t="s">
        <v>685</v>
      </c>
      <c r="F28" s="10"/>
      <c r="G28" s="521" t="s">
        <v>550</v>
      </c>
      <c r="H28" s="526" t="s">
        <v>551</v>
      </c>
      <c r="I28" s="527" t="s">
        <v>552</v>
      </c>
      <c r="J28" s="10"/>
      <c r="K28" s="578" t="s">
        <v>63</v>
      </c>
      <c r="L28" s="569" t="s">
        <v>553</v>
      </c>
      <c r="M28" s="568" t="s">
        <v>5248</v>
      </c>
      <c r="N28" s="559"/>
    </row>
    <row r="29" spans="1:14">
      <c r="A29" s="517"/>
      <c r="B29" s="519"/>
      <c r="C29" s="519"/>
      <c r="D29" s="519"/>
      <c r="E29" s="520"/>
      <c r="F29" s="10"/>
      <c r="G29" s="521"/>
      <c r="H29" s="526"/>
      <c r="I29" s="527"/>
      <c r="J29" s="10"/>
      <c r="K29" s="578"/>
      <c r="L29" s="569"/>
      <c r="M29" s="568"/>
      <c r="N29" s="559"/>
    </row>
    <row r="30" spans="1:14">
      <c r="A30" s="517"/>
      <c r="B30" s="519"/>
      <c r="C30" s="519"/>
      <c r="D30" s="519"/>
      <c r="E30" s="520"/>
      <c r="F30" s="10"/>
      <c r="G30" s="521"/>
      <c r="H30" s="526"/>
      <c r="I30" s="527"/>
      <c r="J30" s="10"/>
      <c r="K30" s="578"/>
      <c r="L30" s="569"/>
      <c r="M30" s="568"/>
      <c r="N30" s="559"/>
    </row>
    <row r="31" spans="1:14" ht="255">
      <c r="A31" s="56" t="s">
        <v>554</v>
      </c>
      <c r="B31" s="50" t="s">
        <v>353</v>
      </c>
      <c r="C31" s="50" t="s">
        <v>555</v>
      </c>
      <c r="D31" s="50" t="s">
        <v>474</v>
      </c>
      <c r="E31" s="87" t="s">
        <v>686</v>
      </c>
      <c r="F31" s="11"/>
      <c r="G31" s="56" t="s">
        <v>557</v>
      </c>
      <c r="H31" s="51" t="s">
        <v>363</v>
      </c>
      <c r="I31" s="87" t="s">
        <v>558</v>
      </c>
      <c r="J31" s="11"/>
      <c r="K31" s="326" t="s">
        <v>63</v>
      </c>
      <c r="L31" s="256" t="s">
        <v>559</v>
      </c>
      <c r="M31" s="267" t="s">
        <v>560</v>
      </c>
      <c r="N31" s="306"/>
    </row>
    <row r="32" spans="1:14" ht="60">
      <c r="A32" s="54" t="s">
        <v>687</v>
      </c>
      <c r="B32" s="49" t="s">
        <v>56</v>
      </c>
      <c r="C32" s="49" t="s">
        <v>688</v>
      </c>
      <c r="D32" s="49" t="s">
        <v>58</v>
      </c>
      <c r="E32" s="117" t="s">
        <v>689</v>
      </c>
      <c r="F32" s="10"/>
      <c r="G32" s="70" t="s">
        <v>690</v>
      </c>
      <c r="H32" s="63" t="s">
        <v>691</v>
      </c>
      <c r="I32" s="71" t="s">
        <v>692</v>
      </c>
      <c r="J32" s="10"/>
      <c r="K32" s="296" t="s">
        <v>63</v>
      </c>
      <c r="L32" s="91" t="s">
        <v>693</v>
      </c>
      <c r="M32" s="145" t="s">
        <v>694</v>
      </c>
      <c r="N32" s="297"/>
    </row>
    <row r="33" spans="1:14" ht="75">
      <c r="A33" s="56" t="s">
        <v>695</v>
      </c>
      <c r="B33" s="50" t="s">
        <v>56</v>
      </c>
      <c r="C33" s="50" t="s">
        <v>696</v>
      </c>
      <c r="D33" s="50" t="s">
        <v>58</v>
      </c>
      <c r="E33" s="87" t="s">
        <v>697</v>
      </c>
      <c r="F33" s="11"/>
      <c r="G33" s="56" t="s">
        <v>698</v>
      </c>
      <c r="H33" s="51" t="s">
        <v>699</v>
      </c>
      <c r="I33" s="57" t="s">
        <v>700</v>
      </c>
      <c r="J33" s="11"/>
      <c r="K33" s="326" t="s">
        <v>63</v>
      </c>
      <c r="L33" s="256" t="s">
        <v>701</v>
      </c>
      <c r="M33" s="267" t="s">
        <v>702</v>
      </c>
      <c r="N33" s="306"/>
    </row>
    <row r="34" spans="1:14" ht="60">
      <c r="A34" s="54" t="s">
        <v>703</v>
      </c>
      <c r="B34" s="49" t="s">
        <v>56</v>
      </c>
      <c r="C34" s="49" t="s">
        <v>704</v>
      </c>
      <c r="D34" s="49" t="s">
        <v>58</v>
      </c>
      <c r="E34" s="117" t="s">
        <v>705</v>
      </c>
      <c r="F34" s="10"/>
      <c r="G34" s="74" t="s">
        <v>33</v>
      </c>
      <c r="H34" s="62" t="s">
        <v>33</v>
      </c>
      <c r="I34" s="76" t="s">
        <v>33</v>
      </c>
      <c r="J34" s="10"/>
      <c r="K34" s="296" t="s">
        <v>70</v>
      </c>
      <c r="L34" s="91" t="s">
        <v>706</v>
      </c>
      <c r="M34" s="145" t="s">
        <v>5172</v>
      </c>
      <c r="N34" s="297" t="s">
        <v>5153</v>
      </c>
    </row>
    <row r="35" spans="1:14" ht="60">
      <c r="A35" s="56" t="s">
        <v>707</v>
      </c>
      <c r="B35" s="50" t="s">
        <v>56</v>
      </c>
      <c r="C35" s="50" t="s">
        <v>708</v>
      </c>
      <c r="D35" s="50" t="s">
        <v>58</v>
      </c>
      <c r="E35" s="57" t="s">
        <v>709</v>
      </c>
      <c r="F35" s="11"/>
      <c r="G35" s="99" t="s">
        <v>33</v>
      </c>
      <c r="H35" s="50" t="s">
        <v>33</v>
      </c>
      <c r="I35" s="83" t="s">
        <v>33</v>
      </c>
      <c r="J35" s="11"/>
      <c r="K35" s="326" t="s">
        <v>70</v>
      </c>
      <c r="L35" s="256" t="s">
        <v>710</v>
      </c>
      <c r="M35" s="267" t="s">
        <v>5172</v>
      </c>
      <c r="N35" s="306" t="s">
        <v>5153</v>
      </c>
    </row>
    <row r="36" spans="1:14" ht="60">
      <c r="A36" s="54" t="s">
        <v>711</v>
      </c>
      <c r="B36" s="49" t="s">
        <v>56</v>
      </c>
      <c r="C36" s="49" t="s">
        <v>712</v>
      </c>
      <c r="D36" s="49" t="s">
        <v>58</v>
      </c>
      <c r="E36" s="117" t="s">
        <v>713</v>
      </c>
      <c r="F36" s="10"/>
      <c r="G36" s="74" t="s">
        <v>33</v>
      </c>
      <c r="H36" s="62" t="s">
        <v>33</v>
      </c>
      <c r="I36" s="76" t="s">
        <v>33</v>
      </c>
      <c r="J36" s="10"/>
      <c r="K36" s="296" t="s">
        <v>70</v>
      </c>
      <c r="L36" s="91" t="s">
        <v>714</v>
      </c>
      <c r="M36" s="145" t="s">
        <v>5172</v>
      </c>
      <c r="N36" s="297" t="s">
        <v>5153</v>
      </c>
    </row>
    <row r="37" spans="1:14" ht="30">
      <c r="A37" s="56" t="s">
        <v>715</v>
      </c>
      <c r="B37" s="50" t="s">
        <v>56</v>
      </c>
      <c r="C37" s="50" t="s">
        <v>716</v>
      </c>
      <c r="D37" s="50" t="s">
        <v>58</v>
      </c>
      <c r="E37" s="57" t="s">
        <v>717</v>
      </c>
      <c r="F37" s="11"/>
      <c r="G37" s="56" t="s">
        <v>718</v>
      </c>
      <c r="H37" s="51" t="s">
        <v>719</v>
      </c>
      <c r="I37" s="57" t="s">
        <v>719</v>
      </c>
      <c r="J37" s="11"/>
      <c r="K37" s="294" t="s">
        <v>63</v>
      </c>
      <c r="L37" s="259" t="s">
        <v>720</v>
      </c>
      <c r="M37" s="261" t="s">
        <v>721</v>
      </c>
      <c r="N37" s="306"/>
    </row>
    <row r="38" spans="1:14" ht="30">
      <c r="A38" s="54" t="s">
        <v>722</v>
      </c>
      <c r="B38" s="49" t="s">
        <v>723</v>
      </c>
      <c r="C38" s="49" t="s">
        <v>724</v>
      </c>
      <c r="D38" s="49" t="s">
        <v>58</v>
      </c>
      <c r="E38" s="55" t="s">
        <v>725</v>
      </c>
      <c r="F38" s="10"/>
      <c r="G38" s="74" t="s">
        <v>33</v>
      </c>
      <c r="H38" s="66" t="s">
        <v>33</v>
      </c>
      <c r="I38" s="75" t="s">
        <v>33</v>
      </c>
      <c r="J38" s="10"/>
      <c r="K38" s="298" t="s">
        <v>70</v>
      </c>
      <c r="L38" s="278" t="s">
        <v>726</v>
      </c>
      <c r="M38" s="370" t="s">
        <v>5212</v>
      </c>
      <c r="N38" s="307"/>
    </row>
    <row r="39" spans="1:14" ht="30">
      <c r="A39" s="56" t="s">
        <v>727</v>
      </c>
      <c r="B39" s="50" t="s">
        <v>723</v>
      </c>
      <c r="C39" s="50" t="s">
        <v>728</v>
      </c>
      <c r="D39" s="50" t="s">
        <v>58</v>
      </c>
      <c r="E39" s="57" t="s">
        <v>729</v>
      </c>
      <c r="F39" s="11"/>
      <c r="G39" s="99" t="s">
        <v>33</v>
      </c>
      <c r="H39" s="96" t="s">
        <v>33</v>
      </c>
      <c r="I39" s="100" t="s">
        <v>33</v>
      </c>
      <c r="J39" s="11"/>
      <c r="K39" s="326" t="s">
        <v>70</v>
      </c>
      <c r="L39" s="256" t="s">
        <v>730</v>
      </c>
      <c r="M39" s="369" t="s">
        <v>5213</v>
      </c>
      <c r="N39" s="306"/>
    </row>
    <row r="40" spans="1:14" ht="30">
      <c r="A40" s="54" t="s">
        <v>731</v>
      </c>
      <c r="B40" s="49" t="s">
        <v>723</v>
      </c>
      <c r="C40" s="49" t="s">
        <v>732</v>
      </c>
      <c r="D40" s="49" t="s">
        <v>58</v>
      </c>
      <c r="E40" s="55" t="s">
        <v>733</v>
      </c>
      <c r="F40" s="10"/>
      <c r="G40" s="74" t="s">
        <v>33</v>
      </c>
      <c r="H40" s="66" t="s">
        <v>33</v>
      </c>
      <c r="I40" s="75" t="s">
        <v>33</v>
      </c>
      <c r="J40" s="10"/>
      <c r="K40" s="296" t="s">
        <v>63</v>
      </c>
      <c r="L40" s="91" t="s">
        <v>734</v>
      </c>
      <c r="M40" s="145" t="s">
        <v>5173</v>
      </c>
      <c r="N40" s="345"/>
    </row>
    <row r="41" spans="1:14" ht="45">
      <c r="A41" s="56" t="s">
        <v>735</v>
      </c>
      <c r="B41" s="50" t="s">
        <v>723</v>
      </c>
      <c r="C41" s="50" t="s">
        <v>736</v>
      </c>
      <c r="D41" s="50" t="s">
        <v>58</v>
      </c>
      <c r="E41" s="57" t="s">
        <v>737</v>
      </c>
      <c r="F41" s="11"/>
      <c r="G41" s="99" t="s">
        <v>33</v>
      </c>
      <c r="H41" s="96" t="s">
        <v>33</v>
      </c>
      <c r="I41" s="100" t="s">
        <v>33</v>
      </c>
      <c r="J41" s="11"/>
      <c r="K41" s="294" t="s">
        <v>70</v>
      </c>
      <c r="L41" s="259" t="s">
        <v>738</v>
      </c>
      <c r="M41" s="261" t="s">
        <v>5174</v>
      </c>
      <c r="N41" s="295"/>
    </row>
    <row r="42" spans="1:14" ht="75">
      <c r="A42" s="54" t="s">
        <v>739</v>
      </c>
      <c r="B42" s="49" t="s">
        <v>723</v>
      </c>
      <c r="C42" s="49" t="s">
        <v>740</v>
      </c>
      <c r="D42" s="49" t="s">
        <v>76</v>
      </c>
      <c r="E42" s="55" t="s">
        <v>741</v>
      </c>
      <c r="F42" s="10"/>
      <c r="G42" s="70" t="s">
        <v>742</v>
      </c>
      <c r="H42" s="63" t="s">
        <v>743</v>
      </c>
      <c r="I42" s="71" t="s">
        <v>744</v>
      </c>
      <c r="J42" s="10"/>
      <c r="K42" s="296" t="s">
        <v>63</v>
      </c>
      <c r="L42" s="91" t="s">
        <v>745</v>
      </c>
      <c r="M42" s="145" t="s">
        <v>5175</v>
      </c>
      <c r="N42" s="345"/>
    </row>
    <row r="43" spans="1:14" ht="162.75" customHeight="1">
      <c r="A43" s="56" t="s">
        <v>746</v>
      </c>
      <c r="B43" s="50" t="s">
        <v>543</v>
      </c>
      <c r="C43" s="50" t="s">
        <v>747</v>
      </c>
      <c r="D43" s="50" t="s">
        <v>76</v>
      </c>
      <c r="E43" s="57" t="s">
        <v>748</v>
      </c>
      <c r="F43" s="11"/>
      <c r="G43" s="99" t="s">
        <v>33</v>
      </c>
      <c r="H43" s="96" t="s">
        <v>33</v>
      </c>
      <c r="I43" s="100" t="s">
        <v>33</v>
      </c>
      <c r="J43" s="11"/>
      <c r="K43" s="347" t="s">
        <v>70</v>
      </c>
      <c r="L43" s="348" t="s">
        <v>749</v>
      </c>
      <c r="M43" s="349" t="s">
        <v>5214</v>
      </c>
      <c r="N43" s="295" t="s">
        <v>5153</v>
      </c>
    </row>
    <row r="44" spans="1:14">
      <c r="A44" s="517" t="s">
        <v>750</v>
      </c>
      <c r="B44" s="519" t="s">
        <v>543</v>
      </c>
      <c r="C44" s="519" t="s">
        <v>751</v>
      </c>
      <c r="D44" s="519" t="s">
        <v>76</v>
      </c>
      <c r="E44" s="580" t="s">
        <v>752</v>
      </c>
      <c r="F44" s="10"/>
      <c r="G44" s="581" t="s">
        <v>33</v>
      </c>
      <c r="H44" s="592" t="s">
        <v>33</v>
      </c>
      <c r="I44" s="570" t="s">
        <v>33</v>
      </c>
      <c r="J44" s="10"/>
      <c r="K44" s="529" t="s">
        <v>70</v>
      </c>
      <c r="L44" s="531" t="s">
        <v>753</v>
      </c>
      <c r="M44" s="626" t="s">
        <v>5176</v>
      </c>
      <c r="N44" s="541"/>
    </row>
    <row r="45" spans="1:14">
      <c r="A45" s="517"/>
      <c r="B45" s="519"/>
      <c r="C45" s="519"/>
      <c r="D45" s="519"/>
      <c r="E45" s="580"/>
      <c r="F45" s="10"/>
      <c r="G45" s="521"/>
      <c r="H45" s="617"/>
      <c r="I45" s="618"/>
      <c r="J45" s="10"/>
      <c r="K45" s="529"/>
      <c r="L45" s="531"/>
      <c r="M45" s="626"/>
      <c r="N45" s="541"/>
    </row>
    <row r="46" spans="1:14">
      <c r="A46" s="517"/>
      <c r="B46" s="519"/>
      <c r="C46" s="519"/>
      <c r="D46" s="519"/>
      <c r="E46" s="580"/>
      <c r="F46" s="10"/>
      <c r="G46" s="521"/>
      <c r="H46" s="617"/>
      <c r="I46" s="618"/>
      <c r="J46" s="10"/>
      <c r="K46" s="529"/>
      <c r="L46" s="531"/>
      <c r="M46" s="626"/>
      <c r="N46" s="541"/>
    </row>
    <row r="47" spans="1:14" ht="135">
      <c r="A47" s="56" t="s">
        <v>755</v>
      </c>
      <c r="B47" s="50" t="s">
        <v>543</v>
      </c>
      <c r="C47" s="50" t="s">
        <v>756</v>
      </c>
      <c r="D47" s="50" t="s">
        <v>76</v>
      </c>
      <c r="E47" s="87" t="s">
        <v>757</v>
      </c>
      <c r="F47" s="11"/>
      <c r="G47" s="56" t="s">
        <v>758</v>
      </c>
      <c r="H47" s="51" t="s">
        <v>759</v>
      </c>
      <c r="I47" s="87" t="s">
        <v>760</v>
      </c>
      <c r="J47" s="11"/>
      <c r="K47" s="326" t="s">
        <v>63</v>
      </c>
      <c r="L47" s="256" t="s">
        <v>761</v>
      </c>
      <c r="M47" s="267" t="s">
        <v>5177</v>
      </c>
      <c r="N47" s="306"/>
    </row>
    <row r="48" spans="1:14">
      <c r="A48" s="517" t="s">
        <v>762</v>
      </c>
      <c r="B48" s="519" t="s">
        <v>506</v>
      </c>
      <c r="C48" s="519" t="s">
        <v>763</v>
      </c>
      <c r="D48" s="519" t="s">
        <v>76</v>
      </c>
      <c r="E48" s="520" t="s">
        <v>764</v>
      </c>
      <c r="F48" s="10"/>
      <c r="G48" s="521" t="s">
        <v>765</v>
      </c>
      <c r="H48" s="526" t="s">
        <v>766</v>
      </c>
      <c r="I48" s="527" t="s">
        <v>767</v>
      </c>
      <c r="J48" s="10"/>
      <c r="K48" s="578" t="s">
        <v>63</v>
      </c>
      <c r="L48" s="569" t="s">
        <v>768</v>
      </c>
      <c r="M48" s="568" t="s">
        <v>5249</v>
      </c>
      <c r="N48" s="559"/>
    </row>
    <row r="49" spans="1:14">
      <c r="A49" s="517"/>
      <c r="B49" s="519"/>
      <c r="C49" s="519"/>
      <c r="D49" s="519"/>
      <c r="E49" s="520"/>
      <c r="F49" s="10"/>
      <c r="G49" s="521"/>
      <c r="H49" s="526"/>
      <c r="I49" s="527"/>
      <c r="J49" s="10"/>
      <c r="K49" s="578"/>
      <c r="L49" s="569"/>
      <c r="M49" s="568"/>
      <c r="N49" s="559"/>
    </row>
    <row r="50" spans="1:14">
      <c r="A50" s="517"/>
      <c r="B50" s="519"/>
      <c r="C50" s="519"/>
      <c r="D50" s="519"/>
      <c r="E50" s="520"/>
      <c r="F50" s="10"/>
      <c r="G50" s="521"/>
      <c r="H50" s="526"/>
      <c r="I50" s="527"/>
      <c r="J50" s="10"/>
      <c r="K50" s="578"/>
      <c r="L50" s="569"/>
      <c r="M50" s="568"/>
      <c r="N50" s="559"/>
    </row>
    <row r="51" spans="1:14" ht="180">
      <c r="A51" s="56" t="s">
        <v>769</v>
      </c>
      <c r="B51" s="50" t="s">
        <v>506</v>
      </c>
      <c r="C51" s="50" t="s">
        <v>770</v>
      </c>
      <c r="D51" s="50" t="s">
        <v>474</v>
      </c>
      <c r="E51" s="87" t="s">
        <v>771</v>
      </c>
      <c r="F51" s="11"/>
      <c r="G51" s="56" t="s">
        <v>772</v>
      </c>
      <c r="H51" s="51" t="s">
        <v>773</v>
      </c>
      <c r="I51" s="87" t="s">
        <v>774</v>
      </c>
      <c r="J51" s="11"/>
      <c r="K51" s="326" t="s">
        <v>63</v>
      </c>
      <c r="L51" s="256" t="s">
        <v>775</v>
      </c>
      <c r="M51" s="267" t="s">
        <v>776</v>
      </c>
      <c r="N51" s="306"/>
    </row>
    <row r="52" spans="1:14">
      <c r="A52" s="517" t="s">
        <v>777</v>
      </c>
      <c r="B52" s="519" t="s">
        <v>543</v>
      </c>
      <c r="C52" s="519" t="s">
        <v>778</v>
      </c>
      <c r="D52" s="519" t="s">
        <v>76</v>
      </c>
      <c r="E52" s="520" t="s">
        <v>779</v>
      </c>
      <c r="F52" s="10"/>
      <c r="G52" s="521" t="s">
        <v>780</v>
      </c>
      <c r="H52" s="526" t="s">
        <v>781</v>
      </c>
      <c r="I52" s="527" t="s">
        <v>782</v>
      </c>
      <c r="J52" s="10"/>
      <c r="K52" s="578" t="s">
        <v>63</v>
      </c>
      <c r="L52" s="569" t="s">
        <v>783</v>
      </c>
      <c r="M52" s="568" t="s">
        <v>5250</v>
      </c>
      <c r="N52" s="559"/>
    </row>
    <row r="53" spans="1:14">
      <c r="A53" s="517"/>
      <c r="B53" s="519"/>
      <c r="C53" s="519"/>
      <c r="D53" s="519"/>
      <c r="E53" s="520"/>
      <c r="F53" s="10"/>
      <c r="G53" s="521"/>
      <c r="H53" s="526"/>
      <c r="I53" s="527"/>
      <c r="J53" s="10"/>
      <c r="K53" s="578"/>
      <c r="L53" s="569"/>
      <c r="M53" s="568"/>
      <c r="N53" s="559"/>
    </row>
    <row r="54" spans="1:14">
      <c r="A54" s="517"/>
      <c r="B54" s="519"/>
      <c r="C54" s="519"/>
      <c r="D54" s="519"/>
      <c r="E54" s="520"/>
      <c r="F54" s="10"/>
      <c r="G54" s="521"/>
      <c r="H54" s="526"/>
      <c r="I54" s="527"/>
      <c r="J54" s="10"/>
      <c r="K54" s="578"/>
      <c r="L54" s="569"/>
      <c r="M54" s="568"/>
      <c r="N54" s="559"/>
    </row>
    <row r="55" spans="1:14" ht="120.75" customHeight="1">
      <c r="A55" s="56" t="s">
        <v>784</v>
      </c>
      <c r="B55" s="50" t="s">
        <v>543</v>
      </c>
      <c r="C55" s="50" t="s">
        <v>785</v>
      </c>
      <c r="D55" s="50" t="s">
        <v>474</v>
      </c>
      <c r="E55" s="87" t="s">
        <v>786</v>
      </c>
      <c r="F55" s="11"/>
      <c r="G55" s="99" t="s">
        <v>33</v>
      </c>
      <c r="H55" s="96" t="s">
        <v>33</v>
      </c>
      <c r="I55" s="100" t="s">
        <v>33</v>
      </c>
      <c r="J55" s="11"/>
      <c r="K55" s="326" t="s">
        <v>70</v>
      </c>
      <c r="L55" s="256" t="s">
        <v>787</v>
      </c>
      <c r="M55" s="275" t="s">
        <v>5178</v>
      </c>
      <c r="N55" s="306"/>
    </row>
    <row r="56" spans="1:14" ht="90">
      <c r="A56" s="54" t="s">
        <v>788</v>
      </c>
      <c r="B56" s="49" t="s">
        <v>543</v>
      </c>
      <c r="C56" s="49" t="s">
        <v>789</v>
      </c>
      <c r="D56" s="49" t="s">
        <v>168</v>
      </c>
      <c r="E56" s="55" t="s">
        <v>790</v>
      </c>
      <c r="F56" s="10"/>
      <c r="G56" s="74" t="s">
        <v>33</v>
      </c>
      <c r="H56" s="66" t="s">
        <v>33</v>
      </c>
      <c r="I56" s="75" t="s">
        <v>33</v>
      </c>
      <c r="J56" s="10"/>
      <c r="K56" s="296" t="s">
        <v>70</v>
      </c>
      <c r="L56" s="91" t="s">
        <v>791</v>
      </c>
      <c r="M56" s="145" t="s">
        <v>5179</v>
      </c>
      <c r="N56" s="345"/>
    </row>
    <row r="57" spans="1:14" ht="75">
      <c r="A57" s="56" t="s">
        <v>792</v>
      </c>
      <c r="B57" s="50" t="s">
        <v>353</v>
      </c>
      <c r="C57" s="50" t="s">
        <v>793</v>
      </c>
      <c r="D57" s="50" t="s">
        <v>168</v>
      </c>
      <c r="E57" s="57" t="s">
        <v>794</v>
      </c>
      <c r="F57" s="11"/>
      <c r="G57" s="99" t="s">
        <v>33</v>
      </c>
      <c r="H57" s="96" t="s">
        <v>33</v>
      </c>
      <c r="I57" s="100" t="s">
        <v>33</v>
      </c>
      <c r="J57" s="11"/>
      <c r="K57" s="326" t="s">
        <v>70</v>
      </c>
      <c r="L57" s="256" t="s">
        <v>795</v>
      </c>
      <c r="M57" s="275" t="s">
        <v>5180</v>
      </c>
      <c r="N57" s="306"/>
    </row>
    <row r="58" spans="1:14" ht="120">
      <c r="A58" s="54" t="s">
        <v>796</v>
      </c>
      <c r="B58" s="49" t="s">
        <v>353</v>
      </c>
      <c r="C58" s="49" t="s">
        <v>797</v>
      </c>
      <c r="D58" s="49" t="s">
        <v>798</v>
      </c>
      <c r="E58" s="117" t="s">
        <v>799</v>
      </c>
      <c r="F58" s="10"/>
      <c r="G58" s="70" t="s">
        <v>800</v>
      </c>
      <c r="H58" s="63" t="s">
        <v>801</v>
      </c>
      <c r="I58" s="86" t="s">
        <v>802</v>
      </c>
      <c r="J58" s="10"/>
      <c r="K58" s="298" t="s">
        <v>63</v>
      </c>
      <c r="L58" s="278" t="s">
        <v>803</v>
      </c>
      <c r="M58" s="277" t="s">
        <v>804</v>
      </c>
      <c r="N58" s="307"/>
    </row>
    <row r="59" spans="1:14" ht="105.75" thickBot="1">
      <c r="A59" s="92" t="s">
        <v>805</v>
      </c>
      <c r="B59" s="93" t="s">
        <v>353</v>
      </c>
      <c r="C59" s="93" t="s">
        <v>806</v>
      </c>
      <c r="D59" s="93" t="s">
        <v>76</v>
      </c>
      <c r="E59" s="94" t="s">
        <v>807</v>
      </c>
      <c r="F59" s="11"/>
      <c r="G59" s="92" t="s">
        <v>808</v>
      </c>
      <c r="H59" s="131" t="s">
        <v>809</v>
      </c>
      <c r="I59" s="132" t="s">
        <v>810</v>
      </c>
      <c r="J59" s="11"/>
      <c r="K59" s="330" t="s">
        <v>63</v>
      </c>
      <c r="L59" s="331" t="s">
        <v>811</v>
      </c>
      <c r="M59" s="346" t="s">
        <v>5251</v>
      </c>
      <c r="N59" s="333"/>
    </row>
  </sheetData>
  <autoFilter ref="A2:N59"/>
  <mergeCells count="75">
    <mergeCell ref="K1:N1"/>
    <mergeCell ref="M52:M54"/>
    <mergeCell ref="K4:K11"/>
    <mergeCell ref="K14:K26"/>
    <mergeCell ref="M14:M26"/>
    <mergeCell ref="M4:M11"/>
    <mergeCell ref="M28:M30"/>
    <mergeCell ref="K28:K30"/>
    <mergeCell ref="K44:K46"/>
    <mergeCell ref="L28:L30"/>
    <mergeCell ref="L44:L46"/>
    <mergeCell ref="M44:M46"/>
    <mergeCell ref="I52:I54"/>
    <mergeCell ref="N52:N54"/>
    <mergeCell ref="H48:H50"/>
    <mergeCell ref="I48:I50"/>
    <mergeCell ref="L52:L54"/>
    <mergeCell ref="K48:K50"/>
    <mergeCell ref="K52:K54"/>
    <mergeCell ref="M48:M50"/>
    <mergeCell ref="L48:L50"/>
    <mergeCell ref="N48:N50"/>
    <mergeCell ref="G52:G54"/>
    <mergeCell ref="B48:B50"/>
    <mergeCell ref="C48:C50"/>
    <mergeCell ref="D48:D50"/>
    <mergeCell ref="H52:H54"/>
    <mergeCell ref="A48:A50"/>
    <mergeCell ref="A44:A46"/>
    <mergeCell ref="A28:A30"/>
    <mergeCell ref="B28:B30"/>
    <mergeCell ref="C28:C30"/>
    <mergeCell ref="E48:E50"/>
    <mergeCell ref="H28:H30"/>
    <mergeCell ref="G28:G30"/>
    <mergeCell ref="E44:E46"/>
    <mergeCell ref="H44:H46"/>
    <mergeCell ref="G44:G46"/>
    <mergeCell ref="G48:G50"/>
    <mergeCell ref="E28:E30"/>
    <mergeCell ref="A52:A54"/>
    <mergeCell ref="B52:B54"/>
    <mergeCell ref="C52:C54"/>
    <mergeCell ref="D52:D54"/>
    <mergeCell ref="E52:E54"/>
    <mergeCell ref="B44:B46"/>
    <mergeCell ref="C44:C46"/>
    <mergeCell ref="D44:D46"/>
    <mergeCell ref="N4:N11"/>
    <mergeCell ref="N14:N26"/>
    <mergeCell ref="N28:N30"/>
    <mergeCell ref="N44:N46"/>
    <mergeCell ref="L4:L11"/>
    <mergeCell ref="L14:L26"/>
    <mergeCell ref="G14:G26"/>
    <mergeCell ref="G4:G11"/>
    <mergeCell ref="I28:I30"/>
    <mergeCell ref="I44:I46"/>
    <mergeCell ref="D28:D30"/>
    <mergeCell ref="A1:E1"/>
    <mergeCell ref="G1:I1"/>
    <mergeCell ref="H14:H26"/>
    <mergeCell ref="I14:I26"/>
    <mergeCell ref="H4:H11"/>
    <mergeCell ref="I4:I11"/>
    <mergeCell ref="A14:A26"/>
    <mergeCell ref="B14:B26"/>
    <mergeCell ref="C14:C26"/>
    <mergeCell ref="D14:D26"/>
    <mergeCell ref="E14:E26"/>
    <mergeCell ref="A4:A11"/>
    <mergeCell ref="B4:B11"/>
    <mergeCell ref="C4:C11"/>
    <mergeCell ref="D4:D11"/>
    <mergeCell ref="E4:E1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N27"/>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s="4" customFormat="1" ht="30">
      <c r="A2" s="52" t="s">
        <v>45</v>
      </c>
      <c r="B2" s="48" t="s">
        <v>46</v>
      </c>
      <c r="C2" s="48" t="s">
        <v>47</v>
      </c>
      <c r="D2" s="48" t="s">
        <v>48</v>
      </c>
      <c r="E2" s="53" t="s">
        <v>49</v>
      </c>
      <c r="F2" s="9"/>
      <c r="G2" s="68" t="s">
        <v>50</v>
      </c>
      <c r="H2" s="61" t="s">
        <v>51</v>
      </c>
      <c r="I2" s="69" t="s">
        <v>52</v>
      </c>
      <c r="J2" s="14"/>
      <c r="K2" s="292" t="s">
        <v>147</v>
      </c>
      <c r="L2" s="144" t="s">
        <v>54</v>
      </c>
      <c r="M2" s="80" t="s">
        <v>5147</v>
      </c>
      <c r="N2" s="293" t="s">
        <v>5152</v>
      </c>
    </row>
    <row r="3" spans="1:14">
      <c r="A3" s="517" t="s">
        <v>148</v>
      </c>
      <c r="B3" s="519" t="s">
        <v>56</v>
      </c>
      <c r="C3" s="519" t="s">
        <v>149</v>
      </c>
      <c r="D3" s="519" t="s">
        <v>58</v>
      </c>
      <c r="E3" s="520" t="s">
        <v>812</v>
      </c>
      <c r="F3" s="10"/>
      <c r="G3" s="521" t="s">
        <v>151</v>
      </c>
      <c r="H3" s="526" t="s">
        <v>152</v>
      </c>
      <c r="I3" s="527" t="s">
        <v>153</v>
      </c>
      <c r="J3" s="10"/>
      <c r="K3" s="561" t="s">
        <v>63</v>
      </c>
      <c r="L3" s="564" t="s">
        <v>154</v>
      </c>
      <c r="M3" s="574" t="s">
        <v>155</v>
      </c>
      <c r="N3" s="535"/>
    </row>
    <row r="4" spans="1:14">
      <c r="A4" s="517"/>
      <c r="B4" s="519"/>
      <c r="C4" s="519"/>
      <c r="D4" s="519"/>
      <c r="E4" s="520"/>
      <c r="F4" s="10"/>
      <c r="G4" s="521"/>
      <c r="H4" s="526"/>
      <c r="I4" s="527"/>
      <c r="J4" s="10"/>
      <c r="K4" s="561"/>
      <c r="L4" s="564"/>
      <c r="M4" s="574"/>
      <c r="N4" s="535"/>
    </row>
    <row r="5" spans="1:14">
      <c r="A5" s="517"/>
      <c r="B5" s="519"/>
      <c r="C5" s="519"/>
      <c r="D5" s="519"/>
      <c r="E5" s="520"/>
      <c r="F5" s="10"/>
      <c r="G5" s="521"/>
      <c r="H5" s="526"/>
      <c r="I5" s="527"/>
      <c r="J5" s="10"/>
      <c r="K5" s="561"/>
      <c r="L5" s="564"/>
      <c r="M5" s="574"/>
      <c r="N5" s="535"/>
    </row>
    <row r="6" spans="1:14">
      <c r="A6" s="517"/>
      <c r="B6" s="519"/>
      <c r="C6" s="519"/>
      <c r="D6" s="519"/>
      <c r="E6" s="520"/>
      <c r="F6" s="10"/>
      <c r="G6" s="521"/>
      <c r="H6" s="526"/>
      <c r="I6" s="527"/>
      <c r="J6" s="10"/>
      <c r="K6" s="561"/>
      <c r="L6" s="564"/>
      <c r="M6" s="574"/>
      <c r="N6" s="535"/>
    </row>
    <row r="7" spans="1:14">
      <c r="A7" s="513" t="s">
        <v>55</v>
      </c>
      <c r="B7" s="512" t="s">
        <v>56</v>
      </c>
      <c r="C7" s="512" t="s">
        <v>57</v>
      </c>
      <c r="D7" s="512" t="s">
        <v>58</v>
      </c>
      <c r="E7" s="508" t="s">
        <v>156</v>
      </c>
      <c r="F7" s="11"/>
      <c r="G7" s="513" t="s">
        <v>813</v>
      </c>
      <c r="H7" s="586" t="s">
        <v>33</v>
      </c>
      <c r="I7" s="584" t="s">
        <v>33</v>
      </c>
      <c r="J7" s="11"/>
      <c r="K7" s="510" t="s">
        <v>70</v>
      </c>
      <c r="L7" s="509" t="s">
        <v>64</v>
      </c>
      <c r="M7" s="628" t="s">
        <v>5158</v>
      </c>
      <c r="N7" s="560"/>
    </row>
    <row r="8" spans="1:14">
      <c r="A8" s="513"/>
      <c r="B8" s="512"/>
      <c r="C8" s="512"/>
      <c r="D8" s="512"/>
      <c r="E8" s="508"/>
      <c r="F8" s="11"/>
      <c r="G8" s="513"/>
      <c r="H8" s="512"/>
      <c r="I8" s="585"/>
      <c r="J8" s="11"/>
      <c r="K8" s="510"/>
      <c r="L8" s="509"/>
      <c r="M8" s="583"/>
      <c r="N8" s="560"/>
    </row>
    <row r="9" spans="1:14">
      <c r="A9" s="513"/>
      <c r="B9" s="512"/>
      <c r="C9" s="512"/>
      <c r="D9" s="512"/>
      <c r="E9" s="508"/>
      <c r="F9" s="11"/>
      <c r="G9" s="513"/>
      <c r="H9" s="512"/>
      <c r="I9" s="585"/>
      <c r="J9" s="11"/>
      <c r="K9" s="510"/>
      <c r="L9" s="509"/>
      <c r="M9" s="583"/>
      <c r="N9" s="560"/>
    </row>
    <row r="10" spans="1:14">
      <c r="A10" s="513"/>
      <c r="B10" s="512"/>
      <c r="C10" s="512"/>
      <c r="D10" s="512"/>
      <c r="E10" s="508"/>
      <c r="F10" s="11"/>
      <c r="G10" s="513"/>
      <c r="H10" s="512"/>
      <c r="I10" s="585"/>
      <c r="J10" s="11"/>
      <c r="K10" s="510"/>
      <c r="L10" s="509"/>
      <c r="M10" s="583"/>
      <c r="N10" s="560"/>
    </row>
    <row r="11" spans="1:14" ht="105">
      <c r="A11" s="54" t="s">
        <v>561</v>
      </c>
      <c r="B11" s="49" t="s">
        <v>56</v>
      </c>
      <c r="C11" s="49" t="s">
        <v>562</v>
      </c>
      <c r="D11" s="49" t="s">
        <v>58</v>
      </c>
      <c r="E11" s="117" t="s">
        <v>563</v>
      </c>
      <c r="F11" s="10"/>
      <c r="G11" s="70" t="s">
        <v>564</v>
      </c>
      <c r="H11" s="63" t="s">
        <v>565</v>
      </c>
      <c r="I11" s="86" t="s">
        <v>566</v>
      </c>
      <c r="J11" s="10"/>
      <c r="K11" s="316" t="s">
        <v>63</v>
      </c>
      <c r="L11" s="258" t="s">
        <v>567</v>
      </c>
      <c r="M11" s="260" t="s">
        <v>568</v>
      </c>
      <c r="N11" s="297"/>
    </row>
    <row r="12" spans="1:14">
      <c r="A12" s="513" t="s">
        <v>158</v>
      </c>
      <c r="B12" s="512" t="s">
        <v>56</v>
      </c>
      <c r="C12" s="512" t="s">
        <v>159</v>
      </c>
      <c r="D12" s="512" t="s">
        <v>76</v>
      </c>
      <c r="E12" s="508" t="s">
        <v>570</v>
      </c>
      <c r="F12" s="11"/>
      <c r="G12" s="513" t="s">
        <v>161</v>
      </c>
      <c r="H12" s="516" t="s">
        <v>162</v>
      </c>
      <c r="I12" s="508" t="s">
        <v>163</v>
      </c>
      <c r="J12" s="11"/>
      <c r="K12" s="582" t="s">
        <v>63</v>
      </c>
      <c r="L12" s="512" t="s">
        <v>164</v>
      </c>
      <c r="M12" s="516" t="s">
        <v>5252</v>
      </c>
      <c r="N12" s="560"/>
    </row>
    <row r="13" spans="1:14">
      <c r="A13" s="513"/>
      <c r="B13" s="512"/>
      <c r="C13" s="512"/>
      <c r="D13" s="512"/>
      <c r="E13" s="508"/>
      <c r="F13" s="11"/>
      <c r="G13" s="513"/>
      <c r="H13" s="516"/>
      <c r="I13" s="508"/>
      <c r="J13" s="11"/>
      <c r="K13" s="582"/>
      <c r="L13" s="512"/>
      <c r="M13" s="516"/>
      <c r="N13" s="560"/>
    </row>
    <row r="14" spans="1:14">
      <c r="A14" s="513"/>
      <c r="B14" s="512"/>
      <c r="C14" s="512"/>
      <c r="D14" s="512"/>
      <c r="E14" s="508"/>
      <c r="F14" s="11"/>
      <c r="G14" s="513"/>
      <c r="H14" s="516"/>
      <c r="I14" s="508"/>
      <c r="J14" s="11"/>
      <c r="K14" s="582"/>
      <c r="L14" s="512"/>
      <c r="M14" s="516"/>
      <c r="N14" s="560"/>
    </row>
    <row r="15" spans="1:14" ht="75">
      <c r="A15" s="54" t="s">
        <v>165</v>
      </c>
      <c r="B15" s="49" t="s">
        <v>166</v>
      </c>
      <c r="C15" s="49" t="s">
        <v>167</v>
      </c>
      <c r="D15" s="49" t="s">
        <v>168</v>
      </c>
      <c r="E15" s="117" t="s">
        <v>571</v>
      </c>
      <c r="F15" s="10"/>
      <c r="G15" s="74" t="s">
        <v>33</v>
      </c>
      <c r="H15" s="66" t="s">
        <v>33</v>
      </c>
      <c r="I15" s="75" t="s">
        <v>33</v>
      </c>
      <c r="J15" s="10"/>
      <c r="K15" s="316" t="s">
        <v>170</v>
      </c>
      <c r="L15" s="258" t="s">
        <v>171</v>
      </c>
      <c r="M15" s="260" t="s">
        <v>5156</v>
      </c>
      <c r="N15" s="297"/>
    </row>
    <row r="16" spans="1:14" ht="30">
      <c r="A16" s="56" t="s">
        <v>173</v>
      </c>
      <c r="B16" s="50" t="s">
        <v>166</v>
      </c>
      <c r="C16" s="50" t="s">
        <v>174</v>
      </c>
      <c r="D16" s="50" t="s">
        <v>168</v>
      </c>
      <c r="E16" s="57" t="s">
        <v>814</v>
      </c>
      <c r="F16" s="11"/>
      <c r="G16" s="99" t="s">
        <v>33</v>
      </c>
      <c r="H16" s="96" t="s">
        <v>33</v>
      </c>
      <c r="I16" s="100" t="s">
        <v>33</v>
      </c>
      <c r="J16" s="11"/>
      <c r="K16" s="305" t="s">
        <v>176</v>
      </c>
      <c r="L16" s="264" t="s">
        <v>177</v>
      </c>
      <c r="M16" s="290" t="s">
        <v>5157</v>
      </c>
      <c r="N16" s="295"/>
    </row>
    <row r="17" spans="1:14" ht="75">
      <c r="A17" s="54" t="s">
        <v>178</v>
      </c>
      <c r="B17" s="49" t="s">
        <v>179</v>
      </c>
      <c r="C17" s="49" t="s">
        <v>180</v>
      </c>
      <c r="D17" s="49" t="s">
        <v>168</v>
      </c>
      <c r="E17" s="117" t="s">
        <v>573</v>
      </c>
      <c r="F17" s="10"/>
      <c r="G17" s="70" t="s">
        <v>182</v>
      </c>
      <c r="H17" s="63" t="s">
        <v>183</v>
      </c>
      <c r="I17" s="71" t="s">
        <v>184</v>
      </c>
      <c r="J17" s="10"/>
      <c r="K17" s="316" t="s">
        <v>63</v>
      </c>
      <c r="L17" s="258" t="s">
        <v>185</v>
      </c>
      <c r="M17" s="260" t="s">
        <v>186</v>
      </c>
      <c r="N17" s="297"/>
    </row>
    <row r="18" spans="1:14" ht="75">
      <c r="A18" s="56" t="s">
        <v>187</v>
      </c>
      <c r="B18" s="50" t="s">
        <v>188</v>
      </c>
      <c r="C18" s="50" t="s">
        <v>189</v>
      </c>
      <c r="D18" s="50" t="s">
        <v>168</v>
      </c>
      <c r="E18" s="87" t="s">
        <v>574</v>
      </c>
      <c r="F18" s="11"/>
      <c r="G18" s="99" t="s">
        <v>33</v>
      </c>
      <c r="H18" s="96" t="s">
        <v>33</v>
      </c>
      <c r="I18" s="100" t="s">
        <v>33</v>
      </c>
      <c r="J18" s="11"/>
      <c r="K18" s="294" t="s">
        <v>70</v>
      </c>
      <c r="L18" s="259" t="s">
        <v>191</v>
      </c>
      <c r="M18" s="290" t="s">
        <v>5160</v>
      </c>
      <c r="N18" s="341"/>
    </row>
    <row r="19" spans="1:14" ht="60">
      <c r="A19" s="54" t="s">
        <v>575</v>
      </c>
      <c r="B19" s="49" t="s">
        <v>525</v>
      </c>
      <c r="C19" s="49" t="s">
        <v>576</v>
      </c>
      <c r="D19" s="49" t="s">
        <v>474</v>
      </c>
      <c r="E19" s="55" t="s">
        <v>579</v>
      </c>
      <c r="F19" s="10"/>
      <c r="G19" s="70" t="s">
        <v>578</v>
      </c>
      <c r="H19" s="63" t="s">
        <v>576</v>
      </c>
      <c r="I19" s="86" t="s">
        <v>579</v>
      </c>
      <c r="J19" s="10"/>
      <c r="K19" s="298" t="s">
        <v>63</v>
      </c>
      <c r="L19" s="278" t="s">
        <v>580</v>
      </c>
      <c r="M19" s="277" t="s">
        <v>581</v>
      </c>
      <c r="N19" s="297"/>
    </row>
    <row r="20" spans="1:14" ht="180">
      <c r="A20" s="56" t="s">
        <v>582</v>
      </c>
      <c r="B20" s="50" t="s">
        <v>525</v>
      </c>
      <c r="C20" s="50" t="s">
        <v>583</v>
      </c>
      <c r="D20" s="50" t="s">
        <v>88</v>
      </c>
      <c r="E20" s="57" t="s">
        <v>584</v>
      </c>
      <c r="F20" s="11"/>
      <c r="G20" s="56" t="s">
        <v>585</v>
      </c>
      <c r="H20" s="51" t="s">
        <v>586</v>
      </c>
      <c r="I20" s="87" t="s">
        <v>587</v>
      </c>
      <c r="J20" s="11"/>
      <c r="K20" s="294" t="s">
        <v>63</v>
      </c>
      <c r="L20" s="259" t="s">
        <v>588</v>
      </c>
      <c r="M20" s="261" t="s">
        <v>589</v>
      </c>
      <c r="N20" s="306"/>
    </row>
    <row r="21" spans="1:14" ht="90">
      <c r="A21" s="54" t="s">
        <v>590</v>
      </c>
      <c r="B21" s="49" t="s">
        <v>591</v>
      </c>
      <c r="C21" s="49" t="s">
        <v>592</v>
      </c>
      <c r="D21" s="49" t="s">
        <v>474</v>
      </c>
      <c r="E21" s="117" t="s">
        <v>593</v>
      </c>
      <c r="F21" s="10"/>
      <c r="G21" s="70" t="s">
        <v>594</v>
      </c>
      <c r="H21" s="63" t="s">
        <v>592</v>
      </c>
      <c r="I21" s="86" t="s">
        <v>593</v>
      </c>
      <c r="J21" s="10"/>
      <c r="K21" s="298" t="s">
        <v>63</v>
      </c>
      <c r="L21" s="278" t="s">
        <v>595</v>
      </c>
      <c r="M21" s="277" t="s">
        <v>596</v>
      </c>
      <c r="N21" s="297"/>
    </row>
    <row r="22" spans="1:14" ht="75">
      <c r="A22" s="56" t="s">
        <v>597</v>
      </c>
      <c r="B22" s="50" t="s">
        <v>525</v>
      </c>
      <c r="C22" s="50" t="s">
        <v>598</v>
      </c>
      <c r="D22" s="50" t="s">
        <v>88</v>
      </c>
      <c r="E22" s="57" t="s">
        <v>599</v>
      </c>
      <c r="F22" s="11"/>
      <c r="G22" s="56" t="s">
        <v>600</v>
      </c>
      <c r="H22" s="51" t="s">
        <v>601</v>
      </c>
      <c r="I22" s="87" t="s">
        <v>602</v>
      </c>
      <c r="J22" s="11"/>
      <c r="K22" s="294" t="s">
        <v>63</v>
      </c>
      <c r="L22" s="259" t="s">
        <v>603</v>
      </c>
      <c r="M22" s="261" t="s">
        <v>604</v>
      </c>
      <c r="N22" s="306"/>
    </row>
    <row r="23" spans="1:14" ht="75">
      <c r="A23" s="54" t="s">
        <v>605</v>
      </c>
      <c r="B23" s="49" t="s">
        <v>525</v>
      </c>
      <c r="C23" s="49" t="s">
        <v>606</v>
      </c>
      <c r="D23" s="49" t="s">
        <v>474</v>
      </c>
      <c r="E23" s="55" t="s">
        <v>607</v>
      </c>
      <c r="F23" s="10"/>
      <c r="G23" s="70" t="s">
        <v>608</v>
      </c>
      <c r="H23" s="63" t="s">
        <v>606</v>
      </c>
      <c r="I23" s="86" t="s">
        <v>609</v>
      </c>
      <c r="J23" s="10"/>
      <c r="K23" s="298" t="s">
        <v>63</v>
      </c>
      <c r="L23" s="278" t="s">
        <v>610</v>
      </c>
      <c r="M23" s="277" t="s">
        <v>5165</v>
      </c>
      <c r="N23" s="297"/>
    </row>
    <row r="24" spans="1:14" ht="135">
      <c r="A24" s="56" t="s">
        <v>611</v>
      </c>
      <c r="B24" s="50" t="s">
        <v>525</v>
      </c>
      <c r="C24" s="50" t="s">
        <v>612</v>
      </c>
      <c r="D24" s="50" t="s">
        <v>76</v>
      </c>
      <c r="E24" s="57" t="s">
        <v>613</v>
      </c>
      <c r="F24" s="11"/>
      <c r="G24" s="56" t="s">
        <v>614</v>
      </c>
      <c r="H24" s="51" t="s">
        <v>612</v>
      </c>
      <c r="I24" s="57" t="s">
        <v>615</v>
      </c>
      <c r="J24" s="11"/>
      <c r="K24" s="326" t="s">
        <v>63</v>
      </c>
      <c r="L24" s="256" t="s">
        <v>616</v>
      </c>
      <c r="M24" s="267" t="s">
        <v>5253</v>
      </c>
      <c r="N24" s="306"/>
    </row>
    <row r="25" spans="1:14" ht="120">
      <c r="A25" s="54" t="s">
        <v>617</v>
      </c>
      <c r="B25" s="49" t="s">
        <v>525</v>
      </c>
      <c r="C25" s="49" t="s">
        <v>618</v>
      </c>
      <c r="D25" s="49" t="s">
        <v>76</v>
      </c>
      <c r="E25" s="117" t="s">
        <v>619</v>
      </c>
      <c r="F25" s="10"/>
      <c r="G25" s="70" t="s">
        <v>620</v>
      </c>
      <c r="H25" s="63" t="s">
        <v>618</v>
      </c>
      <c r="I25" s="71" t="s">
        <v>621</v>
      </c>
      <c r="J25" s="10"/>
      <c r="K25" s="327" t="s">
        <v>63</v>
      </c>
      <c r="L25" s="281" t="s">
        <v>622</v>
      </c>
      <c r="M25" s="287" t="s">
        <v>5254</v>
      </c>
      <c r="N25" s="328"/>
    </row>
    <row r="26" spans="1:14" ht="90">
      <c r="A26" s="56" t="s">
        <v>815</v>
      </c>
      <c r="B26" s="50" t="s">
        <v>525</v>
      </c>
      <c r="C26" s="50" t="s">
        <v>624</v>
      </c>
      <c r="D26" s="50" t="s">
        <v>88</v>
      </c>
      <c r="E26" s="87" t="s">
        <v>625</v>
      </c>
      <c r="F26" s="11"/>
      <c r="G26" s="133" t="s">
        <v>816</v>
      </c>
      <c r="H26" s="96" t="s">
        <v>33</v>
      </c>
      <c r="I26" s="100" t="s">
        <v>33</v>
      </c>
      <c r="J26" s="11"/>
      <c r="K26" s="294" t="s">
        <v>70</v>
      </c>
      <c r="L26" s="259" t="s">
        <v>627</v>
      </c>
      <c r="M26" s="261" t="s">
        <v>589</v>
      </c>
      <c r="N26" s="295"/>
    </row>
    <row r="27" spans="1:14" ht="60.75" thickBot="1">
      <c r="A27" s="58" t="s">
        <v>817</v>
      </c>
      <c r="B27" s="59" t="s">
        <v>188</v>
      </c>
      <c r="C27" s="59" t="s">
        <v>629</v>
      </c>
      <c r="D27" s="59" t="s">
        <v>88</v>
      </c>
      <c r="E27" s="85" t="s">
        <v>630</v>
      </c>
      <c r="F27" s="10"/>
      <c r="G27" s="134" t="s">
        <v>816</v>
      </c>
      <c r="H27" s="89" t="s">
        <v>33</v>
      </c>
      <c r="I27" s="90" t="s">
        <v>33</v>
      </c>
      <c r="J27" s="10"/>
      <c r="K27" s="336" t="s">
        <v>70</v>
      </c>
      <c r="L27" s="337" t="s">
        <v>631</v>
      </c>
      <c r="M27" s="350" t="s">
        <v>5181</v>
      </c>
      <c r="N27" s="338"/>
    </row>
  </sheetData>
  <autoFilter ref="A2:N27"/>
  <mergeCells count="39">
    <mergeCell ref="N12:N14"/>
    <mergeCell ref="A1:E1"/>
    <mergeCell ref="A3:A6"/>
    <mergeCell ref="B3:B6"/>
    <mergeCell ref="H3:H6"/>
    <mergeCell ref="I3:I6"/>
    <mergeCell ref="D3:D6"/>
    <mergeCell ref="N7:N10"/>
    <mergeCell ref="K3:K6"/>
    <mergeCell ref="G3:G6"/>
    <mergeCell ref="A12:A14"/>
    <mergeCell ref="B12:B14"/>
    <mergeCell ref="C12:C14"/>
    <mergeCell ref="D12:D14"/>
    <mergeCell ref="E12:E14"/>
    <mergeCell ref="E3:E6"/>
    <mergeCell ref="A7:A10"/>
    <mergeCell ref="B7:B10"/>
    <mergeCell ref="C7:C10"/>
    <mergeCell ref="D7:D10"/>
    <mergeCell ref="E7:E10"/>
    <mergeCell ref="M12:M14"/>
    <mergeCell ref="H12:H14"/>
    <mergeCell ref="I12:I14"/>
    <mergeCell ref="G7:G10"/>
    <mergeCell ref="M7:M10"/>
    <mergeCell ref="H7:H10"/>
    <mergeCell ref="I7:I10"/>
    <mergeCell ref="G12:G14"/>
    <mergeCell ref="L12:L14"/>
    <mergeCell ref="L7:L10"/>
    <mergeCell ref="K12:K14"/>
    <mergeCell ref="K7:K10"/>
    <mergeCell ref="K1:N1"/>
    <mergeCell ref="M3:M6"/>
    <mergeCell ref="C3:C6"/>
    <mergeCell ref="N3:N6"/>
    <mergeCell ref="G1:I1"/>
    <mergeCell ref="L3:L6"/>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N8"/>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9"/>
      <c r="G2" s="68" t="s">
        <v>50</v>
      </c>
      <c r="H2" s="61" t="s">
        <v>51</v>
      </c>
      <c r="I2" s="69" t="s">
        <v>52</v>
      </c>
      <c r="J2" s="14"/>
      <c r="K2" s="292" t="s">
        <v>197</v>
      </c>
      <c r="L2" s="144" t="s">
        <v>54</v>
      </c>
      <c r="M2" s="80" t="s">
        <v>5147</v>
      </c>
      <c r="N2" s="293" t="s">
        <v>5152</v>
      </c>
    </row>
    <row r="3" spans="1:14">
      <c r="A3" s="517" t="s">
        <v>55</v>
      </c>
      <c r="B3" s="519" t="s">
        <v>56</v>
      </c>
      <c r="C3" s="519" t="s">
        <v>57</v>
      </c>
      <c r="D3" s="519" t="s">
        <v>58</v>
      </c>
      <c r="E3" s="520" t="s">
        <v>59</v>
      </c>
      <c r="F3" s="10"/>
      <c r="G3" s="521" t="s">
        <v>198</v>
      </c>
      <c r="H3" s="526" t="s">
        <v>61</v>
      </c>
      <c r="I3" s="527" t="s">
        <v>199</v>
      </c>
      <c r="J3" s="10"/>
      <c r="K3" s="624" t="s">
        <v>63</v>
      </c>
      <c r="L3" s="621" t="s">
        <v>64</v>
      </c>
      <c r="M3" s="623" t="s">
        <v>200</v>
      </c>
      <c r="N3" s="622"/>
    </row>
    <row r="4" spans="1:14">
      <c r="A4" s="517"/>
      <c r="B4" s="519"/>
      <c r="C4" s="519"/>
      <c r="D4" s="519"/>
      <c r="E4" s="520"/>
      <c r="F4" s="10"/>
      <c r="G4" s="521"/>
      <c r="H4" s="526"/>
      <c r="I4" s="527"/>
      <c r="J4" s="10"/>
      <c r="K4" s="624"/>
      <c r="L4" s="621"/>
      <c r="M4" s="623"/>
      <c r="N4" s="622"/>
    </row>
    <row r="5" spans="1:14">
      <c r="A5" s="517"/>
      <c r="B5" s="519"/>
      <c r="C5" s="519"/>
      <c r="D5" s="519"/>
      <c r="E5" s="520"/>
      <c r="F5" s="10"/>
      <c r="G5" s="521"/>
      <c r="H5" s="526"/>
      <c r="I5" s="527"/>
      <c r="J5" s="10"/>
      <c r="K5" s="624"/>
      <c r="L5" s="621"/>
      <c r="M5" s="623"/>
      <c r="N5" s="622"/>
    </row>
    <row r="6" spans="1:14">
      <c r="A6" s="517"/>
      <c r="B6" s="519"/>
      <c r="C6" s="519"/>
      <c r="D6" s="519"/>
      <c r="E6" s="520"/>
      <c r="F6" s="10"/>
      <c r="G6" s="521"/>
      <c r="H6" s="526"/>
      <c r="I6" s="527"/>
      <c r="J6" s="10"/>
      <c r="K6" s="624"/>
      <c r="L6" s="621"/>
      <c r="M6" s="623"/>
      <c r="N6" s="622"/>
    </row>
    <row r="7" spans="1:14" ht="135">
      <c r="A7" s="114" t="s">
        <v>66</v>
      </c>
      <c r="B7" s="106" t="s">
        <v>56</v>
      </c>
      <c r="C7" s="82" t="s">
        <v>67</v>
      </c>
      <c r="D7" s="82" t="s">
        <v>58</v>
      </c>
      <c r="E7" s="104" t="s">
        <v>68</v>
      </c>
      <c r="F7" s="10"/>
      <c r="G7" s="97" t="s">
        <v>201</v>
      </c>
      <c r="H7" s="81" t="s">
        <v>115</v>
      </c>
      <c r="I7" s="104" t="s">
        <v>202</v>
      </c>
      <c r="J7" s="10"/>
      <c r="K7" s="340" t="s">
        <v>63</v>
      </c>
      <c r="L7" s="279" t="s">
        <v>71</v>
      </c>
      <c r="M7" s="273" t="s">
        <v>203</v>
      </c>
      <c r="N7" s="341"/>
    </row>
    <row r="8" spans="1:14" ht="120.75" thickBot="1">
      <c r="A8" s="58" t="s">
        <v>416</v>
      </c>
      <c r="B8" s="59" t="s">
        <v>353</v>
      </c>
      <c r="C8" s="59" t="s">
        <v>417</v>
      </c>
      <c r="D8" s="59" t="s">
        <v>88</v>
      </c>
      <c r="E8" s="60" t="s">
        <v>418</v>
      </c>
      <c r="F8" s="11"/>
      <c r="G8" s="77" t="s">
        <v>632</v>
      </c>
      <c r="H8" s="78" t="s">
        <v>633</v>
      </c>
      <c r="I8" s="79" t="s">
        <v>634</v>
      </c>
      <c r="J8" s="12"/>
      <c r="K8" s="336" t="s">
        <v>63</v>
      </c>
      <c r="L8" s="337" t="s">
        <v>420</v>
      </c>
      <c r="M8" s="350" t="s">
        <v>635</v>
      </c>
      <c r="N8" s="338"/>
    </row>
  </sheetData>
  <autoFilter ref="A2:N2"/>
  <mergeCells count="15">
    <mergeCell ref="A1:E1"/>
    <mergeCell ref="G1:I1"/>
    <mergeCell ref="L3:L6"/>
    <mergeCell ref="K3:K6"/>
    <mergeCell ref="K1:N1"/>
    <mergeCell ref="A3:A6"/>
    <mergeCell ref="B3:B6"/>
    <mergeCell ref="C3:C6"/>
    <mergeCell ref="D3:D6"/>
    <mergeCell ref="E3:E6"/>
    <mergeCell ref="G3:G6"/>
    <mergeCell ref="M3:M6"/>
    <mergeCell ref="H3:H6"/>
    <mergeCell ref="I3:I6"/>
    <mergeCell ref="N3:N6"/>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N12"/>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9"/>
      <c r="G2" s="68" t="s">
        <v>50</v>
      </c>
      <c r="H2" s="61" t="s">
        <v>51</v>
      </c>
      <c r="I2" s="69" t="s">
        <v>52</v>
      </c>
      <c r="J2" s="14"/>
      <c r="K2" s="292" t="s">
        <v>204</v>
      </c>
      <c r="L2" s="144" t="s">
        <v>54</v>
      </c>
      <c r="M2" s="80" t="s">
        <v>5147</v>
      </c>
      <c r="N2" s="293" t="s">
        <v>5152</v>
      </c>
    </row>
    <row r="3" spans="1:14">
      <c r="A3" s="517" t="s">
        <v>55</v>
      </c>
      <c r="B3" s="519" t="s">
        <v>56</v>
      </c>
      <c r="C3" s="519" t="s">
        <v>57</v>
      </c>
      <c r="D3" s="519" t="s">
        <v>58</v>
      </c>
      <c r="E3" s="520" t="s">
        <v>59</v>
      </c>
      <c r="F3" s="10"/>
      <c r="G3" s="521" t="s">
        <v>205</v>
      </c>
      <c r="H3" s="526" t="s">
        <v>61</v>
      </c>
      <c r="I3" s="527" t="s">
        <v>199</v>
      </c>
      <c r="J3" s="10"/>
      <c r="K3" s="529" t="s">
        <v>63</v>
      </c>
      <c r="L3" s="531" t="s">
        <v>64</v>
      </c>
      <c r="M3" s="531" t="s">
        <v>206</v>
      </c>
      <c r="N3" s="541"/>
    </row>
    <row r="4" spans="1:14">
      <c r="A4" s="517"/>
      <c r="B4" s="519"/>
      <c r="C4" s="519"/>
      <c r="D4" s="519"/>
      <c r="E4" s="520"/>
      <c r="F4" s="10"/>
      <c r="G4" s="521"/>
      <c r="H4" s="526"/>
      <c r="I4" s="527"/>
      <c r="J4" s="10"/>
      <c r="K4" s="529"/>
      <c r="L4" s="531"/>
      <c r="M4" s="531"/>
      <c r="N4" s="541"/>
    </row>
    <row r="5" spans="1:14">
      <c r="A5" s="517"/>
      <c r="B5" s="519"/>
      <c r="C5" s="519"/>
      <c r="D5" s="519"/>
      <c r="E5" s="520"/>
      <c r="F5" s="10"/>
      <c r="G5" s="521"/>
      <c r="H5" s="526"/>
      <c r="I5" s="527"/>
      <c r="J5" s="10"/>
      <c r="K5" s="529"/>
      <c r="L5" s="531"/>
      <c r="M5" s="531"/>
      <c r="N5" s="541"/>
    </row>
    <row r="6" spans="1:14">
      <c r="A6" s="517"/>
      <c r="B6" s="519"/>
      <c r="C6" s="519"/>
      <c r="D6" s="519"/>
      <c r="E6" s="520"/>
      <c r="F6" s="10"/>
      <c r="G6" s="521"/>
      <c r="H6" s="526"/>
      <c r="I6" s="527"/>
      <c r="J6" s="10"/>
      <c r="K6" s="529"/>
      <c r="L6" s="531"/>
      <c r="M6" s="531"/>
      <c r="N6" s="541"/>
    </row>
    <row r="7" spans="1:14">
      <c r="A7" s="524" t="s">
        <v>148</v>
      </c>
      <c r="B7" s="533" t="s">
        <v>56</v>
      </c>
      <c r="C7" s="533" t="s">
        <v>149</v>
      </c>
      <c r="D7" s="533" t="s">
        <v>58</v>
      </c>
      <c r="E7" s="551" t="s">
        <v>150</v>
      </c>
      <c r="F7" s="12"/>
      <c r="G7" s="524" t="s">
        <v>207</v>
      </c>
      <c r="H7" s="523" t="s">
        <v>152</v>
      </c>
      <c r="I7" s="551" t="s">
        <v>208</v>
      </c>
      <c r="J7" s="12"/>
      <c r="K7" s="530" t="s">
        <v>63</v>
      </c>
      <c r="L7" s="533" t="s">
        <v>154</v>
      </c>
      <c r="M7" s="533" t="s">
        <v>209</v>
      </c>
      <c r="N7" s="536"/>
    </row>
    <row r="8" spans="1:14">
      <c r="A8" s="524"/>
      <c r="B8" s="533"/>
      <c r="C8" s="533"/>
      <c r="D8" s="533"/>
      <c r="E8" s="551"/>
      <c r="F8" s="12"/>
      <c r="G8" s="524"/>
      <c r="H8" s="523"/>
      <c r="I8" s="551"/>
      <c r="J8" s="12"/>
      <c r="K8" s="530"/>
      <c r="L8" s="533"/>
      <c r="M8" s="533"/>
      <c r="N8" s="536"/>
    </row>
    <row r="9" spans="1:14">
      <c r="A9" s="524"/>
      <c r="B9" s="533"/>
      <c r="C9" s="533"/>
      <c r="D9" s="533"/>
      <c r="E9" s="551"/>
      <c r="F9" s="12"/>
      <c r="G9" s="524"/>
      <c r="H9" s="523"/>
      <c r="I9" s="551"/>
      <c r="J9" s="12"/>
      <c r="K9" s="530"/>
      <c r="L9" s="533"/>
      <c r="M9" s="533"/>
      <c r="N9" s="536"/>
    </row>
    <row r="10" spans="1:14">
      <c r="A10" s="524"/>
      <c r="B10" s="533"/>
      <c r="C10" s="533"/>
      <c r="D10" s="533"/>
      <c r="E10" s="551"/>
      <c r="F10" s="12"/>
      <c r="G10" s="524"/>
      <c r="H10" s="523"/>
      <c r="I10" s="551"/>
      <c r="J10" s="12"/>
      <c r="K10" s="530"/>
      <c r="L10" s="533"/>
      <c r="M10" s="533"/>
      <c r="N10" s="536"/>
    </row>
    <row r="11" spans="1:14" ht="120">
      <c r="A11" s="54" t="s">
        <v>815</v>
      </c>
      <c r="B11" s="49" t="s">
        <v>525</v>
      </c>
      <c r="C11" s="49" t="s">
        <v>624</v>
      </c>
      <c r="D11" s="49" t="s">
        <v>88</v>
      </c>
      <c r="E11" s="55" t="s">
        <v>625</v>
      </c>
      <c r="F11" s="10"/>
      <c r="G11" s="70" t="s">
        <v>636</v>
      </c>
      <c r="H11" s="63" t="s">
        <v>624</v>
      </c>
      <c r="I11" s="71" t="s">
        <v>625</v>
      </c>
      <c r="J11" s="10"/>
      <c r="K11" s="298" t="s">
        <v>63</v>
      </c>
      <c r="L11" s="278" t="s">
        <v>627</v>
      </c>
      <c r="M11" s="278" t="s">
        <v>637</v>
      </c>
      <c r="N11" s="307"/>
    </row>
    <row r="12" spans="1:14" ht="60.75" thickBot="1">
      <c r="A12" s="111" t="s">
        <v>817</v>
      </c>
      <c r="B12" s="109" t="s">
        <v>188</v>
      </c>
      <c r="C12" s="109" t="s">
        <v>629</v>
      </c>
      <c r="D12" s="109" t="s">
        <v>88</v>
      </c>
      <c r="E12" s="110" t="s">
        <v>630</v>
      </c>
      <c r="F12" s="10"/>
      <c r="G12" s="111" t="s">
        <v>639</v>
      </c>
      <c r="H12" s="112" t="s">
        <v>818</v>
      </c>
      <c r="I12" s="110" t="s">
        <v>630</v>
      </c>
      <c r="J12" s="10"/>
      <c r="K12" s="312" t="s">
        <v>63</v>
      </c>
      <c r="L12" s="313" t="s">
        <v>631</v>
      </c>
      <c r="M12" s="313" t="s">
        <v>641</v>
      </c>
      <c r="N12" s="314"/>
    </row>
  </sheetData>
  <autoFilter ref="A2:N2"/>
  <mergeCells count="27">
    <mergeCell ref="A7:A10"/>
    <mergeCell ref="B7:B10"/>
    <mergeCell ref="C7:C10"/>
    <mergeCell ref="D7:D10"/>
    <mergeCell ref="E7:E10"/>
    <mergeCell ref="K1:N1"/>
    <mergeCell ref="A1:E1"/>
    <mergeCell ref="G1:I1"/>
    <mergeCell ref="A3:A6"/>
    <mergeCell ref="B3:B6"/>
    <mergeCell ref="C3:C6"/>
    <mergeCell ref="D3:D6"/>
    <mergeCell ref="E3:E6"/>
    <mergeCell ref="K7:K10"/>
    <mergeCell ref="G3:G6"/>
    <mergeCell ref="H3:H6"/>
    <mergeCell ref="I3:I6"/>
    <mergeCell ref="N3:N6"/>
    <mergeCell ref="L3:L6"/>
    <mergeCell ref="M3:M6"/>
    <mergeCell ref="K3:K6"/>
    <mergeCell ref="G7:G10"/>
    <mergeCell ref="M7:M10"/>
    <mergeCell ref="H7:H10"/>
    <mergeCell ref="I7:I10"/>
    <mergeCell ref="N7:N10"/>
    <mergeCell ref="L7:L1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2"/>
  <sheetViews>
    <sheetView zoomScaleNormal="100" workbookViewId="0"/>
  </sheetViews>
  <sheetFormatPr defaultRowHeight="15"/>
  <cols>
    <col min="1" max="1" width="167.85546875" customWidth="1"/>
  </cols>
  <sheetData>
    <row r="1" spans="1:1" ht="409.6" thickBot="1">
      <c r="A1" s="20" t="s">
        <v>819</v>
      </c>
    </row>
    <row r="2" spans="1:1" ht="409.5" hidden="1" thickBot="1">
      <c r="A2" s="1" t="s">
        <v>820</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N43"/>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style="3" customWidth="1"/>
    <col min="2" max="2" width="13.42578125" style="3" customWidth="1"/>
    <col min="3" max="3" width="24.42578125" style="2" bestFit="1" customWidth="1"/>
    <col min="4" max="4" width="16.28515625" style="3" customWidth="1"/>
    <col min="5" max="5" width="48" style="3" customWidth="1"/>
    <col min="6" max="6" width="2" style="3" customWidth="1"/>
    <col min="7" max="7" width="37.28515625" style="3" customWidth="1"/>
    <col min="8" max="8" width="23.85546875" style="3" bestFit="1" customWidth="1"/>
    <col min="9" max="9" width="36.140625" style="3" customWidth="1"/>
    <col min="10" max="10" width="2.28515625" style="3" customWidth="1"/>
    <col min="11" max="11" width="18.5703125" style="3" bestFit="1" customWidth="1"/>
    <col min="12" max="12" width="26.85546875" style="2" bestFit="1" customWidth="1"/>
    <col min="13" max="13" width="51" style="3" customWidth="1"/>
    <col min="14" max="14" width="36.42578125" style="3" customWidth="1"/>
    <col min="15" max="15" width="8.7109375" style="3" customWidth="1"/>
    <col min="16" max="16384" width="8.7109375" style="3"/>
  </cols>
  <sheetData>
    <row r="1" spans="1:14" customFormat="1" ht="18.75">
      <c r="A1" s="422" t="s">
        <v>42</v>
      </c>
      <c r="B1" s="423"/>
      <c r="C1" s="423"/>
      <c r="D1" s="423"/>
      <c r="E1" s="424"/>
      <c r="F1" s="46"/>
      <c r="G1" s="425" t="s">
        <v>43</v>
      </c>
      <c r="H1" s="426"/>
      <c r="I1" s="427"/>
      <c r="J1" s="46"/>
      <c r="K1" s="404" t="s">
        <v>44</v>
      </c>
      <c r="L1" s="405"/>
      <c r="M1" s="405"/>
      <c r="N1" s="406"/>
    </row>
    <row r="2" spans="1:14" ht="30">
      <c r="A2" s="52" t="s">
        <v>45</v>
      </c>
      <c r="B2" s="48" t="s">
        <v>46</v>
      </c>
      <c r="C2" s="48" t="s">
        <v>47</v>
      </c>
      <c r="D2" s="48" t="s">
        <v>48</v>
      </c>
      <c r="E2" s="53" t="s">
        <v>49</v>
      </c>
      <c r="F2" s="9"/>
      <c r="G2" s="68" t="s">
        <v>50</v>
      </c>
      <c r="H2" s="61" t="s">
        <v>51</v>
      </c>
      <c r="I2" s="69" t="s">
        <v>52</v>
      </c>
      <c r="J2" s="14"/>
      <c r="K2" s="143" t="s">
        <v>53</v>
      </c>
      <c r="L2" s="144" t="s">
        <v>54</v>
      </c>
      <c r="M2" s="80" t="s">
        <v>5147</v>
      </c>
      <c r="N2" s="80" t="s">
        <v>5152</v>
      </c>
    </row>
    <row r="3" spans="1:14">
      <c r="A3" s="517" t="s">
        <v>222</v>
      </c>
      <c r="B3" s="519" t="s">
        <v>821</v>
      </c>
      <c r="C3" s="519" t="s">
        <v>822</v>
      </c>
      <c r="D3" s="519" t="s">
        <v>823</v>
      </c>
      <c r="E3" s="520" t="s">
        <v>824</v>
      </c>
      <c r="F3" s="10"/>
      <c r="G3" s="581" t="s">
        <v>33</v>
      </c>
      <c r="H3" s="592"/>
      <c r="I3" s="570"/>
      <c r="J3" s="10"/>
      <c r="K3" s="643" t="s">
        <v>70</v>
      </c>
      <c r="L3" s="599" t="s">
        <v>825</v>
      </c>
      <c r="M3" s="639" t="s">
        <v>5182</v>
      </c>
      <c r="N3" s="599" t="s">
        <v>5153</v>
      </c>
    </row>
    <row r="4" spans="1:14">
      <c r="A4" s="517"/>
      <c r="B4" s="519"/>
      <c r="C4" s="519"/>
      <c r="D4" s="519"/>
      <c r="E4" s="520"/>
      <c r="F4" s="10"/>
      <c r="G4" s="521"/>
      <c r="H4" s="617"/>
      <c r="I4" s="618"/>
      <c r="J4" s="10"/>
      <c r="K4" s="644"/>
      <c r="L4" s="600"/>
      <c r="M4" s="640"/>
      <c r="N4" s="600"/>
    </row>
    <row r="5" spans="1:14">
      <c r="A5" s="517"/>
      <c r="B5" s="519"/>
      <c r="C5" s="519"/>
      <c r="D5" s="519"/>
      <c r="E5" s="520"/>
      <c r="F5" s="10"/>
      <c r="G5" s="521"/>
      <c r="H5" s="617"/>
      <c r="I5" s="618"/>
      <c r="J5" s="10"/>
      <c r="K5" s="644"/>
      <c r="L5" s="600"/>
      <c r="M5" s="640"/>
      <c r="N5" s="600"/>
    </row>
    <row r="6" spans="1:14">
      <c r="A6" s="517"/>
      <c r="B6" s="519"/>
      <c r="C6" s="519"/>
      <c r="D6" s="519"/>
      <c r="E6" s="520"/>
      <c r="F6" s="10"/>
      <c r="G6" s="521"/>
      <c r="H6" s="617"/>
      <c r="I6" s="618"/>
      <c r="J6" s="10"/>
      <c r="K6" s="645"/>
      <c r="L6" s="601"/>
      <c r="M6" s="641"/>
      <c r="N6" s="601"/>
    </row>
    <row r="7" spans="1:14" ht="34.5" customHeight="1">
      <c r="A7" s="513" t="s">
        <v>66</v>
      </c>
      <c r="B7" s="512" t="s">
        <v>821</v>
      </c>
      <c r="C7" s="512" t="s">
        <v>826</v>
      </c>
      <c r="D7" s="512" t="s">
        <v>58</v>
      </c>
      <c r="E7" s="508" t="s">
        <v>827</v>
      </c>
      <c r="F7" s="11"/>
      <c r="G7" s="627" t="s">
        <v>33</v>
      </c>
      <c r="H7" s="586"/>
      <c r="I7" s="584"/>
      <c r="J7" s="11"/>
      <c r="K7" s="642" t="s">
        <v>70</v>
      </c>
      <c r="L7" s="509" t="s">
        <v>71</v>
      </c>
      <c r="M7" s="515" t="s">
        <v>5183</v>
      </c>
      <c r="N7" s="509"/>
    </row>
    <row r="8" spans="1:14" ht="34.5" customHeight="1">
      <c r="A8" s="513"/>
      <c r="B8" s="512"/>
      <c r="C8" s="512"/>
      <c r="D8" s="512"/>
      <c r="E8" s="508"/>
      <c r="F8" s="11"/>
      <c r="G8" s="513"/>
      <c r="H8" s="512"/>
      <c r="I8" s="585"/>
      <c r="J8" s="11"/>
      <c r="K8" s="642"/>
      <c r="L8" s="509"/>
      <c r="M8" s="515"/>
      <c r="N8" s="509"/>
    </row>
    <row r="9" spans="1:14" ht="114" customHeight="1">
      <c r="A9" s="54" t="s">
        <v>828</v>
      </c>
      <c r="B9" s="49" t="s">
        <v>821</v>
      </c>
      <c r="C9" s="49" t="s">
        <v>829</v>
      </c>
      <c r="D9" s="49" t="s">
        <v>76</v>
      </c>
      <c r="E9" s="55" t="s">
        <v>830</v>
      </c>
      <c r="F9" s="10"/>
      <c r="G9" s="74" t="s">
        <v>33</v>
      </c>
      <c r="H9" s="66"/>
      <c r="I9" s="75"/>
      <c r="J9" s="10"/>
      <c r="K9" s="142" t="s">
        <v>70</v>
      </c>
      <c r="L9" s="141" t="s">
        <v>831</v>
      </c>
      <c r="M9" s="150" t="s">
        <v>5184</v>
      </c>
      <c r="N9" s="141"/>
    </row>
    <row r="10" spans="1:14" ht="123.95" customHeight="1">
      <c r="A10" s="56" t="s">
        <v>832</v>
      </c>
      <c r="B10" s="50" t="s">
        <v>821</v>
      </c>
      <c r="C10" s="50" t="s">
        <v>833</v>
      </c>
      <c r="D10" s="50" t="s">
        <v>76</v>
      </c>
      <c r="E10" s="87" t="s">
        <v>834</v>
      </c>
      <c r="F10" s="11"/>
      <c r="G10" s="99" t="s">
        <v>33</v>
      </c>
      <c r="H10" s="96"/>
      <c r="I10" s="100"/>
      <c r="J10" s="11"/>
      <c r="K10" s="265" t="s">
        <v>70</v>
      </c>
      <c r="L10" s="259" t="s">
        <v>835</v>
      </c>
      <c r="M10" s="291" t="s">
        <v>5185</v>
      </c>
      <c r="N10" s="259" t="s">
        <v>5153</v>
      </c>
    </row>
    <row r="11" spans="1:14" ht="110.1" customHeight="1">
      <c r="A11" s="54" t="s">
        <v>836</v>
      </c>
      <c r="B11" s="49" t="s">
        <v>74</v>
      </c>
      <c r="C11" s="49" t="s">
        <v>837</v>
      </c>
      <c r="D11" s="49" t="s">
        <v>76</v>
      </c>
      <c r="E11" s="55" t="s">
        <v>838</v>
      </c>
      <c r="F11" s="10"/>
      <c r="G11" s="74" t="s">
        <v>33</v>
      </c>
      <c r="H11" s="66"/>
      <c r="I11" s="75"/>
      <c r="J11" s="10"/>
      <c r="K11" s="282" t="s">
        <v>70</v>
      </c>
      <c r="L11" s="281" t="s">
        <v>839</v>
      </c>
      <c r="M11" s="288" t="s">
        <v>5186</v>
      </c>
      <c r="N11" s="281" t="s">
        <v>5153</v>
      </c>
    </row>
    <row r="12" spans="1:14" ht="30">
      <c r="A12" s="56" t="s">
        <v>840</v>
      </c>
      <c r="B12" s="50" t="s">
        <v>841</v>
      </c>
      <c r="C12" s="50" t="s">
        <v>842</v>
      </c>
      <c r="D12" s="50" t="s">
        <v>58</v>
      </c>
      <c r="E12" s="57"/>
      <c r="F12" s="11"/>
      <c r="G12" s="99" t="s">
        <v>33</v>
      </c>
      <c r="H12" s="96"/>
      <c r="I12" s="100"/>
      <c r="J12" s="11"/>
      <c r="K12" s="140" t="s">
        <v>63</v>
      </c>
      <c r="L12" s="65" t="s">
        <v>843</v>
      </c>
      <c r="M12" s="290" t="s">
        <v>5187</v>
      </c>
      <c r="N12" s="64"/>
    </row>
    <row r="13" spans="1:14" ht="75">
      <c r="A13" s="54" t="s">
        <v>844</v>
      </c>
      <c r="B13" s="49" t="s">
        <v>841</v>
      </c>
      <c r="C13" s="49" t="s">
        <v>845</v>
      </c>
      <c r="D13" s="49" t="s">
        <v>76</v>
      </c>
      <c r="E13" s="117" t="s">
        <v>846</v>
      </c>
      <c r="F13" s="10"/>
      <c r="G13" s="74" t="s">
        <v>33</v>
      </c>
      <c r="H13" s="66"/>
      <c r="I13" s="75"/>
      <c r="J13" s="10"/>
      <c r="K13" s="282" t="s">
        <v>70</v>
      </c>
      <c r="L13" s="281" t="s">
        <v>847</v>
      </c>
      <c r="M13" s="288" t="s">
        <v>5186</v>
      </c>
      <c r="N13" s="281" t="s">
        <v>5153</v>
      </c>
    </row>
    <row r="14" spans="1:14" ht="126.6" customHeight="1">
      <c r="A14" s="56" t="s">
        <v>848</v>
      </c>
      <c r="B14" s="50" t="s">
        <v>841</v>
      </c>
      <c r="C14" s="115" t="s">
        <v>849</v>
      </c>
      <c r="D14" s="50" t="s">
        <v>76</v>
      </c>
      <c r="E14" s="87" t="s">
        <v>850</v>
      </c>
      <c r="F14" s="11"/>
      <c r="G14" s="99" t="s">
        <v>33</v>
      </c>
      <c r="H14" s="96"/>
      <c r="I14" s="100"/>
      <c r="J14" s="11"/>
      <c r="K14" s="265" t="s">
        <v>70</v>
      </c>
      <c r="L14" s="259" t="s">
        <v>851</v>
      </c>
      <c r="M14" s="291" t="s">
        <v>5188</v>
      </c>
      <c r="N14" s="259" t="s">
        <v>5153</v>
      </c>
    </row>
    <row r="15" spans="1:14" ht="152.44999999999999" customHeight="1">
      <c r="A15" s="54" t="s">
        <v>852</v>
      </c>
      <c r="B15" s="49" t="s">
        <v>841</v>
      </c>
      <c r="C15" s="49" t="s">
        <v>853</v>
      </c>
      <c r="D15" s="49" t="s">
        <v>76</v>
      </c>
      <c r="E15" s="117" t="s">
        <v>854</v>
      </c>
      <c r="F15" s="10"/>
      <c r="G15" s="74" t="s">
        <v>33</v>
      </c>
      <c r="H15" s="66"/>
      <c r="I15" s="75"/>
      <c r="J15" s="10"/>
      <c r="K15" s="282" t="s">
        <v>70</v>
      </c>
      <c r="L15" s="281" t="s">
        <v>855</v>
      </c>
      <c r="M15" s="288" t="s">
        <v>5188</v>
      </c>
      <c r="N15" s="281" t="s">
        <v>5153</v>
      </c>
    </row>
    <row r="16" spans="1:14" s="11" customFormat="1" ht="164.45" customHeight="1">
      <c r="A16" s="72" t="s">
        <v>856</v>
      </c>
      <c r="B16" s="64" t="s">
        <v>841</v>
      </c>
      <c r="C16" s="64" t="s">
        <v>857</v>
      </c>
      <c r="D16" s="64" t="s">
        <v>76</v>
      </c>
      <c r="E16" s="127" t="s">
        <v>858</v>
      </c>
      <c r="G16" s="140" t="s">
        <v>33</v>
      </c>
      <c r="H16" s="65"/>
      <c r="I16" s="73"/>
      <c r="K16" s="265" t="s">
        <v>70</v>
      </c>
      <c r="L16" s="259" t="s">
        <v>859</v>
      </c>
      <c r="M16" s="291" t="s">
        <v>5188</v>
      </c>
      <c r="N16" s="259" t="s">
        <v>5153</v>
      </c>
    </row>
    <row r="17" spans="1:14" ht="105">
      <c r="A17" s="54" t="s">
        <v>860</v>
      </c>
      <c r="B17" s="49" t="s">
        <v>861</v>
      </c>
      <c r="C17" s="49" t="s">
        <v>862</v>
      </c>
      <c r="D17" s="49" t="s">
        <v>76</v>
      </c>
      <c r="E17" s="117" t="s">
        <v>863</v>
      </c>
      <c r="F17" s="10"/>
      <c r="G17" s="74" t="s">
        <v>33</v>
      </c>
      <c r="H17" s="66"/>
      <c r="I17" s="75"/>
      <c r="J17" s="10"/>
      <c r="K17" s="282" t="s">
        <v>70</v>
      </c>
      <c r="L17" s="281" t="s">
        <v>864</v>
      </c>
      <c r="M17" s="288" t="s">
        <v>5273</v>
      </c>
      <c r="N17" s="281" t="s">
        <v>5153</v>
      </c>
    </row>
    <row r="18" spans="1:14" ht="75">
      <c r="A18" s="56" t="s">
        <v>865</v>
      </c>
      <c r="B18" s="50" t="s">
        <v>861</v>
      </c>
      <c r="C18" s="50" t="s">
        <v>866</v>
      </c>
      <c r="D18" s="50" t="s">
        <v>88</v>
      </c>
      <c r="E18" s="57" t="s">
        <v>867</v>
      </c>
      <c r="F18" s="11"/>
      <c r="G18" s="56" t="s">
        <v>868</v>
      </c>
      <c r="H18" s="50"/>
      <c r="I18" s="83"/>
      <c r="J18" s="11"/>
      <c r="K18" s="276" t="s">
        <v>70</v>
      </c>
      <c r="L18" s="279" t="s">
        <v>869</v>
      </c>
      <c r="M18" s="273" t="s">
        <v>5273</v>
      </c>
      <c r="N18" s="259" t="s">
        <v>5153</v>
      </c>
    </row>
    <row r="19" spans="1:14" ht="45">
      <c r="A19" s="54" t="s">
        <v>870</v>
      </c>
      <c r="B19" s="49" t="s">
        <v>861</v>
      </c>
      <c r="C19" s="49" t="s">
        <v>871</v>
      </c>
      <c r="D19" s="49" t="s">
        <v>76</v>
      </c>
      <c r="E19" s="55" t="s">
        <v>872</v>
      </c>
      <c r="F19" s="10"/>
      <c r="G19" s="74" t="s">
        <v>33</v>
      </c>
      <c r="H19" s="66"/>
      <c r="I19" s="75"/>
      <c r="J19" s="10"/>
      <c r="K19" s="282" t="s">
        <v>70</v>
      </c>
      <c r="L19" s="281" t="s">
        <v>873</v>
      </c>
      <c r="M19" s="288" t="s">
        <v>5273</v>
      </c>
      <c r="N19" s="281" t="s">
        <v>5153</v>
      </c>
    </row>
    <row r="20" spans="1:14" ht="75">
      <c r="A20" s="56" t="s">
        <v>874</v>
      </c>
      <c r="B20" s="50" t="s">
        <v>861</v>
      </c>
      <c r="C20" s="50" t="s">
        <v>875</v>
      </c>
      <c r="D20" s="50" t="s">
        <v>88</v>
      </c>
      <c r="E20" s="87" t="s">
        <v>876</v>
      </c>
      <c r="F20" s="11"/>
      <c r="G20" s="56" t="s">
        <v>877</v>
      </c>
      <c r="H20" s="50"/>
      <c r="I20" s="83"/>
      <c r="J20" s="11"/>
      <c r="K20" s="276" t="s">
        <v>70</v>
      </c>
      <c r="L20" s="279" t="s">
        <v>878</v>
      </c>
      <c r="M20" s="273" t="s">
        <v>5273</v>
      </c>
      <c r="N20" s="259" t="s">
        <v>5153</v>
      </c>
    </row>
    <row r="21" spans="1:14" ht="45">
      <c r="A21" s="54" t="s">
        <v>879</v>
      </c>
      <c r="B21" s="49" t="s">
        <v>861</v>
      </c>
      <c r="C21" s="49" t="s">
        <v>880</v>
      </c>
      <c r="D21" s="49" t="s">
        <v>76</v>
      </c>
      <c r="E21" s="55" t="s">
        <v>881</v>
      </c>
      <c r="F21" s="10"/>
      <c r="G21" s="74" t="s">
        <v>33</v>
      </c>
      <c r="H21" s="66"/>
      <c r="I21" s="75"/>
      <c r="J21" s="10"/>
      <c r="K21" s="282" t="s">
        <v>70</v>
      </c>
      <c r="L21" s="281" t="s">
        <v>882</v>
      </c>
      <c r="M21" s="288" t="s">
        <v>5273</v>
      </c>
      <c r="N21" s="281" t="s">
        <v>5153</v>
      </c>
    </row>
    <row r="22" spans="1:14" ht="66" customHeight="1">
      <c r="A22" s="56" t="s">
        <v>883</v>
      </c>
      <c r="B22" s="50" t="s">
        <v>884</v>
      </c>
      <c r="C22" s="50" t="s">
        <v>885</v>
      </c>
      <c r="D22" s="50" t="s">
        <v>168</v>
      </c>
      <c r="E22" s="57" t="s">
        <v>886</v>
      </c>
      <c r="F22" s="11"/>
      <c r="G22" s="133" t="s">
        <v>887</v>
      </c>
      <c r="H22" s="50"/>
      <c r="I22" s="83"/>
      <c r="J22" s="11"/>
      <c r="K22" s="276" t="s">
        <v>70</v>
      </c>
      <c r="L22" s="279" t="s">
        <v>888</v>
      </c>
      <c r="M22" s="273" t="s">
        <v>5189</v>
      </c>
      <c r="N22" s="259"/>
    </row>
    <row r="23" spans="1:14" ht="67.5" customHeight="1">
      <c r="A23" s="54" t="s">
        <v>889</v>
      </c>
      <c r="B23" s="49" t="s">
        <v>884</v>
      </c>
      <c r="C23" s="49" t="s">
        <v>890</v>
      </c>
      <c r="D23" s="49" t="s">
        <v>168</v>
      </c>
      <c r="E23" s="117" t="s">
        <v>891</v>
      </c>
      <c r="F23" s="10"/>
      <c r="G23" s="130" t="s">
        <v>887</v>
      </c>
      <c r="H23" s="62"/>
      <c r="I23" s="76"/>
      <c r="J23" s="10"/>
      <c r="K23" s="282" t="s">
        <v>70</v>
      </c>
      <c r="L23" s="281" t="s">
        <v>892</v>
      </c>
      <c r="M23" s="288" t="s">
        <v>5189</v>
      </c>
      <c r="N23" s="281"/>
    </row>
    <row r="24" spans="1:14" ht="60">
      <c r="A24" s="56" t="s">
        <v>893</v>
      </c>
      <c r="B24" s="115" t="s">
        <v>894</v>
      </c>
      <c r="C24" s="50" t="s">
        <v>895</v>
      </c>
      <c r="D24" s="50" t="s">
        <v>76</v>
      </c>
      <c r="E24" s="87" t="s">
        <v>896</v>
      </c>
      <c r="F24" s="11"/>
      <c r="G24" s="99" t="s">
        <v>33</v>
      </c>
      <c r="H24" s="96"/>
      <c r="I24" s="100"/>
      <c r="J24" s="11"/>
      <c r="K24" s="265" t="s">
        <v>70</v>
      </c>
      <c r="L24" s="259" t="s">
        <v>897</v>
      </c>
      <c r="M24" s="261" t="s">
        <v>5190</v>
      </c>
      <c r="N24" s="259" t="s">
        <v>5153</v>
      </c>
    </row>
    <row r="25" spans="1:14" ht="60">
      <c r="A25" s="54" t="s">
        <v>898</v>
      </c>
      <c r="B25" s="49" t="s">
        <v>894</v>
      </c>
      <c r="C25" s="49" t="s">
        <v>899</v>
      </c>
      <c r="D25" s="49" t="s">
        <v>76</v>
      </c>
      <c r="E25" s="55" t="s">
        <v>900</v>
      </c>
      <c r="F25" s="10"/>
      <c r="G25" s="74" t="s">
        <v>33</v>
      </c>
      <c r="H25" s="66"/>
      <c r="I25" s="75"/>
      <c r="J25" s="10"/>
      <c r="K25" s="282" t="s">
        <v>70</v>
      </c>
      <c r="L25" s="281" t="s">
        <v>901</v>
      </c>
      <c r="M25" s="288" t="s">
        <v>5191</v>
      </c>
      <c r="N25" s="281" t="s">
        <v>5153</v>
      </c>
    </row>
    <row r="26" spans="1:14" ht="19.5" customHeight="1">
      <c r="A26" s="513" t="s">
        <v>902</v>
      </c>
      <c r="B26" s="512" t="s">
        <v>894</v>
      </c>
      <c r="C26" s="512" t="s">
        <v>903</v>
      </c>
      <c r="D26" s="512" t="s">
        <v>76</v>
      </c>
      <c r="E26" s="508" t="s">
        <v>904</v>
      </c>
      <c r="F26" s="11"/>
      <c r="G26" s="627" t="s">
        <v>33</v>
      </c>
      <c r="H26" s="586"/>
      <c r="I26" s="584"/>
      <c r="J26" s="11"/>
      <c r="K26" s="642" t="s">
        <v>70</v>
      </c>
      <c r="L26" s="509" t="s">
        <v>905</v>
      </c>
      <c r="M26" s="515" t="s">
        <v>5182</v>
      </c>
      <c r="N26" s="509" t="s">
        <v>5153</v>
      </c>
    </row>
    <row r="27" spans="1:14" ht="19.5" customHeight="1">
      <c r="A27" s="513"/>
      <c r="B27" s="512"/>
      <c r="C27" s="512"/>
      <c r="D27" s="512"/>
      <c r="E27" s="508"/>
      <c r="F27" s="11"/>
      <c r="G27" s="513"/>
      <c r="H27" s="512"/>
      <c r="I27" s="585"/>
      <c r="J27" s="11"/>
      <c r="K27" s="642"/>
      <c r="L27" s="509"/>
      <c r="M27" s="515"/>
      <c r="N27" s="509"/>
    </row>
    <row r="28" spans="1:14" ht="19.5" customHeight="1">
      <c r="A28" s="513"/>
      <c r="B28" s="512"/>
      <c r="C28" s="512"/>
      <c r="D28" s="512"/>
      <c r="E28" s="508"/>
      <c r="F28" s="11"/>
      <c r="G28" s="513"/>
      <c r="H28" s="512"/>
      <c r="I28" s="585"/>
      <c r="J28" s="11"/>
      <c r="K28" s="642"/>
      <c r="L28" s="509"/>
      <c r="M28" s="515"/>
      <c r="N28" s="509"/>
    </row>
    <row r="29" spans="1:14" ht="19.5" customHeight="1">
      <c r="A29" s="517" t="s">
        <v>906</v>
      </c>
      <c r="B29" s="519" t="s">
        <v>894</v>
      </c>
      <c r="C29" s="519" t="s">
        <v>907</v>
      </c>
      <c r="D29" s="519" t="s">
        <v>76</v>
      </c>
      <c r="E29" s="520" t="s">
        <v>904</v>
      </c>
      <c r="F29" s="10"/>
      <c r="G29" s="581" t="s">
        <v>33</v>
      </c>
      <c r="H29" s="592"/>
      <c r="I29" s="570"/>
      <c r="J29" s="10"/>
      <c r="K29" s="643" t="s">
        <v>70</v>
      </c>
      <c r="L29" s="599" t="s">
        <v>908</v>
      </c>
      <c r="M29" s="639" t="s">
        <v>5182</v>
      </c>
      <c r="N29" s="599" t="s">
        <v>5153</v>
      </c>
    </row>
    <row r="30" spans="1:14" ht="19.5" customHeight="1">
      <c r="A30" s="517"/>
      <c r="B30" s="519"/>
      <c r="C30" s="519"/>
      <c r="D30" s="519"/>
      <c r="E30" s="520"/>
      <c r="F30" s="10"/>
      <c r="G30" s="521"/>
      <c r="H30" s="617"/>
      <c r="I30" s="618"/>
      <c r="J30" s="10"/>
      <c r="K30" s="644"/>
      <c r="L30" s="600"/>
      <c r="M30" s="640"/>
      <c r="N30" s="600"/>
    </row>
    <row r="31" spans="1:14" ht="19.5" customHeight="1">
      <c r="A31" s="517"/>
      <c r="B31" s="519"/>
      <c r="C31" s="519"/>
      <c r="D31" s="519"/>
      <c r="E31" s="520"/>
      <c r="F31" s="10"/>
      <c r="G31" s="521"/>
      <c r="H31" s="617"/>
      <c r="I31" s="618"/>
      <c r="J31" s="10"/>
      <c r="K31" s="645"/>
      <c r="L31" s="601"/>
      <c r="M31" s="641"/>
      <c r="N31" s="601"/>
    </row>
    <row r="32" spans="1:14" ht="60">
      <c r="A32" s="56" t="s">
        <v>909</v>
      </c>
      <c r="B32" s="50" t="s">
        <v>910</v>
      </c>
      <c r="C32" s="50" t="s">
        <v>911</v>
      </c>
      <c r="D32" s="50" t="s">
        <v>532</v>
      </c>
      <c r="E32" s="57" t="s">
        <v>912</v>
      </c>
      <c r="F32" s="11"/>
      <c r="G32" s="99" t="s">
        <v>33</v>
      </c>
      <c r="H32" s="96"/>
      <c r="I32" s="100"/>
      <c r="J32" s="11"/>
      <c r="K32" s="72" t="s">
        <v>70</v>
      </c>
      <c r="L32" s="64" t="s">
        <v>913</v>
      </c>
      <c r="M32" s="290" t="s">
        <v>5159</v>
      </c>
      <c r="N32" s="64"/>
    </row>
    <row r="33" spans="1:14" ht="300">
      <c r="A33" s="54" t="s">
        <v>914</v>
      </c>
      <c r="B33" s="49" t="s">
        <v>915</v>
      </c>
      <c r="C33" s="49" t="s">
        <v>916</v>
      </c>
      <c r="D33" s="49" t="s">
        <v>58</v>
      </c>
      <c r="E33" s="55" t="s">
        <v>917</v>
      </c>
      <c r="F33" s="10"/>
      <c r="G33" s="74" t="s">
        <v>33</v>
      </c>
      <c r="H33" s="66"/>
      <c r="I33" s="75"/>
      <c r="J33" s="10"/>
      <c r="K33" s="282" t="s">
        <v>70</v>
      </c>
      <c r="L33" s="281" t="s">
        <v>918</v>
      </c>
      <c r="M33" s="288" t="s">
        <v>5271</v>
      </c>
      <c r="N33" s="281"/>
    </row>
    <row r="34" spans="1:14" ht="30">
      <c r="A34" s="257" t="s">
        <v>919</v>
      </c>
      <c r="B34" s="256" t="s">
        <v>920</v>
      </c>
      <c r="C34" s="256" t="s">
        <v>514</v>
      </c>
      <c r="D34" s="256" t="s">
        <v>168</v>
      </c>
      <c r="E34" s="271" t="s">
        <v>921</v>
      </c>
      <c r="F34" s="11"/>
      <c r="G34" s="283" t="s">
        <v>33</v>
      </c>
      <c r="H34" s="284"/>
      <c r="I34" s="285"/>
      <c r="J34" s="11"/>
      <c r="K34" s="272" t="s">
        <v>63</v>
      </c>
      <c r="L34" s="264" t="s">
        <v>518</v>
      </c>
      <c r="M34" s="290" t="s">
        <v>922</v>
      </c>
      <c r="N34" s="259"/>
    </row>
    <row r="35" spans="1:14" ht="105">
      <c r="A35" s="54" t="s">
        <v>923</v>
      </c>
      <c r="B35" s="49" t="s">
        <v>920</v>
      </c>
      <c r="C35" s="49" t="s">
        <v>924</v>
      </c>
      <c r="D35" s="49" t="s">
        <v>76</v>
      </c>
      <c r="E35" s="55" t="s">
        <v>925</v>
      </c>
      <c r="F35" s="10"/>
      <c r="G35" s="74" t="s">
        <v>33</v>
      </c>
      <c r="H35" s="66"/>
      <c r="I35" s="75"/>
      <c r="J35" s="10"/>
      <c r="K35" s="142" t="s">
        <v>63</v>
      </c>
      <c r="L35" s="141" t="s">
        <v>811</v>
      </c>
      <c r="M35" s="147" t="s">
        <v>5255</v>
      </c>
      <c r="N35" s="141"/>
    </row>
    <row r="36" spans="1:14" ht="35.450000000000003" customHeight="1">
      <c r="A36" s="513" t="s">
        <v>926</v>
      </c>
      <c r="B36" s="512" t="s">
        <v>920</v>
      </c>
      <c r="C36" s="512" t="s">
        <v>927</v>
      </c>
      <c r="D36" s="512" t="s">
        <v>76</v>
      </c>
      <c r="E36" s="508" t="s">
        <v>928</v>
      </c>
      <c r="F36" s="11"/>
      <c r="G36" s="627" t="s">
        <v>33</v>
      </c>
      <c r="H36" s="586"/>
      <c r="I36" s="584"/>
      <c r="J36" s="11"/>
      <c r="K36" s="627" t="s">
        <v>63</v>
      </c>
      <c r="L36" s="586" t="s">
        <v>428</v>
      </c>
      <c r="M36" s="625" t="s">
        <v>5256</v>
      </c>
      <c r="N36" s="512"/>
    </row>
    <row r="37" spans="1:14" ht="35.450000000000003" customHeight="1">
      <c r="A37" s="513"/>
      <c r="B37" s="512"/>
      <c r="C37" s="512"/>
      <c r="D37" s="512"/>
      <c r="E37" s="508"/>
      <c r="F37" s="11"/>
      <c r="G37" s="513"/>
      <c r="H37" s="512"/>
      <c r="I37" s="585"/>
      <c r="J37" s="11"/>
      <c r="K37" s="513"/>
      <c r="L37" s="512"/>
      <c r="M37" s="567"/>
      <c r="N37" s="512"/>
    </row>
    <row r="38" spans="1:14" ht="35.450000000000003" customHeight="1">
      <c r="A38" s="513"/>
      <c r="B38" s="512"/>
      <c r="C38" s="512"/>
      <c r="D38" s="512"/>
      <c r="E38" s="508"/>
      <c r="F38" s="11"/>
      <c r="G38" s="513"/>
      <c r="H38" s="512"/>
      <c r="I38" s="585"/>
      <c r="J38" s="11"/>
      <c r="K38" s="513"/>
      <c r="L38" s="512"/>
      <c r="M38" s="567"/>
      <c r="N38" s="512"/>
    </row>
    <row r="39" spans="1:14" ht="150">
      <c r="A39" s="54" t="s">
        <v>929</v>
      </c>
      <c r="B39" s="49" t="s">
        <v>920</v>
      </c>
      <c r="C39" s="49" t="s">
        <v>930</v>
      </c>
      <c r="D39" s="49" t="s">
        <v>76</v>
      </c>
      <c r="E39" s="117" t="s">
        <v>931</v>
      </c>
      <c r="F39" s="10"/>
      <c r="G39" s="74" t="s">
        <v>33</v>
      </c>
      <c r="H39" s="66"/>
      <c r="I39" s="75"/>
      <c r="J39" s="10"/>
      <c r="K39" s="282" t="s">
        <v>70</v>
      </c>
      <c r="L39" s="281" t="s">
        <v>932</v>
      </c>
      <c r="M39" s="288" t="s">
        <v>5272</v>
      </c>
      <c r="N39" s="281" t="s">
        <v>5153</v>
      </c>
    </row>
    <row r="40" spans="1:14" ht="30">
      <c r="A40" s="56" t="s">
        <v>933</v>
      </c>
      <c r="B40" s="50" t="s">
        <v>86</v>
      </c>
      <c r="C40" s="50" t="s">
        <v>934</v>
      </c>
      <c r="D40" s="50" t="s">
        <v>58</v>
      </c>
      <c r="E40" s="57" t="s">
        <v>935</v>
      </c>
      <c r="F40" s="11"/>
      <c r="G40" s="99" t="s">
        <v>33</v>
      </c>
      <c r="H40" s="96"/>
      <c r="I40" s="100"/>
      <c r="J40" s="11"/>
      <c r="K40" s="56" t="s">
        <v>63</v>
      </c>
      <c r="L40" s="50" t="s">
        <v>936</v>
      </c>
      <c r="M40" s="267" t="s">
        <v>5192</v>
      </c>
      <c r="N40" s="50"/>
    </row>
    <row r="41" spans="1:14">
      <c r="A41" s="517" t="s">
        <v>85</v>
      </c>
      <c r="B41" s="519" t="s">
        <v>86</v>
      </c>
      <c r="C41" s="519" t="s">
        <v>87</v>
      </c>
      <c r="D41" s="519" t="s">
        <v>168</v>
      </c>
      <c r="E41" s="520" t="s">
        <v>937</v>
      </c>
      <c r="F41" s="10"/>
      <c r="G41" s="581" t="s">
        <v>33</v>
      </c>
      <c r="H41" s="592"/>
      <c r="I41" s="570"/>
      <c r="J41" s="10"/>
      <c r="K41" s="637" t="s">
        <v>63</v>
      </c>
      <c r="L41" s="531" t="s">
        <v>93</v>
      </c>
      <c r="M41" s="525" t="s">
        <v>94</v>
      </c>
      <c r="N41" s="531"/>
    </row>
    <row r="42" spans="1:14">
      <c r="A42" s="517"/>
      <c r="B42" s="519"/>
      <c r="C42" s="519"/>
      <c r="D42" s="519"/>
      <c r="E42" s="520"/>
      <c r="F42" s="10"/>
      <c r="G42" s="521"/>
      <c r="H42" s="617"/>
      <c r="I42" s="618"/>
      <c r="J42" s="10"/>
      <c r="K42" s="637"/>
      <c r="L42" s="531"/>
      <c r="M42" s="525"/>
      <c r="N42" s="531"/>
    </row>
    <row r="43" spans="1:14" ht="15.75" thickBot="1">
      <c r="A43" s="629"/>
      <c r="B43" s="630"/>
      <c r="C43" s="630"/>
      <c r="D43" s="630"/>
      <c r="E43" s="631"/>
      <c r="F43" s="10"/>
      <c r="G43" s="632"/>
      <c r="H43" s="634"/>
      <c r="I43" s="635"/>
      <c r="J43" s="10"/>
      <c r="K43" s="638"/>
      <c r="L43" s="636"/>
      <c r="M43" s="633"/>
      <c r="N43" s="636"/>
    </row>
  </sheetData>
  <autoFilter ref="A2:N43"/>
  <mergeCells count="75">
    <mergeCell ref="N41:N43"/>
    <mergeCell ref="M3:M6"/>
    <mergeCell ref="H3:H6"/>
    <mergeCell ref="I3:I6"/>
    <mergeCell ref="N3:N6"/>
    <mergeCell ref="L7:L8"/>
    <mergeCell ref="N7:N8"/>
    <mergeCell ref="M26:M28"/>
    <mergeCell ref="K7:K8"/>
    <mergeCell ref="L26:L28"/>
    <mergeCell ref="N26:N28"/>
    <mergeCell ref="L29:L31"/>
    <mergeCell ref="H29:H31"/>
    <mergeCell ref="I29:I31"/>
    <mergeCell ref="K29:K31"/>
    <mergeCell ref="L36:L38"/>
    <mergeCell ref="A1:E1"/>
    <mergeCell ref="G1:I1"/>
    <mergeCell ref="G3:G6"/>
    <mergeCell ref="A3:A6"/>
    <mergeCell ref="K1:N1"/>
    <mergeCell ref="K3:K6"/>
    <mergeCell ref="L3:L6"/>
    <mergeCell ref="B3:B6"/>
    <mergeCell ref="C3:C6"/>
    <mergeCell ref="D3:D6"/>
    <mergeCell ref="E3:E6"/>
    <mergeCell ref="G7:G8"/>
    <mergeCell ref="M7:M8"/>
    <mergeCell ref="H7:H8"/>
    <mergeCell ref="I7:I8"/>
    <mergeCell ref="G26:G28"/>
    <mergeCell ref="I26:I28"/>
    <mergeCell ref="H26:H28"/>
    <mergeCell ref="K26:K28"/>
    <mergeCell ref="A7:A8"/>
    <mergeCell ref="B7:B8"/>
    <mergeCell ref="C7:C8"/>
    <mergeCell ref="D7:D8"/>
    <mergeCell ref="E7:E8"/>
    <mergeCell ref="A26:A28"/>
    <mergeCell ref="B26:B28"/>
    <mergeCell ref="C26:C28"/>
    <mergeCell ref="D26:D28"/>
    <mergeCell ref="E26:E28"/>
    <mergeCell ref="N36:N38"/>
    <mergeCell ref="A29:A31"/>
    <mergeCell ref="B29:B31"/>
    <mergeCell ref="C29:C31"/>
    <mergeCell ref="D29:D31"/>
    <mergeCell ref="E29:E31"/>
    <mergeCell ref="M29:M31"/>
    <mergeCell ref="G29:G31"/>
    <mergeCell ref="N29:N31"/>
    <mergeCell ref="G41:G43"/>
    <mergeCell ref="M41:M43"/>
    <mergeCell ref="A36:A38"/>
    <mergeCell ref="B36:B38"/>
    <mergeCell ref="C36:C38"/>
    <mergeCell ref="D36:D38"/>
    <mergeCell ref="E36:E38"/>
    <mergeCell ref="H41:H43"/>
    <mergeCell ref="I41:I43"/>
    <mergeCell ref="L41:L43"/>
    <mergeCell ref="H36:H38"/>
    <mergeCell ref="I36:I38"/>
    <mergeCell ref="K36:K38"/>
    <mergeCell ref="K41:K43"/>
    <mergeCell ref="G36:G38"/>
    <mergeCell ref="M36:M38"/>
    <mergeCell ref="A41:A43"/>
    <mergeCell ref="B41:B43"/>
    <mergeCell ref="C41:C43"/>
    <mergeCell ref="D41:D43"/>
    <mergeCell ref="E41:E43"/>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
  <sheetViews>
    <sheetView zoomScaleNormal="100" workbookViewId="0"/>
  </sheetViews>
  <sheetFormatPr defaultRowHeight="15"/>
  <cols>
    <col min="1" max="1" width="167.85546875" customWidth="1"/>
  </cols>
  <sheetData>
    <row r="1" spans="1:1" ht="154.5" thickBot="1">
      <c r="A1" s="20" t="s">
        <v>938</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N77"/>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s="3" customFormat="1" ht="30">
      <c r="A2" s="52" t="s">
        <v>45</v>
      </c>
      <c r="B2" s="48" t="s">
        <v>46</v>
      </c>
      <c r="C2" s="48" t="s">
        <v>47</v>
      </c>
      <c r="D2" s="48" t="s">
        <v>48</v>
      </c>
      <c r="E2" s="53" t="s">
        <v>49</v>
      </c>
      <c r="F2" s="9"/>
      <c r="G2" s="68" t="s">
        <v>50</v>
      </c>
      <c r="H2" s="61" t="s">
        <v>51</v>
      </c>
      <c r="I2" s="69" t="s">
        <v>52</v>
      </c>
      <c r="J2" s="14"/>
      <c r="K2" s="292" t="s">
        <v>53</v>
      </c>
      <c r="L2" s="144" t="s">
        <v>54</v>
      </c>
      <c r="M2" s="80" t="s">
        <v>5147</v>
      </c>
      <c r="N2" s="293" t="s">
        <v>5152</v>
      </c>
    </row>
    <row r="3" spans="1:14">
      <c r="A3" s="517" t="s">
        <v>939</v>
      </c>
      <c r="B3" s="519" t="s">
        <v>940</v>
      </c>
      <c r="C3" s="519" t="s">
        <v>941</v>
      </c>
      <c r="D3" s="519" t="s">
        <v>168</v>
      </c>
      <c r="E3" s="520" t="s">
        <v>942</v>
      </c>
      <c r="F3" s="10"/>
      <c r="G3" s="521" t="s">
        <v>60</v>
      </c>
      <c r="H3" s="526" t="s">
        <v>61</v>
      </c>
      <c r="I3" s="542" t="s">
        <v>62</v>
      </c>
      <c r="J3" s="10"/>
      <c r="K3" s="648" t="s">
        <v>63</v>
      </c>
      <c r="L3" s="531" t="s">
        <v>943</v>
      </c>
      <c r="M3" s="525" t="s">
        <v>65</v>
      </c>
      <c r="N3" s="541"/>
    </row>
    <row r="4" spans="1:14">
      <c r="A4" s="517"/>
      <c r="B4" s="519"/>
      <c r="C4" s="519"/>
      <c r="D4" s="519"/>
      <c r="E4" s="520"/>
      <c r="F4" s="10"/>
      <c r="G4" s="521"/>
      <c r="H4" s="526"/>
      <c r="I4" s="542"/>
      <c r="J4" s="10"/>
      <c r="K4" s="529"/>
      <c r="L4" s="531"/>
      <c r="M4" s="525"/>
      <c r="N4" s="541"/>
    </row>
    <row r="5" spans="1:14">
      <c r="A5" s="517"/>
      <c r="B5" s="519"/>
      <c r="C5" s="519"/>
      <c r="D5" s="519"/>
      <c r="E5" s="520"/>
      <c r="F5" s="10"/>
      <c r="G5" s="521"/>
      <c r="H5" s="526"/>
      <c r="I5" s="542"/>
      <c r="J5" s="10"/>
      <c r="K5" s="529"/>
      <c r="L5" s="531"/>
      <c r="M5" s="525"/>
      <c r="N5" s="541"/>
    </row>
    <row r="6" spans="1:14">
      <c r="A6" s="517"/>
      <c r="B6" s="519"/>
      <c r="C6" s="519"/>
      <c r="D6" s="519"/>
      <c r="E6" s="520"/>
      <c r="F6" s="10"/>
      <c r="G6" s="521"/>
      <c r="H6" s="526"/>
      <c r="I6" s="542"/>
      <c r="J6" s="10"/>
      <c r="K6" s="529"/>
      <c r="L6" s="531"/>
      <c r="M6" s="525"/>
      <c r="N6" s="541"/>
    </row>
    <row r="7" spans="1:14" ht="30">
      <c r="A7" s="56" t="s">
        <v>944</v>
      </c>
      <c r="B7" s="50" t="s">
        <v>945</v>
      </c>
      <c r="C7" s="50" t="s">
        <v>946</v>
      </c>
      <c r="D7" s="50" t="s">
        <v>58</v>
      </c>
      <c r="E7" s="57" t="s">
        <v>947</v>
      </c>
      <c r="F7" s="11"/>
      <c r="G7" s="56" t="s">
        <v>948</v>
      </c>
      <c r="H7" s="51" t="s">
        <v>946</v>
      </c>
      <c r="I7" s="57" t="s">
        <v>949</v>
      </c>
      <c r="J7" s="11"/>
      <c r="K7" s="294" t="s">
        <v>63</v>
      </c>
      <c r="L7" s="259" t="s">
        <v>950</v>
      </c>
      <c r="M7" s="261" t="s">
        <v>951</v>
      </c>
      <c r="N7" s="295"/>
    </row>
    <row r="8" spans="1:14" ht="45">
      <c r="A8" s="54" t="s">
        <v>952</v>
      </c>
      <c r="B8" s="49" t="s">
        <v>945</v>
      </c>
      <c r="C8" s="49" t="s">
        <v>953</v>
      </c>
      <c r="D8" s="49" t="s">
        <v>58</v>
      </c>
      <c r="E8" s="55" t="s">
        <v>954</v>
      </c>
      <c r="F8" s="10"/>
      <c r="G8" s="70" t="s">
        <v>955</v>
      </c>
      <c r="H8" s="63" t="s">
        <v>953</v>
      </c>
      <c r="I8" s="71" t="s">
        <v>954</v>
      </c>
      <c r="J8" s="10"/>
      <c r="K8" s="298" t="s">
        <v>63</v>
      </c>
      <c r="L8" s="278" t="s">
        <v>956</v>
      </c>
      <c r="M8" s="277" t="s">
        <v>957</v>
      </c>
      <c r="N8" s="307"/>
    </row>
    <row r="9" spans="1:14" ht="60">
      <c r="A9" s="56" t="s">
        <v>958</v>
      </c>
      <c r="B9" s="50" t="s">
        <v>945</v>
      </c>
      <c r="C9" s="50" t="s">
        <v>959</v>
      </c>
      <c r="D9" s="50" t="s">
        <v>76</v>
      </c>
      <c r="E9" s="87" t="s">
        <v>960</v>
      </c>
      <c r="F9" s="11"/>
      <c r="G9" s="56" t="s">
        <v>961</v>
      </c>
      <c r="H9" s="51" t="s">
        <v>959</v>
      </c>
      <c r="I9" s="57" t="s">
        <v>962</v>
      </c>
      <c r="J9" s="11"/>
      <c r="K9" s="326" t="s">
        <v>63</v>
      </c>
      <c r="L9" s="256" t="s">
        <v>963</v>
      </c>
      <c r="M9" s="267" t="s">
        <v>5193</v>
      </c>
      <c r="N9" s="306"/>
    </row>
    <row r="10" spans="1:14" ht="75">
      <c r="A10" s="54" t="s">
        <v>964</v>
      </c>
      <c r="B10" s="49" t="s">
        <v>945</v>
      </c>
      <c r="C10" s="49" t="s">
        <v>965</v>
      </c>
      <c r="D10" s="49" t="s">
        <v>76</v>
      </c>
      <c r="E10" s="117" t="s">
        <v>966</v>
      </c>
      <c r="F10" s="10"/>
      <c r="G10" s="70" t="s">
        <v>967</v>
      </c>
      <c r="H10" s="63" t="s">
        <v>965</v>
      </c>
      <c r="I10" s="71" t="s">
        <v>968</v>
      </c>
      <c r="J10" s="10"/>
      <c r="K10" s="327" t="s">
        <v>63</v>
      </c>
      <c r="L10" s="281" t="s">
        <v>969</v>
      </c>
      <c r="M10" s="288" t="s">
        <v>5194</v>
      </c>
      <c r="N10" s="328" t="s">
        <v>5153</v>
      </c>
    </row>
    <row r="11" spans="1:14" ht="60">
      <c r="A11" s="56" t="s">
        <v>970</v>
      </c>
      <c r="B11" s="50" t="s">
        <v>945</v>
      </c>
      <c r="C11" s="50" t="s">
        <v>971</v>
      </c>
      <c r="D11" s="50" t="s">
        <v>76</v>
      </c>
      <c r="E11" s="87" t="s">
        <v>972</v>
      </c>
      <c r="F11" s="11"/>
      <c r="G11" s="56" t="s">
        <v>973</v>
      </c>
      <c r="H11" s="51" t="s">
        <v>971</v>
      </c>
      <c r="I11" s="57" t="s">
        <v>974</v>
      </c>
      <c r="J11" s="11"/>
      <c r="K11" s="326" t="s">
        <v>63</v>
      </c>
      <c r="L11" s="256" t="s">
        <v>975</v>
      </c>
      <c r="M11" s="267" t="s">
        <v>5195</v>
      </c>
      <c r="N11" s="306" t="s">
        <v>5153</v>
      </c>
    </row>
    <row r="12" spans="1:14" ht="105">
      <c r="A12" s="54" t="s">
        <v>976</v>
      </c>
      <c r="B12" s="49" t="s">
        <v>945</v>
      </c>
      <c r="C12" s="49" t="s">
        <v>977</v>
      </c>
      <c r="D12" s="49" t="s">
        <v>76</v>
      </c>
      <c r="E12" s="55" t="s">
        <v>978</v>
      </c>
      <c r="F12" s="10"/>
      <c r="G12" s="70" t="s">
        <v>979</v>
      </c>
      <c r="H12" s="63" t="s">
        <v>977</v>
      </c>
      <c r="I12" s="71" t="s">
        <v>980</v>
      </c>
      <c r="J12" s="10"/>
      <c r="K12" s="327" t="s">
        <v>63</v>
      </c>
      <c r="L12" s="281" t="s">
        <v>981</v>
      </c>
      <c r="M12" s="287" t="s">
        <v>5257</v>
      </c>
      <c r="N12" s="328"/>
    </row>
    <row r="13" spans="1:14" ht="105">
      <c r="A13" s="56" t="s">
        <v>982</v>
      </c>
      <c r="B13" s="50" t="s">
        <v>983</v>
      </c>
      <c r="C13" s="50" t="s">
        <v>984</v>
      </c>
      <c r="D13" s="50" t="s">
        <v>58</v>
      </c>
      <c r="E13" s="57" t="s">
        <v>985</v>
      </c>
      <c r="F13" s="11"/>
      <c r="G13" s="56" t="s">
        <v>986</v>
      </c>
      <c r="H13" s="51" t="s">
        <v>987</v>
      </c>
      <c r="I13" s="57" t="s">
        <v>988</v>
      </c>
      <c r="J13" s="11"/>
      <c r="K13" s="294" t="s">
        <v>63</v>
      </c>
      <c r="L13" s="259" t="s">
        <v>989</v>
      </c>
      <c r="M13" s="261" t="s">
        <v>990</v>
      </c>
      <c r="N13" s="295"/>
    </row>
    <row r="14" spans="1:14" ht="135">
      <c r="A14" s="54" t="s">
        <v>991</v>
      </c>
      <c r="B14" s="49" t="s">
        <v>983</v>
      </c>
      <c r="C14" s="49" t="s">
        <v>992</v>
      </c>
      <c r="D14" s="49" t="s">
        <v>58</v>
      </c>
      <c r="E14" s="55" t="s">
        <v>993</v>
      </c>
      <c r="F14" s="10"/>
      <c r="G14" s="70" t="s">
        <v>994</v>
      </c>
      <c r="H14" s="63" t="s">
        <v>995</v>
      </c>
      <c r="I14" s="71" t="s">
        <v>993</v>
      </c>
      <c r="J14" s="10"/>
      <c r="K14" s="298" t="s">
        <v>63</v>
      </c>
      <c r="L14" s="278" t="s">
        <v>996</v>
      </c>
      <c r="M14" s="277" t="s">
        <v>5196</v>
      </c>
      <c r="N14" s="307"/>
    </row>
    <row r="15" spans="1:14" ht="105">
      <c r="A15" s="56" t="s">
        <v>997</v>
      </c>
      <c r="B15" s="50" t="s">
        <v>821</v>
      </c>
      <c r="C15" s="50" t="s">
        <v>998</v>
      </c>
      <c r="D15" s="50" t="s">
        <v>76</v>
      </c>
      <c r="E15" s="87" t="s">
        <v>999</v>
      </c>
      <c r="F15" s="11"/>
      <c r="G15" s="56" t="s">
        <v>1000</v>
      </c>
      <c r="H15" s="51" t="s">
        <v>998</v>
      </c>
      <c r="I15" s="57" t="s">
        <v>1001</v>
      </c>
      <c r="J15" s="11"/>
      <c r="K15" s="326" t="s">
        <v>63</v>
      </c>
      <c r="L15" s="256" t="s">
        <v>1002</v>
      </c>
      <c r="M15" s="275" t="s">
        <v>5258</v>
      </c>
      <c r="N15" s="306"/>
    </row>
    <row r="16" spans="1:14" ht="45">
      <c r="A16" s="54" t="s">
        <v>1003</v>
      </c>
      <c r="B16" s="49" t="s">
        <v>525</v>
      </c>
      <c r="C16" s="49" t="s">
        <v>1004</v>
      </c>
      <c r="D16" s="49" t="s">
        <v>76</v>
      </c>
      <c r="E16" s="117" t="s">
        <v>1005</v>
      </c>
      <c r="F16" s="10"/>
      <c r="G16" s="70" t="s">
        <v>1006</v>
      </c>
      <c r="H16" s="63" t="s">
        <v>1004</v>
      </c>
      <c r="I16" s="71" t="s">
        <v>1007</v>
      </c>
      <c r="J16" s="10"/>
      <c r="K16" s="327" t="s">
        <v>63</v>
      </c>
      <c r="L16" s="281" t="s">
        <v>1008</v>
      </c>
      <c r="M16" s="288" t="s">
        <v>5197</v>
      </c>
      <c r="N16" s="328"/>
    </row>
    <row r="17" spans="1:14">
      <c r="A17" s="56" t="s">
        <v>1009</v>
      </c>
      <c r="B17" s="50" t="s">
        <v>525</v>
      </c>
      <c r="C17" s="50" t="s">
        <v>1010</v>
      </c>
      <c r="D17" s="50" t="s">
        <v>666</v>
      </c>
      <c r="E17" s="57" t="s">
        <v>1011</v>
      </c>
      <c r="F17" s="11"/>
      <c r="G17" s="56" t="s">
        <v>1012</v>
      </c>
      <c r="H17" s="51" t="s">
        <v>1013</v>
      </c>
      <c r="I17" s="57" t="s">
        <v>1014</v>
      </c>
      <c r="J17" s="11"/>
      <c r="K17" s="294" t="s">
        <v>63</v>
      </c>
      <c r="L17" s="259" t="s">
        <v>1015</v>
      </c>
      <c r="M17" s="261" t="s">
        <v>5198</v>
      </c>
      <c r="N17" s="295"/>
    </row>
    <row r="18" spans="1:14">
      <c r="A18" s="517" t="s">
        <v>1016</v>
      </c>
      <c r="B18" s="519" t="s">
        <v>525</v>
      </c>
      <c r="C18" s="519" t="s">
        <v>1017</v>
      </c>
      <c r="D18" s="519" t="s">
        <v>76</v>
      </c>
      <c r="E18" s="520" t="s">
        <v>1018</v>
      </c>
      <c r="F18" s="10"/>
      <c r="G18" s="521" t="s">
        <v>1019</v>
      </c>
      <c r="H18" s="526" t="s">
        <v>1017</v>
      </c>
      <c r="I18" s="527" t="s">
        <v>1020</v>
      </c>
      <c r="J18" s="10"/>
      <c r="K18" s="649" t="s">
        <v>63</v>
      </c>
      <c r="L18" s="647" t="s">
        <v>1021</v>
      </c>
      <c r="M18" s="658" t="s">
        <v>5259</v>
      </c>
      <c r="N18" s="646"/>
    </row>
    <row r="19" spans="1:14">
      <c r="A19" s="517"/>
      <c r="B19" s="519"/>
      <c r="C19" s="519"/>
      <c r="D19" s="519"/>
      <c r="E19" s="520"/>
      <c r="F19" s="10"/>
      <c r="G19" s="521"/>
      <c r="H19" s="526"/>
      <c r="I19" s="527"/>
      <c r="J19" s="10"/>
      <c r="K19" s="649"/>
      <c r="L19" s="647"/>
      <c r="M19" s="658"/>
      <c r="N19" s="646"/>
    </row>
    <row r="20" spans="1:14">
      <c r="A20" s="517"/>
      <c r="B20" s="519"/>
      <c r="C20" s="519"/>
      <c r="D20" s="519"/>
      <c r="E20" s="520"/>
      <c r="F20" s="10"/>
      <c r="G20" s="521"/>
      <c r="H20" s="526"/>
      <c r="I20" s="527"/>
      <c r="J20" s="10"/>
      <c r="K20" s="649"/>
      <c r="L20" s="647"/>
      <c r="M20" s="658"/>
      <c r="N20" s="646"/>
    </row>
    <row r="21" spans="1:14">
      <c r="A21" s="513" t="s">
        <v>1022</v>
      </c>
      <c r="B21" s="512" t="s">
        <v>1023</v>
      </c>
      <c r="C21" s="512" t="s">
        <v>1024</v>
      </c>
      <c r="D21" s="512" t="s">
        <v>76</v>
      </c>
      <c r="E21" s="508" t="s">
        <v>1025</v>
      </c>
      <c r="F21" s="11"/>
      <c r="G21" s="513" t="s">
        <v>1026</v>
      </c>
      <c r="H21" s="516" t="s">
        <v>1024</v>
      </c>
      <c r="I21" s="508" t="s">
        <v>1027</v>
      </c>
      <c r="J21" s="11"/>
      <c r="K21" s="582" t="s">
        <v>63</v>
      </c>
      <c r="L21" s="512" t="s">
        <v>1028</v>
      </c>
      <c r="M21" s="516" t="s">
        <v>5199</v>
      </c>
      <c r="N21" s="560"/>
    </row>
    <row r="22" spans="1:14">
      <c r="A22" s="513"/>
      <c r="B22" s="512"/>
      <c r="C22" s="512"/>
      <c r="D22" s="512"/>
      <c r="E22" s="508"/>
      <c r="F22" s="11"/>
      <c r="G22" s="513"/>
      <c r="H22" s="516"/>
      <c r="I22" s="508"/>
      <c r="J22" s="11"/>
      <c r="K22" s="582"/>
      <c r="L22" s="512"/>
      <c r="M22" s="516"/>
      <c r="N22" s="560"/>
    </row>
    <row r="23" spans="1:14">
      <c r="A23" s="513"/>
      <c r="B23" s="512"/>
      <c r="C23" s="512"/>
      <c r="D23" s="512"/>
      <c r="E23" s="508"/>
      <c r="F23" s="11"/>
      <c r="G23" s="513"/>
      <c r="H23" s="516"/>
      <c r="I23" s="508"/>
      <c r="J23" s="11"/>
      <c r="K23" s="582"/>
      <c r="L23" s="512"/>
      <c r="M23" s="516"/>
      <c r="N23" s="560"/>
    </row>
    <row r="24" spans="1:14">
      <c r="A24" s="517" t="s">
        <v>1029</v>
      </c>
      <c r="B24" s="519" t="s">
        <v>1023</v>
      </c>
      <c r="C24" s="519" t="s">
        <v>1030</v>
      </c>
      <c r="D24" s="519" t="s">
        <v>76</v>
      </c>
      <c r="E24" s="520" t="s">
        <v>1031</v>
      </c>
      <c r="F24" s="10"/>
      <c r="G24" s="521" t="s">
        <v>1032</v>
      </c>
      <c r="H24" s="526" t="s">
        <v>1030</v>
      </c>
      <c r="I24" s="527" t="s">
        <v>1033</v>
      </c>
      <c r="J24" s="10"/>
      <c r="K24" s="578" t="s">
        <v>63</v>
      </c>
      <c r="L24" s="569" t="s">
        <v>1034</v>
      </c>
      <c r="M24" s="588" t="s">
        <v>5200</v>
      </c>
      <c r="N24" s="559"/>
    </row>
    <row r="25" spans="1:14">
      <c r="A25" s="517"/>
      <c r="B25" s="519"/>
      <c r="C25" s="519"/>
      <c r="D25" s="519"/>
      <c r="E25" s="520"/>
      <c r="F25" s="10"/>
      <c r="G25" s="521"/>
      <c r="H25" s="526"/>
      <c r="I25" s="527"/>
      <c r="J25" s="10"/>
      <c r="K25" s="578"/>
      <c r="L25" s="569"/>
      <c r="M25" s="588"/>
      <c r="N25" s="559"/>
    </row>
    <row r="26" spans="1:14">
      <c r="A26" s="517"/>
      <c r="B26" s="519"/>
      <c r="C26" s="519"/>
      <c r="D26" s="519"/>
      <c r="E26" s="520"/>
      <c r="F26" s="10"/>
      <c r="G26" s="521"/>
      <c r="H26" s="526"/>
      <c r="I26" s="527"/>
      <c r="J26" s="10"/>
      <c r="K26" s="578"/>
      <c r="L26" s="569"/>
      <c r="M26" s="588"/>
      <c r="N26" s="559"/>
    </row>
    <row r="27" spans="1:14">
      <c r="A27" s="513" t="s">
        <v>1035</v>
      </c>
      <c r="B27" s="512" t="s">
        <v>1023</v>
      </c>
      <c r="C27" s="512" t="s">
        <v>1036</v>
      </c>
      <c r="D27" s="512" t="s">
        <v>76</v>
      </c>
      <c r="E27" s="508" t="s">
        <v>1037</v>
      </c>
      <c r="F27" s="11"/>
      <c r="G27" s="513" t="s">
        <v>1038</v>
      </c>
      <c r="H27" s="516" t="s">
        <v>1036</v>
      </c>
      <c r="I27" s="508" t="s">
        <v>1039</v>
      </c>
      <c r="J27" s="11"/>
      <c r="K27" s="582" t="s">
        <v>63</v>
      </c>
      <c r="L27" s="512" t="s">
        <v>1040</v>
      </c>
      <c r="M27" s="516" t="s">
        <v>5201</v>
      </c>
      <c r="N27" s="560" t="s">
        <v>5153</v>
      </c>
    </row>
    <row r="28" spans="1:14">
      <c r="A28" s="513"/>
      <c r="B28" s="512"/>
      <c r="C28" s="512"/>
      <c r="D28" s="512"/>
      <c r="E28" s="508"/>
      <c r="F28" s="11"/>
      <c r="G28" s="513"/>
      <c r="H28" s="516"/>
      <c r="I28" s="508"/>
      <c r="J28" s="11"/>
      <c r="K28" s="582"/>
      <c r="L28" s="512"/>
      <c r="M28" s="516"/>
      <c r="N28" s="560"/>
    </row>
    <row r="29" spans="1:14">
      <c r="A29" s="513"/>
      <c r="B29" s="512"/>
      <c r="C29" s="512"/>
      <c r="D29" s="512"/>
      <c r="E29" s="508"/>
      <c r="F29" s="11"/>
      <c r="G29" s="513"/>
      <c r="H29" s="516"/>
      <c r="I29" s="508"/>
      <c r="J29" s="11"/>
      <c r="K29" s="582"/>
      <c r="L29" s="512"/>
      <c r="M29" s="596"/>
      <c r="N29" s="560"/>
    </row>
    <row r="30" spans="1:14" ht="105">
      <c r="A30" s="54" t="s">
        <v>1041</v>
      </c>
      <c r="B30" s="49" t="s">
        <v>1023</v>
      </c>
      <c r="C30" s="49" t="s">
        <v>1042</v>
      </c>
      <c r="D30" s="49" t="s">
        <v>76</v>
      </c>
      <c r="E30" s="55" t="s">
        <v>1043</v>
      </c>
      <c r="F30" s="10"/>
      <c r="G30" s="70" t="s">
        <v>1044</v>
      </c>
      <c r="H30" s="63" t="s">
        <v>1042</v>
      </c>
      <c r="I30" s="71" t="s">
        <v>1045</v>
      </c>
      <c r="J30" s="10"/>
      <c r="K30" s="327" t="s">
        <v>63</v>
      </c>
      <c r="L30" s="215" t="s">
        <v>1046</v>
      </c>
      <c r="M30" s="287" t="s">
        <v>5260</v>
      </c>
      <c r="N30" s="351"/>
    </row>
    <row r="31" spans="1:14" ht="60">
      <c r="A31" s="56" t="s">
        <v>1047</v>
      </c>
      <c r="B31" s="50" t="s">
        <v>1023</v>
      </c>
      <c r="C31" s="50" t="s">
        <v>1048</v>
      </c>
      <c r="D31" s="50" t="s">
        <v>666</v>
      </c>
      <c r="E31" s="57" t="s">
        <v>1049</v>
      </c>
      <c r="F31" s="11"/>
      <c r="G31" s="56" t="s">
        <v>263</v>
      </c>
      <c r="H31" s="51" t="s">
        <v>264</v>
      </c>
      <c r="I31" s="57" t="s">
        <v>265</v>
      </c>
      <c r="J31" s="11"/>
      <c r="K31" s="294" t="s">
        <v>63</v>
      </c>
      <c r="L31" s="259" t="s">
        <v>1050</v>
      </c>
      <c r="M31" s="216" t="s">
        <v>267</v>
      </c>
      <c r="N31" s="295"/>
    </row>
    <row r="32" spans="1:14" ht="90">
      <c r="A32" s="54" t="s">
        <v>1051</v>
      </c>
      <c r="B32" s="49" t="s">
        <v>1023</v>
      </c>
      <c r="C32" s="49" t="s">
        <v>1052</v>
      </c>
      <c r="D32" s="49" t="s">
        <v>666</v>
      </c>
      <c r="E32" s="55" t="s">
        <v>1053</v>
      </c>
      <c r="F32" s="10"/>
      <c r="G32" s="70" t="s">
        <v>311</v>
      </c>
      <c r="H32" s="63" t="s">
        <v>312</v>
      </c>
      <c r="I32" s="71" t="s">
        <v>313</v>
      </c>
      <c r="J32" s="10"/>
      <c r="K32" s="298" t="s">
        <v>63</v>
      </c>
      <c r="L32" s="278" t="s">
        <v>314</v>
      </c>
      <c r="M32" s="277" t="s">
        <v>315</v>
      </c>
      <c r="N32" s="297"/>
    </row>
    <row r="33" spans="1:14">
      <c r="A33" s="513" t="s">
        <v>1054</v>
      </c>
      <c r="B33" s="512" t="s">
        <v>1023</v>
      </c>
      <c r="C33" s="512" t="s">
        <v>1055</v>
      </c>
      <c r="D33" s="512" t="s">
        <v>58</v>
      </c>
      <c r="E33" s="508" t="s">
        <v>1056</v>
      </c>
      <c r="F33" s="11"/>
      <c r="G33" s="513" t="s">
        <v>1057</v>
      </c>
      <c r="H33" s="516" t="s">
        <v>1055</v>
      </c>
      <c r="I33" s="508" t="s">
        <v>1056</v>
      </c>
      <c r="J33" s="11"/>
      <c r="K33" s="510" t="s">
        <v>63</v>
      </c>
      <c r="L33" s="509" t="s">
        <v>1058</v>
      </c>
      <c r="M33" s="583" t="s">
        <v>5202</v>
      </c>
      <c r="N33" s="511"/>
    </row>
    <row r="34" spans="1:14">
      <c r="A34" s="513"/>
      <c r="B34" s="512"/>
      <c r="C34" s="512"/>
      <c r="D34" s="512"/>
      <c r="E34" s="508"/>
      <c r="F34" s="11"/>
      <c r="G34" s="513"/>
      <c r="H34" s="516"/>
      <c r="I34" s="508"/>
      <c r="J34" s="11"/>
      <c r="K34" s="510"/>
      <c r="L34" s="509"/>
      <c r="M34" s="583"/>
      <c r="N34" s="511"/>
    </row>
    <row r="35" spans="1:14">
      <c r="A35" s="513"/>
      <c r="B35" s="512"/>
      <c r="C35" s="512"/>
      <c r="D35" s="512"/>
      <c r="E35" s="508"/>
      <c r="F35" s="11"/>
      <c r="G35" s="513"/>
      <c r="H35" s="516"/>
      <c r="I35" s="508"/>
      <c r="J35" s="11"/>
      <c r="K35" s="510"/>
      <c r="L35" s="509"/>
      <c r="M35" s="583"/>
      <c r="N35" s="511"/>
    </row>
    <row r="36" spans="1:14" ht="45">
      <c r="A36" s="54" t="s">
        <v>1059</v>
      </c>
      <c r="B36" s="49" t="s">
        <v>1023</v>
      </c>
      <c r="C36" s="49" t="s">
        <v>1060</v>
      </c>
      <c r="D36" s="49" t="s">
        <v>76</v>
      </c>
      <c r="E36" s="55" t="s">
        <v>1061</v>
      </c>
      <c r="F36" s="10"/>
      <c r="G36" s="70" t="s">
        <v>1062</v>
      </c>
      <c r="H36" s="63" t="s">
        <v>1060</v>
      </c>
      <c r="I36" s="71" t="s">
        <v>1063</v>
      </c>
      <c r="J36" s="10"/>
      <c r="K36" s="327" t="s">
        <v>63</v>
      </c>
      <c r="L36" s="281" t="s">
        <v>1064</v>
      </c>
      <c r="M36" s="288" t="s">
        <v>5203</v>
      </c>
      <c r="N36" s="328"/>
    </row>
    <row r="37" spans="1:14" ht="120">
      <c r="A37" s="56" t="s">
        <v>1065</v>
      </c>
      <c r="B37" s="50" t="s">
        <v>1023</v>
      </c>
      <c r="C37" s="50" t="s">
        <v>1066</v>
      </c>
      <c r="D37" s="50" t="s">
        <v>58</v>
      </c>
      <c r="E37" s="57" t="s">
        <v>1067</v>
      </c>
      <c r="F37" s="11"/>
      <c r="G37" s="56" t="s">
        <v>1068</v>
      </c>
      <c r="H37" s="51" t="s">
        <v>123</v>
      </c>
      <c r="I37" s="57" t="s">
        <v>1069</v>
      </c>
      <c r="J37" s="11"/>
      <c r="K37" s="294" t="s">
        <v>70</v>
      </c>
      <c r="L37" s="259" t="s">
        <v>1070</v>
      </c>
      <c r="M37" s="261" t="s">
        <v>5273</v>
      </c>
      <c r="N37" s="295" t="s">
        <v>5153</v>
      </c>
    </row>
    <row r="38" spans="1:14">
      <c r="A38" s="517" t="s">
        <v>1071</v>
      </c>
      <c r="B38" s="519" t="s">
        <v>1023</v>
      </c>
      <c r="C38" s="519" t="s">
        <v>1072</v>
      </c>
      <c r="D38" s="519" t="s">
        <v>76</v>
      </c>
      <c r="E38" s="520" t="s">
        <v>1073</v>
      </c>
      <c r="F38" s="10"/>
      <c r="G38" s="521" t="s">
        <v>1074</v>
      </c>
      <c r="H38" s="526" t="s">
        <v>1072</v>
      </c>
      <c r="I38" s="527" t="s">
        <v>1075</v>
      </c>
      <c r="J38" s="10"/>
      <c r="K38" s="578" t="s">
        <v>63</v>
      </c>
      <c r="L38" s="569" t="s">
        <v>1076</v>
      </c>
      <c r="M38" s="588" t="s">
        <v>5204</v>
      </c>
      <c r="N38" s="559"/>
    </row>
    <row r="39" spans="1:14">
      <c r="A39" s="517"/>
      <c r="B39" s="519"/>
      <c r="C39" s="519"/>
      <c r="D39" s="519"/>
      <c r="E39" s="520"/>
      <c r="F39" s="10"/>
      <c r="G39" s="521"/>
      <c r="H39" s="526"/>
      <c r="I39" s="527"/>
      <c r="J39" s="10"/>
      <c r="K39" s="578"/>
      <c r="L39" s="569"/>
      <c r="M39" s="588"/>
      <c r="N39" s="559"/>
    </row>
    <row r="40" spans="1:14">
      <c r="A40" s="517"/>
      <c r="B40" s="519"/>
      <c r="C40" s="519"/>
      <c r="D40" s="519"/>
      <c r="E40" s="520"/>
      <c r="F40" s="10"/>
      <c r="G40" s="521"/>
      <c r="H40" s="526"/>
      <c r="I40" s="527"/>
      <c r="J40" s="10"/>
      <c r="K40" s="578"/>
      <c r="L40" s="569"/>
      <c r="M40" s="588"/>
      <c r="N40" s="559"/>
    </row>
    <row r="41" spans="1:14">
      <c r="A41" s="513" t="s">
        <v>1077</v>
      </c>
      <c r="B41" s="512" t="s">
        <v>1023</v>
      </c>
      <c r="C41" s="512" t="s">
        <v>1078</v>
      </c>
      <c r="D41" s="512" t="s">
        <v>76</v>
      </c>
      <c r="E41" s="508" t="s">
        <v>1079</v>
      </c>
      <c r="F41" s="11"/>
      <c r="G41" s="513" t="s">
        <v>302</v>
      </c>
      <c r="H41" s="516" t="s">
        <v>303</v>
      </c>
      <c r="I41" s="508" t="s">
        <v>304</v>
      </c>
      <c r="J41" s="11"/>
      <c r="K41" s="582" t="s">
        <v>63</v>
      </c>
      <c r="L41" s="512" t="s">
        <v>1080</v>
      </c>
      <c r="M41" s="567" t="s">
        <v>5261</v>
      </c>
      <c r="N41" s="560"/>
    </row>
    <row r="42" spans="1:14">
      <c r="A42" s="513"/>
      <c r="B42" s="512"/>
      <c r="C42" s="512"/>
      <c r="D42" s="512"/>
      <c r="E42" s="508"/>
      <c r="F42" s="11"/>
      <c r="G42" s="513"/>
      <c r="H42" s="516"/>
      <c r="I42" s="508"/>
      <c r="J42" s="11"/>
      <c r="K42" s="582"/>
      <c r="L42" s="512"/>
      <c r="M42" s="567"/>
      <c r="N42" s="560"/>
    </row>
    <row r="43" spans="1:14" ht="93" customHeight="1">
      <c r="A43" s="513"/>
      <c r="B43" s="512"/>
      <c r="C43" s="512"/>
      <c r="D43" s="512"/>
      <c r="E43" s="508"/>
      <c r="F43" s="11"/>
      <c r="G43" s="513"/>
      <c r="H43" s="516"/>
      <c r="I43" s="508"/>
      <c r="J43" s="11"/>
      <c r="K43" s="582"/>
      <c r="L43" s="512"/>
      <c r="M43" s="567"/>
      <c r="N43" s="560"/>
    </row>
    <row r="44" spans="1:14" ht="105">
      <c r="A44" s="54" t="s">
        <v>1081</v>
      </c>
      <c r="B44" s="49" t="s">
        <v>1023</v>
      </c>
      <c r="C44" s="49" t="s">
        <v>1082</v>
      </c>
      <c r="D44" s="49" t="s">
        <v>76</v>
      </c>
      <c r="E44" s="117" t="s">
        <v>1083</v>
      </c>
      <c r="F44" s="10"/>
      <c r="G44" s="70" t="s">
        <v>326</v>
      </c>
      <c r="H44" s="63" t="s">
        <v>324</v>
      </c>
      <c r="I44" s="71" t="s">
        <v>327</v>
      </c>
      <c r="J44" s="10"/>
      <c r="K44" s="327" t="s">
        <v>63</v>
      </c>
      <c r="L44" s="281" t="s">
        <v>1084</v>
      </c>
      <c r="M44" s="287" t="s">
        <v>5262</v>
      </c>
      <c r="N44" s="328"/>
    </row>
    <row r="45" spans="1:14">
      <c r="A45" s="513" t="s">
        <v>1085</v>
      </c>
      <c r="B45" s="512" t="s">
        <v>1023</v>
      </c>
      <c r="C45" s="512" t="s">
        <v>1086</v>
      </c>
      <c r="D45" s="512" t="s">
        <v>76</v>
      </c>
      <c r="E45" s="508" t="s">
        <v>1087</v>
      </c>
      <c r="F45" s="11"/>
      <c r="G45" s="513" t="s">
        <v>1088</v>
      </c>
      <c r="H45" s="516" t="s">
        <v>1089</v>
      </c>
      <c r="I45" s="508" t="s">
        <v>1090</v>
      </c>
      <c r="J45" s="11"/>
      <c r="K45" s="582" t="s">
        <v>63</v>
      </c>
      <c r="L45" s="512" t="s">
        <v>1091</v>
      </c>
      <c r="M45" s="516" t="s">
        <v>5205</v>
      </c>
      <c r="N45" s="560"/>
    </row>
    <row r="46" spans="1:14">
      <c r="A46" s="513"/>
      <c r="B46" s="512"/>
      <c r="C46" s="512"/>
      <c r="D46" s="512"/>
      <c r="E46" s="508"/>
      <c r="F46" s="11"/>
      <c r="G46" s="513"/>
      <c r="H46" s="516"/>
      <c r="I46" s="508"/>
      <c r="J46" s="11"/>
      <c r="K46" s="582"/>
      <c r="L46" s="512"/>
      <c r="M46" s="516"/>
      <c r="N46" s="560"/>
    </row>
    <row r="47" spans="1:14">
      <c r="A47" s="513"/>
      <c r="B47" s="512"/>
      <c r="C47" s="512"/>
      <c r="D47" s="512"/>
      <c r="E47" s="508"/>
      <c r="F47" s="11"/>
      <c r="G47" s="513"/>
      <c r="H47" s="516"/>
      <c r="I47" s="508"/>
      <c r="J47" s="11"/>
      <c r="K47" s="582"/>
      <c r="L47" s="512"/>
      <c r="M47" s="516"/>
      <c r="N47" s="560"/>
    </row>
    <row r="48" spans="1:14" ht="45">
      <c r="A48" s="54" t="s">
        <v>1092</v>
      </c>
      <c r="B48" s="49" t="s">
        <v>1023</v>
      </c>
      <c r="C48" s="49" t="s">
        <v>1093</v>
      </c>
      <c r="D48" s="49" t="s">
        <v>532</v>
      </c>
      <c r="E48" s="55" t="s">
        <v>1094</v>
      </c>
      <c r="F48" s="10"/>
      <c r="G48" s="70" t="s">
        <v>1095</v>
      </c>
      <c r="H48" s="63" t="s">
        <v>1093</v>
      </c>
      <c r="I48" s="71" t="s">
        <v>1094</v>
      </c>
      <c r="J48" s="10"/>
      <c r="K48" s="327" t="s">
        <v>63</v>
      </c>
      <c r="L48" s="278" t="s">
        <v>1096</v>
      </c>
      <c r="M48" s="277" t="s">
        <v>1097</v>
      </c>
      <c r="N48" s="307"/>
    </row>
    <row r="49" spans="1:14" ht="45">
      <c r="A49" s="56" t="s">
        <v>1098</v>
      </c>
      <c r="B49" s="50" t="s">
        <v>1023</v>
      </c>
      <c r="C49" s="50" t="s">
        <v>330</v>
      </c>
      <c r="D49" s="50" t="s">
        <v>532</v>
      </c>
      <c r="E49" s="57" t="s">
        <v>1099</v>
      </c>
      <c r="F49" s="11"/>
      <c r="G49" s="56" t="s">
        <v>1100</v>
      </c>
      <c r="H49" s="51" t="s">
        <v>330</v>
      </c>
      <c r="I49" s="57" t="s">
        <v>1099</v>
      </c>
      <c r="J49" s="11"/>
      <c r="K49" s="294" t="s">
        <v>63</v>
      </c>
      <c r="L49" s="259" t="s">
        <v>332</v>
      </c>
      <c r="M49" s="261" t="s">
        <v>1101</v>
      </c>
      <c r="N49" s="295"/>
    </row>
    <row r="50" spans="1:14" ht="45">
      <c r="A50" s="54" t="s">
        <v>1102</v>
      </c>
      <c r="B50" s="49" t="s">
        <v>1023</v>
      </c>
      <c r="C50" s="49" t="s">
        <v>1103</v>
      </c>
      <c r="D50" s="49" t="s">
        <v>532</v>
      </c>
      <c r="E50" s="55" t="s">
        <v>1104</v>
      </c>
      <c r="F50" s="10"/>
      <c r="G50" s="70" t="s">
        <v>1105</v>
      </c>
      <c r="H50" s="63" t="s">
        <v>1103</v>
      </c>
      <c r="I50" s="71" t="s">
        <v>1104</v>
      </c>
      <c r="J50" s="10"/>
      <c r="K50" s="298" t="s">
        <v>63</v>
      </c>
      <c r="L50" s="278" t="s">
        <v>1106</v>
      </c>
      <c r="M50" s="277" t="s">
        <v>298</v>
      </c>
      <c r="N50" s="307"/>
    </row>
    <row r="51" spans="1:14">
      <c r="A51" s="513" t="s">
        <v>1107</v>
      </c>
      <c r="B51" s="512" t="s">
        <v>1023</v>
      </c>
      <c r="C51" s="512" t="s">
        <v>1108</v>
      </c>
      <c r="D51" s="512" t="s">
        <v>76</v>
      </c>
      <c r="E51" s="508" t="s">
        <v>1109</v>
      </c>
      <c r="F51" s="11"/>
      <c r="G51" s="513" t="s">
        <v>255</v>
      </c>
      <c r="H51" s="516" t="s">
        <v>256</v>
      </c>
      <c r="I51" s="508" t="s">
        <v>254</v>
      </c>
      <c r="J51" s="11"/>
      <c r="K51" s="582" t="s">
        <v>63</v>
      </c>
      <c r="L51" s="512" t="s">
        <v>1110</v>
      </c>
      <c r="M51" s="516" t="s">
        <v>258</v>
      </c>
      <c r="N51" s="560"/>
    </row>
    <row r="52" spans="1:14">
      <c r="A52" s="513"/>
      <c r="B52" s="512"/>
      <c r="C52" s="512"/>
      <c r="D52" s="512"/>
      <c r="E52" s="508"/>
      <c r="F52" s="11"/>
      <c r="G52" s="513"/>
      <c r="H52" s="516"/>
      <c r="I52" s="508"/>
      <c r="J52" s="11"/>
      <c r="K52" s="582"/>
      <c r="L52" s="512"/>
      <c r="M52" s="516"/>
      <c r="N52" s="560"/>
    </row>
    <row r="53" spans="1:14">
      <c r="A53" s="513"/>
      <c r="B53" s="512"/>
      <c r="C53" s="512"/>
      <c r="D53" s="512"/>
      <c r="E53" s="508"/>
      <c r="F53" s="11"/>
      <c r="G53" s="513"/>
      <c r="H53" s="516"/>
      <c r="I53" s="508"/>
      <c r="J53" s="11"/>
      <c r="K53" s="582"/>
      <c r="L53" s="512"/>
      <c r="M53" s="516"/>
      <c r="N53" s="560"/>
    </row>
    <row r="54" spans="1:14" ht="30.75" customHeight="1">
      <c r="A54" s="517" t="s">
        <v>1111</v>
      </c>
      <c r="B54" s="519" t="s">
        <v>1112</v>
      </c>
      <c r="C54" s="519" t="s">
        <v>1113</v>
      </c>
      <c r="D54" s="519" t="s">
        <v>76</v>
      </c>
      <c r="E54" s="520" t="s">
        <v>1114</v>
      </c>
      <c r="F54" s="10"/>
      <c r="G54" s="521" t="s">
        <v>1115</v>
      </c>
      <c r="H54" s="526" t="s">
        <v>1113</v>
      </c>
      <c r="I54" s="527" t="s">
        <v>1116</v>
      </c>
      <c r="J54" s="10"/>
      <c r="K54" s="578" t="s">
        <v>63</v>
      </c>
      <c r="L54" s="569" t="s">
        <v>1117</v>
      </c>
      <c r="M54" s="568" t="s">
        <v>5263</v>
      </c>
      <c r="N54" s="559"/>
    </row>
    <row r="55" spans="1:14" ht="42.75" customHeight="1">
      <c r="A55" s="517"/>
      <c r="B55" s="519"/>
      <c r="C55" s="519"/>
      <c r="D55" s="519"/>
      <c r="E55" s="520"/>
      <c r="F55" s="10"/>
      <c r="G55" s="521"/>
      <c r="H55" s="526"/>
      <c r="I55" s="527"/>
      <c r="J55" s="10"/>
      <c r="K55" s="578"/>
      <c r="L55" s="569"/>
      <c r="M55" s="568"/>
      <c r="N55" s="559"/>
    </row>
    <row r="56" spans="1:14" ht="48" customHeight="1">
      <c r="A56" s="517"/>
      <c r="B56" s="519"/>
      <c r="C56" s="519"/>
      <c r="D56" s="519"/>
      <c r="E56" s="520"/>
      <c r="F56" s="10"/>
      <c r="G56" s="521"/>
      <c r="H56" s="526"/>
      <c r="I56" s="527"/>
      <c r="J56" s="10"/>
      <c r="K56" s="578"/>
      <c r="L56" s="569"/>
      <c r="M56" s="568"/>
      <c r="N56" s="559"/>
    </row>
    <row r="57" spans="1:14">
      <c r="A57" s="513" t="s">
        <v>1118</v>
      </c>
      <c r="B57" s="512" t="s">
        <v>1112</v>
      </c>
      <c r="C57" s="512" t="s">
        <v>462</v>
      </c>
      <c r="D57" s="512" t="s">
        <v>76</v>
      </c>
      <c r="E57" s="508" t="s">
        <v>1119</v>
      </c>
      <c r="F57" s="11"/>
      <c r="G57" s="513" t="s">
        <v>1120</v>
      </c>
      <c r="H57" s="516" t="s">
        <v>462</v>
      </c>
      <c r="I57" s="508" t="s">
        <v>1121</v>
      </c>
      <c r="J57" s="11"/>
      <c r="K57" s="582" t="s">
        <v>63</v>
      </c>
      <c r="L57" s="512" t="s">
        <v>464</v>
      </c>
      <c r="M57" s="516" t="s">
        <v>5206</v>
      </c>
      <c r="N57" s="560" t="s">
        <v>5153</v>
      </c>
    </row>
    <row r="58" spans="1:14">
      <c r="A58" s="513"/>
      <c r="B58" s="512"/>
      <c r="C58" s="512"/>
      <c r="D58" s="512"/>
      <c r="E58" s="508"/>
      <c r="F58" s="11"/>
      <c r="G58" s="513"/>
      <c r="H58" s="516"/>
      <c r="I58" s="508"/>
      <c r="J58" s="11"/>
      <c r="K58" s="582"/>
      <c r="L58" s="512"/>
      <c r="M58" s="516"/>
      <c r="N58" s="560"/>
    </row>
    <row r="59" spans="1:14">
      <c r="A59" s="513"/>
      <c r="B59" s="512"/>
      <c r="C59" s="512"/>
      <c r="D59" s="512"/>
      <c r="E59" s="508"/>
      <c r="F59" s="11"/>
      <c r="G59" s="513"/>
      <c r="H59" s="516"/>
      <c r="I59" s="508"/>
      <c r="J59" s="11"/>
      <c r="K59" s="582"/>
      <c r="L59" s="512"/>
      <c r="M59" s="516"/>
      <c r="N59" s="560"/>
    </row>
    <row r="60" spans="1:14" ht="29.25" customHeight="1">
      <c r="A60" s="517" t="s">
        <v>1122</v>
      </c>
      <c r="B60" s="519" t="s">
        <v>1112</v>
      </c>
      <c r="C60" s="519" t="s">
        <v>1123</v>
      </c>
      <c r="D60" s="519" t="s">
        <v>76</v>
      </c>
      <c r="E60" s="520" t="s">
        <v>1124</v>
      </c>
      <c r="F60" s="10"/>
      <c r="G60" s="521" t="s">
        <v>1125</v>
      </c>
      <c r="H60" s="526" t="s">
        <v>1123</v>
      </c>
      <c r="I60" s="527" t="s">
        <v>1126</v>
      </c>
      <c r="J60" s="10"/>
      <c r="K60" s="578" t="s">
        <v>63</v>
      </c>
      <c r="L60" s="569" t="s">
        <v>1127</v>
      </c>
      <c r="M60" s="568" t="s">
        <v>5264</v>
      </c>
      <c r="N60" s="559"/>
    </row>
    <row r="61" spans="1:14" ht="39.75" customHeight="1">
      <c r="A61" s="517"/>
      <c r="B61" s="519"/>
      <c r="C61" s="519"/>
      <c r="D61" s="519"/>
      <c r="E61" s="520"/>
      <c r="F61" s="10"/>
      <c r="G61" s="521"/>
      <c r="H61" s="526"/>
      <c r="I61" s="527"/>
      <c r="J61" s="10"/>
      <c r="K61" s="578"/>
      <c r="L61" s="569"/>
      <c r="M61" s="568"/>
      <c r="N61" s="559"/>
    </row>
    <row r="62" spans="1:14" ht="42" customHeight="1">
      <c r="A62" s="517"/>
      <c r="B62" s="519"/>
      <c r="C62" s="519"/>
      <c r="D62" s="519"/>
      <c r="E62" s="520"/>
      <c r="F62" s="10"/>
      <c r="G62" s="521"/>
      <c r="H62" s="526"/>
      <c r="I62" s="527"/>
      <c r="J62" s="10"/>
      <c r="K62" s="578"/>
      <c r="L62" s="569"/>
      <c r="M62" s="568"/>
      <c r="N62" s="559"/>
    </row>
    <row r="63" spans="1:14">
      <c r="A63" s="513" t="s">
        <v>1128</v>
      </c>
      <c r="B63" s="512" t="s">
        <v>1112</v>
      </c>
      <c r="C63" s="512" t="s">
        <v>1129</v>
      </c>
      <c r="D63" s="512" t="s">
        <v>76</v>
      </c>
      <c r="E63" s="508" t="s">
        <v>1130</v>
      </c>
      <c r="F63" s="11"/>
      <c r="G63" s="513" t="s">
        <v>1131</v>
      </c>
      <c r="H63" s="516" t="s">
        <v>1129</v>
      </c>
      <c r="I63" s="508" t="s">
        <v>1132</v>
      </c>
      <c r="J63" s="11"/>
      <c r="K63" s="582" t="s">
        <v>63</v>
      </c>
      <c r="L63" s="512" t="s">
        <v>1133</v>
      </c>
      <c r="M63" s="567" t="s">
        <v>5265</v>
      </c>
      <c r="N63" s="560"/>
    </row>
    <row r="64" spans="1:14" ht="51.75" customHeight="1">
      <c r="A64" s="513"/>
      <c r="B64" s="512"/>
      <c r="C64" s="512"/>
      <c r="D64" s="512"/>
      <c r="E64" s="508"/>
      <c r="F64" s="11"/>
      <c r="G64" s="513"/>
      <c r="H64" s="516"/>
      <c r="I64" s="508"/>
      <c r="J64" s="11"/>
      <c r="K64" s="582"/>
      <c r="L64" s="512"/>
      <c r="M64" s="567"/>
      <c r="N64" s="560"/>
    </row>
    <row r="65" spans="1:14" ht="45" customHeight="1">
      <c r="A65" s="513"/>
      <c r="B65" s="512"/>
      <c r="C65" s="512"/>
      <c r="D65" s="512"/>
      <c r="E65" s="508"/>
      <c r="F65" s="11"/>
      <c r="G65" s="513"/>
      <c r="H65" s="516"/>
      <c r="I65" s="508"/>
      <c r="J65" s="11"/>
      <c r="K65" s="582"/>
      <c r="L65" s="512"/>
      <c r="M65" s="567"/>
      <c r="N65" s="560"/>
    </row>
    <row r="66" spans="1:14" ht="105">
      <c r="A66" s="54" t="s">
        <v>1134</v>
      </c>
      <c r="B66" s="49" t="s">
        <v>1112</v>
      </c>
      <c r="C66" s="49" t="s">
        <v>1135</v>
      </c>
      <c r="D66" s="49" t="s">
        <v>76</v>
      </c>
      <c r="E66" s="117" t="s">
        <v>1136</v>
      </c>
      <c r="F66" s="10"/>
      <c r="G66" s="70" t="s">
        <v>1137</v>
      </c>
      <c r="H66" s="63" t="s">
        <v>1135</v>
      </c>
      <c r="I66" s="71" t="s">
        <v>1138</v>
      </c>
      <c r="J66" s="10"/>
      <c r="K66" s="327" t="s">
        <v>63</v>
      </c>
      <c r="L66" s="281" t="s">
        <v>1139</v>
      </c>
      <c r="M66" s="287" t="s">
        <v>5266</v>
      </c>
      <c r="N66" s="328"/>
    </row>
    <row r="67" spans="1:14">
      <c r="A67" s="513" t="s">
        <v>1140</v>
      </c>
      <c r="B67" s="512" t="s">
        <v>920</v>
      </c>
      <c r="C67" s="512" t="s">
        <v>1141</v>
      </c>
      <c r="D67" s="512" t="s">
        <v>76</v>
      </c>
      <c r="E67" s="508" t="s">
        <v>1142</v>
      </c>
      <c r="F67" s="11"/>
      <c r="G67" s="513" t="s">
        <v>425</v>
      </c>
      <c r="H67" s="516" t="s">
        <v>426</v>
      </c>
      <c r="I67" s="508" t="s">
        <v>427</v>
      </c>
      <c r="J67" s="11"/>
      <c r="K67" s="582" t="s">
        <v>63</v>
      </c>
      <c r="L67" s="512" t="s">
        <v>428</v>
      </c>
      <c r="M67" s="516" t="s">
        <v>5207</v>
      </c>
      <c r="N67" s="560"/>
    </row>
    <row r="68" spans="1:14">
      <c r="A68" s="513"/>
      <c r="B68" s="512"/>
      <c r="C68" s="512"/>
      <c r="D68" s="512"/>
      <c r="E68" s="508"/>
      <c r="F68" s="11"/>
      <c r="G68" s="513"/>
      <c r="H68" s="516"/>
      <c r="I68" s="508"/>
      <c r="J68" s="11"/>
      <c r="K68" s="582"/>
      <c r="L68" s="512"/>
      <c r="M68" s="516"/>
      <c r="N68" s="560"/>
    </row>
    <row r="69" spans="1:14">
      <c r="A69" s="513"/>
      <c r="B69" s="512"/>
      <c r="C69" s="512"/>
      <c r="D69" s="512"/>
      <c r="E69" s="508"/>
      <c r="F69" s="11"/>
      <c r="G69" s="513"/>
      <c r="H69" s="516"/>
      <c r="I69" s="508"/>
      <c r="J69" s="11"/>
      <c r="K69" s="582"/>
      <c r="L69" s="512"/>
      <c r="M69" s="516"/>
      <c r="N69" s="560"/>
    </row>
    <row r="70" spans="1:14" ht="135">
      <c r="A70" s="54" t="s">
        <v>1143</v>
      </c>
      <c r="B70" s="49" t="s">
        <v>920</v>
      </c>
      <c r="C70" s="49" t="s">
        <v>466</v>
      </c>
      <c r="D70" s="49" t="s">
        <v>76</v>
      </c>
      <c r="E70" s="55" t="s">
        <v>1144</v>
      </c>
      <c r="F70" s="10"/>
      <c r="G70" s="70" t="s">
        <v>468</v>
      </c>
      <c r="H70" s="63" t="s">
        <v>469</v>
      </c>
      <c r="I70" s="86" t="s">
        <v>470</v>
      </c>
      <c r="J70" s="10"/>
      <c r="K70" s="327" t="s">
        <v>63</v>
      </c>
      <c r="L70" s="281" t="s">
        <v>1145</v>
      </c>
      <c r="M70" s="288" t="s">
        <v>5208</v>
      </c>
      <c r="N70" s="328"/>
    </row>
    <row r="71" spans="1:14">
      <c r="A71" s="513" t="s">
        <v>1146</v>
      </c>
      <c r="B71" s="512" t="s">
        <v>920</v>
      </c>
      <c r="C71" s="512" t="s">
        <v>1147</v>
      </c>
      <c r="D71" s="512" t="s">
        <v>76</v>
      </c>
      <c r="E71" s="508" t="s">
        <v>1148</v>
      </c>
      <c r="F71" s="11"/>
      <c r="G71" s="513" t="s">
        <v>1149</v>
      </c>
      <c r="H71" s="516" t="s">
        <v>1147</v>
      </c>
      <c r="I71" s="508" t="s">
        <v>1150</v>
      </c>
      <c r="J71" s="11"/>
      <c r="K71" s="510" t="s">
        <v>63</v>
      </c>
      <c r="L71" s="509" t="s">
        <v>523</v>
      </c>
      <c r="M71" s="583" t="s">
        <v>5209</v>
      </c>
      <c r="N71" s="511"/>
    </row>
    <row r="72" spans="1:14">
      <c r="A72" s="513"/>
      <c r="B72" s="512"/>
      <c r="C72" s="512"/>
      <c r="D72" s="512"/>
      <c r="E72" s="508"/>
      <c r="F72" s="11"/>
      <c r="G72" s="513"/>
      <c r="H72" s="516"/>
      <c r="I72" s="508"/>
      <c r="J72" s="11"/>
      <c r="K72" s="510"/>
      <c r="L72" s="509"/>
      <c r="M72" s="583"/>
      <c r="N72" s="511"/>
    </row>
    <row r="73" spans="1:14">
      <c r="A73" s="513"/>
      <c r="B73" s="512"/>
      <c r="C73" s="512"/>
      <c r="D73" s="512"/>
      <c r="E73" s="508"/>
      <c r="F73" s="11"/>
      <c r="G73" s="513"/>
      <c r="H73" s="516"/>
      <c r="I73" s="508"/>
      <c r="J73" s="11"/>
      <c r="K73" s="510"/>
      <c r="L73" s="509"/>
      <c r="M73" s="583"/>
      <c r="N73" s="511"/>
    </row>
    <row r="74" spans="1:14" ht="30">
      <c r="A74" s="54" t="s">
        <v>1151</v>
      </c>
      <c r="B74" s="49" t="s">
        <v>86</v>
      </c>
      <c r="C74" s="49" t="s">
        <v>934</v>
      </c>
      <c r="D74" s="49" t="s">
        <v>58</v>
      </c>
      <c r="E74" s="55" t="s">
        <v>935</v>
      </c>
      <c r="F74" s="10"/>
      <c r="G74" s="70" t="s">
        <v>1152</v>
      </c>
      <c r="H74" s="63" t="s">
        <v>934</v>
      </c>
      <c r="I74" s="71" t="s">
        <v>1153</v>
      </c>
      <c r="J74" s="10"/>
      <c r="K74" s="298" t="s">
        <v>63</v>
      </c>
      <c r="L74" s="278" t="s">
        <v>936</v>
      </c>
      <c r="M74" s="277" t="s">
        <v>5192</v>
      </c>
      <c r="N74" s="307"/>
    </row>
    <row r="75" spans="1:14">
      <c r="A75" s="513" t="s">
        <v>85</v>
      </c>
      <c r="B75" s="512" t="s">
        <v>86</v>
      </c>
      <c r="C75" s="512" t="s">
        <v>87</v>
      </c>
      <c r="D75" s="512" t="s">
        <v>168</v>
      </c>
      <c r="E75" s="508" t="s">
        <v>1154</v>
      </c>
      <c r="F75" s="11"/>
      <c r="G75" s="513" t="s">
        <v>90</v>
      </c>
      <c r="H75" s="516" t="s">
        <v>91</v>
      </c>
      <c r="I75" s="508" t="s">
        <v>92</v>
      </c>
      <c r="J75" s="11"/>
      <c r="K75" s="510" t="s">
        <v>63</v>
      </c>
      <c r="L75" s="653" t="s">
        <v>93</v>
      </c>
      <c r="M75" s="583" t="s">
        <v>94</v>
      </c>
      <c r="N75" s="511"/>
    </row>
    <row r="76" spans="1:14">
      <c r="A76" s="513"/>
      <c r="B76" s="512"/>
      <c r="C76" s="512"/>
      <c r="D76" s="512"/>
      <c r="E76" s="508"/>
      <c r="F76" s="11"/>
      <c r="G76" s="513"/>
      <c r="H76" s="516"/>
      <c r="I76" s="508"/>
      <c r="J76" s="11"/>
      <c r="K76" s="510"/>
      <c r="L76" s="509"/>
      <c r="M76" s="583"/>
      <c r="N76" s="511"/>
    </row>
    <row r="77" spans="1:14" ht="15.75" thickBot="1">
      <c r="A77" s="650"/>
      <c r="B77" s="651"/>
      <c r="C77" s="651"/>
      <c r="D77" s="651"/>
      <c r="E77" s="652"/>
      <c r="F77" s="11"/>
      <c r="G77" s="650"/>
      <c r="H77" s="657"/>
      <c r="I77" s="652"/>
      <c r="J77" s="11"/>
      <c r="K77" s="655"/>
      <c r="L77" s="654"/>
      <c r="M77" s="656"/>
      <c r="N77" s="659"/>
    </row>
  </sheetData>
  <autoFilter ref="A2:N77"/>
  <mergeCells count="207">
    <mergeCell ref="N75:N77"/>
    <mergeCell ref="L67:L69"/>
    <mergeCell ref="K67:K69"/>
    <mergeCell ref="H67:H69"/>
    <mergeCell ref="I67:I69"/>
    <mergeCell ref="N57:N59"/>
    <mergeCell ref="L57:L59"/>
    <mergeCell ref="L54:L56"/>
    <mergeCell ref="K54:K56"/>
    <mergeCell ref="K57:K59"/>
    <mergeCell ref="N60:N62"/>
    <mergeCell ref="N63:N65"/>
    <mergeCell ref="N71:N73"/>
    <mergeCell ref="L60:L62"/>
    <mergeCell ref="L63:L65"/>
    <mergeCell ref="K60:K62"/>
    <mergeCell ref="K63:K65"/>
    <mergeCell ref="H60:H62"/>
    <mergeCell ref="I60:I62"/>
    <mergeCell ref="H63:H65"/>
    <mergeCell ref="I63:I65"/>
    <mergeCell ref="G60:G62"/>
    <mergeCell ref="M41:M43"/>
    <mergeCell ref="N38:N40"/>
    <mergeCell ref="N41:N43"/>
    <mergeCell ref="M38:M40"/>
    <mergeCell ref="G51:G53"/>
    <mergeCell ref="N45:N47"/>
    <mergeCell ref="N51:N53"/>
    <mergeCell ref="L51:L53"/>
    <mergeCell ref="K45:K47"/>
    <mergeCell ref="K51:K53"/>
    <mergeCell ref="M45:M47"/>
    <mergeCell ref="H38:H40"/>
    <mergeCell ref="I38:I40"/>
    <mergeCell ref="L38:L40"/>
    <mergeCell ref="L41:L43"/>
    <mergeCell ref="K38:K40"/>
    <mergeCell ref="K41:K43"/>
    <mergeCell ref="G41:G43"/>
    <mergeCell ref="H41:H43"/>
    <mergeCell ref="I41:I43"/>
    <mergeCell ref="G45:G47"/>
    <mergeCell ref="H45:H47"/>
    <mergeCell ref="I45:I47"/>
    <mergeCell ref="L45:L47"/>
    <mergeCell ref="N21:N23"/>
    <mergeCell ref="N24:N26"/>
    <mergeCell ref="L24:L26"/>
    <mergeCell ref="L21:L23"/>
    <mergeCell ref="K21:K23"/>
    <mergeCell ref="M24:M26"/>
    <mergeCell ref="K24:K26"/>
    <mergeCell ref="G33:G35"/>
    <mergeCell ref="N27:N29"/>
    <mergeCell ref="N33:N35"/>
    <mergeCell ref="L33:L35"/>
    <mergeCell ref="K27:K29"/>
    <mergeCell ref="K33:K35"/>
    <mergeCell ref="M33:M35"/>
    <mergeCell ref="M27:M29"/>
    <mergeCell ref="G27:G29"/>
    <mergeCell ref="L27:L29"/>
    <mergeCell ref="H27:H29"/>
    <mergeCell ref="I27:I29"/>
    <mergeCell ref="H33:H35"/>
    <mergeCell ref="I33:I35"/>
    <mergeCell ref="B18:B20"/>
    <mergeCell ref="C18:C20"/>
    <mergeCell ref="D18:D20"/>
    <mergeCell ref="E18:E20"/>
    <mergeCell ref="M18:M20"/>
    <mergeCell ref="A3:A6"/>
    <mergeCell ref="B3:B6"/>
    <mergeCell ref="I18:I20"/>
    <mergeCell ref="G24:G26"/>
    <mergeCell ref="H21:H23"/>
    <mergeCell ref="I21:I23"/>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M51:M53"/>
    <mergeCell ref="H51:H53"/>
    <mergeCell ref="I51:I53"/>
    <mergeCell ref="M54:M56"/>
    <mergeCell ref="A54:A56"/>
    <mergeCell ref="B54:B56"/>
    <mergeCell ref="C54:C56"/>
    <mergeCell ref="D54:D56"/>
    <mergeCell ref="E54:E56"/>
    <mergeCell ref="H54:H56"/>
    <mergeCell ref="I54:I56"/>
    <mergeCell ref="G54:G56"/>
    <mergeCell ref="C60:C62"/>
    <mergeCell ref="D60:D62"/>
    <mergeCell ref="E60:E62"/>
    <mergeCell ref="G57:G59"/>
    <mergeCell ref="H57:H59"/>
    <mergeCell ref="I57:I59"/>
    <mergeCell ref="N54:N56"/>
    <mergeCell ref="M57:M59"/>
    <mergeCell ref="L75:L77"/>
    <mergeCell ref="K71:K73"/>
    <mergeCell ref="K75:K77"/>
    <mergeCell ref="M71:M73"/>
    <mergeCell ref="M67:M69"/>
    <mergeCell ref="G67:G69"/>
    <mergeCell ref="G75:G77"/>
    <mergeCell ref="M75:M77"/>
    <mergeCell ref="H75:H77"/>
    <mergeCell ref="I75:I77"/>
    <mergeCell ref="G71:G73"/>
    <mergeCell ref="H71:H73"/>
    <mergeCell ref="I71:I73"/>
    <mergeCell ref="L71:L73"/>
    <mergeCell ref="G63:G65"/>
    <mergeCell ref="M60:M62"/>
    <mergeCell ref="B41:B43"/>
    <mergeCell ref="C41:C43"/>
    <mergeCell ref="D41:D43"/>
    <mergeCell ref="E41:E43"/>
    <mergeCell ref="A38:A40"/>
    <mergeCell ref="A57:A59"/>
    <mergeCell ref="B57:B59"/>
    <mergeCell ref="C57:C59"/>
    <mergeCell ref="D57:D59"/>
    <mergeCell ref="E57:E59"/>
    <mergeCell ref="A45:A47"/>
    <mergeCell ref="B45:B47"/>
    <mergeCell ref="C45:C47"/>
    <mergeCell ref="D45:D47"/>
    <mergeCell ref="E45:E47"/>
    <mergeCell ref="A41:A43"/>
    <mergeCell ref="A51:A53"/>
    <mergeCell ref="B51:B53"/>
    <mergeCell ref="C51:C53"/>
    <mergeCell ref="D51:D53"/>
    <mergeCell ref="E51:E53"/>
    <mergeCell ref="G38:G40"/>
    <mergeCell ref="N67:N69"/>
    <mergeCell ref="M63:M65"/>
    <mergeCell ref="A67:A69"/>
    <mergeCell ref="B67:B69"/>
    <mergeCell ref="E21:E23"/>
    <mergeCell ref="C3:C6"/>
    <mergeCell ref="D3:D6"/>
    <mergeCell ref="E3:E6"/>
    <mergeCell ref="C67:C69"/>
    <mergeCell ref="D67:D69"/>
    <mergeCell ref="E67:E69"/>
    <mergeCell ref="A63:A65"/>
    <mergeCell ref="B63:B65"/>
    <mergeCell ref="C63:C65"/>
    <mergeCell ref="D63:D65"/>
    <mergeCell ref="E63:E65"/>
    <mergeCell ref="A60:A62"/>
    <mergeCell ref="B60:B62"/>
    <mergeCell ref="M21:M23"/>
    <mergeCell ref="A21:A23"/>
    <mergeCell ref="B21:B23"/>
    <mergeCell ref="C21:C23"/>
    <mergeCell ref="D21:D23"/>
    <mergeCell ref="A75:A77"/>
    <mergeCell ref="B75:B77"/>
    <mergeCell ref="C75:C77"/>
    <mergeCell ref="D75:D77"/>
    <mergeCell ref="E75:E77"/>
    <mergeCell ref="A71:A73"/>
    <mergeCell ref="B71:B73"/>
    <mergeCell ref="C71:C73"/>
    <mergeCell ref="D71:D73"/>
    <mergeCell ref="E71:E73"/>
    <mergeCell ref="K1:N1"/>
    <mergeCell ref="A1:E1"/>
    <mergeCell ref="G1:I1"/>
    <mergeCell ref="A24:A26"/>
    <mergeCell ref="B24:B26"/>
    <mergeCell ref="C24:C26"/>
    <mergeCell ref="D24:D26"/>
    <mergeCell ref="E24:E26"/>
    <mergeCell ref="G21:G23"/>
    <mergeCell ref="G3:G6"/>
    <mergeCell ref="M3:M6"/>
    <mergeCell ref="H24:H26"/>
    <mergeCell ref="I24:I26"/>
    <mergeCell ref="G18:G20"/>
    <mergeCell ref="N3:N6"/>
    <mergeCell ref="N18:N20"/>
    <mergeCell ref="H3:H6"/>
    <mergeCell ref="I3:I6"/>
    <mergeCell ref="H18:H20"/>
    <mergeCell ref="L3:L6"/>
    <mergeCell ref="L18:L20"/>
    <mergeCell ref="K3:K6"/>
    <mergeCell ref="K18:K20"/>
    <mergeCell ref="A18:A20"/>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
  <sheetViews>
    <sheetView workbookViewId="0"/>
  </sheetViews>
  <sheetFormatPr defaultRowHeight="15"/>
  <cols>
    <col min="1" max="1" width="167.85546875" customWidth="1"/>
  </cols>
  <sheetData>
    <row r="1" spans="1:1" ht="124.5" thickBot="1">
      <c r="A1" s="1" t="s">
        <v>1155</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N35"/>
  <sheetViews>
    <sheetView zoomScale="70" zoomScaleNormal="70" workbookViewId="0">
      <pane xSplit="5" ySplit="2" topLeftCell="F3" activePane="bottomRight" state="frozen"/>
      <selection pane="topRight" activeCell="G1" sqref="G1"/>
      <selection pane="bottomLeft" activeCell="A3" sqref="A3"/>
      <selection pane="bottomRight" activeCell="F3" sqref="F3"/>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style="6" customWidth="1"/>
    <col min="6" max="6" width="2" style="7" customWidth="1"/>
    <col min="7" max="7" width="37.28515625" customWidth="1"/>
    <col min="8" max="8" width="23.85546875" bestFit="1" customWidth="1"/>
    <col min="9" max="9" width="36.140625" customWidth="1"/>
    <col min="10" max="10" width="2.28515625" customWidth="1"/>
    <col min="11" max="11" width="18.5703125" bestFit="1" customWidth="1"/>
    <col min="12" max="12" width="26.85546875" bestFit="1" customWidth="1"/>
    <col min="13" max="13" width="51" customWidth="1"/>
    <col min="14" max="14" width="36.42578125" customWidth="1"/>
    <col min="15" max="15" width="8.7109375" customWidth="1"/>
  </cols>
  <sheetData>
    <row r="1" spans="1:14" ht="18.75">
      <c r="A1" s="422" t="s">
        <v>42</v>
      </c>
      <c r="B1" s="423"/>
      <c r="C1" s="423"/>
      <c r="D1" s="423"/>
      <c r="E1" s="424"/>
      <c r="F1" s="46"/>
      <c r="G1" s="425" t="s">
        <v>43</v>
      </c>
      <c r="H1" s="426"/>
      <c r="I1" s="427"/>
      <c r="J1" s="46"/>
      <c r="K1" s="404" t="s">
        <v>44</v>
      </c>
      <c r="L1" s="405"/>
      <c r="M1" s="405"/>
      <c r="N1" s="406"/>
    </row>
    <row r="2" spans="1:14" s="5" customFormat="1" ht="30">
      <c r="A2" s="52" t="s">
        <v>45</v>
      </c>
      <c r="B2" s="48" t="s">
        <v>46</v>
      </c>
      <c r="C2" s="48" t="s">
        <v>47</v>
      </c>
      <c r="D2" s="48" t="s">
        <v>48</v>
      </c>
      <c r="E2" s="53" t="s">
        <v>49</v>
      </c>
      <c r="F2" s="9"/>
      <c r="G2" s="68" t="s">
        <v>50</v>
      </c>
      <c r="H2" s="61" t="s">
        <v>51</v>
      </c>
      <c r="I2" s="69" t="s">
        <v>52</v>
      </c>
      <c r="J2" s="14"/>
      <c r="K2" s="292" t="s">
        <v>53</v>
      </c>
      <c r="L2" s="144" t="s">
        <v>54</v>
      </c>
      <c r="M2" s="80" t="s">
        <v>5147</v>
      </c>
      <c r="N2" s="293" t="s">
        <v>5152</v>
      </c>
    </row>
    <row r="3" spans="1:14">
      <c r="A3" s="517" t="s">
        <v>939</v>
      </c>
      <c r="B3" s="519" t="s">
        <v>1023</v>
      </c>
      <c r="C3" s="519" t="s">
        <v>941</v>
      </c>
      <c r="D3" s="519" t="s">
        <v>168</v>
      </c>
      <c r="E3" s="520" t="s">
        <v>1156</v>
      </c>
      <c r="F3" s="10"/>
      <c r="G3" s="581" t="s">
        <v>33</v>
      </c>
      <c r="H3" s="592"/>
      <c r="I3" s="570"/>
      <c r="J3" s="10"/>
      <c r="K3" s="676" t="s">
        <v>63</v>
      </c>
      <c r="L3" s="619" t="s">
        <v>943</v>
      </c>
      <c r="M3" s="574" t="s">
        <v>65</v>
      </c>
      <c r="N3" s="535"/>
    </row>
    <row r="4" spans="1:14">
      <c r="A4" s="517"/>
      <c r="B4" s="519"/>
      <c r="C4" s="519"/>
      <c r="D4" s="519"/>
      <c r="E4" s="520"/>
      <c r="F4" s="10"/>
      <c r="G4" s="521"/>
      <c r="H4" s="617"/>
      <c r="I4" s="618"/>
      <c r="J4" s="10"/>
      <c r="K4" s="676"/>
      <c r="L4" s="564"/>
      <c r="M4" s="574"/>
      <c r="N4" s="535"/>
    </row>
    <row r="5" spans="1:14">
      <c r="A5" s="517"/>
      <c r="B5" s="519"/>
      <c r="C5" s="519"/>
      <c r="D5" s="519"/>
      <c r="E5" s="520"/>
      <c r="F5" s="10"/>
      <c r="G5" s="521"/>
      <c r="H5" s="617"/>
      <c r="I5" s="618"/>
      <c r="J5" s="10"/>
      <c r="K5" s="676"/>
      <c r="L5" s="564"/>
      <c r="M5" s="574"/>
      <c r="N5" s="535"/>
    </row>
    <row r="6" spans="1:14">
      <c r="A6" s="517"/>
      <c r="B6" s="519"/>
      <c r="C6" s="519"/>
      <c r="D6" s="519"/>
      <c r="E6" s="520"/>
      <c r="F6" s="10"/>
      <c r="G6" s="521"/>
      <c r="H6" s="617"/>
      <c r="I6" s="618"/>
      <c r="J6" s="10"/>
      <c r="K6" s="676"/>
      <c r="L6" s="564"/>
      <c r="M6" s="574"/>
      <c r="N6" s="535"/>
    </row>
    <row r="7" spans="1:14" ht="30">
      <c r="A7" s="56" t="s">
        <v>944</v>
      </c>
      <c r="B7" s="50" t="s">
        <v>945</v>
      </c>
      <c r="C7" s="50" t="s">
        <v>946</v>
      </c>
      <c r="D7" s="50" t="s">
        <v>58</v>
      </c>
      <c r="E7" s="57" t="s">
        <v>1157</v>
      </c>
      <c r="F7" s="11"/>
      <c r="G7" s="99" t="s">
        <v>33</v>
      </c>
      <c r="H7" s="96"/>
      <c r="I7" s="100"/>
      <c r="J7" s="11"/>
      <c r="K7" s="326" t="s">
        <v>63</v>
      </c>
      <c r="L7" s="256" t="s">
        <v>950</v>
      </c>
      <c r="M7" s="267" t="s">
        <v>951</v>
      </c>
      <c r="N7" s="306"/>
    </row>
    <row r="8" spans="1:14" ht="150">
      <c r="A8" s="54" t="s">
        <v>952</v>
      </c>
      <c r="B8" s="49" t="s">
        <v>945</v>
      </c>
      <c r="C8" s="49" t="s">
        <v>953</v>
      </c>
      <c r="D8" s="49" t="s">
        <v>58</v>
      </c>
      <c r="E8" s="55" t="s">
        <v>1158</v>
      </c>
      <c r="F8" s="10"/>
      <c r="G8" s="74" t="s">
        <v>33</v>
      </c>
      <c r="H8" s="66"/>
      <c r="I8" s="75"/>
      <c r="J8" s="10"/>
      <c r="K8" s="316" t="s">
        <v>63</v>
      </c>
      <c r="L8" s="258" t="s">
        <v>956</v>
      </c>
      <c r="M8" s="266" t="s">
        <v>5215</v>
      </c>
      <c r="N8" s="297"/>
    </row>
    <row r="9" spans="1:14" ht="165">
      <c r="A9" s="56" t="s">
        <v>958</v>
      </c>
      <c r="B9" s="50" t="s">
        <v>945</v>
      </c>
      <c r="C9" s="50" t="s">
        <v>959</v>
      </c>
      <c r="D9" s="50" t="s">
        <v>76</v>
      </c>
      <c r="E9" s="57" t="s">
        <v>1159</v>
      </c>
      <c r="F9" s="11"/>
      <c r="G9" s="99" t="s">
        <v>33</v>
      </c>
      <c r="H9" s="96"/>
      <c r="I9" s="100"/>
      <c r="J9" s="11"/>
      <c r="K9" s="326" t="s">
        <v>63</v>
      </c>
      <c r="L9" s="256" t="s">
        <v>1160</v>
      </c>
      <c r="M9" s="275" t="s">
        <v>5216</v>
      </c>
      <c r="N9" s="306"/>
    </row>
    <row r="10" spans="1:14" ht="180">
      <c r="A10" s="54" t="s">
        <v>964</v>
      </c>
      <c r="B10" s="49" t="s">
        <v>945</v>
      </c>
      <c r="C10" s="49" t="s">
        <v>965</v>
      </c>
      <c r="D10" s="49" t="s">
        <v>76</v>
      </c>
      <c r="E10" s="55" t="s">
        <v>1161</v>
      </c>
      <c r="F10" s="10"/>
      <c r="G10" s="74" t="s">
        <v>33</v>
      </c>
      <c r="H10" s="66"/>
      <c r="I10" s="75"/>
      <c r="J10" s="10"/>
      <c r="K10" s="327" t="s">
        <v>63</v>
      </c>
      <c r="L10" s="281" t="s">
        <v>1162</v>
      </c>
      <c r="M10" s="287" t="s">
        <v>5217</v>
      </c>
      <c r="N10" s="328" t="s">
        <v>5153</v>
      </c>
    </row>
    <row r="11" spans="1:14" ht="180">
      <c r="A11" s="56" t="s">
        <v>970</v>
      </c>
      <c r="B11" s="50" t="s">
        <v>945</v>
      </c>
      <c r="C11" s="50" t="s">
        <v>971</v>
      </c>
      <c r="D11" s="50" t="s">
        <v>76</v>
      </c>
      <c r="E11" s="57" t="s">
        <v>1163</v>
      </c>
      <c r="F11" s="11"/>
      <c r="G11" s="99" t="s">
        <v>33</v>
      </c>
      <c r="H11" s="96"/>
      <c r="I11" s="100"/>
      <c r="J11" s="11"/>
      <c r="K11" s="326" t="s">
        <v>63</v>
      </c>
      <c r="L11" s="256" t="s">
        <v>975</v>
      </c>
      <c r="M11" s="275" t="s">
        <v>5218</v>
      </c>
      <c r="N11" s="306" t="s">
        <v>5153</v>
      </c>
    </row>
    <row r="12" spans="1:14" ht="255">
      <c r="A12" s="54" t="s">
        <v>976</v>
      </c>
      <c r="B12" s="49" t="s">
        <v>945</v>
      </c>
      <c r="C12" s="49" t="s">
        <v>977</v>
      </c>
      <c r="D12" s="49" t="s">
        <v>76</v>
      </c>
      <c r="E12" s="55" t="s">
        <v>1164</v>
      </c>
      <c r="F12" s="10"/>
      <c r="G12" s="74" t="s">
        <v>33</v>
      </c>
      <c r="H12" s="66"/>
      <c r="I12" s="75"/>
      <c r="J12" s="10"/>
      <c r="K12" s="327" t="s">
        <v>63</v>
      </c>
      <c r="L12" s="281" t="s">
        <v>981</v>
      </c>
      <c r="M12" s="287" t="s">
        <v>5267</v>
      </c>
      <c r="N12" s="328"/>
    </row>
    <row r="13" spans="1:14" ht="150">
      <c r="A13" s="56" t="s">
        <v>982</v>
      </c>
      <c r="B13" s="50" t="s">
        <v>1165</v>
      </c>
      <c r="C13" s="50" t="s">
        <v>987</v>
      </c>
      <c r="D13" s="50" t="s">
        <v>58</v>
      </c>
      <c r="E13" s="57" t="s">
        <v>1166</v>
      </c>
      <c r="F13" s="11"/>
      <c r="G13" s="99" t="s">
        <v>33</v>
      </c>
      <c r="H13" s="96"/>
      <c r="I13" s="100"/>
      <c r="J13" s="11"/>
      <c r="K13" s="326" t="s">
        <v>63</v>
      </c>
      <c r="L13" s="256" t="s">
        <v>989</v>
      </c>
      <c r="M13" s="275" t="s">
        <v>5219</v>
      </c>
      <c r="N13" s="306"/>
    </row>
    <row r="14" spans="1:14" ht="150">
      <c r="A14" s="54" t="s">
        <v>991</v>
      </c>
      <c r="B14" s="49" t="s">
        <v>1165</v>
      </c>
      <c r="C14" s="49" t="s">
        <v>1167</v>
      </c>
      <c r="D14" s="49" t="s">
        <v>58</v>
      </c>
      <c r="E14" s="55" t="s">
        <v>1168</v>
      </c>
      <c r="F14" s="10"/>
      <c r="G14" s="74" t="s">
        <v>33</v>
      </c>
      <c r="H14" s="66"/>
      <c r="I14" s="75"/>
      <c r="J14" s="10"/>
      <c r="K14" s="298" t="s">
        <v>63</v>
      </c>
      <c r="L14" s="278" t="s">
        <v>996</v>
      </c>
      <c r="M14" s="289" t="s">
        <v>5220</v>
      </c>
      <c r="N14" s="297"/>
    </row>
    <row r="15" spans="1:14" ht="255">
      <c r="A15" s="56" t="s">
        <v>997</v>
      </c>
      <c r="B15" s="50" t="s">
        <v>821</v>
      </c>
      <c r="C15" s="50" t="s">
        <v>998</v>
      </c>
      <c r="D15" s="50" t="s">
        <v>76</v>
      </c>
      <c r="E15" s="57" t="s">
        <v>1169</v>
      </c>
      <c r="F15" s="11"/>
      <c r="G15" s="99" t="s">
        <v>33</v>
      </c>
      <c r="H15" s="96"/>
      <c r="I15" s="100"/>
      <c r="J15" s="11"/>
      <c r="K15" s="326" t="s">
        <v>63</v>
      </c>
      <c r="L15" s="256" t="s">
        <v>1170</v>
      </c>
      <c r="M15" s="275" t="s">
        <v>5268</v>
      </c>
      <c r="N15" s="306"/>
    </row>
    <row r="16" spans="1:14" ht="45">
      <c r="A16" s="54" t="s">
        <v>1003</v>
      </c>
      <c r="B16" s="49" t="s">
        <v>525</v>
      </c>
      <c r="C16" s="49" t="s">
        <v>1004</v>
      </c>
      <c r="D16" s="49" t="s">
        <v>76</v>
      </c>
      <c r="E16" s="117" t="s">
        <v>1005</v>
      </c>
      <c r="F16" s="10"/>
      <c r="G16" s="74" t="s">
        <v>33</v>
      </c>
      <c r="H16" s="66"/>
      <c r="I16" s="75"/>
      <c r="J16" s="10"/>
      <c r="K16" s="327" t="s">
        <v>63</v>
      </c>
      <c r="L16" s="281" t="s">
        <v>1008</v>
      </c>
      <c r="M16" s="288" t="s">
        <v>5197</v>
      </c>
      <c r="N16" s="328"/>
    </row>
    <row r="17" spans="1:14">
      <c r="A17" s="56" t="s">
        <v>1009</v>
      </c>
      <c r="B17" s="50" t="s">
        <v>525</v>
      </c>
      <c r="C17" s="50" t="s">
        <v>1010</v>
      </c>
      <c r="D17" s="50" t="s">
        <v>666</v>
      </c>
      <c r="E17" s="57" t="s">
        <v>1011</v>
      </c>
      <c r="F17" s="11"/>
      <c r="G17" s="99" t="s">
        <v>33</v>
      </c>
      <c r="H17" s="96"/>
      <c r="I17" s="100"/>
      <c r="J17" s="11"/>
      <c r="K17" s="294" t="s">
        <v>63</v>
      </c>
      <c r="L17" s="259" t="s">
        <v>1015</v>
      </c>
      <c r="M17" s="261" t="s">
        <v>5198</v>
      </c>
      <c r="N17" s="306"/>
    </row>
    <row r="18" spans="1:14">
      <c r="A18" s="517" t="s">
        <v>1016</v>
      </c>
      <c r="B18" s="519" t="s">
        <v>525</v>
      </c>
      <c r="C18" s="519" t="s">
        <v>1017</v>
      </c>
      <c r="D18" s="519" t="s">
        <v>76</v>
      </c>
      <c r="E18" s="520" t="s">
        <v>1171</v>
      </c>
      <c r="F18" s="10"/>
      <c r="G18" s="581" t="s">
        <v>33</v>
      </c>
      <c r="H18" s="592"/>
      <c r="I18" s="570"/>
      <c r="J18" s="10"/>
      <c r="K18" s="561" t="s">
        <v>63</v>
      </c>
      <c r="L18" s="564" t="s">
        <v>1021</v>
      </c>
      <c r="M18" s="675" t="s">
        <v>5269</v>
      </c>
      <c r="N18" s="535"/>
    </row>
    <row r="19" spans="1:14">
      <c r="A19" s="517"/>
      <c r="B19" s="519"/>
      <c r="C19" s="519"/>
      <c r="D19" s="519"/>
      <c r="E19" s="520"/>
      <c r="F19" s="10"/>
      <c r="G19" s="521"/>
      <c r="H19" s="617"/>
      <c r="I19" s="618"/>
      <c r="J19" s="10"/>
      <c r="K19" s="561"/>
      <c r="L19" s="564"/>
      <c r="M19" s="675"/>
      <c r="N19" s="535"/>
    </row>
    <row r="20" spans="1:14">
      <c r="A20" s="517"/>
      <c r="B20" s="519"/>
      <c r="C20" s="519"/>
      <c r="D20" s="519"/>
      <c r="E20" s="520"/>
      <c r="F20" s="10"/>
      <c r="G20" s="521"/>
      <c r="H20" s="617"/>
      <c r="I20" s="618"/>
      <c r="J20" s="10"/>
      <c r="K20" s="561"/>
      <c r="L20" s="564"/>
      <c r="M20" s="675"/>
      <c r="N20" s="535"/>
    </row>
    <row r="21" spans="1:14" ht="46.5" customHeight="1">
      <c r="A21" s="524" t="s">
        <v>1172</v>
      </c>
      <c r="B21" s="533" t="s">
        <v>525</v>
      </c>
      <c r="C21" s="533" t="s">
        <v>1173</v>
      </c>
      <c r="D21" s="533" t="s">
        <v>76</v>
      </c>
      <c r="E21" s="551" t="s">
        <v>1174</v>
      </c>
      <c r="F21" s="10"/>
      <c r="G21" s="587" t="s">
        <v>33</v>
      </c>
      <c r="H21" s="537"/>
      <c r="I21" s="538"/>
      <c r="J21" s="10"/>
      <c r="K21" s="530" t="s">
        <v>70</v>
      </c>
      <c r="L21" s="533" t="s">
        <v>1175</v>
      </c>
      <c r="M21" s="523" t="s">
        <v>5221</v>
      </c>
      <c r="N21" s="536"/>
    </row>
    <row r="22" spans="1:14" ht="36" customHeight="1">
      <c r="A22" s="524"/>
      <c r="B22" s="533"/>
      <c r="C22" s="533"/>
      <c r="D22" s="533"/>
      <c r="E22" s="551"/>
      <c r="F22" s="10"/>
      <c r="G22" s="524"/>
      <c r="H22" s="533"/>
      <c r="I22" s="539"/>
      <c r="J22" s="10"/>
      <c r="K22" s="530"/>
      <c r="L22" s="533"/>
      <c r="M22" s="523"/>
      <c r="N22" s="536"/>
    </row>
    <row r="23" spans="1:14" ht="45" customHeight="1">
      <c r="A23" s="524"/>
      <c r="B23" s="533"/>
      <c r="C23" s="533"/>
      <c r="D23" s="533"/>
      <c r="E23" s="551"/>
      <c r="F23" s="10"/>
      <c r="G23" s="524"/>
      <c r="H23" s="533"/>
      <c r="I23" s="539"/>
      <c r="J23" s="10"/>
      <c r="K23" s="530"/>
      <c r="L23" s="533"/>
      <c r="M23" s="523"/>
      <c r="N23" s="536"/>
    </row>
    <row r="24" spans="1:14" ht="35.25" customHeight="1">
      <c r="A24" s="661" t="s">
        <v>1128</v>
      </c>
      <c r="B24" s="662" t="s">
        <v>1112</v>
      </c>
      <c r="C24" s="662" t="s">
        <v>1176</v>
      </c>
      <c r="D24" s="662" t="s">
        <v>76</v>
      </c>
      <c r="E24" s="664" t="s">
        <v>1130</v>
      </c>
      <c r="F24" s="11"/>
      <c r="G24" s="577" t="s">
        <v>33</v>
      </c>
      <c r="H24" s="589"/>
      <c r="I24" s="590"/>
      <c r="J24" s="11"/>
      <c r="K24" s="674" t="s">
        <v>63</v>
      </c>
      <c r="L24" s="569" t="s">
        <v>1133</v>
      </c>
      <c r="M24" s="568" t="s">
        <v>5270</v>
      </c>
      <c r="N24" s="559"/>
    </row>
    <row r="25" spans="1:14" ht="37.5" customHeight="1">
      <c r="A25" s="661"/>
      <c r="B25" s="662"/>
      <c r="C25" s="662"/>
      <c r="D25" s="662"/>
      <c r="E25" s="664"/>
      <c r="F25" s="11"/>
      <c r="G25" s="579"/>
      <c r="H25" s="663"/>
      <c r="I25" s="673"/>
      <c r="J25" s="11"/>
      <c r="K25" s="578"/>
      <c r="L25" s="569"/>
      <c r="M25" s="568"/>
      <c r="N25" s="559"/>
    </row>
    <row r="26" spans="1:14" ht="39.75" customHeight="1">
      <c r="A26" s="661"/>
      <c r="B26" s="662"/>
      <c r="C26" s="662"/>
      <c r="D26" s="662"/>
      <c r="E26" s="664"/>
      <c r="F26" s="11"/>
      <c r="G26" s="579"/>
      <c r="H26" s="663"/>
      <c r="I26" s="673"/>
      <c r="J26" s="11"/>
      <c r="K26" s="578"/>
      <c r="L26" s="569"/>
      <c r="M26" s="568"/>
      <c r="N26" s="559"/>
    </row>
    <row r="27" spans="1:14">
      <c r="A27" s="642" t="s">
        <v>1140</v>
      </c>
      <c r="B27" s="509" t="s">
        <v>920</v>
      </c>
      <c r="C27" s="509" t="s">
        <v>1141</v>
      </c>
      <c r="D27" s="509" t="s">
        <v>76</v>
      </c>
      <c r="E27" s="660" t="s">
        <v>1177</v>
      </c>
      <c r="F27" s="11"/>
      <c r="G27" s="668" t="s">
        <v>33</v>
      </c>
      <c r="H27" s="669"/>
      <c r="I27" s="670"/>
      <c r="J27" s="11"/>
      <c r="K27" s="510" t="s">
        <v>63</v>
      </c>
      <c r="L27" s="509" t="s">
        <v>428</v>
      </c>
      <c r="M27" s="583" t="s">
        <v>5207</v>
      </c>
      <c r="N27" s="511"/>
    </row>
    <row r="28" spans="1:14">
      <c r="A28" s="642"/>
      <c r="B28" s="509"/>
      <c r="C28" s="509"/>
      <c r="D28" s="509"/>
      <c r="E28" s="660"/>
      <c r="F28" s="11"/>
      <c r="G28" s="642"/>
      <c r="H28" s="509"/>
      <c r="I28" s="671"/>
      <c r="J28" s="11"/>
      <c r="K28" s="510"/>
      <c r="L28" s="509"/>
      <c r="M28" s="583"/>
      <c r="N28" s="511"/>
    </row>
    <row r="29" spans="1:14">
      <c r="A29" s="642"/>
      <c r="B29" s="509"/>
      <c r="C29" s="509"/>
      <c r="D29" s="509"/>
      <c r="E29" s="660"/>
      <c r="F29" s="11"/>
      <c r="G29" s="642"/>
      <c r="H29" s="509"/>
      <c r="I29" s="671"/>
      <c r="J29" s="11"/>
      <c r="K29" s="510"/>
      <c r="L29" s="509"/>
      <c r="M29" s="583"/>
      <c r="N29" s="511"/>
    </row>
    <row r="30" spans="1:14">
      <c r="A30" s="661" t="s">
        <v>1146</v>
      </c>
      <c r="B30" s="662" t="s">
        <v>920</v>
      </c>
      <c r="C30" s="662" t="s">
        <v>1178</v>
      </c>
      <c r="D30" s="662" t="s">
        <v>76</v>
      </c>
      <c r="E30" s="664" t="s">
        <v>1148</v>
      </c>
      <c r="F30" s="11"/>
      <c r="G30" s="577" t="s">
        <v>33</v>
      </c>
      <c r="H30" s="589"/>
      <c r="I30" s="590"/>
      <c r="J30" s="11"/>
      <c r="K30" s="578" t="s">
        <v>63</v>
      </c>
      <c r="L30" s="569" t="s">
        <v>523</v>
      </c>
      <c r="M30" s="588" t="s">
        <v>5209</v>
      </c>
      <c r="N30" s="559"/>
    </row>
    <row r="31" spans="1:14">
      <c r="A31" s="661"/>
      <c r="B31" s="662"/>
      <c r="C31" s="662"/>
      <c r="D31" s="662"/>
      <c r="E31" s="664"/>
      <c r="F31" s="11"/>
      <c r="G31" s="579"/>
      <c r="H31" s="663"/>
      <c r="I31" s="673"/>
      <c r="J31" s="11"/>
      <c r="K31" s="578"/>
      <c r="L31" s="569"/>
      <c r="M31" s="588"/>
      <c r="N31" s="559"/>
    </row>
    <row r="32" spans="1:14">
      <c r="A32" s="661"/>
      <c r="B32" s="662"/>
      <c r="C32" s="662"/>
      <c r="D32" s="662"/>
      <c r="E32" s="664"/>
      <c r="F32" s="11"/>
      <c r="G32" s="579"/>
      <c r="H32" s="663"/>
      <c r="I32" s="673"/>
      <c r="J32" s="11"/>
      <c r="K32" s="578"/>
      <c r="L32" s="569"/>
      <c r="M32" s="588"/>
      <c r="N32" s="559"/>
    </row>
    <row r="33" spans="1:14">
      <c r="A33" s="642" t="s">
        <v>85</v>
      </c>
      <c r="B33" s="509" t="s">
        <v>86</v>
      </c>
      <c r="C33" s="509" t="s">
        <v>87</v>
      </c>
      <c r="D33" s="509" t="s">
        <v>168</v>
      </c>
      <c r="E33" s="660" t="s">
        <v>1154</v>
      </c>
      <c r="F33" s="11"/>
      <c r="G33" s="668" t="s">
        <v>33</v>
      </c>
      <c r="H33" s="669"/>
      <c r="I33" s="670"/>
      <c r="J33" s="11"/>
      <c r="K33" s="510" t="s">
        <v>63</v>
      </c>
      <c r="L33" s="509" t="s">
        <v>93</v>
      </c>
      <c r="M33" s="583" t="s">
        <v>94</v>
      </c>
      <c r="N33" s="511"/>
    </row>
    <row r="34" spans="1:14">
      <c r="A34" s="642"/>
      <c r="B34" s="509"/>
      <c r="C34" s="509"/>
      <c r="D34" s="509"/>
      <c r="E34" s="660"/>
      <c r="F34" s="11"/>
      <c r="G34" s="642"/>
      <c r="H34" s="509"/>
      <c r="I34" s="671"/>
      <c r="J34" s="11"/>
      <c r="K34" s="510"/>
      <c r="L34" s="509"/>
      <c r="M34" s="583"/>
      <c r="N34" s="511"/>
    </row>
    <row r="35" spans="1:14" ht="15.75" thickBot="1">
      <c r="A35" s="665"/>
      <c r="B35" s="666"/>
      <c r="C35" s="666"/>
      <c r="D35" s="666"/>
      <c r="E35" s="667"/>
      <c r="F35" s="11"/>
      <c r="G35" s="665"/>
      <c r="H35" s="666"/>
      <c r="I35" s="672"/>
      <c r="J35" s="11"/>
      <c r="K35" s="655"/>
      <c r="L35" s="654"/>
      <c r="M35" s="656"/>
      <c r="N35" s="659"/>
    </row>
  </sheetData>
  <autoFilter ref="A2:N35"/>
  <mergeCells count="87">
    <mergeCell ref="K1:N1"/>
    <mergeCell ref="K3:K6"/>
    <mergeCell ref="K18:K20"/>
    <mergeCell ref="K21:K23"/>
    <mergeCell ref="K33:K35"/>
    <mergeCell ref="L33:L35"/>
    <mergeCell ref="M33:M35"/>
    <mergeCell ref="M27:M29"/>
    <mergeCell ref="M21:M23"/>
    <mergeCell ref="M24:M26"/>
    <mergeCell ref="K27:K29"/>
    <mergeCell ref="C3:C6"/>
    <mergeCell ref="D3:D6"/>
    <mergeCell ref="E3:E6"/>
    <mergeCell ref="A18:A20"/>
    <mergeCell ref="B18:B20"/>
    <mergeCell ref="C18:C20"/>
    <mergeCell ref="D18:D20"/>
    <mergeCell ref="E18:E20"/>
    <mergeCell ref="G3:G6"/>
    <mergeCell ref="M18:M20"/>
    <mergeCell ref="H3:H6"/>
    <mergeCell ref="I3:I6"/>
    <mergeCell ref="G18:G20"/>
    <mergeCell ref="L18:L20"/>
    <mergeCell ref="H18:H20"/>
    <mergeCell ref="I18:I20"/>
    <mergeCell ref="M3:M6"/>
    <mergeCell ref="G30:G32"/>
    <mergeCell ref="L27:L29"/>
    <mergeCell ref="L30:L32"/>
    <mergeCell ref="L21:L23"/>
    <mergeCell ref="L24:L26"/>
    <mergeCell ref="G27:G29"/>
    <mergeCell ref="K24:K26"/>
    <mergeCell ref="K30:K32"/>
    <mergeCell ref="I24:I26"/>
    <mergeCell ref="H27:H29"/>
    <mergeCell ref="I27:I29"/>
    <mergeCell ref="G33:G35"/>
    <mergeCell ref="N3:N6"/>
    <mergeCell ref="N18:N20"/>
    <mergeCell ref="N21:N23"/>
    <mergeCell ref="N24:N26"/>
    <mergeCell ref="N27:N29"/>
    <mergeCell ref="N30:N32"/>
    <mergeCell ref="N33:N35"/>
    <mergeCell ref="H33:H35"/>
    <mergeCell ref="I33:I35"/>
    <mergeCell ref="L3:L6"/>
    <mergeCell ref="G24:G26"/>
    <mergeCell ref="G21:G23"/>
    <mergeCell ref="H30:H32"/>
    <mergeCell ref="I30:I32"/>
    <mergeCell ref="M30:M32"/>
    <mergeCell ref="D21:D23"/>
    <mergeCell ref="E24:E26"/>
    <mergeCell ref="E21:E23"/>
    <mergeCell ref="A1:E1"/>
    <mergeCell ref="A33:A35"/>
    <mergeCell ref="B33:B35"/>
    <mergeCell ref="C33:C35"/>
    <mergeCell ref="D33:D35"/>
    <mergeCell ref="E33:E35"/>
    <mergeCell ref="A30:A32"/>
    <mergeCell ref="B30:B32"/>
    <mergeCell ref="C30:C32"/>
    <mergeCell ref="D30:D32"/>
    <mergeCell ref="E30:E32"/>
    <mergeCell ref="A3:A6"/>
    <mergeCell ref="B3:B6"/>
    <mergeCell ref="G1:I1"/>
    <mergeCell ref="A27:A29"/>
    <mergeCell ref="B27:B29"/>
    <mergeCell ref="C27:C29"/>
    <mergeCell ref="D27:D29"/>
    <mergeCell ref="E27:E29"/>
    <mergeCell ref="A21:A23"/>
    <mergeCell ref="B21:B23"/>
    <mergeCell ref="C21:C23"/>
    <mergeCell ref="A24:A26"/>
    <mergeCell ref="B24:B26"/>
    <mergeCell ref="C24:C26"/>
    <mergeCell ref="H21:H23"/>
    <mergeCell ref="I21:I23"/>
    <mergeCell ref="H24:H26"/>
    <mergeCell ref="D24:D26"/>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
  <sheetViews>
    <sheetView workbookViewId="0"/>
  </sheetViews>
  <sheetFormatPr defaultRowHeight="15"/>
  <cols>
    <col min="1" max="1" width="167.85546875" customWidth="1"/>
  </cols>
  <sheetData>
    <row r="1" spans="1:1" ht="124.5" thickBot="1">
      <c r="A1" s="1" t="s">
        <v>1235</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K19"/>
  <sheetViews>
    <sheetView zoomScale="80" zoomScaleNormal="80" workbookViewId="0">
      <pane xSplit="5" ySplit="2" topLeftCell="F3" activePane="bottomRight" state="frozen"/>
      <selection pane="topRight" activeCell="F1" sqref="F1"/>
      <selection pane="bottomLeft" activeCell="A3" sqref="A3"/>
      <selection pane="bottomRight" activeCell="F3" sqref="F3"/>
    </sheetView>
  </sheetViews>
  <sheetFormatPr defaultColWidth="9.14062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4" customWidth="1"/>
    <col min="11" max="11" width="47.28515625" bestFit="1" customWidth="1"/>
  </cols>
  <sheetData>
    <row r="1" spans="1:11" ht="19.5" thickBot="1">
      <c r="A1" s="422" t="s">
        <v>42</v>
      </c>
      <c r="B1" s="423"/>
      <c r="C1" s="423"/>
      <c r="D1" s="423"/>
      <c r="E1" s="424"/>
      <c r="F1" s="46"/>
      <c r="G1" s="425" t="s">
        <v>43</v>
      </c>
      <c r="H1" s="426"/>
      <c r="I1" s="427"/>
      <c r="J1" s="46"/>
      <c r="K1" s="352" t="s">
        <v>44</v>
      </c>
    </row>
    <row r="2" spans="1:11" ht="15.75" thickBot="1">
      <c r="A2" s="52" t="s">
        <v>45</v>
      </c>
      <c r="B2" s="48" t="s">
        <v>46</v>
      </c>
      <c r="C2" s="48" t="s">
        <v>47</v>
      </c>
      <c r="D2" s="48" t="s">
        <v>48</v>
      </c>
      <c r="E2" s="53" t="s">
        <v>49</v>
      </c>
      <c r="F2" s="9"/>
      <c r="G2" s="68" t="s">
        <v>50</v>
      </c>
      <c r="H2" s="61" t="s">
        <v>51</v>
      </c>
      <c r="I2" s="69" t="s">
        <v>52</v>
      </c>
      <c r="J2" s="9"/>
      <c r="K2" s="353" t="s">
        <v>5147</v>
      </c>
    </row>
    <row r="3" spans="1:11" ht="30">
      <c r="A3" s="137" t="s">
        <v>1179</v>
      </c>
      <c r="B3" s="136" t="s">
        <v>1180</v>
      </c>
      <c r="C3" s="49" t="s">
        <v>1181</v>
      </c>
      <c r="D3" s="136" t="s">
        <v>58</v>
      </c>
      <c r="E3" s="55" t="s">
        <v>1182</v>
      </c>
      <c r="F3" s="10"/>
      <c r="G3" s="74" t="s">
        <v>33</v>
      </c>
      <c r="H3" s="66"/>
      <c r="I3" s="75"/>
      <c r="J3" s="10"/>
      <c r="K3" s="354" t="s">
        <v>1186</v>
      </c>
    </row>
    <row r="4" spans="1:11" s="19" customFormat="1" ht="30">
      <c r="A4" s="114" t="s">
        <v>1183</v>
      </c>
      <c r="B4" s="105" t="s">
        <v>1180</v>
      </c>
      <c r="C4" s="82" t="s">
        <v>1184</v>
      </c>
      <c r="D4" s="105" t="s">
        <v>58</v>
      </c>
      <c r="E4" s="104" t="s">
        <v>1185</v>
      </c>
      <c r="F4" s="10"/>
      <c r="G4" s="122" t="s">
        <v>33</v>
      </c>
      <c r="H4" s="95"/>
      <c r="I4" s="98"/>
      <c r="J4" s="10"/>
      <c r="K4" s="355" t="s">
        <v>1186</v>
      </c>
    </row>
    <row r="5" spans="1:11">
      <c r="A5" s="137" t="s">
        <v>1187</v>
      </c>
      <c r="B5" s="136" t="s">
        <v>1180</v>
      </c>
      <c r="C5" s="49" t="s">
        <v>1188</v>
      </c>
      <c r="D5" s="136" t="s">
        <v>168</v>
      </c>
      <c r="E5" s="55" t="s">
        <v>1189</v>
      </c>
      <c r="F5" s="10"/>
      <c r="G5" s="74" t="s">
        <v>33</v>
      </c>
      <c r="H5" s="66"/>
      <c r="I5" s="75"/>
      <c r="J5" s="10"/>
      <c r="K5" s="356" t="s">
        <v>1186</v>
      </c>
    </row>
    <row r="6" spans="1:11" s="19" customFormat="1" ht="30">
      <c r="A6" s="114" t="s">
        <v>1190</v>
      </c>
      <c r="B6" s="105" t="s">
        <v>1180</v>
      </c>
      <c r="C6" s="82" t="s">
        <v>1191</v>
      </c>
      <c r="D6" s="105" t="s">
        <v>168</v>
      </c>
      <c r="E6" s="104" t="s">
        <v>1192</v>
      </c>
      <c r="F6" s="10"/>
      <c r="G6" s="122" t="s">
        <v>33</v>
      </c>
      <c r="H6" s="95"/>
      <c r="I6" s="98"/>
      <c r="J6" s="10"/>
      <c r="K6" s="355" t="s">
        <v>1186</v>
      </c>
    </row>
    <row r="7" spans="1:11" ht="90">
      <c r="A7" s="137" t="s">
        <v>1193</v>
      </c>
      <c r="B7" s="136" t="s">
        <v>1180</v>
      </c>
      <c r="C7" s="49" t="s">
        <v>1194</v>
      </c>
      <c r="D7" s="136" t="s">
        <v>76</v>
      </c>
      <c r="E7" s="55" t="s">
        <v>1195</v>
      </c>
      <c r="F7" s="10"/>
      <c r="G7" s="74" t="s">
        <v>33</v>
      </c>
      <c r="H7" s="66"/>
      <c r="I7" s="75"/>
      <c r="J7" s="10"/>
      <c r="K7" s="356" t="s">
        <v>1186</v>
      </c>
    </row>
    <row r="8" spans="1:11" s="19" customFormat="1">
      <c r="A8" s="114" t="s">
        <v>1196</v>
      </c>
      <c r="B8" s="105" t="s">
        <v>1197</v>
      </c>
      <c r="C8" s="82" t="s">
        <v>1198</v>
      </c>
      <c r="D8" s="105" t="s">
        <v>168</v>
      </c>
      <c r="E8" s="104" t="s">
        <v>1199</v>
      </c>
      <c r="F8" s="10"/>
      <c r="G8" s="122" t="s">
        <v>33</v>
      </c>
      <c r="H8" s="95"/>
      <c r="I8" s="98"/>
      <c r="J8" s="10"/>
      <c r="K8" s="355" t="s">
        <v>1186</v>
      </c>
    </row>
    <row r="9" spans="1:11" ht="30">
      <c r="A9" s="137" t="s">
        <v>1200</v>
      </c>
      <c r="B9" s="136" t="s">
        <v>1197</v>
      </c>
      <c r="C9" s="49" t="s">
        <v>1201</v>
      </c>
      <c r="D9" s="136" t="s">
        <v>168</v>
      </c>
      <c r="E9" s="55" t="s">
        <v>1202</v>
      </c>
      <c r="F9" s="10"/>
      <c r="G9" s="74" t="s">
        <v>33</v>
      </c>
      <c r="H9" s="66"/>
      <c r="I9" s="75"/>
      <c r="J9" s="10"/>
      <c r="K9" s="356" t="s">
        <v>1186</v>
      </c>
    </row>
    <row r="10" spans="1:11" s="19" customFormat="1" ht="30">
      <c r="A10" s="114" t="s">
        <v>1203</v>
      </c>
      <c r="B10" s="105" t="s">
        <v>1204</v>
      </c>
      <c r="C10" s="82" t="s">
        <v>1205</v>
      </c>
      <c r="D10" s="105" t="s">
        <v>168</v>
      </c>
      <c r="E10" s="104" t="s">
        <v>1206</v>
      </c>
      <c r="F10" s="10"/>
      <c r="G10" s="122" t="s">
        <v>33</v>
      </c>
      <c r="H10" s="95"/>
      <c r="I10" s="98"/>
      <c r="J10" s="10"/>
      <c r="K10" s="355" t="s">
        <v>1186</v>
      </c>
    </row>
    <row r="11" spans="1:11" ht="45">
      <c r="A11" s="137" t="s">
        <v>1207</v>
      </c>
      <c r="B11" s="136" t="s">
        <v>1204</v>
      </c>
      <c r="C11" s="49" t="s">
        <v>1208</v>
      </c>
      <c r="D11" s="136" t="s">
        <v>168</v>
      </c>
      <c r="E11" s="55" t="s">
        <v>1209</v>
      </c>
      <c r="F11" s="10"/>
      <c r="G11" s="74" t="s">
        <v>33</v>
      </c>
      <c r="H11" s="66"/>
      <c r="I11" s="75"/>
      <c r="J11" s="10"/>
      <c r="K11" s="356" t="s">
        <v>1186</v>
      </c>
    </row>
    <row r="12" spans="1:11" s="19" customFormat="1" ht="30">
      <c r="A12" s="114" t="s">
        <v>1210</v>
      </c>
      <c r="B12" s="105" t="s">
        <v>1204</v>
      </c>
      <c r="C12" s="82" t="s">
        <v>1211</v>
      </c>
      <c r="D12" s="105" t="s">
        <v>168</v>
      </c>
      <c r="E12" s="104" t="s">
        <v>1212</v>
      </c>
      <c r="F12" s="10"/>
      <c r="G12" s="122" t="s">
        <v>33</v>
      </c>
      <c r="H12" s="95"/>
      <c r="I12" s="98"/>
      <c r="J12" s="10"/>
      <c r="K12" s="355" t="s">
        <v>1186</v>
      </c>
    </row>
    <row r="13" spans="1:11" ht="30">
      <c r="A13" s="137" t="s">
        <v>1213</v>
      </c>
      <c r="B13" s="136" t="s">
        <v>1214</v>
      </c>
      <c r="C13" s="49" t="s">
        <v>1215</v>
      </c>
      <c r="D13" s="136" t="s">
        <v>168</v>
      </c>
      <c r="E13" s="55" t="s">
        <v>1216</v>
      </c>
      <c r="F13" s="10"/>
      <c r="G13" s="74" t="s">
        <v>33</v>
      </c>
      <c r="H13" s="66"/>
      <c r="I13" s="75"/>
      <c r="J13" s="10"/>
      <c r="K13" s="356" t="s">
        <v>1186</v>
      </c>
    </row>
    <row r="14" spans="1:11" s="19" customFormat="1" ht="30">
      <c r="A14" s="114" t="s">
        <v>1217</v>
      </c>
      <c r="B14" s="105" t="s">
        <v>1214</v>
      </c>
      <c r="C14" s="82" t="s">
        <v>1218</v>
      </c>
      <c r="D14" s="105" t="s">
        <v>168</v>
      </c>
      <c r="E14" s="104" t="s">
        <v>1219</v>
      </c>
      <c r="F14" s="10"/>
      <c r="G14" s="122" t="s">
        <v>33</v>
      </c>
      <c r="H14" s="95"/>
      <c r="I14" s="98"/>
      <c r="J14" s="10"/>
      <c r="K14" s="355" t="s">
        <v>1186</v>
      </c>
    </row>
    <row r="15" spans="1:11" ht="30">
      <c r="A15" s="137" t="s">
        <v>1220</v>
      </c>
      <c r="B15" s="136" t="s">
        <v>1214</v>
      </c>
      <c r="C15" s="49" t="s">
        <v>1221</v>
      </c>
      <c r="D15" s="136" t="s">
        <v>168</v>
      </c>
      <c r="E15" s="55" t="s">
        <v>1222</v>
      </c>
      <c r="F15" s="10"/>
      <c r="G15" s="74" t="s">
        <v>33</v>
      </c>
      <c r="H15" s="66"/>
      <c r="I15" s="75"/>
      <c r="J15" s="10"/>
      <c r="K15" s="356" t="s">
        <v>1186</v>
      </c>
    </row>
    <row r="16" spans="1:11" s="19" customFormat="1" ht="30">
      <c r="A16" s="114" t="s">
        <v>1223</v>
      </c>
      <c r="B16" s="105" t="s">
        <v>1214</v>
      </c>
      <c r="C16" s="82" t="s">
        <v>1224</v>
      </c>
      <c r="D16" s="105" t="s">
        <v>168</v>
      </c>
      <c r="E16" s="104" t="s">
        <v>1225</v>
      </c>
      <c r="F16" s="10"/>
      <c r="G16" s="122" t="s">
        <v>33</v>
      </c>
      <c r="H16" s="95"/>
      <c r="I16" s="98"/>
      <c r="J16" s="10"/>
      <c r="K16" s="355" t="s">
        <v>1186</v>
      </c>
    </row>
    <row r="17" spans="1:11" ht="30">
      <c r="A17" s="137" t="s">
        <v>1226</v>
      </c>
      <c r="B17" s="136" t="s">
        <v>1214</v>
      </c>
      <c r="C17" s="49" t="s">
        <v>1227</v>
      </c>
      <c r="D17" s="136" t="s">
        <v>168</v>
      </c>
      <c r="E17" s="55" t="s">
        <v>1228</v>
      </c>
      <c r="F17" s="10"/>
      <c r="G17" s="74" t="s">
        <v>33</v>
      </c>
      <c r="H17" s="66"/>
      <c r="I17" s="75"/>
      <c r="J17" s="10"/>
      <c r="K17" s="356" t="s">
        <v>1186</v>
      </c>
    </row>
    <row r="18" spans="1:11" s="19" customFormat="1" ht="30">
      <c r="A18" s="114" t="s">
        <v>1229</v>
      </c>
      <c r="B18" s="105" t="s">
        <v>1214</v>
      </c>
      <c r="C18" s="82" t="s">
        <v>1230</v>
      </c>
      <c r="D18" s="105" t="s">
        <v>168</v>
      </c>
      <c r="E18" s="104" t="s">
        <v>1231</v>
      </c>
      <c r="F18" s="10"/>
      <c r="G18" s="122" t="s">
        <v>33</v>
      </c>
      <c r="H18" s="95"/>
      <c r="I18" s="98"/>
      <c r="J18" s="10"/>
      <c r="K18" s="355" t="s">
        <v>1186</v>
      </c>
    </row>
    <row r="19" spans="1:11" ht="30.75" thickBot="1">
      <c r="A19" s="138" t="s">
        <v>1232</v>
      </c>
      <c r="B19" s="139" t="s">
        <v>1214</v>
      </c>
      <c r="C19" s="59" t="s">
        <v>1233</v>
      </c>
      <c r="D19" s="139" t="s">
        <v>168</v>
      </c>
      <c r="E19" s="60" t="s">
        <v>1234</v>
      </c>
      <c r="F19" s="10"/>
      <c r="G19" s="88" t="s">
        <v>33</v>
      </c>
      <c r="H19" s="89"/>
      <c r="I19" s="90"/>
      <c r="J19" s="10"/>
      <c r="K19" s="357" t="s">
        <v>1186</v>
      </c>
    </row>
  </sheetData>
  <mergeCells count="2">
    <mergeCell ref="A1:E1"/>
    <mergeCell ref="G1:I1"/>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
  <sheetViews>
    <sheetView workbookViewId="0"/>
  </sheetViews>
  <sheetFormatPr defaultRowHeight="15"/>
  <cols>
    <col min="1" max="1" width="167.85546875" customWidth="1"/>
  </cols>
  <sheetData>
    <row r="1" spans="1:1" ht="139.5" thickBot="1">
      <c r="A1" s="1" t="s">
        <v>1236</v>
      </c>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K15"/>
  <sheetViews>
    <sheetView zoomScale="70" zoomScaleNormal="70" workbookViewId="0">
      <pane xSplit="5" ySplit="2" topLeftCell="F3" activePane="bottomRight" state="frozen"/>
      <selection pane="topRight" activeCell="F1" sqref="F1"/>
      <selection pane="bottomLeft" activeCell="A3" sqref="A3"/>
      <selection pane="bottomRight" activeCell="F3" sqref="F3"/>
    </sheetView>
  </sheetViews>
  <sheetFormatPr defaultColWidth="9.140625" defaultRowHeight="15"/>
  <cols>
    <col min="1" max="1" width="5.5703125" customWidth="1"/>
    <col min="2" max="2" width="13.42578125" customWidth="1"/>
    <col min="3" max="3" width="24.42578125" bestFit="1" customWidth="1"/>
    <col min="4" max="4" width="16.28515625" customWidth="1"/>
    <col min="5" max="5" width="48" customWidth="1"/>
    <col min="6" max="6" width="2" customWidth="1"/>
    <col min="7" max="7" width="37.28515625" customWidth="1"/>
    <col min="8" max="8" width="23.85546875" bestFit="1" customWidth="1"/>
    <col min="9" max="9" width="36.140625" customWidth="1"/>
    <col min="10" max="10" width="4" customWidth="1"/>
    <col min="11" max="11" width="47.28515625" bestFit="1" customWidth="1"/>
  </cols>
  <sheetData>
    <row r="1" spans="1:11" ht="19.5" thickBot="1">
      <c r="A1" s="422" t="s">
        <v>42</v>
      </c>
      <c r="B1" s="423"/>
      <c r="C1" s="423"/>
      <c r="D1" s="423"/>
      <c r="E1" s="424"/>
      <c r="F1" s="46"/>
      <c r="G1" s="425" t="s">
        <v>43</v>
      </c>
      <c r="H1" s="426"/>
      <c r="I1" s="427"/>
      <c r="J1" s="46"/>
      <c r="K1" s="352" t="s">
        <v>44</v>
      </c>
    </row>
    <row r="2" spans="1:11" ht="15.75" thickBot="1">
      <c r="A2" s="52" t="s">
        <v>45</v>
      </c>
      <c r="B2" s="48" t="s">
        <v>46</v>
      </c>
      <c r="C2" s="48" t="s">
        <v>47</v>
      </c>
      <c r="D2" s="48" t="s">
        <v>48</v>
      </c>
      <c r="E2" s="53" t="s">
        <v>49</v>
      </c>
      <c r="F2" s="9"/>
      <c r="G2" s="68" t="s">
        <v>50</v>
      </c>
      <c r="H2" s="61" t="s">
        <v>51</v>
      </c>
      <c r="I2" s="69" t="s">
        <v>52</v>
      </c>
      <c r="J2" s="9"/>
      <c r="K2" s="353" t="s">
        <v>5147</v>
      </c>
    </row>
    <row r="3" spans="1:11">
      <c r="A3" s="137" t="s">
        <v>1237</v>
      </c>
      <c r="B3" s="136" t="s">
        <v>56</v>
      </c>
      <c r="C3" s="49" t="s">
        <v>1238</v>
      </c>
      <c r="D3" s="136" t="s">
        <v>168</v>
      </c>
      <c r="E3" s="55" t="s">
        <v>1239</v>
      </c>
      <c r="F3" s="10"/>
      <c r="G3" s="74" t="s">
        <v>33</v>
      </c>
      <c r="H3" s="66"/>
      <c r="I3" s="75"/>
      <c r="J3" s="10"/>
      <c r="K3" s="354" t="s">
        <v>1186</v>
      </c>
    </row>
    <row r="4" spans="1:11" ht="58.5" customHeight="1">
      <c r="A4" s="114" t="s">
        <v>1240</v>
      </c>
      <c r="B4" s="105" t="s">
        <v>1241</v>
      </c>
      <c r="C4" s="82" t="s">
        <v>1242</v>
      </c>
      <c r="D4" s="105" t="s">
        <v>76</v>
      </c>
      <c r="E4" s="126" t="s">
        <v>1243</v>
      </c>
      <c r="F4" s="10"/>
      <c r="G4" s="122" t="s">
        <v>33</v>
      </c>
      <c r="H4" s="95"/>
      <c r="I4" s="98"/>
      <c r="J4" s="10"/>
      <c r="K4" s="355" t="s">
        <v>1186</v>
      </c>
    </row>
    <row r="5" spans="1:11" ht="30">
      <c r="A5" s="137" t="s">
        <v>1244</v>
      </c>
      <c r="B5" s="136" t="s">
        <v>1241</v>
      </c>
      <c r="C5" s="49" t="s">
        <v>1245</v>
      </c>
      <c r="D5" s="136" t="s">
        <v>666</v>
      </c>
      <c r="E5" s="55" t="s">
        <v>1246</v>
      </c>
      <c r="F5" s="10"/>
      <c r="G5" s="74" t="s">
        <v>33</v>
      </c>
      <c r="H5" s="66"/>
      <c r="I5" s="75"/>
      <c r="J5" s="10"/>
      <c r="K5" s="354" t="s">
        <v>1186</v>
      </c>
    </row>
    <row r="6" spans="1:11" ht="30">
      <c r="A6" s="114" t="s">
        <v>1247</v>
      </c>
      <c r="B6" s="105" t="s">
        <v>1241</v>
      </c>
      <c r="C6" s="82" t="s">
        <v>1248</v>
      </c>
      <c r="D6" s="105" t="s">
        <v>168</v>
      </c>
      <c r="E6" s="104" t="s">
        <v>1249</v>
      </c>
      <c r="F6" s="10"/>
      <c r="G6" s="122" t="s">
        <v>33</v>
      </c>
      <c r="H6" s="95"/>
      <c r="I6" s="98"/>
      <c r="J6" s="10"/>
      <c r="K6" s="355" t="s">
        <v>1186</v>
      </c>
    </row>
    <row r="7" spans="1:11" ht="45">
      <c r="A7" s="137" t="s">
        <v>1250</v>
      </c>
      <c r="B7" s="136" t="s">
        <v>1241</v>
      </c>
      <c r="C7" s="49" t="s">
        <v>1251</v>
      </c>
      <c r="D7" s="136" t="s">
        <v>168</v>
      </c>
      <c r="E7" s="55" t="s">
        <v>1252</v>
      </c>
      <c r="F7" s="10"/>
      <c r="G7" s="74" t="s">
        <v>33</v>
      </c>
      <c r="H7" s="66"/>
      <c r="I7" s="75"/>
      <c r="J7" s="10"/>
      <c r="K7" s="354" t="s">
        <v>1186</v>
      </c>
    </row>
    <row r="8" spans="1:11" ht="71.45" customHeight="1">
      <c r="A8" s="114" t="s">
        <v>1253</v>
      </c>
      <c r="B8" s="105" t="s">
        <v>1241</v>
      </c>
      <c r="C8" s="82" t="s">
        <v>1254</v>
      </c>
      <c r="D8" s="105" t="s">
        <v>168</v>
      </c>
      <c r="E8" s="126" t="s">
        <v>1255</v>
      </c>
      <c r="F8" s="10"/>
      <c r="G8" s="122" t="s">
        <v>33</v>
      </c>
      <c r="H8" s="95"/>
      <c r="I8" s="98"/>
      <c r="J8" s="10"/>
      <c r="K8" s="355" t="s">
        <v>1186</v>
      </c>
    </row>
    <row r="9" spans="1:11" ht="30">
      <c r="A9" s="137" t="s">
        <v>1256</v>
      </c>
      <c r="B9" s="136" t="s">
        <v>1241</v>
      </c>
      <c r="C9" s="49" t="s">
        <v>1257</v>
      </c>
      <c r="D9" s="136" t="s">
        <v>168</v>
      </c>
      <c r="E9" s="55" t="s">
        <v>1258</v>
      </c>
      <c r="F9" s="10"/>
      <c r="G9" s="74" t="s">
        <v>33</v>
      </c>
      <c r="H9" s="66"/>
      <c r="I9" s="75"/>
      <c r="J9" s="10"/>
      <c r="K9" s="354" t="s">
        <v>1186</v>
      </c>
    </row>
    <row r="10" spans="1:11" ht="60">
      <c r="A10" s="114" t="s">
        <v>1259</v>
      </c>
      <c r="B10" s="105" t="s">
        <v>1241</v>
      </c>
      <c r="C10" s="82" t="s">
        <v>253</v>
      </c>
      <c r="D10" s="105" t="s">
        <v>76</v>
      </c>
      <c r="E10" s="104" t="s">
        <v>1260</v>
      </c>
      <c r="F10" s="10"/>
      <c r="G10" s="122" t="s">
        <v>33</v>
      </c>
      <c r="H10" s="95"/>
      <c r="I10" s="98"/>
      <c r="J10" s="10"/>
      <c r="K10" s="355" t="s">
        <v>1186</v>
      </c>
    </row>
    <row r="11" spans="1:11" ht="30">
      <c r="A11" s="137" t="s">
        <v>1261</v>
      </c>
      <c r="B11" s="136" t="s">
        <v>1241</v>
      </c>
      <c r="C11" s="49" t="s">
        <v>1262</v>
      </c>
      <c r="D11" s="136" t="s">
        <v>58</v>
      </c>
      <c r="E11" s="55" t="s">
        <v>1263</v>
      </c>
      <c r="F11" s="10"/>
      <c r="G11" s="74" t="s">
        <v>33</v>
      </c>
      <c r="H11" s="66"/>
      <c r="I11" s="75"/>
      <c r="J11" s="10"/>
      <c r="K11" s="354" t="s">
        <v>1186</v>
      </c>
    </row>
    <row r="12" spans="1:11" ht="30">
      <c r="A12" s="114" t="s">
        <v>1264</v>
      </c>
      <c r="B12" s="105" t="s">
        <v>1241</v>
      </c>
      <c r="C12" s="82" t="s">
        <v>1265</v>
      </c>
      <c r="D12" s="105" t="s">
        <v>58</v>
      </c>
      <c r="E12" s="104" t="s">
        <v>1266</v>
      </c>
      <c r="F12" s="10"/>
      <c r="G12" s="122" t="s">
        <v>33</v>
      </c>
      <c r="H12" s="95"/>
      <c r="I12" s="98"/>
      <c r="J12" s="10"/>
      <c r="K12" s="355" t="s">
        <v>1186</v>
      </c>
    </row>
    <row r="13" spans="1:11" ht="73.5" customHeight="1">
      <c r="A13" s="137" t="s">
        <v>1267</v>
      </c>
      <c r="B13" s="136" t="s">
        <v>1241</v>
      </c>
      <c r="C13" s="49" t="s">
        <v>1268</v>
      </c>
      <c r="D13" s="136" t="s">
        <v>76</v>
      </c>
      <c r="E13" s="117" t="s">
        <v>1269</v>
      </c>
      <c r="F13" s="10"/>
      <c r="G13" s="74" t="s">
        <v>33</v>
      </c>
      <c r="H13" s="66"/>
      <c r="I13" s="75"/>
      <c r="J13" s="10"/>
      <c r="K13" s="354" t="s">
        <v>1186</v>
      </c>
    </row>
    <row r="14" spans="1:11">
      <c r="A14" s="114" t="s">
        <v>1009</v>
      </c>
      <c r="B14" s="105" t="s">
        <v>1270</v>
      </c>
      <c r="C14" s="82" t="s">
        <v>1010</v>
      </c>
      <c r="D14" s="105" t="s">
        <v>666</v>
      </c>
      <c r="E14" s="104" t="s">
        <v>1011</v>
      </c>
      <c r="F14" s="10"/>
      <c r="G14" s="122" t="s">
        <v>33</v>
      </c>
      <c r="H14" s="95"/>
      <c r="I14" s="98"/>
      <c r="J14" s="10"/>
      <c r="K14" s="355" t="s">
        <v>1186</v>
      </c>
    </row>
    <row r="15" spans="1:11" ht="75.75" thickBot="1">
      <c r="A15" s="138" t="s">
        <v>1271</v>
      </c>
      <c r="B15" s="139" t="s">
        <v>1270</v>
      </c>
      <c r="C15" s="59" t="s">
        <v>1272</v>
      </c>
      <c r="D15" s="139" t="s">
        <v>76</v>
      </c>
      <c r="E15" s="60" t="s">
        <v>1273</v>
      </c>
      <c r="F15" s="10"/>
      <c r="G15" s="88" t="s">
        <v>33</v>
      </c>
      <c r="H15" s="89"/>
      <c r="I15" s="90"/>
      <c r="J15" s="10"/>
      <c r="K15" s="358" t="s">
        <v>1186</v>
      </c>
    </row>
  </sheetData>
  <mergeCells count="2">
    <mergeCell ref="A1:E1"/>
    <mergeCell ref="G1:I1"/>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0"/>
  <sheetViews>
    <sheetView workbookViewId="0">
      <pane ySplit="1" topLeftCell="A2" activePane="bottomLeft" state="frozen"/>
      <selection pane="bottomLeft" activeCell="A2" sqref="A2"/>
    </sheetView>
  </sheetViews>
  <sheetFormatPr defaultColWidth="64.42578125" defaultRowHeight="15"/>
  <cols>
    <col min="1" max="1" width="24.28515625" customWidth="1"/>
    <col min="2" max="2" width="36.85546875" bestFit="1" customWidth="1"/>
    <col min="3" max="3" width="27.7109375" bestFit="1" customWidth="1"/>
    <col min="4" max="4" width="38.7109375" customWidth="1"/>
    <col min="5" max="5" width="45" customWidth="1"/>
    <col min="6" max="6" width="50.85546875" customWidth="1"/>
  </cols>
  <sheetData>
    <row r="1" spans="1:7" ht="15.75" thickBot="1">
      <c r="A1" s="375" t="s">
        <v>1274</v>
      </c>
      <c r="B1" s="376" t="s">
        <v>1275</v>
      </c>
      <c r="C1" s="377" t="s">
        <v>1276</v>
      </c>
      <c r="D1" s="377" t="s">
        <v>1277</v>
      </c>
      <c r="E1" s="377" t="s">
        <v>1278</v>
      </c>
      <c r="F1" s="378" t="s">
        <v>1279</v>
      </c>
      <c r="G1" s="359" t="s">
        <v>4768</v>
      </c>
    </row>
    <row r="2" spans="1:7" ht="14.45" customHeight="1">
      <c r="A2" s="371" t="s">
        <v>3037</v>
      </c>
      <c r="B2" s="156" t="s">
        <v>833</v>
      </c>
      <c r="C2" s="156" t="s">
        <v>3038</v>
      </c>
      <c r="D2" s="156">
        <v>20</v>
      </c>
      <c r="E2" s="156" t="s">
        <v>3039</v>
      </c>
      <c r="F2" s="379" t="s">
        <v>3040</v>
      </c>
      <c r="G2" s="359" t="s">
        <v>4768</v>
      </c>
    </row>
    <row r="3" spans="1:7">
      <c r="A3" s="371" t="s">
        <v>3037</v>
      </c>
      <c r="B3" s="156" t="s">
        <v>833</v>
      </c>
      <c r="C3" s="156" t="s">
        <v>3038</v>
      </c>
      <c r="D3" s="156">
        <v>784</v>
      </c>
      <c r="E3" s="156" t="s">
        <v>3041</v>
      </c>
      <c r="F3" s="379" t="s">
        <v>3042</v>
      </c>
      <c r="G3" s="359" t="s">
        <v>4768</v>
      </c>
    </row>
    <row r="4" spans="1:7">
      <c r="A4" s="371" t="s">
        <v>3037</v>
      </c>
      <c r="B4" s="156" t="s">
        <v>833</v>
      </c>
      <c r="C4" s="156" t="s">
        <v>3038</v>
      </c>
      <c r="D4" s="156">
        <v>4</v>
      </c>
      <c r="E4" s="156" t="s">
        <v>3043</v>
      </c>
      <c r="F4" s="379" t="s">
        <v>3044</v>
      </c>
      <c r="G4" s="359" t="s">
        <v>4768</v>
      </c>
    </row>
    <row r="5" spans="1:7">
      <c r="A5" s="371" t="s">
        <v>3037</v>
      </c>
      <c r="B5" s="156" t="s">
        <v>833</v>
      </c>
      <c r="C5" s="156" t="s">
        <v>3038</v>
      </c>
      <c r="D5" s="156">
        <v>28</v>
      </c>
      <c r="E5" s="156" t="s">
        <v>3045</v>
      </c>
      <c r="F5" s="379" t="s">
        <v>3046</v>
      </c>
      <c r="G5" s="359" t="s">
        <v>4768</v>
      </c>
    </row>
    <row r="6" spans="1:7">
      <c r="A6" s="371" t="s">
        <v>3037</v>
      </c>
      <c r="B6" s="156" t="s">
        <v>833</v>
      </c>
      <c r="C6" s="156" t="s">
        <v>3038</v>
      </c>
      <c r="D6" s="156">
        <v>660</v>
      </c>
      <c r="E6" s="156" t="s">
        <v>3047</v>
      </c>
      <c r="F6" s="379" t="s">
        <v>3048</v>
      </c>
      <c r="G6" s="359" t="s">
        <v>4768</v>
      </c>
    </row>
    <row r="7" spans="1:7">
      <c r="A7" s="371" t="s">
        <v>3037</v>
      </c>
      <c r="B7" s="156" t="s">
        <v>833</v>
      </c>
      <c r="C7" s="156" t="s">
        <v>3038</v>
      </c>
      <c r="D7" s="156">
        <v>8</v>
      </c>
      <c r="E7" s="156" t="s">
        <v>3049</v>
      </c>
      <c r="F7" s="379" t="s">
        <v>3050</v>
      </c>
      <c r="G7" s="359" t="s">
        <v>4768</v>
      </c>
    </row>
    <row r="8" spans="1:7">
      <c r="A8" s="371" t="s">
        <v>3037</v>
      </c>
      <c r="B8" s="156" t="s">
        <v>833</v>
      </c>
      <c r="C8" s="156" t="s">
        <v>3038</v>
      </c>
      <c r="D8" s="156">
        <v>51</v>
      </c>
      <c r="E8" s="156" t="s">
        <v>3051</v>
      </c>
      <c r="F8" s="379" t="s">
        <v>3052</v>
      </c>
      <c r="G8" s="359" t="s">
        <v>4768</v>
      </c>
    </row>
    <row r="9" spans="1:7">
      <c r="A9" s="371" t="s">
        <v>3037</v>
      </c>
      <c r="B9" s="156" t="s">
        <v>833</v>
      </c>
      <c r="C9" s="156" t="s">
        <v>3038</v>
      </c>
      <c r="D9" s="156">
        <v>24</v>
      </c>
      <c r="E9" s="156" t="s">
        <v>3053</v>
      </c>
      <c r="F9" s="379" t="s">
        <v>3054</v>
      </c>
      <c r="G9" s="359" t="s">
        <v>4768</v>
      </c>
    </row>
    <row r="10" spans="1:7">
      <c r="A10" s="371" t="s">
        <v>3037</v>
      </c>
      <c r="B10" s="156" t="s">
        <v>833</v>
      </c>
      <c r="C10" s="156" t="s">
        <v>3038</v>
      </c>
      <c r="D10" s="156">
        <v>10</v>
      </c>
      <c r="E10" s="156" t="s">
        <v>3055</v>
      </c>
      <c r="F10" s="379" t="s">
        <v>3056</v>
      </c>
      <c r="G10" s="359" t="s">
        <v>4768</v>
      </c>
    </row>
    <row r="11" spans="1:7">
      <c r="A11" s="371" t="s">
        <v>3037</v>
      </c>
      <c r="B11" s="156" t="s">
        <v>833</v>
      </c>
      <c r="C11" s="156" t="s">
        <v>3038</v>
      </c>
      <c r="D11" s="156">
        <v>32</v>
      </c>
      <c r="E11" s="156" t="s">
        <v>3057</v>
      </c>
      <c r="F11" s="379" t="s">
        <v>3058</v>
      </c>
      <c r="G11" s="359" t="s">
        <v>4768</v>
      </c>
    </row>
    <row r="12" spans="1:7">
      <c r="A12" s="371" t="s">
        <v>3037</v>
      </c>
      <c r="B12" s="156" t="s">
        <v>833</v>
      </c>
      <c r="C12" s="156" t="s">
        <v>3038</v>
      </c>
      <c r="D12" s="156">
        <v>16</v>
      </c>
      <c r="E12" s="156" t="s">
        <v>3059</v>
      </c>
      <c r="F12" s="379" t="s">
        <v>3060</v>
      </c>
      <c r="G12" s="359" t="s">
        <v>4768</v>
      </c>
    </row>
    <row r="13" spans="1:7">
      <c r="A13" s="371" t="s">
        <v>3037</v>
      </c>
      <c r="B13" s="156" t="s">
        <v>833</v>
      </c>
      <c r="C13" s="156" t="s">
        <v>3038</v>
      </c>
      <c r="D13" s="156">
        <v>40</v>
      </c>
      <c r="E13" s="156" t="s">
        <v>3061</v>
      </c>
      <c r="F13" s="379" t="s">
        <v>3062</v>
      </c>
      <c r="G13" s="359" t="s">
        <v>4768</v>
      </c>
    </row>
    <row r="14" spans="1:7">
      <c r="A14" s="371" t="s">
        <v>3037</v>
      </c>
      <c r="B14" s="156" t="s">
        <v>833</v>
      </c>
      <c r="C14" s="156" t="s">
        <v>3038</v>
      </c>
      <c r="D14" s="156">
        <v>36</v>
      </c>
      <c r="E14" s="156" t="s">
        <v>3063</v>
      </c>
      <c r="F14" s="379" t="s">
        <v>3064</v>
      </c>
      <c r="G14" s="359" t="s">
        <v>4768</v>
      </c>
    </row>
    <row r="15" spans="1:7">
      <c r="A15" s="371" t="s">
        <v>3037</v>
      </c>
      <c r="B15" s="156" t="s">
        <v>833</v>
      </c>
      <c r="C15" s="156" t="s">
        <v>3038</v>
      </c>
      <c r="D15" s="156">
        <v>533</v>
      </c>
      <c r="E15" s="156" t="s">
        <v>3065</v>
      </c>
      <c r="F15" s="379" t="s">
        <v>3066</v>
      </c>
      <c r="G15" s="359" t="s">
        <v>4768</v>
      </c>
    </row>
    <row r="16" spans="1:7">
      <c r="A16" s="371" t="s">
        <v>3037</v>
      </c>
      <c r="B16" s="156" t="s">
        <v>833</v>
      </c>
      <c r="C16" s="156" t="s">
        <v>3038</v>
      </c>
      <c r="D16" s="156">
        <v>248</v>
      </c>
      <c r="E16" s="156" t="s">
        <v>3067</v>
      </c>
      <c r="F16" s="379" t="s">
        <v>3068</v>
      </c>
      <c r="G16" s="359" t="s">
        <v>4768</v>
      </c>
    </row>
    <row r="17" spans="1:7">
      <c r="A17" s="371" t="s">
        <v>3037</v>
      </c>
      <c r="B17" s="156" t="s">
        <v>833</v>
      </c>
      <c r="C17" s="156" t="s">
        <v>3038</v>
      </c>
      <c r="D17" s="156">
        <v>31</v>
      </c>
      <c r="E17" s="156" t="s">
        <v>3069</v>
      </c>
      <c r="F17" s="379" t="s">
        <v>3070</v>
      </c>
      <c r="G17" s="359" t="s">
        <v>4768</v>
      </c>
    </row>
    <row r="18" spans="1:7">
      <c r="A18" s="371" t="s">
        <v>3037</v>
      </c>
      <c r="B18" s="156" t="s">
        <v>833</v>
      </c>
      <c r="C18" s="156" t="s">
        <v>3038</v>
      </c>
      <c r="D18" s="156">
        <v>70</v>
      </c>
      <c r="E18" s="156" t="s">
        <v>3071</v>
      </c>
      <c r="F18" s="379" t="s">
        <v>3072</v>
      </c>
      <c r="G18" s="359" t="s">
        <v>4768</v>
      </c>
    </row>
    <row r="19" spans="1:7">
      <c r="A19" s="371" t="s">
        <v>3037</v>
      </c>
      <c r="B19" s="156" t="s">
        <v>833</v>
      </c>
      <c r="C19" s="156" t="s">
        <v>3038</v>
      </c>
      <c r="D19" s="156">
        <v>52</v>
      </c>
      <c r="E19" s="156" t="s">
        <v>3073</v>
      </c>
      <c r="F19" s="379" t="s">
        <v>3074</v>
      </c>
      <c r="G19" s="359" t="s">
        <v>4768</v>
      </c>
    </row>
    <row r="20" spans="1:7">
      <c r="A20" s="371" t="s">
        <v>3037</v>
      </c>
      <c r="B20" s="156" t="s">
        <v>833</v>
      </c>
      <c r="C20" s="156" t="s">
        <v>3038</v>
      </c>
      <c r="D20" s="156">
        <v>50</v>
      </c>
      <c r="E20" s="156" t="s">
        <v>3075</v>
      </c>
      <c r="F20" s="379" t="s">
        <v>3076</v>
      </c>
      <c r="G20" s="359" t="s">
        <v>4768</v>
      </c>
    </row>
    <row r="21" spans="1:7">
      <c r="A21" s="371" t="s">
        <v>3037</v>
      </c>
      <c r="B21" s="156" t="s">
        <v>833</v>
      </c>
      <c r="C21" s="156" t="s">
        <v>3038</v>
      </c>
      <c r="D21" s="156">
        <v>56</v>
      </c>
      <c r="E21" s="156" t="s">
        <v>3077</v>
      </c>
      <c r="F21" s="379" t="s">
        <v>3078</v>
      </c>
      <c r="G21" s="359" t="s">
        <v>4768</v>
      </c>
    </row>
    <row r="22" spans="1:7">
      <c r="A22" s="371" t="s">
        <v>3037</v>
      </c>
      <c r="B22" s="156" t="s">
        <v>833</v>
      </c>
      <c r="C22" s="156" t="s">
        <v>3038</v>
      </c>
      <c r="D22" s="156">
        <v>854</v>
      </c>
      <c r="E22" s="156" t="s">
        <v>3079</v>
      </c>
      <c r="F22" s="379" t="s">
        <v>3080</v>
      </c>
      <c r="G22" s="359" t="s">
        <v>4768</v>
      </c>
    </row>
    <row r="23" spans="1:7">
      <c r="A23" s="371" t="s">
        <v>3037</v>
      </c>
      <c r="B23" s="156" t="s">
        <v>833</v>
      </c>
      <c r="C23" s="156" t="s">
        <v>3038</v>
      </c>
      <c r="D23" s="156">
        <v>100</v>
      </c>
      <c r="E23" s="156" t="s">
        <v>3081</v>
      </c>
      <c r="F23" s="379" t="s">
        <v>3082</v>
      </c>
      <c r="G23" s="359" t="s">
        <v>4768</v>
      </c>
    </row>
    <row r="24" spans="1:7">
      <c r="A24" s="371" t="s">
        <v>3037</v>
      </c>
      <c r="B24" s="156" t="s">
        <v>833</v>
      </c>
      <c r="C24" s="156" t="s">
        <v>3038</v>
      </c>
      <c r="D24" s="156">
        <v>48</v>
      </c>
      <c r="E24" s="156" t="s">
        <v>3083</v>
      </c>
      <c r="F24" s="379" t="s">
        <v>3084</v>
      </c>
      <c r="G24" s="359" t="s">
        <v>4768</v>
      </c>
    </row>
    <row r="25" spans="1:7">
      <c r="A25" s="371" t="s">
        <v>3037</v>
      </c>
      <c r="B25" s="156" t="s">
        <v>833</v>
      </c>
      <c r="C25" s="156" t="s">
        <v>3038</v>
      </c>
      <c r="D25" s="156">
        <v>108</v>
      </c>
      <c r="E25" s="156" t="s">
        <v>3085</v>
      </c>
      <c r="F25" s="379" t="s">
        <v>3086</v>
      </c>
      <c r="G25" s="359" t="s">
        <v>4768</v>
      </c>
    </row>
    <row r="26" spans="1:7">
      <c r="A26" s="371" t="s">
        <v>3037</v>
      </c>
      <c r="B26" s="156" t="s">
        <v>833</v>
      </c>
      <c r="C26" s="156" t="s">
        <v>3038</v>
      </c>
      <c r="D26" s="156">
        <v>204</v>
      </c>
      <c r="E26" s="156" t="s">
        <v>3087</v>
      </c>
      <c r="F26" s="379" t="s">
        <v>3088</v>
      </c>
      <c r="G26" s="359" t="s">
        <v>4768</v>
      </c>
    </row>
    <row r="27" spans="1:7">
      <c r="A27" s="371" t="s">
        <v>3037</v>
      </c>
      <c r="B27" s="156" t="s">
        <v>833</v>
      </c>
      <c r="C27" s="156" t="s">
        <v>3038</v>
      </c>
      <c r="D27" s="156">
        <v>652</v>
      </c>
      <c r="E27" s="156" t="s">
        <v>3089</v>
      </c>
      <c r="F27" s="379" t="s">
        <v>3090</v>
      </c>
      <c r="G27" s="359" t="s">
        <v>4768</v>
      </c>
    </row>
    <row r="28" spans="1:7">
      <c r="A28" s="371" t="s">
        <v>3037</v>
      </c>
      <c r="B28" s="156" t="s">
        <v>833</v>
      </c>
      <c r="C28" s="156" t="s">
        <v>3038</v>
      </c>
      <c r="D28" s="156">
        <v>60</v>
      </c>
      <c r="E28" s="156" t="s">
        <v>3091</v>
      </c>
      <c r="F28" s="379" t="s">
        <v>3092</v>
      </c>
      <c r="G28" s="359" t="s">
        <v>4768</v>
      </c>
    </row>
    <row r="29" spans="1:7">
      <c r="A29" s="371" t="s">
        <v>3037</v>
      </c>
      <c r="B29" s="156" t="s">
        <v>833</v>
      </c>
      <c r="C29" s="156" t="s">
        <v>3038</v>
      </c>
      <c r="D29" s="156">
        <v>96</v>
      </c>
      <c r="E29" s="156" t="s">
        <v>3093</v>
      </c>
      <c r="F29" s="379" t="s">
        <v>3094</v>
      </c>
      <c r="G29" s="359" t="s">
        <v>4768</v>
      </c>
    </row>
    <row r="30" spans="1:7">
      <c r="A30" s="371" t="s">
        <v>3037</v>
      </c>
      <c r="B30" s="156" t="s">
        <v>833</v>
      </c>
      <c r="C30" s="156" t="s">
        <v>3038</v>
      </c>
      <c r="D30" s="156">
        <v>68</v>
      </c>
      <c r="E30" s="156" t="s">
        <v>3095</v>
      </c>
      <c r="F30" s="379" t="s">
        <v>3096</v>
      </c>
      <c r="G30" s="359" t="s">
        <v>4768</v>
      </c>
    </row>
    <row r="31" spans="1:7">
      <c r="A31" s="371" t="s">
        <v>3037</v>
      </c>
      <c r="B31" s="156" t="s">
        <v>833</v>
      </c>
      <c r="C31" s="156" t="s">
        <v>3038</v>
      </c>
      <c r="D31" s="156">
        <v>535</v>
      </c>
      <c r="E31" s="156" t="s">
        <v>3097</v>
      </c>
      <c r="F31" s="379" t="s">
        <v>3098</v>
      </c>
      <c r="G31" s="359" t="s">
        <v>4768</v>
      </c>
    </row>
    <row r="32" spans="1:7">
      <c r="A32" s="371" t="s">
        <v>3037</v>
      </c>
      <c r="B32" s="156" t="s">
        <v>833</v>
      </c>
      <c r="C32" s="156" t="s">
        <v>3038</v>
      </c>
      <c r="D32" s="156">
        <v>76</v>
      </c>
      <c r="E32" s="156" t="s">
        <v>3099</v>
      </c>
      <c r="F32" s="379" t="s">
        <v>3100</v>
      </c>
      <c r="G32" s="359" t="s">
        <v>4768</v>
      </c>
    </row>
    <row r="33" spans="1:7">
      <c r="A33" s="371" t="s">
        <v>3037</v>
      </c>
      <c r="B33" s="156" t="s">
        <v>833</v>
      </c>
      <c r="C33" s="156" t="s">
        <v>3038</v>
      </c>
      <c r="D33" s="156">
        <v>44</v>
      </c>
      <c r="E33" s="156" t="s">
        <v>3101</v>
      </c>
      <c r="F33" s="379" t="s">
        <v>3102</v>
      </c>
      <c r="G33" s="359" t="s">
        <v>4768</v>
      </c>
    </row>
    <row r="34" spans="1:7">
      <c r="A34" s="371" t="s">
        <v>3037</v>
      </c>
      <c r="B34" s="156" t="s">
        <v>833</v>
      </c>
      <c r="C34" s="156" t="s">
        <v>3038</v>
      </c>
      <c r="D34" s="156">
        <v>64</v>
      </c>
      <c r="E34" s="156" t="s">
        <v>3103</v>
      </c>
      <c r="F34" s="379" t="s">
        <v>3104</v>
      </c>
      <c r="G34" s="359" t="s">
        <v>4768</v>
      </c>
    </row>
    <row r="35" spans="1:7">
      <c r="A35" s="371" t="s">
        <v>3037</v>
      </c>
      <c r="B35" s="156" t="s">
        <v>833</v>
      </c>
      <c r="C35" s="156" t="s">
        <v>3038</v>
      </c>
      <c r="D35" s="156">
        <v>74</v>
      </c>
      <c r="E35" s="156" t="s">
        <v>3105</v>
      </c>
      <c r="F35" s="379" t="s">
        <v>3106</v>
      </c>
      <c r="G35" s="359" t="s">
        <v>4768</v>
      </c>
    </row>
    <row r="36" spans="1:7">
      <c r="A36" s="371" t="s">
        <v>3037</v>
      </c>
      <c r="B36" s="156" t="s">
        <v>833</v>
      </c>
      <c r="C36" s="156" t="s">
        <v>3038</v>
      </c>
      <c r="D36" s="156">
        <v>72</v>
      </c>
      <c r="E36" s="156" t="s">
        <v>3107</v>
      </c>
      <c r="F36" s="379" t="s">
        <v>3108</v>
      </c>
      <c r="G36" s="359" t="s">
        <v>4768</v>
      </c>
    </row>
    <row r="37" spans="1:7">
      <c r="A37" s="371" t="s">
        <v>3037</v>
      </c>
      <c r="B37" s="156" t="s">
        <v>833</v>
      </c>
      <c r="C37" s="156" t="s">
        <v>3038</v>
      </c>
      <c r="D37" s="156">
        <v>112</v>
      </c>
      <c r="E37" s="156" t="s">
        <v>3109</v>
      </c>
      <c r="F37" s="379" t="s">
        <v>3110</v>
      </c>
      <c r="G37" s="359" t="s">
        <v>4768</v>
      </c>
    </row>
    <row r="38" spans="1:7">
      <c r="A38" s="371" t="s">
        <v>3037</v>
      </c>
      <c r="B38" s="156" t="s">
        <v>833</v>
      </c>
      <c r="C38" s="156" t="s">
        <v>3038</v>
      </c>
      <c r="D38" s="156">
        <v>84</v>
      </c>
      <c r="E38" s="156" t="s">
        <v>3111</v>
      </c>
      <c r="F38" s="379" t="s">
        <v>3112</v>
      </c>
      <c r="G38" s="359" t="s">
        <v>4768</v>
      </c>
    </row>
    <row r="39" spans="1:7">
      <c r="A39" s="371" t="s">
        <v>3037</v>
      </c>
      <c r="B39" s="156" t="s">
        <v>833</v>
      </c>
      <c r="C39" s="156" t="s">
        <v>3038</v>
      </c>
      <c r="D39" s="156">
        <v>124</v>
      </c>
      <c r="E39" s="156" t="s">
        <v>3113</v>
      </c>
      <c r="F39" s="379" t="s">
        <v>3114</v>
      </c>
      <c r="G39" s="359" t="s">
        <v>4768</v>
      </c>
    </row>
    <row r="40" spans="1:7">
      <c r="A40" s="371" t="s">
        <v>3037</v>
      </c>
      <c r="B40" s="156" t="s">
        <v>833</v>
      </c>
      <c r="C40" s="156" t="s">
        <v>3038</v>
      </c>
      <c r="D40" s="156">
        <v>166</v>
      </c>
      <c r="E40" s="156" t="s">
        <v>3115</v>
      </c>
      <c r="F40" s="379" t="s">
        <v>3116</v>
      </c>
      <c r="G40" s="359" t="s">
        <v>4768</v>
      </c>
    </row>
    <row r="41" spans="1:7">
      <c r="A41" s="371" t="s">
        <v>3037</v>
      </c>
      <c r="B41" s="156" t="s">
        <v>833</v>
      </c>
      <c r="C41" s="156" t="s">
        <v>3038</v>
      </c>
      <c r="D41" s="156">
        <v>180</v>
      </c>
      <c r="E41" s="156" t="s">
        <v>3117</v>
      </c>
      <c r="F41" s="379" t="s">
        <v>3118</v>
      </c>
      <c r="G41" s="359" t="s">
        <v>4768</v>
      </c>
    </row>
    <row r="42" spans="1:7">
      <c r="A42" s="371" t="s">
        <v>3037</v>
      </c>
      <c r="B42" s="156" t="s">
        <v>833</v>
      </c>
      <c r="C42" s="156" t="s">
        <v>3038</v>
      </c>
      <c r="D42" s="156">
        <v>140</v>
      </c>
      <c r="E42" s="156" t="s">
        <v>3119</v>
      </c>
      <c r="F42" s="379" t="s">
        <v>3120</v>
      </c>
      <c r="G42" s="359" t="s">
        <v>4768</v>
      </c>
    </row>
    <row r="43" spans="1:7">
      <c r="A43" s="371" t="s">
        <v>3037</v>
      </c>
      <c r="B43" s="156" t="s">
        <v>833</v>
      </c>
      <c r="C43" s="156" t="s">
        <v>3038</v>
      </c>
      <c r="D43" s="156">
        <v>178</v>
      </c>
      <c r="E43" s="156" t="s">
        <v>3121</v>
      </c>
      <c r="F43" s="379" t="s">
        <v>3122</v>
      </c>
      <c r="G43" s="359" t="s">
        <v>4768</v>
      </c>
    </row>
    <row r="44" spans="1:7">
      <c r="A44" s="371" t="s">
        <v>3037</v>
      </c>
      <c r="B44" s="156" t="s">
        <v>833</v>
      </c>
      <c r="C44" s="156" t="s">
        <v>3038</v>
      </c>
      <c r="D44" s="156">
        <v>756</v>
      </c>
      <c r="E44" s="156" t="s">
        <v>3123</v>
      </c>
      <c r="F44" s="379" t="s">
        <v>3124</v>
      </c>
      <c r="G44" s="359" t="s">
        <v>4768</v>
      </c>
    </row>
    <row r="45" spans="1:7">
      <c r="A45" s="371" t="s">
        <v>3037</v>
      </c>
      <c r="B45" s="156" t="s">
        <v>833</v>
      </c>
      <c r="C45" s="156" t="s">
        <v>3038</v>
      </c>
      <c r="D45" s="156">
        <v>384</v>
      </c>
      <c r="E45" s="156" t="s">
        <v>3125</v>
      </c>
      <c r="F45" s="379" t="s">
        <v>3126</v>
      </c>
      <c r="G45" s="359" t="s">
        <v>4768</v>
      </c>
    </row>
    <row r="46" spans="1:7">
      <c r="A46" s="371" t="s">
        <v>3037</v>
      </c>
      <c r="B46" s="156" t="s">
        <v>833</v>
      </c>
      <c r="C46" s="156" t="s">
        <v>3038</v>
      </c>
      <c r="D46" s="156">
        <v>184</v>
      </c>
      <c r="E46" s="156" t="s">
        <v>3127</v>
      </c>
      <c r="F46" s="379" t="s">
        <v>3128</v>
      </c>
      <c r="G46" s="359" t="s">
        <v>4768</v>
      </c>
    </row>
    <row r="47" spans="1:7">
      <c r="A47" s="371" t="s">
        <v>3037</v>
      </c>
      <c r="B47" s="156" t="s">
        <v>833</v>
      </c>
      <c r="C47" s="156" t="s">
        <v>3038</v>
      </c>
      <c r="D47" s="156">
        <v>152</v>
      </c>
      <c r="E47" s="156" t="s">
        <v>3129</v>
      </c>
      <c r="F47" s="379" t="s">
        <v>3130</v>
      </c>
      <c r="G47" s="359" t="s">
        <v>4768</v>
      </c>
    </row>
    <row r="48" spans="1:7">
      <c r="A48" s="371" t="s">
        <v>3037</v>
      </c>
      <c r="B48" s="156" t="s">
        <v>833</v>
      </c>
      <c r="C48" s="156" t="s">
        <v>3038</v>
      </c>
      <c r="D48" s="156">
        <v>120</v>
      </c>
      <c r="E48" s="156" t="s">
        <v>3131</v>
      </c>
      <c r="F48" s="379" t="s">
        <v>3132</v>
      </c>
      <c r="G48" s="359" t="s">
        <v>4768</v>
      </c>
    </row>
    <row r="49" spans="1:7">
      <c r="A49" s="371" t="s">
        <v>3037</v>
      </c>
      <c r="B49" s="156" t="s">
        <v>833</v>
      </c>
      <c r="C49" s="156" t="s">
        <v>3038</v>
      </c>
      <c r="D49" s="156">
        <v>156</v>
      </c>
      <c r="E49" s="156" t="s">
        <v>3133</v>
      </c>
      <c r="F49" s="379" t="s">
        <v>3134</v>
      </c>
      <c r="G49" s="359" t="s">
        <v>4768</v>
      </c>
    </row>
    <row r="50" spans="1:7">
      <c r="A50" s="371" t="s">
        <v>3037</v>
      </c>
      <c r="B50" s="156" t="s">
        <v>833</v>
      </c>
      <c r="C50" s="156" t="s">
        <v>3038</v>
      </c>
      <c r="D50" s="156">
        <v>170</v>
      </c>
      <c r="E50" s="156" t="s">
        <v>3135</v>
      </c>
      <c r="F50" s="379" t="s">
        <v>3136</v>
      </c>
      <c r="G50" s="359" t="s">
        <v>4768</v>
      </c>
    </row>
    <row r="51" spans="1:7">
      <c r="A51" s="371" t="s">
        <v>3037</v>
      </c>
      <c r="B51" s="156" t="s">
        <v>833</v>
      </c>
      <c r="C51" s="156" t="s">
        <v>3038</v>
      </c>
      <c r="D51" s="156">
        <v>188</v>
      </c>
      <c r="E51" s="156" t="s">
        <v>3137</v>
      </c>
      <c r="F51" s="379" t="s">
        <v>3138</v>
      </c>
      <c r="G51" s="359" t="s">
        <v>4768</v>
      </c>
    </row>
    <row r="52" spans="1:7">
      <c r="A52" s="371" t="s">
        <v>3037</v>
      </c>
      <c r="B52" s="156" t="s">
        <v>833</v>
      </c>
      <c r="C52" s="156" t="s">
        <v>3038</v>
      </c>
      <c r="D52" s="156">
        <v>192</v>
      </c>
      <c r="E52" s="156" t="s">
        <v>3139</v>
      </c>
      <c r="F52" s="379" t="s">
        <v>3140</v>
      </c>
      <c r="G52" s="359" t="s">
        <v>4768</v>
      </c>
    </row>
    <row r="53" spans="1:7">
      <c r="A53" s="371" t="s">
        <v>3037</v>
      </c>
      <c r="B53" s="156" t="s">
        <v>833</v>
      </c>
      <c r="C53" s="156" t="s">
        <v>3038</v>
      </c>
      <c r="D53" s="156">
        <v>132</v>
      </c>
      <c r="E53" s="156" t="s">
        <v>3141</v>
      </c>
      <c r="F53" s="379" t="s">
        <v>3142</v>
      </c>
      <c r="G53" s="359" t="s">
        <v>4768</v>
      </c>
    </row>
    <row r="54" spans="1:7">
      <c r="A54" s="371" t="s">
        <v>3037</v>
      </c>
      <c r="B54" s="156" t="s">
        <v>833</v>
      </c>
      <c r="C54" s="156" t="s">
        <v>3038</v>
      </c>
      <c r="D54" s="156">
        <v>531</v>
      </c>
      <c r="E54" s="156" t="s">
        <v>3143</v>
      </c>
      <c r="F54" s="379" t="s">
        <v>3144</v>
      </c>
      <c r="G54" s="359" t="s">
        <v>4768</v>
      </c>
    </row>
    <row r="55" spans="1:7">
      <c r="A55" s="371" t="s">
        <v>3037</v>
      </c>
      <c r="B55" s="156" t="s">
        <v>833</v>
      </c>
      <c r="C55" s="156" t="s">
        <v>3038</v>
      </c>
      <c r="D55" s="156">
        <v>162</v>
      </c>
      <c r="E55" s="156" t="s">
        <v>3145</v>
      </c>
      <c r="F55" s="379" t="s">
        <v>3146</v>
      </c>
      <c r="G55" s="359" t="s">
        <v>4768</v>
      </c>
    </row>
    <row r="56" spans="1:7">
      <c r="A56" s="371" t="s">
        <v>3037</v>
      </c>
      <c r="B56" s="156" t="s">
        <v>833</v>
      </c>
      <c r="C56" s="156" t="s">
        <v>3038</v>
      </c>
      <c r="D56" s="156">
        <v>196</v>
      </c>
      <c r="E56" s="156" t="s">
        <v>3147</v>
      </c>
      <c r="F56" s="379" t="s">
        <v>3148</v>
      </c>
      <c r="G56" s="359" t="s">
        <v>4768</v>
      </c>
    </row>
    <row r="57" spans="1:7">
      <c r="A57" s="371" t="s">
        <v>3037</v>
      </c>
      <c r="B57" s="156" t="s">
        <v>833</v>
      </c>
      <c r="C57" s="156" t="s">
        <v>3038</v>
      </c>
      <c r="D57" s="156">
        <v>203</v>
      </c>
      <c r="E57" s="156" t="s">
        <v>3149</v>
      </c>
      <c r="F57" s="379" t="s">
        <v>3150</v>
      </c>
      <c r="G57" s="359" t="s">
        <v>4768</v>
      </c>
    </row>
    <row r="58" spans="1:7">
      <c r="A58" s="371" t="s">
        <v>3037</v>
      </c>
      <c r="B58" s="156" t="s">
        <v>833</v>
      </c>
      <c r="C58" s="156" t="s">
        <v>3038</v>
      </c>
      <c r="D58" s="156">
        <v>276</v>
      </c>
      <c r="E58" s="156" t="s">
        <v>3151</v>
      </c>
      <c r="F58" s="379" t="s">
        <v>3152</v>
      </c>
      <c r="G58" s="359" t="s">
        <v>4768</v>
      </c>
    </row>
    <row r="59" spans="1:7">
      <c r="A59" s="371" t="s">
        <v>3037</v>
      </c>
      <c r="B59" s="156" t="s">
        <v>833</v>
      </c>
      <c r="C59" s="156" t="s">
        <v>3038</v>
      </c>
      <c r="D59" s="156">
        <v>262</v>
      </c>
      <c r="E59" s="156" t="s">
        <v>3153</v>
      </c>
      <c r="F59" s="379" t="s">
        <v>3154</v>
      </c>
      <c r="G59" s="359" t="s">
        <v>4768</v>
      </c>
    </row>
    <row r="60" spans="1:7">
      <c r="A60" s="371" t="s">
        <v>3037</v>
      </c>
      <c r="B60" s="156" t="s">
        <v>833</v>
      </c>
      <c r="C60" s="156" t="s">
        <v>3038</v>
      </c>
      <c r="D60" s="156">
        <v>208</v>
      </c>
      <c r="E60" s="156" t="s">
        <v>3155</v>
      </c>
      <c r="F60" s="379" t="s">
        <v>3156</v>
      </c>
      <c r="G60" s="359" t="s">
        <v>4768</v>
      </c>
    </row>
    <row r="61" spans="1:7">
      <c r="A61" s="371" t="s">
        <v>3037</v>
      </c>
      <c r="B61" s="156" t="s">
        <v>833</v>
      </c>
      <c r="C61" s="156" t="s">
        <v>3038</v>
      </c>
      <c r="D61" s="156">
        <v>212</v>
      </c>
      <c r="E61" s="156" t="s">
        <v>3157</v>
      </c>
      <c r="F61" s="379" t="s">
        <v>3158</v>
      </c>
      <c r="G61" s="359" t="s">
        <v>4768</v>
      </c>
    </row>
    <row r="62" spans="1:7">
      <c r="A62" s="371" t="s">
        <v>3037</v>
      </c>
      <c r="B62" s="156" t="s">
        <v>833</v>
      </c>
      <c r="C62" s="156" t="s">
        <v>3038</v>
      </c>
      <c r="D62" s="156">
        <v>214</v>
      </c>
      <c r="E62" s="156" t="s">
        <v>3159</v>
      </c>
      <c r="F62" s="379" t="s">
        <v>3160</v>
      </c>
      <c r="G62" s="359" t="s">
        <v>4768</v>
      </c>
    </row>
    <row r="63" spans="1:7">
      <c r="A63" s="371" t="s">
        <v>3037</v>
      </c>
      <c r="B63" s="156" t="s">
        <v>833</v>
      </c>
      <c r="C63" s="156" t="s">
        <v>3038</v>
      </c>
      <c r="D63" s="156">
        <v>12</v>
      </c>
      <c r="E63" s="156" t="s">
        <v>3161</v>
      </c>
      <c r="F63" s="379" t="s">
        <v>3162</v>
      </c>
      <c r="G63" s="359" t="s">
        <v>4768</v>
      </c>
    </row>
    <row r="64" spans="1:7">
      <c r="A64" s="371" t="s">
        <v>3037</v>
      </c>
      <c r="B64" s="156" t="s">
        <v>833</v>
      </c>
      <c r="C64" s="156" t="s">
        <v>3038</v>
      </c>
      <c r="D64" s="156">
        <v>218</v>
      </c>
      <c r="E64" s="156" t="s">
        <v>3163</v>
      </c>
      <c r="F64" s="379" t="s">
        <v>3164</v>
      </c>
      <c r="G64" s="359" t="s">
        <v>4768</v>
      </c>
    </row>
    <row r="65" spans="1:7">
      <c r="A65" s="371" t="s">
        <v>3037</v>
      </c>
      <c r="B65" s="156" t="s">
        <v>833</v>
      </c>
      <c r="C65" s="156" t="s">
        <v>3038</v>
      </c>
      <c r="D65" s="156">
        <v>233</v>
      </c>
      <c r="E65" s="156" t="s">
        <v>3165</v>
      </c>
      <c r="F65" s="379" t="s">
        <v>3166</v>
      </c>
      <c r="G65" s="359" t="s">
        <v>4768</v>
      </c>
    </row>
    <row r="66" spans="1:7">
      <c r="A66" s="371" t="s">
        <v>3037</v>
      </c>
      <c r="B66" s="156" t="s">
        <v>833</v>
      </c>
      <c r="C66" s="156" t="s">
        <v>3038</v>
      </c>
      <c r="D66" s="156">
        <v>818</v>
      </c>
      <c r="E66" s="156" t="s">
        <v>3167</v>
      </c>
      <c r="F66" s="379" t="s">
        <v>3168</v>
      </c>
      <c r="G66" s="359" t="s">
        <v>4768</v>
      </c>
    </row>
    <row r="67" spans="1:7">
      <c r="A67" s="371" t="s">
        <v>3037</v>
      </c>
      <c r="B67" s="156" t="s">
        <v>833</v>
      </c>
      <c r="C67" s="156" t="s">
        <v>3038</v>
      </c>
      <c r="D67" s="156">
        <v>732</v>
      </c>
      <c r="E67" s="156" t="s">
        <v>3169</v>
      </c>
      <c r="F67" s="379" t="s">
        <v>3170</v>
      </c>
      <c r="G67" s="359" t="s">
        <v>4768</v>
      </c>
    </row>
    <row r="68" spans="1:7">
      <c r="A68" s="371" t="s">
        <v>3037</v>
      </c>
      <c r="B68" s="156" t="s">
        <v>833</v>
      </c>
      <c r="C68" s="156" t="s">
        <v>3038</v>
      </c>
      <c r="D68" s="156">
        <v>232</v>
      </c>
      <c r="E68" s="156" t="s">
        <v>3171</v>
      </c>
      <c r="F68" s="379" t="s">
        <v>3172</v>
      </c>
      <c r="G68" s="359" t="s">
        <v>4768</v>
      </c>
    </row>
    <row r="69" spans="1:7">
      <c r="A69" s="371" t="s">
        <v>3037</v>
      </c>
      <c r="B69" s="156" t="s">
        <v>833</v>
      </c>
      <c r="C69" s="156" t="s">
        <v>3038</v>
      </c>
      <c r="D69" s="156">
        <v>724</v>
      </c>
      <c r="E69" s="156" t="s">
        <v>3173</v>
      </c>
      <c r="F69" s="379" t="s">
        <v>3174</v>
      </c>
      <c r="G69" s="359" t="s">
        <v>4768</v>
      </c>
    </row>
    <row r="70" spans="1:7">
      <c r="A70" s="371" t="s">
        <v>3037</v>
      </c>
      <c r="B70" s="156" t="s">
        <v>833</v>
      </c>
      <c r="C70" s="156" t="s">
        <v>3038</v>
      </c>
      <c r="D70" s="156">
        <v>231</v>
      </c>
      <c r="E70" s="156" t="s">
        <v>3175</v>
      </c>
      <c r="F70" s="379" t="s">
        <v>3176</v>
      </c>
      <c r="G70" s="359" t="s">
        <v>4768</v>
      </c>
    </row>
    <row r="71" spans="1:7">
      <c r="A71" s="371" t="s">
        <v>3037</v>
      </c>
      <c r="B71" s="156" t="s">
        <v>833</v>
      </c>
      <c r="C71" s="156" t="s">
        <v>3038</v>
      </c>
      <c r="D71" s="156">
        <v>246</v>
      </c>
      <c r="E71" s="156" t="s">
        <v>3177</v>
      </c>
      <c r="F71" s="379" t="s">
        <v>3178</v>
      </c>
      <c r="G71" s="359" t="s">
        <v>4768</v>
      </c>
    </row>
    <row r="72" spans="1:7">
      <c r="A72" s="371" t="s">
        <v>3037</v>
      </c>
      <c r="B72" s="156" t="s">
        <v>833</v>
      </c>
      <c r="C72" s="156" t="s">
        <v>3038</v>
      </c>
      <c r="D72" s="156">
        <v>242</v>
      </c>
      <c r="E72" s="156" t="s">
        <v>3179</v>
      </c>
      <c r="F72" s="379" t="s">
        <v>3180</v>
      </c>
      <c r="G72" s="359" t="s">
        <v>4768</v>
      </c>
    </row>
    <row r="73" spans="1:7">
      <c r="A73" s="371" t="s">
        <v>3037</v>
      </c>
      <c r="B73" s="156" t="s">
        <v>833</v>
      </c>
      <c r="C73" s="156" t="s">
        <v>3038</v>
      </c>
      <c r="D73" s="156">
        <v>238</v>
      </c>
      <c r="E73" s="156" t="s">
        <v>3181</v>
      </c>
      <c r="F73" s="379" t="s">
        <v>3182</v>
      </c>
      <c r="G73" s="359" t="s">
        <v>4768</v>
      </c>
    </row>
    <row r="74" spans="1:7">
      <c r="A74" s="371" t="s">
        <v>3037</v>
      </c>
      <c r="B74" s="156" t="s">
        <v>833</v>
      </c>
      <c r="C74" s="156" t="s">
        <v>3038</v>
      </c>
      <c r="D74" s="156">
        <v>583</v>
      </c>
      <c r="E74" s="156" t="s">
        <v>3183</v>
      </c>
      <c r="F74" s="379" t="s">
        <v>3184</v>
      </c>
      <c r="G74" s="359" t="s">
        <v>4768</v>
      </c>
    </row>
    <row r="75" spans="1:7">
      <c r="A75" s="371" t="s">
        <v>3037</v>
      </c>
      <c r="B75" s="156" t="s">
        <v>833</v>
      </c>
      <c r="C75" s="156" t="s">
        <v>3038</v>
      </c>
      <c r="D75" s="156">
        <v>234</v>
      </c>
      <c r="E75" s="156" t="s">
        <v>3185</v>
      </c>
      <c r="F75" s="379" t="s">
        <v>3186</v>
      </c>
      <c r="G75" s="359" t="s">
        <v>4768</v>
      </c>
    </row>
    <row r="76" spans="1:7">
      <c r="A76" s="371" t="s">
        <v>3037</v>
      </c>
      <c r="B76" s="156" t="s">
        <v>833</v>
      </c>
      <c r="C76" s="156" t="s">
        <v>3038</v>
      </c>
      <c r="D76" s="156">
        <v>250</v>
      </c>
      <c r="E76" s="156" t="s">
        <v>3187</v>
      </c>
      <c r="F76" s="379" t="s">
        <v>3188</v>
      </c>
      <c r="G76" s="359" t="s">
        <v>4768</v>
      </c>
    </row>
    <row r="77" spans="1:7">
      <c r="A77" s="371" t="s">
        <v>3037</v>
      </c>
      <c r="B77" s="156" t="s">
        <v>833</v>
      </c>
      <c r="C77" s="156" t="s">
        <v>3038</v>
      </c>
      <c r="D77" s="156">
        <v>266</v>
      </c>
      <c r="E77" s="156" t="s">
        <v>3189</v>
      </c>
      <c r="F77" s="379" t="s">
        <v>3190</v>
      </c>
      <c r="G77" s="359" t="s">
        <v>4768</v>
      </c>
    </row>
    <row r="78" spans="1:7">
      <c r="A78" s="371" t="s">
        <v>3037</v>
      </c>
      <c r="B78" s="156" t="s">
        <v>833</v>
      </c>
      <c r="C78" s="156" t="s">
        <v>3038</v>
      </c>
      <c r="D78" s="156">
        <v>826</v>
      </c>
      <c r="E78" s="156" t="s">
        <v>3191</v>
      </c>
      <c r="F78" s="379" t="s">
        <v>3192</v>
      </c>
      <c r="G78" s="359" t="s">
        <v>4768</v>
      </c>
    </row>
    <row r="79" spans="1:7">
      <c r="A79" s="371" t="s">
        <v>3037</v>
      </c>
      <c r="B79" s="156" t="s">
        <v>833</v>
      </c>
      <c r="C79" s="156" t="s">
        <v>3038</v>
      </c>
      <c r="D79" s="156">
        <v>308</v>
      </c>
      <c r="E79" s="156" t="s">
        <v>3193</v>
      </c>
      <c r="F79" s="379" t="s">
        <v>3194</v>
      </c>
      <c r="G79" s="359" t="s">
        <v>4768</v>
      </c>
    </row>
    <row r="80" spans="1:7">
      <c r="A80" s="371" t="s">
        <v>3037</v>
      </c>
      <c r="B80" s="156" t="s">
        <v>833</v>
      </c>
      <c r="C80" s="156" t="s">
        <v>3038</v>
      </c>
      <c r="D80" s="156">
        <v>268</v>
      </c>
      <c r="E80" s="156" t="s">
        <v>3195</v>
      </c>
      <c r="F80" s="379" t="s">
        <v>3196</v>
      </c>
      <c r="G80" s="359" t="s">
        <v>4768</v>
      </c>
    </row>
    <row r="81" spans="1:7">
      <c r="A81" s="371" t="s">
        <v>3037</v>
      </c>
      <c r="B81" s="156" t="s">
        <v>833</v>
      </c>
      <c r="C81" s="156" t="s">
        <v>3038</v>
      </c>
      <c r="D81" s="156">
        <v>831</v>
      </c>
      <c r="E81" s="156" t="s">
        <v>3197</v>
      </c>
      <c r="F81" s="379" t="s">
        <v>3198</v>
      </c>
      <c r="G81" s="359" t="s">
        <v>4768</v>
      </c>
    </row>
    <row r="82" spans="1:7">
      <c r="A82" s="371" t="s">
        <v>3037</v>
      </c>
      <c r="B82" s="156" t="s">
        <v>833</v>
      </c>
      <c r="C82" s="156" t="s">
        <v>3038</v>
      </c>
      <c r="D82" s="156">
        <v>288</v>
      </c>
      <c r="E82" s="156" t="s">
        <v>3199</v>
      </c>
      <c r="F82" s="379" t="s">
        <v>3200</v>
      </c>
      <c r="G82" s="359" t="s">
        <v>4768</v>
      </c>
    </row>
    <row r="83" spans="1:7">
      <c r="A83" s="371" t="s">
        <v>3037</v>
      </c>
      <c r="B83" s="156" t="s">
        <v>833</v>
      </c>
      <c r="C83" s="156" t="s">
        <v>3038</v>
      </c>
      <c r="D83" s="156">
        <v>292</v>
      </c>
      <c r="E83" s="156" t="s">
        <v>3201</v>
      </c>
      <c r="F83" s="379" t="s">
        <v>3202</v>
      </c>
      <c r="G83" s="359" t="s">
        <v>4768</v>
      </c>
    </row>
    <row r="84" spans="1:7">
      <c r="A84" s="371" t="s">
        <v>3037</v>
      </c>
      <c r="B84" s="156" t="s">
        <v>833</v>
      </c>
      <c r="C84" s="156" t="s">
        <v>3038</v>
      </c>
      <c r="D84" s="156">
        <v>304</v>
      </c>
      <c r="E84" s="156" t="s">
        <v>3203</v>
      </c>
      <c r="F84" s="379" t="s">
        <v>3204</v>
      </c>
      <c r="G84" s="359" t="s">
        <v>4768</v>
      </c>
    </row>
    <row r="85" spans="1:7">
      <c r="A85" s="371" t="s">
        <v>3037</v>
      </c>
      <c r="B85" s="156" t="s">
        <v>833</v>
      </c>
      <c r="C85" s="156" t="s">
        <v>3038</v>
      </c>
      <c r="D85" s="156">
        <v>270</v>
      </c>
      <c r="E85" s="156" t="s">
        <v>3205</v>
      </c>
      <c r="F85" s="379" t="s">
        <v>3206</v>
      </c>
      <c r="G85" s="359" t="s">
        <v>4768</v>
      </c>
    </row>
    <row r="86" spans="1:7">
      <c r="A86" s="371" t="s">
        <v>3037</v>
      </c>
      <c r="B86" s="156" t="s">
        <v>833</v>
      </c>
      <c r="C86" s="156" t="s">
        <v>3038</v>
      </c>
      <c r="D86" s="156">
        <v>324</v>
      </c>
      <c r="E86" s="156" t="s">
        <v>3207</v>
      </c>
      <c r="F86" s="379" t="s">
        <v>3208</v>
      </c>
      <c r="G86" s="359" t="s">
        <v>4768</v>
      </c>
    </row>
    <row r="87" spans="1:7">
      <c r="A87" s="371" t="s">
        <v>3037</v>
      </c>
      <c r="B87" s="156" t="s">
        <v>833</v>
      </c>
      <c r="C87" s="156" t="s">
        <v>3038</v>
      </c>
      <c r="D87" s="156">
        <v>226</v>
      </c>
      <c r="E87" s="156" t="s">
        <v>3209</v>
      </c>
      <c r="F87" s="379" t="s">
        <v>3210</v>
      </c>
      <c r="G87" s="359" t="s">
        <v>4768</v>
      </c>
    </row>
    <row r="88" spans="1:7">
      <c r="A88" s="371" t="s">
        <v>3037</v>
      </c>
      <c r="B88" s="156" t="s">
        <v>833</v>
      </c>
      <c r="C88" s="156" t="s">
        <v>3038</v>
      </c>
      <c r="D88" s="156">
        <v>300</v>
      </c>
      <c r="E88" s="156" t="s">
        <v>3211</v>
      </c>
      <c r="F88" s="379" t="s">
        <v>3212</v>
      </c>
      <c r="G88" s="359" t="s">
        <v>4768</v>
      </c>
    </row>
    <row r="89" spans="1:7">
      <c r="A89" s="371" t="s">
        <v>3037</v>
      </c>
      <c r="B89" s="156" t="s">
        <v>833</v>
      </c>
      <c r="C89" s="156" t="s">
        <v>3038</v>
      </c>
      <c r="D89" s="156">
        <v>239</v>
      </c>
      <c r="E89" s="156" t="s">
        <v>3213</v>
      </c>
      <c r="F89" s="379" t="s">
        <v>3214</v>
      </c>
      <c r="G89" s="359" t="s">
        <v>4768</v>
      </c>
    </row>
    <row r="90" spans="1:7">
      <c r="A90" s="371" t="s">
        <v>3037</v>
      </c>
      <c r="B90" s="156" t="s">
        <v>833</v>
      </c>
      <c r="C90" s="156" t="s">
        <v>3038</v>
      </c>
      <c r="D90" s="156">
        <v>320</v>
      </c>
      <c r="E90" s="156" t="s">
        <v>3215</v>
      </c>
      <c r="F90" s="379" t="s">
        <v>3216</v>
      </c>
      <c r="G90" s="359" t="s">
        <v>4768</v>
      </c>
    </row>
    <row r="91" spans="1:7">
      <c r="A91" s="371" t="s">
        <v>3037</v>
      </c>
      <c r="B91" s="156" t="s">
        <v>833</v>
      </c>
      <c r="C91" s="156" t="s">
        <v>3038</v>
      </c>
      <c r="D91" s="156">
        <v>316</v>
      </c>
      <c r="E91" s="156" t="s">
        <v>3217</v>
      </c>
      <c r="F91" s="379" t="s">
        <v>3218</v>
      </c>
      <c r="G91" s="359" t="s">
        <v>4768</v>
      </c>
    </row>
    <row r="92" spans="1:7">
      <c r="A92" s="371" t="s">
        <v>3037</v>
      </c>
      <c r="B92" s="156" t="s">
        <v>833</v>
      </c>
      <c r="C92" s="156" t="s">
        <v>3038</v>
      </c>
      <c r="D92" s="156">
        <v>624</v>
      </c>
      <c r="E92" s="156" t="s">
        <v>3219</v>
      </c>
      <c r="F92" s="379" t="s">
        <v>3220</v>
      </c>
      <c r="G92" s="359" t="s">
        <v>4768</v>
      </c>
    </row>
    <row r="93" spans="1:7">
      <c r="A93" s="371" t="s">
        <v>3037</v>
      </c>
      <c r="B93" s="156" t="s">
        <v>833</v>
      </c>
      <c r="C93" s="156" t="s">
        <v>3038</v>
      </c>
      <c r="D93" s="156">
        <v>328</v>
      </c>
      <c r="E93" s="156" t="s">
        <v>3221</v>
      </c>
      <c r="F93" s="379" t="s">
        <v>3222</v>
      </c>
      <c r="G93" s="359" t="s">
        <v>4768</v>
      </c>
    </row>
    <row r="94" spans="1:7">
      <c r="A94" s="371" t="s">
        <v>3037</v>
      </c>
      <c r="B94" s="156" t="s">
        <v>833</v>
      </c>
      <c r="C94" s="156" t="s">
        <v>3038</v>
      </c>
      <c r="D94" s="156">
        <v>344</v>
      </c>
      <c r="E94" s="156" t="s">
        <v>3223</v>
      </c>
      <c r="F94" s="379" t="s">
        <v>3224</v>
      </c>
      <c r="G94" s="359" t="s">
        <v>4768</v>
      </c>
    </row>
    <row r="95" spans="1:7">
      <c r="A95" s="371" t="s">
        <v>3037</v>
      </c>
      <c r="B95" s="156" t="s">
        <v>833</v>
      </c>
      <c r="C95" s="156" t="s">
        <v>3038</v>
      </c>
      <c r="D95" s="156">
        <v>334</v>
      </c>
      <c r="E95" s="156" t="s">
        <v>3225</v>
      </c>
      <c r="F95" s="379" t="s">
        <v>3226</v>
      </c>
      <c r="G95" s="359" t="s">
        <v>4768</v>
      </c>
    </row>
    <row r="96" spans="1:7">
      <c r="A96" s="371" t="s">
        <v>3037</v>
      </c>
      <c r="B96" s="156" t="s">
        <v>833</v>
      </c>
      <c r="C96" s="156" t="s">
        <v>3038</v>
      </c>
      <c r="D96" s="156">
        <v>340</v>
      </c>
      <c r="E96" s="156" t="s">
        <v>3227</v>
      </c>
      <c r="F96" s="379" t="s">
        <v>3228</v>
      </c>
      <c r="G96" s="359" t="s">
        <v>4768</v>
      </c>
    </row>
    <row r="97" spans="1:7">
      <c r="A97" s="371" t="s">
        <v>3037</v>
      </c>
      <c r="B97" s="156" t="s">
        <v>833</v>
      </c>
      <c r="C97" s="156" t="s">
        <v>3038</v>
      </c>
      <c r="D97" s="156">
        <v>191</v>
      </c>
      <c r="E97" s="156" t="s">
        <v>3229</v>
      </c>
      <c r="F97" s="379" t="s">
        <v>3230</v>
      </c>
      <c r="G97" s="359" t="s">
        <v>4768</v>
      </c>
    </row>
    <row r="98" spans="1:7">
      <c r="A98" s="371" t="s">
        <v>3037</v>
      </c>
      <c r="B98" s="156" t="s">
        <v>833</v>
      </c>
      <c r="C98" s="156" t="s">
        <v>3038</v>
      </c>
      <c r="D98" s="156">
        <v>332</v>
      </c>
      <c r="E98" s="156" t="s">
        <v>3231</v>
      </c>
      <c r="F98" s="379" t="s">
        <v>3232</v>
      </c>
      <c r="G98" s="359" t="s">
        <v>4768</v>
      </c>
    </row>
    <row r="99" spans="1:7">
      <c r="A99" s="371" t="s">
        <v>3037</v>
      </c>
      <c r="B99" s="156" t="s">
        <v>833</v>
      </c>
      <c r="C99" s="156" t="s">
        <v>3038</v>
      </c>
      <c r="D99" s="156">
        <v>348</v>
      </c>
      <c r="E99" s="156" t="s">
        <v>3233</v>
      </c>
      <c r="F99" s="379" t="s">
        <v>3234</v>
      </c>
      <c r="G99" s="359" t="s">
        <v>4768</v>
      </c>
    </row>
    <row r="100" spans="1:7">
      <c r="A100" s="371" t="s">
        <v>3037</v>
      </c>
      <c r="B100" s="156" t="s">
        <v>833</v>
      </c>
      <c r="C100" s="156" t="s">
        <v>3038</v>
      </c>
      <c r="D100" s="156">
        <v>360</v>
      </c>
      <c r="E100" s="156" t="s">
        <v>45</v>
      </c>
      <c r="F100" s="379" t="s">
        <v>3235</v>
      </c>
      <c r="G100" s="359" t="s">
        <v>4768</v>
      </c>
    </row>
    <row r="101" spans="1:7">
      <c r="A101" s="371" t="s">
        <v>3037</v>
      </c>
      <c r="B101" s="156" t="s">
        <v>833</v>
      </c>
      <c r="C101" s="156" t="s">
        <v>3038</v>
      </c>
      <c r="D101" s="156">
        <v>372</v>
      </c>
      <c r="E101" s="156" t="s">
        <v>3236</v>
      </c>
      <c r="F101" s="379" t="s">
        <v>3237</v>
      </c>
      <c r="G101" s="359" t="s">
        <v>4768</v>
      </c>
    </row>
    <row r="102" spans="1:7">
      <c r="A102" s="371" t="s">
        <v>3037</v>
      </c>
      <c r="B102" s="156" t="s">
        <v>833</v>
      </c>
      <c r="C102" s="156" t="s">
        <v>3038</v>
      </c>
      <c r="D102" s="156">
        <v>376</v>
      </c>
      <c r="E102" s="156" t="s">
        <v>3238</v>
      </c>
      <c r="F102" s="379" t="s">
        <v>3239</v>
      </c>
      <c r="G102" s="359" t="s">
        <v>4768</v>
      </c>
    </row>
    <row r="103" spans="1:7">
      <c r="A103" s="371" t="s">
        <v>3037</v>
      </c>
      <c r="B103" s="156" t="s">
        <v>833</v>
      </c>
      <c r="C103" s="156" t="s">
        <v>3038</v>
      </c>
      <c r="D103" s="156">
        <v>833</v>
      </c>
      <c r="E103" s="156" t="s">
        <v>3240</v>
      </c>
      <c r="F103" s="379" t="s">
        <v>3241</v>
      </c>
      <c r="G103" s="359" t="s">
        <v>4768</v>
      </c>
    </row>
    <row r="104" spans="1:7">
      <c r="A104" s="371" t="s">
        <v>3037</v>
      </c>
      <c r="B104" s="156" t="s">
        <v>833</v>
      </c>
      <c r="C104" s="156" t="s">
        <v>3038</v>
      </c>
      <c r="D104" s="156">
        <v>356</v>
      </c>
      <c r="E104" s="156" t="s">
        <v>3242</v>
      </c>
      <c r="F104" s="379" t="s">
        <v>3243</v>
      </c>
      <c r="G104" s="359" t="s">
        <v>4768</v>
      </c>
    </row>
    <row r="105" spans="1:7">
      <c r="A105" s="371" t="s">
        <v>3037</v>
      </c>
      <c r="B105" s="156" t="s">
        <v>833</v>
      </c>
      <c r="C105" s="156" t="s">
        <v>3038</v>
      </c>
      <c r="D105" s="156">
        <v>86</v>
      </c>
      <c r="E105" s="156" t="s">
        <v>3244</v>
      </c>
      <c r="F105" s="379" t="s">
        <v>3245</v>
      </c>
      <c r="G105" s="359" t="s">
        <v>4768</v>
      </c>
    </row>
    <row r="106" spans="1:7">
      <c r="A106" s="371" t="s">
        <v>3037</v>
      </c>
      <c r="B106" s="156" t="s">
        <v>833</v>
      </c>
      <c r="C106" s="156" t="s">
        <v>3038</v>
      </c>
      <c r="D106" s="156">
        <v>368</v>
      </c>
      <c r="E106" s="156" t="s">
        <v>3246</v>
      </c>
      <c r="F106" s="379" t="s">
        <v>3247</v>
      </c>
      <c r="G106" s="359" t="s">
        <v>4768</v>
      </c>
    </row>
    <row r="107" spans="1:7">
      <c r="A107" s="371" t="s">
        <v>3037</v>
      </c>
      <c r="B107" s="156" t="s">
        <v>833</v>
      </c>
      <c r="C107" s="156" t="s">
        <v>3038</v>
      </c>
      <c r="D107" s="156">
        <v>364</v>
      </c>
      <c r="E107" s="156" t="s">
        <v>3248</v>
      </c>
      <c r="F107" s="379" t="s">
        <v>3249</v>
      </c>
      <c r="G107" s="359" t="s">
        <v>4768</v>
      </c>
    </row>
    <row r="108" spans="1:7">
      <c r="A108" s="371" t="s">
        <v>3037</v>
      </c>
      <c r="B108" s="156" t="s">
        <v>833</v>
      </c>
      <c r="C108" s="156" t="s">
        <v>3038</v>
      </c>
      <c r="D108" s="156">
        <v>352</v>
      </c>
      <c r="E108" s="156" t="s">
        <v>3250</v>
      </c>
      <c r="F108" s="379" t="s">
        <v>3251</v>
      </c>
      <c r="G108" s="359" t="s">
        <v>4768</v>
      </c>
    </row>
    <row r="109" spans="1:7">
      <c r="A109" s="371" t="s">
        <v>3037</v>
      </c>
      <c r="B109" s="156" t="s">
        <v>833</v>
      </c>
      <c r="C109" s="156" t="s">
        <v>3038</v>
      </c>
      <c r="D109" s="156">
        <v>380</v>
      </c>
      <c r="E109" s="156" t="s">
        <v>3252</v>
      </c>
      <c r="F109" s="379" t="s">
        <v>3253</v>
      </c>
      <c r="G109" s="359" t="s">
        <v>4768</v>
      </c>
    </row>
    <row r="110" spans="1:7">
      <c r="A110" s="371" t="s">
        <v>3037</v>
      </c>
      <c r="B110" s="156" t="s">
        <v>833</v>
      </c>
      <c r="C110" s="156" t="s">
        <v>3038</v>
      </c>
      <c r="D110" s="156">
        <v>832</v>
      </c>
      <c r="E110" s="156" t="s">
        <v>3254</v>
      </c>
      <c r="F110" s="379" t="s">
        <v>3255</v>
      </c>
      <c r="G110" s="359" t="s">
        <v>4768</v>
      </c>
    </row>
    <row r="111" spans="1:7">
      <c r="A111" s="371" t="s">
        <v>3037</v>
      </c>
      <c r="B111" s="156" t="s">
        <v>833</v>
      </c>
      <c r="C111" s="156" t="s">
        <v>3038</v>
      </c>
      <c r="D111" s="156">
        <v>388</v>
      </c>
      <c r="E111" s="156" t="s">
        <v>3256</v>
      </c>
      <c r="F111" s="379" t="s">
        <v>3257</v>
      </c>
      <c r="G111" s="359" t="s">
        <v>4768</v>
      </c>
    </row>
    <row r="112" spans="1:7">
      <c r="A112" s="371" t="s">
        <v>3037</v>
      </c>
      <c r="B112" s="156" t="s">
        <v>833</v>
      </c>
      <c r="C112" s="156" t="s">
        <v>3038</v>
      </c>
      <c r="D112" s="156">
        <v>400</v>
      </c>
      <c r="E112" s="156" t="s">
        <v>3258</v>
      </c>
      <c r="F112" s="379" t="s">
        <v>3259</v>
      </c>
      <c r="G112" s="359" t="s">
        <v>4768</v>
      </c>
    </row>
    <row r="113" spans="1:7">
      <c r="A113" s="371" t="s">
        <v>3037</v>
      </c>
      <c r="B113" s="156" t="s">
        <v>833</v>
      </c>
      <c r="C113" s="156" t="s">
        <v>3038</v>
      </c>
      <c r="D113" s="156">
        <v>392</v>
      </c>
      <c r="E113" s="156" t="s">
        <v>3260</v>
      </c>
      <c r="F113" s="379" t="s">
        <v>3261</v>
      </c>
      <c r="G113" s="359" t="s">
        <v>4768</v>
      </c>
    </row>
    <row r="114" spans="1:7">
      <c r="A114" s="371" t="s">
        <v>3037</v>
      </c>
      <c r="B114" s="156" t="s">
        <v>833</v>
      </c>
      <c r="C114" s="156" t="s">
        <v>3038</v>
      </c>
      <c r="D114" s="156">
        <v>404</v>
      </c>
      <c r="E114" s="156" t="s">
        <v>3262</v>
      </c>
      <c r="F114" s="379" t="s">
        <v>3263</v>
      </c>
      <c r="G114" s="359" t="s">
        <v>4768</v>
      </c>
    </row>
    <row r="115" spans="1:7">
      <c r="A115" s="371" t="s">
        <v>3037</v>
      </c>
      <c r="B115" s="156" t="s">
        <v>833</v>
      </c>
      <c r="C115" s="156" t="s">
        <v>3038</v>
      </c>
      <c r="D115" s="156">
        <v>417</v>
      </c>
      <c r="E115" s="156" t="s">
        <v>3264</v>
      </c>
      <c r="F115" s="379" t="s">
        <v>3265</v>
      </c>
      <c r="G115" s="359" t="s">
        <v>4768</v>
      </c>
    </row>
    <row r="116" spans="1:7">
      <c r="A116" s="371" t="s">
        <v>3037</v>
      </c>
      <c r="B116" s="156" t="s">
        <v>833</v>
      </c>
      <c r="C116" s="156" t="s">
        <v>3038</v>
      </c>
      <c r="D116" s="156">
        <v>116</v>
      </c>
      <c r="E116" s="156" t="s">
        <v>3266</v>
      </c>
      <c r="F116" s="379" t="s">
        <v>3267</v>
      </c>
      <c r="G116" s="359" t="s">
        <v>4768</v>
      </c>
    </row>
    <row r="117" spans="1:7">
      <c r="A117" s="371" t="s">
        <v>3037</v>
      </c>
      <c r="B117" s="156" t="s">
        <v>833</v>
      </c>
      <c r="C117" s="156" t="s">
        <v>3038</v>
      </c>
      <c r="D117" s="156">
        <v>296</v>
      </c>
      <c r="E117" s="156" t="s">
        <v>3268</v>
      </c>
      <c r="F117" s="379" t="s">
        <v>3269</v>
      </c>
      <c r="G117" s="359" t="s">
        <v>4768</v>
      </c>
    </row>
    <row r="118" spans="1:7">
      <c r="A118" s="371" t="s">
        <v>3037</v>
      </c>
      <c r="B118" s="156" t="s">
        <v>833</v>
      </c>
      <c r="C118" s="156" t="s">
        <v>3038</v>
      </c>
      <c r="D118" s="156">
        <v>174</v>
      </c>
      <c r="E118" s="156" t="s">
        <v>3270</v>
      </c>
      <c r="F118" s="379" t="s">
        <v>3271</v>
      </c>
      <c r="G118" s="359" t="s">
        <v>4768</v>
      </c>
    </row>
    <row r="119" spans="1:7">
      <c r="A119" s="371" t="s">
        <v>3037</v>
      </c>
      <c r="B119" s="156" t="s">
        <v>833</v>
      </c>
      <c r="C119" s="156" t="s">
        <v>3038</v>
      </c>
      <c r="D119" s="156">
        <v>659</v>
      </c>
      <c r="E119" s="156" t="s">
        <v>3272</v>
      </c>
      <c r="F119" s="379" t="s">
        <v>3273</v>
      </c>
      <c r="G119" s="359" t="s">
        <v>4768</v>
      </c>
    </row>
    <row r="120" spans="1:7">
      <c r="A120" s="371" t="s">
        <v>3037</v>
      </c>
      <c r="B120" s="156" t="s">
        <v>833</v>
      </c>
      <c r="C120" s="156" t="s">
        <v>3038</v>
      </c>
      <c r="D120" s="156">
        <v>408</v>
      </c>
      <c r="E120" s="156" t="s">
        <v>3274</v>
      </c>
      <c r="F120" s="379" t="s">
        <v>3275</v>
      </c>
      <c r="G120" s="359" t="s">
        <v>4768</v>
      </c>
    </row>
    <row r="121" spans="1:7">
      <c r="A121" s="371" t="s">
        <v>3037</v>
      </c>
      <c r="B121" s="156" t="s">
        <v>833</v>
      </c>
      <c r="C121" s="156" t="s">
        <v>3038</v>
      </c>
      <c r="D121" s="156">
        <v>410</v>
      </c>
      <c r="E121" s="156" t="s">
        <v>3276</v>
      </c>
      <c r="F121" s="379" t="s">
        <v>3277</v>
      </c>
      <c r="G121" s="359" t="s">
        <v>4768</v>
      </c>
    </row>
    <row r="122" spans="1:7">
      <c r="A122" s="371" t="s">
        <v>3037</v>
      </c>
      <c r="B122" s="156" t="s">
        <v>833</v>
      </c>
      <c r="C122" s="156" t="s">
        <v>3038</v>
      </c>
      <c r="D122" s="156">
        <v>414</v>
      </c>
      <c r="E122" s="156" t="s">
        <v>3278</v>
      </c>
      <c r="F122" s="379" t="s">
        <v>3279</v>
      </c>
      <c r="G122" s="359" t="s">
        <v>4768</v>
      </c>
    </row>
    <row r="123" spans="1:7">
      <c r="A123" s="371" t="s">
        <v>3037</v>
      </c>
      <c r="B123" s="156" t="s">
        <v>833</v>
      </c>
      <c r="C123" s="156" t="s">
        <v>3038</v>
      </c>
      <c r="D123" s="156">
        <v>136</v>
      </c>
      <c r="E123" s="156" t="s">
        <v>3280</v>
      </c>
      <c r="F123" s="379" t="s">
        <v>3281</v>
      </c>
      <c r="G123" s="359" t="s">
        <v>4768</v>
      </c>
    </row>
    <row r="124" spans="1:7">
      <c r="A124" s="371" t="s">
        <v>3037</v>
      </c>
      <c r="B124" s="156" t="s">
        <v>833</v>
      </c>
      <c r="C124" s="156" t="s">
        <v>3038</v>
      </c>
      <c r="D124" s="156">
        <v>398</v>
      </c>
      <c r="E124" s="156" t="s">
        <v>3282</v>
      </c>
      <c r="F124" s="379" t="s">
        <v>3283</v>
      </c>
      <c r="G124" s="359" t="s">
        <v>4768</v>
      </c>
    </row>
    <row r="125" spans="1:7">
      <c r="A125" s="371" t="s">
        <v>3037</v>
      </c>
      <c r="B125" s="156" t="s">
        <v>833</v>
      </c>
      <c r="C125" s="156" t="s">
        <v>3038</v>
      </c>
      <c r="D125" s="156">
        <v>418</v>
      </c>
      <c r="E125" s="156" t="s">
        <v>3284</v>
      </c>
      <c r="F125" s="379" t="s">
        <v>3285</v>
      </c>
      <c r="G125" s="359" t="s">
        <v>4768</v>
      </c>
    </row>
    <row r="126" spans="1:7">
      <c r="A126" s="371" t="s">
        <v>3037</v>
      </c>
      <c r="B126" s="156" t="s">
        <v>833</v>
      </c>
      <c r="C126" s="156" t="s">
        <v>3038</v>
      </c>
      <c r="D126" s="156">
        <v>422</v>
      </c>
      <c r="E126" s="156" t="s">
        <v>3286</v>
      </c>
      <c r="F126" s="379" t="s">
        <v>3287</v>
      </c>
      <c r="G126" s="359" t="s">
        <v>4768</v>
      </c>
    </row>
    <row r="127" spans="1:7">
      <c r="A127" s="371" t="s">
        <v>3037</v>
      </c>
      <c r="B127" s="156" t="s">
        <v>833</v>
      </c>
      <c r="C127" s="156" t="s">
        <v>3038</v>
      </c>
      <c r="D127" s="156">
        <v>662</v>
      </c>
      <c r="E127" s="156" t="s">
        <v>3288</v>
      </c>
      <c r="F127" s="379" t="s">
        <v>3289</v>
      </c>
      <c r="G127" s="359" t="s">
        <v>4768</v>
      </c>
    </row>
    <row r="128" spans="1:7">
      <c r="A128" s="371" t="s">
        <v>3037</v>
      </c>
      <c r="B128" s="156" t="s">
        <v>833</v>
      </c>
      <c r="C128" s="156" t="s">
        <v>3038</v>
      </c>
      <c r="D128" s="156">
        <v>438</v>
      </c>
      <c r="E128" s="156" t="s">
        <v>3290</v>
      </c>
      <c r="F128" s="379" t="s">
        <v>3291</v>
      </c>
      <c r="G128" s="359" t="s">
        <v>4768</v>
      </c>
    </row>
    <row r="129" spans="1:7">
      <c r="A129" s="371" t="s">
        <v>3037</v>
      </c>
      <c r="B129" s="156" t="s">
        <v>833</v>
      </c>
      <c r="C129" s="156" t="s">
        <v>3038</v>
      </c>
      <c r="D129" s="156">
        <v>144</v>
      </c>
      <c r="E129" s="156" t="s">
        <v>3292</v>
      </c>
      <c r="F129" s="379" t="s">
        <v>3293</v>
      </c>
      <c r="G129" s="359" t="s">
        <v>4768</v>
      </c>
    </row>
    <row r="130" spans="1:7">
      <c r="A130" s="371" t="s">
        <v>3037</v>
      </c>
      <c r="B130" s="156" t="s">
        <v>833</v>
      </c>
      <c r="C130" s="156" t="s">
        <v>3038</v>
      </c>
      <c r="D130" s="156">
        <v>430</v>
      </c>
      <c r="E130" s="156" t="s">
        <v>3294</v>
      </c>
      <c r="F130" s="379" t="s">
        <v>3295</v>
      </c>
      <c r="G130" s="359" t="s">
        <v>4768</v>
      </c>
    </row>
    <row r="131" spans="1:7">
      <c r="A131" s="371" t="s">
        <v>3037</v>
      </c>
      <c r="B131" s="156" t="s">
        <v>833</v>
      </c>
      <c r="C131" s="156" t="s">
        <v>3038</v>
      </c>
      <c r="D131" s="156">
        <v>426</v>
      </c>
      <c r="E131" s="156" t="s">
        <v>3296</v>
      </c>
      <c r="F131" s="379" t="s">
        <v>3297</v>
      </c>
      <c r="G131" s="359" t="s">
        <v>4768</v>
      </c>
    </row>
    <row r="132" spans="1:7">
      <c r="A132" s="371" t="s">
        <v>3037</v>
      </c>
      <c r="B132" s="156" t="s">
        <v>833</v>
      </c>
      <c r="C132" s="156" t="s">
        <v>3038</v>
      </c>
      <c r="D132" s="156">
        <v>440</v>
      </c>
      <c r="E132" s="156" t="s">
        <v>3298</v>
      </c>
      <c r="F132" s="379" t="s">
        <v>3299</v>
      </c>
      <c r="G132" s="359" t="s">
        <v>4768</v>
      </c>
    </row>
    <row r="133" spans="1:7">
      <c r="A133" s="371" t="s">
        <v>3037</v>
      </c>
      <c r="B133" s="156" t="s">
        <v>833</v>
      </c>
      <c r="C133" s="156" t="s">
        <v>3038</v>
      </c>
      <c r="D133" s="156">
        <v>442</v>
      </c>
      <c r="E133" s="156" t="s">
        <v>3300</v>
      </c>
      <c r="F133" s="379" t="s">
        <v>3301</v>
      </c>
      <c r="G133" s="359" t="s">
        <v>4768</v>
      </c>
    </row>
    <row r="134" spans="1:7">
      <c r="A134" s="371" t="s">
        <v>3037</v>
      </c>
      <c r="B134" s="156" t="s">
        <v>833</v>
      </c>
      <c r="C134" s="156" t="s">
        <v>3038</v>
      </c>
      <c r="D134" s="156">
        <v>428</v>
      </c>
      <c r="E134" s="156" t="s">
        <v>3302</v>
      </c>
      <c r="F134" s="379" t="s">
        <v>3303</v>
      </c>
      <c r="G134" s="359" t="s">
        <v>4768</v>
      </c>
    </row>
    <row r="135" spans="1:7">
      <c r="A135" s="371" t="s">
        <v>3037</v>
      </c>
      <c r="B135" s="156" t="s">
        <v>833</v>
      </c>
      <c r="C135" s="156" t="s">
        <v>3038</v>
      </c>
      <c r="D135" s="156">
        <v>434</v>
      </c>
      <c r="E135" s="156" t="s">
        <v>3304</v>
      </c>
      <c r="F135" s="379" t="s">
        <v>3305</v>
      </c>
      <c r="G135" s="359" t="s">
        <v>4768</v>
      </c>
    </row>
    <row r="136" spans="1:7">
      <c r="A136" s="371" t="s">
        <v>3037</v>
      </c>
      <c r="B136" s="156" t="s">
        <v>833</v>
      </c>
      <c r="C136" s="156" t="s">
        <v>3038</v>
      </c>
      <c r="D136" s="156">
        <v>504</v>
      </c>
      <c r="E136" s="156" t="s">
        <v>3306</v>
      </c>
      <c r="F136" s="379" t="s">
        <v>3307</v>
      </c>
      <c r="G136" s="359" t="s">
        <v>4768</v>
      </c>
    </row>
    <row r="137" spans="1:7">
      <c r="A137" s="371" t="s">
        <v>3037</v>
      </c>
      <c r="B137" s="156" t="s">
        <v>833</v>
      </c>
      <c r="C137" s="156" t="s">
        <v>3038</v>
      </c>
      <c r="D137" s="156">
        <v>498</v>
      </c>
      <c r="E137" s="156" t="s">
        <v>3308</v>
      </c>
      <c r="F137" s="379" t="s">
        <v>3309</v>
      </c>
      <c r="G137" s="359" t="s">
        <v>4768</v>
      </c>
    </row>
    <row r="138" spans="1:7">
      <c r="A138" s="371" t="s">
        <v>3037</v>
      </c>
      <c r="B138" s="156" t="s">
        <v>833</v>
      </c>
      <c r="C138" s="156" t="s">
        <v>3038</v>
      </c>
      <c r="D138" s="156">
        <v>499</v>
      </c>
      <c r="E138" s="156" t="s">
        <v>3310</v>
      </c>
      <c r="F138" s="379" t="s">
        <v>3311</v>
      </c>
      <c r="G138" s="359" t="s">
        <v>4768</v>
      </c>
    </row>
    <row r="139" spans="1:7">
      <c r="A139" s="371" t="s">
        <v>3037</v>
      </c>
      <c r="B139" s="156" t="s">
        <v>833</v>
      </c>
      <c r="C139" s="156" t="s">
        <v>3038</v>
      </c>
      <c r="D139" s="156">
        <v>663</v>
      </c>
      <c r="E139" s="156" t="s">
        <v>3312</v>
      </c>
      <c r="F139" s="379" t="s">
        <v>3313</v>
      </c>
      <c r="G139" s="359" t="s">
        <v>4768</v>
      </c>
    </row>
    <row r="140" spans="1:7">
      <c r="A140" s="371" t="s">
        <v>3037</v>
      </c>
      <c r="B140" s="156" t="s">
        <v>833</v>
      </c>
      <c r="C140" s="156" t="s">
        <v>3038</v>
      </c>
      <c r="D140" s="156">
        <v>450</v>
      </c>
      <c r="E140" s="156" t="s">
        <v>3314</v>
      </c>
      <c r="F140" s="379" t="s">
        <v>3315</v>
      </c>
      <c r="G140" s="359" t="s">
        <v>4768</v>
      </c>
    </row>
    <row r="141" spans="1:7">
      <c r="A141" s="371" t="s">
        <v>3037</v>
      </c>
      <c r="B141" s="156" t="s">
        <v>833</v>
      </c>
      <c r="C141" s="156" t="s">
        <v>3038</v>
      </c>
      <c r="D141" s="156">
        <v>584</v>
      </c>
      <c r="E141" s="156" t="s">
        <v>3316</v>
      </c>
      <c r="F141" s="379" t="s">
        <v>3317</v>
      </c>
      <c r="G141" s="359" t="s">
        <v>4768</v>
      </c>
    </row>
    <row r="142" spans="1:7">
      <c r="A142" s="371" t="s">
        <v>3037</v>
      </c>
      <c r="B142" s="156" t="s">
        <v>833</v>
      </c>
      <c r="C142" s="156" t="s">
        <v>3038</v>
      </c>
      <c r="D142" s="156">
        <v>807</v>
      </c>
      <c r="E142" s="156" t="s">
        <v>3318</v>
      </c>
      <c r="F142" s="379" t="s">
        <v>3319</v>
      </c>
      <c r="G142" s="359" t="s">
        <v>4768</v>
      </c>
    </row>
    <row r="143" spans="1:7">
      <c r="A143" s="371" t="s">
        <v>3037</v>
      </c>
      <c r="B143" s="156" t="s">
        <v>833</v>
      </c>
      <c r="C143" s="156" t="s">
        <v>3038</v>
      </c>
      <c r="D143" s="156">
        <v>466</v>
      </c>
      <c r="E143" s="156" t="s">
        <v>3320</v>
      </c>
      <c r="F143" s="379" t="s">
        <v>3321</v>
      </c>
      <c r="G143" s="359" t="s">
        <v>4768</v>
      </c>
    </row>
    <row r="144" spans="1:7">
      <c r="A144" s="371" t="s">
        <v>3037</v>
      </c>
      <c r="B144" s="156" t="s">
        <v>833</v>
      </c>
      <c r="C144" s="156" t="s">
        <v>3038</v>
      </c>
      <c r="D144" s="156">
        <v>104</v>
      </c>
      <c r="E144" s="156" t="s">
        <v>3322</v>
      </c>
      <c r="F144" s="379" t="s">
        <v>3323</v>
      </c>
      <c r="G144" s="359" t="s">
        <v>4768</v>
      </c>
    </row>
    <row r="145" spans="1:7">
      <c r="A145" s="371" t="s">
        <v>3037</v>
      </c>
      <c r="B145" s="156" t="s">
        <v>833</v>
      </c>
      <c r="C145" s="156" t="s">
        <v>3038</v>
      </c>
      <c r="D145" s="156">
        <v>496</v>
      </c>
      <c r="E145" s="156" t="s">
        <v>3324</v>
      </c>
      <c r="F145" s="379" t="s">
        <v>3325</v>
      </c>
      <c r="G145" s="359" t="s">
        <v>4768</v>
      </c>
    </row>
    <row r="146" spans="1:7">
      <c r="A146" s="371" t="s">
        <v>3037</v>
      </c>
      <c r="B146" s="156" t="s">
        <v>833</v>
      </c>
      <c r="C146" s="156" t="s">
        <v>3038</v>
      </c>
      <c r="D146" s="156">
        <v>446</v>
      </c>
      <c r="E146" s="156" t="s">
        <v>3326</v>
      </c>
      <c r="F146" s="379" t="s">
        <v>3327</v>
      </c>
      <c r="G146" s="359" t="s">
        <v>4768</v>
      </c>
    </row>
    <row r="147" spans="1:7">
      <c r="A147" s="371" t="s">
        <v>3037</v>
      </c>
      <c r="B147" s="156" t="s">
        <v>833</v>
      </c>
      <c r="C147" s="156" t="s">
        <v>3038</v>
      </c>
      <c r="D147" s="156">
        <v>580</v>
      </c>
      <c r="E147" s="156" t="s">
        <v>3328</v>
      </c>
      <c r="F147" s="379" t="s">
        <v>3329</v>
      </c>
      <c r="G147" s="359" t="s">
        <v>4768</v>
      </c>
    </row>
    <row r="148" spans="1:7">
      <c r="A148" s="371" t="s">
        <v>3037</v>
      </c>
      <c r="B148" s="156" t="s">
        <v>833</v>
      </c>
      <c r="C148" s="156" t="s">
        <v>3038</v>
      </c>
      <c r="D148" s="156">
        <v>478</v>
      </c>
      <c r="E148" s="156" t="s">
        <v>3330</v>
      </c>
      <c r="F148" s="379" t="s">
        <v>3331</v>
      </c>
      <c r="G148" s="359" t="s">
        <v>4768</v>
      </c>
    </row>
    <row r="149" spans="1:7">
      <c r="A149" s="371" t="s">
        <v>3037</v>
      </c>
      <c r="B149" s="156" t="s">
        <v>833</v>
      </c>
      <c r="C149" s="156" t="s">
        <v>3038</v>
      </c>
      <c r="D149" s="156">
        <v>500</v>
      </c>
      <c r="E149" s="156" t="s">
        <v>3332</v>
      </c>
      <c r="F149" s="379" t="s">
        <v>3333</v>
      </c>
      <c r="G149" s="359" t="s">
        <v>4768</v>
      </c>
    </row>
    <row r="150" spans="1:7">
      <c r="A150" s="371" t="s">
        <v>3037</v>
      </c>
      <c r="B150" s="156" t="s">
        <v>833</v>
      </c>
      <c r="C150" s="156" t="s">
        <v>3038</v>
      </c>
      <c r="D150" s="156">
        <v>470</v>
      </c>
      <c r="E150" s="156" t="s">
        <v>3334</v>
      </c>
      <c r="F150" s="379" t="s">
        <v>3335</v>
      </c>
      <c r="G150" s="359" t="s">
        <v>4768</v>
      </c>
    </row>
    <row r="151" spans="1:7">
      <c r="A151" s="371" t="s">
        <v>3037</v>
      </c>
      <c r="B151" s="156" t="s">
        <v>833</v>
      </c>
      <c r="C151" s="156" t="s">
        <v>3038</v>
      </c>
      <c r="D151" s="156">
        <v>480</v>
      </c>
      <c r="E151" s="156" t="s">
        <v>3336</v>
      </c>
      <c r="F151" s="379" t="s">
        <v>3337</v>
      </c>
      <c r="G151" s="359" t="s">
        <v>4768</v>
      </c>
    </row>
    <row r="152" spans="1:7">
      <c r="A152" s="371" t="s">
        <v>3037</v>
      </c>
      <c r="B152" s="156" t="s">
        <v>833</v>
      </c>
      <c r="C152" s="156" t="s">
        <v>3038</v>
      </c>
      <c r="D152" s="156">
        <v>462</v>
      </c>
      <c r="E152" s="156" t="s">
        <v>3338</v>
      </c>
      <c r="F152" s="379" t="s">
        <v>3339</v>
      </c>
      <c r="G152" s="359" t="s">
        <v>4768</v>
      </c>
    </row>
    <row r="153" spans="1:7">
      <c r="A153" s="371" t="s">
        <v>3037</v>
      </c>
      <c r="B153" s="156" t="s">
        <v>833</v>
      </c>
      <c r="C153" s="156" t="s">
        <v>3038</v>
      </c>
      <c r="D153" s="156">
        <v>454</v>
      </c>
      <c r="E153" s="156" t="s">
        <v>3340</v>
      </c>
      <c r="F153" s="379" t="s">
        <v>3341</v>
      </c>
      <c r="G153" s="359" t="s">
        <v>4768</v>
      </c>
    </row>
    <row r="154" spans="1:7">
      <c r="A154" s="371" t="s">
        <v>3037</v>
      </c>
      <c r="B154" s="156" t="s">
        <v>833</v>
      </c>
      <c r="C154" s="156" t="s">
        <v>3038</v>
      </c>
      <c r="D154" s="156">
        <v>484</v>
      </c>
      <c r="E154" s="156" t="s">
        <v>3342</v>
      </c>
      <c r="F154" s="379" t="s">
        <v>3343</v>
      </c>
      <c r="G154" s="359" t="s">
        <v>4768</v>
      </c>
    </row>
    <row r="155" spans="1:7">
      <c r="A155" s="371" t="s">
        <v>3037</v>
      </c>
      <c r="B155" s="156" t="s">
        <v>833</v>
      </c>
      <c r="C155" s="156" t="s">
        <v>3038</v>
      </c>
      <c r="D155" s="156">
        <v>458</v>
      </c>
      <c r="E155" s="156" t="s">
        <v>3344</v>
      </c>
      <c r="F155" s="379" t="s">
        <v>3345</v>
      </c>
      <c r="G155" s="359" t="s">
        <v>4768</v>
      </c>
    </row>
    <row r="156" spans="1:7">
      <c r="A156" s="371" t="s">
        <v>3037</v>
      </c>
      <c r="B156" s="156" t="s">
        <v>833</v>
      </c>
      <c r="C156" s="156" t="s">
        <v>3038</v>
      </c>
      <c r="D156" s="156">
        <v>508</v>
      </c>
      <c r="E156" s="156" t="s">
        <v>3346</v>
      </c>
      <c r="F156" s="379" t="s">
        <v>3347</v>
      </c>
      <c r="G156" s="359" t="s">
        <v>4768</v>
      </c>
    </row>
    <row r="157" spans="1:7">
      <c r="A157" s="371" t="s">
        <v>3037</v>
      </c>
      <c r="B157" s="156" t="s">
        <v>833</v>
      </c>
      <c r="C157" s="156" t="s">
        <v>3038</v>
      </c>
      <c r="D157" s="156">
        <v>516</v>
      </c>
      <c r="E157" s="156" t="s">
        <v>3348</v>
      </c>
      <c r="F157" s="379" t="s">
        <v>3349</v>
      </c>
      <c r="G157" s="359" t="s">
        <v>4768</v>
      </c>
    </row>
    <row r="158" spans="1:7">
      <c r="A158" s="371" t="s">
        <v>3037</v>
      </c>
      <c r="B158" s="156" t="s">
        <v>833</v>
      </c>
      <c r="C158" s="156" t="s">
        <v>3038</v>
      </c>
      <c r="D158" s="156">
        <v>540</v>
      </c>
      <c r="E158" s="156" t="s">
        <v>3350</v>
      </c>
      <c r="F158" s="379" t="s">
        <v>3351</v>
      </c>
      <c r="G158" s="359" t="s">
        <v>4768</v>
      </c>
    </row>
    <row r="159" spans="1:7">
      <c r="A159" s="371" t="s">
        <v>3037</v>
      </c>
      <c r="B159" s="156" t="s">
        <v>833</v>
      </c>
      <c r="C159" s="156" t="s">
        <v>3038</v>
      </c>
      <c r="D159" s="156">
        <v>562</v>
      </c>
      <c r="E159" s="156" t="s">
        <v>3352</v>
      </c>
      <c r="F159" s="379" t="s">
        <v>3353</v>
      </c>
      <c r="G159" s="359" t="s">
        <v>4768</v>
      </c>
    </row>
    <row r="160" spans="1:7">
      <c r="A160" s="371" t="s">
        <v>3037</v>
      </c>
      <c r="B160" s="156" t="s">
        <v>833</v>
      </c>
      <c r="C160" s="156" t="s">
        <v>3038</v>
      </c>
      <c r="D160" s="156">
        <v>574</v>
      </c>
      <c r="E160" s="156" t="s">
        <v>3354</v>
      </c>
      <c r="F160" s="379" t="s">
        <v>3355</v>
      </c>
      <c r="G160" s="359" t="s">
        <v>4768</v>
      </c>
    </row>
    <row r="161" spans="1:7">
      <c r="A161" s="371" t="s">
        <v>3037</v>
      </c>
      <c r="B161" s="156" t="s">
        <v>833</v>
      </c>
      <c r="C161" s="156" t="s">
        <v>3038</v>
      </c>
      <c r="D161" s="156">
        <v>566</v>
      </c>
      <c r="E161" s="156" t="s">
        <v>3356</v>
      </c>
      <c r="F161" s="379" t="s">
        <v>3357</v>
      </c>
      <c r="G161" s="359" t="s">
        <v>4768</v>
      </c>
    </row>
    <row r="162" spans="1:7">
      <c r="A162" s="371" t="s">
        <v>3037</v>
      </c>
      <c r="B162" s="156" t="s">
        <v>833</v>
      </c>
      <c r="C162" s="156" t="s">
        <v>3038</v>
      </c>
      <c r="D162" s="156">
        <v>558</v>
      </c>
      <c r="E162" s="156" t="s">
        <v>3358</v>
      </c>
      <c r="F162" s="379" t="s">
        <v>3359</v>
      </c>
      <c r="G162" s="359" t="s">
        <v>4768</v>
      </c>
    </row>
    <row r="163" spans="1:7">
      <c r="A163" s="371" t="s">
        <v>3037</v>
      </c>
      <c r="B163" s="156" t="s">
        <v>833</v>
      </c>
      <c r="C163" s="156" t="s">
        <v>3038</v>
      </c>
      <c r="D163" s="156">
        <v>528</v>
      </c>
      <c r="E163" s="156" t="s">
        <v>3360</v>
      </c>
      <c r="F163" s="379" t="s">
        <v>3361</v>
      </c>
      <c r="G163" s="359" t="s">
        <v>4768</v>
      </c>
    </row>
    <row r="164" spans="1:7">
      <c r="A164" s="371" t="s">
        <v>3037</v>
      </c>
      <c r="B164" s="156" t="s">
        <v>833</v>
      </c>
      <c r="C164" s="156" t="s">
        <v>3038</v>
      </c>
      <c r="D164" s="156">
        <v>578</v>
      </c>
      <c r="E164" s="156" t="s">
        <v>3362</v>
      </c>
      <c r="F164" s="379" t="s">
        <v>3363</v>
      </c>
      <c r="G164" s="359" t="s">
        <v>4768</v>
      </c>
    </row>
    <row r="165" spans="1:7">
      <c r="A165" s="371" t="s">
        <v>3037</v>
      </c>
      <c r="B165" s="156" t="s">
        <v>833</v>
      </c>
      <c r="C165" s="156" t="s">
        <v>3038</v>
      </c>
      <c r="D165" s="156">
        <v>524</v>
      </c>
      <c r="E165" s="156" t="s">
        <v>3364</v>
      </c>
      <c r="F165" s="379" t="s">
        <v>3365</v>
      </c>
      <c r="G165" s="359" t="s">
        <v>4768</v>
      </c>
    </row>
    <row r="166" spans="1:7">
      <c r="A166" s="371" t="s">
        <v>3037</v>
      </c>
      <c r="B166" s="156" t="s">
        <v>833</v>
      </c>
      <c r="C166" s="156" t="s">
        <v>3038</v>
      </c>
      <c r="D166" s="156">
        <v>520</v>
      </c>
      <c r="E166" s="156" t="s">
        <v>3366</v>
      </c>
      <c r="F166" s="379" t="s">
        <v>3367</v>
      </c>
      <c r="G166" s="359" t="s">
        <v>4768</v>
      </c>
    </row>
    <row r="167" spans="1:7">
      <c r="A167" s="371" t="s">
        <v>3037</v>
      </c>
      <c r="B167" s="156" t="s">
        <v>833</v>
      </c>
      <c r="C167" s="156" t="s">
        <v>3038</v>
      </c>
      <c r="D167" s="156">
        <v>570</v>
      </c>
      <c r="E167" s="156" t="s">
        <v>3368</v>
      </c>
      <c r="F167" s="379" t="s">
        <v>3369</v>
      </c>
      <c r="G167" s="359" t="s">
        <v>4768</v>
      </c>
    </row>
    <row r="168" spans="1:7">
      <c r="A168" s="371" t="s">
        <v>3037</v>
      </c>
      <c r="B168" s="156" t="s">
        <v>833</v>
      </c>
      <c r="C168" s="156" t="s">
        <v>3038</v>
      </c>
      <c r="D168" s="156">
        <v>554</v>
      </c>
      <c r="E168" s="156" t="s">
        <v>3370</v>
      </c>
      <c r="F168" s="379" t="s">
        <v>3371</v>
      </c>
      <c r="G168" s="359" t="s">
        <v>4768</v>
      </c>
    </row>
    <row r="169" spans="1:7">
      <c r="A169" s="371" t="s">
        <v>3037</v>
      </c>
      <c r="B169" s="156" t="s">
        <v>833</v>
      </c>
      <c r="C169" s="156" t="s">
        <v>3038</v>
      </c>
      <c r="D169" s="156">
        <v>512</v>
      </c>
      <c r="E169" s="156" t="s">
        <v>3372</v>
      </c>
      <c r="F169" s="379" t="s">
        <v>3373</v>
      </c>
      <c r="G169" s="359" t="s">
        <v>4768</v>
      </c>
    </row>
    <row r="170" spans="1:7">
      <c r="A170" s="371" t="s">
        <v>3037</v>
      </c>
      <c r="B170" s="156" t="s">
        <v>833</v>
      </c>
      <c r="C170" s="156" t="s">
        <v>3038</v>
      </c>
      <c r="D170" s="156">
        <v>591</v>
      </c>
      <c r="E170" s="156" t="s">
        <v>3374</v>
      </c>
      <c r="F170" s="379" t="s">
        <v>3375</v>
      </c>
      <c r="G170" s="359" t="s">
        <v>4768</v>
      </c>
    </row>
    <row r="171" spans="1:7">
      <c r="A171" s="371" t="s">
        <v>3037</v>
      </c>
      <c r="B171" s="156" t="s">
        <v>833</v>
      </c>
      <c r="C171" s="156" t="s">
        <v>3038</v>
      </c>
      <c r="D171" s="156">
        <v>604</v>
      </c>
      <c r="E171" s="156" t="s">
        <v>3376</v>
      </c>
      <c r="F171" s="379" t="s">
        <v>3377</v>
      </c>
      <c r="G171" s="359" t="s">
        <v>4768</v>
      </c>
    </row>
    <row r="172" spans="1:7">
      <c r="A172" s="371" t="s">
        <v>3037</v>
      </c>
      <c r="B172" s="156" t="s">
        <v>833</v>
      </c>
      <c r="C172" s="156" t="s">
        <v>3038</v>
      </c>
      <c r="D172" s="156">
        <v>258</v>
      </c>
      <c r="E172" s="156" t="s">
        <v>3378</v>
      </c>
      <c r="F172" s="379" t="s">
        <v>3379</v>
      </c>
      <c r="G172" s="359" t="s">
        <v>4768</v>
      </c>
    </row>
    <row r="173" spans="1:7">
      <c r="A173" s="371" t="s">
        <v>3037</v>
      </c>
      <c r="B173" s="156" t="s">
        <v>833</v>
      </c>
      <c r="C173" s="156" t="s">
        <v>3038</v>
      </c>
      <c r="D173" s="156">
        <v>598</v>
      </c>
      <c r="E173" s="156" t="s">
        <v>3380</v>
      </c>
      <c r="F173" s="379" t="s">
        <v>3381</v>
      </c>
      <c r="G173" s="359" t="s">
        <v>4768</v>
      </c>
    </row>
    <row r="174" spans="1:7">
      <c r="A174" s="371" t="s">
        <v>3037</v>
      </c>
      <c r="B174" s="156" t="s">
        <v>833</v>
      </c>
      <c r="C174" s="156" t="s">
        <v>3038</v>
      </c>
      <c r="D174" s="156">
        <v>608</v>
      </c>
      <c r="E174" s="156" t="s">
        <v>3382</v>
      </c>
      <c r="F174" s="379" t="s">
        <v>3383</v>
      </c>
      <c r="G174" s="359" t="s">
        <v>4768</v>
      </c>
    </row>
    <row r="175" spans="1:7">
      <c r="A175" s="371" t="s">
        <v>3037</v>
      </c>
      <c r="B175" s="156" t="s">
        <v>833</v>
      </c>
      <c r="C175" s="156" t="s">
        <v>3038</v>
      </c>
      <c r="D175" s="156">
        <v>586</v>
      </c>
      <c r="E175" s="156" t="s">
        <v>3384</v>
      </c>
      <c r="F175" s="379" t="s">
        <v>3385</v>
      </c>
      <c r="G175" s="359" t="s">
        <v>4768</v>
      </c>
    </row>
    <row r="176" spans="1:7">
      <c r="A176" s="371" t="s">
        <v>3037</v>
      </c>
      <c r="B176" s="156" t="s">
        <v>833</v>
      </c>
      <c r="C176" s="156" t="s">
        <v>3038</v>
      </c>
      <c r="D176" s="156">
        <v>616</v>
      </c>
      <c r="E176" s="156" t="s">
        <v>3386</v>
      </c>
      <c r="F176" s="379" t="s">
        <v>3387</v>
      </c>
      <c r="G176" s="359" t="s">
        <v>4768</v>
      </c>
    </row>
    <row r="177" spans="1:7">
      <c r="A177" s="371" t="s">
        <v>3037</v>
      </c>
      <c r="B177" s="156" t="s">
        <v>833</v>
      </c>
      <c r="C177" s="156" t="s">
        <v>3038</v>
      </c>
      <c r="D177" s="156">
        <v>612</v>
      </c>
      <c r="E177" s="156" t="s">
        <v>3388</v>
      </c>
      <c r="F177" s="379" t="s">
        <v>3389</v>
      </c>
      <c r="G177" s="359" t="s">
        <v>4768</v>
      </c>
    </row>
    <row r="178" spans="1:7">
      <c r="A178" s="371" t="s">
        <v>3037</v>
      </c>
      <c r="B178" s="156" t="s">
        <v>833</v>
      </c>
      <c r="C178" s="156" t="s">
        <v>3038</v>
      </c>
      <c r="D178" s="156">
        <v>630</v>
      </c>
      <c r="E178" s="156" t="s">
        <v>3390</v>
      </c>
      <c r="F178" s="379" t="s">
        <v>3391</v>
      </c>
      <c r="G178" s="359" t="s">
        <v>4768</v>
      </c>
    </row>
    <row r="179" spans="1:7">
      <c r="A179" s="371" t="s">
        <v>3037</v>
      </c>
      <c r="B179" s="156" t="s">
        <v>833</v>
      </c>
      <c r="C179" s="156" t="s">
        <v>3038</v>
      </c>
      <c r="D179" s="156">
        <v>275</v>
      </c>
      <c r="E179" s="156" t="s">
        <v>3392</v>
      </c>
      <c r="F179" s="379" t="s">
        <v>3393</v>
      </c>
      <c r="G179" s="359" t="s">
        <v>4768</v>
      </c>
    </row>
    <row r="180" spans="1:7">
      <c r="A180" s="371" t="s">
        <v>3037</v>
      </c>
      <c r="B180" s="156" t="s">
        <v>833</v>
      </c>
      <c r="C180" s="156" t="s">
        <v>3038</v>
      </c>
      <c r="D180" s="156">
        <v>620</v>
      </c>
      <c r="E180" s="156" t="s">
        <v>3394</v>
      </c>
      <c r="F180" s="379" t="s">
        <v>3395</v>
      </c>
      <c r="G180" s="359" t="s">
        <v>4768</v>
      </c>
    </row>
    <row r="181" spans="1:7">
      <c r="A181" s="371" t="s">
        <v>3037</v>
      </c>
      <c r="B181" s="156" t="s">
        <v>833</v>
      </c>
      <c r="C181" s="156" t="s">
        <v>3038</v>
      </c>
      <c r="D181" s="156">
        <v>585</v>
      </c>
      <c r="E181" s="156" t="s">
        <v>3396</v>
      </c>
      <c r="F181" s="379" t="s">
        <v>3397</v>
      </c>
      <c r="G181" s="359" t="s">
        <v>4768</v>
      </c>
    </row>
    <row r="182" spans="1:7">
      <c r="A182" s="371" t="s">
        <v>3037</v>
      </c>
      <c r="B182" s="156" t="s">
        <v>833</v>
      </c>
      <c r="C182" s="156" t="s">
        <v>3038</v>
      </c>
      <c r="D182" s="156">
        <v>600</v>
      </c>
      <c r="E182" s="156" t="s">
        <v>3398</v>
      </c>
      <c r="F182" s="379" t="s">
        <v>3399</v>
      </c>
      <c r="G182" s="359" t="s">
        <v>4768</v>
      </c>
    </row>
    <row r="183" spans="1:7">
      <c r="A183" s="371" t="s">
        <v>3037</v>
      </c>
      <c r="B183" s="156" t="s">
        <v>833</v>
      </c>
      <c r="C183" s="156" t="s">
        <v>3038</v>
      </c>
      <c r="D183" s="156">
        <v>634</v>
      </c>
      <c r="E183" s="156" t="s">
        <v>3400</v>
      </c>
      <c r="F183" s="379" t="s">
        <v>3401</v>
      </c>
      <c r="G183" s="359" t="s">
        <v>4768</v>
      </c>
    </row>
    <row r="184" spans="1:7">
      <c r="A184" s="371" t="s">
        <v>3037</v>
      </c>
      <c r="B184" s="156" t="s">
        <v>833</v>
      </c>
      <c r="C184" s="156" t="s">
        <v>3038</v>
      </c>
      <c r="D184" s="156">
        <v>642</v>
      </c>
      <c r="E184" s="156" t="s">
        <v>3402</v>
      </c>
      <c r="F184" s="379" t="s">
        <v>3403</v>
      </c>
      <c r="G184" s="359" t="s">
        <v>4768</v>
      </c>
    </row>
    <row r="185" spans="1:7">
      <c r="A185" s="371" t="s">
        <v>3037</v>
      </c>
      <c r="B185" s="156" t="s">
        <v>833</v>
      </c>
      <c r="C185" s="156" t="s">
        <v>3038</v>
      </c>
      <c r="D185" s="156">
        <v>688</v>
      </c>
      <c r="E185" s="156" t="s">
        <v>3404</v>
      </c>
      <c r="F185" s="379" t="s">
        <v>3405</v>
      </c>
      <c r="G185" s="359" t="s">
        <v>4768</v>
      </c>
    </row>
    <row r="186" spans="1:7">
      <c r="A186" s="371" t="s">
        <v>3037</v>
      </c>
      <c r="B186" s="156" t="s">
        <v>833</v>
      </c>
      <c r="C186" s="156" t="s">
        <v>3038</v>
      </c>
      <c r="D186" s="156">
        <v>643</v>
      </c>
      <c r="E186" s="156" t="s">
        <v>3406</v>
      </c>
      <c r="F186" s="379" t="s">
        <v>3407</v>
      </c>
      <c r="G186" s="359" t="s">
        <v>4768</v>
      </c>
    </row>
    <row r="187" spans="1:7">
      <c r="A187" s="371" t="s">
        <v>3037</v>
      </c>
      <c r="B187" s="156" t="s">
        <v>833</v>
      </c>
      <c r="C187" s="156" t="s">
        <v>3038</v>
      </c>
      <c r="D187" s="156">
        <v>646</v>
      </c>
      <c r="E187" s="156" t="s">
        <v>3408</v>
      </c>
      <c r="F187" s="379" t="s">
        <v>3409</v>
      </c>
      <c r="G187" s="359" t="s">
        <v>4768</v>
      </c>
    </row>
    <row r="188" spans="1:7">
      <c r="A188" s="371" t="s">
        <v>3037</v>
      </c>
      <c r="B188" s="156" t="s">
        <v>833</v>
      </c>
      <c r="C188" s="156" t="s">
        <v>3038</v>
      </c>
      <c r="D188" s="156">
        <v>682</v>
      </c>
      <c r="E188" s="156" t="s">
        <v>3410</v>
      </c>
      <c r="F188" s="379" t="s">
        <v>3411</v>
      </c>
      <c r="G188" s="359" t="s">
        <v>4768</v>
      </c>
    </row>
    <row r="189" spans="1:7">
      <c r="A189" s="371" t="s">
        <v>3037</v>
      </c>
      <c r="B189" s="156" t="s">
        <v>833</v>
      </c>
      <c r="C189" s="156" t="s">
        <v>3038</v>
      </c>
      <c r="D189" s="156">
        <v>90</v>
      </c>
      <c r="E189" s="156" t="s">
        <v>3412</v>
      </c>
      <c r="F189" s="379" t="s">
        <v>3413</v>
      </c>
      <c r="G189" s="359" t="s">
        <v>4768</v>
      </c>
    </row>
    <row r="190" spans="1:7">
      <c r="A190" s="371" t="s">
        <v>3037</v>
      </c>
      <c r="B190" s="156" t="s">
        <v>833</v>
      </c>
      <c r="C190" s="156" t="s">
        <v>3038</v>
      </c>
      <c r="D190" s="156">
        <v>690</v>
      </c>
      <c r="E190" s="156" t="s">
        <v>3414</v>
      </c>
      <c r="F190" s="379" t="s">
        <v>3415</v>
      </c>
      <c r="G190" s="359" t="s">
        <v>4768</v>
      </c>
    </row>
    <row r="191" spans="1:7">
      <c r="A191" s="371" t="s">
        <v>3037</v>
      </c>
      <c r="B191" s="156" t="s">
        <v>833</v>
      </c>
      <c r="C191" s="156" t="s">
        <v>3038</v>
      </c>
      <c r="D191" s="156">
        <v>729</v>
      </c>
      <c r="E191" s="156" t="s">
        <v>3416</v>
      </c>
      <c r="F191" s="379" t="s">
        <v>3417</v>
      </c>
      <c r="G191" s="359" t="s">
        <v>4768</v>
      </c>
    </row>
    <row r="192" spans="1:7">
      <c r="A192" s="371" t="s">
        <v>3037</v>
      </c>
      <c r="B192" s="156" t="s">
        <v>833</v>
      </c>
      <c r="C192" s="156" t="s">
        <v>3038</v>
      </c>
      <c r="D192" s="156">
        <v>752</v>
      </c>
      <c r="E192" s="156" t="s">
        <v>3418</v>
      </c>
      <c r="F192" s="379" t="s">
        <v>3419</v>
      </c>
      <c r="G192" s="359" t="s">
        <v>4768</v>
      </c>
    </row>
    <row r="193" spans="1:7">
      <c r="A193" s="371" t="s">
        <v>3037</v>
      </c>
      <c r="B193" s="156" t="s">
        <v>833</v>
      </c>
      <c r="C193" s="156" t="s">
        <v>3038</v>
      </c>
      <c r="D193" s="156">
        <v>702</v>
      </c>
      <c r="E193" s="156" t="s">
        <v>3420</v>
      </c>
      <c r="F193" s="379" t="s">
        <v>3421</v>
      </c>
      <c r="G193" s="359" t="s">
        <v>4768</v>
      </c>
    </row>
    <row r="194" spans="1:7">
      <c r="A194" s="371" t="s">
        <v>3037</v>
      </c>
      <c r="B194" s="156" t="s">
        <v>833</v>
      </c>
      <c r="C194" s="156" t="s">
        <v>3038</v>
      </c>
      <c r="D194" s="156">
        <v>654</v>
      </c>
      <c r="E194" s="156" t="s">
        <v>3422</v>
      </c>
      <c r="F194" s="379" t="s">
        <v>3423</v>
      </c>
      <c r="G194" s="359" t="s">
        <v>4768</v>
      </c>
    </row>
    <row r="195" spans="1:7">
      <c r="A195" s="371" t="s">
        <v>3037</v>
      </c>
      <c r="B195" s="156" t="s">
        <v>833</v>
      </c>
      <c r="C195" s="156" t="s">
        <v>3038</v>
      </c>
      <c r="D195" s="156">
        <v>705</v>
      </c>
      <c r="E195" s="156" t="s">
        <v>3424</v>
      </c>
      <c r="F195" s="379" t="s">
        <v>3425</v>
      </c>
      <c r="G195" s="359" t="s">
        <v>4768</v>
      </c>
    </row>
    <row r="196" spans="1:7">
      <c r="A196" s="371" t="s">
        <v>3037</v>
      </c>
      <c r="B196" s="156" t="s">
        <v>833</v>
      </c>
      <c r="C196" s="156" t="s">
        <v>3038</v>
      </c>
      <c r="D196" s="156">
        <v>744</v>
      </c>
      <c r="E196" s="156" t="s">
        <v>3426</v>
      </c>
      <c r="F196" s="379" t="s">
        <v>3427</v>
      </c>
      <c r="G196" s="359" t="s">
        <v>4768</v>
      </c>
    </row>
    <row r="197" spans="1:7">
      <c r="A197" s="371" t="s">
        <v>3037</v>
      </c>
      <c r="B197" s="156" t="s">
        <v>833</v>
      </c>
      <c r="C197" s="156" t="s">
        <v>3038</v>
      </c>
      <c r="D197" s="156">
        <v>703</v>
      </c>
      <c r="E197" s="156" t="s">
        <v>3428</v>
      </c>
      <c r="F197" s="379" t="s">
        <v>3429</v>
      </c>
      <c r="G197" s="359" t="s">
        <v>4768</v>
      </c>
    </row>
    <row r="198" spans="1:7">
      <c r="A198" s="371" t="s">
        <v>3037</v>
      </c>
      <c r="B198" s="156" t="s">
        <v>833</v>
      </c>
      <c r="C198" s="156" t="s">
        <v>3038</v>
      </c>
      <c r="D198" s="156">
        <v>694</v>
      </c>
      <c r="E198" s="156" t="s">
        <v>3430</v>
      </c>
      <c r="F198" s="379" t="s">
        <v>3431</v>
      </c>
      <c r="G198" s="359" t="s">
        <v>4768</v>
      </c>
    </row>
    <row r="199" spans="1:7">
      <c r="A199" s="371" t="s">
        <v>3037</v>
      </c>
      <c r="B199" s="156" t="s">
        <v>833</v>
      </c>
      <c r="C199" s="156" t="s">
        <v>3038</v>
      </c>
      <c r="D199" s="156">
        <v>674</v>
      </c>
      <c r="E199" s="156" t="s">
        <v>3432</v>
      </c>
      <c r="F199" s="379" t="s">
        <v>3433</v>
      </c>
      <c r="G199" s="359" t="s">
        <v>4768</v>
      </c>
    </row>
    <row r="200" spans="1:7">
      <c r="A200" s="371" t="s">
        <v>3037</v>
      </c>
      <c r="B200" s="156" t="s">
        <v>833</v>
      </c>
      <c r="C200" s="156" t="s">
        <v>3038</v>
      </c>
      <c r="D200" s="156">
        <v>686</v>
      </c>
      <c r="E200" s="156" t="s">
        <v>3434</v>
      </c>
      <c r="F200" s="379" t="s">
        <v>3435</v>
      </c>
      <c r="G200" s="359" t="s">
        <v>4768</v>
      </c>
    </row>
    <row r="201" spans="1:7">
      <c r="A201" s="371" t="s">
        <v>3037</v>
      </c>
      <c r="B201" s="156" t="s">
        <v>833</v>
      </c>
      <c r="C201" s="156" t="s">
        <v>3038</v>
      </c>
      <c r="D201" s="156">
        <v>706</v>
      </c>
      <c r="E201" s="156" t="s">
        <v>3436</v>
      </c>
      <c r="F201" s="379" t="s">
        <v>3437</v>
      </c>
      <c r="G201" s="359" t="s">
        <v>4768</v>
      </c>
    </row>
    <row r="202" spans="1:7">
      <c r="A202" s="371" t="s">
        <v>3037</v>
      </c>
      <c r="B202" s="156" t="s">
        <v>833</v>
      </c>
      <c r="C202" s="156" t="s">
        <v>3038</v>
      </c>
      <c r="D202" s="156">
        <v>740</v>
      </c>
      <c r="E202" s="156" t="s">
        <v>3438</v>
      </c>
      <c r="F202" s="379" t="s">
        <v>3439</v>
      </c>
      <c r="G202" s="359" t="s">
        <v>4768</v>
      </c>
    </row>
    <row r="203" spans="1:7">
      <c r="A203" s="371" t="s">
        <v>3037</v>
      </c>
      <c r="B203" s="156" t="s">
        <v>833</v>
      </c>
      <c r="C203" s="156" t="s">
        <v>3038</v>
      </c>
      <c r="D203" s="156">
        <v>728</v>
      </c>
      <c r="E203" s="156" t="s">
        <v>3440</v>
      </c>
      <c r="F203" s="379" t="s">
        <v>3441</v>
      </c>
      <c r="G203" s="359" t="s">
        <v>4768</v>
      </c>
    </row>
    <row r="204" spans="1:7">
      <c r="A204" s="371" t="s">
        <v>3037</v>
      </c>
      <c r="B204" s="156" t="s">
        <v>833</v>
      </c>
      <c r="C204" s="156" t="s">
        <v>3038</v>
      </c>
      <c r="D204" s="156">
        <v>678</v>
      </c>
      <c r="E204" s="156" t="s">
        <v>3442</v>
      </c>
      <c r="F204" s="379" t="s">
        <v>3443</v>
      </c>
      <c r="G204" s="359" t="s">
        <v>4768</v>
      </c>
    </row>
    <row r="205" spans="1:7">
      <c r="A205" s="371" t="s">
        <v>3037</v>
      </c>
      <c r="B205" s="156" t="s">
        <v>833</v>
      </c>
      <c r="C205" s="156" t="s">
        <v>3038</v>
      </c>
      <c r="D205" s="156">
        <v>222</v>
      </c>
      <c r="E205" s="156" t="s">
        <v>3444</v>
      </c>
      <c r="F205" s="379" t="s">
        <v>3445</v>
      </c>
      <c r="G205" s="359" t="s">
        <v>4768</v>
      </c>
    </row>
    <row r="206" spans="1:7">
      <c r="A206" s="371" t="s">
        <v>3037</v>
      </c>
      <c r="B206" s="156" t="s">
        <v>833</v>
      </c>
      <c r="C206" s="156" t="s">
        <v>3038</v>
      </c>
      <c r="D206" s="156">
        <v>534</v>
      </c>
      <c r="E206" s="156" t="s">
        <v>3446</v>
      </c>
      <c r="F206" s="379" t="s">
        <v>3447</v>
      </c>
      <c r="G206" s="359" t="s">
        <v>4768</v>
      </c>
    </row>
    <row r="207" spans="1:7">
      <c r="A207" s="371" t="s">
        <v>3037</v>
      </c>
      <c r="B207" s="156" t="s">
        <v>833</v>
      </c>
      <c r="C207" s="156" t="s">
        <v>3038</v>
      </c>
      <c r="D207" s="156">
        <v>760</v>
      </c>
      <c r="E207" s="156" t="s">
        <v>3448</v>
      </c>
      <c r="F207" s="379" t="s">
        <v>3449</v>
      </c>
      <c r="G207" s="359" t="s">
        <v>4768</v>
      </c>
    </row>
    <row r="208" spans="1:7">
      <c r="A208" s="371" t="s">
        <v>3037</v>
      </c>
      <c r="B208" s="156" t="s">
        <v>833</v>
      </c>
      <c r="C208" s="156" t="s">
        <v>3038</v>
      </c>
      <c r="D208" s="156">
        <v>748</v>
      </c>
      <c r="E208" s="156" t="s">
        <v>3450</v>
      </c>
      <c r="F208" s="379" t="s">
        <v>3451</v>
      </c>
      <c r="G208" s="359" t="s">
        <v>4768</v>
      </c>
    </row>
    <row r="209" spans="1:7">
      <c r="A209" s="371" t="s">
        <v>3037</v>
      </c>
      <c r="B209" s="156" t="s">
        <v>833</v>
      </c>
      <c r="C209" s="156" t="s">
        <v>3038</v>
      </c>
      <c r="D209" s="156">
        <v>796</v>
      </c>
      <c r="E209" s="156" t="s">
        <v>3452</v>
      </c>
      <c r="F209" s="379" t="s">
        <v>3453</v>
      </c>
      <c r="G209" s="359" t="s">
        <v>4768</v>
      </c>
    </row>
    <row r="210" spans="1:7">
      <c r="A210" s="371" t="s">
        <v>3037</v>
      </c>
      <c r="B210" s="156" t="s">
        <v>833</v>
      </c>
      <c r="C210" s="156" t="s">
        <v>3038</v>
      </c>
      <c r="D210" s="156">
        <v>148</v>
      </c>
      <c r="E210" s="156" t="s">
        <v>3454</v>
      </c>
      <c r="F210" s="379" t="s">
        <v>3455</v>
      </c>
      <c r="G210" s="359" t="s">
        <v>4768</v>
      </c>
    </row>
    <row r="211" spans="1:7">
      <c r="A211" s="371" t="s">
        <v>3037</v>
      </c>
      <c r="B211" s="156" t="s">
        <v>833</v>
      </c>
      <c r="C211" s="156" t="s">
        <v>3038</v>
      </c>
      <c r="D211" s="156">
        <v>260</v>
      </c>
      <c r="E211" s="156" t="s">
        <v>3456</v>
      </c>
      <c r="F211" s="379" t="s">
        <v>3457</v>
      </c>
      <c r="G211" s="359" t="s">
        <v>4768</v>
      </c>
    </row>
    <row r="212" spans="1:7">
      <c r="A212" s="371" t="s">
        <v>3037</v>
      </c>
      <c r="B212" s="156" t="s">
        <v>833</v>
      </c>
      <c r="C212" s="156" t="s">
        <v>3038</v>
      </c>
      <c r="D212" s="156">
        <v>768</v>
      </c>
      <c r="E212" s="156" t="s">
        <v>3458</v>
      </c>
      <c r="F212" s="379" t="s">
        <v>3459</v>
      </c>
      <c r="G212" s="359" t="s">
        <v>4768</v>
      </c>
    </row>
    <row r="213" spans="1:7">
      <c r="A213" s="371" t="s">
        <v>3037</v>
      </c>
      <c r="B213" s="156" t="s">
        <v>833</v>
      </c>
      <c r="C213" s="156" t="s">
        <v>3038</v>
      </c>
      <c r="D213" s="156">
        <v>764</v>
      </c>
      <c r="E213" s="156" t="s">
        <v>3460</v>
      </c>
      <c r="F213" s="379" t="s">
        <v>3461</v>
      </c>
      <c r="G213" s="359" t="s">
        <v>4768</v>
      </c>
    </row>
    <row r="214" spans="1:7">
      <c r="A214" s="371" t="s">
        <v>3037</v>
      </c>
      <c r="B214" s="156" t="s">
        <v>833</v>
      </c>
      <c r="C214" s="156" t="s">
        <v>3038</v>
      </c>
      <c r="D214" s="156">
        <v>762</v>
      </c>
      <c r="E214" s="156" t="s">
        <v>3462</v>
      </c>
      <c r="F214" s="379" t="s">
        <v>3463</v>
      </c>
      <c r="G214" s="359" t="s">
        <v>4768</v>
      </c>
    </row>
    <row r="215" spans="1:7">
      <c r="A215" s="371" t="s">
        <v>3037</v>
      </c>
      <c r="B215" s="156" t="s">
        <v>833</v>
      </c>
      <c r="C215" s="156" t="s">
        <v>3038</v>
      </c>
      <c r="D215" s="156">
        <v>772</v>
      </c>
      <c r="E215" s="156" t="s">
        <v>3464</v>
      </c>
      <c r="F215" s="379" t="s">
        <v>3465</v>
      </c>
      <c r="G215" s="359" t="s">
        <v>4768</v>
      </c>
    </row>
    <row r="216" spans="1:7">
      <c r="A216" s="371" t="s">
        <v>3037</v>
      </c>
      <c r="B216" s="156" t="s">
        <v>833</v>
      </c>
      <c r="C216" s="156" t="s">
        <v>3038</v>
      </c>
      <c r="D216" s="156">
        <v>626</v>
      </c>
      <c r="E216" s="156" t="s">
        <v>3466</v>
      </c>
      <c r="F216" s="379" t="s">
        <v>3467</v>
      </c>
      <c r="G216" s="359" t="s">
        <v>4768</v>
      </c>
    </row>
    <row r="217" spans="1:7">
      <c r="A217" s="371" t="s">
        <v>3037</v>
      </c>
      <c r="B217" s="156" t="s">
        <v>833</v>
      </c>
      <c r="C217" s="156" t="s">
        <v>3038</v>
      </c>
      <c r="D217" s="156">
        <v>795</v>
      </c>
      <c r="E217" s="156" t="s">
        <v>3468</v>
      </c>
      <c r="F217" s="379" t="s">
        <v>3469</v>
      </c>
      <c r="G217" s="359" t="s">
        <v>4768</v>
      </c>
    </row>
    <row r="218" spans="1:7">
      <c r="A218" s="371" t="s">
        <v>3037</v>
      </c>
      <c r="B218" s="156" t="s">
        <v>833</v>
      </c>
      <c r="C218" s="156" t="s">
        <v>3038</v>
      </c>
      <c r="D218" s="156">
        <v>788</v>
      </c>
      <c r="E218" s="156" t="s">
        <v>3470</v>
      </c>
      <c r="F218" s="379" t="s">
        <v>3471</v>
      </c>
      <c r="G218" s="359" t="s">
        <v>4768</v>
      </c>
    </row>
    <row r="219" spans="1:7">
      <c r="A219" s="371" t="s">
        <v>3037</v>
      </c>
      <c r="B219" s="156" t="s">
        <v>833</v>
      </c>
      <c r="C219" s="156" t="s">
        <v>3038</v>
      </c>
      <c r="D219" s="156">
        <v>776</v>
      </c>
      <c r="E219" s="156" t="s">
        <v>3472</v>
      </c>
      <c r="F219" s="379" t="s">
        <v>3473</v>
      </c>
      <c r="G219" s="359" t="s">
        <v>4768</v>
      </c>
    </row>
    <row r="220" spans="1:7">
      <c r="A220" s="371" t="s">
        <v>3037</v>
      </c>
      <c r="B220" s="156" t="s">
        <v>833</v>
      </c>
      <c r="C220" s="156" t="s">
        <v>3038</v>
      </c>
      <c r="D220" s="156">
        <v>792</v>
      </c>
      <c r="E220" s="156" t="s">
        <v>3474</v>
      </c>
      <c r="F220" s="379" t="s">
        <v>3475</v>
      </c>
      <c r="G220" s="359" t="s">
        <v>4768</v>
      </c>
    </row>
    <row r="221" spans="1:7">
      <c r="A221" s="371" t="s">
        <v>3037</v>
      </c>
      <c r="B221" s="156" t="s">
        <v>833</v>
      </c>
      <c r="C221" s="156" t="s">
        <v>3038</v>
      </c>
      <c r="D221" s="156">
        <v>780</v>
      </c>
      <c r="E221" s="156" t="s">
        <v>3476</v>
      </c>
      <c r="F221" s="379" t="s">
        <v>3477</v>
      </c>
      <c r="G221" s="359" t="s">
        <v>4768</v>
      </c>
    </row>
    <row r="222" spans="1:7">
      <c r="A222" s="371" t="s">
        <v>3037</v>
      </c>
      <c r="B222" s="156" t="s">
        <v>833</v>
      </c>
      <c r="C222" s="156" t="s">
        <v>3038</v>
      </c>
      <c r="D222" s="156">
        <v>798</v>
      </c>
      <c r="E222" s="156" t="s">
        <v>3478</v>
      </c>
      <c r="F222" s="379" t="s">
        <v>3479</v>
      </c>
      <c r="G222" s="359" t="s">
        <v>4768</v>
      </c>
    </row>
    <row r="223" spans="1:7">
      <c r="A223" s="371" t="s">
        <v>3037</v>
      </c>
      <c r="B223" s="156" t="s">
        <v>833</v>
      </c>
      <c r="C223" s="156" t="s">
        <v>3038</v>
      </c>
      <c r="D223" s="156">
        <v>158</v>
      </c>
      <c r="E223" s="156" t="s">
        <v>3480</v>
      </c>
      <c r="F223" s="379" t="s">
        <v>3481</v>
      </c>
      <c r="G223" s="359" t="s">
        <v>4768</v>
      </c>
    </row>
    <row r="224" spans="1:7">
      <c r="A224" s="371" t="s">
        <v>3037</v>
      </c>
      <c r="B224" s="156" t="s">
        <v>833</v>
      </c>
      <c r="C224" s="156" t="s">
        <v>3038</v>
      </c>
      <c r="D224" s="156">
        <v>834</v>
      </c>
      <c r="E224" s="156" t="s">
        <v>3482</v>
      </c>
      <c r="F224" s="379" t="s">
        <v>3483</v>
      </c>
      <c r="G224" s="359" t="s">
        <v>4768</v>
      </c>
    </row>
    <row r="225" spans="1:7">
      <c r="A225" s="371" t="s">
        <v>3037</v>
      </c>
      <c r="B225" s="156" t="s">
        <v>833</v>
      </c>
      <c r="C225" s="156" t="s">
        <v>3038</v>
      </c>
      <c r="D225" s="156">
        <v>804</v>
      </c>
      <c r="E225" s="156" t="s">
        <v>3484</v>
      </c>
      <c r="F225" s="379" t="s">
        <v>3485</v>
      </c>
      <c r="G225" s="359" t="s">
        <v>4768</v>
      </c>
    </row>
    <row r="226" spans="1:7">
      <c r="A226" s="371" t="s">
        <v>3037</v>
      </c>
      <c r="B226" s="156" t="s">
        <v>833</v>
      </c>
      <c r="C226" s="156" t="s">
        <v>3038</v>
      </c>
      <c r="D226" s="156">
        <v>800</v>
      </c>
      <c r="E226" s="156" t="s">
        <v>3486</v>
      </c>
      <c r="F226" s="379" t="s">
        <v>3487</v>
      </c>
      <c r="G226" s="359" t="s">
        <v>4768</v>
      </c>
    </row>
    <row r="227" spans="1:7">
      <c r="A227" s="371" t="s">
        <v>3037</v>
      </c>
      <c r="B227" s="156" t="s">
        <v>833</v>
      </c>
      <c r="C227" s="156" t="s">
        <v>3038</v>
      </c>
      <c r="D227" s="156">
        <v>581</v>
      </c>
      <c r="E227" s="156" t="s">
        <v>3488</v>
      </c>
      <c r="F227" s="379" t="s">
        <v>3489</v>
      </c>
      <c r="G227" s="359" t="s">
        <v>4768</v>
      </c>
    </row>
    <row r="228" spans="1:7">
      <c r="A228" s="371" t="s">
        <v>3037</v>
      </c>
      <c r="B228" s="156" t="s">
        <v>833</v>
      </c>
      <c r="C228" s="156" t="s">
        <v>3038</v>
      </c>
      <c r="D228" s="156">
        <v>840</v>
      </c>
      <c r="E228" s="156" t="s">
        <v>3490</v>
      </c>
      <c r="F228" s="379" t="s">
        <v>3491</v>
      </c>
      <c r="G228" s="359" t="s">
        <v>4768</v>
      </c>
    </row>
    <row r="229" spans="1:7">
      <c r="A229" s="371" t="s">
        <v>3037</v>
      </c>
      <c r="B229" s="156" t="s">
        <v>833</v>
      </c>
      <c r="C229" s="156" t="s">
        <v>3038</v>
      </c>
      <c r="D229" s="156">
        <v>858</v>
      </c>
      <c r="E229" s="156" t="s">
        <v>3492</v>
      </c>
      <c r="F229" s="379" t="s">
        <v>3493</v>
      </c>
      <c r="G229" s="359" t="s">
        <v>4768</v>
      </c>
    </row>
    <row r="230" spans="1:7">
      <c r="A230" s="371" t="s">
        <v>3037</v>
      </c>
      <c r="B230" s="156" t="s">
        <v>833</v>
      </c>
      <c r="C230" s="156" t="s">
        <v>3038</v>
      </c>
      <c r="D230" s="156">
        <v>860</v>
      </c>
      <c r="E230" s="156" t="s">
        <v>3494</v>
      </c>
      <c r="F230" s="379" t="s">
        <v>3495</v>
      </c>
      <c r="G230" s="359" t="s">
        <v>4768</v>
      </c>
    </row>
    <row r="231" spans="1:7">
      <c r="A231" s="371" t="s">
        <v>3037</v>
      </c>
      <c r="B231" s="156" t="s">
        <v>833</v>
      </c>
      <c r="C231" s="156" t="s">
        <v>3038</v>
      </c>
      <c r="D231" s="156">
        <v>336</v>
      </c>
      <c r="E231" s="156" t="s">
        <v>3496</v>
      </c>
      <c r="F231" s="379" t="s">
        <v>3497</v>
      </c>
      <c r="G231" s="359" t="s">
        <v>4768</v>
      </c>
    </row>
    <row r="232" spans="1:7">
      <c r="A232" s="371" t="s">
        <v>3037</v>
      </c>
      <c r="B232" s="156" t="s">
        <v>833</v>
      </c>
      <c r="C232" s="156" t="s">
        <v>3038</v>
      </c>
      <c r="D232" s="156">
        <v>670</v>
      </c>
      <c r="E232" s="156" t="s">
        <v>3498</v>
      </c>
      <c r="F232" s="379" t="s">
        <v>3499</v>
      </c>
      <c r="G232" s="359" t="s">
        <v>4768</v>
      </c>
    </row>
    <row r="233" spans="1:7">
      <c r="A233" s="371" t="s">
        <v>3037</v>
      </c>
      <c r="B233" s="156" t="s">
        <v>833</v>
      </c>
      <c r="C233" s="156" t="s">
        <v>3038</v>
      </c>
      <c r="D233" s="156">
        <v>862</v>
      </c>
      <c r="E233" s="156" t="s">
        <v>3500</v>
      </c>
      <c r="F233" s="379" t="s">
        <v>3501</v>
      </c>
      <c r="G233" s="359" t="s">
        <v>4768</v>
      </c>
    </row>
    <row r="234" spans="1:7">
      <c r="A234" s="371" t="s">
        <v>3037</v>
      </c>
      <c r="B234" s="156" t="s">
        <v>833</v>
      </c>
      <c r="C234" s="156" t="s">
        <v>3038</v>
      </c>
      <c r="D234" s="156">
        <v>92</v>
      </c>
      <c r="E234" s="156" t="s">
        <v>3502</v>
      </c>
      <c r="F234" s="379" t="s">
        <v>3503</v>
      </c>
      <c r="G234" s="359" t="s">
        <v>4768</v>
      </c>
    </row>
    <row r="235" spans="1:7">
      <c r="A235" s="371" t="s">
        <v>3037</v>
      </c>
      <c r="B235" s="156" t="s">
        <v>833</v>
      </c>
      <c r="C235" s="156" t="s">
        <v>3038</v>
      </c>
      <c r="D235" s="156">
        <v>850</v>
      </c>
      <c r="E235" s="156" t="s">
        <v>3504</v>
      </c>
      <c r="F235" s="379" t="s">
        <v>3505</v>
      </c>
      <c r="G235" s="359" t="s">
        <v>4768</v>
      </c>
    </row>
    <row r="236" spans="1:7">
      <c r="A236" s="371" t="s">
        <v>3037</v>
      </c>
      <c r="B236" s="156" t="s">
        <v>833</v>
      </c>
      <c r="C236" s="156" t="s">
        <v>3038</v>
      </c>
      <c r="D236" s="156">
        <v>704</v>
      </c>
      <c r="E236" s="156" t="s">
        <v>3506</v>
      </c>
      <c r="F236" s="379" t="s">
        <v>3507</v>
      </c>
      <c r="G236" s="359" t="s">
        <v>4768</v>
      </c>
    </row>
    <row r="237" spans="1:7">
      <c r="A237" s="371" t="s">
        <v>3037</v>
      </c>
      <c r="B237" s="156" t="s">
        <v>833</v>
      </c>
      <c r="C237" s="156" t="s">
        <v>3038</v>
      </c>
      <c r="D237" s="156">
        <v>548</v>
      </c>
      <c r="E237" s="156" t="s">
        <v>3508</v>
      </c>
      <c r="F237" s="379" t="s">
        <v>3509</v>
      </c>
      <c r="G237" s="359" t="s">
        <v>4768</v>
      </c>
    </row>
    <row r="238" spans="1:7">
      <c r="A238" s="371" t="s">
        <v>3037</v>
      </c>
      <c r="B238" s="156" t="s">
        <v>833</v>
      </c>
      <c r="C238" s="156" t="s">
        <v>3038</v>
      </c>
      <c r="D238" s="156">
        <v>876</v>
      </c>
      <c r="E238" s="156" t="s">
        <v>3510</v>
      </c>
      <c r="F238" s="379" t="s">
        <v>3511</v>
      </c>
      <c r="G238" s="359" t="s">
        <v>4768</v>
      </c>
    </row>
    <row r="239" spans="1:7">
      <c r="A239" s="371" t="s">
        <v>3037</v>
      </c>
      <c r="B239" s="156" t="s">
        <v>833</v>
      </c>
      <c r="C239" s="156" t="s">
        <v>3038</v>
      </c>
      <c r="D239" s="156">
        <v>882</v>
      </c>
      <c r="E239" s="156" t="s">
        <v>3512</v>
      </c>
      <c r="F239" s="379" t="s">
        <v>3513</v>
      </c>
      <c r="G239" s="359" t="s">
        <v>4768</v>
      </c>
    </row>
    <row r="240" spans="1:7">
      <c r="A240" s="371" t="s">
        <v>3037</v>
      </c>
      <c r="B240" s="156" t="s">
        <v>833</v>
      </c>
      <c r="C240" s="156" t="s">
        <v>3038</v>
      </c>
      <c r="D240" s="156">
        <v>887</v>
      </c>
      <c r="E240" s="156" t="s">
        <v>3514</v>
      </c>
      <c r="F240" s="379" t="s">
        <v>3515</v>
      </c>
      <c r="G240" s="359" t="s">
        <v>4768</v>
      </c>
    </row>
    <row r="241" spans="1:7">
      <c r="A241" s="371" t="s">
        <v>3037</v>
      </c>
      <c r="B241" s="156" t="s">
        <v>833</v>
      </c>
      <c r="C241" s="156" t="s">
        <v>3038</v>
      </c>
      <c r="D241" s="156">
        <v>710</v>
      </c>
      <c r="E241" s="156" t="s">
        <v>3516</v>
      </c>
      <c r="F241" s="379" t="s">
        <v>3517</v>
      </c>
      <c r="G241" s="359" t="s">
        <v>4768</v>
      </c>
    </row>
    <row r="242" spans="1:7">
      <c r="A242" s="371" t="s">
        <v>3037</v>
      </c>
      <c r="B242" s="156" t="s">
        <v>833</v>
      </c>
      <c r="C242" s="156" t="s">
        <v>3038</v>
      </c>
      <c r="D242" s="156">
        <v>894</v>
      </c>
      <c r="E242" s="156" t="s">
        <v>3518</v>
      </c>
      <c r="F242" s="379" t="s">
        <v>3519</v>
      </c>
      <c r="G242" s="359" t="s">
        <v>4768</v>
      </c>
    </row>
    <row r="243" spans="1:7">
      <c r="A243" s="371" t="s">
        <v>3037</v>
      </c>
      <c r="B243" s="156" t="s">
        <v>833</v>
      </c>
      <c r="C243" s="156" t="s">
        <v>3038</v>
      </c>
      <c r="D243" s="156">
        <v>716</v>
      </c>
      <c r="E243" s="156" t="s">
        <v>3520</v>
      </c>
      <c r="F243" s="379" t="s">
        <v>3521</v>
      </c>
      <c r="G243" s="359" t="s">
        <v>4768</v>
      </c>
    </row>
    <row r="244" spans="1:7">
      <c r="A244" s="371" t="s">
        <v>3037</v>
      </c>
      <c r="B244" s="156" t="s">
        <v>833</v>
      </c>
      <c r="C244" s="156" t="s">
        <v>3038</v>
      </c>
      <c r="D244" s="157">
        <v>254</v>
      </c>
      <c r="E244" s="157" t="s">
        <v>3522</v>
      </c>
      <c r="F244" s="380" t="s">
        <v>3523</v>
      </c>
      <c r="G244" s="359" t="s">
        <v>4768</v>
      </c>
    </row>
    <row r="245" spans="1:7">
      <c r="A245" s="371" t="s">
        <v>3037</v>
      </c>
      <c r="B245" s="156" t="s">
        <v>833</v>
      </c>
      <c r="C245" s="156" t="s">
        <v>3038</v>
      </c>
      <c r="D245" s="157">
        <v>312</v>
      </c>
      <c r="E245" s="157" t="s">
        <v>3524</v>
      </c>
      <c r="F245" s="380" t="s">
        <v>3525</v>
      </c>
      <c r="G245" s="359" t="s">
        <v>4768</v>
      </c>
    </row>
    <row r="246" spans="1:7">
      <c r="A246" s="371" t="s">
        <v>3037</v>
      </c>
      <c r="B246" s="156" t="s">
        <v>833</v>
      </c>
      <c r="C246" s="156" t="s">
        <v>3038</v>
      </c>
      <c r="D246" s="157">
        <v>492</v>
      </c>
      <c r="E246" s="157" t="s">
        <v>3526</v>
      </c>
      <c r="F246" s="380" t="s">
        <v>3527</v>
      </c>
      <c r="G246" s="359" t="s">
        <v>4768</v>
      </c>
    </row>
    <row r="247" spans="1:7">
      <c r="A247" s="371" t="s">
        <v>3037</v>
      </c>
      <c r="B247" s="156" t="s">
        <v>833</v>
      </c>
      <c r="C247" s="156" t="s">
        <v>3038</v>
      </c>
      <c r="D247" s="157">
        <v>474</v>
      </c>
      <c r="E247" s="157" t="s">
        <v>3528</v>
      </c>
      <c r="F247" s="380" t="s">
        <v>3529</v>
      </c>
      <c r="G247" s="359" t="s">
        <v>4768</v>
      </c>
    </row>
    <row r="248" spans="1:7">
      <c r="A248" s="371" t="s">
        <v>3037</v>
      </c>
      <c r="B248" s="156" t="s">
        <v>833</v>
      </c>
      <c r="C248" s="156" t="s">
        <v>3038</v>
      </c>
      <c r="D248" s="157">
        <v>666</v>
      </c>
      <c r="E248" s="157" t="s">
        <v>3530</v>
      </c>
      <c r="F248" s="380" t="s">
        <v>3531</v>
      </c>
      <c r="G248" s="359" t="s">
        <v>4768</v>
      </c>
    </row>
    <row r="249" spans="1:7">
      <c r="A249" s="371" t="s">
        <v>3037</v>
      </c>
      <c r="B249" s="156" t="s">
        <v>833</v>
      </c>
      <c r="C249" s="156" t="s">
        <v>3038</v>
      </c>
      <c r="D249" s="157">
        <v>638</v>
      </c>
      <c r="E249" s="157" t="s">
        <v>3532</v>
      </c>
      <c r="F249" s="380" t="s">
        <v>3533</v>
      </c>
      <c r="G249" s="359" t="s">
        <v>4768</v>
      </c>
    </row>
    <row r="250" spans="1:7">
      <c r="A250" s="371" t="s">
        <v>3037</v>
      </c>
      <c r="B250" s="156" t="s">
        <v>833</v>
      </c>
      <c r="C250" s="156" t="s">
        <v>3038</v>
      </c>
      <c r="D250" s="157">
        <v>175</v>
      </c>
      <c r="E250" s="157" t="s">
        <v>3534</v>
      </c>
      <c r="F250" s="380" t="s">
        <v>3535</v>
      </c>
      <c r="G250" s="359" t="s">
        <v>4768</v>
      </c>
    </row>
    <row r="251" spans="1:7">
      <c r="A251" s="371" t="s">
        <v>3037</v>
      </c>
      <c r="B251" s="156" t="s">
        <v>833</v>
      </c>
      <c r="C251" s="156" t="s">
        <v>3038</v>
      </c>
      <c r="D251" s="157">
        <v>0</v>
      </c>
      <c r="E251" s="157" t="s">
        <v>3536</v>
      </c>
      <c r="F251" s="380" t="s">
        <v>3537</v>
      </c>
      <c r="G251" s="359" t="s">
        <v>4768</v>
      </c>
    </row>
    <row r="252" spans="1:7">
      <c r="A252" s="371" t="s">
        <v>3037</v>
      </c>
      <c r="B252" s="156" t="s">
        <v>833</v>
      </c>
      <c r="C252" s="156" t="s">
        <v>3038</v>
      </c>
      <c r="D252" s="157" t="s">
        <v>1333</v>
      </c>
      <c r="E252" s="157" t="s">
        <v>3538</v>
      </c>
      <c r="F252" s="380" t="s">
        <v>3539</v>
      </c>
      <c r="G252" s="359" t="s">
        <v>4768</v>
      </c>
    </row>
    <row r="253" spans="1:7">
      <c r="A253" s="371" t="s">
        <v>3037</v>
      </c>
      <c r="B253" s="156" t="s">
        <v>833</v>
      </c>
      <c r="C253" s="156" t="s">
        <v>3038</v>
      </c>
      <c r="D253" s="157" t="s">
        <v>1333</v>
      </c>
      <c r="E253" s="157" t="s">
        <v>3540</v>
      </c>
      <c r="F253" s="380" t="s">
        <v>3541</v>
      </c>
      <c r="G253" s="359" t="s">
        <v>4768</v>
      </c>
    </row>
    <row r="254" spans="1:7">
      <c r="A254" s="371" t="s">
        <v>3037</v>
      </c>
      <c r="B254" s="156" t="s">
        <v>833</v>
      </c>
      <c r="C254" s="156" t="s">
        <v>3038</v>
      </c>
      <c r="D254" s="157" t="s">
        <v>1293</v>
      </c>
      <c r="E254" s="157" t="s">
        <v>3542</v>
      </c>
      <c r="F254" s="380" t="s">
        <v>3543</v>
      </c>
      <c r="G254" s="359" t="s">
        <v>4768</v>
      </c>
    </row>
    <row r="255" spans="1:7">
      <c r="A255" s="371" t="s">
        <v>3037</v>
      </c>
      <c r="B255" s="156" t="s">
        <v>833</v>
      </c>
      <c r="C255" s="156" t="s">
        <v>3038</v>
      </c>
      <c r="D255" s="157" t="s">
        <v>1293</v>
      </c>
      <c r="E255" s="157" t="s">
        <v>3544</v>
      </c>
      <c r="F255" s="380" t="s">
        <v>3545</v>
      </c>
      <c r="G255" s="359" t="s">
        <v>4768</v>
      </c>
    </row>
    <row r="256" spans="1:7">
      <c r="A256" s="371" t="s">
        <v>3037</v>
      </c>
      <c r="B256" s="156" t="s">
        <v>833</v>
      </c>
      <c r="C256" s="156" t="s">
        <v>3038</v>
      </c>
      <c r="D256" s="157" t="s">
        <v>1293</v>
      </c>
      <c r="E256" s="157" t="s">
        <v>3546</v>
      </c>
      <c r="F256" s="380" t="s">
        <v>3547</v>
      </c>
      <c r="G256" s="359" t="s">
        <v>4768</v>
      </c>
    </row>
    <row r="257" spans="1:7">
      <c r="A257" s="371" t="s">
        <v>3037</v>
      </c>
      <c r="B257" s="156" t="s">
        <v>833</v>
      </c>
      <c r="C257" s="156" t="s">
        <v>3038</v>
      </c>
      <c r="D257" s="157" t="s">
        <v>1293</v>
      </c>
      <c r="E257" s="157" t="s">
        <v>3548</v>
      </c>
      <c r="F257" s="380" t="s">
        <v>3549</v>
      </c>
      <c r="G257" s="359" t="s">
        <v>4768</v>
      </c>
    </row>
    <row r="258" spans="1:7">
      <c r="A258" s="371" t="s">
        <v>3037</v>
      </c>
      <c r="B258" s="156" t="s">
        <v>833</v>
      </c>
      <c r="C258" s="156" t="s">
        <v>3038</v>
      </c>
      <c r="D258" s="157" t="s">
        <v>1293</v>
      </c>
      <c r="E258" s="157" t="s">
        <v>3550</v>
      </c>
      <c r="F258" s="380" t="s">
        <v>3551</v>
      </c>
      <c r="G258" s="359" t="s">
        <v>4768</v>
      </c>
    </row>
    <row r="259" spans="1:7">
      <c r="A259" s="371" t="s">
        <v>3037</v>
      </c>
      <c r="B259" s="156" t="s">
        <v>833</v>
      </c>
      <c r="C259" s="156" t="s">
        <v>3038</v>
      </c>
      <c r="D259" s="157" t="s">
        <v>1293</v>
      </c>
      <c r="E259" s="157" t="s">
        <v>3552</v>
      </c>
      <c r="F259" s="380" t="s">
        <v>3553</v>
      </c>
      <c r="G259" s="359" t="s">
        <v>4768</v>
      </c>
    </row>
    <row r="260" spans="1:7">
      <c r="A260" s="371" t="s">
        <v>3037</v>
      </c>
      <c r="B260" s="156" t="s">
        <v>833</v>
      </c>
      <c r="C260" s="156" t="s">
        <v>3038</v>
      </c>
      <c r="D260" s="157" t="s">
        <v>1293</v>
      </c>
      <c r="E260" s="157" t="s">
        <v>3554</v>
      </c>
      <c r="F260" s="380" t="s">
        <v>3555</v>
      </c>
      <c r="G260" s="359" t="s">
        <v>4768</v>
      </c>
    </row>
    <row r="261" spans="1:7">
      <c r="A261" s="371" t="s">
        <v>3037</v>
      </c>
      <c r="B261" s="156" t="s">
        <v>833</v>
      </c>
      <c r="C261" s="156" t="s">
        <v>3038</v>
      </c>
      <c r="D261" s="157" t="s">
        <v>1293</v>
      </c>
      <c r="E261" s="157" t="s">
        <v>3556</v>
      </c>
      <c r="F261" s="380" t="s">
        <v>3557</v>
      </c>
      <c r="G261" s="359" t="s">
        <v>4768</v>
      </c>
    </row>
    <row r="262" spans="1:7">
      <c r="A262" s="371" t="s">
        <v>3037</v>
      </c>
      <c r="B262" s="156" t="s">
        <v>833</v>
      </c>
      <c r="C262" s="156" t="s">
        <v>3038</v>
      </c>
      <c r="D262" s="157" t="s">
        <v>1293</v>
      </c>
      <c r="E262" s="157" t="s">
        <v>3558</v>
      </c>
      <c r="F262" s="380" t="s">
        <v>3559</v>
      </c>
      <c r="G262" s="359" t="s">
        <v>4768</v>
      </c>
    </row>
    <row r="263" spans="1:7">
      <c r="A263" s="371" t="s">
        <v>3037</v>
      </c>
      <c r="B263" s="156" t="s">
        <v>833</v>
      </c>
      <c r="C263" s="156" t="s">
        <v>3038</v>
      </c>
      <c r="D263" s="157" t="s">
        <v>1293</v>
      </c>
      <c r="E263" s="157" t="s">
        <v>3560</v>
      </c>
      <c r="F263" s="380" t="s">
        <v>3561</v>
      </c>
      <c r="G263" s="359" t="s">
        <v>4768</v>
      </c>
    </row>
    <row r="264" spans="1:7">
      <c r="A264" s="371" t="s">
        <v>3037</v>
      </c>
      <c r="B264" s="156" t="s">
        <v>833</v>
      </c>
      <c r="C264" s="156" t="s">
        <v>3038</v>
      </c>
      <c r="D264" s="157" t="s">
        <v>1293</v>
      </c>
      <c r="E264" s="157" t="s">
        <v>3562</v>
      </c>
      <c r="F264" s="380" t="s">
        <v>3563</v>
      </c>
      <c r="G264" s="359" t="s">
        <v>4768</v>
      </c>
    </row>
    <row r="265" spans="1:7">
      <c r="A265" s="371" t="s">
        <v>3037</v>
      </c>
      <c r="B265" s="156" t="s">
        <v>833</v>
      </c>
      <c r="C265" s="156" t="s">
        <v>3038</v>
      </c>
      <c r="D265" s="157" t="s">
        <v>1293</v>
      </c>
      <c r="E265" s="157" t="s">
        <v>3564</v>
      </c>
      <c r="F265" s="380" t="s">
        <v>3565</v>
      </c>
      <c r="G265" s="359" t="s">
        <v>4768</v>
      </c>
    </row>
    <row r="266" spans="1:7">
      <c r="A266" s="371" t="s">
        <v>3037</v>
      </c>
      <c r="B266" s="156" t="s">
        <v>833</v>
      </c>
      <c r="C266" s="156" t="s">
        <v>3038</v>
      </c>
      <c r="D266" s="157" t="s">
        <v>1293</v>
      </c>
      <c r="E266" s="157" t="s">
        <v>3566</v>
      </c>
      <c r="F266" s="380" t="s">
        <v>3567</v>
      </c>
      <c r="G266" s="359" t="s">
        <v>4768</v>
      </c>
    </row>
    <row r="267" spans="1:7">
      <c r="A267" s="371" t="s">
        <v>3037</v>
      </c>
      <c r="B267" s="156" t="s">
        <v>833</v>
      </c>
      <c r="C267" s="156" t="s">
        <v>3038</v>
      </c>
      <c r="D267" s="157" t="s">
        <v>1293</v>
      </c>
      <c r="E267" s="157" t="s">
        <v>3568</v>
      </c>
      <c r="F267" s="380" t="s">
        <v>3569</v>
      </c>
      <c r="G267" s="359" t="s">
        <v>4768</v>
      </c>
    </row>
    <row r="268" spans="1:7">
      <c r="A268" s="371" t="s">
        <v>3037</v>
      </c>
      <c r="B268" s="156" t="s">
        <v>833</v>
      </c>
      <c r="C268" s="156" t="s">
        <v>3038</v>
      </c>
      <c r="D268" s="157" t="s">
        <v>1293</v>
      </c>
      <c r="E268" s="157" t="s">
        <v>3570</v>
      </c>
      <c r="F268" s="380" t="s">
        <v>3571</v>
      </c>
      <c r="G268" s="359" t="s">
        <v>4768</v>
      </c>
    </row>
    <row r="269" spans="1:7">
      <c r="A269" s="371" t="s">
        <v>3037</v>
      </c>
      <c r="B269" s="156" t="s">
        <v>833</v>
      </c>
      <c r="C269" s="156" t="s">
        <v>3038</v>
      </c>
      <c r="D269" s="157" t="s">
        <v>1293</v>
      </c>
      <c r="E269" s="157" t="s">
        <v>3572</v>
      </c>
      <c r="F269" s="380" t="s">
        <v>3573</v>
      </c>
      <c r="G269" s="359" t="s">
        <v>4768</v>
      </c>
    </row>
    <row r="270" spans="1:7">
      <c r="A270" s="371" t="s">
        <v>3037</v>
      </c>
      <c r="B270" s="156" t="s">
        <v>833</v>
      </c>
      <c r="C270" s="156" t="s">
        <v>3038</v>
      </c>
      <c r="D270" s="157" t="s">
        <v>1293</v>
      </c>
      <c r="E270" s="157" t="s">
        <v>3574</v>
      </c>
      <c r="F270" s="380" t="s">
        <v>3575</v>
      </c>
      <c r="G270" s="359" t="s">
        <v>4768</v>
      </c>
    </row>
    <row r="271" spans="1:7">
      <c r="A271" s="371" t="s">
        <v>3037</v>
      </c>
      <c r="B271" s="156" t="s">
        <v>833</v>
      </c>
      <c r="C271" s="156" t="s">
        <v>3038</v>
      </c>
      <c r="D271" s="157" t="s">
        <v>1293</v>
      </c>
      <c r="E271" s="157" t="s">
        <v>3576</v>
      </c>
      <c r="F271" s="380" t="s">
        <v>3577</v>
      </c>
      <c r="G271" s="359" t="s">
        <v>4768</v>
      </c>
    </row>
    <row r="272" spans="1:7">
      <c r="A272" s="371" t="s">
        <v>3037</v>
      </c>
      <c r="B272" s="156" t="s">
        <v>833</v>
      </c>
      <c r="C272" s="156" t="s">
        <v>3038</v>
      </c>
      <c r="D272" s="157" t="s">
        <v>1293</v>
      </c>
      <c r="E272" s="157" t="s">
        <v>3578</v>
      </c>
      <c r="F272" s="380" t="s">
        <v>3579</v>
      </c>
      <c r="G272" s="359" t="s">
        <v>4768</v>
      </c>
    </row>
    <row r="273" spans="1:7">
      <c r="A273" s="371" t="s">
        <v>3037</v>
      </c>
      <c r="B273" s="156" t="s">
        <v>833</v>
      </c>
      <c r="C273" s="156" t="s">
        <v>3038</v>
      </c>
      <c r="D273" s="157" t="s">
        <v>1293</v>
      </c>
      <c r="E273" s="157" t="s">
        <v>3580</v>
      </c>
      <c r="F273" s="380" t="s">
        <v>3581</v>
      </c>
      <c r="G273" s="359" t="s">
        <v>4768</v>
      </c>
    </row>
    <row r="274" spans="1:7">
      <c r="A274" s="371" t="s">
        <v>3037</v>
      </c>
      <c r="B274" s="156" t="s">
        <v>833</v>
      </c>
      <c r="C274" s="156" t="s">
        <v>3038</v>
      </c>
      <c r="D274" s="157" t="s">
        <v>1293</v>
      </c>
      <c r="E274" s="157" t="s">
        <v>3582</v>
      </c>
      <c r="F274" s="380" t="s">
        <v>3583</v>
      </c>
      <c r="G274" s="359" t="s">
        <v>4768</v>
      </c>
    </row>
    <row r="275" spans="1:7">
      <c r="A275" s="371" t="s">
        <v>3037</v>
      </c>
      <c r="B275" s="156" t="s">
        <v>833</v>
      </c>
      <c r="C275" s="156" t="s">
        <v>3038</v>
      </c>
      <c r="D275" s="157" t="s">
        <v>1293</v>
      </c>
      <c r="E275" s="157" t="s">
        <v>3584</v>
      </c>
      <c r="F275" s="380" t="s">
        <v>3585</v>
      </c>
      <c r="G275" s="359" t="s">
        <v>4768</v>
      </c>
    </row>
    <row r="276" spans="1:7">
      <c r="A276" s="371" t="s">
        <v>3037</v>
      </c>
      <c r="B276" s="156" t="s">
        <v>833</v>
      </c>
      <c r="C276" s="156" t="s">
        <v>3038</v>
      </c>
      <c r="D276" s="157" t="s">
        <v>1293</v>
      </c>
      <c r="E276" s="157" t="s">
        <v>3586</v>
      </c>
      <c r="F276" s="380" t="s">
        <v>3587</v>
      </c>
      <c r="G276" s="359" t="s">
        <v>4768</v>
      </c>
    </row>
    <row r="277" spans="1:7">
      <c r="A277" s="371" t="s">
        <v>3037</v>
      </c>
      <c r="B277" s="156" t="s">
        <v>833</v>
      </c>
      <c r="C277" s="156" t="s">
        <v>3038</v>
      </c>
      <c r="D277" s="157" t="s">
        <v>1293</v>
      </c>
      <c r="E277" s="157" t="s">
        <v>3588</v>
      </c>
      <c r="F277" s="380" t="s">
        <v>3589</v>
      </c>
      <c r="G277" s="359" t="s">
        <v>4768</v>
      </c>
    </row>
    <row r="278" spans="1:7">
      <c r="A278" s="371" t="s">
        <v>3037</v>
      </c>
      <c r="B278" s="156" t="s">
        <v>833</v>
      </c>
      <c r="C278" s="156" t="s">
        <v>3038</v>
      </c>
      <c r="D278" s="157" t="s">
        <v>1293</v>
      </c>
      <c r="E278" s="157" t="s">
        <v>3590</v>
      </c>
      <c r="F278" s="380" t="s">
        <v>3591</v>
      </c>
      <c r="G278" s="359" t="s">
        <v>4768</v>
      </c>
    </row>
    <row r="279" spans="1:7">
      <c r="A279" s="371" t="s">
        <v>3037</v>
      </c>
      <c r="B279" s="156" t="s">
        <v>833</v>
      </c>
      <c r="C279" s="156" t="s">
        <v>3038</v>
      </c>
      <c r="D279" s="157" t="s">
        <v>1293</v>
      </c>
      <c r="E279" s="157" t="s">
        <v>3592</v>
      </c>
      <c r="F279" s="380" t="s">
        <v>3593</v>
      </c>
      <c r="G279" s="359" t="s">
        <v>4768</v>
      </c>
    </row>
    <row r="280" spans="1:7">
      <c r="A280" s="371" t="s">
        <v>3037</v>
      </c>
      <c r="B280" s="156" t="s">
        <v>833</v>
      </c>
      <c r="C280" s="156" t="s">
        <v>3038</v>
      </c>
      <c r="D280" s="157" t="s">
        <v>1293</v>
      </c>
      <c r="E280" s="157" t="s">
        <v>3594</v>
      </c>
      <c r="F280" s="380" t="s">
        <v>3595</v>
      </c>
      <c r="G280" s="359" t="s">
        <v>4768</v>
      </c>
    </row>
    <row r="281" spans="1:7">
      <c r="A281" s="371" t="s">
        <v>3037</v>
      </c>
      <c r="B281" s="156" t="s">
        <v>833</v>
      </c>
      <c r="C281" s="156" t="s">
        <v>3038</v>
      </c>
      <c r="D281" s="157" t="s">
        <v>1293</v>
      </c>
      <c r="E281" s="157" t="s">
        <v>3596</v>
      </c>
      <c r="F281" s="380" t="s">
        <v>3597</v>
      </c>
      <c r="G281" s="359" t="s">
        <v>4768</v>
      </c>
    </row>
    <row r="282" spans="1:7">
      <c r="A282" s="371" t="s">
        <v>3037</v>
      </c>
      <c r="B282" s="156" t="s">
        <v>833</v>
      </c>
      <c r="C282" s="156" t="s">
        <v>3038</v>
      </c>
      <c r="D282" s="157" t="s">
        <v>1293</v>
      </c>
      <c r="E282" s="157" t="s">
        <v>3598</v>
      </c>
      <c r="F282" s="380" t="s">
        <v>3599</v>
      </c>
      <c r="G282" s="359" t="s">
        <v>4768</v>
      </c>
    </row>
    <row r="283" spans="1:7">
      <c r="A283" s="371" t="s">
        <v>3037</v>
      </c>
      <c r="B283" s="156" t="s">
        <v>833</v>
      </c>
      <c r="C283" s="156" t="s">
        <v>3038</v>
      </c>
      <c r="D283" s="157" t="s">
        <v>1293</v>
      </c>
      <c r="E283" s="157" t="s">
        <v>3600</v>
      </c>
      <c r="F283" s="380" t="s">
        <v>3601</v>
      </c>
      <c r="G283" s="359" t="s">
        <v>4768</v>
      </c>
    </row>
    <row r="284" spans="1:7">
      <c r="A284" s="371" t="s">
        <v>3037</v>
      </c>
      <c r="B284" s="156" t="s">
        <v>833</v>
      </c>
      <c r="C284" s="156" t="s">
        <v>3038</v>
      </c>
      <c r="D284" s="157" t="s">
        <v>1293</v>
      </c>
      <c r="E284" s="157" t="s">
        <v>3602</v>
      </c>
      <c r="F284" s="380" t="s">
        <v>3603</v>
      </c>
      <c r="G284" s="359" t="s">
        <v>4768</v>
      </c>
    </row>
    <row r="285" spans="1:7">
      <c r="A285" s="371" t="s">
        <v>3037</v>
      </c>
      <c r="B285" s="156" t="s">
        <v>833</v>
      </c>
      <c r="C285" s="156" t="s">
        <v>3038</v>
      </c>
      <c r="D285" s="157" t="s">
        <v>1293</v>
      </c>
      <c r="E285" s="157" t="s">
        <v>3604</v>
      </c>
      <c r="F285" s="380" t="s">
        <v>3605</v>
      </c>
      <c r="G285" s="359" t="s">
        <v>4768</v>
      </c>
    </row>
    <row r="286" spans="1:7">
      <c r="A286" s="371" t="s">
        <v>3037</v>
      </c>
      <c r="B286" s="156" t="s">
        <v>833</v>
      </c>
      <c r="C286" s="156" t="s">
        <v>3038</v>
      </c>
      <c r="D286" s="157" t="s">
        <v>1293</v>
      </c>
      <c r="E286" s="157" t="s">
        <v>3606</v>
      </c>
      <c r="F286" s="380" t="s">
        <v>3607</v>
      </c>
      <c r="G286" s="359" t="s">
        <v>4768</v>
      </c>
    </row>
    <row r="287" spans="1:7">
      <c r="A287" s="371" t="s">
        <v>3037</v>
      </c>
      <c r="B287" s="156" t="s">
        <v>833</v>
      </c>
      <c r="C287" s="156" t="s">
        <v>3038</v>
      </c>
      <c r="D287" s="157" t="s">
        <v>1293</v>
      </c>
      <c r="E287" s="157" t="s">
        <v>3608</v>
      </c>
      <c r="F287" s="380" t="s">
        <v>3609</v>
      </c>
      <c r="G287" s="359" t="s">
        <v>4768</v>
      </c>
    </row>
    <row r="288" spans="1:7">
      <c r="A288" s="371" t="s">
        <v>3037</v>
      </c>
      <c r="B288" s="156" t="s">
        <v>833</v>
      </c>
      <c r="C288" s="156" t="s">
        <v>3038</v>
      </c>
      <c r="D288" s="157" t="s">
        <v>1293</v>
      </c>
      <c r="E288" s="157" t="s">
        <v>3610</v>
      </c>
      <c r="F288" s="380" t="s">
        <v>3611</v>
      </c>
      <c r="G288" s="359" t="s">
        <v>4768</v>
      </c>
    </row>
    <row r="289" spans="1:7">
      <c r="A289" s="371" t="s">
        <v>3037</v>
      </c>
      <c r="B289" s="156" t="s">
        <v>833</v>
      </c>
      <c r="C289" s="156" t="s">
        <v>3038</v>
      </c>
      <c r="D289" s="157" t="s">
        <v>1293</v>
      </c>
      <c r="E289" s="157" t="s">
        <v>3612</v>
      </c>
      <c r="F289" s="380" t="s">
        <v>3613</v>
      </c>
      <c r="G289" s="359" t="s">
        <v>4768</v>
      </c>
    </row>
    <row r="290" spans="1:7">
      <c r="A290" s="371" t="s">
        <v>3037</v>
      </c>
      <c r="B290" s="156" t="s">
        <v>833</v>
      </c>
      <c r="C290" s="156" t="s">
        <v>3038</v>
      </c>
      <c r="D290" s="157" t="s">
        <v>1293</v>
      </c>
      <c r="E290" s="157" t="s">
        <v>3614</v>
      </c>
      <c r="F290" s="380" t="s">
        <v>3615</v>
      </c>
      <c r="G290" s="359" t="s">
        <v>4768</v>
      </c>
    </row>
    <row r="291" spans="1:7">
      <c r="A291" s="371" t="s">
        <v>3037</v>
      </c>
      <c r="B291" s="156" t="s">
        <v>833</v>
      </c>
      <c r="C291" s="156" t="s">
        <v>3038</v>
      </c>
      <c r="D291" s="157" t="s">
        <v>1293</v>
      </c>
      <c r="E291" s="157" t="s">
        <v>3616</v>
      </c>
      <c r="F291" s="380" t="s">
        <v>3617</v>
      </c>
      <c r="G291" s="359" t="s">
        <v>4768</v>
      </c>
    </row>
    <row r="292" spans="1:7">
      <c r="A292" s="371" t="s">
        <v>3037</v>
      </c>
      <c r="B292" s="156" t="s">
        <v>833</v>
      </c>
      <c r="C292" s="156" t="s">
        <v>3038</v>
      </c>
      <c r="D292" s="157" t="s">
        <v>1293</v>
      </c>
      <c r="E292" s="157" t="s">
        <v>3618</v>
      </c>
      <c r="F292" s="380" t="s">
        <v>3619</v>
      </c>
      <c r="G292" s="359" t="s">
        <v>4768</v>
      </c>
    </row>
    <row r="293" spans="1:7">
      <c r="A293" s="371" t="s">
        <v>3037</v>
      </c>
      <c r="B293" s="156" t="s">
        <v>833</v>
      </c>
      <c r="C293" s="156" t="s">
        <v>3038</v>
      </c>
      <c r="D293" s="157" t="s">
        <v>1293</v>
      </c>
      <c r="E293" s="157" t="s">
        <v>3620</v>
      </c>
      <c r="F293" s="380" t="s">
        <v>3621</v>
      </c>
      <c r="G293" s="359" t="s">
        <v>4768</v>
      </c>
    </row>
    <row r="294" spans="1:7">
      <c r="A294" s="371" t="s">
        <v>3037</v>
      </c>
      <c r="B294" s="156" t="s">
        <v>833</v>
      </c>
      <c r="C294" s="156" t="s">
        <v>3038</v>
      </c>
      <c r="D294" s="157" t="s">
        <v>1293</v>
      </c>
      <c r="E294" s="157" t="s">
        <v>3622</v>
      </c>
      <c r="F294" s="380" t="s">
        <v>3623</v>
      </c>
      <c r="G294" s="359" t="s">
        <v>4768</v>
      </c>
    </row>
    <row r="295" spans="1:7">
      <c r="A295" s="371" t="s">
        <v>3037</v>
      </c>
      <c r="B295" s="156" t="s">
        <v>833</v>
      </c>
      <c r="C295" s="156" t="s">
        <v>3038</v>
      </c>
      <c r="D295" s="157" t="s">
        <v>1293</v>
      </c>
      <c r="E295" s="157" t="s">
        <v>3624</v>
      </c>
      <c r="F295" s="380" t="s">
        <v>3625</v>
      </c>
      <c r="G295" s="359" t="s">
        <v>4768</v>
      </c>
    </row>
    <row r="296" spans="1:7">
      <c r="A296" s="371" t="s">
        <v>3037</v>
      </c>
      <c r="B296" s="156" t="s">
        <v>833</v>
      </c>
      <c r="C296" s="156" t="s">
        <v>3038</v>
      </c>
      <c r="D296" s="157" t="s">
        <v>1293</v>
      </c>
      <c r="E296" s="157" t="s">
        <v>3626</v>
      </c>
      <c r="F296" s="380" t="s">
        <v>3627</v>
      </c>
      <c r="G296" s="359" t="s">
        <v>4768</v>
      </c>
    </row>
    <row r="297" spans="1:7">
      <c r="A297" s="371" t="s">
        <v>3037</v>
      </c>
      <c r="B297" s="156" t="s">
        <v>833</v>
      </c>
      <c r="C297" s="156" t="s">
        <v>3038</v>
      </c>
      <c r="D297" s="157" t="s">
        <v>1293</v>
      </c>
      <c r="E297" s="157" t="s">
        <v>3628</v>
      </c>
      <c r="F297" s="380" t="s">
        <v>3629</v>
      </c>
      <c r="G297" s="359" t="s">
        <v>4768</v>
      </c>
    </row>
    <row r="298" spans="1:7">
      <c r="A298" s="371" t="s">
        <v>3037</v>
      </c>
      <c r="B298" s="156" t="s">
        <v>833</v>
      </c>
      <c r="C298" s="156" t="s">
        <v>3038</v>
      </c>
      <c r="D298" s="157" t="s">
        <v>1293</v>
      </c>
      <c r="E298" s="157" t="s">
        <v>3630</v>
      </c>
      <c r="F298" s="380" t="s">
        <v>3631</v>
      </c>
      <c r="G298" s="359" t="s">
        <v>4768</v>
      </c>
    </row>
    <row r="299" spans="1:7">
      <c r="A299" s="371" t="s">
        <v>3037</v>
      </c>
      <c r="B299" s="156" t="s">
        <v>833</v>
      </c>
      <c r="C299" s="156" t="s">
        <v>3038</v>
      </c>
      <c r="D299" s="157" t="s">
        <v>1293</v>
      </c>
      <c r="E299" s="157" t="s">
        <v>3632</v>
      </c>
      <c r="F299" s="380" t="s">
        <v>3633</v>
      </c>
      <c r="G299" s="359" t="s">
        <v>4768</v>
      </c>
    </row>
    <row r="300" spans="1:7">
      <c r="A300" s="371" t="s">
        <v>3037</v>
      </c>
      <c r="B300" s="156" t="s">
        <v>833</v>
      </c>
      <c r="C300" s="156" t="s">
        <v>3038</v>
      </c>
      <c r="D300" s="157" t="s">
        <v>1293</v>
      </c>
      <c r="E300" s="157" t="s">
        <v>3634</v>
      </c>
      <c r="F300" s="380" t="s">
        <v>3635</v>
      </c>
      <c r="G300" s="359" t="s">
        <v>4768</v>
      </c>
    </row>
    <row r="301" spans="1:7">
      <c r="A301" s="371" t="s">
        <v>3037</v>
      </c>
      <c r="B301" s="156" t="s">
        <v>833</v>
      </c>
      <c r="C301" s="156" t="s">
        <v>3038</v>
      </c>
      <c r="D301" s="157" t="s">
        <v>1293</v>
      </c>
      <c r="E301" s="157" t="s">
        <v>3636</v>
      </c>
      <c r="F301" s="380" t="s">
        <v>3637</v>
      </c>
      <c r="G301" s="359" t="s">
        <v>4768</v>
      </c>
    </row>
    <row r="302" spans="1:7">
      <c r="A302" s="371" t="s">
        <v>3037</v>
      </c>
      <c r="B302" s="156" t="s">
        <v>833</v>
      </c>
      <c r="C302" s="156" t="s">
        <v>3038</v>
      </c>
      <c r="D302" s="157" t="s">
        <v>1293</v>
      </c>
      <c r="E302" s="157" t="s">
        <v>3638</v>
      </c>
      <c r="F302" s="380" t="s">
        <v>3639</v>
      </c>
      <c r="G302" s="359" t="s">
        <v>4768</v>
      </c>
    </row>
    <row r="303" spans="1:7">
      <c r="A303" s="371" t="s">
        <v>3037</v>
      </c>
      <c r="B303" s="156" t="s">
        <v>833</v>
      </c>
      <c r="C303" s="156" t="s">
        <v>3038</v>
      </c>
      <c r="D303" s="157" t="s">
        <v>1293</v>
      </c>
      <c r="E303" s="157" t="s">
        <v>3640</v>
      </c>
      <c r="F303" s="380" t="s">
        <v>3641</v>
      </c>
      <c r="G303" s="359" t="s">
        <v>4768</v>
      </c>
    </row>
    <row r="304" spans="1:7">
      <c r="A304" s="371" t="s">
        <v>3037</v>
      </c>
      <c r="B304" s="156" t="s">
        <v>833</v>
      </c>
      <c r="C304" s="156" t="s">
        <v>3038</v>
      </c>
      <c r="D304" s="157" t="s">
        <v>1293</v>
      </c>
      <c r="E304" s="157" t="s">
        <v>3642</v>
      </c>
      <c r="F304" s="380" t="s">
        <v>3643</v>
      </c>
      <c r="G304" s="359" t="s">
        <v>4768</v>
      </c>
    </row>
    <row r="305" spans="1:7">
      <c r="A305" s="371" t="s">
        <v>3037</v>
      </c>
      <c r="B305" s="156" t="s">
        <v>833</v>
      </c>
      <c r="C305" s="156" t="s">
        <v>3038</v>
      </c>
      <c r="D305" s="157" t="s">
        <v>1293</v>
      </c>
      <c r="E305" s="157" t="s">
        <v>3644</v>
      </c>
      <c r="F305" s="380" t="s">
        <v>3645</v>
      </c>
      <c r="G305" s="359" t="s">
        <v>4768</v>
      </c>
    </row>
    <row r="306" spans="1:7">
      <c r="A306" s="371" t="s">
        <v>3037</v>
      </c>
      <c r="B306" s="156" t="s">
        <v>833</v>
      </c>
      <c r="C306" s="156" t="s">
        <v>3038</v>
      </c>
      <c r="D306" s="157" t="s">
        <v>1293</v>
      </c>
      <c r="E306" s="157" t="s">
        <v>3646</v>
      </c>
      <c r="F306" s="380" t="s">
        <v>3647</v>
      </c>
      <c r="G306" s="359" t="s">
        <v>4768</v>
      </c>
    </row>
    <row r="307" spans="1:7">
      <c r="A307" s="371" t="s">
        <v>3037</v>
      </c>
      <c r="B307" s="156" t="s">
        <v>833</v>
      </c>
      <c r="C307" s="156" t="s">
        <v>3038</v>
      </c>
      <c r="D307" s="157" t="s">
        <v>1293</v>
      </c>
      <c r="E307" s="157" t="s">
        <v>3648</v>
      </c>
      <c r="F307" s="380" t="s">
        <v>3649</v>
      </c>
      <c r="G307" s="359" t="s">
        <v>4768</v>
      </c>
    </row>
    <row r="308" spans="1:7">
      <c r="A308" s="371" t="s">
        <v>3037</v>
      </c>
      <c r="B308" s="156" t="s">
        <v>833</v>
      </c>
      <c r="C308" s="156" t="s">
        <v>3038</v>
      </c>
      <c r="D308" s="157" t="s">
        <v>1293</v>
      </c>
      <c r="E308" s="157" t="s">
        <v>3650</v>
      </c>
      <c r="F308" s="380" t="s">
        <v>3651</v>
      </c>
      <c r="G308" s="359" t="s">
        <v>4768</v>
      </c>
    </row>
    <row r="309" spans="1:7">
      <c r="A309" s="371" t="s">
        <v>3037</v>
      </c>
      <c r="B309" s="156" t="s">
        <v>833</v>
      </c>
      <c r="C309" s="156" t="s">
        <v>3038</v>
      </c>
      <c r="D309" s="157" t="s">
        <v>1293</v>
      </c>
      <c r="E309" s="157" t="s">
        <v>3652</v>
      </c>
      <c r="F309" s="380" t="s">
        <v>3653</v>
      </c>
      <c r="G309" s="359" t="s">
        <v>4768</v>
      </c>
    </row>
    <row r="310" spans="1:7">
      <c r="A310" s="371" t="s">
        <v>3037</v>
      </c>
      <c r="B310" s="156" t="s">
        <v>833</v>
      </c>
      <c r="C310" s="156" t="s">
        <v>3038</v>
      </c>
      <c r="D310" s="157" t="s">
        <v>1293</v>
      </c>
      <c r="E310" s="157" t="s">
        <v>3654</v>
      </c>
      <c r="F310" s="380" t="s">
        <v>3655</v>
      </c>
      <c r="G310" s="359" t="s">
        <v>4768</v>
      </c>
    </row>
    <row r="311" spans="1:7">
      <c r="A311" s="371" t="s">
        <v>3037</v>
      </c>
      <c r="B311" s="156" t="s">
        <v>833</v>
      </c>
      <c r="C311" s="156" t="s">
        <v>3038</v>
      </c>
      <c r="D311" s="157" t="s">
        <v>1293</v>
      </c>
      <c r="E311" s="157" t="s">
        <v>3656</v>
      </c>
      <c r="F311" s="380" t="s">
        <v>3657</v>
      </c>
      <c r="G311" s="359" t="s">
        <v>4768</v>
      </c>
    </row>
    <row r="312" spans="1:7">
      <c r="A312" s="371" t="s">
        <v>3037</v>
      </c>
      <c r="B312" s="156" t="s">
        <v>833</v>
      </c>
      <c r="C312" s="156" t="s">
        <v>3038</v>
      </c>
      <c r="D312" s="157" t="s">
        <v>1293</v>
      </c>
      <c r="E312" s="157" t="s">
        <v>3658</v>
      </c>
      <c r="F312" s="380" t="s">
        <v>3659</v>
      </c>
      <c r="G312" s="359" t="s">
        <v>4768</v>
      </c>
    </row>
    <row r="313" spans="1:7">
      <c r="A313" s="371" t="s">
        <v>3037</v>
      </c>
      <c r="B313" s="156" t="s">
        <v>833</v>
      </c>
      <c r="C313" s="156" t="s">
        <v>3038</v>
      </c>
      <c r="D313" s="157" t="s">
        <v>1293</v>
      </c>
      <c r="E313" s="157" t="s">
        <v>3660</v>
      </c>
      <c r="F313" s="380" t="s">
        <v>3661</v>
      </c>
      <c r="G313" s="359" t="s">
        <v>4768</v>
      </c>
    </row>
    <row r="314" spans="1:7">
      <c r="A314" s="371" t="s">
        <v>3037</v>
      </c>
      <c r="B314" s="156" t="s">
        <v>833</v>
      </c>
      <c r="C314" s="156" t="s">
        <v>3038</v>
      </c>
      <c r="D314" s="157" t="s">
        <v>1293</v>
      </c>
      <c r="E314" s="157" t="s">
        <v>3662</v>
      </c>
      <c r="F314" s="380" t="s">
        <v>3663</v>
      </c>
      <c r="G314" s="359" t="s">
        <v>4768</v>
      </c>
    </row>
    <row r="315" spans="1:7">
      <c r="A315" s="371" t="s">
        <v>3037</v>
      </c>
      <c r="B315" s="156" t="s">
        <v>833</v>
      </c>
      <c r="C315" s="156" t="s">
        <v>3038</v>
      </c>
      <c r="D315" s="157" t="s">
        <v>1293</v>
      </c>
      <c r="E315" s="157" t="s">
        <v>3664</v>
      </c>
      <c r="F315" s="380" t="s">
        <v>3665</v>
      </c>
      <c r="G315" s="359" t="s">
        <v>4768</v>
      </c>
    </row>
    <row r="316" spans="1:7">
      <c r="A316" s="371" t="s">
        <v>3037</v>
      </c>
      <c r="B316" s="156" t="s">
        <v>833</v>
      </c>
      <c r="C316" s="156" t="s">
        <v>3038</v>
      </c>
      <c r="D316" s="157" t="s">
        <v>1293</v>
      </c>
      <c r="E316" s="157" t="s">
        <v>3666</v>
      </c>
      <c r="F316" s="380" t="s">
        <v>3667</v>
      </c>
      <c r="G316" s="359" t="s">
        <v>4768</v>
      </c>
    </row>
    <row r="317" spans="1:7">
      <c r="A317" s="371" t="s">
        <v>3037</v>
      </c>
      <c r="B317" s="156" t="s">
        <v>833</v>
      </c>
      <c r="C317" s="156" t="s">
        <v>3038</v>
      </c>
      <c r="D317" s="157" t="s">
        <v>1293</v>
      </c>
      <c r="E317" s="157" t="s">
        <v>3668</v>
      </c>
      <c r="F317" s="380" t="s">
        <v>3669</v>
      </c>
      <c r="G317" s="359" t="s">
        <v>4768</v>
      </c>
    </row>
    <row r="318" spans="1:7">
      <c r="A318" s="371" t="s">
        <v>3037</v>
      </c>
      <c r="B318" s="156" t="s">
        <v>833</v>
      </c>
      <c r="C318" s="156" t="s">
        <v>3038</v>
      </c>
      <c r="D318" s="157" t="s">
        <v>1293</v>
      </c>
      <c r="E318" s="157" t="s">
        <v>3670</v>
      </c>
      <c r="F318" s="380" t="s">
        <v>3671</v>
      </c>
      <c r="G318" s="359" t="s">
        <v>4768</v>
      </c>
    </row>
    <row r="319" spans="1:7">
      <c r="A319" s="371" t="s">
        <v>3037</v>
      </c>
      <c r="B319" s="156" t="s">
        <v>833</v>
      </c>
      <c r="C319" s="156" t="s">
        <v>3038</v>
      </c>
      <c r="D319" s="157" t="s">
        <v>1293</v>
      </c>
      <c r="E319" s="157" t="s">
        <v>3672</v>
      </c>
      <c r="F319" s="380" t="s">
        <v>3673</v>
      </c>
      <c r="G319" s="359" t="s">
        <v>4768</v>
      </c>
    </row>
    <row r="320" spans="1:7">
      <c r="A320" s="371" t="s">
        <v>3037</v>
      </c>
      <c r="B320" s="156" t="s">
        <v>833</v>
      </c>
      <c r="C320" s="156" t="s">
        <v>3038</v>
      </c>
      <c r="D320" s="157" t="s">
        <v>1293</v>
      </c>
      <c r="E320" s="157" t="s">
        <v>3674</v>
      </c>
      <c r="F320" s="380" t="s">
        <v>3675</v>
      </c>
      <c r="G320" s="359" t="s">
        <v>4768</v>
      </c>
    </row>
    <row r="321" spans="1:7">
      <c r="A321" s="371" t="s">
        <v>3037</v>
      </c>
      <c r="B321" s="156" t="s">
        <v>833</v>
      </c>
      <c r="C321" s="156" t="s">
        <v>3038</v>
      </c>
      <c r="D321" s="157" t="s">
        <v>1293</v>
      </c>
      <c r="E321" s="157" t="s">
        <v>3676</v>
      </c>
      <c r="F321" s="380" t="s">
        <v>3677</v>
      </c>
      <c r="G321" s="359" t="s">
        <v>4768</v>
      </c>
    </row>
    <row r="322" spans="1:7">
      <c r="A322" s="371" t="s">
        <v>3037</v>
      </c>
      <c r="B322" s="156" t="s">
        <v>833</v>
      </c>
      <c r="C322" s="156" t="s">
        <v>3038</v>
      </c>
      <c r="D322" s="157" t="s">
        <v>1293</v>
      </c>
      <c r="E322" s="157" t="s">
        <v>3678</v>
      </c>
      <c r="F322" s="380" t="s">
        <v>3679</v>
      </c>
      <c r="G322" s="359" t="s">
        <v>4768</v>
      </c>
    </row>
    <row r="323" spans="1:7">
      <c r="A323" s="371" t="s">
        <v>3037</v>
      </c>
      <c r="B323" s="156" t="s">
        <v>833</v>
      </c>
      <c r="C323" s="156" t="s">
        <v>3038</v>
      </c>
      <c r="D323" s="157" t="s">
        <v>1293</v>
      </c>
      <c r="E323" s="157" t="s">
        <v>3680</v>
      </c>
      <c r="F323" s="380" t="s">
        <v>3681</v>
      </c>
      <c r="G323" s="359" t="s">
        <v>4768</v>
      </c>
    </row>
    <row r="324" spans="1:7">
      <c r="A324" s="371" t="s">
        <v>3037</v>
      </c>
      <c r="B324" s="156" t="s">
        <v>833</v>
      </c>
      <c r="C324" s="156" t="s">
        <v>3038</v>
      </c>
      <c r="D324" s="157" t="s">
        <v>1293</v>
      </c>
      <c r="E324" s="157" t="s">
        <v>3682</v>
      </c>
      <c r="F324" s="380" t="s">
        <v>3683</v>
      </c>
      <c r="G324" s="359" t="s">
        <v>4768</v>
      </c>
    </row>
    <row r="325" spans="1:7">
      <c r="A325" s="371" t="s">
        <v>3037</v>
      </c>
      <c r="B325" s="156" t="s">
        <v>833</v>
      </c>
      <c r="C325" s="156" t="s">
        <v>3038</v>
      </c>
      <c r="D325" s="157" t="s">
        <v>1293</v>
      </c>
      <c r="E325" s="157" t="s">
        <v>3684</v>
      </c>
      <c r="F325" s="380" t="s">
        <v>3685</v>
      </c>
      <c r="G325" s="359" t="s">
        <v>4768</v>
      </c>
    </row>
    <row r="326" spans="1:7">
      <c r="A326" s="371" t="s">
        <v>3037</v>
      </c>
      <c r="B326" s="156" t="s">
        <v>833</v>
      </c>
      <c r="C326" s="156" t="s">
        <v>3038</v>
      </c>
      <c r="D326" s="157" t="s">
        <v>1293</v>
      </c>
      <c r="E326" s="157" t="s">
        <v>3686</v>
      </c>
      <c r="F326" s="380" t="s">
        <v>3687</v>
      </c>
      <c r="G326" s="359" t="s">
        <v>4768</v>
      </c>
    </row>
    <row r="327" spans="1:7">
      <c r="A327" s="371" t="s">
        <v>3037</v>
      </c>
      <c r="B327" s="156" t="s">
        <v>833</v>
      </c>
      <c r="C327" s="156" t="s">
        <v>3038</v>
      </c>
      <c r="D327" s="157" t="s">
        <v>1293</v>
      </c>
      <c r="E327" s="157" t="s">
        <v>3688</v>
      </c>
      <c r="F327" s="380" t="s">
        <v>3689</v>
      </c>
      <c r="G327" s="359" t="s">
        <v>4768</v>
      </c>
    </row>
    <row r="328" spans="1:7">
      <c r="A328" s="371" t="s">
        <v>3037</v>
      </c>
      <c r="B328" s="156" t="s">
        <v>833</v>
      </c>
      <c r="C328" s="156" t="s">
        <v>3038</v>
      </c>
      <c r="D328" s="157" t="s">
        <v>1293</v>
      </c>
      <c r="E328" s="157" t="s">
        <v>3690</v>
      </c>
      <c r="F328" s="380" t="s">
        <v>3691</v>
      </c>
      <c r="G328" s="359" t="s">
        <v>4768</v>
      </c>
    </row>
    <row r="329" spans="1:7">
      <c r="A329" s="371" t="s">
        <v>3037</v>
      </c>
      <c r="B329" s="156" t="s">
        <v>833</v>
      </c>
      <c r="C329" s="156" t="s">
        <v>3038</v>
      </c>
      <c r="D329" s="157" t="s">
        <v>1293</v>
      </c>
      <c r="E329" s="157" t="s">
        <v>3692</v>
      </c>
      <c r="F329" s="380" t="s">
        <v>3693</v>
      </c>
      <c r="G329" s="359" t="s">
        <v>4768</v>
      </c>
    </row>
    <row r="330" spans="1:7">
      <c r="A330" s="371" t="s">
        <v>3037</v>
      </c>
      <c r="B330" s="156" t="s">
        <v>833</v>
      </c>
      <c r="C330" s="156" t="s">
        <v>3038</v>
      </c>
      <c r="D330" s="157" t="s">
        <v>1293</v>
      </c>
      <c r="E330" s="157" t="s">
        <v>3694</v>
      </c>
      <c r="F330" s="380" t="s">
        <v>3695</v>
      </c>
      <c r="G330" s="359" t="s">
        <v>4768</v>
      </c>
    </row>
    <row r="331" spans="1:7">
      <c r="A331" s="371" t="s">
        <v>3037</v>
      </c>
      <c r="B331" s="156" t="s">
        <v>833</v>
      </c>
      <c r="C331" s="156" t="s">
        <v>3038</v>
      </c>
      <c r="D331" s="157" t="s">
        <v>1293</v>
      </c>
      <c r="E331" s="157" t="s">
        <v>3696</v>
      </c>
      <c r="F331" s="380" t="s">
        <v>3697</v>
      </c>
      <c r="G331" s="359" t="s">
        <v>4768</v>
      </c>
    </row>
    <row r="332" spans="1:7">
      <c r="A332" s="371" t="s">
        <v>3037</v>
      </c>
      <c r="B332" s="156" t="s">
        <v>833</v>
      </c>
      <c r="C332" s="156" t="s">
        <v>3038</v>
      </c>
      <c r="D332" s="157" t="s">
        <v>1293</v>
      </c>
      <c r="E332" s="157" t="s">
        <v>3698</v>
      </c>
      <c r="F332" s="380" t="s">
        <v>3699</v>
      </c>
      <c r="G332" s="359" t="s">
        <v>4768</v>
      </c>
    </row>
    <row r="333" spans="1:7">
      <c r="A333" s="371" t="s">
        <v>3037</v>
      </c>
      <c r="B333" s="156" t="s">
        <v>833</v>
      </c>
      <c r="C333" s="156" t="s">
        <v>3038</v>
      </c>
      <c r="D333" s="157" t="s">
        <v>1293</v>
      </c>
      <c r="E333" s="157" t="s">
        <v>3700</v>
      </c>
      <c r="F333" s="380" t="s">
        <v>3701</v>
      </c>
      <c r="G333" s="359" t="s">
        <v>4768</v>
      </c>
    </row>
    <row r="334" spans="1:7">
      <c r="A334" s="371" t="s">
        <v>3037</v>
      </c>
      <c r="B334" s="156" t="s">
        <v>833</v>
      </c>
      <c r="C334" s="156" t="s">
        <v>3038</v>
      </c>
      <c r="D334" s="157" t="s">
        <v>1293</v>
      </c>
      <c r="E334" s="157" t="s">
        <v>3702</v>
      </c>
      <c r="F334" s="380" t="s">
        <v>3703</v>
      </c>
      <c r="G334" s="359" t="s">
        <v>4768</v>
      </c>
    </row>
    <row r="335" spans="1:7">
      <c r="A335" s="371" t="s">
        <v>3037</v>
      </c>
      <c r="B335" s="156" t="s">
        <v>833</v>
      </c>
      <c r="C335" s="156" t="s">
        <v>3038</v>
      </c>
      <c r="D335" s="157" t="s">
        <v>1293</v>
      </c>
      <c r="E335" s="157" t="s">
        <v>3704</v>
      </c>
      <c r="F335" s="380" t="s">
        <v>3705</v>
      </c>
      <c r="G335" s="359" t="s">
        <v>4768</v>
      </c>
    </row>
    <row r="336" spans="1:7">
      <c r="A336" s="371" t="s">
        <v>3037</v>
      </c>
      <c r="B336" s="156" t="s">
        <v>833</v>
      </c>
      <c r="C336" s="156" t="s">
        <v>3038</v>
      </c>
      <c r="D336" s="157" t="s">
        <v>1293</v>
      </c>
      <c r="E336" s="157" t="s">
        <v>3706</v>
      </c>
      <c r="F336" s="380" t="s">
        <v>3707</v>
      </c>
      <c r="G336" s="359" t="s">
        <v>4768</v>
      </c>
    </row>
    <row r="337" spans="1:7">
      <c r="A337" s="371" t="s">
        <v>3037</v>
      </c>
      <c r="B337" s="156" t="s">
        <v>833</v>
      </c>
      <c r="C337" s="156" t="s">
        <v>3038</v>
      </c>
      <c r="D337" s="157" t="s">
        <v>1293</v>
      </c>
      <c r="E337" s="157" t="s">
        <v>3708</v>
      </c>
      <c r="F337" s="380" t="s">
        <v>3709</v>
      </c>
      <c r="G337" s="359" t="s">
        <v>4768</v>
      </c>
    </row>
    <row r="338" spans="1:7">
      <c r="A338" s="371" t="s">
        <v>3037</v>
      </c>
      <c r="B338" s="156" t="s">
        <v>833</v>
      </c>
      <c r="C338" s="156" t="s">
        <v>3038</v>
      </c>
      <c r="D338" s="157" t="s">
        <v>1293</v>
      </c>
      <c r="E338" s="157" t="s">
        <v>3710</v>
      </c>
      <c r="F338" s="380" t="s">
        <v>3711</v>
      </c>
      <c r="G338" s="359" t="s">
        <v>4768</v>
      </c>
    </row>
    <row r="339" spans="1:7" ht="15.75" thickBot="1">
      <c r="A339" s="372" t="s">
        <v>3037</v>
      </c>
      <c r="B339" s="161" t="s">
        <v>833</v>
      </c>
      <c r="C339" s="161" t="s">
        <v>3038</v>
      </c>
      <c r="D339" s="162" t="s">
        <v>1293</v>
      </c>
      <c r="E339" s="162" t="s">
        <v>3712</v>
      </c>
      <c r="F339" s="381" t="s">
        <v>3713</v>
      </c>
      <c r="G339" s="359" t="s">
        <v>4768</v>
      </c>
    </row>
    <row r="340" spans="1:7" ht="14.45" customHeight="1">
      <c r="A340" s="373" t="s">
        <v>3715</v>
      </c>
      <c r="B340" s="163" t="s">
        <v>971</v>
      </c>
      <c r="C340" s="163" t="s">
        <v>3716</v>
      </c>
      <c r="D340" s="163" t="s">
        <v>3717</v>
      </c>
      <c r="E340" s="163" t="s">
        <v>3718</v>
      </c>
      <c r="F340" s="382" t="s">
        <v>1284</v>
      </c>
      <c r="G340" s="359" t="s">
        <v>4768</v>
      </c>
    </row>
    <row r="341" spans="1:7">
      <c r="A341" s="371" t="s">
        <v>3715</v>
      </c>
      <c r="B341" s="156" t="s">
        <v>971</v>
      </c>
      <c r="C341" s="156" t="s">
        <v>3716</v>
      </c>
      <c r="D341" s="157" t="s">
        <v>1293</v>
      </c>
      <c r="E341" s="156" t="s">
        <v>3719</v>
      </c>
      <c r="F341" s="380" t="s">
        <v>1293</v>
      </c>
      <c r="G341" s="359" t="s">
        <v>4768</v>
      </c>
    </row>
    <row r="342" spans="1:7">
      <c r="A342" s="371" t="s">
        <v>3715</v>
      </c>
      <c r="B342" s="156" t="s">
        <v>971</v>
      </c>
      <c r="C342" s="156" t="s">
        <v>3716</v>
      </c>
      <c r="D342" s="157" t="s">
        <v>1293</v>
      </c>
      <c r="E342" s="156" t="s">
        <v>3720</v>
      </c>
      <c r="F342" s="380" t="s">
        <v>1293</v>
      </c>
      <c r="G342" s="359" t="s">
        <v>4768</v>
      </c>
    </row>
    <row r="343" spans="1:7">
      <c r="A343" s="371" t="s">
        <v>3715</v>
      </c>
      <c r="B343" s="156" t="s">
        <v>971</v>
      </c>
      <c r="C343" s="156" t="s">
        <v>3716</v>
      </c>
      <c r="D343" s="157" t="s">
        <v>1293</v>
      </c>
      <c r="E343" s="156" t="s">
        <v>3721</v>
      </c>
      <c r="F343" s="380" t="s">
        <v>1293</v>
      </c>
      <c r="G343" s="359" t="s">
        <v>4768</v>
      </c>
    </row>
    <row r="344" spans="1:7">
      <c r="A344" s="371" t="s">
        <v>3715</v>
      </c>
      <c r="B344" s="156" t="s">
        <v>971</v>
      </c>
      <c r="C344" s="156" t="s">
        <v>3716</v>
      </c>
      <c r="D344" s="156" t="s">
        <v>3722</v>
      </c>
      <c r="E344" s="156" t="s">
        <v>3723</v>
      </c>
      <c r="F344" s="379" t="s">
        <v>3724</v>
      </c>
      <c r="G344" s="359" t="s">
        <v>4768</v>
      </c>
    </row>
    <row r="345" spans="1:7">
      <c r="A345" s="371" t="s">
        <v>3715</v>
      </c>
      <c r="B345" s="156" t="s">
        <v>971</v>
      </c>
      <c r="C345" s="156" t="s">
        <v>3716</v>
      </c>
      <c r="D345" s="156" t="s">
        <v>3725</v>
      </c>
      <c r="E345" s="156" t="s">
        <v>3726</v>
      </c>
      <c r="F345" s="379" t="s">
        <v>3727</v>
      </c>
      <c r="G345" s="359" t="s">
        <v>4768</v>
      </c>
    </row>
    <row r="346" spans="1:7">
      <c r="A346" s="371" t="s">
        <v>3715</v>
      </c>
      <c r="B346" s="156" t="s">
        <v>971</v>
      </c>
      <c r="C346" s="156" t="s">
        <v>3716</v>
      </c>
      <c r="D346" s="156" t="s">
        <v>3728</v>
      </c>
      <c r="E346" s="156" t="s">
        <v>3729</v>
      </c>
      <c r="F346" s="379" t="s">
        <v>3727</v>
      </c>
      <c r="G346" s="359" t="s">
        <v>4768</v>
      </c>
    </row>
    <row r="347" spans="1:7">
      <c r="A347" s="371" t="s">
        <v>3715</v>
      </c>
      <c r="B347" s="156" t="s">
        <v>971</v>
      </c>
      <c r="C347" s="156" t="s">
        <v>3716</v>
      </c>
      <c r="D347" s="156" t="s">
        <v>3730</v>
      </c>
      <c r="E347" s="156" t="s">
        <v>3731</v>
      </c>
      <c r="F347" s="379" t="s">
        <v>3727</v>
      </c>
      <c r="G347" s="359" t="s">
        <v>4768</v>
      </c>
    </row>
    <row r="348" spans="1:7">
      <c r="A348" s="371" t="s">
        <v>3715</v>
      </c>
      <c r="B348" s="156" t="s">
        <v>971</v>
      </c>
      <c r="C348" s="156" t="s">
        <v>3716</v>
      </c>
      <c r="D348" s="156" t="s">
        <v>3732</v>
      </c>
      <c r="E348" s="156" t="s">
        <v>3733</v>
      </c>
      <c r="F348" s="379" t="s">
        <v>3727</v>
      </c>
      <c r="G348" s="359" t="s">
        <v>4768</v>
      </c>
    </row>
    <row r="349" spans="1:7">
      <c r="A349" s="371" t="s">
        <v>3715</v>
      </c>
      <c r="B349" s="156" t="s">
        <v>971</v>
      </c>
      <c r="C349" s="156" t="s">
        <v>3716</v>
      </c>
      <c r="D349" s="156" t="s">
        <v>3734</v>
      </c>
      <c r="E349" s="157" t="s">
        <v>1293</v>
      </c>
      <c r="F349" s="379" t="s">
        <v>3727</v>
      </c>
      <c r="G349" s="359" t="s">
        <v>4768</v>
      </c>
    </row>
    <row r="350" spans="1:7">
      <c r="A350" s="371" t="s">
        <v>3715</v>
      </c>
      <c r="B350" s="156" t="s">
        <v>971</v>
      </c>
      <c r="C350" s="156" t="s">
        <v>3716</v>
      </c>
      <c r="D350" s="156" t="s">
        <v>3735</v>
      </c>
      <c r="E350" s="156" t="s">
        <v>3736</v>
      </c>
      <c r="F350" s="379" t="s">
        <v>3737</v>
      </c>
      <c r="G350" s="359" t="s">
        <v>4768</v>
      </c>
    </row>
    <row r="351" spans="1:7">
      <c r="A351" s="371" t="s">
        <v>3715</v>
      </c>
      <c r="B351" s="156" t="s">
        <v>971</v>
      </c>
      <c r="C351" s="156" t="s">
        <v>3716</v>
      </c>
      <c r="D351" s="157" t="s">
        <v>1293</v>
      </c>
      <c r="E351" s="156" t="s">
        <v>3738</v>
      </c>
      <c r="F351" s="380" t="s">
        <v>1293</v>
      </c>
      <c r="G351" s="359" t="s">
        <v>4768</v>
      </c>
    </row>
    <row r="352" spans="1:7">
      <c r="A352" s="371" t="s">
        <v>3715</v>
      </c>
      <c r="B352" s="156" t="s">
        <v>971</v>
      </c>
      <c r="C352" s="156" t="s">
        <v>3716</v>
      </c>
      <c r="D352" s="157" t="s">
        <v>1293</v>
      </c>
      <c r="E352" s="156" t="s">
        <v>3739</v>
      </c>
      <c r="F352" s="380" t="s">
        <v>1293</v>
      </c>
      <c r="G352" s="359" t="s">
        <v>4768</v>
      </c>
    </row>
    <row r="353" spans="1:7">
      <c r="A353" s="371" t="s">
        <v>3715</v>
      </c>
      <c r="B353" s="156" t="s">
        <v>971</v>
      </c>
      <c r="C353" s="156" t="s">
        <v>3716</v>
      </c>
      <c r="D353" s="157" t="s">
        <v>1293</v>
      </c>
      <c r="E353" s="156" t="s">
        <v>3740</v>
      </c>
      <c r="F353" s="380" t="s">
        <v>1293</v>
      </c>
      <c r="G353" s="359" t="s">
        <v>4768</v>
      </c>
    </row>
    <row r="354" spans="1:7">
      <c r="A354" s="371" t="s">
        <v>3715</v>
      </c>
      <c r="B354" s="156" t="s">
        <v>971</v>
      </c>
      <c r="C354" s="156" t="s">
        <v>3716</v>
      </c>
      <c r="D354" s="156" t="s">
        <v>3741</v>
      </c>
      <c r="E354" s="156" t="s">
        <v>3742</v>
      </c>
      <c r="F354" s="379" t="s">
        <v>3743</v>
      </c>
      <c r="G354" s="359" t="s">
        <v>4768</v>
      </c>
    </row>
    <row r="355" spans="1:7">
      <c r="A355" s="371" t="s">
        <v>3715</v>
      </c>
      <c r="B355" s="156" t="s">
        <v>971</v>
      </c>
      <c r="C355" s="156" t="s">
        <v>3716</v>
      </c>
      <c r="D355" s="156" t="s">
        <v>3744</v>
      </c>
      <c r="E355" s="156" t="s">
        <v>3745</v>
      </c>
      <c r="F355" s="379" t="s">
        <v>3743</v>
      </c>
      <c r="G355" s="359" t="s">
        <v>4768</v>
      </c>
    </row>
    <row r="356" spans="1:7">
      <c r="A356" s="371" t="s">
        <v>3715</v>
      </c>
      <c r="B356" s="156" t="s">
        <v>971</v>
      </c>
      <c r="C356" s="156" t="s">
        <v>3716</v>
      </c>
      <c r="D356" s="156" t="s">
        <v>3746</v>
      </c>
      <c r="E356" s="156" t="s">
        <v>3747</v>
      </c>
      <c r="F356" s="379" t="s">
        <v>3743</v>
      </c>
      <c r="G356" s="359" t="s">
        <v>4768</v>
      </c>
    </row>
    <row r="357" spans="1:7">
      <c r="A357" s="371" t="s">
        <v>3715</v>
      </c>
      <c r="B357" s="156" t="s">
        <v>971</v>
      </c>
      <c r="C357" s="156" t="s">
        <v>3716</v>
      </c>
      <c r="D357" s="156" t="s">
        <v>3748</v>
      </c>
      <c r="E357" s="156" t="s">
        <v>3749</v>
      </c>
      <c r="F357" s="379" t="s">
        <v>3743</v>
      </c>
      <c r="G357" s="359" t="s">
        <v>4768</v>
      </c>
    </row>
    <row r="358" spans="1:7">
      <c r="A358" s="371" t="s">
        <v>3715</v>
      </c>
      <c r="B358" s="156" t="s">
        <v>971</v>
      </c>
      <c r="C358" s="156" t="s">
        <v>3716</v>
      </c>
      <c r="D358" s="156" t="s">
        <v>3750</v>
      </c>
      <c r="E358" s="156" t="s">
        <v>3751</v>
      </c>
      <c r="F358" s="379" t="s">
        <v>3752</v>
      </c>
      <c r="G358" s="359" t="s">
        <v>4768</v>
      </c>
    </row>
    <row r="359" spans="1:7">
      <c r="A359" s="371" t="s">
        <v>3715</v>
      </c>
      <c r="B359" s="156" t="s">
        <v>971</v>
      </c>
      <c r="C359" s="156" t="s">
        <v>3716</v>
      </c>
      <c r="D359" s="156" t="s">
        <v>3753</v>
      </c>
      <c r="E359" s="156" t="s">
        <v>3754</v>
      </c>
      <c r="F359" s="379" t="s">
        <v>3752</v>
      </c>
      <c r="G359" s="359" t="s">
        <v>4768</v>
      </c>
    </row>
    <row r="360" spans="1:7">
      <c r="A360" s="371" t="s">
        <v>3715</v>
      </c>
      <c r="B360" s="156" t="s">
        <v>971</v>
      </c>
      <c r="C360" s="156" t="s">
        <v>3716</v>
      </c>
      <c r="D360" s="156" t="s">
        <v>3755</v>
      </c>
      <c r="E360" s="156" t="s">
        <v>3756</v>
      </c>
      <c r="F360" s="379" t="s">
        <v>3752</v>
      </c>
      <c r="G360" s="359" t="s">
        <v>4768</v>
      </c>
    </row>
    <row r="361" spans="1:7">
      <c r="A361" s="371" t="s">
        <v>3715</v>
      </c>
      <c r="B361" s="156" t="s">
        <v>971</v>
      </c>
      <c r="C361" s="156" t="s">
        <v>3716</v>
      </c>
      <c r="D361" s="156" t="s">
        <v>3757</v>
      </c>
      <c r="E361" s="156" t="s">
        <v>3758</v>
      </c>
      <c r="F361" s="379" t="s">
        <v>3752</v>
      </c>
      <c r="G361" s="359" t="s">
        <v>4768</v>
      </c>
    </row>
    <row r="362" spans="1:7">
      <c r="A362" s="371" t="s">
        <v>3715</v>
      </c>
      <c r="B362" s="156" t="s">
        <v>971</v>
      </c>
      <c r="C362" s="156" t="s">
        <v>3716</v>
      </c>
      <c r="D362" s="156" t="s">
        <v>3759</v>
      </c>
      <c r="E362" s="157" t="s">
        <v>1293</v>
      </c>
      <c r="F362" s="379" t="s">
        <v>3752</v>
      </c>
      <c r="G362" s="359" t="s">
        <v>4768</v>
      </c>
    </row>
    <row r="363" spans="1:7">
      <c r="A363" s="371" t="s">
        <v>3715</v>
      </c>
      <c r="B363" s="156" t="s">
        <v>971</v>
      </c>
      <c r="C363" s="156" t="s">
        <v>3716</v>
      </c>
      <c r="D363" s="156" t="s">
        <v>3760</v>
      </c>
      <c r="E363" s="157" t="s">
        <v>1293</v>
      </c>
      <c r="F363" s="379" t="s">
        <v>3752</v>
      </c>
      <c r="G363" s="359" t="s">
        <v>4768</v>
      </c>
    </row>
    <row r="364" spans="1:7">
      <c r="A364" s="371" t="s">
        <v>3715</v>
      </c>
      <c r="B364" s="156" t="s">
        <v>971</v>
      </c>
      <c r="C364" s="156" t="s">
        <v>3716</v>
      </c>
      <c r="D364" s="156" t="s">
        <v>3761</v>
      </c>
      <c r="E364" s="157" t="s">
        <v>1293</v>
      </c>
      <c r="F364" s="379" t="s">
        <v>3752</v>
      </c>
      <c r="G364" s="359" t="s">
        <v>4768</v>
      </c>
    </row>
    <row r="365" spans="1:7">
      <c r="A365" s="371" t="s">
        <v>3715</v>
      </c>
      <c r="B365" s="156" t="s">
        <v>971</v>
      </c>
      <c r="C365" s="156" t="s">
        <v>3716</v>
      </c>
      <c r="D365" s="156" t="s">
        <v>3762</v>
      </c>
      <c r="E365" s="157" t="s">
        <v>1293</v>
      </c>
      <c r="F365" s="379" t="s">
        <v>3752</v>
      </c>
      <c r="G365" s="359" t="s">
        <v>4768</v>
      </c>
    </row>
    <row r="366" spans="1:7">
      <c r="A366" s="371" t="s">
        <v>3715</v>
      </c>
      <c r="B366" s="156" t="s">
        <v>971</v>
      </c>
      <c r="C366" s="156" t="s">
        <v>3716</v>
      </c>
      <c r="D366" s="156" t="s">
        <v>3763</v>
      </c>
      <c r="E366" s="157" t="s">
        <v>1293</v>
      </c>
      <c r="F366" s="379" t="s">
        <v>3752</v>
      </c>
      <c r="G366" s="359" t="s">
        <v>4768</v>
      </c>
    </row>
    <row r="367" spans="1:7">
      <c r="A367" s="371" t="s">
        <v>3715</v>
      </c>
      <c r="B367" s="156" t="s">
        <v>971</v>
      </c>
      <c r="C367" s="156" t="s">
        <v>3716</v>
      </c>
      <c r="D367" s="156" t="s">
        <v>3764</v>
      </c>
      <c r="E367" s="157" t="s">
        <v>1293</v>
      </c>
      <c r="F367" s="379" t="s">
        <v>3752</v>
      </c>
      <c r="G367" s="359" t="s">
        <v>4768</v>
      </c>
    </row>
    <row r="368" spans="1:7">
      <c r="A368" s="371" t="s">
        <v>3715</v>
      </c>
      <c r="B368" s="156" t="s">
        <v>971</v>
      </c>
      <c r="C368" s="156" t="s">
        <v>3716</v>
      </c>
      <c r="D368" s="156" t="s">
        <v>3765</v>
      </c>
      <c r="E368" s="157" t="s">
        <v>1293</v>
      </c>
      <c r="F368" s="379" t="s">
        <v>3752</v>
      </c>
      <c r="G368" s="359" t="s">
        <v>4768</v>
      </c>
    </row>
    <row r="369" spans="1:7">
      <c r="A369" s="371" t="s">
        <v>3715</v>
      </c>
      <c r="B369" s="156" t="s">
        <v>971</v>
      </c>
      <c r="C369" s="156" t="s">
        <v>3716</v>
      </c>
      <c r="D369" s="156" t="s">
        <v>3766</v>
      </c>
      <c r="E369" s="157" t="s">
        <v>1293</v>
      </c>
      <c r="F369" s="379" t="s">
        <v>3752</v>
      </c>
      <c r="G369" s="359" t="s">
        <v>4768</v>
      </c>
    </row>
    <row r="370" spans="1:7">
      <c r="A370" s="371" t="s">
        <v>3715</v>
      </c>
      <c r="B370" s="156" t="s">
        <v>971</v>
      </c>
      <c r="C370" s="156" t="s">
        <v>3716</v>
      </c>
      <c r="D370" s="156" t="s">
        <v>3767</v>
      </c>
      <c r="E370" s="157" t="s">
        <v>1293</v>
      </c>
      <c r="F370" s="379" t="s">
        <v>3752</v>
      </c>
      <c r="G370" s="359" t="s">
        <v>4768</v>
      </c>
    </row>
    <row r="371" spans="1:7">
      <c r="A371" s="371" t="s">
        <v>3715</v>
      </c>
      <c r="B371" s="156" t="s">
        <v>971</v>
      </c>
      <c r="C371" s="156" t="s">
        <v>3716</v>
      </c>
      <c r="D371" s="156" t="s">
        <v>3768</v>
      </c>
      <c r="E371" s="157" t="s">
        <v>1293</v>
      </c>
      <c r="F371" s="379" t="s">
        <v>3752</v>
      </c>
      <c r="G371" s="359" t="s">
        <v>4768</v>
      </c>
    </row>
    <row r="372" spans="1:7">
      <c r="A372" s="371" t="s">
        <v>3715</v>
      </c>
      <c r="B372" s="156" t="s">
        <v>971</v>
      </c>
      <c r="C372" s="156" t="s">
        <v>3716</v>
      </c>
      <c r="D372" s="156" t="s">
        <v>3769</v>
      </c>
      <c r="E372" s="157" t="s">
        <v>1293</v>
      </c>
      <c r="F372" s="379" t="s">
        <v>3752</v>
      </c>
      <c r="G372" s="359" t="s">
        <v>4768</v>
      </c>
    </row>
    <row r="373" spans="1:7">
      <c r="A373" s="371" t="s">
        <v>3715</v>
      </c>
      <c r="B373" s="156" t="s">
        <v>971</v>
      </c>
      <c r="C373" s="156" t="s">
        <v>3716</v>
      </c>
      <c r="D373" s="156" t="s">
        <v>3770</v>
      </c>
      <c r="E373" s="157" t="s">
        <v>1293</v>
      </c>
      <c r="F373" s="379" t="s">
        <v>3752</v>
      </c>
      <c r="G373" s="359" t="s">
        <v>4768</v>
      </c>
    </row>
    <row r="374" spans="1:7">
      <c r="A374" s="371" t="s">
        <v>3715</v>
      </c>
      <c r="B374" s="156" t="s">
        <v>971</v>
      </c>
      <c r="C374" s="156" t="s">
        <v>3716</v>
      </c>
      <c r="D374" s="156" t="s">
        <v>3771</v>
      </c>
      <c r="E374" s="157" t="s">
        <v>1293</v>
      </c>
      <c r="F374" s="379" t="s">
        <v>3752</v>
      </c>
      <c r="G374" s="359" t="s">
        <v>4768</v>
      </c>
    </row>
    <row r="375" spans="1:7">
      <c r="A375" s="371" t="s">
        <v>3715</v>
      </c>
      <c r="B375" s="156" t="s">
        <v>971</v>
      </c>
      <c r="C375" s="156" t="s">
        <v>3716</v>
      </c>
      <c r="D375" s="156" t="s">
        <v>3772</v>
      </c>
      <c r="E375" s="156" t="s">
        <v>3773</v>
      </c>
      <c r="F375" s="379" t="s">
        <v>3774</v>
      </c>
      <c r="G375" s="359" t="s">
        <v>4768</v>
      </c>
    </row>
    <row r="376" spans="1:7">
      <c r="A376" s="371" t="s">
        <v>3715</v>
      </c>
      <c r="B376" s="156" t="s">
        <v>971</v>
      </c>
      <c r="C376" s="156" t="s">
        <v>3716</v>
      </c>
      <c r="D376" s="156" t="s">
        <v>3775</v>
      </c>
      <c r="E376" s="156" t="s">
        <v>3776</v>
      </c>
      <c r="F376" s="379" t="s">
        <v>3774</v>
      </c>
      <c r="G376" s="359" t="s">
        <v>4768</v>
      </c>
    </row>
    <row r="377" spans="1:7">
      <c r="A377" s="371" t="s">
        <v>3715</v>
      </c>
      <c r="B377" s="156" t="s">
        <v>971</v>
      </c>
      <c r="C377" s="156" t="s">
        <v>3716</v>
      </c>
      <c r="D377" s="156" t="s">
        <v>3777</v>
      </c>
      <c r="E377" s="156" t="s">
        <v>3778</v>
      </c>
      <c r="F377" s="379" t="s">
        <v>3774</v>
      </c>
      <c r="G377" s="359" t="s">
        <v>4768</v>
      </c>
    </row>
    <row r="378" spans="1:7">
      <c r="A378" s="371" t="s">
        <v>3715</v>
      </c>
      <c r="B378" s="156" t="s">
        <v>971</v>
      </c>
      <c r="C378" s="156" t="s">
        <v>3716</v>
      </c>
      <c r="D378" s="156" t="s">
        <v>3779</v>
      </c>
      <c r="E378" s="156" t="s">
        <v>3780</v>
      </c>
      <c r="F378" s="379" t="s">
        <v>3774</v>
      </c>
      <c r="G378" s="359" t="s">
        <v>4768</v>
      </c>
    </row>
    <row r="379" spans="1:7">
      <c r="A379" s="371" t="s">
        <v>3715</v>
      </c>
      <c r="B379" s="156" t="s">
        <v>971</v>
      </c>
      <c r="C379" s="156" t="s">
        <v>3716</v>
      </c>
      <c r="D379" s="156" t="s">
        <v>3781</v>
      </c>
      <c r="E379" s="157" t="s">
        <v>1293</v>
      </c>
      <c r="F379" s="379" t="s">
        <v>3774</v>
      </c>
      <c r="G379" s="359" t="s">
        <v>4768</v>
      </c>
    </row>
    <row r="380" spans="1:7">
      <c r="A380" s="371" t="s">
        <v>3715</v>
      </c>
      <c r="B380" s="156" t="s">
        <v>971</v>
      </c>
      <c r="C380" s="156" t="s">
        <v>3716</v>
      </c>
      <c r="D380" s="156" t="s">
        <v>3782</v>
      </c>
      <c r="E380" s="157" t="s">
        <v>1293</v>
      </c>
      <c r="F380" s="379" t="s">
        <v>3774</v>
      </c>
      <c r="G380" s="359" t="s">
        <v>4768</v>
      </c>
    </row>
    <row r="381" spans="1:7">
      <c r="A381" s="371" t="s">
        <v>3715</v>
      </c>
      <c r="B381" s="156" t="s">
        <v>971</v>
      </c>
      <c r="C381" s="156" t="s">
        <v>3716</v>
      </c>
      <c r="D381" s="156" t="s">
        <v>3783</v>
      </c>
      <c r="E381" s="157" t="s">
        <v>1293</v>
      </c>
      <c r="F381" s="379" t="s">
        <v>3774</v>
      </c>
      <c r="G381" s="359" t="s">
        <v>4768</v>
      </c>
    </row>
    <row r="382" spans="1:7">
      <c r="A382" s="371" t="s">
        <v>3715</v>
      </c>
      <c r="B382" s="156" t="s">
        <v>971</v>
      </c>
      <c r="C382" s="156" t="s">
        <v>3716</v>
      </c>
      <c r="D382" s="156" t="s">
        <v>3784</v>
      </c>
      <c r="E382" s="157" t="s">
        <v>1293</v>
      </c>
      <c r="F382" s="379" t="s">
        <v>3774</v>
      </c>
      <c r="G382" s="359" t="s">
        <v>4768</v>
      </c>
    </row>
    <row r="383" spans="1:7">
      <c r="A383" s="371" t="s">
        <v>3715</v>
      </c>
      <c r="B383" s="156" t="s">
        <v>971</v>
      </c>
      <c r="C383" s="156" t="s">
        <v>3716</v>
      </c>
      <c r="D383" s="156" t="s">
        <v>3785</v>
      </c>
      <c r="E383" s="157" t="s">
        <v>1293</v>
      </c>
      <c r="F383" s="379" t="s">
        <v>3774</v>
      </c>
      <c r="G383" s="359" t="s">
        <v>4768</v>
      </c>
    </row>
    <row r="384" spans="1:7">
      <c r="A384" s="371" t="s">
        <v>3715</v>
      </c>
      <c r="B384" s="156" t="s">
        <v>971</v>
      </c>
      <c r="C384" s="156" t="s">
        <v>3716</v>
      </c>
      <c r="D384" s="156" t="s">
        <v>3786</v>
      </c>
      <c r="E384" s="157" t="s">
        <v>1293</v>
      </c>
      <c r="F384" s="379" t="s">
        <v>3774</v>
      </c>
      <c r="G384" s="359" t="s">
        <v>4768</v>
      </c>
    </row>
    <row r="385" spans="1:7">
      <c r="A385" s="371" t="s">
        <v>3715</v>
      </c>
      <c r="B385" s="156" t="s">
        <v>971</v>
      </c>
      <c r="C385" s="156" t="s">
        <v>3716</v>
      </c>
      <c r="D385" s="156" t="s">
        <v>3787</v>
      </c>
      <c r="E385" s="157" t="s">
        <v>1293</v>
      </c>
      <c r="F385" s="379" t="s">
        <v>3774</v>
      </c>
      <c r="G385" s="359" t="s">
        <v>4768</v>
      </c>
    </row>
    <row r="386" spans="1:7">
      <c r="A386" s="371" t="s">
        <v>3715</v>
      </c>
      <c r="B386" s="156" t="s">
        <v>971</v>
      </c>
      <c r="C386" s="156" t="s">
        <v>3716</v>
      </c>
      <c r="D386" s="156" t="s">
        <v>3788</v>
      </c>
      <c r="E386" s="157" t="s">
        <v>1293</v>
      </c>
      <c r="F386" s="379" t="s">
        <v>3774</v>
      </c>
      <c r="G386" s="359" t="s">
        <v>4768</v>
      </c>
    </row>
    <row r="387" spans="1:7">
      <c r="A387" s="371" t="s">
        <v>3715</v>
      </c>
      <c r="B387" s="156" t="s">
        <v>971</v>
      </c>
      <c r="C387" s="156" t="s">
        <v>3716</v>
      </c>
      <c r="D387" s="156" t="s">
        <v>3789</v>
      </c>
      <c r="E387" s="157" t="s">
        <v>1293</v>
      </c>
      <c r="F387" s="379" t="s">
        <v>3774</v>
      </c>
      <c r="G387" s="359" t="s">
        <v>4768</v>
      </c>
    </row>
    <row r="388" spans="1:7">
      <c r="A388" s="371" t="s">
        <v>3715</v>
      </c>
      <c r="B388" s="156" t="s">
        <v>971</v>
      </c>
      <c r="C388" s="156" t="s">
        <v>3716</v>
      </c>
      <c r="D388" s="156" t="s">
        <v>3790</v>
      </c>
      <c r="E388" s="156" t="s">
        <v>3791</v>
      </c>
      <c r="F388" s="379" t="s">
        <v>3792</v>
      </c>
      <c r="G388" s="359" t="s">
        <v>4768</v>
      </c>
    </row>
    <row r="389" spans="1:7">
      <c r="A389" s="371" t="s">
        <v>3715</v>
      </c>
      <c r="B389" s="156" t="s">
        <v>971</v>
      </c>
      <c r="C389" s="156" t="s">
        <v>3716</v>
      </c>
      <c r="D389" s="156" t="s">
        <v>3793</v>
      </c>
      <c r="E389" s="156" t="s">
        <v>3794</v>
      </c>
      <c r="F389" s="379" t="s">
        <v>3792</v>
      </c>
      <c r="G389" s="359" t="s">
        <v>4768</v>
      </c>
    </row>
    <row r="390" spans="1:7">
      <c r="A390" s="371" t="s">
        <v>3715</v>
      </c>
      <c r="B390" s="156" t="s">
        <v>971</v>
      </c>
      <c r="C390" s="156" t="s">
        <v>3716</v>
      </c>
      <c r="D390" s="156" t="s">
        <v>3795</v>
      </c>
      <c r="E390" s="156" t="s">
        <v>3796</v>
      </c>
      <c r="F390" s="379" t="s">
        <v>3792</v>
      </c>
      <c r="G390" s="359" t="s">
        <v>4768</v>
      </c>
    </row>
    <row r="391" spans="1:7">
      <c r="A391" s="371" t="s">
        <v>3715</v>
      </c>
      <c r="B391" s="156" t="s">
        <v>971</v>
      </c>
      <c r="C391" s="156" t="s">
        <v>3716</v>
      </c>
      <c r="D391" s="156" t="s">
        <v>3797</v>
      </c>
      <c r="E391" s="156" t="s">
        <v>3798</v>
      </c>
      <c r="F391" s="379" t="s">
        <v>3792</v>
      </c>
      <c r="G391" s="359" t="s">
        <v>4768</v>
      </c>
    </row>
    <row r="392" spans="1:7">
      <c r="A392" s="371" t="s">
        <v>3715</v>
      </c>
      <c r="B392" s="156" t="s">
        <v>971</v>
      </c>
      <c r="C392" s="156" t="s">
        <v>3716</v>
      </c>
      <c r="D392" s="156" t="s">
        <v>3799</v>
      </c>
      <c r="E392" s="157" t="s">
        <v>1293</v>
      </c>
      <c r="F392" s="379" t="s">
        <v>3792</v>
      </c>
      <c r="G392" s="359" t="s">
        <v>4768</v>
      </c>
    </row>
    <row r="393" spans="1:7">
      <c r="A393" s="371" t="s">
        <v>3715</v>
      </c>
      <c r="B393" s="156" t="s">
        <v>971</v>
      </c>
      <c r="C393" s="156" t="s">
        <v>3716</v>
      </c>
      <c r="D393" s="156" t="s">
        <v>3800</v>
      </c>
      <c r="E393" s="157" t="s">
        <v>1293</v>
      </c>
      <c r="F393" s="379" t="s">
        <v>3792</v>
      </c>
      <c r="G393" s="359" t="s">
        <v>4768</v>
      </c>
    </row>
    <row r="394" spans="1:7">
      <c r="A394" s="371" t="s">
        <v>3715</v>
      </c>
      <c r="B394" s="156" t="s">
        <v>971</v>
      </c>
      <c r="C394" s="156" t="s">
        <v>3716</v>
      </c>
      <c r="D394" s="156" t="s">
        <v>3801</v>
      </c>
      <c r="E394" s="157" t="s">
        <v>1293</v>
      </c>
      <c r="F394" s="379" t="s">
        <v>3792</v>
      </c>
      <c r="G394" s="359" t="s">
        <v>4768</v>
      </c>
    </row>
    <row r="395" spans="1:7">
      <c r="A395" s="371" t="s">
        <v>3715</v>
      </c>
      <c r="B395" s="156" t="s">
        <v>971</v>
      </c>
      <c r="C395" s="156" t="s">
        <v>3716</v>
      </c>
      <c r="D395" s="156" t="s">
        <v>3802</v>
      </c>
      <c r="E395" s="156" t="s">
        <v>3803</v>
      </c>
      <c r="F395" s="379" t="s">
        <v>3804</v>
      </c>
      <c r="G395" s="359" t="s">
        <v>4768</v>
      </c>
    </row>
    <row r="396" spans="1:7">
      <c r="A396" s="371" t="s">
        <v>3715</v>
      </c>
      <c r="B396" s="156" t="s">
        <v>971</v>
      </c>
      <c r="C396" s="156" t="s">
        <v>3716</v>
      </c>
      <c r="D396" s="156" t="s">
        <v>3805</v>
      </c>
      <c r="E396" s="156" t="s">
        <v>3806</v>
      </c>
      <c r="F396" s="379" t="s">
        <v>3804</v>
      </c>
      <c r="G396" s="359" t="s">
        <v>4768</v>
      </c>
    </row>
    <row r="397" spans="1:7">
      <c r="A397" s="371" t="s">
        <v>3715</v>
      </c>
      <c r="B397" s="156" t="s">
        <v>971</v>
      </c>
      <c r="C397" s="156" t="s">
        <v>3716</v>
      </c>
      <c r="D397" s="156" t="s">
        <v>3807</v>
      </c>
      <c r="E397" s="156" t="s">
        <v>3808</v>
      </c>
      <c r="F397" s="379" t="s">
        <v>3804</v>
      </c>
      <c r="G397" s="359" t="s">
        <v>4768</v>
      </c>
    </row>
    <row r="398" spans="1:7">
      <c r="A398" s="371" t="s">
        <v>3715</v>
      </c>
      <c r="B398" s="156" t="s">
        <v>971</v>
      </c>
      <c r="C398" s="156" t="s">
        <v>3716</v>
      </c>
      <c r="D398" s="157" t="s">
        <v>1293</v>
      </c>
      <c r="E398" s="156" t="s">
        <v>3809</v>
      </c>
      <c r="F398" s="380" t="s">
        <v>1293</v>
      </c>
      <c r="G398" s="359" t="s">
        <v>4768</v>
      </c>
    </row>
    <row r="399" spans="1:7">
      <c r="A399" s="371" t="s">
        <v>3715</v>
      </c>
      <c r="B399" s="156" t="s">
        <v>971</v>
      </c>
      <c r="C399" s="156" t="s">
        <v>3716</v>
      </c>
      <c r="D399" s="156" t="s">
        <v>3810</v>
      </c>
      <c r="E399" s="156" t="s">
        <v>3811</v>
      </c>
      <c r="F399" s="379" t="s">
        <v>3812</v>
      </c>
      <c r="G399" s="359" t="s">
        <v>4768</v>
      </c>
    </row>
    <row r="400" spans="1:7">
      <c r="A400" s="371" t="s">
        <v>3715</v>
      </c>
      <c r="B400" s="156" t="s">
        <v>971</v>
      </c>
      <c r="C400" s="156" t="s">
        <v>3716</v>
      </c>
      <c r="D400" s="157" t="s">
        <v>1293</v>
      </c>
      <c r="E400" s="156" t="s">
        <v>3813</v>
      </c>
      <c r="F400" s="380" t="s">
        <v>1293</v>
      </c>
      <c r="G400" s="359" t="s">
        <v>4768</v>
      </c>
    </row>
    <row r="401" spans="1:7">
      <c r="A401" s="371" t="s">
        <v>3715</v>
      </c>
      <c r="B401" s="156" t="s">
        <v>971</v>
      </c>
      <c r="C401" s="156" t="s">
        <v>3716</v>
      </c>
      <c r="D401" s="157" t="s">
        <v>1293</v>
      </c>
      <c r="E401" s="156" t="s">
        <v>3814</v>
      </c>
      <c r="F401" s="380" t="s">
        <v>1293</v>
      </c>
      <c r="G401" s="359" t="s">
        <v>4768</v>
      </c>
    </row>
    <row r="402" spans="1:7">
      <c r="A402" s="371" t="s">
        <v>3715</v>
      </c>
      <c r="B402" s="156" t="s">
        <v>971</v>
      </c>
      <c r="C402" s="156" t="s">
        <v>3716</v>
      </c>
      <c r="D402" s="157" t="s">
        <v>1293</v>
      </c>
      <c r="E402" s="156" t="s">
        <v>3815</v>
      </c>
      <c r="F402" s="380" t="s">
        <v>1293</v>
      </c>
      <c r="G402" s="359" t="s">
        <v>4768</v>
      </c>
    </row>
    <row r="403" spans="1:7">
      <c r="A403" s="371" t="s">
        <v>3715</v>
      </c>
      <c r="B403" s="156" t="s">
        <v>971</v>
      </c>
      <c r="C403" s="156" t="s">
        <v>3716</v>
      </c>
      <c r="D403" s="156" t="s">
        <v>3816</v>
      </c>
      <c r="E403" s="156" t="s">
        <v>3817</v>
      </c>
      <c r="F403" s="379" t="s">
        <v>3818</v>
      </c>
      <c r="G403" s="359" t="s">
        <v>4768</v>
      </c>
    </row>
    <row r="404" spans="1:7">
      <c r="A404" s="371" t="s">
        <v>3715</v>
      </c>
      <c r="B404" s="156" t="s">
        <v>971</v>
      </c>
      <c r="C404" s="156" t="s">
        <v>3716</v>
      </c>
      <c r="D404" s="156" t="s">
        <v>3819</v>
      </c>
      <c r="E404" s="156" t="s">
        <v>3820</v>
      </c>
      <c r="F404" s="379" t="s">
        <v>3821</v>
      </c>
      <c r="G404" s="359" t="s">
        <v>4768</v>
      </c>
    </row>
    <row r="405" spans="1:7">
      <c r="A405" s="371" t="s">
        <v>3715</v>
      </c>
      <c r="B405" s="156" t="s">
        <v>971</v>
      </c>
      <c r="C405" s="156" t="s">
        <v>3716</v>
      </c>
      <c r="D405" s="156" t="s">
        <v>3822</v>
      </c>
      <c r="E405" s="157" t="s">
        <v>1293</v>
      </c>
      <c r="F405" s="379" t="s">
        <v>3821</v>
      </c>
      <c r="G405" s="359" t="s">
        <v>4768</v>
      </c>
    </row>
    <row r="406" spans="1:7">
      <c r="A406" s="371" t="s">
        <v>3715</v>
      </c>
      <c r="B406" s="156" t="s">
        <v>971</v>
      </c>
      <c r="C406" s="156" t="s">
        <v>3716</v>
      </c>
      <c r="D406" s="156" t="s">
        <v>3823</v>
      </c>
      <c r="E406" s="157" t="s">
        <v>1293</v>
      </c>
      <c r="F406" s="379" t="s">
        <v>3821</v>
      </c>
      <c r="G406" s="359" t="s">
        <v>4768</v>
      </c>
    </row>
    <row r="407" spans="1:7">
      <c r="A407" s="371" t="s">
        <v>3715</v>
      </c>
      <c r="B407" s="156" t="s">
        <v>971</v>
      </c>
      <c r="C407" s="156" t="s">
        <v>3716</v>
      </c>
      <c r="D407" s="156" t="s">
        <v>3824</v>
      </c>
      <c r="E407" s="157" t="s">
        <v>1293</v>
      </c>
      <c r="F407" s="379" t="s">
        <v>3821</v>
      </c>
      <c r="G407" s="359" t="s">
        <v>4768</v>
      </c>
    </row>
    <row r="408" spans="1:7">
      <c r="A408" s="371" t="s">
        <v>3715</v>
      </c>
      <c r="B408" s="156" t="s">
        <v>971</v>
      </c>
      <c r="C408" s="156" t="s">
        <v>3716</v>
      </c>
      <c r="D408" s="156" t="s">
        <v>3825</v>
      </c>
      <c r="E408" s="157" t="s">
        <v>1293</v>
      </c>
      <c r="F408" s="379" t="s">
        <v>3821</v>
      </c>
      <c r="G408" s="359" t="s">
        <v>4768</v>
      </c>
    </row>
    <row r="409" spans="1:7">
      <c r="A409" s="371" t="s">
        <v>3715</v>
      </c>
      <c r="B409" s="156" t="s">
        <v>971</v>
      </c>
      <c r="C409" s="156" t="s">
        <v>3716</v>
      </c>
      <c r="D409" s="156" t="s">
        <v>3826</v>
      </c>
      <c r="E409" s="156" t="s">
        <v>3827</v>
      </c>
      <c r="F409" s="379" t="s">
        <v>3828</v>
      </c>
      <c r="G409" s="359" t="s">
        <v>4768</v>
      </c>
    </row>
    <row r="410" spans="1:7">
      <c r="A410" s="371" t="s">
        <v>3715</v>
      </c>
      <c r="B410" s="156" t="s">
        <v>971</v>
      </c>
      <c r="C410" s="156" t="s">
        <v>3716</v>
      </c>
      <c r="D410" s="156" t="s">
        <v>3829</v>
      </c>
      <c r="E410" s="157" t="s">
        <v>1293</v>
      </c>
      <c r="F410" s="379" t="s">
        <v>3828</v>
      </c>
      <c r="G410" s="359" t="s">
        <v>4768</v>
      </c>
    </row>
    <row r="411" spans="1:7">
      <c r="A411" s="371" t="s">
        <v>3715</v>
      </c>
      <c r="B411" s="156" t="s">
        <v>971</v>
      </c>
      <c r="C411" s="156" t="s">
        <v>3716</v>
      </c>
      <c r="D411" s="156" t="s">
        <v>3830</v>
      </c>
      <c r="E411" s="157" t="s">
        <v>1293</v>
      </c>
      <c r="F411" s="379" t="s">
        <v>3828</v>
      </c>
      <c r="G411" s="359" t="s">
        <v>4768</v>
      </c>
    </row>
    <row r="412" spans="1:7">
      <c r="A412" s="371" t="s">
        <v>3715</v>
      </c>
      <c r="B412" s="156" t="s">
        <v>971</v>
      </c>
      <c r="C412" s="156" t="s">
        <v>3716</v>
      </c>
      <c r="D412" s="156" t="s">
        <v>3831</v>
      </c>
      <c r="E412" s="157" t="s">
        <v>1293</v>
      </c>
      <c r="F412" s="379" t="s">
        <v>3828</v>
      </c>
      <c r="G412" s="359" t="s">
        <v>4768</v>
      </c>
    </row>
    <row r="413" spans="1:7">
      <c r="A413" s="371" t="s">
        <v>3715</v>
      </c>
      <c r="B413" s="156" t="s">
        <v>971</v>
      </c>
      <c r="C413" s="156" t="s">
        <v>3716</v>
      </c>
      <c r="D413" s="156" t="s">
        <v>3832</v>
      </c>
      <c r="E413" s="157" t="s">
        <v>1293</v>
      </c>
      <c r="F413" s="379" t="s">
        <v>3828</v>
      </c>
      <c r="G413" s="359" t="s">
        <v>4768</v>
      </c>
    </row>
    <row r="414" spans="1:7">
      <c r="A414" s="371" t="s">
        <v>3715</v>
      </c>
      <c r="B414" s="156" t="s">
        <v>971</v>
      </c>
      <c r="C414" s="156" t="s">
        <v>3716</v>
      </c>
      <c r="D414" s="156" t="s">
        <v>3833</v>
      </c>
      <c r="E414" s="157" t="s">
        <v>1293</v>
      </c>
      <c r="F414" s="379" t="s">
        <v>3828</v>
      </c>
      <c r="G414" s="359" t="s">
        <v>4768</v>
      </c>
    </row>
    <row r="415" spans="1:7">
      <c r="A415" s="371" t="s">
        <v>3715</v>
      </c>
      <c r="B415" s="156" t="s">
        <v>971</v>
      </c>
      <c r="C415" s="156" t="s">
        <v>3716</v>
      </c>
      <c r="D415" s="156" t="s">
        <v>3834</v>
      </c>
      <c r="E415" s="157" t="s">
        <v>1293</v>
      </c>
      <c r="F415" s="379" t="s">
        <v>3828</v>
      </c>
      <c r="G415" s="359" t="s">
        <v>4768</v>
      </c>
    </row>
    <row r="416" spans="1:7">
      <c r="A416" s="371" t="s">
        <v>3715</v>
      </c>
      <c r="B416" s="156" t="s">
        <v>971</v>
      </c>
      <c r="C416" s="156" t="s">
        <v>3716</v>
      </c>
      <c r="D416" s="156" t="s">
        <v>3835</v>
      </c>
      <c r="E416" s="156" t="s">
        <v>3836</v>
      </c>
      <c r="F416" s="379" t="s">
        <v>3837</v>
      </c>
      <c r="G416" s="359" t="s">
        <v>4768</v>
      </c>
    </row>
    <row r="417" spans="1:7">
      <c r="A417" s="371" t="s">
        <v>3715</v>
      </c>
      <c r="B417" s="156" t="s">
        <v>971</v>
      </c>
      <c r="C417" s="156" t="s">
        <v>3716</v>
      </c>
      <c r="D417" s="156" t="s">
        <v>3838</v>
      </c>
      <c r="E417" s="157" t="s">
        <v>1293</v>
      </c>
      <c r="F417" s="379" t="s">
        <v>3837</v>
      </c>
      <c r="G417" s="359" t="s">
        <v>4768</v>
      </c>
    </row>
    <row r="418" spans="1:7">
      <c r="A418" s="371" t="s">
        <v>3715</v>
      </c>
      <c r="B418" s="156" t="s">
        <v>971</v>
      </c>
      <c r="C418" s="156" t="s">
        <v>3716</v>
      </c>
      <c r="D418" s="156" t="s">
        <v>3839</v>
      </c>
      <c r="E418" s="157" t="s">
        <v>1293</v>
      </c>
      <c r="F418" s="379" t="s">
        <v>3837</v>
      </c>
      <c r="G418" s="359" t="s">
        <v>4768</v>
      </c>
    </row>
    <row r="419" spans="1:7">
      <c r="A419" s="371" t="s">
        <v>3715</v>
      </c>
      <c r="B419" s="156" t="s">
        <v>971</v>
      </c>
      <c r="C419" s="156" t="s">
        <v>3716</v>
      </c>
      <c r="D419" s="156" t="s">
        <v>3840</v>
      </c>
      <c r="E419" s="157" t="s">
        <v>1293</v>
      </c>
      <c r="F419" s="379" t="s">
        <v>3837</v>
      </c>
      <c r="G419" s="359" t="s">
        <v>4768</v>
      </c>
    </row>
    <row r="420" spans="1:7">
      <c r="A420" s="371" t="s">
        <v>3715</v>
      </c>
      <c r="B420" s="156" t="s">
        <v>971</v>
      </c>
      <c r="C420" s="156" t="s">
        <v>3716</v>
      </c>
      <c r="D420" s="156" t="s">
        <v>3841</v>
      </c>
      <c r="E420" s="157" t="s">
        <v>1293</v>
      </c>
      <c r="F420" s="379" t="s">
        <v>3837</v>
      </c>
      <c r="G420" s="359" t="s">
        <v>4768</v>
      </c>
    </row>
    <row r="421" spans="1:7">
      <c r="A421" s="371" t="s">
        <v>3715</v>
      </c>
      <c r="B421" s="156" t="s">
        <v>971</v>
      </c>
      <c r="C421" s="156" t="s">
        <v>3716</v>
      </c>
      <c r="D421" s="156" t="s">
        <v>3842</v>
      </c>
      <c r="E421" s="157" t="s">
        <v>1293</v>
      </c>
      <c r="F421" s="379" t="s">
        <v>3837</v>
      </c>
      <c r="G421" s="359" t="s">
        <v>4768</v>
      </c>
    </row>
    <row r="422" spans="1:7">
      <c r="A422" s="371" t="s">
        <v>3715</v>
      </c>
      <c r="B422" s="156" t="s">
        <v>971</v>
      </c>
      <c r="C422" s="156" t="s">
        <v>3716</v>
      </c>
      <c r="D422" s="156" t="s">
        <v>3843</v>
      </c>
      <c r="E422" s="157" t="s">
        <v>1293</v>
      </c>
      <c r="F422" s="379" t="s">
        <v>3837</v>
      </c>
      <c r="G422" s="359" t="s">
        <v>4768</v>
      </c>
    </row>
    <row r="423" spans="1:7">
      <c r="A423" s="371" t="s">
        <v>3715</v>
      </c>
      <c r="B423" s="156" t="s">
        <v>971</v>
      </c>
      <c r="C423" s="156" t="s">
        <v>3716</v>
      </c>
      <c r="D423" s="156" t="s">
        <v>3844</v>
      </c>
      <c r="E423" s="156" t="s">
        <v>3845</v>
      </c>
      <c r="F423" s="379" t="s">
        <v>3846</v>
      </c>
      <c r="G423" s="359" t="s">
        <v>4768</v>
      </c>
    </row>
    <row r="424" spans="1:7">
      <c r="A424" s="371" t="s">
        <v>3715</v>
      </c>
      <c r="B424" s="156" t="s">
        <v>971</v>
      </c>
      <c r="C424" s="156" t="s">
        <v>3716</v>
      </c>
      <c r="D424" s="156" t="s">
        <v>3847</v>
      </c>
      <c r="E424" s="156" t="s">
        <v>3848</v>
      </c>
      <c r="F424" s="379" t="s">
        <v>1286</v>
      </c>
      <c r="G424" s="359" t="s">
        <v>4768</v>
      </c>
    </row>
    <row r="425" spans="1:7">
      <c r="A425" s="371" t="s">
        <v>3715</v>
      </c>
      <c r="B425" s="156" t="s">
        <v>971</v>
      </c>
      <c r="C425" s="156" t="s">
        <v>3716</v>
      </c>
      <c r="D425" s="156" t="s">
        <v>3849</v>
      </c>
      <c r="E425" s="157" t="s">
        <v>1293</v>
      </c>
      <c r="F425" s="379" t="s">
        <v>1286</v>
      </c>
      <c r="G425" s="359" t="s">
        <v>4768</v>
      </c>
    </row>
    <row r="426" spans="1:7">
      <c r="A426" s="371" t="s">
        <v>3715</v>
      </c>
      <c r="B426" s="156" t="s">
        <v>971</v>
      </c>
      <c r="C426" s="156" t="s">
        <v>3716</v>
      </c>
      <c r="D426" s="156" t="s">
        <v>3850</v>
      </c>
      <c r="E426" s="157" t="s">
        <v>1293</v>
      </c>
      <c r="F426" s="379" t="s">
        <v>1286</v>
      </c>
      <c r="G426" s="359" t="s">
        <v>4768</v>
      </c>
    </row>
    <row r="427" spans="1:7">
      <c r="A427" s="371" t="s">
        <v>3715</v>
      </c>
      <c r="B427" s="156" t="s">
        <v>971</v>
      </c>
      <c r="C427" s="156" t="s">
        <v>3716</v>
      </c>
      <c r="D427" s="156" t="s">
        <v>3851</v>
      </c>
      <c r="E427" s="157" t="s">
        <v>1293</v>
      </c>
      <c r="F427" s="379" t="s">
        <v>1286</v>
      </c>
      <c r="G427" s="359" t="s">
        <v>4768</v>
      </c>
    </row>
    <row r="428" spans="1:7">
      <c r="A428" s="371" t="s">
        <v>3715</v>
      </c>
      <c r="B428" s="156" t="s">
        <v>971</v>
      </c>
      <c r="C428" s="156" t="s">
        <v>3716</v>
      </c>
      <c r="D428" s="156" t="s">
        <v>3852</v>
      </c>
      <c r="E428" s="157" t="s">
        <v>1293</v>
      </c>
      <c r="F428" s="379" t="s">
        <v>1286</v>
      </c>
      <c r="G428" s="359" t="s">
        <v>4768</v>
      </c>
    </row>
    <row r="429" spans="1:7">
      <c r="A429" s="371" t="s">
        <v>3715</v>
      </c>
      <c r="B429" s="156" t="s">
        <v>971</v>
      </c>
      <c r="C429" s="156" t="s">
        <v>3716</v>
      </c>
      <c r="D429" s="156" t="s">
        <v>3853</v>
      </c>
      <c r="E429" s="157" t="s">
        <v>1293</v>
      </c>
      <c r="F429" s="379" t="s">
        <v>1286</v>
      </c>
      <c r="G429" s="359" t="s">
        <v>4768</v>
      </c>
    </row>
    <row r="430" spans="1:7">
      <c r="A430" s="371" t="s">
        <v>3715</v>
      </c>
      <c r="B430" s="156" t="s">
        <v>971</v>
      </c>
      <c r="C430" s="156" t="s">
        <v>3716</v>
      </c>
      <c r="D430" s="156" t="s">
        <v>3854</v>
      </c>
      <c r="E430" s="157" t="s">
        <v>1293</v>
      </c>
      <c r="F430" s="379" t="s">
        <v>1286</v>
      </c>
      <c r="G430" s="359" t="s">
        <v>4768</v>
      </c>
    </row>
    <row r="431" spans="1:7">
      <c r="A431" s="371" t="s">
        <v>3715</v>
      </c>
      <c r="B431" s="156" t="s">
        <v>971</v>
      </c>
      <c r="C431" s="156" t="s">
        <v>3716</v>
      </c>
      <c r="D431" s="156" t="s">
        <v>3855</v>
      </c>
      <c r="E431" s="157" t="s">
        <v>1293</v>
      </c>
      <c r="F431" s="379" t="s">
        <v>1286</v>
      </c>
      <c r="G431" s="359" t="s">
        <v>4768</v>
      </c>
    </row>
    <row r="432" spans="1:7">
      <c r="A432" s="371" t="s">
        <v>3715</v>
      </c>
      <c r="B432" s="156" t="s">
        <v>971</v>
      </c>
      <c r="C432" s="156" t="s">
        <v>3716</v>
      </c>
      <c r="D432" s="156" t="s">
        <v>3856</v>
      </c>
      <c r="E432" s="156" t="s">
        <v>3857</v>
      </c>
      <c r="F432" s="379" t="s">
        <v>3858</v>
      </c>
      <c r="G432" s="359" t="s">
        <v>4768</v>
      </c>
    </row>
    <row r="433" spans="1:7">
      <c r="A433" s="371" t="s">
        <v>3715</v>
      </c>
      <c r="B433" s="156" t="s">
        <v>971</v>
      </c>
      <c r="C433" s="156" t="s">
        <v>3716</v>
      </c>
      <c r="D433" s="156" t="s">
        <v>3859</v>
      </c>
      <c r="E433" s="157" t="s">
        <v>1293</v>
      </c>
      <c r="F433" s="379" t="s">
        <v>3860</v>
      </c>
      <c r="G433" s="359" t="s">
        <v>4768</v>
      </c>
    </row>
    <row r="434" spans="1:7">
      <c r="A434" s="371" t="s">
        <v>3715</v>
      </c>
      <c r="B434" s="156" t="s">
        <v>971</v>
      </c>
      <c r="C434" s="156" t="s">
        <v>3716</v>
      </c>
      <c r="D434" s="156" t="s">
        <v>3861</v>
      </c>
      <c r="E434" s="157" t="s">
        <v>1293</v>
      </c>
      <c r="F434" s="379" t="s">
        <v>3862</v>
      </c>
      <c r="G434" s="359" t="s">
        <v>4768</v>
      </c>
    </row>
    <row r="435" spans="1:7">
      <c r="A435" s="371" t="s">
        <v>3715</v>
      </c>
      <c r="B435" s="156" t="s">
        <v>971</v>
      </c>
      <c r="C435" s="156" t="s">
        <v>3716</v>
      </c>
      <c r="D435" s="156" t="s">
        <v>3863</v>
      </c>
      <c r="E435" s="157" t="s">
        <v>1293</v>
      </c>
      <c r="F435" s="379" t="s">
        <v>3864</v>
      </c>
      <c r="G435" s="359" t="s">
        <v>4768</v>
      </c>
    </row>
    <row r="436" spans="1:7">
      <c r="A436" s="371" t="s">
        <v>3715</v>
      </c>
      <c r="B436" s="156" t="s">
        <v>971</v>
      </c>
      <c r="C436" s="156" t="s">
        <v>3716</v>
      </c>
      <c r="D436" s="160" t="s">
        <v>3865</v>
      </c>
      <c r="E436" s="157" t="s">
        <v>1293</v>
      </c>
      <c r="F436" s="380" t="s">
        <v>1293</v>
      </c>
      <c r="G436" s="359" t="s">
        <v>4768</v>
      </c>
    </row>
    <row r="437" spans="1:7">
      <c r="A437" s="371" t="s">
        <v>3715</v>
      </c>
      <c r="B437" s="156" t="s">
        <v>971</v>
      </c>
      <c r="C437" s="156" t="s">
        <v>3716</v>
      </c>
      <c r="D437" s="160" t="s">
        <v>3866</v>
      </c>
      <c r="E437" s="157" t="s">
        <v>1293</v>
      </c>
      <c r="F437" s="380" t="s">
        <v>1293</v>
      </c>
      <c r="G437" s="359" t="s">
        <v>4768</v>
      </c>
    </row>
    <row r="438" spans="1:7">
      <c r="A438" s="371" t="s">
        <v>3715</v>
      </c>
      <c r="B438" s="156" t="s">
        <v>971</v>
      </c>
      <c r="C438" s="156" t="s">
        <v>3716</v>
      </c>
      <c r="D438" s="160" t="s">
        <v>3867</v>
      </c>
      <c r="E438" s="157" t="s">
        <v>1293</v>
      </c>
      <c r="F438" s="380" t="s">
        <v>1293</v>
      </c>
      <c r="G438" s="359" t="s">
        <v>4768</v>
      </c>
    </row>
    <row r="439" spans="1:7">
      <c r="A439" s="371" t="s">
        <v>3715</v>
      </c>
      <c r="B439" s="156" t="s">
        <v>971</v>
      </c>
      <c r="C439" s="156" t="s">
        <v>3716</v>
      </c>
      <c r="D439" s="160" t="s">
        <v>3868</v>
      </c>
      <c r="E439" s="157" t="s">
        <v>1293</v>
      </c>
      <c r="F439" s="380" t="s">
        <v>1293</v>
      </c>
      <c r="G439" s="359" t="s">
        <v>4768</v>
      </c>
    </row>
    <row r="440" spans="1:7">
      <c r="A440" s="371" t="s">
        <v>3715</v>
      </c>
      <c r="B440" s="156" t="s">
        <v>971</v>
      </c>
      <c r="C440" s="156" t="s">
        <v>3716</v>
      </c>
      <c r="D440" s="156" t="s">
        <v>3869</v>
      </c>
      <c r="E440" s="157" t="s">
        <v>1293</v>
      </c>
      <c r="F440" s="380" t="s">
        <v>1293</v>
      </c>
      <c r="G440" s="359" t="s">
        <v>4768</v>
      </c>
    </row>
    <row r="441" spans="1:7">
      <c r="A441" s="371" t="s">
        <v>3715</v>
      </c>
      <c r="B441" s="156" t="s">
        <v>971</v>
      </c>
      <c r="C441" s="156" t="s">
        <v>3716</v>
      </c>
      <c r="D441" s="156" t="s">
        <v>3870</v>
      </c>
      <c r="E441" s="157" t="s">
        <v>1293</v>
      </c>
      <c r="F441" s="380" t="s">
        <v>1293</v>
      </c>
      <c r="G441" s="359" t="s">
        <v>4768</v>
      </c>
    </row>
    <row r="442" spans="1:7">
      <c r="A442" s="371" t="s">
        <v>3715</v>
      </c>
      <c r="B442" s="156" t="s">
        <v>971</v>
      </c>
      <c r="C442" s="156" t="s">
        <v>3716</v>
      </c>
      <c r="D442" s="156" t="s">
        <v>3871</v>
      </c>
      <c r="E442" s="157" t="s">
        <v>1293</v>
      </c>
      <c r="F442" s="380" t="s">
        <v>1293</v>
      </c>
      <c r="G442" s="359" t="s">
        <v>4768</v>
      </c>
    </row>
    <row r="443" spans="1:7">
      <c r="A443" s="371" t="s">
        <v>3715</v>
      </c>
      <c r="B443" s="156" t="s">
        <v>971</v>
      </c>
      <c r="C443" s="156" t="s">
        <v>3716</v>
      </c>
      <c r="D443" s="156" t="s">
        <v>3872</v>
      </c>
      <c r="E443" s="157" t="s">
        <v>1293</v>
      </c>
      <c r="F443" s="380" t="s">
        <v>1293</v>
      </c>
      <c r="G443" s="359" t="s">
        <v>4768</v>
      </c>
    </row>
    <row r="444" spans="1:7">
      <c r="A444" s="371" t="s">
        <v>3715</v>
      </c>
      <c r="B444" s="156" t="s">
        <v>971</v>
      </c>
      <c r="C444" s="156" t="s">
        <v>3716</v>
      </c>
      <c r="D444" s="156" t="s">
        <v>3873</v>
      </c>
      <c r="E444" s="157" t="s">
        <v>1293</v>
      </c>
      <c r="F444" s="380" t="s">
        <v>1293</v>
      </c>
      <c r="G444" s="359" t="s">
        <v>4768</v>
      </c>
    </row>
    <row r="445" spans="1:7">
      <c r="A445" s="371" t="s">
        <v>3715</v>
      </c>
      <c r="B445" s="156" t="s">
        <v>971</v>
      </c>
      <c r="C445" s="156" t="s">
        <v>3716</v>
      </c>
      <c r="D445" s="156" t="s">
        <v>3874</v>
      </c>
      <c r="E445" s="157" t="s">
        <v>1293</v>
      </c>
      <c r="F445" s="380" t="s">
        <v>1293</v>
      </c>
      <c r="G445" s="359" t="s">
        <v>4768</v>
      </c>
    </row>
    <row r="446" spans="1:7">
      <c r="A446" s="371" t="s">
        <v>3715</v>
      </c>
      <c r="B446" s="156" t="s">
        <v>971</v>
      </c>
      <c r="C446" s="156" t="s">
        <v>3716</v>
      </c>
      <c r="D446" s="156" t="s">
        <v>3875</v>
      </c>
      <c r="E446" s="157" t="s">
        <v>1293</v>
      </c>
      <c r="F446" s="380" t="s">
        <v>1293</v>
      </c>
      <c r="G446" s="359" t="s">
        <v>4768</v>
      </c>
    </row>
    <row r="447" spans="1:7">
      <c r="A447" s="371" t="s">
        <v>3715</v>
      </c>
      <c r="B447" s="156" t="s">
        <v>971</v>
      </c>
      <c r="C447" s="156" t="s">
        <v>3716</v>
      </c>
      <c r="D447" s="156" t="s">
        <v>3876</v>
      </c>
      <c r="E447" s="157" t="s">
        <v>1293</v>
      </c>
      <c r="F447" s="380" t="s">
        <v>1293</v>
      </c>
      <c r="G447" s="359" t="s">
        <v>4768</v>
      </c>
    </row>
    <row r="448" spans="1:7">
      <c r="A448" s="371" t="s">
        <v>3715</v>
      </c>
      <c r="B448" s="156" t="s">
        <v>971</v>
      </c>
      <c r="C448" s="156" t="s">
        <v>3716</v>
      </c>
      <c r="D448" s="156" t="s">
        <v>3877</v>
      </c>
      <c r="E448" s="157" t="s">
        <v>1293</v>
      </c>
      <c r="F448" s="380" t="s">
        <v>1293</v>
      </c>
      <c r="G448" s="359" t="s">
        <v>4768</v>
      </c>
    </row>
    <row r="449" spans="1:7">
      <c r="A449" s="371" t="s">
        <v>3715</v>
      </c>
      <c r="B449" s="156" t="s">
        <v>971</v>
      </c>
      <c r="C449" s="156" t="s">
        <v>3716</v>
      </c>
      <c r="D449" s="156" t="s">
        <v>3878</v>
      </c>
      <c r="E449" s="157" t="s">
        <v>1293</v>
      </c>
      <c r="F449" s="380" t="s">
        <v>1293</v>
      </c>
      <c r="G449" s="359" t="s">
        <v>4768</v>
      </c>
    </row>
    <row r="450" spans="1:7">
      <c r="A450" s="371" t="s">
        <v>3715</v>
      </c>
      <c r="B450" s="156" t="s">
        <v>971</v>
      </c>
      <c r="C450" s="156" t="s">
        <v>3716</v>
      </c>
      <c r="D450" s="156" t="s">
        <v>3879</v>
      </c>
      <c r="E450" s="157" t="s">
        <v>1293</v>
      </c>
      <c r="F450" s="380" t="s">
        <v>1293</v>
      </c>
      <c r="G450" s="359" t="s">
        <v>4768</v>
      </c>
    </row>
    <row r="451" spans="1:7">
      <c r="A451" s="371" t="s">
        <v>3715</v>
      </c>
      <c r="B451" s="156" t="s">
        <v>971</v>
      </c>
      <c r="C451" s="156" t="s">
        <v>3716</v>
      </c>
      <c r="D451" s="156" t="s">
        <v>3880</v>
      </c>
      <c r="E451" s="157" t="s">
        <v>1293</v>
      </c>
      <c r="F451" s="380" t="s">
        <v>1293</v>
      </c>
      <c r="G451" s="359" t="s">
        <v>4768</v>
      </c>
    </row>
    <row r="452" spans="1:7">
      <c r="A452" s="371" t="s">
        <v>3715</v>
      </c>
      <c r="B452" s="156" t="s">
        <v>971</v>
      </c>
      <c r="C452" s="156" t="s">
        <v>3716</v>
      </c>
      <c r="D452" s="156" t="s">
        <v>3881</v>
      </c>
      <c r="E452" s="157" t="s">
        <v>1293</v>
      </c>
      <c r="F452" s="380" t="s">
        <v>1293</v>
      </c>
      <c r="G452" s="359" t="s">
        <v>4768</v>
      </c>
    </row>
    <row r="453" spans="1:7">
      <c r="A453" s="371" t="s">
        <v>3715</v>
      </c>
      <c r="B453" s="156" t="s">
        <v>971</v>
      </c>
      <c r="C453" s="156" t="s">
        <v>3716</v>
      </c>
      <c r="D453" s="156" t="s">
        <v>3882</v>
      </c>
      <c r="E453" s="157" t="s">
        <v>1293</v>
      </c>
      <c r="F453" s="380" t="s">
        <v>1293</v>
      </c>
      <c r="G453" s="359" t="s">
        <v>4768</v>
      </c>
    </row>
    <row r="454" spans="1:7">
      <c r="A454" s="371" t="s">
        <v>3715</v>
      </c>
      <c r="B454" s="156" t="s">
        <v>971</v>
      </c>
      <c r="C454" s="156" t="s">
        <v>3716</v>
      </c>
      <c r="D454" s="156" t="s">
        <v>3883</v>
      </c>
      <c r="E454" s="157" t="s">
        <v>1293</v>
      </c>
      <c r="F454" s="380" t="s">
        <v>1293</v>
      </c>
      <c r="G454" s="359" t="s">
        <v>4768</v>
      </c>
    </row>
    <row r="455" spans="1:7">
      <c r="A455" s="371" t="s">
        <v>3715</v>
      </c>
      <c r="B455" s="156" t="s">
        <v>971</v>
      </c>
      <c r="C455" s="156" t="s">
        <v>3716</v>
      </c>
      <c r="D455" s="156" t="s">
        <v>3884</v>
      </c>
      <c r="E455" s="157" t="s">
        <v>1293</v>
      </c>
      <c r="F455" s="380" t="s">
        <v>1293</v>
      </c>
      <c r="G455" s="359" t="s">
        <v>4768</v>
      </c>
    </row>
    <row r="456" spans="1:7">
      <c r="A456" s="371" t="s">
        <v>3715</v>
      </c>
      <c r="B456" s="156" t="s">
        <v>971</v>
      </c>
      <c r="C456" s="156" t="s">
        <v>3716</v>
      </c>
      <c r="D456" s="156" t="s">
        <v>3885</v>
      </c>
      <c r="E456" s="157" t="s">
        <v>1293</v>
      </c>
      <c r="F456" s="380" t="s">
        <v>1293</v>
      </c>
      <c r="G456" s="359" t="s">
        <v>4768</v>
      </c>
    </row>
    <row r="457" spans="1:7">
      <c r="A457" s="371" t="s">
        <v>3715</v>
      </c>
      <c r="B457" s="156" t="s">
        <v>971</v>
      </c>
      <c r="C457" s="156" t="s">
        <v>3716</v>
      </c>
      <c r="D457" s="156" t="s">
        <v>3886</v>
      </c>
      <c r="E457" s="157" t="s">
        <v>1293</v>
      </c>
      <c r="F457" s="380" t="s">
        <v>1293</v>
      </c>
      <c r="G457" s="359" t="s">
        <v>4768</v>
      </c>
    </row>
    <row r="458" spans="1:7">
      <c r="A458" s="371" t="s">
        <v>3715</v>
      </c>
      <c r="B458" s="156" t="s">
        <v>971</v>
      </c>
      <c r="C458" s="156" t="s">
        <v>3716</v>
      </c>
      <c r="D458" s="156" t="s">
        <v>3887</v>
      </c>
      <c r="E458" s="157" t="s">
        <v>1293</v>
      </c>
      <c r="F458" s="380" t="s">
        <v>1293</v>
      </c>
      <c r="G458" s="359" t="s">
        <v>4768</v>
      </c>
    </row>
    <row r="459" spans="1:7">
      <c r="A459" s="371" t="s">
        <v>3715</v>
      </c>
      <c r="B459" s="156" t="s">
        <v>971</v>
      </c>
      <c r="C459" s="156" t="s">
        <v>3716</v>
      </c>
      <c r="D459" s="156" t="s">
        <v>3888</v>
      </c>
      <c r="E459" s="157" t="s">
        <v>1293</v>
      </c>
      <c r="F459" s="380" t="s">
        <v>1293</v>
      </c>
      <c r="G459" s="359" t="s">
        <v>4768</v>
      </c>
    </row>
    <row r="460" spans="1:7">
      <c r="A460" s="371" t="s">
        <v>3715</v>
      </c>
      <c r="B460" s="156" t="s">
        <v>971</v>
      </c>
      <c r="C460" s="156" t="s">
        <v>3716</v>
      </c>
      <c r="D460" s="156" t="s">
        <v>3889</v>
      </c>
      <c r="E460" s="157" t="s">
        <v>1293</v>
      </c>
      <c r="F460" s="380" t="s">
        <v>1293</v>
      </c>
      <c r="G460" s="359" t="s">
        <v>4768</v>
      </c>
    </row>
    <row r="461" spans="1:7">
      <c r="A461" s="371" t="s">
        <v>3715</v>
      </c>
      <c r="B461" s="156" t="s">
        <v>971</v>
      </c>
      <c r="C461" s="156" t="s">
        <v>3716</v>
      </c>
      <c r="D461" s="156" t="s">
        <v>3890</v>
      </c>
      <c r="E461" s="157" t="s">
        <v>1293</v>
      </c>
      <c r="F461" s="380" t="s">
        <v>1293</v>
      </c>
      <c r="G461" s="359" t="s">
        <v>4768</v>
      </c>
    </row>
    <row r="462" spans="1:7">
      <c r="A462" s="371" t="s">
        <v>3715</v>
      </c>
      <c r="B462" s="156" t="s">
        <v>971</v>
      </c>
      <c r="C462" s="156" t="s">
        <v>3716</v>
      </c>
      <c r="D462" s="156" t="s">
        <v>3891</v>
      </c>
      <c r="E462" s="157" t="s">
        <v>1293</v>
      </c>
      <c r="F462" s="380" t="s">
        <v>1293</v>
      </c>
      <c r="G462" s="359" t="s">
        <v>4768</v>
      </c>
    </row>
    <row r="463" spans="1:7">
      <c r="A463" s="371" t="s">
        <v>3715</v>
      </c>
      <c r="B463" s="156" t="s">
        <v>971</v>
      </c>
      <c r="C463" s="156" t="s">
        <v>3716</v>
      </c>
      <c r="D463" s="156" t="s">
        <v>3892</v>
      </c>
      <c r="E463" s="157" t="s">
        <v>1293</v>
      </c>
      <c r="F463" s="380" t="s">
        <v>1293</v>
      </c>
      <c r="G463" s="359" t="s">
        <v>4768</v>
      </c>
    </row>
    <row r="464" spans="1:7" ht="15.75" thickBot="1">
      <c r="A464" s="372" t="s">
        <v>3715</v>
      </c>
      <c r="B464" s="161" t="s">
        <v>971</v>
      </c>
      <c r="C464" s="161" t="s">
        <v>3716</v>
      </c>
      <c r="D464" s="161" t="s">
        <v>3893</v>
      </c>
      <c r="E464" s="162" t="s">
        <v>1293</v>
      </c>
      <c r="F464" s="381" t="s">
        <v>1293</v>
      </c>
      <c r="G464" s="359" t="s">
        <v>4768</v>
      </c>
    </row>
    <row r="465" spans="1:7" ht="14.45" customHeight="1">
      <c r="A465" s="373" t="s">
        <v>4720</v>
      </c>
      <c r="B465" s="163" t="s">
        <v>1036</v>
      </c>
      <c r="C465" s="163" t="s">
        <v>4721</v>
      </c>
      <c r="D465" s="163" t="s">
        <v>4722</v>
      </c>
      <c r="E465" s="163">
        <v>1107</v>
      </c>
      <c r="F465" s="382" t="s">
        <v>4723</v>
      </c>
      <c r="G465" s="359" t="s">
        <v>4768</v>
      </c>
    </row>
    <row r="466" spans="1:7">
      <c r="A466" s="371" t="s">
        <v>4720</v>
      </c>
      <c r="B466" s="156" t="s">
        <v>1036</v>
      </c>
      <c r="C466" s="156" t="s">
        <v>4721</v>
      </c>
      <c r="D466" s="156" t="s">
        <v>4724</v>
      </c>
      <c r="E466" s="156">
        <v>1198</v>
      </c>
      <c r="F466" s="379" t="s">
        <v>4725</v>
      </c>
      <c r="G466" s="359" t="s">
        <v>4768</v>
      </c>
    </row>
    <row r="467" spans="1:7">
      <c r="A467" s="371" t="s">
        <v>4720</v>
      </c>
      <c r="B467" s="156" t="s">
        <v>1036</v>
      </c>
      <c r="C467" s="156" t="s">
        <v>4721</v>
      </c>
      <c r="D467" s="156" t="s">
        <v>4726</v>
      </c>
      <c r="E467" s="156">
        <v>1201</v>
      </c>
      <c r="F467" s="379" t="s">
        <v>4727</v>
      </c>
      <c r="G467" s="359" t="s">
        <v>4768</v>
      </c>
    </row>
    <row r="468" spans="1:7">
      <c r="A468" s="371" t="s">
        <v>4720</v>
      </c>
      <c r="B468" s="156" t="s">
        <v>1036</v>
      </c>
      <c r="C468" s="156" t="s">
        <v>4721</v>
      </c>
      <c r="D468" s="157" t="s">
        <v>4728</v>
      </c>
      <c r="E468" s="157" t="s">
        <v>1293</v>
      </c>
      <c r="F468" s="380" t="s">
        <v>1293</v>
      </c>
      <c r="G468" s="359" t="s">
        <v>4768</v>
      </c>
    </row>
    <row r="469" spans="1:7">
      <c r="A469" s="371" t="s">
        <v>4720</v>
      </c>
      <c r="B469" s="156" t="s">
        <v>1036</v>
      </c>
      <c r="C469" s="156" t="s">
        <v>4721</v>
      </c>
      <c r="D469" s="157" t="s">
        <v>4729</v>
      </c>
      <c r="E469" s="157" t="s">
        <v>1293</v>
      </c>
      <c r="F469" s="380" t="s">
        <v>1293</v>
      </c>
      <c r="G469" s="359" t="s">
        <v>4768</v>
      </c>
    </row>
    <row r="470" spans="1:7">
      <c r="A470" s="371" t="s">
        <v>4720</v>
      </c>
      <c r="B470" s="156" t="s">
        <v>1036</v>
      </c>
      <c r="C470" s="156" t="s">
        <v>4721</v>
      </c>
      <c r="D470" s="157" t="s">
        <v>4730</v>
      </c>
      <c r="E470" s="157" t="s">
        <v>1293</v>
      </c>
      <c r="F470" s="380" t="s">
        <v>1293</v>
      </c>
      <c r="G470" s="359" t="s">
        <v>4768</v>
      </c>
    </row>
    <row r="471" spans="1:7">
      <c r="A471" s="371" t="s">
        <v>4720</v>
      </c>
      <c r="B471" s="156" t="s">
        <v>1036</v>
      </c>
      <c r="C471" s="156" t="s">
        <v>4721</v>
      </c>
      <c r="D471" s="157" t="s">
        <v>4731</v>
      </c>
      <c r="E471" s="157" t="s">
        <v>1293</v>
      </c>
      <c r="F471" s="380" t="s">
        <v>1293</v>
      </c>
      <c r="G471" s="359" t="s">
        <v>4768</v>
      </c>
    </row>
    <row r="472" spans="1:7">
      <c r="A472" s="371" t="s">
        <v>4720</v>
      </c>
      <c r="B472" s="156" t="s">
        <v>1036</v>
      </c>
      <c r="C472" s="156" t="s">
        <v>4721</v>
      </c>
      <c r="D472" s="157" t="s">
        <v>1293</v>
      </c>
      <c r="E472" s="157">
        <v>0</v>
      </c>
      <c r="F472" s="380" t="s">
        <v>4732</v>
      </c>
      <c r="G472" s="359" t="s">
        <v>4768</v>
      </c>
    </row>
    <row r="473" spans="1:7">
      <c r="A473" s="371" t="s">
        <v>4720</v>
      </c>
      <c r="B473" s="156" t="s">
        <v>1036</v>
      </c>
      <c r="C473" s="156" t="s">
        <v>4721</v>
      </c>
      <c r="D473" s="157" t="s">
        <v>1293</v>
      </c>
      <c r="E473" s="157">
        <v>1000</v>
      </c>
      <c r="F473" s="380" t="s">
        <v>4733</v>
      </c>
      <c r="G473" s="359" t="s">
        <v>4768</v>
      </c>
    </row>
    <row r="474" spans="1:7">
      <c r="A474" s="371" t="s">
        <v>4720</v>
      </c>
      <c r="B474" s="156" t="s">
        <v>1036</v>
      </c>
      <c r="C474" s="156" t="s">
        <v>4721</v>
      </c>
      <c r="D474" s="157" t="s">
        <v>1293</v>
      </c>
      <c r="E474" s="157">
        <v>1100</v>
      </c>
      <c r="F474" s="380" t="s">
        <v>4734</v>
      </c>
      <c r="G474" s="359" t="s">
        <v>4768</v>
      </c>
    </row>
    <row r="475" spans="1:7">
      <c r="A475" s="371" t="s">
        <v>4720</v>
      </c>
      <c r="B475" s="156" t="s">
        <v>1036</v>
      </c>
      <c r="C475" s="156" t="s">
        <v>4721</v>
      </c>
      <c r="D475" s="157" t="s">
        <v>1293</v>
      </c>
      <c r="E475" s="157">
        <v>1101</v>
      </c>
      <c r="F475" s="380" t="s">
        <v>4735</v>
      </c>
      <c r="G475" s="359" t="s">
        <v>4768</v>
      </c>
    </row>
    <row r="476" spans="1:7">
      <c r="A476" s="371" t="s">
        <v>4720</v>
      </c>
      <c r="B476" s="156" t="s">
        <v>1036</v>
      </c>
      <c r="C476" s="156" t="s">
        <v>4721</v>
      </c>
      <c r="D476" s="157" t="s">
        <v>1293</v>
      </c>
      <c r="E476" s="157">
        <v>1102</v>
      </c>
      <c r="F476" s="380" t="s">
        <v>4736</v>
      </c>
      <c r="G476" s="359" t="s">
        <v>4768</v>
      </c>
    </row>
    <row r="477" spans="1:7">
      <c r="A477" s="371" t="s">
        <v>4720</v>
      </c>
      <c r="B477" s="156" t="s">
        <v>1036</v>
      </c>
      <c r="C477" s="156" t="s">
        <v>4721</v>
      </c>
      <c r="D477" s="157" t="s">
        <v>1293</v>
      </c>
      <c r="E477" s="157">
        <v>1103</v>
      </c>
      <c r="F477" s="380" t="s">
        <v>4737</v>
      </c>
      <c r="G477" s="359" t="s">
        <v>4768</v>
      </c>
    </row>
    <row r="478" spans="1:7">
      <c r="A478" s="371" t="s">
        <v>4720</v>
      </c>
      <c r="B478" s="156" t="s">
        <v>1036</v>
      </c>
      <c r="C478" s="156" t="s">
        <v>4721</v>
      </c>
      <c r="D478" s="157" t="s">
        <v>1293</v>
      </c>
      <c r="E478" s="157">
        <v>1104</v>
      </c>
      <c r="F478" s="380" t="s">
        <v>4738</v>
      </c>
      <c r="G478" s="359" t="s">
        <v>4768</v>
      </c>
    </row>
    <row r="479" spans="1:7">
      <c r="A479" s="371" t="s">
        <v>4720</v>
      </c>
      <c r="B479" s="156" t="s">
        <v>1036</v>
      </c>
      <c r="C479" s="156" t="s">
        <v>4721</v>
      </c>
      <c r="D479" s="157" t="s">
        <v>1293</v>
      </c>
      <c r="E479" s="157">
        <v>1105</v>
      </c>
      <c r="F479" s="380" t="s">
        <v>4739</v>
      </c>
      <c r="G479" s="359" t="s">
        <v>4768</v>
      </c>
    </row>
    <row r="480" spans="1:7">
      <c r="A480" s="371" t="s">
        <v>4720</v>
      </c>
      <c r="B480" s="156" t="s">
        <v>1036</v>
      </c>
      <c r="C480" s="156" t="s">
        <v>4721</v>
      </c>
      <c r="D480" s="157" t="s">
        <v>1293</v>
      </c>
      <c r="E480" s="157">
        <v>1106</v>
      </c>
      <c r="F480" s="380" t="s">
        <v>4740</v>
      </c>
      <c r="G480" s="359" t="s">
        <v>4768</v>
      </c>
    </row>
    <row r="481" spans="1:7">
      <c r="A481" s="371" t="s">
        <v>4720</v>
      </c>
      <c r="B481" s="156" t="s">
        <v>1036</v>
      </c>
      <c r="C481" s="156" t="s">
        <v>4721</v>
      </c>
      <c r="D481" s="157" t="s">
        <v>1293</v>
      </c>
      <c r="E481" s="157">
        <v>1108</v>
      </c>
      <c r="F481" s="380" t="s">
        <v>4741</v>
      </c>
      <c r="G481" s="359" t="s">
        <v>4768</v>
      </c>
    </row>
    <row r="482" spans="1:7">
      <c r="A482" s="371" t="s">
        <v>4720</v>
      </c>
      <c r="B482" s="156" t="s">
        <v>1036</v>
      </c>
      <c r="C482" s="156" t="s">
        <v>4721</v>
      </c>
      <c r="D482" s="157" t="s">
        <v>1293</v>
      </c>
      <c r="E482" s="157">
        <v>1109</v>
      </c>
      <c r="F482" s="380" t="s">
        <v>4742</v>
      </c>
      <c r="G482" s="359" t="s">
        <v>4768</v>
      </c>
    </row>
    <row r="483" spans="1:7">
      <c r="A483" s="371" t="s">
        <v>4720</v>
      </c>
      <c r="B483" s="156" t="s">
        <v>1036</v>
      </c>
      <c r="C483" s="156" t="s">
        <v>4721</v>
      </c>
      <c r="D483" s="157" t="s">
        <v>1293</v>
      </c>
      <c r="E483" s="157">
        <v>1110</v>
      </c>
      <c r="F483" s="380" t="s">
        <v>4743</v>
      </c>
      <c r="G483" s="359" t="s">
        <v>4768</v>
      </c>
    </row>
    <row r="484" spans="1:7">
      <c r="A484" s="371" t="s">
        <v>4720</v>
      </c>
      <c r="B484" s="156" t="s">
        <v>1036</v>
      </c>
      <c r="C484" s="156" t="s">
        <v>4721</v>
      </c>
      <c r="D484" s="157" t="s">
        <v>1293</v>
      </c>
      <c r="E484" s="157">
        <v>1199</v>
      </c>
      <c r="F484" s="380" t="s">
        <v>4744</v>
      </c>
      <c r="G484" s="359" t="s">
        <v>4768</v>
      </c>
    </row>
    <row r="485" spans="1:7">
      <c r="A485" s="371" t="s">
        <v>4720</v>
      </c>
      <c r="B485" s="156" t="s">
        <v>1036</v>
      </c>
      <c r="C485" s="156" t="s">
        <v>4721</v>
      </c>
      <c r="D485" s="157" t="s">
        <v>1293</v>
      </c>
      <c r="E485" s="157">
        <v>1200</v>
      </c>
      <c r="F485" s="380" t="s">
        <v>4745</v>
      </c>
      <c r="G485" s="359" t="s">
        <v>4768</v>
      </c>
    </row>
    <row r="486" spans="1:7">
      <c r="A486" s="371" t="s">
        <v>4720</v>
      </c>
      <c r="B486" s="156" t="s">
        <v>1036</v>
      </c>
      <c r="C486" s="156" t="s">
        <v>4721</v>
      </c>
      <c r="D486" s="157" t="s">
        <v>1293</v>
      </c>
      <c r="E486" s="157">
        <v>1202</v>
      </c>
      <c r="F486" s="380" t="s">
        <v>4746</v>
      </c>
      <c r="G486" s="359" t="s">
        <v>4768</v>
      </c>
    </row>
    <row r="487" spans="1:7">
      <c r="A487" s="371" t="s">
        <v>4720</v>
      </c>
      <c r="B487" s="156" t="s">
        <v>1036</v>
      </c>
      <c r="C487" s="156" t="s">
        <v>4721</v>
      </c>
      <c r="D487" s="157" t="s">
        <v>1293</v>
      </c>
      <c r="E487" s="157">
        <v>1203</v>
      </c>
      <c r="F487" s="380" t="s">
        <v>4747</v>
      </c>
      <c r="G487" s="359" t="s">
        <v>4768</v>
      </c>
    </row>
    <row r="488" spans="1:7">
      <c r="A488" s="371" t="s">
        <v>4720</v>
      </c>
      <c r="B488" s="156" t="s">
        <v>1036</v>
      </c>
      <c r="C488" s="156" t="s">
        <v>4721</v>
      </c>
      <c r="D488" s="157" t="s">
        <v>1293</v>
      </c>
      <c r="E488" s="157">
        <v>1298</v>
      </c>
      <c r="F488" s="380" t="s">
        <v>4748</v>
      </c>
      <c r="G488" s="359" t="s">
        <v>4768</v>
      </c>
    </row>
    <row r="489" spans="1:7">
      <c r="A489" s="371" t="s">
        <v>4720</v>
      </c>
      <c r="B489" s="156" t="s">
        <v>1036</v>
      </c>
      <c r="C489" s="156" t="s">
        <v>4721</v>
      </c>
      <c r="D489" s="157" t="s">
        <v>1293</v>
      </c>
      <c r="E489" s="157">
        <v>1299</v>
      </c>
      <c r="F489" s="380" t="s">
        <v>4749</v>
      </c>
      <c r="G489" s="359" t="s">
        <v>4768</v>
      </c>
    </row>
    <row r="490" spans="1:7">
      <c r="A490" s="371" t="s">
        <v>4720</v>
      </c>
      <c r="B490" s="156" t="s">
        <v>1036</v>
      </c>
      <c r="C490" s="156" t="s">
        <v>4721</v>
      </c>
      <c r="D490" s="157" t="s">
        <v>1293</v>
      </c>
      <c r="E490" s="157">
        <v>1300</v>
      </c>
      <c r="F490" s="380" t="s">
        <v>4750</v>
      </c>
      <c r="G490" s="359" t="s">
        <v>4768</v>
      </c>
    </row>
    <row r="491" spans="1:7">
      <c r="A491" s="371" t="s">
        <v>4720</v>
      </c>
      <c r="B491" s="156" t="s">
        <v>1036</v>
      </c>
      <c r="C491" s="156" t="s">
        <v>4721</v>
      </c>
      <c r="D491" s="157" t="s">
        <v>1293</v>
      </c>
      <c r="E491" s="157">
        <v>1400</v>
      </c>
      <c r="F491" s="380" t="s">
        <v>4751</v>
      </c>
      <c r="G491" s="359" t="s">
        <v>4768</v>
      </c>
    </row>
    <row r="492" spans="1:7">
      <c r="A492" s="371" t="s">
        <v>4720</v>
      </c>
      <c r="B492" s="156" t="s">
        <v>1036</v>
      </c>
      <c r="C492" s="156" t="s">
        <v>4721</v>
      </c>
      <c r="D492" s="157" t="s">
        <v>1293</v>
      </c>
      <c r="E492" s="157">
        <v>1500</v>
      </c>
      <c r="F492" s="380" t="s">
        <v>4752</v>
      </c>
      <c r="G492" s="359" t="s">
        <v>4768</v>
      </c>
    </row>
    <row r="493" spans="1:7">
      <c r="A493" s="371" t="s">
        <v>4720</v>
      </c>
      <c r="B493" s="156" t="s">
        <v>1036</v>
      </c>
      <c r="C493" s="156" t="s">
        <v>4721</v>
      </c>
      <c r="D493" s="157" t="s">
        <v>1293</v>
      </c>
      <c r="E493" s="157">
        <v>1800</v>
      </c>
      <c r="F493" s="380" t="s">
        <v>4753</v>
      </c>
      <c r="G493" s="359" t="s">
        <v>4768</v>
      </c>
    </row>
    <row r="494" spans="1:7">
      <c r="A494" s="371" t="s">
        <v>4720</v>
      </c>
      <c r="B494" s="156" t="s">
        <v>1036</v>
      </c>
      <c r="C494" s="156" t="s">
        <v>4721</v>
      </c>
      <c r="D494" s="157" t="s">
        <v>1293</v>
      </c>
      <c r="E494" s="157">
        <v>1900</v>
      </c>
      <c r="F494" s="380" t="s">
        <v>4754</v>
      </c>
      <c r="G494" s="359" t="s">
        <v>4768</v>
      </c>
    </row>
    <row r="495" spans="1:7">
      <c r="A495" s="371" t="s">
        <v>4720</v>
      </c>
      <c r="B495" s="156" t="s">
        <v>1036</v>
      </c>
      <c r="C495" s="156" t="s">
        <v>4721</v>
      </c>
      <c r="D495" s="157" t="s">
        <v>1293</v>
      </c>
      <c r="E495" s="157">
        <v>2000</v>
      </c>
      <c r="F495" s="380" t="s">
        <v>4755</v>
      </c>
      <c r="G495" s="359" t="s">
        <v>4768</v>
      </c>
    </row>
    <row r="496" spans="1:7">
      <c r="A496" s="371" t="s">
        <v>4720</v>
      </c>
      <c r="B496" s="156" t="s">
        <v>1036</v>
      </c>
      <c r="C496" s="156" t="s">
        <v>4721</v>
      </c>
      <c r="D496" s="157" t="s">
        <v>1293</v>
      </c>
      <c r="E496" s="157">
        <v>2100</v>
      </c>
      <c r="F496" s="380" t="s">
        <v>4756</v>
      </c>
      <c r="G496" s="359" t="s">
        <v>4768</v>
      </c>
    </row>
    <row r="497" spans="1:7">
      <c r="A497" s="371" t="s">
        <v>4720</v>
      </c>
      <c r="B497" s="156" t="s">
        <v>1036</v>
      </c>
      <c r="C497" s="156" t="s">
        <v>4721</v>
      </c>
      <c r="D497" s="157" t="s">
        <v>1293</v>
      </c>
      <c r="E497" s="157">
        <v>2200</v>
      </c>
      <c r="F497" s="380" t="s">
        <v>4757</v>
      </c>
      <c r="G497" s="359" t="s">
        <v>4768</v>
      </c>
    </row>
    <row r="498" spans="1:7">
      <c r="A498" s="371" t="s">
        <v>4720</v>
      </c>
      <c r="B498" s="156" t="s">
        <v>1036</v>
      </c>
      <c r="C498" s="156" t="s">
        <v>4721</v>
      </c>
      <c r="D498" s="157" t="s">
        <v>1293</v>
      </c>
      <c r="E498" s="157">
        <v>2300</v>
      </c>
      <c r="F498" s="380" t="s">
        <v>4758</v>
      </c>
      <c r="G498" s="359" t="s">
        <v>4768</v>
      </c>
    </row>
    <row r="499" spans="1:7">
      <c r="A499" s="371" t="s">
        <v>4720</v>
      </c>
      <c r="B499" s="156" t="s">
        <v>1036</v>
      </c>
      <c r="C499" s="156" t="s">
        <v>4721</v>
      </c>
      <c r="D499" s="157" t="s">
        <v>1293</v>
      </c>
      <c r="E499" s="157">
        <v>2400</v>
      </c>
      <c r="F499" s="380" t="s">
        <v>4759</v>
      </c>
      <c r="G499" s="359" t="s">
        <v>4768</v>
      </c>
    </row>
    <row r="500" spans="1:7">
      <c r="A500" s="371" t="s">
        <v>4720</v>
      </c>
      <c r="B500" s="156" t="s">
        <v>1036</v>
      </c>
      <c r="C500" s="156" t="s">
        <v>4721</v>
      </c>
      <c r="D500" s="157" t="s">
        <v>1293</v>
      </c>
      <c r="E500" s="157">
        <v>2500</v>
      </c>
      <c r="F500" s="380" t="s">
        <v>4760</v>
      </c>
      <c r="G500" s="359" t="s">
        <v>4768</v>
      </c>
    </row>
    <row r="501" spans="1:7">
      <c r="A501" s="371" t="s">
        <v>4720</v>
      </c>
      <c r="B501" s="156" t="s">
        <v>1036</v>
      </c>
      <c r="C501" s="156" t="s">
        <v>4721</v>
      </c>
      <c r="D501" s="157" t="s">
        <v>1293</v>
      </c>
      <c r="E501" s="157">
        <v>2800</v>
      </c>
      <c r="F501" s="380" t="s">
        <v>4761</v>
      </c>
      <c r="G501" s="359" t="s">
        <v>4768</v>
      </c>
    </row>
    <row r="502" spans="1:7">
      <c r="A502" s="371" t="s">
        <v>4720</v>
      </c>
      <c r="B502" s="156" t="s">
        <v>1036</v>
      </c>
      <c r="C502" s="156" t="s">
        <v>4721</v>
      </c>
      <c r="D502" s="157" t="s">
        <v>1293</v>
      </c>
      <c r="E502" s="157">
        <v>2900</v>
      </c>
      <c r="F502" s="380" t="s">
        <v>4762</v>
      </c>
      <c r="G502" s="359" t="s">
        <v>4768</v>
      </c>
    </row>
    <row r="503" spans="1:7" ht="15.75" thickBot="1">
      <c r="A503" s="372" t="s">
        <v>4720</v>
      </c>
      <c r="B503" s="161" t="s">
        <v>1036</v>
      </c>
      <c r="C503" s="161" t="s">
        <v>4721</v>
      </c>
      <c r="D503" s="162" t="s">
        <v>1293</v>
      </c>
      <c r="E503" s="162">
        <v>9999</v>
      </c>
      <c r="F503" s="381" t="s">
        <v>4763</v>
      </c>
      <c r="G503" s="359" t="s">
        <v>4768</v>
      </c>
    </row>
    <row r="504" spans="1:7" ht="14.45" customHeight="1">
      <c r="A504" s="373" t="s">
        <v>4720</v>
      </c>
      <c r="B504" s="163" t="s">
        <v>462</v>
      </c>
      <c r="C504" s="163" t="s">
        <v>1406</v>
      </c>
      <c r="D504" s="194" t="s">
        <v>1407</v>
      </c>
      <c r="E504" s="194">
        <v>1</v>
      </c>
      <c r="F504" s="383" t="s">
        <v>1409</v>
      </c>
      <c r="G504" s="359" t="s">
        <v>4768</v>
      </c>
    </row>
    <row r="505" spans="1:7">
      <c r="A505" s="371" t="s">
        <v>4720</v>
      </c>
      <c r="B505" s="156" t="s">
        <v>462</v>
      </c>
      <c r="C505" s="156" t="s">
        <v>1406</v>
      </c>
      <c r="D505" s="156" t="s">
        <v>1410</v>
      </c>
      <c r="E505" s="156">
        <v>5</v>
      </c>
      <c r="F505" s="379" t="s">
        <v>1412</v>
      </c>
      <c r="G505" s="359" t="s">
        <v>4768</v>
      </c>
    </row>
    <row r="506" spans="1:7">
      <c r="A506" s="371" t="s">
        <v>4720</v>
      </c>
      <c r="B506" s="156" t="s">
        <v>462</v>
      </c>
      <c r="C506" s="156" t="s">
        <v>1406</v>
      </c>
      <c r="D506" s="156" t="s">
        <v>1413</v>
      </c>
      <c r="E506" s="156">
        <v>7</v>
      </c>
      <c r="F506" s="379" t="s">
        <v>1415</v>
      </c>
      <c r="G506" s="359" t="s">
        <v>4768</v>
      </c>
    </row>
    <row r="507" spans="1:7">
      <c r="A507" s="371" t="s">
        <v>4720</v>
      </c>
      <c r="B507" s="156" t="s">
        <v>462</v>
      </c>
      <c r="C507" s="156" t="s">
        <v>1406</v>
      </c>
      <c r="D507" s="156" t="s">
        <v>1416</v>
      </c>
      <c r="E507" s="156">
        <v>8</v>
      </c>
      <c r="F507" s="379" t="s">
        <v>1418</v>
      </c>
      <c r="G507" s="359" t="s">
        <v>4768</v>
      </c>
    </row>
    <row r="508" spans="1:7">
      <c r="A508" s="371" t="s">
        <v>4720</v>
      </c>
      <c r="B508" s="156" t="s">
        <v>462</v>
      </c>
      <c r="C508" s="156" t="s">
        <v>1406</v>
      </c>
      <c r="D508" s="156" t="s">
        <v>1419</v>
      </c>
      <c r="E508" s="156">
        <v>8</v>
      </c>
      <c r="F508" s="379" t="s">
        <v>1418</v>
      </c>
      <c r="G508" s="359" t="s">
        <v>4768</v>
      </c>
    </row>
    <row r="509" spans="1:7">
      <c r="A509" s="371" t="s">
        <v>4720</v>
      </c>
      <c r="B509" s="156" t="s">
        <v>462</v>
      </c>
      <c r="C509" s="156" t="s">
        <v>1406</v>
      </c>
      <c r="D509" s="156" t="s">
        <v>3240</v>
      </c>
      <c r="E509" s="156">
        <v>13</v>
      </c>
      <c r="F509" s="379" t="s">
        <v>1422</v>
      </c>
      <c r="G509" s="359" t="s">
        <v>4768</v>
      </c>
    </row>
    <row r="510" spans="1:7">
      <c r="A510" s="371" t="s">
        <v>4720</v>
      </c>
      <c r="B510" s="156" t="s">
        <v>462</v>
      </c>
      <c r="C510" s="156" t="s">
        <v>1406</v>
      </c>
      <c r="D510" s="156" t="s">
        <v>1420</v>
      </c>
      <c r="E510" s="156">
        <v>13</v>
      </c>
      <c r="F510" s="379" t="s">
        <v>1422</v>
      </c>
      <c r="G510" s="359" t="s">
        <v>4768</v>
      </c>
    </row>
    <row r="511" spans="1:7">
      <c r="A511" s="371" t="s">
        <v>4720</v>
      </c>
      <c r="B511" s="156" t="s">
        <v>462</v>
      </c>
      <c r="C511" s="156" t="s">
        <v>1406</v>
      </c>
      <c r="D511" s="156" t="s">
        <v>1423</v>
      </c>
      <c r="E511" s="156">
        <v>13</v>
      </c>
      <c r="F511" s="379" t="s">
        <v>1422</v>
      </c>
      <c r="G511" s="359" t="s">
        <v>4768</v>
      </c>
    </row>
    <row r="512" spans="1:7">
      <c r="A512" s="371" t="s">
        <v>4720</v>
      </c>
      <c r="B512" s="156" t="s">
        <v>462</v>
      </c>
      <c r="C512" s="156" t="s">
        <v>1406</v>
      </c>
      <c r="D512" s="156" t="s">
        <v>1424</v>
      </c>
      <c r="E512" s="156">
        <v>13</v>
      </c>
      <c r="F512" s="379" t="s">
        <v>1422</v>
      </c>
      <c r="G512" s="359" t="s">
        <v>4768</v>
      </c>
    </row>
    <row r="513" spans="1:7">
      <c r="A513" s="371" t="s">
        <v>4720</v>
      </c>
      <c r="B513" s="156" t="s">
        <v>462</v>
      </c>
      <c r="C513" s="156" t="s">
        <v>1406</v>
      </c>
      <c r="D513" s="157" t="s">
        <v>1293</v>
      </c>
      <c r="E513" s="157">
        <v>0</v>
      </c>
      <c r="F513" s="384" t="s">
        <v>4769</v>
      </c>
      <c r="G513" s="359" t="s">
        <v>4768</v>
      </c>
    </row>
    <row r="514" spans="1:7">
      <c r="A514" s="371" t="s">
        <v>4720</v>
      </c>
      <c r="B514" s="156" t="s">
        <v>462</v>
      </c>
      <c r="C514" s="156" t="s">
        <v>1406</v>
      </c>
      <c r="D514" s="157" t="s">
        <v>1293</v>
      </c>
      <c r="E514" s="157">
        <v>6</v>
      </c>
      <c r="F514" s="380" t="s">
        <v>1425</v>
      </c>
      <c r="G514" s="359" t="s">
        <v>4768</v>
      </c>
    </row>
    <row r="515" spans="1:7">
      <c r="A515" s="371" t="s">
        <v>4720</v>
      </c>
      <c r="B515" s="156" t="s">
        <v>462</v>
      </c>
      <c r="C515" s="156" t="s">
        <v>1406</v>
      </c>
      <c r="D515" s="157" t="s">
        <v>1293</v>
      </c>
      <c r="E515" s="157">
        <v>9</v>
      </c>
      <c r="F515" s="380" t="s">
        <v>1427</v>
      </c>
      <c r="G515" s="359" t="s">
        <v>4768</v>
      </c>
    </row>
    <row r="516" spans="1:7">
      <c r="A516" s="371" t="s">
        <v>4720</v>
      </c>
      <c r="B516" s="156" t="s">
        <v>462</v>
      </c>
      <c r="C516" s="156" t="s">
        <v>1406</v>
      </c>
      <c r="D516" s="157" t="s">
        <v>1293</v>
      </c>
      <c r="E516" s="157">
        <v>10</v>
      </c>
      <c r="F516" s="380" t="s">
        <v>1429</v>
      </c>
      <c r="G516" s="359" t="s">
        <v>4768</v>
      </c>
    </row>
    <row r="517" spans="1:7">
      <c r="A517" s="371" t="s">
        <v>4720</v>
      </c>
      <c r="B517" s="156" t="s">
        <v>462</v>
      </c>
      <c r="C517" s="156" t="s">
        <v>1406</v>
      </c>
      <c r="D517" s="157" t="s">
        <v>1293</v>
      </c>
      <c r="E517" s="157">
        <v>11</v>
      </c>
      <c r="F517" s="380" t="s">
        <v>1431</v>
      </c>
      <c r="G517" s="359" t="s">
        <v>4768</v>
      </c>
    </row>
    <row r="518" spans="1:7">
      <c r="A518" s="371" t="s">
        <v>4720</v>
      </c>
      <c r="B518" s="156" t="s">
        <v>462</v>
      </c>
      <c r="C518" s="156" t="s">
        <v>1406</v>
      </c>
      <c r="D518" s="157" t="s">
        <v>1293</v>
      </c>
      <c r="E518" s="157">
        <v>12</v>
      </c>
      <c r="F518" s="380" t="s">
        <v>1433</v>
      </c>
      <c r="G518" s="359" t="s">
        <v>4768</v>
      </c>
    </row>
    <row r="519" spans="1:7">
      <c r="A519" s="371" t="s">
        <v>4720</v>
      </c>
      <c r="B519" s="156" t="s">
        <v>462</v>
      </c>
      <c r="C519" s="156" t="s">
        <v>1406</v>
      </c>
      <c r="D519" s="157" t="s">
        <v>1434</v>
      </c>
      <c r="E519" s="157" t="s">
        <v>1293</v>
      </c>
      <c r="F519" s="380" t="s">
        <v>1293</v>
      </c>
      <c r="G519" s="359" t="s">
        <v>4768</v>
      </c>
    </row>
    <row r="520" spans="1:7" ht="15.75" thickBot="1">
      <c r="A520" s="374" t="s">
        <v>4720</v>
      </c>
      <c r="B520" s="158" t="s">
        <v>462</v>
      </c>
      <c r="C520" s="158" t="s">
        <v>1406</v>
      </c>
      <c r="D520" s="159" t="s">
        <v>1435</v>
      </c>
      <c r="E520" s="159" t="s">
        <v>1293</v>
      </c>
      <c r="F520" s="385" t="s">
        <v>1293</v>
      </c>
      <c r="G520" s="359" t="s">
        <v>4768</v>
      </c>
    </row>
  </sheetData>
  <autoFilter ref="A1:F520"/>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1"/>
  <sheetViews>
    <sheetView workbookViewId="0">
      <pane ySplit="1" topLeftCell="A2" activePane="bottomLeft" state="frozen"/>
      <selection pane="bottomLeft" activeCell="A2" sqref="A2"/>
    </sheetView>
  </sheetViews>
  <sheetFormatPr defaultRowHeight="15"/>
  <cols>
    <col min="1" max="1" width="17.85546875" bestFit="1" customWidth="1"/>
    <col min="2" max="2" width="25.5703125" bestFit="1" customWidth="1"/>
    <col min="3" max="3" width="19.42578125" bestFit="1" customWidth="1"/>
    <col min="4" max="4" width="28.28515625" bestFit="1" customWidth="1"/>
    <col min="5" max="5" width="81.42578125" bestFit="1" customWidth="1"/>
    <col min="6" max="6" width="249.140625" bestFit="1" customWidth="1"/>
  </cols>
  <sheetData>
    <row r="1" spans="1:7" ht="15.75" thickBot="1">
      <c r="A1" s="360" t="s">
        <v>4777</v>
      </c>
      <c r="B1" s="361" t="s">
        <v>4778</v>
      </c>
      <c r="C1" s="361" t="s">
        <v>4779</v>
      </c>
      <c r="D1" s="362" t="s">
        <v>4780</v>
      </c>
      <c r="E1" s="363" t="s">
        <v>4781</v>
      </c>
      <c r="F1" s="364" t="s">
        <v>4782</v>
      </c>
      <c r="G1" s="359" t="s">
        <v>4768</v>
      </c>
    </row>
    <row r="2" spans="1:7" ht="14.45" customHeight="1">
      <c r="A2" s="240" t="s">
        <v>4783</v>
      </c>
      <c r="B2" s="224" t="s">
        <v>1360</v>
      </c>
      <c r="C2" s="192">
        <v>1</v>
      </c>
      <c r="D2" s="223">
        <v>2</v>
      </c>
      <c r="E2" s="224" t="s">
        <v>1361</v>
      </c>
      <c r="F2" s="227" t="s">
        <v>1362</v>
      </c>
      <c r="G2" s="359" t="s">
        <v>4768</v>
      </c>
    </row>
    <row r="3" spans="1:7">
      <c r="A3" s="239" t="s">
        <v>4783</v>
      </c>
      <c r="B3" s="167" t="s">
        <v>1360</v>
      </c>
      <c r="C3" s="154">
        <v>1</v>
      </c>
      <c r="D3" s="181">
        <v>3</v>
      </c>
      <c r="E3" s="167" t="s">
        <v>1363</v>
      </c>
      <c r="F3" s="225" t="s">
        <v>1364</v>
      </c>
      <c r="G3" s="359" t="s">
        <v>4768</v>
      </c>
    </row>
    <row r="4" spans="1:7">
      <c r="A4" s="239" t="s">
        <v>4783</v>
      </c>
      <c r="B4" s="167" t="s">
        <v>1360</v>
      </c>
      <c r="C4" s="154">
        <v>1</v>
      </c>
      <c r="D4" s="181">
        <v>4</v>
      </c>
      <c r="E4" s="167" t="s">
        <v>1365</v>
      </c>
      <c r="F4" s="225" t="s">
        <v>1366</v>
      </c>
      <c r="G4" s="359" t="s">
        <v>4768</v>
      </c>
    </row>
    <row r="5" spans="1:7">
      <c r="A5" s="239" t="s">
        <v>4783</v>
      </c>
      <c r="B5" s="167" t="s">
        <v>1360</v>
      </c>
      <c r="C5" s="154">
        <v>1</v>
      </c>
      <c r="D5" s="181">
        <v>5</v>
      </c>
      <c r="E5" s="167" t="s">
        <v>1367</v>
      </c>
      <c r="F5" s="225" t="s">
        <v>1368</v>
      </c>
      <c r="G5" s="359" t="s">
        <v>4768</v>
      </c>
    </row>
    <row r="6" spans="1:7">
      <c r="A6" s="239" t="s">
        <v>4783</v>
      </c>
      <c r="B6" s="167" t="s">
        <v>1360</v>
      </c>
      <c r="C6" s="154">
        <v>1</v>
      </c>
      <c r="D6" s="181">
        <v>6</v>
      </c>
      <c r="E6" s="167" t="s">
        <v>1369</v>
      </c>
      <c r="F6" s="225" t="s">
        <v>1370</v>
      </c>
      <c r="G6" s="359" t="s">
        <v>4768</v>
      </c>
    </row>
    <row r="7" spans="1:7">
      <c r="A7" s="239" t="s">
        <v>4783</v>
      </c>
      <c r="B7" s="167" t="s">
        <v>1360</v>
      </c>
      <c r="C7" s="154">
        <v>1</v>
      </c>
      <c r="D7" s="181">
        <v>7</v>
      </c>
      <c r="E7" s="167" t="s">
        <v>1371</v>
      </c>
      <c r="F7" s="225" t="s">
        <v>1372</v>
      </c>
      <c r="G7" s="359" t="s">
        <v>4768</v>
      </c>
    </row>
    <row r="8" spans="1:7">
      <c r="A8" s="239" t="s">
        <v>4783</v>
      </c>
      <c r="B8" s="167" t="s">
        <v>1360</v>
      </c>
      <c r="C8" s="154">
        <v>1</v>
      </c>
      <c r="D8" s="181">
        <v>8</v>
      </c>
      <c r="E8" s="167" t="s">
        <v>1373</v>
      </c>
      <c r="F8" s="225" t="s">
        <v>1374</v>
      </c>
      <c r="G8" s="359" t="s">
        <v>4768</v>
      </c>
    </row>
    <row r="9" spans="1:7">
      <c r="A9" s="239" t="s">
        <v>4783</v>
      </c>
      <c r="B9" s="167" t="s">
        <v>1360</v>
      </c>
      <c r="C9" s="154">
        <v>1</v>
      </c>
      <c r="D9" s="181">
        <v>9</v>
      </c>
      <c r="E9" s="167" t="s">
        <v>1375</v>
      </c>
      <c r="F9" s="225" t="s">
        <v>1376</v>
      </c>
      <c r="G9" s="359" t="s">
        <v>4768</v>
      </c>
    </row>
    <row r="10" spans="1:7">
      <c r="A10" s="239" t="s">
        <v>4783</v>
      </c>
      <c r="B10" s="167" t="s">
        <v>1360</v>
      </c>
      <c r="C10" s="154">
        <v>1</v>
      </c>
      <c r="D10" s="181">
        <v>10</v>
      </c>
      <c r="E10" s="167" t="s">
        <v>1377</v>
      </c>
      <c r="F10" s="225" t="s">
        <v>1378</v>
      </c>
      <c r="G10" s="359" t="s">
        <v>4768</v>
      </c>
    </row>
    <row r="11" spans="1:7">
      <c r="A11" s="239" t="s">
        <v>4783</v>
      </c>
      <c r="B11" s="167" t="s">
        <v>1360</v>
      </c>
      <c r="C11" s="154">
        <v>1</v>
      </c>
      <c r="D11" s="181">
        <v>12</v>
      </c>
      <c r="E11" s="167" t="s">
        <v>1379</v>
      </c>
      <c r="F11" s="225" t="s">
        <v>1380</v>
      </c>
      <c r="G11" s="359" t="s">
        <v>4768</v>
      </c>
    </row>
    <row r="12" spans="1:7">
      <c r="A12" s="239" t="s">
        <v>4783</v>
      </c>
      <c r="B12" s="167" t="s">
        <v>1360</v>
      </c>
      <c r="C12" s="154">
        <v>1</v>
      </c>
      <c r="D12" s="181">
        <v>13</v>
      </c>
      <c r="E12" s="178" t="s">
        <v>1395</v>
      </c>
      <c r="F12" s="225" t="s">
        <v>1381</v>
      </c>
      <c r="G12" s="359" t="s">
        <v>4768</v>
      </c>
    </row>
    <row r="13" spans="1:7">
      <c r="A13" s="239" t="s">
        <v>4783</v>
      </c>
      <c r="B13" s="167" t="s">
        <v>1360</v>
      </c>
      <c r="C13" s="154">
        <v>1</v>
      </c>
      <c r="D13" s="181">
        <v>14</v>
      </c>
      <c r="E13" s="167" t="s">
        <v>1382</v>
      </c>
      <c r="F13" s="225" t="s">
        <v>1383</v>
      </c>
      <c r="G13" s="359" t="s">
        <v>4768</v>
      </c>
    </row>
    <row r="14" spans="1:7">
      <c r="A14" s="239" t="s">
        <v>4783</v>
      </c>
      <c r="B14" s="167" t="s">
        <v>1360</v>
      </c>
      <c r="C14" s="154">
        <v>1</v>
      </c>
      <c r="D14" s="181">
        <v>15</v>
      </c>
      <c r="E14" s="167" t="s">
        <v>1384</v>
      </c>
      <c r="F14" s="225" t="s">
        <v>1385</v>
      </c>
      <c r="G14" s="359" t="s">
        <v>4768</v>
      </c>
    </row>
    <row r="15" spans="1:7">
      <c r="A15" s="239" t="s">
        <v>4783</v>
      </c>
      <c r="B15" s="167" t="s">
        <v>1360</v>
      </c>
      <c r="C15" s="154">
        <v>1</v>
      </c>
      <c r="D15" s="181">
        <v>41</v>
      </c>
      <c r="E15" s="167" t="s">
        <v>1386</v>
      </c>
      <c r="F15" s="225" t="s">
        <v>1387</v>
      </c>
      <c r="G15" s="359" t="s">
        <v>4768</v>
      </c>
    </row>
    <row r="16" spans="1:7">
      <c r="A16" s="239" t="s">
        <v>4783</v>
      </c>
      <c r="B16" s="167" t="s">
        <v>1360</v>
      </c>
      <c r="C16" s="154">
        <v>1</v>
      </c>
      <c r="D16" s="181">
        <v>45</v>
      </c>
      <c r="E16" s="167" t="s">
        <v>1388</v>
      </c>
      <c r="F16" s="225" t="s">
        <v>1389</v>
      </c>
      <c r="G16" s="359" t="s">
        <v>4768</v>
      </c>
    </row>
    <row r="17" spans="1:7">
      <c r="A17" s="239" t="s">
        <v>4783</v>
      </c>
      <c r="B17" s="167" t="s">
        <v>1360</v>
      </c>
      <c r="C17" s="154">
        <v>1</v>
      </c>
      <c r="D17" s="181">
        <v>46</v>
      </c>
      <c r="E17" s="167" t="s">
        <v>1390</v>
      </c>
      <c r="F17" s="225" t="s">
        <v>1391</v>
      </c>
      <c r="G17" s="359" t="s">
        <v>4768</v>
      </c>
    </row>
    <row r="18" spans="1:7">
      <c r="A18" s="239" t="s">
        <v>4783</v>
      </c>
      <c r="B18" s="167" t="s">
        <v>1360</v>
      </c>
      <c r="C18" s="154">
        <v>1</v>
      </c>
      <c r="D18" s="181">
        <v>47</v>
      </c>
      <c r="E18" s="167" t="s">
        <v>1392</v>
      </c>
      <c r="F18" s="225" t="s">
        <v>1393</v>
      </c>
      <c r="G18" s="359" t="s">
        <v>4768</v>
      </c>
    </row>
    <row r="19" spans="1:7">
      <c r="A19" s="239" t="s">
        <v>4783</v>
      </c>
      <c r="B19" s="167" t="s">
        <v>1360</v>
      </c>
      <c r="C19" s="154">
        <v>1</v>
      </c>
      <c r="D19" s="181">
        <v>48</v>
      </c>
      <c r="E19" s="167" t="s">
        <v>146</v>
      </c>
      <c r="F19" s="225" t="s">
        <v>1394</v>
      </c>
      <c r="G19" s="359" t="s">
        <v>4768</v>
      </c>
    </row>
    <row r="20" spans="1:7" ht="15.75" thickBot="1">
      <c r="A20" s="237" t="s">
        <v>4783</v>
      </c>
      <c r="B20" s="222" t="s">
        <v>1360</v>
      </c>
      <c r="C20" s="184">
        <v>1</v>
      </c>
      <c r="D20" s="189">
        <v>11111111111</v>
      </c>
      <c r="E20" s="190" t="s">
        <v>146</v>
      </c>
      <c r="F20" s="220" t="s">
        <v>1396</v>
      </c>
      <c r="G20" s="359" t="s">
        <v>4768</v>
      </c>
    </row>
    <row r="21" spans="1:7" ht="14.45" customHeight="1">
      <c r="A21" s="240" t="s">
        <v>4783</v>
      </c>
      <c r="B21" s="191" t="s">
        <v>1360</v>
      </c>
      <c r="C21" s="192">
        <v>2</v>
      </c>
      <c r="D21" s="223">
        <v>2</v>
      </c>
      <c r="E21" s="224" t="s">
        <v>3034</v>
      </c>
      <c r="F21" s="227" t="s">
        <v>1362</v>
      </c>
      <c r="G21" s="359" t="s">
        <v>4768</v>
      </c>
    </row>
    <row r="22" spans="1:7">
      <c r="A22" s="239" t="s">
        <v>4783</v>
      </c>
      <c r="B22" s="164" t="s">
        <v>1360</v>
      </c>
      <c r="C22" s="154">
        <v>2</v>
      </c>
      <c r="D22" s="181">
        <v>3</v>
      </c>
      <c r="E22" s="167" t="s">
        <v>3714</v>
      </c>
      <c r="F22" s="225" t="s">
        <v>1364</v>
      </c>
      <c r="G22" s="359" t="s">
        <v>4768</v>
      </c>
    </row>
    <row r="23" spans="1:7">
      <c r="A23" s="239" t="s">
        <v>4783</v>
      </c>
      <c r="B23" s="164" t="s">
        <v>1360</v>
      </c>
      <c r="C23" s="154">
        <v>2</v>
      </c>
      <c r="D23" s="181">
        <v>4</v>
      </c>
      <c r="E23" s="167" t="s">
        <v>3034</v>
      </c>
      <c r="F23" s="225" t="s">
        <v>1366</v>
      </c>
      <c r="G23" s="359" t="s">
        <v>4768</v>
      </c>
    </row>
    <row r="24" spans="1:7">
      <c r="A24" s="239" t="s">
        <v>4783</v>
      </c>
      <c r="B24" s="164" t="s">
        <v>1360</v>
      </c>
      <c r="C24" s="154">
        <v>2</v>
      </c>
      <c r="D24" s="181">
        <v>5</v>
      </c>
      <c r="E24" s="167" t="s">
        <v>3714</v>
      </c>
      <c r="F24" s="225" t="s">
        <v>1368</v>
      </c>
      <c r="G24" s="359" t="s">
        <v>4768</v>
      </c>
    </row>
    <row r="25" spans="1:7">
      <c r="A25" s="239" t="s">
        <v>4783</v>
      </c>
      <c r="B25" s="164" t="s">
        <v>1360</v>
      </c>
      <c r="C25" s="154">
        <v>2</v>
      </c>
      <c r="D25" s="181">
        <v>6</v>
      </c>
      <c r="E25" s="167" t="s">
        <v>3034</v>
      </c>
      <c r="F25" s="225" t="s">
        <v>1370</v>
      </c>
      <c r="G25" s="359" t="s">
        <v>4768</v>
      </c>
    </row>
    <row r="26" spans="1:7">
      <c r="A26" s="239" t="s">
        <v>4783</v>
      </c>
      <c r="B26" s="164" t="s">
        <v>1360</v>
      </c>
      <c r="C26" s="154">
        <v>2</v>
      </c>
      <c r="D26" s="181">
        <v>7</v>
      </c>
      <c r="E26" s="167" t="s">
        <v>3714</v>
      </c>
      <c r="F26" s="225" t="s">
        <v>1372</v>
      </c>
      <c r="G26" s="359" t="s">
        <v>4768</v>
      </c>
    </row>
    <row r="27" spans="1:7">
      <c r="A27" s="239" t="s">
        <v>4783</v>
      </c>
      <c r="B27" s="164" t="s">
        <v>1360</v>
      </c>
      <c r="C27" s="154">
        <v>2</v>
      </c>
      <c r="D27" s="181">
        <v>8</v>
      </c>
      <c r="E27" s="167" t="s">
        <v>3034</v>
      </c>
      <c r="F27" s="225" t="s">
        <v>1374</v>
      </c>
      <c r="G27" s="359" t="s">
        <v>4768</v>
      </c>
    </row>
    <row r="28" spans="1:7">
      <c r="A28" s="239" t="s">
        <v>4783</v>
      </c>
      <c r="B28" s="164" t="s">
        <v>1360</v>
      </c>
      <c r="C28" s="154">
        <v>2</v>
      </c>
      <c r="D28" s="181">
        <v>9</v>
      </c>
      <c r="E28" s="167" t="s">
        <v>3714</v>
      </c>
      <c r="F28" s="225" t="s">
        <v>1376</v>
      </c>
      <c r="G28" s="359" t="s">
        <v>4768</v>
      </c>
    </row>
    <row r="29" spans="1:7">
      <c r="A29" s="239" t="s">
        <v>4783</v>
      </c>
      <c r="B29" s="164" t="s">
        <v>1360</v>
      </c>
      <c r="C29" s="154">
        <v>2</v>
      </c>
      <c r="D29" s="181">
        <v>10</v>
      </c>
      <c r="E29" s="167" t="s">
        <v>3714</v>
      </c>
      <c r="F29" s="225" t="s">
        <v>1378</v>
      </c>
      <c r="G29" s="359" t="s">
        <v>4768</v>
      </c>
    </row>
    <row r="30" spans="1:7">
      <c r="A30" s="239" t="s">
        <v>4783</v>
      </c>
      <c r="B30" s="164" t="s">
        <v>1360</v>
      </c>
      <c r="C30" s="154">
        <v>2</v>
      </c>
      <c r="D30" s="181">
        <v>12</v>
      </c>
      <c r="E30" s="167" t="s">
        <v>3714</v>
      </c>
      <c r="F30" s="225" t="s">
        <v>1380</v>
      </c>
      <c r="G30" s="359" t="s">
        <v>4768</v>
      </c>
    </row>
    <row r="31" spans="1:7">
      <c r="A31" s="239" t="s">
        <v>4783</v>
      </c>
      <c r="B31" s="164" t="s">
        <v>1360</v>
      </c>
      <c r="C31" s="154">
        <v>2</v>
      </c>
      <c r="D31" s="181">
        <v>13</v>
      </c>
      <c r="E31" s="167" t="s">
        <v>3714</v>
      </c>
      <c r="F31" s="225" t="s">
        <v>1381</v>
      </c>
      <c r="G31" s="359" t="s">
        <v>4768</v>
      </c>
    </row>
    <row r="32" spans="1:7">
      <c r="A32" s="239" t="s">
        <v>4783</v>
      </c>
      <c r="B32" s="164" t="s">
        <v>1360</v>
      </c>
      <c r="C32" s="154">
        <v>2</v>
      </c>
      <c r="D32" s="181">
        <v>14</v>
      </c>
      <c r="E32" s="167" t="s">
        <v>3034</v>
      </c>
      <c r="F32" s="225" t="s">
        <v>1383</v>
      </c>
      <c r="G32" s="359" t="s">
        <v>4768</v>
      </c>
    </row>
    <row r="33" spans="1:7">
      <c r="A33" s="239" t="s">
        <v>4783</v>
      </c>
      <c r="B33" s="164" t="s">
        <v>1360</v>
      </c>
      <c r="C33" s="154">
        <v>2</v>
      </c>
      <c r="D33" s="181">
        <v>15</v>
      </c>
      <c r="E33" s="167" t="s">
        <v>3714</v>
      </c>
      <c r="F33" s="225" t="s">
        <v>1385</v>
      </c>
      <c r="G33" s="359" t="s">
        <v>4768</v>
      </c>
    </row>
    <row r="34" spans="1:7">
      <c r="A34" s="239" t="s">
        <v>4783</v>
      </c>
      <c r="B34" s="164" t="s">
        <v>1360</v>
      </c>
      <c r="C34" s="154">
        <v>2</v>
      </c>
      <c r="D34" s="181">
        <v>41</v>
      </c>
      <c r="E34" s="167" t="s">
        <v>3034</v>
      </c>
      <c r="F34" s="225" t="s">
        <v>1387</v>
      </c>
      <c r="G34" s="359" t="s">
        <v>4768</v>
      </c>
    </row>
    <row r="35" spans="1:7">
      <c r="A35" s="239" t="s">
        <v>4783</v>
      </c>
      <c r="B35" s="164" t="s">
        <v>1360</v>
      </c>
      <c r="C35" s="154">
        <v>2</v>
      </c>
      <c r="D35" s="181">
        <v>45</v>
      </c>
      <c r="E35" s="167" t="s">
        <v>3714</v>
      </c>
      <c r="F35" s="225" t="s">
        <v>1389</v>
      </c>
      <c r="G35" s="359" t="s">
        <v>4768</v>
      </c>
    </row>
    <row r="36" spans="1:7">
      <c r="A36" s="239" t="s">
        <v>4783</v>
      </c>
      <c r="B36" s="164" t="s">
        <v>1360</v>
      </c>
      <c r="C36" s="154">
        <v>2</v>
      </c>
      <c r="D36" s="181">
        <v>46</v>
      </c>
      <c r="E36" s="167" t="s">
        <v>3714</v>
      </c>
      <c r="F36" s="225" t="s">
        <v>1391</v>
      </c>
      <c r="G36" s="359" t="s">
        <v>4768</v>
      </c>
    </row>
    <row r="37" spans="1:7">
      <c r="A37" s="239" t="s">
        <v>4783</v>
      </c>
      <c r="B37" s="164" t="s">
        <v>1360</v>
      </c>
      <c r="C37" s="154">
        <v>2</v>
      </c>
      <c r="D37" s="181">
        <v>47</v>
      </c>
      <c r="E37" s="167" t="s">
        <v>3714</v>
      </c>
      <c r="F37" s="225" t="s">
        <v>1393</v>
      </c>
      <c r="G37" s="359" t="s">
        <v>4768</v>
      </c>
    </row>
    <row r="38" spans="1:7">
      <c r="A38" s="239" t="s">
        <v>4783</v>
      </c>
      <c r="B38" s="164" t="s">
        <v>1360</v>
      </c>
      <c r="C38" s="154">
        <v>2</v>
      </c>
      <c r="D38" s="181">
        <v>48</v>
      </c>
      <c r="E38" s="167" t="s">
        <v>3714</v>
      </c>
      <c r="F38" s="225" t="s">
        <v>1394</v>
      </c>
      <c r="G38" s="359" t="s">
        <v>4768</v>
      </c>
    </row>
    <row r="39" spans="1:7" ht="15.75" thickBot="1">
      <c r="A39" s="226" t="s">
        <v>4783</v>
      </c>
      <c r="B39" s="168" t="s">
        <v>1360</v>
      </c>
      <c r="C39" s="183">
        <v>2</v>
      </c>
      <c r="D39" s="193">
        <v>11111111111</v>
      </c>
      <c r="E39" s="174" t="s">
        <v>146</v>
      </c>
      <c r="F39" s="228" t="s">
        <v>1396</v>
      </c>
      <c r="G39" s="359" t="s">
        <v>4768</v>
      </c>
    </row>
    <row r="40" spans="1:7" ht="14.45" customHeight="1">
      <c r="A40" s="238" t="s">
        <v>4784</v>
      </c>
      <c r="B40" s="165" t="s">
        <v>3033</v>
      </c>
      <c r="C40" s="182">
        <v>1</v>
      </c>
      <c r="D40" s="175">
        <v>1</v>
      </c>
      <c r="E40" s="177" t="s">
        <v>3036</v>
      </c>
      <c r="F40" s="229" t="s">
        <v>3036</v>
      </c>
      <c r="G40" s="359" t="s">
        <v>4768</v>
      </c>
    </row>
    <row r="41" spans="1:7">
      <c r="A41" s="239" t="s">
        <v>4784</v>
      </c>
      <c r="B41" s="164" t="s">
        <v>3033</v>
      </c>
      <c r="C41" s="154">
        <v>1</v>
      </c>
      <c r="D41" s="176">
        <v>2</v>
      </c>
      <c r="E41" s="178" t="s">
        <v>3034</v>
      </c>
      <c r="F41" s="218" t="s">
        <v>3034</v>
      </c>
      <c r="G41" s="359" t="s">
        <v>4768</v>
      </c>
    </row>
    <row r="42" spans="1:7" ht="15.75" thickBot="1">
      <c r="A42" s="226" t="s">
        <v>4784</v>
      </c>
      <c r="B42" s="168" t="s">
        <v>3033</v>
      </c>
      <c r="C42" s="183">
        <v>1</v>
      </c>
      <c r="D42" s="185">
        <v>3</v>
      </c>
      <c r="E42" s="186" t="s">
        <v>3035</v>
      </c>
      <c r="F42" s="219" t="s">
        <v>3035</v>
      </c>
      <c r="G42" s="359" t="s">
        <v>4768</v>
      </c>
    </row>
    <row r="43" spans="1:7" ht="14.45" customHeight="1">
      <c r="A43" s="238" t="s">
        <v>4784</v>
      </c>
      <c r="B43" s="165" t="s">
        <v>1448</v>
      </c>
      <c r="C43" s="175">
        <v>1</v>
      </c>
      <c r="D43" s="175">
        <v>14</v>
      </c>
      <c r="E43" s="177" t="s">
        <v>1355</v>
      </c>
      <c r="F43" s="197" t="s">
        <v>1355</v>
      </c>
      <c r="G43" s="359" t="s">
        <v>4768</v>
      </c>
    </row>
    <row r="44" spans="1:7">
      <c r="A44" s="239" t="s">
        <v>4784</v>
      </c>
      <c r="B44" s="164" t="s">
        <v>1448</v>
      </c>
      <c r="C44" s="176">
        <v>1</v>
      </c>
      <c r="D44" s="176">
        <v>18</v>
      </c>
      <c r="E44" s="178" t="s">
        <v>1356</v>
      </c>
      <c r="F44" s="198" t="s">
        <v>1356</v>
      </c>
      <c r="G44" s="359" t="s">
        <v>4768</v>
      </c>
    </row>
    <row r="45" spans="1:7">
      <c r="A45" s="239" t="s">
        <v>4784</v>
      </c>
      <c r="B45" s="164" t="s">
        <v>1448</v>
      </c>
      <c r="C45" s="176">
        <v>1</v>
      </c>
      <c r="D45" s="176">
        <v>19</v>
      </c>
      <c r="E45" s="178" t="s">
        <v>1357</v>
      </c>
      <c r="F45" s="198" t="s">
        <v>1358</v>
      </c>
      <c r="G45" s="359" t="s">
        <v>4768</v>
      </c>
    </row>
    <row r="46" spans="1:7" ht="15.75" thickBot="1">
      <c r="A46" s="226" t="s">
        <v>4784</v>
      </c>
      <c r="B46" s="168" t="s">
        <v>1448</v>
      </c>
      <c r="C46" s="185">
        <v>1</v>
      </c>
      <c r="D46" s="185">
        <v>20</v>
      </c>
      <c r="E46" s="186" t="s">
        <v>1359</v>
      </c>
      <c r="F46" s="199" t="s">
        <v>1359</v>
      </c>
      <c r="G46" s="359" t="s">
        <v>4768</v>
      </c>
    </row>
    <row r="47" spans="1:7" ht="14.45" customHeight="1">
      <c r="A47" s="238" t="s">
        <v>4783</v>
      </c>
      <c r="B47" s="195" t="s">
        <v>1354</v>
      </c>
      <c r="C47" s="182">
        <v>1</v>
      </c>
      <c r="D47" s="175">
        <v>14</v>
      </c>
      <c r="E47" s="177" t="s">
        <v>1355</v>
      </c>
      <c r="F47" s="229" t="s">
        <v>1355</v>
      </c>
      <c r="G47" s="359" t="s">
        <v>4768</v>
      </c>
    </row>
    <row r="48" spans="1:7">
      <c r="A48" s="239" t="s">
        <v>4783</v>
      </c>
      <c r="B48" s="187" t="s">
        <v>1354</v>
      </c>
      <c r="C48" s="154">
        <v>1</v>
      </c>
      <c r="D48" s="176">
        <v>18</v>
      </c>
      <c r="E48" s="178" t="s">
        <v>1356</v>
      </c>
      <c r="F48" s="218" t="s">
        <v>1356</v>
      </c>
      <c r="G48" s="359" t="s">
        <v>4768</v>
      </c>
    </row>
    <row r="49" spans="1:7">
      <c r="A49" s="239" t="s">
        <v>4783</v>
      </c>
      <c r="B49" s="187" t="s">
        <v>1354</v>
      </c>
      <c r="C49" s="154">
        <v>1</v>
      </c>
      <c r="D49" s="176">
        <v>19</v>
      </c>
      <c r="E49" s="178" t="s">
        <v>1357</v>
      </c>
      <c r="F49" s="218" t="s">
        <v>1358</v>
      </c>
      <c r="G49" s="359" t="s">
        <v>4768</v>
      </c>
    </row>
    <row r="50" spans="1:7" ht="15.75" thickBot="1">
      <c r="A50" s="226" t="s">
        <v>4783</v>
      </c>
      <c r="B50" s="188" t="s">
        <v>1354</v>
      </c>
      <c r="C50" s="183">
        <v>1</v>
      </c>
      <c r="D50" s="185">
        <v>20</v>
      </c>
      <c r="E50" s="186" t="s">
        <v>1359</v>
      </c>
      <c r="F50" s="219" t="s">
        <v>1359</v>
      </c>
      <c r="G50" s="359" t="s">
        <v>4768</v>
      </c>
    </row>
    <row r="51" spans="1:7" ht="14.45" customHeight="1">
      <c r="A51" s="238" t="s">
        <v>4783</v>
      </c>
      <c r="B51" s="165" t="s">
        <v>1462</v>
      </c>
      <c r="C51" s="182">
        <v>1</v>
      </c>
      <c r="D51" s="175">
        <v>1</v>
      </c>
      <c r="E51" s="177" t="s">
        <v>3894</v>
      </c>
      <c r="F51" s="229" t="s">
        <v>1463</v>
      </c>
      <c r="G51" s="359" t="s">
        <v>4768</v>
      </c>
    </row>
    <row r="52" spans="1:7">
      <c r="A52" s="239" t="s">
        <v>4783</v>
      </c>
      <c r="B52" s="164" t="s">
        <v>1462</v>
      </c>
      <c r="C52" s="154">
        <v>1</v>
      </c>
      <c r="D52" s="176" t="s">
        <v>1464</v>
      </c>
      <c r="E52" s="178" t="s">
        <v>3895</v>
      </c>
      <c r="F52" s="218" t="s">
        <v>1465</v>
      </c>
      <c r="G52" s="359" t="s">
        <v>4768</v>
      </c>
    </row>
    <row r="53" spans="1:7">
      <c r="A53" s="239" t="s">
        <v>4783</v>
      </c>
      <c r="B53" s="164" t="s">
        <v>1462</v>
      </c>
      <c r="C53" s="154">
        <v>1</v>
      </c>
      <c r="D53" s="176" t="s">
        <v>1466</v>
      </c>
      <c r="E53" s="178" t="s">
        <v>3896</v>
      </c>
      <c r="F53" s="218" t="s">
        <v>1467</v>
      </c>
      <c r="G53" s="359" t="s">
        <v>4768</v>
      </c>
    </row>
    <row r="54" spans="1:7">
      <c r="A54" s="239" t="s">
        <v>4783</v>
      </c>
      <c r="B54" s="164" t="s">
        <v>1462</v>
      </c>
      <c r="C54" s="154">
        <v>1</v>
      </c>
      <c r="D54" s="176" t="s">
        <v>1468</v>
      </c>
      <c r="E54" s="178" t="s">
        <v>3897</v>
      </c>
      <c r="F54" s="218" t="s">
        <v>1469</v>
      </c>
      <c r="G54" s="359" t="s">
        <v>4768</v>
      </c>
    </row>
    <row r="55" spans="1:7">
      <c r="A55" s="239" t="s">
        <v>4783</v>
      </c>
      <c r="B55" s="164" t="s">
        <v>1462</v>
      </c>
      <c r="C55" s="154">
        <v>1</v>
      </c>
      <c r="D55" s="176" t="s">
        <v>1470</v>
      </c>
      <c r="E55" s="178" t="s">
        <v>3898</v>
      </c>
      <c r="F55" s="218" t="s">
        <v>1471</v>
      </c>
      <c r="G55" s="359" t="s">
        <v>4768</v>
      </c>
    </row>
    <row r="56" spans="1:7">
      <c r="A56" s="239" t="s">
        <v>4783</v>
      </c>
      <c r="B56" s="164" t="s">
        <v>1462</v>
      </c>
      <c r="C56" s="154">
        <v>1</v>
      </c>
      <c r="D56" s="176" t="s">
        <v>1472</v>
      </c>
      <c r="E56" s="178" t="s">
        <v>3899</v>
      </c>
      <c r="F56" s="218" t="s">
        <v>1473</v>
      </c>
      <c r="G56" s="359" t="s">
        <v>4768</v>
      </c>
    </row>
    <row r="57" spans="1:7">
      <c r="A57" s="239" t="s">
        <v>4783</v>
      </c>
      <c r="B57" s="164" t="s">
        <v>1462</v>
      </c>
      <c r="C57" s="154">
        <v>1</v>
      </c>
      <c r="D57" s="176" t="s">
        <v>1474</v>
      </c>
      <c r="E57" s="178" t="s">
        <v>3900</v>
      </c>
      <c r="F57" s="218" t="s">
        <v>1475</v>
      </c>
      <c r="G57" s="359" t="s">
        <v>4768</v>
      </c>
    </row>
    <row r="58" spans="1:7">
      <c r="A58" s="239" t="s">
        <v>4783</v>
      </c>
      <c r="B58" s="164" t="s">
        <v>1462</v>
      </c>
      <c r="C58" s="154">
        <v>1</v>
      </c>
      <c r="D58" s="176" t="s">
        <v>1476</v>
      </c>
      <c r="E58" s="178" t="s">
        <v>3901</v>
      </c>
      <c r="F58" s="218" t="s">
        <v>1477</v>
      </c>
      <c r="G58" s="359" t="s">
        <v>4768</v>
      </c>
    </row>
    <row r="59" spans="1:7">
      <c r="A59" s="239" t="s">
        <v>4783</v>
      </c>
      <c r="B59" s="164" t="s">
        <v>1462</v>
      </c>
      <c r="C59" s="154">
        <v>1</v>
      </c>
      <c r="D59" s="176" t="s">
        <v>1478</v>
      </c>
      <c r="E59" s="178" t="s">
        <v>3902</v>
      </c>
      <c r="F59" s="218" t="s">
        <v>1479</v>
      </c>
      <c r="G59" s="359" t="s">
        <v>4768</v>
      </c>
    </row>
    <row r="60" spans="1:7">
      <c r="A60" s="239" t="s">
        <v>4783</v>
      </c>
      <c r="B60" s="164" t="s">
        <v>1462</v>
      </c>
      <c r="C60" s="154">
        <v>1</v>
      </c>
      <c r="D60" s="176" t="s">
        <v>1480</v>
      </c>
      <c r="E60" s="178" t="s">
        <v>3903</v>
      </c>
      <c r="F60" s="218" t="s">
        <v>1481</v>
      </c>
      <c r="G60" s="359" t="s">
        <v>4768</v>
      </c>
    </row>
    <row r="61" spans="1:7">
      <c r="A61" s="239" t="s">
        <v>4783</v>
      </c>
      <c r="B61" s="164" t="s">
        <v>1462</v>
      </c>
      <c r="C61" s="154">
        <v>1</v>
      </c>
      <c r="D61" s="176" t="s">
        <v>1482</v>
      </c>
      <c r="E61" s="178" t="s">
        <v>3904</v>
      </c>
      <c r="F61" s="218" t="s">
        <v>1483</v>
      </c>
      <c r="G61" s="359" t="s">
        <v>4768</v>
      </c>
    </row>
    <row r="62" spans="1:7">
      <c r="A62" s="239" t="s">
        <v>4783</v>
      </c>
      <c r="B62" s="164" t="s">
        <v>1462</v>
      </c>
      <c r="C62" s="154">
        <v>1</v>
      </c>
      <c r="D62" s="176" t="s">
        <v>1484</v>
      </c>
      <c r="E62" s="178" t="s">
        <v>3905</v>
      </c>
      <c r="F62" s="218" t="s">
        <v>1485</v>
      </c>
      <c r="G62" s="359" t="s">
        <v>4768</v>
      </c>
    </row>
    <row r="63" spans="1:7">
      <c r="A63" s="239" t="s">
        <v>4783</v>
      </c>
      <c r="B63" s="164" t="s">
        <v>1462</v>
      </c>
      <c r="C63" s="154">
        <v>1</v>
      </c>
      <c r="D63" s="176" t="s">
        <v>1486</v>
      </c>
      <c r="E63" s="178" t="s">
        <v>3906</v>
      </c>
      <c r="F63" s="218" t="s">
        <v>1487</v>
      </c>
      <c r="G63" s="359" t="s">
        <v>4768</v>
      </c>
    </row>
    <row r="64" spans="1:7">
      <c r="A64" s="239" t="s">
        <v>4783</v>
      </c>
      <c r="B64" s="164" t="s">
        <v>1462</v>
      </c>
      <c r="C64" s="154">
        <v>1</v>
      </c>
      <c r="D64" s="176" t="s">
        <v>1488</v>
      </c>
      <c r="E64" s="178" t="s">
        <v>3907</v>
      </c>
      <c r="F64" s="218" t="s">
        <v>1489</v>
      </c>
      <c r="G64" s="359" t="s">
        <v>4768</v>
      </c>
    </row>
    <row r="65" spans="1:7">
      <c r="A65" s="239" t="s">
        <v>4783</v>
      </c>
      <c r="B65" s="164" t="s">
        <v>1462</v>
      </c>
      <c r="C65" s="154">
        <v>1</v>
      </c>
      <c r="D65" s="176" t="s">
        <v>1490</v>
      </c>
      <c r="E65" s="178" t="s">
        <v>3908</v>
      </c>
      <c r="F65" s="218" t="s">
        <v>1491</v>
      </c>
      <c r="G65" s="359" t="s">
        <v>4768</v>
      </c>
    </row>
    <row r="66" spans="1:7">
      <c r="A66" s="239" t="s">
        <v>4783</v>
      </c>
      <c r="B66" s="164" t="s">
        <v>1462</v>
      </c>
      <c r="C66" s="154">
        <v>1</v>
      </c>
      <c r="D66" s="176" t="s">
        <v>1492</v>
      </c>
      <c r="E66" s="178" t="s">
        <v>3909</v>
      </c>
      <c r="F66" s="218" t="s">
        <v>1493</v>
      </c>
      <c r="G66" s="359" t="s">
        <v>4768</v>
      </c>
    </row>
    <row r="67" spans="1:7">
      <c r="A67" s="239" t="s">
        <v>4783</v>
      </c>
      <c r="B67" s="164" t="s">
        <v>1462</v>
      </c>
      <c r="C67" s="154">
        <v>1</v>
      </c>
      <c r="D67" s="176" t="s">
        <v>1494</v>
      </c>
      <c r="E67" s="178" t="s">
        <v>3910</v>
      </c>
      <c r="F67" s="218" t="s">
        <v>1495</v>
      </c>
      <c r="G67" s="359" t="s">
        <v>4768</v>
      </c>
    </row>
    <row r="68" spans="1:7">
      <c r="A68" s="239" t="s">
        <v>4783</v>
      </c>
      <c r="B68" s="164" t="s">
        <v>1462</v>
      </c>
      <c r="C68" s="154">
        <v>1</v>
      </c>
      <c r="D68" s="176" t="s">
        <v>1496</v>
      </c>
      <c r="E68" s="178" t="s">
        <v>3911</v>
      </c>
      <c r="F68" s="218" t="s">
        <v>1497</v>
      </c>
      <c r="G68" s="359" t="s">
        <v>4768</v>
      </c>
    </row>
    <row r="69" spans="1:7">
      <c r="A69" s="239" t="s">
        <v>4783</v>
      </c>
      <c r="B69" s="164" t="s">
        <v>1462</v>
      </c>
      <c r="C69" s="154">
        <v>1</v>
      </c>
      <c r="D69" s="176" t="s">
        <v>1498</v>
      </c>
      <c r="E69" s="178" t="s">
        <v>3912</v>
      </c>
      <c r="F69" s="218" t="s">
        <v>1499</v>
      </c>
      <c r="G69" s="359" t="s">
        <v>4768</v>
      </c>
    </row>
    <row r="70" spans="1:7">
      <c r="A70" s="239" t="s">
        <v>4783</v>
      </c>
      <c r="B70" s="164" t="s">
        <v>1462</v>
      </c>
      <c r="C70" s="154">
        <v>1</v>
      </c>
      <c r="D70" s="176" t="s">
        <v>1500</v>
      </c>
      <c r="E70" s="178" t="s">
        <v>3913</v>
      </c>
      <c r="F70" s="218" t="s">
        <v>1501</v>
      </c>
      <c r="G70" s="359" t="s">
        <v>4768</v>
      </c>
    </row>
    <row r="71" spans="1:7">
      <c r="A71" s="239" t="s">
        <v>4783</v>
      </c>
      <c r="B71" s="164" t="s">
        <v>1462</v>
      </c>
      <c r="C71" s="154">
        <v>1</v>
      </c>
      <c r="D71" s="176" t="s">
        <v>1502</v>
      </c>
      <c r="E71" s="178" t="s">
        <v>3914</v>
      </c>
      <c r="F71" s="218" t="s">
        <v>1503</v>
      </c>
      <c r="G71" s="359" t="s">
        <v>4768</v>
      </c>
    </row>
    <row r="72" spans="1:7">
      <c r="A72" s="239" t="s">
        <v>4783</v>
      </c>
      <c r="B72" s="164" t="s">
        <v>1462</v>
      </c>
      <c r="C72" s="154">
        <v>1</v>
      </c>
      <c r="D72" s="176" t="s">
        <v>1504</v>
      </c>
      <c r="E72" s="178" t="s">
        <v>3915</v>
      </c>
      <c r="F72" s="218" t="s">
        <v>1505</v>
      </c>
      <c r="G72" s="359" t="s">
        <v>4768</v>
      </c>
    </row>
    <row r="73" spans="1:7">
      <c r="A73" s="239" t="s">
        <v>4783</v>
      </c>
      <c r="B73" s="164" t="s">
        <v>1462</v>
      </c>
      <c r="C73" s="154">
        <v>1</v>
      </c>
      <c r="D73" s="176" t="s">
        <v>1506</v>
      </c>
      <c r="E73" s="178" t="s">
        <v>3916</v>
      </c>
      <c r="F73" s="218" t="s">
        <v>1507</v>
      </c>
      <c r="G73" s="359" t="s">
        <v>4768</v>
      </c>
    </row>
    <row r="74" spans="1:7">
      <c r="A74" s="239" t="s">
        <v>4783</v>
      </c>
      <c r="B74" s="164" t="s">
        <v>1462</v>
      </c>
      <c r="C74" s="154">
        <v>1</v>
      </c>
      <c r="D74" s="176" t="s">
        <v>1508</v>
      </c>
      <c r="E74" s="178" t="s">
        <v>3917</v>
      </c>
      <c r="F74" s="218" t="s">
        <v>1509</v>
      </c>
      <c r="G74" s="359" t="s">
        <v>4768</v>
      </c>
    </row>
    <row r="75" spans="1:7">
      <c r="A75" s="239" t="s">
        <v>4783</v>
      </c>
      <c r="B75" s="164" t="s">
        <v>1462</v>
      </c>
      <c r="C75" s="154">
        <v>1</v>
      </c>
      <c r="D75" s="176" t="s">
        <v>1510</v>
      </c>
      <c r="E75" s="178" t="s">
        <v>3918</v>
      </c>
      <c r="F75" s="218" t="s">
        <v>1511</v>
      </c>
      <c r="G75" s="359" t="s">
        <v>4768</v>
      </c>
    </row>
    <row r="76" spans="1:7">
      <c r="A76" s="239" t="s">
        <v>4783</v>
      </c>
      <c r="B76" s="164" t="s">
        <v>1462</v>
      </c>
      <c r="C76" s="154">
        <v>1</v>
      </c>
      <c r="D76" s="176" t="s">
        <v>1512</v>
      </c>
      <c r="E76" s="178" t="s">
        <v>3919</v>
      </c>
      <c r="F76" s="218" t="s">
        <v>1513</v>
      </c>
      <c r="G76" s="359" t="s">
        <v>4768</v>
      </c>
    </row>
    <row r="77" spans="1:7">
      <c r="A77" s="239" t="s">
        <v>4783</v>
      </c>
      <c r="B77" s="164" t="s">
        <v>1462</v>
      </c>
      <c r="C77" s="154">
        <v>1</v>
      </c>
      <c r="D77" s="176" t="s">
        <v>1514</v>
      </c>
      <c r="E77" s="178" t="s">
        <v>3920</v>
      </c>
      <c r="F77" s="218" t="s">
        <v>1515</v>
      </c>
      <c r="G77" s="359" t="s">
        <v>4768</v>
      </c>
    </row>
    <row r="78" spans="1:7">
      <c r="A78" s="239" t="s">
        <v>4783</v>
      </c>
      <c r="B78" s="164" t="s">
        <v>1462</v>
      </c>
      <c r="C78" s="154">
        <v>1</v>
      </c>
      <c r="D78" s="176" t="s">
        <v>1516</v>
      </c>
      <c r="E78" s="178" t="s">
        <v>3921</v>
      </c>
      <c r="F78" s="218" t="s">
        <v>1517</v>
      </c>
      <c r="G78" s="359" t="s">
        <v>4768</v>
      </c>
    </row>
    <row r="79" spans="1:7">
      <c r="A79" s="239" t="s">
        <v>4783</v>
      </c>
      <c r="B79" s="164" t="s">
        <v>1462</v>
      </c>
      <c r="C79" s="154">
        <v>1</v>
      </c>
      <c r="D79" s="176" t="s">
        <v>1518</v>
      </c>
      <c r="E79" s="178" t="s">
        <v>3922</v>
      </c>
      <c r="F79" s="218" t="s">
        <v>1519</v>
      </c>
      <c r="G79" s="359" t="s">
        <v>4768</v>
      </c>
    </row>
    <row r="80" spans="1:7">
      <c r="A80" s="239" t="s">
        <v>4783</v>
      </c>
      <c r="B80" s="164" t="s">
        <v>1462</v>
      </c>
      <c r="C80" s="154">
        <v>1</v>
      </c>
      <c r="D80" s="176" t="s">
        <v>1520</v>
      </c>
      <c r="E80" s="178" t="s">
        <v>3923</v>
      </c>
      <c r="F80" s="218" t="s">
        <v>1521</v>
      </c>
      <c r="G80" s="359" t="s">
        <v>4768</v>
      </c>
    </row>
    <row r="81" spans="1:7">
      <c r="A81" s="239" t="s">
        <v>4783</v>
      </c>
      <c r="B81" s="164" t="s">
        <v>1462</v>
      </c>
      <c r="C81" s="154">
        <v>1</v>
      </c>
      <c r="D81" s="176" t="s">
        <v>1522</v>
      </c>
      <c r="E81" s="178" t="s">
        <v>3924</v>
      </c>
      <c r="F81" s="218" t="s">
        <v>1523</v>
      </c>
      <c r="G81" s="359" t="s">
        <v>4768</v>
      </c>
    </row>
    <row r="82" spans="1:7">
      <c r="A82" s="239" t="s">
        <v>4783</v>
      </c>
      <c r="B82" s="164" t="s">
        <v>1462</v>
      </c>
      <c r="C82" s="154">
        <v>1</v>
      </c>
      <c r="D82" s="176" t="s">
        <v>1524</v>
      </c>
      <c r="E82" s="178" t="s">
        <v>3925</v>
      </c>
      <c r="F82" s="218" t="s">
        <v>1525</v>
      </c>
      <c r="G82" s="359" t="s">
        <v>4768</v>
      </c>
    </row>
    <row r="83" spans="1:7">
      <c r="A83" s="239" t="s">
        <v>4783</v>
      </c>
      <c r="B83" s="164" t="s">
        <v>1462</v>
      </c>
      <c r="C83" s="154">
        <v>1</v>
      </c>
      <c r="D83" s="176" t="s">
        <v>1526</v>
      </c>
      <c r="E83" s="178" t="s">
        <v>3926</v>
      </c>
      <c r="F83" s="218" t="s">
        <v>1527</v>
      </c>
      <c r="G83" s="359" t="s">
        <v>4768</v>
      </c>
    </row>
    <row r="84" spans="1:7">
      <c r="A84" s="239" t="s">
        <v>4783</v>
      </c>
      <c r="B84" s="164" t="s">
        <v>1462</v>
      </c>
      <c r="C84" s="154">
        <v>1</v>
      </c>
      <c r="D84" s="176" t="s">
        <v>1528</v>
      </c>
      <c r="E84" s="178" t="s">
        <v>3927</v>
      </c>
      <c r="F84" s="218" t="s">
        <v>1529</v>
      </c>
      <c r="G84" s="359" t="s">
        <v>4768</v>
      </c>
    </row>
    <row r="85" spans="1:7">
      <c r="A85" s="239" t="s">
        <v>4783</v>
      </c>
      <c r="B85" s="164" t="s">
        <v>1462</v>
      </c>
      <c r="C85" s="154">
        <v>1</v>
      </c>
      <c r="D85" s="176" t="s">
        <v>1530</v>
      </c>
      <c r="E85" s="178" t="s">
        <v>3928</v>
      </c>
      <c r="F85" s="218" t="s">
        <v>1531</v>
      </c>
      <c r="G85" s="359" t="s">
        <v>4768</v>
      </c>
    </row>
    <row r="86" spans="1:7">
      <c r="A86" s="239" t="s">
        <v>4783</v>
      </c>
      <c r="B86" s="164" t="s">
        <v>1462</v>
      </c>
      <c r="C86" s="154">
        <v>1</v>
      </c>
      <c r="D86" s="176" t="s">
        <v>1532</v>
      </c>
      <c r="E86" s="178" t="s">
        <v>3929</v>
      </c>
      <c r="F86" s="218" t="s">
        <v>1533</v>
      </c>
      <c r="G86" s="359" t="s">
        <v>4768</v>
      </c>
    </row>
    <row r="87" spans="1:7">
      <c r="A87" s="239" t="s">
        <v>4783</v>
      </c>
      <c r="B87" s="164" t="s">
        <v>1462</v>
      </c>
      <c r="C87" s="154">
        <v>1</v>
      </c>
      <c r="D87" s="176">
        <v>2</v>
      </c>
      <c r="E87" s="178" t="s">
        <v>3930</v>
      </c>
      <c r="F87" s="218" t="s">
        <v>1534</v>
      </c>
      <c r="G87" s="359" t="s">
        <v>4768</v>
      </c>
    </row>
    <row r="88" spans="1:7">
      <c r="A88" s="239" t="s">
        <v>4783</v>
      </c>
      <c r="B88" s="164" t="s">
        <v>1462</v>
      </c>
      <c r="C88" s="154">
        <v>1</v>
      </c>
      <c r="D88" s="176" t="s">
        <v>1535</v>
      </c>
      <c r="E88" s="178" t="s">
        <v>3931</v>
      </c>
      <c r="F88" s="218" t="s">
        <v>1536</v>
      </c>
      <c r="G88" s="359" t="s">
        <v>4768</v>
      </c>
    </row>
    <row r="89" spans="1:7">
      <c r="A89" s="239" t="s">
        <v>4783</v>
      </c>
      <c r="B89" s="164" t="s">
        <v>1462</v>
      </c>
      <c r="C89" s="154">
        <v>1</v>
      </c>
      <c r="D89" s="176" t="s">
        <v>1537</v>
      </c>
      <c r="E89" s="178" t="s">
        <v>3932</v>
      </c>
      <c r="F89" s="218" t="s">
        <v>1538</v>
      </c>
      <c r="G89" s="359" t="s">
        <v>4768</v>
      </c>
    </row>
    <row r="90" spans="1:7">
      <c r="A90" s="239" t="s">
        <v>4783</v>
      </c>
      <c r="B90" s="164" t="s">
        <v>1462</v>
      </c>
      <c r="C90" s="154">
        <v>1</v>
      </c>
      <c r="D90" s="176" t="s">
        <v>1539</v>
      </c>
      <c r="E90" s="178" t="s">
        <v>3933</v>
      </c>
      <c r="F90" s="218" t="s">
        <v>1540</v>
      </c>
      <c r="G90" s="359" t="s">
        <v>4768</v>
      </c>
    </row>
    <row r="91" spans="1:7">
      <c r="A91" s="239" t="s">
        <v>4783</v>
      </c>
      <c r="B91" s="164" t="s">
        <v>1462</v>
      </c>
      <c r="C91" s="154">
        <v>1</v>
      </c>
      <c r="D91" s="176" t="s">
        <v>1541</v>
      </c>
      <c r="E91" s="178" t="s">
        <v>3934</v>
      </c>
      <c r="F91" s="218" t="s">
        <v>1542</v>
      </c>
      <c r="G91" s="359" t="s">
        <v>4768</v>
      </c>
    </row>
    <row r="92" spans="1:7">
      <c r="A92" s="239" t="s">
        <v>4783</v>
      </c>
      <c r="B92" s="164" t="s">
        <v>1462</v>
      </c>
      <c r="C92" s="154">
        <v>1</v>
      </c>
      <c r="D92" s="176">
        <v>3</v>
      </c>
      <c r="E92" s="178" t="s">
        <v>3935</v>
      </c>
      <c r="F92" s="218" t="s">
        <v>1543</v>
      </c>
      <c r="G92" s="359" t="s">
        <v>4768</v>
      </c>
    </row>
    <row r="93" spans="1:7">
      <c r="A93" s="239" t="s">
        <v>4783</v>
      </c>
      <c r="B93" s="164" t="s">
        <v>1462</v>
      </c>
      <c r="C93" s="154">
        <v>1</v>
      </c>
      <c r="D93" s="176" t="s">
        <v>1544</v>
      </c>
      <c r="E93" s="178" t="s">
        <v>3936</v>
      </c>
      <c r="F93" s="218" t="s">
        <v>1545</v>
      </c>
      <c r="G93" s="359" t="s">
        <v>4768</v>
      </c>
    </row>
    <row r="94" spans="1:7">
      <c r="A94" s="239" t="s">
        <v>4783</v>
      </c>
      <c r="B94" s="164" t="s">
        <v>1462</v>
      </c>
      <c r="C94" s="154">
        <v>1</v>
      </c>
      <c r="D94" s="176" t="s">
        <v>1546</v>
      </c>
      <c r="E94" s="178" t="s">
        <v>3937</v>
      </c>
      <c r="F94" s="218" t="s">
        <v>1547</v>
      </c>
      <c r="G94" s="359" t="s">
        <v>4768</v>
      </c>
    </row>
    <row r="95" spans="1:7">
      <c r="A95" s="239" t="s">
        <v>4783</v>
      </c>
      <c r="B95" s="164" t="s">
        <v>1462</v>
      </c>
      <c r="C95" s="154">
        <v>1</v>
      </c>
      <c r="D95" s="176" t="s">
        <v>1548</v>
      </c>
      <c r="E95" s="178" t="s">
        <v>3938</v>
      </c>
      <c r="F95" s="218" t="s">
        <v>1549</v>
      </c>
      <c r="G95" s="359" t="s">
        <v>4768</v>
      </c>
    </row>
    <row r="96" spans="1:7">
      <c r="A96" s="239" t="s">
        <v>4783</v>
      </c>
      <c r="B96" s="164" t="s">
        <v>1462</v>
      </c>
      <c r="C96" s="154">
        <v>1</v>
      </c>
      <c r="D96" s="176" t="s">
        <v>1550</v>
      </c>
      <c r="E96" s="178" t="s">
        <v>3939</v>
      </c>
      <c r="F96" s="218" t="s">
        <v>1551</v>
      </c>
      <c r="G96" s="359" t="s">
        <v>4768</v>
      </c>
    </row>
    <row r="97" spans="1:7">
      <c r="A97" s="239" t="s">
        <v>4783</v>
      </c>
      <c r="B97" s="164" t="s">
        <v>1462</v>
      </c>
      <c r="C97" s="154">
        <v>1</v>
      </c>
      <c r="D97" s="176" t="s">
        <v>1552</v>
      </c>
      <c r="E97" s="178" t="s">
        <v>3940</v>
      </c>
      <c r="F97" s="218" t="s">
        <v>1553</v>
      </c>
      <c r="G97" s="359" t="s">
        <v>4768</v>
      </c>
    </row>
    <row r="98" spans="1:7">
      <c r="A98" s="239" t="s">
        <v>4783</v>
      </c>
      <c r="B98" s="164" t="s">
        <v>1462</v>
      </c>
      <c r="C98" s="154">
        <v>1</v>
      </c>
      <c r="D98" s="176" t="s">
        <v>1554</v>
      </c>
      <c r="E98" s="178" t="s">
        <v>3941</v>
      </c>
      <c r="F98" s="218" t="s">
        <v>1555</v>
      </c>
      <c r="G98" s="359" t="s">
        <v>4768</v>
      </c>
    </row>
    <row r="99" spans="1:7">
      <c r="A99" s="239" t="s">
        <v>4783</v>
      </c>
      <c r="B99" s="164" t="s">
        <v>1462</v>
      </c>
      <c r="C99" s="154">
        <v>1</v>
      </c>
      <c r="D99" s="176">
        <v>5</v>
      </c>
      <c r="E99" s="178" t="s">
        <v>3942</v>
      </c>
      <c r="F99" s="218" t="s">
        <v>1556</v>
      </c>
      <c r="G99" s="359" t="s">
        <v>4768</v>
      </c>
    </row>
    <row r="100" spans="1:7">
      <c r="A100" s="239" t="s">
        <v>4783</v>
      </c>
      <c r="B100" s="164" t="s">
        <v>1462</v>
      </c>
      <c r="C100" s="154">
        <v>1</v>
      </c>
      <c r="D100" s="176" t="s">
        <v>1557</v>
      </c>
      <c r="E100" s="178" t="s">
        <v>3943</v>
      </c>
      <c r="F100" s="218" t="s">
        <v>1558</v>
      </c>
      <c r="G100" s="359" t="s">
        <v>4768</v>
      </c>
    </row>
    <row r="101" spans="1:7">
      <c r="A101" s="239" t="s">
        <v>4783</v>
      </c>
      <c r="B101" s="164" t="s">
        <v>1462</v>
      </c>
      <c r="C101" s="154">
        <v>1</v>
      </c>
      <c r="D101" s="176" t="s">
        <v>1559</v>
      </c>
      <c r="E101" s="178" t="s">
        <v>3944</v>
      </c>
      <c r="F101" s="218" t="s">
        <v>1560</v>
      </c>
      <c r="G101" s="359" t="s">
        <v>4768</v>
      </c>
    </row>
    <row r="102" spans="1:7">
      <c r="A102" s="239" t="s">
        <v>4783</v>
      </c>
      <c r="B102" s="164" t="s">
        <v>1462</v>
      </c>
      <c r="C102" s="154">
        <v>1</v>
      </c>
      <c r="D102" s="176">
        <v>6</v>
      </c>
      <c r="E102" s="178" t="s">
        <v>3945</v>
      </c>
      <c r="F102" s="218" t="s">
        <v>1561</v>
      </c>
      <c r="G102" s="359" t="s">
        <v>4768</v>
      </c>
    </row>
    <row r="103" spans="1:7">
      <c r="A103" s="239" t="s">
        <v>4783</v>
      </c>
      <c r="B103" s="164" t="s">
        <v>1462</v>
      </c>
      <c r="C103" s="154">
        <v>1</v>
      </c>
      <c r="D103" s="176" t="s">
        <v>1562</v>
      </c>
      <c r="E103" s="178" t="s">
        <v>3946</v>
      </c>
      <c r="F103" s="218" t="s">
        <v>1563</v>
      </c>
      <c r="G103" s="359" t="s">
        <v>4768</v>
      </c>
    </row>
    <row r="104" spans="1:7">
      <c r="A104" s="239" t="s">
        <v>4783</v>
      </c>
      <c r="B104" s="164" t="s">
        <v>1462</v>
      </c>
      <c r="C104" s="154">
        <v>1</v>
      </c>
      <c r="D104" s="176" t="s">
        <v>1564</v>
      </c>
      <c r="E104" s="178" t="s">
        <v>3947</v>
      </c>
      <c r="F104" s="218" t="s">
        <v>1565</v>
      </c>
      <c r="G104" s="359" t="s">
        <v>4768</v>
      </c>
    </row>
    <row r="105" spans="1:7">
      <c r="A105" s="239" t="s">
        <v>4783</v>
      </c>
      <c r="B105" s="164" t="s">
        <v>1462</v>
      </c>
      <c r="C105" s="154">
        <v>1</v>
      </c>
      <c r="D105" s="176">
        <v>7</v>
      </c>
      <c r="E105" s="178" t="s">
        <v>3948</v>
      </c>
      <c r="F105" s="218" t="s">
        <v>1566</v>
      </c>
      <c r="G105" s="359" t="s">
        <v>4768</v>
      </c>
    </row>
    <row r="106" spans="1:7">
      <c r="A106" s="239" t="s">
        <v>4783</v>
      </c>
      <c r="B106" s="164" t="s">
        <v>1462</v>
      </c>
      <c r="C106" s="154">
        <v>1</v>
      </c>
      <c r="D106" s="176" t="s">
        <v>1567</v>
      </c>
      <c r="E106" s="178" t="s">
        <v>3949</v>
      </c>
      <c r="F106" s="218" t="s">
        <v>1568</v>
      </c>
      <c r="G106" s="359" t="s">
        <v>4768</v>
      </c>
    </row>
    <row r="107" spans="1:7">
      <c r="A107" s="239" t="s">
        <v>4783</v>
      </c>
      <c r="B107" s="164" t="s">
        <v>1462</v>
      </c>
      <c r="C107" s="154">
        <v>1</v>
      </c>
      <c r="D107" s="176" t="s">
        <v>1569</v>
      </c>
      <c r="E107" s="178" t="s">
        <v>3950</v>
      </c>
      <c r="F107" s="218" t="s">
        <v>1570</v>
      </c>
      <c r="G107" s="359" t="s">
        <v>4768</v>
      </c>
    </row>
    <row r="108" spans="1:7">
      <c r="A108" s="239" t="s">
        <v>4783</v>
      </c>
      <c r="B108" s="164" t="s">
        <v>1462</v>
      </c>
      <c r="C108" s="154">
        <v>1</v>
      </c>
      <c r="D108" s="176" t="s">
        <v>1571</v>
      </c>
      <c r="E108" s="178" t="s">
        <v>3951</v>
      </c>
      <c r="F108" s="218" t="s">
        <v>1572</v>
      </c>
      <c r="G108" s="359" t="s">
        <v>4768</v>
      </c>
    </row>
    <row r="109" spans="1:7">
      <c r="A109" s="239" t="s">
        <v>4783</v>
      </c>
      <c r="B109" s="164" t="s">
        <v>1462</v>
      </c>
      <c r="C109" s="154">
        <v>1</v>
      </c>
      <c r="D109" s="176" t="s">
        <v>1573</v>
      </c>
      <c r="E109" s="178" t="s">
        <v>3952</v>
      </c>
      <c r="F109" s="218" t="s">
        <v>1574</v>
      </c>
      <c r="G109" s="359" t="s">
        <v>4768</v>
      </c>
    </row>
    <row r="110" spans="1:7">
      <c r="A110" s="239" t="s">
        <v>4783</v>
      </c>
      <c r="B110" s="164" t="s">
        <v>1462</v>
      </c>
      <c r="C110" s="154">
        <v>1</v>
      </c>
      <c r="D110" s="176">
        <v>8</v>
      </c>
      <c r="E110" s="178" t="s">
        <v>3953</v>
      </c>
      <c r="F110" s="218" t="s">
        <v>1575</v>
      </c>
      <c r="G110" s="359" t="s">
        <v>4768</v>
      </c>
    </row>
    <row r="111" spans="1:7">
      <c r="A111" s="239" t="s">
        <v>4783</v>
      </c>
      <c r="B111" s="164" t="s">
        <v>1462</v>
      </c>
      <c r="C111" s="154">
        <v>1</v>
      </c>
      <c r="D111" s="176" t="s">
        <v>1576</v>
      </c>
      <c r="E111" s="178" t="s">
        <v>3954</v>
      </c>
      <c r="F111" s="218" t="s">
        <v>1577</v>
      </c>
      <c r="G111" s="359" t="s">
        <v>4768</v>
      </c>
    </row>
    <row r="112" spans="1:7">
      <c r="A112" s="239" t="s">
        <v>4783</v>
      </c>
      <c r="B112" s="164" t="s">
        <v>1462</v>
      </c>
      <c r="C112" s="154">
        <v>1</v>
      </c>
      <c r="D112" s="176" t="s">
        <v>1578</v>
      </c>
      <c r="E112" s="178" t="s">
        <v>3955</v>
      </c>
      <c r="F112" s="218" t="s">
        <v>1579</v>
      </c>
      <c r="G112" s="359" t="s">
        <v>4768</v>
      </c>
    </row>
    <row r="113" spans="1:7">
      <c r="A113" s="239" t="s">
        <v>4783</v>
      </c>
      <c r="B113" s="164" t="s">
        <v>1462</v>
      </c>
      <c r="C113" s="154">
        <v>1</v>
      </c>
      <c r="D113" s="176" t="s">
        <v>1580</v>
      </c>
      <c r="E113" s="178" t="s">
        <v>3956</v>
      </c>
      <c r="F113" s="218" t="s">
        <v>1581</v>
      </c>
      <c r="G113" s="359" t="s">
        <v>4768</v>
      </c>
    </row>
    <row r="114" spans="1:7">
      <c r="A114" s="239" t="s">
        <v>4783</v>
      </c>
      <c r="B114" s="164" t="s">
        <v>1462</v>
      </c>
      <c r="C114" s="154">
        <v>1</v>
      </c>
      <c r="D114" s="176" t="s">
        <v>1582</v>
      </c>
      <c r="E114" s="178" t="s">
        <v>3957</v>
      </c>
      <c r="F114" s="218" t="s">
        <v>1583</v>
      </c>
      <c r="G114" s="359" t="s">
        <v>4768</v>
      </c>
    </row>
    <row r="115" spans="1:7">
      <c r="A115" s="239" t="s">
        <v>4783</v>
      </c>
      <c r="B115" s="164" t="s">
        <v>1462</v>
      </c>
      <c r="C115" s="154">
        <v>1</v>
      </c>
      <c r="D115" s="176" t="s">
        <v>1584</v>
      </c>
      <c r="E115" s="178" t="s">
        <v>3958</v>
      </c>
      <c r="F115" s="218" t="s">
        <v>1585</v>
      </c>
      <c r="G115" s="359" t="s">
        <v>4768</v>
      </c>
    </row>
    <row r="116" spans="1:7">
      <c r="A116" s="239" t="s">
        <v>4783</v>
      </c>
      <c r="B116" s="164" t="s">
        <v>1462</v>
      </c>
      <c r="C116" s="154">
        <v>1</v>
      </c>
      <c r="D116" s="176" t="s">
        <v>1586</v>
      </c>
      <c r="E116" s="178" t="s">
        <v>3959</v>
      </c>
      <c r="F116" s="218" t="s">
        <v>1587</v>
      </c>
      <c r="G116" s="359" t="s">
        <v>4768</v>
      </c>
    </row>
    <row r="117" spans="1:7">
      <c r="A117" s="239" t="s">
        <v>4783</v>
      </c>
      <c r="B117" s="164" t="s">
        <v>1462</v>
      </c>
      <c r="C117" s="154">
        <v>1</v>
      </c>
      <c r="D117" s="176" t="s">
        <v>1588</v>
      </c>
      <c r="E117" s="178" t="s">
        <v>3960</v>
      </c>
      <c r="F117" s="218" t="s">
        <v>1589</v>
      </c>
      <c r="G117" s="359" t="s">
        <v>4768</v>
      </c>
    </row>
    <row r="118" spans="1:7">
      <c r="A118" s="239" t="s">
        <v>4783</v>
      </c>
      <c r="B118" s="164" t="s">
        <v>1462</v>
      </c>
      <c r="C118" s="154">
        <v>1</v>
      </c>
      <c r="D118" s="176" t="s">
        <v>1590</v>
      </c>
      <c r="E118" s="178" t="s">
        <v>3961</v>
      </c>
      <c r="F118" s="218" t="s">
        <v>1591</v>
      </c>
      <c r="G118" s="359" t="s">
        <v>4768</v>
      </c>
    </row>
    <row r="119" spans="1:7">
      <c r="A119" s="239" t="s">
        <v>4783</v>
      </c>
      <c r="B119" s="164" t="s">
        <v>1462</v>
      </c>
      <c r="C119" s="154">
        <v>1</v>
      </c>
      <c r="D119" s="176">
        <v>9</v>
      </c>
      <c r="E119" s="178" t="s">
        <v>3962</v>
      </c>
      <c r="F119" s="218" t="s">
        <v>1592</v>
      </c>
      <c r="G119" s="359" t="s">
        <v>4768</v>
      </c>
    </row>
    <row r="120" spans="1:7">
      <c r="A120" s="239" t="s">
        <v>4783</v>
      </c>
      <c r="B120" s="164" t="s">
        <v>1462</v>
      </c>
      <c r="C120" s="154">
        <v>1</v>
      </c>
      <c r="D120" s="176" t="s">
        <v>1593</v>
      </c>
      <c r="E120" s="178" t="s">
        <v>3963</v>
      </c>
      <c r="F120" s="218" t="s">
        <v>1594</v>
      </c>
      <c r="G120" s="359" t="s">
        <v>4768</v>
      </c>
    </row>
    <row r="121" spans="1:7">
      <c r="A121" s="239" t="s">
        <v>4783</v>
      </c>
      <c r="B121" s="164" t="s">
        <v>1462</v>
      </c>
      <c r="C121" s="154">
        <v>1</v>
      </c>
      <c r="D121" s="176" t="s">
        <v>1595</v>
      </c>
      <c r="E121" s="178" t="s">
        <v>3964</v>
      </c>
      <c r="F121" s="218" t="s">
        <v>1596</v>
      </c>
      <c r="G121" s="359" t="s">
        <v>4768</v>
      </c>
    </row>
    <row r="122" spans="1:7">
      <c r="A122" s="239" t="s">
        <v>4783</v>
      </c>
      <c r="B122" s="164" t="s">
        <v>1462</v>
      </c>
      <c r="C122" s="154">
        <v>1</v>
      </c>
      <c r="D122" s="176">
        <v>10</v>
      </c>
      <c r="E122" s="178" t="s">
        <v>3965</v>
      </c>
      <c r="F122" s="218" t="s">
        <v>1597</v>
      </c>
      <c r="G122" s="359" t="s">
        <v>4768</v>
      </c>
    </row>
    <row r="123" spans="1:7">
      <c r="A123" s="239" t="s">
        <v>4783</v>
      </c>
      <c r="B123" s="164" t="s">
        <v>1462</v>
      </c>
      <c r="C123" s="154">
        <v>1</v>
      </c>
      <c r="D123" s="176" t="s">
        <v>1598</v>
      </c>
      <c r="E123" s="178" t="s">
        <v>3966</v>
      </c>
      <c r="F123" s="218" t="s">
        <v>1599</v>
      </c>
      <c r="G123" s="359" t="s">
        <v>4768</v>
      </c>
    </row>
    <row r="124" spans="1:7">
      <c r="A124" s="239" t="s">
        <v>4783</v>
      </c>
      <c r="B124" s="164" t="s">
        <v>1462</v>
      </c>
      <c r="C124" s="154">
        <v>1</v>
      </c>
      <c r="D124" s="176" t="s">
        <v>1600</v>
      </c>
      <c r="E124" s="178" t="s">
        <v>3967</v>
      </c>
      <c r="F124" s="218" t="s">
        <v>1601</v>
      </c>
      <c r="G124" s="359" t="s">
        <v>4768</v>
      </c>
    </row>
    <row r="125" spans="1:7">
      <c r="A125" s="239" t="s">
        <v>4783</v>
      </c>
      <c r="B125" s="164" t="s">
        <v>1462</v>
      </c>
      <c r="C125" s="154">
        <v>1</v>
      </c>
      <c r="D125" s="176" t="s">
        <v>1602</v>
      </c>
      <c r="E125" s="178" t="s">
        <v>3968</v>
      </c>
      <c r="F125" s="218" t="s">
        <v>1603</v>
      </c>
      <c r="G125" s="359" t="s">
        <v>4768</v>
      </c>
    </row>
    <row r="126" spans="1:7">
      <c r="A126" s="239" t="s">
        <v>4783</v>
      </c>
      <c r="B126" s="164" t="s">
        <v>1462</v>
      </c>
      <c r="C126" s="154">
        <v>1</v>
      </c>
      <c r="D126" s="176" t="s">
        <v>1604</v>
      </c>
      <c r="E126" s="178" t="s">
        <v>3969</v>
      </c>
      <c r="F126" s="218" t="s">
        <v>1605</v>
      </c>
      <c r="G126" s="359" t="s">
        <v>4768</v>
      </c>
    </row>
    <row r="127" spans="1:7">
      <c r="A127" s="239" t="s">
        <v>4783</v>
      </c>
      <c r="B127" s="164" t="s">
        <v>1462</v>
      </c>
      <c r="C127" s="154">
        <v>1</v>
      </c>
      <c r="D127" s="176" t="s">
        <v>1606</v>
      </c>
      <c r="E127" s="178" t="s">
        <v>3970</v>
      </c>
      <c r="F127" s="218" t="s">
        <v>1607</v>
      </c>
      <c r="G127" s="359" t="s">
        <v>4768</v>
      </c>
    </row>
    <row r="128" spans="1:7">
      <c r="A128" s="239" t="s">
        <v>4783</v>
      </c>
      <c r="B128" s="164" t="s">
        <v>1462</v>
      </c>
      <c r="C128" s="154">
        <v>1</v>
      </c>
      <c r="D128" s="176" t="s">
        <v>1608</v>
      </c>
      <c r="E128" s="178" t="s">
        <v>3971</v>
      </c>
      <c r="F128" s="218" t="s">
        <v>1609</v>
      </c>
      <c r="G128" s="359" t="s">
        <v>4768</v>
      </c>
    </row>
    <row r="129" spans="1:7">
      <c r="A129" s="239" t="s">
        <v>4783</v>
      </c>
      <c r="B129" s="164" t="s">
        <v>1462</v>
      </c>
      <c r="C129" s="154">
        <v>1</v>
      </c>
      <c r="D129" s="176" t="s">
        <v>1610</v>
      </c>
      <c r="E129" s="178" t="s">
        <v>3972</v>
      </c>
      <c r="F129" s="218" t="s">
        <v>1611</v>
      </c>
      <c r="G129" s="359" t="s">
        <v>4768</v>
      </c>
    </row>
    <row r="130" spans="1:7">
      <c r="A130" s="239" t="s">
        <v>4783</v>
      </c>
      <c r="B130" s="164" t="s">
        <v>1462</v>
      </c>
      <c r="C130" s="154">
        <v>1</v>
      </c>
      <c r="D130" s="176" t="s">
        <v>1612</v>
      </c>
      <c r="E130" s="178" t="s">
        <v>3973</v>
      </c>
      <c r="F130" s="218" t="s">
        <v>1613</v>
      </c>
      <c r="G130" s="359" t="s">
        <v>4768</v>
      </c>
    </row>
    <row r="131" spans="1:7">
      <c r="A131" s="239" t="s">
        <v>4783</v>
      </c>
      <c r="B131" s="164" t="s">
        <v>1462</v>
      </c>
      <c r="C131" s="154">
        <v>1</v>
      </c>
      <c r="D131" s="176" t="s">
        <v>1614</v>
      </c>
      <c r="E131" s="178" t="s">
        <v>3974</v>
      </c>
      <c r="F131" s="218" t="s">
        <v>1615</v>
      </c>
      <c r="G131" s="359" t="s">
        <v>4768</v>
      </c>
    </row>
    <row r="132" spans="1:7">
      <c r="A132" s="239" t="s">
        <v>4783</v>
      </c>
      <c r="B132" s="164" t="s">
        <v>1462</v>
      </c>
      <c r="C132" s="154">
        <v>1</v>
      </c>
      <c r="D132" s="176" t="s">
        <v>1616</v>
      </c>
      <c r="E132" s="178" t="s">
        <v>3975</v>
      </c>
      <c r="F132" s="218" t="s">
        <v>1617</v>
      </c>
      <c r="G132" s="359" t="s">
        <v>4768</v>
      </c>
    </row>
    <row r="133" spans="1:7">
      <c r="A133" s="239" t="s">
        <v>4783</v>
      </c>
      <c r="B133" s="164" t="s">
        <v>1462</v>
      </c>
      <c r="C133" s="154">
        <v>1</v>
      </c>
      <c r="D133" s="176" t="s">
        <v>1618</v>
      </c>
      <c r="E133" s="178" t="s">
        <v>3976</v>
      </c>
      <c r="F133" s="218" t="s">
        <v>1619</v>
      </c>
      <c r="G133" s="359" t="s">
        <v>4768</v>
      </c>
    </row>
    <row r="134" spans="1:7">
      <c r="A134" s="239" t="s">
        <v>4783</v>
      </c>
      <c r="B134" s="164" t="s">
        <v>1462</v>
      </c>
      <c r="C134" s="154">
        <v>1</v>
      </c>
      <c r="D134" s="176" t="s">
        <v>1620</v>
      </c>
      <c r="E134" s="178" t="s">
        <v>3977</v>
      </c>
      <c r="F134" s="218" t="s">
        <v>1621</v>
      </c>
      <c r="G134" s="359" t="s">
        <v>4768</v>
      </c>
    </row>
    <row r="135" spans="1:7">
      <c r="A135" s="239" t="s">
        <v>4783</v>
      </c>
      <c r="B135" s="164" t="s">
        <v>1462</v>
      </c>
      <c r="C135" s="154">
        <v>1</v>
      </c>
      <c r="D135" s="176" t="s">
        <v>1622</v>
      </c>
      <c r="E135" s="178" t="s">
        <v>3978</v>
      </c>
      <c r="F135" s="218" t="s">
        <v>1623</v>
      </c>
      <c r="G135" s="359" t="s">
        <v>4768</v>
      </c>
    </row>
    <row r="136" spans="1:7">
      <c r="A136" s="239" t="s">
        <v>4783</v>
      </c>
      <c r="B136" s="164" t="s">
        <v>1462</v>
      </c>
      <c r="C136" s="154">
        <v>1</v>
      </c>
      <c r="D136" s="176" t="s">
        <v>1624</v>
      </c>
      <c r="E136" s="178" t="s">
        <v>3979</v>
      </c>
      <c r="F136" s="218" t="s">
        <v>1625</v>
      </c>
      <c r="G136" s="359" t="s">
        <v>4768</v>
      </c>
    </row>
    <row r="137" spans="1:7">
      <c r="A137" s="239" t="s">
        <v>4783</v>
      </c>
      <c r="B137" s="164" t="s">
        <v>1462</v>
      </c>
      <c r="C137" s="154">
        <v>1</v>
      </c>
      <c r="D137" s="176" t="s">
        <v>1626</v>
      </c>
      <c r="E137" s="178" t="s">
        <v>3980</v>
      </c>
      <c r="F137" s="218" t="s">
        <v>1627</v>
      </c>
      <c r="G137" s="359" t="s">
        <v>4768</v>
      </c>
    </row>
    <row r="138" spans="1:7">
      <c r="A138" s="239" t="s">
        <v>4783</v>
      </c>
      <c r="B138" s="164" t="s">
        <v>1462</v>
      </c>
      <c r="C138" s="154">
        <v>1</v>
      </c>
      <c r="D138" s="176" t="s">
        <v>1628</v>
      </c>
      <c r="E138" s="178" t="s">
        <v>3981</v>
      </c>
      <c r="F138" s="218" t="s">
        <v>1629</v>
      </c>
      <c r="G138" s="359" t="s">
        <v>4768</v>
      </c>
    </row>
    <row r="139" spans="1:7">
      <c r="A139" s="239" t="s">
        <v>4783</v>
      </c>
      <c r="B139" s="164" t="s">
        <v>1462</v>
      </c>
      <c r="C139" s="154">
        <v>1</v>
      </c>
      <c r="D139" s="176" t="s">
        <v>1630</v>
      </c>
      <c r="E139" s="178" t="s">
        <v>3982</v>
      </c>
      <c r="F139" s="218" t="s">
        <v>1631</v>
      </c>
      <c r="G139" s="359" t="s">
        <v>4768</v>
      </c>
    </row>
    <row r="140" spans="1:7">
      <c r="A140" s="239" t="s">
        <v>4783</v>
      </c>
      <c r="B140" s="164" t="s">
        <v>1462</v>
      </c>
      <c r="C140" s="154">
        <v>1</v>
      </c>
      <c r="D140" s="176" t="s">
        <v>1632</v>
      </c>
      <c r="E140" s="178" t="s">
        <v>3983</v>
      </c>
      <c r="F140" s="218" t="s">
        <v>1633</v>
      </c>
      <c r="G140" s="359" t="s">
        <v>4768</v>
      </c>
    </row>
    <row r="141" spans="1:7">
      <c r="A141" s="239" t="s">
        <v>4783</v>
      </c>
      <c r="B141" s="164" t="s">
        <v>1462</v>
      </c>
      <c r="C141" s="154">
        <v>1</v>
      </c>
      <c r="D141" s="176" t="s">
        <v>1634</v>
      </c>
      <c r="E141" s="178" t="s">
        <v>3984</v>
      </c>
      <c r="F141" s="218" t="s">
        <v>1635</v>
      </c>
      <c r="G141" s="359" t="s">
        <v>4768</v>
      </c>
    </row>
    <row r="142" spans="1:7">
      <c r="A142" s="239" t="s">
        <v>4783</v>
      </c>
      <c r="B142" s="164" t="s">
        <v>1462</v>
      </c>
      <c r="C142" s="154">
        <v>1</v>
      </c>
      <c r="D142" s="176" t="s">
        <v>1636</v>
      </c>
      <c r="E142" s="178" t="s">
        <v>3985</v>
      </c>
      <c r="F142" s="218" t="s">
        <v>1637</v>
      </c>
      <c r="G142" s="359" t="s">
        <v>4768</v>
      </c>
    </row>
    <row r="143" spans="1:7">
      <c r="A143" s="239" t="s">
        <v>4783</v>
      </c>
      <c r="B143" s="164" t="s">
        <v>1462</v>
      </c>
      <c r="C143" s="154">
        <v>1</v>
      </c>
      <c r="D143" s="176" t="s">
        <v>1638</v>
      </c>
      <c r="E143" s="178" t="s">
        <v>3986</v>
      </c>
      <c r="F143" s="218" t="s">
        <v>1639</v>
      </c>
      <c r="G143" s="359" t="s">
        <v>4768</v>
      </c>
    </row>
    <row r="144" spans="1:7">
      <c r="A144" s="239" t="s">
        <v>4783</v>
      </c>
      <c r="B144" s="164" t="s">
        <v>1462</v>
      </c>
      <c r="C144" s="154">
        <v>1</v>
      </c>
      <c r="D144" s="176" t="s">
        <v>1640</v>
      </c>
      <c r="E144" s="178" t="s">
        <v>3987</v>
      </c>
      <c r="F144" s="218" t="s">
        <v>1641</v>
      </c>
      <c r="G144" s="359" t="s">
        <v>4768</v>
      </c>
    </row>
    <row r="145" spans="1:7">
      <c r="A145" s="239" t="s">
        <v>4783</v>
      </c>
      <c r="B145" s="164" t="s">
        <v>1462</v>
      </c>
      <c r="C145" s="154">
        <v>1</v>
      </c>
      <c r="D145" s="176" t="s">
        <v>1642</v>
      </c>
      <c r="E145" s="178" t="s">
        <v>3988</v>
      </c>
      <c r="F145" s="218" t="s">
        <v>1643</v>
      </c>
      <c r="G145" s="359" t="s">
        <v>4768</v>
      </c>
    </row>
    <row r="146" spans="1:7">
      <c r="A146" s="239" t="s">
        <v>4783</v>
      </c>
      <c r="B146" s="164" t="s">
        <v>1462</v>
      </c>
      <c r="C146" s="154">
        <v>1</v>
      </c>
      <c r="D146" s="176" t="s">
        <v>1644</v>
      </c>
      <c r="E146" s="178" t="s">
        <v>3989</v>
      </c>
      <c r="F146" s="218" t="s">
        <v>1645</v>
      </c>
      <c r="G146" s="359" t="s">
        <v>4768</v>
      </c>
    </row>
    <row r="147" spans="1:7">
      <c r="A147" s="239" t="s">
        <v>4783</v>
      </c>
      <c r="B147" s="164" t="s">
        <v>1462</v>
      </c>
      <c r="C147" s="154">
        <v>1</v>
      </c>
      <c r="D147" s="176" t="s">
        <v>1646</v>
      </c>
      <c r="E147" s="178" t="s">
        <v>3990</v>
      </c>
      <c r="F147" s="218" t="s">
        <v>1647</v>
      </c>
      <c r="G147" s="359" t="s">
        <v>4768</v>
      </c>
    </row>
    <row r="148" spans="1:7">
      <c r="A148" s="239" t="s">
        <v>4783</v>
      </c>
      <c r="B148" s="164" t="s">
        <v>1462</v>
      </c>
      <c r="C148" s="154">
        <v>1</v>
      </c>
      <c r="D148" s="176" t="s">
        <v>1648</v>
      </c>
      <c r="E148" s="178" t="s">
        <v>3991</v>
      </c>
      <c r="F148" s="218" t="s">
        <v>1649</v>
      </c>
      <c r="G148" s="359" t="s">
        <v>4768</v>
      </c>
    </row>
    <row r="149" spans="1:7">
      <c r="A149" s="239" t="s">
        <v>4783</v>
      </c>
      <c r="B149" s="164" t="s">
        <v>1462</v>
      </c>
      <c r="C149" s="154">
        <v>1</v>
      </c>
      <c r="D149" s="176" t="s">
        <v>1650</v>
      </c>
      <c r="E149" s="178" t="s">
        <v>3992</v>
      </c>
      <c r="F149" s="218" t="s">
        <v>1651</v>
      </c>
      <c r="G149" s="359" t="s">
        <v>4768</v>
      </c>
    </row>
    <row r="150" spans="1:7">
      <c r="A150" s="239" t="s">
        <v>4783</v>
      </c>
      <c r="B150" s="164" t="s">
        <v>1462</v>
      </c>
      <c r="C150" s="154">
        <v>1</v>
      </c>
      <c r="D150" s="176" t="s">
        <v>1652</v>
      </c>
      <c r="E150" s="178" t="s">
        <v>3993</v>
      </c>
      <c r="F150" s="218" t="s">
        <v>1653</v>
      </c>
      <c r="G150" s="359" t="s">
        <v>4768</v>
      </c>
    </row>
    <row r="151" spans="1:7">
      <c r="A151" s="239" t="s">
        <v>4783</v>
      </c>
      <c r="B151" s="164" t="s">
        <v>1462</v>
      </c>
      <c r="C151" s="154">
        <v>1</v>
      </c>
      <c r="D151" s="176" t="s">
        <v>1654</v>
      </c>
      <c r="E151" s="178" t="s">
        <v>3994</v>
      </c>
      <c r="F151" s="218" t="s">
        <v>1655</v>
      </c>
      <c r="G151" s="359" t="s">
        <v>4768</v>
      </c>
    </row>
    <row r="152" spans="1:7">
      <c r="A152" s="239" t="s">
        <v>4783</v>
      </c>
      <c r="B152" s="164" t="s">
        <v>1462</v>
      </c>
      <c r="C152" s="154">
        <v>1</v>
      </c>
      <c r="D152" s="176" t="s">
        <v>1656</v>
      </c>
      <c r="E152" s="178" t="s">
        <v>3995</v>
      </c>
      <c r="F152" s="218" t="s">
        <v>1657</v>
      </c>
      <c r="G152" s="359" t="s">
        <v>4768</v>
      </c>
    </row>
    <row r="153" spans="1:7">
      <c r="A153" s="239" t="s">
        <v>4783</v>
      </c>
      <c r="B153" s="164" t="s">
        <v>1462</v>
      </c>
      <c r="C153" s="154">
        <v>1</v>
      </c>
      <c r="D153" s="176" t="s">
        <v>1658</v>
      </c>
      <c r="E153" s="178" t="s">
        <v>3996</v>
      </c>
      <c r="F153" s="218" t="s">
        <v>1659</v>
      </c>
      <c r="G153" s="359" t="s">
        <v>4768</v>
      </c>
    </row>
    <row r="154" spans="1:7">
      <c r="A154" s="239" t="s">
        <v>4783</v>
      </c>
      <c r="B154" s="164" t="s">
        <v>1462</v>
      </c>
      <c r="C154" s="154">
        <v>1</v>
      </c>
      <c r="D154" s="176" t="s">
        <v>1660</v>
      </c>
      <c r="E154" s="178" t="s">
        <v>3997</v>
      </c>
      <c r="F154" s="218" t="s">
        <v>1661</v>
      </c>
      <c r="G154" s="359" t="s">
        <v>4768</v>
      </c>
    </row>
    <row r="155" spans="1:7">
      <c r="A155" s="239" t="s">
        <v>4783</v>
      </c>
      <c r="B155" s="164" t="s">
        <v>1462</v>
      </c>
      <c r="C155" s="154">
        <v>1</v>
      </c>
      <c r="D155" s="176" t="s">
        <v>1662</v>
      </c>
      <c r="E155" s="178" t="s">
        <v>3998</v>
      </c>
      <c r="F155" s="218" t="s">
        <v>1663</v>
      </c>
      <c r="G155" s="359" t="s">
        <v>4768</v>
      </c>
    </row>
    <row r="156" spans="1:7">
      <c r="A156" s="239" t="s">
        <v>4783</v>
      </c>
      <c r="B156" s="164" t="s">
        <v>1462</v>
      </c>
      <c r="C156" s="154">
        <v>1</v>
      </c>
      <c r="D156" s="176">
        <v>11</v>
      </c>
      <c r="E156" s="178" t="s">
        <v>3999</v>
      </c>
      <c r="F156" s="218" t="s">
        <v>1664</v>
      </c>
      <c r="G156" s="359" t="s">
        <v>4768</v>
      </c>
    </row>
    <row r="157" spans="1:7">
      <c r="A157" s="239" t="s">
        <v>4783</v>
      </c>
      <c r="B157" s="164" t="s">
        <v>1462</v>
      </c>
      <c r="C157" s="154">
        <v>1</v>
      </c>
      <c r="D157" s="176" t="s">
        <v>1665</v>
      </c>
      <c r="E157" s="178" t="s">
        <v>4000</v>
      </c>
      <c r="F157" s="218" t="s">
        <v>1666</v>
      </c>
      <c r="G157" s="359" t="s">
        <v>4768</v>
      </c>
    </row>
    <row r="158" spans="1:7">
      <c r="A158" s="239" t="s">
        <v>4783</v>
      </c>
      <c r="B158" s="164" t="s">
        <v>1462</v>
      </c>
      <c r="C158" s="154">
        <v>1</v>
      </c>
      <c r="D158" s="176" t="s">
        <v>1667</v>
      </c>
      <c r="E158" s="178" t="s">
        <v>4001</v>
      </c>
      <c r="F158" s="218" t="s">
        <v>1668</v>
      </c>
      <c r="G158" s="359" t="s">
        <v>4768</v>
      </c>
    </row>
    <row r="159" spans="1:7">
      <c r="A159" s="239" t="s">
        <v>4783</v>
      </c>
      <c r="B159" s="164" t="s">
        <v>1462</v>
      </c>
      <c r="C159" s="154">
        <v>1</v>
      </c>
      <c r="D159" s="176" t="s">
        <v>1669</v>
      </c>
      <c r="E159" s="178" t="s">
        <v>4002</v>
      </c>
      <c r="F159" s="218" t="s">
        <v>1670</v>
      </c>
      <c r="G159" s="359" t="s">
        <v>4768</v>
      </c>
    </row>
    <row r="160" spans="1:7">
      <c r="A160" s="239" t="s">
        <v>4783</v>
      </c>
      <c r="B160" s="164" t="s">
        <v>1462</v>
      </c>
      <c r="C160" s="154">
        <v>1</v>
      </c>
      <c r="D160" s="176" t="s">
        <v>1671</v>
      </c>
      <c r="E160" s="178" t="s">
        <v>4003</v>
      </c>
      <c r="F160" s="218" t="s">
        <v>1672</v>
      </c>
      <c r="G160" s="359" t="s">
        <v>4768</v>
      </c>
    </row>
    <row r="161" spans="1:7">
      <c r="A161" s="239" t="s">
        <v>4783</v>
      </c>
      <c r="B161" s="164" t="s">
        <v>1462</v>
      </c>
      <c r="C161" s="154">
        <v>1</v>
      </c>
      <c r="D161" s="176" t="s">
        <v>1673</v>
      </c>
      <c r="E161" s="178" t="s">
        <v>4004</v>
      </c>
      <c r="F161" s="218" t="s">
        <v>1674</v>
      </c>
      <c r="G161" s="359" t="s">
        <v>4768</v>
      </c>
    </row>
    <row r="162" spans="1:7">
      <c r="A162" s="239" t="s">
        <v>4783</v>
      </c>
      <c r="B162" s="164" t="s">
        <v>1462</v>
      </c>
      <c r="C162" s="154">
        <v>1</v>
      </c>
      <c r="D162" s="176" t="s">
        <v>1675</v>
      </c>
      <c r="E162" s="178" t="s">
        <v>4005</v>
      </c>
      <c r="F162" s="218" t="s">
        <v>1676</v>
      </c>
      <c r="G162" s="359" t="s">
        <v>4768</v>
      </c>
    </row>
    <row r="163" spans="1:7">
      <c r="A163" s="239" t="s">
        <v>4783</v>
      </c>
      <c r="B163" s="164" t="s">
        <v>1462</v>
      </c>
      <c r="C163" s="154">
        <v>1</v>
      </c>
      <c r="D163" s="176" t="s">
        <v>1677</v>
      </c>
      <c r="E163" s="178" t="s">
        <v>4006</v>
      </c>
      <c r="F163" s="218" t="s">
        <v>1678</v>
      </c>
      <c r="G163" s="359" t="s">
        <v>4768</v>
      </c>
    </row>
    <row r="164" spans="1:7">
      <c r="A164" s="239" t="s">
        <v>4783</v>
      </c>
      <c r="B164" s="164" t="s">
        <v>1462</v>
      </c>
      <c r="C164" s="154">
        <v>1</v>
      </c>
      <c r="D164" s="176">
        <v>12</v>
      </c>
      <c r="E164" s="178" t="s">
        <v>4007</v>
      </c>
      <c r="F164" s="218" t="s">
        <v>1679</v>
      </c>
      <c r="G164" s="359" t="s">
        <v>4768</v>
      </c>
    </row>
    <row r="165" spans="1:7">
      <c r="A165" s="239" t="s">
        <v>4783</v>
      </c>
      <c r="B165" s="164" t="s">
        <v>1462</v>
      </c>
      <c r="C165" s="154">
        <v>1</v>
      </c>
      <c r="D165" s="176">
        <v>13</v>
      </c>
      <c r="E165" s="178" t="s">
        <v>4008</v>
      </c>
      <c r="F165" s="218" t="s">
        <v>1680</v>
      </c>
      <c r="G165" s="359" t="s">
        <v>4768</v>
      </c>
    </row>
    <row r="166" spans="1:7">
      <c r="A166" s="239" t="s">
        <v>4783</v>
      </c>
      <c r="B166" s="164" t="s">
        <v>1462</v>
      </c>
      <c r="C166" s="154">
        <v>1</v>
      </c>
      <c r="D166" s="176" t="s">
        <v>1681</v>
      </c>
      <c r="E166" s="178" t="s">
        <v>4009</v>
      </c>
      <c r="F166" s="218" t="s">
        <v>1682</v>
      </c>
      <c r="G166" s="359" t="s">
        <v>4768</v>
      </c>
    </row>
    <row r="167" spans="1:7">
      <c r="A167" s="239" t="s">
        <v>4783</v>
      </c>
      <c r="B167" s="164" t="s">
        <v>1462</v>
      </c>
      <c r="C167" s="154">
        <v>1</v>
      </c>
      <c r="D167" s="176" t="s">
        <v>1683</v>
      </c>
      <c r="E167" s="178" t="s">
        <v>4010</v>
      </c>
      <c r="F167" s="218" t="s">
        <v>1684</v>
      </c>
      <c r="G167" s="359" t="s">
        <v>4768</v>
      </c>
    </row>
    <row r="168" spans="1:7">
      <c r="A168" s="239" t="s">
        <v>4783</v>
      </c>
      <c r="B168" s="164" t="s">
        <v>1462</v>
      </c>
      <c r="C168" s="154">
        <v>1</v>
      </c>
      <c r="D168" s="176" t="s">
        <v>1685</v>
      </c>
      <c r="E168" s="178" t="s">
        <v>4011</v>
      </c>
      <c r="F168" s="218" t="s">
        <v>1686</v>
      </c>
      <c r="G168" s="359" t="s">
        <v>4768</v>
      </c>
    </row>
    <row r="169" spans="1:7">
      <c r="A169" s="239" t="s">
        <v>4783</v>
      </c>
      <c r="B169" s="164" t="s">
        <v>1462</v>
      </c>
      <c r="C169" s="154">
        <v>1</v>
      </c>
      <c r="D169" s="176" t="s">
        <v>1687</v>
      </c>
      <c r="E169" s="178" t="s">
        <v>4012</v>
      </c>
      <c r="F169" s="218" t="s">
        <v>1688</v>
      </c>
      <c r="G169" s="359" t="s">
        <v>4768</v>
      </c>
    </row>
    <row r="170" spans="1:7">
      <c r="A170" s="239" t="s">
        <v>4783</v>
      </c>
      <c r="B170" s="164" t="s">
        <v>1462</v>
      </c>
      <c r="C170" s="154">
        <v>1</v>
      </c>
      <c r="D170" s="176" t="s">
        <v>1689</v>
      </c>
      <c r="E170" s="178" t="s">
        <v>4013</v>
      </c>
      <c r="F170" s="218" t="s">
        <v>1690</v>
      </c>
      <c r="G170" s="359" t="s">
        <v>4768</v>
      </c>
    </row>
    <row r="171" spans="1:7">
      <c r="A171" s="239" t="s">
        <v>4783</v>
      </c>
      <c r="B171" s="164" t="s">
        <v>1462</v>
      </c>
      <c r="C171" s="154">
        <v>1</v>
      </c>
      <c r="D171" s="176" t="s">
        <v>1691</v>
      </c>
      <c r="E171" s="178" t="s">
        <v>4014</v>
      </c>
      <c r="F171" s="218" t="s">
        <v>1692</v>
      </c>
      <c r="G171" s="359" t="s">
        <v>4768</v>
      </c>
    </row>
    <row r="172" spans="1:7">
      <c r="A172" s="239" t="s">
        <v>4783</v>
      </c>
      <c r="B172" s="164" t="s">
        <v>1462</v>
      </c>
      <c r="C172" s="154">
        <v>1</v>
      </c>
      <c r="D172" s="176" t="s">
        <v>1693</v>
      </c>
      <c r="E172" s="178" t="s">
        <v>4015</v>
      </c>
      <c r="F172" s="218" t="s">
        <v>1694</v>
      </c>
      <c r="G172" s="359" t="s">
        <v>4768</v>
      </c>
    </row>
    <row r="173" spans="1:7">
      <c r="A173" s="239" t="s">
        <v>4783</v>
      </c>
      <c r="B173" s="164" t="s">
        <v>1462</v>
      </c>
      <c r="C173" s="154">
        <v>1</v>
      </c>
      <c r="D173" s="176" t="s">
        <v>1695</v>
      </c>
      <c r="E173" s="178" t="s">
        <v>4016</v>
      </c>
      <c r="F173" s="218" t="s">
        <v>1696</v>
      </c>
      <c r="G173" s="359" t="s">
        <v>4768</v>
      </c>
    </row>
    <row r="174" spans="1:7">
      <c r="A174" s="239" t="s">
        <v>4783</v>
      </c>
      <c r="B174" s="164" t="s">
        <v>1462</v>
      </c>
      <c r="C174" s="154">
        <v>1</v>
      </c>
      <c r="D174" s="176" t="s">
        <v>1697</v>
      </c>
      <c r="E174" s="178" t="s">
        <v>4017</v>
      </c>
      <c r="F174" s="218" t="s">
        <v>1698</v>
      </c>
      <c r="G174" s="359" t="s">
        <v>4768</v>
      </c>
    </row>
    <row r="175" spans="1:7">
      <c r="A175" s="239" t="s">
        <v>4783</v>
      </c>
      <c r="B175" s="164" t="s">
        <v>1462</v>
      </c>
      <c r="C175" s="154">
        <v>1</v>
      </c>
      <c r="D175" s="176" t="s">
        <v>1699</v>
      </c>
      <c r="E175" s="178" t="s">
        <v>4018</v>
      </c>
      <c r="F175" s="218" t="s">
        <v>1700</v>
      </c>
      <c r="G175" s="359" t="s">
        <v>4768</v>
      </c>
    </row>
    <row r="176" spans="1:7">
      <c r="A176" s="239" t="s">
        <v>4783</v>
      </c>
      <c r="B176" s="164" t="s">
        <v>1462</v>
      </c>
      <c r="C176" s="154">
        <v>1</v>
      </c>
      <c r="D176" s="176" t="s">
        <v>1701</v>
      </c>
      <c r="E176" s="178" t="s">
        <v>4019</v>
      </c>
      <c r="F176" s="218" t="s">
        <v>1702</v>
      </c>
      <c r="G176" s="359" t="s">
        <v>4768</v>
      </c>
    </row>
    <row r="177" spans="1:7">
      <c r="A177" s="239" t="s">
        <v>4783</v>
      </c>
      <c r="B177" s="164" t="s">
        <v>1462</v>
      </c>
      <c r="C177" s="154">
        <v>1</v>
      </c>
      <c r="D177" s="176">
        <v>14</v>
      </c>
      <c r="E177" s="178" t="s">
        <v>4020</v>
      </c>
      <c r="F177" s="218" t="s">
        <v>1703</v>
      </c>
      <c r="G177" s="359" t="s">
        <v>4768</v>
      </c>
    </row>
    <row r="178" spans="1:7">
      <c r="A178" s="239" t="s">
        <v>4783</v>
      </c>
      <c r="B178" s="164" t="s">
        <v>1462</v>
      </c>
      <c r="C178" s="154">
        <v>1</v>
      </c>
      <c r="D178" s="176" t="s">
        <v>1704</v>
      </c>
      <c r="E178" s="178" t="s">
        <v>4021</v>
      </c>
      <c r="F178" s="218" t="s">
        <v>1705</v>
      </c>
      <c r="G178" s="359" t="s">
        <v>4768</v>
      </c>
    </row>
    <row r="179" spans="1:7">
      <c r="A179" s="239" t="s">
        <v>4783</v>
      </c>
      <c r="B179" s="164" t="s">
        <v>1462</v>
      </c>
      <c r="C179" s="154">
        <v>1</v>
      </c>
      <c r="D179" s="176" t="s">
        <v>1706</v>
      </c>
      <c r="E179" s="178" t="s">
        <v>4022</v>
      </c>
      <c r="F179" s="218" t="s">
        <v>1707</v>
      </c>
      <c r="G179" s="359" t="s">
        <v>4768</v>
      </c>
    </row>
    <row r="180" spans="1:7">
      <c r="A180" s="239" t="s">
        <v>4783</v>
      </c>
      <c r="B180" s="164" t="s">
        <v>1462</v>
      </c>
      <c r="C180" s="154">
        <v>1</v>
      </c>
      <c r="D180" s="176" t="s">
        <v>1708</v>
      </c>
      <c r="E180" s="178" t="s">
        <v>4023</v>
      </c>
      <c r="F180" s="218" t="s">
        <v>1709</v>
      </c>
      <c r="G180" s="359" t="s">
        <v>4768</v>
      </c>
    </row>
    <row r="181" spans="1:7">
      <c r="A181" s="239" t="s">
        <v>4783</v>
      </c>
      <c r="B181" s="164" t="s">
        <v>1462</v>
      </c>
      <c r="C181" s="154">
        <v>1</v>
      </c>
      <c r="D181" s="176" t="s">
        <v>1710</v>
      </c>
      <c r="E181" s="178" t="s">
        <v>4024</v>
      </c>
      <c r="F181" s="218" t="s">
        <v>1711</v>
      </c>
      <c r="G181" s="359" t="s">
        <v>4768</v>
      </c>
    </row>
    <row r="182" spans="1:7">
      <c r="A182" s="239" t="s">
        <v>4783</v>
      </c>
      <c r="B182" s="164" t="s">
        <v>1462</v>
      </c>
      <c r="C182" s="154">
        <v>1</v>
      </c>
      <c r="D182" s="176" t="s">
        <v>1712</v>
      </c>
      <c r="E182" s="178" t="s">
        <v>4025</v>
      </c>
      <c r="F182" s="218" t="s">
        <v>1713</v>
      </c>
      <c r="G182" s="359" t="s">
        <v>4768</v>
      </c>
    </row>
    <row r="183" spans="1:7">
      <c r="A183" s="239" t="s">
        <v>4783</v>
      </c>
      <c r="B183" s="164" t="s">
        <v>1462</v>
      </c>
      <c r="C183" s="154">
        <v>1</v>
      </c>
      <c r="D183" s="176" t="s">
        <v>1714</v>
      </c>
      <c r="E183" s="178" t="s">
        <v>4026</v>
      </c>
      <c r="F183" s="218" t="s">
        <v>1715</v>
      </c>
      <c r="G183" s="359" t="s">
        <v>4768</v>
      </c>
    </row>
    <row r="184" spans="1:7">
      <c r="A184" s="239" t="s">
        <v>4783</v>
      </c>
      <c r="B184" s="164" t="s">
        <v>1462</v>
      </c>
      <c r="C184" s="154">
        <v>1</v>
      </c>
      <c r="D184" s="176" t="s">
        <v>1716</v>
      </c>
      <c r="E184" s="178" t="s">
        <v>4027</v>
      </c>
      <c r="F184" s="218" t="s">
        <v>1717</v>
      </c>
      <c r="G184" s="359" t="s">
        <v>4768</v>
      </c>
    </row>
    <row r="185" spans="1:7">
      <c r="A185" s="239" t="s">
        <v>4783</v>
      </c>
      <c r="B185" s="164" t="s">
        <v>1462</v>
      </c>
      <c r="C185" s="154">
        <v>1</v>
      </c>
      <c r="D185" s="176" t="s">
        <v>1718</v>
      </c>
      <c r="E185" s="178" t="s">
        <v>4028</v>
      </c>
      <c r="F185" s="218" t="s">
        <v>1719</v>
      </c>
      <c r="G185" s="359" t="s">
        <v>4768</v>
      </c>
    </row>
    <row r="186" spans="1:7">
      <c r="A186" s="239" t="s">
        <v>4783</v>
      </c>
      <c r="B186" s="164" t="s">
        <v>1462</v>
      </c>
      <c r="C186" s="154">
        <v>1</v>
      </c>
      <c r="D186" s="176" t="s">
        <v>1720</v>
      </c>
      <c r="E186" s="178" t="s">
        <v>4029</v>
      </c>
      <c r="F186" s="218" t="s">
        <v>1721</v>
      </c>
      <c r="G186" s="359" t="s">
        <v>4768</v>
      </c>
    </row>
    <row r="187" spans="1:7">
      <c r="A187" s="239" t="s">
        <v>4783</v>
      </c>
      <c r="B187" s="164" t="s">
        <v>1462</v>
      </c>
      <c r="C187" s="154">
        <v>1</v>
      </c>
      <c r="D187" s="176" t="s">
        <v>1722</v>
      </c>
      <c r="E187" s="178" t="s">
        <v>4030</v>
      </c>
      <c r="F187" s="218" t="s">
        <v>1723</v>
      </c>
      <c r="G187" s="359" t="s">
        <v>4768</v>
      </c>
    </row>
    <row r="188" spans="1:7">
      <c r="A188" s="239" t="s">
        <v>4783</v>
      </c>
      <c r="B188" s="164" t="s">
        <v>1462</v>
      </c>
      <c r="C188" s="154">
        <v>1</v>
      </c>
      <c r="D188" s="176">
        <v>15</v>
      </c>
      <c r="E188" s="178" t="s">
        <v>4031</v>
      </c>
      <c r="F188" s="218" t="s">
        <v>1724</v>
      </c>
      <c r="G188" s="359" t="s">
        <v>4768</v>
      </c>
    </row>
    <row r="189" spans="1:7">
      <c r="A189" s="239" t="s">
        <v>4783</v>
      </c>
      <c r="B189" s="164" t="s">
        <v>1462</v>
      </c>
      <c r="C189" s="154">
        <v>1</v>
      </c>
      <c r="D189" s="176" t="s">
        <v>1725</v>
      </c>
      <c r="E189" s="178" t="s">
        <v>4032</v>
      </c>
      <c r="F189" s="218" t="s">
        <v>1726</v>
      </c>
      <c r="G189" s="359" t="s">
        <v>4768</v>
      </c>
    </row>
    <row r="190" spans="1:7">
      <c r="A190" s="239" t="s">
        <v>4783</v>
      </c>
      <c r="B190" s="164" t="s">
        <v>1462</v>
      </c>
      <c r="C190" s="154">
        <v>1</v>
      </c>
      <c r="D190" s="176" t="s">
        <v>1727</v>
      </c>
      <c r="E190" s="178" t="s">
        <v>4033</v>
      </c>
      <c r="F190" s="218" t="s">
        <v>1728</v>
      </c>
      <c r="G190" s="359" t="s">
        <v>4768</v>
      </c>
    </row>
    <row r="191" spans="1:7">
      <c r="A191" s="239" t="s">
        <v>4783</v>
      </c>
      <c r="B191" s="164" t="s">
        <v>1462</v>
      </c>
      <c r="C191" s="154">
        <v>1</v>
      </c>
      <c r="D191" s="176" t="s">
        <v>1729</v>
      </c>
      <c r="E191" s="178" t="s">
        <v>4034</v>
      </c>
      <c r="F191" s="218" t="s">
        <v>1730</v>
      </c>
      <c r="G191" s="359" t="s">
        <v>4768</v>
      </c>
    </row>
    <row r="192" spans="1:7">
      <c r="A192" s="239" t="s">
        <v>4783</v>
      </c>
      <c r="B192" s="164" t="s">
        <v>1462</v>
      </c>
      <c r="C192" s="154">
        <v>1</v>
      </c>
      <c r="D192" s="176" t="s">
        <v>1731</v>
      </c>
      <c r="E192" s="178" t="s">
        <v>4035</v>
      </c>
      <c r="F192" s="218" t="s">
        <v>1732</v>
      </c>
      <c r="G192" s="359" t="s">
        <v>4768</v>
      </c>
    </row>
    <row r="193" spans="1:7">
      <c r="A193" s="239" t="s">
        <v>4783</v>
      </c>
      <c r="B193" s="164" t="s">
        <v>1462</v>
      </c>
      <c r="C193" s="154">
        <v>1</v>
      </c>
      <c r="D193" s="176">
        <v>16</v>
      </c>
      <c r="E193" s="178" t="s">
        <v>4036</v>
      </c>
      <c r="F193" s="218" t="s">
        <v>1733</v>
      </c>
      <c r="G193" s="359" t="s">
        <v>4768</v>
      </c>
    </row>
    <row r="194" spans="1:7">
      <c r="A194" s="239" t="s">
        <v>4783</v>
      </c>
      <c r="B194" s="164" t="s">
        <v>1462</v>
      </c>
      <c r="C194" s="154">
        <v>1</v>
      </c>
      <c r="D194" s="176" t="s">
        <v>1734</v>
      </c>
      <c r="E194" s="178" t="s">
        <v>4037</v>
      </c>
      <c r="F194" s="218" t="s">
        <v>1735</v>
      </c>
      <c r="G194" s="359" t="s">
        <v>4768</v>
      </c>
    </row>
    <row r="195" spans="1:7">
      <c r="A195" s="239" t="s">
        <v>4783</v>
      </c>
      <c r="B195" s="164" t="s">
        <v>1462</v>
      </c>
      <c r="C195" s="154">
        <v>1</v>
      </c>
      <c r="D195" s="176" t="s">
        <v>1736</v>
      </c>
      <c r="E195" s="178" t="s">
        <v>4038</v>
      </c>
      <c r="F195" s="218" t="s">
        <v>1737</v>
      </c>
      <c r="G195" s="359" t="s">
        <v>4768</v>
      </c>
    </row>
    <row r="196" spans="1:7">
      <c r="A196" s="239" t="s">
        <v>4783</v>
      </c>
      <c r="B196" s="164" t="s">
        <v>1462</v>
      </c>
      <c r="C196" s="154">
        <v>1</v>
      </c>
      <c r="D196" s="176" t="s">
        <v>1738</v>
      </c>
      <c r="E196" s="178" t="s">
        <v>4039</v>
      </c>
      <c r="F196" s="218" t="s">
        <v>1739</v>
      </c>
      <c r="G196" s="359" t="s">
        <v>4768</v>
      </c>
    </row>
    <row r="197" spans="1:7">
      <c r="A197" s="239" t="s">
        <v>4783</v>
      </c>
      <c r="B197" s="164" t="s">
        <v>1462</v>
      </c>
      <c r="C197" s="154">
        <v>1</v>
      </c>
      <c r="D197" s="176" t="s">
        <v>1740</v>
      </c>
      <c r="E197" s="178" t="s">
        <v>4040</v>
      </c>
      <c r="F197" s="218" t="s">
        <v>1741</v>
      </c>
      <c r="G197" s="359" t="s">
        <v>4768</v>
      </c>
    </row>
    <row r="198" spans="1:7">
      <c r="A198" s="239" t="s">
        <v>4783</v>
      </c>
      <c r="B198" s="164" t="s">
        <v>1462</v>
      </c>
      <c r="C198" s="154">
        <v>1</v>
      </c>
      <c r="D198" s="176" t="s">
        <v>1742</v>
      </c>
      <c r="E198" s="178" t="s">
        <v>4041</v>
      </c>
      <c r="F198" s="218" t="s">
        <v>1743</v>
      </c>
      <c r="G198" s="359" t="s">
        <v>4768</v>
      </c>
    </row>
    <row r="199" spans="1:7">
      <c r="A199" s="239" t="s">
        <v>4783</v>
      </c>
      <c r="B199" s="164" t="s">
        <v>1462</v>
      </c>
      <c r="C199" s="154">
        <v>1</v>
      </c>
      <c r="D199" s="176" t="s">
        <v>1744</v>
      </c>
      <c r="E199" s="178" t="s">
        <v>4042</v>
      </c>
      <c r="F199" s="218" t="s">
        <v>1745</v>
      </c>
      <c r="G199" s="359" t="s">
        <v>4768</v>
      </c>
    </row>
    <row r="200" spans="1:7">
      <c r="A200" s="239" t="s">
        <v>4783</v>
      </c>
      <c r="B200" s="164" t="s">
        <v>1462</v>
      </c>
      <c r="C200" s="154">
        <v>1</v>
      </c>
      <c r="D200" s="176" t="s">
        <v>1746</v>
      </c>
      <c r="E200" s="178" t="s">
        <v>4043</v>
      </c>
      <c r="F200" s="218" t="s">
        <v>1747</v>
      </c>
      <c r="G200" s="359" t="s">
        <v>4768</v>
      </c>
    </row>
    <row r="201" spans="1:7">
      <c r="A201" s="239" t="s">
        <v>4783</v>
      </c>
      <c r="B201" s="164" t="s">
        <v>1462</v>
      </c>
      <c r="C201" s="154">
        <v>1</v>
      </c>
      <c r="D201" s="176">
        <v>17</v>
      </c>
      <c r="E201" s="178" t="s">
        <v>4044</v>
      </c>
      <c r="F201" s="218" t="s">
        <v>1748</v>
      </c>
      <c r="G201" s="359" t="s">
        <v>4768</v>
      </c>
    </row>
    <row r="202" spans="1:7">
      <c r="A202" s="239" t="s">
        <v>4783</v>
      </c>
      <c r="B202" s="164" t="s">
        <v>1462</v>
      </c>
      <c r="C202" s="154">
        <v>1</v>
      </c>
      <c r="D202" s="176" t="s">
        <v>1749</v>
      </c>
      <c r="E202" s="178" t="s">
        <v>4045</v>
      </c>
      <c r="F202" s="218" t="s">
        <v>1750</v>
      </c>
      <c r="G202" s="359" t="s">
        <v>4768</v>
      </c>
    </row>
    <row r="203" spans="1:7">
      <c r="A203" s="239" t="s">
        <v>4783</v>
      </c>
      <c r="B203" s="164" t="s">
        <v>1462</v>
      </c>
      <c r="C203" s="154">
        <v>1</v>
      </c>
      <c r="D203" s="176" t="s">
        <v>1751</v>
      </c>
      <c r="E203" s="178" t="s">
        <v>4046</v>
      </c>
      <c r="F203" s="218" t="s">
        <v>1752</v>
      </c>
      <c r="G203" s="359" t="s">
        <v>4768</v>
      </c>
    </row>
    <row r="204" spans="1:7">
      <c r="A204" s="239" t="s">
        <v>4783</v>
      </c>
      <c r="B204" s="164" t="s">
        <v>1462</v>
      </c>
      <c r="C204" s="154">
        <v>1</v>
      </c>
      <c r="D204" s="176" t="s">
        <v>1753</v>
      </c>
      <c r="E204" s="178" t="s">
        <v>4047</v>
      </c>
      <c r="F204" s="218" t="s">
        <v>1754</v>
      </c>
      <c r="G204" s="359" t="s">
        <v>4768</v>
      </c>
    </row>
    <row r="205" spans="1:7">
      <c r="A205" s="239" t="s">
        <v>4783</v>
      </c>
      <c r="B205" s="164" t="s">
        <v>1462</v>
      </c>
      <c r="C205" s="154">
        <v>1</v>
      </c>
      <c r="D205" s="176" t="s">
        <v>1755</v>
      </c>
      <c r="E205" s="178" t="s">
        <v>4048</v>
      </c>
      <c r="F205" s="218" t="s">
        <v>1756</v>
      </c>
      <c r="G205" s="359" t="s">
        <v>4768</v>
      </c>
    </row>
    <row r="206" spans="1:7">
      <c r="A206" s="239" t="s">
        <v>4783</v>
      </c>
      <c r="B206" s="164" t="s">
        <v>1462</v>
      </c>
      <c r="C206" s="154">
        <v>1</v>
      </c>
      <c r="D206" s="176" t="s">
        <v>1757</v>
      </c>
      <c r="E206" s="178" t="s">
        <v>4049</v>
      </c>
      <c r="F206" s="218" t="s">
        <v>1758</v>
      </c>
      <c r="G206" s="359" t="s">
        <v>4768</v>
      </c>
    </row>
    <row r="207" spans="1:7">
      <c r="A207" s="239" t="s">
        <v>4783</v>
      </c>
      <c r="B207" s="164" t="s">
        <v>1462</v>
      </c>
      <c r="C207" s="154">
        <v>1</v>
      </c>
      <c r="D207" s="176" t="s">
        <v>1759</v>
      </c>
      <c r="E207" s="178" t="s">
        <v>4050</v>
      </c>
      <c r="F207" s="218" t="s">
        <v>1760</v>
      </c>
      <c r="G207" s="359" t="s">
        <v>4768</v>
      </c>
    </row>
    <row r="208" spans="1:7">
      <c r="A208" s="239" t="s">
        <v>4783</v>
      </c>
      <c r="B208" s="164" t="s">
        <v>1462</v>
      </c>
      <c r="C208" s="154">
        <v>1</v>
      </c>
      <c r="D208" s="176" t="s">
        <v>1761</v>
      </c>
      <c r="E208" s="178" t="s">
        <v>4051</v>
      </c>
      <c r="F208" s="218" t="s">
        <v>1762</v>
      </c>
      <c r="G208" s="359" t="s">
        <v>4768</v>
      </c>
    </row>
    <row r="209" spans="1:7">
      <c r="A209" s="239" t="s">
        <v>4783</v>
      </c>
      <c r="B209" s="164" t="s">
        <v>1462</v>
      </c>
      <c r="C209" s="154">
        <v>1</v>
      </c>
      <c r="D209" s="176" t="s">
        <v>1763</v>
      </c>
      <c r="E209" s="178" t="s">
        <v>4052</v>
      </c>
      <c r="F209" s="218" t="s">
        <v>1764</v>
      </c>
      <c r="G209" s="359" t="s">
        <v>4768</v>
      </c>
    </row>
    <row r="210" spans="1:7">
      <c r="A210" s="239" t="s">
        <v>4783</v>
      </c>
      <c r="B210" s="164" t="s">
        <v>1462</v>
      </c>
      <c r="C210" s="154">
        <v>1</v>
      </c>
      <c r="D210" s="176" t="s">
        <v>1765</v>
      </c>
      <c r="E210" s="178" t="s">
        <v>4053</v>
      </c>
      <c r="F210" s="218" t="s">
        <v>1766</v>
      </c>
      <c r="G210" s="359" t="s">
        <v>4768</v>
      </c>
    </row>
    <row r="211" spans="1:7">
      <c r="A211" s="239" t="s">
        <v>4783</v>
      </c>
      <c r="B211" s="164" t="s">
        <v>1462</v>
      </c>
      <c r="C211" s="154">
        <v>1</v>
      </c>
      <c r="D211" s="176">
        <v>18</v>
      </c>
      <c r="E211" s="178" t="s">
        <v>4054</v>
      </c>
      <c r="F211" s="218" t="s">
        <v>1767</v>
      </c>
      <c r="G211" s="359" t="s">
        <v>4768</v>
      </c>
    </row>
    <row r="212" spans="1:7">
      <c r="A212" s="239" t="s">
        <v>4783</v>
      </c>
      <c r="B212" s="164" t="s">
        <v>1462</v>
      </c>
      <c r="C212" s="154">
        <v>1</v>
      </c>
      <c r="D212" s="176" t="s">
        <v>1768</v>
      </c>
      <c r="E212" s="178" t="s">
        <v>4055</v>
      </c>
      <c r="F212" s="218" t="s">
        <v>1769</v>
      </c>
      <c r="G212" s="359" t="s">
        <v>4768</v>
      </c>
    </row>
    <row r="213" spans="1:7">
      <c r="A213" s="239" t="s">
        <v>4783</v>
      </c>
      <c r="B213" s="164" t="s">
        <v>1462</v>
      </c>
      <c r="C213" s="154">
        <v>1</v>
      </c>
      <c r="D213" s="176" t="s">
        <v>1770</v>
      </c>
      <c r="E213" s="178" t="s">
        <v>4056</v>
      </c>
      <c r="F213" s="218" t="s">
        <v>1771</v>
      </c>
      <c r="G213" s="359" t="s">
        <v>4768</v>
      </c>
    </row>
    <row r="214" spans="1:7">
      <c r="A214" s="239" t="s">
        <v>4783</v>
      </c>
      <c r="B214" s="164" t="s">
        <v>1462</v>
      </c>
      <c r="C214" s="154">
        <v>1</v>
      </c>
      <c r="D214" s="176" t="s">
        <v>1772</v>
      </c>
      <c r="E214" s="178" t="s">
        <v>4057</v>
      </c>
      <c r="F214" s="218" t="s">
        <v>1773</v>
      </c>
      <c r="G214" s="359" t="s">
        <v>4768</v>
      </c>
    </row>
    <row r="215" spans="1:7">
      <c r="A215" s="239" t="s">
        <v>4783</v>
      </c>
      <c r="B215" s="164" t="s">
        <v>1462</v>
      </c>
      <c r="C215" s="154">
        <v>1</v>
      </c>
      <c r="D215" s="176" t="s">
        <v>1774</v>
      </c>
      <c r="E215" s="178" t="s">
        <v>4058</v>
      </c>
      <c r="F215" s="218" t="s">
        <v>1775</v>
      </c>
      <c r="G215" s="359" t="s">
        <v>4768</v>
      </c>
    </row>
    <row r="216" spans="1:7">
      <c r="A216" s="239" t="s">
        <v>4783</v>
      </c>
      <c r="B216" s="164" t="s">
        <v>1462</v>
      </c>
      <c r="C216" s="154">
        <v>1</v>
      </c>
      <c r="D216" s="176" t="s">
        <v>1776</v>
      </c>
      <c r="E216" s="178" t="s">
        <v>4059</v>
      </c>
      <c r="F216" s="218" t="s">
        <v>1777</v>
      </c>
      <c r="G216" s="359" t="s">
        <v>4768</v>
      </c>
    </row>
    <row r="217" spans="1:7">
      <c r="A217" s="239" t="s">
        <v>4783</v>
      </c>
      <c r="B217" s="164" t="s">
        <v>1462</v>
      </c>
      <c r="C217" s="154">
        <v>1</v>
      </c>
      <c r="D217" s="176" t="s">
        <v>1778</v>
      </c>
      <c r="E217" s="178" t="s">
        <v>4060</v>
      </c>
      <c r="F217" s="218" t="s">
        <v>1779</v>
      </c>
      <c r="G217" s="359" t="s">
        <v>4768</v>
      </c>
    </row>
    <row r="218" spans="1:7">
      <c r="A218" s="239" t="s">
        <v>4783</v>
      </c>
      <c r="B218" s="164" t="s">
        <v>1462</v>
      </c>
      <c r="C218" s="154">
        <v>1</v>
      </c>
      <c r="D218" s="176">
        <v>19</v>
      </c>
      <c r="E218" s="178" t="s">
        <v>4061</v>
      </c>
      <c r="F218" s="218" t="s">
        <v>1780</v>
      </c>
      <c r="G218" s="359" t="s">
        <v>4768</v>
      </c>
    </row>
    <row r="219" spans="1:7">
      <c r="A219" s="239" t="s">
        <v>4783</v>
      </c>
      <c r="B219" s="164" t="s">
        <v>1462</v>
      </c>
      <c r="C219" s="154">
        <v>1</v>
      </c>
      <c r="D219" s="176" t="s">
        <v>1781</v>
      </c>
      <c r="E219" s="178" t="s">
        <v>4062</v>
      </c>
      <c r="F219" s="218" t="s">
        <v>1782</v>
      </c>
      <c r="G219" s="359" t="s">
        <v>4768</v>
      </c>
    </row>
    <row r="220" spans="1:7">
      <c r="A220" s="239" t="s">
        <v>4783</v>
      </c>
      <c r="B220" s="164" t="s">
        <v>1462</v>
      </c>
      <c r="C220" s="154">
        <v>1</v>
      </c>
      <c r="D220" s="176" t="s">
        <v>1783</v>
      </c>
      <c r="E220" s="178" t="s">
        <v>4063</v>
      </c>
      <c r="F220" s="218" t="s">
        <v>1784</v>
      </c>
      <c r="G220" s="359" t="s">
        <v>4768</v>
      </c>
    </row>
    <row r="221" spans="1:7">
      <c r="A221" s="239" t="s">
        <v>4783</v>
      </c>
      <c r="B221" s="164" t="s">
        <v>1462</v>
      </c>
      <c r="C221" s="154">
        <v>1</v>
      </c>
      <c r="D221" s="176">
        <v>20</v>
      </c>
      <c r="E221" s="178" t="s">
        <v>4064</v>
      </c>
      <c r="F221" s="218" t="s">
        <v>1785</v>
      </c>
      <c r="G221" s="359" t="s">
        <v>4768</v>
      </c>
    </row>
    <row r="222" spans="1:7">
      <c r="A222" s="239" t="s">
        <v>4783</v>
      </c>
      <c r="B222" s="164" t="s">
        <v>1462</v>
      </c>
      <c r="C222" s="154">
        <v>1</v>
      </c>
      <c r="D222" s="176" t="s">
        <v>1786</v>
      </c>
      <c r="E222" s="178" t="s">
        <v>4065</v>
      </c>
      <c r="F222" s="218" t="s">
        <v>1787</v>
      </c>
      <c r="G222" s="359" t="s">
        <v>4768</v>
      </c>
    </row>
    <row r="223" spans="1:7">
      <c r="A223" s="239" t="s">
        <v>4783</v>
      </c>
      <c r="B223" s="164" t="s">
        <v>1462</v>
      </c>
      <c r="C223" s="154">
        <v>1</v>
      </c>
      <c r="D223" s="176" t="s">
        <v>1788</v>
      </c>
      <c r="E223" s="178" t="s">
        <v>4066</v>
      </c>
      <c r="F223" s="218" t="s">
        <v>1789</v>
      </c>
      <c r="G223" s="359" t="s">
        <v>4768</v>
      </c>
    </row>
    <row r="224" spans="1:7">
      <c r="A224" s="239" t="s">
        <v>4783</v>
      </c>
      <c r="B224" s="164" t="s">
        <v>1462</v>
      </c>
      <c r="C224" s="154">
        <v>1</v>
      </c>
      <c r="D224" s="176" t="s">
        <v>1790</v>
      </c>
      <c r="E224" s="178" t="s">
        <v>4067</v>
      </c>
      <c r="F224" s="218" t="s">
        <v>1791</v>
      </c>
      <c r="G224" s="359" t="s">
        <v>4768</v>
      </c>
    </row>
    <row r="225" spans="1:7">
      <c r="A225" s="239" t="s">
        <v>4783</v>
      </c>
      <c r="B225" s="164" t="s">
        <v>1462</v>
      </c>
      <c r="C225" s="154">
        <v>1</v>
      </c>
      <c r="D225" s="176" t="s">
        <v>1792</v>
      </c>
      <c r="E225" s="178" t="s">
        <v>4068</v>
      </c>
      <c r="F225" s="218" t="s">
        <v>1793</v>
      </c>
      <c r="G225" s="359" t="s">
        <v>4768</v>
      </c>
    </row>
    <row r="226" spans="1:7">
      <c r="A226" s="239" t="s">
        <v>4783</v>
      </c>
      <c r="B226" s="164" t="s">
        <v>1462</v>
      </c>
      <c r="C226" s="154">
        <v>1</v>
      </c>
      <c r="D226" s="176" t="s">
        <v>1794</v>
      </c>
      <c r="E226" s="178" t="s">
        <v>4069</v>
      </c>
      <c r="F226" s="218" t="s">
        <v>1795</v>
      </c>
      <c r="G226" s="359" t="s">
        <v>4768</v>
      </c>
    </row>
    <row r="227" spans="1:7">
      <c r="A227" s="239" t="s">
        <v>4783</v>
      </c>
      <c r="B227" s="164" t="s">
        <v>1462</v>
      </c>
      <c r="C227" s="154">
        <v>1</v>
      </c>
      <c r="D227" s="176" t="s">
        <v>1796</v>
      </c>
      <c r="E227" s="178" t="s">
        <v>4070</v>
      </c>
      <c r="F227" s="218" t="s">
        <v>1797</v>
      </c>
      <c r="G227" s="359" t="s">
        <v>4768</v>
      </c>
    </row>
    <row r="228" spans="1:7">
      <c r="A228" s="239" t="s">
        <v>4783</v>
      </c>
      <c r="B228" s="164" t="s">
        <v>1462</v>
      </c>
      <c r="C228" s="154">
        <v>1</v>
      </c>
      <c r="D228" s="176" t="s">
        <v>1798</v>
      </c>
      <c r="E228" s="178" t="s">
        <v>4071</v>
      </c>
      <c r="F228" s="218" t="s">
        <v>1799</v>
      </c>
      <c r="G228" s="359" t="s">
        <v>4768</v>
      </c>
    </row>
    <row r="229" spans="1:7">
      <c r="A229" s="239" t="s">
        <v>4783</v>
      </c>
      <c r="B229" s="164" t="s">
        <v>1462</v>
      </c>
      <c r="C229" s="154">
        <v>1</v>
      </c>
      <c r="D229" s="176" t="s">
        <v>1800</v>
      </c>
      <c r="E229" s="178" t="s">
        <v>4072</v>
      </c>
      <c r="F229" s="218" t="s">
        <v>1801</v>
      </c>
      <c r="G229" s="359" t="s">
        <v>4768</v>
      </c>
    </row>
    <row r="230" spans="1:7">
      <c r="A230" s="239" t="s">
        <v>4783</v>
      </c>
      <c r="B230" s="164" t="s">
        <v>1462</v>
      </c>
      <c r="C230" s="154">
        <v>1</v>
      </c>
      <c r="D230" s="176" t="s">
        <v>1802</v>
      </c>
      <c r="E230" s="178" t="s">
        <v>4073</v>
      </c>
      <c r="F230" s="218" t="s">
        <v>1803</v>
      </c>
      <c r="G230" s="359" t="s">
        <v>4768</v>
      </c>
    </row>
    <row r="231" spans="1:7">
      <c r="A231" s="239" t="s">
        <v>4783</v>
      </c>
      <c r="B231" s="164" t="s">
        <v>1462</v>
      </c>
      <c r="C231" s="154">
        <v>1</v>
      </c>
      <c r="D231" s="176" t="s">
        <v>1804</v>
      </c>
      <c r="E231" s="178" t="s">
        <v>4074</v>
      </c>
      <c r="F231" s="218" t="s">
        <v>1805</v>
      </c>
      <c r="G231" s="359" t="s">
        <v>4768</v>
      </c>
    </row>
    <row r="232" spans="1:7">
      <c r="A232" s="239" t="s">
        <v>4783</v>
      </c>
      <c r="B232" s="164" t="s">
        <v>1462</v>
      </c>
      <c r="C232" s="154">
        <v>1</v>
      </c>
      <c r="D232" s="176" t="s">
        <v>1806</v>
      </c>
      <c r="E232" s="178" t="s">
        <v>4075</v>
      </c>
      <c r="F232" s="218" t="s">
        <v>1807</v>
      </c>
      <c r="G232" s="359" t="s">
        <v>4768</v>
      </c>
    </row>
    <row r="233" spans="1:7">
      <c r="A233" s="239" t="s">
        <v>4783</v>
      </c>
      <c r="B233" s="164" t="s">
        <v>1462</v>
      </c>
      <c r="C233" s="154">
        <v>1</v>
      </c>
      <c r="D233" s="176" t="s">
        <v>1808</v>
      </c>
      <c r="E233" s="178" t="s">
        <v>4076</v>
      </c>
      <c r="F233" s="218" t="s">
        <v>1809</v>
      </c>
      <c r="G233" s="359" t="s">
        <v>4768</v>
      </c>
    </row>
    <row r="234" spans="1:7">
      <c r="A234" s="239" t="s">
        <v>4783</v>
      </c>
      <c r="B234" s="164" t="s">
        <v>1462</v>
      </c>
      <c r="C234" s="154">
        <v>1</v>
      </c>
      <c r="D234" s="176" t="s">
        <v>1810</v>
      </c>
      <c r="E234" s="178" t="s">
        <v>4077</v>
      </c>
      <c r="F234" s="218" t="s">
        <v>1811</v>
      </c>
      <c r="G234" s="359" t="s">
        <v>4768</v>
      </c>
    </row>
    <row r="235" spans="1:7">
      <c r="A235" s="239" t="s">
        <v>4783</v>
      </c>
      <c r="B235" s="164" t="s">
        <v>1462</v>
      </c>
      <c r="C235" s="154">
        <v>1</v>
      </c>
      <c r="D235" s="176" t="s">
        <v>1812</v>
      </c>
      <c r="E235" s="178" t="s">
        <v>4078</v>
      </c>
      <c r="F235" s="218" t="s">
        <v>1813</v>
      </c>
      <c r="G235" s="359" t="s">
        <v>4768</v>
      </c>
    </row>
    <row r="236" spans="1:7">
      <c r="A236" s="239" t="s">
        <v>4783</v>
      </c>
      <c r="B236" s="164" t="s">
        <v>1462</v>
      </c>
      <c r="C236" s="154">
        <v>1</v>
      </c>
      <c r="D236" s="176" t="s">
        <v>1814</v>
      </c>
      <c r="E236" s="178" t="s">
        <v>4079</v>
      </c>
      <c r="F236" s="218" t="s">
        <v>1815</v>
      </c>
      <c r="G236" s="359" t="s">
        <v>4768</v>
      </c>
    </row>
    <row r="237" spans="1:7">
      <c r="A237" s="239" t="s">
        <v>4783</v>
      </c>
      <c r="B237" s="164" t="s">
        <v>1462</v>
      </c>
      <c r="C237" s="154">
        <v>1</v>
      </c>
      <c r="D237" s="176" t="s">
        <v>1816</v>
      </c>
      <c r="E237" s="178" t="s">
        <v>4080</v>
      </c>
      <c r="F237" s="218" t="s">
        <v>1817</v>
      </c>
      <c r="G237" s="359" t="s">
        <v>4768</v>
      </c>
    </row>
    <row r="238" spans="1:7">
      <c r="A238" s="239" t="s">
        <v>4783</v>
      </c>
      <c r="B238" s="164" t="s">
        <v>1462</v>
      </c>
      <c r="C238" s="154">
        <v>1</v>
      </c>
      <c r="D238" s="176" t="s">
        <v>1818</v>
      </c>
      <c r="E238" s="178" t="s">
        <v>4081</v>
      </c>
      <c r="F238" s="218" t="s">
        <v>1819</v>
      </c>
      <c r="G238" s="359" t="s">
        <v>4768</v>
      </c>
    </row>
    <row r="239" spans="1:7">
      <c r="A239" s="239" t="s">
        <v>4783</v>
      </c>
      <c r="B239" s="164" t="s">
        <v>1462</v>
      </c>
      <c r="C239" s="154">
        <v>1</v>
      </c>
      <c r="D239" s="176" t="s">
        <v>1820</v>
      </c>
      <c r="E239" s="178" t="s">
        <v>4082</v>
      </c>
      <c r="F239" s="218" t="s">
        <v>1821</v>
      </c>
      <c r="G239" s="359" t="s">
        <v>4768</v>
      </c>
    </row>
    <row r="240" spans="1:7">
      <c r="A240" s="239" t="s">
        <v>4783</v>
      </c>
      <c r="B240" s="164" t="s">
        <v>1462</v>
      </c>
      <c r="C240" s="154">
        <v>1</v>
      </c>
      <c r="D240" s="176" t="s">
        <v>1822</v>
      </c>
      <c r="E240" s="178" t="s">
        <v>4083</v>
      </c>
      <c r="F240" s="218" t="s">
        <v>1823</v>
      </c>
      <c r="G240" s="359" t="s">
        <v>4768</v>
      </c>
    </row>
    <row r="241" spans="1:7">
      <c r="A241" s="239" t="s">
        <v>4783</v>
      </c>
      <c r="B241" s="164" t="s">
        <v>1462</v>
      </c>
      <c r="C241" s="154">
        <v>1</v>
      </c>
      <c r="D241" s="176">
        <v>21</v>
      </c>
      <c r="E241" s="178" t="s">
        <v>4084</v>
      </c>
      <c r="F241" s="218" t="s">
        <v>1824</v>
      </c>
      <c r="G241" s="359" t="s">
        <v>4768</v>
      </c>
    </row>
    <row r="242" spans="1:7">
      <c r="A242" s="239" t="s">
        <v>4783</v>
      </c>
      <c r="B242" s="164" t="s">
        <v>1462</v>
      </c>
      <c r="C242" s="154">
        <v>1</v>
      </c>
      <c r="D242" s="176" t="s">
        <v>1825</v>
      </c>
      <c r="E242" s="178" t="s">
        <v>4085</v>
      </c>
      <c r="F242" s="218" t="s">
        <v>1826</v>
      </c>
      <c r="G242" s="359" t="s">
        <v>4768</v>
      </c>
    </row>
    <row r="243" spans="1:7">
      <c r="A243" s="239" t="s">
        <v>4783</v>
      </c>
      <c r="B243" s="164" t="s">
        <v>1462</v>
      </c>
      <c r="C243" s="154">
        <v>1</v>
      </c>
      <c r="D243" s="176" t="s">
        <v>1827</v>
      </c>
      <c r="E243" s="178" t="s">
        <v>4086</v>
      </c>
      <c r="F243" s="218" t="s">
        <v>1828</v>
      </c>
      <c r="G243" s="359" t="s">
        <v>4768</v>
      </c>
    </row>
    <row r="244" spans="1:7">
      <c r="A244" s="239" t="s">
        <v>4783</v>
      </c>
      <c r="B244" s="164" t="s">
        <v>1462</v>
      </c>
      <c r="C244" s="154">
        <v>1</v>
      </c>
      <c r="D244" s="176">
        <v>22</v>
      </c>
      <c r="E244" s="178" t="s">
        <v>4087</v>
      </c>
      <c r="F244" s="218" t="s">
        <v>1829</v>
      </c>
      <c r="G244" s="359" t="s">
        <v>4768</v>
      </c>
    </row>
    <row r="245" spans="1:7">
      <c r="A245" s="239" t="s">
        <v>4783</v>
      </c>
      <c r="B245" s="164" t="s">
        <v>1462</v>
      </c>
      <c r="C245" s="154">
        <v>1</v>
      </c>
      <c r="D245" s="176" t="s">
        <v>1830</v>
      </c>
      <c r="E245" s="178" t="s">
        <v>4088</v>
      </c>
      <c r="F245" s="218" t="s">
        <v>1831</v>
      </c>
      <c r="G245" s="359" t="s">
        <v>4768</v>
      </c>
    </row>
    <row r="246" spans="1:7">
      <c r="A246" s="239" t="s">
        <v>4783</v>
      </c>
      <c r="B246" s="164" t="s">
        <v>1462</v>
      </c>
      <c r="C246" s="154">
        <v>1</v>
      </c>
      <c r="D246" s="176" t="s">
        <v>1832</v>
      </c>
      <c r="E246" s="178" t="s">
        <v>4089</v>
      </c>
      <c r="F246" s="218" t="s">
        <v>1833</v>
      </c>
      <c r="G246" s="359" t="s">
        <v>4768</v>
      </c>
    </row>
    <row r="247" spans="1:7">
      <c r="A247" s="239" t="s">
        <v>4783</v>
      </c>
      <c r="B247" s="164" t="s">
        <v>1462</v>
      </c>
      <c r="C247" s="154">
        <v>1</v>
      </c>
      <c r="D247" s="176" t="s">
        <v>1834</v>
      </c>
      <c r="E247" s="178" t="s">
        <v>4090</v>
      </c>
      <c r="F247" s="218" t="s">
        <v>1835</v>
      </c>
      <c r="G247" s="359" t="s">
        <v>4768</v>
      </c>
    </row>
    <row r="248" spans="1:7">
      <c r="A248" s="239" t="s">
        <v>4783</v>
      </c>
      <c r="B248" s="164" t="s">
        <v>1462</v>
      </c>
      <c r="C248" s="154">
        <v>1</v>
      </c>
      <c r="D248" s="176" t="s">
        <v>1836</v>
      </c>
      <c r="E248" s="178" t="s">
        <v>4091</v>
      </c>
      <c r="F248" s="218" t="s">
        <v>1837</v>
      </c>
      <c r="G248" s="359" t="s">
        <v>4768</v>
      </c>
    </row>
    <row r="249" spans="1:7">
      <c r="A249" s="239" t="s">
        <v>4783</v>
      </c>
      <c r="B249" s="164" t="s">
        <v>1462</v>
      </c>
      <c r="C249" s="154">
        <v>1</v>
      </c>
      <c r="D249" s="176" t="s">
        <v>1838</v>
      </c>
      <c r="E249" s="178" t="s">
        <v>4092</v>
      </c>
      <c r="F249" s="218" t="s">
        <v>1839</v>
      </c>
      <c r="G249" s="359" t="s">
        <v>4768</v>
      </c>
    </row>
    <row r="250" spans="1:7">
      <c r="A250" s="239" t="s">
        <v>4783</v>
      </c>
      <c r="B250" s="164" t="s">
        <v>1462</v>
      </c>
      <c r="C250" s="154">
        <v>1</v>
      </c>
      <c r="D250" s="176" t="s">
        <v>1840</v>
      </c>
      <c r="E250" s="178" t="s">
        <v>4093</v>
      </c>
      <c r="F250" s="218" t="s">
        <v>1841</v>
      </c>
      <c r="G250" s="359" t="s">
        <v>4768</v>
      </c>
    </row>
    <row r="251" spans="1:7">
      <c r="A251" s="239" t="s">
        <v>4783</v>
      </c>
      <c r="B251" s="164" t="s">
        <v>1462</v>
      </c>
      <c r="C251" s="154">
        <v>1</v>
      </c>
      <c r="D251" s="176" t="s">
        <v>1842</v>
      </c>
      <c r="E251" s="178" t="s">
        <v>4094</v>
      </c>
      <c r="F251" s="218" t="s">
        <v>1843</v>
      </c>
      <c r="G251" s="359" t="s">
        <v>4768</v>
      </c>
    </row>
    <row r="252" spans="1:7">
      <c r="A252" s="239" t="s">
        <v>4783</v>
      </c>
      <c r="B252" s="164" t="s">
        <v>1462</v>
      </c>
      <c r="C252" s="154">
        <v>1</v>
      </c>
      <c r="D252" s="176" t="s">
        <v>1844</v>
      </c>
      <c r="E252" s="178" t="s">
        <v>4095</v>
      </c>
      <c r="F252" s="218" t="s">
        <v>1845</v>
      </c>
      <c r="G252" s="359" t="s">
        <v>4768</v>
      </c>
    </row>
    <row r="253" spans="1:7">
      <c r="A253" s="239" t="s">
        <v>4783</v>
      </c>
      <c r="B253" s="164" t="s">
        <v>1462</v>
      </c>
      <c r="C253" s="154">
        <v>1</v>
      </c>
      <c r="D253" s="176">
        <v>23</v>
      </c>
      <c r="E253" s="178" t="s">
        <v>4096</v>
      </c>
      <c r="F253" s="218" t="s">
        <v>1846</v>
      </c>
      <c r="G253" s="359" t="s">
        <v>4768</v>
      </c>
    </row>
    <row r="254" spans="1:7">
      <c r="A254" s="239" t="s">
        <v>4783</v>
      </c>
      <c r="B254" s="164" t="s">
        <v>1462</v>
      </c>
      <c r="C254" s="154">
        <v>1</v>
      </c>
      <c r="D254" s="176" t="s">
        <v>1847</v>
      </c>
      <c r="E254" s="178" t="s">
        <v>4097</v>
      </c>
      <c r="F254" s="218" t="s">
        <v>1848</v>
      </c>
      <c r="G254" s="359" t="s">
        <v>4768</v>
      </c>
    </row>
    <row r="255" spans="1:7">
      <c r="A255" s="239" t="s">
        <v>4783</v>
      </c>
      <c r="B255" s="164" t="s">
        <v>1462</v>
      </c>
      <c r="C255" s="154">
        <v>1</v>
      </c>
      <c r="D255" s="176" t="s">
        <v>1849</v>
      </c>
      <c r="E255" s="178" t="s">
        <v>4098</v>
      </c>
      <c r="F255" s="218" t="s">
        <v>1850</v>
      </c>
      <c r="G255" s="359" t="s">
        <v>4768</v>
      </c>
    </row>
    <row r="256" spans="1:7">
      <c r="A256" s="239" t="s">
        <v>4783</v>
      </c>
      <c r="B256" s="164" t="s">
        <v>1462</v>
      </c>
      <c r="C256" s="154">
        <v>1</v>
      </c>
      <c r="D256" s="176" t="s">
        <v>1851</v>
      </c>
      <c r="E256" s="178" t="s">
        <v>4099</v>
      </c>
      <c r="F256" s="218" t="s">
        <v>1852</v>
      </c>
      <c r="G256" s="359" t="s">
        <v>4768</v>
      </c>
    </row>
    <row r="257" spans="1:7">
      <c r="A257" s="239" t="s">
        <v>4783</v>
      </c>
      <c r="B257" s="164" t="s">
        <v>1462</v>
      </c>
      <c r="C257" s="154">
        <v>1</v>
      </c>
      <c r="D257" s="176" t="s">
        <v>1853</v>
      </c>
      <c r="E257" s="178" t="s">
        <v>4100</v>
      </c>
      <c r="F257" s="218" t="s">
        <v>1854</v>
      </c>
      <c r="G257" s="359" t="s">
        <v>4768</v>
      </c>
    </row>
    <row r="258" spans="1:7">
      <c r="A258" s="239" t="s">
        <v>4783</v>
      </c>
      <c r="B258" s="164" t="s">
        <v>1462</v>
      </c>
      <c r="C258" s="154">
        <v>1</v>
      </c>
      <c r="D258" s="176" t="s">
        <v>1855</v>
      </c>
      <c r="E258" s="178" t="s">
        <v>4101</v>
      </c>
      <c r="F258" s="218" t="s">
        <v>1856</v>
      </c>
      <c r="G258" s="359" t="s">
        <v>4768</v>
      </c>
    </row>
    <row r="259" spans="1:7">
      <c r="A259" s="239" t="s">
        <v>4783</v>
      </c>
      <c r="B259" s="164" t="s">
        <v>1462</v>
      </c>
      <c r="C259" s="154">
        <v>1</v>
      </c>
      <c r="D259" s="176" t="s">
        <v>1857</v>
      </c>
      <c r="E259" s="178" t="s">
        <v>4102</v>
      </c>
      <c r="F259" s="218" t="s">
        <v>1858</v>
      </c>
      <c r="G259" s="359" t="s">
        <v>4768</v>
      </c>
    </row>
    <row r="260" spans="1:7">
      <c r="A260" s="239" t="s">
        <v>4783</v>
      </c>
      <c r="B260" s="164" t="s">
        <v>1462</v>
      </c>
      <c r="C260" s="154">
        <v>1</v>
      </c>
      <c r="D260" s="176" t="s">
        <v>1859</v>
      </c>
      <c r="E260" s="178" t="s">
        <v>4103</v>
      </c>
      <c r="F260" s="218" t="s">
        <v>1860</v>
      </c>
      <c r="G260" s="359" t="s">
        <v>4768</v>
      </c>
    </row>
    <row r="261" spans="1:7">
      <c r="A261" s="239" t="s">
        <v>4783</v>
      </c>
      <c r="B261" s="164" t="s">
        <v>1462</v>
      </c>
      <c r="C261" s="154">
        <v>1</v>
      </c>
      <c r="D261" s="176" t="s">
        <v>1861</v>
      </c>
      <c r="E261" s="178" t="s">
        <v>4104</v>
      </c>
      <c r="F261" s="218" t="s">
        <v>1862</v>
      </c>
      <c r="G261" s="359" t="s">
        <v>4768</v>
      </c>
    </row>
    <row r="262" spans="1:7">
      <c r="A262" s="239" t="s">
        <v>4783</v>
      </c>
      <c r="B262" s="164" t="s">
        <v>1462</v>
      </c>
      <c r="C262" s="154">
        <v>1</v>
      </c>
      <c r="D262" s="176" t="s">
        <v>1863</v>
      </c>
      <c r="E262" s="178" t="s">
        <v>4105</v>
      </c>
      <c r="F262" s="218" t="s">
        <v>1864</v>
      </c>
      <c r="G262" s="359" t="s">
        <v>4768</v>
      </c>
    </row>
    <row r="263" spans="1:7">
      <c r="A263" s="239" t="s">
        <v>4783</v>
      </c>
      <c r="B263" s="164" t="s">
        <v>1462</v>
      </c>
      <c r="C263" s="154">
        <v>1</v>
      </c>
      <c r="D263" s="176" t="s">
        <v>1865</v>
      </c>
      <c r="E263" s="178" t="s">
        <v>4106</v>
      </c>
      <c r="F263" s="218" t="s">
        <v>1866</v>
      </c>
      <c r="G263" s="359" t="s">
        <v>4768</v>
      </c>
    </row>
    <row r="264" spans="1:7">
      <c r="A264" s="239" t="s">
        <v>4783</v>
      </c>
      <c r="B264" s="164" t="s">
        <v>1462</v>
      </c>
      <c r="C264" s="154">
        <v>1</v>
      </c>
      <c r="D264" s="176" t="s">
        <v>1867</v>
      </c>
      <c r="E264" s="178" t="s">
        <v>4107</v>
      </c>
      <c r="F264" s="218" t="s">
        <v>1868</v>
      </c>
      <c r="G264" s="359" t="s">
        <v>4768</v>
      </c>
    </row>
    <row r="265" spans="1:7">
      <c r="A265" s="239" t="s">
        <v>4783</v>
      </c>
      <c r="B265" s="164" t="s">
        <v>1462</v>
      </c>
      <c r="C265" s="154">
        <v>1</v>
      </c>
      <c r="D265" s="176" t="s">
        <v>1869</v>
      </c>
      <c r="E265" s="178" t="s">
        <v>4108</v>
      </c>
      <c r="F265" s="218" t="s">
        <v>1870</v>
      </c>
      <c r="G265" s="359" t="s">
        <v>4768</v>
      </c>
    </row>
    <row r="266" spans="1:7">
      <c r="A266" s="239" t="s">
        <v>4783</v>
      </c>
      <c r="B266" s="164" t="s">
        <v>1462</v>
      </c>
      <c r="C266" s="154">
        <v>1</v>
      </c>
      <c r="D266" s="176" t="s">
        <v>1871</v>
      </c>
      <c r="E266" s="178" t="s">
        <v>4109</v>
      </c>
      <c r="F266" s="218" t="s">
        <v>1872</v>
      </c>
      <c r="G266" s="359" t="s">
        <v>4768</v>
      </c>
    </row>
    <row r="267" spans="1:7">
      <c r="A267" s="239" t="s">
        <v>4783</v>
      </c>
      <c r="B267" s="164" t="s">
        <v>1462</v>
      </c>
      <c r="C267" s="154">
        <v>1</v>
      </c>
      <c r="D267" s="176" t="s">
        <v>1873</v>
      </c>
      <c r="E267" s="178" t="s">
        <v>4110</v>
      </c>
      <c r="F267" s="218" t="s">
        <v>1874</v>
      </c>
      <c r="G267" s="359" t="s">
        <v>4768</v>
      </c>
    </row>
    <row r="268" spans="1:7">
      <c r="A268" s="239" t="s">
        <v>4783</v>
      </c>
      <c r="B268" s="164" t="s">
        <v>1462</v>
      </c>
      <c r="C268" s="154">
        <v>1</v>
      </c>
      <c r="D268" s="176" t="s">
        <v>1875</v>
      </c>
      <c r="E268" s="178" t="s">
        <v>4111</v>
      </c>
      <c r="F268" s="218" t="s">
        <v>1876</v>
      </c>
      <c r="G268" s="359" t="s">
        <v>4768</v>
      </c>
    </row>
    <row r="269" spans="1:7">
      <c r="A269" s="239" t="s">
        <v>4783</v>
      </c>
      <c r="B269" s="164" t="s">
        <v>1462</v>
      </c>
      <c r="C269" s="154">
        <v>1</v>
      </c>
      <c r="D269" s="176" t="s">
        <v>1877</v>
      </c>
      <c r="E269" s="178" t="s">
        <v>4112</v>
      </c>
      <c r="F269" s="218" t="s">
        <v>1878</v>
      </c>
      <c r="G269" s="359" t="s">
        <v>4768</v>
      </c>
    </row>
    <row r="270" spans="1:7">
      <c r="A270" s="239" t="s">
        <v>4783</v>
      </c>
      <c r="B270" s="164" t="s">
        <v>1462</v>
      </c>
      <c r="C270" s="154">
        <v>1</v>
      </c>
      <c r="D270" s="176" t="s">
        <v>1879</v>
      </c>
      <c r="E270" s="178" t="s">
        <v>4113</v>
      </c>
      <c r="F270" s="218" t="s">
        <v>1880</v>
      </c>
      <c r="G270" s="359" t="s">
        <v>4768</v>
      </c>
    </row>
    <row r="271" spans="1:7">
      <c r="A271" s="239" t="s">
        <v>4783</v>
      </c>
      <c r="B271" s="164" t="s">
        <v>1462</v>
      </c>
      <c r="C271" s="154">
        <v>1</v>
      </c>
      <c r="D271" s="176" t="s">
        <v>1881</v>
      </c>
      <c r="E271" s="178" t="s">
        <v>4114</v>
      </c>
      <c r="F271" s="218" t="s">
        <v>1882</v>
      </c>
      <c r="G271" s="359" t="s">
        <v>4768</v>
      </c>
    </row>
    <row r="272" spans="1:7">
      <c r="A272" s="239" t="s">
        <v>4783</v>
      </c>
      <c r="B272" s="164" t="s">
        <v>1462</v>
      </c>
      <c r="C272" s="154">
        <v>1</v>
      </c>
      <c r="D272" s="176" t="s">
        <v>1883</v>
      </c>
      <c r="E272" s="178" t="s">
        <v>4115</v>
      </c>
      <c r="F272" s="218" t="s">
        <v>1884</v>
      </c>
      <c r="G272" s="359" t="s">
        <v>4768</v>
      </c>
    </row>
    <row r="273" spans="1:7">
      <c r="A273" s="239" t="s">
        <v>4783</v>
      </c>
      <c r="B273" s="164" t="s">
        <v>1462</v>
      </c>
      <c r="C273" s="154">
        <v>1</v>
      </c>
      <c r="D273" s="176" t="s">
        <v>1885</v>
      </c>
      <c r="E273" s="178" t="s">
        <v>4116</v>
      </c>
      <c r="F273" s="218" t="s">
        <v>1886</v>
      </c>
      <c r="G273" s="359" t="s">
        <v>4768</v>
      </c>
    </row>
    <row r="274" spans="1:7">
      <c r="A274" s="239" t="s">
        <v>4783</v>
      </c>
      <c r="B274" s="164" t="s">
        <v>1462</v>
      </c>
      <c r="C274" s="154">
        <v>1</v>
      </c>
      <c r="D274" s="176" t="s">
        <v>1887</v>
      </c>
      <c r="E274" s="178" t="s">
        <v>4117</v>
      </c>
      <c r="F274" s="218" t="s">
        <v>1888</v>
      </c>
      <c r="G274" s="359" t="s">
        <v>4768</v>
      </c>
    </row>
    <row r="275" spans="1:7">
      <c r="A275" s="239" t="s">
        <v>4783</v>
      </c>
      <c r="B275" s="164" t="s">
        <v>1462</v>
      </c>
      <c r="C275" s="154">
        <v>1</v>
      </c>
      <c r="D275" s="176" t="s">
        <v>1889</v>
      </c>
      <c r="E275" s="178" t="s">
        <v>4118</v>
      </c>
      <c r="F275" s="218" t="s">
        <v>1890</v>
      </c>
      <c r="G275" s="359" t="s">
        <v>4768</v>
      </c>
    </row>
    <row r="276" spans="1:7">
      <c r="A276" s="239" t="s">
        <v>4783</v>
      </c>
      <c r="B276" s="164" t="s">
        <v>1462</v>
      </c>
      <c r="C276" s="154">
        <v>1</v>
      </c>
      <c r="D276" s="176" t="s">
        <v>1891</v>
      </c>
      <c r="E276" s="178" t="s">
        <v>4119</v>
      </c>
      <c r="F276" s="218" t="s">
        <v>1892</v>
      </c>
      <c r="G276" s="359" t="s">
        <v>4768</v>
      </c>
    </row>
    <row r="277" spans="1:7">
      <c r="A277" s="239" t="s">
        <v>4783</v>
      </c>
      <c r="B277" s="164" t="s">
        <v>1462</v>
      </c>
      <c r="C277" s="154">
        <v>1</v>
      </c>
      <c r="D277" s="176" t="s">
        <v>1893</v>
      </c>
      <c r="E277" s="178" t="s">
        <v>4120</v>
      </c>
      <c r="F277" s="218" t="s">
        <v>1894</v>
      </c>
      <c r="G277" s="359" t="s">
        <v>4768</v>
      </c>
    </row>
    <row r="278" spans="1:7">
      <c r="A278" s="239" t="s">
        <v>4783</v>
      </c>
      <c r="B278" s="164" t="s">
        <v>1462</v>
      </c>
      <c r="C278" s="154">
        <v>1</v>
      </c>
      <c r="D278" s="176" t="s">
        <v>1895</v>
      </c>
      <c r="E278" s="178" t="s">
        <v>4121</v>
      </c>
      <c r="F278" s="218" t="s">
        <v>1896</v>
      </c>
      <c r="G278" s="359" t="s">
        <v>4768</v>
      </c>
    </row>
    <row r="279" spans="1:7">
      <c r="A279" s="239" t="s">
        <v>4783</v>
      </c>
      <c r="B279" s="164" t="s">
        <v>1462</v>
      </c>
      <c r="C279" s="154">
        <v>1</v>
      </c>
      <c r="D279" s="176" t="s">
        <v>1897</v>
      </c>
      <c r="E279" s="178" t="s">
        <v>4122</v>
      </c>
      <c r="F279" s="218" t="s">
        <v>1898</v>
      </c>
      <c r="G279" s="359" t="s">
        <v>4768</v>
      </c>
    </row>
    <row r="280" spans="1:7">
      <c r="A280" s="239" t="s">
        <v>4783</v>
      </c>
      <c r="B280" s="164" t="s">
        <v>1462</v>
      </c>
      <c r="C280" s="154">
        <v>1</v>
      </c>
      <c r="D280" s="176" t="s">
        <v>1899</v>
      </c>
      <c r="E280" s="178" t="s">
        <v>4123</v>
      </c>
      <c r="F280" s="218" t="s">
        <v>1900</v>
      </c>
      <c r="G280" s="359" t="s">
        <v>4768</v>
      </c>
    </row>
    <row r="281" spans="1:7">
      <c r="A281" s="239" t="s">
        <v>4783</v>
      </c>
      <c r="B281" s="164" t="s">
        <v>1462</v>
      </c>
      <c r="C281" s="154">
        <v>1</v>
      </c>
      <c r="D281" s="176" t="s">
        <v>1901</v>
      </c>
      <c r="E281" s="178" t="s">
        <v>4124</v>
      </c>
      <c r="F281" s="218" t="s">
        <v>1902</v>
      </c>
      <c r="G281" s="359" t="s">
        <v>4768</v>
      </c>
    </row>
    <row r="282" spans="1:7">
      <c r="A282" s="239" t="s">
        <v>4783</v>
      </c>
      <c r="B282" s="164" t="s">
        <v>1462</v>
      </c>
      <c r="C282" s="154">
        <v>1</v>
      </c>
      <c r="D282" s="176" t="s">
        <v>1903</v>
      </c>
      <c r="E282" s="178" t="s">
        <v>4125</v>
      </c>
      <c r="F282" s="218" t="s">
        <v>1904</v>
      </c>
      <c r="G282" s="359" t="s">
        <v>4768</v>
      </c>
    </row>
    <row r="283" spans="1:7">
      <c r="A283" s="239" t="s">
        <v>4783</v>
      </c>
      <c r="B283" s="164" t="s">
        <v>1462</v>
      </c>
      <c r="C283" s="154">
        <v>1</v>
      </c>
      <c r="D283" s="176" t="s">
        <v>1905</v>
      </c>
      <c r="E283" s="178" t="s">
        <v>4126</v>
      </c>
      <c r="F283" s="218" t="s">
        <v>1906</v>
      </c>
      <c r="G283" s="359" t="s">
        <v>4768</v>
      </c>
    </row>
    <row r="284" spans="1:7">
      <c r="A284" s="239" t="s">
        <v>4783</v>
      </c>
      <c r="B284" s="164" t="s">
        <v>1462</v>
      </c>
      <c r="C284" s="154">
        <v>1</v>
      </c>
      <c r="D284" s="176">
        <v>24</v>
      </c>
      <c r="E284" s="178" t="s">
        <v>4127</v>
      </c>
      <c r="F284" s="218" t="s">
        <v>1907</v>
      </c>
      <c r="G284" s="359" t="s">
        <v>4768</v>
      </c>
    </row>
    <row r="285" spans="1:7">
      <c r="A285" s="239" t="s">
        <v>4783</v>
      </c>
      <c r="B285" s="164" t="s">
        <v>1462</v>
      </c>
      <c r="C285" s="154">
        <v>1</v>
      </c>
      <c r="D285" s="176" t="s">
        <v>1908</v>
      </c>
      <c r="E285" s="178" t="s">
        <v>4128</v>
      </c>
      <c r="F285" s="218" t="s">
        <v>1909</v>
      </c>
      <c r="G285" s="359" t="s">
        <v>4768</v>
      </c>
    </row>
    <row r="286" spans="1:7">
      <c r="A286" s="239" t="s">
        <v>4783</v>
      </c>
      <c r="B286" s="164" t="s">
        <v>1462</v>
      </c>
      <c r="C286" s="154">
        <v>1</v>
      </c>
      <c r="D286" s="176" t="s">
        <v>1910</v>
      </c>
      <c r="E286" s="178" t="s">
        <v>4129</v>
      </c>
      <c r="F286" s="218" t="s">
        <v>1911</v>
      </c>
      <c r="G286" s="359" t="s">
        <v>4768</v>
      </c>
    </row>
    <row r="287" spans="1:7">
      <c r="A287" s="239" t="s">
        <v>4783</v>
      </c>
      <c r="B287" s="164" t="s">
        <v>1462</v>
      </c>
      <c r="C287" s="154">
        <v>1</v>
      </c>
      <c r="D287" s="176" t="s">
        <v>1912</v>
      </c>
      <c r="E287" s="178" t="s">
        <v>4130</v>
      </c>
      <c r="F287" s="218" t="s">
        <v>1913</v>
      </c>
      <c r="G287" s="359" t="s">
        <v>4768</v>
      </c>
    </row>
    <row r="288" spans="1:7">
      <c r="A288" s="239" t="s">
        <v>4783</v>
      </c>
      <c r="B288" s="164" t="s">
        <v>1462</v>
      </c>
      <c r="C288" s="154">
        <v>1</v>
      </c>
      <c r="D288" s="176" t="s">
        <v>1914</v>
      </c>
      <c r="E288" s="178" t="s">
        <v>4131</v>
      </c>
      <c r="F288" s="218" t="s">
        <v>1915</v>
      </c>
      <c r="G288" s="359" t="s">
        <v>4768</v>
      </c>
    </row>
    <row r="289" spans="1:7">
      <c r="A289" s="239" t="s">
        <v>4783</v>
      </c>
      <c r="B289" s="164" t="s">
        <v>1462</v>
      </c>
      <c r="C289" s="154">
        <v>1</v>
      </c>
      <c r="D289" s="176" t="s">
        <v>1916</v>
      </c>
      <c r="E289" s="178" t="s">
        <v>4132</v>
      </c>
      <c r="F289" s="218" t="s">
        <v>1917</v>
      </c>
      <c r="G289" s="359" t="s">
        <v>4768</v>
      </c>
    </row>
    <row r="290" spans="1:7">
      <c r="A290" s="239" t="s">
        <v>4783</v>
      </c>
      <c r="B290" s="164" t="s">
        <v>1462</v>
      </c>
      <c r="C290" s="154">
        <v>1</v>
      </c>
      <c r="D290" s="176" t="s">
        <v>1918</v>
      </c>
      <c r="E290" s="178" t="s">
        <v>4133</v>
      </c>
      <c r="F290" s="218" t="s">
        <v>1919</v>
      </c>
      <c r="G290" s="359" t="s">
        <v>4768</v>
      </c>
    </row>
    <row r="291" spans="1:7">
      <c r="A291" s="239" t="s">
        <v>4783</v>
      </c>
      <c r="B291" s="164" t="s">
        <v>1462</v>
      </c>
      <c r="C291" s="154">
        <v>1</v>
      </c>
      <c r="D291" s="176" t="s">
        <v>1920</v>
      </c>
      <c r="E291" s="178" t="s">
        <v>4134</v>
      </c>
      <c r="F291" s="218" t="s">
        <v>1921</v>
      </c>
      <c r="G291" s="359" t="s">
        <v>4768</v>
      </c>
    </row>
    <row r="292" spans="1:7">
      <c r="A292" s="239" t="s">
        <v>4783</v>
      </c>
      <c r="B292" s="164" t="s">
        <v>1462</v>
      </c>
      <c r="C292" s="154">
        <v>1</v>
      </c>
      <c r="D292" s="176" t="s">
        <v>1922</v>
      </c>
      <c r="E292" s="178" t="s">
        <v>4135</v>
      </c>
      <c r="F292" s="218" t="s">
        <v>1923</v>
      </c>
      <c r="G292" s="359" t="s">
        <v>4768</v>
      </c>
    </row>
    <row r="293" spans="1:7">
      <c r="A293" s="239" t="s">
        <v>4783</v>
      </c>
      <c r="B293" s="164" t="s">
        <v>1462</v>
      </c>
      <c r="C293" s="154">
        <v>1</v>
      </c>
      <c r="D293" s="176" t="s">
        <v>1924</v>
      </c>
      <c r="E293" s="178" t="s">
        <v>4136</v>
      </c>
      <c r="F293" s="218" t="s">
        <v>1925</v>
      </c>
      <c r="G293" s="359" t="s">
        <v>4768</v>
      </c>
    </row>
    <row r="294" spans="1:7">
      <c r="A294" s="239" t="s">
        <v>4783</v>
      </c>
      <c r="B294" s="164" t="s">
        <v>1462</v>
      </c>
      <c r="C294" s="154">
        <v>1</v>
      </c>
      <c r="D294" s="176" t="s">
        <v>1926</v>
      </c>
      <c r="E294" s="178" t="s">
        <v>4137</v>
      </c>
      <c r="F294" s="218" t="s">
        <v>1927</v>
      </c>
      <c r="G294" s="359" t="s">
        <v>4768</v>
      </c>
    </row>
    <row r="295" spans="1:7">
      <c r="A295" s="239" t="s">
        <v>4783</v>
      </c>
      <c r="B295" s="164" t="s">
        <v>1462</v>
      </c>
      <c r="C295" s="154">
        <v>1</v>
      </c>
      <c r="D295" s="176" t="s">
        <v>1928</v>
      </c>
      <c r="E295" s="178" t="s">
        <v>4138</v>
      </c>
      <c r="F295" s="218" t="s">
        <v>1929</v>
      </c>
      <c r="G295" s="359" t="s">
        <v>4768</v>
      </c>
    </row>
    <row r="296" spans="1:7">
      <c r="A296" s="239" t="s">
        <v>4783</v>
      </c>
      <c r="B296" s="164" t="s">
        <v>1462</v>
      </c>
      <c r="C296" s="154">
        <v>1</v>
      </c>
      <c r="D296" s="176" t="s">
        <v>1930</v>
      </c>
      <c r="E296" s="178" t="s">
        <v>4139</v>
      </c>
      <c r="F296" s="218" t="s">
        <v>1931</v>
      </c>
      <c r="G296" s="359" t="s">
        <v>4768</v>
      </c>
    </row>
    <row r="297" spans="1:7">
      <c r="A297" s="239" t="s">
        <v>4783</v>
      </c>
      <c r="B297" s="164" t="s">
        <v>1462</v>
      </c>
      <c r="C297" s="154">
        <v>1</v>
      </c>
      <c r="D297" s="176" t="s">
        <v>1932</v>
      </c>
      <c r="E297" s="178" t="s">
        <v>4140</v>
      </c>
      <c r="F297" s="218" t="s">
        <v>1933</v>
      </c>
      <c r="G297" s="359" t="s">
        <v>4768</v>
      </c>
    </row>
    <row r="298" spans="1:7">
      <c r="A298" s="239" t="s">
        <v>4783</v>
      </c>
      <c r="B298" s="164" t="s">
        <v>1462</v>
      </c>
      <c r="C298" s="154">
        <v>1</v>
      </c>
      <c r="D298" s="176" t="s">
        <v>1934</v>
      </c>
      <c r="E298" s="178" t="s">
        <v>4141</v>
      </c>
      <c r="F298" s="218" t="s">
        <v>1935</v>
      </c>
      <c r="G298" s="359" t="s">
        <v>4768</v>
      </c>
    </row>
    <row r="299" spans="1:7">
      <c r="A299" s="239" t="s">
        <v>4783</v>
      </c>
      <c r="B299" s="164" t="s">
        <v>1462</v>
      </c>
      <c r="C299" s="154">
        <v>1</v>
      </c>
      <c r="D299" s="176" t="s">
        <v>1936</v>
      </c>
      <c r="E299" s="178" t="s">
        <v>4142</v>
      </c>
      <c r="F299" s="218" t="s">
        <v>1937</v>
      </c>
      <c r="G299" s="359" t="s">
        <v>4768</v>
      </c>
    </row>
    <row r="300" spans="1:7">
      <c r="A300" s="239" t="s">
        <v>4783</v>
      </c>
      <c r="B300" s="164" t="s">
        <v>1462</v>
      </c>
      <c r="C300" s="154">
        <v>1</v>
      </c>
      <c r="D300" s="176" t="s">
        <v>1938</v>
      </c>
      <c r="E300" s="178" t="s">
        <v>4143</v>
      </c>
      <c r="F300" s="218" t="s">
        <v>1939</v>
      </c>
      <c r="G300" s="359" t="s">
        <v>4768</v>
      </c>
    </row>
    <row r="301" spans="1:7">
      <c r="A301" s="239" t="s">
        <v>4783</v>
      </c>
      <c r="B301" s="164" t="s">
        <v>1462</v>
      </c>
      <c r="C301" s="154">
        <v>1</v>
      </c>
      <c r="D301" s="176" t="s">
        <v>1940</v>
      </c>
      <c r="E301" s="178" t="s">
        <v>4144</v>
      </c>
      <c r="F301" s="218" t="s">
        <v>1941</v>
      </c>
      <c r="G301" s="359" t="s">
        <v>4768</v>
      </c>
    </row>
    <row r="302" spans="1:7">
      <c r="A302" s="239" t="s">
        <v>4783</v>
      </c>
      <c r="B302" s="164" t="s">
        <v>1462</v>
      </c>
      <c r="C302" s="154">
        <v>1</v>
      </c>
      <c r="D302" s="176" t="s">
        <v>1942</v>
      </c>
      <c r="E302" s="178" t="s">
        <v>4145</v>
      </c>
      <c r="F302" s="218" t="s">
        <v>1943</v>
      </c>
      <c r="G302" s="359" t="s">
        <v>4768</v>
      </c>
    </row>
    <row r="303" spans="1:7">
      <c r="A303" s="239" t="s">
        <v>4783</v>
      </c>
      <c r="B303" s="164" t="s">
        <v>1462</v>
      </c>
      <c r="C303" s="154">
        <v>1</v>
      </c>
      <c r="D303" s="176" t="s">
        <v>1944</v>
      </c>
      <c r="E303" s="178" t="s">
        <v>4146</v>
      </c>
      <c r="F303" s="218" t="s">
        <v>1945</v>
      </c>
      <c r="G303" s="359" t="s">
        <v>4768</v>
      </c>
    </row>
    <row r="304" spans="1:7">
      <c r="A304" s="239" t="s">
        <v>4783</v>
      </c>
      <c r="B304" s="164" t="s">
        <v>1462</v>
      </c>
      <c r="C304" s="154">
        <v>1</v>
      </c>
      <c r="D304" s="176">
        <v>25</v>
      </c>
      <c r="E304" s="178" t="s">
        <v>4147</v>
      </c>
      <c r="F304" s="218" t="s">
        <v>1946</v>
      </c>
      <c r="G304" s="359" t="s">
        <v>4768</v>
      </c>
    </row>
    <row r="305" spans="1:7">
      <c r="A305" s="239" t="s">
        <v>4783</v>
      </c>
      <c r="B305" s="164" t="s">
        <v>1462</v>
      </c>
      <c r="C305" s="154">
        <v>1</v>
      </c>
      <c r="D305" s="176" t="s">
        <v>1947</v>
      </c>
      <c r="E305" s="178" t="s">
        <v>4148</v>
      </c>
      <c r="F305" s="218" t="s">
        <v>1948</v>
      </c>
      <c r="G305" s="359" t="s">
        <v>4768</v>
      </c>
    </row>
    <row r="306" spans="1:7">
      <c r="A306" s="239" t="s">
        <v>4783</v>
      </c>
      <c r="B306" s="164" t="s">
        <v>1462</v>
      </c>
      <c r="C306" s="154">
        <v>1</v>
      </c>
      <c r="D306" s="176" t="s">
        <v>1949</v>
      </c>
      <c r="E306" s="178" t="s">
        <v>4149</v>
      </c>
      <c r="F306" s="218" t="s">
        <v>1950</v>
      </c>
      <c r="G306" s="359" t="s">
        <v>4768</v>
      </c>
    </row>
    <row r="307" spans="1:7">
      <c r="A307" s="239" t="s">
        <v>4783</v>
      </c>
      <c r="B307" s="164" t="s">
        <v>1462</v>
      </c>
      <c r="C307" s="154">
        <v>1</v>
      </c>
      <c r="D307" s="176" t="s">
        <v>1951</v>
      </c>
      <c r="E307" s="178" t="s">
        <v>4150</v>
      </c>
      <c r="F307" s="218" t="s">
        <v>1952</v>
      </c>
      <c r="G307" s="359" t="s">
        <v>4768</v>
      </c>
    </row>
    <row r="308" spans="1:7">
      <c r="A308" s="239" t="s">
        <v>4783</v>
      </c>
      <c r="B308" s="164" t="s">
        <v>1462</v>
      </c>
      <c r="C308" s="154">
        <v>1</v>
      </c>
      <c r="D308" s="176" t="s">
        <v>1953</v>
      </c>
      <c r="E308" s="178" t="s">
        <v>4151</v>
      </c>
      <c r="F308" s="218" t="s">
        <v>1954</v>
      </c>
      <c r="G308" s="359" t="s">
        <v>4768</v>
      </c>
    </row>
    <row r="309" spans="1:7">
      <c r="A309" s="239" t="s">
        <v>4783</v>
      </c>
      <c r="B309" s="164" t="s">
        <v>1462</v>
      </c>
      <c r="C309" s="154">
        <v>1</v>
      </c>
      <c r="D309" s="176" t="s">
        <v>1955</v>
      </c>
      <c r="E309" s="178" t="s">
        <v>4152</v>
      </c>
      <c r="F309" s="218" t="s">
        <v>1956</v>
      </c>
      <c r="G309" s="359" t="s">
        <v>4768</v>
      </c>
    </row>
    <row r="310" spans="1:7">
      <c r="A310" s="239" t="s">
        <v>4783</v>
      </c>
      <c r="B310" s="164" t="s">
        <v>1462</v>
      </c>
      <c r="C310" s="154">
        <v>1</v>
      </c>
      <c r="D310" s="176" t="s">
        <v>1957</v>
      </c>
      <c r="E310" s="178" t="s">
        <v>4153</v>
      </c>
      <c r="F310" s="218" t="s">
        <v>1958</v>
      </c>
      <c r="G310" s="359" t="s">
        <v>4768</v>
      </c>
    </row>
    <row r="311" spans="1:7">
      <c r="A311" s="239" t="s">
        <v>4783</v>
      </c>
      <c r="B311" s="164" t="s">
        <v>1462</v>
      </c>
      <c r="C311" s="154">
        <v>1</v>
      </c>
      <c r="D311" s="176" t="s">
        <v>1959</v>
      </c>
      <c r="E311" s="178" t="s">
        <v>4154</v>
      </c>
      <c r="F311" s="218" t="s">
        <v>1960</v>
      </c>
      <c r="G311" s="359" t="s">
        <v>4768</v>
      </c>
    </row>
    <row r="312" spans="1:7">
      <c r="A312" s="239" t="s">
        <v>4783</v>
      </c>
      <c r="B312" s="164" t="s">
        <v>1462</v>
      </c>
      <c r="C312" s="154">
        <v>1</v>
      </c>
      <c r="D312" s="176" t="s">
        <v>1961</v>
      </c>
      <c r="E312" s="178" t="s">
        <v>4155</v>
      </c>
      <c r="F312" s="218" t="s">
        <v>1962</v>
      </c>
      <c r="G312" s="359" t="s">
        <v>4768</v>
      </c>
    </row>
    <row r="313" spans="1:7">
      <c r="A313" s="239" t="s">
        <v>4783</v>
      </c>
      <c r="B313" s="164" t="s">
        <v>1462</v>
      </c>
      <c r="C313" s="154">
        <v>1</v>
      </c>
      <c r="D313" s="176" t="s">
        <v>1963</v>
      </c>
      <c r="E313" s="178" t="s">
        <v>4156</v>
      </c>
      <c r="F313" s="218" t="s">
        <v>1964</v>
      </c>
      <c r="G313" s="359" t="s">
        <v>4768</v>
      </c>
    </row>
    <row r="314" spans="1:7">
      <c r="A314" s="239" t="s">
        <v>4783</v>
      </c>
      <c r="B314" s="164" t="s">
        <v>1462</v>
      </c>
      <c r="C314" s="154">
        <v>1</v>
      </c>
      <c r="D314" s="176" t="s">
        <v>1965</v>
      </c>
      <c r="E314" s="178" t="s">
        <v>4157</v>
      </c>
      <c r="F314" s="218" t="s">
        <v>1966</v>
      </c>
      <c r="G314" s="359" t="s">
        <v>4768</v>
      </c>
    </row>
    <row r="315" spans="1:7">
      <c r="A315" s="239" t="s">
        <v>4783</v>
      </c>
      <c r="B315" s="164" t="s">
        <v>1462</v>
      </c>
      <c r="C315" s="154">
        <v>1</v>
      </c>
      <c r="D315" s="176" t="s">
        <v>1967</v>
      </c>
      <c r="E315" s="178" t="s">
        <v>4158</v>
      </c>
      <c r="F315" s="218" t="s">
        <v>1968</v>
      </c>
      <c r="G315" s="359" t="s">
        <v>4768</v>
      </c>
    </row>
    <row r="316" spans="1:7">
      <c r="A316" s="239" t="s">
        <v>4783</v>
      </c>
      <c r="B316" s="164" t="s">
        <v>1462</v>
      </c>
      <c r="C316" s="154">
        <v>1</v>
      </c>
      <c r="D316" s="176" t="s">
        <v>1969</v>
      </c>
      <c r="E316" s="178" t="s">
        <v>4159</v>
      </c>
      <c r="F316" s="218" t="s">
        <v>1970</v>
      </c>
      <c r="G316" s="359" t="s">
        <v>4768</v>
      </c>
    </row>
    <row r="317" spans="1:7">
      <c r="A317" s="239" t="s">
        <v>4783</v>
      </c>
      <c r="B317" s="164" t="s">
        <v>1462</v>
      </c>
      <c r="C317" s="154">
        <v>1</v>
      </c>
      <c r="D317" s="176" t="s">
        <v>1971</v>
      </c>
      <c r="E317" s="178" t="s">
        <v>4160</v>
      </c>
      <c r="F317" s="218" t="s">
        <v>1972</v>
      </c>
      <c r="G317" s="359" t="s">
        <v>4768</v>
      </c>
    </row>
    <row r="318" spans="1:7">
      <c r="A318" s="239" t="s">
        <v>4783</v>
      </c>
      <c r="B318" s="164" t="s">
        <v>1462</v>
      </c>
      <c r="C318" s="154">
        <v>1</v>
      </c>
      <c r="D318" s="176" t="s">
        <v>1973</v>
      </c>
      <c r="E318" s="178" t="s">
        <v>4161</v>
      </c>
      <c r="F318" s="218" t="s">
        <v>1974</v>
      </c>
      <c r="G318" s="359" t="s">
        <v>4768</v>
      </c>
    </row>
    <row r="319" spans="1:7">
      <c r="A319" s="239" t="s">
        <v>4783</v>
      </c>
      <c r="B319" s="164" t="s">
        <v>1462</v>
      </c>
      <c r="C319" s="154">
        <v>1</v>
      </c>
      <c r="D319" s="176" t="s">
        <v>1975</v>
      </c>
      <c r="E319" s="178" t="s">
        <v>4162</v>
      </c>
      <c r="F319" s="218" t="s">
        <v>1976</v>
      </c>
      <c r="G319" s="359" t="s">
        <v>4768</v>
      </c>
    </row>
    <row r="320" spans="1:7">
      <c r="A320" s="239" t="s">
        <v>4783</v>
      </c>
      <c r="B320" s="164" t="s">
        <v>1462</v>
      </c>
      <c r="C320" s="154">
        <v>1</v>
      </c>
      <c r="D320" s="176" t="s">
        <v>1977</v>
      </c>
      <c r="E320" s="178" t="s">
        <v>4163</v>
      </c>
      <c r="F320" s="218" t="s">
        <v>1978</v>
      </c>
      <c r="G320" s="359" t="s">
        <v>4768</v>
      </c>
    </row>
    <row r="321" spans="1:7">
      <c r="A321" s="239" t="s">
        <v>4783</v>
      </c>
      <c r="B321" s="164" t="s">
        <v>1462</v>
      </c>
      <c r="C321" s="154">
        <v>1</v>
      </c>
      <c r="D321" s="176" t="s">
        <v>1979</v>
      </c>
      <c r="E321" s="178" t="s">
        <v>4164</v>
      </c>
      <c r="F321" s="218" t="s">
        <v>1980</v>
      </c>
      <c r="G321" s="359" t="s">
        <v>4768</v>
      </c>
    </row>
    <row r="322" spans="1:7">
      <c r="A322" s="239" t="s">
        <v>4783</v>
      </c>
      <c r="B322" s="164" t="s">
        <v>1462</v>
      </c>
      <c r="C322" s="154">
        <v>1</v>
      </c>
      <c r="D322" s="176" t="s">
        <v>1981</v>
      </c>
      <c r="E322" s="178" t="s">
        <v>4165</v>
      </c>
      <c r="F322" s="218" t="s">
        <v>1982</v>
      </c>
      <c r="G322" s="359" t="s">
        <v>4768</v>
      </c>
    </row>
    <row r="323" spans="1:7">
      <c r="A323" s="239" t="s">
        <v>4783</v>
      </c>
      <c r="B323" s="164" t="s">
        <v>1462</v>
      </c>
      <c r="C323" s="154">
        <v>1</v>
      </c>
      <c r="D323" s="176" t="s">
        <v>1983</v>
      </c>
      <c r="E323" s="178" t="s">
        <v>4166</v>
      </c>
      <c r="F323" s="218" t="s">
        <v>1984</v>
      </c>
      <c r="G323" s="359" t="s">
        <v>4768</v>
      </c>
    </row>
    <row r="324" spans="1:7">
      <c r="A324" s="239" t="s">
        <v>4783</v>
      </c>
      <c r="B324" s="164" t="s">
        <v>1462</v>
      </c>
      <c r="C324" s="154">
        <v>1</v>
      </c>
      <c r="D324" s="176" t="s">
        <v>1985</v>
      </c>
      <c r="E324" s="178" t="s">
        <v>4167</v>
      </c>
      <c r="F324" s="218" t="s">
        <v>1986</v>
      </c>
      <c r="G324" s="359" t="s">
        <v>4768</v>
      </c>
    </row>
    <row r="325" spans="1:7">
      <c r="A325" s="239" t="s">
        <v>4783</v>
      </c>
      <c r="B325" s="164" t="s">
        <v>1462</v>
      </c>
      <c r="C325" s="154">
        <v>1</v>
      </c>
      <c r="D325" s="176" t="s">
        <v>1987</v>
      </c>
      <c r="E325" s="178" t="s">
        <v>4168</v>
      </c>
      <c r="F325" s="218" t="s">
        <v>1988</v>
      </c>
      <c r="G325" s="359" t="s">
        <v>4768</v>
      </c>
    </row>
    <row r="326" spans="1:7">
      <c r="A326" s="239" t="s">
        <v>4783</v>
      </c>
      <c r="B326" s="164" t="s">
        <v>1462</v>
      </c>
      <c r="C326" s="154">
        <v>1</v>
      </c>
      <c r="D326" s="176">
        <v>26</v>
      </c>
      <c r="E326" s="178" t="s">
        <v>4169</v>
      </c>
      <c r="F326" s="218" t="s">
        <v>1989</v>
      </c>
      <c r="G326" s="359" t="s">
        <v>4768</v>
      </c>
    </row>
    <row r="327" spans="1:7">
      <c r="A327" s="239" t="s">
        <v>4783</v>
      </c>
      <c r="B327" s="164" t="s">
        <v>1462</v>
      </c>
      <c r="C327" s="154">
        <v>1</v>
      </c>
      <c r="D327" s="176" t="s">
        <v>1990</v>
      </c>
      <c r="E327" s="178" t="s">
        <v>4170</v>
      </c>
      <c r="F327" s="218" t="s">
        <v>1991</v>
      </c>
      <c r="G327" s="359" t="s">
        <v>4768</v>
      </c>
    </row>
    <row r="328" spans="1:7">
      <c r="A328" s="239" t="s">
        <v>4783</v>
      </c>
      <c r="B328" s="164" t="s">
        <v>1462</v>
      </c>
      <c r="C328" s="154">
        <v>1</v>
      </c>
      <c r="D328" s="176" t="s">
        <v>1992</v>
      </c>
      <c r="E328" s="178" t="s">
        <v>4171</v>
      </c>
      <c r="F328" s="218" t="s">
        <v>1993</v>
      </c>
      <c r="G328" s="359" t="s">
        <v>4768</v>
      </c>
    </row>
    <row r="329" spans="1:7">
      <c r="A329" s="239" t="s">
        <v>4783</v>
      </c>
      <c r="B329" s="164" t="s">
        <v>1462</v>
      </c>
      <c r="C329" s="154">
        <v>1</v>
      </c>
      <c r="D329" s="176" t="s">
        <v>1994</v>
      </c>
      <c r="E329" s="178" t="s">
        <v>4172</v>
      </c>
      <c r="F329" s="218" t="s">
        <v>1995</v>
      </c>
      <c r="G329" s="359" t="s">
        <v>4768</v>
      </c>
    </row>
    <row r="330" spans="1:7">
      <c r="A330" s="239" t="s">
        <v>4783</v>
      </c>
      <c r="B330" s="164" t="s">
        <v>1462</v>
      </c>
      <c r="C330" s="154">
        <v>1</v>
      </c>
      <c r="D330" s="176" t="s">
        <v>1996</v>
      </c>
      <c r="E330" s="178" t="s">
        <v>4173</v>
      </c>
      <c r="F330" s="218" t="s">
        <v>1997</v>
      </c>
      <c r="G330" s="359" t="s">
        <v>4768</v>
      </c>
    </row>
    <row r="331" spans="1:7">
      <c r="A331" s="239" t="s">
        <v>4783</v>
      </c>
      <c r="B331" s="164" t="s">
        <v>1462</v>
      </c>
      <c r="C331" s="154">
        <v>1</v>
      </c>
      <c r="D331" s="176" t="s">
        <v>1998</v>
      </c>
      <c r="E331" s="178" t="s">
        <v>4174</v>
      </c>
      <c r="F331" s="218" t="s">
        <v>1999</v>
      </c>
      <c r="G331" s="359" t="s">
        <v>4768</v>
      </c>
    </row>
    <row r="332" spans="1:7">
      <c r="A332" s="239" t="s">
        <v>4783</v>
      </c>
      <c r="B332" s="164" t="s">
        <v>1462</v>
      </c>
      <c r="C332" s="154">
        <v>1</v>
      </c>
      <c r="D332" s="176" t="s">
        <v>2000</v>
      </c>
      <c r="E332" s="178" t="s">
        <v>4175</v>
      </c>
      <c r="F332" s="218" t="s">
        <v>2001</v>
      </c>
      <c r="G332" s="359" t="s">
        <v>4768</v>
      </c>
    </row>
    <row r="333" spans="1:7">
      <c r="A333" s="239" t="s">
        <v>4783</v>
      </c>
      <c r="B333" s="164" t="s">
        <v>1462</v>
      </c>
      <c r="C333" s="154">
        <v>1</v>
      </c>
      <c r="D333" s="176" t="s">
        <v>2002</v>
      </c>
      <c r="E333" s="178" t="s">
        <v>4176</v>
      </c>
      <c r="F333" s="218" t="s">
        <v>2003</v>
      </c>
      <c r="G333" s="359" t="s">
        <v>4768</v>
      </c>
    </row>
    <row r="334" spans="1:7">
      <c r="A334" s="239" t="s">
        <v>4783</v>
      </c>
      <c r="B334" s="164" t="s">
        <v>1462</v>
      </c>
      <c r="C334" s="154">
        <v>1</v>
      </c>
      <c r="D334" s="176" t="s">
        <v>2004</v>
      </c>
      <c r="E334" s="178" t="s">
        <v>4177</v>
      </c>
      <c r="F334" s="218" t="s">
        <v>2005</v>
      </c>
      <c r="G334" s="359" t="s">
        <v>4768</v>
      </c>
    </row>
    <row r="335" spans="1:7">
      <c r="A335" s="239" t="s">
        <v>4783</v>
      </c>
      <c r="B335" s="164" t="s">
        <v>1462</v>
      </c>
      <c r="C335" s="154">
        <v>1</v>
      </c>
      <c r="D335" s="176" t="s">
        <v>2006</v>
      </c>
      <c r="E335" s="178" t="s">
        <v>4178</v>
      </c>
      <c r="F335" s="218" t="s">
        <v>2007</v>
      </c>
      <c r="G335" s="359" t="s">
        <v>4768</v>
      </c>
    </row>
    <row r="336" spans="1:7">
      <c r="A336" s="239" t="s">
        <v>4783</v>
      </c>
      <c r="B336" s="164" t="s">
        <v>1462</v>
      </c>
      <c r="C336" s="154">
        <v>1</v>
      </c>
      <c r="D336" s="176" t="s">
        <v>2008</v>
      </c>
      <c r="E336" s="178" t="s">
        <v>4179</v>
      </c>
      <c r="F336" s="218" t="s">
        <v>2009</v>
      </c>
      <c r="G336" s="359" t="s">
        <v>4768</v>
      </c>
    </row>
    <row r="337" spans="1:7">
      <c r="A337" s="239" t="s">
        <v>4783</v>
      </c>
      <c r="B337" s="164" t="s">
        <v>1462</v>
      </c>
      <c r="C337" s="154">
        <v>1</v>
      </c>
      <c r="D337" s="176" t="s">
        <v>2010</v>
      </c>
      <c r="E337" s="178" t="s">
        <v>4180</v>
      </c>
      <c r="F337" s="218" t="s">
        <v>2011</v>
      </c>
      <c r="G337" s="359" t="s">
        <v>4768</v>
      </c>
    </row>
    <row r="338" spans="1:7">
      <c r="A338" s="239" t="s">
        <v>4783</v>
      </c>
      <c r="B338" s="164" t="s">
        <v>1462</v>
      </c>
      <c r="C338" s="154">
        <v>1</v>
      </c>
      <c r="D338" s="176" t="s">
        <v>2012</v>
      </c>
      <c r="E338" s="178" t="s">
        <v>4181</v>
      </c>
      <c r="F338" s="218" t="s">
        <v>2013</v>
      </c>
      <c r="G338" s="359" t="s">
        <v>4768</v>
      </c>
    </row>
    <row r="339" spans="1:7">
      <c r="A339" s="239" t="s">
        <v>4783</v>
      </c>
      <c r="B339" s="164" t="s">
        <v>1462</v>
      </c>
      <c r="C339" s="154">
        <v>1</v>
      </c>
      <c r="D339" s="176" t="s">
        <v>2014</v>
      </c>
      <c r="E339" s="178" t="s">
        <v>4182</v>
      </c>
      <c r="F339" s="218" t="s">
        <v>2015</v>
      </c>
      <c r="G339" s="359" t="s">
        <v>4768</v>
      </c>
    </row>
    <row r="340" spans="1:7">
      <c r="A340" s="239" t="s">
        <v>4783</v>
      </c>
      <c r="B340" s="164" t="s">
        <v>1462</v>
      </c>
      <c r="C340" s="154">
        <v>1</v>
      </c>
      <c r="D340" s="176">
        <v>27</v>
      </c>
      <c r="E340" s="178" t="s">
        <v>4183</v>
      </c>
      <c r="F340" s="218" t="s">
        <v>2016</v>
      </c>
      <c r="G340" s="359" t="s">
        <v>4768</v>
      </c>
    </row>
    <row r="341" spans="1:7">
      <c r="A341" s="239" t="s">
        <v>4783</v>
      </c>
      <c r="B341" s="164" t="s">
        <v>1462</v>
      </c>
      <c r="C341" s="154">
        <v>1</v>
      </c>
      <c r="D341" s="176" t="s">
        <v>2017</v>
      </c>
      <c r="E341" s="178" t="s">
        <v>4184</v>
      </c>
      <c r="F341" s="218" t="s">
        <v>2018</v>
      </c>
      <c r="G341" s="359" t="s">
        <v>4768</v>
      </c>
    </row>
    <row r="342" spans="1:7">
      <c r="A342" s="239" t="s">
        <v>4783</v>
      </c>
      <c r="B342" s="164" t="s">
        <v>1462</v>
      </c>
      <c r="C342" s="154">
        <v>1</v>
      </c>
      <c r="D342" s="176" t="s">
        <v>2019</v>
      </c>
      <c r="E342" s="178" t="s">
        <v>4185</v>
      </c>
      <c r="F342" s="218" t="s">
        <v>2020</v>
      </c>
      <c r="G342" s="359" t="s">
        <v>4768</v>
      </c>
    </row>
    <row r="343" spans="1:7">
      <c r="A343" s="239" t="s">
        <v>4783</v>
      </c>
      <c r="B343" s="164" t="s">
        <v>1462</v>
      </c>
      <c r="C343" s="154">
        <v>1</v>
      </c>
      <c r="D343" s="176" t="s">
        <v>2021</v>
      </c>
      <c r="E343" s="178" t="s">
        <v>4186</v>
      </c>
      <c r="F343" s="218" t="s">
        <v>2022</v>
      </c>
      <c r="G343" s="359" t="s">
        <v>4768</v>
      </c>
    </row>
    <row r="344" spans="1:7">
      <c r="A344" s="239" t="s">
        <v>4783</v>
      </c>
      <c r="B344" s="164" t="s">
        <v>1462</v>
      </c>
      <c r="C344" s="154">
        <v>1</v>
      </c>
      <c r="D344" s="176" t="s">
        <v>2023</v>
      </c>
      <c r="E344" s="178" t="s">
        <v>4187</v>
      </c>
      <c r="F344" s="218" t="s">
        <v>2024</v>
      </c>
      <c r="G344" s="359" t="s">
        <v>4768</v>
      </c>
    </row>
    <row r="345" spans="1:7">
      <c r="A345" s="239" t="s">
        <v>4783</v>
      </c>
      <c r="B345" s="164" t="s">
        <v>1462</v>
      </c>
      <c r="C345" s="154">
        <v>1</v>
      </c>
      <c r="D345" s="176" t="s">
        <v>2025</v>
      </c>
      <c r="E345" s="178" t="s">
        <v>4188</v>
      </c>
      <c r="F345" s="218" t="s">
        <v>2026</v>
      </c>
      <c r="G345" s="359" t="s">
        <v>4768</v>
      </c>
    </row>
    <row r="346" spans="1:7">
      <c r="A346" s="239" t="s">
        <v>4783</v>
      </c>
      <c r="B346" s="164" t="s">
        <v>1462</v>
      </c>
      <c r="C346" s="154">
        <v>1</v>
      </c>
      <c r="D346" s="176" t="s">
        <v>2027</v>
      </c>
      <c r="E346" s="178" t="s">
        <v>4189</v>
      </c>
      <c r="F346" s="218" t="s">
        <v>2028</v>
      </c>
      <c r="G346" s="359" t="s">
        <v>4768</v>
      </c>
    </row>
    <row r="347" spans="1:7">
      <c r="A347" s="239" t="s">
        <v>4783</v>
      </c>
      <c r="B347" s="164" t="s">
        <v>1462</v>
      </c>
      <c r="C347" s="154">
        <v>1</v>
      </c>
      <c r="D347" s="176" t="s">
        <v>2029</v>
      </c>
      <c r="E347" s="178" t="s">
        <v>4190</v>
      </c>
      <c r="F347" s="218" t="s">
        <v>2030</v>
      </c>
      <c r="G347" s="359" t="s">
        <v>4768</v>
      </c>
    </row>
    <row r="348" spans="1:7">
      <c r="A348" s="239" t="s">
        <v>4783</v>
      </c>
      <c r="B348" s="164" t="s">
        <v>1462</v>
      </c>
      <c r="C348" s="154">
        <v>1</v>
      </c>
      <c r="D348" s="176" t="s">
        <v>2031</v>
      </c>
      <c r="E348" s="178" t="s">
        <v>4191</v>
      </c>
      <c r="F348" s="218" t="s">
        <v>2032</v>
      </c>
      <c r="G348" s="359" t="s">
        <v>4768</v>
      </c>
    </row>
    <row r="349" spans="1:7">
      <c r="A349" s="239" t="s">
        <v>4783</v>
      </c>
      <c r="B349" s="164" t="s">
        <v>1462</v>
      </c>
      <c r="C349" s="154">
        <v>1</v>
      </c>
      <c r="D349" s="176" t="s">
        <v>2033</v>
      </c>
      <c r="E349" s="178" t="s">
        <v>4192</v>
      </c>
      <c r="F349" s="218" t="s">
        <v>2034</v>
      </c>
      <c r="G349" s="359" t="s">
        <v>4768</v>
      </c>
    </row>
    <row r="350" spans="1:7">
      <c r="A350" s="239" t="s">
        <v>4783</v>
      </c>
      <c r="B350" s="164" t="s">
        <v>1462</v>
      </c>
      <c r="C350" s="154">
        <v>1</v>
      </c>
      <c r="D350" s="176" t="s">
        <v>2035</v>
      </c>
      <c r="E350" s="178" t="s">
        <v>4193</v>
      </c>
      <c r="F350" s="218" t="s">
        <v>2036</v>
      </c>
      <c r="G350" s="359" t="s">
        <v>4768</v>
      </c>
    </row>
    <row r="351" spans="1:7">
      <c r="A351" s="239" t="s">
        <v>4783</v>
      </c>
      <c r="B351" s="164" t="s">
        <v>1462</v>
      </c>
      <c r="C351" s="154">
        <v>1</v>
      </c>
      <c r="D351" s="176" t="s">
        <v>2037</v>
      </c>
      <c r="E351" s="178" t="s">
        <v>4194</v>
      </c>
      <c r="F351" s="218" t="s">
        <v>2038</v>
      </c>
      <c r="G351" s="359" t="s">
        <v>4768</v>
      </c>
    </row>
    <row r="352" spans="1:7">
      <c r="A352" s="239" t="s">
        <v>4783</v>
      </c>
      <c r="B352" s="164" t="s">
        <v>1462</v>
      </c>
      <c r="C352" s="154">
        <v>1</v>
      </c>
      <c r="D352" s="176" t="s">
        <v>2039</v>
      </c>
      <c r="E352" s="178" t="s">
        <v>4195</v>
      </c>
      <c r="F352" s="218" t="s">
        <v>2040</v>
      </c>
      <c r="G352" s="359" t="s">
        <v>4768</v>
      </c>
    </row>
    <row r="353" spans="1:7">
      <c r="A353" s="239" t="s">
        <v>4783</v>
      </c>
      <c r="B353" s="164" t="s">
        <v>1462</v>
      </c>
      <c r="C353" s="154">
        <v>1</v>
      </c>
      <c r="D353" s="176" t="s">
        <v>2041</v>
      </c>
      <c r="E353" s="178" t="s">
        <v>4196</v>
      </c>
      <c r="F353" s="218" t="s">
        <v>2042</v>
      </c>
      <c r="G353" s="359" t="s">
        <v>4768</v>
      </c>
    </row>
    <row r="354" spans="1:7">
      <c r="A354" s="239" t="s">
        <v>4783</v>
      </c>
      <c r="B354" s="164" t="s">
        <v>1462</v>
      </c>
      <c r="C354" s="154">
        <v>1</v>
      </c>
      <c r="D354" s="176">
        <v>28</v>
      </c>
      <c r="E354" s="178" t="s">
        <v>4197</v>
      </c>
      <c r="F354" s="218" t="s">
        <v>2043</v>
      </c>
      <c r="G354" s="359" t="s">
        <v>4768</v>
      </c>
    </row>
    <row r="355" spans="1:7">
      <c r="A355" s="239" t="s">
        <v>4783</v>
      </c>
      <c r="B355" s="164" t="s">
        <v>1462</v>
      </c>
      <c r="C355" s="154">
        <v>1</v>
      </c>
      <c r="D355" s="176" t="s">
        <v>2044</v>
      </c>
      <c r="E355" s="178" t="s">
        <v>4198</v>
      </c>
      <c r="F355" s="218" t="s">
        <v>2045</v>
      </c>
      <c r="G355" s="359" t="s">
        <v>4768</v>
      </c>
    </row>
    <row r="356" spans="1:7">
      <c r="A356" s="239" t="s">
        <v>4783</v>
      </c>
      <c r="B356" s="164" t="s">
        <v>1462</v>
      </c>
      <c r="C356" s="154">
        <v>1</v>
      </c>
      <c r="D356" s="176" t="s">
        <v>2046</v>
      </c>
      <c r="E356" s="178" t="s">
        <v>4199</v>
      </c>
      <c r="F356" s="218" t="s">
        <v>2047</v>
      </c>
      <c r="G356" s="359" t="s">
        <v>4768</v>
      </c>
    </row>
    <row r="357" spans="1:7">
      <c r="A357" s="239" t="s">
        <v>4783</v>
      </c>
      <c r="B357" s="164" t="s">
        <v>1462</v>
      </c>
      <c r="C357" s="154">
        <v>1</v>
      </c>
      <c r="D357" s="176" t="s">
        <v>2048</v>
      </c>
      <c r="E357" s="178" t="s">
        <v>4200</v>
      </c>
      <c r="F357" s="218" t="s">
        <v>2049</v>
      </c>
      <c r="G357" s="359" t="s">
        <v>4768</v>
      </c>
    </row>
    <row r="358" spans="1:7">
      <c r="A358" s="239" t="s">
        <v>4783</v>
      </c>
      <c r="B358" s="164" t="s">
        <v>1462</v>
      </c>
      <c r="C358" s="154">
        <v>1</v>
      </c>
      <c r="D358" s="176" t="s">
        <v>2050</v>
      </c>
      <c r="E358" s="178" t="s">
        <v>4201</v>
      </c>
      <c r="F358" s="218" t="s">
        <v>2051</v>
      </c>
      <c r="G358" s="359" t="s">
        <v>4768</v>
      </c>
    </row>
    <row r="359" spans="1:7">
      <c r="A359" s="239" t="s">
        <v>4783</v>
      </c>
      <c r="B359" s="164" t="s">
        <v>1462</v>
      </c>
      <c r="C359" s="154">
        <v>1</v>
      </c>
      <c r="D359" s="176" t="s">
        <v>2052</v>
      </c>
      <c r="E359" s="178" t="s">
        <v>4202</v>
      </c>
      <c r="F359" s="218" t="s">
        <v>2053</v>
      </c>
      <c r="G359" s="359" t="s">
        <v>4768</v>
      </c>
    </row>
    <row r="360" spans="1:7">
      <c r="A360" s="239" t="s">
        <v>4783</v>
      </c>
      <c r="B360" s="164" t="s">
        <v>1462</v>
      </c>
      <c r="C360" s="154">
        <v>1</v>
      </c>
      <c r="D360" s="176" t="s">
        <v>2054</v>
      </c>
      <c r="E360" s="178" t="s">
        <v>4203</v>
      </c>
      <c r="F360" s="218" t="s">
        <v>2055</v>
      </c>
      <c r="G360" s="359" t="s">
        <v>4768</v>
      </c>
    </row>
    <row r="361" spans="1:7">
      <c r="A361" s="239" t="s">
        <v>4783</v>
      </c>
      <c r="B361" s="164" t="s">
        <v>1462</v>
      </c>
      <c r="C361" s="154">
        <v>1</v>
      </c>
      <c r="D361" s="176" t="s">
        <v>2056</v>
      </c>
      <c r="E361" s="178" t="s">
        <v>4204</v>
      </c>
      <c r="F361" s="218" t="s">
        <v>2057</v>
      </c>
      <c r="G361" s="359" t="s">
        <v>4768</v>
      </c>
    </row>
    <row r="362" spans="1:7">
      <c r="A362" s="239" t="s">
        <v>4783</v>
      </c>
      <c r="B362" s="164" t="s">
        <v>1462</v>
      </c>
      <c r="C362" s="154">
        <v>1</v>
      </c>
      <c r="D362" s="176" t="s">
        <v>2058</v>
      </c>
      <c r="E362" s="178" t="s">
        <v>4205</v>
      </c>
      <c r="F362" s="218" t="s">
        <v>2059</v>
      </c>
      <c r="G362" s="359" t="s">
        <v>4768</v>
      </c>
    </row>
    <row r="363" spans="1:7">
      <c r="A363" s="239" t="s">
        <v>4783</v>
      </c>
      <c r="B363" s="164" t="s">
        <v>1462</v>
      </c>
      <c r="C363" s="154">
        <v>1</v>
      </c>
      <c r="D363" s="176" t="s">
        <v>2060</v>
      </c>
      <c r="E363" s="178" t="s">
        <v>4206</v>
      </c>
      <c r="F363" s="218" t="s">
        <v>2061</v>
      </c>
      <c r="G363" s="359" t="s">
        <v>4768</v>
      </c>
    </row>
    <row r="364" spans="1:7">
      <c r="A364" s="239" t="s">
        <v>4783</v>
      </c>
      <c r="B364" s="164" t="s">
        <v>1462</v>
      </c>
      <c r="C364" s="154">
        <v>1</v>
      </c>
      <c r="D364" s="176" t="s">
        <v>2062</v>
      </c>
      <c r="E364" s="178" t="s">
        <v>4207</v>
      </c>
      <c r="F364" s="218" t="s">
        <v>2063</v>
      </c>
      <c r="G364" s="359" t="s">
        <v>4768</v>
      </c>
    </row>
    <row r="365" spans="1:7">
      <c r="A365" s="239" t="s">
        <v>4783</v>
      </c>
      <c r="B365" s="164" t="s">
        <v>1462</v>
      </c>
      <c r="C365" s="154">
        <v>1</v>
      </c>
      <c r="D365" s="176" t="s">
        <v>2064</v>
      </c>
      <c r="E365" s="178" t="s">
        <v>4208</v>
      </c>
      <c r="F365" s="218" t="s">
        <v>2065</v>
      </c>
      <c r="G365" s="359" t="s">
        <v>4768</v>
      </c>
    </row>
    <row r="366" spans="1:7">
      <c r="A366" s="239" t="s">
        <v>4783</v>
      </c>
      <c r="B366" s="164" t="s">
        <v>1462</v>
      </c>
      <c r="C366" s="154">
        <v>1</v>
      </c>
      <c r="D366" s="176" t="s">
        <v>2066</v>
      </c>
      <c r="E366" s="178" t="s">
        <v>4209</v>
      </c>
      <c r="F366" s="218" t="s">
        <v>2067</v>
      </c>
      <c r="G366" s="359" t="s">
        <v>4768</v>
      </c>
    </row>
    <row r="367" spans="1:7">
      <c r="A367" s="239" t="s">
        <v>4783</v>
      </c>
      <c r="B367" s="164" t="s">
        <v>1462</v>
      </c>
      <c r="C367" s="154">
        <v>1</v>
      </c>
      <c r="D367" s="176" t="s">
        <v>2068</v>
      </c>
      <c r="E367" s="178" t="s">
        <v>4210</v>
      </c>
      <c r="F367" s="218" t="s">
        <v>2069</v>
      </c>
      <c r="G367" s="359" t="s">
        <v>4768</v>
      </c>
    </row>
    <row r="368" spans="1:7">
      <c r="A368" s="239" t="s">
        <v>4783</v>
      </c>
      <c r="B368" s="164" t="s">
        <v>1462</v>
      </c>
      <c r="C368" s="154">
        <v>1</v>
      </c>
      <c r="D368" s="176" t="s">
        <v>2070</v>
      </c>
      <c r="E368" s="178" t="s">
        <v>4211</v>
      </c>
      <c r="F368" s="218" t="s">
        <v>2071</v>
      </c>
      <c r="G368" s="359" t="s">
        <v>4768</v>
      </c>
    </row>
    <row r="369" spans="1:7">
      <c r="A369" s="239" t="s">
        <v>4783</v>
      </c>
      <c r="B369" s="164" t="s">
        <v>1462</v>
      </c>
      <c r="C369" s="154">
        <v>1</v>
      </c>
      <c r="D369" s="176" t="s">
        <v>2072</v>
      </c>
      <c r="E369" s="178" t="s">
        <v>4212</v>
      </c>
      <c r="F369" s="218" t="s">
        <v>2073</v>
      </c>
      <c r="G369" s="359" t="s">
        <v>4768</v>
      </c>
    </row>
    <row r="370" spans="1:7">
      <c r="A370" s="239" t="s">
        <v>4783</v>
      </c>
      <c r="B370" s="164" t="s">
        <v>1462</v>
      </c>
      <c r="C370" s="154">
        <v>1</v>
      </c>
      <c r="D370" s="176" t="s">
        <v>2074</v>
      </c>
      <c r="E370" s="178" t="s">
        <v>4213</v>
      </c>
      <c r="F370" s="218" t="s">
        <v>2075</v>
      </c>
      <c r="G370" s="359" t="s">
        <v>4768</v>
      </c>
    </row>
    <row r="371" spans="1:7">
      <c r="A371" s="239" t="s">
        <v>4783</v>
      </c>
      <c r="B371" s="164" t="s">
        <v>1462</v>
      </c>
      <c r="C371" s="154">
        <v>1</v>
      </c>
      <c r="D371" s="176" t="s">
        <v>2076</v>
      </c>
      <c r="E371" s="178" t="s">
        <v>4214</v>
      </c>
      <c r="F371" s="218" t="s">
        <v>2077</v>
      </c>
      <c r="G371" s="359" t="s">
        <v>4768</v>
      </c>
    </row>
    <row r="372" spans="1:7">
      <c r="A372" s="239" t="s">
        <v>4783</v>
      </c>
      <c r="B372" s="164" t="s">
        <v>1462</v>
      </c>
      <c r="C372" s="154">
        <v>1</v>
      </c>
      <c r="D372" s="176" t="s">
        <v>2078</v>
      </c>
      <c r="E372" s="178" t="s">
        <v>4215</v>
      </c>
      <c r="F372" s="218" t="s">
        <v>2079</v>
      </c>
      <c r="G372" s="359" t="s">
        <v>4768</v>
      </c>
    </row>
    <row r="373" spans="1:7">
      <c r="A373" s="239" t="s">
        <v>4783</v>
      </c>
      <c r="B373" s="164" t="s">
        <v>1462</v>
      </c>
      <c r="C373" s="154">
        <v>1</v>
      </c>
      <c r="D373" s="176" t="s">
        <v>2080</v>
      </c>
      <c r="E373" s="178" t="s">
        <v>4216</v>
      </c>
      <c r="F373" s="218" t="s">
        <v>2081</v>
      </c>
      <c r="G373" s="359" t="s">
        <v>4768</v>
      </c>
    </row>
    <row r="374" spans="1:7">
      <c r="A374" s="239" t="s">
        <v>4783</v>
      </c>
      <c r="B374" s="164" t="s">
        <v>1462</v>
      </c>
      <c r="C374" s="154">
        <v>1</v>
      </c>
      <c r="D374" s="176" t="s">
        <v>2082</v>
      </c>
      <c r="E374" s="178" t="s">
        <v>4217</v>
      </c>
      <c r="F374" s="218" t="s">
        <v>2083</v>
      </c>
      <c r="G374" s="359" t="s">
        <v>4768</v>
      </c>
    </row>
    <row r="375" spans="1:7">
      <c r="A375" s="239" t="s">
        <v>4783</v>
      </c>
      <c r="B375" s="164" t="s">
        <v>1462</v>
      </c>
      <c r="C375" s="154">
        <v>1</v>
      </c>
      <c r="D375" s="176" t="s">
        <v>2084</v>
      </c>
      <c r="E375" s="178" t="s">
        <v>4218</v>
      </c>
      <c r="F375" s="218" t="s">
        <v>2085</v>
      </c>
      <c r="G375" s="359" t="s">
        <v>4768</v>
      </c>
    </row>
    <row r="376" spans="1:7">
      <c r="A376" s="239" t="s">
        <v>4783</v>
      </c>
      <c r="B376" s="164" t="s">
        <v>1462</v>
      </c>
      <c r="C376" s="154">
        <v>1</v>
      </c>
      <c r="D376" s="176" t="s">
        <v>2086</v>
      </c>
      <c r="E376" s="178" t="s">
        <v>4219</v>
      </c>
      <c r="F376" s="218" t="s">
        <v>2087</v>
      </c>
      <c r="G376" s="359" t="s">
        <v>4768</v>
      </c>
    </row>
    <row r="377" spans="1:7">
      <c r="A377" s="239" t="s">
        <v>4783</v>
      </c>
      <c r="B377" s="164" t="s">
        <v>1462</v>
      </c>
      <c r="C377" s="154">
        <v>1</v>
      </c>
      <c r="D377" s="176" t="s">
        <v>2088</v>
      </c>
      <c r="E377" s="178" t="s">
        <v>4220</v>
      </c>
      <c r="F377" s="218" t="s">
        <v>2089</v>
      </c>
      <c r="G377" s="359" t="s">
        <v>4768</v>
      </c>
    </row>
    <row r="378" spans="1:7">
      <c r="A378" s="239" t="s">
        <v>4783</v>
      </c>
      <c r="B378" s="164" t="s">
        <v>1462</v>
      </c>
      <c r="C378" s="154">
        <v>1</v>
      </c>
      <c r="D378" s="176" t="s">
        <v>2090</v>
      </c>
      <c r="E378" s="178" t="s">
        <v>4221</v>
      </c>
      <c r="F378" s="218" t="s">
        <v>2091</v>
      </c>
      <c r="G378" s="359" t="s">
        <v>4768</v>
      </c>
    </row>
    <row r="379" spans="1:7">
      <c r="A379" s="239" t="s">
        <v>4783</v>
      </c>
      <c r="B379" s="164" t="s">
        <v>1462</v>
      </c>
      <c r="C379" s="154">
        <v>1</v>
      </c>
      <c r="D379" s="176" t="s">
        <v>2092</v>
      </c>
      <c r="E379" s="178" t="s">
        <v>4222</v>
      </c>
      <c r="F379" s="218" t="s">
        <v>2093</v>
      </c>
      <c r="G379" s="359" t="s">
        <v>4768</v>
      </c>
    </row>
    <row r="380" spans="1:7">
      <c r="A380" s="239" t="s">
        <v>4783</v>
      </c>
      <c r="B380" s="164" t="s">
        <v>1462</v>
      </c>
      <c r="C380" s="154">
        <v>1</v>
      </c>
      <c r="D380" s="176">
        <v>29</v>
      </c>
      <c r="E380" s="178" t="s">
        <v>4223</v>
      </c>
      <c r="F380" s="218" t="s">
        <v>2094</v>
      </c>
      <c r="G380" s="359" t="s">
        <v>4768</v>
      </c>
    </row>
    <row r="381" spans="1:7">
      <c r="A381" s="239" t="s">
        <v>4783</v>
      </c>
      <c r="B381" s="164" t="s">
        <v>1462</v>
      </c>
      <c r="C381" s="154">
        <v>1</v>
      </c>
      <c r="D381" s="176" t="s">
        <v>2095</v>
      </c>
      <c r="E381" s="178" t="s">
        <v>4224</v>
      </c>
      <c r="F381" s="218" t="s">
        <v>2096</v>
      </c>
      <c r="G381" s="359" t="s">
        <v>4768</v>
      </c>
    </row>
    <row r="382" spans="1:7">
      <c r="A382" s="239" t="s">
        <v>4783</v>
      </c>
      <c r="B382" s="164" t="s">
        <v>1462</v>
      </c>
      <c r="C382" s="154">
        <v>1</v>
      </c>
      <c r="D382" s="176" t="s">
        <v>2097</v>
      </c>
      <c r="E382" s="178" t="s">
        <v>4225</v>
      </c>
      <c r="F382" s="218" t="s">
        <v>2098</v>
      </c>
      <c r="G382" s="359" t="s">
        <v>4768</v>
      </c>
    </row>
    <row r="383" spans="1:7">
      <c r="A383" s="239" t="s">
        <v>4783</v>
      </c>
      <c r="B383" s="164" t="s">
        <v>1462</v>
      </c>
      <c r="C383" s="154">
        <v>1</v>
      </c>
      <c r="D383" s="176" t="s">
        <v>2099</v>
      </c>
      <c r="E383" s="178" t="s">
        <v>4226</v>
      </c>
      <c r="F383" s="218" t="s">
        <v>2100</v>
      </c>
      <c r="G383" s="359" t="s">
        <v>4768</v>
      </c>
    </row>
    <row r="384" spans="1:7">
      <c r="A384" s="239" t="s">
        <v>4783</v>
      </c>
      <c r="B384" s="164" t="s">
        <v>1462</v>
      </c>
      <c r="C384" s="154">
        <v>1</v>
      </c>
      <c r="D384" s="176" t="s">
        <v>2101</v>
      </c>
      <c r="E384" s="178" t="s">
        <v>4227</v>
      </c>
      <c r="F384" s="218" t="s">
        <v>2102</v>
      </c>
      <c r="G384" s="359" t="s">
        <v>4768</v>
      </c>
    </row>
    <row r="385" spans="1:7">
      <c r="A385" s="239" t="s">
        <v>4783</v>
      </c>
      <c r="B385" s="164" t="s">
        <v>1462</v>
      </c>
      <c r="C385" s="154">
        <v>1</v>
      </c>
      <c r="D385" s="176" t="s">
        <v>2103</v>
      </c>
      <c r="E385" s="178" t="s">
        <v>4228</v>
      </c>
      <c r="F385" s="218" t="s">
        <v>2104</v>
      </c>
      <c r="G385" s="359" t="s">
        <v>4768</v>
      </c>
    </row>
    <row r="386" spans="1:7">
      <c r="A386" s="239" t="s">
        <v>4783</v>
      </c>
      <c r="B386" s="164" t="s">
        <v>1462</v>
      </c>
      <c r="C386" s="154">
        <v>1</v>
      </c>
      <c r="D386" s="176">
        <v>30</v>
      </c>
      <c r="E386" s="178" t="s">
        <v>4229</v>
      </c>
      <c r="F386" s="218" t="s">
        <v>2105</v>
      </c>
      <c r="G386" s="359" t="s">
        <v>4768</v>
      </c>
    </row>
    <row r="387" spans="1:7">
      <c r="A387" s="239" t="s">
        <v>4783</v>
      </c>
      <c r="B387" s="164" t="s">
        <v>1462</v>
      </c>
      <c r="C387" s="154">
        <v>1</v>
      </c>
      <c r="D387" s="176" t="s">
        <v>2106</v>
      </c>
      <c r="E387" s="178" t="s">
        <v>4230</v>
      </c>
      <c r="F387" s="218" t="s">
        <v>2107</v>
      </c>
      <c r="G387" s="359" t="s">
        <v>4768</v>
      </c>
    </row>
    <row r="388" spans="1:7">
      <c r="A388" s="239" t="s">
        <v>4783</v>
      </c>
      <c r="B388" s="164" t="s">
        <v>1462</v>
      </c>
      <c r="C388" s="154">
        <v>1</v>
      </c>
      <c r="D388" s="176" t="s">
        <v>2108</v>
      </c>
      <c r="E388" s="178" t="s">
        <v>4231</v>
      </c>
      <c r="F388" s="218" t="s">
        <v>2109</v>
      </c>
      <c r="G388" s="359" t="s">
        <v>4768</v>
      </c>
    </row>
    <row r="389" spans="1:7">
      <c r="A389" s="239" t="s">
        <v>4783</v>
      </c>
      <c r="B389" s="164" t="s">
        <v>1462</v>
      </c>
      <c r="C389" s="154">
        <v>1</v>
      </c>
      <c r="D389" s="176" t="s">
        <v>2110</v>
      </c>
      <c r="E389" s="178" t="s">
        <v>4232</v>
      </c>
      <c r="F389" s="218" t="s">
        <v>2111</v>
      </c>
      <c r="G389" s="359" t="s">
        <v>4768</v>
      </c>
    </row>
    <row r="390" spans="1:7">
      <c r="A390" s="239" t="s">
        <v>4783</v>
      </c>
      <c r="B390" s="164" t="s">
        <v>1462</v>
      </c>
      <c r="C390" s="154">
        <v>1</v>
      </c>
      <c r="D390" s="176" t="s">
        <v>2112</v>
      </c>
      <c r="E390" s="178" t="s">
        <v>4233</v>
      </c>
      <c r="F390" s="218" t="s">
        <v>2113</v>
      </c>
      <c r="G390" s="359" t="s">
        <v>4768</v>
      </c>
    </row>
    <row r="391" spans="1:7">
      <c r="A391" s="239" t="s">
        <v>4783</v>
      </c>
      <c r="B391" s="164" t="s">
        <v>1462</v>
      </c>
      <c r="C391" s="154">
        <v>1</v>
      </c>
      <c r="D391" s="176" t="s">
        <v>2114</v>
      </c>
      <c r="E391" s="178" t="s">
        <v>4234</v>
      </c>
      <c r="F391" s="218" t="s">
        <v>2115</v>
      </c>
      <c r="G391" s="359" t="s">
        <v>4768</v>
      </c>
    </row>
    <row r="392" spans="1:7">
      <c r="A392" s="239" t="s">
        <v>4783</v>
      </c>
      <c r="B392" s="164" t="s">
        <v>1462</v>
      </c>
      <c r="C392" s="154">
        <v>1</v>
      </c>
      <c r="D392" s="176" t="s">
        <v>2116</v>
      </c>
      <c r="E392" s="178" t="s">
        <v>4235</v>
      </c>
      <c r="F392" s="218" t="s">
        <v>2117</v>
      </c>
      <c r="G392" s="359" t="s">
        <v>4768</v>
      </c>
    </row>
    <row r="393" spans="1:7">
      <c r="A393" s="239" t="s">
        <v>4783</v>
      </c>
      <c r="B393" s="164" t="s">
        <v>1462</v>
      </c>
      <c r="C393" s="154">
        <v>1</v>
      </c>
      <c r="D393" s="176" t="s">
        <v>2118</v>
      </c>
      <c r="E393" s="178" t="s">
        <v>4236</v>
      </c>
      <c r="F393" s="218" t="s">
        <v>2119</v>
      </c>
      <c r="G393" s="359" t="s">
        <v>4768</v>
      </c>
    </row>
    <row r="394" spans="1:7">
      <c r="A394" s="239" t="s">
        <v>4783</v>
      </c>
      <c r="B394" s="164" t="s">
        <v>1462</v>
      </c>
      <c r="C394" s="154">
        <v>1</v>
      </c>
      <c r="D394" s="176" t="s">
        <v>2120</v>
      </c>
      <c r="E394" s="178" t="s">
        <v>4237</v>
      </c>
      <c r="F394" s="218" t="s">
        <v>2121</v>
      </c>
      <c r="G394" s="359" t="s">
        <v>4768</v>
      </c>
    </row>
    <row r="395" spans="1:7">
      <c r="A395" s="239" t="s">
        <v>4783</v>
      </c>
      <c r="B395" s="164" t="s">
        <v>1462</v>
      </c>
      <c r="C395" s="154">
        <v>1</v>
      </c>
      <c r="D395" s="176" t="s">
        <v>2122</v>
      </c>
      <c r="E395" s="178" t="s">
        <v>4238</v>
      </c>
      <c r="F395" s="218" t="s">
        <v>2123</v>
      </c>
      <c r="G395" s="359" t="s">
        <v>4768</v>
      </c>
    </row>
    <row r="396" spans="1:7">
      <c r="A396" s="239" t="s">
        <v>4783</v>
      </c>
      <c r="B396" s="164" t="s">
        <v>1462</v>
      </c>
      <c r="C396" s="154">
        <v>1</v>
      </c>
      <c r="D396" s="176" t="s">
        <v>2124</v>
      </c>
      <c r="E396" s="178" t="s">
        <v>4239</v>
      </c>
      <c r="F396" s="218" t="s">
        <v>2125</v>
      </c>
      <c r="G396" s="359" t="s">
        <v>4768</v>
      </c>
    </row>
    <row r="397" spans="1:7">
      <c r="A397" s="239" t="s">
        <v>4783</v>
      </c>
      <c r="B397" s="164" t="s">
        <v>1462</v>
      </c>
      <c r="C397" s="154">
        <v>1</v>
      </c>
      <c r="D397" s="176">
        <v>31</v>
      </c>
      <c r="E397" s="178" t="s">
        <v>4240</v>
      </c>
      <c r="F397" s="218" t="s">
        <v>2126</v>
      </c>
      <c r="G397" s="359" t="s">
        <v>4768</v>
      </c>
    </row>
    <row r="398" spans="1:7">
      <c r="A398" s="239" t="s">
        <v>4783</v>
      </c>
      <c r="B398" s="164" t="s">
        <v>1462</v>
      </c>
      <c r="C398" s="154">
        <v>1</v>
      </c>
      <c r="D398" s="176" t="s">
        <v>2127</v>
      </c>
      <c r="E398" s="178" t="s">
        <v>4241</v>
      </c>
      <c r="F398" s="218" t="s">
        <v>2128</v>
      </c>
      <c r="G398" s="359" t="s">
        <v>4768</v>
      </c>
    </row>
    <row r="399" spans="1:7">
      <c r="A399" s="239" t="s">
        <v>4783</v>
      </c>
      <c r="B399" s="164" t="s">
        <v>1462</v>
      </c>
      <c r="C399" s="154">
        <v>1</v>
      </c>
      <c r="D399" s="176" t="s">
        <v>2129</v>
      </c>
      <c r="E399" s="178" t="s">
        <v>4242</v>
      </c>
      <c r="F399" s="218" t="s">
        <v>2130</v>
      </c>
      <c r="G399" s="359" t="s">
        <v>4768</v>
      </c>
    </row>
    <row r="400" spans="1:7">
      <c r="A400" s="239" t="s">
        <v>4783</v>
      </c>
      <c r="B400" s="164" t="s">
        <v>1462</v>
      </c>
      <c r="C400" s="154">
        <v>1</v>
      </c>
      <c r="D400" s="176" t="s">
        <v>2131</v>
      </c>
      <c r="E400" s="178" t="s">
        <v>4243</v>
      </c>
      <c r="F400" s="218" t="s">
        <v>2132</v>
      </c>
      <c r="G400" s="359" t="s">
        <v>4768</v>
      </c>
    </row>
    <row r="401" spans="1:7">
      <c r="A401" s="239" t="s">
        <v>4783</v>
      </c>
      <c r="B401" s="164" t="s">
        <v>1462</v>
      </c>
      <c r="C401" s="154">
        <v>1</v>
      </c>
      <c r="D401" s="176" t="s">
        <v>2133</v>
      </c>
      <c r="E401" s="178" t="s">
        <v>4244</v>
      </c>
      <c r="F401" s="218" t="s">
        <v>2134</v>
      </c>
      <c r="G401" s="359" t="s">
        <v>4768</v>
      </c>
    </row>
    <row r="402" spans="1:7">
      <c r="A402" s="239" t="s">
        <v>4783</v>
      </c>
      <c r="B402" s="164" t="s">
        <v>1462</v>
      </c>
      <c r="C402" s="154">
        <v>1</v>
      </c>
      <c r="D402" s="176">
        <v>32</v>
      </c>
      <c r="E402" s="178" t="s">
        <v>4245</v>
      </c>
      <c r="F402" s="218" t="s">
        <v>2135</v>
      </c>
      <c r="G402" s="359" t="s">
        <v>4768</v>
      </c>
    </row>
    <row r="403" spans="1:7">
      <c r="A403" s="239" t="s">
        <v>4783</v>
      </c>
      <c r="B403" s="164" t="s">
        <v>1462</v>
      </c>
      <c r="C403" s="154">
        <v>1</v>
      </c>
      <c r="D403" s="176" t="s">
        <v>2136</v>
      </c>
      <c r="E403" s="178" t="s">
        <v>4246</v>
      </c>
      <c r="F403" s="218" t="s">
        <v>2137</v>
      </c>
      <c r="G403" s="359" t="s">
        <v>4768</v>
      </c>
    </row>
    <row r="404" spans="1:7">
      <c r="A404" s="239" t="s">
        <v>4783</v>
      </c>
      <c r="B404" s="164" t="s">
        <v>1462</v>
      </c>
      <c r="C404" s="154">
        <v>1</v>
      </c>
      <c r="D404" s="176" t="s">
        <v>2138</v>
      </c>
      <c r="E404" s="178" t="s">
        <v>4247</v>
      </c>
      <c r="F404" s="218" t="s">
        <v>2139</v>
      </c>
      <c r="G404" s="359" t="s">
        <v>4768</v>
      </c>
    </row>
    <row r="405" spans="1:7">
      <c r="A405" s="239" t="s">
        <v>4783</v>
      </c>
      <c r="B405" s="164" t="s">
        <v>1462</v>
      </c>
      <c r="C405" s="154">
        <v>1</v>
      </c>
      <c r="D405" s="176" t="s">
        <v>2140</v>
      </c>
      <c r="E405" s="178" t="s">
        <v>4248</v>
      </c>
      <c r="F405" s="218" t="s">
        <v>2141</v>
      </c>
      <c r="G405" s="359" t="s">
        <v>4768</v>
      </c>
    </row>
    <row r="406" spans="1:7">
      <c r="A406" s="239" t="s">
        <v>4783</v>
      </c>
      <c r="B406" s="164" t="s">
        <v>1462</v>
      </c>
      <c r="C406" s="154">
        <v>1</v>
      </c>
      <c r="D406" s="176" t="s">
        <v>2142</v>
      </c>
      <c r="E406" s="178" t="s">
        <v>4249</v>
      </c>
      <c r="F406" s="218" t="s">
        <v>2143</v>
      </c>
      <c r="G406" s="359" t="s">
        <v>4768</v>
      </c>
    </row>
    <row r="407" spans="1:7">
      <c r="A407" s="239" t="s">
        <v>4783</v>
      </c>
      <c r="B407" s="164" t="s">
        <v>1462</v>
      </c>
      <c r="C407" s="154">
        <v>1</v>
      </c>
      <c r="D407" s="176" t="s">
        <v>2144</v>
      </c>
      <c r="E407" s="178" t="s">
        <v>4250</v>
      </c>
      <c r="F407" s="218" t="s">
        <v>2145</v>
      </c>
      <c r="G407" s="359" t="s">
        <v>4768</v>
      </c>
    </row>
    <row r="408" spans="1:7">
      <c r="A408" s="239" t="s">
        <v>4783</v>
      </c>
      <c r="B408" s="164" t="s">
        <v>1462</v>
      </c>
      <c r="C408" s="154">
        <v>1</v>
      </c>
      <c r="D408" s="176" t="s">
        <v>2146</v>
      </c>
      <c r="E408" s="178" t="s">
        <v>4251</v>
      </c>
      <c r="F408" s="218" t="s">
        <v>2147</v>
      </c>
      <c r="G408" s="359" t="s">
        <v>4768</v>
      </c>
    </row>
    <row r="409" spans="1:7">
      <c r="A409" s="239" t="s">
        <v>4783</v>
      </c>
      <c r="B409" s="164" t="s">
        <v>1462</v>
      </c>
      <c r="C409" s="154">
        <v>1</v>
      </c>
      <c r="D409" s="176" t="s">
        <v>2148</v>
      </c>
      <c r="E409" s="178" t="s">
        <v>4252</v>
      </c>
      <c r="F409" s="218" t="s">
        <v>2149</v>
      </c>
      <c r="G409" s="359" t="s">
        <v>4768</v>
      </c>
    </row>
    <row r="410" spans="1:7">
      <c r="A410" s="239" t="s">
        <v>4783</v>
      </c>
      <c r="B410" s="164" t="s">
        <v>1462</v>
      </c>
      <c r="C410" s="154">
        <v>1</v>
      </c>
      <c r="D410" s="176" t="s">
        <v>2150</v>
      </c>
      <c r="E410" s="178" t="s">
        <v>4253</v>
      </c>
      <c r="F410" s="218" t="s">
        <v>2151</v>
      </c>
      <c r="G410" s="359" t="s">
        <v>4768</v>
      </c>
    </row>
    <row r="411" spans="1:7">
      <c r="A411" s="239" t="s">
        <v>4783</v>
      </c>
      <c r="B411" s="164" t="s">
        <v>1462</v>
      </c>
      <c r="C411" s="154">
        <v>1</v>
      </c>
      <c r="D411" s="176" t="s">
        <v>2152</v>
      </c>
      <c r="E411" s="178" t="s">
        <v>4254</v>
      </c>
      <c r="F411" s="218" t="s">
        <v>2153</v>
      </c>
      <c r="G411" s="359" t="s">
        <v>4768</v>
      </c>
    </row>
    <row r="412" spans="1:7">
      <c r="A412" s="239" t="s">
        <v>4783</v>
      </c>
      <c r="B412" s="164" t="s">
        <v>1462</v>
      </c>
      <c r="C412" s="154">
        <v>1</v>
      </c>
      <c r="D412" s="176" t="s">
        <v>2154</v>
      </c>
      <c r="E412" s="178" t="s">
        <v>4255</v>
      </c>
      <c r="F412" s="218" t="s">
        <v>2155</v>
      </c>
      <c r="G412" s="359" t="s">
        <v>4768</v>
      </c>
    </row>
    <row r="413" spans="1:7">
      <c r="A413" s="239" t="s">
        <v>4783</v>
      </c>
      <c r="B413" s="164" t="s">
        <v>1462</v>
      </c>
      <c r="C413" s="154">
        <v>1</v>
      </c>
      <c r="D413" s="176" t="s">
        <v>2156</v>
      </c>
      <c r="E413" s="178" t="s">
        <v>4256</v>
      </c>
      <c r="F413" s="218" t="s">
        <v>2157</v>
      </c>
      <c r="G413" s="359" t="s">
        <v>4768</v>
      </c>
    </row>
    <row r="414" spans="1:7">
      <c r="A414" s="239" t="s">
        <v>4783</v>
      </c>
      <c r="B414" s="164" t="s">
        <v>1462</v>
      </c>
      <c r="C414" s="154">
        <v>1</v>
      </c>
      <c r="D414" s="176">
        <v>33</v>
      </c>
      <c r="E414" s="178" t="s">
        <v>4257</v>
      </c>
      <c r="F414" s="218" t="s">
        <v>2158</v>
      </c>
      <c r="G414" s="359" t="s">
        <v>4768</v>
      </c>
    </row>
    <row r="415" spans="1:7">
      <c r="A415" s="239" t="s">
        <v>4783</v>
      </c>
      <c r="B415" s="164" t="s">
        <v>1462</v>
      </c>
      <c r="C415" s="154">
        <v>1</v>
      </c>
      <c r="D415" s="176" t="s">
        <v>2159</v>
      </c>
      <c r="E415" s="178" t="s">
        <v>4258</v>
      </c>
      <c r="F415" s="218" t="s">
        <v>2160</v>
      </c>
      <c r="G415" s="359" t="s">
        <v>4768</v>
      </c>
    </row>
    <row r="416" spans="1:7">
      <c r="A416" s="239" t="s">
        <v>4783</v>
      </c>
      <c r="B416" s="164" t="s">
        <v>1462</v>
      </c>
      <c r="C416" s="154">
        <v>1</v>
      </c>
      <c r="D416" s="176" t="s">
        <v>2161</v>
      </c>
      <c r="E416" s="178" t="s">
        <v>4259</v>
      </c>
      <c r="F416" s="218" t="s">
        <v>2162</v>
      </c>
      <c r="G416" s="359" t="s">
        <v>4768</v>
      </c>
    </row>
    <row r="417" spans="1:7">
      <c r="A417" s="239" t="s">
        <v>4783</v>
      </c>
      <c r="B417" s="164" t="s">
        <v>1462</v>
      </c>
      <c r="C417" s="154">
        <v>1</v>
      </c>
      <c r="D417" s="176" t="s">
        <v>2163</v>
      </c>
      <c r="E417" s="178" t="s">
        <v>4260</v>
      </c>
      <c r="F417" s="218" t="s">
        <v>2164</v>
      </c>
      <c r="G417" s="359" t="s">
        <v>4768</v>
      </c>
    </row>
    <row r="418" spans="1:7">
      <c r="A418" s="239" t="s">
        <v>4783</v>
      </c>
      <c r="B418" s="164" t="s">
        <v>1462</v>
      </c>
      <c r="C418" s="154">
        <v>1</v>
      </c>
      <c r="D418" s="176" t="s">
        <v>2165</v>
      </c>
      <c r="E418" s="178" t="s">
        <v>4261</v>
      </c>
      <c r="F418" s="218" t="s">
        <v>2166</v>
      </c>
      <c r="G418" s="359" t="s">
        <v>4768</v>
      </c>
    </row>
    <row r="419" spans="1:7">
      <c r="A419" s="239" t="s">
        <v>4783</v>
      </c>
      <c r="B419" s="164" t="s">
        <v>1462</v>
      </c>
      <c r="C419" s="154">
        <v>1</v>
      </c>
      <c r="D419" s="176" t="s">
        <v>2167</v>
      </c>
      <c r="E419" s="178" t="s">
        <v>4262</v>
      </c>
      <c r="F419" s="218" t="s">
        <v>2168</v>
      </c>
      <c r="G419" s="359" t="s">
        <v>4768</v>
      </c>
    </row>
    <row r="420" spans="1:7">
      <c r="A420" s="239" t="s">
        <v>4783</v>
      </c>
      <c r="B420" s="164" t="s">
        <v>1462</v>
      </c>
      <c r="C420" s="154">
        <v>1</v>
      </c>
      <c r="D420" s="176" t="s">
        <v>2169</v>
      </c>
      <c r="E420" s="178" t="s">
        <v>4263</v>
      </c>
      <c r="F420" s="218" t="s">
        <v>2170</v>
      </c>
      <c r="G420" s="359" t="s">
        <v>4768</v>
      </c>
    </row>
    <row r="421" spans="1:7">
      <c r="A421" s="239" t="s">
        <v>4783</v>
      </c>
      <c r="B421" s="164" t="s">
        <v>1462</v>
      </c>
      <c r="C421" s="154">
        <v>1</v>
      </c>
      <c r="D421" s="176" t="s">
        <v>2171</v>
      </c>
      <c r="E421" s="178" t="s">
        <v>4264</v>
      </c>
      <c r="F421" s="218" t="s">
        <v>2172</v>
      </c>
      <c r="G421" s="359" t="s">
        <v>4768</v>
      </c>
    </row>
    <row r="422" spans="1:7">
      <c r="A422" s="239" t="s">
        <v>4783</v>
      </c>
      <c r="B422" s="164" t="s">
        <v>1462</v>
      </c>
      <c r="C422" s="154">
        <v>1</v>
      </c>
      <c r="D422" s="176" t="s">
        <v>2173</v>
      </c>
      <c r="E422" s="178" t="s">
        <v>4265</v>
      </c>
      <c r="F422" s="218" t="s">
        <v>2174</v>
      </c>
      <c r="G422" s="359" t="s">
        <v>4768</v>
      </c>
    </row>
    <row r="423" spans="1:7">
      <c r="A423" s="239" t="s">
        <v>4783</v>
      </c>
      <c r="B423" s="164" t="s">
        <v>1462</v>
      </c>
      <c r="C423" s="154">
        <v>1</v>
      </c>
      <c r="D423" s="176" t="s">
        <v>2175</v>
      </c>
      <c r="E423" s="178" t="s">
        <v>4266</v>
      </c>
      <c r="F423" s="218" t="s">
        <v>2176</v>
      </c>
      <c r="G423" s="359" t="s">
        <v>4768</v>
      </c>
    </row>
    <row r="424" spans="1:7">
      <c r="A424" s="239" t="s">
        <v>4783</v>
      </c>
      <c r="B424" s="164" t="s">
        <v>1462</v>
      </c>
      <c r="C424" s="154">
        <v>1</v>
      </c>
      <c r="D424" s="176" t="s">
        <v>2177</v>
      </c>
      <c r="E424" s="178" t="s">
        <v>4267</v>
      </c>
      <c r="F424" s="218" t="s">
        <v>2178</v>
      </c>
      <c r="G424" s="359" t="s">
        <v>4768</v>
      </c>
    </row>
    <row r="425" spans="1:7">
      <c r="A425" s="239" t="s">
        <v>4783</v>
      </c>
      <c r="B425" s="164" t="s">
        <v>1462</v>
      </c>
      <c r="C425" s="154">
        <v>1</v>
      </c>
      <c r="D425" s="176">
        <v>35</v>
      </c>
      <c r="E425" s="178" t="s">
        <v>4268</v>
      </c>
      <c r="F425" s="218" t="s">
        <v>2179</v>
      </c>
      <c r="G425" s="359" t="s">
        <v>4768</v>
      </c>
    </row>
    <row r="426" spans="1:7">
      <c r="A426" s="239" t="s">
        <v>4783</v>
      </c>
      <c r="B426" s="164" t="s">
        <v>1462</v>
      </c>
      <c r="C426" s="154">
        <v>1</v>
      </c>
      <c r="D426" s="176" t="s">
        <v>2180</v>
      </c>
      <c r="E426" s="178" t="s">
        <v>4269</v>
      </c>
      <c r="F426" s="218" t="s">
        <v>2181</v>
      </c>
      <c r="G426" s="359" t="s">
        <v>4768</v>
      </c>
    </row>
    <row r="427" spans="1:7">
      <c r="A427" s="239" t="s">
        <v>4783</v>
      </c>
      <c r="B427" s="164" t="s">
        <v>1462</v>
      </c>
      <c r="C427" s="154">
        <v>1</v>
      </c>
      <c r="D427" s="176" t="s">
        <v>2182</v>
      </c>
      <c r="E427" s="178" t="s">
        <v>4270</v>
      </c>
      <c r="F427" s="218" t="s">
        <v>2183</v>
      </c>
      <c r="G427" s="359" t="s">
        <v>4768</v>
      </c>
    </row>
    <row r="428" spans="1:7">
      <c r="A428" s="239" t="s">
        <v>4783</v>
      </c>
      <c r="B428" s="164" t="s">
        <v>1462</v>
      </c>
      <c r="C428" s="154">
        <v>1</v>
      </c>
      <c r="D428" s="176" t="s">
        <v>2184</v>
      </c>
      <c r="E428" s="178" t="s">
        <v>4271</v>
      </c>
      <c r="F428" s="218" t="s">
        <v>2185</v>
      </c>
      <c r="G428" s="359" t="s">
        <v>4768</v>
      </c>
    </row>
    <row r="429" spans="1:7">
      <c r="A429" s="239" t="s">
        <v>4783</v>
      </c>
      <c r="B429" s="164" t="s">
        <v>1462</v>
      </c>
      <c r="C429" s="154">
        <v>1</v>
      </c>
      <c r="D429" s="176" t="s">
        <v>2186</v>
      </c>
      <c r="E429" s="178" t="s">
        <v>4272</v>
      </c>
      <c r="F429" s="218" t="s">
        <v>2187</v>
      </c>
      <c r="G429" s="359" t="s">
        <v>4768</v>
      </c>
    </row>
    <row r="430" spans="1:7">
      <c r="A430" s="239" t="s">
        <v>4783</v>
      </c>
      <c r="B430" s="164" t="s">
        <v>1462</v>
      </c>
      <c r="C430" s="154">
        <v>1</v>
      </c>
      <c r="D430" s="176" t="s">
        <v>2188</v>
      </c>
      <c r="E430" s="178" t="s">
        <v>4273</v>
      </c>
      <c r="F430" s="218" t="s">
        <v>2189</v>
      </c>
      <c r="G430" s="359" t="s">
        <v>4768</v>
      </c>
    </row>
    <row r="431" spans="1:7">
      <c r="A431" s="239" t="s">
        <v>4783</v>
      </c>
      <c r="B431" s="164" t="s">
        <v>1462</v>
      </c>
      <c r="C431" s="154">
        <v>1</v>
      </c>
      <c r="D431" s="176" t="s">
        <v>2190</v>
      </c>
      <c r="E431" s="178" t="s">
        <v>4274</v>
      </c>
      <c r="F431" s="218" t="s">
        <v>2191</v>
      </c>
      <c r="G431" s="359" t="s">
        <v>4768</v>
      </c>
    </row>
    <row r="432" spans="1:7">
      <c r="A432" s="239" t="s">
        <v>4783</v>
      </c>
      <c r="B432" s="164" t="s">
        <v>1462</v>
      </c>
      <c r="C432" s="154">
        <v>1</v>
      </c>
      <c r="D432" s="176" t="s">
        <v>2192</v>
      </c>
      <c r="E432" s="178" t="s">
        <v>4275</v>
      </c>
      <c r="F432" s="218" t="s">
        <v>2193</v>
      </c>
      <c r="G432" s="359" t="s">
        <v>4768</v>
      </c>
    </row>
    <row r="433" spans="1:7">
      <c r="A433" s="239" t="s">
        <v>4783</v>
      </c>
      <c r="B433" s="164" t="s">
        <v>1462</v>
      </c>
      <c r="C433" s="154">
        <v>1</v>
      </c>
      <c r="D433" s="176" t="s">
        <v>2194</v>
      </c>
      <c r="E433" s="178" t="s">
        <v>4276</v>
      </c>
      <c r="F433" s="218" t="s">
        <v>2195</v>
      </c>
      <c r="G433" s="359" t="s">
        <v>4768</v>
      </c>
    </row>
    <row r="434" spans="1:7">
      <c r="A434" s="239" t="s">
        <v>4783</v>
      </c>
      <c r="B434" s="164" t="s">
        <v>1462</v>
      </c>
      <c r="C434" s="154">
        <v>1</v>
      </c>
      <c r="D434" s="176" t="s">
        <v>2196</v>
      </c>
      <c r="E434" s="178" t="s">
        <v>4277</v>
      </c>
      <c r="F434" s="218" t="s">
        <v>2197</v>
      </c>
      <c r="G434" s="359" t="s">
        <v>4768</v>
      </c>
    </row>
    <row r="435" spans="1:7">
      <c r="A435" s="239" t="s">
        <v>4783</v>
      </c>
      <c r="B435" s="164" t="s">
        <v>1462</v>
      </c>
      <c r="C435" s="154">
        <v>1</v>
      </c>
      <c r="D435" s="176" t="s">
        <v>2198</v>
      </c>
      <c r="E435" s="178" t="s">
        <v>4278</v>
      </c>
      <c r="F435" s="218" t="s">
        <v>2199</v>
      </c>
      <c r="G435" s="359" t="s">
        <v>4768</v>
      </c>
    </row>
    <row r="436" spans="1:7">
      <c r="A436" s="239" t="s">
        <v>4783</v>
      </c>
      <c r="B436" s="164" t="s">
        <v>1462</v>
      </c>
      <c r="C436" s="154">
        <v>1</v>
      </c>
      <c r="D436" s="176">
        <v>36</v>
      </c>
      <c r="E436" s="178" t="s">
        <v>4279</v>
      </c>
      <c r="F436" s="218" t="s">
        <v>2200</v>
      </c>
      <c r="G436" s="359" t="s">
        <v>4768</v>
      </c>
    </row>
    <row r="437" spans="1:7">
      <c r="A437" s="239" t="s">
        <v>4783</v>
      </c>
      <c r="B437" s="164" t="s">
        <v>1462</v>
      </c>
      <c r="C437" s="154">
        <v>1</v>
      </c>
      <c r="D437" s="176">
        <v>37</v>
      </c>
      <c r="E437" s="178" t="s">
        <v>4280</v>
      </c>
      <c r="F437" s="218" t="s">
        <v>2201</v>
      </c>
      <c r="G437" s="359" t="s">
        <v>4768</v>
      </c>
    </row>
    <row r="438" spans="1:7">
      <c r="A438" s="239" t="s">
        <v>4783</v>
      </c>
      <c r="B438" s="164" t="s">
        <v>1462</v>
      </c>
      <c r="C438" s="154">
        <v>1</v>
      </c>
      <c r="D438" s="176">
        <v>38</v>
      </c>
      <c r="E438" s="178" t="s">
        <v>4281</v>
      </c>
      <c r="F438" s="218" t="s">
        <v>2202</v>
      </c>
      <c r="G438" s="359" t="s">
        <v>4768</v>
      </c>
    </row>
    <row r="439" spans="1:7">
      <c r="A439" s="239" t="s">
        <v>4783</v>
      </c>
      <c r="B439" s="164" t="s">
        <v>1462</v>
      </c>
      <c r="C439" s="154">
        <v>1</v>
      </c>
      <c r="D439" s="176" t="s">
        <v>2203</v>
      </c>
      <c r="E439" s="178" t="s">
        <v>4282</v>
      </c>
      <c r="F439" s="218" t="s">
        <v>2204</v>
      </c>
      <c r="G439" s="359" t="s">
        <v>4768</v>
      </c>
    </row>
    <row r="440" spans="1:7">
      <c r="A440" s="239" t="s">
        <v>4783</v>
      </c>
      <c r="B440" s="164" t="s">
        <v>1462</v>
      </c>
      <c r="C440" s="154">
        <v>1</v>
      </c>
      <c r="D440" s="176" t="s">
        <v>2205</v>
      </c>
      <c r="E440" s="178" t="s">
        <v>4283</v>
      </c>
      <c r="F440" s="218" t="s">
        <v>2206</v>
      </c>
      <c r="G440" s="359" t="s">
        <v>4768</v>
      </c>
    </row>
    <row r="441" spans="1:7">
      <c r="A441" s="239" t="s">
        <v>4783</v>
      </c>
      <c r="B441" s="164" t="s">
        <v>1462</v>
      </c>
      <c r="C441" s="154">
        <v>1</v>
      </c>
      <c r="D441" s="176" t="s">
        <v>2207</v>
      </c>
      <c r="E441" s="178" t="s">
        <v>4284</v>
      </c>
      <c r="F441" s="218" t="s">
        <v>2208</v>
      </c>
      <c r="G441" s="359" t="s">
        <v>4768</v>
      </c>
    </row>
    <row r="442" spans="1:7">
      <c r="A442" s="239" t="s">
        <v>4783</v>
      </c>
      <c r="B442" s="164" t="s">
        <v>1462</v>
      </c>
      <c r="C442" s="154">
        <v>1</v>
      </c>
      <c r="D442" s="176" t="s">
        <v>2209</v>
      </c>
      <c r="E442" s="178" t="s">
        <v>4285</v>
      </c>
      <c r="F442" s="218" t="s">
        <v>2210</v>
      </c>
      <c r="G442" s="359" t="s">
        <v>4768</v>
      </c>
    </row>
    <row r="443" spans="1:7">
      <c r="A443" s="239" t="s">
        <v>4783</v>
      </c>
      <c r="B443" s="164" t="s">
        <v>1462</v>
      </c>
      <c r="C443" s="154">
        <v>1</v>
      </c>
      <c r="D443" s="176" t="s">
        <v>2211</v>
      </c>
      <c r="E443" s="178" t="s">
        <v>4286</v>
      </c>
      <c r="F443" s="218" t="s">
        <v>2212</v>
      </c>
      <c r="G443" s="359" t="s">
        <v>4768</v>
      </c>
    </row>
    <row r="444" spans="1:7">
      <c r="A444" s="239" t="s">
        <v>4783</v>
      </c>
      <c r="B444" s="164" t="s">
        <v>1462</v>
      </c>
      <c r="C444" s="154">
        <v>1</v>
      </c>
      <c r="D444" s="176" t="s">
        <v>2213</v>
      </c>
      <c r="E444" s="178" t="s">
        <v>4287</v>
      </c>
      <c r="F444" s="218" t="s">
        <v>2214</v>
      </c>
      <c r="G444" s="359" t="s">
        <v>4768</v>
      </c>
    </row>
    <row r="445" spans="1:7">
      <c r="A445" s="239" t="s">
        <v>4783</v>
      </c>
      <c r="B445" s="164" t="s">
        <v>1462</v>
      </c>
      <c r="C445" s="154">
        <v>1</v>
      </c>
      <c r="D445" s="176" t="s">
        <v>2215</v>
      </c>
      <c r="E445" s="178" t="s">
        <v>4288</v>
      </c>
      <c r="F445" s="218" t="s">
        <v>2216</v>
      </c>
      <c r="G445" s="359" t="s">
        <v>4768</v>
      </c>
    </row>
    <row r="446" spans="1:7">
      <c r="A446" s="239" t="s">
        <v>4783</v>
      </c>
      <c r="B446" s="164" t="s">
        <v>1462</v>
      </c>
      <c r="C446" s="154">
        <v>1</v>
      </c>
      <c r="D446" s="176" t="s">
        <v>2217</v>
      </c>
      <c r="E446" s="178" t="s">
        <v>4289</v>
      </c>
      <c r="F446" s="218" t="s">
        <v>2218</v>
      </c>
      <c r="G446" s="359" t="s">
        <v>4768</v>
      </c>
    </row>
    <row r="447" spans="1:7">
      <c r="A447" s="239" t="s">
        <v>4783</v>
      </c>
      <c r="B447" s="164" t="s">
        <v>1462</v>
      </c>
      <c r="C447" s="154">
        <v>1</v>
      </c>
      <c r="D447" s="176" t="s">
        <v>2219</v>
      </c>
      <c r="E447" s="178" t="s">
        <v>4290</v>
      </c>
      <c r="F447" s="218" t="s">
        <v>2220</v>
      </c>
      <c r="G447" s="359" t="s">
        <v>4768</v>
      </c>
    </row>
    <row r="448" spans="1:7">
      <c r="A448" s="239" t="s">
        <v>4783</v>
      </c>
      <c r="B448" s="164" t="s">
        <v>1462</v>
      </c>
      <c r="C448" s="154">
        <v>1</v>
      </c>
      <c r="D448" s="176">
        <v>39</v>
      </c>
      <c r="E448" s="178" t="s">
        <v>4291</v>
      </c>
      <c r="F448" s="218" t="s">
        <v>2221</v>
      </c>
      <c r="G448" s="359" t="s">
        <v>4768</v>
      </c>
    </row>
    <row r="449" spans="1:7">
      <c r="A449" s="239" t="s">
        <v>4783</v>
      </c>
      <c r="B449" s="164" t="s">
        <v>1462</v>
      </c>
      <c r="C449" s="154">
        <v>1</v>
      </c>
      <c r="D449" s="176">
        <v>41</v>
      </c>
      <c r="E449" s="178" t="s">
        <v>4292</v>
      </c>
      <c r="F449" s="218" t="s">
        <v>2222</v>
      </c>
      <c r="G449" s="359" t="s">
        <v>4768</v>
      </c>
    </row>
    <row r="450" spans="1:7">
      <c r="A450" s="239" t="s">
        <v>4783</v>
      </c>
      <c r="B450" s="164" t="s">
        <v>1462</v>
      </c>
      <c r="C450" s="154">
        <v>1</v>
      </c>
      <c r="D450" s="176" t="s">
        <v>2223</v>
      </c>
      <c r="E450" s="178" t="s">
        <v>4293</v>
      </c>
      <c r="F450" s="218" t="s">
        <v>2224</v>
      </c>
      <c r="G450" s="359" t="s">
        <v>4768</v>
      </c>
    </row>
    <row r="451" spans="1:7">
      <c r="A451" s="239" t="s">
        <v>4783</v>
      </c>
      <c r="B451" s="164" t="s">
        <v>1462</v>
      </c>
      <c r="C451" s="154">
        <v>1</v>
      </c>
      <c r="D451" s="176" t="s">
        <v>2225</v>
      </c>
      <c r="E451" s="178" t="s">
        <v>4294</v>
      </c>
      <c r="F451" s="218" t="s">
        <v>2226</v>
      </c>
      <c r="G451" s="359" t="s">
        <v>4768</v>
      </c>
    </row>
    <row r="452" spans="1:7">
      <c r="A452" s="239" t="s">
        <v>4783</v>
      </c>
      <c r="B452" s="164" t="s">
        <v>1462</v>
      </c>
      <c r="C452" s="154">
        <v>1</v>
      </c>
      <c r="D452" s="176">
        <v>42</v>
      </c>
      <c r="E452" s="178" t="s">
        <v>4295</v>
      </c>
      <c r="F452" s="218" t="s">
        <v>2227</v>
      </c>
      <c r="G452" s="359" t="s">
        <v>4768</v>
      </c>
    </row>
    <row r="453" spans="1:7">
      <c r="A453" s="239" t="s">
        <v>4783</v>
      </c>
      <c r="B453" s="164" t="s">
        <v>1462</v>
      </c>
      <c r="C453" s="154">
        <v>1</v>
      </c>
      <c r="D453" s="176" t="s">
        <v>2228</v>
      </c>
      <c r="E453" s="178" t="s">
        <v>4296</v>
      </c>
      <c r="F453" s="218" t="s">
        <v>2229</v>
      </c>
      <c r="G453" s="359" t="s">
        <v>4768</v>
      </c>
    </row>
    <row r="454" spans="1:7">
      <c r="A454" s="239" t="s">
        <v>4783</v>
      </c>
      <c r="B454" s="164" t="s">
        <v>1462</v>
      </c>
      <c r="C454" s="154">
        <v>1</v>
      </c>
      <c r="D454" s="176" t="s">
        <v>2230</v>
      </c>
      <c r="E454" s="178" t="s">
        <v>4297</v>
      </c>
      <c r="F454" s="218" t="s">
        <v>2231</v>
      </c>
      <c r="G454" s="359" t="s">
        <v>4768</v>
      </c>
    </row>
    <row r="455" spans="1:7">
      <c r="A455" s="239" t="s">
        <v>4783</v>
      </c>
      <c r="B455" s="164" t="s">
        <v>1462</v>
      </c>
      <c r="C455" s="154">
        <v>1</v>
      </c>
      <c r="D455" s="176" t="s">
        <v>2232</v>
      </c>
      <c r="E455" s="178" t="s">
        <v>4298</v>
      </c>
      <c r="F455" s="218" t="s">
        <v>2233</v>
      </c>
      <c r="G455" s="359" t="s">
        <v>4768</v>
      </c>
    </row>
    <row r="456" spans="1:7">
      <c r="A456" s="239" t="s">
        <v>4783</v>
      </c>
      <c r="B456" s="164" t="s">
        <v>1462</v>
      </c>
      <c r="C456" s="154">
        <v>1</v>
      </c>
      <c r="D456" s="176" t="s">
        <v>2234</v>
      </c>
      <c r="E456" s="178" t="s">
        <v>4299</v>
      </c>
      <c r="F456" s="218" t="s">
        <v>2235</v>
      </c>
      <c r="G456" s="359" t="s">
        <v>4768</v>
      </c>
    </row>
    <row r="457" spans="1:7">
      <c r="A457" s="239" t="s">
        <v>4783</v>
      </c>
      <c r="B457" s="164" t="s">
        <v>1462</v>
      </c>
      <c r="C457" s="154">
        <v>1</v>
      </c>
      <c r="D457" s="176" t="s">
        <v>2236</v>
      </c>
      <c r="E457" s="178" t="s">
        <v>4300</v>
      </c>
      <c r="F457" s="218" t="s">
        <v>2237</v>
      </c>
      <c r="G457" s="359" t="s">
        <v>4768</v>
      </c>
    </row>
    <row r="458" spans="1:7">
      <c r="A458" s="239" t="s">
        <v>4783</v>
      </c>
      <c r="B458" s="164" t="s">
        <v>1462</v>
      </c>
      <c r="C458" s="154">
        <v>1</v>
      </c>
      <c r="D458" s="176" t="s">
        <v>2238</v>
      </c>
      <c r="E458" s="178" t="s">
        <v>4301</v>
      </c>
      <c r="F458" s="218" t="s">
        <v>2239</v>
      </c>
      <c r="G458" s="359" t="s">
        <v>4768</v>
      </c>
    </row>
    <row r="459" spans="1:7">
      <c r="A459" s="239" t="s">
        <v>4783</v>
      </c>
      <c r="B459" s="164" t="s">
        <v>1462</v>
      </c>
      <c r="C459" s="154">
        <v>1</v>
      </c>
      <c r="D459" s="176" t="s">
        <v>2240</v>
      </c>
      <c r="E459" s="178" t="s">
        <v>4302</v>
      </c>
      <c r="F459" s="218" t="s">
        <v>2241</v>
      </c>
      <c r="G459" s="359" t="s">
        <v>4768</v>
      </c>
    </row>
    <row r="460" spans="1:7">
      <c r="A460" s="239" t="s">
        <v>4783</v>
      </c>
      <c r="B460" s="164" t="s">
        <v>1462</v>
      </c>
      <c r="C460" s="154">
        <v>1</v>
      </c>
      <c r="D460" s="176" t="s">
        <v>2242</v>
      </c>
      <c r="E460" s="178" t="s">
        <v>4303</v>
      </c>
      <c r="F460" s="218" t="s">
        <v>2243</v>
      </c>
      <c r="G460" s="359" t="s">
        <v>4768</v>
      </c>
    </row>
    <row r="461" spans="1:7">
      <c r="A461" s="239" t="s">
        <v>4783</v>
      </c>
      <c r="B461" s="164" t="s">
        <v>1462</v>
      </c>
      <c r="C461" s="154">
        <v>1</v>
      </c>
      <c r="D461" s="176" t="s">
        <v>2244</v>
      </c>
      <c r="E461" s="178" t="s">
        <v>4304</v>
      </c>
      <c r="F461" s="218" t="s">
        <v>2245</v>
      </c>
      <c r="G461" s="359" t="s">
        <v>4768</v>
      </c>
    </row>
    <row r="462" spans="1:7">
      <c r="A462" s="239" t="s">
        <v>4783</v>
      </c>
      <c r="B462" s="164" t="s">
        <v>1462</v>
      </c>
      <c r="C462" s="154">
        <v>1</v>
      </c>
      <c r="D462" s="176" t="s">
        <v>2246</v>
      </c>
      <c r="E462" s="178" t="s">
        <v>4305</v>
      </c>
      <c r="F462" s="218" t="s">
        <v>2247</v>
      </c>
      <c r="G462" s="359" t="s">
        <v>4768</v>
      </c>
    </row>
    <row r="463" spans="1:7">
      <c r="A463" s="239" t="s">
        <v>4783</v>
      </c>
      <c r="B463" s="164" t="s">
        <v>1462</v>
      </c>
      <c r="C463" s="154">
        <v>1</v>
      </c>
      <c r="D463" s="176">
        <v>43</v>
      </c>
      <c r="E463" s="178" t="s">
        <v>4306</v>
      </c>
      <c r="F463" s="218" t="s">
        <v>2248</v>
      </c>
      <c r="G463" s="359" t="s">
        <v>4768</v>
      </c>
    </row>
    <row r="464" spans="1:7">
      <c r="A464" s="239" t="s">
        <v>4783</v>
      </c>
      <c r="B464" s="164" t="s">
        <v>1462</v>
      </c>
      <c r="C464" s="154">
        <v>1</v>
      </c>
      <c r="D464" s="176" t="s">
        <v>2249</v>
      </c>
      <c r="E464" s="178" t="s">
        <v>4307</v>
      </c>
      <c r="F464" s="218" t="s">
        <v>2250</v>
      </c>
      <c r="G464" s="359" t="s">
        <v>4768</v>
      </c>
    </row>
    <row r="465" spans="1:7">
      <c r="A465" s="239" t="s">
        <v>4783</v>
      </c>
      <c r="B465" s="164" t="s">
        <v>1462</v>
      </c>
      <c r="C465" s="154">
        <v>1</v>
      </c>
      <c r="D465" s="176" t="s">
        <v>2251</v>
      </c>
      <c r="E465" s="178" t="s">
        <v>4308</v>
      </c>
      <c r="F465" s="218" t="s">
        <v>2252</v>
      </c>
      <c r="G465" s="359" t="s">
        <v>4768</v>
      </c>
    </row>
    <row r="466" spans="1:7">
      <c r="A466" s="239" t="s">
        <v>4783</v>
      </c>
      <c r="B466" s="164" t="s">
        <v>1462</v>
      </c>
      <c r="C466" s="154">
        <v>1</v>
      </c>
      <c r="D466" s="176" t="s">
        <v>2253</v>
      </c>
      <c r="E466" s="178" t="s">
        <v>4309</v>
      </c>
      <c r="F466" s="218" t="s">
        <v>2254</v>
      </c>
      <c r="G466" s="359" t="s">
        <v>4768</v>
      </c>
    </row>
    <row r="467" spans="1:7">
      <c r="A467" s="239" t="s">
        <v>4783</v>
      </c>
      <c r="B467" s="164" t="s">
        <v>1462</v>
      </c>
      <c r="C467" s="154">
        <v>1</v>
      </c>
      <c r="D467" s="176" t="s">
        <v>2255</v>
      </c>
      <c r="E467" s="178" t="s">
        <v>4310</v>
      </c>
      <c r="F467" s="218" t="s">
        <v>2256</v>
      </c>
      <c r="G467" s="359" t="s">
        <v>4768</v>
      </c>
    </row>
    <row r="468" spans="1:7">
      <c r="A468" s="239" t="s">
        <v>4783</v>
      </c>
      <c r="B468" s="164" t="s">
        <v>1462</v>
      </c>
      <c r="C468" s="154">
        <v>1</v>
      </c>
      <c r="D468" s="176" t="s">
        <v>2257</v>
      </c>
      <c r="E468" s="178" t="s">
        <v>4311</v>
      </c>
      <c r="F468" s="218" t="s">
        <v>2258</v>
      </c>
      <c r="G468" s="359" t="s">
        <v>4768</v>
      </c>
    </row>
    <row r="469" spans="1:7">
      <c r="A469" s="239" t="s">
        <v>4783</v>
      </c>
      <c r="B469" s="164" t="s">
        <v>1462</v>
      </c>
      <c r="C469" s="154">
        <v>1</v>
      </c>
      <c r="D469" s="176" t="s">
        <v>2259</v>
      </c>
      <c r="E469" s="178" t="s">
        <v>4312</v>
      </c>
      <c r="F469" s="218" t="s">
        <v>2260</v>
      </c>
      <c r="G469" s="359" t="s">
        <v>4768</v>
      </c>
    </row>
    <row r="470" spans="1:7">
      <c r="A470" s="239" t="s">
        <v>4783</v>
      </c>
      <c r="B470" s="164" t="s">
        <v>1462</v>
      </c>
      <c r="C470" s="154">
        <v>1</v>
      </c>
      <c r="D470" s="176" t="s">
        <v>2261</v>
      </c>
      <c r="E470" s="178" t="s">
        <v>4313</v>
      </c>
      <c r="F470" s="218" t="s">
        <v>2262</v>
      </c>
      <c r="G470" s="359" t="s">
        <v>4768</v>
      </c>
    </row>
    <row r="471" spans="1:7">
      <c r="A471" s="239" t="s">
        <v>4783</v>
      </c>
      <c r="B471" s="164" t="s">
        <v>1462</v>
      </c>
      <c r="C471" s="154">
        <v>1</v>
      </c>
      <c r="D471" s="176" t="s">
        <v>2263</v>
      </c>
      <c r="E471" s="178" t="s">
        <v>4314</v>
      </c>
      <c r="F471" s="218" t="s">
        <v>2264</v>
      </c>
      <c r="G471" s="359" t="s">
        <v>4768</v>
      </c>
    </row>
    <row r="472" spans="1:7">
      <c r="A472" s="239" t="s">
        <v>4783</v>
      </c>
      <c r="B472" s="164" t="s">
        <v>1462</v>
      </c>
      <c r="C472" s="154">
        <v>1</v>
      </c>
      <c r="D472" s="176" t="s">
        <v>2265</v>
      </c>
      <c r="E472" s="178" t="s">
        <v>4315</v>
      </c>
      <c r="F472" s="218" t="s">
        <v>2266</v>
      </c>
      <c r="G472" s="359" t="s">
        <v>4768</v>
      </c>
    </row>
    <row r="473" spans="1:7">
      <c r="A473" s="239" t="s">
        <v>4783</v>
      </c>
      <c r="B473" s="164" t="s">
        <v>1462</v>
      </c>
      <c r="C473" s="154">
        <v>1</v>
      </c>
      <c r="D473" s="176" t="s">
        <v>2267</v>
      </c>
      <c r="E473" s="178" t="s">
        <v>4316</v>
      </c>
      <c r="F473" s="218" t="s">
        <v>2268</v>
      </c>
      <c r="G473" s="359" t="s">
        <v>4768</v>
      </c>
    </row>
    <row r="474" spans="1:7">
      <c r="A474" s="239" t="s">
        <v>4783</v>
      </c>
      <c r="B474" s="164" t="s">
        <v>1462</v>
      </c>
      <c r="C474" s="154">
        <v>1</v>
      </c>
      <c r="D474" s="176" t="s">
        <v>2269</v>
      </c>
      <c r="E474" s="178" t="s">
        <v>4317</v>
      </c>
      <c r="F474" s="218" t="s">
        <v>2270</v>
      </c>
      <c r="G474" s="359" t="s">
        <v>4768</v>
      </c>
    </row>
    <row r="475" spans="1:7">
      <c r="A475" s="239" t="s">
        <v>4783</v>
      </c>
      <c r="B475" s="164" t="s">
        <v>1462</v>
      </c>
      <c r="C475" s="154">
        <v>1</v>
      </c>
      <c r="D475" s="176" t="s">
        <v>2271</v>
      </c>
      <c r="E475" s="178" t="s">
        <v>4318</v>
      </c>
      <c r="F475" s="218" t="s">
        <v>2272</v>
      </c>
      <c r="G475" s="359" t="s">
        <v>4768</v>
      </c>
    </row>
    <row r="476" spans="1:7">
      <c r="A476" s="239" t="s">
        <v>4783</v>
      </c>
      <c r="B476" s="164" t="s">
        <v>1462</v>
      </c>
      <c r="C476" s="154">
        <v>1</v>
      </c>
      <c r="D476" s="176" t="s">
        <v>2273</v>
      </c>
      <c r="E476" s="178" t="s">
        <v>4319</v>
      </c>
      <c r="F476" s="218" t="s">
        <v>2274</v>
      </c>
      <c r="G476" s="359" t="s">
        <v>4768</v>
      </c>
    </row>
    <row r="477" spans="1:7">
      <c r="A477" s="239" t="s">
        <v>4783</v>
      </c>
      <c r="B477" s="164" t="s">
        <v>1462</v>
      </c>
      <c r="C477" s="154">
        <v>1</v>
      </c>
      <c r="D477" s="176" t="s">
        <v>2275</v>
      </c>
      <c r="E477" s="178" t="s">
        <v>4320</v>
      </c>
      <c r="F477" s="218" t="s">
        <v>2276</v>
      </c>
      <c r="G477" s="359" t="s">
        <v>4768</v>
      </c>
    </row>
    <row r="478" spans="1:7">
      <c r="A478" s="239" t="s">
        <v>4783</v>
      </c>
      <c r="B478" s="164" t="s">
        <v>1462</v>
      </c>
      <c r="C478" s="154">
        <v>1</v>
      </c>
      <c r="D478" s="176" t="s">
        <v>2277</v>
      </c>
      <c r="E478" s="178" t="s">
        <v>4321</v>
      </c>
      <c r="F478" s="218" t="s">
        <v>2278</v>
      </c>
      <c r="G478" s="359" t="s">
        <v>4768</v>
      </c>
    </row>
    <row r="479" spans="1:7">
      <c r="A479" s="239" t="s">
        <v>4783</v>
      </c>
      <c r="B479" s="164" t="s">
        <v>1462</v>
      </c>
      <c r="C479" s="154">
        <v>1</v>
      </c>
      <c r="D479" s="176" t="s">
        <v>2279</v>
      </c>
      <c r="E479" s="178" t="s">
        <v>4322</v>
      </c>
      <c r="F479" s="218" t="s">
        <v>2280</v>
      </c>
      <c r="G479" s="359" t="s">
        <v>4768</v>
      </c>
    </row>
    <row r="480" spans="1:7">
      <c r="A480" s="239" t="s">
        <v>4783</v>
      </c>
      <c r="B480" s="164" t="s">
        <v>1462</v>
      </c>
      <c r="C480" s="154">
        <v>1</v>
      </c>
      <c r="D480" s="176" t="s">
        <v>2281</v>
      </c>
      <c r="E480" s="178" t="s">
        <v>4323</v>
      </c>
      <c r="F480" s="218" t="s">
        <v>2282</v>
      </c>
      <c r="G480" s="359" t="s">
        <v>4768</v>
      </c>
    </row>
    <row r="481" spans="1:7">
      <c r="A481" s="239" t="s">
        <v>4783</v>
      </c>
      <c r="B481" s="164" t="s">
        <v>1462</v>
      </c>
      <c r="C481" s="154">
        <v>1</v>
      </c>
      <c r="D481" s="176">
        <v>45</v>
      </c>
      <c r="E481" s="178" t="s">
        <v>4324</v>
      </c>
      <c r="F481" s="218" t="s">
        <v>2283</v>
      </c>
      <c r="G481" s="359" t="s">
        <v>4768</v>
      </c>
    </row>
    <row r="482" spans="1:7">
      <c r="A482" s="239" t="s">
        <v>4783</v>
      </c>
      <c r="B482" s="164" t="s">
        <v>1462</v>
      </c>
      <c r="C482" s="154">
        <v>1</v>
      </c>
      <c r="D482" s="176" t="s">
        <v>2284</v>
      </c>
      <c r="E482" s="178" t="s">
        <v>4325</v>
      </c>
      <c r="F482" s="218" t="s">
        <v>2285</v>
      </c>
      <c r="G482" s="359" t="s">
        <v>4768</v>
      </c>
    </row>
    <row r="483" spans="1:7">
      <c r="A483" s="239" t="s">
        <v>4783</v>
      </c>
      <c r="B483" s="164" t="s">
        <v>1462</v>
      </c>
      <c r="C483" s="154">
        <v>1</v>
      </c>
      <c r="D483" s="176" t="s">
        <v>2286</v>
      </c>
      <c r="E483" s="178" t="s">
        <v>4326</v>
      </c>
      <c r="F483" s="218" t="s">
        <v>2287</v>
      </c>
      <c r="G483" s="359" t="s">
        <v>4768</v>
      </c>
    </row>
    <row r="484" spans="1:7">
      <c r="A484" s="239" t="s">
        <v>4783</v>
      </c>
      <c r="B484" s="164" t="s">
        <v>1462</v>
      </c>
      <c r="C484" s="154">
        <v>1</v>
      </c>
      <c r="D484" s="176" t="s">
        <v>2288</v>
      </c>
      <c r="E484" s="178" t="s">
        <v>4327</v>
      </c>
      <c r="F484" s="218" t="s">
        <v>2289</v>
      </c>
      <c r="G484" s="359" t="s">
        <v>4768</v>
      </c>
    </row>
    <row r="485" spans="1:7">
      <c r="A485" s="239" t="s">
        <v>4783</v>
      </c>
      <c r="B485" s="164" t="s">
        <v>1462</v>
      </c>
      <c r="C485" s="154">
        <v>1</v>
      </c>
      <c r="D485" s="176" t="s">
        <v>2290</v>
      </c>
      <c r="E485" s="178" t="s">
        <v>4328</v>
      </c>
      <c r="F485" s="218" t="s">
        <v>2291</v>
      </c>
      <c r="G485" s="359" t="s">
        <v>4768</v>
      </c>
    </row>
    <row r="486" spans="1:7">
      <c r="A486" s="239" t="s">
        <v>4783</v>
      </c>
      <c r="B486" s="164" t="s">
        <v>1462</v>
      </c>
      <c r="C486" s="154">
        <v>1</v>
      </c>
      <c r="D486" s="176" t="s">
        <v>2292</v>
      </c>
      <c r="E486" s="178" t="s">
        <v>4329</v>
      </c>
      <c r="F486" s="218" t="s">
        <v>2293</v>
      </c>
      <c r="G486" s="359" t="s">
        <v>4768</v>
      </c>
    </row>
    <row r="487" spans="1:7">
      <c r="A487" s="239" t="s">
        <v>4783</v>
      </c>
      <c r="B487" s="164" t="s">
        <v>1462</v>
      </c>
      <c r="C487" s="154">
        <v>1</v>
      </c>
      <c r="D487" s="176" t="s">
        <v>2294</v>
      </c>
      <c r="E487" s="178" t="s">
        <v>4330</v>
      </c>
      <c r="F487" s="218" t="s">
        <v>2295</v>
      </c>
      <c r="G487" s="359" t="s">
        <v>4768</v>
      </c>
    </row>
    <row r="488" spans="1:7">
      <c r="A488" s="239" t="s">
        <v>4783</v>
      </c>
      <c r="B488" s="164" t="s">
        <v>1462</v>
      </c>
      <c r="C488" s="154">
        <v>1</v>
      </c>
      <c r="D488" s="176" t="s">
        <v>2296</v>
      </c>
      <c r="E488" s="178" t="s">
        <v>4331</v>
      </c>
      <c r="F488" s="218" t="s">
        <v>2297</v>
      </c>
      <c r="G488" s="359" t="s">
        <v>4768</v>
      </c>
    </row>
    <row r="489" spans="1:7">
      <c r="A489" s="239" t="s">
        <v>4783</v>
      </c>
      <c r="B489" s="164" t="s">
        <v>1462</v>
      </c>
      <c r="C489" s="154">
        <v>1</v>
      </c>
      <c r="D489" s="176" t="s">
        <v>2298</v>
      </c>
      <c r="E489" s="178" t="s">
        <v>4332</v>
      </c>
      <c r="F489" s="218" t="s">
        <v>2299</v>
      </c>
      <c r="G489" s="359" t="s">
        <v>4768</v>
      </c>
    </row>
    <row r="490" spans="1:7">
      <c r="A490" s="239" t="s">
        <v>4783</v>
      </c>
      <c r="B490" s="164" t="s">
        <v>1462</v>
      </c>
      <c r="C490" s="154">
        <v>1</v>
      </c>
      <c r="D490" s="176">
        <v>46</v>
      </c>
      <c r="E490" s="178" t="s">
        <v>4333</v>
      </c>
      <c r="F490" s="218" t="s">
        <v>2300</v>
      </c>
      <c r="G490" s="359" t="s">
        <v>4768</v>
      </c>
    </row>
    <row r="491" spans="1:7">
      <c r="A491" s="239" t="s">
        <v>4783</v>
      </c>
      <c r="B491" s="164" t="s">
        <v>1462</v>
      </c>
      <c r="C491" s="154">
        <v>1</v>
      </c>
      <c r="D491" s="176" t="s">
        <v>2301</v>
      </c>
      <c r="E491" s="178" t="s">
        <v>4334</v>
      </c>
      <c r="F491" s="218" t="s">
        <v>2302</v>
      </c>
      <c r="G491" s="359" t="s">
        <v>4768</v>
      </c>
    </row>
    <row r="492" spans="1:7">
      <c r="A492" s="239" t="s">
        <v>4783</v>
      </c>
      <c r="B492" s="164" t="s">
        <v>1462</v>
      </c>
      <c r="C492" s="154">
        <v>1</v>
      </c>
      <c r="D492" s="176" t="s">
        <v>2303</v>
      </c>
      <c r="E492" s="178" t="s">
        <v>4335</v>
      </c>
      <c r="F492" s="218" t="s">
        <v>2304</v>
      </c>
      <c r="G492" s="359" t="s">
        <v>4768</v>
      </c>
    </row>
    <row r="493" spans="1:7">
      <c r="A493" s="239" t="s">
        <v>4783</v>
      </c>
      <c r="B493" s="164" t="s">
        <v>1462</v>
      </c>
      <c r="C493" s="154">
        <v>1</v>
      </c>
      <c r="D493" s="176" t="s">
        <v>2305</v>
      </c>
      <c r="E493" s="178" t="s">
        <v>4336</v>
      </c>
      <c r="F493" s="218" t="s">
        <v>2306</v>
      </c>
      <c r="G493" s="359" t="s">
        <v>4768</v>
      </c>
    </row>
    <row r="494" spans="1:7">
      <c r="A494" s="239" t="s">
        <v>4783</v>
      </c>
      <c r="B494" s="164" t="s">
        <v>1462</v>
      </c>
      <c r="C494" s="154">
        <v>1</v>
      </c>
      <c r="D494" s="176" t="s">
        <v>2307</v>
      </c>
      <c r="E494" s="178" t="s">
        <v>4337</v>
      </c>
      <c r="F494" s="218" t="s">
        <v>2308</v>
      </c>
      <c r="G494" s="359" t="s">
        <v>4768</v>
      </c>
    </row>
    <row r="495" spans="1:7">
      <c r="A495" s="239" t="s">
        <v>4783</v>
      </c>
      <c r="B495" s="164" t="s">
        <v>1462</v>
      </c>
      <c r="C495" s="154">
        <v>1</v>
      </c>
      <c r="D495" s="176" t="s">
        <v>2309</v>
      </c>
      <c r="E495" s="178" t="s">
        <v>4338</v>
      </c>
      <c r="F495" s="218" t="s">
        <v>2310</v>
      </c>
      <c r="G495" s="359" t="s">
        <v>4768</v>
      </c>
    </row>
    <row r="496" spans="1:7">
      <c r="A496" s="239" t="s">
        <v>4783</v>
      </c>
      <c r="B496" s="164" t="s">
        <v>1462</v>
      </c>
      <c r="C496" s="154">
        <v>1</v>
      </c>
      <c r="D496" s="176" t="s">
        <v>2311</v>
      </c>
      <c r="E496" s="178" t="s">
        <v>4339</v>
      </c>
      <c r="F496" s="218" t="s">
        <v>2312</v>
      </c>
      <c r="G496" s="359" t="s">
        <v>4768</v>
      </c>
    </row>
    <row r="497" spans="1:7">
      <c r="A497" s="239" t="s">
        <v>4783</v>
      </c>
      <c r="B497" s="164" t="s">
        <v>1462</v>
      </c>
      <c r="C497" s="154">
        <v>1</v>
      </c>
      <c r="D497" s="176" t="s">
        <v>2313</v>
      </c>
      <c r="E497" s="178" t="s">
        <v>4340</v>
      </c>
      <c r="F497" s="218" t="s">
        <v>2314</v>
      </c>
      <c r="G497" s="359" t="s">
        <v>4768</v>
      </c>
    </row>
    <row r="498" spans="1:7">
      <c r="A498" s="239" t="s">
        <v>4783</v>
      </c>
      <c r="B498" s="164" t="s">
        <v>1462</v>
      </c>
      <c r="C498" s="154">
        <v>1</v>
      </c>
      <c r="D498" s="176" t="s">
        <v>2315</v>
      </c>
      <c r="E498" s="178" t="s">
        <v>4341</v>
      </c>
      <c r="F498" s="218" t="s">
        <v>2316</v>
      </c>
      <c r="G498" s="359" t="s">
        <v>4768</v>
      </c>
    </row>
    <row r="499" spans="1:7">
      <c r="A499" s="239" t="s">
        <v>4783</v>
      </c>
      <c r="B499" s="164" t="s">
        <v>1462</v>
      </c>
      <c r="C499" s="154">
        <v>1</v>
      </c>
      <c r="D499" s="176" t="s">
        <v>2317</v>
      </c>
      <c r="E499" s="178" t="s">
        <v>4342</v>
      </c>
      <c r="F499" s="218" t="s">
        <v>2318</v>
      </c>
      <c r="G499" s="359" t="s">
        <v>4768</v>
      </c>
    </row>
    <row r="500" spans="1:7">
      <c r="A500" s="239" t="s">
        <v>4783</v>
      </c>
      <c r="B500" s="164" t="s">
        <v>1462</v>
      </c>
      <c r="C500" s="154">
        <v>1</v>
      </c>
      <c r="D500" s="176" t="s">
        <v>2319</v>
      </c>
      <c r="E500" s="178" t="s">
        <v>4343</v>
      </c>
      <c r="F500" s="218" t="s">
        <v>2320</v>
      </c>
      <c r="G500" s="359" t="s">
        <v>4768</v>
      </c>
    </row>
    <row r="501" spans="1:7">
      <c r="A501" s="239" t="s">
        <v>4783</v>
      </c>
      <c r="B501" s="164" t="s">
        <v>1462</v>
      </c>
      <c r="C501" s="154">
        <v>1</v>
      </c>
      <c r="D501" s="176" t="s">
        <v>2321</v>
      </c>
      <c r="E501" s="178" t="s">
        <v>4344</v>
      </c>
      <c r="F501" s="218" t="s">
        <v>2322</v>
      </c>
      <c r="G501" s="359" t="s">
        <v>4768</v>
      </c>
    </row>
    <row r="502" spans="1:7">
      <c r="A502" s="239" t="s">
        <v>4783</v>
      </c>
      <c r="B502" s="164" t="s">
        <v>1462</v>
      </c>
      <c r="C502" s="154">
        <v>1</v>
      </c>
      <c r="D502" s="176" t="s">
        <v>2323</v>
      </c>
      <c r="E502" s="178" t="s">
        <v>4345</v>
      </c>
      <c r="F502" s="218" t="s">
        <v>2324</v>
      </c>
      <c r="G502" s="359" t="s">
        <v>4768</v>
      </c>
    </row>
    <row r="503" spans="1:7">
      <c r="A503" s="239" t="s">
        <v>4783</v>
      </c>
      <c r="B503" s="164" t="s">
        <v>1462</v>
      </c>
      <c r="C503" s="154">
        <v>1</v>
      </c>
      <c r="D503" s="176" t="s">
        <v>2325</v>
      </c>
      <c r="E503" s="178" t="s">
        <v>4346</v>
      </c>
      <c r="F503" s="218" t="s">
        <v>2326</v>
      </c>
      <c r="G503" s="359" t="s">
        <v>4768</v>
      </c>
    </row>
    <row r="504" spans="1:7">
      <c r="A504" s="239" t="s">
        <v>4783</v>
      </c>
      <c r="B504" s="164" t="s">
        <v>1462</v>
      </c>
      <c r="C504" s="154">
        <v>1</v>
      </c>
      <c r="D504" s="176" t="s">
        <v>2327</v>
      </c>
      <c r="E504" s="178" t="s">
        <v>4347</v>
      </c>
      <c r="F504" s="218" t="s">
        <v>2328</v>
      </c>
      <c r="G504" s="359" t="s">
        <v>4768</v>
      </c>
    </row>
    <row r="505" spans="1:7">
      <c r="A505" s="239" t="s">
        <v>4783</v>
      </c>
      <c r="B505" s="164" t="s">
        <v>1462</v>
      </c>
      <c r="C505" s="154">
        <v>1</v>
      </c>
      <c r="D505" s="176" t="s">
        <v>2329</v>
      </c>
      <c r="E505" s="178" t="s">
        <v>4348</v>
      </c>
      <c r="F505" s="218" t="s">
        <v>2330</v>
      </c>
      <c r="G505" s="359" t="s">
        <v>4768</v>
      </c>
    </row>
    <row r="506" spans="1:7">
      <c r="A506" s="239" t="s">
        <v>4783</v>
      </c>
      <c r="B506" s="164" t="s">
        <v>1462</v>
      </c>
      <c r="C506" s="154">
        <v>1</v>
      </c>
      <c r="D506" s="176" t="s">
        <v>2331</v>
      </c>
      <c r="E506" s="178" t="s">
        <v>4349</v>
      </c>
      <c r="F506" s="218" t="s">
        <v>2332</v>
      </c>
      <c r="G506" s="359" t="s">
        <v>4768</v>
      </c>
    </row>
    <row r="507" spans="1:7">
      <c r="A507" s="239" t="s">
        <v>4783</v>
      </c>
      <c r="B507" s="164" t="s">
        <v>1462</v>
      </c>
      <c r="C507" s="154">
        <v>1</v>
      </c>
      <c r="D507" s="176" t="s">
        <v>2333</v>
      </c>
      <c r="E507" s="178" t="s">
        <v>4350</v>
      </c>
      <c r="F507" s="218" t="s">
        <v>2334</v>
      </c>
      <c r="G507" s="359" t="s">
        <v>4768</v>
      </c>
    </row>
    <row r="508" spans="1:7">
      <c r="A508" s="239" t="s">
        <v>4783</v>
      </c>
      <c r="B508" s="164" t="s">
        <v>1462</v>
      </c>
      <c r="C508" s="154">
        <v>1</v>
      </c>
      <c r="D508" s="176" t="s">
        <v>2335</v>
      </c>
      <c r="E508" s="178" t="s">
        <v>4351</v>
      </c>
      <c r="F508" s="218" t="s">
        <v>2336</v>
      </c>
      <c r="G508" s="359" t="s">
        <v>4768</v>
      </c>
    </row>
    <row r="509" spans="1:7">
      <c r="A509" s="239" t="s">
        <v>4783</v>
      </c>
      <c r="B509" s="164" t="s">
        <v>1462</v>
      </c>
      <c r="C509" s="154">
        <v>1</v>
      </c>
      <c r="D509" s="176" t="s">
        <v>2337</v>
      </c>
      <c r="E509" s="178" t="s">
        <v>4352</v>
      </c>
      <c r="F509" s="218" t="s">
        <v>2338</v>
      </c>
      <c r="G509" s="359" t="s">
        <v>4768</v>
      </c>
    </row>
    <row r="510" spans="1:7">
      <c r="A510" s="239" t="s">
        <v>4783</v>
      </c>
      <c r="B510" s="164" t="s">
        <v>1462</v>
      </c>
      <c r="C510" s="154">
        <v>1</v>
      </c>
      <c r="D510" s="176" t="s">
        <v>2339</v>
      </c>
      <c r="E510" s="178" t="s">
        <v>4353</v>
      </c>
      <c r="F510" s="218" t="s">
        <v>2340</v>
      </c>
      <c r="G510" s="359" t="s">
        <v>4768</v>
      </c>
    </row>
    <row r="511" spans="1:7">
      <c r="A511" s="239" t="s">
        <v>4783</v>
      </c>
      <c r="B511" s="164" t="s">
        <v>1462</v>
      </c>
      <c r="C511" s="154">
        <v>1</v>
      </c>
      <c r="D511" s="176" t="s">
        <v>2341</v>
      </c>
      <c r="E511" s="178" t="s">
        <v>4354</v>
      </c>
      <c r="F511" s="218" t="s">
        <v>2342</v>
      </c>
      <c r="G511" s="359" t="s">
        <v>4768</v>
      </c>
    </row>
    <row r="512" spans="1:7">
      <c r="A512" s="239" t="s">
        <v>4783</v>
      </c>
      <c r="B512" s="164" t="s">
        <v>1462</v>
      </c>
      <c r="C512" s="154">
        <v>1</v>
      </c>
      <c r="D512" s="176" t="s">
        <v>2343</v>
      </c>
      <c r="E512" s="178" t="s">
        <v>4355</v>
      </c>
      <c r="F512" s="218" t="s">
        <v>2344</v>
      </c>
      <c r="G512" s="359" t="s">
        <v>4768</v>
      </c>
    </row>
    <row r="513" spans="1:7">
      <c r="A513" s="239" t="s">
        <v>4783</v>
      </c>
      <c r="B513" s="164" t="s">
        <v>1462</v>
      </c>
      <c r="C513" s="154">
        <v>1</v>
      </c>
      <c r="D513" s="176" t="s">
        <v>2345</v>
      </c>
      <c r="E513" s="178" t="s">
        <v>4356</v>
      </c>
      <c r="F513" s="218" t="s">
        <v>2346</v>
      </c>
      <c r="G513" s="359" t="s">
        <v>4768</v>
      </c>
    </row>
    <row r="514" spans="1:7">
      <c r="A514" s="239" t="s">
        <v>4783</v>
      </c>
      <c r="B514" s="164" t="s">
        <v>1462</v>
      </c>
      <c r="C514" s="154">
        <v>1</v>
      </c>
      <c r="D514" s="176" t="s">
        <v>2347</v>
      </c>
      <c r="E514" s="178" t="s">
        <v>4357</v>
      </c>
      <c r="F514" s="218" t="s">
        <v>2348</v>
      </c>
      <c r="G514" s="359" t="s">
        <v>4768</v>
      </c>
    </row>
    <row r="515" spans="1:7">
      <c r="A515" s="239" t="s">
        <v>4783</v>
      </c>
      <c r="B515" s="164" t="s">
        <v>1462</v>
      </c>
      <c r="C515" s="154">
        <v>1</v>
      </c>
      <c r="D515" s="176" t="s">
        <v>2349</v>
      </c>
      <c r="E515" s="178" t="s">
        <v>4358</v>
      </c>
      <c r="F515" s="218" t="s">
        <v>2350</v>
      </c>
      <c r="G515" s="359" t="s">
        <v>4768</v>
      </c>
    </row>
    <row r="516" spans="1:7">
      <c r="A516" s="239" t="s">
        <v>4783</v>
      </c>
      <c r="B516" s="164" t="s">
        <v>1462</v>
      </c>
      <c r="C516" s="154">
        <v>1</v>
      </c>
      <c r="D516" s="176" t="s">
        <v>2351</v>
      </c>
      <c r="E516" s="178" t="s">
        <v>4359</v>
      </c>
      <c r="F516" s="218" t="s">
        <v>2352</v>
      </c>
      <c r="G516" s="359" t="s">
        <v>4768</v>
      </c>
    </row>
    <row r="517" spans="1:7">
      <c r="A517" s="239" t="s">
        <v>4783</v>
      </c>
      <c r="B517" s="164" t="s">
        <v>1462</v>
      </c>
      <c r="C517" s="154">
        <v>1</v>
      </c>
      <c r="D517" s="176" t="s">
        <v>2353</v>
      </c>
      <c r="E517" s="178" t="s">
        <v>4360</v>
      </c>
      <c r="F517" s="218" t="s">
        <v>2354</v>
      </c>
      <c r="G517" s="359" t="s">
        <v>4768</v>
      </c>
    </row>
    <row r="518" spans="1:7">
      <c r="A518" s="239" t="s">
        <v>4783</v>
      </c>
      <c r="B518" s="164" t="s">
        <v>1462</v>
      </c>
      <c r="C518" s="154">
        <v>1</v>
      </c>
      <c r="D518" s="176" t="s">
        <v>2355</v>
      </c>
      <c r="E518" s="178" t="s">
        <v>4361</v>
      </c>
      <c r="F518" s="218" t="s">
        <v>2356</v>
      </c>
      <c r="G518" s="359" t="s">
        <v>4768</v>
      </c>
    </row>
    <row r="519" spans="1:7">
      <c r="A519" s="239" t="s">
        <v>4783</v>
      </c>
      <c r="B519" s="164" t="s">
        <v>1462</v>
      </c>
      <c r="C519" s="154">
        <v>1</v>
      </c>
      <c r="D519" s="176" t="s">
        <v>2357</v>
      </c>
      <c r="E519" s="178" t="s">
        <v>4362</v>
      </c>
      <c r="F519" s="218" t="s">
        <v>2358</v>
      </c>
      <c r="G519" s="359" t="s">
        <v>4768</v>
      </c>
    </row>
    <row r="520" spans="1:7">
      <c r="A520" s="239" t="s">
        <v>4783</v>
      </c>
      <c r="B520" s="164" t="s">
        <v>1462</v>
      </c>
      <c r="C520" s="154">
        <v>1</v>
      </c>
      <c r="D520" s="176" t="s">
        <v>2359</v>
      </c>
      <c r="E520" s="178" t="s">
        <v>4363</v>
      </c>
      <c r="F520" s="218" t="s">
        <v>2360</v>
      </c>
      <c r="G520" s="359" t="s">
        <v>4768</v>
      </c>
    </row>
    <row r="521" spans="1:7">
      <c r="A521" s="239" t="s">
        <v>4783</v>
      </c>
      <c r="B521" s="164" t="s">
        <v>1462</v>
      </c>
      <c r="C521" s="154">
        <v>1</v>
      </c>
      <c r="D521" s="176" t="s">
        <v>2361</v>
      </c>
      <c r="E521" s="178" t="s">
        <v>4364</v>
      </c>
      <c r="F521" s="218" t="s">
        <v>2362</v>
      </c>
      <c r="G521" s="359" t="s">
        <v>4768</v>
      </c>
    </row>
    <row r="522" spans="1:7">
      <c r="A522" s="239" t="s">
        <v>4783</v>
      </c>
      <c r="B522" s="164" t="s">
        <v>1462</v>
      </c>
      <c r="C522" s="154">
        <v>1</v>
      </c>
      <c r="D522" s="176" t="s">
        <v>2363</v>
      </c>
      <c r="E522" s="178" t="s">
        <v>4365</v>
      </c>
      <c r="F522" s="218" t="s">
        <v>2364</v>
      </c>
      <c r="G522" s="359" t="s">
        <v>4768</v>
      </c>
    </row>
    <row r="523" spans="1:7">
      <c r="A523" s="239" t="s">
        <v>4783</v>
      </c>
      <c r="B523" s="164" t="s">
        <v>1462</v>
      </c>
      <c r="C523" s="154">
        <v>1</v>
      </c>
      <c r="D523" s="176" t="s">
        <v>2365</v>
      </c>
      <c r="E523" s="178" t="s">
        <v>4366</v>
      </c>
      <c r="F523" s="218" t="s">
        <v>2366</v>
      </c>
      <c r="G523" s="359" t="s">
        <v>4768</v>
      </c>
    </row>
    <row r="524" spans="1:7">
      <c r="A524" s="239" t="s">
        <v>4783</v>
      </c>
      <c r="B524" s="164" t="s">
        <v>1462</v>
      </c>
      <c r="C524" s="154">
        <v>1</v>
      </c>
      <c r="D524" s="176" t="s">
        <v>2367</v>
      </c>
      <c r="E524" s="178" t="s">
        <v>4367</v>
      </c>
      <c r="F524" s="218" t="s">
        <v>2368</v>
      </c>
      <c r="G524" s="359" t="s">
        <v>4768</v>
      </c>
    </row>
    <row r="525" spans="1:7">
      <c r="A525" s="239" t="s">
        <v>4783</v>
      </c>
      <c r="B525" s="164" t="s">
        <v>1462</v>
      </c>
      <c r="C525" s="154">
        <v>1</v>
      </c>
      <c r="D525" s="176" t="s">
        <v>2369</v>
      </c>
      <c r="E525" s="178" t="s">
        <v>4368</v>
      </c>
      <c r="F525" s="218" t="s">
        <v>2370</v>
      </c>
      <c r="G525" s="359" t="s">
        <v>4768</v>
      </c>
    </row>
    <row r="526" spans="1:7">
      <c r="A526" s="239" t="s">
        <v>4783</v>
      </c>
      <c r="B526" s="164" t="s">
        <v>1462</v>
      </c>
      <c r="C526" s="154">
        <v>1</v>
      </c>
      <c r="D526" s="176" t="s">
        <v>2371</v>
      </c>
      <c r="E526" s="178" t="s">
        <v>4369</v>
      </c>
      <c r="F526" s="218" t="s">
        <v>2372</v>
      </c>
      <c r="G526" s="359" t="s">
        <v>4768</v>
      </c>
    </row>
    <row r="527" spans="1:7">
      <c r="A527" s="239" t="s">
        <v>4783</v>
      </c>
      <c r="B527" s="164" t="s">
        <v>1462</v>
      </c>
      <c r="C527" s="154">
        <v>1</v>
      </c>
      <c r="D527" s="176" t="s">
        <v>2373</v>
      </c>
      <c r="E527" s="178" t="s">
        <v>4370</v>
      </c>
      <c r="F527" s="218" t="s">
        <v>2374</v>
      </c>
      <c r="G527" s="359" t="s">
        <v>4768</v>
      </c>
    </row>
    <row r="528" spans="1:7">
      <c r="A528" s="239" t="s">
        <v>4783</v>
      </c>
      <c r="B528" s="164" t="s">
        <v>1462</v>
      </c>
      <c r="C528" s="154">
        <v>1</v>
      </c>
      <c r="D528" s="176" t="s">
        <v>2375</v>
      </c>
      <c r="E528" s="178" t="s">
        <v>4371</v>
      </c>
      <c r="F528" s="218" t="s">
        <v>2376</v>
      </c>
      <c r="G528" s="359" t="s">
        <v>4768</v>
      </c>
    </row>
    <row r="529" spans="1:7">
      <c r="A529" s="239" t="s">
        <v>4783</v>
      </c>
      <c r="B529" s="164" t="s">
        <v>1462</v>
      </c>
      <c r="C529" s="154">
        <v>1</v>
      </c>
      <c r="D529" s="176" t="s">
        <v>2377</v>
      </c>
      <c r="E529" s="178" t="s">
        <v>4372</v>
      </c>
      <c r="F529" s="218" t="s">
        <v>2378</v>
      </c>
      <c r="G529" s="359" t="s">
        <v>4768</v>
      </c>
    </row>
    <row r="530" spans="1:7">
      <c r="A530" s="239" t="s">
        <v>4783</v>
      </c>
      <c r="B530" s="164" t="s">
        <v>1462</v>
      </c>
      <c r="C530" s="154">
        <v>1</v>
      </c>
      <c r="D530" s="176" t="s">
        <v>2379</v>
      </c>
      <c r="E530" s="178" t="s">
        <v>4373</v>
      </c>
      <c r="F530" s="218" t="s">
        <v>2380</v>
      </c>
      <c r="G530" s="359" t="s">
        <v>4768</v>
      </c>
    </row>
    <row r="531" spans="1:7">
      <c r="A531" s="239" t="s">
        <v>4783</v>
      </c>
      <c r="B531" s="164" t="s">
        <v>1462</v>
      </c>
      <c r="C531" s="154">
        <v>1</v>
      </c>
      <c r="D531" s="176" t="s">
        <v>2381</v>
      </c>
      <c r="E531" s="178" t="s">
        <v>4374</v>
      </c>
      <c r="F531" s="218" t="s">
        <v>2382</v>
      </c>
      <c r="G531" s="359" t="s">
        <v>4768</v>
      </c>
    </row>
    <row r="532" spans="1:7">
      <c r="A532" s="239" t="s">
        <v>4783</v>
      </c>
      <c r="B532" s="164" t="s">
        <v>1462</v>
      </c>
      <c r="C532" s="154">
        <v>1</v>
      </c>
      <c r="D532" s="176" t="s">
        <v>2383</v>
      </c>
      <c r="E532" s="178" t="s">
        <v>4375</v>
      </c>
      <c r="F532" s="218" t="s">
        <v>2384</v>
      </c>
      <c r="G532" s="359" t="s">
        <v>4768</v>
      </c>
    </row>
    <row r="533" spans="1:7">
      <c r="A533" s="239" t="s">
        <v>4783</v>
      </c>
      <c r="B533" s="164" t="s">
        <v>1462</v>
      </c>
      <c r="C533" s="154">
        <v>1</v>
      </c>
      <c r="D533" s="176" t="s">
        <v>2385</v>
      </c>
      <c r="E533" s="178" t="s">
        <v>4376</v>
      </c>
      <c r="F533" s="218" t="s">
        <v>2386</v>
      </c>
      <c r="G533" s="359" t="s">
        <v>4768</v>
      </c>
    </row>
    <row r="534" spans="1:7">
      <c r="A534" s="239" t="s">
        <v>4783</v>
      </c>
      <c r="B534" s="164" t="s">
        <v>1462</v>
      </c>
      <c r="C534" s="154">
        <v>1</v>
      </c>
      <c r="D534" s="176" t="s">
        <v>2387</v>
      </c>
      <c r="E534" s="178" t="s">
        <v>4377</v>
      </c>
      <c r="F534" s="218" t="s">
        <v>2388</v>
      </c>
      <c r="G534" s="359" t="s">
        <v>4768</v>
      </c>
    </row>
    <row r="535" spans="1:7">
      <c r="A535" s="239" t="s">
        <v>4783</v>
      </c>
      <c r="B535" s="164" t="s">
        <v>1462</v>
      </c>
      <c r="C535" s="154">
        <v>1</v>
      </c>
      <c r="D535" s="176" t="s">
        <v>2389</v>
      </c>
      <c r="E535" s="178" t="s">
        <v>4378</v>
      </c>
      <c r="F535" s="218" t="s">
        <v>2390</v>
      </c>
      <c r="G535" s="359" t="s">
        <v>4768</v>
      </c>
    </row>
    <row r="536" spans="1:7">
      <c r="A536" s="239" t="s">
        <v>4783</v>
      </c>
      <c r="B536" s="164" t="s">
        <v>1462</v>
      </c>
      <c r="C536" s="154">
        <v>1</v>
      </c>
      <c r="D536" s="176" t="s">
        <v>2391</v>
      </c>
      <c r="E536" s="178" t="s">
        <v>4379</v>
      </c>
      <c r="F536" s="218" t="s">
        <v>2392</v>
      </c>
      <c r="G536" s="359" t="s">
        <v>4768</v>
      </c>
    </row>
    <row r="537" spans="1:7">
      <c r="A537" s="239" t="s">
        <v>4783</v>
      </c>
      <c r="B537" s="164" t="s">
        <v>1462</v>
      </c>
      <c r="C537" s="154">
        <v>1</v>
      </c>
      <c r="D537" s="176" t="s">
        <v>2393</v>
      </c>
      <c r="E537" s="178" t="s">
        <v>4380</v>
      </c>
      <c r="F537" s="218" t="s">
        <v>2394</v>
      </c>
      <c r="G537" s="359" t="s">
        <v>4768</v>
      </c>
    </row>
    <row r="538" spans="1:7">
      <c r="A538" s="239" t="s">
        <v>4783</v>
      </c>
      <c r="B538" s="164" t="s">
        <v>1462</v>
      </c>
      <c r="C538" s="154">
        <v>1</v>
      </c>
      <c r="D538" s="176" t="s">
        <v>2395</v>
      </c>
      <c r="E538" s="178" t="s">
        <v>4381</v>
      </c>
      <c r="F538" s="218" t="s">
        <v>2396</v>
      </c>
      <c r="G538" s="359" t="s">
        <v>4768</v>
      </c>
    </row>
    <row r="539" spans="1:7">
      <c r="A539" s="239" t="s">
        <v>4783</v>
      </c>
      <c r="B539" s="164" t="s">
        <v>1462</v>
      </c>
      <c r="C539" s="154">
        <v>1</v>
      </c>
      <c r="D539" s="176" t="s">
        <v>2397</v>
      </c>
      <c r="E539" s="178" t="s">
        <v>4382</v>
      </c>
      <c r="F539" s="218" t="s">
        <v>2398</v>
      </c>
      <c r="G539" s="359" t="s">
        <v>4768</v>
      </c>
    </row>
    <row r="540" spans="1:7">
      <c r="A540" s="239" t="s">
        <v>4783</v>
      </c>
      <c r="B540" s="164" t="s">
        <v>1462</v>
      </c>
      <c r="C540" s="154">
        <v>1</v>
      </c>
      <c r="D540" s="176" t="s">
        <v>2399</v>
      </c>
      <c r="E540" s="178" t="s">
        <v>4383</v>
      </c>
      <c r="F540" s="218" t="s">
        <v>2400</v>
      </c>
      <c r="G540" s="359" t="s">
        <v>4768</v>
      </c>
    </row>
    <row r="541" spans="1:7">
      <c r="A541" s="239" t="s">
        <v>4783</v>
      </c>
      <c r="B541" s="164" t="s">
        <v>1462</v>
      </c>
      <c r="C541" s="154">
        <v>1</v>
      </c>
      <c r="D541" s="176" t="s">
        <v>2401</v>
      </c>
      <c r="E541" s="178" t="s">
        <v>4384</v>
      </c>
      <c r="F541" s="218" t="s">
        <v>2402</v>
      </c>
      <c r="G541" s="359" t="s">
        <v>4768</v>
      </c>
    </row>
    <row r="542" spans="1:7">
      <c r="A542" s="239" t="s">
        <v>4783</v>
      </c>
      <c r="B542" s="164" t="s">
        <v>1462</v>
      </c>
      <c r="C542" s="154">
        <v>1</v>
      </c>
      <c r="D542" s="176" t="s">
        <v>2403</v>
      </c>
      <c r="E542" s="178" t="s">
        <v>4385</v>
      </c>
      <c r="F542" s="218" t="s">
        <v>2404</v>
      </c>
      <c r="G542" s="359" t="s">
        <v>4768</v>
      </c>
    </row>
    <row r="543" spans="1:7">
      <c r="A543" s="239" t="s">
        <v>4783</v>
      </c>
      <c r="B543" s="164" t="s">
        <v>1462</v>
      </c>
      <c r="C543" s="154">
        <v>1</v>
      </c>
      <c r="D543" s="176" t="s">
        <v>2405</v>
      </c>
      <c r="E543" s="178" t="s">
        <v>4386</v>
      </c>
      <c r="F543" s="218" t="s">
        <v>2406</v>
      </c>
      <c r="G543" s="359" t="s">
        <v>4768</v>
      </c>
    </row>
    <row r="544" spans="1:7">
      <c r="A544" s="239" t="s">
        <v>4783</v>
      </c>
      <c r="B544" s="164" t="s">
        <v>1462</v>
      </c>
      <c r="C544" s="154">
        <v>1</v>
      </c>
      <c r="D544" s="176" t="s">
        <v>2407</v>
      </c>
      <c r="E544" s="178" t="s">
        <v>4387</v>
      </c>
      <c r="F544" s="218" t="s">
        <v>2408</v>
      </c>
      <c r="G544" s="359" t="s">
        <v>4768</v>
      </c>
    </row>
    <row r="545" spans="1:7">
      <c r="A545" s="239" t="s">
        <v>4783</v>
      </c>
      <c r="B545" s="164" t="s">
        <v>1462</v>
      </c>
      <c r="C545" s="154">
        <v>1</v>
      </c>
      <c r="D545" s="176" t="s">
        <v>2409</v>
      </c>
      <c r="E545" s="178" t="s">
        <v>4388</v>
      </c>
      <c r="F545" s="218" t="s">
        <v>2410</v>
      </c>
      <c r="G545" s="359" t="s">
        <v>4768</v>
      </c>
    </row>
    <row r="546" spans="1:7">
      <c r="A546" s="239" t="s">
        <v>4783</v>
      </c>
      <c r="B546" s="164" t="s">
        <v>1462</v>
      </c>
      <c r="C546" s="154">
        <v>1</v>
      </c>
      <c r="D546" s="176">
        <v>47</v>
      </c>
      <c r="E546" s="178" t="s">
        <v>4389</v>
      </c>
      <c r="F546" s="218" t="s">
        <v>2411</v>
      </c>
      <c r="G546" s="359" t="s">
        <v>4768</v>
      </c>
    </row>
    <row r="547" spans="1:7">
      <c r="A547" s="239" t="s">
        <v>4783</v>
      </c>
      <c r="B547" s="164" t="s">
        <v>1462</v>
      </c>
      <c r="C547" s="154">
        <v>1</v>
      </c>
      <c r="D547" s="176" t="s">
        <v>2412</v>
      </c>
      <c r="E547" s="178" t="s">
        <v>4390</v>
      </c>
      <c r="F547" s="218" t="s">
        <v>2413</v>
      </c>
      <c r="G547" s="359" t="s">
        <v>4768</v>
      </c>
    </row>
    <row r="548" spans="1:7">
      <c r="A548" s="239" t="s">
        <v>4783</v>
      </c>
      <c r="B548" s="164" t="s">
        <v>1462</v>
      </c>
      <c r="C548" s="154">
        <v>1</v>
      </c>
      <c r="D548" s="176" t="s">
        <v>2414</v>
      </c>
      <c r="E548" s="178" t="s">
        <v>4391</v>
      </c>
      <c r="F548" s="218" t="s">
        <v>2415</v>
      </c>
      <c r="G548" s="359" t="s">
        <v>4768</v>
      </c>
    </row>
    <row r="549" spans="1:7">
      <c r="A549" s="239" t="s">
        <v>4783</v>
      </c>
      <c r="B549" s="164" t="s">
        <v>1462</v>
      </c>
      <c r="C549" s="154">
        <v>1</v>
      </c>
      <c r="D549" s="176" t="s">
        <v>2416</v>
      </c>
      <c r="E549" s="178" t="s">
        <v>4392</v>
      </c>
      <c r="F549" s="218" t="s">
        <v>2417</v>
      </c>
      <c r="G549" s="359" t="s">
        <v>4768</v>
      </c>
    </row>
    <row r="550" spans="1:7">
      <c r="A550" s="239" t="s">
        <v>4783</v>
      </c>
      <c r="B550" s="164" t="s">
        <v>1462</v>
      </c>
      <c r="C550" s="154">
        <v>1</v>
      </c>
      <c r="D550" s="176" t="s">
        <v>2418</v>
      </c>
      <c r="E550" s="178" t="s">
        <v>4393</v>
      </c>
      <c r="F550" s="218" t="s">
        <v>2419</v>
      </c>
      <c r="G550" s="359" t="s">
        <v>4768</v>
      </c>
    </row>
    <row r="551" spans="1:7">
      <c r="A551" s="239" t="s">
        <v>4783</v>
      </c>
      <c r="B551" s="164" t="s">
        <v>1462</v>
      </c>
      <c r="C551" s="154">
        <v>1</v>
      </c>
      <c r="D551" s="176" t="s">
        <v>2420</v>
      </c>
      <c r="E551" s="178" t="s">
        <v>4394</v>
      </c>
      <c r="F551" s="218" t="s">
        <v>2421</v>
      </c>
      <c r="G551" s="359" t="s">
        <v>4768</v>
      </c>
    </row>
    <row r="552" spans="1:7">
      <c r="A552" s="239" t="s">
        <v>4783</v>
      </c>
      <c r="B552" s="164" t="s">
        <v>1462</v>
      </c>
      <c r="C552" s="154">
        <v>1</v>
      </c>
      <c r="D552" s="176" t="s">
        <v>2422</v>
      </c>
      <c r="E552" s="178" t="s">
        <v>4395</v>
      </c>
      <c r="F552" s="218" t="s">
        <v>2423</v>
      </c>
      <c r="G552" s="359" t="s">
        <v>4768</v>
      </c>
    </row>
    <row r="553" spans="1:7">
      <c r="A553" s="239" t="s">
        <v>4783</v>
      </c>
      <c r="B553" s="164" t="s">
        <v>1462</v>
      </c>
      <c r="C553" s="154">
        <v>1</v>
      </c>
      <c r="D553" s="176" t="s">
        <v>2424</v>
      </c>
      <c r="E553" s="178" t="s">
        <v>4396</v>
      </c>
      <c r="F553" s="218" t="s">
        <v>2425</v>
      </c>
      <c r="G553" s="359" t="s">
        <v>4768</v>
      </c>
    </row>
    <row r="554" spans="1:7">
      <c r="A554" s="239" t="s">
        <v>4783</v>
      </c>
      <c r="B554" s="164" t="s">
        <v>1462</v>
      </c>
      <c r="C554" s="154">
        <v>1</v>
      </c>
      <c r="D554" s="176" t="s">
        <v>2426</v>
      </c>
      <c r="E554" s="178" t="s">
        <v>4397</v>
      </c>
      <c r="F554" s="218" t="s">
        <v>2427</v>
      </c>
      <c r="G554" s="359" t="s">
        <v>4768</v>
      </c>
    </row>
    <row r="555" spans="1:7">
      <c r="A555" s="239" t="s">
        <v>4783</v>
      </c>
      <c r="B555" s="164" t="s">
        <v>1462</v>
      </c>
      <c r="C555" s="154">
        <v>1</v>
      </c>
      <c r="D555" s="176" t="s">
        <v>2428</v>
      </c>
      <c r="E555" s="178" t="s">
        <v>4398</v>
      </c>
      <c r="F555" s="218" t="s">
        <v>2429</v>
      </c>
      <c r="G555" s="359" t="s">
        <v>4768</v>
      </c>
    </row>
    <row r="556" spans="1:7">
      <c r="A556" s="239" t="s">
        <v>4783</v>
      </c>
      <c r="B556" s="164" t="s">
        <v>1462</v>
      </c>
      <c r="C556" s="154">
        <v>1</v>
      </c>
      <c r="D556" s="176" t="s">
        <v>2430</v>
      </c>
      <c r="E556" s="178" t="s">
        <v>4399</v>
      </c>
      <c r="F556" s="218" t="s">
        <v>2431</v>
      </c>
      <c r="G556" s="359" t="s">
        <v>4768</v>
      </c>
    </row>
    <row r="557" spans="1:7">
      <c r="A557" s="239" t="s">
        <v>4783</v>
      </c>
      <c r="B557" s="164" t="s">
        <v>1462</v>
      </c>
      <c r="C557" s="154">
        <v>1</v>
      </c>
      <c r="D557" s="176" t="s">
        <v>2432</v>
      </c>
      <c r="E557" s="178" t="s">
        <v>4400</v>
      </c>
      <c r="F557" s="218" t="s">
        <v>2433</v>
      </c>
      <c r="G557" s="359" t="s">
        <v>4768</v>
      </c>
    </row>
    <row r="558" spans="1:7">
      <c r="A558" s="239" t="s">
        <v>4783</v>
      </c>
      <c r="B558" s="164" t="s">
        <v>1462</v>
      </c>
      <c r="C558" s="154">
        <v>1</v>
      </c>
      <c r="D558" s="176" t="s">
        <v>2434</v>
      </c>
      <c r="E558" s="178" t="s">
        <v>4401</v>
      </c>
      <c r="F558" s="218" t="s">
        <v>2435</v>
      </c>
      <c r="G558" s="359" t="s">
        <v>4768</v>
      </c>
    </row>
    <row r="559" spans="1:7">
      <c r="A559" s="239" t="s">
        <v>4783</v>
      </c>
      <c r="B559" s="164" t="s">
        <v>1462</v>
      </c>
      <c r="C559" s="154">
        <v>1</v>
      </c>
      <c r="D559" s="176" t="s">
        <v>2436</v>
      </c>
      <c r="E559" s="178" t="s">
        <v>4402</v>
      </c>
      <c r="F559" s="218" t="s">
        <v>2437</v>
      </c>
      <c r="G559" s="359" t="s">
        <v>4768</v>
      </c>
    </row>
    <row r="560" spans="1:7">
      <c r="A560" s="239" t="s">
        <v>4783</v>
      </c>
      <c r="B560" s="164" t="s">
        <v>1462</v>
      </c>
      <c r="C560" s="154">
        <v>1</v>
      </c>
      <c r="D560" s="176" t="s">
        <v>2438</v>
      </c>
      <c r="E560" s="178" t="s">
        <v>4403</v>
      </c>
      <c r="F560" s="218" t="s">
        <v>2439</v>
      </c>
      <c r="G560" s="359" t="s">
        <v>4768</v>
      </c>
    </row>
    <row r="561" spans="1:7">
      <c r="A561" s="239" t="s">
        <v>4783</v>
      </c>
      <c r="B561" s="164" t="s">
        <v>1462</v>
      </c>
      <c r="C561" s="154">
        <v>1</v>
      </c>
      <c r="D561" s="176" t="s">
        <v>2440</v>
      </c>
      <c r="E561" s="178" t="s">
        <v>4404</v>
      </c>
      <c r="F561" s="218" t="s">
        <v>2441</v>
      </c>
      <c r="G561" s="359" t="s">
        <v>4768</v>
      </c>
    </row>
    <row r="562" spans="1:7">
      <c r="A562" s="239" t="s">
        <v>4783</v>
      </c>
      <c r="B562" s="164" t="s">
        <v>1462</v>
      </c>
      <c r="C562" s="154">
        <v>1</v>
      </c>
      <c r="D562" s="176" t="s">
        <v>2442</v>
      </c>
      <c r="E562" s="178" t="s">
        <v>4405</v>
      </c>
      <c r="F562" s="218" t="s">
        <v>2443</v>
      </c>
      <c r="G562" s="359" t="s">
        <v>4768</v>
      </c>
    </row>
    <row r="563" spans="1:7">
      <c r="A563" s="239" t="s">
        <v>4783</v>
      </c>
      <c r="B563" s="164" t="s">
        <v>1462</v>
      </c>
      <c r="C563" s="154">
        <v>1</v>
      </c>
      <c r="D563" s="176" t="s">
        <v>2444</v>
      </c>
      <c r="E563" s="178" t="s">
        <v>4406</v>
      </c>
      <c r="F563" s="218" t="s">
        <v>2445</v>
      </c>
      <c r="G563" s="359" t="s">
        <v>4768</v>
      </c>
    </row>
    <row r="564" spans="1:7">
      <c r="A564" s="239" t="s">
        <v>4783</v>
      </c>
      <c r="B564" s="164" t="s">
        <v>1462</v>
      </c>
      <c r="C564" s="154">
        <v>1</v>
      </c>
      <c r="D564" s="176" t="s">
        <v>2446</v>
      </c>
      <c r="E564" s="178" t="s">
        <v>4407</v>
      </c>
      <c r="F564" s="218" t="s">
        <v>2447</v>
      </c>
      <c r="G564" s="359" t="s">
        <v>4768</v>
      </c>
    </row>
    <row r="565" spans="1:7">
      <c r="A565" s="239" t="s">
        <v>4783</v>
      </c>
      <c r="B565" s="164" t="s">
        <v>1462</v>
      </c>
      <c r="C565" s="154">
        <v>1</v>
      </c>
      <c r="D565" s="176" t="s">
        <v>2448</v>
      </c>
      <c r="E565" s="178" t="s">
        <v>4408</v>
      </c>
      <c r="F565" s="218" t="s">
        <v>2449</v>
      </c>
      <c r="G565" s="359" t="s">
        <v>4768</v>
      </c>
    </row>
    <row r="566" spans="1:7">
      <c r="A566" s="239" t="s">
        <v>4783</v>
      </c>
      <c r="B566" s="164" t="s">
        <v>1462</v>
      </c>
      <c r="C566" s="154">
        <v>1</v>
      </c>
      <c r="D566" s="176" t="s">
        <v>2450</v>
      </c>
      <c r="E566" s="178" t="s">
        <v>4409</v>
      </c>
      <c r="F566" s="218" t="s">
        <v>2451</v>
      </c>
      <c r="G566" s="359" t="s">
        <v>4768</v>
      </c>
    </row>
    <row r="567" spans="1:7">
      <c r="A567" s="239" t="s">
        <v>4783</v>
      </c>
      <c r="B567" s="164" t="s">
        <v>1462</v>
      </c>
      <c r="C567" s="154">
        <v>1</v>
      </c>
      <c r="D567" s="176" t="s">
        <v>2452</v>
      </c>
      <c r="E567" s="178" t="s">
        <v>4410</v>
      </c>
      <c r="F567" s="218" t="s">
        <v>2453</v>
      </c>
      <c r="G567" s="359" t="s">
        <v>4768</v>
      </c>
    </row>
    <row r="568" spans="1:7">
      <c r="A568" s="239" t="s">
        <v>4783</v>
      </c>
      <c r="B568" s="164" t="s">
        <v>1462</v>
      </c>
      <c r="C568" s="154">
        <v>1</v>
      </c>
      <c r="D568" s="176" t="s">
        <v>2454</v>
      </c>
      <c r="E568" s="178" t="s">
        <v>4411</v>
      </c>
      <c r="F568" s="218" t="s">
        <v>2455</v>
      </c>
      <c r="G568" s="359" t="s">
        <v>4768</v>
      </c>
    </row>
    <row r="569" spans="1:7">
      <c r="A569" s="239" t="s">
        <v>4783</v>
      </c>
      <c r="B569" s="164" t="s">
        <v>1462</v>
      </c>
      <c r="C569" s="154">
        <v>1</v>
      </c>
      <c r="D569" s="176" t="s">
        <v>2456</v>
      </c>
      <c r="E569" s="178" t="s">
        <v>4412</v>
      </c>
      <c r="F569" s="218" t="s">
        <v>2457</v>
      </c>
      <c r="G569" s="359" t="s">
        <v>4768</v>
      </c>
    </row>
    <row r="570" spans="1:7">
      <c r="A570" s="239" t="s">
        <v>4783</v>
      </c>
      <c r="B570" s="164" t="s">
        <v>1462</v>
      </c>
      <c r="C570" s="154">
        <v>1</v>
      </c>
      <c r="D570" s="176" t="s">
        <v>2458</v>
      </c>
      <c r="E570" s="178" t="s">
        <v>4413</v>
      </c>
      <c r="F570" s="218" t="s">
        <v>2459</v>
      </c>
      <c r="G570" s="359" t="s">
        <v>4768</v>
      </c>
    </row>
    <row r="571" spans="1:7">
      <c r="A571" s="239" t="s">
        <v>4783</v>
      </c>
      <c r="B571" s="164" t="s">
        <v>1462</v>
      </c>
      <c r="C571" s="154">
        <v>1</v>
      </c>
      <c r="D571" s="176" t="s">
        <v>2460</v>
      </c>
      <c r="E571" s="178" t="s">
        <v>4414</v>
      </c>
      <c r="F571" s="218" t="s">
        <v>2461</v>
      </c>
      <c r="G571" s="359" t="s">
        <v>4768</v>
      </c>
    </row>
    <row r="572" spans="1:7">
      <c r="A572" s="239" t="s">
        <v>4783</v>
      </c>
      <c r="B572" s="164" t="s">
        <v>1462</v>
      </c>
      <c r="C572" s="154">
        <v>1</v>
      </c>
      <c r="D572" s="176" t="s">
        <v>2462</v>
      </c>
      <c r="E572" s="178" t="s">
        <v>4415</v>
      </c>
      <c r="F572" s="218" t="s">
        <v>2463</v>
      </c>
      <c r="G572" s="359" t="s">
        <v>4768</v>
      </c>
    </row>
    <row r="573" spans="1:7">
      <c r="A573" s="239" t="s">
        <v>4783</v>
      </c>
      <c r="B573" s="164" t="s">
        <v>1462</v>
      </c>
      <c r="C573" s="154">
        <v>1</v>
      </c>
      <c r="D573" s="176" t="s">
        <v>2464</v>
      </c>
      <c r="E573" s="178" t="s">
        <v>4416</v>
      </c>
      <c r="F573" s="218" t="s">
        <v>2465</v>
      </c>
      <c r="G573" s="359" t="s">
        <v>4768</v>
      </c>
    </row>
    <row r="574" spans="1:7">
      <c r="A574" s="239" t="s">
        <v>4783</v>
      </c>
      <c r="B574" s="164" t="s">
        <v>1462</v>
      </c>
      <c r="C574" s="154">
        <v>1</v>
      </c>
      <c r="D574" s="176" t="s">
        <v>2466</v>
      </c>
      <c r="E574" s="178" t="s">
        <v>4417</v>
      </c>
      <c r="F574" s="218" t="s">
        <v>2467</v>
      </c>
      <c r="G574" s="359" t="s">
        <v>4768</v>
      </c>
    </row>
    <row r="575" spans="1:7">
      <c r="A575" s="239" t="s">
        <v>4783</v>
      </c>
      <c r="B575" s="164" t="s">
        <v>1462</v>
      </c>
      <c r="C575" s="154">
        <v>1</v>
      </c>
      <c r="D575" s="176" t="s">
        <v>2468</v>
      </c>
      <c r="E575" s="178" t="s">
        <v>4418</v>
      </c>
      <c r="F575" s="218" t="s">
        <v>2469</v>
      </c>
      <c r="G575" s="359" t="s">
        <v>4768</v>
      </c>
    </row>
    <row r="576" spans="1:7">
      <c r="A576" s="239" t="s">
        <v>4783</v>
      </c>
      <c r="B576" s="164" t="s">
        <v>1462</v>
      </c>
      <c r="C576" s="154">
        <v>1</v>
      </c>
      <c r="D576" s="176" t="s">
        <v>2470</v>
      </c>
      <c r="E576" s="178" t="s">
        <v>4419</v>
      </c>
      <c r="F576" s="218" t="s">
        <v>2471</v>
      </c>
      <c r="G576" s="359" t="s">
        <v>4768</v>
      </c>
    </row>
    <row r="577" spans="1:7">
      <c r="A577" s="239" t="s">
        <v>4783</v>
      </c>
      <c r="B577" s="164" t="s">
        <v>1462</v>
      </c>
      <c r="C577" s="154">
        <v>1</v>
      </c>
      <c r="D577" s="176" t="s">
        <v>2472</v>
      </c>
      <c r="E577" s="178" t="s">
        <v>4420</v>
      </c>
      <c r="F577" s="218" t="s">
        <v>2473</v>
      </c>
      <c r="G577" s="359" t="s">
        <v>4768</v>
      </c>
    </row>
    <row r="578" spans="1:7">
      <c r="A578" s="239" t="s">
        <v>4783</v>
      </c>
      <c r="B578" s="164" t="s">
        <v>1462</v>
      </c>
      <c r="C578" s="154">
        <v>1</v>
      </c>
      <c r="D578" s="176" t="s">
        <v>2474</v>
      </c>
      <c r="E578" s="178" t="s">
        <v>4421</v>
      </c>
      <c r="F578" s="218" t="s">
        <v>2475</v>
      </c>
      <c r="G578" s="359" t="s">
        <v>4768</v>
      </c>
    </row>
    <row r="579" spans="1:7">
      <c r="A579" s="239" t="s">
        <v>4783</v>
      </c>
      <c r="B579" s="164" t="s">
        <v>1462</v>
      </c>
      <c r="C579" s="154">
        <v>1</v>
      </c>
      <c r="D579" s="176" t="s">
        <v>2476</v>
      </c>
      <c r="E579" s="178" t="s">
        <v>4422</v>
      </c>
      <c r="F579" s="218" t="s">
        <v>2477</v>
      </c>
      <c r="G579" s="359" t="s">
        <v>4768</v>
      </c>
    </row>
    <row r="580" spans="1:7">
      <c r="A580" s="239" t="s">
        <v>4783</v>
      </c>
      <c r="B580" s="164" t="s">
        <v>1462</v>
      </c>
      <c r="C580" s="154">
        <v>1</v>
      </c>
      <c r="D580" s="176" t="s">
        <v>2478</v>
      </c>
      <c r="E580" s="178" t="s">
        <v>4423</v>
      </c>
      <c r="F580" s="218" t="s">
        <v>2479</v>
      </c>
      <c r="G580" s="359" t="s">
        <v>4768</v>
      </c>
    </row>
    <row r="581" spans="1:7">
      <c r="A581" s="239" t="s">
        <v>4783</v>
      </c>
      <c r="B581" s="164" t="s">
        <v>1462</v>
      </c>
      <c r="C581" s="154">
        <v>1</v>
      </c>
      <c r="D581" s="176" t="s">
        <v>2480</v>
      </c>
      <c r="E581" s="178" t="s">
        <v>4424</v>
      </c>
      <c r="F581" s="218" t="s">
        <v>2481</v>
      </c>
      <c r="G581" s="359" t="s">
        <v>4768</v>
      </c>
    </row>
    <row r="582" spans="1:7">
      <c r="A582" s="239" t="s">
        <v>4783</v>
      </c>
      <c r="B582" s="164" t="s">
        <v>1462</v>
      </c>
      <c r="C582" s="154">
        <v>1</v>
      </c>
      <c r="D582" s="176" t="s">
        <v>2482</v>
      </c>
      <c r="E582" s="178" t="s">
        <v>4425</v>
      </c>
      <c r="F582" s="218" t="s">
        <v>2483</v>
      </c>
      <c r="G582" s="359" t="s">
        <v>4768</v>
      </c>
    </row>
    <row r="583" spans="1:7">
      <c r="A583" s="239" t="s">
        <v>4783</v>
      </c>
      <c r="B583" s="164" t="s">
        <v>1462</v>
      </c>
      <c r="C583" s="154">
        <v>1</v>
      </c>
      <c r="D583" s="176" t="s">
        <v>2484</v>
      </c>
      <c r="E583" s="178" t="s">
        <v>4426</v>
      </c>
      <c r="F583" s="218" t="s">
        <v>2485</v>
      </c>
      <c r="G583" s="359" t="s">
        <v>4768</v>
      </c>
    </row>
    <row r="584" spans="1:7">
      <c r="A584" s="239" t="s">
        <v>4783</v>
      </c>
      <c r="B584" s="164" t="s">
        <v>1462</v>
      </c>
      <c r="C584" s="154">
        <v>1</v>
      </c>
      <c r="D584" s="176" t="s">
        <v>2486</v>
      </c>
      <c r="E584" s="178" t="s">
        <v>4427</v>
      </c>
      <c r="F584" s="218" t="s">
        <v>2487</v>
      </c>
      <c r="G584" s="359" t="s">
        <v>4768</v>
      </c>
    </row>
    <row r="585" spans="1:7">
      <c r="A585" s="239" t="s">
        <v>4783</v>
      </c>
      <c r="B585" s="164" t="s">
        <v>1462</v>
      </c>
      <c r="C585" s="154">
        <v>1</v>
      </c>
      <c r="D585" s="176" t="s">
        <v>2488</v>
      </c>
      <c r="E585" s="178" t="s">
        <v>4428</v>
      </c>
      <c r="F585" s="218" t="s">
        <v>2489</v>
      </c>
      <c r="G585" s="359" t="s">
        <v>4768</v>
      </c>
    </row>
    <row r="586" spans="1:7">
      <c r="A586" s="239" t="s">
        <v>4783</v>
      </c>
      <c r="B586" s="164" t="s">
        <v>1462</v>
      </c>
      <c r="C586" s="154">
        <v>1</v>
      </c>
      <c r="D586" s="176" t="s">
        <v>2490</v>
      </c>
      <c r="E586" s="178" t="s">
        <v>4429</v>
      </c>
      <c r="F586" s="218" t="s">
        <v>2491</v>
      </c>
      <c r="G586" s="359" t="s">
        <v>4768</v>
      </c>
    </row>
    <row r="587" spans="1:7">
      <c r="A587" s="239" t="s">
        <v>4783</v>
      </c>
      <c r="B587" s="164" t="s">
        <v>1462</v>
      </c>
      <c r="C587" s="154">
        <v>1</v>
      </c>
      <c r="D587" s="176" t="s">
        <v>2492</v>
      </c>
      <c r="E587" s="178" t="s">
        <v>4430</v>
      </c>
      <c r="F587" s="218" t="s">
        <v>2493</v>
      </c>
      <c r="G587" s="359" t="s">
        <v>4768</v>
      </c>
    </row>
    <row r="588" spans="1:7">
      <c r="A588" s="239" t="s">
        <v>4783</v>
      </c>
      <c r="B588" s="164" t="s">
        <v>1462</v>
      </c>
      <c r="C588" s="154">
        <v>1</v>
      </c>
      <c r="D588" s="176" t="s">
        <v>2494</v>
      </c>
      <c r="E588" s="178" t="s">
        <v>4431</v>
      </c>
      <c r="F588" s="218" t="s">
        <v>2495</v>
      </c>
      <c r="G588" s="359" t="s">
        <v>4768</v>
      </c>
    </row>
    <row r="589" spans="1:7">
      <c r="A589" s="239" t="s">
        <v>4783</v>
      </c>
      <c r="B589" s="164" t="s">
        <v>1462</v>
      </c>
      <c r="C589" s="154">
        <v>1</v>
      </c>
      <c r="D589" s="176" t="s">
        <v>2496</v>
      </c>
      <c r="E589" s="178" t="s">
        <v>4432</v>
      </c>
      <c r="F589" s="218" t="s">
        <v>2497</v>
      </c>
      <c r="G589" s="359" t="s">
        <v>4768</v>
      </c>
    </row>
    <row r="590" spans="1:7">
      <c r="A590" s="239" t="s">
        <v>4783</v>
      </c>
      <c r="B590" s="164" t="s">
        <v>1462</v>
      </c>
      <c r="C590" s="154">
        <v>1</v>
      </c>
      <c r="D590" s="176" t="s">
        <v>2498</v>
      </c>
      <c r="E590" s="178" t="s">
        <v>4433</v>
      </c>
      <c r="F590" s="218" t="s">
        <v>2499</v>
      </c>
      <c r="G590" s="359" t="s">
        <v>4768</v>
      </c>
    </row>
    <row r="591" spans="1:7">
      <c r="A591" s="239" t="s">
        <v>4783</v>
      </c>
      <c r="B591" s="164" t="s">
        <v>1462</v>
      </c>
      <c r="C591" s="154">
        <v>1</v>
      </c>
      <c r="D591" s="176" t="s">
        <v>2500</v>
      </c>
      <c r="E591" s="178" t="s">
        <v>4434</v>
      </c>
      <c r="F591" s="218" t="s">
        <v>2501</v>
      </c>
      <c r="G591" s="359" t="s">
        <v>4768</v>
      </c>
    </row>
    <row r="592" spans="1:7">
      <c r="A592" s="239" t="s">
        <v>4783</v>
      </c>
      <c r="B592" s="164" t="s">
        <v>1462</v>
      </c>
      <c r="C592" s="154">
        <v>1</v>
      </c>
      <c r="D592" s="176">
        <v>49</v>
      </c>
      <c r="E592" s="178" t="s">
        <v>4435</v>
      </c>
      <c r="F592" s="218" t="s">
        <v>2502</v>
      </c>
      <c r="G592" s="359" t="s">
        <v>4768</v>
      </c>
    </row>
    <row r="593" spans="1:7">
      <c r="A593" s="239" t="s">
        <v>4783</v>
      </c>
      <c r="B593" s="164" t="s">
        <v>1462</v>
      </c>
      <c r="C593" s="154">
        <v>1</v>
      </c>
      <c r="D593" s="176" t="s">
        <v>2503</v>
      </c>
      <c r="E593" s="178" t="s">
        <v>4436</v>
      </c>
      <c r="F593" s="218" t="s">
        <v>2504</v>
      </c>
      <c r="G593" s="359" t="s">
        <v>4768</v>
      </c>
    </row>
    <row r="594" spans="1:7">
      <c r="A594" s="239" t="s">
        <v>4783</v>
      </c>
      <c r="B594" s="164" t="s">
        <v>1462</v>
      </c>
      <c r="C594" s="154">
        <v>1</v>
      </c>
      <c r="D594" s="176" t="s">
        <v>2505</v>
      </c>
      <c r="E594" s="178" t="s">
        <v>4437</v>
      </c>
      <c r="F594" s="218" t="s">
        <v>2506</v>
      </c>
      <c r="G594" s="359" t="s">
        <v>4768</v>
      </c>
    </row>
    <row r="595" spans="1:7">
      <c r="A595" s="239" t="s">
        <v>4783</v>
      </c>
      <c r="B595" s="164" t="s">
        <v>1462</v>
      </c>
      <c r="C595" s="154">
        <v>1</v>
      </c>
      <c r="D595" s="176" t="s">
        <v>2507</v>
      </c>
      <c r="E595" s="178" t="s">
        <v>4438</v>
      </c>
      <c r="F595" s="218" t="s">
        <v>2508</v>
      </c>
      <c r="G595" s="359" t="s">
        <v>4768</v>
      </c>
    </row>
    <row r="596" spans="1:7">
      <c r="A596" s="239" t="s">
        <v>4783</v>
      </c>
      <c r="B596" s="164" t="s">
        <v>1462</v>
      </c>
      <c r="C596" s="154">
        <v>1</v>
      </c>
      <c r="D596" s="176" t="s">
        <v>2509</v>
      </c>
      <c r="E596" s="178" t="s">
        <v>4439</v>
      </c>
      <c r="F596" s="218" t="s">
        <v>2510</v>
      </c>
      <c r="G596" s="359" t="s">
        <v>4768</v>
      </c>
    </row>
    <row r="597" spans="1:7">
      <c r="A597" s="239" t="s">
        <v>4783</v>
      </c>
      <c r="B597" s="164" t="s">
        <v>1462</v>
      </c>
      <c r="C597" s="154">
        <v>1</v>
      </c>
      <c r="D597" s="176" t="s">
        <v>2511</v>
      </c>
      <c r="E597" s="178" t="s">
        <v>4440</v>
      </c>
      <c r="F597" s="218" t="s">
        <v>2512</v>
      </c>
      <c r="G597" s="359" t="s">
        <v>4768</v>
      </c>
    </row>
    <row r="598" spans="1:7">
      <c r="A598" s="239" t="s">
        <v>4783</v>
      </c>
      <c r="B598" s="164" t="s">
        <v>1462</v>
      </c>
      <c r="C598" s="154">
        <v>1</v>
      </c>
      <c r="D598" s="176" t="s">
        <v>2513</v>
      </c>
      <c r="E598" s="178" t="s">
        <v>4441</v>
      </c>
      <c r="F598" s="218" t="s">
        <v>2514</v>
      </c>
      <c r="G598" s="359" t="s">
        <v>4768</v>
      </c>
    </row>
    <row r="599" spans="1:7">
      <c r="A599" s="239" t="s">
        <v>4783</v>
      </c>
      <c r="B599" s="164" t="s">
        <v>1462</v>
      </c>
      <c r="C599" s="154">
        <v>1</v>
      </c>
      <c r="D599" s="176" t="s">
        <v>2515</v>
      </c>
      <c r="E599" s="178" t="s">
        <v>4442</v>
      </c>
      <c r="F599" s="218" t="s">
        <v>2516</v>
      </c>
      <c r="G599" s="359" t="s">
        <v>4768</v>
      </c>
    </row>
    <row r="600" spans="1:7">
      <c r="A600" s="239" t="s">
        <v>4783</v>
      </c>
      <c r="B600" s="164" t="s">
        <v>1462</v>
      </c>
      <c r="C600" s="154">
        <v>1</v>
      </c>
      <c r="D600" s="176" t="s">
        <v>2517</v>
      </c>
      <c r="E600" s="178" t="s">
        <v>4443</v>
      </c>
      <c r="F600" s="218" t="s">
        <v>2518</v>
      </c>
      <c r="G600" s="359" t="s">
        <v>4768</v>
      </c>
    </row>
    <row r="601" spans="1:7">
      <c r="A601" s="239" t="s">
        <v>4783</v>
      </c>
      <c r="B601" s="164" t="s">
        <v>1462</v>
      </c>
      <c r="C601" s="154">
        <v>1</v>
      </c>
      <c r="D601" s="176" t="s">
        <v>2519</v>
      </c>
      <c r="E601" s="178" t="s">
        <v>4444</v>
      </c>
      <c r="F601" s="218" t="s">
        <v>2520</v>
      </c>
      <c r="G601" s="359" t="s">
        <v>4768</v>
      </c>
    </row>
    <row r="602" spans="1:7">
      <c r="A602" s="239" t="s">
        <v>4783</v>
      </c>
      <c r="B602" s="164" t="s">
        <v>1462</v>
      </c>
      <c r="C602" s="154">
        <v>1</v>
      </c>
      <c r="D602" s="176" t="s">
        <v>2521</v>
      </c>
      <c r="E602" s="178" t="s">
        <v>4445</v>
      </c>
      <c r="F602" s="218" t="s">
        <v>2522</v>
      </c>
      <c r="G602" s="359" t="s">
        <v>4768</v>
      </c>
    </row>
    <row r="603" spans="1:7">
      <c r="A603" s="239" t="s">
        <v>4783</v>
      </c>
      <c r="B603" s="164" t="s">
        <v>1462</v>
      </c>
      <c r="C603" s="154">
        <v>1</v>
      </c>
      <c r="D603" s="176">
        <v>50</v>
      </c>
      <c r="E603" s="178" t="s">
        <v>4446</v>
      </c>
      <c r="F603" s="218" t="s">
        <v>2523</v>
      </c>
      <c r="G603" s="359" t="s">
        <v>4768</v>
      </c>
    </row>
    <row r="604" spans="1:7">
      <c r="A604" s="239" t="s">
        <v>4783</v>
      </c>
      <c r="B604" s="164" t="s">
        <v>1462</v>
      </c>
      <c r="C604" s="154">
        <v>1</v>
      </c>
      <c r="D604" s="176" t="s">
        <v>2524</v>
      </c>
      <c r="E604" s="178" t="s">
        <v>4447</v>
      </c>
      <c r="F604" s="218" t="s">
        <v>2525</v>
      </c>
      <c r="G604" s="359" t="s">
        <v>4768</v>
      </c>
    </row>
    <row r="605" spans="1:7">
      <c r="A605" s="239" t="s">
        <v>4783</v>
      </c>
      <c r="B605" s="164" t="s">
        <v>1462</v>
      </c>
      <c r="C605" s="154">
        <v>1</v>
      </c>
      <c r="D605" s="176" t="s">
        <v>2526</v>
      </c>
      <c r="E605" s="178" t="s">
        <v>4448</v>
      </c>
      <c r="F605" s="218" t="s">
        <v>2527</v>
      </c>
      <c r="G605" s="359" t="s">
        <v>4768</v>
      </c>
    </row>
    <row r="606" spans="1:7">
      <c r="A606" s="239" t="s">
        <v>4783</v>
      </c>
      <c r="B606" s="164" t="s">
        <v>1462</v>
      </c>
      <c r="C606" s="154">
        <v>1</v>
      </c>
      <c r="D606" s="176" t="s">
        <v>2528</v>
      </c>
      <c r="E606" s="178" t="s">
        <v>4449</v>
      </c>
      <c r="F606" s="218" t="s">
        <v>2529</v>
      </c>
      <c r="G606" s="359" t="s">
        <v>4768</v>
      </c>
    </row>
    <row r="607" spans="1:7">
      <c r="A607" s="239" t="s">
        <v>4783</v>
      </c>
      <c r="B607" s="164" t="s">
        <v>1462</v>
      </c>
      <c r="C607" s="154">
        <v>1</v>
      </c>
      <c r="D607" s="176" t="s">
        <v>2530</v>
      </c>
      <c r="E607" s="178" t="s">
        <v>4450</v>
      </c>
      <c r="F607" s="218" t="s">
        <v>2531</v>
      </c>
      <c r="G607" s="359" t="s">
        <v>4768</v>
      </c>
    </row>
    <row r="608" spans="1:7">
      <c r="A608" s="239" t="s">
        <v>4783</v>
      </c>
      <c r="B608" s="164" t="s">
        <v>1462</v>
      </c>
      <c r="C608" s="154">
        <v>1</v>
      </c>
      <c r="D608" s="176">
        <v>51</v>
      </c>
      <c r="E608" s="178" t="s">
        <v>4451</v>
      </c>
      <c r="F608" s="218" t="s">
        <v>2532</v>
      </c>
      <c r="G608" s="359" t="s">
        <v>4768</v>
      </c>
    </row>
    <row r="609" spans="1:7">
      <c r="A609" s="239" t="s">
        <v>4783</v>
      </c>
      <c r="B609" s="164" t="s">
        <v>1462</v>
      </c>
      <c r="C609" s="154">
        <v>1</v>
      </c>
      <c r="D609" s="176" t="s">
        <v>2533</v>
      </c>
      <c r="E609" s="178" t="s">
        <v>4452</v>
      </c>
      <c r="F609" s="218" t="s">
        <v>2534</v>
      </c>
      <c r="G609" s="359" t="s">
        <v>4768</v>
      </c>
    </row>
    <row r="610" spans="1:7">
      <c r="A610" s="239" t="s">
        <v>4783</v>
      </c>
      <c r="B610" s="164" t="s">
        <v>1462</v>
      </c>
      <c r="C610" s="154">
        <v>1</v>
      </c>
      <c r="D610" s="176" t="s">
        <v>2535</v>
      </c>
      <c r="E610" s="178" t="s">
        <v>4453</v>
      </c>
      <c r="F610" s="218" t="s">
        <v>2536</v>
      </c>
      <c r="G610" s="359" t="s">
        <v>4768</v>
      </c>
    </row>
    <row r="611" spans="1:7">
      <c r="A611" s="239" t="s">
        <v>4783</v>
      </c>
      <c r="B611" s="164" t="s">
        <v>1462</v>
      </c>
      <c r="C611" s="154">
        <v>1</v>
      </c>
      <c r="D611" s="176" t="s">
        <v>2537</v>
      </c>
      <c r="E611" s="178" t="s">
        <v>4454</v>
      </c>
      <c r="F611" s="218" t="s">
        <v>2538</v>
      </c>
      <c r="G611" s="359" t="s">
        <v>4768</v>
      </c>
    </row>
    <row r="612" spans="1:7">
      <c r="A612" s="239" t="s">
        <v>4783</v>
      </c>
      <c r="B612" s="164" t="s">
        <v>1462</v>
      </c>
      <c r="C612" s="154">
        <v>1</v>
      </c>
      <c r="D612" s="176" t="s">
        <v>2539</v>
      </c>
      <c r="E612" s="178" t="s">
        <v>4455</v>
      </c>
      <c r="F612" s="218" t="s">
        <v>2540</v>
      </c>
      <c r="G612" s="359" t="s">
        <v>4768</v>
      </c>
    </row>
    <row r="613" spans="1:7">
      <c r="A613" s="239" t="s">
        <v>4783</v>
      </c>
      <c r="B613" s="164" t="s">
        <v>1462</v>
      </c>
      <c r="C613" s="154">
        <v>1</v>
      </c>
      <c r="D613" s="176">
        <v>52</v>
      </c>
      <c r="E613" s="178" t="s">
        <v>4456</v>
      </c>
      <c r="F613" s="218" t="s">
        <v>2541</v>
      </c>
      <c r="G613" s="359" t="s">
        <v>4768</v>
      </c>
    </row>
    <row r="614" spans="1:7">
      <c r="A614" s="239" t="s">
        <v>4783</v>
      </c>
      <c r="B614" s="164" t="s">
        <v>1462</v>
      </c>
      <c r="C614" s="154">
        <v>1</v>
      </c>
      <c r="D614" s="176" t="s">
        <v>2542</v>
      </c>
      <c r="E614" s="178" t="s">
        <v>4457</v>
      </c>
      <c r="F614" s="218" t="s">
        <v>2543</v>
      </c>
      <c r="G614" s="359" t="s">
        <v>4768</v>
      </c>
    </row>
    <row r="615" spans="1:7">
      <c r="A615" s="239" t="s">
        <v>4783</v>
      </c>
      <c r="B615" s="164" t="s">
        <v>1462</v>
      </c>
      <c r="C615" s="154">
        <v>1</v>
      </c>
      <c r="D615" s="176" t="s">
        <v>2544</v>
      </c>
      <c r="E615" s="178" t="s">
        <v>4458</v>
      </c>
      <c r="F615" s="218" t="s">
        <v>2545</v>
      </c>
      <c r="G615" s="359" t="s">
        <v>4768</v>
      </c>
    </row>
    <row r="616" spans="1:7">
      <c r="A616" s="239" t="s">
        <v>4783</v>
      </c>
      <c r="B616" s="164" t="s">
        <v>1462</v>
      </c>
      <c r="C616" s="154">
        <v>1</v>
      </c>
      <c r="D616" s="176" t="s">
        <v>2546</v>
      </c>
      <c r="E616" s="178" t="s">
        <v>4459</v>
      </c>
      <c r="F616" s="218" t="s">
        <v>2547</v>
      </c>
      <c r="G616" s="359" t="s">
        <v>4768</v>
      </c>
    </row>
    <row r="617" spans="1:7">
      <c r="A617" s="239" t="s">
        <v>4783</v>
      </c>
      <c r="B617" s="164" t="s">
        <v>1462</v>
      </c>
      <c r="C617" s="154">
        <v>1</v>
      </c>
      <c r="D617" s="176" t="s">
        <v>2548</v>
      </c>
      <c r="E617" s="178" t="s">
        <v>4460</v>
      </c>
      <c r="F617" s="218" t="s">
        <v>2549</v>
      </c>
      <c r="G617" s="359" t="s">
        <v>4768</v>
      </c>
    </row>
    <row r="618" spans="1:7">
      <c r="A618" s="239" t="s">
        <v>4783</v>
      </c>
      <c r="B618" s="164" t="s">
        <v>1462</v>
      </c>
      <c r="C618" s="154">
        <v>1</v>
      </c>
      <c r="D618" s="176" t="s">
        <v>2550</v>
      </c>
      <c r="E618" s="178" t="s">
        <v>4461</v>
      </c>
      <c r="F618" s="218" t="s">
        <v>2551</v>
      </c>
      <c r="G618" s="359" t="s">
        <v>4768</v>
      </c>
    </row>
    <row r="619" spans="1:7">
      <c r="A619" s="239" t="s">
        <v>4783</v>
      </c>
      <c r="B619" s="164" t="s">
        <v>1462</v>
      </c>
      <c r="C619" s="154">
        <v>1</v>
      </c>
      <c r="D619" s="176" t="s">
        <v>2552</v>
      </c>
      <c r="E619" s="178" t="s">
        <v>4462</v>
      </c>
      <c r="F619" s="218" t="s">
        <v>2553</v>
      </c>
      <c r="G619" s="359" t="s">
        <v>4768</v>
      </c>
    </row>
    <row r="620" spans="1:7">
      <c r="A620" s="239" t="s">
        <v>4783</v>
      </c>
      <c r="B620" s="164" t="s">
        <v>1462</v>
      </c>
      <c r="C620" s="154">
        <v>1</v>
      </c>
      <c r="D620" s="176" t="s">
        <v>2554</v>
      </c>
      <c r="E620" s="178" t="s">
        <v>4463</v>
      </c>
      <c r="F620" s="218" t="s">
        <v>2555</v>
      </c>
      <c r="G620" s="359" t="s">
        <v>4768</v>
      </c>
    </row>
    <row r="621" spans="1:7">
      <c r="A621" s="239" t="s">
        <v>4783</v>
      </c>
      <c r="B621" s="164" t="s">
        <v>1462</v>
      </c>
      <c r="C621" s="154">
        <v>1</v>
      </c>
      <c r="D621" s="176">
        <v>53</v>
      </c>
      <c r="E621" s="178" t="s">
        <v>4464</v>
      </c>
      <c r="F621" s="218" t="s">
        <v>2556</v>
      </c>
      <c r="G621" s="359" t="s">
        <v>4768</v>
      </c>
    </row>
    <row r="622" spans="1:7">
      <c r="A622" s="239" t="s">
        <v>4783</v>
      </c>
      <c r="B622" s="164" t="s">
        <v>1462</v>
      </c>
      <c r="C622" s="154">
        <v>1</v>
      </c>
      <c r="D622" s="176" t="s">
        <v>2557</v>
      </c>
      <c r="E622" s="178" t="s">
        <v>4465</v>
      </c>
      <c r="F622" s="218" t="s">
        <v>2558</v>
      </c>
      <c r="G622" s="359" t="s">
        <v>4768</v>
      </c>
    </row>
    <row r="623" spans="1:7">
      <c r="A623" s="239" t="s">
        <v>4783</v>
      </c>
      <c r="B623" s="164" t="s">
        <v>1462</v>
      </c>
      <c r="C623" s="154">
        <v>1</v>
      </c>
      <c r="D623" s="176" t="s">
        <v>2559</v>
      </c>
      <c r="E623" s="178" t="s">
        <v>4466</v>
      </c>
      <c r="F623" s="218" t="s">
        <v>2560</v>
      </c>
      <c r="G623" s="359" t="s">
        <v>4768</v>
      </c>
    </row>
    <row r="624" spans="1:7">
      <c r="A624" s="239" t="s">
        <v>4783</v>
      </c>
      <c r="B624" s="164" t="s">
        <v>1462</v>
      </c>
      <c r="C624" s="154">
        <v>1</v>
      </c>
      <c r="D624" s="176">
        <v>55</v>
      </c>
      <c r="E624" s="178" t="s">
        <v>4467</v>
      </c>
      <c r="F624" s="218" t="s">
        <v>2561</v>
      </c>
      <c r="G624" s="359" t="s">
        <v>4768</v>
      </c>
    </row>
    <row r="625" spans="1:7">
      <c r="A625" s="239" t="s">
        <v>4783</v>
      </c>
      <c r="B625" s="164" t="s">
        <v>1462</v>
      </c>
      <c r="C625" s="154">
        <v>1</v>
      </c>
      <c r="D625" s="176" t="s">
        <v>2562</v>
      </c>
      <c r="E625" s="178" t="s">
        <v>4468</v>
      </c>
      <c r="F625" s="218" t="s">
        <v>2563</v>
      </c>
      <c r="G625" s="359" t="s">
        <v>4768</v>
      </c>
    </row>
    <row r="626" spans="1:7">
      <c r="A626" s="239" t="s">
        <v>4783</v>
      </c>
      <c r="B626" s="164" t="s">
        <v>1462</v>
      </c>
      <c r="C626" s="154">
        <v>1</v>
      </c>
      <c r="D626" s="176" t="s">
        <v>2562</v>
      </c>
      <c r="E626" s="178" t="s">
        <v>4468</v>
      </c>
      <c r="F626" s="218" t="s">
        <v>2563</v>
      </c>
      <c r="G626" s="359" t="s">
        <v>4768</v>
      </c>
    </row>
    <row r="627" spans="1:7">
      <c r="A627" s="239" t="s">
        <v>4783</v>
      </c>
      <c r="B627" s="164" t="s">
        <v>1462</v>
      </c>
      <c r="C627" s="154">
        <v>1</v>
      </c>
      <c r="D627" s="176" t="s">
        <v>2562</v>
      </c>
      <c r="E627" s="178" t="s">
        <v>4468</v>
      </c>
      <c r="F627" s="218" t="s">
        <v>2563</v>
      </c>
      <c r="G627" s="359" t="s">
        <v>4768</v>
      </c>
    </row>
    <row r="628" spans="1:7">
      <c r="A628" s="239" t="s">
        <v>4783</v>
      </c>
      <c r="B628" s="164" t="s">
        <v>1462</v>
      </c>
      <c r="C628" s="154">
        <v>1</v>
      </c>
      <c r="D628" s="176" t="s">
        <v>2564</v>
      </c>
      <c r="E628" s="178" t="s">
        <v>4469</v>
      </c>
      <c r="F628" s="218" t="s">
        <v>2565</v>
      </c>
      <c r="G628" s="359" t="s">
        <v>4768</v>
      </c>
    </row>
    <row r="629" spans="1:7">
      <c r="A629" s="239" t="s">
        <v>4783</v>
      </c>
      <c r="B629" s="164" t="s">
        <v>1462</v>
      </c>
      <c r="C629" s="154">
        <v>1</v>
      </c>
      <c r="D629" s="176" t="s">
        <v>2566</v>
      </c>
      <c r="E629" s="178" t="s">
        <v>4470</v>
      </c>
      <c r="F629" s="218" t="s">
        <v>2567</v>
      </c>
      <c r="G629" s="359" t="s">
        <v>4768</v>
      </c>
    </row>
    <row r="630" spans="1:7">
      <c r="A630" s="239" t="s">
        <v>4783</v>
      </c>
      <c r="B630" s="164" t="s">
        <v>1462</v>
      </c>
      <c r="C630" s="154">
        <v>1</v>
      </c>
      <c r="D630" s="176" t="s">
        <v>2568</v>
      </c>
      <c r="E630" s="178" t="s">
        <v>4471</v>
      </c>
      <c r="F630" s="218" t="s">
        <v>2569</v>
      </c>
      <c r="G630" s="359" t="s">
        <v>4768</v>
      </c>
    </row>
    <row r="631" spans="1:7">
      <c r="A631" s="239" t="s">
        <v>4783</v>
      </c>
      <c r="B631" s="164" t="s">
        <v>1462</v>
      </c>
      <c r="C631" s="154">
        <v>1</v>
      </c>
      <c r="D631" s="176">
        <v>56</v>
      </c>
      <c r="E631" s="178" t="s">
        <v>4472</v>
      </c>
      <c r="F631" s="218" t="s">
        <v>2570</v>
      </c>
      <c r="G631" s="359" t="s">
        <v>4768</v>
      </c>
    </row>
    <row r="632" spans="1:7">
      <c r="A632" s="239" t="s">
        <v>4783</v>
      </c>
      <c r="B632" s="164" t="s">
        <v>1462</v>
      </c>
      <c r="C632" s="154">
        <v>1</v>
      </c>
      <c r="D632" s="176" t="s">
        <v>2571</v>
      </c>
      <c r="E632" s="178" t="s">
        <v>4473</v>
      </c>
      <c r="F632" s="218" t="s">
        <v>2572</v>
      </c>
      <c r="G632" s="359" t="s">
        <v>4768</v>
      </c>
    </row>
    <row r="633" spans="1:7">
      <c r="A633" s="239" t="s">
        <v>4783</v>
      </c>
      <c r="B633" s="164" t="s">
        <v>1462</v>
      </c>
      <c r="C633" s="154">
        <v>1</v>
      </c>
      <c r="D633" s="176" t="s">
        <v>2573</v>
      </c>
      <c r="E633" s="178" t="s">
        <v>4474</v>
      </c>
      <c r="F633" s="218" t="s">
        <v>2574</v>
      </c>
      <c r="G633" s="359" t="s">
        <v>4768</v>
      </c>
    </row>
    <row r="634" spans="1:7">
      <c r="A634" s="239" t="s">
        <v>4783</v>
      </c>
      <c r="B634" s="164" t="s">
        <v>1462</v>
      </c>
      <c r="C634" s="154">
        <v>1</v>
      </c>
      <c r="D634" s="176" t="s">
        <v>2575</v>
      </c>
      <c r="E634" s="178" t="s">
        <v>4475</v>
      </c>
      <c r="F634" s="218" t="s">
        <v>2576</v>
      </c>
      <c r="G634" s="359" t="s">
        <v>4768</v>
      </c>
    </row>
    <row r="635" spans="1:7">
      <c r="A635" s="239" t="s">
        <v>4783</v>
      </c>
      <c r="B635" s="164" t="s">
        <v>1462</v>
      </c>
      <c r="C635" s="154">
        <v>1</v>
      </c>
      <c r="D635" s="176" t="s">
        <v>2577</v>
      </c>
      <c r="E635" s="178" t="s">
        <v>4476</v>
      </c>
      <c r="F635" s="218" t="s">
        <v>2578</v>
      </c>
      <c r="G635" s="359" t="s">
        <v>4768</v>
      </c>
    </row>
    <row r="636" spans="1:7">
      <c r="A636" s="239" t="s">
        <v>4783</v>
      </c>
      <c r="B636" s="164" t="s">
        <v>1462</v>
      </c>
      <c r="C636" s="154">
        <v>1</v>
      </c>
      <c r="D636" s="176" t="s">
        <v>2579</v>
      </c>
      <c r="E636" s="178" t="s">
        <v>4477</v>
      </c>
      <c r="F636" s="218" t="s">
        <v>2580</v>
      </c>
      <c r="G636" s="359" t="s">
        <v>4768</v>
      </c>
    </row>
    <row r="637" spans="1:7">
      <c r="A637" s="239" t="s">
        <v>4783</v>
      </c>
      <c r="B637" s="164" t="s">
        <v>1462</v>
      </c>
      <c r="C637" s="154">
        <v>1</v>
      </c>
      <c r="D637" s="176">
        <v>58</v>
      </c>
      <c r="E637" s="178" t="s">
        <v>4478</v>
      </c>
      <c r="F637" s="218" t="s">
        <v>2581</v>
      </c>
      <c r="G637" s="359" t="s">
        <v>4768</v>
      </c>
    </row>
    <row r="638" spans="1:7">
      <c r="A638" s="239" t="s">
        <v>4783</v>
      </c>
      <c r="B638" s="164" t="s">
        <v>1462</v>
      </c>
      <c r="C638" s="154">
        <v>1</v>
      </c>
      <c r="D638" s="176" t="s">
        <v>2582</v>
      </c>
      <c r="E638" s="178" t="s">
        <v>4479</v>
      </c>
      <c r="F638" s="218" t="s">
        <v>2583</v>
      </c>
      <c r="G638" s="359" t="s">
        <v>4768</v>
      </c>
    </row>
    <row r="639" spans="1:7">
      <c r="A639" s="239" t="s">
        <v>4783</v>
      </c>
      <c r="B639" s="164" t="s">
        <v>1462</v>
      </c>
      <c r="C639" s="154">
        <v>1</v>
      </c>
      <c r="D639" s="176" t="s">
        <v>2584</v>
      </c>
      <c r="E639" s="178" t="s">
        <v>4480</v>
      </c>
      <c r="F639" s="218" t="s">
        <v>2585</v>
      </c>
      <c r="G639" s="359" t="s">
        <v>4768</v>
      </c>
    </row>
    <row r="640" spans="1:7">
      <c r="A640" s="239" t="s">
        <v>4783</v>
      </c>
      <c r="B640" s="164" t="s">
        <v>1462</v>
      </c>
      <c r="C640" s="154">
        <v>1</v>
      </c>
      <c r="D640" s="176" t="s">
        <v>2586</v>
      </c>
      <c r="E640" s="178" t="s">
        <v>4481</v>
      </c>
      <c r="F640" s="218" t="s">
        <v>2587</v>
      </c>
      <c r="G640" s="359" t="s">
        <v>4768</v>
      </c>
    </row>
    <row r="641" spans="1:7">
      <c r="A641" s="239" t="s">
        <v>4783</v>
      </c>
      <c r="B641" s="164" t="s">
        <v>1462</v>
      </c>
      <c r="C641" s="154">
        <v>1</v>
      </c>
      <c r="D641" s="176" t="s">
        <v>2588</v>
      </c>
      <c r="E641" s="178" t="s">
        <v>4482</v>
      </c>
      <c r="F641" s="218" t="s">
        <v>2589</v>
      </c>
      <c r="G641" s="359" t="s">
        <v>4768</v>
      </c>
    </row>
    <row r="642" spans="1:7">
      <c r="A642" s="239" t="s">
        <v>4783</v>
      </c>
      <c r="B642" s="164" t="s">
        <v>1462</v>
      </c>
      <c r="C642" s="154">
        <v>1</v>
      </c>
      <c r="D642" s="176" t="s">
        <v>2590</v>
      </c>
      <c r="E642" s="178" t="s">
        <v>4483</v>
      </c>
      <c r="F642" s="218" t="s">
        <v>2591</v>
      </c>
      <c r="G642" s="359" t="s">
        <v>4768</v>
      </c>
    </row>
    <row r="643" spans="1:7">
      <c r="A643" s="239" t="s">
        <v>4783</v>
      </c>
      <c r="B643" s="164" t="s">
        <v>1462</v>
      </c>
      <c r="C643" s="154">
        <v>1</v>
      </c>
      <c r="D643" s="176" t="s">
        <v>2592</v>
      </c>
      <c r="E643" s="178" t="s">
        <v>4484</v>
      </c>
      <c r="F643" s="218" t="s">
        <v>2593</v>
      </c>
      <c r="G643" s="359" t="s">
        <v>4768</v>
      </c>
    </row>
    <row r="644" spans="1:7">
      <c r="A644" s="239" t="s">
        <v>4783</v>
      </c>
      <c r="B644" s="164" t="s">
        <v>1462</v>
      </c>
      <c r="C644" s="154">
        <v>1</v>
      </c>
      <c r="D644" s="176" t="s">
        <v>2594</v>
      </c>
      <c r="E644" s="178" t="s">
        <v>4485</v>
      </c>
      <c r="F644" s="218" t="s">
        <v>2595</v>
      </c>
      <c r="G644" s="359" t="s">
        <v>4768</v>
      </c>
    </row>
    <row r="645" spans="1:7">
      <c r="A645" s="239" t="s">
        <v>4783</v>
      </c>
      <c r="B645" s="164" t="s">
        <v>1462</v>
      </c>
      <c r="C645" s="154">
        <v>1</v>
      </c>
      <c r="D645" s="176" t="s">
        <v>2596</v>
      </c>
      <c r="E645" s="178" t="s">
        <v>4486</v>
      </c>
      <c r="F645" s="218" t="s">
        <v>2597</v>
      </c>
      <c r="G645" s="359" t="s">
        <v>4768</v>
      </c>
    </row>
    <row r="646" spans="1:7">
      <c r="A646" s="239" t="s">
        <v>4783</v>
      </c>
      <c r="B646" s="164" t="s">
        <v>1462</v>
      </c>
      <c r="C646" s="154">
        <v>1</v>
      </c>
      <c r="D646" s="176" t="s">
        <v>2598</v>
      </c>
      <c r="E646" s="178" t="s">
        <v>4487</v>
      </c>
      <c r="F646" s="218" t="s">
        <v>2599</v>
      </c>
      <c r="G646" s="359" t="s">
        <v>4768</v>
      </c>
    </row>
    <row r="647" spans="1:7">
      <c r="A647" s="239" t="s">
        <v>4783</v>
      </c>
      <c r="B647" s="164" t="s">
        <v>1462</v>
      </c>
      <c r="C647" s="154">
        <v>1</v>
      </c>
      <c r="D647" s="176">
        <v>59</v>
      </c>
      <c r="E647" s="178" t="s">
        <v>4488</v>
      </c>
      <c r="F647" s="218" t="s">
        <v>2600</v>
      </c>
      <c r="G647" s="359" t="s">
        <v>4768</v>
      </c>
    </row>
    <row r="648" spans="1:7">
      <c r="A648" s="239" t="s">
        <v>4783</v>
      </c>
      <c r="B648" s="164" t="s">
        <v>1462</v>
      </c>
      <c r="C648" s="154">
        <v>1</v>
      </c>
      <c r="D648" s="176" t="s">
        <v>2601</v>
      </c>
      <c r="E648" s="178" t="s">
        <v>4489</v>
      </c>
      <c r="F648" s="218" t="s">
        <v>2602</v>
      </c>
      <c r="G648" s="359" t="s">
        <v>4768</v>
      </c>
    </row>
    <row r="649" spans="1:7">
      <c r="A649" s="239" t="s">
        <v>4783</v>
      </c>
      <c r="B649" s="164" t="s">
        <v>1462</v>
      </c>
      <c r="C649" s="154">
        <v>1</v>
      </c>
      <c r="D649" s="176" t="s">
        <v>2603</v>
      </c>
      <c r="E649" s="178" t="s">
        <v>4490</v>
      </c>
      <c r="F649" s="218" t="s">
        <v>2604</v>
      </c>
      <c r="G649" s="359" t="s">
        <v>4768</v>
      </c>
    </row>
    <row r="650" spans="1:7">
      <c r="A650" s="239" t="s">
        <v>4783</v>
      </c>
      <c r="B650" s="164" t="s">
        <v>1462</v>
      </c>
      <c r="C650" s="154">
        <v>1</v>
      </c>
      <c r="D650" s="176" t="s">
        <v>2605</v>
      </c>
      <c r="E650" s="178" t="s">
        <v>4491</v>
      </c>
      <c r="F650" s="218" t="s">
        <v>2606</v>
      </c>
      <c r="G650" s="359" t="s">
        <v>4768</v>
      </c>
    </row>
    <row r="651" spans="1:7">
      <c r="A651" s="239" t="s">
        <v>4783</v>
      </c>
      <c r="B651" s="164" t="s">
        <v>1462</v>
      </c>
      <c r="C651" s="154">
        <v>1</v>
      </c>
      <c r="D651" s="176" t="s">
        <v>2607</v>
      </c>
      <c r="E651" s="178" t="s">
        <v>4492</v>
      </c>
      <c r="F651" s="218" t="s">
        <v>2608</v>
      </c>
      <c r="G651" s="359" t="s">
        <v>4768</v>
      </c>
    </row>
    <row r="652" spans="1:7">
      <c r="A652" s="239" t="s">
        <v>4783</v>
      </c>
      <c r="B652" s="164" t="s">
        <v>1462</v>
      </c>
      <c r="C652" s="154">
        <v>1</v>
      </c>
      <c r="D652" s="176" t="s">
        <v>2609</v>
      </c>
      <c r="E652" s="178" t="s">
        <v>4493</v>
      </c>
      <c r="F652" s="218" t="s">
        <v>2610</v>
      </c>
      <c r="G652" s="359" t="s">
        <v>4768</v>
      </c>
    </row>
    <row r="653" spans="1:7">
      <c r="A653" s="239" t="s">
        <v>4783</v>
      </c>
      <c r="B653" s="164" t="s">
        <v>1462</v>
      </c>
      <c r="C653" s="154">
        <v>1</v>
      </c>
      <c r="D653" s="176" t="s">
        <v>2611</v>
      </c>
      <c r="E653" s="178" t="s">
        <v>4494</v>
      </c>
      <c r="F653" s="218" t="s">
        <v>2612</v>
      </c>
      <c r="G653" s="359" t="s">
        <v>4768</v>
      </c>
    </row>
    <row r="654" spans="1:7">
      <c r="A654" s="239" t="s">
        <v>4783</v>
      </c>
      <c r="B654" s="164" t="s">
        <v>1462</v>
      </c>
      <c r="C654" s="154">
        <v>1</v>
      </c>
      <c r="D654" s="176">
        <v>60</v>
      </c>
      <c r="E654" s="178" t="s">
        <v>4495</v>
      </c>
      <c r="F654" s="218" t="s">
        <v>2613</v>
      </c>
      <c r="G654" s="359" t="s">
        <v>4768</v>
      </c>
    </row>
    <row r="655" spans="1:7">
      <c r="A655" s="239" t="s">
        <v>4783</v>
      </c>
      <c r="B655" s="164" t="s">
        <v>1462</v>
      </c>
      <c r="C655" s="154">
        <v>1</v>
      </c>
      <c r="D655" s="176" t="s">
        <v>2614</v>
      </c>
      <c r="E655" s="178" t="s">
        <v>4496</v>
      </c>
      <c r="F655" s="218" t="s">
        <v>2615</v>
      </c>
      <c r="G655" s="359" t="s">
        <v>4768</v>
      </c>
    </row>
    <row r="656" spans="1:7">
      <c r="A656" s="239" t="s">
        <v>4783</v>
      </c>
      <c r="B656" s="164" t="s">
        <v>1462</v>
      </c>
      <c r="C656" s="154">
        <v>1</v>
      </c>
      <c r="D656" s="176" t="s">
        <v>2616</v>
      </c>
      <c r="E656" s="178" t="s">
        <v>4497</v>
      </c>
      <c r="F656" s="218" t="s">
        <v>2617</v>
      </c>
      <c r="G656" s="359" t="s">
        <v>4768</v>
      </c>
    </row>
    <row r="657" spans="1:7">
      <c r="A657" s="239" t="s">
        <v>4783</v>
      </c>
      <c r="B657" s="164" t="s">
        <v>1462</v>
      </c>
      <c r="C657" s="154">
        <v>1</v>
      </c>
      <c r="D657" s="176">
        <v>61</v>
      </c>
      <c r="E657" s="178" t="s">
        <v>4498</v>
      </c>
      <c r="F657" s="218" t="s">
        <v>2618</v>
      </c>
      <c r="G657" s="359" t="s">
        <v>4768</v>
      </c>
    </row>
    <row r="658" spans="1:7">
      <c r="A658" s="239" t="s">
        <v>4783</v>
      </c>
      <c r="B658" s="164" t="s">
        <v>1462</v>
      </c>
      <c r="C658" s="154">
        <v>1</v>
      </c>
      <c r="D658" s="176" t="s">
        <v>2619</v>
      </c>
      <c r="E658" s="178" t="s">
        <v>4499</v>
      </c>
      <c r="F658" s="218" t="s">
        <v>2620</v>
      </c>
      <c r="G658" s="359" t="s">
        <v>4768</v>
      </c>
    </row>
    <row r="659" spans="1:7">
      <c r="A659" s="239" t="s">
        <v>4783</v>
      </c>
      <c r="B659" s="164" t="s">
        <v>1462</v>
      </c>
      <c r="C659" s="154">
        <v>1</v>
      </c>
      <c r="D659" s="176" t="s">
        <v>2621</v>
      </c>
      <c r="E659" s="178" t="s">
        <v>4500</v>
      </c>
      <c r="F659" s="218" t="s">
        <v>2622</v>
      </c>
      <c r="G659" s="359" t="s">
        <v>4768</v>
      </c>
    </row>
    <row r="660" spans="1:7">
      <c r="A660" s="239" t="s">
        <v>4783</v>
      </c>
      <c r="B660" s="164" t="s">
        <v>1462</v>
      </c>
      <c r="C660" s="154">
        <v>1</v>
      </c>
      <c r="D660" s="176" t="s">
        <v>2623</v>
      </c>
      <c r="E660" s="178" t="s">
        <v>4501</v>
      </c>
      <c r="F660" s="218" t="s">
        <v>2624</v>
      </c>
      <c r="G660" s="359" t="s">
        <v>4768</v>
      </c>
    </row>
    <row r="661" spans="1:7">
      <c r="A661" s="239" t="s">
        <v>4783</v>
      </c>
      <c r="B661" s="164" t="s">
        <v>1462</v>
      </c>
      <c r="C661" s="154">
        <v>1</v>
      </c>
      <c r="D661" s="176" t="s">
        <v>2625</v>
      </c>
      <c r="E661" s="178" t="s">
        <v>4502</v>
      </c>
      <c r="F661" s="218" t="s">
        <v>2626</v>
      </c>
      <c r="G661" s="359" t="s">
        <v>4768</v>
      </c>
    </row>
    <row r="662" spans="1:7">
      <c r="A662" s="239" t="s">
        <v>4783</v>
      </c>
      <c r="B662" s="164" t="s">
        <v>1462</v>
      </c>
      <c r="C662" s="154">
        <v>1</v>
      </c>
      <c r="D662" s="176">
        <v>62</v>
      </c>
      <c r="E662" s="178" t="s">
        <v>4503</v>
      </c>
      <c r="F662" s="218" t="s">
        <v>2627</v>
      </c>
      <c r="G662" s="359" t="s">
        <v>4768</v>
      </c>
    </row>
    <row r="663" spans="1:7">
      <c r="A663" s="239" t="s">
        <v>4783</v>
      </c>
      <c r="B663" s="164" t="s">
        <v>1462</v>
      </c>
      <c r="C663" s="154">
        <v>1</v>
      </c>
      <c r="D663" s="176" t="s">
        <v>2628</v>
      </c>
      <c r="E663" s="178" t="s">
        <v>4504</v>
      </c>
      <c r="F663" s="218" t="s">
        <v>2629</v>
      </c>
      <c r="G663" s="359" t="s">
        <v>4768</v>
      </c>
    </row>
    <row r="664" spans="1:7">
      <c r="A664" s="239" t="s">
        <v>4783</v>
      </c>
      <c r="B664" s="164" t="s">
        <v>1462</v>
      </c>
      <c r="C664" s="154">
        <v>1</v>
      </c>
      <c r="D664" s="176" t="s">
        <v>2630</v>
      </c>
      <c r="E664" s="178" t="s">
        <v>4505</v>
      </c>
      <c r="F664" s="218" t="s">
        <v>2631</v>
      </c>
      <c r="G664" s="359" t="s">
        <v>4768</v>
      </c>
    </row>
    <row r="665" spans="1:7">
      <c r="A665" s="239" t="s">
        <v>4783</v>
      </c>
      <c r="B665" s="164" t="s">
        <v>1462</v>
      </c>
      <c r="C665" s="154">
        <v>1</v>
      </c>
      <c r="D665" s="176" t="s">
        <v>2632</v>
      </c>
      <c r="E665" s="178" t="s">
        <v>4506</v>
      </c>
      <c r="F665" s="218" t="s">
        <v>2633</v>
      </c>
      <c r="G665" s="359" t="s">
        <v>4768</v>
      </c>
    </row>
    <row r="666" spans="1:7">
      <c r="A666" s="239" t="s">
        <v>4783</v>
      </c>
      <c r="B666" s="164" t="s">
        <v>1462</v>
      </c>
      <c r="C666" s="154">
        <v>1</v>
      </c>
      <c r="D666" s="176" t="s">
        <v>2634</v>
      </c>
      <c r="E666" s="178" t="s">
        <v>4507</v>
      </c>
      <c r="F666" s="218" t="s">
        <v>2635</v>
      </c>
      <c r="G666" s="359" t="s">
        <v>4768</v>
      </c>
    </row>
    <row r="667" spans="1:7">
      <c r="A667" s="239" t="s">
        <v>4783</v>
      </c>
      <c r="B667" s="164" t="s">
        <v>1462</v>
      </c>
      <c r="C667" s="154">
        <v>1</v>
      </c>
      <c r="D667" s="176">
        <v>63</v>
      </c>
      <c r="E667" s="178" t="s">
        <v>4508</v>
      </c>
      <c r="F667" s="218" t="s">
        <v>2636</v>
      </c>
      <c r="G667" s="359" t="s">
        <v>4768</v>
      </c>
    </row>
    <row r="668" spans="1:7">
      <c r="A668" s="239" t="s">
        <v>4783</v>
      </c>
      <c r="B668" s="164" t="s">
        <v>1462</v>
      </c>
      <c r="C668" s="154">
        <v>1</v>
      </c>
      <c r="D668" s="176" t="s">
        <v>2637</v>
      </c>
      <c r="E668" s="178" t="s">
        <v>4509</v>
      </c>
      <c r="F668" s="218" t="s">
        <v>2638</v>
      </c>
      <c r="G668" s="359" t="s">
        <v>4768</v>
      </c>
    </row>
    <row r="669" spans="1:7">
      <c r="A669" s="239" t="s">
        <v>4783</v>
      </c>
      <c r="B669" s="164" t="s">
        <v>1462</v>
      </c>
      <c r="C669" s="154">
        <v>1</v>
      </c>
      <c r="D669" s="176" t="s">
        <v>2639</v>
      </c>
      <c r="E669" s="178" t="s">
        <v>4510</v>
      </c>
      <c r="F669" s="218" t="s">
        <v>2640</v>
      </c>
      <c r="G669" s="359" t="s">
        <v>4768</v>
      </c>
    </row>
    <row r="670" spans="1:7">
      <c r="A670" s="239" t="s">
        <v>4783</v>
      </c>
      <c r="B670" s="164" t="s">
        <v>1462</v>
      </c>
      <c r="C670" s="154">
        <v>1</v>
      </c>
      <c r="D670" s="176" t="s">
        <v>2641</v>
      </c>
      <c r="E670" s="178" t="s">
        <v>4511</v>
      </c>
      <c r="F670" s="218" t="s">
        <v>2642</v>
      </c>
      <c r="G670" s="359" t="s">
        <v>4768</v>
      </c>
    </row>
    <row r="671" spans="1:7">
      <c r="A671" s="239" t="s">
        <v>4783</v>
      </c>
      <c r="B671" s="164" t="s">
        <v>1462</v>
      </c>
      <c r="C671" s="154">
        <v>1</v>
      </c>
      <c r="D671" s="176" t="s">
        <v>2643</v>
      </c>
      <c r="E671" s="178" t="s">
        <v>4512</v>
      </c>
      <c r="F671" s="218" t="s">
        <v>2644</v>
      </c>
      <c r="G671" s="359" t="s">
        <v>4768</v>
      </c>
    </row>
    <row r="672" spans="1:7">
      <c r="A672" s="239" t="s">
        <v>4783</v>
      </c>
      <c r="B672" s="164" t="s">
        <v>1462</v>
      </c>
      <c r="C672" s="154">
        <v>1</v>
      </c>
      <c r="D672" s="176" t="s">
        <v>2645</v>
      </c>
      <c r="E672" s="178" t="s">
        <v>4513</v>
      </c>
      <c r="F672" s="218" t="s">
        <v>2646</v>
      </c>
      <c r="G672" s="359" t="s">
        <v>4768</v>
      </c>
    </row>
    <row r="673" spans="1:7">
      <c r="A673" s="239" t="s">
        <v>4783</v>
      </c>
      <c r="B673" s="164" t="s">
        <v>1462</v>
      </c>
      <c r="C673" s="154">
        <v>1</v>
      </c>
      <c r="D673" s="176" t="s">
        <v>2647</v>
      </c>
      <c r="E673" s="178" t="s">
        <v>4514</v>
      </c>
      <c r="F673" s="218" t="s">
        <v>2648</v>
      </c>
      <c r="G673" s="359" t="s">
        <v>4768</v>
      </c>
    </row>
    <row r="674" spans="1:7">
      <c r="A674" s="239" t="s">
        <v>4783</v>
      </c>
      <c r="B674" s="164" t="s">
        <v>1462</v>
      </c>
      <c r="C674" s="154">
        <v>1</v>
      </c>
      <c r="D674" s="176">
        <v>64</v>
      </c>
      <c r="E674" s="178" t="s">
        <v>4515</v>
      </c>
      <c r="F674" s="218" t="s">
        <v>2649</v>
      </c>
      <c r="G674" s="359" t="s">
        <v>4768</v>
      </c>
    </row>
    <row r="675" spans="1:7">
      <c r="A675" s="239" t="s">
        <v>4783</v>
      </c>
      <c r="B675" s="164" t="s">
        <v>1462</v>
      </c>
      <c r="C675" s="154">
        <v>1</v>
      </c>
      <c r="D675" s="176" t="s">
        <v>2650</v>
      </c>
      <c r="E675" s="178" t="s">
        <v>4516</v>
      </c>
      <c r="F675" s="218" t="s">
        <v>2651</v>
      </c>
      <c r="G675" s="359" t="s">
        <v>4768</v>
      </c>
    </row>
    <row r="676" spans="1:7">
      <c r="A676" s="239" t="s">
        <v>4783</v>
      </c>
      <c r="B676" s="164" t="s">
        <v>1462</v>
      </c>
      <c r="C676" s="154">
        <v>1</v>
      </c>
      <c r="D676" s="176" t="s">
        <v>2652</v>
      </c>
      <c r="E676" s="178" t="s">
        <v>4517</v>
      </c>
      <c r="F676" s="218" t="s">
        <v>2653</v>
      </c>
      <c r="G676" s="359" t="s">
        <v>4768</v>
      </c>
    </row>
    <row r="677" spans="1:7">
      <c r="A677" s="239" t="s">
        <v>4783</v>
      </c>
      <c r="B677" s="164" t="s">
        <v>1462</v>
      </c>
      <c r="C677" s="154">
        <v>1</v>
      </c>
      <c r="D677" s="176" t="s">
        <v>2654</v>
      </c>
      <c r="E677" s="178" t="s">
        <v>4518</v>
      </c>
      <c r="F677" s="218" t="s">
        <v>2655</v>
      </c>
      <c r="G677" s="359" t="s">
        <v>4768</v>
      </c>
    </row>
    <row r="678" spans="1:7">
      <c r="A678" s="239" t="s">
        <v>4783</v>
      </c>
      <c r="B678" s="164" t="s">
        <v>1462</v>
      </c>
      <c r="C678" s="154">
        <v>1</v>
      </c>
      <c r="D678" s="176" t="s">
        <v>2656</v>
      </c>
      <c r="E678" s="178" t="s">
        <v>4519</v>
      </c>
      <c r="F678" s="218" t="s">
        <v>2657</v>
      </c>
      <c r="G678" s="359" t="s">
        <v>4768</v>
      </c>
    </row>
    <row r="679" spans="1:7">
      <c r="A679" s="239" t="s">
        <v>4783</v>
      </c>
      <c r="B679" s="164" t="s">
        <v>1462</v>
      </c>
      <c r="C679" s="154">
        <v>1</v>
      </c>
      <c r="D679" s="176" t="s">
        <v>2658</v>
      </c>
      <c r="E679" s="178" t="s">
        <v>4520</v>
      </c>
      <c r="F679" s="218" t="s">
        <v>2659</v>
      </c>
      <c r="G679" s="359" t="s">
        <v>4768</v>
      </c>
    </row>
    <row r="680" spans="1:7">
      <c r="A680" s="239" t="s">
        <v>4783</v>
      </c>
      <c r="B680" s="164" t="s">
        <v>1462</v>
      </c>
      <c r="C680" s="154">
        <v>1</v>
      </c>
      <c r="D680" s="176" t="s">
        <v>2660</v>
      </c>
      <c r="E680" s="178" t="s">
        <v>4521</v>
      </c>
      <c r="F680" s="218" t="s">
        <v>2661</v>
      </c>
      <c r="G680" s="359" t="s">
        <v>4768</v>
      </c>
    </row>
    <row r="681" spans="1:7">
      <c r="A681" s="239" t="s">
        <v>4783</v>
      </c>
      <c r="B681" s="164" t="s">
        <v>1462</v>
      </c>
      <c r="C681" s="154">
        <v>1</v>
      </c>
      <c r="D681" s="176" t="s">
        <v>2662</v>
      </c>
      <c r="E681" s="178" t="s">
        <v>4522</v>
      </c>
      <c r="F681" s="218" t="s">
        <v>2663</v>
      </c>
      <c r="G681" s="359" t="s">
        <v>4768</v>
      </c>
    </row>
    <row r="682" spans="1:7">
      <c r="A682" s="239" t="s">
        <v>4783</v>
      </c>
      <c r="B682" s="164" t="s">
        <v>1462</v>
      </c>
      <c r="C682" s="154">
        <v>1</v>
      </c>
      <c r="D682" s="176" t="s">
        <v>2664</v>
      </c>
      <c r="E682" s="178" t="s">
        <v>4523</v>
      </c>
      <c r="F682" s="218" t="s">
        <v>2665</v>
      </c>
      <c r="G682" s="359" t="s">
        <v>4768</v>
      </c>
    </row>
    <row r="683" spans="1:7">
      <c r="A683" s="239" t="s">
        <v>4783</v>
      </c>
      <c r="B683" s="164" t="s">
        <v>1462</v>
      </c>
      <c r="C683" s="154">
        <v>1</v>
      </c>
      <c r="D683" s="176" t="s">
        <v>2666</v>
      </c>
      <c r="E683" s="178" t="s">
        <v>4524</v>
      </c>
      <c r="F683" s="218" t="s">
        <v>2667</v>
      </c>
      <c r="G683" s="359" t="s">
        <v>4768</v>
      </c>
    </row>
    <row r="684" spans="1:7">
      <c r="A684" s="239" t="s">
        <v>4783</v>
      </c>
      <c r="B684" s="164" t="s">
        <v>1462</v>
      </c>
      <c r="C684" s="154">
        <v>1</v>
      </c>
      <c r="D684" s="176">
        <v>65</v>
      </c>
      <c r="E684" s="178" t="s">
        <v>4525</v>
      </c>
      <c r="F684" s="218" t="s">
        <v>2668</v>
      </c>
      <c r="G684" s="359" t="s">
        <v>4768</v>
      </c>
    </row>
    <row r="685" spans="1:7">
      <c r="A685" s="239" t="s">
        <v>4783</v>
      </c>
      <c r="B685" s="164" t="s">
        <v>1462</v>
      </c>
      <c r="C685" s="154">
        <v>1</v>
      </c>
      <c r="D685" s="176" t="s">
        <v>2669</v>
      </c>
      <c r="E685" s="178" t="s">
        <v>4526</v>
      </c>
      <c r="F685" s="218" t="s">
        <v>2670</v>
      </c>
      <c r="G685" s="359" t="s">
        <v>4768</v>
      </c>
    </row>
    <row r="686" spans="1:7">
      <c r="A686" s="239" t="s">
        <v>4783</v>
      </c>
      <c r="B686" s="164" t="s">
        <v>1462</v>
      </c>
      <c r="C686" s="154">
        <v>1</v>
      </c>
      <c r="D686" s="176" t="s">
        <v>2671</v>
      </c>
      <c r="E686" s="178" t="s">
        <v>4527</v>
      </c>
      <c r="F686" s="218" t="s">
        <v>2672</v>
      </c>
      <c r="G686" s="359" t="s">
        <v>4768</v>
      </c>
    </row>
    <row r="687" spans="1:7">
      <c r="A687" s="239" t="s">
        <v>4783</v>
      </c>
      <c r="B687" s="164" t="s">
        <v>1462</v>
      </c>
      <c r="C687" s="154">
        <v>1</v>
      </c>
      <c r="D687" s="176" t="s">
        <v>2673</v>
      </c>
      <c r="E687" s="178" t="s">
        <v>4528</v>
      </c>
      <c r="F687" s="218" t="s">
        <v>2674</v>
      </c>
      <c r="G687" s="359" t="s">
        <v>4768</v>
      </c>
    </row>
    <row r="688" spans="1:7">
      <c r="A688" s="239" t="s">
        <v>4783</v>
      </c>
      <c r="B688" s="164" t="s">
        <v>1462</v>
      </c>
      <c r="C688" s="154">
        <v>1</v>
      </c>
      <c r="D688" s="176" t="s">
        <v>2675</v>
      </c>
      <c r="E688" s="178" t="s">
        <v>4529</v>
      </c>
      <c r="F688" s="218" t="s">
        <v>2676</v>
      </c>
      <c r="G688" s="359" t="s">
        <v>4768</v>
      </c>
    </row>
    <row r="689" spans="1:7">
      <c r="A689" s="239" t="s">
        <v>4783</v>
      </c>
      <c r="B689" s="164" t="s">
        <v>1462</v>
      </c>
      <c r="C689" s="154">
        <v>1</v>
      </c>
      <c r="D689" s="176" t="s">
        <v>2677</v>
      </c>
      <c r="E689" s="178" t="s">
        <v>4530</v>
      </c>
      <c r="F689" s="218" t="s">
        <v>2678</v>
      </c>
      <c r="G689" s="359" t="s">
        <v>4768</v>
      </c>
    </row>
    <row r="690" spans="1:7">
      <c r="A690" s="239" t="s">
        <v>4783</v>
      </c>
      <c r="B690" s="164" t="s">
        <v>1462</v>
      </c>
      <c r="C690" s="154">
        <v>1</v>
      </c>
      <c r="D690" s="176">
        <v>66</v>
      </c>
      <c r="E690" s="178" t="s">
        <v>4531</v>
      </c>
      <c r="F690" s="218" t="s">
        <v>2679</v>
      </c>
      <c r="G690" s="359" t="s">
        <v>4768</v>
      </c>
    </row>
    <row r="691" spans="1:7">
      <c r="A691" s="239" t="s">
        <v>4783</v>
      </c>
      <c r="B691" s="164" t="s">
        <v>1462</v>
      </c>
      <c r="C691" s="154">
        <v>1</v>
      </c>
      <c r="D691" s="176" t="s">
        <v>2680</v>
      </c>
      <c r="E691" s="178" t="s">
        <v>4532</v>
      </c>
      <c r="F691" s="218" t="s">
        <v>2681</v>
      </c>
      <c r="G691" s="359" t="s">
        <v>4768</v>
      </c>
    </row>
    <row r="692" spans="1:7">
      <c r="A692" s="239" t="s">
        <v>4783</v>
      </c>
      <c r="B692" s="164" t="s">
        <v>1462</v>
      </c>
      <c r="C692" s="154">
        <v>1</v>
      </c>
      <c r="D692" s="176" t="s">
        <v>2682</v>
      </c>
      <c r="E692" s="178" t="s">
        <v>4533</v>
      </c>
      <c r="F692" s="218" t="s">
        <v>2683</v>
      </c>
      <c r="G692" s="359" t="s">
        <v>4768</v>
      </c>
    </row>
    <row r="693" spans="1:7">
      <c r="A693" s="239" t="s">
        <v>4783</v>
      </c>
      <c r="B693" s="164" t="s">
        <v>1462</v>
      </c>
      <c r="C693" s="154">
        <v>1</v>
      </c>
      <c r="D693" s="176" t="s">
        <v>2684</v>
      </c>
      <c r="E693" s="178" t="s">
        <v>4534</v>
      </c>
      <c r="F693" s="218" t="s">
        <v>2685</v>
      </c>
      <c r="G693" s="359" t="s">
        <v>4768</v>
      </c>
    </row>
    <row r="694" spans="1:7">
      <c r="A694" s="239" t="s">
        <v>4783</v>
      </c>
      <c r="B694" s="164" t="s">
        <v>1462</v>
      </c>
      <c r="C694" s="154">
        <v>1</v>
      </c>
      <c r="D694" s="176" t="s">
        <v>2686</v>
      </c>
      <c r="E694" s="178" t="s">
        <v>4535</v>
      </c>
      <c r="F694" s="218" t="s">
        <v>2687</v>
      </c>
      <c r="G694" s="359" t="s">
        <v>4768</v>
      </c>
    </row>
    <row r="695" spans="1:7">
      <c r="A695" s="239" t="s">
        <v>4783</v>
      </c>
      <c r="B695" s="164" t="s">
        <v>1462</v>
      </c>
      <c r="C695" s="154">
        <v>1</v>
      </c>
      <c r="D695" s="176" t="s">
        <v>2688</v>
      </c>
      <c r="E695" s="178" t="s">
        <v>4536</v>
      </c>
      <c r="F695" s="218" t="s">
        <v>2689</v>
      </c>
      <c r="G695" s="359" t="s">
        <v>4768</v>
      </c>
    </row>
    <row r="696" spans="1:7">
      <c r="A696" s="239" t="s">
        <v>4783</v>
      </c>
      <c r="B696" s="164" t="s">
        <v>1462</v>
      </c>
      <c r="C696" s="154">
        <v>1</v>
      </c>
      <c r="D696" s="176" t="s">
        <v>2690</v>
      </c>
      <c r="E696" s="178" t="s">
        <v>4537</v>
      </c>
      <c r="F696" s="218" t="s">
        <v>2691</v>
      </c>
      <c r="G696" s="359" t="s">
        <v>4768</v>
      </c>
    </row>
    <row r="697" spans="1:7">
      <c r="A697" s="239" t="s">
        <v>4783</v>
      </c>
      <c r="B697" s="164" t="s">
        <v>1462</v>
      </c>
      <c r="C697" s="154">
        <v>1</v>
      </c>
      <c r="D697" s="176" t="s">
        <v>2692</v>
      </c>
      <c r="E697" s="178" t="s">
        <v>4538</v>
      </c>
      <c r="F697" s="218" t="s">
        <v>2693</v>
      </c>
      <c r="G697" s="359" t="s">
        <v>4768</v>
      </c>
    </row>
    <row r="698" spans="1:7">
      <c r="A698" s="239" t="s">
        <v>4783</v>
      </c>
      <c r="B698" s="164" t="s">
        <v>1462</v>
      </c>
      <c r="C698" s="154">
        <v>1</v>
      </c>
      <c r="D698" s="176" t="s">
        <v>2694</v>
      </c>
      <c r="E698" s="178" t="s">
        <v>4539</v>
      </c>
      <c r="F698" s="218" t="s">
        <v>2695</v>
      </c>
      <c r="G698" s="359" t="s">
        <v>4768</v>
      </c>
    </row>
    <row r="699" spans="1:7">
      <c r="A699" s="239" t="s">
        <v>4783</v>
      </c>
      <c r="B699" s="164" t="s">
        <v>1462</v>
      </c>
      <c r="C699" s="154">
        <v>1</v>
      </c>
      <c r="D699" s="176" t="s">
        <v>2696</v>
      </c>
      <c r="E699" s="178" t="s">
        <v>4540</v>
      </c>
      <c r="F699" s="218" t="s">
        <v>2697</v>
      </c>
      <c r="G699" s="359" t="s">
        <v>4768</v>
      </c>
    </row>
    <row r="700" spans="1:7">
      <c r="A700" s="239" t="s">
        <v>4783</v>
      </c>
      <c r="B700" s="164" t="s">
        <v>1462</v>
      </c>
      <c r="C700" s="154">
        <v>1</v>
      </c>
      <c r="D700" s="176">
        <v>68</v>
      </c>
      <c r="E700" s="178" t="s">
        <v>4541</v>
      </c>
      <c r="F700" s="218" t="s">
        <v>2698</v>
      </c>
      <c r="G700" s="359" t="s">
        <v>4768</v>
      </c>
    </row>
    <row r="701" spans="1:7">
      <c r="A701" s="239" t="s">
        <v>4783</v>
      </c>
      <c r="B701" s="164" t="s">
        <v>1462</v>
      </c>
      <c r="C701" s="154">
        <v>1</v>
      </c>
      <c r="D701" s="176" t="s">
        <v>2699</v>
      </c>
      <c r="E701" s="178" t="s">
        <v>4542</v>
      </c>
      <c r="F701" s="218" t="s">
        <v>2700</v>
      </c>
      <c r="G701" s="359" t="s">
        <v>4768</v>
      </c>
    </row>
    <row r="702" spans="1:7">
      <c r="A702" s="239" t="s">
        <v>4783</v>
      </c>
      <c r="B702" s="164" t="s">
        <v>1462</v>
      </c>
      <c r="C702" s="154">
        <v>1</v>
      </c>
      <c r="D702" s="176" t="s">
        <v>2701</v>
      </c>
      <c r="E702" s="178" t="s">
        <v>4543</v>
      </c>
      <c r="F702" s="218" t="s">
        <v>2702</v>
      </c>
      <c r="G702" s="359" t="s">
        <v>4768</v>
      </c>
    </row>
    <row r="703" spans="1:7">
      <c r="A703" s="239" t="s">
        <v>4783</v>
      </c>
      <c r="B703" s="164" t="s">
        <v>1462</v>
      </c>
      <c r="C703" s="154">
        <v>1</v>
      </c>
      <c r="D703" s="176" t="s">
        <v>2703</v>
      </c>
      <c r="E703" s="178" t="s">
        <v>4544</v>
      </c>
      <c r="F703" s="218" t="s">
        <v>2704</v>
      </c>
      <c r="G703" s="359" t="s">
        <v>4768</v>
      </c>
    </row>
    <row r="704" spans="1:7">
      <c r="A704" s="239" t="s">
        <v>4783</v>
      </c>
      <c r="B704" s="164" t="s">
        <v>1462</v>
      </c>
      <c r="C704" s="154">
        <v>1</v>
      </c>
      <c r="D704" s="176" t="s">
        <v>2705</v>
      </c>
      <c r="E704" s="178" t="s">
        <v>4545</v>
      </c>
      <c r="F704" s="218" t="s">
        <v>2706</v>
      </c>
      <c r="G704" s="359" t="s">
        <v>4768</v>
      </c>
    </row>
    <row r="705" spans="1:7">
      <c r="A705" s="239" t="s">
        <v>4783</v>
      </c>
      <c r="B705" s="164" t="s">
        <v>1462</v>
      </c>
      <c r="C705" s="154">
        <v>1</v>
      </c>
      <c r="D705" s="176" t="s">
        <v>2707</v>
      </c>
      <c r="E705" s="178" t="s">
        <v>4546</v>
      </c>
      <c r="F705" s="218" t="s">
        <v>2708</v>
      </c>
      <c r="G705" s="359" t="s">
        <v>4768</v>
      </c>
    </row>
    <row r="706" spans="1:7">
      <c r="A706" s="239" t="s">
        <v>4783</v>
      </c>
      <c r="B706" s="164" t="s">
        <v>1462</v>
      </c>
      <c r="C706" s="154">
        <v>1</v>
      </c>
      <c r="D706" s="176">
        <v>69</v>
      </c>
      <c r="E706" s="178" t="s">
        <v>4547</v>
      </c>
      <c r="F706" s="218" t="s">
        <v>2709</v>
      </c>
      <c r="G706" s="359" t="s">
        <v>4768</v>
      </c>
    </row>
    <row r="707" spans="1:7">
      <c r="A707" s="239" t="s">
        <v>4783</v>
      </c>
      <c r="B707" s="164" t="s">
        <v>1462</v>
      </c>
      <c r="C707" s="154">
        <v>1</v>
      </c>
      <c r="D707" s="176" t="s">
        <v>2710</v>
      </c>
      <c r="E707" s="178" t="s">
        <v>4548</v>
      </c>
      <c r="F707" s="218" t="s">
        <v>2711</v>
      </c>
      <c r="G707" s="359" t="s">
        <v>4768</v>
      </c>
    </row>
    <row r="708" spans="1:7">
      <c r="A708" s="239" t="s">
        <v>4783</v>
      </c>
      <c r="B708" s="164" t="s">
        <v>1462</v>
      </c>
      <c r="C708" s="154">
        <v>1</v>
      </c>
      <c r="D708" s="176" t="s">
        <v>2712</v>
      </c>
      <c r="E708" s="178" t="s">
        <v>4549</v>
      </c>
      <c r="F708" s="218" t="s">
        <v>2713</v>
      </c>
      <c r="G708" s="359" t="s">
        <v>4768</v>
      </c>
    </row>
    <row r="709" spans="1:7">
      <c r="A709" s="239" t="s">
        <v>4783</v>
      </c>
      <c r="B709" s="164" t="s">
        <v>1462</v>
      </c>
      <c r="C709" s="154">
        <v>1</v>
      </c>
      <c r="D709" s="176">
        <v>70</v>
      </c>
      <c r="E709" s="178" t="s">
        <v>4550</v>
      </c>
      <c r="F709" s="218" t="s">
        <v>2714</v>
      </c>
      <c r="G709" s="359" t="s">
        <v>4768</v>
      </c>
    </row>
    <row r="710" spans="1:7">
      <c r="A710" s="239" t="s">
        <v>4783</v>
      </c>
      <c r="B710" s="164" t="s">
        <v>1462</v>
      </c>
      <c r="C710" s="154">
        <v>1</v>
      </c>
      <c r="D710" s="176" t="s">
        <v>2715</v>
      </c>
      <c r="E710" s="178" t="s">
        <v>4551</v>
      </c>
      <c r="F710" s="218" t="s">
        <v>2716</v>
      </c>
      <c r="G710" s="359" t="s">
        <v>4768</v>
      </c>
    </row>
    <row r="711" spans="1:7">
      <c r="A711" s="239" t="s">
        <v>4783</v>
      </c>
      <c r="B711" s="164" t="s">
        <v>1462</v>
      </c>
      <c r="C711" s="154">
        <v>1</v>
      </c>
      <c r="D711" s="176" t="s">
        <v>2717</v>
      </c>
      <c r="E711" s="178" t="s">
        <v>4552</v>
      </c>
      <c r="F711" s="218" t="s">
        <v>2718</v>
      </c>
      <c r="G711" s="359" t="s">
        <v>4768</v>
      </c>
    </row>
    <row r="712" spans="1:7">
      <c r="A712" s="239" t="s">
        <v>4783</v>
      </c>
      <c r="B712" s="164" t="s">
        <v>1462</v>
      </c>
      <c r="C712" s="154">
        <v>1</v>
      </c>
      <c r="D712" s="176" t="s">
        <v>2719</v>
      </c>
      <c r="E712" s="178" t="s">
        <v>4553</v>
      </c>
      <c r="F712" s="218" t="s">
        <v>2720</v>
      </c>
      <c r="G712" s="359" t="s">
        <v>4768</v>
      </c>
    </row>
    <row r="713" spans="1:7">
      <c r="A713" s="239" t="s">
        <v>4783</v>
      </c>
      <c r="B713" s="164" t="s">
        <v>1462</v>
      </c>
      <c r="C713" s="154">
        <v>1</v>
      </c>
      <c r="D713" s="176" t="s">
        <v>2721</v>
      </c>
      <c r="E713" s="178" t="s">
        <v>4554</v>
      </c>
      <c r="F713" s="218" t="s">
        <v>2722</v>
      </c>
      <c r="G713" s="359" t="s">
        <v>4768</v>
      </c>
    </row>
    <row r="714" spans="1:7">
      <c r="A714" s="239" t="s">
        <v>4783</v>
      </c>
      <c r="B714" s="164" t="s">
        <v>1462</v>
      </c>
      <c r="C714" s="154">
        <v>1</v>
      </c>
      <c r="D714" s="176">
        <v>71</v>
      </c>
      <c r="E714" s="178" t="s">
        <v>4555</v>
      </c>
      <c r="F714" s="218" t="s">
        <v>2723</v>
      </c>
      <c r="G714" s="359" t="s">
        <v>4768</v>
      </c>
    </row>
    <row r="715" spans="1:7">
      <c r="A715" s="239" t="s">
        <v>4783</v>
      </c>
      <c r="B715" s="164" t="s">
        <v>1462</v>
      </c>
      <c r="C715" s="154">
        <v>1</v>
      </c>
      <c r="D715" s="176" t="s">
        <v>2724</v>
      </c>
      <c r="E715" s="178" t="s">
        <v>4556</v>
      </c>
      <c r="F715" s="218" t="s">
        <v>2725</v>
      </c>
      <c r="G715" s="359" t="s">
        <v>4768</v>
      </c>
    </row>
    <row r="716" spans="1:7">
      <c r="A716" s="239" t="s">
        <v>4783</v>
      </c>
      <c r="B716" s="164" t="s">
        <v>1462</v>
      </c>
      <c r="C716" s="154">
        <v>1</v>
      </c>
      <c r="D716" s="176" t="s">
        <v>2726</v>
      </c>
      <c r="E716" s="178" t="s">
        <v>4557</v>
      </c>
      <c r="F716" s="218" t="s">
        <v>2727</v>
      </c>
      <c r="G716" s="359" t="s">
        <v>4768</v>
      </c>
    </row>
    <row r="717" spans="1:7">
      <c r="A717" s="239" t="s">
        <v>4783</v>
      </c>
      <c r="B717" s="164" t="s">
        <v>1462</v>
      </c>
      <c r="C717" s="154">
        <v>1</v>
      </c>
      <c r="D717" s="176" t="s">
        <v>2728</v>
      </c>
      <c r="E717" s="178" t="s">
        <v>4558</v>
      </c>
      <c r="F717" s="218" t="s">
        <v>2729</v>
      </c>
      <c r="G717" s="359" t="s">
        <v>4768</v>
      </c>
    </row>
    <row r="718" spans="1:7">
      <c r="A718" s="239" t="s">
        <v>4783</v>
      </c>
      <c r="B718" s="164" t="s">
        <v>1462</v>
      </c>
      <c r="C718" s="154">
        <v>1</v>
      </c>
      <c r="D718" s="176" t="s">
        <v>2730</v>
      </c>
      <c r="E718" s="178" t="s">
        <v>4559</v>
      </c>
      <c r="F718" s="218" t="s">
        <v>2731</v>
      </c>
      <c r="G718" s="359" t="s">
        <v>4768</v>
      </c>
    </row>
    <row r="719" spans="1:7">
      <c r="A719" s="239" t="s">
        <v>4783</v>
      </c>
      <c r="B719" s="164" t="s">
        <v>1462</v>
      </c>
      <c r="C719" s="154">
        <v>1</v>
      </c>
      <c r="D719" s="176">
        <v>72</v>
      </c>
      <c r="E719" s="178" t="s">
        <v>4560</v>
      </c>
      <c r="F719" s="218" t="s">
        <v>2732</v>
      </c>
      <c r="G719" s="359" t="s">
        <v>4768</v>
      </c>
    </row>
    <row r="720" spans="1:7">
      <c r="A720" s="239" t="s">
        <v>4783</v>
      </c>
      <c r="B720" s="164" t="s">
        <v>1462</v>
      </c>
      <c r="C720" s="154">
        <v>1</v>
      </c>
      <c r="D720" s="176" t="s">
        <v>2733</v>
      </c>
      <c r="E720" s="178" t="s">
        <v>4561</v>
      </c>
      <c r="F720" s="218" t="s">
        <v>2734</v>
      </c>
      <c r="G720" s="359" t="s">
        <v>4768</v>
      </c>
    </row>
    <row r="721" spans="1:7">
      <c r="A721" s="239" t="s">
        <v>4783</v>
      </c>
      <c r="B721" s="164" t="s">
        <v>1462</v>
      </c>
      <c r="C721" s="154">
        <v>1</v>
      </c>
      <c r="D721" s="176" t="s">
        <v>2735</v>
      </c>
      <c r="E721" s="178" t="s">
        <v>4562</v>
      </c>
      <c r="F721" s="218" t="s">
        <v>2736</v>
      </c>
      <c r="G721" s="359" t="s">
        <v>4768</v>
      </c>
    </row>
    <row r="722" spans="1:7">
      <c r="A722" s="239" t="s">
        <v>4783</v>
      </c>
      <c r="B722" s="164" t="s">
        <v>1462</v>
      </c>
      <c r="C722" s="154">
        <v>1</v>
      </c>
      <c r="D722" s="176" t="s">
        <v>2737</v>
      </c>
      <c r="E722" s="178" t="s">
        <v>4563</v>
      </c>
      <c r="F722" s="218" t="s">
        <v>2738</v>
      </c>
      <c r="G722" s="359" t="s">
        <v>4768</v>
      </c>
    </row>
    <row r="723" spans="1:7">
      <c r="A723" s="239" t="s">
        <v>4783</v>
      </c>
      <c r="B723" s="164" t="s">
        <v>1462</v>
      </c>
      <c r="C723" s="154">
        <v>1</v>
      </c>
      <c r="D723" s="176" t="s">
        <v>2739</v>
      </c>
      <c r="E723" s="178" t="s">
        <v>4564</v>
      </c>
      <c r="F723" s="218" t="s">
        <v>2740</v>
      </c>
      <c r="G723" s="359" t="s">
        <v>4768</v>
      </c>
    </row>
    <row r="724" spans="1:7">
      <c r="A724" s="239" t="s">
        <v>4783</v>
      </c>
      <c r="B724" s="164" t="s">
        <v>1462</v>
      </c>
      <c r="C724" s="154">
        <v>1</v>
      </c>
      <c r="D724" s="176">
        <v>73</v>
      </c>
      <c r="E724" s="178" t="s">
        <v>4565</v>
      </c>
      <c r="F724" s="218" t="s">
        <v>2741</v>
      </c>
      <c r="G724" s="359" t="s">
        <v>4768</v>
      </c>
    </row>
    <row r="725" spans="1:7">
      <c r="A725" s="239" t="s">
        <v>4783</v>
      </c>
      <c r="B725" s="164" t="s">
        <v>1462</v>
      </c>
      <c r="C725" s="154">
        <v>1</v>
      </c>
      <c r="D725" s="176" t="s">
        <v>2742</v>
      </c>
      <c r="E725" s="178" t="s">
        <v>4566</v>
      </c>
      <c r="F725" s="218" t="s">
        <v>2743</v>
      </c>
      <c r="G725" s="359" t="s">
        <v>4768</v>
      </c>
    </row>
    <row r="726" spans="1:7">
      <c r="A726" s="239" t="s">
        <v>4783</v>
      </c>
      <c r="B726" s="164" t="s">
        <v>1462</v>
      </c>
      <c r="C726" s="154">
        <v>1</v>
      </c>
      <c r="D726" s="176" t="s">
        <v>2744</v>
      </c>
      <c r="E726" s="178" t="s">
        <v>4567</v>
      </c>
      <c r="F726" s="218" t="s">
        <v>2745</v>
      </c>
      <c r="G726" s="359" t="s">
        <v>4768</v>
      </c>
    </row>
    <row r="727" spans="1:7">
      <c r="A727" s="239" t="s">
        <v>4783</v>
      </c>
      <c r="B727" s="164" t="s">
        <v>1462</v>
      </c>
      <c r="C727" s="154">
        <v>1</v>
      </c>
      <c r="D727" s="176" t="s">
        <v>2746</v>
      </c>
      <c r="E727" s="178" t="s">
        <v>4568</v>
      </c>
      <c r="F727" s="218" t="s">
        <v>2747</v>
      </c>
      <c r="G727" s="359" t="s">
        <v>4768</v>
      </c>
    </row>
    <row r="728" spans="1:7">
      <c r="A728" s="239" t="s">
        <v>4783</v>
      </c>
      <c r="B728" s="164" t="s">
        <v>1462</v>
      </c>
      <c r="C728" s="154">
        <v>1</v>
      </c>
      <c r="D728" s="176" t="s">
        <v>2748</v>
      </c>
      <c r="E728" s="178" t="s">
        <v>4569</v>
      </c>
      <c r="F728" s="218" t="s">
        <v>2749</v>
      </c>
      <c r="G728" s="359" t="s">
        <v>4768</v>
      </c>
    </row>
    <row r="729" spans="1:7">
      <c r="A729" s="239" t="s">
        <v>4783</v>
      </c>
      <c r="B729" s="164" t="s">
        <v>1462</v>
      </c>
      <c r="C729" s="154">
        <v>1</v>
      </c>
      <c r="D729" s="176">
        <v>74</v>
      </c>
      <c r="E729" s="178" t="s">
        <v>4570</v>
      </c>
      <c r="F729" s="218" t="s">
        <v>2750</v>
      </c>
      <c r="G729" s="359" t="s">
        <v>4768</v>
      </c>
    </row>
    <row r="730" spans="1:7">
      <c r="A730" s="239" t="s">
        <v>4783</v>
      </c>
      <c r="B730" s="164" t="s">
        <v>1462</v>
      </c>
      <c r="C730" s="154">
        <v>1</v>
      </c>
      <c r="D730" s="176" t="s">
        <v>2751</v>
      </c>
      <c r="E730" s="178" t="s">
        <v>4571</v>
      </c>
      <c r="F730" s="218" t="s">
        <v>2752</v>
      </c>
      <c r="G730" s="359" t="s">
        <v>4768</v>
      </c>
    </row>
    <row r="731" spans="1:7">
      <c r="A731" s="239" t="s">
        <v>4783</v>
      </c>
      <c r="B731" s="164" t="s">
        <v>1462</v>
      </c>
      <c r="C731" s="154">
        <v>1</v>
      </c>
      <c r="D731" s="176" t="s">
        <v>2753</v>
      </c>
      <c r="E731" s="178" t="s">
        <v>4572</v>
      </c>
      <c r="F731" s="218" t="s">
        <v>2754</v>
      </c>
      <c r="G731" s="359" t="s">
        <v>4768</v>
      </c>
    </row>
    <row r="732" spans="1:7">
      <c r="A732" s="239" t="s">
        <v>4783</v>
      </c>
      <c r="B732" s="164" t="s">
        <v>1462</v>
      </c>
      <c r="C732" s="154">
        <v>1</v>
      </c>
      <c r="D732" s="176" t="s">
        <v>2755</v>
      </c>
      <c r="E732" s="178" t="s">
        <v>4573</v>
      </c>
      <c r="F732" s="218" t="s">
        <v>2756</v>
      </c>
      <c r="G732" s="359" t="s">
        <v>4768</v>
      </c>
    </row>
    <row r="733" spans="1:7">
      <c r="A733" s="239" t="s">
        <v>4783</v>
      </c>
      <c r="B733" s="164" t="s">
        <v>1462</v>
      </c>
      <c r="C733" s="154">
        <v>1</v>
      </c>
      <c r="D733" s="176" t="s">
        <v>2757</v>
      </c>
      <c r="E733" s="178" t="s">
        <v>4574</v>
      </c>
      <c r="F733" s="218" t="s">
        <v>2758</v>
      </c>
      <c r="G733" s="359" t="s">
        <v>4768</v>
      </c>
    </row>
    <row r="734" spans="1:7">
      <c r="A734" s="239" t="s">
        <v>4783</v>
      </c>
      <c r="B734" s="164" t="s">
        <v>1462</v>
      </c>
      <c r="C734" s="154">
        <v>1</v>
      </c>
      <c r="D734" s="176">
        <v>75</v>
      </c>
      <c r="E734" s="178" t="s">
        <v>4575</v>
      </c>
      <c r="F734" s="218" t="s">
        <v>2759</v>
      </c>
      <c r="G734" s="359" t="s">
        <v>4768</v>
      </c>
    </row>
    <row r="735" spans="1:7">
      <c r="A735" s="239" t="s">
        <v>4783</v>
      </c>
      <c r="B735" s="164" t="s">
        <v>1462</v>
      </c>
      <c r="C735" s="154">
        <v>1</v>
      </c>
      <c r="D735" s="176">
        <v>77</v>
      </c>
      <c r="E735" s="178" t="s">
        <v>4576</v>
      </c>
      <c r="F735" s="218" t="s">
        <v>2760</v>
      </c>
      <c r="G735" s="359" t="s">
        <v>4768</v>
      </c>
    </row>
    <row r="736" spans="1:7">
      <c r="A736" s="239" t="s">
        <v>4783</v>
      </c>
      <c r="B736" s="164" t="s">
        <v>1462</v>
      </c>
      <c r="C736" s="154">
        <v>1</v>
      </c>
      <c r="D736" s="176" t="s">
        <v>2761</v>
      </c>
      <c r="E736" s="178" t="s">
        <v>4577</v>
      </c>
      <c r="F736" s="218" t="s">
        <v>2762</v>
      </c>
      <c r="G736" s="359" t="s">
        <v>4768</v>
      </c>
    </row>
    <row r="737" spans="1:7">
      <c r="A737" s="239" t="s">
        <v>4783</v>
      </c>
      <c r="B737" s="164" t="s">
        <v>1462</v>
      </c>
      <c r="C737" s="154">
        <v>1</v>
      </c>
      <c r="D737" s="176" t="s">
        <v>2763</v>
      </c>
      <c r="E737" s="178" t="s">
        <v>4578</v>
      </c>
      <c r="F737" s="218" t="s">
        <v>2764</v>
      </c>
      <c r="G737" s="359" t="s">
        <v>4768</v>
      </c>
    </row>
    <row r="738" spans="1:7">
      <c r="A738" s="239" t="s">
        <v>4783</v>
      </c>
      <c r="B738" s="164" t="s">
        <v>1462</v>
      </c>
      <c r="C738" s="154">
        <v>1</v>
      </c>
      <c r="D738" s="176" t="s">
        <v>2765</v>
      </c>
      <c r="E738" s="178" t="s">
        <v>4579</v>
      </c>
      <c r="F738" s="218" t="s">
        <v>2766</v>
      </c>
      <c r="G738" s="359" t="s">
        <v>4768</v>
      </c>
    </row>
    <row r="739" spans="1:7">
      <c r="A739" s="239" t="s">
        <v>4783</v>
      </c>
      <c r="B739" s="164" t="s">
        <v>1462</v>
      </c>
      <c r="C739" s="154">
        <v>1</v>
      </c>
      <c r="D739" s="176" t="s">
        <v>2767</v>
      </c>
      <c r="E739" s="178" t="s">
        <v>4580</v>
      </c>
      <c r="F739" s="218" t="s">
        <v>2768</v>
      </c>
      <c r="G739" s="359" t="s">
        <v>4768</v>
      </c>
    </row>
    <row r="740" spans="1:7">
      <c r="A740" s="239" t="s">
        <v>4783</v>
      </c>
      <c r="B740" s="164" t="s">
        <v>1462</v>
      </c>
      <c r="C740" s="154">
        <v>1</v>
      </c>
      <c r="D740" s="176" t="s">
        <v>2769</v>
      </c>
      <c r="E740" s="178" t="s">
        <v>4581</v>
      </c>
      <c r="F740" s="218" t="s">
        <v>2770</v>
      </c>
      <c r="G740" s="359" t="s">
        <v>4768</v>
      </c>
    </row>
    <row r="741" spans="1:7">
      <c r="A741" s="239" t="s">
        <v>4783</v>
      </c>
      <c r="B741" s="164" t="s">
        <v>1462</v>
      </c>
      <c r="C741" s="154">
        <v>1</v>
      </c>
      <c r="D741" s="176" t="s">
        <v>2771</v>
      </c>
      <c r="E741" s="178" t="s">
        <v>4582</v>
      </c>
      <c r="F741" s="218" t="s">
        <v>2772</v>
      </c>
      <c r="G741" s="359" t="s">
        <v>4768</v>
      </c>
    </row>
    <row r="742" spans="1:7">
      <c r="A742" s="239" t="s">
        <v>4783</v>
      </c>
      <c r="B742" s="164" t="s">
        <v>1462</v>
      </c>
      <c r="C742" s="154">
        <v>1</v>
      </c>
      <c r="D742" s="176" t="s">
        <v>2773</v>
      </c>
      <c r="E742" s="178" t="s">
        <v>4583</v>
      </c>
      <c r="F742" s="218" t="s">
        <v>2774</v>
      </c>
      <c r="G742" s="359" t="s">
        <v>4768</v>
      </c>
    </row>
    <row r="743" spans="1:7">
      <c r="A743" s="239" t="s">
        <v>4783</v>
      </c>
      <c r="B743" s="164" t="s">
        <v>1462</v>
      </c>
      <c r="C743" s="154">
        <v>1</v>
      </c>
      <c r="D743" s="176" t="s">
        <v>2775</v>
      </c>
      <c r="E743" s="178" t="s">
        <v>4584</v>
      </c>
      <c r="F743" s="218" t="s">
        <v>2776</v>
      </c>
      <c r="G743" s="359" t="s">
        <v>4768</v>
      </c>
    </row>
    <row r="744" spans="1:7">
      <c r="A744" s="239" t="s">
        <v>4783</v>
      </c>
      <c r="B744" s="164" t="s">
        <v>1462</v>
      </c>
      <c r="C744" s="154">
        <v>1</v>
      </c>
      <c r="D744" s="176" t="s">
        <v>2777</v>
      </c>
      <c r="E744" s="178" t="s">
        <v>4585</v>
      </c>
      <c r="F744" s="218" t="s">
        <v>2778</v>
      </c>
      <c r="G744" s="359" t="s">
        <v>4768</v>
      </c>
    </row>
    <row r="745" spans="1:7">
      <c r="A745" s="239" t="s">
        <v>4783</v>
      </c>
      <c r="B745" s="164" t="s">
        <v>1462</v>
      </c>
      <c r="C745" s="154">
        <v>1</v>
      </c>
      <c r="D745" s="176" t="s">
        <v>2779</v>
      </c>
      <c r="E745" s="178" t="s">
        <v>4586</v>
      </c>
      <c r="F745" s="218" t="s">
        <v>2780</v>
      </c>
      <c r="G745" s="359" t="s">
        <v>4768</v>
      </c>
    </row>
    <row r="746" spans="1:7">
      <c r="A746" s="239" t="s">
        <v>4783</v>
      </c>
      <c r="B746" s="164" t="s">
        <v>1462</v>
      </c>
      <c r="C746" s="154">
        <v>1</v>
      </c>
      <c r="D746" s="176" t="s">
        <v>2781</v>
      </c>
      <c r="E746" s="178" t="s">
        <v>4587</v>
      </c>
      <c r="F746" s="218" t="s">
        <v>2782</v>
      </c>
      <c r="G746" s="359" t="s">
        <v>4768</v>
      </c>
    </row>
    <row r="747" spans="1:7">
      <c r="A747" s="239" t="s">
        <v>4783</v>
      </c>
      <c r="B747" s="164" t="s">
        <v>1462</v>
      </c>
      <c r="C747" s="154">
        <v>1</v>
      </c>
      <c r="D747" s="176" t="s">
        <v>2783</v>
      </c>
      <c r="E747" s="178" t="s">
        <v>4588</v>
      </c>
      <c r="F747" s="218" t="s">
        <v>2784</v>
      </c>
      <c r="G747" s="359" t="s">
        <v>4768</v>
      </c>
    </row>
    <row r="748" spans="1:7">
      <c r="A748" s="239" t="s">
        <v>4783</v>
      </c>
      <c r="B748" s="164" t="s">
        <v>1462</v>
      </c>
      <c r="C748" s="154">
        <v>1</v>
      </c>
      <c r="D748" s="176" t="s">
        <v>2785</v>
      </c>
      <c r="E748" s="178" t="s">
        <v>4589</v>
      </c>
      <c r="F748" s="218" t="s">
        <v>2786</v>
      </c>
      <c r="G748" s="359" t="s">
        <v>4768</v>
      </c>
    </row>
    <row r="749" spans="1:7">
      <c r="A749" s="239" t="s">
        <v>4783</v>
      </c>
      <c r="B749" s="164" t="s">
        <v>1462</v>
      </c>
      <c r="C749" s="154">
        <v>1</v>
      </c>
      <c r="D749" s="176" t="s">
        <v>2787</v>
      </c>
      <c r="E749" s="178" t="s">
        <v>4590</v>
      </c>
      <c r="F749" s="218" t="s">
        <v>2788</v>
      </c>
      <c r="G749" s="359" t="s">
        <v>4768</v>
      </c>
    </row>
    <row r="750" spans="1:7">
      <c r="A750" s="239" t="s">
        <v>4783</v>
      </c>
      <c r="B750" s="164" t="s">
        <v>1462</v>
      </c>
      <c r="C750" s="154">
        <v>1</v>
      </c>
      <c r="D750" s="176" t="s">
        <v>2789</v>
      </c>
      <c r="E750" s="178" t="s">
        <v>4591</v>
      </c>
      <c r="F750" s="218" t="s">
        <v>2790</v>
      </c>
      <c r="G750" s="359" t="s">
        <v>4768</v>
      </c>
    </row>
    <row r="751" spans="1:7">
      <c r="A751" s="239" t="s">
        <v>4783</v>
      </c>
      <c r="B751" s="164" t="s">
        <v>1462</v>
      </c>
      <c r="C751" s="154">
        <v>1</v>
      </c>
      <c r="D751" s="176">
        <v>78</v>
      </c>
      <c r="E751" s="178" t="s">
        <v>4592</v>
      </c>
      <c r="F751" s="218" t="s">
        <v>2791</v>
      </c>
      <c r="G751" s="359" t="s">
        <v>4768</v>
      </c>
    </row>
    <row r="752" spans="1:7">
      <c r="A752" s="239" t="s">
        <v>4783</v>
      </c>
      <c r="B752" s="164" t="s">
        <v>1462</v>
      </c>
      <c r="C752" s="154">
        <v>1</v>
      </c>
      <c r="D752" s="176" t="s">
        <v>2792</v>
      </c>
      <c r="E752" s="178" t="s">
        <v>4593</v>
      </c>
      <c r="F752" s="218" t="s">
        <v>2793</v>
      </c>
      <c r="G752" s="359" t="s">
        <v>4768</v>
      </c>
    </row>
    <row r="753" spans="1:7">
      <c r="A753" s="239" t="s">
        <v>4783</v>
      </c>
      <c r="B753" s="164" t="s">
        <v>1462</v>
      </c>
      <c r="C753" s="154">
        <v>1</v>
      </c>
      <c r="D753" s="176" t="s">
        <v>2794</v>
      </c>
      <c r="E753" s="178" t="s">
        <v>4594</v>
      </c>
      <c r="F753" s="218" t="s">
        <v>2795</v>
      </c>
      <c r="G753" s="359" t="s">
        <v>4768</v>
      </c>
    </row>
    <row r="754" spans="1:7">
      <c r="A754" s="239" t="s">
        <v>4783</v>
      </c>
      <c r="B754" s="164" t="s">
        <v>1462</v>
      </c>
      <c r="C754" s="154">
        <v>1</v>
      </c>
      <c r="D754" s="176" t="s">
        <v>2796</v>
      </c>
      <c r="E754" s="178" t="s">
        <v>4595</v>
      </c>
      <c r="F754" s="218" t="s">
        <v>2797</v>
      </c>
      <c r="G754" s="359" t="s">
        <v>4768</v>
      </c>
    </row>
    <row r="755" spans="1:7">
      <c r="A755" s="239" t="s">
        <v>4783</v>
      </c>
      <c r="B755" s="164" t="s">
        <v>1462</v>
      </c>
      <c r="C755" s="154">
        <v>1</v>
      </c>
      <c r="D755" s="176">
        <v>79</v>
      </c>
      <c r="E755" s="178" t="s">
        <v>4596</v>
      </c>
      <c r="F755" s="218" t="s">
        <v>2798</v>
      </c>
      <c r="G755" s="359" t="s">
        <v>4768</v>
      </c>
    </row>
    <row r="756" spans="1:7">
      <c r="A756" s="239" t="s">
        <v>4783</v>
      </c>
      <c r="B756" s="164" t="s">
        <v>1462</v>
      </c>
      <c r="C756" s="154">
        <v>1</v>
      </c>
      <c r="D756" s="176" t="s">
        <v>2799</v>
      </c>
      <c r="E756" s="178" t="s">
        <v>4597</v>
      </c>
      <c r="F756" s="218" t="s">
        <v>2800</v>
      </c>
      <c r="G756" s="359" t="s">
        <v>4768</v>
      </c>
    </row>
    <row r="757" spans="1:7">
      <c r="A757" s="239" t="s">
        <v>4783</v>
      </c>
      <c r="B757" s="164" t="s">
        <v>1462</v>
      </c>
      <c r="C757" s="154">
        <v>1</v>
      </c>
      <c r="D757" s="176" t="s">
        <v>2801</v>
      </c>
      <c r="E757" s="178" t="s">
        <v>4598</v>
      </c>
      <c r="F757" s="218" t="s">
        <v>2802</v>
      </c>
      <c r="G757" s="359" t="s">
        <v>4768</v>
      </c>
    </row>
    <row r="758" spans="1:7">
      <c r="A758" s="239" t="s">
        <v>4783</v>
      </c>
      <c r="B758" s="164" t="s">
        <v>1462</v>
      </c>
      <c r="C758" s="154">
        <v>1</v>
      </c>
      <c r="D758" s="176" t="s">
        <v>2803</v>
      </c>
      <c r="E758" s="178" t="s">
        <v>4599</v>
      </c>
      <c r="F758" s="218" t="s">
        <v>2804</v>
      </c>
      <c r="G758" s="359" t="s">
        <v>4768</v>
      </c>
    </row>
    <row r="759" spans="1:7">
      <c r="A759" s="239" t="s">
        <v>4783</v>
      </c>
      <c r="B759" s="164" t="s">
        <v>1462</v>
      </c>
      <c r="C759" s="154">
        <v>1</v>
      </c>
      <c r="D759" s="176" t="s">
        <v>2805</v>
      </c>
      <c r="E759" s="178" t="s">
        <v>4600</v>
      </c>
      <c r="F759" s="218" t="s">
        <v>2806</v>
      </c>
      <c r="G759" s="359" t="s">
        <v>4768</v>
      </c>
    </row>
    <row r="760" spans="1:7">
      <c r="A760" s="239" t="s">
        <v>4783</v>
      </c>
      <c r="B760" s="164" t="s">
        <v>1462</v>
      </c>
      <c r="C760" s="154">
        <v>1</v>
      </c>
      <c r="D760" s="176">
        <v>80</v>
      </c>
      <c r="E760" s="178" t="s">
        <v>4601</v>
      </c>
      <c r="F760" s="218" t="s">
        <v>2807</v>
      </c>
      <c r="G760" s="359" t="s">
        <v>4768</v>
      </c>
    </row>
    <row r="761" spans="1:7">
      <c r="A761" s="239" t="s">
        <v>4783</v>
      </c>
      <c r="B761" s="164" t="s">
        <v>1462</v>
      </c>
      <c r="C761" s="154">
        <v>1</v>
      </c>
      <c r="D761" s="176" t="s">
        <v>2808</v>
      </c>
      <c r="E761" s="178" t="s">
        <v>4602</v>
      </c>
      <c r="F761" s="218" t="s">
        <v>2809</v>
      </c>
      <c r="G761" s="359" t="s">
        <v>4768</v>
      </c>
    </row>
    <row r="762" spans="1:7">
      <c r="A762" s="239" t="s">
        <v>4783</v>
      </c>
      <c r="B762" s="164" t="s">
        <v>1462</v>
      </c>
      <c r="C762" s="154">
        <v>1</v>
      </c>
      <c r="D762" s="176" t="s">
        <v>2810</v>
      </c>
      <c r="E762" s="178" t="s">
        <v>4603</v>
      </c>
      <c r="F762" s="218" t="s">
        <v>2811</v>
      </c>
      <c r="G762" s="359" t="s">
        <v>4768</v>
      </c>
    </row>
    <row r="763" spans="1:7">
      <c r="A763" s="239" t="s">
        <v>4783</v>
      </c>
      <c r="B763" s="164" t="s">
        <v>1462</v>
      </c>
      <c r="C763" s="154">
        <v>1</v>
      </c>
      <c r="D763" s="176" t="s">
        <v>2812</v>
      </c>
      <c r="E763" s="178" t="s">
        <v>4604</v>
      </c>
      <c r="F763" s="218" t="s">
        <v>2813</v>
      </c>
      <c r="G763" s="359" t="s">
        <v>4768</v>
      </c>
    </row>
    <row r="764" spans="1:7">
      <c r="A764" s="239" t="s">
        <v>4783</v>
      </c>
      <c r="B764" s="164" t="s">
        <v>1462</v>
      </c>
      <c r="C764" s="154">
        <v>1</v>
      </c>
      <c r="D764" s="176">
        <v>81</v>
      </c>
      <c r="E764" s="178" t="s">
        <v>4605</v>
      </c>
      <c r="F764" s="218" t="s">
        <v>2814</v>
      </c>
      <c r="G764" s="359" t="s">
        <v>4768</v>
      </c>
    </row>
    <row r="765" spans="1:7">
      <c r="A765" s="239" t="s">
        <v>4783</v>
      </c>
      <c r="B765" s="164" t="s">
        <v>1462</v>
      </c>
      <c r="C765" s="154">
        <v>1</v>
      </c>
      <c r="D765" s="176" t="s">
        <v>2815</v>
      </c>
      <c r="E765" s="178" t="s">
        <v>4606</v>
      </c>
      <c r="F765" s="218" t="s">
        <v>2816</v>
      </c>
      <c r="G765" s="359" t="s">
        <v>4768</v>
      </c>
    </row>
    <row r="766" spans="1:7">
      <c r="A766" s="239" t="s">
        <v>4783</v>
      </c>
      <c r="B766" s="164" t="s">
        <v>1462</v>
      </c>
      <c r="C766" s="154">
        <v>1</v>
      </c>
      <c r="D766" s="176" t="s">
        <v>2817</v>
      </c>
      <c r="E766" s="178" t="s">
        <v>4607</v>
      </c>
      <c r="F766" s="218" t="s">
        <v>2818</v>
      </c>
      <c r="G766" s="359" t="s">
        <v>4768</v>
      </c>
    </row>
    <row r="767" spans="1:7">
      <c r="A767" s="239" t="s">
        <v>4783</v>
      </c>
      <c r="B767" s="164" t="s">
        <v>1462</v>
      </c>
      <c r="C767" s="154">
        <v>1</v>
      </c>
      <c r="D767" s="176" t="s">
        <v>2819</v>
      </c>
      <c r="E767" s="178" t="s">
        <v>4608</v>
      </c>
      <c r="F767" s="218" t="s">
        <v>2820</v>
      </c>
      <c r="G767" s="359" t="s">
        <v>4768</v>
      </c>
    </row>
    <row r="768" spans="1:7">
      <c r="A768" s="239" t="s">
        <v>4783</v>
      </c>
      <c r="B768" s="164" t="s">
        <v>1462</v>
      </c>
      <c r="C768" s="154">
        <v>1</v>
      </c>
      <c r="D768" s="176" t="s">
        <v>2821</v>
      </c>
      <c r="E768" s="178" t="s">
        <v>4609</v>
      </c>
      <c r="F768" s="218" t="s">
        <v>2822</v>
      </c>
      <c r="G768" s="359" t="s">
        <v>4768</v>
      </c>
    </row>
    <row r="769" spans="1:7">
      <c r="A769" s="239" t="s">
        <v>4783</v>
      </c>
      <c r="B769" s="164" t="s">
        <v>1462</v>
      </c>
      <c r="C769" s="154">
        <v>1</v>
      </c>
      <c r="D769" s="176" t="s">
        <v>2823</v>
      </c>
      <c r="E769" s="178" t="s">
        <v>4610</v>
      </c>
      <c r="F769" s="218" t="s">
        <v>2824</v>
      </c>
      <c r="G769" s="359" t="s">
        <v>4768</v>
      </c>
    </row>
    <row r="770" spans="1:7">
      <c r="A770" s="239" t="s">
        <v>4783</v>
      </c>
      <c r="B770" s="164" t="s">
        <v>1462</v>
      </c>
      <c r="C770" s="154">
        <v>1</v>
      </c>
      <c r="D770" s="176" t="s">
        <v>2825</v>
      </c>
      <c r="E770" s="178" t="s">
        <v>4611</v>
      </c>
      <c r="F770" s="218" t="s">
        <v>2826</v>
      </c>
      <c r="G770" s="359" t="s">
        <v>4768</v>
      </c>
    </row>
    <row r="771" spans="1:7">
      <c r="A771" s="239" t="s">
        <v>4783</v>
      </c>
      <c r="B771" s="164" t="s">
        <v>1462</v>
      </c>
      <c r="C771" s="154">
        <v>1</v>
      </c>
      <c r="D771" s="176">
        <v>82</v>
      </c>
      <c r="E771" s="178" t="s">
        <v>4612</v>
      </c>
      <c r="F771" s="218" t="s">
        <v>2827</v>
      </c>
      <c r="G771" s="359" t="s">
        <v>4768</v>
      </c>
    </row>
    <row r="772" spans="1:7">
      <c r="A772" s="239" t="s">
        <v>4783</v>
      </c>
      <c r="B772" s="164" t="s">
        <v>1462</v>
      </c>
      <c r="C772" s="154">
        <v>1</v>
      </c>
      <c r="D772" s="176" t="s">
        <v>2828</v>
      </c>
      <c r="E772" s="178" t="s">
        <v>4613</v>
      </c>
      <c r="F772" s="218" t="s">
        <v>2829</v>
      </c>
      <c r="G772" s="359" t="s">
        <v>4768</v>
      </c>
    </row>
    <row r="773" spans="1:7">
      <c r="A773" s="239" t="s">
        <v>4783</v>
      </c>
      <c r="B773" s="164" t="s">
        <v>1462</v>
      </c>
      <c r="C773" s="154">
        <v>1</v>
      </c>
      <c r="D773" s="176" t="s">
        <v>2830</v>
      </c>
      <c r="E773" s="178" t="s">
        <v>4614</v>
      </c>
      <c r="F773" s="218" t="s">
        <v>2831</v>
      </c>
      <c r="G773" s="359" t="s">
        <v>4768</v>
      </c>
    </row>
    <row r="774" spans="1:7">
      <c r="A774" s="239" t="s">
        <v>4783</v>
      </c>
      <c r="B774" s="164" t="s">
        <v>1462</v>
      </c>
      <c r="C774" s="154">
        <v>1</v>
      </c>
      <c r="D774" s="176" t="s">
        <v>2832</v>
      </c>
      <c r="E774" s="178" t="s">
        <v>4615</v>
      </c>
      <c r="F774" s="218" t="s">
        <v>2833</v>
      </c>
      <c r="G774" s="359" t="s">
        <v>4768</v>
      </c>
    </row>
    <row r="775" spans="1:7">
      <c r="A775" s="239" t="s">
        <v>4783</v>
      </c>
      <c r="B775" s="164" t="s">
        <v>1462</v>
      </c>
      <c r="C775" s="154">
        <v>1</v>
      </c>
      <c r="D775" s="176" t="s">
        <v>2834</v>
      </c>
      <c r="E775" s="178" t="s">
        <v>4616</v>
      </c>
      <c r="F775" s="218" t="s">
        <v>2835</v>
      </c>
      <c r="G775" s="359" t="s">
        <v>4768</v>
      </c>
    </row>
    <row r="776" spans="1:7">
      <c r="A776" s="239" t="s">
        <v>4783</v>
      </c>
      <c r="B776" s="164" t="s">
        <v>1462</v>
      </c>
      <c r="C776" s="154">
        <v>1</v>
      </c>
      <c r="D776" s="176" t="s">
        <v>2836</v>
      </c>
      <c r="E776" s="178" t="s">
        <v>4617</v>
      </c>
      <c r="F776" s="218" t="s">
        <v>2837</v>
      </c>
      <c r="G776" s="359" t="s">
        <v>4768</v>
      </c>
    </row>
    <row r="777" spans="1:7">
      <c r="A777" s="239" t="s">
        <v>4783</v>
      </c>
      <c r="B777" s="164" t="s">
        <v>1462</v>
      </c>
      <c r="C777" s="154">
        <v>1</v>
      </c>
      <c r="D777" s="176" t="s">
        <v>2838</v>
      </c>
      <c r="E777" s="178" t="s">
        <v>4618</v>
      </c>
      <c r="F777" s="218" t="s">
        <v>2839</v>
      </c>
      <c r="G777" s="359" t="s">
        <v>4768</v>
      </c>
    </row>
    <row r="778" spans="1:7">
      <c r="A778" s="239" t="s">
        <v>4783</v>
      </c>
      <c r="B778" s="164" t="s">
        <v>1462</v>
      </c>
      <c r="C778" s="154">
        <v>1</v>
      </c>
      <c r="D778" s="176" t="s">
        <v>2840</v>
      </c>
      <c r="E778" s="178" t="s">
        <v>4619</v>
      </c>
      <c r="F778" s="218" t="s">
        <v>2841</v>
      </c>
      <c r="G778" s="359" t="s">
        <v>4768</v>
      </c>
    </row>
    <row r="779" spans="1:7">
      <c r="A779" s="239" t="s">
        <v>4783</v>
      </c>
      <c r="B779" s="164" t="s">
        <v>1462</v>
      </c>
      <c r="C779" s="154">
        <v>1</v>
      </c>
      <c r="D779" s="176" t="s">
        <v>2842</v>
      </c>
      <c r="E779" s="178" t="s">
        <v>4620</v>
      </c>
      <c r="F779" s="218" t="s">
        <v>2843</v>
      </c>
      <c r="G779" s="359" t="s">
        <v>4768</v>
      </c>
    </row>
    <row r="780" spans="1:7">
      <c r="A780" s="239" t="s">
        <v>4783</v>
      </c>
      <c r="B780" s="164" t="s">
        <v>1462</v>
      </c>
      <c r="C780" s="154">
        <v>1</v>
      </c>
      <c r="D780" s="176" t="s">
        <v>2844</v>
      </c>
      <c r="E780" s="178" t="s">
        <v>4621</v>
      </c>
      <c r="F780" s="218" t="s">
        <v>2845</v>
      </c>
      <c r="G780" s="359" t="s">
        <v>4768</v>
      </c>
    </row>
    <row r="781" spans="1:7">
      <c r="A781" s="239" t="s">
        <v>4783</v>
      </c>
      <c r="B781" s="164" t="s">
        <v>1462</v>
      </c>
      <c r="C781" s="154">
        <v>1</v>
      </c>
      <c r="D781" s="176">
        <v>84</v>
      </c>
      <c r="E781" s="178" t="s">
        <v>4622</v>
      </c>
      <c r="F781" s="218" t="s">
        <v>2846</v>
      </c>
      <c r="G781" s="359" t="s">
        <v>4768</v>
      </c>
    </row>
    <row r="782" spans="1:7">
      <c r="A782" s="239" t="s">
        <v>4783</v>
      </c>
      <c r="B782" s="164" t="s">
        <v>1462</v>
      </c>
      <c r="C782" s="154">
        <v>1</v>
      </c>
      <c r="D782" s="176" t="s">
        <v>2847</v>
      </c>
      <c r="E782" s="178" t="s">
        <v>4623</v>
      </c>
      <c r="F782" s="218" t="s">
        <v>2848</v>
      </c>
      <c r="G782" s="359" t="s">
        <v>4768</v>
      </c>
    </row>
    <row r="783" spans="1:7">
      <c r="A783" s="239" t="s">
        <v>4783</v>
      </c>
      <c r="B783" s="164" t="s">
        <v>1462</v>
      </c>
      <c r="C783" s="154">
        <v>1</v>
      </c>
      <c r="D783" s="176" t="s">
        <v>2849</v>
      </c>
      <c r="E783" s="178" t="s">
        <v>4624</v>
      </c>
      <c r="F783" s="218" t="s">
        <v>2850</v>
      </c>
      <c r="G783" s="359" t="s">
        <v>4768</v>
      </c>
    </row>
    <row r="784" spans="1:7">
      <c r="A784" s="239" t="s">
        <v>4783</v>
      </c>
      <c r="B784" s="164" t="s">
        <v>1462</v>
      </c>
      <c r="C784" s="154">
        <v>1</v>
      </c>
      <c r="D784" s="176" t="s">
        <v>2851</v>
      </c>
      <c r="E784" s="178" t="s">
        <v>4625</v>
      </c>
      <c r="F784" s="218" t="s">
        <v>2852</v>
      </c>
      <c r="G784" s="359" t="s">
        <v>4768</v>
      </c>
    </row>
    <row r="785" spans="1:7">
      <c r="A785" s="239" t="s">
        <v>4783</v>
      </c>
      <c r="B785" s="164" t="s">
        <v>1462</v>
      </c>
      <c r="C785" s="154">
        <v>1</v>
      </c>
      <c r="D785" s="176" t="s">
        <v>2853</v>
      </c>
      <c r="E785" s="178" t="s">
        <v>4626</v>
      </c>
      <c r="F785" s="218" t="s">
        <v>2854</v>
      </c>
      <c r="G785" s="359" t="s">
        <v>4768</v>
      </c>
    </row>
    <row r="786" spans="1:7">
      <c r="A786" s="239" t="s">
        <v>4783</v>
      </c>
      <c r="B786" s="164" t="s">
        <v>1462</v>
      </c>
      <c r="C786" s="154">
        <v>1</v>
      </c>
      <c r="D786" s="176" t="s">
        <v>2855</v>
      </c>
      <c r="E786" s="178" t="s">
        <v>4627</v>
      </c>
      <c r="F786" s="218" t="s">
        <v>2856</v>
      </c>
      <c r="G786" s="359" t="s">
        <v>4768</v>
      </c>
    </row>
    <row r="787" spans="1:7">
      <c r="A787" s="239" t="s">
        <v>4783</v>
      </c>
      <c r="B787" s="164" t="s">
        <v>1462</v>
      </c>
      <c r="C787" s="154">
        <v>1</v>
      </c>
      <c r="D787" s="176" t="s">
        <v>2857</v>
      </c>
      <c r="E787" s="178" t="s">
        <v>4628</v>
      </c>
      <c r="F787" s="218" t="s">
        <v>2858</v>
      </c>
      <c r="G787" s="359" t="s">
        <v>4768</v>
      </c>
    </row>
    <row r="788" spans="1:7">
      <c r="A788" s="239" t="s">
        <v>4783</v>
      </c>
      <c r="B788" s="164" t="s">
        <v>1462</v>
      </c>
      <c r="C788" s="154">
        <v>1</v>
      </c>
      <c r="D788" s="176" t="s">
        <v>2859</v>
      </c>
      <c r="E788" s="178" t="s">
        <v>4629</v>
      </c>
      <c r="F788" s="218" t="s">
        <v>2860</v>
      </c>
      <c r="G788" s="359" t="s">
        <v>4768</v>
      </c>
    </row>
    <row r="789" spans="1:7">
      <c r="A789" s="239" t="s">
        <v>4783</v>
      </c>
      <c r="B789" s="164" t="s">
        <v>1462</v>
      </c>
      <c r="C789" s="154">
        <v>1</v>
      </c>
      <c r="D789" s="176" t="s">
        <v>2861</v>
      </c>
      <c r="E789" s="178" t="s">
        <v>4630</v>
      </c>
      <c r="F789" s="218" t="s">
        <v>2862</v>
      </c>
      <c r="G789" s="359" t="s">
        <v>4768</v>
      </c>
    </row>
    <row r="790" spans="1:7">
      <c r="A790" s="239" t="s">
        <v>4783</v>
      </c>
      <c r="B790" s="164" t="s">
        <v>1462</v>
      </c>
      <c r="C790" s="154">
        <v>1</v>
      </c>
      <c r="D790" s="176" t="s">
        <v>2863</v>
      </c>
      <c r="E790" s="178" t="s">
        <v>4631</v>
      </c>
      <c r="F790" s="218" t="s">
        <v>2864</v>
      </c>
      <c r="G790" s="359" t="s">
        <v>4768</v>
      </c>
    </row>
    <row r="791" spans="1:7">
      <c r="A791" s="239" t="s">
        <v>4783</v>
      </c>
      <c r="B791" s="164" t="s">
        <v>1462</v>
      </c>
      <c r="C791" s="154">
        <v>1</v>
      </c>
      <c r="D791" s="176" t="s">
        <v>2865</v>
      </c>
      <c r="E791" s="178" t="s">
        <v>4632</v>
      </c>
      <c r="F791" s="218" t="s">
        <v>2866</v>
      </c>
      <c r="G791" s="359" t="s">
        <v>4768</v>
      </c>
    </row>
    <row r="792" spans="1:7">
      <c r="A792" s="239" t="s">
        <v>4783</v>
      </c>
      <c r="B792" s="164" t="s">
        <v>1462</v>
      </c>
      <c r="C792" s="154">
        <v>1</v>
      </c>
      <c r="D792" s="176" t="s">
        <v>2867</v>
      </c>
      <c r="E792" s="178" t="s">
        <v>4633</v>
      </c>
      <c r="F792" s="218" t="s">
        <v>2868</v>
      </c>
      <c r="G792" s="359" t="s">
        <v>4768</v>
      </c>
    </row>
    <row r="793" spans="1:7">
      <c r="A793" s="239" t="s">
        <v>4783</v>
      </c>
      <c r="B793" s="164" t="s">
        <v>1462</v>
      </c>
      <c r="C793" s="154">
        <v>1</v>
      </c>
      <c r="D793" s="176">
        <v>85</v>
      </c>
      <c r="E793" s="178" t="s">
        <v>4634</v>
      </c>
      <c r="F793" s="218" t="s">
        <v>2869</v>
      </c>
      <c r="G793" s="359" t="s">
        <v>4768</v>
      </c>
    </row>
    <row r="794" spans="1:7">
      <c r="A794" s="239" t="s">
        <v>4783</v>
      </c>
      <c r="B794" s="164" t="s">
        <v>1462</v>
      </c>
      <c r="C794" s="154">
        <v>1</v>
      </c>
      <c r="D794" s="176" t="s">
        <v>2870</v>
      </c>
      <c r="E794" s="178" t="s">
        <v>4635</v>
      </c>
      <c r="F794" s="218" t="s">
        <v>2871</v>
      </c>
      <c r="G794" s="359" t="s">
        <v>4768</v>
      </c>
    </row>
    <row r="795" spans="1:7">
      <c r="A795" s="239" t="s">
        <v>4783</v>
      </c>
      <c r="B795" s="164" t="s">
        <v>1462</v>
      </c>
      <c r="C795" s="154">
        <v>1</v>
      </c>
      <c r="D795" s="176" t="s">
        <v>2872</v>
      </c>
      <c r="E795" s="178" t="s">
        <v>4636</v>
      </c>
      <c r="F795" s="218" t="s">
        <v>2873</v>
      </c>
      <c r="G795" s="359" t="s">
        <v>4768</v>
      </c>
    </row>
    <row r="796" spans="1:7">
      <c r="A796" s="239" t="s">
        <v>4783</v>
      </c>
      <c r="B796" s="164" t="s">
        <v>1462</v>
      </c>
      <c r="C796" s="154">
        <v>1</v>
      </c>
      <c r="D796" s="176" t="s">
        <v>2874</v>
      </c>
      <c r="E796" s="178" t="s">
        <v>4637</v>
      </c>
      <c r="F796" s="218" t="s">
        <v>2875</v>
      </c>
      <c r="G796" s="359" t="s">
        <v>4768</v>
      </c>
    </row>
    <row r="797" spans="1:7">
      <c r="A797" s="239" t="s">
        <v>4783</v>
      </c>
      <c r="B797" s="164" t="s">
        <v>1462</v>
      </c>
      <c r="C797" s="154">
        <v>1</v>
      </c>
      <c r="D797" s="176" t="s">
        <v>2876</v>
      </c>
      <c r="E797" s="178" t="s">
        <v>4638</v>
      </c>
      <c r="F797" s="218" t="s">
        <v>2877</v>
      </c>
      <c r="G797" s="359" t="s">
        <v>4768</v>
      </c>
    </row>
    <row r="798" spans="1:7">
      <c r="A798" s="239" t="s">
        <v>4783</v>
      </c>
      <c r="B798" s="164" t="s">
        <v>1462</v>
      </c>
      <c r="C798" s="154">
        <v>1</v>
      </c>
      <c r="D798" s="176" t="s">
        <v>2878</v>
      </c>
      <c r="E798" s="178" t="s">
        <v>4639</v>
      </c>
      <c r="F798" s="218" t="s">
        <v>2879</v>
      </c>
      <c r="G798" s="359" t="s">
        <v>4768</v>
      </c>
    </row>
    <row r="799" spans="1:7">
      <c r="A799" s="239" t="s">
        <v>4783</v>
      </c>
      <c r="B799" s="164" t="s">
        <v>1462</v>
      </c>
      <c r="C799" s="154">
        <v>1</v>
      </c>
      <c r="D799" s="176" t="s">
        <v>2880</v>
      </c>
      <c r="E799" s="178" t="s">
        <v>4640</v>
      </c>
      <c r="F799" s="218" t="s">
        <v>2881</v>
      </c>
      <c r="G799" s="359" t="s">
        <v>4768</v>
      </c>
    </row>
    <row r="800" spans="1:7">
      <c r="A800" s="239" t="s">
        <v>4783</v>
      </c>
      <c r="B800" s="164" t="s">
        <v>1462</v>
      </c>
      <c r="C800" s="154">
        <v>1</v>
      </c>
      <c r="D800" s="176" t="s">
        <v>2882</v>
      </c>
      <c r="E800" s="178" t="s">
        <v>4641</v>
      </c>
      <c r="F800" s="218" t="s">
        <v>2883</v>
      </c>
      <c r="G800" s="359" t="s">
        <v>4768</v>
      </c>
    </row>
    <row r="801" spans="1:7">
      <c r="A801" s="239" t="s">
        <v>4783</v>
      </c>
      <c r="B801" s="164" t="s">
        <v>1462</v>
      </c>
      <c r="C801" s="154">
        <v>1</v>
      </c>
      <c r="D801" s="176" t="s">
        <v>2884</v>
      </c>
      <c r="E801" s="178" t="s">
        <v>4642</v>
      </c>
      <c r="F801" s="218" t="s">
        <v>2885</v>
      </c>
      <c r="G801" s="359" t="s">
        <v>4768</v>
      </c>
    </row>
    <row r="802" spans="1:7">
      <c r="A802" s="239" t="s">
        <v>4783</v>
      </c>
      <c r="B802" s="164" t="s">
        <v>1462</v>
      </c>
      <c r="C802" s="154">
        <v>1</v>
      </c>
      <c r="D802" s="176" t="s">
        <v>2886</v>
      </c>
      <c r="E802" s="178" t="s">
        <v>4643</v>
      </c>
      <c r="F802" s="218" t="s">
        <v>2887</v>
      </c>
      <c r="G802" s="359" t="s">
        <v>4768</v>
      </c>
    </row>
    <row r="803" spans="1:7">
      <c r="A803" s="239" t="s">
        <v>4783</v>
      </c>
      <c r="B803" s="164" t="s">
        <v>1462</v>
      </c>
      <c r="C803" s="154">
        <v>1</v>
      </c>
      <c r="D803" s="176" t="s">
        <v>2888</v>
      </c>
      <c r="E803" s="178" t="s">
        <v>4644</v>
      </c>
      <c r="F803" s="218" t="s">
        <v>2889</v>
      </c>
      <c r="G803" s="359" t="s">
        <v>4768</v>
      </c>
    </row>
    <row r="804" spans="1:7">
      <c r="A804" s="239" t="s">
        <v>4783</v>
      </c>
      <c r="B804" s="164" t="s">
        <v>1462</v>
      </c>
      <c r="C804" s="154">
        <v>1</v>
      </c>
      <c r="D804" s="176" t="s">
        <v>2890</v>
      </c>
      <c r="E804" s="178" t="s">
        <v>4645</v>
      </c>
      <c r="F804" s="218" t="s">
        <v>2891</v>
      </c>
      <c r="G804" s="359" t="s">
        <v>4768</v>
      </c>
    </row>
    <row r="805" spans="1:7">
      <c r="A805" s="239" t="s">
        <v>4783</v>
      </c>
      <c r="B805" s="164" t="s">
        <v>1462</v>
      </c>
      <c r="C805" s="154">
        <v>1</v>
      </c>
      <c r="D805" s="176" t="s">
        <v>2892</v>
      </c>
      <c r="E805" s="178" t="s">
        <v>4646</v>
      </c>
      <c r="F805" s="218" t="s">
        <v>2893</v>
      </c>
      <c r="G805" s="359" t="s">
        <v>4768</v>
      </c>
    </row>
    <row r="806" spans="1:7">
      <c r="A806" s="239" t="s">
        <v>4783</v>
      </c>
      <c r="B806" s="164" t="s">
        <v>1462</v>
      </c>
      <c r="C806" s="154">
        <v>1</v>
      </c>
      <c r="D806" s="176" t="s">
        <v>2894</v>
      </c>
      <c r="E806" s="178" t="s">
        <v>4647</v>
      </c>
      <c r="F806" s="218" t="s">
        <v>2895</v>
      </c>
      <c r="G806" s="359" t="s">
        <v>4768</v>
      </c>
    </row>
    <row r="807" spans="1:7">
      <c r="A807" s="239" t="s">
        <v>4783</v>
      </c>
      <c r="B807" s="164" t="s">
        <v>1462</v>
      </c>
      <c r="C807" s="154">
        <v>1</v>
      </c>
      <c r="D807" s="176" t="s">
        <v>2896</v>
      </c>
      <c r="E807" s="178" t="s">
        <v>4648</v>
      </c>
      <c r="F807" s="218" t="s">
        <v>2897</v>
      </c>
      <c r="G807" s="359" t="s">
        <v>4768</v>
      </c>
    </row>
    <row r="808" spans="1:7">
      <c r="A808" s="239" t="s">
        <v>4783</v>
      </c>
      <c r="B808" s="164" t="s">
        <v>1462</v>
      </c>
      <c r="C808" s="154">
        <v>1</v>
      </c>
      <c r="D808" s="176">
        <v>86</v>
      </c>
      <c r="E808" s="178" t="s">
        <v>4649</v>
      </c>
      <c r="F808" s="218" t="s">
        <v>2898</v>
      </c>
      <c r="G808" s="359" t="s">
        <v>4768</v>
      </c>
    </row>
    <row r="809" spans="1:7">
      <c r="A809" s="239" t="s">
        <v>4783</v>
      </c>
      <c r="B809" s="164" t="s">
        <v>1462</v>
      </c>
      <c r="C809" s="154">
        <v>1</v>
      </c>
      <c r="D809" s="176" t="s">
        <v>2899</v>
      </c>
      <c r="E809" s="178" t="s">
        <v>4650</v>
      </c>
      <c r="F809" s="218" t="s">
        <v>2900</v>
      </c>
      <c r="G809" s="359" t="s">
        <v>4768</v>
      </c>
    </row>
    <row r="810" spans="1:7">
      <c r="A810" s="239" t="s">
        <v>4783</v>
      </c>
      <c r="B810" s="164" t="s">
        <v>1462</v>
      </c>
      <c r="C810" s="154">
        <v>1</v>
      </c>
      <c r="D810" s="176" t="s">
        <v>2901</v>
      </c>
      <c r="E810" s="178" t="s">
        <v>4651</v>
      </c>
      <c r="F810" s="218" t="s">
        <v>2902</v>
      </c>
      <c r="G810" s="359" t="s">
        <v>4768</v>
      </c>
    </row>
    <row r="811" spans="1:7">
      <c r="A811" s="239" t="s">
        <v>4783</v>
      </c>
      <c r="B811" s="164" t="s">
        <v>1462</v>
      </c>
      <c r="C811" s="154">
        <v>1</v>
      </c>
      <c r="D811" s="176" t="s">
        <v>2903</v>
      </c>
      <c r="E811" s="178" t="s">
        <v>4652</v>
      </c>
      <c r="F811" s="218" t="s">
        <v>2904</v>
      </c>
      <c r="G811" s="359" t="s">
        <v>4768</v>
      </c>
    </row>
    <row r="812" spans="1:7">
      <c r="A812" s="239" t="s">
        <v>4783</v>
      </c>
      <c r="B812" s="164" t="s">
        <v>1462</v>
      </c>
      <c r="C812" s="154">
        <v>1</v>
      </c>
      <c r="D812" s="176" t="s">
        <v>2905</v>
      </c>
      <c r="E812" s="178" t="s">
        <v>4653</v>
      </c>
      <c r="F812" s="218" t="s">
        <v>2906</v>
      </c>
      <c r="G812" s="359" t="s">
        <v>4768</v>
      </c>
    </row>
    <row r="813" spans="1:7">
      <c r="A813" s="239" t="s">
        <v>4783</v>
      </c>
      <c r="B813" s="164" t="s">
        <v>1462</v>
      </c>
      <c r="C813" s="154">
        <v>1</v>
      </c>
      <c r="D813" s="176" t="s">
        <v>2907</v>
      </c>
      <c r="E813" s="178" t="s">
        <v>4654</v>
      </c>
      <c r="F813" s="218" t="s">
        <v>2908</v>
      </c>
      <c r="G813" s="359" t="s">
        <v>4768</v>
      </c>
    </row>
    <row r="814" spans="1:7">
      <c r="A814" s="239" t="s">
        <v>4783</v>
      </c>
      <c r="B814" s="164" t="s">
        <v>1462</v>
      </c>
      <c r="C814" s="154">
        <v>1</v>
      </c>
      <c r="D814" s="176" t="s">
        <v>2909</v>
      </c>
      <c r="E814" s="178" t="s">
        <v>4655</v>
      </c>
      <c r="F814" s="218" t="s">
        <v>2910</v>
      </c>
      <c r="G814" s="359" t="s">
        <v>4768</v>
      </c>
    </row>
    <row r="815" spans="1:7">
      <c r="A815" s="239" t="s">
        <v>4783</v>
      </c>
      <c r="B815" s="164" t="s">
        <v>1462</v>
      </c>
      <c r="C815" s="154">
        <v>1</v>
      </c>
      <c r="D815" s="176">
        <v>87</v>
      </c>
      <c r="E815" s="178" t="s">
        <v>4656</v>
      </c>
      <c r="F815" s="218" t="s">
        <v>2911</v>
      </c>
      <c r="G815" s="359" t="s">
        <v>4768</v>
      </c>
    </row>
    <row r="816" spans="1:7">
      <c r="A816" s="239" t="s">
        <v>4783</v>
      </c>
      <c r="B816" s="164" t="s">
        <v>1462</v>
      </c>
      <c r="C816" s="154">
        <v>1</v>
      </c>
      <c r="D816" s="176" t="s">
        <v>2912</v>
      </c>
      <c r="E816" s="178" t="s">
        <v>4657</v>
      </c>
      <c r="F816" s="218" t="s">
        <v>2913</v>
      </c>
      <c r="G816" s="359" t="s">
        <v>4768</v>
      </c>
    </row>
    <row r="817" spans="1:7">
      <c r="A817" s="239" t="s">
        <v>4783</v>
      </c>
      <c r="B817" s="164" t="s">
        <v>1462</v>
      </c>
      <c r="C817" s="154">
        <v>1</v>
      </c>
      <c r="D817" s="176" t="s">
        <v>2914</v>
      </c>
      <c r="E817" s="178" t="s">
        <v>4658</v>
      </c>
      <c r="F817" s="218" t="s">
        <v>2915</v>
      </c>
      <c r="G817" s="359" t="s">
        <v>4768</v>
      </c>
    </row>
    <row r="818" spans="1:7">
      <c r="A818" s="239" t="s">
        <v>4783</v>
      </c>
      <c r="B818" s="164" t="s">
        <v>1462</v>
      </c>
      <c r="C818" s="154">
        <v>1</v>
      </c>
      <c r="D818" s="176" t="s">
        <v>2916</v>
      </c>
      <c r="E818" s="178" t="s">
        <v>4659</v>
      </c>
      <c r="F818" s="218" t="s">
        <v>2917</v>
      </c>
      <c r="G818" s="359" t="s">
        <v>4768</v>
      </c>
    </row>
    <row r="819" spans="1:7">
      <c r="A819" s="239" t="s">
        <v>4783</v>
      </c>
      <c r="B819" s="164" t="s">
        <v>1462</v>
      </c>
      <c r="C819" s="154">
        <v>1</v>
      </c>
      <c r="D819" s="176" t="s">
        <v>2918</v>
      </c>
      <c r="E819" s="178" t="s">
        <v>4660</v>
      </c>
      <c r="F819" s="218" t="s">
        <v>2919</v>
      </c>
      <c r="G819" s="359" t="s">
        <v>4768</v>
      </c>
    </row>
    <row r="820" spans="1:7">
      <c r="A820" s="239" t="s">
        <v>4783</v>
      </c>
      <c r="B820" s="164" t="s">
        <v>1462</v>
      </c>
      <c r="C820" s="154">
        <v>1</v>
      </c>
      <c r="D820" s="176">
        <v>88</v>
      </c>
      <c r="E820" s="178" t="s">
        <v>4661</v>
      </c>
      <c r="F820" s="218" t="s">
        <v>2920</v>
      </c>
      <c r="G820" s="359" t="s">
        <v>4768</v>
      </c>
    </row>
    <row r="821" spans="1:7">
      <c r="A821" s="239" t="s">
        <v>4783</v>
      </c>
      <c r="B821" s="164" t="s">
        <v>1462</v>
      </c>
      <c r="C821" s="154">
        <v>1</v>
      </c>
      <c r="D821" s="176" t="s">
        <v>2921</v>
      </c>
      <c r="E821" s="178" t="s">
        <v>4662</v>
      </c>
      <c r="F821" s="218" t="s">
        <v>2922</v>
      </c>
      <c r="G821" s="359" t="s">
        <v>4768</v>
      </c>
    </row>
    <row r="822" spans="1:7">
      <c r="A822" s="239" t="s">
        <v>4783</v>
      </c>
      <c r="B822" s="164" t="s">
        <v>1462</v>
      </c>
      <c r="C822" s="154">
        <v>1</v>
      </c>
      <c r="D822" s="176" t="s">
        <v>2923</v>
      </c>
      <c r="E822" s="178" t="s">
        <v>4663</v>
      </c>
      <c r="F822" s="218" t="s">
        <v>2924</v>
      </c>
      <c r="G822" s="359" t="s">
        <v>4768</v>
      </c>
    </row>
    <row r="823" spans="1:7">
      <c r="A823" s="239" t="s">
        <v>4783</v>
      </c>
      <c r="B823" s="164" t="s">
        <v>1462</v>
      </c>
      <c r="C823" s="154">
        <v>1</v>
      </c>
      <c r="D823" s="176" t="s">
        <v>2925</v>
      </c>
      <c r="E823" s="178" t="s">
        <v>4664</v>
      </c>
      <c r="F823" s="218" t="s">
        <v>2926</v>
      </c>
      <c r="G823" s="359" t="s">
        <v>4768</v>
      </c>
    </row>
    <row r="824" spans="1:7">
      <c r="A824" s="239" t="s">
        <v>4783</v>
      </c>
      <c r="B824" s="164" t="s">
        <v>1462</v>
      </c>
      <c r="C824" s="154">
        <v>1</v>
      </c>
      <c r="D824" s="176" t="s">
        <v>2927</v>
      </c>
      <c r="E824" s="178" t="s">
        <v>4665</v>
      </c>
      <c r="F824" s="218" t="s">
        <v>2928</v>
      </c>
      <c r="G824" s="359" t="s">
        <v>4768</v>
      </c>
    </row>
    <row r="825" spans="1:7">
      <c r="A825" s="239" t="s">
        <v>4783</v>
      </c>
      <c r="B825" s="164" t="s">
        <v>1462</v>
      </c>
      <c r="C825" s="154">
        <v>1</v>
      </c>
      <c r="D825" s="176">
        <v>90</v>
      </c>
      <c r="E825" s="178" t="s">
        <v>4666</v>
      </c>
      <c r="F825" s="218" t="s">
        <v>2929</v>
      </c>
      <c r="G825" s="359" t="s">
        <v>4768</v>
      </c>
    </row>
    <row r="826" spans="1:7">
      <c r="A826" s="239" t="s">
        <v>4783</v>
      </c>
      <c r="B826" s="164" t="s">
        <v>1462</v>
      </c>
      <c r="C826" s="154">
        <v>1</v>
      </c>
      <c r="D826" s="176" t="s">
        <v>2930</v>
      </c>
      <c r="E826" s="178" t="s">
        <v>4667</v>
      </c>
      <c r="F826" s="218" t="s">
        <v>2931</v>
      </c>
      <c r="G826" s="359" t="s">
        <v>4768</v>
      </c>
    </row>
    <row r="827" spans="1:7">
      <c r="A827" s="239" t="s">
        <v>4783</v>
      </c>
      <c r="B827" s="164" t="s">
        <v>1462</v>
      </c>
      <c r="C827" s="154">
        <v>1</v>
      </c>
      <c r="D827" s="176" t="s">
        <v>2932</v>
      </c>
      <c r="E827" s="178" t="s">
        <v>4668</v>
      </c>
      <c r="F827" s="218" t="s">
        <v>2933</v>
      </c>
      <c r="G827" s="359" t="s">
        <v>4768</v>
      </c>
    </row>
    <row r="828" spans="1:7">
      <c r="A828" s="239" t="s">
        <v>4783</v>
      </c>
      <c r="B828" s="164" t="s">
        <v>1462</v>
      </c>
      <c r="C828" s="154">
        <v>1</v>
      </c>
      <c r="D828" s="176" t="s">
        <v>2934</v>
      </c>
      <c r="E828" s="178" t="s">
        <v>4669</v>
      </c>
      <c r="F828" s="218" t="s">
        <v>2935</v>
      </c>
      <c r="G828" s="359" t="s">
        <v>4768</v>
      </c>
    </row>
    <row r="829" spans="1:7">
      <c r="A829" s="239" t="s">
        <v>4783</v>
      </c>
      <c r="B829" s="164" t="s">
        <v>1462</v>
      </c>
      <c r="C829" s="154">
        <v>1</v>
      </c>
      <c r="D829" s="176" t="s">
        <v>2936</v>
      </c>
      <c r="E829" s="178" t="s">
        <v>4670</v>
      </c>
      <c r="F829" s="218" t="s">
        <v>2937</v>
      </c>
      <c r="G829" s="359" t="s">
        <v>4768</v>
      </c>
    </row>
    <row r="830" spans="1:7">
      <c r="A830" s="239" t="s">
        <v>4783</v>
      </c>
      <c r="B830" s="164" t="s">
        <v>1462</v>
      </c>
      <c r="C830" s="154">
        <v>1</v>
      </c>
      <c r="D830" s="176">
        <v>91</v>
      </c>
      <c r="E830" s="178" t="s">
        <v>4671</v>
      </c>
      <c r="F830" s="218" t="s">
        <v>2938</v>
      </c>
      <c r="G830" s="359" t="s">
        <v>4768</v>
      </c>
    </row>
    <row r="831" spans="1:7">
      <c r="A831" s="239" t="s">
        <v>4783</v>
      </c>
      <c r="B831" s="164" t="s">
        <v>1462</v>
      </c>
      <c r="C831" s="154">
        <v>1</v>
      </c>
      <c r="D831" s="176" t="s">
        <v>2939</v>
      </c>
      <c r="E831" s="178" t="s">
        <v>4672</v>
      </c>
      <c r="F831" s="218" t="s">
        <v>2940</v>
      </c>
      <c r="G831" s="359" t="s">
        <v>4768</v>
      </c>
    </row>
    <row r="832" spans="1:7">
      <c r="A832" s="239" t="s">
        <v>4783</v>
      </c>
      <c r="B832" s="164" t="s">
        <v>1462</v>
      </c>
      <c r="C832" s="154">
        <v>1</v>
      </c>
      <c r="D832" s="176" t="s">
        <v>2941</v>
      </c>
      <c r="E832" s="178" t="s">
        <v>4673</v>
      </c>
      <c r="F832" s="218" t="s">
        <v>2942</v>
      </c>
      <c r="G832" s="359" t="s">
        <v>4768</v>
      </c>
    </row>
    <row r="833" spans="1:7">
      <c r="A833" s="239" t="s">
        <v>4783</v>
      </c>
      <c r="B833" s="164" t="s">
        <v>1462</v>
      </c>
      <c r="C833" s="154">
        <v>1</v>
      </c>
      <c r="D833" s="176" t="s">
        <v>2943</v>
      </c>
      <c r="E833" s="178" t="s">
        <v>4674</v>
      </c>
      <c r="F833" s="218" t="s">
        <v>2944</v>
      </c>
      <c r="G833" s="359" t="s">
        <v>4768</v>
      </c>
    </row>
    <row r="834" spans="1:7">
      <c r="A834" s="239" t="s">
        <v>4783</v>
      </c>
      <c r="B834" s="164" t="s">
        <v>1462</v>
      </c>
      <c r="C834" s="154">
        <v>1</v>
      </c>
      <c r="D834" s="176" t="s">
        <v>2945</v>
      </c>
      <c r="E834" s="178" t="s">
        <v>4675</v>
      </c>
      <c r="F834" s="218" t="s">
        <v>2946</v>
      </c>
      <c r="G834" s="359" t="s">
        <v>4768</v>
      </c>
    </row>
    <row r="835" spans="1:7">
      <c r="A835" s="239" t="s">
        <v>4783</v>
      </c>
      <c r="B835" s="164" t="s">
        <v>1462</v>
      </c>
      <c r="C835" s="154">
        <v>1</v>
      </c>
      <c r="D835" s="176">
        <v>92</v>
      </c>
      <c r="E835" s="178" t="s">
        <v>4676</v>
      </c>
      <c r="F835" s="218" t="s">
        <v>2947</v>
      </c>
      <c r="G835" s="359" t="s">
        <v>4768</v>
      </c>
    </row>
    <row r="836" spans="1:7">
      <c r="A836" s="239" t="s">
        <v>4783</v>
      </c>
      <c r="B836" s="164" t="s">
        <v>1462</v>
      </c>
      <c r="C836" s="154">
        <v>1</v>
      </c>
      <c r="D836" s="176">
        <v>93</v>
      </c>
      <c r="E836" s="178" t="s">
        <v>4677</v>
      </c>
      <c r="F836" s="218" t="s">
        <v>2948</v>
      </c>
      <c r="G836" s="359" t="s">
        <v>4768</v>
      </c>
    </row>
    <row r="837" spans="1:7">
      <c r="A837" s="239" t="s">
        <v>4783</v>
      </c>
      <c r="B837" s="164" t="s">
        <v>1462</v>
      </c>
      <c r="C837" s="154">
        <v>1</v>
      </c>
      <c r="D837" s="176" t="s">
        <v>2949</v>
      </c>
      <c r="E837" s="178" t="s">
        <v>4678</v>
      </c>
      <c r="F837" s="218" t="s">
        <v>2950</v>
      </c>
      <c r="G837" s="359" t="s">
        <v>4768</v>
      </c>
    </row>
    <row r="838" spans="1:7">
      <c r="A838" s="239" t="s">
        <v>4783</v>
      </c>
      <c r="B838" s="164" t="s">
        <v>1462</v>
      </c>
      <c r="C838" s="154">
        <v>1</v>
      </c>
      <c r="D838" s="176" t="s">
        <v>2951</v>
      </c>
      <c r="E838" s="178" t="s">
        <v>4679</v>
      </c>
      <c r="F838" s="218" t="s">
        <v>2952</v>
      </c>
      <c r="G838" s="359" t="s">
        <v>4768</v>
      </c>
    </row>
    <row r="839" spans="1:7">
      <c r="A839" s="239" t="s">
        <v>4783</v>
      </c>
      <c r="B839" s="164" t="s">
        <v>1462</v>
      </c>
      <c r="C839" s="154">
        <v>1</v>
      </c>
      <c r="D839" s="176" t="s">
        <v>2953</v>
      </c>
      <c r="E839" s="178" t="s">
        <v>4680</v>
      </c>
      <c r="F839" s="218" t="s">
        <v>2954</v>
      </c>
      <c r="G839" s="359" t="s">
        <v>4768</v>
      </c>
    </row>
    <row r="840" spans="1:7">
      <c r="A840" s="239" t="s">
        <v>4783</v>
      </c>
      <c r="B840" s="164" t="s">
        <v>1462</v>
      </c>
      <c r="C840" s="154">
        <v>1</v>
      </c>
      <c r="D840" s="176" t="s">
        <v>2955</v>
      </c>
      <c r="E840" s="178" t="s">
        <v>4681</v>
      </c>
      <c r="F840" s="218" t="s">
        <v>2956</v>
      </c>
      <c r="G840" s="359" t="s">
        <v>4768</v>
      </c>
    </row>
    <row r="841" spans="1:7">
      <c r="A841" s="239" t="s">
        <v>4783</v>
      </c>
      <c r="B841" s="164" t="s">
        <v>1462</v>
      </c>
      <c r="C841" s="154">
        <v>1</v>
      </c>
      <c r="D841" s="176" t="s">
        <v>2957</v>
      </c>
      <c r="E841" s="178" t="s">
        <v>4682</v>
      </c>
      <c r="F841" s="218" t="s">
        <v>2958</v>
      </c>
      <c r="G841" s="359" t="s">
        <v>4768</v>
      </c>
    </row>
    <row r="842" spans="1:7">
      <c r="A842" s="239" t="s">
        <v>4783</v>
      </c>
      <c r="B842" s="164" t="s">
        <v>1462</v>
      </c>
      <c r="C842" s="154">
        <v>1</v>
      </c>
      <c r="D842" s="176" t="s">
        <v>2959</v>
      </c>
      <c r="E842" s="178" t="s">
        <v>4683</v>
      </c>
      <c r="F842" s="218" t="s">
        <v>2960</v>
      </c>
      <c r="G842" s="359" t="s">
        <v>4768</v>
      </c>
    </row>
    <row r="843" spans="1:7">
      <c r="A843" s="239" t="s">
        <v>4783</v>
      </c>
      <c r="B843" s="164" t="s">
        <v>1462</v>
      </c>
      <c r="C843" s="154">
        <v>1</v>
      </c>
      <c r="D843" s="176" t="s">
        <v>2961</v>
      </c>
      <c r="E843" s="178" t="s">
        <v>4684</v>
      </c>
      <c r="F843" s="218" t="s">
        <v>2962</v>
      </c>
      <c r="G843" s="359" t="s">
        <v>4768</v>
      </c>
    </row>
    <row r="844" spans="1:7">
      <c r="A844" s="239" t="s">
        <v>4783</v>
      </c>
      <c r="B844" s="164" t="s">
        <v>1462</v>
      </c>
      <c r="C844" s="154">
        <v>1</v>
      </c>
      <c r="D844" s="176" t="s">
        <v>2963</v>
      </c>
      <c r="E844" s="178" t="s">
        <v>4685</v>
      </c>
      <c r="F844" s="218" t="s">
        <v>2964</v>
      </c>
      <c r="G844" s="359" t="s">
        <v>4768</v>
      </c>
    </row>
    <row r="845" spans="1:7">
      <c r="A845" s="239" t="s">
        <v>4783</v>
      </c>
      <c r="B845" s="164" t="s">
        <v>1462</v>
      </c>
      <c r="C845" s="154">
        <v>1</v>
      </c>
      <c r="D845" s="176">
        <v>94</v>
      </c>
      <c r="E845" s="178" t="s">
        <v>4686</v>
      </c>
      <c r="F845" s="218" t="s">
        <v>2965</v>
      </c>
      <c r="G845" s="359" t="s">
        <v>4768</v>
      </c>
    </row>
    <row r="846" spans="1:7">
      <c r="A846" s="239" t="s">
        <v>4783</v>
      </c>
      <c r="B846" s="164" t="s">
        <v>1462</v>
      </c>
      <c r="C846" s="154">
        <v>1</v>
      </c>
      <c r="D846" s="176" t="s">
        <v>2966</v>
      </c>
      <c r="E846" s="178" t="s">
        <v>4687</v>
      </c>
      <c r="F846" s="218" t="s">
        <v>2967</v>
      </c>
      <c r="G846" s="359" t="s">
        <v>4768</v>
      </c>
    </row>
    <row r="847" spans="1:7">
      <c r="A847" s="239" t="s">
        <v>4783</v>
      </c>
      <c r="B847" s="164" t="s">
        <v>1462</v>
      </c>
      <c r="C847" s="154">
        <v>1</v>
      </c>
      <c r="D847" s="176" t="s">
        <v>2968</v>
      </c>
      <c r="E847" s="178" t="s">
        <v>4688</v>
      </c>
      <c r="F847" s="218" t="s">
        <v>2969</v>
      </c>
      <c r="G847" s="359" t="s">
        <v>4768</v>
      </c>
    </row>
    <row r="848" spans="1:7">
      <c r="A848" s="239" t="s">
        <v>4783</v>
      </c>
      <c r="B848" s="164" t="s">
        <v>1462</v>
      </c>
      <c r="C848" s="154">
        <v>1</v>
      </c>
      <c r="D848" s="176" t="s">
        <v>2970</v>
      </c>
      <c r="E848" s="178" t="s">
        <v>4689</v>
      </c>
      <c r="F848" s="218" t="s">
        <v>2971</v>
      </c>
      <c r="G848" s="359" t="s">
        <v>4768</v>
      </c>
    </row>
    <row r="849" spans="1:7">
      <c r="A849" s="239" t="s">
        <v>4783</v>
      </c>
      <c r="B849" s="164" t="s">
        <v>1462</v>
      </c>
      <c r="C849" s="154">
        <v>1</v>
      </c>
      <c r="D849" s="176" t="s">
        <v>2972</v>
      </c>
      <c r="E849" s="178" t="s">
        <v>4690</v>
      </c>
      <c r="F849" s="218" t="s">
        <v>2973</v>
      </c>
      <c r="G849" s="359" t="s">
        <v>4768</v>
      </c>
    </row>
    <row r="850" spans="1:7">
      <c r="A850" s="239" t="s">
        <v>4783</v>
      </c>
      <c r="B850" s="164" t="s">
        <v>1462</v>
      </c>
      <c r="C850" s="154">
        <v>1</v>
      </c>
      <c r="D850" s="176" t="s">
        <v>2974</v>
      </c>
      <c r="E850" s="178" t="s">
        <v>4691</v>
      </c>
      <c r="F850" s="218" t="s">
        <v>2975</v>
      </c>
      <c r="G850" s="359" t="s">
        <v>4768</v>
      </c>
    </row>
    <row r="851" spans="1:7">
      <c r="A851" s="239" t="s">
        <v>4783</v>
      </c>
      <c r="B851" s="164" t="s">
        <v>1462</v>
      </c>
      <c r="C851" s="154">
        <v>1</v>
      </c>
      <c r="D851" s="176" t="s">
        <v>2976</v>
      </c>
      <c r="E851" s="178" t="s">
        <v>4692</v>
      </c>
      <c r="F851" s="218" t="s">
        <v>2977</v>
      </c>
      <c r="G851" s="359" t="s">
        <v>4768</v>
      </c>
    </row>
    <row r="852" spans="1:7">
      <c r="A852" s="239" t="s">
        <v>4783</v>
      </c>
      <c r="B852" s="164" t="s">
        <v>1462</v>
      </c>
      <c r="C852" s="154">
        <v>1</v>
      </c>
      <c r="D852" s="176" t="s">
        <v>2978</v>
      </c>
      <c r="E852" s="178" t="s">
        <v>4693</v>
      </c>
      <c r="F852" s="218" t="s">
        <v>2979</v>
      </c>
      <c r="G852" s="359" t="s">
        <v>4768</v>
      </c>
    </row>
    <row r="853" spans="1:7">
      <c r="A853" s="239" t="s">
        <v>4783</v>
      </c>
      <c r="B853" s="164" t="s">
        <v>1462</v>
      </c>
      <c r="C853" s="154">
        <v>1</v>
      </c>
      <c r="D853" s="176" t="s">
        <v>2980</v>
      </c>
      <c r="E853" s="178" t="s">
        <v>4694</v>
      </c>
      <c r="F853" s="218" t="s">
        <v>2981</v>
      </c>
      <c r="G853" s="359" t="s">
        <v>4768</v>
      </c>
    </row>
    <row r="854" spans="1:7">
      <c r="A854" s="239" t="s">
        <v>4783</v>
      </c>
      <c r="B854" s="164" t="s">
        <v>1462</v>
      </c>
      <c r="C854" s="154">
        <v>1</v>
      </c>
      <c r="D854" s="176">
        <v>95</v>
      </c>
      <c r="E854" s="178" t="s">
        <v>4695</v>
      </c>
      <c r="F854" s="218" t="s">
        <v>2982</v>
      </c>
      <c r="G854" s="359" t="s">
        <v>4768</v>
      </c>
    </row>
    <row r="855" spans="1:7">
      <c r="A855" s="239" t="s">
        <v>4783</v>
      </c>
      <c r="B855" s="164" t="s">
        <v>1462</v>
      </c>
      <c r="C855" s="154">
        <v>1</v>
      </c>
      <c r="D855" s="176" t="s">
        <v>2983</v>
      </c>
      <c r="E855" s="178" t="s">
        <v>4696</v>
      </c>
      <c r="F855" s="218" t="s">
        <v>2984</v>
      </c>
      <c r="G855" s="359" t="s">
        <v>4768</v>
      </c>
    </row>
    <row r="856" spans="1:7">
      <c r="A856" s="239" t="s">
        <v>4783</v>
      </c>
      <c r="B856" s="164" t="s">
        <v>1462</v>
      </c>
      <c r="C856" s="154">
        <v>1</v>
      </c>
      <c r="D856" s="176" t="s">
        <v>2985</v>
      </c>
      <c r="E856" s="178" t="s">
        <v>4697</v>
      </c>
      <c r="F856" s="218" t="s">
        <v>2986</v>
      </c>
      <c r="G856" s="359" t="s">
        <v>4768</v>
      </c>
    </row>
    <row r="857" spans="1:7">
      <c r="A857" s="239" t="s">
        <v>4783</v>
      </c>
      <c r="B857" s="164" t="s">
        <v>1462</v>
      </c>
      <c r="C857" s="154">
        <v>1</v>
      </c>
      <c r="D857" s="176" t="s">
        <v>2987</v>
      </c>
      <c r="E857" s="178" t="s">
        <v>4698</v>
      </c>
      <c r="F857" s="218" t="s">
        <v>2988</v>
      </c>
      <c r="G857" s="359" t="s">
        <v>4768</v>
      </c>
    </row>
    <row r="858" spans="1:7">
      <c r="A858" s="239" t="s">
        <v>4783</v>
      </c>
      <c r="B858" s="164" t="s">
        <v>1462</v>
      </c>
      <c r="C858" s="154">
        <v>1</v>
      </c>
      <c r="D858" s="176" t="s">
        <v>2989</v>
      </c>
      <c r="E858" s="178" t="s">
        <v>4699</v>
      </c>
      <c r="F858" s="218" t="s">
        <v>2990</v>
      </c>
      <c r="G858" s="359" t="s">
        <v>4768</v>
      </c>
    </row>
    <row r="859" spans="1:7">
      <c r="A859" s="239" t="s">
        <v>4783</v>
      </c>
      <c r="B859" s="164" t="s">
        <v>1462</v>
      </c>
      <c r="C859" s="154">
        <v>1</v>
      </c>
      <c r="D859" s="176" t="s">
        <v>2991</v>
      </c>
      <c r="E859" s="178" t="s">
        <v>4700</v>
      </c>
      <c r="F859" s="218" t="s">
        <v>2992</v>
      </c>
      <c r="G859" s="359" t="s">
        <v>4768</v>
      </c>
    </row>
    <row r="860" spans="1:7">
      <c r="A860" s="239" t="s">
        <v>4783</v>
      </c>
      <c r="B860" s="164" t="s">
        <v>1462</v>
      </c>
      <c r="C860" s="154">
        <v>1</v>
      </c>
      <c r="D860" s="176" t="s">
        <v>2993</v>
      </c>
      <c r="E860" s="178" t="s">
        <v>4701</v>
      </c>
      <c r="F860" s="218" t="s">
        <v>2994</v>
      </c>
      <c r="G860" s="359" t="s">
        <v>4768</v>
      </c>
    </row>
    <row r="861" spans="1:7">
      <c r="A861" s="239" t="s">
        <v>4783</v>
      </c>
      <c r="B861" s="164" t="s">
        <v>1462</v>
      </c>
      <c r="C861" s="154">
        <v>1</v>
      </c>
      <c r="D861" s="176" t="s">
        <v>2995</v>
      </c>
      <c r="E861" s="178" t="s">
        <v>4702</v>
      </c>
      <c r="F861" s="218" t="s">
        <v>2996</v>
      </c>
      <c r="G861" s="359" t="s">
        <v>4768</v>
      </c>
    </row>
    <row r="862" spans="1:7">
      <c r="A862" s="239" t="s">
        <v>4783</v>
      </c>
      <c r="B862" s="164" t="s">
        <v>1462</v>
      </c>
      <c r="C862" s="154">
        <v>1</v>
      </c>
      <c r="D862" s="176" t="s">
        <v>2997</v>
      </c>
      <c r="E862" s="178" t="s">
        <v>4703</v>
      </c>
      <c r="F862" s="218" t="s">
        <v>2998</v>
      </c>
      <c r="G862" s="359" t="s">
        <v>4768</v>
      </c>
    </row>
    <row r="863" spans="1:7">
      <c r="A863" s="239" t="s">
        <v>4783</v>
      </c>
      <c r="B863" s="164" t="s">
        <v>1462</v>
      </c>
      <c r="C863" s="154">
        <v>1</v>
      </c>
      <c r="D863" s="176" t="s">
        <v>2999</v>
      </c>
      <c r="E863" s="178" t="s">
        <v>4704</v>
      </c>
      <c r="F863" s="218" t="s">
        <v>3000</v>
      </c>
      <c r="G863" s="359" t="s">
        <v>4768</v>
      </c>
    </row>
    <row r="864" spans="1:7">
      <c r="A864" s="239" t="s">
        <v>4783</v>
      </c>
      <c r="B864" s="164" t="s">
        <v>1462</v>
      </c>
      <c r="C864" s="154">
        <v>1</v>
      </c>
      <c r="D864" s="176" t="s">
        <v>3001</v>
      </c>
      <c r="E864" s="178" t="s">
        <v>4705</v>
      </c>
      <c r="F864" s="218" t="s">
        <v>3002</v>
      </c>
      <c r="G864" s="359" t="s">
        <v>4768</v>
      </c>
    </row>
    <row r="865" spans="1:7">
      <c r="A865" s="239" t="s">
        <v>4783</v>
      </c>
      <c r="B865" s="164" t="s">
        <v>1462</v>
      </c>
      <c r="C865" s="154">
        <v>1</v>
      </c>
      <c r="D865" s="176">
        <v>96</v>
      </c>
      <c r="E865" s="178" t="s">
        <v>4706</v>
      </c>
      <c r="F865" s="218" t="s">
        <v>3003</v>
      </c>
      <c r="G865" s="359" t="s">
        <v>4768</v>
      </c>
    </row>
    <row r="866" spans="1:7">
      <c r="A866" s="239" t="s">
        <v>4783</v>
      </c>
      <c r="B866" s="164" t="s">
        <v>1462</v>
      </c>
      <c r="C866" s="154">
        <v>1</v>
      </c>
      <c r="D866" s="176" t="s">
        <v>3004</v>
      </c>
      <c r="E866" s="178" t="s">
        <v>4707</v>
      </c>
      <c r="F866" s="218" t="s">
        <v>3005</v>
      </c>
      <c r="G866" s="359" t="s">
        <v>4768</v>
      </c>
    </row>
    <row r="867" spans="1:7">
      <c r="A867" s="239" t="s">
        <v>4783</v>
      </c>
      <c r="B867" s="164" t="s">
        <v>1462</v>
      </c>
      <c r="C867" s="154">
        <v>1</v>
      </c>
      <c r="D867" s="176" t="s">
        <v>3006</v>
      </c>
      <c r="E867" s="178" t="s">
        <v>4708</v>
      </c>
      <c r="F867" s="218" t="s">
        <v>3007</v>
      </c>
      <c r="G867" s="359" t="s">
        <v>4768</v>
      </c>
    </row>
    <row r="868" spans="1:7">
      <c r="A868" s="239" t="s">
        <v>4783</v>
      </c>
      <c r="B868" s="164" t="s">
        <v>1462</v>
      </c>
      <c r="C868" s="154">
        <v>1</v>
      </c>
      <c r="D868" s="176" t="s">
        <v>3008</v>
      </c>
      <c r="E868" s="178" t="s">
        <v>4709</v>
      </c>
      <c r="F868" s="218" t="s">
        <v>3009</v>
      </c>
      <c r="G868" s="359" t="s">
        <v>4768</v>
      </c>
    </row>
    <row r="869" spans="1:7">
      <c r="A869" s="239" t="s">
        <v>4783</v>
      </c>
      <c r="B869" s="164" t="s">
        <v>1462</v>
      </c>
      <c r="C869" s="154">
        <v>1</v>
      </c>
      <c r="D869" s="176" t="s">
        <v>3010</v>
      </c>
      <c r="E869" s="178" t="s">
        <v>4710</v>
      </c>
      <c r="F869" s="218" t="s">
        <v>3011</v>
      </c>
      <c r="G869" s="359" t="s">
        <v>4768</v>
      </c>
    </row>
    <row r="870" spans="1:7">
      <c r="A870" s="239" t="s">
        <v>4783</v>
      </c>
      <c r="B870" s="164" t="s">
        <v>1462</v>
      </c>
      <c r="C870" s="154">
        <v>1</v>
      </c>
      <c r="D870" s="176" t="s">
        <v>3012</v>
      </c>
      <c r="E870" s="178" t="s">
        <v>4711</v>
      </c>
      <c r="F870" s="218" t="s">
        <v>3013</v>
      </c>
      <c r="G870" s="359" t="s">
        <v>4768</v>
      </c>
    </row>
    <row r="871" spans="1:7">
      <c r="A871" s="239" t="s">
        <v>4783</v>
      </c>
      <c r="B871" s="164" t="s">
        <v>1462</v>
      </c>
      <c r="C871" s="154">
        <v>1</v>
      </c>
      <c r="D871" s="176">
        <v>97</v>
      </c>
      <c r="E871" s="178" t="s">
        <v>4712</v>
      </c>
      <c r="F871" s="218" t="s">
        <v>3014</v>
      </c>
      <c r="G871" s="359" t="s">
        <v>4768</v>
      </c>
    </row>
    <row r="872" spans="1:7">
      <c r="A872" s="239" t="s">
        <v>4783</v>
      </c>
      <c r="B872" s="164" t="s">
        <v>1462</v>
      </c>
      <c r="C872" s="154">
        <v>1</v>
      </c>
      <c r="D872" s="176">
        <v>98</v>
      </c>
      <c r="E872" s="178" t="s">
        <v>4713</v>
      </c>
      <c r="F872" s="218" t="s">
        <v>3015</v>
      </c>
      <c r="G872" s="359" t="s">
        <v>4768</v>
      </c>
    </row>
    <row r="873" spans="1:7">
      <c r="A873" s="239" t="s">
        <v>4783</v>
      </c>
      <c r="B873" s="164" t="s">
        <v>1462</v>
      </c>
      <c r="C873" s="154">
        <v>1</v>
      </c>
      <c r="D873" s="176" t="s">
        <v>3016</v>
      </c>
      <c r="E873" s="178" t="s">
        <v>4714</v>
      </c>
      <c r="F873" s="218" t="s">
        <v>3017</v>
      </c>
      <c r="G873" s="359" t="s">
        <v>4768</v>
      </c>
    </row>
    <row r="874" spans="1:7">
      <c r="A874" s="239" t="s">
        <v>4783</v>
      </c>
      <c r="B874" s="164" t="s">
        <v>1462</v>
      </c>
      <c r="C874" s="154">
        <v>1</v>
      </c>
      <c r="D874" s="176" t="s">
        <v>3018</v>
      </c>
      <c r="E874" s="178" t="s">
        <v>4715</v>
      </c>
      <c r="F874" s="218" t="s">
        <v>3019</v>
      </c>
      <c r="G874" s="359" t="s">
        <v>4768</v>
      </c>
    </row>
    <row r="875" spans="1:7" ht="15.75" thickBot="1">
      <c r="A875" s="226" t="s">
        <v>4783</v>
      </c>
      <c r="B875" s="168" t="s">
        <v>1462</v>
      </c>
      <c r="C875" s="183">
        <v>1</v>
      </c>
      <c r="D875" s="185">
        <v>99</v>
      </c>
      <c r="E875" s="186" t="s">
        <v>4716</v>
      </c>
      <c r="F875" s="219" t="s">
        <v>3020</v>
      </c>
      <c r="G875" s="359" t="s">
        <v>4768</v>
      </c>
    </row>
    <row r="876" spans="1:7" ht="14.45" customHeight="1">
      <c r="A876" s="238" t="s">
        <v>4783</v>
      </c>
      <c r="B876" s="165" t="s">
        <v>4785</v>
      </c>
      <c r="C876" s="182">
        <v>1</v>
      </c>
      <c r="D876" s="175" t="s">
        <v>4786</v>
      </c>
      <c r="E876" s="177" t="s">
        <v>4787</v>
      </c>
      <c r="F876" s="229" t="s">
        <v>4787</v>
      </c>
      <c r="G876" s="359" t="s">
        <v>4768</v>
      </c>
    </row>
    <row r="877" spans="1:7" ht="15.75" thickBot="1">
      <c r="A877" s="226" t="s">
        <v>4783</v>
      </c>
      <c r="B877" s="168" t="s">
        <v>4785</v>
      </c>
      <c r="C877" s="183">
        <v>1</v>
      </c>
      <c r="D877" s="185" t="s">
        <v>4788</v>
      </c>
      <c r="E877" s="186" t="s">
        <v>4789</v>
      </c>
      <c r="F877" s="219" t="s">
        <v>4789</v>
      </c>
      <c r="G877" s="359" t="s">
        <v>4768</v>
      </c>
    </row>
    <row r="878" spans="1:7" ht="14.45" customHeight="1">
      <c r="A878" s="238" t="s">
        <v>4784</v>
      </c>
      <c r="B878" s="165" t="s">
        <v>3027</v>
      </c>
      <c r="C878" s="182">
        <v>1</v>
      </c>
      <c r="D878" s="175">
        <v>1</v>
      </c>
      <c r="E878" s="177" t="s">
        <v>3028</v>
      </c>
      <c r="F878" s="229" t="s">
        <v>3028</v>
      </c>
      <c r="G878" s="359" t="s">
        <v>4768</v>
      </c>
    </row>
    <row r="879" spans="1:7">
      <c r="A879" s="239" t="s">
        <v>4784</v>
      </c>
      <c r="B879" s="164" t="s">
        <v>3027</v>
      </c>
      <c r="C879" s="154">
        <v>1</v>
      </c>
      <c r="D879" s="176">
        <v>2</v>
      </c>
      <c r="E879" s="178" t="s">
        <v>3032</v>
      </c>
      <c r="F879" s="218" t="s">
        <v>3032</v>
      </c>
      <c r="G879" s="359" t="s">
        <v>4768</v>
      </c>
    </row>
    <row r="880" spans="1:7">
      <c r="A880" s="239" t="s">
        <v>4784</v>
      </c>
      <c r="B880" s="164" t="s">
        <v>3027</v>
      </c>
      <c r="C880" s="154">
        <v>1</v>
      </c>
      <c r="D880" s="176">
        <v>3</v>
      </c>
      <c r="E880" s="178" t="s">
        <v>3031</v>
      </c>
      <c r="F880" s="218" t="s">
        <v>3031</v>
      </c>
      <c r="G880" s="359" t="s">
        <v>4768</v>
      </c>
    </row>
    <row r="881" spans="1:7" ht="15.75" thickBot="1">
      <c r="A881" s="226" t="s">
        <v>4784</v>
      </c>
      <c r="B881" s="168" t="s">
        <v>3027</v>
      </c>
      <c r="C881" s="183">
        <v>1</v>
      </c>
      <c r="D881" s="185">
        <v>4</v>
      </c>
      <c r="E881" s="186" t="s">
        <v>3029</v>
      </c>
      <c r="F881" s="219" t="s">
        <v>3030</v>
      </c>
      <c r="G881" s="359" t="s">
        <v>4768</v>
      </c>
    </row>
    <row r="882" spans="1:7" ht="14.45" customHeight="1">
      <c r="A882" s="238" t="s">
        <v>4783</v>
      </c>
      <c r="B882" s="165" t="s">
        <v>1439</v>
      </c>
      <c r="C882" s="182">
        <v>1</v>
      </c>
      <c r="D882" s="175">
        <v>3</v>
      </c>
      <c r="E882" s="177" t="s">
        <v>1440</v>
      </c>
      <c r="F882" s="229" t="s">
        <v>1441</v>
      </c>
      <c r="G882" s="359" t="s">
        <v>4768</v>
      </c>
    </row>
    <row r="883" spans="1:7">
      <c r="A883" s="239" t="s">
        <v>4783</v>
      </c>
      <c r="B883" s="164" t="s">
        <v>1439</v>
      </c>
      <c r="C883" s="154">
        <v>1</v>
      </c>
      <c r="D883" s="176">
        <v>4</v>
      </c>
      <c r="E883" s="178" t="s">
        <v>1442</v>
      </c>
      <c r="F883" s="218" t="s">
        <v>1442</v>
      </c>
      <c r="G883" s="359" t="s">
        <v>4768</v>
      </c>
    </row>
    <row r="884" spans="1:7">
      <c r="A884" s="239" t="s">
        <v>4783</v>
      </c>
      <c r="B884" s="164" t="s">
        <v>1439</v>
      </c>
      <c r="C884" s="154">
        <v>1</v>
      </c>
      <c r="D884" s="176">
        <v>5</v>
      </c>
      <c r="E884" s="178" t="s">
        <v>1443</v>
      </c>
      <c r="F884" s="218" t="s">
        <v>1443</v>
      </c>
      <c r="G884" s="359" t="s">
        <v>4768</v>
      </c>
    </row>
    <row r="885" spans="1:7">
      <c r="A885" s="239" t="s">
        <v>4783</v>
      </c>
      <c r="B885" s="164" t="s">
        <v>1439</v>
      </c>
      <c r="C885" s="154">
        <v>1</v>
      </c>
      <c r="D885" s="176">
        <v>8</v>
      </c>
      <c r="E885" s="178" t="s">
        <v>1444</v>
      </c>
      <c r="F885" s="218" t="s">
        <v>1444</v>
      </c>
      <c r="G885" s="359" t="s">
        <v>4768</v>
      </c>
    </row>
    <row r="886" spans="1:7" ht="15.75" thickBot="1">
      <c r="A886" s="226" t="s">
        <v>4783</v>
      </c>
      <c r="B886" s="168" t="s">
        <v>1439</v>
      </c>
      <c r="C886" s="183">
        <v>1</v>
      </c>
      <c r="D886" s="185">
        <v>9</v>
      </c>
      <c r="E886" s="186" t="s">
        <v>1445</v>
      </c>
      <c r="F886" s="219" t="s">
        <v>1445</v>
      </c>
      <c r="G886" s="359" t="s">
        <v>4768</v>
      </c>
    </row>
    <row r="887" spans="1:7" ht="14.45" customHeight="1">
      <c r="A887" s="238" t="s">
        <v>4783</v>
      </c>
      <c r="B887" s="165" t="s">
        <v>1403</v>
      </c>
      <c r="C887" s="182">
        <v>1</v>
      </c>
      <c r="D887" s="175">
        <v>1</v>
      </c>
      <c r="E887" s="177" t="s">
        <v>1404</v>
      </c>
      <c r="F887" s="229" t="s">
        <v>1404</v>
      </c>
      <c r="G887" s="359" t="s">
        <v>4768</v>
      </c>
    </row>
    <row r="888" spans="1:7" ht="15.75" thickBot="1">
      <c r="A888" s="226" t="s">
        <v>4783</v>
      </c>
      <c r="B888" s="168" t="s">
        <v>1403</v>
      </c>
      <c r="C888" s="183">
        <v>1</v>
      </c>
      <c r="D888" s="185">
        <v>2</v>
      </c>
      <c r="E888" s="186" t="s">
        <v>1405</v>
      </c>
      <c r="F888" s="219" t="s">
        <v>1405</v>
      </c>
      <c r="G888" s="359" t="s">
        <v>4768</v>
      </c>
    </row>
    <row r="889" spans="1:7" ht="14.45" customHeight="1">
      <c r="A889" s="238" t="s">
        <v>4783</v>
      </c>
      <c r="B889" s="165" t="s">
        <v>1397</v>
      </c>
      <c r="C889" s="182">
        <v>1</v>
      </c>
      <c r="D889" s="175">
        <v>21</v>
      </c>
      <c r="E889" s="177" t="s">
        <v>1398</v>
      </c>
      <c r="F889" s="229" t="s">
        <v>1398</v>
      </c>
      <c r="G889" s="359" t="s">
        <v>4768</v>
      </c>
    </row>
    <row r="890" spans="1:7">
      <c r="A890" s="239" t="s">
        <v>4783</v>
      </c>
      <c r="B890" s="164" t="s">
        <v>1397</v>
      </c>
      <c r="C890" s="154">
        <v>1</v>
      </c>
      <c r="D890" s="176">
        <v>23</v>
      </c>
      <c r="E890" s="178" t="s">
        <v>1399</v>
      </c>
      <c r="F890" s="218" t="s">
        <v>1399</v>
      </c>
      <c r="G890" s="359" t="s">
        <v>4768</v>
      </c>
    </row>
    <row r="891" spans="1:7">
      <c r="A891" s="239" t="s">
        <v>4783</v>
      </c>
      <c r="B891" s="164" t="s">
        <v>1397</v>
      </c>
      <c r="C891" s="154">
        <v>1</v>
      </c>
      <c r="D891" s="176">
        <v>24</v>
      </c>
      <c r="E891" s="178" t="s">
        <v>1400</v>
      </c>
      <c r="F891" s="218" t="s">
        <v>1400</v>
      </c>
      <c r="G891" s="359" t="s">
        <v>4768</v>
      </c>
    </row>
    <row r="892" spans="1:7">
      <c r="A892" s="239" t="s">
        <v>4783</v>
      </c>
      <c r="B892" s="164" t="s">
        <v>1397</v>
      </c>
      <c r="C892" s="154">
        <v>1</v>
      </c>
      <c r="D892" s="176">
        <v>25</v>
      </c>
      <c r="E892" s="178" t="s">
        <v>1401</v>
      </c>
      <c r="F892" s="218" t="s">
        <v>1401</v>
      </c>
      <c r="G892" s="359" t="s">
        <v>4768</v>
      </c>
    </row>
    <row r="893" spans="1:7" ht="15.75" thickBot="1">
      <c r="A893" s="226" t="s">
        <v>4783</v>
      </c>
      <c r="B893" s="168" t="s">
        <v>1397</v>
      </c>
      <c r="C893" s="183">
        <v>1</v>
      </c>
      <c r="D893" s="185">
        <v>26</v>
      </c>
      <c r="E893" s="186" t="s">
        <v>1402</v>
      </c>
      <c r="F893" s="219" t="s">
        <v>1402</v>
      </c>
      <c r="G893" s="359" t="s">
        <v>4768</v>
      </c>
    </row>
    <row r="894" spans="1:7" ht="14.45" customHeight="1">
      <c r="A894" s="238" t="s">
        <v>4783</v>
      </c>
      <c r="B894" s="165" t="s">
        <v>1280</v>
      </c>
      <c r="C894" s="182">
        <v>1</v>
      </c>
      <c r="D894" s="175" t="s">
        <v>1287</v>
      </c>
      <c r="E894" s="177" t="s">
        <v>1288</v>
      </c>
      <c r="F894" s="229" t="s">
        <v>1288</v>
      </c>
      <c r="G894" s="359" t="s">
        <v>4768</v>
      </c>
    </row>
    <row r="895" spans="1:7">
      <c r="A895" s="239" t="s">
        <v>4783</v>
      </c>
      <c r="B895" s="164" t="s">
        <v>1280</v>
      </c>
      <c r="C895" s="154">
        <v>1</v>
      </c>
      <c r="D895" s="176" t="s">
        <v>1289</v>
      </c>
      <c r="E895" s="178" t="s">
        <v>1290</v>
      </c>
      <c r="F895" s="218" t="s">
        <v>1290</v>
      </c>
      <c r="G895" s="359" t="s">
        <v>4768</v>
      </c>
    </row>
    <row r="896" spans="1:7">
      <c r="A896" s="239" t="s">
        <v>4783</v>
      </c>
      <c r="B896" s="164" t="s">
        <v>1280</v>
      </c>
      <c r="C896" s="154">
        <v>1</v>
      </c>
      <c r="D896" s="176" t="s">
        <v>1283</v>
      </c>
      <c r="E896" s="178" t="s">
        <v>1284</v>
      </c>
      <c r="F896" s="218" t="s">
        <v>1284</v>
      </c>
      <c r="G896" s="359" t="s">
        <v>4768</v>
      </c>
    </row>
    <row r="897" spans="1:7">
      <c r="A897" s="239" t="s">
        <v>4783</v>
      </c>
      <c r="B897" s="164" t="s">
        <v>1280</v>
      </c>
      <c r="C897" s="154">
        <v>1</v>
      </c>
      <c r="D897" s="176" t="s">
        <v>1281</v>
      </c>
      <c r="E897" s="178" t="s">
        <v>1282</v>
      </c>
      <c r="F897" s="218" t="s">
        <v>1282</v>
      </c>
      <c r="G897" s="359" t="s">
        <v>4768</v>
      </c>
    </row>
    <row r="898" spans="1:7">
      <c r="A898" s="239" t="s">
        <v>4783</v>
      </c>
      <c r="B898" s="164" t="s">
        <v>1280</v>
      </c>
      <c r="C898" s="154">
        <v>1</v>
      </c>
      <c r="D898" s="176" t="s">
        <v>1285</v>
      </c>
      <c r="E898" s="178" t="s">
        <v>1286</v>
      </c>
      <c r="F898" s="218" t="s">
        <v>1286</v>
      </c>
      <c r="G898" s="359" t="s">
        <v>4768</v>
      </c>
    </row>
    <row r="899" spans="1:7">
      <c r="A899" s="239" t="s">
        <v>4783</v>
      </c>
      <c r="B899" s="164" t="s">
        <v>1280</v>
      </c>
      <c r="C899" s="154">
        <v>1</v>
      </c>
      <c r="D899" s="176" t="s">
        <v>1291</v>
      </c>
      <c r="E899" s="178" t="s">
        <v>1292</v>
      </c>
      <c r="F899" s="218" t="s">
        <v>1292</v>
      </c>
      <c r="G899" s="359" t="s">
        <v>4768</v>
      </c>
    </row>
    <row r="900" spans="1:7" ht="15.75" thickBot="1">
      <c r="A900" s="226" t="s">
        <v>4783</v>
      </c>
      <c r="B900" s="168" t="s">
        <v>1280</v>
      </c>
      <c r="C900" s="183">
        <v>1</v>
      </c>
      <c r="D900" s="185" t="s">
        <v>4790</v>
      </c>
      <c r="E900" s="208" t="s">
        <v>146</v>
      </c>
      <c r="F900" s="230" t="s">
        <v>4790</v>
      </c>
      <c r="G900" s="359" t="s">
        <v>4768</v>
      </c>
    </row>
    <row r="901" spans="1:7" ht="14.45" customHeight="1">
      <c r="A901" s="238" t="s">
        <v>4783</v>
      </c>
      <c r="B901" s="165" t="s">
        <v>1336</v>
      </c>
      <c r="C901" s="182">
        <v>1</v>
      </c>
      <c r="D901" s="182">
        <v>1</v>
      </c>
      <c r="E901" s="177" t="s">
        <v>1339</v>
      </c>
      <c r="F901" s="229" t="s">
        <v>1343</v>
      </c>
      <c r="G901" s="359" t="s">
        <v>4768</v>
      </c>
    </row>
    <row r="902" spans="1:7">
      <c r="A902" s="239" t="s">
        <v>4783</v>
      </c>
      <c r="B902" s="164" t="s">
        <v>1336</v>
      </c>
      <c r="C902" s="154">
        <v>1</v>
      </c>
      <c r="D902" s="154">
        <v>3</v>
      </c>
      <c r="E902" s="178" t="s">
        <v>1345</v>
      </c>
      <c r="F902" s="218" t="s">
        <v>1345</v>
      </c>
      <c r="G902" s="359" t="s">
        <v>4768</v>
      </c>
    </row>
    <row r="903" spans="1:7">
      <c r="A903" s="239" t="s">
        <v>4783</v>
      </c>
      <c r="B903" s="164" t="s">
        <v>1336</v>
      </c>
      <c r="C903" s="154">
        <v>1</v>
      </c>
      <c r="D903" s="154">
        <v>8</v>
      </c>
      <c r="E903" s="178" t="s">
        <v>1339</v>
      </c>
      <c r="F903" s="218" t="s">
        <v>1340</v>
      </c>
      <c r="G903" s="359" t="s">
        <v>4768</v>
      </c>
    </row>
    <row r="904" spans="1:7">
      <c r="A904" s="239" t="s">
        <v>4783</v>
      </c>
      <c r="B904" s="164" t="s">
        <v>1336</v>
      </c>
      <c r="C904" s="154">
        <v>1</v>
      </c>
      <c r="D904" s="154">
        <v>12</v>
      </c>
      <c r="E904" s="178" t="s">
        <v>1337</v>
      </c>
      <c r="F904" s="218" t="s">
        <v>1338</v>
      </c>
      <c r="G904" s="359" t="s">
        <v>4768</v>
      </c>
    </row>
    <row r="905" spans="1:7">
      <c r="A905" s="239" t="s">
        <v>4783</v>
      </c>
      <c r="B905" s="164" t="s">
        <v>1336</v>
      </c>
      <c r="C905" s="154">
        <v>1</v>
      </c>
      <c r="D905" s="154">
        <v>16</v>
      </c>
      <c r="E905" s="178" t="s">
        <v>1346</v>
      </c>
      <c r="F905" s="198" t="s">
        <v>1346</v>
      </c>
      <c r="G905" s="359" t="s">
        <v>4768</v>
      </c>
    </row>
    <row r="906" spans="1:7">
      <c r="A906" s="239" t="s">
        <v>4783</v>
      </c>
      <c r="B906" s="164" t="s">
        <v>1336</v>
      </c>
      <c r="C906" s="154">
        <v>1</v>
      </c>
      <c r="D906" s="154">
        <v>18</v>
      </c>
      <c r="E906" s="178" t="s">
        <v>1339</v>
      </c>
      <c r="F906" s="218" t="s">
        <v>1341</v>
      </c>
      <c r="G906" s="359" t="s">
        <v>4768</v>
      </c>
    </row>
    <row r="907" spans="1:7" ht="15.75" thickBot="1">
      <c r="A907" s="226" t="s">
        <v>4783</v>
      </c>
      <c r="B907" s="168" t="s">
        <v>1336</v>
      </c>
      <c r="C907" s="183">
        <v>1</v>
      </c>
      <c r="D907" s="183">
        <v>19</v>
      </c>
      <c r="E907" s="186" t="s">
        <v>1339</v>
      </c>
      <c r="F907" s="219" t="s">
        <v>1342</v>
      </c>
      <c r="G907" s="359" t="s">
        <v>4768</v>
      </c>
    </row>
    <row r="908" spans="1:7" ht="14.45" customHeight="1">
      <c r="A908" s="238" t="s">
        <v>4783</v>
      </c>
      <c r="B908" s="165" t="s">
        <v>4717</v>
      </c>
      <c r="C908" s="182">
        <v>1</v>
      </c>
      <c r="D908" s="175">
        <v>1</v>
      </c>
      <c r="E908" s="177" t="s">
        <v>4791</v>
      </c>
      <c r="F908" s="229" t="s">
        <v>4719</v>
      </c>
      <c r="G908" s="359" t="s">
        <v>4768</v>
      </c>
    </row>
    <row r="909" spans="1:7" ht="15.75" thickBot="1">
      <c r="A909" s="226" t="s">
        <v>4783</v>
      </c>
      <c r="B909" s="168" t="s">
        <v>4717</v>
      </c>
      <c r="C909" s="183">
        <v>1</v>
      </c>
      <c r="D909" s="185">
        <v>2</v>
      </c>
      <c r="E909" s="186" t="s">
        <v>4792</v>
      </c>
      <c r="F909" s="219" t="s">
        <v>4718</v>
      </c>
      <c r="G909" s="359" t="s">
        <v>4768</v>
      </c>
    </row>
    <row r="910" spans="1:7" ht="14.45" customHeight="1">
      <c r="A910" s="241" t="s">
        <v>4783</v>
      </c>
      <c r="B910" s="195" t="s">
        <v>4770</v>
      </c>
      <c r="C910" s="182">
        <v>1</v>
      </c>
      <c r="D910" s="175">
        <v>1</v>
      </c>
      <c r="E910" s="177" t="s">
        <v>4772</v>
      </c>
      <c r="F910" s="229" t="s">
        <v>4771</v>
      </c>
      <c r="G910" s="359" t="s">
        <v>4768</v>
      </c>
    </row>
    <row r="911" spans="1:7">
      <c r="A911" s="242" t="s">
        <v>4783</v>
      </c>
      <c r="B911" s="187" t="s">
        <v>4770</v>
      </c>
      <c r="C911" s="154">
        <v>1</v>
      </c>
      <c r="D911" s="176">
        <v>2</v>
      </c>
      <c r="E911" s="178" t="s">
        <v>4774</v>
      </c>
      <c r="F911" s="218" t="s">
        <v>4773</v>
      </c>
      <c r="G911" s="359" t="s">
        <v>4768</v>
      </c>
    </row>
    <row r="912" spans="1:7">
      <c r="A912" s="242" t="s">
        <v>4783</v>
      </c>
      <c r="B912" s="187" t="s">
        <v>4770</v>
      </c>
      <c r="C912" s="154">
        <v>1</v>
      </c>
      <c r="D912" s="176">
        <v>3</v>
      </c>
      <c r="E912" s="178" t="s">
        <v>4776</v>
      </c>
      <c r="F912" s="218" t="s">
        <v>4775</v>
      </c>
      <c r="G912" s="359" t="s">
        <v>4768</v>
      </c>
    </row>
    <row r="913" spans="1:7" ht="15.75" thickBot="1">
      <c r="A913" s="243" t="s">
        <v>4783</v>
      </c>
      <c r="B913" s="188" t="s">
        <v>4770</v>
      </c>
      <c r="C913" s="183">
        <v>1</v>
      </c>
      <c r="D913" s="185">
        <v>11111111111</v>
      </c>
      <c r="E913" s="186" t="s">
        <v>146</v>
      </c>
      <c r="F913" s="219" t="s">
        <v>1396</v>
      </c>
      <c r="G913" s="359" t="s">
        <v>4768</v>
      </c>
    </row>
    <row r="914" spans="1:7" ht="14.45" customHeight="1">
      <c r="A914" s="238" t="s">
        <v>4784</v>
      </c>
      <c r="B914" s="165" t="s">
        <v>3021</v>
      </c>
      <c r="C914" s="182">
        <v>1</v>
      </c>
      <c r="D914" s="175">
        <v>1</v>
      </c>
      <c r="E914" s="177" t="s">
        <v>3022</v>
      </c>
      <c r="F914" s="229" t="s">
        <v>3022</v>
      </c>
      <c r="G914" s="359" t="s">
        <v>4768</v>
      </c>
    </row>
    <row r="915" spans="1:7">
      <c r="A915" s="239" t="s">
        <v>4784</v>
      </c>
      <c r="B915" s="164" t="s">
        <v>3021</v>
      </c>
      <c r="C915" s="154">
        <v>1</v>
      </c>
      <c r="D915" s="176">
        <v>2</v>
      </c>
      <c r="E915" s="178" t="s">
        <v>3023</v>
      </c>
      <c r="F915" s="218" t="s">
        <v>3023</v>
      </c>
      <c r="G915" s="359" t="s">
        <v>4768</v>
      </c>
    </row>
    <row r="916" spans="1:7">
      <c r="A916" s="239" t="s">
        <v>4784</v>
      </c>
      <c r="B916" s="164" t="s">
        <v>3021</v>
      </c>
      <c r="C916" s="154">
        <v>1</v>
      </c>
      <c r="D916" s="176">
        <v>3</v>
      </c>
      <c r="E916" s="178" t="s">
        <v>3024</v>
      </c>
      <c r="F916" s="218" t="s">
        <v>3025</v>
      </c>
      <c r="G916" s="359" t="s">
        <v>4768</v>
      </c>
    </row>
    <row r="917" spans="1:7" ht="15.75" thickBot="1">
      <c r="A917" s="226" t="s">
        <v>4784</v>
      </c>
      <c r="B917" s="168" t="s">
        <v>3021</v>
      </c>
      <c r="C917" s="183">
        <v>1</v>
      </c>
      <c r="D917" s="185">
        <v>4</v>
      </c>
      <c r="E917" s="186" t="s">
        <v>3026</v>
      </c>
      <c r="F917" s="219" t="s">
        <v>3026</v>
      </c>
      <c r="G917" s="359" t="s">
        <v>4768</v>
      </c>
    </row>
    <row r="918" spans="1:7" ht="14.45" customHeight="1">
      <c r="A918" s="238" t="s">
        <v>4783</v>
      </c>
      <c r="B918" s="165" t="s">
        <v>4793</v>
      </c>
      <c r="C918" s="182">
        <v>1</v>
      </c>
      <c r="D918" s="175" t="s">
        <v>4786</v>
      </c>
      <c r="E918" s="177" t="s">
        <v>4787</v>
      </c>
      <c r="F918" s="229" t="s">
        <v>4787</v>
      </c>
      <c r="G918" s="359" t="s">
        <v>4768</v>
      </c>
    </row>
    <row r="919" spans="1:7" ht="15.75" thickBot="1">
      <c r="A919" s="226" t="s">
        <v>4783</v>
      </c>
      <c r="B919" s="168" t="s">
        <v>4793</v>
      </c>
      <c r="C919" s="183">
        <v>1</v>
      </c>
      <c r="D919" s="185" t="s">
        <v>4788</v>
      </c>
      <c r="E919" s="186" t="s">
        <v>4789</v>
      </c>
      <c r="F919" s="219" t="s">
        <v>4789</v>
      </c>
      <c r="G919" s="359" t="s">
        <v>4768</v>
      </c>
    </row>
    <row r="920" spans="1:7" ht="14.45" customHeight="1">
      <c r="A920" s="238" t="s">
        <v>4783</v>
      </c>
      <c r="B920" s="165" t="s">
        <v>1446</v>
      </c>
      <c r="C920" s="182">
        <v>1</v>
      </c>
      <c r="D920" s="175">
        <v>1</v>
      </c>
      <c r="E920" s="177" t="s">
        <v>1447</v>
      </c>
      <c r="F920" s="229" t="s">
        <v>1447</v>
      </c>
      <c r="G920" s="359" t="s">
        <v>4768</v>
      </c>
    </row>
    <row r="921" spans="1:7" ht="15.75" thickBot="1">
      <c r="A921" s="226" t="s">
        <v>4783</v>
      </c>
      <c r="B921" s="168" t="s">
        <v>1446</v>
      </c>
      <c r="C921" s="183">
        <v>1</v>
      </c>
      <c r="D921" s="185">
        <v>2</v>
      </c>
      <c r="E921" s="186" t="s">
        <v>4794</v>
      </c>
      <c r="F921" s="219" t="s">
        <v>4794</v>
      </c>
      <c r="G921" s="359" t="s">
        <v>4768</v>
      </c>
    </row>
    <row r="922" spans="1:7" ht="14.45" customHeight="1">
      <c r="A922" s="238" t="s">
        <v>4783</v>
      </c>
      <c r="B922" s="165" t="s">
        <v>1436</v>
      </c>
      <c r="C922" s="182">
        <v>1</v>
      </c>
      <c r="D922" s="175">
        <v>1</v>
      </c>
      <c r="E922" s="177" t="s">
        <v>1438</v>
      </c>
      <c r="F922" s="229" t="s">
        <v>1438</v>
      </c>
      <c r="G922" s="359" t="s">
        <v>4768</v>
      </c>
    </row>
    <row r="923" spans="1:7" ht="15.75" thickBot="1">
      <c r="A923" s="226" t="s">
        <v>4783</v>
      </c>
      <c r="B923" s="168" t="s">
        <v>1436</v>
      </c>
      <c r="C923" s="183">
        <v>1</v>
      </c>
      <c r="D923" s="185">
        <v>11</v>
      </c>
      <c r="E923" s="186" t="s">
        <v>1437</v>
      </c>
      <c r="F923" s="219" t="s">
        <v>4795</v>
      </c>
      <c r="G923" s="359" t="s">
        <v>4768</v>
      </c>
    </row>
    <row r="924" spans="1:7" ht="14.45" customHeight="1">
      <c r="A924" s="238" t="s">
        <v>4783</v>
      </c>
      <c r="B924" s="165" t="s">
        <v>4796</v>
      </c>
      <c r="C924" s="182">
        <v>1</v>
      </c>
      <c r="D924" s="175" t="s">
        <v>4786</v>
      </c>
      <c r="E924" s="177" t="s">
        <v>4787</v>
      </c>
      <c r="F924" s="229" t="s">
        <v>4787</v>
      </c>
      <c r="G924" s="359" t="s">
        <v>4768</v>
      </c>
    </row>
    <row r="925" spans="1:7" ht="15.75" thickBot="1">
      <c r="A925" s="226" t="s">
        <v>4783</v>
      </c>
      <c r="B925" s="168" t="s">
        <v>4796</v>
      </c>
      <c r="C925" s="183">
        <v>1</v>
      </c>
      <c r="D925" s="185" t="s">
        <v>4788</v>
      </c>
      <c r="E925" s="186" t="s">
        <v>4789</v>
      </c>
      <c r="F925" s="219" t="s">
        <v>4789</v>
      </c>
      <c r="G925" s="359" t="s">
        <v>4768</v>
      </c>
    </row>
    <row r="926" spans="1:7" ht="14.45" customHeight="1">
      <c r="A926" s="238" t="s">
        <v>4797</v>
      </c>
      <c r="B926" s="165" t="s">
        <v>1455</v>
      </c>
      <c r="C926" s="182">
        <v>1</v>
      </c>
      <c r="D926" s="175">
        <v>1</v>
      </c>
      <c r="E926" s="177" t="s">
        <v>1456</v>
      </c>
      <c r="F926" s="229" t="s">
        <v>1456</v>
      </c>
      <c r="G926" s="359" t="s">
        <v>4768</v>
      </c>
    </row>
    <row r="927" spans="1:7">
      <c r="A927" s="239" t="s">
        <v>4797</v>
      </c>
      <c r="B927" s="164" t="s">
        <v>1455</v>
      </c>
      <c r="C927" s="154">
        <v>1</v>
      </c>
      <c r="D927" s="176">
        <v>2</v>
      </c>
      <c r="E927" s="178" t="s">
        <v>1457</v>
      </c>
      <c r="F927" s="218" t="s">
        <v>1457</v>
      </c>
      <c r="G927" s="359" t="s">
        <v>4768</v>
      </c>
    </row>
    <row r="928" spans="1:7">
      <c r="A928" s="239" t="s">
        <v>4797</v>
      </c>
      <c r="B928" s="164" t="s">
        <v>1455</v>
      </c>
      <c r="C928" s="154">
        <v>1</v>
      </c>
      <c r="D928" s="176">
        <v>3</v>
      </c>
      <c r="E928" s="178" t="s">
        <v>4798</v>
      </c>
      <c r="F928" s="218" t="s">
        <v>1458</v>
      </c>
      <c r="G928" s="359" t="s">
        <v>4768</v>
      </c>
    </row>
    <row r="929" spans="1:7">
      <c r="A929" s="239" t="s">
        <v>4797</v>
      </c>
      <c r="B929" s="164" t="s">
        <v>1455</v>
      </c>
      <c r="C929" s="154">
        <v>1</v>
      </c>
      <c r="D929" s="204">
        <v>4</v>
      </c>
      <c r="E929" s="205" t="s">
        <v>1459</v>
      </c>
      <c r="F929" s="231" t="s">
        <v>1459</v>
      </c>
      <c r="G929" s="359" t="s">
        <v>4768</v>
      </c>
    </row>
    <row r="930" spans="1:7" ht="15.75" thickBot="1">
      <c r="A930" s="226" t="s">
        <v>4797</v>
      </c>
      <c r="B930" s="168" t="s">
        <v>1455</v>
      </c>
      <c r="C930" s="183">
        <v>1</v>
      </c>
      <c r="D930" s="185">
        <v>5</v>
      </c>
      <c r="E930" s="186" t="s">
        <v>1460</v>
      </c>
      <c r="F930" s="219" t="s">
        <v>1461</v>
      </c>
      <c r="G930" s="359" t="s">
        <v>4768</v>
      </c>
    </row>
    <row r="931" spans="1:7" ht="14.45" customHeight="1">
      <c r="A931" s="238" t="s">
        <v>4783</v>
      </c>
      <c r="B931" s="165" t="s">
        <v>1351</v>
      </c>
      <c r="C931" s="182">
        <v>1</v>
      </c>
      <c r="D931" s="175">
        <v>1</v>
      </c>
      <c r="E931" s="177" t="s">
        <v>1339</v>
      </c>
      <c r="F931" s="229" t="s">
        <v>1343</v>
      </c>
      <c r="G931" s="359" t="s">
        <v>4768</v>
      </c>
    </row>
    <row r="932" spans="1:7">
      <c r="A932" s="239" t="s">
        <v>4783</v>
      </c>
      <c r="B932" s="164" t="s">
        <v>1351</v>
      </c>
      <c r="C932" s="154">
        <v>1</v>
      </c>
      <c r="D932" s="176">
        <v>4</v>
      </c>
      <c r="E932" s="178" t="s">
        <v>1332</v>
      </c>
      <c r="F932" s="218" t="s">
        <v>1332</v>
      </c>
      <c r="G932" s="359" t="s">
        <v>4768</v>
      </c>
    </row>
    <row r="933" spans="1:7">
      <c r="A933" s="239" t="s">
        <v>4783</v>
      </c>
      <c r="B933" s="164" t="s">
        <v>1351</v>
      </c>
      <c r="C933" s="154">
        <v>1</v>
      </c>
      <c r="D933" s="176">
        <v>8</v>
      </c>
      <c r="E933" s="178" t="s">
        <v>1339</v>
      </c>
      <c r="F933" s="218" t="s">
        <v>1340</v>
      </c>
      <c r="G933" s="359" t="s">
        <v>4768</v>
      </c>
    </row>
    <row r="934" spans="1:7">
      <c r="A934" s="239" t="s">
        <v>4783</v>
      </c>
      <c r="B934" s="164" t="s">
        <v>1351</v>
      </c>
      <c r="C934" s="154">
        <v>1</v>
      </c>
      <c r="D934" s="176">
        <v>15</v>
      </c>
      <c r="E934" s="178" t="s">
        <v>1318</v>
      </c>
      <c r="F934" s="218" t="s">
        <v>1352</v>
      </c>
      <c r="G934" s="359" t="s">
        <v>4768</v>
      </c>
    </row>
    <row r="935" spans="1:7">
      <c r="A935" s="239" t="s">
        <v>4783</v>
      </c>
      <c r="B935" s="164" t="s">
        <v>1351</v>
      </c>
      <c r="C935" s="154">
        <v>1</v>
      </c>
      <c r="D935" s="176">
        <v>18</v>
      </c>
      <c r="E935" s="178" t="s">
        <v>1339</v>
      </c>
      <c r="F935" s="218" t="s">
        <v>1341</v>
      </c>
      <c r="G935" s="359" t="s">
        <v>4768</v>
      </c>
    </row>
    <row r="936" spans="1:7">
      <c r="A936" s="239" t="s">
        <v>4783</v>
      </c>
      <c r="B936" s="164" t="s">
        <v>1351</v>
      </c>
      <c r="C936" s="154">
        <v>1</v>
      </c>
      <c r="D936" s="176">
        <v>19</v>
      </c>
      <c r="E936" s="178" t="s">
        <v>1339</v>
      </c>
      <c r="F936" s="218" t="s">
        <v>1342</v>
      </c>
      <c r="G936" s="359" t="s">
        <v>4768</v>
      </c>
    </row>
    <row r="937" spans="1:7" ht="15.75" thickBot="1">
      <c r="A937" s="226" t="s">
        <v>4783</v>
      </c>
      <c r="B937" s="168" t="s">
        <v>1351</v>
      </c>
      <c r="C937" s="183">
        <v>1</v>
      </c>
      <c r="D937" s="185">
        <v>22</v>
      </c>
      <c r="E937" s="186" t="s">
        <v>4767</v>
      </c>
      <c r="F937" s="219" t="s">
        <v>1353</v>
      </c>
      <c r="G937" s="359" t="s">
        <v>4768</v>
      </c>
    </row>
    <row r="938" spans="1:7" ht="14.45" customHeight="1">
      <c r="A938" s="238" t="s">
        <v>4783</v>
      </c>
      <c r="B938" s="165" t="s">
        <v>1351</v>
      </c>
      <c r="C938" s="182">
        <v>2</v>
      </c>
      <c r="D938" s="175">
        <v>1</v>
      </c>
      <c r="E938" s="177" t="s">
        <v>4799</v>
      </c>
      <c r="F938" s="229" t="s">
        <v>1343</v>
      </c>
      <c r="G938" s="359" t="s">
        <v>4768</v>
      </c>
    </row>
    <row r="939" spans="1:7">
      <c r="A939" s="239" t="s">
        <v>4783</v>
      </c>
      <c r="B939" s="164" t="s">
        <v>1351</v>
      </c>
      <c r="C939" s="154">
        <v>2</v>
      </c>
      <c r="D939" s="176">
        <v>4</v>
      </c>
      <c r="E939" s="178" t="s">
        <v>4800</v>
      </c>
      <c r="F939" s="218" t="s">
        <v>1332</v>
      </c>
      <c r="G939" s="359" t="s">
        <v>4768</v>
      </c>
    </row>
    <row r="940" spans="1:7">
      <c r="A940" s="239" t="s">
        <v>4783</v>
      </c>
      <c r="B940" s="164" t="s">
        <v>1351</v>
      </c>
      <c r="C940" s="154">
        <v>2</v>
      </c>
      <c r="D940" s="176">
        <v>8</v>
      </c>
      <c r="E940" s="178" t="s">
        <v>4801</v>
      </c>
      <c r="F940" s="218" t="s">
        <v>1340</v>
      </c>
      <c r="G940" s="359" t="s">
        <v>4768</v>
      </c>
    </row>
    <row r="941" spans="1:7">
      <c r="A941" s="239" t="s">
        <v>4783</v>
      </c>
      <c r="B941" s="164" t="s">
        <v>1351</v>
      </c>
      <c r="C941" s="154">
        <v>2</v>
      </c>
      <c r="D941" s="176">
        <v>15</v>
      </c>
      <c r="E941" s="178" t="s">
        <v>4800</v>
      </c>
      <c r="F941" s="218" t="s">
        <v>1352</v>
      </c>
      <c r="G941" s="359" t="s">
        <v>4768</v>
      </c>
    </row>
    <row r="942" spans="1:7">
      <c r="A942" s="239" t="s">
        <v>4783</v>
      </c>
      <c r="B942" s="164" t="s">
        <v>1351</v>
      </c>
      <c r="C942" s="154">
        <v>2</v>
      </c>
      <c r="D942" s="176">
        <v>18</v>
      </c>
      <c r="E942" s="178" t="s">
        <v>4800</v>
      </c>
      <c r="F942" s="218" t="s">
        <v>1341</v>
      </c>
      <c r="G942" s="359" t="s">
        <v>4768</v>
      </c>
    </row>
    <row r="943" spans="1:7">
      <c r="A943" s="239" t="s">
        <v>4783</v>
      </c>
      <c r="B943" s="164" t="s">
        <v>1351</v>
      </c>
      <c r="C943" s="154">
        <v>2</v>
      </c>
      <c r="D943" s="176">
        <v>19</v>
      </c>
      <c r="E943" s="178" t="s">
        <v>4802</v>
      </c>
      <c r="F943" s="218" t="s">
        <v>1342</v>
      </c>
      <c r="G943" s="359" t="s">
        <v>4768</v>
      </c>
    </row>
    <row r="944" spans="1:7" ht="15.75" thickBot="1">
      <c r="A944" s="226" t="s">
        <v>4783</v>
      </c>
      <c r="B944" s="168" t="s">
        <v>1351</v>
      </c>
      <c r="C944" s="183">
        <v>2</v>
      </c>
      <c r="D944" s="185">
        <v>22</v>
      </c>
      <c r="E944" s="186" t="s">
        <v>4800</v>
      </c>
      <c r="F944" s="219" t="s">
        <v>1353</v>
      </c>
      <c r="G944" s="359" t="s">
        <v>4768</v>
      </c>
    </row>
    <row r="945" spans="1:7" ht="14.45" customHeight="1">
      <c r="A945" s="238" t="s">
        <v>4783</v>
      </c>
      <c r="B945" s="165" t="s">
        <v>1406</v>
      </c>
      <c r="C945" s="182">
        <v>1</v>
      </c>
      <c r="D945" s="175">
        <v>1</v>
      </c>
      <c r="E945" s="177" t="s">
        <v>1408</v>
      </c>
      <c r="F945" s="229" t="s">
        <v>1409</v>
      </c>
      <c r="G945" s="359" t="s">
        <v>4768</v>
      </c>
    </row>
    <row r="946" spans="1:7">
      <c r="A946" s="239" t="s">
        <v>4783</v>
      </c>
      <c r="B946" s="164" t="s">
        <v>1406</v>
      </c>
      <c r="C946" s="154">
        <v>1</v>
      </c>
      <c r="D946" s="176">
        <v>5</v>
      </c>
      <c r="E946" s="178" t="s">
        <v>1411</v>
      </c>
      <c r="F946" s="218" t="s">
        <v>1412</v>
      </c>
      <c r="G946" s="359" t="s">
        <v>4768</v>
      </c>
    </row>
    <row r="947" spans="1:7">
      <c r="A947" s="239" t="s">
        <v>4783</v>
      </c>
      <c r="B947" s="164" t="s">
        <v>1406</v>
      </c>
      <c r="C947" s="154">
        <v>1</v>
      </c>
      <c r="D947" s="176">
        <v>7</v>
      </c>
      <c r="E947" s="178" t="s">
        <v>1414</v>
      </c>
      <c r="F947" s="218" t="s">
        <v>1415</v>
      </c>
      <c r="G947" s="359" t="s">
        <v>4768</v>
      </c>
    </row>
    <row r="948" spans="1:7">
      <c r="A948" s="239" t="s">
        <v>4783</v>
      </c>
      <c r="B948" s="164" t="s">
        <v>1406</v>
      </c>
      <c r="C948" s="154">
        <v>1</v>
      </c>
      <c r="D948" s="176">
        <v>8</v>
      </c>
      <c r="E948" s="178" t="s">
        <v>1417</v>
      </c>
      <c r="F948" s="218" t="s">
        <v>1418</v>
      </c>
      <c r="G948" s="359" t="s">
        <v>4768</v>
      </c>
    </row>
    <row r="949" spans="1:7">
      <c r="A949" s="239" t="s">
        <v>4783</v>
      </c>
      <c r="B949" s="164" t="s">
        <v>1406</v>
      </c>
      <c r="C949" s="154">
        <v>1</v>
      </c>
      <c r="D949" s="176">
        <v>9</v>
      </c>
      <c r="E949" s="178" t="s">
        <v>1426</v>
      </c>
      <c r="F949" s="218" t="s">
        <v>4803</v>
      </c>
      <c r="G949" s="359" t="s">
        <v>4768</v>
      </c>
    </row>
    <row r="950" spans="1:7">
      <c r="A950" s="239" t="s">
        <v>4783</v>
      </c>
      <c r="B950" s="164" t="s">
        <v>1406</v>
      </c>
      <c r="C950" s="154">
        <v>1</v>
      </c>
      <c r="D950" s="176">
        <v>10</v>
      </c>
      <c r="E950" s="178" t="s">
        <v>1428</v>
      </c>
      <c r="F950" s="218" t="s">
        <v>4804</v>
      </c>
      <c r="G950" s="359" t="s">
        <v>4768</v>
      </c>
    </row>
    <row r="951" spans="1:7">
      <c r="A951" s="239" t="s">
        <v>4783</v>
      </c>
      <c r="B951" s="164" t="s">
        <v>1406</v>
      </c>
      <c r="C951" s="154">
        <v>1</v>
      </c>
      <c r="D951" s="176">
        <v>11</v>
      </c>
      <c r="E951" s="178" t="s">
        <v>1430</v>
      </c>
      <c r="F951" s="218" t="s">
        <v>4805</v>
      </c>
      <c r="G951" s="359" t="s">
        <v>4768</v>
      </c>
    </row>
    <row r="952" spans="1:7">
      <c r="A952" s="239" t="s">
        <v>4783</v>
      </c>
      <c r="B952" s="164" t="s">
        <v>1406</v>
      </c>
      <c r="C952" s="154">
        <v>1</v>
      </c>
      <c r="D952" s="176">
        <v>12</v>
      </c>
      <c r="E952" s="178" t="s">
        <v>1432</v>
      </c>
      <c r="F952" s="218" t="s">
        <v>4806</v>
      </c>
      <c r="G952" s="359" t="s">
        <v>4768</v>
      </c>
    </row>
    <row r="953" spans="1:7" ht="15.75" thickBot="1">
      <c r="A953" s="226" t="s">
        <v>4783</v>
      </c>
      <c r="B953" s="168" t="s">
        <v>1406</v>
      </c>
      <c r="C953" s="183">
        <v>1</v>
      </c>
      <c r="D953" s="185">
        <v>13</v>
      </c>
      <c r="E953" s="186" t="s">
        <v>1421</v>
      </c>
      <c r="F953" s="219" t="s">
        <v>1422</v>
      </c>
      <c r="G953" s="359" t="s">
        <v>4768</v>
      </c>
    </row>
    <row r="954" spans="1:7" ht="14.45" customHeight="1">
      <c r="A954" s="238" t="s">
        <v>4783</v>
      </c>
      <c r="B954" s="165" t="s">
        <v>1327</v>
      </c>
      <c r="C954" s="182">
        <v>1</v>
      </c>
      <c r="D954" s="175">
        <v>1</v>
      </c>
      <c r="E954" s="177" t="s">
        <v>1328</v>
      </c>
      <c r="F954" s="229" t="s">
        <v>1328</v>
      </c>
      <c r="G954" s="359" t="s">
        <v>4768</v>
      </c>
    </row>
    <row r="955" spans="1:7">
      <c r="A955" s="239" t="s">
        <v>4783</v>
      </c>
      <c r="B955" s="164" t="s">
        <v>1327</v>
      </c>
      <c r="C955" s="154">
        <v>1</v>
      </c>
      <c r="D955" s="176">
        <v>2</v>
      </c>
      <c r="E955" s="178" t="s">
        <v>1334</v>
      </c>
      <c r="F955" s="218" t="s">
        <v>1334</v>
      </c>
      <c r="G955" s="359" t="s">
        <v>4768</v>
      </c>
    </row>
    <row r="956" spans="1:7">
      <c r="A956" s="239" t="s">
        <v>4783</v>
      </c>
      <c r="B956" s="164" t="s">
        <v>1327</v>
      </c>
      <c r="C956" s="154">
        <v>1</v>
      </c>
      <c r="D956" s="176">
        <v>3</v>
      </c>
      <c r="E956" s="178" t="s">
        <v>1329</v>
      </c>
      <c r="F956" s="218" t="s">
        <v>1329</v>
      </c>
      <c r="G956" s="359" t="s">
        <v>4768</v>
      </c>
    </row>
    <row r="957" spans="1:7">
      <c r="A957" s="239" t="s">
        <v>4783</v>
      </c>
      <c r="B957" s="164" t="s">
        <v>1327</v>
      </c>
      <c r="C957" s="154">
        <v>1</v>
      </c>
      <c r="D957" s="176">
        <v>4</v>
      </c>
      <c r="E957" s="178" t="s">
        <v>1332</v>
      </c>
      <c r="F957" s="218" t="s">
        <v>1332</v>
      </c>
      <c r="G957" s="359" t="s">
        <v>4768</v>
      </c>
    </row>
    <row r="958" spans="1:7" ht="15.75" thickBot="1">
      <c r="A958" s="226" t="s">
        <v>4783</v>
      </c>
      <c r="B958" s="168" t="s">
        <v>1327</v>
      </c>
      <c r="C958" s="183">
        <v>1</v>
      </c>
      <c r="D958" s="185">
        <v>5</v>
      </c>
      <c r="E958" s="186" t="s">
        <v>1318</v>
      </c>
      <c r="F958" s="219" t="s">
        <v>1330</v>
      </c>
      <c r="G958" s="359" t="s">
        <v>4768</v>
      </c>
    </row>
    <row r="959" spans="1:7" ht="14.45" customHeight="1">
      <c r="A959" s="238" t="s">
        <v>4783</v>
      </c>
      <c r="B959" s="170" t="s">
        <v>1314</v>
      </c>
      <c r="C959" s="182">
        <v>1</v>
      </c>
      <c r="D959" s="180">
        <v>20</v>
      </c>
      <c r="E959" s="179" t="s">
        <v>1315</v>
      </c>
      <c r="F959" s="232" t="s">
        <v>1316</v>
      </c>
      <c r="G959" s="359" t="s">
        <v>4768</v>
      </c>
    </row>
    <row r="960" spans="1:7">
      <c r="A960" s="239" t="s">
        <v>4783</v>
      </c>
      <c r="B960" s="167" t="s">
        <v>1314</v>
      </c>
      <c r="C960" s="154">
        <v>1</v>
      </c>
      <c r="D960" s="181">
        <v>51</v>
      </c>
      <c r="E960" s="206" t="s">
        <v>1317</v>
      </c>
      <c r="F960" s="233" t="s">
        <v>1317</v>
      </c>
      <c r="G960" s="359" t="s">
        <v>4768</v>
      </c>
    </row>
    <row r="961" spans="1:7">
      <c r="A961" s="239" t="s">
        <v>4783</v>
      </c>
      <c r="B961" s="167" t="s">
        <v>1314</v>
      </c>
      <c r="C961" s="154">
        <v>1</v>
      </c>
      <c r="D961" s="181">
        <v>71</v>
      </c>
      <c r="E961" s="206" t="s">
        <v>1318</v>
      </c>
      <c r="F961" s="233" t="s">
        <v>1308</v>
      </c>
      <c r="G961" s="359" t="s">
        <v>4768</v>
      </c>
    </row>
    <row r="962" spans="1:7">
      <c r="A962" s="239" t="s">
        <v>4783</v>
      </c>
      <c r="B962" s="167" t="s">
        <v>1314</v>
      </c>
      <c r="C962" s="154">
        <v>1</v>
      </c>
      <c r="D962" s="181">
        <v>80</v>
      </c>
      <c r="E962" s="206" t="s">
        <v>1319</v>
      </c>
      <c r="F962" s="233" t="s">
        <v>1320</v>
      </c>
      <c r="G962" s="359" t="s">
        <v>4768</v>
      </c>
    </row>
    <row r="963" spans="1:7">
      <c r="A963" s="239" t="s">
        <v>4783</v>
      </c>
      <c r="B963" s="167" t="s">
        <v>1314</v>
      </c>
      <c r="C963" s="154">
        <v>1</v>
      </c>
      <c r="D963" s="181">
        <v>1000</v>
      </c>
      <c r="E963" s="206" t="s">
        <v>1318</v>
      </c>
      <c r="F963" s="233" t="s">
        <v>1321</v>
      </c>
      <c r="G963" s="359" t="s">
        <v>4768</v>
      </c>
    </row>
    <row r="964" spans="1:7">
      <c r="A964" s="239" t="s">
        <v>4783</v>
      </c>
      <c r="B964" s="167" t="s">
        <v>1314</v>
      </c>
      <c r="C964" s="154">
        <v>1</v>
      </c>
      <c r="D964" s="181">
        <v>1001</v>
      </c>
      <c r="E964" s="206" t="s">
        <v>1322</v>
      </c>
      <c r="F964" s="233" t="s">
        <v>1322</v>
      </c>
      <c r="G964" s="359" t="s">
        <v>4768</v>
      </c>
    </row>
    <row r="965" spans="1:7">
      <c r="A965" s="239" t="s">
        <v>4783</v>
      </c>
      <c r="B965" s="167" t="s">
        <v>1314</v>
      </c>
      <c r="C965" s="154">
        <v>1</v>
      </c>
      <c r="D965" s="181">
        <v>1002</v>
      </c>
      <c r="E965" s="206" t="s">
        <v>1323</v>
      </c>
      <c r="F965" s="233" t="s">
        <v>1323</v>
      </c>
      <c r="G965" s="359" t="s">
        <v>4768</v>
      </c>
    </row>
    <row r="966" spans="1:7">
      <c r="A966" s="239" t="s">
        <v>4783</v>
      </c>
      <c r="B966" s="167" t="s">
        <v>1314</v>
      </c>
      <c r="C966" s="154">
        <v>1</v>
      </c>
      <c r="D966" s="181">
        <v>1003</v>
      </c>
      <c r="E966" s="206" t="s">
        <v>1318</v>
      </c>
      <c r="F966" s="233" t="s">
        <v>1324</v>
      </c>
      <c r="G966" s="359" t="s">
        <v>4768</v>
      </c>
    </row>
    <row r="967" spans="1:7">
      <c r="A967" s="239" t="s">
        <v>4783</v>
      </c>
      <c r="B967" s="167" t="s">
        <v>1314</v>
      </c>
      <c r="C967" s="154">
        <v>1</v>
      </c>
      <c r="D967" s="181">
        <v>1004</v>
      </c>
      <c r="E967" s="206" t="s">
        <v>1325</v>
      </c>
      <c r="F967" s="233" t="s">
        <v>1326</v>
      </c>
      <c r="G967" s="359" t="s">
        <v>4768</v>
      </c>
    </row>
    <row r="968" spans="1:7">
      <c r="A968" s="239" t="s">
        <v>4783</v>
      </c>
      <c r="B968" s="167" t="s">
        <v>1314</v>
      </c>
      <c r="C968" s="154">
        <v>1</v>
      </c>
      <c r="D968" s="181">
        <v>1005</v>
      </c>
      <c r="E968" s="206" t="s">
        <v>1318</v>
      </c>
      <c r="F968" s="233" t="s">
        <v>35</v>
      </c>
      <c r="G968" s="359" t="s">
        <v>4768</v>
      </c>
    </row>
    <row r="969" spans="1:7">
      <c r="A969" s="239" t="s">
        <v>4783</v>
      </c>
      <c r="B969" s="167" t="s">
        <v>1314</v>
      </c>
      <c r="C969" s="154">
        <v>1</v>
      </c>
      <c r="D969" s="181">
        <v>2001</v>
      </c>
      <c r="E969" s="206" t="s">
        <v>1318</v>
      </c>
      <c r="F969" s="233" t="s">
        <v>4807</v>
      </c>
      <c r="G969" s="359" t="s">
        <v>4768</v>
      </c>
    </row>
    <row r="970" spans="1:7">
      <c r="A970" s="239" t="s">
        <v>4783</v>
      </c>
      <c r="B970" s="167" t="s">
        <v>1314</v>
      </c>
      <c r="C970" s="154">
        <v>1</v>
      </c>
      <c r="D970" s="181">
        <v>2002</v>
      </c>
      <c r="E970" s="206" t="s">
        <v>1318</v>
      </c>
      <c r="F970" s="233" t="s">
        <v>32</v>
      </c>
      <c r="G970" s="359" t="s">
        <v>4768</v>
      </c>
    </row>
    <row r="971" spans="1:7">
      <c r="A971" s="239" t="s">
        <v>4783</v>
      </c>
      <c r="B971" s="167" t="s">
        <v>1314</v>
      </c>
      <c r="C971" s="154">
        <v>1</v>
      </c>
      <c r="D971" s="181">
        <v>2003</v>
      </c>
      <c r="E971" s="206" t="s">
        <v>1318</v>
      </c>
      <c r="F971" s="233" t="s">
        <v>4808</v>
      </c>
      <c r="G971" s="359" t="s">
        <v>4768</v>
      </c>
    </row>
    <row r="972" spans="1:7">
      <c r="A972" s="239" t="s">
        <v>4783</v>
      </c>
      <c r="B972" s="167" t="s">
        <v>1314</v>
      </c>
      <c r="C972" s="154">
        <v>1</v>
      </c>
      <c r="D972" s="181">
        <v>2004</v>
      </c>
      <c r="E972" s="206" t="s">
        <v>1318</v>
      </c>
      <c r="F972" s="233" t="s">
        <v>4809</v>
      </c>
      <c r="G972" s="359" t="s">
        <v>4768</v>
      </c>
    </row>
    <row r="973" spans="1:7">
      <c r="A973" s="239" t="s">
        <v>4783</v>
      </c>
      <c r="B973" s="167" t="s">
        <v>1314</v>
      </c>
      <c r="C973" s="154">
        <v>1</v>
      </c>
      <c r="D973" s="181">
        <v>2005</v>
      </c>
      <c r="E973" s="206" t="s">
        <v>1318</v>
      </c>
      <c r="F973" s="233" t="s">
        <v>4810</v>
      </c>
      <c r="G973" s="359" t="s">
        <v>4768</v>
      </c>
    </row>
    <row r="974" spans="1:7">
      <c r="A974" s="239" t="s">
        <v>4783</v>
      </c>
      <c r="B974" s="167" t="s">
        <v>1314</v>
      </c>
      <c r="C974" s="154">
        <v>1</v>
      </c>
      <c r="D974" s="181">
        <v>2006</v>
      </c>
      <c r="E974" s="206" t="s">
        <v>1318</v>
      </c>
      <c r="F974" s="233" t="s">
        <v>37</v>
      </c>
      <c r="G974" s="359" t="s">
        <v>4768</v>
      </c>
    </row>
    <row r="975" spans="1:7">
      <c r="A975" s="239" t="s">
        <v>4783</v>
      </c>
      <c r="B975" s="167" t="s">
        <v>1314</v>
      </c>
      <c r="C975" s="154">
        <v>1</v>
      </c>
      <c r="D975" s="181">
        <v>2007</v>
      </c>
      <c r="E975" s="206" t="s">
        <v>1318</v>
      </c>
      <c r="F975" s="233" t="s">
        <v>4811</v>
      </c>
      <c r="G975" s="359" t="s">
        <v>4768</v>
      </c>
    </row>
    <row r="976" spans="1:7">
      <c r="A976" s="239" t="s">
        <v>4783</v>
      </c>
      <c r="B976" s="167" t="s">
        <v>1314</v>
      </c>
      <c r="C976" s="154">
        <v>1</v>
      </c>
      <c r="D976" s="181">
        <v>2008</v>
      </c>
      <c r="E976" s="206" t="s">
        <v>1318</v>
      </c>
      <c r="F976" s="233" t="s">
        <v>4812</v>
      </c>
      <c r="G976" s="359" t="s">
        <v>4768</v>
      </c>
    </row>
    <row r="977" spans="1:7">
      <c r="A977" s="239" t="s">
        <v>4783</v>
      </c>
      <c r="B977" s="167" t="s">
        <v>1314</v>
      </c>
      <c r="C977" s="154">
        <v>1</v>
      </c>
      <c r="D977" s="181">
        <v>2009</v>
      </c>
      <c r="E977" s="206" t="s">
        <v>1318</v>
      </c>
      <c r="F977" s="233" t="s">
        <v>4813</v>
      </c>
      <c r="G977" s="359" t="s">
        <v>4768</v>
      </c>
    </row>
    <row r="978" spans="1:7">
      <c r="A978" s="239" t="s">
        <v>4783</v>
      </c>
      <c r="B978" s="167" t="s">
        <v>1314</v>
      </c>
      <c r="C978" s="154">
        <v>1</v>
      </c>
      <c r="D978" s="181">
        <v>2011</v>
      </c>
      <c r="E978" s="206" t="s">
        <v>1318</v>
      </c>
      <c r="F978" s="233" t="s">
        <v>4814</v>
      </c>
      <c r="G978" s="359" t="s">
        <v>4768</v>
      </c>
    </row>
    <row r="979" spans="1:7">
      <c r="A979" s="239" t="s">
        <v>4783</v>
      </c>
      <c r="B979" s="167" t="s">
        <v>1314</v>
      </c>
      <c r="C979" s="154">
        <v>1</v>
      </c>
      <c r="D979" s="181">
        <v>2012</v>
      </c>
      <c r="E979" s="206" t="s">
        <v>1318</v>
      </c>
      <c r="F979" s="233" t="s">
        <v>4815</v>
      </c>
      <c r="G979" s="359" t="s">
        <v>4768</v>
      </c>
    </row>
    <row r="980" spans="1:7">
      <c r="A980" s="239" t="s">
        <v>4783</v>
      </c>
      <c r="B980" s="167" t="s">
        <v>1314</v>
      </c>
      <c r="C980" s="154">
        <v>1</v>
      </c>
      <c r="D980" s="181">
        <v>2013</v>
      </c>
      <c r="E980" s="206" t="s">
        <v>1318</v>
      </c>
      <c r="F980" s="233" t="s">
        <v>4816</v>
      </c>
      <c r="G980" s="359" t="s">
        <v>4768</v>
      </c>
    </row>
    <row r="981" spans="1:7">
      <c r="A981" s="239" t="s">
        <v>4783</v>
      </c>
      <c r="B981" s="167" t="s">
        <v>1314</v>
      </c>
      <c r="C981" s="154">
        <v>1</v>
      </c>
      <c r="D981" s="181">
        <v>2014</v>
      </c>
      <c r="E981" s="206" t="s">
        <v>1318</v>
      </c>
      <c r="F981" s="233" t="s">
        <v>4817</v>
      </c>
      <c r="G981" s="359" t="s">
        <v>4768</v>
      </c>
    </row>
    <row r="982" spans="1:7">
      <c r="A982" s="239" t="s">
        <v>4783</v>
      </c>
      <c r="B982" s="167" t="s">
        <v>1314</v>
      </c>
      <c r="C982" s="154">
        <v>1</v>
      </c>
      <c r="D982" s="181">
        <v>2015</v>
      </c>
      <c r="E982" s="206" t="s">
        <v>1318</v>
      </c>
      <c r="F982" s="233" t="s">
        <v>4818</v>
      </c>
      <c r="G982" s="359" t="s">
        <v>4768</v>
      </c>
    </row>
    <row r="983" spans="1:7">
      <c r="A983" s="239" t="s">
        <v>4783</v>
      </c>
      <c r="B983" s="167" t="s">
        <v>1314</v>
      </c>
      <c r="C983" s="154">
        <v>1</v>
      </c>
      <c r="D983" s="181">
        <v>2016</v>
      </c>
      <c r="E983" s="206" t="s">
        <v>1318</v>
      </c>
      <c r="F983" s="233" t="s">
        <v>4819</v>
      </c>
      <c r="G983" s="359" t="s">
        <v>4768</v>
      </c>
    </row>
    <row r="984" spans="1:7">
      <c r="A984" s="239" t="s">
        <v>4783</v>
      </c>
      <c r="B984" s="167" t="s">
        <v>1314</v>
      </c>
      <c r="C984" s="154">
        <v>1</v>
      </c>
      <c r="D984" s="181">
        <v>2017</v>
      </c>
      <c r="E984" s="206" t="s">
        <v>1318</v>
      </c>
      <c r="F984" s="233" t="s">
        <v>2670</v>
      </c>
      <c r="G984" s="359" t="s">
        <v>4768</v>
      </c>
    </row>
    <row r="985" spans="1:7">
      <c r="A985" s="239" t="s">
        <v>4783</v>
      </c>
      <c r="B985" s="167" t="s">
        <v>1314</v>
      </c>
      <c r="C985" s="154">
        <v>1</v>
      </c>
      <c r="D985" s="181">
        <v>2018</v>
      </c>
      <c r="E985" s="206" t="s">
        <v>1318</v>
      </c>
      <c r="F985" s="233" t="s">
        <v>4820</v>
      </c>
      <c r="G985" s="359" t="s">
        <v>4768</v>
      </c>
    </row>
    <row r="986" spans="1:7">
      <c r="A986" s="239" t="s">
        <v>4783</v>
      </c>
      <c r="B986" s="167" t="s">
        <v>1314</v>
      </c>
      <c r="C986" s="154">
        <v>1</v>
      </c>
      <c r="D986" s="181">
        <v>2019</v>
      </c>
      <c r="E986" s="206" t="s">
        <v>1318</v>
      </c>
      <c r="F986" s="233" t="s">
        <v>4821</v>
      </c>
      <c r="G986" s="359" t="s">
        <v>4768</v>
      </c>
    </row>
    <row r="987" spans="1:7" ht="15.75" thickBot="1">
      <c r="A987" s="226" t="s">
        <v>4783</v>
      </c>
      <c r="B987" s="174" t="s">
        <v>1314</v>
      </c>
      <c r="C987" s="183">
        <v>1</v>
      </c>
      <c r="D987" s="193">
        <v>2020</v>
      </c>
      <c r="E987" s="207" t="s">
        <v>1318</v>
      </c>
      <c r="F987" s="234" t="s">
        <v>1318</v>
      </c>
      <c r="G987" s="359" t="s">
        <v>4768</v>
      </c>
    </row>
    <row r="988" spans="1:7" ht="14.45" customHeight="1">
      <c r="A988" s="238" t="s">
        <v>4783</v>
      </c>
      <c r="B988" s="195" t="s">
        <v>1347</v>
      </c>
      <c r="C988" s="182">
        <v>1</v>
      </c>
      <c r="D988" s="175">
        <v>1</v>
      </c>
      <c r="E988" s="177" t="s">
        <v>1348</v>
      </c>
      <c r="F988" s="229" t="s">
        <v>1348</v>
      </c>
      <c r="G988" s="359" t="s">
        <v>4768</v>
      </c>
    </row>
    <row r="989" spans="1:7">
      <c r="A989" s="239" t="s">
        <v>4783</v>
      </c>
      <c r="B989" s="187" t="s">
        <v>1347</v>
      </c>
      <c r="C989" s="154">
        <v>1</v>
      </c>
      <c r="D989" s="176">
        <v>2</v>
      </c>
      <c r="E989" s="178" t="s">
        <v>1349</v>
      </c>
      <c r="F989" s="218" t="s">
        <v>1349</v>
      </c>
      <c r="G989" s="359" t="s">
        <v>4768</v>
      </c>
    </row>
    <row r="990" spans="1:7" ht="15.75" thickBot="1">
      <c r="A990" s="226" t="s">
        <v>4783</v>
      </c>
      <c r="B990" s="188" t="s">
        <v>1347</v>
      </c>
      <c r="C990" s="183">
        <v>1</v>
      </c>
      <c r="D990" s="185">
        <v>3</v>
      </c>
      <c r="E990" s="186" t="s">
        <v>1350</v>
      </c>
      <c r="F990" s="219" t="s">
        <v>1350</v>
      </c>
      <c r="G990" s="359" t="s">
        <v>4768</v>
      </c>
    </row>
    <row r="991" spans="1:7" ht="14.45" customHeight="1">
      <c r="A991" s="238" t="s">
        <v>4783</v>
      </c>
      <c r="B991" s="165" t="s">
        <v>1347</v>
      </c>
      <c r="C991" s="182">
        <v>2</v>
      </c>
      <c r="D991" s="175">
        <v>1</v>
      </c>
      <c r="E991" s="177" t="s">
        <v>4822</v>
      </c>
      <c r="F991" s="229" t="s">
        <v>1348</v>
      </c>
      <c r="G991" s="359" t="s">
        <v>4768</v>
      </c>
    </row>
    <row r="992" spans="1:7">
      <c r="A992" s="239" t="s">
        <v>4783</v>
      </c>
      <c r="B992" s="164" t="s">
        <v>1347</v>
      </c>
      <c r="C992" s="154">
        <v>2</v>
      </c>
      <c r="D992" s="176">
        <v>2</v>
      </c>
      <c r="E992" s="178" t="s">
        <v>4823</v>
      </c>
      <c r="F992" s="218" t="s">
        <v>1349</v>
      </c>
      <c r="G992" s="359" t="s">
        <v>4768</v>
      </c>
    </row>
    <row r="993" spans="1:7" ht="15.75" thickBot="1">
      <c r="A993" s="226" t="s">
        <v>4783</v>
      </c>
      <c r="B993" s="168" t="s">
        <v>1347</v>
      </c>
      <c r="C993" s="183">
        <v>2</v>
      </c>
      <c r="D993" s="185">
        <v>3</v>
      </c>
      <c r="E993" s="186" t="s">
        <v>146</v>
      </c>
      <c r="F993" s="219" t="s">
        <v>1350</v>
      </c>
      <c r="G993" s="359" t="s">
        <v>4768</v>
      </c>
    </row>
    <row r="994" spans="1:7" ht="14.45" customHeight="1">
      <c r="A994" s="238" t="s">
        <v>4797</v>
      </c>
      <c r="B994" s="170" t="s">
        <v>1294</v>
      </c>
      <c r="C994" s="182">
        <v>1</v>
      </c>
      <c r="D994" s="209">
        <v>2</v>
      </c>
      <c r="E994" s="210" t="s">
        <v>1295</v>
      </c>
      <c r="F994" s="235" t="s">
        <v>1295</v>
      </c>
      <c r="G994" s="359" t="s">
        <v>4768</v>
      </c>
    </row>
    <row r="995" spans="1:7">
      <c r="A995" s="239" t="s">
        <v>4797</v>
      </c>
      <c r="B995" s="167" t="s">
        <v>1294</v>
      </c>
      <c r="C995" s="154">
        <v>1</v>
      </c>
      <c r="D995" s="211">
        <v>3</v>
      </c>
      <c r="E995" s="212" t="s">
        <v>1296</v>
      </c>
      <c r="F995" s="236" t="s">
        <v>1297</v>
      </c>
      <c r="G995" s="359" t="s">
        <v>4768</v>
      </c>
    </row>
    <row r="996" spans="1:7">
      <c r="A996" s="239" t="s">
        <v>4797</v>
      </c>
      <c r="B996" s="167" t="s">
        <v>1294</v>
      </c>
      <c r="C996" s="154">
        <v>1</v>
      </c>
      <c r="D996" s="211">
        <v>4</v>
      </c>
      <c r="E996" s="212" t="s">
        <v>1298</v>
      </c>
      <c r="F996" s="236" t="s">
        <v>1298</v>
      </c>
      <c r="G996" s="359" t="s">
        <v>4768</v>
      </c>
    </row>
    <row r="997" spans="1:7">
      <c r="A997" s="239" t="s">
        <v>4797</v>
      </c>
      <c r="B997" s="167" t="s">
        <v>1294</v>
      </c>
      <c r="C997" s="154">
        <v>1</v>
      </c>
      <c r="D997" s="211">
        <v>5</v>
      </c>
      <c r="E997" s="212" t="s">
        <v>1299</v>
      </c>
      <c r="F997" s="236" t="s">
        <v>1299</v>
      </c>
      <c r="G997" s="359" t="s">
        <v>4768</v>
      </c>
    </row>
    <row r="998" spans="1:7">
      <c r="A998" s="239" t="s">
        <v>4797</v>
      </c>
      <c r="B998" s="167" t="s">
        <v>1294</v>
      </c>
      <c r="C998" s="154">
        <v>1</v>
      </c>
      <c r="D998" s="211">
        <v>7</v>
      </c>
      <c r="E998" s="212" t="s">
        <v>1300</v>
      </c>
      <c r="F998" s="236" t="s">
        <v>1300</v>
      </c>
      <c r="G998" s="359" t="s">
        <v>4768</v>
      </c>
    </row>
    <row r="999" spans="1:7">
      <c r="A999" s="239" t="s">
        <v>4797</v>
      </c>
      <c r="B999" s="167" t="s">
        <v>1294</v>
      </c>
      <c r="C999" s="154">
        <v>1</v>
      </c>
      <c r="D999" s="211">
        <v>8</v>
      </c>
      <c r="E999" s="212" t="s">
        <v>1301</v>
      </c>
      <c r="F999" s="236" t="s">
        <v>1301</v>
      </c>
      <c r="G999" s="359" t="s">
        <v>4768</v>
      </c>
    </row>
    <row r="1000" spans="1:7">
      <c r="A1000" s="239" t="s">
        <v>4797</v>
      </c>
      <c r="B1000" s="167" t="s">
        <v>1294</v>
      </c>
      <c r="C1000" s="154">
        <v>1</v>
      </c>
      <c r="D1000" s="211">
        <v>9</v>
      </c>
      <c r="E1000" s="212" t="s">
        <v>1302</v>
      </c>
      <c r="F1000" s="236" t="s">
        <v>1302</v>
      </c>
      <c r="G1000" s="359" t="s">
        <v>4768</v>
      </c>
    </row>
    <row r="1001" spans="1:7">
      <c r="A1001" s="239" t="s">
        <v>4797</v>
      </c>
      <c r="B1001" s="167" t="s">
        <v>1294</v>
      </c>
      <c r="C1001" s="154">
        <v>1</v>
      </c>
      <c r="D1001" s="211">
        <v>10</v>
      </c>
      <c r="E1001" s="212" t="s">
        <v>1303</v>
      </c>
      <c r="F1001" s="236" t="s">
        <v>1303</v>
      </c>
      <c r="G1001" s="359" t="s">
        <v>4768</v>
      </c>
    </row>
    <row r="1002" spans="1:7">
      <c r="A1002" s="239" t="s">
        <v>4797</v>
      </c>
      <c r="B1002" s="167" t="s">
        <v>1294</v>
      </c>
      <c r="C1002" s="154">
        <v>1</v>
      </c>
      <c r="D1002" s="211">
        <v>12</v>
      </c>
      <c r="E1002" s="212" t="s">
        <v>1304</v>
      </c>
      <c r="F1002" s="236" t="s">
        <v>1304</v>
      </c>
      <c r="G1002" s="359" t="s">
        <v>4768</v>
      </c>
    </row>
    <row r="1003" spans="1:7">
      <c r="A1003" s="239" t="s">
        <v>4797</v>
      </c>
      <c r="B1003" s="167" t="s">
        <v>1294</v>
      </c>
      <c r="C1003" s="154">
        <v>1</v>
      </c>
      <c r="D1003" s="211">
        <v>13</v>
      </c>
      <c r="E1003" s="212" t="s">
        <v>1305</v>
      </c>
      <c r="F1003" s="236" t="s">
        <v>1305</v>
      </c>
      <c r="G1003" s="359" t="s">
        <v>4768</v>
      </c>
    </row>
    <row r="1004" spans="1:7">
      <c r="A1004" s="239" t="s">
        <v>4797</v>
      </c>
      <c r="B1004" s="167" t="s">
        <v>1294</v>
      </c>
      <c r="C1004" s="154">
        <v>1</v>
      </c>
      <c r="D1004" s="211">
        <v>15</v>
      </c>
      <c r="E1004" s="212" t="s">
        <v>1306</v>
      </c>
      <c r="F1004" s="236" t="s">
        <v>1306</v>
      </c>
      <c r="G1004" s="359" t="s">
        <v>4768</v>
      </c>
    </row>
    <row r="1005" spans="1:7">
      <c r="A1005" s="239" t="s">
        <v>4797</v>
      </c>
      <c r="B1005" s="167" t="s">
        <v>1294</v>
      </c>
      <c r="C1005" s="154">
        <v>1</v>
      </c>
      <c r="D1005" s="211">
        <v>16</v>
      </c>
      <c r="E1005" s="212" t="s">
        <v>1307</v>
      </c>
      <c r="F1005" s="236" t="s">
        <v>1307</v>
      </c>
      <c r="G1005" s="359" t="s">
        <v>4768</v>
      </c>
    </row>
    <row r="1006" spans="1:7">
      <c r="A1006" s="239" t="s">
        <v>4797</v>
      </c>
      <c r="B1006" s="167" t="s">
        <v>1294</v>
      </c>
      <c r="C1006" s="154">
        <v>1</v>
      </c>
      <c r="D1006" s="211">
        <v>17</v>
      </c>
      <c r="E1006" s="212" t="s">
        <v>1308</v>
      </c>
      <c r="F1006" s="236" t="s">
        <v>1308</v>
      </c>
      <c r="G1006" s="359" t="s">
        <v>4768</v>
      </c>
    </row>
    <row r="1007" spans="1:7">
      <c r="A1007" s="239" t="s">
        <v>4797</v>
      </c>
      <c r="B1007" s="167" t="s">
        <v>1294</v>
      </c>
      <c r="C1007" s="154">
        <v>1</v>
      </c>
      <c r="D1007" s="211">
        <v>18</v>
      </c>
      <c r="E1007" s="212" t="s">
        <v>1309</v>
      </c>
      <c r="F1007" s="236" t="s">
        <v>1310</v>
      </c>
      <c r="G1007" s="359" t="s">
        <v>4768</v>
      </c>
    </row>
    <row r="1008" spans="1:7">
      <c r="A1008" s="239" t="s">
        <v>4797</v>
      </c>
      <c r="B1008" s="167" t="s">
        <v>1294</v>
      </c>
      <c r="C1008" s="154">
        <v>1</v>
      </c>
      <c r="D1008" s="211">
        <v>51</v>
      </c>
      <c r="E1008" s="212" t="s">
        <v>1311</v>
      </c>
      <c r="F1008" s="236" t="s">
        <v>4824</v>
      </c>
      <c r="G1008" s="359" t="s">
        <v>4768</v>
      </c>
    </row>
    <row r="1009" spans="1:7">
      <c r="A1009" s="239" t="s">
        <v>4797</v>
      </c>
      <c r="B1009" s="167" t="s">
        <v>1294</v>
      </c>
      <c r="C1009" s="154">
        <v>1</v>
      </c>
      <c r="D1009" s="211">
        <v>52</v>
      </c>
      <c r="E1009" s="212" t="s">
        <v>1313</v>
      </c>
      <c r="F1009" s="236" t="s">
        <v>1313</v>
      </c>
      <c r="G1009" s="359" t="s">
        <v>4768</v>
      </c>
    </row>
    <row r="1010" spans="1:7" ht="15.75" thickBot="1">
      <c r="A1010" s="226" t="s">
        <v>4797</v>
      </c>
      <c r="B1010" s="174" t="s">
        <v>1294</v>
      </c>
      <c r="C1010" s="183">
        <v>1</v>
      </c>
      <c r="D1010" s="213">
        <v>53</v>
      </c>
      <c r="E1010" s="208" t="s">
        <v>1312</v>
      </c>
      <c r="F1010" s="230" t="s">
        <v>1312</v>
      </c>
      <c r="G1010" s="359" t="s">
        <v>4768</v>
      </c>
    </row>
    <row r="1011" spans="1:7" ht="14.45" customHeight="1">
      <c r="A1011" s="238" t="s">
        <v>4797</v>
      </c>
      <c r="B1011" s="165" t="s">
        <v>1449</v>
      </c>
      <c r="C1011" s="182">
        <v>1</v>
      </c>
      <c r="D1011" s="175">
        <v>1</v>
      </c>
      <c r="E1011" s="177" t="s">
        <v>1450</v>
      </c>
      <c r="F1011" s="229" t="s">
        <v>1450</v>
      </c>
      <c r="G1011" s="359" t="s">
        <v>4768</v>
      </c>
    </row>
    <row r="1012" spans="1:7">
      <c r="A1012" s="239" t="s">
        <v>4797</v>
      </c>
      <c r="B1012" s="164" t="s">
        <v>1449</v>
      </c>
      <c r="C1012" s="154">
        <v>1</v>
      </c>
      <c r="D1012" s="176">
        <v>2</v>
      </c>
      <c r="E1012" s="178" t="s">
        <v>1453</v>
      </c>
      <c r="F1012" s="218" t="s">
        <v>1453</v>
      </c>
      <c r="G1012" s="359" t="s">
        <v>4768</v>
      </c>
    </row>
    <row r="1013" spans="1:7">
      <c r="A1013" s="239" t="s">
        <v>4797</v>
      </c>
      <c r="B1013" s="164" t="s">
        <v>1449</v>
      </c>
      <c r="C1013" s="154">
        <v>1</v>
      </c>
      <c r="D1013" s="176">
        <v>3</v>
      </c>
      <c r="E1013" s="178" t="s">
        <v>1451</v>
      </c>
      <c r="F1013" s="218" t="s">
        <v>1451</v>
      </c>
      <c r="G1013" s="359" t="s">
        <v>4768</v>
      </c>
    </row>
    <row r="1014" spans="1:7">
      <c r="A1014" s="239" t="s">
        <v>4797</v>
      </c>
      <c r="B1014" s="164" t="s">
        <v>1449</v>
      </c>
      <c r="C1014" s="154">
        <v>1</v>
      </c>
      <c r="D1014" s="176">
        <v>4</v>
      </c>
      <c r="E1014" s="178" t="s">
        <v>1452</v>
      </c>
      <c r="F1014" s="218" t="s">
        <v>1452</v>
      </c>
      <c r="G1014" s="359" t="s">
        <v>4768</v>
      </c>
    </row>
    <row r="1015" spans="1:7">
      <c r="A1015" s="239" t="s">
        <v>4797</v>
      </c>
      <c r="B1015" s="164" t="s">
        <v>1449</v>
      </c>
      <c r="C1015" s="154">
        <v>1</v>
      </c>
      <c r="D1015" s="176">
        <v>5</v>
      </c>
      <c r="E1015" s="178" t="s">
        <v>1454</v>
      </c>
      <c r="F1015" s="218" t="s">
        <v>4825</v>
      </c>
      <c r="G1015" s="359" t="s">
        <v>4768</v>
      </c>
    </row>
    <row r="1016" spans="1:7" ht="15.75" thickBot="1">
      <c r="A1016" s="226" t="s">
        <v>4797</v>
      </c>
      <c r="B1016" s="168" t="s">
        <v>1449</v>
      </c>
      <c r="C1016" s="183">
        <v>1</v>
      </c>
      <c r="D1016" s="185">
        <v>11111111111</v>
      </c>
      <c r="E1016" s="186" t="s">
        <v>146</v>
      </c>
      <c r="F1016" s="219" t="s">
        <v>1396</v>
      </c>
      <c r="G1016" s="359" t="s">
        <v>4768</v>
      </c>
    </row>
    <row r="1017" spans="1:7" ht="14.45" customHeight="1">
      <c r="A1017" s="238" t="s">
        <v>4783</v>
      </c>
      <c r="B1017" s="165" t="s">
        <v>4764</v>
      </c>
      <c r="C1017" s="182">
        <v>1</v>
      </c>
      <c r="D1017" s="175">
        <v>1</v>
      </c>
      <c r="E1017" s="177" t="s">
        <v>4826</v>
      </c>
      <c r="F1017" s="229" t="s">
        <v>4765</v>
      </c>
      <c r="G1017" s="359" t="s">
        <v>4768</v>
      </c>
    </row>
    <row r="1018" spans="1:7">
      <c r="A1018" s="239" t="s">
        <v>4783</v>
      </c>
      <c r="B1018" s="164" t="s">
        <v>4764</v>
      </c>
      <c r="C1018" s="154">
        <v>1</v>
      </c>
      <c r="D1018" s="176">
        <v>2</v>
      </c>
      <c r="E1018" s="178" t="s">
        <v>4827</v>
      </c>
      <c r="F1018" s="218" t="s">
        <v>4766</v>
      </c>
      <c r="G1018" s="359" t="s">
        <v>4768</v>
      </c>
    </row>
    <row r="1019" spans="1:7" ht="15.75" thickBot="1">
      <c r="A1019" s="237" t="s">
        <v>4783</v>
      </c>
      <c r="B1019" s="166" t="s">
        <v>4764</v>
      </c>
      <c r="C1019" s="184">
        <v>1</v>
      </c>
      <c r="D1019" s="189">
        <v>11111111111</v>
      </c>
      <c r="E1019" s="190" t="s">
        <v>146</v>
      </c>
      <c r="F1019" s="220" t="s">
        <v>146</v>
      </c>
      <c r="G1019" s="359" t="s">
        <v>4768</v>
      </c>
    </row>
    <row r="1020" spans="1:7" ht="14.45" customHeight="1">
      <c r="A1020" s="238" t="s">
        <v>4783</v>
      </c>
      <c r="B1020" s="165" t="s">
        <v>4828</v>
      </c>
      <c r="C1020" s="182">
        <v>1</v>
      </c>
      <c r="D1020" s="175">
        <v>1</v>
      </c>
      <c r="E1020" s="177" t="s">
        <v>4829</v>
      </c>
      <c r="F1020" s="229" t="s">
        <v>1458</v>
      </c>
      <c r="G1020" s="359" t="s">
        <v>4768</v>
      </c>
    </row>
    <row r="1021" spans="1:7" ht="15.75" thickBot="1">
      <c r="A1021" s="237" t="s">
        <v>4783</v>
      </c>
      <c r="B1021" s="166" t="s">
        <v>4828</v>
      </c>
      <c r="C1021" s="184">
        <v>1</v>
      </c>
      <c r="D1021" s="189">
        <v>2</v>
      </c>
      <c r="E1021" s="190" t="s">
        <v>4830</v>
      </c>
      <c r="F1021" s="220" t="s">
        <v>4831</v>
      </c>
      <c r="G1021" s="359" t="s">
        <v>4768</v>
      </c>
    </row>
  </sheetData>
  <autoFilter ref="A1:F1019"/>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35"/>
  <sheetViews>
    <sheetView workbookViewId="0"/>
  </sheetViews>
  <sheetFormatPr defaultRowHeight="15"/>
  <cols>
    <col min="1" max="1" width="12.85546875" bestFit="1" customWidth="1"/>
    <col min="2" max="2" width="25.42578125" bestFit="1" customWidth="1"/>
    <col min="3" max="3" width="17.85546875" bestFit="1" customWidth="1"/>
    <col min="4" max="4" width="25.5703125" bestFit="1" customWidth="1"/>
    <col min="5" max="5" width="19.42578125" bestFit="1" customWidth="1"/>
  </cols>
  <sheetData>
    <row r="1" spans="1:5">
      <c r="A1" s="365" t="s">
        <v>4832</v>
      </c>
      <c r="B1" s="366" t="s">
        <v>4833</v>
      </c>
      <c r="C1" s="367" t="s">
        <v>4777</v>
      </c>
      <c r="D1" s="368" t="s">
        <v>4778</v>
      </c>
      <c r="E1" s="368" t="s">
        <v>4779</v>
      </c>
    </row>
    <row r="2" spans="1:5" ht="15" customHeight="1">
      <c r="A2" s="169" t="s">
        <v>4834</v>
      </c>
      <c r="B2" s="165" t="s">
        <v>20</v>
      </c>
      <c r="C2" s="165" t="s">
        <v>4783</v>
      </c>
      <c r="D2" s="170" t="s">
        <v>1360</v>
      </c>
      <c r="E2" s="244">
        <v>1</v>
      </c>
    </row>
    <row r="3" spans="1:5">
      <c r="A3" s="171" t="s">
        <v>4834</v>
      </c>
      <c r="B3" s="164" t="s">
        <v>32</v>
      </c>
      <c r="C3" s="164" t="s">
        <v>4783</v>
      </c>
      <c r="D3" s="164" t="s">
        <v>1360</v>
      </c>
      <c r="E3" s="245">
        <v>2</v>
      </c>
    </row>
    <row r="4" spans="1:5">
      <c r="A4" s="171" t="s">
        <v>4834</v>
      </c>
      <c r="B4" s="164" t="s">
        <v>26</v>
      </c>
      <c r="C4" s="164" t="s">
        <v>4784</v>
      </c>
      <c r="D4" s="164" t="s">
        <v>3033</v>
      </c>
      <c r="E4" s="245">
        <v>1</v>
      </c>
    </row>
    <row r="5" spans="1:5">
      <c r="A5" s="171" t="s">
        <v>4834</v>
      </c>
      <c r="B5" s="164" t="s">
        <v>20</v>
      </c>
      <c r="C5" s="164" t="s">
        <v>4784</v>
      </c>
      <c r="D5" s="164" t="s">
        <v>1448</v>
      </c>
      <c r="E5" s="221">
        <v>1</v>
      </c>
    </row>
    <row r="6" spans="1:5">
      <c r="A6" s="171" t="s">
        <v>4834</v>
      </c>
      <c r="B6" s="164" t="s">
        <v>26</v>
      </c>
      <c r="C6" s="164" t="s">
        <v>4784</v>
      </c>
      <c r="D6" s="164" t="s">
        <v>1448</v>
      </c>
      <c r="E6" s="221">
        <v>1</v>
      </c>
    </row>
    <row r="7" spans="1:5">
      <c r="A7" s="171" t="s">
        <v>4834</v>
      </c>
      <c r="B7" s="164" t="s">
        <v>20</v>
      </c>
      <c r="C7" s="164" t="s">
        <v>4783</v>
      </c>
      <c r="D7" s="187" t="s">
        <v>1354</v>
      </c>
      <c r="E7" s="245">
        <v>1</v>
      </c>
    </row>
    <row r="8" spans="1:5">
      <c r="A8" s="171" t="s">
        <v>4834</v>
      </c>
      <c r="B8" s="164" t="s">
        <v>26</v>
      </c>
      <c r="C8" s="164" t="s">
        <v>4783</v>
      </c>
      <c r="D8" s="187" t="s">
        <v>1354</v>
      </c>
      <c r="E8" s="245">
        <v>1</v>
      </c>
    </row>
    <row r="9" spans="1:5">
      <c r="A9" s="171" t="s">
        <v>4834</v>
      </c>
      <c r="B9" s="164" t="s">
        <v>35</v>
      </c>
      <c r="C9" s="164" t="s">
        <v>4783</v>
      </c>
      <c r="D9" s="164" t="s">
        <v>1462</v>
      </c>
      <c r="E9" s="245">
        <v>1</v>
      </c>
    </row>
    <row r="10" spans="1:5">
      <c r="A10" s="171" t="s">
        <v>4834</v>
      </c>
      <c r="B10" s="164" t="s">
        <v>37</v>
      </c>
      <c r="C10" s="164" t="s">
        <v>4783</v>
      </c>
      <c r="D10" s="164" t="s">
        <v>1462</v>
      </c>
      <c r="E10" s="245">
        <v>1</v>
      </c>
    </row>
    <row r="11" spans="1:5">
      <c r="A11" s="196" t="s">
        <v>4834</v>
      </c>
      <c r="B11" s="164" t="s">
        <v>35</v>
      </c>
      <c r="C11" s="164" t="s">
        <v>4783</v>
      </c>
      <c r="D11" s="164" t="s">
        <v>4785</v>
      </c>
      <c r="E11" s="245">
        <v>1</v>
      </c>
    </row>
    <row r="12" spans="1:5">
      <c r="A12" s="171" t="s">
        <v>4834</v>
      </c>
      <c r="B12" s="164" t="s">
        <v>26</v>
      </c>
      <c r="C12" s="164" t="s">
        <v>4784</v>
      </c>
      <c r="D12" s="164" t="s">
        <v>3027</v>
      </c>
      <c r="E12" s="245">
        <v>1</v>
      </c>
    </row>
    <row r="13" spans="1:5">
      <c r="A13" s="171" t="s">
        <v>4834</v>
      </c>
      <c r="B13" s="164" t="s">
        <v>20</v>
      </c>
      <c r="C13" s="164" t="s">
        <v>4783</v>
      </c>
      <c r="D13" s="164" t="s">
        <v>1439</v>
      </c>
      <c r="E13" s="245">
        <v>1</v>
      </c>
    </row>
    <row r="14" spans="1:5">
      <c r="A14" s="171" t="s">
        <v>4834</v>
      </c>
      <c r="B14" s="164" t="s">
        <v>26</v>
      </c>
      <c r="C14" s="164" t="s">
        <v>4783</v>
      </c>
      <c r="D14" s="164" t="s">
        <v>1439</v>
      </c>
      <c r="E14" s="245">
        <v>1</v>
      </c>
    </row>
    <row r="15" spans="1:5">
      <c r="A15" s="171" t="s">
        <v>4834</v>
      </c>
      <c r="B15" s="164" t="s">
        <v>20</v>
      </c>
      <c r="C15" s="164" t="s">
        <v>4783</v>
      </c>
      <c r="D15" s="164" t="s">
        <v>1403</v>
      </c>
      <c r="E15" s="245">
        <v>1</v>
      </c>
    </row>
    <row r="16" spans="1:5">
      <c r="A16" s="171" t="s">
        <v>4834</v>
      </c>
      <c r="B16" s="164" t="s">
        <v>26</v>
      </c>
      <c r="C16" s="164" t="s">
        <v>4783</v>
      </c>
      <c r="D16" s="164" t="s">
        <v>1403</v>
      </c>
      <c r="E16" s="245">
        <v>1</v>
      </c>
    </row>
    <row r="17" spans="1:5">
      <c r="A17" s="171" t="s">
        <v>4834</v>
      </c>
      <c r="B17" s="164" t="s">
        <v>20</v>
      </c>
      <c r="C17" s="164" t="s">
        <v>4783</v>
      </c>
      <c r="D17" s="164" t="s">
        <v>1397</v>
      </c>
      <c r="E17" s="245">
        <v>1</v>
      </c>
    </row>
    <row r="18" spans="1:5">
      <c r="A18" s="171" t="s">
        <v>4834</v>
      </c>
      <c r="B18" s="164" t="s">
        <v>26</v>
      </c>
      <c r="C18" s="164" t="s">
        <v>4783</v>
      </c>
      <c r="D18" s="164" t="s">
        <v>1397</v>
      </c>
      <c r="E18" s="245">
        <v>1</v>
      </c>
    </row>
    <row r="19" spans="1:5">
      <c r="A19" s="171" t="s">
        <v>4834</v>
      </c>
      <c r="B19" s="164" t="s">
        <v>9</v>
      </c>
      <c r="C19" s="164" t="s">
        <v>4783</v>
      </c>
      <c r="D19" s="164" t="s">
        <v>1280</v>
      </c>
      <c r="E19" s="245">
        <v>1</v>
      </c>
    </row>
    <row r="20" spans="1:5">
      <c r="A20" s="171" t="s">
        <v>4834</v>
      </c>
      <c r="B20" s="164" t="s">
        <v>20</v>
      </c>
      <c r="C20" s="164" t="s">
        <v>4783</v>
      </c>
      <c r="D20" s="164" t="s">
        <v>1280</v>
      </c>
      <c r="E20" s="245">
        <v>1</v>
      </c>
    </row>
    <row r="21" spans="1:5">
      <c r="A21" s="171" t="s">
        <v>4834</v>
      </c>
      <c r="B21" s="164" t="s">
        <v>26</v>
      </c>
      <c r="C21" s="164" t="s">
        <v>4783</v>
      </c>
      <c r="D21" s="164" t="s">
        <v>1280</v>
      </c>
      <c r="E21" s="245">
        <v>1</v>
      </c>
    </row>
    <row r="22" spans="1:5">
      <c r="A22" s="171" t="s">
        <v>4834</v>
      </c>
      <c r="B22" s="164" t="s">
        <v>20</v>
      </c>
      <c r="C22" s="164" t="s">
        <v>4783</v>
      </c>
      <c r="D22" s="164" t="s">
        <v>1336</v>
      </c>
      <c r="E22" s="245">
        <v>1</v>
      </c>
    </row>
    <row r="23" spans="1:5">
      <c r="A23" s="171" t="s">
        <v>4834</v>
      </c>
      <c r="B23" s="164" t="s">
        <v>35</v>
      </c>
      <c r="C23" s="164" t="s">
        <v>4783</v>
      </c>
      <c r="D23" s="164" t="s">
        <v>4717</v>
      </c>
      <c r="E23" s="245">
        <v>1</v>
      </c>
    </row>
    <row r="24" spans="1:5">
      <c r="A24" s="171" t="s">
        <v>4834</v>
      </c>
      <c r="B24" s="164" t="s">
        <v>37</v>
      </c>
      <c r="C24" s="164" t="s">
        <v>4783</v>
      </c>
      <c r="D24" s="164" t="s">
        <v>4717</v>
      </c>
      <c r="E24" s="245">
        <v>1</v>
      </c>
    </row>
    <row r="25" spans="1:5">
      <c r="A25" s="196" t="s">
        <v>4834</v>
      </c>
      <c r="B25" s="187" t="s">
        <v>35</v>
      </c>
      <c r="C25" s="187" t="s">
        <v>4783</v>
      </c>
      <c r="D25" s="187" t="s">
        <v>4770</v>
      </c>
      <c r="E25" s="245">
        <v>1</v>
      </c>
    </row>
    <row r="26" spans="1:5">
      <c r="A26" s="171" t="s">
        <v>4834</v>
      </c>
      <c r="B26" s="164" t="s">
        <v>26</v>
      </c>
      <c r="C26" s="164" t="s">
        <v>4784</v>
      </c>
      <c r="D26" s="164" t="s">
        <v>3021</v>
      </c>
      <c r="E26" s="245">
        <v>1</v>
      </c>
    </row>
    <row r="27" spans="1:5">
      <c r="A27" s="196" t="s">
        <v>4834</v>
      </c>
      <c r="B27" s="164" t="s">
        <v>35</v>
      </c>
      <c r="C27" s="164" t="s">
        <v>4783</v>
      </c>
      <c r="D27" s="164" t="s">
        <v>4793</v>
      </c>
      <c r="E27" s="245">
        <v>1</v>
      </c>
    </row>
    <row r="28" spans="1:5">
      <c r="A28" s="171" t="s">
        <v>4834</v>
      </c>
      <c r="B28" s="164" t="s">
        <v>20</v>
      </c>
      <c r="C28" s="164" t="s">
        <v>4783</v>
      </c>
      <c r="D28" s="164" t="s">
        <v>1446</v>
      </c>
      <c r="E28" s="245">
        <v>1</v>
      </c>
    </row>
    <row r="29" spans="1:5">
      <c r="A29" s="171" t="s">
        <v>4834</v>
      </c>
      <c r="B29" s="164" t="s">
        <v>32</v>
      </c>
      <c r="C29" s="164" t="s">
        <v>4783</v>
      </c>
      <c r="D29" s="164" t="s">
        <v>1446</v>
      </c>
      <c r="E29" s="245">
        <v>1</v>
      </c>
    </row>
    <row r="30" spans="1:5">
      <c r="A30" s="171" t="s">
        <v>4834</v>
      </c>
      <c r="B30" s="164" t="s">
        <v>20</v>
      </c>
      <c r="C30" s="164" t="s">
        <v>4783</v>
      </c>
      <c r="D30" s="164" t="s">
        <v>1436</v>
      </c>
      <c r="E30" s="245">
        <v>1</v>
      </c>
    </row>
    <row r="31" spans="1:5">
      <c r="A31" s="171" t="s">
        <v>4834</v>
      </c>
      <c r="B31" s="164" t="s">
        <v>26</v>
      </c>
      <c r="C31" s="164" t="s">
        <v>4783</v>
      </c>
      <c r="D31" s="164" t="s">
        <v>1436</v>
      </c>
      <c r="E31" s="245">
        <v>1</v>
      </c>
    </row>
    <row r="32" spans="1:5" ht="15" customHeight="1">
      <c r="A32" s="196" t="s">
        <v>4834</v>
      </c>
      <c r="B32" s="164" t="s">
        <v>35</v>
      </c>
      <c r="C32" s="164" t="s">
        <v>4783</v>
      </c>
      <c r="D32" s="164" t="s">
        <v>4796</v>
      </c>
      <c r="E32" s="245">
        <v>1</v>
      </c>
    </row>
    <row r="33" spans="1:5" ht="15" customHeight="1">
      <c r="A33" s="196" t="s">
        <v>4834</v>
      </c>
      <c r="B33" s="164" t="s">
        <v>37</v>
      </c>
      <c r="C33" s="164" t="s">
        <v>4783</v>
      </c>
      <c r="D33" s="164" t="s">
        <v>4796</v>
      </c>
      <c r="E33" s="245">
        <v>1</v>
      </c>
    </row>
    <row r="34" spans="1:5">
      <c r="A34" s="171" t="s">
        <v>4834</v>
      </c>
      <c r="B34" s="164" t="s">
        <v>20</v>
      </c>
      <c r="C34" s="164" t="s">
        <v>4797</v>
      </c>
      <c r="D34" s="164" t="s">
        <v>1455</v>
      </c>
      <c r="E34" s="245">
        <v>1</v>
      </c>
    </row>
    <row r="35" spans="1:5">
      <c r="A35" s="171" t="s">
        <v>4834</v>
      </c>
      <c r="B35" s="164" t="s">
        <v>26</v>
      </c>
      <c r="C35" s="164" t="s">
        <v>4797</v>
      </c>
      <c r="D35" s="164" t="s">
        <v>1455</v>
      </c>
      <c r="E35" s="245">
        <v>1</v>
      </c>
    </row>
    <row r="36" spans="1:5">
      <c r="A36" s="171" t="s">
        <v>4834</v>
      </c>
      <c r="B36" s="164" t="s">
        <v>20</v>
      </c>
      <c r="C36" s="164" t="s">
        <v>4783</v>
      </c>
      <c r="D36" s="164" t="s">
        <v>1351</v>
      </c>
      <c r="E36" s="245">
        <v>1</v>
      </c>
    </row>
    <row r="37" spans="1:5">
      <c r="A37" s="171" t="s">
        <v>4834</v>
      </c>
      <c r="B37" s="164" t="s">
        <v>35</v>
      </c>
      <c r="C37" s="164" t="s">
        <v>4783</v>
      </c>
      <c r="D37" s="164" t="s">
        <v>1351</v>
      </c>
      <c r="E37" s="245">
        <v>2</v>
      </c>
    </row>
    <row r="38" spans="1:5">
      <c r="A38" s="171" t="s">
        <v>4834</v>
      </c>
      <c r="B38" s="164" t="s">
        <v>20</v>
      </c>
      <c r="C38" s="164" t="s">
        <v>4783</v>
      </c>
      <c r="D38" s="164" t="s">
        <v>1406</v>
      </c>
      <c r="E38" s="245">
        <v>1</v>
      </c>
    </row>
    <row r="39" spans="1:5">
      <c r="A39" s="171" t="s">
        <v>4834</v>
      </c>
      <c r="B39" s="164" t="s">
        <v>20</v>
      </c>
      <c r="C39" s="164" t="s">
        <v>4783</v>
      </c>
      <c r="D39" s="164" t="s">
        <v>1327</v>
      </c>
      <c r="E39" s="245">
        <v>1</v>
      </c>
    </row>
    <row r="40" spans="1:5">
      <c r="A40" s="171" t="s">
        <v>4834</v>
      </c>
      <c r="B40" s="167" t="s">
        <v>20</v>
      </c>
      <c r="C40" s="164" t="s">
        <v>4783</v>
      </c>
      <c r="D40" s="167" t="s">
        <v>1314</v>
      </c>
      <c r="E40" s="245">
        <v>1</v>
      </c>
    </row>
    <row r="41" spans="1:5">
      <c r="A41" s="171" t="s">
        <v>4834</v>
      </c>
      <c r="B41" s="187" t="s">
        <v>20</v>
      </c>
      <c r="C41" s="164" t="s">
        <v>4783</v>
      </c>
      <c r="D41" s="187" t="s">
        <v>1347</v>
      </c>
      <c r="E41" s="245">
        <v>1</v>
      </c>
    </row>
    <row r="42" spans="1:5">
      <c r="A42" s="171" t="s">
        <v>4834</v>
      </c>
      <c r="B42" s="164" t="s">
        <v>35</v>
      </c>
      <c r="C42" s="164" t="s">
        <v>4783</v>
      </c>
      <c r="D42" s="164" t="s">
        <v>1347</v>
      </c>
      <c r="E42" s="245">
        <v>2</v>
      </c>
    </row>
    <row r="43" spans="1:5">
      <c r="A43" s="171" t="s">
        <v>4834</v>
      </c>
      <c r="B43" s="167" t="s">
        <v>9</v>
      </c>
      <c r="C43" s="164" t="s">
        <v>4797</v>
      </c>
      <c r="D43" s="167" t="s">
        <v>1294</v>
      </c>
      <c r="E43" s="245">
        <v>1</v>
      </c>
    </row>
    <row r="44" spans="1:5">
      <c r="A44" s="171" t="s">
        <v>4834</v>
      </c>
      <c r="B44" s="167" t="s">
        <v>20</v>
      </c>
      <c r="C44" s="164" t="s">
        <v>4797</v>
      </c>
      <c r="D44" s="167" t="s">
        <v>1294</v>
      </c>
      <c r="E44" s="245">
        <v>1</v>
      </c>
    </row>
    <row r="45" spans="1:5">
      <c r="A45" s="171" t="s">
        <v>4834</v>
      </c>
      <c r="B45" s="167" t="s">
        <v>26</v>
      </c>
      <c r="C45" s="164" t="s">
        <v>4797</v>
      </c>
      <c r="D45" s="167" t="s">
        <v>1294</v>
      </c>
      <c r="E45" s="245">
        <v>1</v>
      </c>
    </row>
    <row r="46" spans="1:5">
      <c r="A46" s="171" t="s">
        <v>4834</v>
      </c>
      <c r="B46" s="164" t="s">
        <v>20</v>
      </c>
      <c r="C46" s="164" t="s">
        <v>4797</v>
      </c>
      <c r="D46" s="164" t="s">
        <v>1449</v>
      </c>
      <c r="E46" s="245">
        <v>1</v>
      </c>
    </row>
    <row r="47" spans="1:5">
      <c r="A47" s="171" t="s">
        <v>4834</v>
      </c>
      <c r="B47" s="164" t="s">
        <v>26</v>
      </c>
      <c r="C47" s="164" t="s">
        <v>4797</v>
      </c>
      <c r="D47" s="164" t="s">
        <v>1449</v>
      </c>
      <c r="E47" s="245">
        <v>1</v>
      </c>
    </row>
    <row r="48" spans="1:5">
      <c r="A48" s="173" t="s">
        <v>4834</v>
      </c>
      <c r="B48" s="168" t="s">
        <v>35</v>
      </c>
      <c r="C48" s="168" t="s">
        <v>4783</v>
      </c>
      <c r="D48" s="168" t="s">
        <v>4764</v>
      </c>
      <c r="E48" s="250">
        <v>1</v>
      </c>
    </row>
    <row r="49" spans="1:5">
      <c r="A49" s="173" t="s">
        <v>4834</v>
      </c>
      <c r="B49" s="168" t="s">
        <v>35</v>
      </c>
      <c r="C49" s="168" t="s">
        <v>4783</v>
      </c>
      <c r="D49" s="168" t="s">
        <v>4828</v>
      </c>
      <c r="E49" s="250">
        <v>1</v>
      </c>
    </row>
    <row r="50" spans="1:5">
      <c r="A50" s="214" t="s">
        <v>4834</v>
      </c>
      <c r="B50" s="166" t="s">
        <v>37</v>
      </c>
      <c r="C50" s="166" t="s">
        <v>4783</v>
      </c>
      <c r="D50" s="166" t="s">
        <v>4828</v>
      </c>
      <c r="E50" s="246">
        <v>1</v>
      </c>
    </row>
    <row r="58" spans="1:5" ht="15" customHeight="1"/>
    <row r="61" spans="1:5" ht="15" customHeight="1"/>
    <row r="65" ht="15" customHeight="1"/>
    <row r="69" ht="15" customHeight="1"/>
    <row r="894" ht="15" customHeight="1"/>
    <row r="896" ht="15" customHeight="1"/>
    <row r="900" ht="15" customHeight="1"/>
    <row r="905" ht="15" customHeight="1"/>
    <row r="907" ht="15" customHeight="1"/>
    <row r="912" ht="15" customHeight="1"/>
    <row r="919" ht="15" customHeight="1"/>
    <row r="926" ht="15" customHeight="1"/>
    <row r="928" ht="15" customHeight="1"/>
    <row r="932" ht="15" customHeight="1"/>
    <row r="936" ht="15" customHeight="1"/>
    <row r="938" ht="15" customHeight="1"/>
    <row r="940" ht="15" customHeight="1"/>
    <row r="942" ht="15" customHeight="1"/>
    <row r="944" ht="15" customHeight="1"/>
    <row r="949" ht="15" customHeight="1"/>
    <row r="956" ht="15" customHeight="1"/>
    <row r="963" ht="15" customHeight="1"/>
    <row r="972" ht="15" customHeight="1"/>
    <row r="977" ht="15" customHeight="1"/>
    <row r="1006" ht="15" customHeight="1"/>
    <row r="1009" ht="15" customHeight="1"/>
    <row r="1012" ht="15" customHeight="1"/>
    <row r="1029" ht="15" customHeight="1"/>
    <row r="1035" ht="15" customHeight="1"/>
  </sheetData>
  <autoFilter ref="A1:E51"/>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24"/>
  <sheetViews>
    <sheetView workbookViewId="0">
      <pane ySplit="1" topLeftCell="A2" activePane="bottomLeft" state="frozen"/>
      <selection pane="bottomLeft" activeCell="A2" sqref="A2"/>
    </sheetView>
  </sheetViews>
  <sheetFormatPr defaultRowHeight="15"/>
  <cols>
    <col min="1" max="1" width="17.85546875" bestFit="1" customWidth="1"/>
    <col min="2" max="2" width="21.28515625" bestFit="1" customWidth="1"/>
    <col min="3" max="3" width="249.5703125" bestFit="1" customWidth="1"/>
    <col min="4" max="4" width="19.5703125" bestFit="1" customWidth="1"/>
    <col min="5" max="5" width="37" bestFit="1" customWidth="1"/>
    <col min="6" max="6" width="18.85546875" bestFit="1" customWidth="1"/>
    <col min="7" max="7" width="21.5703125" bestFit="1" customWidth="1"/>
    <col min="8" max="8" width="18.85546875" bestFit="1" customWidth="1"/>
    <col min="9" max="9" width="16.140625" bestFit="1" customWidth="1"/>
    <col min="10" max="10" width="18.85546875" bestFit="1" customWidth="1"/>
    <col min="11" max="11" width="16.140625" bestFit="1" customWidth="1"/>
    <col min="12" max="12" width="18.85546875" bestFit="1" customWidth="1"/>
    <col min="13" max="13" width="16.140625" bestFit="1" customWidth="1"/>
    <col min="14" max="14" width="18.85546875" bestFit="1" customWidth="1"/>
    <col min="15" max="15" width="16.140625" bestFit="1" customWidth="1"/>
    <col min="16" max="16" width="18.85546875" bestFit="1" customWidth="1"/>
    <col min="17" max="17" width="16.140625" bestFit="1" customWidth="1"/>
    <col min="18" max="18" width="18.85546875" bestFit="1" customWidth="1"/>
    <col min="19" max="19" width="16.140625" bestFit="1" customWidth="1"/>
    <col min="20" max="20" width="18.85546875" bestFit="1" customWidth="1"/>
    <col min="21" max="21" width="16.140625" bestFit="1" customWidth="1"/>
    <col min="22" max="22" width="20" bestFit="1" customWidth="1"/>
    <col min="23" max="23" width="17.140625" bestFit="1" customWidth="1"/>
    <col min="24" max="24" width="8.5703125" bestFit="1" customWidth="1"/>
  </cols>
  <sheetData>
    <row r="1" spans="1:24" ht="15.75" thickBot="1">
      <c r="A1" s="386" t="s">
        <v>4835</v>
      </c>
      <c r="B1" s="387" t="s">
        <v>4778</v>
      </c>
      <c r="C1" s="387" t="s">
        <v>4836</v>
      </c>
      <c r="D1" s="387" t="s">
        <v>4837</v>
      </c>
      <c r="E1" s="387" t="s">
        <v>4838</v>
      </c>
      <c r="F1" s="387" t="s">
        <v>4839</v>
      </c>
      <c r="G1" s="387" t="s">
        <v>4840</v>
      </c>
      <c r="H1" s="387" t="s">
        <v>4841</v>
      </c>
      <c r="I1" s="387" t="s">
        <v>4842</v>
      </c>
      <c r="J1" s="387" t="s">
        <v>4843</v>
      </c>
      <c r="K1" s="387" t="s">
        <v>4844</v>
      </c>
      <c r="L1" s="387" t="s">
        <v>4845</v>
      </c>
      <c r="M1" s="387" t="s">
        <v>4846</v>
      </c>
      <c r="N1" s="387" t="s">
        <v>4847</v>
      </c>
      <c r="O1" s="387" t="s">
        <v>4848</v>
      </c>
      <c r="P1" s="387" t="s">
        <v>4849</v>
      </c>
      <c r="Q1" s="387" t="s">
        <v>4850</v>
      </c>
      <c r="R1" s="387" t="s">
        <v>4851</v>
      </c>
      <c r="S1" s="387" t="s">
        <v>4852</v>
      </c>
      <c r="T1" s="387" t="s">
        <v>4853</v>
      </c>
      <c r="U1" s="387" t="s">
        <v>4854</v>
      </c>
      <c r="V1" s="387" t="s">
        <v>4855</v>
      </c>
      <c r="W1" s="387" t="s">
        <v>4856</v>
      </c>
      <c r="X1" s="388" t="s">
        <v>4857</v>
      </c>
    </row>
    <row r="2" spans="1:24" ht="14.45" customHeight="1">
      <c r="A2" s="169" t="s">
        <v>4784</v>
      </c>
      <c r="B2" s="165" t="s">
        <v>4858</v>
      </c>
      <c r="C2" s="165" t="s">
        <v>1284</v>
      </c>
      <c r="D2" s="165" t="s">
        <v>754</v>
      </c>
      <c r="E2" s="165" t="s">
        <v>3717</v>
      </c>
      <c r="F2" s="165"/>
      <c r="G2" s="165"/>
      <c r="H2" s="165"/>
      <c r="I2" s="165"/>
      <c r="J2" s="165"/>
      <c r="K2" s="165"/>
      <c r="L2" s="165"/>
      <c r="M2" s="165"/>
      <c r="N2" s="165"/>
      <c r="O2" s="165"/>
      <c r="P2" s="165"/>
      <c r="Q2" s="165"/>
      <c r="R2" s="165"/>
      <c r="S2" s="165"/>
      <c r="T2" s="165"/>
      <c r="U2" s="165"/>
      <c r="V2" s="165"/>
      <c r="W2" s="165"/>
      <c r="X2" s="197">
        <v>1</v>
      </c>
    </row>
    <row r="3" spans="1:24">
      <c r="A3" s="171" t="s">
        <v>4784</v>
      </c>
      <c r="B3" s="164" t="s">
        <v>4858</v>
      </c>
      <c r="C3" s="164" t="s">
        <v>1290</v>
      </c>
      <c r="D3" s="164" t="s">
        <v>754</v>
      </c>
      <c r="E3" s="164" t="s">
        <v>4859</v>
      </c>
      <c r="F3" s="164"/>
      <c r="G3" s="164"/>
      <c r="H3" s="164"/>
      <c r="I3" s="164"/>
      <c r="J3" s="164"/>
      <c r="K3" s="164"/>
      <c r="L3" s="164"/>
      <c r="M3" s="164"/>
      <c r="N3" s="164"/>
      <c r="O3" s="164"/>
      <c r="P3" s="164"/>
      <c r="Q3" s="164"/>
      <c r="R3" s="164"/>
      <c r="S3" s="164"/>
      <c r="T3" s="164"/>
      <c r="U3" s="164"/>
      <c r="V3" s="164"/>
      <c r="W3" s="164"/>
      <c r="X3" s="198">
        <v>1</v>
      </c>
    </row>
    <row r="4" spans="1:24">
      <c r="A4" s="171" t="s">
        <v>4784</v>
      </c>
      <c r="B4" s="164" t="s">
        <v>4858</v>
      </c>
      <c r="C4" s="164" t="s">
        <v>4860</v>
      </c>
      <c r="D4" s="164" t="s">
        <v>754</v>
      </c>
      <c r="E4" s="164" t="s">
        <v>3722</v>
      </c>
      <c r="F4" s="164"/>
      <c r="G4" s="164"/>
      <c r="H4" s="164"/>
      <c r="I4" s="164"/>
      <c r="J4" s="164"/>
      <c r="K4" s="164"/>
      <c r="L4" s="164"/>
      <c r="M4" s="164"/>
      <c r="N4" s="164"/>
      <c r="O4" s="164"/>
      <c r="P4" s="164"/>
      <c r="Q4" s="164"/>
      <c r="R4" s="164"/>
      <c r="S4" s="164"/>
      <c r="T4" s="164"/>
      <c r="U4" s="164"/>
      <c r="V4" s="164"/>
      <c r="W4" s="164"/>
      <c r="X4" s="198">
        <v>1</v>
      </c>
    </row>
    <row r="5" spans="1:24">
      <c r="A5" s="171" t="s">
        <v>4784</v>
      </c>
      <c r="B5" s="164" t="s">
        <v>4858</v>
      </c>
      <c r="C5" s="164" t="s">
        <v>4861</v>
      </c>
      <c r="D5" s="164" t="s">
        <v>754</v>
      </c>
      <c r="E5" s="164" t="s">
        <v>3725</v>
      </c>
      <c r="F5" s="164"/>
      <c r="G5" s="164"/>
      <c r="H5" s="164"/>
      <c r="I5" s="164"/>
      <c r="J5" s="164"/>
      <c r="K5" s="164"/>
      <c r="L5" s="164"/>
      <c r="M5" s="164"/>
      <c r="N5" s="164"/>
      <c r="O5" s="164"/>
      <c r="P5" s="164"/>
      <c r="Q5" s="164"/>
      <c r="R5" s="164"/>
      <c r="S5" s="164"/>
      <c r="T5" s="164"/>
      <c r="U5" s="164"/>
      <c r="V5" s="164"/>
      <c r="W5" s="164"/>
      <c r="X5" s="198">
        <v>1</v>
      </c>
    </row>
    <row r="6" spans="1:24">
      <c r="A6" s="171" t="s">
        <v>4784</v>
      </c>
      <c r="B6" s="164" t="s">
        <v>4858</v>
      </c>
      <c r="C6" s="164" t="s">
        <v>4861</v>
      </c>
      <c r="D6" s="164" t="s">
        <v>754</v>
      </c>
      <c r="E6" s="164" t="s">
        <v>3728</v>
      </c>
      <c r="F6" s="164"/>
      <c r="G6" s="164"/>
      <c r="H6" s="164"/>
      <c r="I6" s="164"/>
      <c r="J6" s="164"/>
      <c r="K6" s="164"/>
      <c r="L6" s="164"/>
      <c r="M6" s="164"/>
      <c r="N6" s="164"/>
      <c r="O6" s="164"/>
      <c r="P6" s="164"/>
      <c r="Q6" s="164"/>
      <c r="R6" s="164"/>
      <c r="S6" s="164"/>
      <c r="T6" s="164"/>
      <c r="U6" s="164"/>
      <c r="V6" s="164"/>
      <c r="W6" s="164"/>
      <c r="X6" s="198">
        <v>1</v>
      </c>
    </row>
    <row r="7" spans="1:24">
      <c r="A7" s="171" t="s">
        <v>4784</v>
      </c>
      <c r="B7" s="164" t="s">
        <v>4858</v>
      </c>
      <c r="C7" s="164" t="s">
        <v>4861</v>
      </c>
      <c r="D7" s="164" t="s">
        <v>754</v>
      </c>
      <c r="E7" s="164" t="s">
        <v>3730</v>
      </c>
      <c r="F7" s="164"/>
      <c r="G7" s="164"/>
      <c r="H7" s="164"/>
      <c r="I7" s="164"/>
      <c r="J7" s="164"/>
      <c r="K7" s="164"/>
      <c r="L7" s="164"/>
      <c r="M7" s="164"/>
      <c r="N7" s="164"/>
      <c r="O7" s="164"/>
      <c r="P7" s="164"/>
      <c r="Q7" s="164"/>
      <c r="R7" s="164"/>
      <c r="S7" s="164"/>
      <c r="T7" s="164"/>
      <c r="U7" s="164"/>
      <c r="V7" s="164"/>
      <c r="W7" s="164"/>
      <c r="X7" s="198">
        <v>1</v>
      </c>
    </row>
    <row r="8" spans="1:24">
      <c r="A8" s="171" t="s">
        <v>4784</v>
      </c>
      <c r="B8" s="164" t="s">
        <v>4858</v>
      </c>
      <c r="C8" s="164" t="s">
        <v>4861</v>
      </c>
      <c r="D8" s="164" t="s">
        <v>754</v>
      </c>
      <c r="E8" s="164" t="s">
        <v>3732</v>
      </c>
      <c r="F8" s="164"/>
      <c r="G8" s="164"/>
      <c r="H8" s="164"/>
      <c r="I8" s="164"/>
      <c r="J8" s="164"/>
      <c r="K8" s="164"/>
      <c r="L8" s="164"/>
      <c r="M8" s="164"/>
      <c r="N8" s="164"/>
      <c r="O8" s="164"/>
      <c r="P8" s="164"/>
      <c r="Q8" s="164"/>
      <c r="R8" s="164"/>
      <c r="S8" s="164"/>
      <c r="T8" s="164"/>
      <c r="U8" s="164"/>
      <c r="V8" s="164"/>
      <c r="W8" s="164"/>
      <c r="X8" s="198">
        <v>1</v>
      </c>
    </row>
    <row r="9" spans="1:24">
      <c r="A9" s="171" t="s">
        <v>4784</v>
      </c>
      <c r="B9" s="164" t="s">
        <v>4858</v>
      </c>
      <c r="C9" s="164" t="s">
        <v>4861</v>
      </c>
      <c r="D9" s="164" t="s">
        <v>754</v>
      </c>
      <c r="E9" s="164" t="s">
        <v>3734</v>
      </c>
      <c r="F9" s="164"/>
      <c r="G9" s="164"/>
      <c r="H9" s="164"/>
      <c r="I9" s="164"/>
      <c r="J9" s="164"/>
      <c r="K9" s="164"/>
      <c r="L9" s="164"/>
      <c r="M9" s="164"/>
      <c r="N9" s="164"/>
      <c r="O9" s="164"/>
      <c r="P9" s="164"/>
      <c r="Q9" s="164"/>
      <c r="R9" s="164"/>
      <c r="S9" s="164"/>
      <c r="T9" s="164"/>
      <c r="U9" s="164"/>
      <c r="V9" s="164"/>
      <c r="W9" s="164"/>
      <c r="X9" s="198">
        <v>1</v>
      </c>
    </row>
    <row r="10" spans="1:24">
      <c r="A10" s="171" t="s">
        <v>4784</v>
      </c>
      <c r="B10" s="164" t="s">
        <v>4858</v>
      </c>
      <c r="C10" s="164" t="s">
        <v>4862</v>
      </c>
      <c r="D10" s="164" t="s">
        <v>754</v>
      </c>
      <c r="E10" s="164" t="s">
        <v>3735</v>
      </c>
      <c r="F10" s="164"/>
      <c r="G10" s="164"/>
      <c r="H10" s="164"/>
      <c r="I10" s="164"/>
      <c r="J10" s="164"/>
      <c r="K10" s="164"/>
      <c r="L10" s="164"/>
      <c r="M10" s="164"/>
      <c r="N10" s="164"/>
      <c r="O10" s="164"/>
      <c r="P10" s="164"/>
      <c r="Q10" s="164"/>
      <c r="R10" s="164"/>
      <c r="S10" s="164"/>
      <c r="T10" s="164"/>
      <c r="U10" s="164"/>
      <c r="V10" s="164"/>
      <c r="W10" s="164"/>
      <c r="X10" s="198">
        <v>1</v>
      </c>
    </row>
    <row r="11" spans="1:24">
      <c r="A11" s="171" t="s">
        <v>4784</v>
      </c>
      <c r="B11" s="164" t="s">
        <v>4858</v>
      </c>
      <c r="C11" s="164" t="s">
        <v>4863</v>
      </c>
      <c r="D11" s="164" t="s">
        <v>754</v>
      </c>
      <c r="E11" s="164" t="s">
        <v>3741</v>
      </c>
      <c r="F11" s="164"/>
      <c r="G11" s="164"/>
      <c r="H11" s="164"/>
      <c r="I11" s="164"/>
      <c r="J11" s="164"/>
      <c r="K11" s="164"/>
      <c r="L11" s="164"/>
      <c r="M11" s="164"/>
      <c r="N11" s="164"/>
      <c r="O11" s="164"/>
      <c r="P11" s="164"/>
      <c r="Q11" s="164"/>
      <c r="R11" s="164"/>
      <c r="S11" s="164"/>
      <c r="T11" s="164"/>
      <c r="U11" s="164"/>
      <c r="V11" s="164"/>
      <c r="W11" s="164"/>
      <c r="X11" s="198">
        <v>1</v>
      </c>
    </row>
    <row r="12" spans="1:24">
      <c r="A12" s="171" t="s">
        <v>4784</v>
      </c>
      <c r="B12" s="164" t="s">
        <v>4858</v>
      </c>
      <c r="C12" s="164" t="s">
        <v>4863</v>
      </c>
      <c r="D12" s="164" t="s">
        <v>754</v>
      </c>
      <c r="E12" s="164" t="s">
        <v>3744</v>
      </c>
      <c r="F12" s="164"/>
      <c r="G12" s="164"/>
      <c r="H12" s="164"/>
      <c r="I12" s="164"/>
      <c r="J12" s="164"/>
      <c r="K12" s="164"/>
      <c r="L12" s="164"/>
      <c r="M12" s="164"/>
      <c r="N12" s="164"/>
      <c r="O12" s="164"/>
      <c r="P12" s="164"/>
      <c r="Q12" s="164"/>
      <c r="R12" s="164"/>
      <c r="S12" s="164"/>
      <c r="T12" s="164"/>
      <c r="U12" s="164"/>
      <c r="V12" s="164"/>
      <c r="W12" s="164"/>
      <c r="X12" s="198">
        <v>1</v>
      </c>
    </row>
    <row r="13" spans="1:24">
      <c r="A13" s="171" t="s">
        <v>4784</v>
      </c>
      <c r="B13" s="164" t="s">
        <v>4858</v>
      </c>
      <c r="C13" s="164" t="s">
        <v>4863</v>
      </c>
      <c r="D13" s="164" t="s">
        <v>754</v>
      </c>
      <c r="E13" s="164" t="s">
        <v>3746</v>
      </c>
      <c r="F13" s="164"/>
      <c r="G13" s="164"/>
      <c r="H13" s="164"/>
      <c r="I13" s="164"/>
      <c r="J13" s="164"/>
      <c r="K13" s="164"/>
      <c r="L13" s="164"/>
      <c r="M13" s="164"/>
      <c r="N13" s="164"/>
      <c r="O13" s="164"/>
      <c r="P13" s="164"/>
      <c r="Q13" s="164"/>
      <c r="R13" s="164"/>
      <c r="S13" s="164"/>
      <c r="T13" s="164"/>
      <c r="U13" s="164"/>
      <c r="V13" s="164"/>
      <c r="W13" s="164"/>
      <c r="X13" s="198">
        <v>1</v>
      </c>
    </row>
    <row r="14" spans="1:24">
      <c r="A14" s="171" t="s">
        <v>4784</v>
      </c>
      <c r="B14" s="164" t="s">
        <v>4858</v>
      </c>
      <c r="C14" s="164" t="s">
        <v>4863</v>
      </c>
      <c r="D14" s="164" t="s">
        <v>754</v>
      </c>
      <c r="E14" s="164" t="s">
        <v>3748</v>
      </c>
      <c r="F14" s="164"/>
      <c r="G14" s="164"/>
      <c r="H14" s="164"/>
      <c r="I14" s="164"/>
      <c r="J14" s="164"/>
      <c r="K14" s="164"/>
      <c r="L14" s="164"/>
      <c r="M14" s="164"/>
      <c r="N14" s="164"/>
      <c r="O14" s="164"/>
      <c r="P14" s="164"/>
      <c r="Q14" s="164"/>
      <c r="R14" s="164"/>
      <c r="S14" s="164"/>
      <c r="T14" s="164"/>
      <c r="U14" s="164"/>
      <c r="V14" s="164"/>
      <c r="W14" s="164"/>
      <c r="X14" s="198">
        <v>1</v>
      </c>
    </row>
    <row r="15" spans="1:24">
      <c r="A15" s="171" t="s">
        <v>4784</v>
      </c>
      <c r="B15" s="164" t="s">
        <v>4858</v>
      </c>
      <c r="C15" s="164" t="s">
        <v>4864</v>
      </c>
      <c r="D15" s="164" t="s">
        <v>754</v>
      </c>
      <c r="E15" s="164" t="s">
        <v>3750</v>
      </c>
      <c r="F15" s="164"/>
      <c r="G15" s="164"/>
      <c r="H15" s="164"/>
      <c r="I15" s="164"/>
      <c r="J15" s="164"/>
      <c r="K15" s="164"/>
      <c r="L15" s="164"/>
      <c r="M15" s="164"/>
      <c r="N15" s="164"/>
      <c r="O15" s="164"/>
      <c r="P15" s="164"/>
      <c r="Q15" s="164"/>
      <c r="R15" s="164"/>
      <c r="S15" s="164"/>
      <c r="T15" s="164"/>
      <c r="U15" s="164"/>
      <c r="V15" s="164"/>
      <c r="W15" s="164"/>
      <c r="X15" s="198">
        <v>1</v>
      </c>
    </row>
    <row r="16" spans="1:24">
      <c r="A16" s="171" t="s">
        <v>4784</v>
      </c>
      <c r="B16" s="164" t="s">
        <v>4858</v>
      </c>
      <c r="C16" s="164" t="s">
        <v>4864</v>
      </c>
      <c r="D16" s="164" t="s">
        <v>754</v>
      </c>
      <c r="E16" s="164" t="s">
        <v>3753</v>
      </c>
      <c r="F16" s="164"/>
      <c r="G16" s="164"/>
      <c r="H16" s="164"/>
      <c r="I16" s="164"/>
      <c r="J16" s="164"/>
      <c r="K16" s="164"/>
      <c r="L16" s="164"/>
      <c r="M16" s="164"/>
      <c r="N16" s="164"/>
      <c r="O16" s="164"/>
      <c r="P16" s="164"/>
      <c r="Q16" s="164"/>
      <c r="R16" s="164"/>
      <c r="S16" s="164"/>
      <c r="T16" s="164"/>
      <c r="U16" s="164"/>
      <c r="V16" s="164"/>
      <c r="W16" s="164"/>
      <c r="X16" s="198">
        <v>1</v>
      </c>
    </row>
    <row r="17" spans="1:24">
      <c r="A17" s="171" t="s">
        <v>4784</v>
      </c>
      <c r="B17" s="164" t="s">
        <v>4858</v>
      </c>
      <c r="C17" s="164" t="s">
        <v>4864</v>
      </c>
      <c r="D17" s="164" t="s">
        <v>754</v>
      </c>
      <c r="E17" s="164" t="s">
        <v>3755</v>
      </c>
      <c r="F17" s="164"/>
      <c r="G17" s="164"/>
      <c r="H17" s="164"/>
      <c r="I17" s="164"/>
      <c r="J17" s="164"/>
      <c r="K17" s="164"/>
      <c r="L17" s="164"/>
      <c r="M17" s="164"/>
      <c r="N17" s="164"/>
      <c r="O17" s="164"/>
      <c r="P17" s="164"/>
      <c r="Q17" s="164"/>
      <c r="R17" s="164"/>
      <c r="S17" s="164"/>
      <c r="T17" s="164"/>
      <c r="U17" s="164"/>
      <c r="V17" s="164"/>
      <c r="W17" s="164"/>
      <c r="X17" s="198">
        <v>1</v>
      </c>
    </row>
    <row r="18" spans="1:24">
      <c r="A18" s="171" t="s">
        <v>4784</v>
      </c>
      <c r="B18" s="164" t="s">
        <v>4858</v>
      </c>
      <c r="C18" s="164" t="s">
        <v>4864</v>
      </c>
      <c r="D18" s="164" t="s">
        <v>754</v>
      </c>
      <c r="E18" s="164" t="s">
        <v>3757</v>
      </c>
      <c r="F18" s="164"/>
      <c r="G18" s="164"/>
      <c r="H18" s="164"/>
      <c r="I18" s="164"/>
      <c r="J18" s="164"/>
      <c r="K18" s="164"/>
      <c r="L18" s="164"/>
      <c r="M18" s="164"/>
      <c r="N18" s="164"/>
      <c r="O18" s="164"/>
      <c r="P18" s="164"/>
      <c r="Q18" s="164"/>
      <c r="R18" s="164"/>
      <c r="S18" s="164"/>
      <c r="T18" s="164"/>
      <c r="U18" s="164"/>
      <c r="V18" s="164"/>
      <c r="W18" s="164"/>
      <c r="X18" s="198">
        <v>1</v>
      </c>
    </row>
    <row r="19" spans="1:24">
      <c r="A19" s="171" t="s">
        <v>4784</v>
      </c>
      <c r="B19" s="164" t="s">
        <v>4858</v>
      </c>
      <c r="C19" s="164" t="s">
        <v>4864</v>
      </c>
      <c r="D19" s="164" t="s">
        <v>754</v>
      </c>
      <c r="E19" s="164" t="s">
        <v>3759</v>
      </c>
      <c r="F19" s="164"/>
      <c r="G19" s="164"/>
      <c r="H19" s="164"/>
      <c r="I19" s="164"/>
      <c r="J19" s="164"/>
      <c r="K19" s="164"/>
      <c r="L19" s="164"/>
      <c r="M19" s="164"/>
      <c r="N19" s="164"/>
      <c r="O19" s="164"/>
      <c r="P19" s="164"/>
      <c r="Q19" s="164"/>
      <c r="R19" s="164"/>
      <c r="S19" s="164"/>
      <c r="T19" s="164"/>
      <c r="U19" s="164"/>
      <c r="V19" s="164"/>
      <c r="W19" s="164"/>
      <c r="X19" s="198">
        <v>1</v>
      </c>
    </row>
    <row r="20" spans="1:24">
      <c r="A20" s="171" t="s">
        <v>4784</v>
      </c>
      <c r="B20" s="164" t="s">
        <v>4858</v>
      </c>
      <c r="C20" s="164" t="s">
        <v>4864</v>
      </c>
      <c r="D20" s="164" t="s">
        <v>754</v>
      </c>
      <c r="E20" s="164" t="s">
        <v>3760</v>
      </c>
      <c r="F20" s="164"/>
      <c r="G20" s="164"/>
      <c r="H20" s="164"/>
      <c r="I20" s="164"/>
      <c r="J20" s="164"/>
      <c r="K20" s="164"/>
      <c r="L20" s="164"/>
      <c r="M20" s="164"/>
      <c r="N20" s="164"/>
      <c r="O20" s="164"/>
      <c r="P20" s="164"/>
      <c r="Q20" s="164"/>
      <c r="R20" s="164"/>
      <c r="S20" s="164"/>
      <c r="T20" s="164"/>
      <c r="U20" s="164"/>
      <c r="V20" s="164"/>
      <c r="W20" s="164"/>
      <c r="X20" s="198">
        <v>1</v>
      </c>
    </row>
    <row r="21" spans="1:24">
      <c r="A21" s="171" t="s">
        <v>4784</v>
      </c>
      <c r="B21" s="164" t="s">
        <v>4858</v>
      </c>
      <c r="C21" s="164" t="s">
        <v>4864</v>
      </c>
      <c r="D21" s="164" t="s">
        <v>754</v>
      </c>
      <c r="E21" s="164" t="s">
        <v>3761</v>
      </c>
      <c r="F21" s="164"/>
      <c r="G21" s="164"/>
      <c r="H21" s="164"/>
      <c r="I21" s="164"/>
      <c r="J21" s="164"/>
      <c r="K21" s="164"/>
      <c r="L21" s="164"/>
      <c r="M21" s="164"/>
      <c r="N21" s="164"/>
      <c r="O21" s="164"/>
      <c r="P21" s="164"/>
      <c r="Q21" s="164"/>
      <c r="R21" s="164"/>
      <c r="S21" s="164"/>
      <c r="T21" s="164"/>
      <c r="U21" s="164"/>
      <c r="V21" s="164"/>
      <c r="W21" s="164"/>
      <c r="X21" s="198">
        <v>1</v>
      </c>
    </row>
    <row r="22" spans="1:24">
      <c r="A22" s="171" t="s">
        <v>4784</v>
      </c>
      <c r="B22" s="164" t="s">
        <v>4858</v>
      </c>
      <c r="C22" s="164" t="s">
        <v>4864</v>
      </c>
      <c r="D22" s="164" t="s">
        <v>754</v>
      </c>
      <c r="E22" s="164" t="s">
        <v>3762</v>
      </c>
      <c r="F22" s="164"/>
      <c r="G22" s="164"/>
      <c r="H22" s="164"/>
      <c r="I22" s="164"/>
      <c r="J22" s="164"/>
      <c r="K22" s="164"/>
      <c r="L22" s="164"/>
      <c r="M22" s="164"/>
      <c r="N22" s="164"/>
      <c r="O22" s="164"/>
      <c r="P22" s="164"/>
      <c r="Q22" s="164"/>
      <c r="R22" s="164"/>
      <c r="S22" s="164"/>
      <c r="T22" s="164"/>
      <c r="U22" s="164"/>
      <c r="V22" s="164"/>
      <c r="W22" s="164"/>
      <c r="X22" s="198">
        <v>1</v>
      </c>
    </row>
    <row r="23" spans="1:24">
      <c r="A23" s="171" t="s">
        <v>4784</v>
      </c>
      <c r="B23" s="164" t="s">
        <v>4858</v>
      </c>
      <c r="C23" s="164" t="s">
        <v>4864</v>
      </c>
      <c r="D23" s="164" t="s">
        <v>754</v>
      </c>
      <c r="E23" s="164" t="s">
        <v>3763</v>
      </c>
      <c r="F23" s="164"/>
      <c r="G23" s="164"/>
      <c r="H23" s="164"/>
      <c r="I23" s="164"/>
      <c r="J23" s="164"/>
      <c r="K23" s="164"/>
      <c r="L23" s="164"/>
      <c r="M23" s="164"/>
      <c r="N23" s="164"/>
      <c r="O23" s="164"/>
      <c r="P23" s="164"/>
      <c r="Q23" s="164"/>
      <c r="R23" s="164"/>
      <c r="S23" s="164"/>
      <c r="T23" s="164"/>
      <c r="U23" s="164"/>
      <c r="V23" s="164"/>
      <c r="W23" s="164"/>
      <c r="X23" s="198">
        <v>1</v>
      </c>
    </row>
    <row r="24" spans="1:24">
      <c r="A24" s="171" t="s">
        <v>4784</v>
      </c>
      <c r="B24" s="164" t="s">
        <v>4858</v>
      </c>
      <c r="C24" s="164" t="s">
        <v>4864</v>
      </c>
      <c r="D24" s="164" t="s">
        <v>754</v>
      </c>
      <c r="E24" s="164" t="s">
        <v>3764</v>
      </c>
      <c r="F24" s="164"/>
      <c r="G24" s="164"/>
      <c r="H24" s="164"/>
      <c r="I24" s="164"/>
      <c r="J24" s="164"/>
      <c r="K24" s="164"/>
      <c r="L24" s="164"/>
      <c r="M24" s="164"/>
      <c r="N24" s="164"/>
      <c r="O24" s="164"/>
      <c r="P24" s="164"/>
      <c r="Q24" s="164"/>
      <c r="R24" s="164"/>
      <c r="S24" s="164"/>
      <c r="T24" s="164"/>
      <c r="U24" s="164"/>
      <c r="V24" s="164"/>
      <c r="W24" s="164"/>
      <c r="X24" s="198">
        <v>1</v>
      </c>
    </row>
    <row r="25" spans="1:24">
      <c r="A25" s="171" t="s">
        <v>4784</v>
      </c>
      <c r="B25" s="164" t="s">
        <v>4858</v>
      </c>
      <c r="C25" s="164" t="s">
        <v>4864</v>
      </c>
      <c r="D25" s="164" t="s">
        <v>754</v>
      </c>
      <c r="E25" s="164" t="s">
        <v>3765</v>
      </c>
      <c r="F25" s="164"/>
      <c r="G25" s="164"/>
      <c r="H25" s="164"/>
      <c r="I25" s="164"/>
      <c r="J25" s="164"/>
      <c r="K25" s="164"/>
      <c r="L25" s="164"/>
      <c r="M25" s="164"/>
      <c r="N25" s="164"/>
      <c r="O25" s="164"/>
      <c r="P25" s="164"/>
      <c r="Q25" s="164"/>
      <c r="R25" s="164"/>
      <c r="S25" s="164"/>
      <c r="T25" s="164"/>
      <c r="U25" s="164"/>
      <c r="V25" s="164"/>
      <c r="W25" s="164"/>
      <c r="X25" s="198">
        <v>1</v>
      </c>
    </row>
    <row r="26" spans="1:24">
      <c r="A26" s="171" t="s">
        <v>4784</v>
      </c>
      <c r="B26" s="164" t="s">
        <v>4858</v>
      </c>
      <c r="C26" s="164" t="s">
        <v>4864</v>
      </c>
      <c r="D26" s="164" t="s">
        <v>754</v>
      </c>
      <c r="E26" s="164" t="s">
        <v>3766</v>
      </c>
      <c r="F26" s="164"/>
      <c r="G26" s="164"/>
      <c r="H26" s="164"/>
      <c r="I26" s="164"/>
      <c r="J26" s="164"/>
      <c r="K26" s="164"/>
      <c r="L26" s="164"/>
      <c r="M26" s="164"/>
      <c r="N26" s="164"/>
      <c r="O26" s="164"/>
      <c r="P26" s="164"/>
      <c r="Q26" s="164"/>
      <c r="R26" s="164"/>
      <c r="S26" s="164"/>
      <c r="T26" s="164"/>
      <c r="U26" s="164"/>
      <c r="V26" s="164"/>
      <c r="W26" s="164"/>
      <c r="X26" s="198">
        <v>1</v>
      </c>
    </row>
    <row r="27" spans="1:24">
      <c r="A27" s="171" t="s">
        <v>4784</v>
      </c>
      <c r="B27" s="164" t="s">
        <v>4858</v>
      </c>
      <c r="C27" s="164" t="s">
        <v>4864</v>
      </c>
      <c r="D27" s="164" t="s">
        <v>754</v>
      </c>
      <c r="E27" s="164" t="s">
        <v>3767</v>
      </c>
      <c r="F27" s="164"/>
      <c r="G27" s="164"/>
      <c r="H27" s="164"/>
      <c r="I27" s="164"/>
      <c r="J27" s="164"/>
      <c r="K27" s="164"/>
      <c r="L27" s="164"/>
      <c r="M27" s="164"/>
      <c r="N27" s="164"/>
      <c r="O27" s="164"/>
      <c r="P27" s="164"/>
      <c r="Q27" s="164"/>
      <c r="R27" s="164"/>
      <c r="S27" s="164"/>
      <c r="T27" s="164"/>
      <c r="U27" s="164"/>
      <c r="V27" s="164"/>
      <c r="W27" s="164"/>
      <c r="X27" s="198">
        <v>1</v>
      </c>
    </row>
    <row r="28" spans="1:24">
      <c r="A28" s="171" t="s">
        <v>4784</v>
      </c>
      <c r="B28" s="164" t="s">
        <v>4858</v>
      </c>
      <c r="C28" s="164" t="s">
        <v>4864</v>
      </c>
      <c r="D28" s="164" t="s">
        <v>754</v>
      </c>
      <c r="E28" s="164" t="s">
        <v>3768</v>
      </c>
      <c r="F28" s="164"/>
      <c r="G28" s="164"/>
      <c r="H28" s="164"/>
      <c r="I28" s="164"/>
      <c r="J28" s="164"/>
      <c r="K28" s="164"/>
      <c r="L28" s="164"/>
      <c r="M28" s="164"/>
      <c r="N28" s="164"/>
      <c r="O28" s="164"/>
      <c r="P28" s="164"/>
      <c r="Q28" s="164"/>
      <c r="R28" s="164"/>
      <c r="S28" s="164"/>
      <c r="T28" s="164"/>
      <c r="U28" s="164"/>
      <c r="V28" s="164"/>
      <c r="W28" s="164"/>
      <c r="X28" s="198">
        <v>1</v>
      </c>
    </row>
    <row r="29" spans="1:24">
      <c r="A29" s="171" t="s">
        <v>4784</v>
      </c>
      <c r="B29" s="164" t="s">
        <v>4858</v>
      </c>
      <c r="C29" s="164" t="s">
        <v>4864</v>
      </c>
      <c r="D29" s="164" t="s">
        <v>754</v>
      </c>
      <c r="E29" s="164" t="s">
        <v>3769</v>
      </c>
      <c r="F29" s="164"/>
      <c r="G29" s="164"/>
      <c r="H29" s="164"/>
      <c r="I29" s="164"/>
      <c r="J29" s="164"/>
      <c r="K29" s="164"/>
      <c r="L29" s="164"/>
      <c r="M29" s="164"/>
      <c r="N29" s="164"/>
      <c r="O29" s="164"/>
      <c r="P29" s="164"/>
      <c r="Q29" s="164"/>
      <c r="R29" s="164"/>
      <c r="S29" s="164"/>
      <c r="T29" s="164"/>
      <c r="U29" s="164"/>
      <c r="V29" s="164"/>
      <c r="W29" s="164"/>
      <c r="X29" s="198">
        <v>1</v>
      </c>
    </row>
    <row r="30" spans="1:24">
      <c r="A30" s="171" t="s">
        <v>4784</v>
      </c>
      <c r="B30" s="164" t="s">
        <v>4858</v>
      </c>
      <c r="C30" s="164" t="s">
        <v>4864</v>
      </c>
      <c r="D30" s="164" t="s">
        <v>754</v>
      </c>
      <c r="E30" s="164" t="s">
        <v>3770</v>
      </c>
      <c r="F30" s="164"/>
      <c r="G30" s="164"/>
      <c r="H30" s="164"/>
      <c r="I30" s="164"/>
      <c r="J30" s="164"/>
      <c r="K30" s="164"/>
      <c r="L30" s="164"/>
      <c r="M30" s="164"/>
      <c r="N30" s="164"/>
      <c r="O30" s="164"/>
      <c r="P30" s="164"/>
      <c r="Q30" s="164"/>
      <c r="R30" s="164"/>
      <c r="S30" s="164"/>
      <c r="T30" s="164"/>
      <c r="U30" s="164"/>
      <c r="V30" s="164"/>
      <c r="W30" s="164"/>
      <c r="X30" s="198">
        <v>1</v>
      </c>
    </row>
    <row r="31" spans="1:24">
      <c r="A31" s="171" t="s">
        <v>4784</v>
      </c>
      <c r="B31" s="164" t="s">
        <v>4858</v>
      </c>
      <c r="C31" s="164" t="s">
        <v>4864</v>
      </c>
      <c r="D31" s="164" t="s">
        <v>754</v>
      </c>
      <c r="E31" s="164" t="s">
        <v>3771</v>
      </c>
      <c r="F31" s="164"/>
      <c r="G31" s="164"/>
      <c r="H31" s="164"/>
      <c r="I31" s="164"/>
      <c r="J31" s="164"/>
      <c r="K31" s="164"/>
      <c r="L31" s="164"/>
      <c r="M31" s="164"/>
      <c r="N31" s="164"/>
      <c r="O31" s="164"/>
      <c r="P31" s="164"/>
      <c r="Q31" s="164"/>
      <c r="R31" s="164"/>
      <c r="S31" s="164"/>
      <c r="T31" s="164"/>
      <c r="U31" s="164"/>
      <c r="V31" s="164"/>
      <c r="W31" s="164"/>
      <c r="X31" s="198">
        <v>1</v>
      </c>
    </row>
    <row r="32" spans="1:24">
      <c r="A32" s="171" t="s">
        <v>4784</v>
      </c>
      <c r="B32" s="164" t="s">
        <v>4858</v>
      </c>
      <c r="C32" s="164" t="s">
        <v>3774</v>
      </c>
      <c r="D32" s="164" t="s">
        <v>754</v>
      </c>
      <c r="E32" s="164" t="s">
        <v>3772</v>
      </c>
      <c r="F32" s="164"/>
      <c r="G32" s="164"/>
      <c r="H32" s="164"/>
      <c r="I32" s="164"/>
      <c r="J32" s="164"/>
      <c r="K32" s="164"/>
      <c r="L32" s="164"/>
      <c r="M32" s="164"/>
      <c r="N32" s="164"/>
      <c r="O32" s="164"/>
      <c r="P32" s="164"/>
      <c r="Q32" s="164"/>
      <c r="R32" s="164"/>
      <c r="S32" s="164"/>
      <c r="T32" s="164"/>
      <c r="U32" s="164"/>
      <c r="V32" s="164"/>
      <c r="W32" s="164"/>
      <c r="X32" s="198">
        <v>1</v>
      </c>
    </row>
    <row r="33" spans="1:24">
      <c r="A33" s="171" t="s">
        <v>4784</v>
      </c>
      <c r="B33" s="164" t="s">
        <v>4858</v>
      </c>
      <c r="C33" s="164" t="s">
        <v>3774</v>
      </c>
      <c r="D33" s="164" t="s">
        <v>754</v>
      </c>
      <c r="E33" s="164" t="s">
        <v>3775</v>
      </c>
      <c r="F33" s="164"/>
      <c r="G33" s="164"/>
      <c r="H33" s="164"/>
      <c r="I33" s="164"/>
      <c r="J33" s="164"/>
      <c r="K33" s="164"/>
      <c r="L33" s="164"/>
      <c r="M33" s="164"/>
      <c r="N33" s="164"/>
      <c r="O33" s="164"/>
      <c r="P33" s="164"/>
      <c r="Q33" s="164"/>
      <c r="R33" s="164"/>
      <c r="S33" s="164"/>
      <c r="T33" s="164"/>
      <c r="U33" s="164"/>
      <c r="V33" s="164"/>
      <c r="W33" s="164"/>
      <c r="X33" s="198">
        <v>1</v>
      </c>
    </row>
    <row r="34" spans="1:24">
      <c r="A34" s="171" t="s">
        <v>4784</v>
      </c>
      <c r="B34" s="164" t="s">
        <v>4858</v>
      </c>
      <c r="C34" s="164" t="s">
        <v>3774</v>
      </c>
      <c r="D34" s="164" t="s">
        <v>754</v>
      </c>
      <c r="E34" s="164" t="s">
        <v>3777</v>
      </c>
      <c r="F34" s="164"/>
      <c r="G34" s="164"/>
      <c r="H34" s="164"/>
      <c r="I34" s="164"/>
      <c r="J34" s="164"/>
      <c r="K34" s="164"/>
      <c r="L34" s="164"/>
      <c r="M34" s="164"/>
      <c r="N34" s="164"/>
      <c r="O34" s="164"/>
      <c r="P34" s="164"/>
      <c r="Q34" s="164"/>
      <c r="R34" s="164"/>
      <c r="S34" s="164"/>
      <c r="T34" s="164"/>
      <c r="U34" s="164"/>
      <c r="V34" s="164"/>
      <c r="W34" s="164"/>
      <c r="X34" s="198">
        <v>1</v>
      </c>
    </row>
    <row r="35" spans="1:24">
      <c r="A35" s="171" t="s">
        <v>4784</v>
      </c>
      <c r="B35" s="164" t="s">
        <v>4858</v>
      </c>
      <c r="C35" s="164" t="s">
        <v>3774</v>
      </c>
      <c r="D35" s="164" t="s">
        <v>754</v>
      </c>
      <c r="E35" s="164" t="s">
        <v>3779</v>
      </c>
      <c r="F35" s="164"/>
      <c r="G35" s="164"/>
      <c r="H35" s="164"/>
      <c r="I35" s="164"/>
      <c r="J35" s="164"/>
      <c r="K35" s="164"/>
      <c r="L35" s="164"/>
      <c r="M35" s="164"/>
      <c r="N35" s="164"/>
      <c r="O35" s="164"/>
      <c r="P35" s="164"/>
      <c r="Q35" s="164"/>
      <c r="R35" s="164"/>
      <c r="S35" s="164"/>
      <c r="T35" s="164"/>
      <c r="U35" s="164"/>
      <c r="V35" s="164"/>
      <c r="W35" s="164"/>
      <c r="X35" s="198">
        <v>1</v>
      </c>
    </row>
    <row r="36" spans="1:24">
      <c r="A36" s="171" t="s">
        <v>4784</v>
      </c>
      <c r="B36" s="164" t="s">
        <v>4858</v>
      </c>
      <c r="C36" s="164" t="s">
        <v>3774</v>
      </c>
      <c r="D36" s="164" t="s">
        <v>754</v>
      </c>
      <c r="E36" s="164" t="s">
        <v>3781</v>
      </c>
      <c r="F36" s="164"/>
      <c r="G36" s="164"/>
      <c r="H36" s="164"/>
      <c r="I36" s="164"/>
      <c r="J36" s="164"/>
      <c r="K36" s="164"/>
      <c r="L36" s="164"/>
      <c r="M36" s="164"/>
      <c r="N36" s="164"/>
      <c r="O36" s="164"/>
      <c r="P36" s="164"/>
      <c r="Q36" s="164"/>
      <c r="R36" s="164"/>
      <c r="S36" s="164"/>
      <c r="T36" s="164"/>
      <c r="U36" s="164"/>
      <c r="V36" s="164"/>
      <c r="W36" s="164"/>
      <c r="X36" s="198">
        <v>1</v>
      </c>
    </row>
    <row r="37" spans="1:24">
      <c r="A37" s="171" t="s">
        <v>4784</v>
      </c>
      <c r="B37" s="164" t="s">
        <v>4858</v>
      </c>
      <c r="C37" s="164" t="s">
        <v>3774</v>
      </c>
      <c r="D37" s="164" t="s">
        <v>754</v>
      </c>
      <c r="E37" s="164" t="s">
        <v>3782</v>
      </c>
      <c r="F37" s="164"/>
      <c r="G37" s="164"/>
      <c r="H37" s="164"/>
      <c r="I37" s="164"/>
      <c r="J37" s="164"/>
      <c r="K37" s="164"/>
      <c r="L37" s="164"/>
      <c r="M37" s="164"/>
      <c r="N37" s="164"/>
      <c r="O37" s="164"/>
      <c r="P37" s="164"/>
      <c r="Q37" s="164"/>
      <c r="R37" s="164"/>
      <c r="S37" s="164"/>
      <c r="T37" s="164"/>
      <c r="U37" s="164"/>
      <c r="V37" s="164"/>
      <c r="W37" s="164"/>
      <c r="X37" s="198">
        <v>1</v>
      </c>
    </row>
    <row r="38" spans="1:24">
      <c r="A38" s="171" t="s">
        <v>4784</v>
      </c>
      <c r="B38" s="164" t="s">
        <v>4858</v>
      </c>
      <c r="C38" s="164" t="s">
        <v>3774</v>
      </c>
      <c r="D38" s="164" t="s">
        <v>754</v>
      </c>
      <c r="E38" s="164" t="s">
        <v>3783</v>
      </c>
      <c r="F38" s="164"/>
      <c r="G38" s="164"/>
      <c r="H38" s="164"/>
      <c r="I38" s="164"/>
      <c r="J38" s="164"/>
      <c r="K38" s="164"/>
      <c r="L38" s="164"/>
      <c r="M38" s="164"/>
      <c r="N38" s="164"/>
      <c r="O38" s="164"/>
      <c r="P38" s="164"/>
      <c r="Q38" s="164"/>
      <c r="R38" s="164"/>
      <c r="S38" s="164"/>
      <c r="T38" s="164"/>
      <c r="U38" s="164"/>
      <c r="V38" s="164"/>
      <c r="W38" s="164"/>
      <c r="X38" s="198">
        <v>1</v>
      </c>
    </row>
    <row r="39" spans="1:24">
      <c r="A39" s="171" t="s">
        <v>4784</v>
      </c>
      <c r="B39" s="164" t="s">
        <v>4858</v>
      </c>
      <c r="C39" s="164" t="s">
        <v>3774</v>
      </c>
      <c r="D39" s="164" t="s">
        <v>754</v>
      </c>
      <c r="E39" s="164" t="s">
        <v>3784</v>
      </c>
      <c r="F39" s="164"/>
      <c r="G39" s="164"/>
      <c r="H39" s="164"/>
      <c r="I39" s="164"/>
      <c r="J39" s="164"/>
      <c r="K39" s="164"/>
      <c r="L39" s="164"/>
      <c r="M39" s="164"/>
      <c r="N39" s="164"/>
      <c r="O39" s="164"/>
      <c r="P39" s="164"/>
      <c r="Q39" s="164"/>
      <c r="R39" s="164"/>
      <c r="S39" s="164"/>
      <c r="T39" s="164"/>
      <c r="U39" s="164"/>
      <c r="V39" s="164"/>
      <c r="W39" s="164"/>
      <c r="X39" s="198">
        <v>1</v>
      </c>
    </row>
    <row r="40" spans="1:24">
      <c r="A40" s="171" t="s">
        <v>4784</v>
      </c>
      <c r="B40" s="164" t="s">
        <v>4858</v>
      </c>
      <c r="C40" s="164" t="s">
        <v>3774</v>
      </c>
      <c r="D40" s="164" t="s">
        <v>754</v>
      </c>
      <c r="E40" s="164" t="s">
        <v>3785</v>
      </c>
      <c r="F40" s="164"/>
      <c r="G40" s="164"/>
      <c r="H40" s="164"/>
      <c r="I40" s="164"/>
      <c r="J40" s="164"/>
      <c r="K40" s="164"/>
      <c r="L40" s="164"/>
      <c r="M40" s="164"/>
      <c r="N40" s="164"/>
      <c r="O40" s="164"/>
      <c r="P40" s="164"/>
      <c r="Q40" s="164"/>
      <c r="R40" s="164"/>
      <c r="S40" s="164"/>
      <c r="T40" s="164"/>
      <c r="U40" s="164"/>
      <c r="V40" s="164"/>
      <c r="W40" s="164"/>
      <c r="X40" s="198">
        <v>1</v>
      </c>
    </row>
    <row r="41" spans="1:24">
      <c r="A41" s="171" t="s">
        <v>4784</v>
      </c>
      <c r="B41" s="164" t="s">
        <v>4858</v>
      </c>
      <c r="C41" s="164" t="s">
        <v>3774</v>
      </c>
      <c r="D41" s="164" t="s">
        <v>754</v>
      </c>
      <c r="E41" s="164" t="s">
        <v>3786</v>
      </c>
      <c r="F41" s="164"/>
      <c r="G41" s="164"/>
      <c r="H41" s="164"/>
      <c r="I41" s="164"/>
      <c r="J41" s="164"/>
      <c r="K41" s="164"/>
      <c r="L41" s="164"/>
      <c r="M41" s="164"/>
      <c r="N41" s="164"/>
      <c r="O41" s="164"/>
      <c r="P41" s="164"/>
      <c r="Q41" s="164"/>
      <c r="R41" s="164"/>
      <c r="S41" s="164"/>
      <c r="T41" s="164"/>
      <c r="U41" s="164"/>
      <c r="V41" s="164"/>
      <c r="W41" s="164"/>
      <c r="X41" s="198">
        <v>1</v>
      </c>
    </row>
    <row r="42" spans="1:24">
      <c r="A42" s="171" t="s">
        <v>4784</v>
      </c>
      <c r="B42" s="164" t="s">
        <v>4858</v>
      </c>
      <c r="C42" s="164" t="s">
        <v>3774</v>
      </c>
      <c r="D42" s="164" t="s">
        <v>754</v>
      </c>
      <c r="E42" s="164" t="s">
        <v>3787</v>
      </c>
      <c r="F42" s="164"/>
      <c r="G42" s="164"/>
      <c r="H42" s="164"/>
      <c r="I42" s="164"/>
      <c r="J42" s="164"/>
      <c r="K42" s="164"/>
      <c r="L42" s="164"/>
      <c r="M42" s="164"/>
      <c r="N42" s="164"/>
      <c r="O42" s="164"/>
      <c r="P42" s="164"/>
      <c r="Q42" s="164"/>
      <c r="R42" s="164"/>
      <c r="S42" s="164"/>
      <c r="T42" s="164"/>
      <c r="U42" s="164"/>
      <c r="V42" s="164"/>
      <c r="W42" s="164"/>
      <c r="X42" s="198">
        <v>1</v>
      </c>
    </row>
    <row r="43" spans="1:24">
      <c r="A43" s="171" t="s">
        <v>4784</v>
      </c>
      <c r="B43" s="164" t="s">
        <v>4858</v>
      </c>
      <c r="C43" s="164" t="s">
        <v>3774</v>
      </c>
      <c r="D43" s="164" t="s">
        <v>754</v>
      </c>
      <c r="E43" s="164" t="s">
        <v>3788</v>
      </c>
      <c r="F43" s="164"/>
      <c r="G43" s="164"/>
      <c r="H43" s="164"/>
      <c r="I43" s="164"/>
      <c r="J43" s="164"/>
      <c r="K43" s="164"/>
      <c r="L43" s="164"/>
      <c r="M43" s="164"/>
      <c r="N43" s="164"/>
      <c r="O43" s="164"/>
      <c r="P43" s="164"/>
      <c r="Q43" s="164"/>
      <c r="R43" s="164"/>
      <c r="S43" s="164"/>
      <c r="T43" s="164"/>
      <c r="U43" s="164"/>
      <c r="V43" s="164"/>
      <c r="W43" s="164"/>
      <c r="X43" s="198">
        <v>1</v>
      </c>
    </row>
    <row r="44" spans="1:24">
      <c r="A44" s="171" t="s">
        <v>4784</v>
      </c>
      <c r="B44" s="164" t="s">
        <v>4858</v>
      </c>
      <c r="C44" s="164" t="s">
        <v>3774</v>
      </c>
      <c r="D44" s="164" t="s">
        <v>754</v>
      </c>
      <c r="E44" s="164" t="s">
        <v>3789</v>
      </c>
      <c r="F44" s="164"/>
      <c r="G44" s="164"/>
      <c r="H44" s="164"/>
      <c r="I44" s="164"/>
      <c r="J44" s="164"/>
      <c r="K44" s="164"/>
      <c r="L44" s="164"/>
      <c r="M44" s="164"/>
      <c r="N44" s="164"/>
      <c r="O44" s="164"/>
      <c r="P44" s="164"/>
      <c r="Q44" s="164"/>
      <c r="R44" s="164"/>
      <c r="S44" s="164"/>
      <c r="T44" s="164"/>
      <c r="U44" s="164"/>
      <c r="V44" s="164"/>
      <c r="W44" s="164"/>
      <c r="X44" s="198">
        <v>1</v>
      </c>
    </row>
    <row r="45" spans="1:24">
      <c r="A45" s="171" t="s">
        <v>4784</v>
      </c>
      <c r="B45" s="164" t="s">
        <v>4858</v>
      </c>
      <c r="C45" s="164" t="s">
        <v>3792</v>
      </c>
      <c r="D45" s="164" t="s">
        <v>754</v>
      </c>
      <c r="E45" s="164" t="s">
        <v>3790</v>
      </c>
      <c r="F45" s="164"/>
      <c r="G45" s="164"/>
      <c r="H45" s="164"/>
      <c r="I45" s="164"/>
      <c r="J45" s="164"/>
      <c r="K45" s="164"/>
      <c r="L45" s="164"/>
      <c r="M45" s="164"/>
      <c r="N45" s="164"/>
      <c r="O45" s="164"/>
      <c r="P45" s="164"/>
      <c r="Q45" s="164"/>
      <c r="R45" s="164"/>
      <c r="S45" s="164"/>
      <c r="T45" s="164"/>
      <c r="U45" s="164"/>
      <c r="V45" s="164"/>
      <c r="W45" s="164"/>
      <c r="X45" s="198">
        <v>1</v>
      </c>
    </row>
    <row r="46" spans="1:24">
      <c r="A46" s="171" t="s">
        <v>4784</v>
      </c>
      <c r="B46" s="164" t="s">
        <v>4858</v>
      </c>
      <c r="C46" s="164" t="s">
        <v>3792</v>
      </c>
      <c r="D46" s="164" t="s">
        <v>754</v>
      </c>
      <c r="E46" s="164" t="s">
        <v>3793</v>
      </c>
      <c r="F46" s="164"/>
      <c r="G46" s="164"/>
      <c r="H46" s="164"/>
      <c r="I46" s="164"/>
      <c r="J46" s="164"/>
      <c r="K46" s="164"/>
      <c r="L46" s="164"/>
      <c r="M46" s="164"/>
      <c r="N46" s="164"/>
      <c r="O46" s="164"/>
      <c r="P46" s="164"/>
      <c r="Q46" s="164"/>
      <c r="R46" s="164"/>
      <c r="S46" s="164"/>
      <c r="T46" s="164"/>
      <c r="U46" s="164"/>
      <c r="V46" s="164"/>
      <c r="W46" s="164"/>
      <c r="X46" s="198">
        <v>1</v>
      </c>
    </row>
    <row r="47" spans="1:24">
      <c r="A47" s="171" t="s">
        <v>4784</v>
      </c>
      <c r="B47" s="164" t="s">
        <v>4858</v>
      </c>
      <c r="C47" s="164" t="s">
        <v>3792</v>
      </c>
      <c r="D47" s="164" t="s">
        <v>754</v>
      </c>
      <c r="E47" s="164" t="s">
        <v>3795</v>
      </c>
      <c r="F47" s="164"/>
      <c r="G47" s="164"/>
      <c r="H47" s="164"/>
      <c r="I47" s="164"/>
      <c r="J47" s="164"/>
      <c r="K47" s="164"/>
      <c r="L47" s="164"/>
      <c r="M47" s="164"/>
      <c r="N47" s="164"/>
      <c r="O47" s="164"/>
      <c r="P47" s="164"/>
      <c r="Q47" s="164"/>
      <c r="R47" s="164"/>
      <c r="S47" s="164"/>
      <c r="T47" s="164"/>
      <c r="U47" s="164"/>
      <c r="V47" s="164"/>
      <c r="W47" s="164"/>
      <c r="X47" s="198">
        <v>1</v>
      </c>
    </row>
    <row r="48" spans="1:24">
      <c r="A48" s="171" t="s">
        <v>4784</v>
      </c>
      <c r="B48" s="164" t="s">
        <v>4858</v>
      </c>
      <c r="C48" s="164" t="s">
        <v>3792</v>
      </c>
      <c r="D48" s="164" t="s">
        <v>754</v>
      </c>
      <c r="E48" s="164" t="s">
        <v>3797</v>
      </c>
      <c r="F48" s="164"/>
      <c r="G48" s="164"/>
      <c r="H48" s="164"/>
      <c r="I48" s="164"/>
      <c r="J48" s="164"/>
      <c r="K48" s="164"/>
      <c r="L48" s="164"/>
      <c r="M48" s="164"/>
      <c r="N48" s="164"/>
      <c r="O48" s="164"/>
      <c r="P48" s="164"/>
      <c r="Q48" s="164"/>
      <c r="R48" s="164"/>
      <c r="S48" s="164"/>
      <c r="T48" s="164"/>
      <c r="U48" s="164"/>
      <c r="V48" s="164"/>
      <c r="W48" s="164"/>
      <c r="X48" s="198">
        <v>1</v>
      </c>
    </row>
    <row r="49" spans="1:24">
      <c r="A49" s="171" t="s">
        <v>4784</v>
      </c>
      <c r="B49" s="164" t="s">
        <v>4858</v>
      </c>
      <c r="C49" s="164" t="s">
        <v>3792</v>
      </c>
      <c r="D49" s="164" t="s">
        <v>754</v>
      </c>
      <c r="E49" s="164" t="s">
        <v>3799</v>
      </c>
      <c r="F49" s="164"/>
      <c r="G49" s="164"/>
      <c r="H49" s="164"/>
      <c r="I49" s="164"/>
      <c r="J49" s="164"/>
      <c r="K49" s="164"/>
      <c r="L49" s="164"/>
      <c r="M49" s="164"/>
      <c r="N49" s="164"/>
      <c r="O49" s="164"/>
      <c r="P49" s="164"/>
      <c r="Q49" s="164"/>
      <c r="R49" s="164"/>
      <c r="S49" s="164"/>
      <c r="T49" s="164"/>
      <c r="U49" s="164"/>
      <c r="V49" s="164"/>
      <c r="W49" s="164"/>
      <c r="X49" s="198">
        <v>1</v>
      </c>
    </row>
    <row r="50" spans="1:24">
      <c r="A50" s="171" t="s">
        <v>4784</v>
      </c>
      <c r="B50" s="164" t="s">
        <v>4858</v>
      </c>
      <c r="C50" s="164" t="s">
        <v>3792</v>
      </c>
      <c r="D50" s="164" t="s">
        <v>754</v>
      </c>
      <c r="E50" s="164" t="s">
        <v>3800</v>
      </c>
      <c r="F50" s="164"/>
      <c r="G50" s="164"/>
      <c r="H50" s="164"/>
      <c r="I50" s="164"/>
      <c r="J50" s="164"/>
      <c r="K50" s="164"/>
      <c r="L50" s="164"/>
      <c r="M50" s="164"/>
      <c r="N50" s="164"/>
      <c r="O50" s="164"/>
      <c r="P50" s="164"/>
      <c r="Q50" s="164"/>
      <c r="R50" s="164"/>
      <c r="S50" s="164"/>
      <c r="T50" s="164"/>
      <c r="U50" s="164"/>
      <c r="V50" s="164"/>
      <c r="W50" s="164"/>
      <c r="X50" s="198">
        <v>1</v>
      </c>
    </row>
    <row r="51" spans="1:24">
      <c r="A51" s="171" t="s">
        <v>4784</v>
      </c>
      <c r="B51" s="164" t="s">
        <v>4858</v>
      </c>
      <c r="C51" s="164" t="s">
        <v>3792</v>
      </c>
      <c r="D51" s="164" t="s">
        <v>754</v>
      </c>
      <c r="E51" s="164" t="s">
        <v>3801</v>
      </c>
      <c r="F51" s="164"/>
      <c r="G51" s="164"/>
      <c r="H51" s="164"/>
      <c r="I51" s="164"/>
      <c r="J51" s="164"/>
      <c r="K51" s="164"/>
      <c r="L51" s="164"/>
      <c r="M51" s="164"/>
      <c r="N51" s="164"/>
      <c r="O51" s="164"/>
      <c r="P51" s="164"/>
      <c r="Q51" s="164"/>
      <c r="R51" s="164"/>
      <c r="S51" s="164"/>
      <c r="T51" s="164"/>
      <c r="U51" s="164"/>
      <c r="V51" s="164"/>
      <c r="W51" s="164"/>
      <c r="X51" s="198">
        <v>1</v>
      </c>
    </row>
    <row r="52" spans="1:24">
      <c r="A52" s="171" t="s">
        <v>4784</v>
      </c>
      <c r="B52" s="164" t="s">
        <v>4858</v>
      </c>
      <c r="C52" s="164" t="s">
        <v>4865</v>
      </c>
      <c r="D52" s="164" t="s">
        <v>754</v>
      </c>
      <c r="E52" s="164" t="s">
        <v>3802</v>
      </c>
      <c r="F52" s="164"/>
      <c r="G52" s="164"/>
      <c r="H52" s="164"/>
      <c r="I52" s="164"/>
      <c r="J52" s="164"/>
      <c r="K52" s="164"/>
      <c r="L52" s="164"/>
      <c r="M52" s="164"/>
      <c r="N52" s="164"/>
      <c r="O52" s="164"/>
      <c r="P52" s="164"/>
      <c r="Q52" s="164"/>
      <c r="R52" s="164"/>
      <c r="S52" s="164"/>
      <c r="T52" s="164"/>
      <c r="U52" s="164"/>
      <c r="V52" s="164"/>
      <c r="W52" s="164"/>
      <c r="X52" s="198">
        <v>1</v>
      </c>
    </row>
    <row r="53" spans="1:24">
      <c r="A53" s="171" t="s">
        <v>4784</v>
      </c>
      <c r="B53" s="164" t="s">
        <v>4858</v>
      </c>
      <c r="C53" s="164" t="s">
        <v>4865</v>
      </c>
      <c r="D53" s="164" t="s">
        <v>754</v>
      </c>
      <c r="E53" s="164" t="s">
        <v>3805</v>
      </c>
      <c r="F53" s="164"/>
      <c r="G53" s="164"/>
      <c r="H53" s="164"/>
      <c r="I53" s="164"/>
      <c r="J53" s="164"/>
      <c r="K53" s="164"/>
      <c r="L53" s="164"/>
      <c r="M53" s="164"/>
      <c r="N53" s="164"/>
      <c r="O53" s="164"/>
      <c r="P53" s="164"/>
      <c r="Q53" s="164"/>
      <c r="R53" s="164"/>
      <c r="S53" s="164"/>
      <c r="T53" s="164"/>
      <c r="U53" s="164"/>
      <c r="V53" s="164"/>
      <c r="W53" s="164"/>
      <c r="X53" s="198">
        <v>1</v>
      </c>
    </row>
    <row r="54" spans="1:24">
      <c r="A54" s="171" t="s">
        <v>4784</v>
      </c>
      <c r="B54" s="164" t="s">
        <v>4858</v>
      </c>
      <c r="C54" s="164" t="s">
        <v>4865</v>
      </c>
      <c r="D54" s="164" t="s">
        <v>754</v>
      </c>
      <c r="E54" s="164" t="s">
        <v>3807</v>
      </c>
      <c r="F54" s="164"/>
      <c r="G54" s="164"/>
      <c r="H54" s="164"/>
      <c r="I54" s="164"/>
      <c r="J54" s="164"/>
      <c r="K54" s="164"/>
      <c r="L54" s="164"/>
      <c r="M54" s="164"/>
      <c r="N54" s="164"/>
      <c r="O54" s="164"/>
      <c r="P54" s="164"/>
      <c r="Q54" s="164"/>
      <c r="R54" s="164"/>
      <c r="S54" s="164"/>
      <c r="T54" s="164"/>
      <c r="U54" s="164"/>
      <c r="V54" s="164"/>
      <c r="W54" s="164"/>
      <c r="X54" s="198">
        <v>1</v>
      </c>
    </row>
    <row r="55" spans="1:24">
      <c r="A55" s="171" t="s">
        <v>4784</v>
      </c>
      <c r="B55" s="164" t="s">
        <v>4858</v>
      </c>
      <c r="C55" s="164" t="s">
        <v>4866</v>
      </c>
      <c r="D55" s="164" t="s">
        <v>754</v>
      </c>
      <c r="E55" s="164" t="s">
        <v>3810</v>
      </c>
      <c r="F55" s="164"/>
      <c r="G55" s="164"/>
      <c r="H55" s="164"/>
      <c r="I55" s="164"/>
      <c r="J55" s="164"/>
      <c r="K55" s="164"/>
      <c r="L55" s="164"/>
      <c r="M55" s="164"/>
      <c r="N55" s="164"/>
      <c r="O55" s="164"/>
      <c r="P55" s="164"/>
      <c r="Q55" s="164"/>
      <c r="R55" s="164"/>
      <c r="S55" s="164"/>
      <c r="T55" s="164"/>
      <c r="U55" s="164"/>
      <c r="V55" s="164"/>
      <c r="W55" s="164"/>
      <c r="X55" s="198">
        <v>1</v>
      </c>
    </row>
    <row r="56" spans="1:24">
      <c r="A56" s="171" t="s">
        <v>4784</v>
      </c>
      <c r="B56" s="164" t="s">
        <v>4858</v>
      </c>
      <c r="C56" s="164" t="s">
        <v>3821</v>
      </c>
      <c r="D56" s="164" t="s">
        <v>754</v>
      </c>
      <c r="E56" s="164" t="s">
        <v>3816</v>
      </c>
      <c r="F56" s="164"/>
      <c r="G56" s="164"/>
      <c r="H56" s="164"/>
      <c r="I56" s="164"/>
      <c r="J56" s="164"/>
      <c r="K56" s="164"/>
      <c r="L56" s="164"/>
      <c r="M56" s="164"/>
      <c r="N56" s="164"/>
      <c r="O56" s="164"/>
      <c r="P56" s="164"/>
      <c r="Q56" s="164"/>
      <c r="R56" s="164"/>
      <c r="S56" s="164"/>
      <c r="T56" s="164"/>
      <c r="U56" s="164"/>
      <c r="V56" s="164"/>
      <c r="W56" s="164"/>
      <c r="X56" s="198">
        <v>1</v>
      </c>
    </row>
    <row r="57" spans="1:24">
      <c r="A57" s="171" t="s">
        <v>4784</v>
      </c>
      <c r="B57" s="164" t="s">
        <v>4858</v>
      </c>
      <c r="C57" s="164" t="s">
        <v>3821</v>
      </c>
      <c r="D57" s="164" t="s">
        <v>754</v>
      </c>
      <c r="E57" s="164" t="s">
        <v>3819</v>
      </c>
      <c r="F57" s="164"/>
      <c r="G57" s="164"/>
      <c r="H57" s="164"/>
      <c r="I57" s="164"/>
      <c r="J57" s="164"/>
      <c r="K57" s="164"/>
      <c r="L57" s="164"/>
      <c r="M57" s="164"/>
      <c r="N57" s="164"/>
      <c r="O57" s="164"/>
      <c r="P57" s="164"/>
      <c r="Q57" s="164"/>
      <c r="R57" s="164"/>
      <c r="S57" s="164"/>
      <c r="T57" s="164"/>
      <c r="U57" s="164"/>
      <c r="V57" s="164"/>
      <c r="W57" s="164"/>
      <c r="X57" s="198">
        <v>1</v>
      </c>
    </row>
    <row r="58" spans="1:24">
      <c r="A58" s="171" t="s">
        <v>4784</v>
      </c>
      <c r="B58" s="164" t="s">
        <v>4858</v>
      </c>
      <c r="C58" s="164" t="s">
        <v>3821</v>
      </c>
      <c r="D58" s="164" t="s">
        <v>754</v>
      </c>
      <c r="E58" s="164" t="s">
        <v>3822</v>
      </c>
      <c r="F58" s="164"/>
      <c r="G58" s="164"/>
      <c r="H58" s="164"/>
      <c r="I58" s="164"/>
      <c r="J58" s="164"/>
      <c r="K58" s="164"/>
      <c r="L58" s="164"/>
      <c r="M58" s="164"/>
      <c r="N58" s="164"/>
      <c r="O58" s="164"/>
      <c r="P58" s="164"/>
      <c r="Q58" s="164"/>
      <c r="R58" s="164"/>
      <c r="S58" s="164"/>
      <c r="T58" s="164"/>
      <c r="U58" s="164"/>
      <c r="V58" s="164"/>
      <c r="W58" s="164"/>
      <c r="X58" s="198">
        <v>1</v>
      </c>
    </row>
    <row r="59" spans="1:24">
      <c r="A59" s="171" t="s">
        <v>4784</v>
      </c>
      <c r="B59" s="164" t="s">
        <v>4858</v>
      </c>
      <c r="C59" s="164" t="s">
        <v>3821</v>
      </c>
      <c r="D59" s="164" t="s">
        <v>754</v>
      </c>
      <c r="E59" s="164" t="s">
        <v>3823</v>
      </c>
      <c r="F59" s="164"/>
      <c r="G59" s="164"/>
      <c r="H59" s="164"/>
      <c r="I59" s="164"/>
      <c r="J59" s="164"/>
      <c r="K59" s="164"/>
      <c r="L59" s="164"/>
      <c r="M59" s="164"/>
      <c r="N59" s="164"/>
      <c r="O59" s="164"/>
      <c r="P59" s="164"/>
      <c r="Q59" s="164"/>
      <c r="R59" s="164"/>
      <c r="S59" s="164"/>
      <c r="T59" s="164"/>
      <c r="U59" s="164"/>
      <c r="V59" s="164"/>
      <c r="W59" s="164"/>
      <c r="X59" s="198">
        <v>1</v>
      </c>
    </row>
    <row r="60" spans="1:24">
      <c r="A60" s="171" t="s">
        <v>4784</v>
      </c>
      <c r="B60" s="164" t="s">
        <v>4858</v>
      </c>
      <c r="C60" s="164" t="s">
        <v>3821</v>
      </c>
      <c r="D60" s="164" t="s">
        <v>754</v>
      </c>
      <c r="E60" s="164" t="s">
        <v>3824</v>
      </c>
      <c r="F60" s="164"/>
      <c r="G60" s="164"/>
      <c r="H60" s="164"/>
      <c r="I60" s="164"/>
      <c r="J60" s="164"/>
      <c r="K60" s="164"/>
      <c r="L60" s="164"/>
      <c r="M60" s="164"/>
      <c r="N60" s="164"/>
      <c r="O60" s="164"/>
      <c r="P60" s="164"/>
      <c r="Q60" s="164"/>
      <c r="R60" s="164"/>
      <c r="S60" s="164"/>
      <c r="T60" s="164"/>
      <c r="U60" s="164"/>
      <c r="V60" s="164"/>
      <c r="W60" s="164"/>
      <c r="X60" s="198">
        <v>1</v>
      </c>
    </row>
    <row r="61" spans="1:24">
      <c r="A61" s="171" t="s">
        <v>4784</v>
      </c>
      <c r="B61" s="164" t="s">
        <v>4858</v>
      </c>
      <c r="C61" s="164" t="s">
        <v>3821</v>
      </c>
      <c r="D61" s="164" t="s">
        <v>754</v>
      </c>
      <c r="E61" s="164" t="s">
        <v>3825</v>
      </c>
      <c r="F61" s="164"/>
      <c r="G61" s="164"/>
      <c r="H61" s="164"/>
      <c r="I61" s="164"/>
      <c r="J61" s="164"/>
      <c r="K61" s="164"/>
      <c r="L61" s="164"/>
      <c r="M61" s="164"/>
      <c r="N61" s="164"/>
      <c r="O61" s="164"/>
      <c r="P61" s="164"/>
      <c r="Q61" s="164"/>
      <c r="R61" s="164"/>
      <c r="S61" s="164"/>
      <c r="T61" s="164"/>
      <c r="U61" s="164"/>
      <c r="V61" s="164"/>
      <c r="W61" s="164"/>
      <c r="X61" s="198">
        <v>1</v>
      </c>
    </row>
    <row r="62" spans="1:24">
      <c r="A62" s="171" t="s">
        <v>4784</v>
      </c>
      <c r="B62" s="164" t="s">
        <v>4858</v>
      </c>
      <c r="C62" s="164" t="s">
        <v>3828</v>
      </c>
      <c r="D62" s="164" t="s">
        <v>754</v>
      </c>
      <c r="E62" s="164" t="s">
        <v>3826</v>
      </c>
      <c r="F62" s="164"/>
      <c r="G62" s="164"/>
      <c r="H62" s="164"/>
      <c r="I62" s="164"/>
      <c r="J62" s="164"/>
      <c r="K62" s="164"/>
      <c r="L62" s="164"/>
      <c r="M62" s="164"/>
      <c r="N62" s="164"/>
      <c r="O62" s="164"/>
      <c r="P62" s="164"/>
      <c r="Q62" s="164"/>
      <c r="R62" s="164"/>
      <c r="S62" s="164"/>
      <c r="T62" s="164"/>
      <c r="U62" s="164"/>
      <c r="V62" s="164"/>
      <c r="W62" s="164"/>
      <c r="X62" s="198">
        <v>1</v>
      </c>
    </row>
    <row r="63" spans="1:24">
      <c r="A63" s="171" t="s">
        <v>4784</v>
      </c>
      <c r="B63" s="164" t="s">
        <v>4858</v>
      </c>
      <c r="C63" s="164" t="s">
        <v>3828</v>
      </c>
      <c r="D63" s="164" t="s">
        <v>754</v>
      </c>
      <c r="E63" s="164" t="s">
        <v>3829</v>
      </c>
      <c r="F63" s="164"/>
      <c r="G63" s="164"/>
      <c r="H63" s="164"/>
      <c r="I63" s="164"/>
      <c r="J63" s="164"/>
      <c r="K63" s="164"/>
      <c r="L63" s="164"/>
      <c r="M63" s="164"/>
      <c r="N63" s="164"/>
      <c r="O63" s="164"/>
      <c r="P63" s="164"/>
      <c r="Q63" s="164"/>
      <c r="R63" s="164"/>
      <c r="S63" s="164"/>
      <c r="T63" s="164"/>
      <c r="U63" s="164"/>
      <c r="V63" s="164"/>
      <c r="W63" s="164"/>
      <c r="X63" s="198">
        <v>1</v>
      </c>
    </row>
    <row r="64" spans="1:24">
      <c r="A64" s="171" t="s">
        <v>4784</v>
      </c>
      <c r="B64" s="164" t="s">
        <v>4858</v>
      </c>
      <c r="C64" s="164" t="s">
        <v>3828</v>
      </c>
      <c r="D64" s="164" t="s">
        <v>754</v>
      </c>
      <c r="E64" s="164" t="s">
        <v>3830</v>
      </c>
      <c r="F64" s="164"/>
      <c r="G64" s="164"/>
      <c r="H64" s="164"/>
      <c r="I64" s="164"/>
      <c r="J64" s="164"/>
      <c r="K64" s="164"/>
      <c r="L64" s="164"/>
      <c r="M64" s="164"/>
      <c r="N64" s="164"/>
      <c r="O64" s="164"/>
      <c r="P64" s="164"/>
      <c r="Q64" s="164"/>
      <c r="R64" s="164"/>
      <c r="S64" s="164"/>
      <c r="T64" s="164"/>
      <c r="U64" s="164"/>
      <c r="V64" s="164"/>
      <c r="W64" s="164"/>
      <c r="X64" s="198">
        <v>1</v>
      </c>
    </row>
    <row r="65" spans="1:24">
      <c r="A65" s="171" t="s">
        <v>4784</v>
      </c>
      <c r="B65" s="164" t="s">
        <v>4858</v>
      </c>
      <c r="C65" s="164" t="s">
        <v>3828</v>
      </c>
      <c r="D65" s="164" t="s">
        <v>754</v>
      </c>
      <c r="E65" s="164" t="s">
        <v>3831</v>
      </c>
      <c r="F65" s="164"/>
      <c r="G65" s="164"/>
      <c r="H65" s="164"/>
      <c r="I65" s="164"/>
      <c r="J65" s="164"/>
      <c r="K65" s="164"/>
      <c r="L65" s="164"/>
      <c r="M65" s="164"/>
      <c r="N65" s="164"/>
      <c r="O65" s="164"/>
      <c r="P65" s="164"/>
      <c r="Q65" s="164"/>
      <c r="R65" s="164"/>
      <c r="S65" s="164"/>
      <c r="T65" s="164"/>
      <c r="U65" s="164"/>
      <c r="V65" s="164"/>
      <c r="W65" s="164"/>
      <c r="X65" s="198">
        <v>1</v>
      </c>
    </row>
    <row r="66" spans="1:24">
      <c r="A66" s="171" t="s">
        <v>4784</v>
      </c>
      <c r="B66" s="164" t="s">
        <v>4858</v>
      </c>
      <c r="C66" s="164" t="s">
        <v>3828</v>
      </c>
      <c r="D66" s="164" t="s">
        <v>754</v>
      </c>
      <c r="E66" s="164" t="s">
        <v>3832</v>
      </c>
      <c r="F66" s="164"/>
      <c r="G66" s="164"/>
      <c r="H66" s="164"/>
      <c r="I66" s="164"/>
      <c r="J66" s="164"/>
      <c r="K66" s="164"/>
      <c r="L66" s="164"/>
      <c r="M66" s="164"/>
      <c r="N66" s="164"/>
      <c r="O66" s="164"/>
      <c r="P66" s="164"/>
      <c r="Q66" s="164"/>
      <c r="R66" s="164"/>
      <c r="S66" s="164"/>
      <c r="T66" s="164"/>
      <c r="U66" s="164"/>
      <c r="V66" s="164"/>
      <c r="W66" s="164"/>
      <c r="X66" s="198">
        <v>1</v>
      </c>
    </row>
    <row r="67" spans="1:24">
      <c r="A67" s="171" t="s">
        <v>4784</v>
      </c>
      <c r="B67" s="164" t="s">
        <v>4858</v>
      </c>
      <c r="C67" s="164" t="s">
        <v>3828</v>
      </c>
      <c r="D67" s="164" t="s">
        <v>754</v>
      </c>
      <c r="E67" s="164" t="s">
        <v>3833</v>
      </c>
      <c r="F67" s="164"/>
      <c r="G67" s="164"/>
      <c r="H67" s="164"/>
      <c r="I67" s="164"/>
      <c r="J67" s="164"/>
      <c r="K67" s="164"/>
      <c r="L67" s="164"/>
      <c r="M67" s="164"/>
      <c r="N67" s="164"/>
      <c r="O67" s="164"/>
      <c r="P67" s="164"/>
      <c r="Q67" s="164"/>
      <c r="R67" s="164"/>
      <c r="S67" s="164"/>
      <c r="T67" s="164"/>
      <c r="U67" s="164"/>
      <c r="V67" s="164"/>
      <c r="W67" s="164"/>
      <c r="X67" s="198">
        <v>1</v>
      </c>
    </row>
    <row r="68" spans="1:24">
      <c r="A68" s="171" t="s">
        <v>4784</v>
      </c>
      <c r="B68" s="164" t="s">
        <v>4858</v>
      </c>
      <c r="C68" s="164" t="s">
        <v>3828</v>
      </c>
      <c r="D68" s="164" t="s">
        <v>754</v>
      </c>
      <c r="E68" s="164" t="s">
        <v>3834</v>
      </c>
      <c r="F68" s="164"/>
      <c r="G68" s="164"/>
      <c r="H68" s="164"/>
      <c r="I68" s="164"/>
      <c r="J68" s="164"/>
      <c r="K68" s="164"/>
      <c r="L68" s="164"/>
      <c r="M68" s="164"/>
      <c r="N68" s="164"/>
      <c r="O68" s="164"/>
      <c r="P68" s="164"/>
      <c r="Q68" s="164"/>
      <c r="R68" s="164"/>
      <c r="S68" s="164"/>
      <c r="T68" s="164"/>
      <c r="U68" s="164"/>
      <c r="V68" s="164"/>
      <c r="W68" s="164"/>
      <c r="X68" s="198">
        <v>1</v>
      </c>
    </row>
    <row r="69" spans="1:24">
      <c r="A69" s="171" t="s">
        <v>4784</v>
      </c>
      <c r="B69" s="164" t="s">
        <v>4858</v>
      </c>
      <c r="C69" s="164" t="s">
        <v>3837</v>
      </c>
      <c r="D69" s="164" t="s">
        <v>754</v>
      </c>
      <c r="E69" s="164" t="s">
        <v>3835</v>
      </c>
      <c r="F69" s="164"/>
      <c r="G69" s="164"/>
      <c r="H69" s="164"/>
      <c r="I69" s="164"/>
      <c r="J69" s="164"/>
      <c r="K69" s="164"/>
      <c r="L69" s="164"/>
      <c r="M69" s="164"/>
      <c r="N69" s="164"/>
      <c r="O69" s="164"/>
      <c r="P69" s="164"/>
      <c r="Q69" s="164"/>
      <c r="R69" s="164"/>
      <c r="S69" s="164"/>
      <c r="T69" s="164"/>
      <c r="U69" s="164"/>
      <c r="V69" s="164"/>
      <c r="W69" s="164"/>
      <c r="X69" s="198">
        <v>1</v>
      </c>
    </row>
    <row r="70" spans="1:24">
      <c r="A70" s="171" t="s">
        <v>4784</v>
      </c>
      <c r="B70" s="164" t="s">
        <v>4858</v>
      </c>
      <c r="C70" s="164" t="s">
        <v>3837</v>
      </c>
      <c r="D70" s="164" t="s">
        <v>754</v>
      </c>
      <c r="E70" s="164" t="s">
        <v>4867</v>
      </c>
      <c r="F70" s="164"/>
      <c r="G70" s="164"/>
      <c r="H70" s="164"/>
      <c r="I70" s="164"/>
      <c r="J70" s="164"/>
      <c r="K70" s="164"/>
      <c r="L70" s="164"/>
      <c r="M70" s="164"/>
      <c r="N70" s="164"/>
      <c r="O70" s="164"/>
      <c r="P70" s="164"/>
      <c r="Q70" s="164"/>
      <c r="R70" s="164"/>
      <c r="S70" s="164"/>
      <c r="T70" s="164"/>
      <c r="U70" s="164"/>
      <c r="V70" s="164"/>
      <c r="W70" s="164"/>
      <c r="X70" s="198">
        <v>1</v>
      </c>
    </row>
    <row r="71" spans="1:24">
      <c r="A71" s="171" t="s">
        <v>4784</v>
      </c>
      <c r="B71" s="164" t="s">
        <v>4858</v>
      </c>
      <c r="C71" s="164" t="s">
        <v>3837</v>
      </c>
      <c r="D71" s="164" t="s">
        <v>754</v>
      </c>
      <c r="E71" s="164" t="s">
        <v>4868</v>
      </c>
      <c r="F71" s="164"/>
      <c r="G71" s="164"/>
      <c r="H71" s="164"/>
      <c r="I71" s="164"/>
      <c r="J71" s="164"/>
      <c r="K71" s="164"/>
      <c r="L71" s="164"/>
      <c r="M71" s="164"/>
      <c r="N71" s="164"/>
      <c r="O71" s="164"/>
      <c r="P71" s="164"/>
      <c r="Q71" s="164"/>
      <c r="R71" s="164"/>
      <c r="S71" s="164"/>
      <c r="T71" s="164"/>
      <c r="U71" s="164"/>
      <c r="V71" s="164"/>
      <c r="W71" s="164"/>
      <c r="X71" s="198">
        <v>1</v>
      </c>
    </row>
    <row r="72" spans="1:24">
      <c r="A72" s="171" t="s">
        <v>4784</v>
      </c>
      <c r="B72" s="164" t="s">
        <v>4858</v>
      </c>
      <c r="C72" s="164" t="s">
        <v>3837</v>
      </c>
      <c r="D72" s="164" t="s">
        <v>754</v>
      </c>
      <c r="E72" s="164" t="s">
        <v>4869</v>
      </c>
      <c r="F72" s="164"/>
      <c r="G72" s="164"/>
      <c r="H72" s="164"/>
      <c r="I72" s="164"/>
      <c r="J72" s="164"/>
      <c r="K72" s="164"/>
      <c r="L72" s="164"/>
      <c r="M72" s="164"/>
      <c r="N72" s="164"/>
      <c r="O72" s="164"/>
      <c r="P72" s="164"/>
      <c r="Q72" s="164"/>
      <c r="R72" s="164"/>
      <c r="S72" s="164"/>
      <c r="T72" s="164"/>
      <c r="U72" s="164"/>
      <c r="V72" s="164"/>
      <c r="W72" s="164"/>
      <c r="X72" s="198">
        <v>1</v>
      </c>
    </row>
    <row r="73" spans="1:24">
      <c r="A73" s="171" t="s">
        <v>4784</v>
      </c>
      <c r="B73" s="164" t="s">
        <v>4858</v>
      </c>
      <c r="C73" s="164" t="s">
        <v>3837</v>
      </c>
      <c r="D73" s="164" t="s">
        <v>754</v>
      </c>
      <c r="E73" s="164" t="s">
        <v>3838</v>
      </c>
      <c r="F73" s="164"/>
      <c r="G73" s="164"/>
      <c r="H73" s="164"/>
      <c r="I73" s="164"/>
      <c r="J73" s="164"/>
      <c r="K73" s="164"/>
      <c r="L73" s="164"/>
      <c r="M73" s="164"/>
      <c r="N73" s="164"/>
      <c r="O73" s="164"/>
      <c r="P73" s="164"/>
      <c r="Q73" s="164"/>
      <c r="R73" s="164"/>
      <c r="S73" s="164"/>
      <c r="T73" s="164"/>
      <c r="U73" s="164"/>
      <c r="V73" s="164"/>
      <c r="W73" s="164"/>
      <c r="X73" s="198">
        <v>1</v>
      </c>
    </row>
    <row r="74" spans="1:24">
      <c r="A74" s="171" t="s">
        <v>4784</v>
      </c>
      <c r="B74" s="164" t="s">
        <v>4858</v>
      </c>
      <c r="C74" s="164" t="s">
        <v>3837</v>
      </c>
      <c r="D74" s="164" t="s">
        <v>754</v>
      </c>
      <c r="E74" s="164" t="s">
        <v>3839</v>
      </c>
      <c r="F74" s="164"/>
      <c r="G74" s="164"/>
      <c r="H74" s="164"/>
      <c r="I74" s="164"/>
      <c r="J74" s="164"/>
      <c r="K74" s="164"/>
      <c r="L74" s="164"/>
      <c r="M74" s="164"/>
      <c r="N74" s="164"/>
      <c r="O74" s="164"/>
      <c r="P74" s="164"/>
      <c r="Q74" s="164"/>
      <c r="R74" s="164"/>
      <c r="S74" s="164"/>
      <c r="T74" s="164"/>
      <c r="U74" s="164"/>
      <c r="V74" s="164"/>
      <c r="W74" s="164"/>
      <c r="X74" s="198">
        <v>1</v>
      </c>
    </row>
    <row r="75" spans="1:24">
      <c r="A75" s="171" t="s">
        <v>4784</v>
      </c>
      <c r="B75" s="164" t="s">
        <v>4858</v>
      </c>
      <c r="C75" s="164" t="s">
        <v>3837</v>
      </c>
      <c r="D75" s="164" t="s">
        <v>754</v>
      </c>
      <c r="E75" s="164" t="s">
        <v>3840</v>
      </c>
      <c r="F75" s="164"/>
      <c r="G75" s="164"/>
      <c r="H75" s="164"/>
      <c r="I75" s="164"/>
      <c r="J75" s="164"/>
      <c r="K75" s="164"/>
      <c r="L75" s="164"/>
      <c r="M75" s="164"/>
      <c r="N75" s="164"/>
      <c r="O75" s="164"/>
      <c r="P75" s="164"/>
      <c r="Q75" s="164"/>
      <c r="R75" s="164"/>
      <c r="S75" s="164"/>
      <c r="T75" s="164"/>
      <c r="U75" s="164"/>
      <c r="V75" s="164"/>
      <c r="W75" s="164"/>
      <c r="X75" s="198">
        <v>1</v>
      </c>
    </row>
    <row r="76" spans="1:24">
      <c r="A76" s="171" t="s">
        <v>4784</v>
      </c>
      <c r="B76" s="164" t="s">
        <v>4858</v>
      </c>
      <c r="C76" s="164" t="s">
        <v>3837</v>
      </c>
      <c r="D76" s="164" t="s">
        <v>754</v>
      </c>
      <c r="E76" s="164" t="s">
        <v>3841</v>
      </c>
      <c r="F76" s="164"/>
      <c r="G76" s="164"/>
      <c r="H76" s="164"/>
      <c r="I76" s="164"/>
      <c r="J76" s="164"/>
      <c r="K76" s="164"/>
      <c r="L76" s="164"/>
      <c r="M76" s="164"/>
      <c r="N76" s="164"/>
      <c r="O76" s="164"/>
      <c r="P76" s="164"/>
      <c r="Q76" s="164"/>
      <c r="R76" s="164"/>
      <c r="S76" s="164"/>
      <c r="T76" s="164"/>
      <c r="U76" s="164"/>
      <c r="V76" s="164"/>
      <c r="W76" s="164"/>
      <c r="X76" s="198">
        <v>1</v>
      </c>
    </row>
    <row r="77" spans="1:24">
      <c r="A77" s="171" t="s">
        <v>4784</v>
      </c>
      <c r="B77" s="164" t="s">
        <v>4858</v>
      </c>
      <c r="C77" s="164" t="s">
        <v>3837</v>
      </c>
      <c r="D77" s="164" t="s">
        <v>754</v>
      </c>
      <c r="E77" s="164" t="s">
        <v>3842</v>
      </c>
      <c r="F77" s="164"/>
      <c r="G77" s="164"/>
      <c r="H77" s="164"/>
      <c r="I77" s="164"/>
      <c r="J77" s="164"/>
      <c r="K77" s="164"/>
      <c r="L77" s="164"/>
      <c r="M77" s="164"/>
      <c r="N77" s="164"/>
      <c r="O77" s="164"/>
      <c r="P77" s="164"/>
      <c r="Q77" s="164"/>
      <c r="R77" s="164"/>
      <c r="S77" s="164"/>
      <c r="T77" s="164"/>
      <c r="U77" s="164"/>
      <c r="V77" s="164"/>
      <c r="W77" s="164"/>
      <c r="X77" s="198">
        <v>1</v>
      </c>
    </row>
    <row r="78" spans="1:24">
      <c r="A78" s="171" t="s">
        <v>4784</v>
      </c>
      <c r="B78" s="164" t="s">
        <v>4858</v>
      </c>
      <c r="C78" s="164" t="s">
        <v>3837</v>
      </c>
      <c r="D78" s="164" t="s">
        <v>754</v>
      </c>
      <c r="E78" s="164" t="s">
        <v>3843</v>
      </c>
      <c r="F78" s="164"/>
      <c r="G78" s="164"/>
      <c r="H78" s="164"/>
      <c r="I78" s="164"/>
      <c r="J78" s="164"/>
      <c r="K78" s="164"/>
      <c r="L78" s="164"/>
      <c r="M78" s="164"/>
      <c r="N78" s="164"/>
      <c r="O78" s="164"/>
      <c r="P78" s="164"/>
      <c r="Q78" s="164"/>
      <c r="R78" s="164"/>
      <c r="S78" s="164"/>
      <c r="T78" s="164"/>
      <c r="U78" s="164"/>
      <c r="V78" s="164"/>
      <c r="W78" s="164"/>
      <c r="X78" s="198">
        <v>1</v>
      </c>
    </row>
    <row r="79" spans="1:24">
      <c r="A79" s="171" t="s">
        <v>4784</v>
      </c>
      <c r="B79" s="164" t="s">
        <v>4858</v>
      </c>
      <c r="C79" s="164" t="s">
        <v>3846</v>
      </c>
      <c r="D79" s="164" t="s">
        <v>754</v>
      </c>
      <c r="E79" s="164" t="s">
        <v>3844</v>
      </c>
      <c r="F79" s="164"/>
      <c r="G79" s="164"/>
      <c r="H79" s="164"/>
      <c r="I79" s="164"/>
      <c r="J79" s="164"/>
      <c r="K79" s="164"/>
      <c r="L79" s="164"/>
      <c r="M79" s="164"/>
      <c r="N79" s="164"/>
      <c r="O79" s="164"/>
      <c r="P79" s="164"/>
      <c r="Q79" s="164"/>
      <c r="R79" s="164"/>
      <c r="S79" s="164"/>
      <c r="T79" s="164"/>
      <c r="U79" s="164"/>
      <c r="V79" s="164"/>
      <c r="W79" s="164"/>
      <c r="X79" s="198">
        <v>1</v>
      </c>
    </row>
    <row r="80" spans="1:24">
      <c r="A80" s="171" t="s">
        <v>4784</v>
      </c>
      <c r="B80" s="164" t="s">
        <v>4858</v>
      </c>
      <c r="C80" s="164" t="s">
        <v>146</v>
      </c>
      <c r="D80" s="164" t="s">
        <v>754</v>
      </c>
      <c r="E80" s="164" t="s">
        <v>3847</v>
      </c>
      <c r="F80" s="164"/>
      <c r="G80" s="164"/>
      <c r="H80" s="164"/>
      <c r="I80" s="164"/>
      <c r="J80" s="164"/>
      <c r="K80" s="164"/>
      <c r="L80" s="164"/>
      <c r="M80" s="164"/>
      <c r="N80" s="164"/>
      <c r="O80" s="164"/>
      <c r="P80" s="164"/>
      <c r="Q80" s="164"/>
      <c r="R80" s="164"/>
      <c r="S80" s="164"/>
      <c r="T80" s="164"/>
      <c r="U80" s="164"/>
      <c r="V80" s="164"/>
      <c r="W80" s="164"/>
      <c r="X80" s="198">
        <v>1</v>
      </c>
    </row>
    <row r="81" spans="1:24">
      <c r="A81" s="171" t="s">
        <v>4784</v>
      </c>
      <c r="B81" s="164" t="s">
        <v>4858</v>
      </c>
      <c r="C81" s="164" t="s">
        <v>146</v>
      </c>
      <c r="D81" s="164" t="s">
        <v>754</v>
      </c>
      <c r="E81" s="164" t="s">
        <v>3849</v>
      </c>
      <c r="F81" s="164"/>
      <c r="G81" s="164"/>
      <c r="H81" s="164"/>
      <c r="I81" s="164"/>
      <c r="J81" s="164"/>
      <c r="K81" s="164"/>
      <c r="L81" s="164"/>
      <c r="M81" s="164"/>
      <c r="N81" s="164"/>
      <c r="O81" s="164"/>
      <c r="P81" s="164"/>
      <c r="Q81" s="164"/>
      <c r="R81" s="164"/>
      <c r="S81" s="164"/>
      <c r="T81" s="164"/>
      <c r="U81" s="164"/>
      <c r="V81" s="164"/>
      <c r="W81" s="164"/>
      <c r="X81" s="198">
        <v>1</v>
      </c>
    </row>
    <row r="82" spans="1:24">
      <c r="A82" s="171" t="s">
        <v>4784</v>
      </c>
      <c r="B82" s="164" t="s">
        <v>4858</v>
      </c>
      <c r="C82" s="164" t="s">
        <v>146</v>
      </c>
      <c r="D82" s="164" t="s">
        <v>754</v>
      </c>
      <c r="E82" s="164" t="s">
        <v>3850</v>
      </c>
      <c r="F82" s="164"/>
      <c r="G82" s="164"/>
      <c r="H82" s="164"/>
      <c r="I82" s="164"/>
      <c r="J82" s="164"/>
      <c r="K82" s="164"/>
      <c r="L82" s="164"/>
      <c r="M82" s="164"/>
      <c r="N82" s="164"/>
      <c r="O82" s="164"/>
      <c r="P82" s="164"/>
      <c r="Q82" s="164"/>
      <c r="R82" s="164"/>
      <c r="S82" s="164"/>
      <c r="T82" s="164"/>
      <c r="U82" s="164"/>
      <c r="V82" s="164"/>
      <c r="W82" s="164"/>
      <c r="X82" s="198">
        <v>1</v>
      </c>
    </row>
    <row r="83" spans="1:24">
      <c r="A83" s="171" t="s">
        <v>4784</v>
      </c>
      <c r="B83" s="164" t="s">
        <v>4858</v>
      </c>
      <c r="C83" s="164" t="s">
        <v>146</v>
      </c>
      <c r="D83" s="164" t="s">
        <v>754</v>
      </c>
      <c r="E83" s="164" t="s">
        <v>3851</v>
      </c>
      <c r="F83" s="164"/>
      <c r="G83" s="164"/>
      <c r="H83" s="164"/>
      <c r="I83" s="164"/>
      <c r="J83" s="164"/>
      <c r="K83" s="164"/>
      <c r="L83" s="164"/>
      <c r="M83" s="164"/>
      <c r="N83" s="164"/>
      <c r="O83" s="164"/>
      <c r="P83" s="164"/>
      <c r="Q83" s="164"/>
      <c r="R83" s="164"/>
      <c r="S83" s="164"/>
      <c r="T83" s="164"/>
      <c r="U83" s="164"/>
      <c r="V83" s="164"/>
      <c r="W83" s="164"/>
      <c r="X83" s="198">
        <v>1</v>
      </c>
    </row>
    <row r="84" spans="1:24">
      <c r="A84" s="171" t="s">
        <v>4784</v>
      </c>
      <c r="B84" s="164" t="s">
        <v>4858</v>
      </c>
      <c r="C84" s="164" t="s">
        <v>146</v>
      </c>
      <c r="D84" s="164" t="s">
        <v>754</v>
      </c>
      <c r="E84" s="164" t="s">
        <v>3852</v>
      </c>
      <c r="F84" s="164"/>
      <c r="G84" s="164"/>
      <c r="H84" s="164"/>
      <c r="I84" s="164"/>
      <c r="J84" s="164"/>
      <c r="K84" s="164"/>
      <c r="L84" s="164"/>
      <c r="M84" s="164"/>
      <c r="N84" s="164"/>
      <c r="O84" s="164"/>
      <c r="P84" s="164"/>
      <c r="Q84" s="164"/>
      <c r="R84" s="164"/>
      <c r="S84" s="164"/>
      <c r="T84" s="164"/>
      <c r="U84" s="164"/>
      <c r="V84" s="164"/>
      <c r="W84" s="164"/>
      <c r="X84" s="198">
        <v>1</v>
      </c>
    </row>
    <row r="85" spans="1:24">
      <c r="A85" s="171" t="s">
        <v>4784</v>
      </c>
      <c r="B85" s="164" t="s">
        <v>4858</v>
      </c>
      <c r="C85" s="164" t="s">
        <v>146</v>
      </c>
      <c r="D85" s="164" t="s">
        <v>754</v>
      </c>
      <c r="E85" s="164" t="s">
        <v>3853</v>
      </c>
      <c r="F85" s="164"/>
      <c r="G85" s="164"/>
      <c r="H85" s="164"/>
      <c r="I85" s="164"/>
      <c r="J85" s="164"/>
      <c r="K85" s="164"/>
      <c r="L85" s="164"/>
      <c r="M85" s="164"/>
      <c r="N85" s="164"/>
      <c r="O85" s="164"/>
      <c r="P85" s="164"/>
      <c r="Q85" s="164"/>
      <c r="R85" s="164"/>
      <c r="S85" s="164"/>
      <c r="T85" s="164"/>
      <c r="U85" s="164"/>
      <c r="V85" s="164"/>
      <c r="W85" s="164"/>
      <c r="X85" s="198">
        <v>1</v>
      </c>
    </row>
    <row r="86" spans="1:24">
      <c r="A86" s="171" t="s">
        <v>4784</v>
      </c>
      <c r="B86" s="164" t="s">
        <v>4858</v>
      </c>
      <c r="C86" s="164" t="s">
        <v>146</v>
      </c>
      <c r="D86" s="164" t="s">
        <v>754</v>
      </c>
      <c r="E86" s="164" t="s">
        <v>3854</v>
      </c>
      <c r="F86" s="164"/>
      <c r="G86" s="164"/>
      <c r="H86" s="164"/>
      <c r="I86" s="164"/>
      <c r="J86" s="164"/>
      <c r="K86" s="164"/>
      <c r="L86" s="164"/>
      <c r="M86" s="164"/>
      <c r="N86" s="164"/>
      <c r="O86" s="164"/>
      <c r="P86" s="164"/>
      <c r="Q86" s="164"/>
      <c r="R86" s="164"/>
      <c r="S86" s="164"/>
      <c r="T86" s="164"/>
      <c r="U86" s="164"/>
      <c r="V86" s="164"/>
      <c r="W86" s="164"/>
      <c r="X86" s="198">
        <v>1</v>
      </c>
    </row>
    <row r="87" spans="1:24">
      <c r="A87" s="171" t="s">
        <v>4784</v>
      </c>
      <c r="B87" s="164" t="s">
        <v>4858</v>
      </c>
      <c r="C87" s="164" t="s">
        <v>146</v>
      </c>
      <c r="D87" s="164" t="s">
        <v>754</v>
      </c>
      <c r="E87" s="164" t="s">
        <v>3855</v>
      </c>
      <c r="F87" s="164"/>
      <c r="G87" s="164"/>
      <c r="H87" s="164"/>
      <c r="I87" s="164"/>
      <c r="J87" s="164"/>
      <c r="K87" s="164"/>
      <c r="L87" s="164"/>
      <c r="M87" s="164"/>
      <c r="N87" s="164"/>
      <c r="O87" s="164"/>
      <c r="P87" s="164"/>
      <c r="Q87" s="164"/>
      <c r="R87" s="164"/>
      <c r="S87" s="164"/>
      <c r="T87" s="164"/>
      <c r="U87" s="164"/>
      <c r="V87" s="164"/>
      <c r="W87" s="164"/>
      <c r="X87" s="198">
        <v>1</v>
      </c>
    </row>
    <row r="88" spans="1:24">
      <c r="A88" s="171" t="s">
        <v>4784</v>
      </c>
      <c r="B88" s="164" t="s">
        <v>4858</v>
      </c>
      <c r="C88" s="164" t="s">
        <v>4870</v>
      </c>
      <c r="D88" s="164" t="s">
        <v>754</v>
      </c>
      <c r="E88" s="164" t="s">
        <v>3856</v>
      </c>
      <c r="F88" s="164"/>
      <c r="G88" s="164"/>
      <c r="H88" s="164"/>
      <c r="I88" s="164"/>
      <c r="J88" s="164"/>
      <c r="K88" s="164"/>
      <c r="L88" s="164"/>
      <c r="M88" s="164"/>
      <c r="N88" s="164"/>
      <c r="O88" s="164"/>
      <c r="P88" s="164"/>
      <c r="Q88" s="164"/>
      <c r="R88" s="164"/>
      <c r="S88" s="164"/>
      <c r="T88" s="164"/>
      <c r="U88" s="164"/>
      <c r="V88" s="164"/>
      <c r="W88" s="164"/>
      <c r="X88" s="198">
        <v>1</v>
      </c>
    </row>
    <row r="89" spans="1:24">
      <c r="A89" s="171" t="s">
        <v>4784</v>
      </c>
      <c r="B89" s="164" t="s">
        <v>4858</v>
      </c>
      <c r="C89" s="164" t="s">
        <v>146</v>
      </c>
      <c r="D89" s="164" t="s">
        <v>754</v>
      </c>
      <c r="E89" s="164" t="s">
        <v>4871</v>
      </c>
      <c r="F89" s="164"/>
      <c r="G89" s="164"/>
      <c r="H89" s="164"/>
      <c r="I89" s="164"/>
      <c r="J89" s="164"/>
      <c r="K89" s="164"/>
      <c r="L89" s="164"/>
      <c r="M89" s="164"/>
      <c r="N89" s="164"/>
      <c r="O89" s="164"/>
      <c r="P89" s="164"/>
      <c r="Q89" s="164"/>
      <c r="R89" s="164"/>
      <c r="S89" s="164"/>
      <c r="T89" s="164"/>
      <c r="U89" s="164"/>
      <c r="V89" s="164"/>
      <c r="W89" s="164"/>
      <c r="X89" s="198">
        <v>1</v>
      </c>
    </row>
    <row r="90" spans="1:24">
      <c r="A90" s="171" t="s">
        <v>4784</v>
      </c>
      <c r="B90" s="164" t="s">
        <v>4858</v>
      </c>
      <c r="C90" s="164" t="s">
        <v>1284</v>
      </c>
      <c r="D90" s="164" t="s">
        <v>754</v>
      </c>
      <c r="E90" s="164" t="s">
        <v>3859</v>
      </c>
      <c r="F90" s="164"/>
      <c r="G90" s="164"/>
      <c r="H90" s="164"/>
      <c r="I90" s="164"/>
      <c r="J90" s="164"/>
      <c r="K90" s="164"/>
      <c r="L90" s="164"/>
      <c r="M90" s="164"/>
      <c r="N90" s="164"/>
      <c r="O90" s="164"/>
      <c r="P90" s="164"/>
      <c r="Q90" s="164"/>
      <c r="R90" s="164"/>
      <c r="S90" s="164"/>
      <c r="T90" s="164"/>
      <c r="U90" s="164"/>
      <c r="V90" s="164"/>
      <c r="W90" s="164"/>
      <c r="X90" s="198">
        <v>1</v>
      </c>
    </row>
    <row r="91" spans="1:24">
      <c r="A91" s="171" t="s">
        <v>4784</v>
      </c>
      <c r="B91" s="164" t="s">
        <v>4858</v>
      </c>
      <c r="C91" s="164" t="s">
        <v>1290</v>
      </c>
      <c r="D91" s="164" t="s">
        <v>754</v>
      </c>
      <c r="E91" s="164" t="s">
        <v>4872</v>
      </c>
      <c r="F91" s="164"/>
      <c r="G91" s="164"/>
      <c r="H91" s="164"/>
      <c r="I91" s="164"/>
      <c r="J91" s="164"/>
      <c r="K91" s="164"/>
      <c r="L91" s="164"/>
      <c r="M91" s="164"/>
      <c r="N91" s="164"/>
      <c r="O91" s="164"/>
      <c r="P91" s="164"/>
      <c r="Q91" s="164"/>
      <c r="R91" s="164"/>
      <c r="S91" s="164"/>
      <c r="T91" s="164"/>
      <c r="U91" s="164"/>
      <c r="V91" s="164"/>
      <c r="W91" s="164"/>
      <c r="X91" s="198">
        <v>1</v>
      </c>
    </row>
    <row r="92" spans="1:24">
      <c r="A92" s="171" t="s">
        <v>4784</v>
      </c>
      <c r="B92" s="164" t="s">
        <v>4858</v>
      </c>
      <c r="C92" s="164" t="s">
        <v>4860</v>
      </c>
      <c r="D92" s="164" t="s">
        <v>754</v>
      </c>
      <c r="E92" s="164" t="s">
        <v>4873</v>
      </c>
      <c r="F92" s="164"/>
      <c r="G92" s="164"/>
      <c r="H92" s="164"/>
      <c r="I92" s="164"/>
      <c r="J92" s="164"/>
      <c r="K92" s="164"/>
      <c r="L92" s="164"/>
      <c r="M92" s="164"/>
      <c r="N92" s="164"/>
      <c r="O92" s="164"/>
      <c r="P92" s="164"/>
      <c r="Q92" s="164"/>
      <c r="R92" s="164"/>
      <c r="S92" s="164"/>
      <c r="T92" s="164"/>
      <c r="U92" s="164"/>
      <c r="V92" s="164"/>
      <c r="W92" s="164"/>
      <c r="X92" s="198">
        <v>1</v>
      </c>
    </row>
    <row r="93" spans="1:24">
      <c r="A93" s="171" t="s">
        <v>4784</v>
      </c>
      <c r="B93" s="164" t="s">
        <v>4858</v>
      </c>
      <c r="C93" s="164" t="s">
        <v>4861</v>
      </c>
      <c r="D93" s="164" t="s">
        <v>754</v>
      </c>
      <c r="E93" s="164" t="s">
        <v>4874</v>
      </c>
      <c r="F93" s="164"/>
      <c r="G93" s="164"/>
      <c r="H93" s="164"/>
      <c r="I93" s="164"/>
      <c r="J93" s="164"/>
      <c r="K93" s="164"/>
      <c r="L93" s="164"/>
      <c r="M93" s="164"/>
      <c r="N93" s="164"/>
      <c r="O93" s="164"/>
      <c r="P93" s="164"/>
      <c r="Q93" s="164"/>
      <c r="R93" s="164"/>
      <c r="S93" s="164"/>
      <c r="T93" s="164"/>
      <c r="U93" s="164"/>
      <c r="V93" s="164"/>
      <c r="W93" s="164"/>
      <c r="X93" s="198">
        <v>1</v>
      </c>
    </row>
    <row r="94" spans="1:24">
      <c r="A94" s="171" t="s">
        <v>4784</v>
      </c>
      <c r="B94" s="164" t="s">
        <v>4858</v>
      </c>
      <c r="C94" s="164" t="s">
        <v>4861</v>
      </c>
      <c r="D94" s="164" t="s">
        <v>754</v>
      </c>
      <c r="E94" s="164" t="s">
        <v>4875</v>
      </c>
      <c r="F94" s="164"/>
      <c r="G94" s="164"/>
      <c r="H94" s="164"/>
      <c r="I94" s="164"/>
      <c r="J94" s="164"/>
      <c r="K94" s="164"/>
      <c r="L94" s="164"/>
      <c r="M94" s="164"/>
      <c r="N94" s="164"/>
      <c r="O94" s="164"/>
      <c r="P94" s="164"/>
      <c r="Q94" s="164"/>
      <c r="R94" s="164"/>
      <c r="S94" s="164"/>
      <c r="T94" s="164"/>
      <c r="U94" s="164"/>
      <c r="V94" s="164"/>
      <c r="W94" s="164"/>
      <c r="X94" s="198">
        <v>1</v>
      </c>
    </row>
    <row r="95" spans="1:24">
      <c r="A95" s="171" t="s">
        <v>4784</v>
      </c>
      <c r="B95" s="164" t="s">
        <v>4858</v>
      </c>
      <c r="C95" s="164" t="s">
        <v>4861</v>
      </c>
      <c r="D95" s="164" t="s">
        <v>754</v>
      </c>
      <c r="E95" s="164" t="s">
        <v>4876</v>
      </c>
      <c r="F95" s="164"/>
      <c r="G95" s="164"/>
      <c r="H95" s="164"/>
      <c r="I95" s="164"/>
      <c r="J95" s="164"/>
      <c r="K95" s="164"/>
      <c r="L95" s="164"/>
      <c r="M95" s="164"/>
      <c r="N95" s="164"/>
      <c r="O95" s="164"/>
      <c r="P95" s="164"/>
      <c r="Q95" s="164"/>
      <c r="R95" s="164"/>
      <c r="S95" s="164"/>
      <c r="T95" s="164"/>
      <c r="U95" s="164"/>
      <c r="V95" s="164"/>
      <c r="W95" s="164"/>
      <c r="X95" s="198">
        <v>1</v>
      </c>
    </row>
    <row r="96" spans="1:24">
      <c r="A96" s="171" t="s">
        <v>4784</v>
      </c>
      <c r="B96" s="164" t="s">
        <v>4858</v>
      </c>
      <c r="C96" s="164" t="s">
        <v>4861</v>
      </c>
      <c r="D96" s="164" t="s">
        <v>754</v>
      </c>
      <c r="E96" s="164" t="s">
        <v>4877</v>
      </c>
      <c r="F96" s="164"/>
      <c r="G96" s="164"/>
      <c r="H96" s="164"/>
      <c r="I96" s="164"/>
      <c r="J96" s="164"/>
      <c r="K96" s="164"/>
      <c r="L96" s="164"/>
      <c r="M96" s="164"/>
      <c r="N96" s="164"/>
      <c r="O96" s="164"/>
      <c r="P96" s="164"/>
      <c r="Q96" s="164"/>
      <c r="R96" s="164"/>
      <c r="S96" s="164"/>
      <c r="T96" s="164"/>
      <c r="U96" s="164"/>
      <c r="V96" s="164"/>
      <c r="W96" s="164"/>
      <c r="X96" s="198">
        <v>1</v>
      </c>
    </row>
    <row r="97" spans="1:24">
      <c r="A97" s="171" t="s">
        <v>4784</v>
      </c>
      <c r="B97" s="164" t="s">
        <v>4858</v>
      </c>
      <c r="C97" s="164" t="s">
        <v>4862</v>
      </c>
      <c r="D97" s="164" t="s">
        <v>754</v>
      </c>
      <c r="E97" s="164" t="s">
        <v>4878</v>
      </c>
      <c r="F97" s="164"/>
      <c r="G97" s="164"/>
      <c r="H97" s="164"/>
      <c r="I97" s="164"/>
      <c r="J97" s="164"/>
      <c r="K97" s="164"/>
      <c r="L97" s="164"/>
      <c r="M97" s="164"/>
      <c r="N97" s="164"/>
      <c r="O97" s="164"/>
      <c r="P97" s="164"/>
      <c r="Q97" s="164"/>
      <c r="R97" s="164"/>
      <c r="S97" s="164"/>
      <c r="T97" s="164"/>
      <c r="U97" s="164"/>
      <c r="V97" s="164"/>
      <c r="W97" s="164"/>
      <c r="X97" s="198">
        <v>1</v>
      </c>
    </row>
    <row r="98" spans="1:24">
      <c r="A98" s="171" t="s">
        <v>4784</v>
      </c>
      <c r="B98" s="164" t="s">
        <v>4858</v>
      </c>
      <c r="C98" s="164" t="s">
        <v>4862</v>
      </c>
      <c r="D98" s="164" t="s">
        <v>754</v>
      </c>
      <c r="E98" s="164" t="s">
        <v>4879</v>
      </c>
      <c r="F98" s="164"/>
      <c r="G98" s="164"/>
      <c r="H98" s="164"/>
      <c r="I98" s="164"/>
      <c r="J98" s="164"/>
      <c r="K98" s="164"/>
      <c r="L98" s="164"/>
      <c r="M98" s="164"/>
      <c r="N98" s="164"/>
      <c r="O98" s="164"/>
      <c r="P98" s="164"/>
      <c r="Q98" s="164"/>
      <c r="R98" s="164"/>
      <c r="S98" s="164"/>
      <c r="T98" s="164"/>
      <c r="U98" s="164"/>
      <c r="V98" s="164"/>
      <c r="W98" s="164"/>
      <c r="X98" s="198">
        <v>1</v>
      </c>
    </row>
    <row r="99" spans="1:24">
      <c r="A99" s="171" t="s">
        <v>4784</v>
      </c>
      <c r="B99" s="164" t="s">
        <v>4858</v>
      </c>
      <c r="C99" s="164" t="s">
        <v>4862</v>
      </c>
      <c r="D99" s="164" t="s">
        <v>754</v>
      </c>
      <c r="E99" s="164" t="s">
        <v>4880</v>
      </c>
      <c r="F99" s="164"/>
      <c r="G99" s="164"/>
      <c r="H99" s="164"/>
      <c r="I99" s="164"/>
      <c r="J99" s="164"/>
      <c r="K99" s="164"/>
      <c r="L99" s="164"/>
      <c r="M99" s="164"/>
      <c r="N99" s="164"/>
      <c r="O99" s="164"/>
      <c r="P99" s="164"/>
      <c r="Q99" s="164"/>
      <c r="R99" s="164"/>
      <c r="S99" s="164"/>
      <c r="T99" s="164"/>
      <c r="U99" s="164"/>
      <c r="V99" s="164"/>
      <c r="W99" s="164"/>
      <c r="X99" s="198">
        <v>1</v>
      </c>
    </row>
    <row r="100" spans="1:24">
      <c r="A100" s="171" t="s">
        <v>4784</v>
      </c>
      <c r="B100" s="164" t="s">
        <v>4858</v>
      </c>
      <c r="C100" s="164" t="s">
        <v>4863</v>
      </c>
      <c r="D100" s="164" t="s">
        <v>754</v>
      </c>
      <c r="E100" s="164" t="s">
        <v>4881</v>
      </c>
      <c r="F100" s="164"/>
      <c r="G100" s="164"/>
      <c r="H100" s="164"/>
      <c r="I100" s="164"/>
      <c r="J100" s="164"/>
      <c r="K100" s="164"/>
      <c r="L100" s="164"/>
      <c r="M100" s="164"/>
      <c r="N100" s="164"/>
      <c r="O100" s="164"/>
      <c r="P100" s="164"/>
      <c r="Q100" s="164"/>
      <c r="R100" s="164"/>
      <c r="S100" s="164"/>
      <c r="T100" s="164"/>
      <c r="U100" s="164"/>
      <c r="V100" s="164"/>
      <c r="W100" s="164"/>
      <c r="X100" s="198">
        <v>1</v>
      </c>
    </row>
    <row r="101" spans="1:24">
      <c r="A101" s="171" t="s">
        <v>4784</v>
      </c>
      <c r="B101" s="164" t="s">
        <v>4858</v>
      </c>
      <c r="C101" s="164" t="s">
        <v>4864</v>
      </c>
      <c r="D101" s="164" t="s">
        <v>754</v>
      </c>
      <c r="E101" s="164" t="s">
        <v>4882</v>
      </c>
      <c r="F101" s="164"/>
      <c r="G101" s="164"/>
      <c r="H101" s="164"/>
      <c r="I101" s="164"/>
      <c r="J101" s="164"/>
      <c r="K101" s="164"/>
      <c r="L101" s="164"/>
      <c r="M101" s="164"/>
      <c r="N101" s="164"/>
      <c r="O101" s="164"/>
      <c r="P101" s="164"/>
      <c r="Q101" s="164"/>
      <c r="R101" s="164"/>
      <c r="S101" s="164"/>
      <c r="T101" s="164"/>
      <c r="U101" s="164"/>
      <c r="V101" s="164"/>
      <c r="W101" s="164"/>
      <c r="X101" s="198">
        <v>1</v>
      </c>
    </row>
    <row r="102" spans="1:24">
      <c r="A102" s="171" t="s">
        <v>4784</v>
      </c>
      <c r="B102" s="164" t="s">
        <v>4858</v>
      </c>
      <c r="C102" s="164" t="s">
        <v>4864</v>
      </c>
      <c r="D102" s="164" t="s">
        <v>754</v>
      </c>
      <c r="E102" s="164" t="s">
        <v>4883</v>
      </c>
      <c r="F102" s="164"/>
      <c r="G102" s="164"/>
      <c r="H102" s="164"/>
      <c r="I102" s="164"/>
      <c r="J102" s="164"/>
      <c r="K102" s="164"/>
      <c r="L102" s="164"/>
      <c r="M102" s="164"/>
      <c r="N102" s="164"/>
      <c r="O102" s="164"/>
      <c r="P102" s="164"/>
      <c r="Q102" s="164"/>
      <c r="R102" s="164"/>
      <c r="S102" s="164"/>
      <c r="T102" s="164"/>
      <c r="U102" s="164"/>
      <c r="V102" s="164"/>
      <c r="W102" s="164"/>
      <c r="X102" s="198">
        <v>1</v>
      </c>
    </row>
    <row r="103" spans="1:24">
      <c r="A103" s="171" t="s">
        <v>4784</v>
      </c>
      <c r="B103" s="164" t="s">
        <v>4858</v>
      </c>
      <c r="C103" s="164" t="s">
        <v>4864</v>
      </c>
      <c r="D103" s="164" t="s">
        <v>754</v>
      </c>
      <c r="E103" s="164" t="s">
        <v>4884</v>
      </c>
      <c r="F103" s="164"/>
      <c r="G103" s="164"/>
      <c r="H103" s="164"/>
      <c r="I103" s="164"/>
      <c r="J103" s="164"/>
      <c r="K103" s="164"/>
      <c r="L103" s="164"/>
      <c r="M103" s="164"/>
      <c r="N103" s="164"/>
      <c r="O103" s="164"/>
      <c r="P103" s="164"/>
      <c r="Q103" s="164"/>
      <c r="R103" s="164"/>
      <c r="S103" s="164"/>
      <c r="T103" s="164"/>
      <c r="U103" s="164"/>
      <c r="V103" s="164"/>
      <c r="W103" s="164"/>
      <c r="X103" s="198">
        <v>1</v>
      </c>
    </row>
    <row r="104" spans="1:24">
      <c r="A104" s="171" t="s">
        <v>4784</v>
      </c>
      <c r="B104" s="164" t="s">
        <v>4858</v>
      </c>
      <c r="C104" s="164" t="s">
        <v>4864</v>
      </c>
      <c r="D104" s="164" t="s">
        <v>754</v>
      </c>
      <c r="E104" s="164" t="s">
        <v>4885</v>
      </c>
      <c r="F104" s="164"/>
      <c r="G104" s="164"/>
      <c r="H104" s="164"/>
      <c r="I104" s="164"/>
      <c r="J104" s="164"/>
      <c r="K104" s="164"/>
      <c r="L104" s="164"/>
      <c r="M104" s="164"/>
      <c r="N104" s="164"/>
      <c r="O104" s="164"/>
      <c r="P104" s="164"/>
      <c r="Q104" s="164"/>
      <c r="R104" s="164"/>
      <c r="S104" s="164"/>
      <c r="T104" s="164"/>
      <c r="U104" s="164"/>
      <c r="V104" s="164"/>
      <c r="W104" s="164"/>
      <c r="X104" s="198">
        <v>1</v>
      </c>
    </row>
    <row r="105" spans="1:24">
      <c r="A105" s="171" t="s">
        <v>4784</v>
      </c>
      <c r="B105" s="164" t="s">
        <v>4858</v>
      </c>
      <c r="C105" s="164" t="s">
        <v>4864</v>
      </c>
      <c r="D105" s="164" t="s">
        <v>754</v>
      </c>
      <c r="E105" s="164" t="s">
        <v>3861</v>
      </c>
      <c r="F105" s="164"/>
      <c r="G105" s="164"/>
      <c r="H105" s="164"/>
      <c r="I105" s="164"/>
      <c r="J105" s="164"/>
      <c r="K105" s="164"/>
      <c r="L105" s="164"/>
      <c r="M105" s="164"/>
      <c r="N105" s="164"/>
      <c r="O105" s="164"/>
      <c r="P105" s="164"/>
      <c r="Q105" s="164"/>
      <c r="R105" s="164"/>
      <c r="S105" s="164"/>
      <c r="T105" s="164"/>
      <c r="U105" s="164"/>
      <c r="V105" s="164"/>
      <c r="W105" s="164"/>
      <c r="X105" s="198">
        <v>1</v>
      </c>
    </row>
    <row r="106" spans="1:24">
      <c r="A106" s="171" t="s">
        <v>4784</v>
      </c>
      <c r="B106" s="164" t="s">
        <v>4858</v>
      </c>
      <c r="C106" s="164" t="s">
        <v>4864</v>
      </c>
      <c r="D106" s="164" t="s">
        <v>754</v>
      </c>
      <c r="E106" s="164" t="s">
        <v>4886</v>
      </c>
      <c r="F106" s="164"/>
      <c r="G106" s="164"/>
      <c r="H106" s="164"/>
      <c r="I106" s="164"/>
      <c r="J106" s="164"/>
      <c r="K106" s="164"/>
      <c r="L106" s="164"/>
      <c r="M106" s="164"/>
      <c r="N106" s="164"/>
      <c r="O106" s="164"/>
      <c r="P106" s="164"/>
      <c r="Q106" s="164"/>
      <c r="R106" s="164"/>
      <c r="S106" s="164"/>
      <c r="T106" s="164"/>
      <c r="U106" s="164"/>
      <c r="V106" s="164"/>
      <c r="W106" s="164"/>
      <c r="X106" s="198">
        <v>1</v>
      </c>
    </row>
    <row r="107" spans="1:24">
      <c r="A107" s="171" t="s">
        <v>4784</v>
      </c>
      <c r="B107" s="164" t="s">
        <v>4858</v>
      </c>
      <c r="C107" s="164" t="s">
        <v>3774</v>
      </c>
      <c r="D107" s="164" t="s">
        <v>754</v>
      </c>
      <c r="E107" s="164" t="s">
        <v>4887</v>
      </c>
      <c r="F107" s="164"/>
      <c r="G107" s="164"/>
      <c r="H107" s="164"/>
      <c r="I107" s="164"/>
      <c r="J107" s="164"/>
      <c r="K107" s="164"/>
      <c r="L107" s="164"/>
      <c r="M107" s="164"/>
      <c r="N107" s="164"/>
      <c r="O107" s="164"/>
      <c r="P107" s="164"/>
      <c r="Q107" s="164"/>
      <c r="R107" s="164"/>
      <c r="S107" s="164"/>
      <c r="T107" s="164"/>
      <c r="U107" s="164"/>
      <c r="V107" s="164"/>
      <c r="W107" s="164"/>
      <c r="X107" s="198">
        <v>1</v>
      </c>
    </row>
    <row r="108" spans="1:24">
      <c r="A108" s="171" t="s">
        <v>4784</v>
      </c>
      <c r="B108" s="164" t="s">
        <v>4858</v>
      </c>
      <c r="C108" s="164" t="s">
        <v>3792</v>
      </c>
      <c r="D108" s="164" t="s">
        <v>754</v>
      </c>
      <c r="E108" s="164" t="s">
        <v>4888</v>
      </c>
      <c r="F108" s="164"/>
      <c r="G108" s="164"/>
      <c r="H108" s="164"/>
      <c r="I108" s="164"/>
      <c r="J108" s="164"/>
      <c r="K108" s="164"/>
      <c r="L108" s="164"/>
      <c r="M108" s="164"/>
      <c r="N108" s="164"/>
      <c r="O108" s="164"/>
      <c r="P108" s="164"/>
      <c r="Q108" s="164"/>
      <c r="R108" s="164"/>
      <c r="S108" s="164"/>
      <c r="T108" s="164"/>
      <c r="U108" s="164"/>
      <c r="V108" s="164"/>
      <c r="W108" s="164"/>
      <c r="X108" s="198">
        <v>1</v>
      </c>
    </row>
    <row r="109" spans="1:24">
      <c r="A109" s="171" t="s">
        <v>4784</v>
      </c>
      <c r="B109" s="164" t="s">
        <v>4858</v>
      </c>
      <c r="C109" s="164" t="s">
        <v>4865</v>
      </c>
      <c r="D109" s="164" t="s">
        <v>754</v>
      </c>
      <c r="E109" s="164" t="s">
        <v>4889</v>
      </c>
      <c r="F109" s="164"/>
      <c r="G109" s="164"/>
      <c r="H109" s="164"/>
      <c r="I109" s="164"/>
      <c r="J109" s="164"/>
      <c r="K109" s="164"/>
      <c r="L109" s="164"/>
      <c r="M109" s="164"/>
      <c r="N109" s="164"/>
      <c r="O109" s="164"/>
      <c r="P109" s="164"/>
      <c r="Q109" s="164"/>
      <c r="R109" s="164"/>
      <c r="S109" s="164"/>
      <c r="T109" s="164"/>
      <c r="U109" s="164"/>
      <c r="V109" s="164"/>
      <c r="W109" s="164"/>
      <c r="X109" s="198">
        <v>1</v>
      </c>
    </row>
    <row r="110" spans="1:24">
      <c r="A110" s="171" t="s">
        <v>4784</v>
      </c>
      <c r="B110" s="164" t="s">
        <v>4858</v>
      </c>
      <c r="C110" s="164" t="s">
        <v>4866</v>
      </c>
      <c r="D110" s="164" t="s">
        <v>754</v>
      </c>
      <c r="E110" s="164" t="s">
        <v>4890</v>
      </c>
      <c r="F110" s="164"/>
      <c r="G110" s="164"/>
      <c r="H110" s="164"/>
      <c r="I110" s="164"/>
      <c r="J110" s="164"/>
      <c r="K110" s="164"/>
      <c r="L110" s="164"/>
      <c r="M110" s="164"/>
      <c r="N110" s="164"/>
      <c r="O110" s="164"/>
      <c r="P110" s="164"/>
      <c r="Q110" s="164"/>
      <c r="R110" s="164"/>
      <c r="S110" s="164"/>
      <c r="T110" s="164"/>
      <c r="U110" s="164"/>
      <c r="V110" s="164"/>
      <c r="W110" s="164"/>
      <c r="X110" s="198">
        <v>1</v>
      </c>
    </row>
    <row r="111" spans="1:24">
      <c r="A111" s="171" t="s">
        <v>4784</v>
      </c>
      <c r="B111" s="164" t="s">
        <v>4858</v>
      </c>
      <c r="C111" s="164" t="s">
        <v>3821</v>
      </c>
      <c r="D111" s="164" t="s">
        <v>754</v>
      </c>
      <c r="E111" s="164" t="s">
        <v>4891</v>
      </c>
      <c r="F111" s="164"/>
      <c r="G111" s="164"/>
      <c r="H111" s="164"/>
      <c r="I111" s="164"/>
      <c r="J111" s="164"/>
      <c r="K111" s="164"/>
      <c r="L111" s="164"/>
      <c r="M111" s="164"/>
      <c r="N111" s="164"/>
      <c r="O111" s="164"/>
      <c r="P111" s="164"/>
      <c r="Q111" s="164"/>
      <c r="R111" s="164"/>
      <c r="S111" s="164"/>
      <c r="T111" s="164"/>
      <c r="U111" s="164"/>
      <c r="V111" s="164"/>
      <c r="W111" s="164"/>
      <c r="X111" s="198">
        <v>1</v>
      </c>
    </row>
    <row r="112" spans="1:24">
      <c r="A112" s="171" t="s">
        <v>4784</v>
      </c>
      <c r="B112" s="164" t="s">
        <v>4858</v>
      </c>
      <c r="C112" s="164" t="s">
        <v>3821</v>
      </c>
      <c r="D112" s="164" t="s">
        <v>754</v>
      </c>
      <c r="E112" s="164" t="s">
        <v>3863</v>
      </c>
      <c r="F112" s="164"/>
      <c r="G112" s="164"/>
      <c r="H112" s="164"/>
      <c r="I112" s="164"/>
      <c r="J112" s="164"/>
      <c r="K112" s="164"/>
      <c r="L112" s="164"/>
      <c r="M112" s="164"/>
      <c r="N112" s="164"/>
      <c r="O112" s="164"/>
      <c r="P112" s="164"/>
      <c r="Q112" s="164"/>
      <c r="R112" s="164"/>
      <c r="S112" s="164"/>
      <c r="T112" s="164"/>
      <c r="U112" s="164"/>
      <c r="V112" s="164"/>
      <c r="W112" s="164"/>
      <c r="X112" s="198">
        <v>1</v>
      </c>
    </row>
    <row r="113" spans="1:24">
      <c r="A113" s="171" t="s">
        <v>4784</v>
      </c>
      <c r="B113" s="164" t="s">
        <v>4858</v>
      </c>
      <c r="C113" s="164" t="s">
        <v>3828</v>
      </c>
      <c r="D113" s="164" t="s">
        <v>754</v>
      </c>
      <c r="E113" s="164" t="s">
        <v>4892</v>
      </c>
      <c r="F113" s="164"/>
      <c r="G113" s="164"/>
      <c r="H113" s="164"/>
      <c r="I113" s="164"/>
      <c r="J113" s="164"/>
      <c r="K113" s="164"/>
      <c r="L113" s="164"/>
      <c r="M113" s="164"/>
      <c r="N113" s="164"/>
      <c r="O113" s="164"/>
      <c r="P113" s="164"/>
      <c r="Q113" s="164"/>
      <c r="R113" s="164"/>
      <c r="S113" s="164"/>
      <c r="T113" s="164"/>
      <c r="U113" s="164"/>
      <c r="V113" s="164"/>
      <c r="W113" s="164"/>
      <c r="X113" s="198">
        <v>1</v>
      </c>
    </row>
    <row r="114" spans="1:24">
      <c r="A114" s="171" t="s">
        <v>4784</v>
      </c>
      <c r="B114" s="164" t="s">
        <v>4858</v>
      </c>
      <c r="C114" s="164" t="s">
        <v>3837</v>
      </c>
      <c r="D114" s="164" t="s">
        <v>754</v>
      </c>
      <c r="E114" s="164" t="s">
        <v>4893</v>
      </c>
      <c r="F114" s="164"/>
      <c r="G114" s="164"/>
      <c r="H114" s="164"/>
      <c r="I114" s="164"/>
      <c r="J114" s="164"/>
      <c r="K114" s="164"/>
      <c r="L114" s="164"/>
      <c r="M114" s="164"/>
      <c r="N114" s="164"/>
      <c r="O114" s="164"/>
      <c r="P114" s="164"/>
      <c r="Q114" s="164"/>
      <c r="R114" s="164"/>
      <c r="S114" s="164"/>
      <c r="T114" s="164"/>
      <c r="U114" s="164"/>
      <c r="V114" s="164"/>
      <c r="W114" s="164"/>
      <c r="X114" s="198">
        <v>1</v>
      </c>
    </row>
    <row r="115" spans="1:24">
      <c r="A115" s="171" t="s">
        <v>4784</v>
      </c>
      <c r="B115" s="164" t="s">
        <v>4858</v>
      </c>
      <c r="C115" s="164" t="s">
        <v>3846</v>
      </c>
      <c r="D115" s="164" t="s">
        <v>754</v>
      </c>
      <c r="E115" s="164" t="s">
        <v>4894</v>
      </c>
      <c r="F115" s="164"/>
      <c r="G115" s="164"/>
      <c r="H115" s="164"/>
      <c r="I115" s="164"/>
      <c r="J115" s="164"/>
      <c r="K115" s="164"/>
      <c r="L115" s="164"/>
      <c r="M115" s="164"/>
      <c r="N115" s="164"/>
      <c r="O115" s="164"/>
      <c r="P115" s="164"/>
      <c r="Q115" s="164"/>
      <c r="R115" s="164"/>
      <c r="S115" s="164"/>
      <c r="T115" s="164"/>
      <c r="U115" s="164"/>
      <c r="V115" s="164"/>
      <c r="W115" s="164"/>
      <c r="X115" s="198">
        <v>1</v>
      </c>
    </row>
    <row r="116" spans="1:24">
      <c r="A116" s="171" t="s">
        <v>4784</v>
      </c>
      <c r="B116" s="164" t="s">
        <v>4858</v>
      </c>
      <c r="C116" s="164" t="s">
        <v>146</v>
      </c>
      <c r="D116" s="164" t="s">
        <v>754</v>
      </c>
      <c r="E116" s="164" t="s">
        <v>4895</v>
      </c>
      <c r="F116" s="164"/>
      <c r="G116" s="164"/>
      <c r="H116" s="164"/>
      <c r="I116" s="164"/>
      <c r="J116" s="164"/>
      <c r="K116" s="164"/>
      <c r="L116" s="164"/>
      <c r="M116" s="164"/>
      <c r="N116" s="164"/>
      <c r="O116" s="164"/>
      <c r="P116" s="164"/>
      <c r="Q116" s="164"/>
      <c r="R116" s="164"/>
      <c r="S116" s="164"/>
      <c r="T116" s="164"/>
      <c r="U116" s="164"/>
      <c r="V116" s="164"/>
      <c r="W116" s="164"/>
      <c r="X116" s="198">
        <v>1</v>
      </c>
    </row>
    <row r="117" spans="1:24">
      <c r="A117" s="171" t="s">
        <v>4784</v>
      </c>
      <c r="B117" s="164" t="s">
        <v>4858</v>
      </c>
      <c r="C117" s="164" t="s">
        <v>146</v>
      </c>
      <c r="D117" s="164" t="s">
        <v>754</v>
      </c>
      <c r="E117" s="164" t="s">
        <v>4896</v>
      </c>
      <c r="F117" s="164"/>
      <c r="G117" s="164"/>
      <c r="H117" s="164"/>
      <c r="I117" s="164"/>
      <c r="J117" s="164"/>
      <c r="K117" s="164"/>
      <c r="L117" s="164"/>
      <c r="M117" s="164"/>
      <c r="N117" s="164"/>
      <c r="O117" s="164"/>
      <c r="P117" s="164"/>
      <c r="Q117" s="164"/>
      <c r="R117" s="164"/>
      <c r="S117" s="164"/>
      <c r="T117" s="164"/>
      <c r="U117" s="164"/>
      <c r="V117" s="164"/>
      <c r="W117" s="164"/>
      <c r="X117" s="198">
        <v>1</v>
      </c>
    </row>
    <row r="118" spans="1:24">
      <c r="A118" s="171" t="s">
        <v>4784</v>
      </c>
      <c r="B118" s="164" t="s">
        <v>4858</v>
      </c>
      <c r="C118" s="164" t="s">
        <v>146</v>
      </c>
      <c r="D118" s="164" t="s">
        <v>754</v>
      </c>
      <c r="E118" s="164" t="s">
        <v>4897</v>
      </c>
      <c r="F118" s="164"/>
      <c r="G118" s="164"/>
      <c r="H118" s="164"/>
      <c r="I118" s="164"/>
      <c r="J118" s="164"/>
      <c r="K118" s="164"/>
      <c r="L118" s="164"/>
      <c r="M118" s="164"/>
      <c r="N118" s="164"/>
      <c r="O118" s="164"/>
      <c r="P118" s="164"/>
      <c r="Q118" s="164"/>
      <c r="R118" s="164"/>
      <c r="S118" s="164"/>
      <c r="T118" s="164"/>
      <c r="U118" s="164"/>
      <c r="V118" s="164"/>
      <c r="W118" s="164"/>
      <c r="X118" s="198">
        <v>1</v>
      </c>
    </row>
    <row r="119" spans="1:24">
      <c r="A119" s="171" t="s">
        <v>4784</v>
      </c>
      <c r="B119" s="164" t="s">
        <v>4858</v>
      </c>
      <c r="C119" s="164" t="s">
        <v>4870</v>
      </c>
      <c r="D119" s="164" t="s">
        <v>754</v>
      </c>
      <c r="E119" s="164" t="s">
        <v>4898</v>
      </c>
      <c r="F119" s="164"/>
      <c r="G119" s="164"/>
      <c r="H119" s="164"/>
      <c r="I119" s="164"/>
      <c r="J119" s="164"/>
      <c r="K119" s="164"/>
      <c r="L119" s="164"/>
      <c r="M119" s="164"/>
      <c r="N119" s="164"/>
      <c r="O119" s="164"/>
      <c r="P119" s="164"/>
      <c r="Q119" s="164"/>
      <c r="R119" s="164"/>
      <c r="S119" s="164"/>
      <c r="T119" s="164"/>
      <c r="U119" s="164"/>
      <c r="V119" s="164"/>
      <c r="W119" s="164"/>
      <c r="X119" s="198">
        <v>1</v>
      </c>
    </row>
    <row r="120" spans="1:24">
      <c r="A120" s="171" t="s">
        <v>4784</v>
      </c>
      <c r="B120" s="164" t="s">
        <v>4858</v>
      </c>
      <c r="C120" s="164" t="s">
        <v>146</v>
      </c>
      <c r="D120" s="164" t="s">
        <v>754</v>
      </c>
      <c r="E120" s="164" t="s">
        <v>4899</v>
      </c>
      <c r="F120" s="164"/>
      <c r="G120" s="164"/>
      <c r="H120" s="164"/>
      <c r="I120" s="164"/>
      <c r="J120" s="164"/>
      <c r="K120" s="164"/>
      <c r="L120" s="164"/>
      <c r="M120" s="164"/>
      <c r="N120" s="164"/>
      <c r="O120" s="164"/>
      <c r="P120" s="164"/>
      <c r="Q120" s="164"/>
      <c r="R120" s="164"/>
      <c r="S120" s="164"/>
      <c r="T120" s="164"/>
      <c r="U120" s="164"/>
      <c r="V120" s="164"/>
      <c r="W120" s="164"/>
      <c r="X120" s="198">
        <v>1</v>
      </c>
    </row>
    <row r="121" spans="1:24">
      <c r="A121" s="171" t="s">
        <v>4784</v>
      </c>
      <c r="B121" s="164" t="s">
        <v>4858</v>
      </c>
      <c r="C121" s="164" t="s">
        <v>1284</v>
      </c>
      <c r="D121" s="164" t="s">
        <v>754</v>
      </c>
      <c r="E121" s="164" t="s">
        <v>4900</v>
      </c>
      <c r="F121" s="164"/>
      <c r="G121" s="164"/>
      <c r="H121" s="164"/>
      <c r="I121" s="164"/>
      <c r="J121" s="164"/>
      <c r="K121" s="164"/>
      <c r="L121" s="164"/>
      <c r="M121" s="164"/>
      <c r="N121" s="164"/>
      <c r="O121" s="164"/>
      <c r="P121" s="164"/>
      <c r="Q121" s="164"/>
      <c r="R121" s="164"/>
      <c r="S121" s="164"/>
      <c r="T121" s="164"/>
      <c r="U121" s="164"/>
      <c r="V121" s="164"/>
      <c r="W121" s="164"/>
      <c r="X121" s="198">
        <v>1</v>
      </c>
    </row>
    <row r="122" spans="1:24">
      <c r="A122" s="171" t="s">
        <v>4784</v>
      </c>
      <c r="B122" s="164" t="s">
        <v>4858</v>
      </c>
      <c r="C122" s="164" t="s">
        <v>1290</v>
      </c>
      <c r="D122" s="164" t="s">
        <v>754</v>
      </c>
      <c r="E122" s="164" t="s">
        <v>4901</v>
      </c>
      <c r="F122" s="164"/>
      <c r="G122" s="164"/>
      <c r="H122" s="164"/>
      <c r="I122" s="164"/>
      <c r="J122" s="164"/>
      <c r="K122" s="164"/>
      <c r="L122" s="164"/>
      <c r="M122" s="164"/>
      <c r="N122" s="164"/>
      <c r="O122" s="164"/>
      <c r="P122" s="164"/>
      <c r="Q122" s="164"/>
      <c r="R122" s="164"/>
      <c r="S122" s="164"/>
      <c r="T122" s="164"/>
      <c r="U122" s="164"/>
      <c r="V122" s="164"/>
      <c r="W122" s="164"/>
      <c r="X122" s="198">
        <v>1</v>
      </c>
    </row>
    <row r="123" spans="1:24">
      <c r="A123" s="171" t="s">
        <v>4784</v>
      </c>
      <c r="B123" s="164" t="s">
        <v>4858</v>
      </c>
      <c r="C123" s="164" t="s">
        <v>4864</v>
      </c>
      <c r="D123" s="164" t="s">
        <v>754</v>
      </c>
      <c r="E123" s="164" t="s">
        <v>4902</v>
      </c>
      <c r="F123" s="164"/>
      <c r="G123" s="164"/>
      <c r="H123" s="164"/>
      <c r="I123" s="164"/>
      <c r="J123" s="164"/>
      <c r="K123" s="164"/>
      <c r="L123" s="164"/>
      <c r="M123" s="164"/>
      <c r="N123" s="164"/>
      <c r="O123" s="164"/>
      <c r="P123" s="164"/>
      <c r="Q123" s="164"/>
      <c r="R123" s="164"/>
      <c r="S123" s="164"/>
      <c r="T123" s="164"/>
      <c r="U123" s="164"/>
      <c r="V123" s="164"/>
      <c r="W123" s="164"/>
      <c r="X123" s="198">
        <v>1</v>
      </c>
    </row>
    <row r="124" spans="1:24">
      <c r="A124" s="171" t="s">
        <v>4784</v>
      </c>
      <c r="B124" s="164" t="s">
        <v>4858</v>
      </c>
      <c r="C124" s="164" t="s">
        <v>4863</v>
      </c>
      <c r="D124" s="164" t="s">
        <v>754</v>
      </c>
      <c r="E124" s="164" t="s">
        <v>4903</v>
      </c>
      <c r="F124" s="164"/>
      <c r="G124" s="164"/>
      <c r="H124" s="164"/>
      <c r="I124" s="164"/>
      <c r="J124" s="164"/>
      <c r="K124" s="164"/>
      <c r="L124" s="164"/>
      <c r="M124" s="164"/>
      <c r="N124" s="164"/>
      <c r="O124" s="164"/>
      <c r="P124" s="164"/>
      <c r="Q124" s="164"/>
      <c r="R124" s="164"/>
      <c r="S124" s="164"/>
      <c r="T124" s="164"/>
      <c r="U124" s="164"/>
      <c r="V124" s="164"/>
      <c r="W124" s="164"/>
      <c r="X124" s="198">
        <v>1</v>
      </c>
    </row>
    <row r="125" spans="1:24">
      <c r="A125" s="171" t="s">
        <v>4784</v>
      </c>
      <c r="B125" s="164" t="s">
        <v>4858</v>
      </c>
      <c r="C125" s="164" t="s">
        <v>4865</v>
      </c>
      <c r="D125" s="164" t="s">
        <v>754</v>
      </c>
      <c r="E125" s="164" t="s">
        <v>4904</v>
      </c>
      <c r="F125" s="164"/>
      <c r="G125" s="164"/>
      <c r="H125" s="164"/>
      <c r="I125" s="164"/>
      <c r="J125" s="164"/>
      <c r="K125" s="164"/>
      <c r="L125" s="164"/>
      <c r="M125" s="164"/>
      <c r="N125" s="164"/>
      <c r="O125" s="164"/>
      <c r="P125" s="164"/>
      <c r="Q125" s="164"/>
      <c r="R125" s="164"/>
      <c r="S125" s="164"/>
      <c r="T125" s="164"/>
      <c r="U125" s="164"/>
      <c r="V125" s="164"/>
      <c r="W125" s="164"/>
      <c r="X125" s="198">
        <v>1</v>
      </c>
    </row>
    <row r="126" spans="1:24">
      <c r="A126" s="171" t="s">
        <v>4784</v>
      </c>
      <c r="B126" s="164" t="s">
        <v>4858</v>
      </c>
      <c r="C126" s="164" t="s">
        <v>4866</v>
      </c>
      <c r="D126" s="164" t="s">
        <v>754</v>
      </c>
      <c r="E126" s="164" t="s">
        <v>4905</v>
      </c>
      <c r="F126" s="164"/>
      <c r="G126" s="164"/>
      <c r="H126" s="164"/>
      <c r="I126" s="164"/>
      <c r="J126" s="164"/>
      <c r="K126" s="164"/>
      <c r="L126" s="164"/>
      <c r="M126" s="164"/>
      <c r="N126" s="164"/>
      <c r="O126" s="164"/>
      <c r="P126" s="164"/>
      <c r="Q126" s="164"/>
      <c r="R126" s="164"/>
      <c r="S126" s="164"/>
      <c r="T126" s="164"/>
      <c r="U126" s="164"/>
      <c r="V126" s="164"/>
      <c r="W126" s="164"/>
      <c r="X126" s="198">
        <v>1</v>
      </c>
    </row>
    <row r="127" spans="1:24">
      <c r="A127" s="171" t="s">
        <v>4784</v>
      </c>
      <c r="B127" s="164" t="s">
        <v>4858</v>
      </c>
      <c r="C127" s="164" t="s">
        <v>146</v>
      </c>
      <c r="D127" s="164" t="s">
        <v>754</v>
      </c>
      <c r="E127" s="164" t="s">
        <v>4906</v>
      </c>
      <c r="F127" s="164"/>
      <c r="G127" s="164"/>
      <c r="H127" s="164"/>
      <c r="I127" s="164"/>
      <c r="J127" s="164"/>
      <c r="K127" s="164"/>
      <c r="L127" s="164"/>
      <c r="M127" s="164"/>
      <c r="N127" s="164"/>
      <c r="O127" s="164"/>
      <c r="P127" s="164"/>
      <c r="Q127" s="164"/>
      <c r="R127" s="164"/>
      <c r="S127" s="164"/>
      <c r="T127" s="164"/>
      <c r="U127" s="164"/>
      <c r="V127" s="164"/>
      <c r="W127" s="164"/>
      <c r="X127" s="198">
        <v>1</v>
      </c>
    </row>
    <row r="128" spans="1:24" ht="15.75" thickBot="1">
      <c r="A128" s="173" t="s">
        <v>4784</v>
      </c>
      <c r="B128" s="168" t="s">
        <v>4858</v>
      </c>
      <c r="C128" s="168" t="s">
        <v>146</v>
      </c>
      <c r="D128" s="168" t="s">
        <v>754</v>
      </c>
      <c r="E128" s="168" t="s">
        <v>4907</v>
      </c>
      <c r="F128" s="168"/>
      <c r="G128" s="168"/>
      <c r="H128" s="168"/>
      <c r="I128" s="168"/>
      <c r="J128" s="168"/>
      <c r="K128" s="168"/>
      <c r="L128" s="168"/>
      <c r="M128" s="168"/>
      <c r="N128" s="168"/>
      <c r="O128" s="168"/>
      <c r="P128" s="168"/>
      <c r="Q128" s="168"/>
      <c r="R128" s="168"/>
      <c r="S128" s="168"/>
      <c r="T128" s="168"/>
      <c r="U128" s="168"/>
      <c r="V128" s="168"/>
      <c r="W128" s="168"/>
      <c r="X128" s="199">
        <v>1</v>
      </c>
    </row>
    <row r="129" spans="1:24" ht="14.45" customHeight="1">
      <c r="A129" s="169" t="s">
        <v>4783</v>
      </c>
      <c r="B129" s="165" t="s">
        <v>4908</v>
      </c>
      <c r="C129" s="165" t="s">
        <v>4909</v>
      </c>
      <c r="D129" s="165" t="s">
        <v>4910</v>
      </c>
      <c r="E129" s="165" t="s">
        <v>4911</v>
      </c>
      <c r="F129" s="165"/>
      <c r="G129" s="165"/>
      <c r="H129" s="165"/>
      <c r="I129" s="165"/>
      <c r="J129" s="165"/>
      <c r="K129" s="165"/>
      <c r="L129" s="165"/>
      <c r="M129" s="165"/>
      <c r="N129" s="165"/>
      <c r="O129" s="165"/>
      <c r="P129" s="165"/>
      <c r="Q129" s="165"/>
      <c r="R129" s="165"/>
      <c r="S129" s="165"/>
      <c r="T129" s="165"/>
      <c r="U129" s="165"/>
      <c r="V129" s="165"/>
      <c r="W129" s="165"/>
      <c r="X129" s="197">
        <v>1</v>
      </c>
    </row>
    <row r="130" spans="1:24">
      <c r="A130" s="171" t="s">
        <v>4783</v>
      </c>
      <c r="B130" s="164" t="s">
        <v>4908</v>
      </c>
      <c r="C130" s="164" t="s">
        <v>4912</v>
      </c>
      <c r="D130" s="164" t="s">
        <v>4910</v>
      </c>
      <c r="E130" s="164" t="s">
        <v>4913</v>
      </c>
      <c r="F130" s="164"/>
      <c r="G130" s="164"/>
      <c r="H130" s="164"/>
      <c r="I130" s="164"/>
      <c r="J130" s="164"/>
      <c r="K130" s="164"/>
      <c r="L130" s="164"/>
      <c r="M130" s="164"/>
      <c r="N130" s="164"/>
      <c r="O130" s="164"/>
      <c r="P130" s="164"/>
      <c r="Q130" s="164"/>
      <c r="R130" s="164"/>
      <c r="S130" s="164"/>
      <c r="T130" s="164"/>
      <c r="U130" s="164"/>
      <c r="V130" s="164"/>
      <c r="W130" s="164"/>
      <c r="X130" s="198">
        <v>1</v>
      </c>
    </row>
    <row r="131" spans="1:24">
      <c r="A131" s="171" t="s">
        <v>4783</v>
      </c>
      <c r="B131" s="164" t="s">
        <v>4908</v>
      </c>
      <c r="C131" s="164" t="s">
        <v>4912</v>
      </c>
      <c r="D131" s="164" t="s">
        <v>4910</v>
      </c>
      <c r="E131" s="164" t="s">
        <v>4914</v>
      </c>
      <c r="F131" s="164"/>
      <c r="G131" s="164"/>
      <c r="H131" s="164"/>
      <c r="I131" s="164"/>
      <c r="J131" s="164"/>
      <c r="K131" s="164"/>
      <c r="L131" s="164"/>
      <c r="M131" s="164"/>
      <c r="N131" s="164"/>
      <c r="O131" s="164"/>
      <c r="P131" s="164"/>
      <c r="Q131" s="164"/>
      <c r="R131" s="164"/>
      <c r="S131" s="164"/>
      <c r="T131" s="164"/>
      <c r="U131" s="164"/>
      <c r="V131" s="164"/>
      <c r="W131" s="164"/>
      <c r="X131" s="198">
        <v>1</v>
      </c>
    </row>
    <row r="132" spans="1:24">
      <c r="A132" s="171" t="s">
        <v>4783</v>
      </c>
      <c r="B132" s="164" t="s">
        <v>4908</v>
      </c>
      <c r="C132" s="164" t="s">
        <v>4915</v>
      </c>
      <c r="D132" s="164" t="s">
        <v>4910</v>
      </c>
      <c r="E132" s="164" t="s">
        <v>4916</v>
      </c>
      <c r="F132" s="164"/>
      <c r="G132" s="164"/>
      <c r="H132" s="164"/>
      <c r="I132" s="164"/>
      <c r="J132" s="164"/>
      <c r="K132" s="164"/>
      <c r="L132" s="164"/>
      <c r="M132" s="164"/>
      <c r="N132" s="164"/>
      <c r="O132" s="164"/>
      <c r="P132" s="164"/>
      <c r="Q132" s="164"/>
      <c r="R132" s="164"/>
      <c r="S132" s="164"/>
      <c r="T132" s="164"/>
      <c r="U132" s="164"/>
      <c r="V132" s="164"/>
      <c r="W132" s="164"/>
      <c r="X132" s="198">
        <v>1</v>
      </c>
    </row>
    <row r="133" spans="1:24" ht="15.75" thickBot="1">
      <c r="A133" s="173" t="s">
        <v>4783</v>
      </c>
      <c r="B133" s="168" t="s">
        <v>4908</v>
      </c>
      <c r="C133" s="168" t="s">
        <v>4909</v>
      </c>
      <c r="D133" s="168" t="s">
        <v>4910</v>
      </c>
      <c r="E133" s="168" t="s">
        <v>4917</v>
      </c>
      <c r="F133" s="168"/>
      <c r="G133" s="168"/>
      <c r="H133" s="168"/>
      <c r="I133" s="168"/>
      <c r="J133" s="168"/>
      <c r="K133" s="168"/>
      <c r="L133" s="168"/>
      <c r="M133" s="168"/>
      <c r="N133" s="168"/>
      <c r="O133" s="168"/>
      <c r="P133" s="168"/>
      <c r="Q133" s="168"/>
      <c r="R133" s="168"/>
      <c r="S133" s="168"/>
      <c r="T133" s="168"/>
      <c r="U133" s="168"/>
      <c r="V133" s="168"/>
      <c r="W133" s="168"/>
      <c r="X133" s="199">
        <v>1</v>
      </c>
    </row>
    <row r="134" spans="1:24" ht="14.45" customHeight="1">
      <c r="A134" s="169" t="s">
        <v>4783</v>
      </c>
      <c r="B134" s="165" t="s">
        <v>4918</v>
      </c>
      <c r="C134" s="165" t="s">
        <v>4919</v>
      </c>
      <c r="D134" s="165" t="s">
        <v>80</v>
      </c>
      <c r="E134" s="165" t="s">
        <v>4920</v>
      </c>
      <c r="F134" s="165"/>
      <c r="G134" s="165"/>
      <c r="H134" s="165"/>
      <c r="I134" s="165"/>
      <c r="J134" s="165"/>
      <c r="K134" s="165"/>
      <c r="L134" s="165"/>
      <c r="M134" s="165"/>
      <c r="N134" s="165"/>
      <c r="O134" s="165"/>
      <c r="P134" s="165"/>
      <c r="Q134" s="165"/>
      <c r="R134" s="165"/>
      <c r="S134" s="165"/>
      <c r="T134" s="165"/>
      <c r="U134" s="165"/>
      <c r="V134" s="165"/>
      <c r="W134" s="165"/>
      <c r="X134" s="197">
        <v>1</v>
      </c>
    </row>
    <row r="135" spans="1:24">
      <c r="A135" s="171" t="s">
        <v>4783</v>
      </c>
      <c r="B135" s="164" t="s">
        <v>4918</v>
      </c>
      <c r="C135" s="164" t="s">
        <v>4919</v>
      </c>
      <c r="D135" s="164" t="s">
        <v>80</v>
      </c>
      <c r="E135" s="164" t="s">
        <v>4921</v>
      </c>
      <c r="F135" s="164"/>
      <c r="G135" s="164"/>
      <c r="H135" s="164"/>
      <c r="I135" s="164"/>
      <c r="J135" s="164"/>
      <c r="K135" s="164"/>
      <c r="L135" s="164"/>
      <c r="M135" s="164"/>
      <c r="N135" s="164"/>
      <c r="O135" s="164"/>
      <c r="P135" s="164"/>
      <c r="Q135" s="164"/>
      <c r="R135" s="164"/>
      <c r="S135" s="164"/>
      <c r="T135" s="164"/>
      <c r="U135" s="164"/>
      <c r="V135" s="164"/>
      <c r="W135" s="164"/>
      <c r="X135" s="198">
        <v>1</v>
      </c>
    </row>
    <row r="136" spans="1:24">
      <c r="A136" s="171" t="s">
        <v>4783</v>
      </c>
      <c r="B136" s="164" t="s">
        <v>4918</v>
      </c>
      <c r="C136" s="164" t="s">
        <v>4919</v>
      </c>
      <c r="D136" s="164" t="s">
        <v>80</v>
      </c>
      <c r="E136" s="164" t="s">
        <v>4922</v>
      </c>
      <c r="F136" s="164"/>
      <c r="G136" s="164"/>
      <c r="H136" s="164"/>
      <c r="I136" s="164"/>
      <c r="J136" s="164"/>
      <c r="K136" s="164"/>
      <c r="L136" s="164"/>
      <c r="M136" s="164"/>
      <c r="N136" s="164"/>
      <c r="O136" s="164"/>
      <c r="P136" s="164"/>
      <c r="Q136" s="164"/>
      <c r="R136" s="164"/>
      <c r="S136" s="164"/>
      <c r="T136" s="164"/>
      <c r="U136" s="164"/>
      <c r="V136" s="164"/>
      <c r="W136" s="164"/>
      <c r="X136" s="198">
        <v>1</v>
      </c>
    </row>
    <row r="137" spans="1:24">
      <c r="A137" s="171" t="s">
        <v>4783</v>
      </c>
      <c r="B137" s="164" t="s">
        <v>4918</v>
      </c>
      <c r="C137" s="164" t="s">
        <v>4923</v>
      </c>
      <c r="D137" s="164" t="s">
        <v>80</v>
      </c>
      <c r="E137" s="164" t="s">
        <v>4924</v>
      </c>
      <c r="F137" s="164"/>
      <c r="G137" s="164"/>
      <c r="H137" s="164"/>
      <c r="I137" s="164"/>
      <c r="J137" s="164"/>
      <c r="K137" s="164"/>
      <c r="L137" s="164"/>
      <c r="M137" s="164"/>
      <c r="N137" s="164"/>
      <c r="O137" s="164"/>
      <c r="P137" s="164"/>
      <c r="Q137" s="164"/>
      <c r="R137" s="164"/>
      <c r="S137" s="164"/>
      <c r="T137" s="164"/>
      <c r="U137" s="164"/>
      <c r="V137" s="164"/>
      <c r="W137" s="164"/>
      <c r="X137" s="198">
        <v>1</v>
      </c>
    </row>
    <row r="138" spans="1:24">
      <c r="A138" s="171" t="s">
        <v>4783</v>
      </c>
      <c r="B138" s="164" t="s">
        <v>4918</v>
      </c>
      <c r="C138" s="164" t="s">
        <v>4923</v>
      </c>
      <c r="D138" s="164" t="s">
        <v>80</v>
      </c>
      <c r="E138" s="164" t="s">
        <v>4925</v>
      </c>
      <c r="F138" s="164"/>
      <c r="G138" s="164"/>
      <c r="H138" s="164"/>
      <c r="I138" s="164"/>
      <c r="J138" s="164"/>
      <c r="K138" s="164"/>
      <c r="L138" s="164"/>
      <c r="M138" s="164"/>
      <c r="N138" s="164"/>
      <c r="O138" s="164"/>
      <c r="P138" s="164"/>
      <c r="Q138" s="164"/>
      <c r="R138" s="164"/>
      <c r="S138" s="164"/>
      <c r="T138" s="164"/>
      <c r="U138" s="164"/>
      <c r="V138" s="164"/>
      <c r="W138" s="164"/>
      <c r="X138" s="198">
        <v>1</v>
      </c>
    </row>
    <row r="139" spans="1:24">
      <c r="A139" s="171" t="s">
        <v>4783</v>
      </c>
      <c r="B139" s="164" t="s">
        <v>4918</v>
      </c>
      <c r="C139" s="164" t="s">
        <v>4923</v>
      </c>
      <c r="D139" s="164" t="s">
        <v>80</v>
      </c>
      <c r="E139" s="164" t="s">
        <v>4926</v>
      </c>
      <c r="F139" s="164"/>
      <c r="G139" s="164"/>
      <c r="H139" s="164"/>
      <c r="I139" s="164"/>
      <c r="J139" s="164"/>
      <c r="K139" s="164"/>
      <c r="L139" s="164"/>
      <c r="M139" s="164"/>
      <c r="N139" s="164"/>
      <c r="O139" s="164"/>
      <c r="P139" s="164"/>
      <c r="Q139" s="164"/>
      <c r="R139" s="164"/>
      <c r="S139" s="164"/>
      <c r="T139" s="164"/>
      <c r="U139" s="164"/>
      <c r="V139" s="164"/>
      <c r="W139" s="164"/>
      <c r="X139" s="198">
        <v>1</v>
      </c>
    </row>
    <row r="140" spans="1:24">
      <c r="A140" s="171" t="s">
        <v>4783</v>
      </c>
      <c r="B140" s="164" t="s">
        <v>4918</v>
      </c>
      <c r="C140" s="164" t="s">
        <v>4927</v>
      </c>
      <c r="D140" s="164" t="s">
        <v>80</v>
      </c>
      <c r="E140" s="164" t="s">
        <v>4928</v>
      </c>
      <c r="F140" s="164"/>
      <c r="G140" s="164"/>
      <c r="H140" s="164"/>
      <c r="I140" s="164"/>
      <c r="J140" s="164"/>
      <c r="K140" s="164"/>
      <c r="L140" s="164"/>
      <c r="M140" s="164"/>
      <c r="N140" s="164"/>
      <c r="O140" s="164"/>
      <c r="P140" s="164"/>
      <c r="Q140" s="164"/>
      <c r="R140" s="164"/>
      <c r="S140" s="164"/>
      <c r="T140" s="164"/>
      <c r="U140" s="164"/>
      <c r="V140" s="164"/>
      <c r="W140" s="164"/>
      <c r="X140" s="198">
        <v>1</v>
      </c>
    </row>
    <row r="141" spans="1:24">
      <c r="A141" s="171" t="s">
        <v>4783</v>
      </c>
      <c r="B141" s="164" t="s">
        <v>4918</v>
      </c>
      <c r="C141" s="164" t="s">
        <v>4927</v>
      </c>
      <c r="D141" s="164" t="s">
        <v>80</v>
      </c>
      <c r="E141" s="164" t="s">
        <v>4929</v>
      </c>
      <c r="F141" s="164"/>
      <c r="G141" s="164"/>
      <c r="H141" s="164"/>
      <c r="I141" s="164"/>
      <c r="J141" s="164"/>
      <c r="K141" s="164"/>
      <c r="L141" s="164"/>
      <c r="M141" s="164"/>
      <c r="N141" s="164"/>
      <c r="O141" s="164"/>
      <c r="P141" s="164"/>
      <c r="Q141" s="164"/>
      <c r="R141" s="164"/>
      <c r="S141" s="164"/>
      <c r="T141" s="164"/>
      <c r="U141" s="164"/>
      <c r="V141" s="164"/>
      <c r="W141" s="164"/>
      <c r="X141" s="198">
        <v>1</v>
      </c>
    </row>
    <row r="142" spans="1:24">
      <c r="A142" s="171" t="s">
        <v>4783</v>
      </c>
      <c r="B142" s="164" t="s">
        <v>4918</v>
      </c>
      <c r="C142" s="164" t="s">
        <v>4927</v>
      </c>
      <c r="D142" s="164" t="s">
        <v>80</v>
      </c>
      <c r="E142" s="164" t="s">
        <v>4930</v>
      </c>
      <c r="F142" s="164"/>
      <c r="G142" s="164"/>
      <c r="H142" s="164"/>
      <c r="I142" s="164"/>
      <c r="J142" s="164"/>
      <c r="K142" s="164"/>
      <c r="L142" s="164"/>
      <c r="M142" s="164"/>
      <c r="N142" s="164"/>
      <c r="O142" s="164"/>
      <c r="P142" s="164"/>
      <c r="Q142" s="164"/>
      <c r="R142" s="164"/>
      <c r="S142" s="164"/>
      <c r="T142" s="164"/>
      <c r="U142" s="164"/>
      <c r="V142" s="164"/>
      <c r="W142" s="164"/>
      <c r="X142" s="198">
        <v>1</v>
      </c>
    </row>
    <row r="143" spans="1:24">
      <c r="A143" s="171" t="s">
        <v>4783</v>
      </c>
      <c r="B143" s="164" t="s">
        <v>4918</v>
      </c>
      <c r="C143" s="164" t="s">
        <v>4927</v>
      </c>
      <c r="D143" s="164" t="s">
        <v>80</v>
      </c>
      <c r="E143" s="164" t="s">
        <v>4931</v>
      </c>
      <c r="F143" s="164"/>
      <c r="G143" s="164"/>
      <c r="H143" s="164"/>
      <c r="I143" s="164"/>
      <c r="J143" s="164"/>
      <c r="K143" s="164"/>
      <c r="L143" s="164"/>
      <c r="M143" s="164"/>
      <c r="N143" s="164"/>
      <c r="O143" s="164"/>
      <c r="P143" s="164"/>
      <c r="Q143" s="164"/>
      <c r="R143" s="164"/>
      <c r="S143" s="164"/>
      <c r="T143" s="164"/>
      <c r="U143" s="164"/>
      <c r="V143" s="164"/>
      <c r="W143" s="164"/>
      <c r="X143" s="198">
        <v>1</v>
      </c>
    </row>
    <row r="144" spans="1:24">
      <c r="A144" s="171" t="s">
        <v>4783</v>
      </c>
      <c r="B144" s="164" t="s">
        <v>4918</v>
      </c>
      <c r="C144" s="164" t="s">
        <v>4927</v>
      </c>
      <c r="D144" s="164" t="s">
        <v>80</v>
      </c>
      <c r="E144" s="164" t="s">
        <v>4932</v>
      </c>
      <c r="F144" s="164"/>
      <c r="G144" s="164"/>
      <c r="H144" s="164"/>
      <c r="I144" s="164"/>
      <c r="J144" s="164"/>
      <c r="K144" s="164"/>
      <c r="L144" s="164"/>
      <c r="M144" s="164"/>
      <c r="N144" s="164"/>
      <c r="O144" s="164"/>
      <c r="P144" s="164"/>
      <c r="Q144" s="164"/>
      <c r="R144" s="164"/>
      <c r="S144" s="164"/>
      <c r="T144" s="164"/>
      <c r="U144" s="164"/>
      <c r="V144" s="164"/>
      <c r="W144" s="164"/>
      <c r="X144" s="198">
        <v>1</v>
      </c>
    </row>
    <row r="145" spans="1:24">
      <c r="A145" s="171" t="s">
        <v>4783</v>
      </c>
      <c r="B145" s="164" t="s">
        <v>4918</v>
      </c>
      <c r="C145" s="164" t="s">
        <v>4927</v>
      </c>
      <c r="D145" s="164" t="s">
        <v>80</v>
      </c>
      <c r="E145" s="164" t="s">
        <v>4933</v>
      </c>
      <c r="F145" s="164"/>
      <c r="G145" s="164"/>
      <c r="H145" s="164"/>
      <c r="I145" s="164"/>
      <c r="J145" s="164"/>
      <c r="K145" s="164"/>
      <c r="L145" s="164"/>
      <c r="M145" s="164"/>
      <c r="N145" s="164"/>
      <c r="O145" s="164"/>
      <c r="P145" s="164"/>
      <c r="Q145" s="164"/>
      <c r="R145" s="164"/>
      <c r="S145" s="164"/>
      <c r="T145" s="164"/>
      <c r="U145" s="164"/>
      <c r="V145" s="164"/>
      <c r="W145" s="164"/>
      <c r="X145" s="198">
        <v>1</v>
      </c>
    </row>
    <row r="146" spans="1:24">
      <c r="A146" s="171" t="s">
        <v>4783</v>
      </c>
      <c r="B146" s="164" t="s">
        <v>4918</v>
      </c>
      <c r="C146" s="164" t="s">
        <v>4927</v>
      </c>
      <c r="D146" s="164" t="s">
        <v>80</v>
      </c>
      <c r="E146" s="164" t="s">
        <v>4934</v>
      </c>
      <c r="F146" s="164"/>
      <c r="G146" s="164"/>
      <c r="H146" s="164"/>
      <c r="I146" s="164"/>
      <c r="J146" s="164"/>
      <c r="K146" s="164"/>
      <c r="L146" s="164"/>
      <c r="M146" s="164"/>
      <c r="N146" s="164"/>
      <c r="O146" s="164"/>
      <c r="P146" s="164"/>
      <c r="Q146" s="164"/>
      <c r="R146" s="164"/>
      <c r="S146" s="164"/>
      <c r="T146" s="164"/>
      <c r="U146" s="164"/>
      <c r="V146" s="164"/>
      <c r="W146" s="164"/>
      <c r="X146" s="198">
        <v>1</v>
      </c>
    </row>
    <row r="147" spans="1:24">
      <c r="A147" s="171" t="s">
        <v>4783</v>
      </c>
      <c r="B147" s="164" t="s">
        <v>4918</v>
      </c>
      <c r="C147" s="164" t="s">
        <v>4927</v>
      </c>
      <c r="D147" s="164" t="s">
        <v>80</v>
      </c>
      <c r="E147" s="164" t="s">
        <v>4935</v>
      </c>
      <c r="F147" s="164"/>
      <c r="G147" s="164"/>
      <c r="H147" s="164"/>
      <c r="I147" s="164"/>
      <c r="J147" s="164"/>
      <c r="K147" s="164"/>
      <c r="L147" s="164"/>
      <c r="M147" s="164"/>
      <c r="N147" s="164"/>
      <c r="O147" s="164"/>
      <c r="P147" s="164"/>
      <c r="Q147" s="164"/>
      <c r="R147" s="164"/>
      <c r="S147" s="164"/>
      <c r="T147" s="164"/>
      <c r="U147" s="164"/>
      <c r="V147" s="164"/>
      <c r="W147" s="164"/>
      <c r="X147" s="198">
        <v>1</v>
      </c>
    </row>
    <row r="148" spans="1:24">
      <c r="A148" s="171" t="s">
        <v>4783</v>
      </c>
      <c r="B148" s="164" t="s">
        <v>4918</v>
      </c>
      <c r="C148" s="164" t="s">
        <v>4927</v>
      </c>
      <c r="D148" s="164" t="s">
        <v>80</v>
      </c>
      <c r="E148" s="164" t="s">
        <v>4936</v>
      </c>
      <c r="F148" s="164"/>
      <c r="G148" s="164"/>
      <c r="H148" s="164"/>
      <c r="I148" s="164"/>
      <c r="J148" s="164"/>
      <c r="K148" s="164"/>
      <c r="L148" s="164"/>
      <c r="M148" s="164"/>
      <c r="N148" s="164"/>
      <c r="O148" s="164"/>
      <c r="P148" s="164"/>
      <c r="Q148" s="164"/>
      <c r="R148" s="164"/>
      <c r="S148" s="164"/>
      <c r="T148" s="164"/>
      <c r="U148" s="164"/>
      <c r="V148" s="164"/>
      <c r="W148" s="164"/>
      <c r="X148" s="198">
        <v>1</v>
      </c>
    </row>
    <row r="149" spans="1:24">
      <c r="A149" s="171" t="s">
        <v>4783</v>
      </c>
      <c r="B149" s="164" t="s">
        <v>4918</v>
      </c>
      <c r="C149" s="164" t="s">
        <v>4937</v>
      </c>
      <c r="D149" s="164" t="s">
        <v>80</v>
      </c>
      <c r="E149" s="164" t="s">
        <v>4938</v>
      </c>
      <c r="F149" s="164"/>
      <c r="G149" s="164"/>
      <c r="H149" s="164"/>
      <c r="I149" s="164"/>
      <c r="J149" s="164"/>
      <c r="K149" s="164"/>
      <c r="L149" s="164"/>
      <c r="M149" s="164"/>
      <c r="N149" s="164"/>
      <c r="O149" s="164"/>
      <c r="P149" s="164"/>
      <c r="Q149" s="164"/>
      <c r="R149" s="164"/>
      <c r="S149" s="164"/>
      <c r="T149" s="164"/>
      <c r="U149" s="164"/>
      <c r="V149" s="164"/>
      <c r="W149" s="164"/>
      <c r="X149" s="198">
        <v>1</v>
      </c>
    </row>
    <row r="150" spans="1:24">
      <c r="A150" s="171" t="s">
        <v>4783</v>
      </c>
      <c r="B150" s="164" t="s">
        <v>4918</v>
      </c>
      <c r="C150" s="164" t="s">
        <v>4937</v>
      </c>
      <c r="D150" s="164" t="s">
        <v>80</v>
      </c>
      <c r="E150" s="164" t="s">
        <v>4939</v>
      </c>
      <c r="F150" s="164"/>
      <c r="G150" s="164"/>
      <c r="H150" s="164"/>
      <c r="I150" s="164"/>
      <c r="J150" s="164"/>
      <c r="K150" s="164"/>
      <c r="L150" s="164"/>
      <c r="M150" s="164"/>
      <c r="N150" s="164"/>
      <c r="O150" s="164"/>
      <c r="P150" s="164"/>
      <c r="Q150" s="164"/>
      <c r="R150" s="164"/>
      <c r="S150" s="164"/>
      <c r="T150" s="164"/>
      <c r="U150" s="164"/>
      <c r="V150" s="164"/>
      <c r="W150" s="164"/>
      <c r="X150" s="198">
        <v>1</v>
      </c>
    </row>
    <row r="151" spans="1:24">
      <c r="A151" s="171" t="s">
        <v>4783</v>
      </c>
      <c r="B151" s="164" t="s">
        <v>4918</v>
      </c>
      <c r="C151" s="164" t="s">
        <v>4937</v>
      </c>
      <c r="D151" s="164" t="s">
        <v>80</v>
      </c>
      <c r="E151" s="164" t="s">
        <v>4940</v>
      </c>
      <c r="F151" s="164"/>
      <c r="G151" s="164"/>
      <c r="H151" s="164"/>
      <c r="I151" s="164"/>
      <c r="J151" s="164"/>
      <c r="K151" s="164"/>
      <c r="L151" s="164"/>
      <c r="M151" s="164"/>
      <c r="N151" s="164"/>
      <c r="O151" s="164"/>
      <c r="P151" s="164"/>
      <c r="Q151" s="164"/>
      <c r="R151" s="164"/>
      <c r="S151" s="164"/>
      <c r="T151" s="164"/>
      <c r="U151" s="164"/>
      <c r="V151" s="164"/>
      <c r="W151" s="164"/>
      <c r="X151" s="198">
        <v>1</v>
      </c>
    </row>
    <row r="152" spans="1:24">
      <c r="A152" s="171" t="s">
        <v>4783</v>
      </c>
      <c r="B152" s="164" t="s">
        <v>4918</v>
      </c>
      <c r="C152" s="164" t="s">
        <v>4937</v>
      </c>
      <c r="D152" s="164" t="s">
        <v>80</v>
      </c>
      <c r="E152" s="164" t="s">
        <v>4941</v>
      </c>
      <c r="F152" s="164"/>
      <c r="G152" s="164"/>
      <c r="H152" s="164"/>
      <c r="I152" s="164"/>
      <c r="J152" s="164"/>
      <c r="K152" s="164"/>
      <c r="L152" s="164"/>
      <c r="M152" s="164"/>
      <c r="N152" s="164"/>
      <c r="O152" s="164"/>
      <c r="P152" s="164"/>
      <c r="Q152" s="164"/>
      <c r="R152" s="164"/>
      <c r="S152" s="164"/>
      <c r="T152" s="164"/>
      <c r="U152" s="164"/>
      <c r="V152" s="164"/>
      <c r="W152" s="164"/>
      <c r="X152" s="198">
        <v>1</v>
      </c>
    </row>
    <row r="153" spans="1:24">
      <c r="A153" s="171" t="s">
        <v>4783</v>
      </c>
      <c r="B153" s="164" t="s">
        <v>4918</v>
      </c>
      <c r="C153" s="164" t="s">
        <v>4937</v>
      </c>
      <c r="D153" s="164" t="s">
        <v>80</v>
      </c>
      <c r="E153" s="164" t="s">
        <v>4942</v>
      </c>
      <c r="F153" s="164"/>
      <c r="G153" s="164"/>
      <c r="H153" s="164"/>
      <c r="I153" s="164"/>
      <c r="J153" s="164"/>
      <c r="K153" s="164"/>
      <c r="L153" s="164"/>
      <c r="M153" s="164"/>
      <c r="N153" s="164"/>
      <c r="O153" s="164"/>
      <c r="P153" s="164"/>
      <c r="Q153" s="164"/>
      <c r="R153" s="164"/>
      <c r="S153" s="164"/>
      <c r="T153" s="164"/>
      <c r="U153" s="164"/>
      <c r="V153" s="164"/>
      <c r="W153" s="164"/>
      <c r="X153" s="198">
        <v>1</v>
      </c>
    </row>
    <row r="154" spans="1:24">
      <c r="A154" s="171" t="s">
        <v>4783</v>
      </c>
      <c r="B154" s="164" t="s">
        <v>4918</v>
      </c>
      <c r="C154" s="164" t="s">
        <v>4937</v>
      </c>
      <c r="D154" s="164" t="s">
        <v>80</v>
      </c>
      <c r="E154" s="164" t="s">
        <v>4943</v>
      </c>
      <c r="F154" s="164"/>
      <c r="G154" s="164"/>
      <c r="H154" s="164"/>
      <c r="I154" s="164"/>
      <c r="J154" s="164"/>
      <c r="K154" s="164"/>
      <c r="L154" s="164"/>
      <c r="M154" s="164"/>
      <c r="N154" s="164"/>
      <c r="O154" s="164"/>
      <c r="P154" s="164"/>
      <c r="Q154" s="164"/>
      <c r="R154" s="164"/>
      <c r="S154" s="164"/>
      <c r="T154" s="164"/>
      <c r="U154" s="164"/>
      <c r="V154" s="164"/>
      <c r="W154" s="164"/>
      <c r="X154" s="198">
        <v>1</v>
      </c>
    </row>
    <row r="155" spans="1:24">
      <c r="A155" s="171" t="s">
        <v>4783</v>
      </c>
      <c r="B155" s="164" t="s">
        <v>4918</v>
      </c>
      <c r="C155" s="164" t="s">
        <v>4944</v>
      </c>
      <c r="D155" s="164" t="s">
        <v>80</v>
      </c>
      <c r="E155" s="164" t="s">
        <v>4945</v>
      </c>
      <c r="F155" s="164"/>
      <c r="G155" s="164"/>
      <c r="H155" s="164"/>
      <c r="I155" s="164"/>
      <c r="J155" s="164"/>
      <c r="K155" s="164"/>
      <c r="L155" s="164"/>
      <c r="M155" s="164"/>
      <c r="N155" s="164"/>
      <c r="O155" s="164"/>
      <c r="P155" s="164"/>
      <c r="Q155" s="164"/>
      <c r="R155" s="164"/>
      <c r="S155" s="164"/>
      <c r="T155" s="164"/>
      <c r="U155" s="164"/>
      <c r="V155" s="164"/>
      <c r="W155" s="164"/>
      <c r="X155" s="198">
        <v>1</v>
      </c>
    </row>
    <row r="156" spans="1:24">
      <c r="A156" s="171" t="s">
        <v>4783</v>
      </c>
      <c r="B156" s="164" t="s">
        <v>4918</v>
      </c>
      <c r="C156" s="164" t="s">
        <v>4946</v>
      </c>
      <c r="D156" s="164" t="s">
        <v>80</v>
      </c>
      <c r="E156" s="164" t="s">
        <v>4947</v>
      </c>
      <c r="F156" s="164"/>
      <c r="G156" s="164"/>
      <c r="H156" s="164"/>
      <c r="I156" s="164"/>
      <c r="J156" s="164"/>
      <c r="K156" s="164"/>
      <c r="L156" s="164"/>
      <c r="M156" s="164"/>
      <c r="N156" s="164"/>
      <c r="O156" s="164"/>
      <c r="P156" s="164"/>
      <c r="Q156" s="164"/>
      <c r="R156" s="164"/>
      <c r="S156" s="164"/>
      <c r="T156" s="164"/>
      <c r="U156" s="164"/>
      <c r="V156" s="164"/>
      <c r="W156" s="164"/>
      <c r="X156" s="198">
        <v>1</v>
      </c>
    </row>
    <row r="157" spans="1:24">
      <c r="A157" s="171" t="s">
        <v>4783</v>
      </c>
      <c r="B157" s="164" t="s">
        <v>4918</v>
      </c>
      <c r="C157" s="164" t="s">
        <v>4948</v>
      </c>
      <c r="D157" s="164" t="s">
        <v>80</v>
      </c>
      <c r="E157" s="164" t="s">
        <v>4949</v>
      </c>
      <c r="F157" s="164"/>
      <c r="G157" s="164"/>
      <c r="H157" s="164"/>
      <c r="I157" s="164"/>
      <c r="J157" s="164"/>
      <c r="K157" s="164"/>
      <c r="L157" s="164"/>
      <c r="M157" s="164"/>
      <c r="N157" s="164"/>
      <c r="O157" s="164"/>
      <c r="P157" s="164"/>
      <c r="Q157" s="164"/>
      <c r="R157" s="164"/>
      <c r="S157" s="164"/>
      <c r="T157" s="164"/>
      <c r="U157" s="164"/>
      <c r="V157" s="164"/>
      <c r="W157" s="164"/>
      <c r="X157" s="198">
        <v>1</v>
      </c>
    </row>
    <row r="158" spans="1:24">
      <c r="A158" s="171" t="s">
        <v>4783</v>
      </c>
      <c r="B158" s="164" t="s">
        <v>4918</v>
      </c>
      <c r="C158" s="164" t="s">
        <v>4950</v>
      </c>
      <c r="D158" s="164" t="s">
        <v>80</v>
      </c>
      <c r="E158" s="164" t="s">
        <v>4951</v>
      </c>
      <c r="F158" s="164"/>
      <c r="G158" s="164"/>
      <c r="H158" s="164"/>
      <c r="I158" s="164"/>
      <c r="J158" s="164"/>
      <c r="K158" s="164"/>
      <c r="L158" s="164"/>
      <c r="M158" s="164"/>
      <c r="N158" s="164"/>
      <c r="O158" s="164"/>
      <c r="P158" s="164"/>
      <c r="Q158" s="164"/>
      <c r="R158" s="164"/>
      <c r="S158" s="164"/>
      <c r="T158" s="164"/>
      <c r="U158" s="164"/>
      <c r="V158" s="164"/>
      <c r="W158" s="164"/>
      <c r="X158" s="198">
        <v>1</v>
      </c>
    </row>
    <row r="159" spans="1:24">
      <c r="A159" s="171" t="s">
        <v>4783</v>
      </c>
      <c r="B159" s="164" t="s">
        <v>4918</v>
      </c>
      <c r="C159" s="164" t="s">
        <v>4952</v>
      </c>
      <c r="D159" s="164" t="s">
        <v>80</v>
      </c>
      <c r="E159" s="164" t="s">
        <v>4953</v>
      </c>
      <c r="F159" s="164"/>
      <c r="G159" s="164"/>
      <c r="H159" s="164"/>
      <c r="I159" s="164"/>
      <c r="J159" s="164"/>
      <c r="K159" s="164"/>
      <c r="L159" s="164"/>
      <c r="M159" s="164"/>
      <c r="N159" s="164"/>
      <c r="O159" s="164"/>
      <c r="P159" s="164"/>
      <c r="Q159" s="164"/>
      <c r="R159" s="164"/>
      <c r="S159" s="164"/>
      <c r="T159" s="164"/>
      <c r="U159" s="164"/>
      <c r="V159" s="164"/>
      <c r="W159" s="164"/>
      <c r="X159" s="198">
        <v>1</v>
      </c>
    </row>
    <row r="160" spans="1:24">
      <c r="A160" s="171" t="s">
        <v>4783</v>
      </c>
      <c r="B160" s="164" t="s">
        <v>4918</v>
      </c>
      <c r="C160" s="164" t="s">
        <v>4954</v>
      </c>
      <c r="D160" s="164" t="s">
        <v>80</v>
      </c>
      <c r="E160" s="164" t="s">
        <v>4955</v>
      </c>
      <c r="F160" s="164"/>
      <c r="G160" s="164"/>
      <c r="H160" s="164"/>
      <c r="I160" s="164"/>
      <c r="J160" s="164"/>
      <c r="K160" s="164"/>
      <c r="L160" s="164"/>
      <c r="M160" s="164"/>
      <c r="N160" s="164"/>
      <c r="O160" s="164"/>
      <c r="P160" s="164"/>
      <c r="Q160" s="164"/>
      <c r="R160" s="164"/>
      <c r="S160" s="164"/>
      <c r="T160" s="164"/>
      <c r="U160" s="164"/>
      <c r="V160" s="164"/>
      <c r="W160" s="164"/>
      <c r="X160" s="198">
        <v>1</v>
      </c>
    </row>
    <row r="161" spans="1:24">
      <c r="A161" s="171" t="s">
        <v>4783</v>
      </c>
      <c r="B161" s="164" t="s">
        <v>4918</v>
      </c>
      <c r="C161" s="164" t="s">
        <v>4956</v>
      </c>
      <c r="D161" s="164" t="s">
        <v>80</v>
      </c>
      <c r="E161" s="164" t="s">
        <v>4957</v>
      </c>
      <c r="F161" s="164"/>
      <c r="G161" s="164"/>
      <c r="H161" s="164"/>
      <c r="I161" s="164"/>
      <c r="J161" s="164"/>
      <c r="K161" s="164"/>
      <c r="L161" s="164"/>
      <c r="M161" s="164"/>
      <c r="N161" s="164"/>
      <c r="O161" s="164"/>
      <c r="P161" s="164"/>
      <c r="Q161" s="164"/>
      <c r="R161" s="164"/>
      <c r="S161" s="164"/>
      <c r="T161" s="164"/>
      <c r="U161" s="164"/>
      <c r="V161" s="164"/>
      <c r="W161" s="164"/>
      <c r="X161" s="198">
        <v>1</v>
      </c>
    </row>
    <row r="162" spans="1:24">
      <c r="A162" s="171" t="s">
        <v>4783</v>
      </c>
      <c r="B162" s="164" t="s">
        <v>4918</v>
      </c>
      <c r="C162" s="164" t="s">
        <v>4958</v>
      </c>
      <c r="D162" s="164" t="s">
        <v>80</v>
      </c>
      <c r="E162" s="164" t="s">
        <v>4959</v>
      </c>
      <c r="F162" s="164"/>
      <c r="G162" s="164"/>
      <c r="H162" s="164"/>
      <c r="I162" s="164"/>
      <c r="J162" s="164"/>
      <c r="K162" s="164"/>
      <c r="L162" s="164"/>
      <c r="M162" s="164"/>
      <c r="N162" s="164"/>
      <c r="O162" s="164"/>
      <c r="P162" s="164"/>
      <c r="Q162" s="164"/>
      <c r="R162" s="164"/>
      <c r="S162" s="164"/>
      <c r="T162" s="164"/>
      <c r="U162" s="164"/>
      <c r="V162" s="164"/>
      <c r="W162" s="164"/>
      <c r="X162" s="198">
        <v>1</v>
      </c>
    </row>
    <row r="163" spans="1:24">
      <c r="A163" s="171" t="s">
        <v>4783</v>
      </c>
      <c r="B163" s="164" t="s">
        <v>4918</v>
      </c>
      <c r="C163" s="164" t="s">
        <v>4960</v>
      </c>
      <c r="D163" s="164" t="s">
        <v>80</v>
      </c>
      <c r="E163" s="164" t="s">
        <v>4961</v>
      </c>
      <c r="F163" s="164"/>
      <c r="G163" s="164"/>
      <c r="H163" s="164"/>
      <c r="I163" s="164"/>
      <c r="J163" s="164"/>
      <c r="K163" s="164"/>
      <c r="L163" s="164"/>
      <c r="M163" s="164"/>
      <c r="N163" s="164"/>
      <c r="O163" s="164"/>
      <c r="P163" s="164"/>
      <c r="Q163" s="164"/>
      <c r="R163" s="164"/>
      <c r="S163" s="164"/>
      <c r="T163" s="164"/>
      <c r="U163" s="164"/>
      <c r="V163" s="164"/>
      <c r="W163" s="164"/>
      <c r="X163" s="198">
        <v>1</v>
      </c>
    </row>
    <row r="164" spans="1:24">
      <c r="A164" s="171" t="s">
        <v>4783</v>
      </c>
      <c r="B164" s="164" t="s">
        <v>4918</v>
      </c>
      <c r="C164" s="164" t="s">
        <v>4962</v>
      </c>
      <c r="D164" s="164" t="s">
        <v>80</v>
      </c>
      <c r="E164" s="164" t="s">
        <v>4963</v>
      </c>
      <c r="F164" s="164"/>
      <c r="G164" s="164"/>
      <c r="H164" s="164"/>
      <c r="I164" s="164"/>
      <c r="J164" s="164"/>
      <c r="K164" s="164"/>
      <c r="L164" s="164"/>
      <c r="M164" s="164"/>
      <c r="N164" s="164"/>
      <c r="O164" s="164"/>
      <c r="P164" s="164"/>
      <c r="Q164" s="164"/>
      <c r="R164" s="164"/>
      <c r="S164" s="164"/>
      <c r="T164" s="164"/>
      <c r="U164" s="164"/>
      <c r="V164" s="164"/>
      <c r="W164" s="164"/>
      <c r="X164" s="198">
        <v>1</v>
      </c>
    </row>
    <row r="165" spans="1:24">
      <c r="A165" s="171" t="s">
        <v>4783</v>
      </c>
      <c r="B165" s="164" t="s">
        <v>4918</v>
      </c>
      <c r="C165" s="164" t="s">
        <v>4964</v>
      </c>
      <c r="D165" s="164" t="s">
        <v>80</v>
      </c>
      <c r="E165" s="164" t="s">
        <v>4965</v>
      </c>
      <c r="F165" s="164"/>
      <c r="G165" s="164"/>
      <c r="H165" s="164"/>
      <c r="I165" s="164"/>
      <c r="J165" s="164"/>
      <c r="K165" s="164"/>
      <c r="L165" s="164"/>
      <c r="M165" s="164"/>
      <c r="N165" s="164"/>
      <c r="O165" s="164"/>
      <c r="P165" s="164"/>
      <c r="Q165" s="164"/>
      <c r="R165" s="164"/>
      <c r="S165" s="164"/>
      <c r="T165" s="164"/>
      <c r="U165" s="164"/>
      <c r="V165" s="164"/>
      <c r="W165" s="164"/>
      <c r="X165" s="198">
        <v>1</v>
      </c>
    </row>
    <row r="166" spans="1:24">
      <c r="A166" s="171" t="s">
        <v>4783</v>
      </c>
      <c r="B166" s="164" t="s">
        <v>4918</v>
      </c>
      <c r="C166" s="164" t="s">
        <v>4966</v>
      </c>
      <c r="D166" s="164" t="s">
        <v>80</v>
      </c>
      <c r="E166" s="164" t="s">
        <v>4967</v>
      </c>
      <c r="F166" s="164"/>
      <c r="G166" s="164"/>
      <c r="H166" s="164"/>
      <c r="I166" s="164"/>
      <c r="J166" s="164"/>
      <c r="K166" s="164"/>
      <c r="L166" s="164"/>
      <c r="M166" s="164"/>
      <c r="N166" s="164"/>
      <c r="O166" s="164"/>
      <c r="P166" s="164"/>
      <c r="Q166" s="164"/>
      <c r="R166" s="164"/>
      <c r="S166" s="164"/>
      <c r="T166" s="164"/>
      <c r="U166" s="164"/>
      <c r="V166" s="164"/>
      <c r="W166" s="164"/>
      <c r="X166" s="198">
        <v>1</v>
      </c>
    </row>
    <row r="167" spans="1:24">
      <c r="A167" s="171" t="s">
        <v>4783</v>
      </c>
      <c r="B167" s="164" t="s">
        <v>4918</v>
      </c>
      <c r="C167" s="164" t="s">
        <v>4968</v>
      </c>
      <c r="D167" s="164" t="s">
        <v>80</v>
      </c>
      <c r="E167" s="164" t="s">
        <v>4969</v>
      </c>
      <c r="F167" s="164"/>
      <c r="G167" s="164"/>
      <c r="H167" s="164"/>
      <c r="I167" s="164"/>
      <c r="J167" s="164"/>
      <c r="K167" s="164"/>
      <c r="L167" s="164"/>
      <c r="M167" s="164"/>
      <c r="N167" s="164"/>
      <c r="O167" s="164"/>
      <c r="P167" s="164"/>
      <c r="Q167" s="164"/>
      <c r="R167" s="164"/>
      <c r="S167" s="164"/>
      <c r="T167" s="164"/>
      <c r="U167" s="164"/>
      <c r="V167" s="164"/>
      <c r="W167" s="164"/>
      <c r="X167" s="198">
        <v>1</v>
      </c>
    </row>
    <row r="168" spans="1:24">
      <c r="A168" s="171" t="s">
        <v>4783</v>
      </c>
      <c r="B168" s="164" t="s">
        <v>4918</v>
      </c>
      <c r="C168" s="164" t="s">
        <v>4970</v>
      </c>
      <c r="D168" s="164" t="s">
        <v>80</v>
      </c>
      <c r="E168" s="164" t="s">
        <v>4971</v>
      </c>
      <c r="F168" s="164"/>
      <c r="G168" s="164"/>
      <c r="H168" s="164"/>
      <c r="I168" s="164"/>
      <c r="J168" s="164"/>
      <c r="K168" s="164"/>
      <c r="L168" s="164"/>
      <c r="M168" s="164"/>
      <c r="N168" s="164"/>
      <c r="O168" s="164"/>
      <c r="P168" s="164"/>
      <c r="Q168" s="164"/>
      <c r="R168" s="164"/>
      <c r="S168" s="164"/>
      <c r="T168" s="164"/>
      <c r="U168" s="164"/>
      <c r="V168" s="164"/>
      <c r="W168" s="164"/>
      <c r="X168" s="198">
        <v>1</v>
      </c>
    </row>
    <row r="169" spans="1:24">
      <c r="A169" s="171" t="s">
        <v>4783</v>
      </c>
      <c r="B169" s="164" t="s">
        <v>4918</v>
      </c>
      <c r="C169" s="164" t="s">
        <v>4972</v>
      </c>
      <c r="D169" s="164" t="s">
        <v>80</v>
      </c>
      <c r="E169" s="164" t="s">
        <v>4973</v>
      </c>
      <c r="F169" s="164"/>
      <c r="G169" s="164"/>
      <c r="H169" s="164"/>
      <c r="I169" s="164"/>
      <c r="J169" s="164"/>
      <c r="K169" s="164"/>
      <c r="L169" s="164"/>
      <c r="M169" s="164"/>
      <c r="N169" s="164"/>
      <c r="O169" s="164"/>
      <c r="P169" s="164"/>
      <c r="Q169" s="164"/>
      <c r="R169" s="164"/>
      <c r="S169" s="164"/>
      <c r="T169" s="164"/>
      <c r="U169" s="164"/>
      <c r="V169" s="164"/>
      <c r="W169" s="164"/>
      <c r="X169" s="198">
        <v>1</v>
      </c>
    </row>
    <row r="170" spans="1:24">
      <c r="A170" s="171" t="s">
        <v>4783</v>
      </c>
      <c r="B170" s="164" t="s">
        <v>4918</v>
      </c>
      <c r="C170" s="164" t="s">
        <v>4974</v>
      </c>
      <c r="D170" s="164" t="s">
        <v>80</v>
      </c>
      <c r="E170" s="164" t="s">
        <v>4975</v>
      </c>
      <c r="F170" s="164"/>
      <c r="G170" s="164"/>
      <c r="H170" s="164"/>
      <c r="I170" s="164"/>
      <c r="J170" s="164"/>
      <c r="K170" s="164"/>
      <c r="L170" s="164"/>
      <c r="M170" s="164"/>
      <c r="N170" s="164"/>
      <c r="O170" s="164"/>
      <c r="P170" s="164"/>
      <c r="Q170" s="164"/>
      <c r="R170" s="164"/>
      <c r="S170" s="164"/>
      <c r="T170" s="164"/>
      <c r="U170" s="164"/>
      <c r="V170" s="164"/>
      <c r="W170" s="164"/>
      <c r="X170" s="198">
        <v>1</v>
      </c>
    </row>
    <row r="171" spans="1:24">
      <c r="A171" s="171" t="s">
        <v>4783</v>
      </c>
      <c r="B171" s="164" t="s">
        <v>4918</v>
      </c>
      <c r="C171" s="164" t="s">
        <v>4976</v>
      </c>
      <c r="D171" s="164" t="s">
        <v>80</v>
      </c>
      <c r="E171" s="164" t="s">
        <v>4977</v>
      </c>
      <c r="F171" s="164"/>
      <c r="G171" s="164"/>
      <c r="H171" s="164"/>
      <c r="I171" s="164"/>
      <c r="J171" s="164"/>
      <c r="K171" s="164"/>
      <c r="L171" s="164"/>
      <c r="M171" s="164"/>
      <c r="N171" s="164"/>
      <c r="O171" s="164"/>
      <c r="P171" s="164"/>
      <c r="Q171" s="164"/>
      <c r="R171" s="164"/>
      <c r="S171" s="164"/>
      <c r="T171" s="164"/>
      <c r="U171" s="164"/>
      <c r="V171" s="164"/>
      <c r="W171" s="164"/>
      <c r="X171" s="198">
        <v>1</v>
      </c>
    </row>
    <row r="172" spans="1:24">
      <c r="A172" s="171" t="s">
        <v>4783</v>
      </c>
      <c r="B172" s="164" t="s">
        <v>4918</v>
      </c>
      <c r="C172" s="164" t="s">
        <v>4978</v>
      </c>
      <c r="D172" s="164" t="s">
        <v>80</v>
      </c>
      <c r="E172" s="164" t="s">
        <v>4979</v>
      </c>
      <c r="F172" s="164"/>
      <c r="G172" s="164"/>
      <c r="H172" s="164"/>
      <c r="I172" s="164"/>
      <c r="J172" s="164"/>
      <c r="K172" s="164"/>
      <c r="L172" s="164"/>
      <c r="M172" s="164"/>
      <c r="N172" s="164"/>
      <c r="O172" s="164"/>
      <c r="P172" s="164"/>
      <c r="Q172" s="164"/>
      <c r="R172" s="164"/>
      <c r="S172" s="164"/>
      <c r="T172" s="164"/>
      <c r="U172" s="164"/>
      <c r="V172" s="164"/>
      <c r="W172" s="164"/>
      <c r="X172" s="198">
        <v>1</v>
      </c>
    </row>
    <row r="173" spans="1:24">
      <c r="A173" s="171" t="s">
        <v>4783</v>
      </c>
      <c r="B173" s="164" t="s">
        <v>4918</v>
      </c>
      <c r="C173" s="164" t="s">
        <v>4980</v>
      </c>
      <c r="D173" s="164" t="s">
        <v>80</v>
      </c>
      <c r="E173" s="164" t="s">
        <v>4981</v>
      </c>
      <c r="F173" s="164"/>
      <c r="G173" s="164"/>
      <c r="H173" s="164"/>
      <c r="I173" s="164"/>
      <c r="J173" s="164"/>
      <c r="K173" s="164"/>
      <c r="L173" s="164"/>
      <c r="M173" s="164"/>
      <c r="N173" s="164"/>
      <c r="O173" s="164"/>
      <c r="P173" s="164"/>
      <c r="Q173" s="164"/>
      <c r="R173" s="164"/>
      <c r="S173" s="164"/>
      <c r="T173" s="164"/>
      <c r="U173" s="164"/>
      <c r="V173" s="164"/>
      <c r="W173" s="164"/>
      <c r="X173" s="198">
        <v>1</v>
      </c>
    </row>
    <row r="174" spans="1:24" ht="15.75" thickBot="1">
      <c r="A174" s="173" t="s">
        <v>4783</v>
      </c>
      <c r="B174" s="168" t="s">
        <v>4918</v>
      </c>
      <c r="C174" s="168" t="s">
        <v>4946</v>
      </c>
      <c r="D174" s="168" t="s">
        <v>80</v>
      </c>
      <c r="E174" s="168" t="s">
        <v>4982</v>
      </c>
      <c r="F174" s="168"/>
      <c r="G174" s="168"/>
      <c r="H174" s="168"/>
      <c r="I174" s="168"/>
      <c r="J174" s="168"/>
      <c r="K174" s="168"/>
      <c r="L174" s="168"/>
      <c r="M174" s="168"/>
      <c r="N174" s="168"/>
      <c r="O174" s="168"/>
      <c r="P174" s="168"/>
      <c r="Q174" s="168"/>
      <c r="R174" s="168"/>
      <c r="S174" s="168"/>
      <c r="T174" s="168"/>
      <c r="U174" s="168"/>
      <c r="V174" s="168"/>
      <c r="W174" s="168"/>
      <c r="X174" s="199">
        <v>1</v>
      </c>
    </row>
    <row r="175" spans="1:24" ht="14.45" customHeight="1">
      <c r="A175" s="169" t="s">
        <v>4983</v>
      </c>
      <c r="B175" s="165" t="s">
        <v>4984</v>
      </c>
      <c r="C175" s="165" t="s">
        <v>4985</v>
      </c>
      <c r="D175" s="165" t="s">
        <v>4986</v>
      </c>
      <c r="E175" s="165" t="s">
        <v>1331</v>
      </c>
      <c r="F175" s="165"/>
      <c r="G175" s="165"/>
      <c r="H175" s="165"/>
      <c r="I175" s="165"/>
      <c r="J175" s="165"/>
      <c r="K175" s="165"/>
      <c r="L175" s="165"/>
      <c r="M175" s="165"/>
      <c r="N175" s="165"/>
      <c r="O175" s="165"/>
      <c r="P175" s="165"/>
      <c r="Q175" s="165"/>
      <c r="R175" s="165"/>
      <c r="S175" s="165"/>
      <c r="T175" s="165"/>
      <c r="U175" s="165"/>
      <c r="V175" s="165"/>
      <c r="W175" s="165"/>
      <c r="X175" s="197">
        <v>1</v>
      </c>
    </row>
    <row r="176" spans="1:24">
      <c r="A176" s="171" t="s">
        <v>4983</v>
      </c>
      <c r="B176" s="164" t="s">
        <v>4984</v>
      </c>
      <c r="C176" s="164" t="s">
        <v>4985</v>
      </c>
      <c r="D176" s="164" t="s">
        <v>4986</v>
      </c>
      <c r="E176" s="164" t="s">
        <v>4987</v>
      </c>
      <c r="F176" s="164"/>
      <c r="G176" s="164"/>
      <c r="H176" s="164"/>
      <c r="I176" s="164"/>
      <c r="J176" s="164"/>
      <c r="K176" s="164"/>
      <c r="L176" s="164"/>
      <c r="M176" s="164"/>
      <c r="N176" s="164"/>
      <c r="O176" s="164"/>
      <c r="P176" s="164"/>
      <c r="Q176" s="164"/>
      <c r="R176" s="164"/>
      <c r="S176" s="164"/>
      <c r="T176" s="164"/>
      <c r="U176" s="164"/>
      <c r="V176" s="164"/>
      <c r="W176" s="164"/>
      <c r="X176" s="198">
        <v>1</v>
      </c>
    </row>
    <row r="177" spans="1:24">
      <c r="A177" s="171" t="s">
        <v>4983</v>
      </c>
      <c r="B177" s="164" t="s">
        <v>4984</v>
      </c>
      <c r="C177" s="164" t="s">
        <v>4988</v>
      </c>
      <c r="D177" s="164" t="s">
        <v>4986</v>
      </c>
      <c r="E177" s="164" t="s">
        <v>1335</v>
      </c>
      <c r="F177" s="164"/>
      <c r="G177" s="164"/>
      <c r="H177" s="164"/>
      <c r="I177" s="164"/>
      <c r="J177" s="164"/>
      <c r="K177" s="164"/>
      <c r="L177" s="164"/>
      <c r="M177" s="164"/>
      <c r="N177" s="164"/>
      <c r="O177" s="164"/>
      <c r="P177" s="164"/>
      <c r="Q177" s="164"/>
      <c r="R177" s="164"/>
      <c r="S177" s="164"/>
      <c r="T177" s="164"/>
      <c r="U177" s="164"/>
      <c r="V177" s="164"/>
      <c r="W177" s="164"/>
      <c r="X177" s="198">
        <v>1</v>
      </c>
    </row>
    <row r="178" spans="1:24" ht="15.75" thickBot="1">
      <c r="A178" s="173" t="s">
        <v>4983</v>
      </c>
      <c r="B178" s="168" t="s">
        <v>4984</v>
      </c>
      <c r="C178" s="168" t="s">
        <v>4988</v>
      </c>
      <c r="D178" s="168" t="s">
        <v>4986</v>
      </c>
      <c r="E178" s="168" t="s">
        <v>4989</v>
      </c>
      <c r="F178" s="168"/>
      <c r="G178" s="168"/>
      <c r="H178" s="168"/>
      <c r="I178" s="168"/>
      <c r="J178" s="168"/>
      <c r="K178" s="168"/>
      <c r="L178" s="168"/>
      <c r="M178" s="168"/>
      <c r="N178" s="168"/>
      <c r="O178" s="168"/>
      <c r="P178" s="168"/>
      <c r="Q178" s="168"/>
      <c r="R178" s="168"/>
      <c r="S178" s="168"/>
      <c r="T178" s="168"/>
      <c r="U178" s="168"/>
      <c r="V178" s="168"/>
      <c r="W178" s="168"/>
      <c r="X178" s="199">
        <v>1</v>
      </c>
    </row>
    <row r="179" spans="1:24" ht="14.45" customHeight="1">
      <c r="A179" s="169" t="s">
        <v>4783</v>
      </c>
      <c r="B179" s="165" t="s">
        <v>4990</v>
      </c>
      <c r="C179" s="165" t="s">
        <v>4991</v>
      </c>
      <c r="D179" s="165" t="s">
        <v>4992</v>
      </c>
      <c r="E179" s="165" t="s">
        <v>4993</v>
      </c>
      <c r="F179" s="165" t="s">
        <v>4994</v>
      </c>
      <c r="G179" s="165" t="s">
        <v>4995</v>
      </c>
      <c r="H179" s="165"/>
      <c r="I179" s="165"/>
      <c r="J179" s="165"/>
      <c r="K179" s="165"/>
      <c r="L179" s="165"/>
      <c r="M179" s="165"/>
      <c r="N179" s="165"/>
      <c r="O179" s="165"/>
      <c r="P179" s="165"/>
      <c r="Q179" s="165"/>
      <c r="R179" s="165"/>
      <c r="S179" s="165"/>
      <c r="T179" s="165"/>
      <c r="U179" s="165"/>
      <c r="V179" s="165"/>
      <c r="W179" s="165"/>
      <c r="X179" s="201">
        <v>1</v>
      </c>
    </row>
    <row r="180" spans="1:24">
      <c r="A180" s="171" t="s">
        <v>4783</v>
      </c>
      <c r="B180" s="164" t="s">
        <v>4990</v>
      </c>
      <c r="C180" s="164" t="s">
        <v>4996</v>
      </c>
      <c r="D180" s="164" t="s">
        <v>4992</v>
      </c>
      <c r="E180" s="164" t="s">
        <v>4993</v>
      </c>
      <c r="F180" s="164"/>
      <c r="G180" s="164"/>
      <c r="H180" s="164" t="s">
        <v>4997</v>
      </c>
      <c r="I180" s="164" t="s">
        <v>4998</v>
      </c>
      <c r="J180" s="164"/>
      <c r="K180" s="164"/>
      <c r="L180" s="164"/>
      <c r="M180" s="164"/>
      <c r="N180" s="164"/>
      <c r="O180" s="164"/>
      <c r="P180" s="164"/>
      <c r="Q180" s="164"/>
      <c r="R180" s="164"/>
      <c r="S180" s="164"/>
      <c r="T180" s="164"/>
      <c r="U180" s="164"/>
      <c r="V180" s="164"/>
      <c r="W180" s="164"/>
      <c r="X180" s="202">
        <v>1</v>
      </c>
    </row>
    <row r="181" spans="1:24">
      <c r="A181" s="171" t="s">
        <v>4783</v>
      </c>
      <c r="B181" s="164" t="s">
        <v>4990</v>
      </c>
      <c r="C181" s="164" t="s">
        <v>4999</v>
      </c>
      <c r="D181" s="164" t="s">
        <v>4992</v>
      </c>
      <c r="E181" s="164" t="s">
        <v>4993</v>
      </c>
      <c r="F181" s="164"/>
      <c r="G181" s="164"/>
      <c r="H181" s="164" t="s">
        <v>4997</v>
      </c>
      <c r="I181" s="164" t="s">
        <v>5000</v>
      </c>
      <c r="J181" s="164"/>
      <c r="K181" s="164"/>
      <c r="L181" s="164"/>
      <c r="M181" s="164"/>
      <c r="N181" s="164"/>
      <c r="O181" s="164"/>
      <c r="P181" s="164"/>
      <c r="Q181" s="164"/>
      <c r="R181" s="164"/>
      <c r="S181" s="164"/>
      <c r="T181" s="164"/>
      <c r="U181" s="164"/>
      <c r="V181" s="164"/>
      <c r="W181" s="164"/>
      <c r="X181" s="202">
        <v>1</v>
      </c>
    </row>
    <row r="182" spans="1:24">
      <c r="A182" s="171" t="s">
        <v>4783</v>
      </c>
      <c r="B182" s="164" t="s">
        <v>4990</v>
      </c>
      <c r="C182" s="164" t="s">
        <v>4999</v>
      </c>
      <c r="D182" s="164" t="s">
        <v>4992</v>
      </c>
      <c r="E182" s="164" t="s">
        <v>5001</v>
      </c>
      <c r="F182" s="164"/>
      <c r="G182" s="164"/>
      <c r="H182" s="164"/>
      <c r="I182" s="164"/>
      <c r="J182" s="164"/>
      <c r="K182" s="164"/>
      <c r="L182" s="164"/>
      <c r="M182" s="164"/>
      <c r="N182" s="164"/>
      <c r="O182" s="164"/>
      <c r="P182" s="164"/>
      <c r="Q182" s="164"/>
      <c r="R182" s="164"/>
      <c r="S182" s="164"/>
      <c r="T182" s="164"/>
      <c r="U182" s="164"/>
      <c r="V182" s="164"/>
      <c r="W182" s="164"/>
      <c r="X182" s="202">
        <v>1</v>
      </c>
    </row>
    <row r="183" spans="1:24">
      <c r="A183" s="171" t="s">
        <v>4783</v>
      </c>
      <c r="B183" s="164" t="s">
        <v>4990</v>
      </c>
      <c r="C183" s="164" t="s">
        <v>5002</v>
      </c>
      <c r="D183" s="164" t="s">
        <v>4992</v>
      </c>
      <c r="E183" s="164" t="s">
        <v>5003</v>
      </c>
      <c r="F183" s="164"/>
      <c r="G183" s="164"/>
      <c r="H183" s="164"/>
      <c r="I183" s="164"/>
      <c r="J183" s="164"/>
      <c r="K183" s="164"/>
      <c r="L183" s="164"/>
      <c r="M183" s="164"/>
      <c r="N183" s="164"/>
      <c r="O183" s="164"/>
      <c r="P183" s="164"/>
      <c r="Q183" s="164"/>
      <c r="R183" s="164"/>
      <c r="S183" s="164"/>
      <c r="T183" s="164"/>
      <c r="U183" s="164"/>
      <c r="V183" s="164"/>
      <c r="W183" s="164"/>
      <c r="X183" s="202">
        <v>1</v>
      </c>
    </row>
    <row r="184" spans="1:24">
      <c r="A184" s="171" t="s">
        <v>4783</v>
      </c>
      <c r="B184" s="164" t="s">
        <v>4990</v>
      </c>
      <c r="C184" s="164" t="s">
        <v>5002</v>
      </c>
      <c r="D184" s="164" t="s">
        <v>4992</v>
      </c>
      <c r="E184" s="164" t="s">
        <v>5004</v>
      </c>
      <c r="F184" s="164"/>
      <c r="G184" s="164"/>
      <c r="H184" s="164"/>
      <c r="I184" s="164"/>
      <c r="J184" s="164"/>
      <c r="K184" s="164"/>
      <c r="L184" s="164"/>
      <c r="M184" s="164"/>
      <c r="N184" s="164"/>
      <c r="O184" s="164"/>
      <c r="P184" s="164"/>
      <c r="Q184" s="164"/>
      <c r="R184" s="164"/>
      <c r="S184" s="164"/>
      <c r="T184" s="164"/>
      <c r="U184" s="164"/>
      <c r="V184" s="164"/>
      <c r="W184" s="164"/>
      <c r="X184" s="202">
        <v>1</v>
      </c>
    </row>
    <row r="185" spans="1:24">
      <c r="A185" s="171" t="s">
        <v>4783</v>
      </c>
      <c r="B185" s="164" t="s">
        <v>4990</v>
      </c>
      <c r="C185" s="164" t="s">
        <v>5002</v>
      </c>
      <c r="D185" s="164" t="s">
        <v>4992</v>
      </c>
      <c r="E185" s="164" t="s">
        <v>5005</v>
      </c>
      <c r="F185" s="164"/>
      <c r="G185" s="164"/>
      <c r="H185" s="164"/>
      <c r="I185" s="164"/>
      <c r="J185" s="164"/>
      <c r="K185" s="164"/>
      <c r="L185" s="164"/>
      <c r="M185" s="164"/>
      <c r="N185" s="164"/>
      <c r="O185" s="164"/>
      <c r="P185" s="164"/>
      <c r="Q185" s="164"/>
      <c r="R185" s="164"/>
      <c r="S185" s="164"/>
      <c r="T185" s="164"/>
      <c r="U185" s="164"/>
      <c r="V185" s="164"/>
      <c r="W185" s="164"/>
      <c r="X185" s="202">
        <v>1</v>
      </c>
    </row>
    <row r="186" spans="1:24">
      <c r="A186" s="171" t="s">
        <v>4783</v>
      </c>
      <c r="B186" s="164" t="s">
        <v>4990</v>
      </c>
      <c r="C186" s="164" t="s">
        <v>5006</v>
      </c>
      <c r="D186" s="164" t="s">
        <v>4992</v>
      </c>
      <c r="E186" s="164" t="s">
        <v>5007</v>
      </c>
      <c r="F186" s="164"/>
      <c r="G186" s="164"/>
      <c r="H186" s="164"/>
      <c r="I186" s="164"/>
      <c r="J186" s="164"/>
      <c r="K186" s="164"/>
      <c r="L186" s="164"/>
      <c r="M186" s="164"/>
      <c r="N186" s="164"/>
      <c r="O186" s="164"/>
      <c r="P186" s="164"/>
      <c r="Q186" s="164"/>
      <c r="R186" s="164"/>
      <c r="S186" s="164"/>
      <c r="T186" s="164"/>
      <c r="U186" s="164"/>
      <c r="V186" s="164"/>
      <c r="W186" s="164"/>
      <c r="X186" s="202">
        <v>1</v>
      </c>
    </row>
    <row r="187" spans="1:24">
      <c r="A187" s="171" t="s">
        <v>4783</v>
      </c>
      <c r="B187" s="164" t="s">
        <v>4990</v>
      </c>
      <c r="C187" s="164" t="s">
        <v>5008</v>
      </c>
      <c r="D187" s="164" t="s">
        <v>4992</v>
      </c>
      <c r="E187" s="164" t="s">
        <v>5009</v>
      </c>
      <c r="F187" s="164"/>
      <c r="G187" s="164"/>
      <c r="H187" s="164"/>
      <c r="I187" s="164"/>
      <c r="J187" s="164"/>
      <c r="K187" s="164"/>
      <c r="L187" s="164"/>
      <c r="M187" s="164"/>
      <c r="N187" s="164"/>
      <c r="O187" s="164"/>
      <c r="P187" s="164"/>
      <c r="Q187" s="164"/>
      <c r="R187" s="164"/>
      <c r="S187" s="164"/>
      <c r="T187" s="164"/>
      <c r="U187" s="164"/>
      <c r="V187" s="164"/>
      <c r="W187" s="164"/>
      <c r="X187" s="202">
        <v>1</v>
      </c>
    </row>
    <row r="188" spans="1:24">
      <c r="A188" s="171" t="s">
        <v>4783</v>
      </c>
      <c r="B188" s="164" t="s">
        <v>4990</v>
      </c>
      <c r="C188" s="164" t="s">
        <v>5010</v>
      </c>
      <c r="D188" s="164" t="s">
        <v>4992</v>
      </c>
      <c r="E188" s="164" t="s">
        <v>5011</v>
      </c>
      <c r="F188" s="164"/>
      <c r="G188" s="164"/>
      <c r="H188" s="164"/>
      <c r="I188" s="164"/>
      <c r="J188" s="164"/>
      <c r="K188" s="164"/>
      <c r="L188" s="164"/>
      <c r="M188" s="164"/>
      <c r="N188" s="164"/>
      <c r="O188" s="164"/>
      <c r="P188" s="164"/>
      <c r="Q188" s="164"/>
      <c r="R188" s="164"/>
      <c r="S188" s="164"/>
      <c r="T188" s="164"/>
      <c r="U188" s="164"/>
      <c r="V188" s="164"/>
      <c r="W188" s="164"/>
      <c r="X188" s="202">
        <v>1</v>
      </c>
    </row>
    <row r="189" spans="1:24">
      <c r="A189" s="171" t="s">
        <v>4783</v>
      </c>
      <c r="B189" s="164" t="s">
        <v>4990</v>
      </c>
      <c r="C189" s="164" t="s">
        <v>5012</v>
      </c>
      <c r="D189" s="164" t="s">
        <v>4992</v>
      </c>
      <c r="E189" s="164" t="s">
        <v>5013</v>
      </c>
      <c r="F189" s="164"/>
      <c r="G189" s="164"/>
      <c r="H189" s="164"/>
      <c r="I189" s="164"/>
      <c r="J189" s="164"/>
      <c r="K189" s="164"/>
      <c r="L189" s="164"/>
      <c r="M189" s="164"/>
      <c r="N189" s="164"/>
      <c r="O189" s="164"/>
      <c r="P189" s="164"/>
      <c r="Q189" s="164"/>
      <c r="R189" s="164"/>
      <c r="S189" s="164"/>
      <c r="T189" s="164"/>
      <c r="U189" s="164"/>
      <c r="V189" s="164"/>
      <c r="W189" s="164"/>
      <c r="X189" s="202">
        <v>1</v>
      </c>
    </row>
    <row r="190" spans="1:24">
      <c r="A190" s="171" t="s">
        <v>4783</v>
      </c>
      <c r="B190" s="164" t="s">
        <v>4990</v>
      </c>
      <c r="C190" s="164" t="s">
        <v>5014</v>
      </c>
      <c r="D190" s="164" t="s">
        <v>4992</v>
      </c>
      <c r="E190" s="164" t="s">
        <v>5015</v>
      </c>
      <c r="F190" s="164"/>
      <c r="G190" s="164"/>
      <c r="H190" s="164"/>
      <c r="I190" s="164"/>
      <c r="J190" s="164"/>
      <c r="K190" s="164"/>
      <c r="L190" s="164"/>
      <c r="M190" s="164"/>
      <c r="N190" s="164"/>
      <c r="O190" s="164"/>
      <c r="P190" s="164"/>
      <c r="Q190" s="164"/>
      <c r="R190" s="164"/>
      <c r="S190" s="164"/>
      <c r="T190" s="164"/>
      <c r="U190" s="164"/>
      <c r="V190" s="164"/>
      <c r="W190" s="164"/>
      <c r="X190" s="202">
        <v>1</v>
      </c>
    </row>
    <row r="191" spans="1:24" ht="15.75" thickBot="1">
      <c r="A191" s="173" t="s">
        <v>4783</v>
      </c>
      <c r="B191" s="168" t="s">
        <v>4990</v>
      </c>
      <c r="C191" s="168" t="s">
        <v>5016</v>
      </c>
      <c r="D191" s="168" t="s">
        <v>4992</v>
      </c>
      <c r="E191" s="168" t="s">
        <v>5017</v>
      </c>
      <c r="F191" s="168"/>
      <c r="G191" s="168"/>
      <c r="H191" s="168"/>
      <c r="I191" s="168"/>
      <c r="J191" s="168"/>
      <c r="K191" s="168"/>
      <c r="L191" s="168"/>
      <c r="M191" s="168"/>
      <c r="N191" s="168"/>
      <c r="O191" s="168"/>
      <c r="P191" s="168"/>
      <c r="Q191" s="168"/>
      <c r="R191" s="168"/>
      <c r="S191" s="168"/>
      <c r="T191" s="168"/>
      <c r="U191" s="168"/>
      <c r="V191" s="168"/>
      <c r="W191" s="168"/>
      <c r="X191" s="217">
        <v>1</v>
      </c>
    </row>
    <row r="192" spans="1:24" ht="14.45" customHeight="1">
      <c r="A192" s="169" t="s">
        <v>4783</v>
      </c>
      <c r="B192" s="165" t="s">
        <v>5018</v>
      </c>
      <c r="C192" s="165" t="s">
        <v>5019</v>
      </c>
      <c r="D192" s="165" t="s">
        <v>5020</v>
      </c>
      <c r="E192" s="249" t="s">
        <v>5021</v>
      </c>
      <c r="F192" s="165"/>
      <c r="G192" s="165"/>
      <c r="H192" s="165"/>
      <c r="I192" s="165"/>
      <c r="J192" s="165"/>
      <c r="K192" s="165"/>
      <c r="L192" s="165"/>
      <c r="M192" s="165"/>
      <c r="N192" s="165"/>
      <c r="O192" s="165"/>
      <c r="P192" s="165"/>
      <c r="Q192" s="165"/>
      <c r="R192" s="165"/>
      <c r="S192" s="165"/>
      <c r="T192" s="165"/>
      <c r="U192" s="165"/>
      <c r="V192" s="165"/>
      <c r="W192" s="165"/>
      <c r="X192" s="201">
        <v>1</v>
      </c>
    </row>
    <row r="193" spans="1:24">
      <c r="A193" s="171" t="s">
        <v>4783</v>
      </c>
      <c r="B193" s="164" t="s">
        <v>5018</v>
      </c>
      <c r="C193" s="164" t="s">
        <v>5022</v>
      </c>
      <c r="D193" s="164" t="s">
        <v>5020</v>
      </c>
      <c r="E193" s="248" t="s">
        <v>5023</v>
      </c>
      <c r="F193" s="164"/>
      <c r="G193" s="164"/>
      <c r="H193" s="164"/>
      <c r="I193" s="164"/>
      <c r="J193" s="164"/>
      <c r="K193" s="164"/>
      <c r="L193" s="164"/>
      <c r="M193" s="164"/>
      <c r="N193" s="164"/>
      <c r="O193" s="164"/>
      <c r="P193" s="164"/>
      <c r="Q193" s="164"/>
      <c r="R193" s="164"/>
      <c r="S193" s="164"/>
      <c r="T193" s="164"/>
      <c r="U193" s="164"/>
      <c r="V193" s="164"/>
      <c r="W193" s="164"/>
      <c r="X193" s="202">
        <v>1</v>
      </c>
    </row>
    <row r="194" spans="1:24">
      <c r="A194" s="171" t="s">
        <v>4783</v>
      </c>
      <c r="B194" s="164" t="s">
        <v>5018</v>
      </c>
      <c r="C194" s="164" t="s">
        <v>5024</v>
      </c>
      <c r="D194" s="164" t="s">
        <v>5020</v>
      </c>
      <c r="E194" s="247" t="s">
        <v>5025</v>
      </c>
      <c r="F194" s="168"/>
      <c r="G194" s="168"/>
      <c r="H194" s="168"/>
      <c r="I194" s="168"/>
      <c r="J194" s="168"/>
      <c r="K194" s="168"/>
      <c r="L194" s="168"/>
      <c r="M194" s="168"/>
      <c r="N194" s="168"/>
      <c r="O194" s="168"/>
      <c r="P194" s="168"/>
      <c r="Q194" s="168"/>
      <c r="R194" s="168"/>
      <c r="S194" s="168"/>
      <c r="T194" s="168"/>
      <c r="U194" s="168"/>
      <c r="V194" s="168"/>
      <c r="W194" s="168"/>
      <c r="X194" s="217">
        <v>1</v>
      </c>
    </row>
    <row r="195" spans="1:24" ht="15.75" thickBot="1">
      <c r="A195" s="173" t="s">
        <v>4783</v>
      </c>
      <c r="B195" s="168" t="s">
        <v>5018</v>
      </c>
      <c r="C195" s="168" t="s">
        <v>5019</v>
      </c>
      <c r="D195" s="168" t="s">
        <v>5020</v>
      </c>
      <c r="E195" s="247" t="s">
        <v>5026</v>
      </c>
      <c r="F195" s="168"/>
      <c r="G195" s="168"/>
      <c r="H195" s="168"/>
      <c r="I195" s="168"/>
      <c r="J195" s="168"/>
      <c r="K195" s="168"/>
      <c r="L195" s="168"/>
      <c r="M195" s="168"/>
      <c r="N195" s="168"/>
      <c r="O195" s="168"/>
      <c r="P195" s="168"/>
      <c r="Q195" s="168"/>
      <c r="R195" s="168"/>
      <c r="S195" s="168"/>
      <c r="T195" s="168"/>
      <c r="U195" s="168"/>
      <c r="V195" s="168"/>
      <c r="W195" s="168"/>
      <c r="X195" s="217">
        <v>1</v>
      </c>
    </row>
    <row r="196" spans="1:24" ht="14.45" customHeight="1">
      <c r="A196" s="169" t="s">
        <v>4783</v>
      </c>
      <c r="B196" s="165" t="s">
        <v>5027</v>
      </c>
      <c r="C196" s="165" t="s">
        <v>5028</v>
      </c>
      <c r="D196" s="165" t="s">
        <v>306</v>
      </c>
      <c r="E196" s="195">
        <v>290</v>
      </c>
      <c r="F196" s="165"/>
      <c r="G196" s="165"/>
      <c r="H196" s="165"/>
      <c r="I196" s="165"/>
      <c r="J196" s="165"/>
      <c r="K196" s="165"/>
      <c r="L196" s="165"/>
      <c r="M196" s="165"/>
      <c r="N196" s="165"/>
      <c r="O196" s="165"/>
      <c r="P196" s="165"/>
      <c r="Q196" s="165"/>
      <c r="R196" s="165"/>
      <c r="S196" s="165"/>
      <c r="T196" s="165"/>
      <c r="U196" s="165"/>
      <c r="V196" s="165"/>
      <c r="W196" s="165"/>
      <c r="X196" s="201">
        <v>1</v>
      </c>
    </row>
    <row r="197" spans="1:24">
      <c r="A197" s="171" t="s">
        <v>4783</v>
      </c>
      <c r="B197" s="164" t="s">
        <v>5027</v>
      </c>
      <c r="C197" s="164" t="s">
        <v>5028</v>
      </c>
      <c r="D197" s="164" t="s">
        <v>306</v>
      </c>
      <c r="E197" s="187">
        <v>300</v>
      </c>
      <c r="F197" s="164"/>
      <c r="G197" s="164"/>
      <c r="H197" s="164"/>
      <c r="I197" s="164"/>
      <c r="J197" s="164"/>
      <c r="K197" s="164"/>
      <c r="L197" s="164"/>
      <c r="M197" s="164"/>
      <c r="N197" s="164"/>
      <c r="O197" s="164"/>
      <c r="P197" s="164"/>
      <c r="Q197" s="164"/>
      <c r="R197" s="164"/>
      <c r="S197" s="164"/>
      <c r="T197" s="164"/>
      <c r="U197" s="164"/>
      <c r="V197" s="164"/>
      <c r="W197" s="164"/>
      <c r="X197" s="202">
        <v>1</v>
      </c>
    </row>
    <row r="198" spans="1:24">
      <c r="A198" s="171" t="s">
        <v>4783</v>
      </c>
      <c r="B198" s="164" t="s">
        <v>5027</v>
      </c>
      <c r="C198" s="164" t="s">
        <v>5028</v>
      </c>
      <c r="D198" s="164" t="s">
        <v>306</v>
      </c>
      <c r="E198" s="187">
        <v>320</v>
      </c>
      <c r="F198" s="164"/>
      <c r="G198" s="164"/>
      <c r="H198" s="164"/>
      <c r="I198" s="164"/>
      <c r="J198" s="164"/>
      <c r="K198" s="164"/>
      <c r="L198" s="164"/>
      <c r="M198" s="164"/>
      <c r="N198" s="164"/>
      <c r="O198" s="164"/>
      <c r="P198" s="164"/>
      <c r="Q198" s="164"/>
      <c r="R198" s="164"/>
      <c r="S198" s="164"/>
      <c r="T198" s="164"/>
      <c r="U198" s="164"/>
      <c r="V198" s="164"/>
      <c r="W198" s="164"/>
      <c r="X198" s="202">
        <v>1</v>
      </c>
    </row>
    <row r="199" spans="1:24">
      <c r="A199" s="171" t="s">
        <v>4783</v>
      </c>
      <c r="B199" s="164" t="s">
        <v>5027</v>
      </c>
      <c r="C199" s="164" t="s">
        <v>5028</v>
      </c>
      <c r="D199" s="164" t="s">
        <v>306</v>
      </c>
      <c r="E199" s="187">
        <v>325</v>
      </c>
      <c r="F199" s="164"/>
      <c r="G199" s="164"/>
      <c r="H199" s="164"/>
      <c r="I199" s="164"/>
      <c r="J199" s="164"/>
      <c r="K199" s="164"/>
      <c r="L199" s="164"/>
      <c r="M199" s="164"/>
      <c r="N199" s="164"/>
      <c r="O199" s="164"/>
      <c r="P199" s="164"/>
      <c r="Q199" s="164"/>
      <c r="R199" s="164"/>
      <c r="S199" s="164"/>
      <c r="T199" s="164"/>
      <c r="U199" s="164"/>
      <c r="V199" s="164"/>
      <c r="W199" s="164"/>
      <c r="X199" s="202">
        <v>1</v>
      </c>
    </row>
    <row r="200" spans="1:24">
      <c r="A200" s="171" t="s">
        <v>4783</v>
      </c>
      <c r="B200" s="164" t="s">
        <v>5027</v>
      </c>
      <c r="C200" s="164" t="s">
        <v>5028</v>
      </c>
      <c r="D200" s="164" t="s">
        <v>306</v>
      </c>
      <c r="E200" s="187">
        <v>345</v>
      </c>
      <c r="F200" s="164"/>
      <c r="G200" s="164"/>
      <c r="H200" s="164"/>
      <c r="I200" s="164"/>
      <c r="J200" s="164"/>
      <c r="K200" s="164"/>
      <c r="L200" s="164"/>
      <c r="M200" s="164"/>
      <c r="N200" s="164"/>
      <c r="O200" s="164"/>
      <c r="P200" s="164"/>
      <c r="Q200" s="164"/>
      <c r="R200" s="164"/>
      <c r="S200" s="164"/>
      <c r="T200" s="164"/>
      <c r="U200" s="164"/>
      <c r="V200" s="164"/>
      <c r="W200" s="164"/>
      <c r="X200" s="202">
        <v>1</v>
      </c>
    </row>
    <row r="201" spans="1:24">
      <c r="A201" s="171" t="s">
        <v>4783</v>
      </c>
      <c r="B201" s="164" t="s">
        <v>5027</v>
      </c>
      <c r="C201" s="164" t="s">
        <v>5028</v>
      </c>
      <c r="D201" s="164" t="s">
        <v>306</v>
      </c>
      <c r="E201" s="187">
        <v>350</v>
      </c>
      <c r="F201" s="164"/>
      <c r="G201" s="164"/>
      <c r="H201" s="164"/>
      <c r="I201" s="164"/>
      <c r="J201" s="164"/>
      <c r="K201" s="164"/>
      <c r="L201" s="164"/>
      <c r="M201" s="164"/>
      <c r="N201" s="164"/>
      <c r="O201" s="164"/>
      <c r="P201" s="164"/>
      <c r="Q201" s="164"/>
      <c r="R201" s="164"/>
      <c r="S201" s="164"/>
      <c r="T201" s="164"/>
      <c r="U201" s="164"/>
      <c r="V201" s="164"/>
      <c r="W201" s="164"/>
      <c r="X201" s="202">
        <v>1</v>
      </c>
    </row>
    <row r="202" spans="1:24">
      <c r="A202" s="171" t="s">
        <v>4783</v>
      </c>
      <c r="B202" s="164" t="s">
        <v>5027</v>
      </c>
      <c r="C202" s="164" t="s">
        <v>5028</v>
      </c>
      <c r="D202" s="164" t="s">
        <v>306</v>
      </c>
      <c r="E202" s="187">
        <v>355</v>
      </c>
      <c r="F202" s="164"/>
      <c r="G202" s="164"/>
      <c r="H202" s="164"/>
      <c r="I202" s="164"/>
      <c r="J202" s="164"/>
      <c r="K202" s="164"/>
      <c r="L202" s="164"/>
      <c r="M202" s="164"/>
      <c r="N202" s="164"/>
      <c r="O202" s="164"/>
      <c r="P202" s="164"/>
      <c r="Q202" s="164"/>
      <c r="R202" s="164"/>
      <c r="S202" s="164"/>
      <c r="T202" s="164"/>
      <c r="U202" s="164"/>
      <c r="V202" s="164"/>
      <c r="W202" s="164"/>
      <c r="X202" s="202">
        <v>1</v>
      </c>
    </row>
    <row r="203" spans="1:24">
      <c r="A203" s="171" t="s">
        <v>4783</v>
      </c>
      <c r="B203" s="164" t="s">
        <v>5027</v>
      </c>
      <c r="C203" s="164" t="s">
        <v>5028</v>
      </c>
      <c r="D203" s="164" t="s">
        <v>306</v>
      </c>
      <c r="E203" s="187">
        <v>360</v>
      </c>
      <c r="F203" s="164"/>
      <c r="G203" s="164"/>
      <c r="H203" s="164"/>
      <c r="I203" s="164"/>
      <c r="J203" s="164"/>
      <c r="K203" s="164"/>
      <c r="L203" s="164"/>
      <c r="M203" s="164"/>
      <c r="N203" s="164"/>
      <c r="O203" s="164"/>
      <c r="P203" s="164"/>
      <c r="Q203" s="164"/>
      <c r="R203" s="164"/>
      <c r="S203" s="164"/>
      <c r="T203" s="164"/>
      <c r="U203" s="164"/>
      <c r="V203" s="164"/>
      <c r="W203" s="164"/>
      <c r="X203" s="202">
        <v>1</v>
      </c>
    </row>
    <row r="204" spans="1:24">
      <c r="A204" s="171" t="s">
        <v>4783</v>
      </c>
      <c r="B204" s="164" t="s">
        <v>5027</v>
      </c>
      <c r="C204" s="164" t="s">
        <v>5028</v>
      </c>
      <c r="D204" s="164" t="s">
        <v>306</v>
      </c>
      <c r="E204" s="187">
        <v>365</v>
      </c>
      <c r="F204" s="164"/>
      <c r="G204" s="164"/>
      <c r="H204" s="164"/>
      <c r="I204" s="164"/>
      <c r="J204" s="164"/>
      <c r="K204" s="164"/>
      <c r="L204" s="164"/>
      <c r="M204" s="164"/>
      <c r="N204" s="164"/>
      <c r="O204" s="164"/>
      <c r="P204" s="164"/>
      <c r="Q204" s="164"/>
      <c r="R204" s="164"/>
      <c r="S204" s="164"/>
      <c r="T204" s="164"/>
      <c r="U204" s="164"/>
      <c r="V204" s="164"/>
      <c r="W204" s="164"/>
      <c r="X204" s="202">
        <v>1</v>
      </c>
    </row>
    <row r="205" spans="1:24">
      <c r="A205" s="171" t="s">
        <v>4783</v>
      </c>
      <c r="B205" s="164" t="s">
        <v>5027</v>
      </c>
      <c r="C205" s="164" t="s">
        <v>5028</v>
      </c>
      <c r="D205" s="164" t="s">
        <v>306</v>
      </c>
      <c r="E205" s="187">
        <v>375</v>
      </c>
      <c r="F205" s="164"/>
      <c r="G205" s="164"/>
      <c r="H205" s="164"/>
      <c r="I205" s="164"/>
      <c r="J205" s="164"/>
      <c r="K205" s="164"/>
      <c r="L205" s="164"/>
      <c r="M205" s="164"/>
      <c r="N205" s="164"/>
      <c r="O205" s="164"/>
      <c r="P205" s="164"/>
      <c r="Q205" s="164"/>
      <c r="R205" s="164"/>
      <c r="S205" s="164"/>
      <c r="T205" s="164"/>
      <c r="U205" s="164"/>
      <c r="V205" s="164"/>
      <c r="W205" s="164"/>
      <c r="X205" s="202">
        <v>1</v>
      </c>
    </row>
    <row r="206" spans="1:24">
      <c r="A206" s="171" t="s">
        <v>4783</v>
      </c>
      <c r="B206" s="164" t="s">
        <v>5027</v>
      </c>
      <c r="C206" s="164" t="s">
        <v>5028</v>
      </c>
      <c r="D206" s="164" t="s">
        <v>306</v>
      </c>
      <c r="E206" s="187">
        <v>379</v>
      </c>
      <c r="F206" s="164"/>
      <c r="G206" s="164"/>
      <c r="H206" s="164"/>
      <c r="I206" s="164"/>
      <c r="J206" s="164"/>
      <c r="K206" s="164"/>
      <c r="L206" s="164"/>
      <c r="M206" s="164"/>
      <c r="N206" s="164"/>
      <c r="O206" s="164"/>
      <c r="P206" s="164"/>
      <c r="Q206" s="164"/>
      <c r="R206" s="164"/>
      <c r="S206" s="164"/>
      <c r="T206" s="164"/>
      <c r="U206" s="164"/>
      <c r="V206" s="164"/>
      <c r="W206" s="164"/>
      <c r="X206" s="202">
        <v>1</v>
      </c>
    </row>
    <row r="207" spans="1:24">
      <c r="A207" s="171" t="s">
        <v>4783</v>
      </c>
      <c r="B207" s="164" t="s">
        <v>5027</v>
      </c>
      <c r="C207" s="164" t="s">
        <v>5029</v>
      </c>
      <c r="D207" s="164" t="s">
        <v>306</v>
      </c>
      <c r="E207" s="187" t="s">
        <v>5030</v>
      </c>
      <c r="F207" s="164"/>
      <c r="G207" s="164"/>
      <c r="H207" s="164"/>
      <c r="I207" s="164"/>
      <c r="J207" s="164"/>
      <c r="K207" s="164"/>
      <c r="L207" s="164"/>
      <c r="M207" s="164"/>
      <c r="N207" s="164"/>
      <c r="O207" s="164"/>
      <c r="P207" s="164"/>
      <c r="Q207" s="164"/>
      <c r="R207" s="164"/>
      <c r="S207" s="164"/>
      <c r="T207" s="164"/>
      <c r="U207" s="164"/>
      <c r="V207" s="164"/>
      <c r="W207" s="164"/>
      <c r="X207" s="202">
        <v>1</v>
      </c>
    </row>
    <row r="208" spans="1:24">
      <c r="A208" s="171" t="s">
        <v>4783</v>
      </c>
      <c r="B208" s="164" t="s">
        <v>5027</v>
      </c>
      <c r="C208" s="164" t="s">
        <v>5028</v>
      </c>
      <c r="D208" s="164" t="s">
        <v>306</v>
      </c>
      <c r="E208" s="187" t="s">
        <v>5031</v>
      </c>
      <c r="F208" s="164"/>
      <c r="G208" s="164"/>
      <c r="H208" s="164"/>
      <c r="I208" s="164"/>
      <c r="J208" s="164"/>
      <c r="K208" s="164"/>
      <c r="L208" s="164"/>
      <c r="M208" s="164"/>
      <c r="N208" s="164"/>
      <c r="O208" s="164"/>
      <c r="P208" s="164"/>
      <c r="Q208" s="164"/>
      <c r="R208" s="164"/>
      <c r="S208" s="164"/>
      <c r="T208" s="164"/>
      <c r="U208" s="164"/>
      <c r="V208" s="164"/>
      <c r="W208" s="164"/>
      <c r="X208" s="202">
        <v>1</v>
      </c>
    </row>
    <row r="209" spans="1:24">
      <c r="A209" s="171" t="s">
        <v>4783</v>
      </c>
      <c r="B209" s="164" t="s">
        <v>5027</v>
      </c>
      <c r="C209" s="164" t="s">
        <v>5028</v>
      </c>
      <c r="D209" s="164" t="s">
        <v>306</v>
      </c>
      <c r="E209" s="187" t="s">
        <v>5032</v>
      </c>
      <c r="F209" s="164"/>
      <c r="G209" s="164"/>
      <c r="H209" s="164"/>
      <c r="I209" s="164"/>
      <c r="J209" s="164"/>
      <c r="K209" s="164"/>
      <c r="L209" s="164"/>
      <c r="M209" s="164"/>
      <c r="N209" s="164"/>
      <c r="O209" s="164"/>
      <c r="P209" s="164"/>
      <c r="Q209" s="164"/>
      <c r="R209" s="164"/>
      <c r="S209" s="164"/>
      <c r="T209" s="164"/>
      <c r="U209" s="164"/>
      <c r="V209" s="164"/>
      <c r="W209" s="164"/>
      <c r="X209" s="202">
        <v>1</v>
      </c>
    </row>
    <row r="210" spans="1:24">
      <c r="A210" s="171" t="s">
        <v>4783</v>
      </c>
      <c r="B210" s="164" t="s">
        <v>5027</v>
      </c>
      <c r="C210" s="164" t="s">
        <v>5028</v>
      </c>
      <c r="D210" s="164" t="s">
        <v>306</v>
      </c>
      <c r="E210" s="187" t="s">
        <v>5033</v>
      </c>
      <c r="F210" s="164"/>
      <c r="G210" s="164"/>
      <c r="H210" s="164"/>
      <c r="I210" s="164"/>
      <c r="J210" s="164"/>
      <c r="K210" s="164"/>
      <c r="L210" s="164"/>
      <c r="M210" s="164"/>
      <c r="N210" s="164"/>
      <c r="O210" s="164"/>
      <c r="P210" s="164"/>
      <c r="Q210" s="164"/>
      <c r="R210" s="164"/>
      <c r="S210" s="164"/>
      <c r="T210" s="164"/>
      <c r="U210" s="164"/>
      <c r="V210" s="164"/>
      <c r="W210" s="164"/>
      <c r="X210" s="202">
        <v>1</v>
      </c>
    </row>
    <row r="211" spans="1:24">
      <c r="A211" s="171" t="s">
        <v>4783</v>
      </c>
      <c r="B211" s="164" t="s">
        <v>5027</v>
      </c>
      <c r="C211" s="164" t="s">
        <v>5028</v>
      </c>
      <c r="D211" s="164" t="s">
        <v>306</v>
      </c>
      <c r="E211" s="187" t="s">
        <v>5034</v>
      </c>
      <c r="F211" s="164"/>
      <c r="G211" s="164"/>
      <c r="H211" s="164"/>
      <c r="I211" s="164"/>
      <c r="J211" s="164"/>
      <c r="K211" s="164"/>
      <c r="L211" s="164"/>
      <c r="M211" s="164"/>
      <c r="N211" s="164"/>
      <c r="O211" s="164"/>
      <c r="P211" s="164"/>
      <c r="Q211" s="164"/>
      <c r="R211" s="164"/>
      <c r="S211" s="164"/>
      <c r="T211" s="164"/>
      <c r="U211" s="164"/>
      <c r="V211" s="164"/>
      <c r="W211" s="164"/>
      <c r="X211" s="202">
        <v>1</v>
      </c>
    </row>
    <row r="212" spans="1:24">
      <c r="A212" s="171" t="s">
        <v>4783</v>
      </c>
      <c r="B212" s="164" t="s">
        <v>5027</v>
      </c>
      <c r="C212" s="164" t="s">
        <v>5028</v>
      </c>
      <c r="D212" s="164" t="s">
        <v>306</v>
      </c>
      <c r="E212" s="187" t="s">
        <v>5035</v>
      </c>
      <c r="F212" s="164"/>
      <c r="G212" s="164"/>
      <c r="H212" s="164"/>
      <c r="I212" s="164"/>
      <c r="J212" s="164"/>
      <c r="K212" s="164"/>
      <c r="L212" s="164"/>
      <c r="M212" s="164"/>
      <c r="N212" s="164"/>
      <c r="O212" s="164"/>
      <c r="P212" s="164"/>
      <c r="Q212" s="164"/>
      <c r="R212" s="164"/>
      <c r="S212" s="164"/>
      <c r="T212" s="164"/>
      <c r="U212" s="164"/>
      <c r="V212" s="164"/>
      <c r="W212" s="164"/>
      <c r="X212" s="202">
        <v>1</v>
      </c>
    </row>
    <row r="213" spans="1:24">
      <c r="A213" s="171" t="s">
        <v>4783</v>
      </c>
      <c r="B213" s="164" t="s">
        <v>5027</v>
      </c>
      <c r="C213" s="164" t="s">
        <v>5028</v>
      </c>
      <c r="D213" s="164" t="s">
        <v>306</v>
      </c>
      <c r="E213" s="187" t="s">
        <v>5036</v>
      </c>
      <c r="F213" s="164"/>
      <c r="G213" s="164"/>
      <c r="H213" s="164"/>
      <c r="I213" s="164"/>
      <c r="J213" s="164"/>
      <c r="K213" s="164"/>
      <c r="L213" s="164"/>
      <c r="M213" s="164"/>
      <c r="N213" s="164"/>
      <c r="O213" s="164"/>
      <c r="P213" s="164"/>
      <c r="Q213" s="164"/>
      <c r="R213" s="164"/>
      <c r="S213" s="164"/>
      <c r="T213" s="164"/>
      <c r="U213" s="164"/>
      <c r="V213" s="164"/>
      <c r="W213" s="164"/>
      <c r="X213" s="202">
        <v>1</v>
      </c>
    </row>
    <row r="214" spans="1:24">
      <c r="A214" s="171" t="s">
        <v>4783</v>
      </c>
      <c r="B214" s="164" t="s">
        <v>5027</v>
      </c>
      <c r="C214" s="164" t="s">
        <v>5028</v>
      </c>
      <c r="D214" s="164" t="s">
        <v>306</v>
      </c>
      <c r="E214" s="187" t="s">
        <v>5037</v>
      </c>
      <c r="F214" s="164"/>
      <c r="G214" s="164"/>
      <c r="H214" s="164"/>
      <c r="I214" s="164"/>
      <c r="J214" s="164"/>
      <c r="K214" s="164"/>
      <c r="L214" s="164"/>
      <c r="M214" s="164"/>
      <c r="N214" s="164"/>
      <c r="O214" s="164"/>
      <c r="P214" s="164"/>
      <c r="Q214" s="164"/>
      <c r="R214" s="164"/>
      <c r="S214" s="164"/>
      <c r="T214" s="164"/>
      <c r="U214" s="164"/>
      <c r="V214" s="164"/>
      <c r="W214" s="164"/>
      <c r="X214" s="202">
        <v>1</v>
      </c>
    </row>
    <row r="215" spans="1:24">
      <c r="A215" s="171" t="s">
        <v>4783</v>
      </c>
      <c r="B215" s="164" t="s">
        <v>5027</v>
      </c>
      <c r="C215" s="164" t="s">
        <v>5028</v>
      </c>
      <c r="D215" s="164" t="s">
        <v>306</v>
      </c>
      <c r="E215" s="187" t="s">
        <v>5038</v>
      </c>
      <c r="F215" s="164"/>
      <c r="G215" s="164"/>
      <c r="H215" s="164"/>
      <c r="I215" s="164"/>
      <c r="J215" s="164"/>
      <c r="K215" s="164"/>
      <c r="L215" s="164"/>
      <c r="M215" s="164"/>
      <c r="N215" s="164"/>
      <c r="O215" s="164"/>
      <c r="P215" s="164"/>
      <c r="Q215" s="164"/>
      <c r="R215" s="164"/>
      <c r="S215" s="164"/>
      <c r="T215" s="164"/>
      <c r="U215" s="164"/>
      <c r="V215" s="164"/>
      <c r="W215" s="164"/>
      <c r="X215" s="202">
        <v>1</v>
      </c>
    </row>
    <row r="216" spans="1:24">
      <c r="A216" s="171" t="s">
        <v>4783</v>
      </c>
      <c r="B216" s="164" t="s">
        <v>5027</v>
      </c>
      <c r="C216" s="164" t="s">
        <v>5028</v>
      </c>
      <c r="D216" s="164" t="s">
        <v>306</v>
      </c>
      <c r="E216" s="187" t="s">
        <v>5039</v>
      </c>
      <c r="F216" s="164"/>
      <c r="G216" s="164"/>
      <c r="H216" s="164"/>
      <c r="I216" s="164"/>
      <c r="J216" s="164"/>
      <c r="K216" s="164"/>
      <c r="L216" s="164"/>
      <c r="M216" s="164"/>
      <c r="N216" s="164"/>
      <c r="O216" s="164"/>
      <c r="P216" s="164"/>
      <c r="Q216" s="164"/>
      <c r="R216" s="164"/>
      <c r="S216" s="164"/>
      <c r="T216" s="164"/>
      <c r="U216" s="164"/>
      <c r="V216" s="164"/>
      <c r="W216" s="164"/>
      <c r="X216" s="202">
        <v>1</v>
      </c>
    </row>
    <row r="217" spans="1:24">
      <c r="A217" s="171" t="s">
        <v>4783</v>
      </c>
      <c r="B217" s="164" t="s">
        <v>5027</v>
      </c>
      <c r="C217" s="164" t="s">
        <v>5028</v>
      </c>
      <c r="D217" s="164" t="s">
        <v>306</v>
      </c>
      <c r="E217" s="187" t="s">
        <v>5040</v>
      </c>
      <c r="F217" s="164"/>
      <c r="G217" s="164"/>
      <c r="H217" s="164"/>
      <c r="I217" s="164"/>
      <c r="J217" s="164"/>
      <c r="K217" s="164"/>
      <c r="L217" s="164"/>
      <c r="M217" s="164"/>
      <c r="N217" s="164"/>
      <c r="O217" s="164"/>
      <c r="P217" s="164"/>
      <c r="Q217" s="164"/>
      <c r="R217" s="164"/>
      <c r="S217" s="164"/>
      <c r="T217" s="164"/>
      <c r="U217" s="164"/>
      <c r="V217" s="164"/>
      <c r="W217" s="164"/>
      <c r="X217" s="202">
        <v>1</v>
      </c>
    </row>
    <row r="218" spans="1:24">
      <c r="A218" s="171" t="s">
        <v>4783</v>
      </c>
      <c r="B218" s="164" t="s">
        <v>5027</v>
      </c>
      <c r="C218" s="164" t="s">
        <v>5028</v>
      </c>
      <c r="D218" s="164" t="s">
        <v>306</v>
      </c>
      <c r="E218" s="187" t="s">
        <v>5041</v>
      </c>
      <c r="F218" s="164"/>
      <c r="G218" s="164"/>
      <c r="H218" s="164"/>
      <c r="I218" s="164"/>
      <c r="J218" s="164"/>
      <c r="K218" s="164"/>
      <c r="L218" s="164"/>
      <c r="M218" s="164"/>
      <c r="N218" s="164"/>
      <c r="O218" s="164"/>
      <c r="P218" s="164"/>
      <c r="Q218" s="164"/>
      <c r="R218" s="164"/>
      <c r="S218" s="164"/>
      <c r="T218" s="164"/>
      <c r="U218" s="164"/>
      <c r="V218" s="164"/>
      <c r="W218" s="164"/>
      <c r="X218" s="202">
        <v>1</v>
      </c>
    </row>
    <row r="219" spans="1:24">
      <c r="A219" s="171" t="s">
        <v>4783</v>
      </c>
      <c r="B219" s="164" t="s">
        <v>5027</v>
      </c>
      <c r="C219" s="164" t="s">
        <v>5028</v>
      </c>
      <c r="D219" s="164" t="s">
        <v>306</v>
      </c>
      <c r="E219" s="187" t="s">
        <v>5042</v>
      </c>
      <c r="F219" s="164"/>
      <c r="G219" s="164"/>
      <c r="H219" s="164"/>
      <c r="I219" s="164"/>
      <c r="J219" s="164"/>
      <c r="K219" s="164"/>
      <c r="L219" s="164"/>
      <c r="M219" s="164"/>
      <c r="N219" s="164"/>
      <c r="O219" s="164"/>
      <c r="P219" s="164"/>
      <c r="Q219" s="164"/>
      <c r="R219" s="164"/>
      <c r="S219" s="164"/>
      <c r="T219" s="164"/>
      <c r="U219" s="164"/>
      <c r="V219" s="164"/>
      <c r="W219" s="164"/>
      <c r="X219" s="202">
        <v>1</v>
      </c>
    </row>
    <row r="220" spans="1:24">
      <c r="A220" s="171" t="s">
        <v>4783</v>
      </c>
      <c r="B220" s="164" t="s">
        <v>5027</v>
      </c>
      <c r="C220" s="164" t="s">
        <v>5028</v>
      </c>
      <c r="D220" s="164" t="s">
        <v>306</v>
      </c>
      <c r="E220" s="187" t="s">
        <v>5043</v>
      </c>
      <c r="F220" s="164"/>
      <c r="G220" s="164"/>
      <c r="H220" s="164"/>
      <c r="I220" s="164"/>
      <c r="J220" s="164"/>
      <c r="K220" s="164"/>
      <c r="L220" s="164"/>
      <c r="M220" s="164"/>
      <c r="N220" s="164"/>
      <c r="O220" s="164"/>
      <c r="P220" s="164"/>
      <c r="Q220" s="164"/>
      <c r="R220" s="164"/>
      <c r="S220" s="164"/>
      <c r="T220" s="164"/>
      <c r="U220" s="164"/>
      <c r="V220" s="164"/>
      <c r="W220" s="164"/>
      <c r="X220" s="202">
        <v>1</v>
      </c>
    </row>
    <row r="221" spans="1:24">
      <c r="A221" s="171" t="s">
        <v>4783</v>
      </c>
      <c r="B221" s="164" t="s">
        <v>5027</v>
      </c>
      <c r="C221" s="164" t="s">
        <v>5028</v>
      </c>
      <c r="D221" s="164" t="s">
        <v>306</v>
      </c>
      <c r="E221" s="187" t="s">
        <v>5044</v>
      </c>
      <c r="F221" s="164"/>
      <c r="G221" s="164"/>
      <c r="H221" s="164"/>
      <c r="I221" s="164"/>
      <c r="J221" s="164"/>
      <c r="K221" s="164"/>
      <c r="L221" s="164"/>
      <c r="M221" s="164"/>
      <c r="N221" s="164"/>
      <c r="O221" s="164"/>
      <c r="P221" s="164"/>
      <c r="Q221" s="164"/>
      <c r="R221" s="164"/>
      <c r="S221" s="164"/>
      <c r="T221" s="164"/>
      <c r="U221" s="164"/>
      <c r="V221" s="164"/>
      <c r="W221" s="164"/>
      <c r="X221" s="202">
        <v>1</v>
      </c>
    </row>
    <row r="222" spans="1:24">
      <c r="A222" s="171" t="s">
        <v>4783</v>
      </c>
      <c r="B222" s="164" t="s">
        <v>5027</v>
      </c>
      <c r="C222" s="164" t="s">
        <v>5028</v>
      </c>
      <c r="D222" s="164" t="s">
        <v>306</v>
      </c>
      <c r="E222" s="187" t="s">
        <v>5045</v>
      </c>
      <c r="F222" s="164"/>
      <c r="G222" s="164"/>
      <c r="H222" s="164"/>
      <c r="I222" s="164"/>
      <c r="J222" s="164"/>
      <c r="K222" s="164"/>
      <c r="L222" s="164"/>
      <c r="M222" s="164"/>
      <c r="N222" s="164"/>
      <c r="O222" s="164"/>
      <c r="P222" s="164"/>
      <c r="Q222" s="164"/>
      <c r="R222" s="164"/>
      <c r="S222" s="164"/>
      <c r="T222" s="164"/>
      <c r="U222" s="164"/>
      <c r="V222" s="164"/>
      <c r="W222" s="164"/>
      <c r="X222" s="202">
        <v>1</v>
      </c>
    </row>
    <row r="223" spans="1:24">
      <c r="A223" s="171" t="s">
        <v>4783</v>
      </c>
      <c r="B223" s="164" t="s">
        <v>5027</v>
      </c>
      <c r="C223" s="164" t="s">
        <v>5028</v>
      </c>
      <c r="D223" s="164" t="s">
        <v>306</v>
      </c>
      <c r="E223" s="187" t="s">
        <v>5046</v>
      </c>
      <c r="F223" s="164"/>
      <c r="G223" s="164"/>
      <c r="H223" s="164"/>
      <c r="I223" s="164"/>
      <c r="J223" s="164"/>
      <c r="K223" s="164"/>
      <c r="L223" s="164"/>
      <c r="M223" s="164"/>
      <c r="N223" s="164"/>
      <c r="O223" s="164"/>
      <c r="P223" s="164"/>
      <c r="Q223" s="164"/>
      <c r="R223" s="164"/>
      <c r="S223" s="164"/>
      <c r="T223" s="164"/>
      <c r="U223" s="164"/>
      <c r="V223" s="164"/>
      <c r="W223" s="164"/>
      <c r="X223" s="202">
        <v>1</v>
      </c>
    </row>
    <row r="224" spans="1:24">
      <c r="A224" s="171" t="s">
        <v>4783</v>
      </c>
      <c r="B224" s="164" t="s">
        <v>5027</v>
      </c>
      <c r="C224" s="164" t="s">
        <v>5028</v>
      </c>
      <c r="D224" s="164" t="s">
        <v>306</v>
      </c>
      <c r="E224" s="187" t="s">
        <v>5047</v>
      </c>
      <c r="F224" s="164"/>
      <c r="G224" s="164"/>
      <c r="H224" s="164"/>
      <c r="I224" s="164"/>
      <c r="J224" s="164"/>
      <c r="K224" s="164"/>
      <c r="L224" s="164"/>
      <c r="M224" s="164"/>
      <c r="N224" s="164"/>
      <c r="O224" s="164"/>
      <c r="P224" s="164"/>
      <c r="Q224" s="164"/>
      <c r="R224" s="164"/>
      <c r="S224" s="164"/>
      <c r="T224" s="164"/>
      <c r="U224" s="164"/>
      <c r="V224" s="164"/>
      <c r="W224" s="164"/>
      <c r="X224" s="202">
        <v>1</v>
      </c>
    </row>
    <row r="225" spans="1:24">
      <c r="A225" s="171" t="s">
        <v>4783</v>
      </c>
      <c r="B225" s="164" t="s">
        <v>5027</v>
      </c>
      <c r="C225" s="164" t="s">
        <v>5028</v>
      </c>
      <c r="D225" s="164" t="s">
        <v>306</v>
      </c>
      <c r="E225" s="187" t="s">
        <v>5048</v>
      </c>
      <c r="F225" s="164"/>
      <c r="G225" s="164"/>
      <c r="H225" s="164"/>
      <c r="I225" s="164"/>
      <c r="J225" s="164"/>
      <c r="K225" s="164"/>
      <c r="L225" s="164"/>
      <c r="M225" s="164"/>
      <c r="N225" s="164"/>
      <c r="O225" s="164"/>
      <c r="P225" s="164"/>
      <c r="Q225" s="164"/>
      <c r="R225" s="164"/>
      <c r="S225" s="164"/>
      <c r="T225" s="164"/>
      <c r="U225" s="164"/>
      <c r="V225" s="164"/>
      <c r="W225" s="164"/>
      <c r="X225" s="202">
        <v>1</v>
      </c>
    </row>
    <row r="226" spans="1:24">
      <c r="A226" s="171" t="s">
        <v>4783</v>
      </c>
      <c r="B226" s="164" t="s">
        <v>5027</v>
      </c>
      <c r="C226" s="164" t="s">
        <v>5028</v>
      </c>
      <c r="D226" s="164" t="s">
        <v>306</v>
      </c>
      <c r="E226" s="187" t="s">
        <v>5049</v>
      </c>
      <c r="F226" s="164"/>
      <c r="G226" s="164"/>
      <c r="H226" s="164"/>
      <c r="I226" s="164"/>
      <c r="J226" s="164"/>
      <c r="K226" s="164"/>
      <c r="L226" s="164"/>
      <c r="M226" s="164"/>
      <c r="N226" s="164"/>
      <c r="O226" s="164"/>
      <c r="P226" s="164"/>
      <c r="Q226" s="164"/>
      <c r="R226" s="164"/>
      <c r="S226" s="164"/>
      <c r="T226" s="164"/>
      <c r="U226" s="164"/>
      <c r="V226" s="164"/>
      <c r="W226" s="164"/>
      <c r="X226" s="202">
        <v>1</v>
      </c>
    </row>
    <row r="227" spans="1:24">
      <c r="A227" s="171" t="s">
        <v>4783</v>
      </c>
      <c r="B227" s="164" t="s">
        <v>5027</v>
      </c>
      <c r="C227" s="164" t="s">
        <v>5029</v>
      </c>
      <c r="D227" s="164" t="s">
        <v>306</v>
      </c>
      <c r="E227" s="187" t="s">
        <v>5050</v>
      </c>
      <c r="F227" s="164"/>
      <c r="G227" s="164"/>
      <c r="H227" s="164"/>
      <c r="I227" s="164"/>
      <c r="J227" s="164"/>
      <c r="K227" s="164"/>
      <c r="L227" s="164"/>
      <c r="M227" s="164"/>
      <c r="N227" s="164"/>
      <c r="O227" s="164"/>
      <c r="P227" s="164"/>
      <c r="Q227" s="164"/>
      <c r="R227" s="164"/>
      <c r="S227" s="164"/>
      <c r="T227" s="164"/>
      <c r="U227" s="164"/>
      <c r="V227" s="164"/>
      <c r="W227" s="164"/>
      <c r="X227" s="202">
        <v>1</v>
      </c>
    </row>
    <row r="228" spans="1:24">
      <c r="A228" s="171" t="s">
        <v>4783</v>
      </c>
      <c r="B228" s="164" t="s">
        <v>5027</v>
      </c>
      <c r="C228" s="164" t="s">
        <v>5029</v>
      </c>
      <c r="D228" s="164" t="s">
        <v>306</v>
      </c>
      <c r="E228" s="187" t="s">
        <v>1344</v>
      </c>
      <c r="F228" s="164"/>
      <c r="G228" s="164"/>
      <c r="H228" s="164"/>
      <c r="I228" s="164"/>
      <c r="J228" s="164"/>
      <c r="K228" s="164"/>
      <c r="L228" s="164"/>
      <c r="M228" s="164"/>
      <c r="N228" s="164"/>
      <c r="O228" s="164"/>
      <c r="P228" s="164"/>
      <c r="Q228" s="164"/>
      <c r="R228" s="164"/>
      <c r="S228" s="164"/>
      <c r="T228" s="164"/>
      <c r="U228" s="164"/>
      <c r="V228" s="164"/>
      <c r="W228" s="164"/>
      <c r="X228" s="202">
        <v>1</v>
      </c>
    </row>
    <row r="229" spans="1:24">
      <c r="A229" s="171" t="s">
        <v>4783</v>
      </c>
      <c r="B229" s="164" t="s">
        <v>5027</v>
      </c>
      <c r="C229" s="164" t="s">
        <v>5029</v>
      </c>
      <c r="D229" s="164" t="s">
        <v>306</v>
      </c>
      <c r="E229" s="187" t="s">
        <v>5051</v>
      </c>
      <c r="F229" s="164"/>
      <c r="G229" s="164"/>
      <c r="H229" s="164"/>
      <c r="I229" s="164"/>
      <c r="J229" s="164"/>
      <c r="K229" s="164"/>
      <c r="L229" s="164"/>
      <c r="M229" s="164"/>
      <c r="N229" s="164"/>
      <c r="O229" s="164"/>
      <c r="P229" s="164"/>
      <c r="Q229" s="164"/>
      <c r="R229" s="164"/>
      <c r="S229" s="164"/>
      <c r="T229" s="164"/>
      <c r="U229" s="164"/>
      <c r="V229" s="164"/>
      <c r="W229" s="164"/>
      <c r="X229" s="202">
        <v>1</v>
      </c>
    </row>
    <row r="230" spans="1:24">
      <c r="A230" s="171" t="s">
        <v>4783</v>
      </c>
      <c r="B230" s="164" t="s">
        <v>5027</v>
      </c>
      <c r="C230" s="164" t="s">
        <v>5029</v>
      </c>
      <c r="D230" s="164" t="s">
        <v>306</v>
      </c>
      <c r="E230" s="187" t="s">
        <v>5052</v>
      </c>
      <c r="F230" s="164"/>
      <c r="G230" s="164"/>
      <c r="H230" s="164"/>
      <c r="I230" s="164"/>
      <c r="J230" s="164"/>
      <c r="K230" s="164"/>
      <c r="L230" s="164"/>
      <c r="M230" s="164"/>
      <c r="N230" s="164"/>
      <c r="O230" s="164"/>
      <c r="P230" s="164"/>
      <c r="Q230" s="164"/>
      <c r="R230" s="164"/>
      <c r="S230" s="164"/>
      <c r="T230" s="164"/>
      <c r="U230" s="164"/>
      <c r="V230" s="164"/>
      <c r="W230" s="164"/>
      <c r="X230" s="202">
        <v>1</v>
      </c>
    </row>
    <row r="231" spans="1:24">
      <c r="A231" s="171" t="s">
        <v>4783</v>
      </c>
      <c r="B231" s="164" t="s">
        <v>5027</v>
      </c>
      <c r="C231" s="164" t="s">
        <v>5029</v>
      </c>
      <c r="D231" s="164" t="s">
        <v>306</v>
      </c>
      <c r="E231" s="187" t="s">
        <v>5053</v>
      </c>
      <c r="F231" s="164"/>
      <c r="G231" s="164"/>
      <c r="H231" s="164"/>
      <c r="I231" s="164"/>
      <c r="J231" s="164"/>
      <c r="K231" s="164"/>
      <c r="L231" s="164"/>
      <c r="M231" s="164"/>
      <c r="N231" s="164"/>
      <c r="O231" s="164"/>
      <c r="P231" s="164"/>
      <c r="Q231" s="164"/>
      <c r="R231" s="164"/>
      <c r="S231" s="164"/>
      <c r="T231" s="164"/>
      <c r="U231" s="164"/>
      <c r="V231" s="164"/>
      <c r="W231" s="164"/>
      <c r="X231" s="202">
        <v>1</v>
      </c>
    </row>
    <row r="232" spans="1:24">
      <c r="A232" s="171" t="s">
        <v>4783</v>
      </c>
      <c r="B232" s="164" t="s">
        <v>5027</v>
      </c>
      <c r="C232" s="164" t="s">
        <v>5028</v>
      </c>
      <c r="D232" s="164" t="s">
        <v>306</v>
      </c>
      <c r="E232" s="187" t="s">
        <v>5054</v>
      </c>
      <c r="F232" s="164"/>
      <c r="G232" s="164"/>
      <c r="H232" s="164"/>
      <c r="I232" s="164"/>
      <c r="J232" s="164"/>
      <c r="K232" s="164"/>
      <c r="L232" s="164"/>
      <c r="M232" s="164"/>
      <c r="N232" s="164"/>
      <c r="O232" s="164"/>
      <c r="P232" s="164"/>
      <c r="Q232" s="164"/>
      <c r="R232" s="164"/>
      <c r="S232" s="164"/>
      <c r="T232" s="164"/>
      <c r="U232" s="164"/>
      <c r="V232" s="164"/>
      <c r="W232" s="164"/>
      <c r="X232" s="202">
        <v>1</v>
      </c>
    </row>
    <row r="233" spans="1:24">
      <c r="A233" s="171" t="s">
        <v>4783</v>
      </c>
      <c r="B233" s="164" t="s">
        <v>5027</v>
      </c>
      <c r="C233" s="164" t="s">
        <v>5028</v>
      </c>
      <c r="D233" s="164" t="s">
        <v>306</v>
      </c>
      <c r="E233" s="187" t="s">
        <v>5055</v>
      </c>
      <c r="F233" s="164"/>
      <c r="G233" s="164"/>
      <c r="H233" s="164"/>
      <c r="I233" s="164"/>
      <c r="J233" s="164"/>
      <c r="K233" s="164"/>
      <c r="L233" s="164"/>
      <c r="M233" s="164"/>
      <c r="N233" s="164"/>
      <c r="O233" s="164"/>
      <c r="P233" s="164"/>
      <c r="Q233" s="164"/>
      <c r="R233" s="164"/>
      <c r="S233" s="164"/>
      <c r="T233" s="164"/>
      <c r="U233" s="164"/>
      <c r="V233" s="164"/>
      <c r="W233" s="164"/>
      <c r="X233" s="202">
        <v>1</v>
      </c>
    </row>
    <row r="234" spans="1:24">
      <c r="A234" s="171" t="s">
        <v>4783</v>
      </c>
      <c r="B234" s="164" t="s">
        <v>5027</v>
      </c>
      <c r="C234" s="164" t="s">
        <v>5028</v>
      </c>
      <c r="D234" s="164" t="s">
        <v>306</v>
      </c>
      <c r="E234" s="187" t="s">
        <v>5056</v>
      </c>
      <c r="F234" s="164"/>
      <c r="G234" s="164"/>
      <c r="H234" s="164"/>
      <c r="I234" s="164"/>
      <c r="J234" s="164"/>
      <c r="K234" s="164"/>
      <c r="L234" s="164"/>
      <c r="M234" s="164"/>
      <c r="N234" s="164"/>
      <c r="O234" s="164"/>
      <c r="P234" s="164"/>
      <c r="Q234" s="164"/>
      <c r="R234" s="164"/>
      <c r="S234" s="164"/>
      <c r="T234" s="164"/>
      <c r="U234" s="164"/>
      <c r="V234" s="164"/>
      <c r="W234" s="164"/>
      <c r="X234" s="202">
        <v>1</v>
      </c>
    </row>
    <row r="235" spans="1:24">
      <c r="A235" s="171" t="s">
        <v>4783</v>
      </c>
      <c r="B235" s="164" t="s">
        <v>5027</v>
      </c>
      <c r="C235" s="164" t="s">
        <v>5028</v>
      </c>
      <c r="D235" s="164" t="s">
        <v>306</v>
      </c>
      <c r="E235" s="187" t="s">
        <v>5057</v>
      </c>
      <c r="F235" s="164"/>
      <c r="G235" s="164"/>
      <c r="H235" s="164"/>
      <c r="I235" s="164"/>
      <c r="J235" s="164"/>
      <c r="K235" s="164"/>
      <c r="L235" s="164"/>
      <c r="M235" s="164"/>
      <c r="N235" s="164"/>
      <c r="O235" s="164"/>
      <c r="P235" s="164"/>
      <c r="Q235" s="164"/>
      <c r="R235" s="164"/>
      <c r="S235" s="164"/>
      <c r="T235" s="164"/>
      <c r="U235" s="164"/>
      <c r="V235" s="164"/>
      <c r="W235" s="164"/>
      <c r="X235" s="202">
        <v>1</v>
      </c>
    </row>
    <row r="236" spans="1:24">
      <c r="A236" s="171" t="s">
        <v>4783</v>
      </c>
      <c r="B236" s="164" t="s">
        <v>5027</v>
      </c>
      <c r="C236" s="164" t="s">
        <v>5028</v>
      </c>
      <c r="D236" s="164" t="s">
        <v>306</v>
      </c>
      <c r="E236" s="187" t="s">
        <v>5058</v>
      </c>
      <c r="F236" s="164"/>
      <c r="G236" s="164"/>
      <c r="H236" s="164"/>
      <c r="I236" s="164"/>
      <c r="J236" s="164"/>
      <c r="K236" s="164"/>
      <c r="L236" s="164"/>
      <c r="M236" s="164"/>
      <c r="N236" s="164"/>
      <c r="O236" s="164"/>
      <c r="P236" s="164"/>
      <c r="Q236" s="164"/>
      <c r="R236" s="164"/>
      <c r="S236" s="164"/>
      <c r="T236" s="164"/>
      <c r="U236" s="164"/>
      <c r="V236" s="164"/>
      <c r="W236" s="164"/>
      <c r="X236" s="202">
        <v>1</v>
      </c>
    </row>
    <row r="237" spans="1:24">
      <c r="A237" s="171" t="s">
        <v>4783</v>
      </c>
      <c r="B237" s="164" t="s">
        <v>5027</v>
      </c>
      <c r="C237" s="164" t="s">
        <v>5028</v>
      </c>
      <c r="D237" s="164" t="s">
        <v>306</v>
      </c>
      <c r="E237" s="187" t="s">
        <v>5059</v>
      </c>
      <c r="F237" s="164"/>
      <c r="G237" s="164"/>
      <c r="H237" s="164"/>
      <c r="I237" s="164"/>
      <c r="J237" s="164"/>
      <c r="K237" s="164"/>
      <c r="L237" s="164"/>
      <c r="M237" s="164"/>
      <c r="N237" s="164"/>
      <c r="O237" s="164"/>
      <c r="P237" s="164"/>
      <c r="Q237" s="164"/>
      <c r="R237" s="164"/>
      <c r="S237" s="164"/>
      <c r="T237" s="164"/>
      <c r="U237" s="164"/>
      <c r="V237" s="164"/>
      <c r="W237" s="164"/>
      <c r="X237" s="202">
        <v>1</v>
      </c>
    </row>
    <row r="238" spans="1:24">
      <c r="A238" s="171" t="s">
        <v>4783</v>
      </c>
      <c r="B238" s="164" t="s">
        <v>5027</v>
      </c>
      <c r="C238" s="164" t="s">
        <v>5028</v>
      </c>
      <c r="D238" s="164" t="s">
        <v>306</v>
      </c>
      <c r="E238" s="187" t="s">
        <v>5060</v>
      </c>
      <c r="F238" s="164"/>
      <c r="G238" s="164"/>
      <c r="H238" s="164"/>
      <c r="I238" s="164"/>
      <c r="J238" s="164"/>
      <c r="K238" s="164"/>
      <c r="L238" s="164"/>
      <c r="M238" s="164"/>
      <c r="N238" s="164"/>
      <c r="O238" s="164"/>
      <c r="P238" s="164"/>
      <c r="Q238" s="164"/>
      <c r="R238" s="164"/>
      <c r="S238" s="164"/>
      <c r="T238" s="164"/>
      <c r="U238" s="164"/>
      <c r="V238" s="164"/>
      <c r="W238" s="164"/>
      <c r="X238" s="202">
        <v>1</v>
      </c>
    </row>
    <row r="239" spans="1:24">
      <c r="A239" s="171" t="s">
        <v>4783</v>
      </c>
      <c r="B239" s="164" t="s">
        <v>5027</v>
      </c>
      <c r="C239" s="164" t="s">
        <v>5028</v>
      </c>
      <c r="D239" s="164" t="s">
        <v>306</v>
      </c>
      <c r="E239" s="187" t="s">
        <v>5061</v>
      </c>
      <c r="F239" s="164"/>
      <c r="G239" s="164"/>
      <c r="H239" s="164"/>
      <c r="I239" s="164"/>
      <c r="J239" s="164"/>
      <c r="K239" s="164"/>
      <c r="L239" s="164"/>
      <c r="M239" s="164"/>
      <c r="N239" s="164"/>
      <c r="O239" s="164"/>
      <c r="P239" s="164"/>
      <c r="Q239" s="164"/>
      <c r="R239" s="164"/>
      <c r="S239" s="164"/>
      <c r="T239" s="164"/>
      <c r="U239" s="164"/>
      <c r="V239" s="164"/>
      <c r="W239" s="164"/>
      <c r="X239" s="202">
        <v>1</v>
      </c>
    </row>
    <row r="240" spans="1:24">
      <c r="A240" s="171" t="s">
        <v>4783</v>
      </c>
      <c r="B240" s="164" t="s">
        <v>5027</v>
      </c>
      <c r="C240" s="164" t="s">
        <v>5028</v>
      </c>
      <c r="D240" s="164" t="s">
        <v>306</v>
      </c>
      <c r="E240" s="187" t="s">
        <v>5062</v>
      </c>
      <c r="F240" s="164"/>
      <c r="G240" s="164"/>
      <c r="H240" s="164"/>
      <c r="I240" s="164"/>
      <c r="J240" s="164"/>
      <c r="K240" s="164"/>
      <c r="L240" s="164"/>
      <c r="M240" s="164"/>
      <c r="N240" s="164"/>
      <c r="O240" s="164"/>
      <c r="P240" s="164"/>
      <c r="Q240" s="164"/>
      <c r="R240" s="164"/>
      <c r="S240" s="164"/>
      <c r="T240" s="164"/>
      <c r="U240" s="164"/>
      <c r="V240" s="164"/>
      <c r="W240" s="164"/>
      <c r="X240" s="202">
        <v>1</v>
      </c>
    </row>
    <row r="241" spans="1:24">
      <c r="A241" s="171" t="s">
        <v>4783</v>
      </c>
      <c r="B241" s="164" t="s">
        <v>5027</v>
      </c>
      <c r="C241" s="164" t="s">
        <v>5028</v>
      </c>
      <c r="D241" s="164" t="s">
        <v>306</v>
      </c>
      <c r="E241" s="187" t="s">
        <v>5063</v>
      </c>
      <c r="F241" s="164"/>
      <c r="G241" s="164"/>
      <c r="H241" s="164"/>
      <c r="I241" s="164"/>
      <c r="J241" s="164"/>
      <c r="K241" s="164"/>
      <c r="L241" s="164"/>
      <c r="M241" s="164"/>
      <c r="N241" s="164"/>
      <c r="O241" s="164"/>
      <c r="P241" s="164"/>
      <c r="Q241" s="164"/>
      <c r="R241" s="164"/>
      <c r="S241" s="164"/>
      <c r="T241" s="164"/>
      <c r="U241" s="164"/>
      <c r="V241" s="164"/>
      <c r="W241" s="164"/>
      <c r="X241" s="202">
        <v>1</v>
      </c>
    </row>
    <row r="242" spans="1:24">
      <c r="A242" s="171" t="s">
        <v>4783</v>
      </c>
      <c r="B242" s="164" t="s">
        <v>5027</v>
      </c>
      <c r="C242" s="164" t="s">
        <v>5029</v>
      </c>
      <c r="D242" s="164" t="s">
        <v>306</v>
      </c>
      <c r="E242" s="187" t="s">
        <v>5064</v>
      </c>
      <c r="F242" s="164"/>
      <c r="G242" s="164"/>
      <c r="H242" s="164"/>
      <c r="I242" s="164"/>
      <c r="J242" s="164"/>
      <c r="K242" s="164"/>
      <c r="L242" s="164"/>
      <c r="M242" s="164"/>
      <c r="N242" s="164"/>
      <c r="O242" s="164"/>
      <c r="P242" s="164"/>
      <c r="Q242" s="164"/>
      <c r="R242" s="164"/>
      <c r="S242" s="164"/>
      <c r="T242" s="164"/>
      <c r="U242" s="164"/>
      <c r="V242" s="164"/>
      <c r="W242" s="164"/>
      <c r="X242" s="202">
        <v>1</v>
      </c>
    </row>
    <row r="243" spans="1:24">
      <c r="A243" s="171" t="s">
        <v>4783</v>
      </c>
      <c r="B243" s="164" t="s">
        <v>5027</v>
      </c>
      <c r="C243" s="164" t="s">
        <v>5028</v>
      </c>
      <c r="D243" s="164" t="s">
        <v>306</v>
      </c>
      <c r="E243" s="187" t="s">
        <v>5065</v>
      </c>
      <c r="F243" s="164"/>
      <c r="G243" s="164"/>
      <c r="H243" s="164"/>
      <c r="I243" s="164"/>
      <c r="J243" s="164"/>
      <c r="K243" s="164"/>
      <c r="L243" s="164"/>
      <c r="M243" s="164"/>
      <c r="N243" s="164"/>
      <c r="O243" s="164"/>
      <c r="P243" s="164"/>
      <c r="Q243" s="164"/>
      <c r="R243" s="164"/>
      <c r="S243" s="164"/>
      <c r="T243" s="164"/>
      <c r="U243" s="164"/>
      <c r="V243" s="164"/>
      <c r="W243" s="164"/>
      <c r="X243" s="202">
        <v>1</v>
      </c>
    </row>
    <row r="244" spans="1:24">
      <c r="A244" s="171" t="s">
        <v>4783</v>
      </c>
      <c r="B244" s="164" t="s">
        <v>5027</v>
      </c>
      <c r="C244" s="164" t="s">
        <v>5028</v>
      </c>
      <c r="D244" s="164" t="s">
        <v>306</v>
      </c>
      <c r="E244" s="187" t="s">
        <v>5066</v>
      </c>
      <c r="F244" s="164"/>
      <c r="G244" s="164"/>
      <c r="H244" s="164"/>
      <c r="I244" s="164"/>
      <c r="J244" s="164"/>
      <c r="K244" s="164"/>
      <c r="L244" s="164"/>
      <c r="M244" s="164"/>
      <c r="N244" s="164"/>
      <c r="O244" s="164"/>
      <c r="P244" s="164"/>
      <c r="Q244" s="164"/>
      <c r="R244" s="164"/>
      <c r="S244" s="164"/>
      <c r="T244" s="164"/>
      <c r="U244" s="164"/>
      <c r="V244" s="164"/>
      <c r="W244" s="164"/>
      <c r="X244" s="202">
        <v>1</v>
      </c>
    </row>
    <row r="245" spans="1:24">
      <c r="A245" s="171" t="s">
        <v>4783</v>
      </c>
      <c r="B245" s="164" t="s">
        <v>5027</v>
      </c>
      <c r="C245" s="164" t="s">
        <v>5029</v>
      </c>
      <c r="D245" s="164" t="s">
        <v>306</v>
      </c>
      <c r="E245" s="187" t="s">
        <v>5067</v>
      </c>
      <c r="F245" s="164"/>
      <c r="G245" s="164"/>
      <c r="H245" s="164"/>
      <c r="I245" s="164"/>
      <c r="J245" s="164"/>
      <c r="K245" s="164"/>
      <c r="L245" s="164"/>
      <c r="M245" s="164"/>
      <c r="N245" s="164"/>
      <c r="O245" s="164"/>
      <c r="P245" s="164"/>
      <c r="Q245" s="164"/>
      <c r="R245" s="164"/>
      <c r="S245" s="164"/>
      <c r="T245" s="164"/>
      <c r="U245" s="164"/>
      <c r="V245" s="164"/>
      <c r="W245" s="164"/>
      <c r="X245" s="202">
        <v>1</v>
      </c>
    </row>
    <row r="246" spans="1:24">
      <c r="A246" s="171" t="s">
        <v>4783</v>
      </c>
      <c r="B246" s="164" t="s">
        <v>5027</v>
      </c>
      <c r="C246" s="164" t="s">
        <v>5028</v>
      </c>
      <c r="D246" s="164" t="s">
        <v>306</v>
      </c>
      <c r="E246" s="187" t="s">
        <v>5068</v>
      </c>
      <c r="F246" s="164"/>
      <c r="G246" s="164"/>
      <c r="H246" s="164"/>
      <c r="I246" s="164"/>
      <c r="J246" s="164"/>
      <c r="K246" s="164"/>
      <c r="L246" s="164"/>
      <c r="M246" s="164"/>
      <c r="N246" s="164"/>
      <c r="O246" s="164"/>
      <c r="P246" s="164"/>
      <c r="Q246" s="164"/>
      <c r="R246" s="164"/>
      <c r="S246" s="164"/>
      <c r="T246" s="164"/>
      <c r="U246" s="164"/>
      <c r="V246" s="164"/>
      <c r="W246" s="164"/>
      <c r="X246" s="202">
        <v>1</v>
      </c>
    </row>
    <row r="247" spans="1:24">
      <c r="A247" s="171" t="s">
        <v>4783</v>
      </c>
      <c r="B247" s="164" t="s">
        <v>5027</v>
      </c>
      <c r="C247" s="164" t="s">
        <v>5028</v>
      </c>
      <c r="D247" s="164" t="s">
        <v>306</v>
      </c>
      <c r="E247" s="187" t="s">
        <v>5069</v>
      </c>
      <c r="F247" s="164"/>
      <c r="G247" s="164"/>
      <c r="H247" s="164"/>
      <c r="I247" s="164"/>
      <c r="J247" s="164"/>
      <c r="K247" s="164"/>
      <c r="L247" s="164"/>
      <c r="M247" s="164"/>
      <c r="N247" s="164"/>
      <c r="O247" s="164"/>
      <c r="P247" s="164"/>
      <c r="Q247" s="164"/>
      <c r="R247" s="164"/>
      <c r="S247" s="164"/>
      <c r="T247" s="164"/>
      <c r="U247" s="164"/>
      <c r="V247" s="164"/>
      <c r="W247" s="164"/>
      <c r="X247" s="202">
        <v>1</v>
      </c>
    </row>
    <row r="248" spans="1:24">
      <c r="A248" s="171" t="s">
        <v>4783</v>
      </c>
      <c r="B248" s="164" t="s">
        <v>5027</v>
      </c>
      <c r="C248" s="164" t="s">
        <v>5028</v>
      </c>
      <c r="D248" s="164" t="s">
        <v>306</v>
      </c>
      <c r="E248" s="187" t="s">
        <v>5070</v>
      </c>
      <c r="F248" s="164"/>
      <c r="G248" s="164"/>
      <c r="H248" s="164"/>
      <c r="I248" s="164"/>
      <c r="J248" s="164"/>
      <c r="K248" s="164"/>
      <c r="L248" s="164"/>
      <c r="M248" s="164"/>
      <c r="N248" s="164"/>
      <c r="O248" s="164"/>
      <c r="P248" s="164"/>
      <c r="Q248" s="164"/>
      <c r="R248" s="164"/>
      <c r="S248" s="164"/>
      <c r="T248" s="164"/>
      <c r="U248" s="164"/>
      <c r="V248" s="164"/>
      <c r="W248" s="164"/>
      <c r="X248" s="202">
        <v>1</v>
      </c>
    </row>
    <row r="249" spans="1:24">
      <c r="A249" s="171" t="s">
        <v>4783</v>
      </c>
      <c r="B249" s="164" t="s">
        <v>5027</v>
      </c>
      <c r="C249" s="164" t="s">
        <v>5028</v>
      </c>
      <c r="D249" s="164" t="s">
        <v>306</v>
      </c>
      <c r="E249" s="187" t="s">
        <v>5071</v>
      </c>
      <c r="F249" s="164"/>
      <c r="G249" s="164"/>
      <c r="H249" s="164"/>
      <c r="I249" s="164"/>
      <c r="J249" s="164"/>
      <c r="K249" s="164"/>
      <c r="L249" s="164"/>
      <c r="M249" s="164"/>
      <c r="N249" s="164"/>
      <c r="O249" s="164"/>
      <c r="P249" s="164"/>
      <c r="Q249" s="164"/>
      <c r="R249" s="164"/>
      <c r="S249" s="164"/>
      <c r="T249" s="164"/>
      <c r="U249" s="164"/>
      <c r="V249" s="164"/>
      <c r="W249" s="164"/>
      <c r="X249" s="202">
        <v>1</v>
      </c>
    </row>
    <row r="250" spans="1:24">
      <c r="A250" s="171" t="s">
        <v>4783</v>
      </c>
      <c r="B250" s="164" t="s">
        <v>5027</v>
      </c>
      <c r="C250" s="164" t="s">
        <v>5028</v>
      </c>
      <c r="D250" s="164" t="s">
        <v>306</v>
      </c>
      <c r="E250" s="187" t="s">
        <v>5072</v>
      </c>
      <c r="F250" s="164"/>
      <c r="G250" s="164"/>
      <c r="H250" s="164"/>
      <c r="I250" s="164"/>
      <c r="J250" s="164"/>
      <c r="K250" s="164"/>
      <c r="L250" s="164"/>
      <c r="M250" s="164"/>
      <c r="N250" s="164"/>
      <c r="O250" s="164"/>
      <c r="P250" s="164"/>
      <c r="Q250" s="164"/>
      <c r="R250" s="164"/>
      <c r="S250" s="164"/>
      <c r="T250" s="164"/>
      <c r="U250" s="164"/>
      <c r="V250" s="164"/>
      <c r="W250" s="164"/>
      <c r="X250" s="202">
        <v>1</v>
      </c>
    </row>
    <row r="251" spans="1:24">
      <c r="A251" s="171" t="s">
        <v>4783</v>
      </c>
      <c r="B251" s="164" t="s">
        <v>5027</v>
      </c>
      <c r="C251" s="164" t="s">
        <v>5028</v>
      </c>
      <c r="D251" s="164" t="s">
        <v>306</v>
      </c>
      <c r="E251" s="187" t="s">
        <v>5073</v>
      </c>
      <c r="F251" s="164"/>
      <c r="G251" s="164"/>
      <c r="H251" s="164"/>
      <c r="I251" s="164"/>
      <c r="J251" s="164"/>
      <c r="K251" s="164"/>
      <c r="L251" s="164"/>
      <c r="M251" s="164"/>
      <c r="N251" s="164"/>
      <c r="O251" s="164"/>
      <c r="P251" s="164"/>
      <c r="Q251" s="164"/>
      <c r="R251" s="164"/>
      <c r="S251" s="164"/>
      <c r="T251" s="164"/>
      <c r="U251" s="164"/>
      <c r="V251" s="164"/>
      <c r="W251" s="164"/>
      <c r="X251" s="202">
        <v>1</v>
      </c>
    </row>
    <row r="252" spans="1:24">
      <c r="A252" s="171" t="s">
        <v>4783</v>
      </c>
      <c r="B252" s="164" t="s">
        <v>5027</v>
      </c>
      <c r="C252" s="164" t="s">
        <v>5028</v>
      </c>
      <c r="D252" s="164" t="s">
        <v>306</v>
      </c>
      <c r="E252" s="187" t="s">
        <v>5074</v>
      </c>
      <c r="F252" s="164"/>
      <c r="G252" s="164"/>
      <c r="H252" s="164"/>
      <c r="I252" s="164"/>
      <c r="J252" s="164"/>
      <c r="K252" s="164"/>
      <c r="L252" s="164"/>
      <c r="M252" s="164"/>
      <c r="N252" s="164"/>
      <c r="O252" s="164"/>
      <c r="P252" s="164"/>
      <c r="Q252" s="164"/>
      <c r="R252" s="164"/>
      <c r="S252" s="164"/>
      <c r="T252" s="164"/>
      <c r="U252" s="164"/>
      <c r="V252" s="164"/>
      <c r="W252" s="164"/>
      <c r="X252" s="202">
        <v>1</v>
      </c>
    </row>
    <row r="253" spans="1:24">
      <c r="A253" s="171" t="s">
        <v>4783</v>
      </c>
      <c r="B253" s="164" t="s">
        <v>5027</v>
      </c>
      <c r="C253" s="164" t="s">
        <v>5028</v>
      </c>
      <c r="D253" s="164" t="s">
        <v>306</v>
      </c>
      <c r="E253" s="187" t="s">
        <v>5075</v>
      </c>
      <c r="F253" s="164"/>
      <c r="G253" s="164"/>
      <c r="H253" s="164"/>
      <c r="I253" s="164"/>
      <c r="J253" s="164"/>
      <c r="K253" s="164"/>
      <c r="L253" s="164"/>
      <c r="M253" s="164"/>
      <c r="N253" s="164"/>
      <c r="O253" s="164"/>
      <c r="P253" s="164"/>
      <c r="Q253" s="164"/>
      <c r="R253" s="164"/>
      <c r="S253" s="164"/>
      <c r="T253" s="164"/>
      <c r="U253" s="164"/>
      <c r="V253" s="164"/>
      <c r="W253" s="164"/>
      <c r="X253" s="202">
        <v>1</v>
      </c>
    </row>
    <row r="254" spans="1:24">
      <c r="A254" s="171" t="s">
        <v>4783</v>
      </c>
      <c r="B254" s="164" t="s">
        <v>5027</v>
      </c>
      <c r="C254" s="164" t="s">
        <v>5029</v>
      </c>
      <c r="D254" s="164" t="s">
        <v>306</v>
      </c>
      <c r="E254" s="187" t="s">
        <v>5076</v>
      </c>
      <c r="F254" s="164"/>
      <c r="G254" s="164"/>
      <c r="H254" s="164"/>
      <c r="I254" s="164"/>
      <c r="J254" s="164"/>
      <c r="K254" s="164"/>
      <c r="L254" s="164"/>
      <c r="M254" s="164"/>
      <c r="N254" s="164"/>
      <c r="O254" s="164"/>
      <c r="P254" s="164"/>
      <c r="Q254" s="164"/>
      <c r="R254" s="164"/>
      <c r="S254" s="164"/>
      <c r="T254" s="164"/>
      <c r="U254" s="164"/>
      <c r="V254" s="164"/>
      <c r="W254" s="164"/>
      <c r="X254" s="202">
        <v>1</v>
      </c>
    </row>
    <row r="255" spans="1:24">
      <c r="A255" s="171" t="s">
        <v>4783</v>
      </c>
      <c r="B255" s="164" t="s">
        <v>5027</v>
      </c>
      <c r="C255" s="164" t="s">
        <v>5029</v>
      </c>
      <c r="D255" s="164" t="s">
        <v>306</v>
      </c>
      <c r="E255" s="187" t="s">
        <v>5077</v>
      </c>
      <c r="F255" s="164"/>
      <c r="G255" s="164"/>
      <c r="H255" s="164"/>
      <c r="I255" s="164"/>
      <c r="J255" s="164"/>
      <c r="K255" s="164"/>
      <c r="L255" s="164"/>
      <c r="M255" s="164"/>
      <c r="N255" s="164"/>
      <c r="O255" s="164"/>
      <c r="P255" s="164"/>
      <c r="Q255" s="164"/>
      <c r="R255" s="164"/>
      <c r="S255" s="164"/>
      <c r="T255" s="164"/>
      <c r="U255" s="164"/>
      <c r="V255" s="164"/>
      <c r="W255" s="164"/>
      <c r="X255" s="202">
        <v>1</v>
      </c>
    </row>
    <row r="256" spans="1:24">
      <c r="A256" s="171" t="s">
        <v>4783</v>
      </c>
      <c r="B256" s="164" t="s">
        <v>5027</v>
      </c>
      <c r="C256" s="164" t="s">
        <v>5029</v>
      </c>
      <c r="D256" s="164" t="s">
        <v>306</v>
      </c>
      <c r="E256" s="187" t="s">
        <v>5078</v>
      </c>
      <c r="F256" s="164"/>
      <c r="G256" s="164"/>
      <c r="H256" s="164"/>
      <c r="I256" s="164"/>
      <c r="J256" s="164"/>
      <c r="K256" s="164"/>
      <c r="L256" s="164"/>
      <c r="M256" s="164"/>
      <c r="N256" s="164"/>
      <c r="O256" s="164"/>
      <c r="P256" s="164"/>
      <c r="Q256" s="164"/>
      <c r="R256" s="164"/>
      <c r="S256" s="164"/>
      <c r="T256" s="164"/>
      <c r="U256" s="164"/>
      <c r="V256" s="164"/>
      <c r="W256" s="164"/>
      <c r="X256" s="202">
        <v>1</v>
      </c>
    </row>
    <row r="257" spans="1:24">
      <c r="A257" s="171" t="s">
        <v>4783</v>
      </c>
      <c r="B257" s="164" t="s">
        <v>5027</v>
      </c>
      <c r="C257" s="164" t="s">
        <v>5029</v>
      </c>
      <c r="D257" s="164" t="s">
        <v>306</v>
      </c>
      <c r="E257" s="187" t="s">
        <v>5079</v>
      </c>
      <c r="F257" s="164"/>
      <c r="G257" s="164"/>
      <c r="H257" s="164"/>
      <c r="I257" s="164"/>
      <c r="J257" s="164"/>
      <c r="K257" s="164"/>
      <c r="L257" s="164"/>
      <c r="M257" s="164"/>
      <c r="N257" s="164"/>
      <c r="O257" s="164"/>
      <c r="P257" s="164"/>
      <c r="Q257" s="164"/>
      <c r="R257" s="164"/>
      <c r="S257" s="164"/>
      <c r="T257" s="164"/>
      <c r="U257" s="164"/>
      <c r="V257" s="164"/>
      <c r="W257" s="164"/>
      <c r="X257" s="202">
        <v>1</v>
      </c>
    </row>
    <row r="258" spans="1:24">
      <c r="A258" s="171" t="s">
        <v>4783</v>
      </c>
      <c r="B258" s="164" t="s">
        <v>5027</v>
      </c>
      <c r="C258" s="164" t="s">
        <v>5029</v>
      </c>
      <c r="D258" s="164" t="s">
        <v>306</v>
      </c>
      <c r="E258" s="187" t="s">
        <v>5080</v>
      </c>
      <c r="F258" s="164"/>
      <c r="G258" s="164"/>
      <c r="H258" s="164"/>
      <c r="I258" s="164"/>
      <c r="J258" s="164"/>
      <c r="K258" s="164"/>
      <c r="L258" s="164"/>
      <c r="M258" s="164"/>
      <c r="N258" s="164"/>
      <c r="O258" s="164"/>
      <c r="P258" s="164"/>
      <c r="Q258" s="164"/>
      <c r="R258" s="164"/>
      <c r="S258" s="164"/>
      <c r="T258" s="164"/>
      <c r="U258" s="164"/>
      <c r="V258" s="164"/>
      <c r="W258" s="164"/>
      <c r="X258" s="202">
        <v>1</v>
      </c>
    </row>
    <row r="259" spans="1:24">
      <c r="A259" s="171" t="s">
        <v>4783</v>
      </c>
      <c r="B259" s="164" t="s">
        <v>5027</v>
      </c>
      <c r="C259" s="164" t="s">
        <v>5029</v>
      </c>
      <c r="D259" s="164" t="s">
        <v>306</v>
      </c>
      <c r="E259" s="187" t="s">
        <v>5081</v>
      </c>
      <c r="F259" s="164"/>
      <c r="G259" s="164"/>
      <c r="H259" s="164"/>
      <c r="I259" s="164"/>
      <c r="J259" s="164"/>
      <c r="K259" s="164"/>
      <c r="L259" s="164"/>
      <c r="M259" s="164"/>
      <c r="N259" s="164"/>
      <c r="O259" s="164"/>
      <c r="P259" s="164"/>
      <c r="Q259" s="164"/>
      <c r="R259" s="164"/>
      <c r="S259" s="164"/>
      <c r="T259" s="164"/>
      <c r="U259" s="164"/>
      <c r="V259" s="164"/>
      <c r="W259" s="164"/>
      <c r="X259" s="202">
        <v>1</v>
      </c>
    </row>
    <row r="260" spans="1:24">
      <c r="A260" s="171" t="s">
        <v>4783</v>
      </c>
      <c r="B260" s="164" t="s">
        <v>5027</v>
      </c>
      <c r="C260" s="164" t="s">
        <v>5029</v>
      </c>
      <c r="D260" s="164" t="s">
        <v>306</v>
      </c>
      <c r="E260" s="187" t="s">
        <v>5082</v>
      </c>
      <c r="F260" s="164"/>
      <c r="G260" s="164"/>
      <c r="H260" s="164"/>
      <c r="I260" s="164"/>
      <c r="J260" s="164"/>
      <c r="K260" s="164"/>
      <c r="L260" s="164"/>
      <c r="M260" s="164"/>
      <c r="N260" s="164"/>
      <c r="O260" s="164"/>
      <c r="P260" s="164"/>
      <c r="Q260" s="164"/>
      <c r="R260" s="164"/>
      <c r="S260" s="164"/>
      <c r="T260" s="164"/>
      <c r="U260" s="164"/>
      <c r="V260" s="164"/>
      <c r="W260" s="164"/>
      <c r="X260" s="202">
        <v>1</v>
      </c>
    </row>
    <row r="261" spans="1:24">
      <c r="A261" s="171" t="s">
        <v>4783</v>
      </c>
      <c r="B261" s="164" t="s">
        <v>5027</v>
      </c>
      <c r="C261" s="164" t="s">
        <v>5029</v>
      </c>
      <c r="D261" s="164" t="s">
        <v>306</v>
      </c>
      <c r="E261" s="187" t="s">
        <v>5083</v>
      </c>
      <c r="F261" s="164"/>
      <c r="G261" s="164"/>
      <c r="H261" s="164"/>
      <c r="I261" s="164"/>
      <c r="J261" s="164"/>
      <c r="K261" s="164"/>
      <c r="L261" s="164"/>
      <c r="M261" s="164"/>
      <c r="N261" s="164"/>
      <c r="O261" s="164"/>
      <c r="P261" s="164"/>
      <c r="Q261" s="164"/>
      <c r="R261" s="164"/>
      <c r="S261" s="164"/>
      <c r="T261" s="164"/>
      <c r="U261" s="164"/>
      <c r="V261" s="164"/>
      <c r="W261" s="164"/>
      <c r="X261" s="202">
        <v>1</v>
      </c>
    </row>
    <row r="262" spans="1:24">
      <c r="A262" s="171" t="s">
        <v>4783</v>
      </c>
      <c r="B262" s="164" t="s">
        <v>5027</v>
      </c>
      <c r="C262" s="164" t="s">
        <v>5029</v>
      </c>
      <c r="D262" s="164" t="s">
        <v>306</v>
      </c>
      <c r="E262" s="187" t="s">
        <v>5084</v>
      </c>
      <c r="F262" s="164"/>
      <c r="G262" s="164"/>
      <c r="H262" s="164"/>
      <c r="I262" s="164"/>
      <c r="J262" s="164"/>
      <c r="K262" s="164"/>
      <c r="L262" s="164"/>
      <c r="M262" s="164"/>
      <c r="N262" s="164"/>
      <c r="O262" s="164"/>
      <c r="P262" s="164"/>
      <c r="Q262" s="164"/>
      <c r="R262" s="164"/>
      <c r="S262" s="164"/>
      <c r="T262" s="164"/>
      <c r="U262" s="164"/>
      <c r="V262" s="164"/>
      <c r="W262" s="164"/>
      <c r="X262" s="202">
        <v>1</v>
      </c>
    </row>
    <row r="263" spans="1:24">
      <c r="A263" s="171" t="s">
        <v>4783</v>
      </c>
      <c r="B263" s="164" t="s">
        <v>5027</v>
      </c>
      <c r="C263" s="164" t="s">
        <v>5029</v>
      </c>
      <c r="D263" s="164" t="s">
        <v>306</v>
      </c>
      <c r="E263" s="187" t="s">
        <v>5085</v>
      </c>
      <c r="F263" s="164"/>
      <c r="G263" s="164"/>
      <c r="H263" s="164"/>
      <c r="I263" s="164"/>
      <c r="J263" s="164"/>
      <c r="K263" s="164"/>
      <c r="L263" s="164"/>
      <c r="M263" s="164"/>
      <c r="N263" s="164"/>
      <c r="O263" s="164"/>
      <c r="P263" s="164"/>
      <c r="Q263" s="164"/>
      <c r="R263" s="164"/>
      <c r="S263" s="164"/>
      <c r="T263" s="164"/>
      <c r="U263" s="164"/>
      <c r="V263" s="164"/>
      <c r="W263" s="164"/>
      <c r="X263" s="202">
        <v>1</v>
      </c>
    </row>
    <row r="264" spans="1:24">
      <c r="A264" s="171" t="s">
        <v>4783</v>
      </c>
      <c r="B264" s="164" t="s">
        <v>5027</v>
      </c>
      <c r="C264" s="164" t="s">
        <v>5029</v>
      </c>
      <c r="D264" s="164" t="s">
        <v>306</v>
      </c>
      <c r="E264" s="187" t="s">
        <v>5086</v>
      </c>
      <c r="F264" s="164"/>
      <c r="G264" s="164"/>
      <c r="H264" s="164"/>
      <c r="I264" s="164"/>
      <c r="J264" s="164"/>
      <c r="K264" s="164"/>
      <c r="L264" s="164"/>
      <c r="M264" s="164"/>
      <c r="N264" s="164"/>
      <c r="O264" s="164"/>
      <c r="P264" s="164"/>
      <c r="Q264" s="164"/>
      <c r="R264" s="164"/>
      <c r="S264" s="164"/>
      <c r="T264" s="164"/>
      <c r="U264" s="164"/>
      <c r="V264" s="164"/>
      <c r="W264" s="164"/>
      <c r="X264" s="202">
        <v>1</v>
      </c>
    </row>
    <row r="265" spans="1:24">
      <c r="A265" s="171" t="s">
        <v>4783</v>
      </c>
      <c r="B265" s="164" t="s">
        <v>5027</v>
      </c>
      <c r="C265" s="164" t="s">
        <v>5029</v>
      </c>
      <c r="D265" s="164" t="s">
        <v>306</v>
      </c>
      <c r="E265" s="187" t="s">
        <v>5087</v>
      </c>
      <c r="F265" s="164"/>
      <c r="G265" s="164"/>
      <c r="H265" s="164"/>
      <c r="I265" s="164"/>
      <c r="J265" s="164"/>
      <c r="K265" s="164"/>
      <c r="L265" s="164"/>
      <c r="M265" s="164"/>
      <c r="N265" s="164"/>
      <c r="O265" s="164"/>
      <c r="P265" s="164"/>
      <c r="Q265" s="164"/>
      <c r="R265" s="164"/>
      <c r="S265" s="164"/>
      <c r="T265" s="164"/>
      <c r="U265" s="164"/>
      <c r="V265" s="164"/>
      <c r="W265" s="164"/>
      <c r="X265" s="202">
        <v>1</v>
      </c>
    </row>
    <row r="266" spans="1:24">
      <c r="A266" s="171" t="s">
        <v>4783</v>
      </c>
      <c r="B266" s="164" t="s">
        <v>5027</v>
      </c>
      <c r="C266" s="164" t="s">
        <v>5029</v>
      </c>
      <c r="D266" s="164" t="s">
        <v>306</v>
      </c>
      <c r="E266" s="187" t="s">
        <v>5088</v>
      </c>
      <c r="F266" s="164"/>
      <c r="G266" s="164"/>
      <c r="H266" s="164"/>
      <c r="I266" s="164"/>
      <c r="J266" s="164"/>
      <c r="K266" s="164"/>
      <c r="L266" s="164"/>
      <c r="M266" s="164"/>
      <c r="N266" s="164"/>
      <c r="O266" s="164"/>
      <c r="P266" s="164"/>
      <c r="Q266" s="164"/>
      <c r="R266" s="164"/>
      <c r="S266" s="164"/>
      <c r="T266" s="164"/>
      <c r="U266" s="164"/>
      <c r="V266" s="164"/>
      <c r="W266" s="164"/>
      <c r="X266" s="202">
        <v>1</v>
      </c>
    </row>
    <row r="267" spans="1:24">
      <c r="A267" s="171" t="s">
        <v>4783</v>
      </c>
      <c r="B267" s="164" t="s">
        <v>5027</v>
      </c>
      <c r="C267" s="164" t="s">
        <v>5029</v>
      </c>
      <c r="D267" s="164" t="s">
        <v>306</v>
      </c>
      <c r="E267" s="187" t="s">
        <v>5089</v>
      </c>
      <c r="F267" s="164"/>
      <c r="G267" s="164"/>
      <c r="H267" s="164"/>
      <c r="I267" s="164"/>
      <c r="J267" s="164"/>
      <c r="K267" s="164"/>
      <c r="L267" s="164"/>
      <c r="M267" s="164"/>
      <c r="N267" s="164"/>
      <c r="O267" s="164"/>
      <c r="P267" s="164"/>
      <c r="Q267" s="164"/>
      <c r="R267" s="164"/>
      <c r="S267" s="164"/>
      <c r="T267" s="164"/>
      <c r="U267" s="164"/>
      <c r="V267" s="164"/>
      <c r="W267" s="164"/>
      <c r="X267" s="202">
        <v>1</v>
      </c>
    </row>
    <row r="268" spans="1:24">
      <c r="A268" s="171" t="s">
        <v>4783</v>
      </c>
      <c r="B268" s="164" t="s">
        <v>5027</v>
      </c>
      <c r="C268" s="164" t="s">
        <v>5029</v>
      </c>
      <c r="D268" s="164" t="s">
        <v>306</v>
      </c>
      <c r="E268" s="187" t="s">
        <v>5090</v>
      </c>
      <c r="F268" s="164"/>
      <c r="G268" s="164"/>
      <c r="H268" s="164"/>
      <c r="I268" s="164"/>
      <c r="J268" s="164"/>
      <c r="K268" s="164"/>
      <c r="L268" s="164"/>
      <c r="M268" s="164"/>
      <c r="N268" s="164"/>
      <c r="O268" s="164"/>
      <c r="P268" s="164"/>
      <c r="Q268" s="164"/>
      <c r="R268" s="164"/>
      <c r="S268" s="164"/>
      <c r="T268" s="164"/>
      <c r="U268" s="164"/>
      <c r="V268" s="164"/>
      <c r="W268" s="164"/>
      <c r="X268" s="202">
        <v>1</v>
      </c>
    </row>
    <row r="269" spans="1:24">
      <c r="A269" s="171" t="s">
        <v>4783</v>
      </c>
      <c r="B269" s="164" t="s">
        <v>5027</v>
      </c>
      <c r="C269" s="164" t="s">
        <v>5029</v>
      </c>
      <c r="D269" s="164" t="s">
        <v>306</v>
      </c>
      <c r="E269" s="187" t="s">
        <v>5091</v>
      </c>
      <c r="F269" s="164"/>
      <c r="G269" s="164"/>
      <c r="H269" s="164"/>
      <c r="I269" s="164"/>
      <c r="J269" s="164"/>
      <c r="K269" s="164"/>
      <c r="L269" s="164"/>
      <c r="M269" s="164"/>
      <c r="N269" s="164"/>
      <c r="O269" s="164"/>
      <c r="P269" s="164"/>
      <c r="Q269" s="164"/>
      <c r="R269" s="164"/>
      <c r="S269" s="164"/>
      <c r="T269" s="164"/>
      <c r="U269" s="164"/>
      <c r="V269" s="164"/>
      <c r="W269" s="164"/>
      <c r="X269" s="202">
        <v>1</v>
      </c>
    </row>
    <row r="270" spans="1:24">
      <c r="A270" s="171" t="s">
        <v>4783</v>
      </c>
      <c r="B270" s="164" t="s">
        <v>5027</v>
      </c>
      <c r="C270" s="164" t="s">
        <v>5029</v>
      </c>
      <c r="D270" s="164" t="s">
        <v>306</v>
      </c>
      <c r="E270" s="187" t="s">
        <v>5092</v>
      </c>
      <c r="F270" s="164"/>
      <c r="G270" s="164"/>
      <c r="H270" s="164"/>
      <c r="I270" s="164"/>
      <c r="J270" s="164"/>
      <c r="K270" s="164"/>
      <c r="L270" s="164"/>
      <c r="M270" s="164"/>
      <c r="N270" s="164"/>
      <c r="O270" s="164"/>
      <c r="P270" s="164"/>
      <c r="Q270" s="164"/>
      <c r="R270" s="164"/>
      <c r="S270" s="164"/>
      <c r="T270" s="164"/>
      <c r="U270" s="164"/>
      <c r="V270" s="164"/>
      <c r="W270" s="164"/>
      <c r="X270" s="202">
        <v>1</v>
      </c>
    </row>
    <row r="271" spans="1:24">
      <c r="A271" s="171" t="s">
        <v>4783</v>
      </c>
      <c r="B271" s="164" t="s">
        <v>5027</v>
      </c>
      <c r="C271" s="164" t="s">
        <v>5029</v>
      </c>
      <c r="D271" s="164" t="s">
        <v>306</v>
      </c>
      <c r="E271" s="187" t="s">
        <v>5093</v>
      </c>
      <c r="F271" s="164"/>
      <c r="G271" s="164"/>
      <c r="H271" s="164"/>
      <c r="I271" s="164"/>
      <c r="J271" s="164"/>
      <c r="K271" s="164"/>
      <c r="L271" s="164"/>
      <c r="M271" s="164"/>
      <c r="N271" s="164"/>
      <c r="O271" s="164"/>
      <c r="P271" s="164"/>
      <c r="Q271" s="164"/>
      <c r="R271" s="164"/>
      <c r="S271" s="164"/>
      <c r="T271" s="164"/>
      <c r="U271" s="164"/>
      <c r="V271" s="164"/>
      <c r="W271" s="164"/>
      <c r="X271" s="202">
        <v>1</v>
      </c>
    </row>
    <row r="272" spans="1:24">
      <c r="A272" s="171" t="s">
        <v>4783</v>
      </c>
      <c r="B272" s="164" t="s">
        <v>5027</v>
      </c>
      <c r="C272" s="164" t="s">
        <v>5029</v>
      </c>
      <c r="D272" s="164" t="s">
        <v>306</v>
      </c>
      <c r="E272" s="187" t="s">
        <v>5094</v>
      </c>
      <c r="F272" s="164"/>
      <c r="G272" s="164"/>
      <c r="H272" s="164"/>
      <c r="I272" s="164"/>
      <c r="J272" s="164"/>
      <c r="K272" s="164"/>
      <c r="L272" s="164"/>
      <c r="M272" s="164"/>
      <c r="N272" s="164"/>
      <c r="O272" s="164"/>
      <c r="P272" s="164"/>
      <c r="Q272" s="164"/>
      <c r="R272" s="164"/>
      <c r="S272" s="164"/>
      <c r="T272" s="164"/>
      <c r="U272" s="164"/>
      <c r="V272" s="164"/>
      <c r="W272" s="164"/>
      <c r="X272" s="202">
        <v>1</v>
      </c>
    </row>
    <row r="273" spans="1:24">
      <c r="A273" s="171" t="s">
        <v>4783</v>
      </c>
      <c r="B273" s="164" t="s">
        <v>5027</v>
      </c>
      <c r="C273" s="164" t="s">
        <v>5029</v>
      </c>
      <c r="D273" s="164" t="s">
        <v>306</v>
      </c>
      <c r="E273" s="187" t="s">
        <v>5095</v>
      </c>
      <c r="F273" s="164"/>
      <c r="G273" s="164"/>
      <c r="H273" s="164"/>
      <c r="I273" s="164"/>
      <c r="J273" s="164"/>
      <c r="K273" s="164"/>
      <c r="L273" s="164"/>
      <c r="M273" s="164"/>
      <c r="N273" s="164"/>
      <c r="O273" s="164"/>
      <c r="P273" s="164"/>
      <c r="Q273" s="164"/>
      <c r="R273" s="164"/>
      <c r="S273" s="164"/>
      <c r="T273" s="164"/>
      <c r="U273" s="164"/>
      <c r="V273" s="164"/>
      <c r="W273" s="164"/>
      <c r="X273" s="202">
        <v>1</v>
      </c>
    </row>
    <row r="274" spans="1:24">
      <c r="A274" s="171" t="s">
        <v>4783</v>
      </c>
      <c r="B274" s="164" t="s">
        <v>5027</v>
      </c>
      <c r="C274" s="164" t="s">
        <v>5029</v>
      </c>
      <c r="D274" s="164" t="s">
        <v>306</v>
      </c>
      <c r="E274" s="187" t="s">
        <v>5096</v>
      </c>
      <c r="F274" s="164"/>
      <c r="G274" s="164"/>
      <c r="H274" s="164"/>
      <c r="I274" s="164"/>
      <c r="J274" s="164"/>
      <c r="K274" s="164"/>
      <c r="L274" s="164"/>
      <c r="M274" s="164"/>
      <c r="N274" s="164"/>
      <c r="O274" s="164"/>
      <c r="P274" s="164"/>
      <c r="Q274" s="164"/>
      <c r="R274" s="164"/>
      <c r="S274" s="164"/>
      <c r="T274" s="164"/>
      <c r="U274" s="164"/>
      <c r="V274" s="164"/>
      <c r="W274" s="164"/>
      <c r="X274" s="202">
        <v>1</v>
      </c>
    </row>
    <row r="275" spans="1:24">
      <c r="A275" s="171" t="s">
        <v>4783</v>
      </c>
      <c r="B275" s="164" t="s">
        <v>5027</v>
      </c>
      <c r="C275" s="164" t="s">
        <v>5029</v>
      </c>
      <c r="D275" s="164" t="s">
        <v>306</v>
      </c>
      <c r="E275" s="187" t="s">
        <v>5097</v>
      </c>
      <c r="F275" s="164"/>
      <c r="G275" s="164"/>
      <c r="H275" s="164"/>
      <c r="I275" s="164"/>
      <c r="J275" s="164"/>
      <c r="K275" s="164"/>
      <c r="L275" s="164"/>
      <c r="M275" s="164"/>
      <c r="N275" s="164"/>
      <c r="O275" s="164"/>
      <c r="P275" s="164"/>
      <c r="Q275" s="164"/>
      <c r="R275" s="164"/>
      <c r="S275" s="164"/>
      <c r="T275" s="164"/>
      <c r="U275" s="164"/>
      <c r="V275" s="164"/>
      <c r="W275" s="164"/>
      <c r="X275" s="202">
        <v>1</v>
      </c>
    </row>
    <row r="276" spans="1:24">
      <c r="A276" s="171" t="s">
        <v>4783</v>
      </c>
      <c r="B276" s="164" t="s">
        <v>5027</v>
      </c>
      <c r="C276" s="164" t="s">
        <v>5029</v>
      </c>
      <c r="D276" s="164" t="s">
        <v>306</v>
      </c>
      <c r="E276" s="187" t="s">
        <v>5098</v>
      </c>
      <c r="F276" s="164"/>
      <c r="G276" s="164"/>
      <c r="H276" s="164"/>
      <c r="I276" s="164"/>
      <c r="J276" s="164"/>
      <c r="K276" s="164"/>
      <c r="L276" s="164"/>
      <c r="M276" s="164"/>
      <c r="N276" s="164"/>
      <c r="O276" s="164"/>
      <c r="P276" s="164"/>
      <c r="Q276" s="164"/>
      <c r="R276" s="164"/>
      <c r="S276" s="164"/>
      <c r="T276" s="164"/>
      <c r="U276" s="164"/>
      <c r="V276" s="164"/>
      <c r="W276" s="164"/>
      <c r="X276" s="202">
        <v>1</v>
      </c>
    </row>
    <row r="277" spans="1:24">
      <c r="A277" s="171" t="s">
        <v>4783</v>
      </c>
      <c r="B277" s="164" t="s">
        <v>5027</v>
      </c>
      <c r="C277" s="164" t="s">
        <v>5029</v>
      </c>
      <c r="D277" s="164" t="s">
        <v>306</v>
      </c>
      <c r="E277" s="187" t="s">
        <v>5099</v>
      </c>
      <c r="F277" s="164"/>
      <c r="G277" s="164"/>
      <c r="H277" s="164"/>
      <c r="I277" s="164"/>
      <c r="J277" s="164"/>
      <c r="K277" s="164"/>
      <c r="L277" s="164"/>
      <c r="M277" s="164"/>
      <c r="N277" s="164"/>
      <c r="O277" s="164"/>
      <c r="P277" s="164"/>
      <c r="Q277" s="164"/>
      <c r="R277" s="164"/>
      <c r="S277" s="164"/>
      <c r="T277" s="164"/>
      <c r="U277" s="164"/>
      <c r="V277" s="164"/>
      <c r="W277" s="164"/>
      <c r="X277" s="202">
        <v>1</v>
      </c>
    </row>
    <row r="278" spans="1:24">
      <c r="A278" s="171" t="s">
        <v>4783</v>
      </c>
      <c r="B278" s="164" t="s">
        <v>5027</v>
      </c>
      <c r="C278" s="164" t="s">
        <v>5028</v>
      </c>
      <c r="D278" s="164" t="s">
        <v>306</v>
      </c>
      <c r="E278" s="187" t="s">
        <v>5100</v>
      </c>
      <c r="F278" s="164"/>
      <c r="G278" s="164"/>
      <c r="H278" s="164"/>
      <c r="I278" s="164"/>
      <c r="J278" s="164"/>
      <c r="K278" s="164"/>
      <c r="L278" s="164"/>
      <c r="M278" s="164"/>
      <c r="N278" s="164"/>
      <c r="O278" s="164"/>
      <c r="P278" s="164"/>
      <c r="Q278" s="164"/>
      <c r="R278" s="164"/>
      <c r="S278" s="164"/>
      <c r="T278" s="164"/>
      <c r="U278" s="164"/>
      <c r="V278" s="164"/>
      <c r="W278" s="164"/>
      <c r="X278" s="202">
        <v>1</v>
      </c>
    </row>
    <row r="279" spans="1:24">
      <c r="A279" s="171" t="s">
        <v>4783</v>
      </c>
      <c r="B279" s="164" t="s">
        <v>5027</v>
      </c>
      <c r="C279" s="164" t="s">
        <v>5028</v>
      </c>
      <c r="D279" s="164" t="s">
        <v>306</v>
      </c>
      <c r="E279" s="187" t="s">
        <v>5101</v>
      </c>
      <c r="F279" s="164"/>
      <c r="G279" s="164"/>
      <c r="H279" s="164"/>
      <c r="I279" s="164"/>
      <c r="J279" s="164"/>
      <c r="K279" s="164"/>
      <c r="L279" s="164"/>
      <c r="M279" s="164"/>
      <c r="N279" s="164"/>
      <c r="O279" s="164"/>
      <c r="P279" s="164"/>
      <c r="Q279" s="164"/>
      <c r="R279" s="164"/>
      <c r="S279" s="164"/>
      <c r="T279" s="164"/>
      <c r="U279" s="164"/>
      <c r="V279" s="164"/>
      <c r="W279" s="164"/>
      <c r="X279" s="202">
        <v>1</v>
      </c>
    </row>
    <row r="280" spans="1:24">
      <c r="A280" s="171" t="s">
        <v>4783</v>
      </c>
      <c r="B280" s="164" t="s">
        <v>5027</v>
      </c>
      <c r="C280" s="164" t="s">
        <v>5029</v>
      </c>
      <c r="D280" s="164" t="s">
        <v>306</v>
      </c>
      <c r="E280" s="187" t="s">
        <v>5102</v>
      </c>
      <c r="F280" s="164"/>
      <c r="G280" s="164"/>
      <c r="H280" s="164"/>
      <c r="I280" s="164"/>
      <c r="J280" s="164"/>
      <c r="K280" s="164"/>
      <c r="L280" s="164"/>
      <c r="M280" s="164"/>
      <c r="N280" s="164"/>
      <c r="O280" s="164"/>
      <c r="P280" s="164"/>
      <c r="Q280" s="164"/>
      <c r="R280" s="164"/>
      <c r="S280" s="164"/>
      <c r="T280" s="164"/>
      <c r="U280" s="164"/>
      <c r="V280" s="164"/>
      <c r="W280" s="164"/>
      <c r="X280" s="202">
        <v>1</v>
      </c>
    </row>
    <row r="281" spans="1:24">
      <c r="A281" s="171" t="s">
        <v>4783</v>
      </c>
      <c r="B281" s="164" t="s">
        <v>5027</v>
      </c>
      <c r="C281" s="164" t="s">
        <v>5029</v>
      </c>
      <c r="D281" s="164" t="s">
        <v>306</v>
      </c>
      <c r="E281" s="187" t="s">
        <v>5103</v>
      </c>
      <c r="F281" s="164"/>
      <c r="G281" s="164"/>
      <c r="H281" s="164"/>
      <c r="I281" s="164"/>
      <c r="J281" s="164"/>
      <c r="K281" s="164"/>
      <c r="L281" s="164"/>
      <c r="M281" s="164"/>
      <c r="N281" s="164"/>
      <c r="O281" s="164"/>
      <c r="P281" s="164"/>
      <c r="Q281" s="164"/>
      <c r="R281" s="164"/>
      <c r="S281" s="164"/>
      <c r="T281" s="164"/>
      <c r="U281" s="164"/>
      <c r="V281" s="164"/>
      <c r="W281" s="164"/>
      <c r="X281" s="202">
        <v>1</v>
      </c>
    </row>
    <row r="282" spans="1:24">
      <c r="A282" s="171" t="s">
        <v>4783</v>
      </c>
      <c r="B282" s="164" t="s">
        <v>5027</v>
      </c>
      <c r="C282" s="164" t="s">
        <v>5029</v>
      </c>
      <c r="D282" s="164" t="s">
        <v>306</v>
      </c>
      <c r="E282" s="187" t="s">
        <v>5104</v>
      </c>
      <c r="F282" s="164"/>
      <c r="G282" s="164"/>
      <c r="H282" s="164"/>
      <c r="I282" s="164"/>
      <c r="J282" s="164"/>
      <c r="K282" s="164"/>
      <c r="L282" s="164"/>
      <c r="M282" s="164"/>
      <c r="N282" s="164"/>
      <c r="O282" s="164"/>
      <c r="P282" s="164"/>
      <c r="Q282" s="164"/>
      <c r="R282" s="164"/>
      <c r="S282" s="164"/>
      <c r="T282" s="164"/>
      <c r="U282" s="164"/>
      <c r="V282" s="164"/>
      <c r="W282" s="164"/>
      <c r="X282" s="202">
        <v>1</v>
      </c>
    </row>
    <row r="283" spans="1:24">
      <c r="A283" s="171" t="s">
        <v>4783</v>
      </c>
      <c r="B283" s="164" t="s">
        <v>5027</v>
      </c>
      <c r="C283" s="164" t="s">
        <v>5029</v>
      </c>
      <c r="D283" s="164" t="s">
        <v>306</v>
      </c>
      <c r="E283" s="187" t="s">
        <v>5105</v>
      </c>
      <c r="F283" s="164"/>
      <c r="G283" s="164"/>
      <c r="H283" s="164"/>
      <c r="I283" s="164"/>
      <c r="J283" s="164"/>
      <c r="K283" s="164"/>
      <c r="L283" s="164"/>
      <c r="M283" s="164"/>
      <c r="N283" s="164"/>
      <c r="O283" s="164"/>
      <c r="P283" s="164"/>
      <c r="Q283" s="164"/>
      <c r="R283" s="164"/>
      <c r="S283" s="164"/>
      <c r="T283" s="164"/>
      <c r="U283" s="164"/>
      <c r="V283" s="164"/>
      <c r="W283" s="164"/>
      <c r="X283" s="202">
        <v>1</v>
      </c>
    </row>
    <row r="284" spans="1:24">
      <c r="A284" s="171" t="s">
        <v>4783</v>
      </c>
      <c r="B284" s="164" t="s">
        <v>5027</v>
      </c>
      <c r="C284" s="164" t="s">
        <v>5029</v>
      </c>
      <c r="D284" s="164" t="s">
        <v>306</v>
      </c>
      <c r="E284" s="187" t="s">
        <v>5106</v>
      </c>
      <c r="F284" s="164"/>
      <c r="G284" s="164"/>
      <c r="H284" s="164"/>
      <c r="I284" s="164"/>
      <c r="J284" s="164"/>
      <c r="K284" s="164"/>
      <c r="L284" s="164"/>
      <c r="M284" s="164"/>
      <c r="N284" s="164"/>
      <c r="O284" s="164"/>
      <c r="P284" s="164"/>
      <c r="Q284" s="164"/>
      <c r="R284" s="164"/>
      <c r="S284" s="164"/>
      <c r="T284" s="164"/>
      <c r="U284" s="164"/>
      <c r="V284" s="164"/>
      <c r="W284" s="164"/>
      <c r="X284" s="202">
        <v>1</v>
      </c>
    </row>
    <row r="285" spans="1:24">
      <c r="A285" s="171" t="s">
        <v>4783</v>
      </c>
      <c r="B285" s="164" t="s">
        <v>5027</v>
      </c>
      <c r="C285" s="164" t="s">
        <v>5029</v>
      </c>
      <c r="D285" s="164" t="s">
        <v>306</v>
      </c>
      <c r="E285" s="187" t="s">
        <v>5107</v>
      </c>
      <c r="F285" s="164"/>
      <c r="G285" s="164"/>
      <c r="H285" s="164"/>
      <c r="I285" s="164"/>
      <c r="J285" s="164"/>
      <c r="K285" s="164"/>
      <c r="L285" s="164"/>
      <c r="M285" s="164"/>
      <c r="N285" s="164"/>
      <c r="O285" s="164"/>
      <c r="P285" s="164"/>
      <c r="Q285" s="164"/>
      <c r="R285" s="164"/>
      <c r="S285" s="164"/>
      <c r="T285" s="164"/>
      <c r="U285" s="164"/>
      <c r="V285" s="164"/>
      <c r="W285" s="164"/>
      <c r="X285" s="202">
        <v>1</v>
      </c>
    </row>
    <row r="286" spans="1:24">
      <c r="A286" s="171" t="s">
        <v>4783</v>
      </c>
      <c r="B286" s="164" t="s">
        <v>5027</v>
      </c>
      <c r="C286" s="164" t="s">
        <v>5028</v>
      </c>
      <c r="D286" s="164" t="s">
        <v>306</v>
      </c>
      <c r="E286" s="187" t="s">
        <v>5108</v>
      </c>
      <c r="F286" s="164"/>
      <c r="G286" s="164"/>
      <c r="H286" s="164"/>
      <c r="I286" s="164"/>
      <c r="J286" s="164"/>
      <c r="K286" s="164"/>
      <c r="L286" s="164"/>
      <c r="M286" s="164"/>
      <c r="N286" s="164"/>
      <c r="O286" s="164"/>
      <c r="P286" s="164"/>
      <c r="Q286" s="164"/>
      <c r="R286" s="164"/>
      <c r="S286" s="164"/>
      <c r="T286" s="164"/>
      <c r="U286" s="164"/>
      <c r="V286" s="164"/>
      <c r="W286" s="164"/>
      <c r="X286" s="202">
        <v>1</v>
      </c>
    </row>
    <row r="287" spans="1:24">
      <c r="A287" s="171" t="s">
        <v>4783</v>
      </c>
      <c r="B287" s="164" t="s">
        <v>5027</v>
      </c>
      <c r="C287" s="164" t="s">
        <v>5028</v>
      </c>
      <c r="D287" s="164" t="s">
        <v>306</v>
      </c>
      <c r="E287" s="187" t="s">
        <v>5109</v>
      </c>
      <c r="F287" s="164"/>
      <c r="G287" s="164"/>
      <c r="H287" s="164"/>
      <c r="I287" s="164"/>
      <c r="J287" s="164"/>
      <c r="K287" s="164"/>
      <c r="L287" s="164"/>
      <c r="M287" s="164"/>
      <c r="N287" s="164"/>
      <c r="O287" s="164"/>
      <c r="P287" s="164"/>
      <c r="Q287" s="164"/>
      <c r="R287" s="164"/>
      <c r="S287" s="164"/>
      <c r="T287" s="164"/>
      <c r="U287" s="164"/>
      <c r="V287" s="164"/>
      <c r="W287" s="164"/>
      <c r="X287" s="202">
        <v>1</v>
      </c>
    </row>
    <row r="288" spans="1:24">
      <c r="A288" s="171" t="s">
        <v>4783</v>
      </c>
      <c r="B288" s="164" t="s">
        <v>5027</v>
      </c>
      <c r="C288" s="164" t="s">
        <v>5029</v>
      </c>
      <c r="D288" s="164" t="s">
        <v>306</v>
      </c>
      <c r="E288" s="187" t="s">
        <v>5110</v>
      </c>
      <c r="F288" s="164"/>
      <c r="G288" s="164"/>
      <c r="H288" s="164"/>
      <c r="I288" s="164"/>
      <c r="J288" s="164"/>
      <c r="K288" s="164"/>
      <c r="L288" s="164"/>
      <c r="M288" s="164"/>
      <c r="N288" s="164"/>
      <c r="O288" s="164"/>
      <c r="P288" s="164"/>
      <c r="Q288" s="164"/>
      <c r="R288" s="164"/>
      <c r="S288" s="164"/>
      <c r="T288" s="164"/>
      <c r="U288" s="164"/>
      <c r="V288" s="164"/>
      <c r="W288" s="164"/>
      <c r="X288" s="202">
        <v>1</v>
      </c>
    </row>
    <row r="289" spans="1:24">
      <c r="A289" s="171" t="s">
        <v>4783</v>
      </c>
      <c r="B289" s="164" t="s">
        <v>5027</v>
      </c>
      <c r="C289" s="164" t="s">
        <v>5029</v>
      </c>
      <c r="D289" s="164" t="s">
        <v>306</v>
      </c>
      <c r="E289" s="187" t="s">
        <v>5111</v>
      </c>
      <c r="F289" s="164"/>
      <c r="G289" s="164"/>
      <c r="H289" s="164"/>
      <c r="I289" s="164"/>
      <c r="J289" s="164"/>
      <c r="K289" s="164"/>
      <c r="L289" s="164"/>
      <c r="M289" s="164"/>
      <c r="N289" s="164"/>
      <c r="O289" s="164"/>
      <c r="P289" s="164"/>
      <c r="Q289" s="164"/>
      <c r="R289" s="164"/>
      <c r="S289" s="164"/>
      <c r="T289" s="164"/>
      <c r="U289" s="164"/>
      <c r="V289" s="164"/>
      <c r="W289" s="164"/>
      <c r="X289" s="202">
        <v>1</v>
      </c>
    </row>
    <row r="290" spans="1:24">
      <c r="A290" s="171" t="s">
        <v>4783</v>
      </c>
      <c r="B290" s="164" t="s">
        <v>5027</v>
      </c>
      <c r="C290" s="164" t="s">
        <v>5029</v>
      </c>
      <c r="D290" s="164" t="s">
        <v>306</v>
      </c>
      <c r="E290" s="187" t="s">
        <v>5112</v>
      </c>
      <c r="F290" s="164"/>
      <c r="G290" s="164"/>
      <c r="H290" s="164"/>
      <c r="I290" s="164"/>
      <c r="J290" s="164"/>
      <c r="K290" s="164"/>
      <c r="L290" s="164"/>
      <c r="M290" s="164"/>
      <c r="N290" s="164"/>
      <c r="O290" s="164"/>
      <c r="P290" s="164"/>
      <c r="Q290" s="164"/>
      <c r="R290" s="164"/>
      <c r="S290" s="164"/>
      <c r="T290" s="164"/>
      <c r="U290" s="164"/>
      <c r="V290" s="164"/>
      <c r="W290" s="164"/>
      <c r="X290" s="202">
        <v>1</v>
      </c>
    </row>
    <row r="291" spans="1:24">
      <c r="A291" s="171" t="s">
        <v>4783</v>
      </c>
      <c r="B291" s="164" t="s">
        <v>5027</v>
      </c>
      <c r="C291" s="164" t="s">
        <v>5029</v>
      </c>
      <c r="D291" s="164" t="s">
        <v>306</v>
      </c>
      <c r="E291" s="187" t="s">
        <v>5113</v>
      </c>
      <c r="F291" s="164"/>
      <c r="G291" s="164"/>
      <c r="H291" s="164"/>
      <c r="I291" s="164"/>
      <c r="J291" s="164"/>
      <c r="K291" s="164"/>
      <c r="L291" s="164"/>
      <c r="M291" s="164"/>
      <c r="N291" s="164"/>
      <c r="O291" s="164"/>
      <c r="P291" s="164"/>
      <c r="Q291" s="164"/>
      <c r="R291" s="164"/>
      <c r="S291" s="164"/>
      <c r="T291" s="164"/>
      <c r="U291" s="164"/>
      <c r="V291" s="164"/>
      <c r="W291" s="164"/>
      <c r="X291" s="202">
        <v>1</v>
      </c>
    </row>
    <row r="292" spans="1:24">
      <c r="A292" s="171" t="s">
        <v>4783</v>
      </c>
      <c r="B292" s="164" t="s">
        <v>5027</v>
      </c>
      <c r="C292" s="164" t="s">
        <v>5029</v>
      </c>
      <c r="D292" s="164" t="s">
        <v>306</v>
      </c>
      <c r="E292" s="187" t="s">
        <v>5114</v>
      </c>
      <c r="F292" s="164"/>
      <c r="G292" s="164"/>
      <c r="H292" s="164"/>
      <c r="I292" s="164"/>
      <c r="J292" s="164"/>
      <c r="K292" s="164"/>
      <c r="L292" s="164"/>
      <c r="M292" s="164"/>
      <c r="N292" s="164"/>
      <c r="O292" s="164"/>
      <c r="P292" s="164"/>
      <c r="Q292" s="164"/>
      <c r="R292" s="164"/>
      <c r="S292" s="164"/>
      <c r="T292" s="164"/>
      <c r="U292" s="164"/>
      <c r="V292" s="164"/>
      <c r="W292" s="164"/>
      <c r="X292" s="202">
        <v>1</v>
      </c>
    </row>
    <row r="293" spans="1:24">
      <c r="A293" s="171" t="s">
        <v>4783</v>
      </c>
      <c r="B293" s="164" t="s">
        <v>5027</v>
      </c>
      <c r="C293" s="164" t="s">
        <v>5029</v>
      </c>
      <c r="D293" s="164" t="s">
        <v>306</v>
      </c>
      <c r="E293" s="187" t="s">
        <v>5115</v>
      </c>
      <c r="F293" s="164"/>
      <c r="G293" s="164"/>
      <c r="H293" s="164"/>
      <c r="I293" s="164"/>
      <c r="J293" s="164"/>
      <c r="K293" s="164"/>
      <c r="L293" s="164"/>
      <c r="M293" s="164"/>
      <c r="N293" s="164"/>
      <c r="O293" s="164"/>
      <c r="P293" s="164"/>
      <c r="Q293" s="164"/>
      <c r="R293" s="164"/>
      <c r="S293" s="164"/>
      <c r="T293" s="164"/>
      <c r="U293" s="164"/>
      <c r="V293" s="164"/>
      <c r="W293" s="164"/>
      <c r="X293" s="202">
        <v>1</v>
      </c>
    </row>
    <row r="294" spans="1:24">
      <c r="A294" s="171" t="s">
        <v>4783</v>
      </c>
      <c r="B294" s="164" t="s">
        <v>5027</v>
      </c>
      <c r="C294" s="164" t="s">
        <v>5029</v>
      </c>
      <c r="D294" s="164" t="s">
        <v>306</v>
      </c>
      <c r="E294" s="187" t="s">
        <v>5116</v>
      </c>
      <c r="F294" s="164"/>
      <c r="G294" s="164"/>
      <c r="H294" s="164"/>
      <c r="I294" s="164"/>
      <c r="J294" s="164"/>
      <c r="K294" s="164"/>
      <c r="L294" s="164"/>
      <c r="M294" s="164"/>
      <c r="N294" s="164"/>
      <c r="O294" s="164"/>
      <c r="P294" s="164"/>
      <c r="Q294" s="164"/>
      <c r="R294" s="164"/>
      <c r="S294" s="164"/>
      <c r="T294" s="164"/>
      <c r="U294" s="164"/>
      <c r="V294" s="164"/>
      <c r="W294" s="164"/>
      <c r="X294" s="202">
        <v>1</v>
      </c>
    </row>
    <row r="295" spans="1:24">
      <c r="A295" s="171" t="s">
        <v>4783</v>
      </c>
      <c r="B295" s="164" t="s">
        <v>5027</v>
      </c>
      <c r="C295" s="164" t="s">
        <v>5029</v>
      </c>
      <c r="D295" s="164" t="s">
        <v>306</v>
      </c>
      <c r="E295" s="187" t="s">
        <v>5117</v>
      </c>
      <c r="F295" s="164"/>
      <c r="G295" s="164"/>
      <c r="H295" s="164"/>
      <c r="I295" s="164"/>
      <c r="J295" s="164"/>
      <c r="K295" s="164"/>
      <c r="L295" s="164"/>
      <c r="M295" s="164"/>
      <c r="N295" s="164"/>
      <c r="O295" s="164"/>
      <c r="P295" s="164"/>
      <c r="Q295" s="164"/>
      <c r="R295" s="164"/>
      <c r="S295" s="164"/>
      <c r="T295" s="164"/>
      <c r="U295" s="164"/>
      <c r="V295" s="164"/>
      <c r="W295" s="164"/>
      <c r="X295" s="202">
        <v>1</v>
      </c>
    </row>
    <row r="296" spans="1:24">
      <c r="A296" s="171" t="s">
        <v>4783</v>
      </c>
      <c r="B296" s="164" t="s">
        <v>5027</v>
      </c>
      <c r="C296" s="164" t="s">
        <v>5028</v>
      </c>
      <c r="D296" s="164" t="s">
        <v>306</v>
      </c>
      <c r="E296" s="187" t="s">
        <v>5118</v>
      </c>
      <c r="F296" s="164"/>
      <c r="G296" s="164"/>
      <c r="H296" s="164"/>
      <c r="I296" s="164"/>
      <c r="J296" s="164"/>
      <c r="K296" s="164"/>
      <c r="L296" s="164"/>
      <c r="M296" s="164"/>
      <c r="N296" s="164"/>
      <c r="O296" s="164"/>
      <c r="P296" s="164"/>
      <c r="Q296" s="164"/>
      <c r="R296" s="164"/>
      <c r="S296" s="164"/>
      <c r="T296" s="164"/>
      <c r="U296" s="164"/>
      <c r="V296" s="164"/>
      <c r="W296" s="164"/>
      <c r="X296" s="202">
        <v>1</v>
      </c>
    </row>
    <row r="297" spans="1:24">
      <c r="A297" s="171" t="s">
        <v>4783</v>
      </c>
      <c r="B297" s="164" t="s">
        <v>5027</v>
      </c>
      <c r="C297" s="164" t="s">
        <v>5028</v>
      </c>
      <c r="D297" s="164" t="s">
        <v>306</v>
      </c>
      <c r="E297" s="187" t="s">
        <v>5119</v>
      </c>
      <c r="F297" s="164"/>
      <c r="G297" s="164"/>
      <c r="H297" s="164"/>
      <c r="I297" s="164"/>
      <c r="J297" s="164"/>
      <c r="K297" s="164"/>
      <c r="L297" s="164"/>
      <c r="M297" s="164"/>
      <c r="N297" s="164"/>
      <c r="O297" s="164"/>
      <c r="P297" s="164"/>
      <c r="Q297" s="164"/>
      <c r="R297" s="164"/>
      <c r="S297" s="164"/>
      <c r="T297" s="164"/>
      <c r="U297" s="164"/>
      <c r="V297" s="164"/>
      <c r="W297" s="164"/>
      <c r="X297" s="202">
        <v>1</v>
      </c>
    </row>
    <row r="298" spans="1:24">
      <c r="A298" s="171" t="s">
        <v>4783</v>
      </c>
      <c r="B298" s="164" t="s">
        <v>5027</v>
      </c>
      <c r="C298" s="164" t="s">
        <v>5028</v>
      </c>
      <c r="D298" s="164" t="s">
        <v>306</v>
      </c>
      <c r="E298" s="187" t="s">
        <v>5120</v>
      </c>
      <c r="F298" s="164"/>
      <c r="G298" s="164"/>
      <c r="H298" s="164"/>
      <c r="I298" s="164"/>
      <c r="J298" s="164"/>
      <c r="K298" s="164"/>
      <c r="L298" s="164"/>
      <c r="M298" s="164"/>
      <c r="N298" s="164"/>
      <c r="O298" s="164"/>
      <c r="P298" s="164"/>
      <c r="Q298" s="164"/>
      <c r="R298" s="164"/>
      <c r="S298" s="164"/>
      <c r="T298" s="164"/>
      <c r="U298" s="164"/>
      <c r="V298" s="164"/>
      <c r="W298" s="164"/>
      <c r="X298" s="202">
        <v>1</v>
      </c>
    </row>
    <row r="299" spans="1:24">
      <c r="A299" s="171" t="s">
        <v>4783</v>
      </c>
      <c r="B299" s="164" t="s">
        <v>5027</v>
      </c>
      <c r="C299" s="164" t="s">
        <v>5029</v>
      </c>
      <c r="D299" s="164" t="s">
        <v>306</v>
      </c>
      <c r="E299" s="187" t="s">
        <v>5121</v>
      </c>
      <c r="F299" s="164"/>
      <c r="G299" s="164"/>
      <c r="H299" s="164"/>
      <c r="I299" s="164"/>
      <c r="J299" s="164"/>
      <c r="K299" s="164"/>
      <c r="L299" s="164"/>
      <c r="M299" s="164"/>
      <c r="N299" s="164"/>
      <c r="O299" s="164"/>
      <c r="P299" s="164"/>
      <c r="Q299" s="164"/>
      <c r="R299" s="164"/>
      <c r="S299" s="164"/>
      <c r="T299" s="164"/>
      <c r="U299" s="164"/>
      <c r="V299" s="164"/>
      <c r="W299" s="164"/>
      <c r="X299" s="202">
        <v>1</v>
      </c>
    </row>
    <row r="300" spans="1:24">
      <c r="A300" s="171" t="s">
        <v>4783</v>
      </c>
      <c r="B300" s="164" t="s">
        <v>5027</v>
      </c>
      <c r="C300" s="164" t="s">
        <v>5028</v>
      </c>
      <c r="D300" s="164" t="s">
        <v>306</v>
      </c>
      <c r="E300" s="187" t="s">
        <v>5122</v>
      </c>
      <c r="F300" s="164"/>
      <c r="G300" s="164"/>
      <c r="H300" s="164"/>
      <c r="I300" s="164"/>
      <c r="J300" s="164"/>
      <c r="K300" s="164"/>
      <c r="L300" s="164"/>
      <c r="M300" s="164"/>
      <c r="N300" s="164"/>
      <c r="O300" s="164"/>
      <c r="P300" s="164"/>
      <c r="Q300" s="164"/>
      <c r="R300" s="164"/>
      <c r="S300" s="164"/>
      <c r="T300" s="164"/>
      <c r="U300" s="164"/>
      <c r="V300" s="164"/>
      <c r="W300" s="164"/>
      <c r="X300" s="202">
        <v>1</v>
      </c>
    </row>
    <row r="301" spans="1:24">
      <c r="A301" s="171" t="s">
        <v>4783</v>
      </c>
      <c r="B301" s="164" t="s">
        <v>5027</v>
      </c>
      <c r="C301" s="164" t="s">
        <v>5029</v>
      </c>
      <c r="D301" s="164" t="s">
        <v>306</v>
      </c>
      <c r="E301" s="187" t="s">
        <v>5123</v>
      </c>
      <c r="F301" s="164"/>
      <c r="G301" s="164"/>
      <c r="H301" s="164"/>
      <c r="I301" s="164"/>
      <c r="J301" s="164"/>
      <c r="K301" s="164"/>
      <c r="L301" s="164"/>
      <c r="M301" s="164"/>
      <c r="N301" s="164"/>
      <c r="O301" s="164"/>
      <c r="P301" s="164"/>
      <c r="Q301" s="164"/>
      <c r="R301" s="164"/>
      <c r="S301" s="164"/>
      <c r="T301" s="164"/>
      <c r="U301" s="164"/>
      <c r="V301" s="164"/>
      <c r="W301" s="164"/>
      <c r="X301" s="202">
        <v>1</v>
      </c>
    </row>
    <row r="302" spans="1:24">
      <c r="A302" s="171" t="s">
        <v>4783</v>
      </c>
      <c r="B302" s="164" t="s">
        <v>5027</v>
      </c>
      <c r="C302" s="164" t="s">
        <v>5029</v>
      </c>
      <c r="D302" s="164" t="s">
        <v>306</v>
      </c>
      <c r="E302" s="187" t="s">
        <v>5124</v>
      </c>
      <c r="F302" s="164"/>
      <c r="G302" s="164"/>
      <c r="H302" s="164"/>
      <c r="I302" s="164"/>
      <c r="J302" s="164"/>
      <c r="K302" s="164"/>
      <c r="L302" s="164"/>
      <c r="M302" s="164"/>
      <c r="N302" s="164"/>
      <c r="O302" s="164"/>
      <c r="P302" s="164"/>
      <c r="Q302" s="164"/>
      <c r="R302" s="164"/>
      <c r="S302" s="164"/>
      <c r="T302" s="164"/>
      <c r="U302" s="164"/>
      <c r="V302" s="164"/>
      <c r="W302" s="164"/>
      <c r="X302" s="202">
        <v>1</v>
      </c>
    </row>
    <row r="303" spans="1:24">
      <c r="A303" s="171" t="s">
        <v>4783</v>
      </c>
      <c r="B303" s="164" t="s">
        <v>5027</v>
      </c>
      <c r="C303" s="164" t="s">
        <v>5029</v>
      </c>
      <c r="D303" s="164" t="s">
        <v>306</v>
      </c>
      <c r="E303" s="187" t="s">
        <v>5125</v>
      </c>
      <c r="F303" s="164"/>
      <c r="G303" s="164"/>
      <c r="H303" s="164"/>
      <c r="I303" s="164"/>
      <c r="J303" s="164"/>
      <c r="K303" s="164"/>
      <c r="L303" s="164"/>
      <c r="M303" s="164"/>
      <c r="N303" s="164"/>
      <c r="O303" s="164"/>
      <c r="P303" s="164"/>
      <c r="Q303" s="164"/>
      <c r="R303" s="164"/>
      <c r="S303" s="164"/>
      <c r="T303" s="164"/>
      <c r="U303" s="164"/>
      <c r="V303" s="164"/>
      <c r="W303" s="164"/>
      <c r="X303" s="202">
        <v>1</v>
      </c>
    </row>
    <row r="304" spans="1:24">
      <c r="A304" s="171" t="s">
        <v>4783</v>
      </c>
      <c r="B304" s="164" t="s">
        <v>5027</v>
      </c>
      <c r="C304" s="164" t="s">
        <v>5029</v>
      </c>
      <c r="D304" s="164" t="s">
        <v>306</v>
      </c>
      <c r="E304" s="187" t="s">
        <v>5126</v>
      </c>
      <c r="F304" s="164"/>
      <c r="G304" s="164"/>
      <c r="H304" s="164"/>
      <c r="I304" s="164"/>
      <c r="J304" s="164"/>
      <c r="K304" s="164"/>
      <c r="L304" s="164"/>
      <c r="M304" s="164"/>
      <c r="N304" s="164"/>
      <c r="O304" s="164"/>
      <c r="P304" s="164"/>
      <c r="Q304" s="164"/>
      <c r="R304" s="164"/>
      <c r="S304" s="164"/>
      <c r="T304" s="164"/>
      <c r="U304" s="164"/>
      <c r="V304" s="164"/>
      <c r="W304" s="164"/>
      <c r="X304" s="202">
        <v>1</v>
      </c>
    </row>
    <row r="305" spans="1:24">
      <c r="A305" s="171" t="s">
        <v>4783</v>
      </c>
      <c r="B305" s="164" t="s">
        <v>5027</v>
      </c>
      <c r="C305" s="164" t="s">
        <v>5029</v>
      </c>
      <c r="D305" s="164" t="s">
        <v>306</v>
      </c>
      <c r="E305" s="187" t="s">
        <v>5127</v>
      </c>
      <c r="F305" s="164"/>
      <c r="G305" s="164"/>
      <c r="H305" s="164"/>
      <c r="I305" s="164"/>
      <c r="J305" s="164"/>
      <c r="K305" s="164"/>
      <c r="L305" s="164"/>
      <c r="M305" s="164"/>
      <c r="N305" s="164"/>
      <c r="O305" s="164"/>
      <c r="P305" s="164"/>
      <c r="Q305" s="164"/>
      <c r="R305" s="164"/>
      <c r="S305" s="164"/>
      <c r="T305" s="164"/>
      <c r="U305" s="164"/>
      <c r="V305" s="164"/>
      <c r="W305" s="164"/>
      <c r="X305" s="202">
        <v>1</v>
      </c>
    </row>
    <row r="306" spans="1:24">
      <c r="A306" s="171" t="s">
        <v>4783</v>
      </c>
      <c r="B306" s="164" t="s">
        <v>5027</v>
      </c>
      <c r="C306" s="164" t="s">
        <v>5028</v>
      </c>
      <c r="D306" s="164" t="s">
        <v>306</v>
      </c>
      <c r="E306" s="187" t="s">
        <v>5128</v>
      </c>
      <c r="F306" s="164"/>
      <c r="G306" s="164"/>
      <c r="H306" s="164"/>
      <c r="I306" s="164"/>
      <c r="J306" s="164"/>
      <c r="K306" s="164"/>
      <c r="L306" s="164"/>
      <c r="M306" s="164"/>
      <c r="N306" s="164"/>
      <c r="O306" s="164"/>
      <c r="P306" s="164"/>
      <c r="Q306" s="164"/>
      <c r="R306" s="164"/>
      <c r="S306" s="164"/>
      <c r="T306" s="164"/>
      <c r="U306" s="164"/>
      <c r="V306" s="164"/>
      <c r="W306" s="164"/>
      <c r="X306" s="202">
        <v>1</v>
      </c>
    </row>
    <row r="307" spans="1:24">
      <c r="A307" s="171" t="s">
        <v>4783</v>
      </c>
      <c r="B307" s="164" t="s">
        <v>5027</v>
      </c>
      <c r="C307" s="164" t="s">
        <v>5029</v>
      </c>
      <c r="D307" s="164" t="s">
        <v>306</v>
      </c>
      <c r="E307" s="187" t="s">
        <v>5129</v>
      </c>
      <c r="F307" s="164"/>
      <c r="G307" s="164"/>
      <c r="H307" s="164"/>
      <c r="I307" s="164"/>
      <c r="J307" s="164"/>
      <c r="K307" s="164"/>
      <c r="L307" s="164"/>
      <c r="M307" s="164"/>
      <c r="N307" s="164"/>
      <c r="O307" s="164"/>
      <c r="P307" s="164"/>
      <c r="Q307" s="164"/>
      <c r="R307" s="164"/>
      <c r="S307" s="164"/>
      <c r="T307" s="164"/>
      <c r="U307" s="164"/>
      <c r="V307" s="164"/>
      <c r="W307" s="164"/>
      <c r="X307" s="202">
        <v>1</v>
      </c>
    </row>
    <row r="308" spans="1:24">
      <c r="A308" s="171" t="s">
        <v>4783</v>
      </c>
      <c r="B308" s="164" t="s">
        <v>5027</v>
      </c>
      <c r="C308" s="164" t="s">
        <v>5029</v>
      </c>
      <c r="D308" s="164" t="s">
        <v>306</v>
      </c>
      <c r="E308" s="187" t="s">
        <v>5130</v>
      </c>
      <c r="F308" s="164"/>
      <c r="G308" s="164"/>
      <c r="H308" s="164"/>
      <c r="I308" s="164"/>
      <c r="J308" s="164"/>
      <c r="K308" s="164"/>
      <c r="L308" s="164"/>
      <c r="M308" s="164"/>
      <c r="N308" s="164"/>
      <c r="O308" s="164"/>
      <c r="P308" s="164"/>
      <c r="Q308" s="164"/>
      <c r="R308" s="164"/>
      <c r="S308" s="164"/>
      <c r="T308" s="164"/>
      <c r="U308" s="164"/>
      <c r="V308" s="164"/>
      <c r="W308" s="164"/>
      <c r="X308" s="202">
        <v>1</v>
      </c>
    </row>
    <row r="309" spans="1:24">
      <c r="A309" s="171" t="s">
        <v>4783</v>
      </c>
      <c r="B309" s="164" t="s">
        <v>5027</v>
      </c>
      <c r="C309" s="164" t="s">
        <v>5029</v>
      </c>
      <c r="D309" s="164" t="s">
        <v>306</v>
      </c>
      <c r="E309" s="187" t="s">
        <v>5131</v>
      </c>
      <c r="F309" s="164"/>
      <c r="G309" s="164"/>
      <c r="H309" s="164"/>
      <c r="I309" s="164"/>
      <c r="J309" s="164"/>
      <c r="K309" s="164"/>
      <c r="L309" s="164"/>
      <c r="M309" s="164"/>
      <c r="N309" s="164"/>
      <c r="O309" s="164"/>
      <c r="P309" s="164"/>
      <c r="Q309" s="164"/>
      <c r="R309" s="164"/>
      <c r="S309" s="164"/>
      <c r="T309" s="164"/>
      <c r="U309" s="164"/>
      <c r="V309" s="164"/>
      <c r="W309" s="164"/>
      <c r="X309" s="202">
        <v>1</v>
      </c>
    </row>
    <row r="310" spans="1:24">
      <c r="A310" s="171" t="s">
        <v>4783</v>
      </c>
      <c r="B310" s="164" t="s">
        <v>5027</v>
      </c>
      <c r="C310" s="164" t="s">
        <v>5029</v>
      </c>
      <c r="D310" s="164" t="s">
        <v>306</v>
      </c>
      <c r="E310" s="187" t="s">
        <v>5132</v>
      </c>
      <c r="F310" s="164"/>
      <c r="G310" s="164"/>
      <c r="H310" s="164"/>
      <c r="I310" s="164"/>
      <c r="J310" s="164"/>
      <c r="K310" s="164"/>
      <c r="L310" s="164"/>
      <c r="M310" s="164"/>
      <c r="N310" s="164"/>
      <c r="O310" s="164"/>
      <c r="P310" s="164"/>
      <c r="Q310" s="164"/>
      <c r="R310" s="164"/>
      <c r="S310" s="164"/>
      <c r="T310" s="164"/>
      <c r="U310" s="164"/>
      <c r="V310" s="164"/>
      <c r="W310" s="164"/>
      <c r="X310" s="202">
        <v>1</v>
      </c>
    </row>
    <row r="311" spans="1:24">
      <c r="A311" s="171" t="s">
        <v>4783</v>
      </c>
      <c r="B311" s="164" t="s">
        <v>5027</v>
      </c>
      <c r="C311" s="164" t="s">
        <v>5029</v>
      </c>
      <c r="D311" s="164" t="s">
        <v>306</v>
      </c>
      <c r="E311" s="187" t="s">
        <v>5133</v>
      </c>
      <c r="F311" s="164"/>
      <c r="G311" s="164"/>
      <c r="H311" s="164"/>
      <c r="I311" s="164"/>
      <c r="J311" s="164"/>
      <c r="K311" s="164"/>
      <c r="L311" s="164"/>
      <c r="M311" s="164"/>
      <c r="N311" s="164"/>
      <c r="O311" s="164"/>
      <c r="P311" s="164"/>
      <c r="Q311" s="164"/>
      <c r="R311" s="164"/>
      <c r="S311" s="164"/>
      <c r="T311" s="164"/>
      <c r="U311" s="164"/>
      <c r="V311" s="164"/>
      <c r="W311" s="164"/>
      <c r="X311" s="202">
        <v>1</v>
      </c>
    </row>
    <row r="312" spans="1:24">
      <c r="A312" s="171" t="s">
        <v>4783</v>
      </c>
      <c r="B312" s="164" t="s">
        <v>5027</v>
      </c>
      <c r="C312" s="164" t="s">
        <v>5028</v>
      </c>
      <c r="D312" s="164" t="s">
        <v>306</v>
      </c>
      <c r="E312" s="187" t="s">
        <v>5134</v>
      </c>
      <c r="F312" s="164"/>
      <c r="G312" s="164"/>
      <c r="H312" s="164"/>
      <c r="I312" s="164"/>
      <c r="J312" s="164"/>
      <c r="K312" s="164"/>
      <c r="L312" s="164"/>
      <c r="M312" s="164"/>
      <c r="N312" s="164"/>
      <c r="O312" s="164"/>
      <c r="P312" s="164"/>
      <c r="Q312" s="164"/>
      <c r="R312" s="164"/>
      <c r="S312" s="164"/>
      <c r="T312" s="164"/>
      <c r="U312" s="164"/>
      <c r="V312" s="164"/>
      <c r="W312" s="164"/>
      <c r="X312" s="202">
        <v>1</v>
      </c>
    </row>
    <row r="313" spans="1:24">
      <c r="A313" s="171" t="s">
        <v>4783</v>
      </c>
      <c r="B313" s="164" t="s">
        <v>5027</v>
      </c>
      <c r="C313" s="164" t="s">
        <v>5028</v>
      </c>
      <c r="D313" s="164" t="s">
        <v>306</v>
      </c>
      <c r="E313" s="187" t="s">
        <v>5135</v>
      </c>
      <c r="F313" s="164"/>
      <c r="G313" s="164"/>
      <c r="H313" s="164"/>
      <c r="I313" s="164"/>
      <c r="J313" s="164"/>
      <c r="K313" s="164"/>
      <c r="L313" s="164"/>
      <c r="M313" s="164"/>
      <c r="N313" s="164"/>
      <c r="O313" s="164"/>
      <c r="P313" s="164"/>
      <c r="Q313" s="164"/>
      <c r="R313" s="164"/>
      <c r="S313" s="164"/>
      <c r="T313" s="164"/>
      <c r="U313" s="164"/>
      <c r="V313" s="164"/>
      <c r="W313" s="164"/>
      <c r="X313" s="202">
        <v>1</v>
      </c>
    </row>
    <row r="314" spans="1:24">
      <c r="A314" s="171" t="s">
        <v>4783</v>
      </c>
      <c r="B314" s="164" t="s">
        <v>5027</v>
      </c>
      <c r="C314" s="164" t="s">
        <v>5028</v>
      </c>
      <c r="D314" s="164" t="s">
        <v>306</v>
      </c>
      <c r="E314" s="187" t="s">
        <v>5136</v>
      </c>
      <c r="F314" s="164"/>
      <c r="G314" s="164"/>
      <c r="H314" s="164"/>
      <c r="I314" s="164"/>
      <c r="J314" s="164"/>
      <c r="K314" s="164"/>
      <c r="L314" s="164"/>
      <c r="M314" s="164"/>
      <c r="N314" s="164"/>
      <c r="O314" s="164"/>
      <c r="P314" s="164"/>
      <c r="Q314" s="164"/>
      <c r="R314" s="164"/>
      <c r="S314" s="164"/>
      <c r="T314" s="164"/>
      <c r="U314" s="164"/>
      <c r="V314" s="164"/>
      <c r="W314" s="164"/>
      <c r="X314" s="202">
        <v>1</v>
      </c>
    </row>
    <row r="315" spans="1:24">
      <c r="A315" s="171" t="s">
        <v>4783</v>
      </c>
      <c r="B315" s="164" t="s">
        <v>5027</v>
      </c>
      <c r="C315" s="164" t="s">
        <v>5029</v>
      </c>
      <c r="D315" s="164" t="s">
        <v>306</v>
      </c>
      <c r="E315" s="187" t="s">
        <v>5137</v>
      </c>
      <c r="F315" s="164"/>
      <c r="G315" s="164"/>
      <c r="H315" s="164"/>
      <c r="I315" s="164"/>
      <c r="J315" s="164"/>
      <c r="K315" s="164"/>
      <c r="L315" s="164"/>
      <c r="M315" s="164"/>
      <c r="N315" s="164"/>
      <c r="O315" s="164"/>
      <c r="P315" s="164"/>
      <c r="Q315" s="164"/>
      <c r="R315" s="164"/>
      <c r="S315" s="164"/>
      <c r="T315" s="164"/>
      <c r="U315" s="164"/>
      <c r="V315" s="164"/>
      <c r="W315" s="164"/>
      <c r="X315" s="202">
        <v>1</v>
      </c>
    </row>
    <row r="316" spans="1:24">
      <c r="A316" s="171" t="s">
        <v>4783</v>
      </c>
      <c r="B316" s="164" t="s">
        <v>5027</v>
      </c>
      <c r="C316" s="164" t="s">
        <v>5029</v>
      </c>
      <c r="D316" s="164" t="s">
        <v>306</v>
      </c>
      <c r="E316" s="187" t="s">
        <v>5138</v>
      </c>
      <c r="F316" s="164"/>
      <c r="G316" s="164"/>
      <c r="H316" s="164"/>
      <c r="I316" s="164"/>
      <c r="J316" s="164"/>
      <c r="K316" s="164"/>
      <c r="L316" s="164"/>
      <c r="M316" s="164"/>
      <c r="N316" s="164"/>
      <c r="O316" s="164"/>
      <c r="P316" s="164"/>
      <c r="Q316" s="164"/>
      <c r="R316" s="164"/>
      <c r="S316" s="164"/>
      <c r="T316" s="164"/>
      <c r="U316" s="164"/>
      <c r="V316" s="164"/>
      <c r="W316" s="164"/>
      <c r="X316" s="202">
        <v>1</v>
      </c>
    </row>
    <row r="317" spans="1:24">
      <c r="A317" s="171" t="s">
        <v>4783</v>
      </c>
      <c r="B317" s="164" t="s">
        <v>5027</v>
      </c>
      <c r="C317" s="164" t="s">
        <v>5028</v>
      </c>
      <c r="D317" s="164" t="s">
        <v>306</v>
      </c>
      <c r="E317" s="187" t="s">
        <v>5139</v>
      </c>
      <c r="F317" s="164"/>
      <c r="G317" s="164"/>
      <c r="H317" s="164"/>
      <c r="I317" s="164"/>
      <c r="J317" s="164"/>
      <c r="K317" s="164"/>
      <c r="L317" s="164"/>
      <c r="M317" s="164"/>
      <c r="N317" s="164"/>
      <c r="O317" s="164"/>
      <c r="P317" s="164"/>
      <c r="Q317" s="164"/>
      <c r="R317" s="164"/>
      <c r="S317" s="164"/>
      <c r="T317" s="164"/>
      <c r="U317" s="164"/>
      <c r="V317" s="164"/>
      <c r="W317" s="164"/>
      <c r="X317" s="202">
        <v>1</v>
      </c>
    </row>
    <row r="318" spans="1:24">
      <c r="A318" s="171" t="s">
        <v>4783</v>
      </c>
      <c r="B318" s="164" t="s">
        <v>5027</v>
      </c>
      <c r="C318" s="164" t="s">
        <v>5029</v>
      </c>
      <c r="D318" s="164" t="s">
        <v>306</v>
      </c>
      <c r="E318" s="187" t="s">
        <v>5140</v>
      </c>
      <c r="F318" s="164"/>
      <c r="G318" s="164"/>
      <c r="H318" s="164"/>
      <c r="I318" s="164"/>
      <c r="J318" s="164"/>
      <c r="K318" s="164"/>
      <c r="L318" s="164"/>
      <c r="M318" s="164"/>
      <c r="N318" s="164"/>
      <c r="O318" s="164"/>
      <c r="P318" s="164"/>
      <c r="Q318" s="164"/>
      <c r="R318" s="164"/>
      <c r="S318" s="164"/>
      <c r="T318" s="164"/>
      <c r="U318" s="164"/>
      <c r="V318" s="164"/>
      <c r="W318" s="164"/>
      <c r="X318" s="202">
        <v>1</v>
      </c>
    </row>
    <row r="319" spans="1:24">
      <c r="A319" s="171" t="s">
        <v>4783</v>
      </c>
      <c r="B319" s="164" t="s">
        <v>5027</v>
      </c>
      <c r="C319" s="164" t="s">
        <v>5029</v>
      </c>
      <c r="D319" s="164" t="s">
        <v>306</v>
      </c>
      <c r="E319" s="187" t="s">
        <v>5141</v>
      </c>
      <c r="F319" s="164"/>
      <c r="G319" s="164"/>
      <c r="H319" s="164"/>
      <c r="I319" s="164"/>
      <c r="J319" s="164"/>
      <c r="K319" s="164"/>
      <c r="L319" s="164"/>
      <c r="M319" s="164"/>
      <c r="N319" s="164"/>
      <c r="O319" s="164"/>
      <c r="P319" s="164"/>
      <c r="Q319" s="164"/>
      <c r="R319" s="164"/>
      <c r="S319" s="164"/>
      <c r="T319" s="164"/>
      <c r="U319" s="164"/>
      <c r="V319" s="164"/>
      <c r="W319" s="164"/>
      <c r="X319" s="202">
        <v>1</v>
      </c>
    </row>
    <row r="320" spans="1:24">
      <c r="A320" s="171" t="s">
        <v>4783</v>
      </c>
      <c r="B320" s="164" t="s">
        <v>5027</v>
      </c>
      <c r="C320" s="164" t="s">
        <v>5029</v>
      </c>
      <c r="D320" s="164" t="s">
        <v>306</v>
      </c>
      <c r="E320" s="187" t="s">
        <v>5142</v>
      </c>
      <c r="F320" s="164"/>
      <c r="G320" s="164"/>
      <c r="H320" s="164"/>
      <c r="I320" s="164"/>
      <c r="J320" s="164"/>
      <c r="K320" s="164"/>
      <c r="L320" s="164"/>
      <c r="M320" s="164"/>
      <c r="N320" s="164"/>
      <c r="O320" s="164"/>
      <c r="P320" s="164"/>
      <c r="Q320" s="164"/>
      <c r="R320" s="164"/>
      <c r="S320" s="164"/>
      <c r="T320" s="164"/>
      <c r="U320" s="164"/>
      <c r="V320" s="164"/>
      <c r="W320" s="164"/>
      <c r="X320" s="202">
        <v>1</v>
      </c>
    </row>
    <row r="321" spans="1:24">
      <c r="A321" s="171" t="s">
        <v>4783</v>
      </c>
      <c r="B321" s="164" t="s">
        <v>5027</v>
      </c>
      <c r="C321" s="164" t="s">
        <v>5029</v>
      </c>
      <c r="D321" s="164" t="s">
        <v>306</v>
      </c>
      <c r="E321" s="187" t="s">
        <v>5143</v>
      </c>
      <c r="F321" s="164"/>
      <c r="G321" s="164"/>
      <c r="H321" s="164"/>
      <c r="I321" s="164"/>
      <c r="J321" s="164"/>
      <c r="K321" s="164"/>
      <c r="L321" s="164"/>
      <c r="M321" s="164"/>
      <c r="N321" s="164"/>
      <c r="O321" s="164"/>
      <c r="P321" s="164"/>
      <c r="Q321" s="164"/>
      <c r="R321" s="164"/>
      <c r="S321" s="164"/>
      <c r="T321" s="164"/>
      <c r="U321" s="164"/>
      <c r="V321" s="164"/>
      <c r="W321" s="164"/>
      <c r="X321" s="202">
        <v>1</v>
      </c>
    </row>
    <row r="322" spans="1:24">
      <c r="A322" s="171" t="s">
        <v>4783</v>
      </c>
      <c r="B322" s="164" t="s">
        <v>5027</v>
      </c>
      <c r="C322" s="164" t="s">
        <v>5029</v>
      </c>
      <c r="D322" s="164" t="s">
        <v>306</v>
      </c>
      <c r="E322" s="187" t="s">
        <v>5144</v>
      </c>
      <c r="F322" s="164"/>
      <c r="G322" s="164"/>
      <c r="H322" s="164"/>
      <c r="I322" s="164"/>
      <c r="J322" s="164"/>
      <c r="K322" s="164"/>
      <c r="L322" s="164"/>
      <c r="M322" s="164"/>
      <c r="N322" s="164"/>
      <c r="O322" s="164"/>
      <c r="P322" s="164"/>
      <c r="Q322" s="164"/>
      <c r="R322" s="164"/>
      <c r="S322" s="164"/>
      <c r="T322" s="164"/>
      <c r="U322" s="164"/>
      <c r="V322" s="164"/>
      <c r="W322" s="164"/>
      <c r="X322" s="202">
        <v>1</v>
      </c>
    </row>
    <row r="323" spans="1:24">
      <c r="A323" s="171" t="s">
        <v>4783</v>
      </c>
      <c r="B323" s="164" t="s">
        <v>5027</v>
      </c>
      <c r="C323" s="164" t="s">
        <v>5029</v>
      </c>
      <c r="D323" s="164" t="s">
        <v>306</v>
      </c>
      <c r="E323" s="187" t="s">
        <v>5145</v>
      </c>
      <c r="F323" s="164"/>
      <c r="G323" s="164"/>
      <c r="H323" s="164"/>
      <c r="I323" s="164"/>
      <c r="J323" s="164"/>
      <c r="K323" s="164"/>
      <c r="L323" s="164"/>
      <c r="M323" s="164"/>
      <c r="N323" s="164"/>
      <c r="O323" s="164"/>
      <c r="P323" s="164"/>
      <c r="Q323" s="164"/>
      <c r="R323" s="164"/>
      <c r="S323" s="164"/>
      <c r="T323" s="164"/>
      <c r="U323" s="164"/>
      <c r="V323" s="164"/>
      <c r="W323" s="164"/>
      <c r="X323" s="202">
        <v>1</v>
      </c>
    </row>
    <row r="324" spans="1:24" ht="15.75" thickBot="1">
      <c r="A324" s="172" t="s">
        <v>4783</v>
      </c>
      <c r="B324" s="166" t="s">
        <v>5027</v>
      </c>
      <c r="C324" s="166" t="s">
        <v>5029</v>
      </c>
      <c r="D324" s="166" t="s">
        <v>306</v>
      </c>
      <c r="E324" s="251" t="s">
        <v>5146</v>
      </c>
      <c r="F324" s="166"/>
      <c r="G324" s="166"/>
      <c r="H324" s="166"/>
      <c r="I324" s="166"/>
      <c r="J324" s="166"/>
      <c r="K324" s="166"/>
      <c r="L324" s="166"/>
      <c r="M324" s="166"/>
      <c r="N324" s="166"/>
      <c r="O324" s="166"/>
      <c r="P324" s="166"/>
      <c r="Q324" s="166"/>
      <c r="R324" s="166"/>
      <c r="S324" s="166"/>
      <c r="T324" s="166"/>
      <c r="U324" s="166"/>
      <c r="V324" s="166"/>
      <c r="W324" s="166"/>
      <c r="X324" s="203">
        <v>1</v>
      </c>
    </row>
  </sheetData>
  <autoFilter ref="A1:X1"/>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27"/>
  <sheetViews>
    <sheetView zoomScale="70" zoomScaleNormal="70" workbookViewId="0">
      <selection activeCell="I4" sqref="I4"/>
    </sheetView>
  </sheetViews>
  <sheetFormatPr defaultRowHeight="15"/>
  <cols>
    <col min="1" max="1" width="0.5703125" customWidth="1"/>
    <col min="2" max="2" width="29" customWidth="1"/>
    <col min="3" max="3" width="32.85546875" customWidth="1"/>
    <col min="4" max="4" width="43.140625" hidden="1" customWidth="1"/>
    <col min="5" max="5" width="5.42578125" style="21" bestFit="1" customWidth="1"/>
    <col min="6" max="7" width="8.7109375" style="21" customWidth="1"/>
    <col min="8" max="8" width="9.28515625" style="21" customWidth="1"/>
    <col min="9" max="10" width="9" style="21" customWidth="1"/>
    <col min="11" max="12" width="12.85546875" style="21" customWidth="1"/>
    <col min="13" max="14" width="13.28515625" style="21" customWidth="1"/>
    <col min="15" max="16" width="13.85546875" style="21" customWidth="1"/>
    <col min="17" max="18" width="13.42578125" style="21" customWidth="1"/>
    <col min="19" max="24" width="9.7109375" style="21" customWidth="1"/>
  </cols>
  <sheetData>
    <row r="1" spans="2:24" ht="1.5" customHeight="1" thickBot="1"/>
    <row r="2" spans="2:24" s="2" customFormat="1" ht="107.45" customHeight="1" thickBot="1">
      <c r="B2" s="2" t="s">
        <v>0</v>
      </c>
      <c r="E2" s="682" t="s">
        <v>1</v>
      </c>
      <c r="F2" s="683"/>
      <c r="G2" s="684" t="s">
        <v>2</v>
      </c>
      <c r="H2" s="681"/>
      <c r="I2" s="680" t="s">
        <v>72</v>
      </c>
      <c r="J2" s="681"/>
      <c r="K2" s="680" t="s">
        <v>5148</v>
      </c>
      <c r="L2" s="681"/>
      <c r="M2" s="680" t="s">
        <v>5149</v>
      </c>
      <c r="N2" s="681"/>
      <c r="O2" s="680" t="s">
        <v>5150</v>
      </c>
      <c r="P2" s="681"/>
      <c r="Q2" s="680" t="s">
        <v>79</v>
      </c>
      <c r="R2" s="681"/>
      <c r="S2" s="680" t="s">
        <v>282</v>
      </c>
      <c r="T2" s="681"/>
      <c r="U2" s="680" t="s">
        <v>172</v>
      </c>
      <c r="V2" s="681"/>
      <c r="W2" s="680" t="s">
        <v>141</v>
      </c>
      <c r="X2" s="681"/>
    </row>
    <row r="3" spans="2:24" s="22" customFormat="1" ht="14.25" customHeight="1">
      <c r="B3" s="25" t="s">
        <v>3</v>
      </c>
      <c r="C3" s="26" t="s">
        <v>4</v>
      </c>
      <c r="D3" s="29" t="s">
        <v>5</v>
      </c>
      <c r="E3" s="32" t="s">
        <v>6</v>
      </c>
      <c r="F3" s="41" t="s">
        <v>7</v>
      </c>
      <c r="G3" s="23" t="s">
        <v>6</v>
      </c>
      <c r="H3" s="33" t="s">
        <v>8</v>
      </c>
      <c r="I3" s="32" t="s">
        <v>6</v>
      </c>
      <c r="J3" s="33" t="s">
        <v>8</v>
      </c>
      <c r="K3" s="32" t="s">
        <v>6</v>
      </c>
      <c r="L3" s="33" t="s">
        <v>8</v>
      </c>
      <c r="M3" s="32" t="s">
        <v>6</v>
      </c>
      <c r="N3" s="33" t="s">
        <v>8</v>
      </c>
      <c r="O3" s="32" t="s">
        <v>6</v>
      </c>
      <c r="P3" s="33" t="s">
        <v>8</v>
      </c>
      <c r="Q3" s="32" t="s">
        <v>6</v>
      </c>
      <c r="R3" s="33" t="s">
        <v>8</v>
      </c>
      <c r="S3" s="32" t="s">
        <v>6</v>
      </c>
      <c r="T3" s="33" t="s">
        <v>8</v>
      </c>
      <c r="U3" s="32" t="s">
        <v>6</v>
      </c>
      <c r="V3" s="33" t="s">
        <v>8</v>
      </c>
      <c r="W3" s="32" t="s">
        <v>6</v>
      </c>
      <c r="X3" s="33" t="s">
        <v>8</v>
      </c>
    </row>
    <row r="4" spans="2:24">
      <c r="B4" s="677" t="s">
        <v>9</v>
      </c>
      <c r="C4" s="27" t="s">
        <v>10</v>
      </c>
      <c r="D4" s="30" t="s">
        <v>11</v>
      </c>
      <c r="E4" s="34">
        <f>COUNTA(LEGALP_INSTRUMENTS!A3:A27)</f>
        <v>7</v>
      </c>
      <c r="F4" s="42" t="e">
        <f>SUM(H4,J4,L4,N4,P4,R4,T4,V4,X4)</f>
        <v>#REF!</v>
      </c>
      <c r="G4" s="39" t="e">
        <f>COUNTIF(LEGALP_INSTRUMENTS!#REF!,"Concluido")</f>
        <v>#REF!</v>
      </c>
      <c r="H4" s="35" t="e">
        <f>G4/E4</f>
        <v>#REF!</v>
      </c>
      <c r="I4" s="45" t="e">
        <f>COUNTIF(LEGALP_INSTRUMENTS!#REF!,"Alterações ao Motor LT - Novos Campos: Definição Fechada / Dados existem no Datalake")</f>
        <v>#REF!</v>
      </c>
      <c r="J4" s="35" t="e">
        <f>I4/E4</f>
        <v>#REF!</v>
      </c>
      <c r="K4" s="38" t="e">
        <f>COUNTIF(LEGALP_INSTRUMENTS!#REF!,"Alterações ao Motor LT - Novos Campos: Definição Fechada / Dados não existem no Datalake -&gt; Ingesta")</f>
        <v>#REF!</v>
      </c>
      <c r="L4" s="35" t="e">
        <f>K4/E4</f>
        <v>#REF!</v>
      </c>
      <c r="M4" s="38" t="e">
        <f>COUNTIF(LEGALP_INSTRUMENTS!#REF!,"Alterações ao Motor LT - Novos Campos: Definição Fechada / Dados não existem no Datalake -&gt; Ingesta + Dev Datalake (tabelas intermédias) ")</f>
        <v>#REF!</v>
      </c>
      <c r="N4" s="35" t="e">
        <f>M4/E4</f>
        <v>#REF!</v>
      </c>
      <c r="O4" s="38" t="e">
        <f>COUNTIF(LEGALP_INSTRUMENTS!#REF!,"Alterações ao Motor LT - Novos Campos: Definição Fechada / Dados não existem no Datalake -&gt; Ingesta + Dev Datalake (tabelas intermédias) + Dev Aplicação Origem")</f>
        <v>#REF!</v>
      </c>
      <c r="P4" s="35" t="e">
        <f>O4/E4</f>
        <v>#REF!</v>
      </c>
      <c r="Q4" s="38" t="e">
        <f>COUNTIF(LEGALP_INSTRUMENTS!#REF!,"Alterações ao Motor LT - Novos Campos: Definição Incompleta / Dados existem no Datalake")</f>
        <v>#REF!</v>
      </c>
      <c r="R4" s="35" t="e">
        <f>Q4/E4</f>
        <v>#REF!</v>
      </c>
      <c r="S4" s="38" t="e">
        <f>COUNTIF(LEGALP_INSTRUMENTS!#REF!,"Alterações ao Motor LT - Novos Campos: Definição Incompleta / Dados existem no Datalake -&gt; Dev Datalake (tabelas intermédias)")</f>
        <v>#REF!</v>
      </c>
      <c r="T4" s="35" t="e">
        <f>S4/E4</f>
        <v>#REF!</v>
      </c>
      <c r="U4" s="38" t="e">
        <f>COUNTIF(LEGALP_INSTRUMENTS!#REF!,"Alterações ao Motor LT - Novos Campos: Definição Incompleta / Dados não existem no Datalake")</f>
        <v>#REF!</v>
      </c>
      <c r="V4" s="35" t="e">
        <f t="shared" ref="V4:V22" si="0">U4/E4</f>
        <v>#REF!</v>
      </c>
      <c r="W4" s="38" t="e">
        <f>COUNTIF(LEGALP_INSTRUMENTS!#REF!,"Alterações ao Motor LT - Novos Campos: Definição por Iniciar")</f>
        <v>#REF!</v>
      </c>
      <c r="X4" s="35" t="e">
        <f t="shared" ref="X4:X22" si="1">W4/E4</f>
        <v>#REF!</v>
      </c>
    </row>
    <row r="5" spans="2:24">
      <c r="B5" s="678"/>
      <c r="C5" s="27" t="s">
        <v>12</v>
      </c>
      <c r="D5" s="30" t="s">
        <v>13</v>
      </c>
      <c r="E5" s="34">
        <f>COUNTA(LEGALP_COUNTERPARTIES!A3:A27)</f>
        <v>5</v>
      </c>
      <c r="F5" s="42" t="e">
        <f t="shared" ref="F5:F20" si="2">SUM(H5,J5,L5,N5,P5,R5,T5,V5,X5)</f>
        <v>#REF!</v>
      </c>
      <c r="G5" s="39" t="e">
        <f>COUNTIF(LEGALP_COUNTERPARTIES!#REF!,"Concluido")</f>
        <v>#REF!</v>
      </c>
      <c r="H5" s="35" t="e">
        <f t="shared" ref="H5:H22" si="3">G5/E5</f>
        <v>#REF!</v>
      </c>
      <c r="I5" s="38" t="e">
        <f>COUNTIF(LEGALP_COUNTERPARTIES!#REF!,"Alterações ao Motor LT - Novos Campos: Definição Fechada / Dados existem no Datalake")</f>
        <v>#REF!</v>
      </c>
      <c r="J5" s="35" t="e">
        <f t="shared" ref="J5:J22" si="4">I5/E5</f>
        <v>#REF!</v>
      </c>
      <c r="K5" s="38" t="e">
        <f>COUNTIF(LEGALP_COUNTERPARTIES!#REF!,"Alterações ao Motor LT - Novos Campos: Definição Fechada / Dados não existem no Datalake -&gt; Ingesta")</f>
        <v>#REF!</v>
      </c>
      <c r="L5" s="35" t="e">
        <f t="shared" ref="L5:L22" si="5">K5/E5</f>
        <v>#REF!</v>
      </c>
      <c r="M5" s="38" t="e">
        <f>COUNTIF(LEGALP_COUNTERPARTIES!#REF!,"Alterações ao Motor LT - Novos Campos: Definição Fechada / Dados não existem no Datalake -&gt; Ingesta + Dev Datalake (tabelas intermédias) ")</f>
        <v>#REF!</v>
      </c>
      <c r="N5" s="35" t="e">
        <f t="shared" ref="N5:N22" si="6">M5/E5</f>
        <v>#REF!</v>
      </c>
      <c r="O5" s="38" t="e">
        <f>COUNTIF(LEGALP_COUNTERPARTIES!#REF!,"Alterações ao Motor LT - Novos Campos: Definição Fechada / Dados não existem no Datalake -&gt; Ingesta + Dev Datalake (tabelas intermédias) + Dev Aplicação Origem")</f>
        <v>#REF!</v>
      </c>
      <c r="P5" s="35" t="e">
        <f t="shared" ref="P5:P22" si="7">O5/E5</f>
        <v>#REF!</v>
      </c>
      <c r="Q5" s="38" t="e">
        <f>COUNTIF(LEGALP_COUNTERPARTIES!#REF!,"Alterações ao Motor LT - Novos Campos: Definição Incompleta / Dados existem no Datalake")</f>
        <v>#REF!</v>
      </c>
      <c r="R5" s="35" t="e">
        <f t="shared" ref="R5:R22" si="8">Q5/E5</f>
        <v>#REF!</v>
      </c>
      <c r="S5" s="38" t="e">
        <f>COUNTIF(LEGALP_COUNTERPARTIES!#REF!,"Alterações ao Motor LT - Novos Campos: Definição Incompleta / Dados existem no Datalake -&gt; Dev Datalake (tabelas intermédias)")</f>
        <v>#REF!</v>
      </c>
      <c r="T5" s="35" t="e">
        <f t="shared" ref="T5:T22" si="9">S5/E5</f>
        <v>#REF!</v>
      </c>
      <c r="U5" s="38" t="e">
        <f>COUNTIF(LEGALP_COUNTERPARTIES!#REF!,"Alterações ao Motor LT - Novos Campos: Definição Incompleta / Dados não existem no Datalake")</f>
        <v>#REF!</v>
      </c>
      <c r="V5" s="35" t="e">
        <f t="shared" si="0"/>
        <v>#REF!</v>
      </c>
      <c r="W5" s="38" t="e">
        <f>COUNTIF(LEGALP_COUNTERPARTIES!#REF!,"Alterações ao Motor LT - Novos Campos: Definição por Iniciar")</f>
        <v>#REF!</v>
      </c>
      <c r="X5" s="35" t="e">
        <f t="shared" si="1"/>
        <v>#REF!</v>
      </c>
    </row>
    <row r="6" spans="2:24">
      <c r="B6" s="678"/>
      <c r="C6" s="27" t="s">
        <v>14</v>
      </c>
      <c r="D6" s="30" t="s">
        <v>15</v>
      </c>
      <c r="E6" s="34">
        <f>COUNTA(LEGALP_PROTECTIONS!A3:A18)</f>
        <v>8</v>
      </c>
      <c r="F6" s="42" t="e">
        <f t="shared" si="2"/>
        <v>#REF!</v>
      </c>
      <c r="G6" s="39" t="e">
        <f>COUNTIF(LEGALP_PROTECTIONS!#REF!,"Concluido")</f>
        <v>#REF!</v>
      </c>
      <c r="H6" s="35" t="e">
        <f t="shared" si="3"/>
        <v>#REF!</v>
      </c>
      <c r="I6" s="45" t="e">
        <f>COUNTIF(LEGALP_PROTECTIONS!#REF!,"Alterações ao Motor LT - Novos Campos: Definição Fechada / Dados existem no Datalake")</f>
        <v>#REF!</v>
      </c>
      <c r="J6" s="35" t="e">
        <f t="shared" si="4"/>
        <v>#REF!</v>
      </c>
      <c r="K6" s="38" t="e">
        <f>COUNTIF(LEGALP_PROTECTIONS!#REF!,"Alterações ao Motor LT - Novos Campos: Definição Fechada / Dados não existem no Datalake -&gt; Ingesta")</f>
        <v>#REF!</v>
      </c>
      <c r="L6" s="35" t="e">
        <f t="shared" si="5"/>
        <v>#REF!</v>
      </c>
      <c r="M6" s="38" t="e">
        <f>COUNTIF(LEGALP_PROTECTIONS!#REF!,"Alterações ao Motor LT - Novos Campos: Definição Fechada / Dados não existem no Datalake -&gt; Ingesta + Dev Datalake (tabelas intermédias) ")</f>
        <v>#REF!</v>
      </c>
      <c r="N6" s="35" t="e">
        <f t="shared" si="6"/>
        <v>#REF!</v>
      </c>
      <c r="O6" s="38" t="e">
        <f>COUNTIF(LEGALP_PROTECTIONS!#REF!,"Alterações ao Motor LT - Novos Campos: Definição Fechada / Dados não existem no Datalake -&gt; Ingesta + Dev Datalake (tabelas intermédias) + Dev Aplicação Origem")</f>
        <v>#REF!</v>
      </c>
      <c r="P6" s="35" t="e">
        <f t="shared" si="7"/>
        <v>#REF!</v>
      </c>
      <c r="Q6" s="38" t="e">
        <f>COUNTIF(LEGALP_PROTECTIONS!#REF!,"Alterações ao Motor LT - Novos Campos: Definição Incompleta / Dados existem no Datalake")</f>
        <v>#REF!</v>
      </c>
      <c r="R6" s="35" t="e">
        <f t="shared" si="8"/>
        <v>#REF!</v>
      </c>
      <c r="S6" s="38" t="e">
        <f>COUNTIF(LEGALP_PROTECTIONS!#REF!,"Alterações ao Motor LT - Novos Campos: Definição Incompleta / Dados existem no Datalake -&gt; Dev Datalake (tabelas intermédias)")</f>
        <v>#REF!</v>
      </c>
      <c r="T6" s="35" t="e">
        <f t="shared" si="9"/>
        <v>#REF!</v>
      </c>
      <c r="U6" s="38" t="e">
        <f>COUNTIF(LEGALP_PROTECTIONS!#REF!,"Alterações ao Motor LT - Novos Campos: Definição Incompleta / Dados não existem no Datalake")</f>
        <v>#REF!</v>
      </c>
      <c r="V6" s="35" t="e">
        <f t="shared" si="0"/>
        <v>#REF!</v>
      </c>
      <c r="W6" s="38" t="e">
        <f>COUNTIF(LEGALP_PROTECTIONS!#REF!,"Alterações ao Motor LT - Novos Campos: Definição por Iniciar")</f>
        <v>#REF!</v>
      </c>
      <c r="X6" s="35" t="e">
        <f t="shared" si="1"/>
        <v>#REF!</v>
      </c>
    </row>
    <row r="7" spans="2:24">
      <c r="B7" s="678"/>
      <c r="C7" s="27" t="s">
        <v>16</v>
      </c>
      <c r="D7" s="30" t="s">
        <v>17</v>
      </c>
      <c r="E7" s="34">
        <f>COUNTA(LEGALP_INSTRUMENT_COUNTERPARTY!A3:A7)</f>
        <v>2</v>
      </c>
      <c r="F7" s="42" t="e">
        <f t="shared" si="2"/>
        <v>#REF!</v>
      </c>
      <c r="G7" s="39" t="e">
        <f>COUNTIF(LEGALP_INSTRUMENT_COUNTERPARTY!#REF!,"Concluido")</f>
        <v>#REF!</v>
      </c>
      <c r="H7" s="35" t="e">
        <f t="shared" si="3"/>
        <v>#REF!</v>
      </c>
      <c r="I7" s="38" t="e">
        <f>COUNTIF(LEGALP_INSTRUMENT_COUNTERPARTY!#REF!,"Alterações ao Motor LT - Novos Campos: Definição Fechada / Dados existem no Datalake")</f>
        <v>#REF!</v>
      </c>
      <c r="J7" s="35" t="e">
        <f t="shared" si="4"/>
        <v>#REF!</v>
      </c>
      <c r="K7" s="38" t="e">
        <f>COUNTIF(LEGALP_INSTRUMENT_COUNTERPARTY!#REF!,"Alterações ao Motor LT - Novos Campos: Definição Fechada / Dados não existem no Datalake -&gt; Ingesta")</f>
        <v>#REF!</v>
      </c>
      <c r="L7" s="35" t="e">
        <f t="shared" si="5"/>
        <v>#REF!</v>
      </c>
      <c r="M7" s="38" t="e">
        <f>COUNTIF(LEGALP_INSTRUMENT_COUNTERPARTY!#REF!,"Alterações ao Motor LT - Novos Campos: Definição Fechada / Dados não existem no Datalake -&gt; Ingesta + Dev Datalake (tabelas intermédias) ")</f>
        <v>#REF!</v>
      </c>
      <c r="N7" s="35" t="e">
        <f t="shared" si="6"/>
        <v>#REF!</v>
      </c>
      <c r="O7" s="38" t="e">
        <f>COUNTIF(LEGALP_INSTRUMENT_COUNTERPARTY!#REF!,"Alterações ao Motor LT - Novos Campos: Definição Fechada / Dados não existem no Datalake -&gt; Ingesta + Dev Datalake (tabelas intermédias) + Dev Aplicação Origem")</f>
        <v>#REF!</v>
      </c>
      <c r="P7" s="35" t="e">
        <f t="shared" si="7"/>
        <v>#REF!</v>
      </c>
      <c r="Q7" s="38" t="e">
        <f>COUNTIF(LEGALP_INSTRUMENT_COUNTERPARTY!#REF!,"Alterações ao Motor LT - Novos Campos: Definição Incompleta / Dados existem no Datalake")</f>
        <v>#REF!</v>
      </c>
      <c r="R7" s="35" t="e">
        <f t="shared" si="8"/>
        <v>#REF!</v>
      </c>
      <c r="S7" s="38" t="e">
        <f>COUNTIF(LEGALP_INSTRUMENT_COUNTERPARTY!#REF!,"Alterações ao Motor LT - Novos Campos: Definição Incompleta / Dados existem no Datalake -&gt; Dev Datalake (tabelas intermédias)")</f>
        <v>#REF!</v>
      </c>
      <c r="T7" s="35" t="e">
        <f t="shared" si="9"/>
        <v>#REF!</v>
      </c>
      <c r="U7" s="38" t="e">
        <f>COUNTIF(LEGALP_INSTRUMENT_COUNTERPARTY!#REF!,"Alterações ao Motor LT - Novos Campos: Definição Incompleta / Dados não existem no Datalake")</f>
        <v>#REF!</v>
      </c>
      <c r="V7" s="35" t="e">
        <f t="shared" si="0"/>
        <v>#REF!</v>
      </c>
      <c r="W7" s="38" t="e">
        <f>COUNTIF(LEGALP_INSTRUMENT_COUNTERPARTY!#REF!,"Alterações ao Motor LT - Novos Campos: Definição por Iniciar")</f>
        <v>#REF!</v>
      </c>
      <c r="X7" s="35" t="e">
        <f t="shared" si="1"/>
        <v>#REF!</v>
      </c>
    </row>
    <row r="8" spans="2:24">
      <c r="B8" s="679"/>
      <c r="C8" s="27" t="s">
        <v>18</v>
      </c>
      <c r="D8" s="30" t="s">
        <v>19</v>
      </c>
      <c r="E8" s="34">
        <f>COUNTA(LEGALP_INSTRUMENT_PROTECTION!A3:A10)</f>
        <v>2</v>
      </c>
      <c r="F8" s="42" t="e">
        <f t="shared" si="2"/>
        <v>#REF!</v>
      </c>
      <c r="G8" s="39" t="e">
        <f>COUNTIF(LEGALP_INSTRUMENT_PROTECTION!#REF!,"Concluido")</f>
        <v>#REF!</v>
      </c>
      <c r="H8" s="35" t="e">
        <f t="shared" si="3"/>
        <v>#REF!</v>
      </c>
      <c r="I8" s="38" t="e">
        <f>COUNTIF(LEGALP_INSTRUMENT_PROTECTION!#REF!,"Alterações ao Motor LT - Novos Campos: Definição Fechada / Dados existem no Datalake")</f>
        <v>#REF!</v>
      </c>
      <c r="J8" s="35" t="e">
        <f t="shared" si="4"/>
        <v>#REF!</v>
      </c>
      <c r="K8" s="38" t="e">
        <f>COUNTIF(LEGALP_INSTRUMENT_PROTECTION!#REF!,"Alterações ao Motor LT - Novos Campos: Definição Fechada / Dados não existem no Datalake -&gt; Ingesta")</f>
        <v>#REF!</v>
      </c>
      <c r="L8" s="35" t="e">
        <f t="shared" si="5"/>
        <v>#REF!</v>
      </c>
      <c r="M8" s="38" t="e">
        <f>COUNTIF(LEGALP_INSTRUMENT_PROTECTION!#REF!,"Alterações ao Motor LT - Novos Campos: Definição Fechada / Dados não existem no Datalake -&gt; Ingesta + Dev Datalake (tabelas intermédias) ")</f>
        <v>#REF!</v>
      </c>
      <c r="N8" s="35" t="e">
        <f t="shared" si="6"/>
        <v>#REF!</v>
      </c>
      <c r="O8" s="38" t="e">
        <f>COUNTIF(LEGALP_INSTRUMENT_PROTECTION!#REF!,"Alterações ao Motor LT - Novos Campos: Definição Fechada / Dados não existem no Datalake -&gt; Ingesta + Dev Datalake (tabelas intermédias) + Dev Aplicação Origem")</f>
        <v>#REF!</v>
      </c>
      <c r="P8" s="35" t="e">
        <f t="shared" si="7"/>
        <v>#REF!</v>
      </c>
      <c r="Q8" s="38" t="e">
        <f>COUNTIF(LEGALP_INSTRUMENT_PROTECTION!#REF!,"Alterações ao Motor LT - Novos Campos: Definição Incompleta / Dados existem no Datalake")</f>
        <v>#REF!</v>
      </c>
      <c r="R8" s="35" t="e">
        <f t="shared" si="8"/>
        <v>#REF!</v>
      </c>
      <c r="S8" s="38" t="e">
        <f>COUNTIF(LEGALP_INSTRUMENT_PROTECTION!#REF!,"Alterações ao Motor LT - Novos Campos: Definição Incompleta / Dados existem no Datalake -&gt; Dev Datalake (tabelas intermédias)")</f>
        <v>#REF!</v>
      </c>
      <c r="T8" s="35" t="e">
        <f t="shared" si="9"/>
        <v>#REF!</v>
      </c>
      <c r="U8" s="38" t="e">
        <f>COUNTIF(LEGALP_INSTRUMENT_PROTECTION!#REF!,"Alterações ao Motor LT - Novos Campos: Definição Incompleta / Dados não existem no Datalake")</f>
        <v>#REF!</v>
      </c>
      <c r="V8" s="35" t="e">
        <f t="shared" si="0"/>
        <v>#REF!</v>
      </c>
      <c r="W8" s="38" t="e">
        <f>COUNTIF(LEGALP_INSTRUMENT_PROTECTION!#REF!,"Alterações ao Motor LT - Novos Campos: Definição por Iniciar")</f>
        <v>#REF!</v>
      </c>
      <c r="X8" s="35" t="e">
        <f t="shared" si="1"/>
        <v>#REF!</v>
      </c>
    </row>
    <row r="9" spans="2:24">
      <c r="B9" s="677" t="s">
        <v>20</v>
      </c>
      <c r="C9" s="27" t="s">
        <v>10</v>
      </c>
      <c r="D9" s="30" t="s">
        <v>21</v>
      </c>
      <c r="E9" s="34">
        <f>COUNTA(NATURALP_INSTRUMENTS!A3:A113)</f>
        <v>53</v>
      </c>
      <c r="F9" s="42" t="e">
        <f t="shared" si="2"/>
        <v>#REF!</v>
      </c>
      <c r="G9" s="39" t="e">
        <f>COUNTIF(NATURALP_INSTRUMENTS!#REF!,"Concluido")</f>
        <v>#REF!</v>
      </c>
      <c r="H9" s="35" t="e">
        <f t="shared" si="3"/>
        <v>#REF!</v>
      </c>
      <c r="I9" s="38" t="e">
        <f>COUNTIF(NATURALP_INSTRUMENTS!#REF!,"Alterações ao Motor LT - Novos Campos: Definição Fechada / Dados existem no Datalake")</f>
        <v>#REF!</v>
      </c>
      <c r="J9" s="35" t="e">
        <f t="shared" si="4"/>
        <v>#REF!</v>
      </c>
      <c r="K9" s="38" t="e">
        <f>COUNTIF(NATURALP_INSTRUMENTS!#REF!,"Alterações ao Motor LT - Novos Campos: Definição Fechada / Dados não existem no Datalake -&gt; Ingesta")</f>
        <v>#REF!</v>
      </c>
      <c r="L9" s="35" t="e">
        <f t="shared" si="5"/>
        <v>#REF!</v>
      </c>
      <c r="M9" s="38" t="e">
        <f>COUNTIF(NATURALP_INSTRUMENTS!#REF!,"Alterações ao Motor LT - Novos Campos: Definição Fechada / Dados não existem no Datalake -&gt; Ingesta + Dev Datalake (tabelas intermédias) ")</f>
        <v>#REF!</v>
      </c>
      <c r="N9" s="35" t="e">
        <f t="shared" si="6"/>
        <v>#REF!</v>
      </c>
      <c r="O9" s="38" t="e">
        <f>COUNTIF(NATURALP_INSTRUMENTS!#REF!,"Alterações ao Motor LT - Novos Campos: Definição Fechada / Dados não existem no Datalake -&gt; Ingesta + Dev Datalake (tabelas intermédias) + Dev Aplicação Origem")</f>
        <v>#REF!</v>
      </c>
      <c r="P9" s="35" t="e">
        <f t="shared" si="7"/>
        <v>#REF!</v>
      </c>
      <c r="Q9" s="38" t="e">
        <f>COUNTIF(NATURALP_INSTRUMENTS!#REF!,"Alterações ao Motor LT - Novos Campos: Definição Incompleta / Dados existem no Datalake")</f>
        <v>#REF!</v>
      </c>
      <c r="R9" s="35" t="e">
        <f t="shared" si="8"/>
        <v>#REF!</v>
      </c>
      <c r="S9" s="38" t="e">
        <f>COUNTIF(NATURALP_INSTRUMENTS!#REF!,"Alterações ao Motor LT - Novos Campos: Definição Incompleta / Dados existem no Datalake -&gt; Dev Datalake (tabelas intermédias)")</f>
        <v>#REF!</v>
      </c>
      <c r="T9" s="35" t="e">
        <f t="shared" si="9"/>
        <v>#REF!</v>
      </c>
      <c r="U9" s="38" t="e">
        <f>COUNTIF(NATURALP_INSTRUMENTS!#REF!,"Alterações ao Motor LT - Novos Campos: Definição Incompleta / Dados não existem no Datalake")</f>
        <v>#REF!</v>
      </c>
      <c r="V9" s="35" t="e">
        <f t="shared" si="0"/>
        <v>#REF!</v>
      </c>
      <c r="W9" s="38" t="e">
        <f>COUNTIF(NATURALP_INSTRUMENTS!#REF!,"Alterações ao Motor LT - Novos Campos: Definição por Iniciar")</f>
        <v>#REF!</v>
      </c>
      <c r="X9" s="35" t="e">
        <f t="shared" si="1"/>
        <v>#REF!</v>
      </c>
    </row>
    <row r="10" spans="2:24">
      <c r="B10" s="678"/>
      <c r="C10" s="27" t="s">
        <v>12</v>
      </c>
      <c r="D10" s="30" t="s">
        <v>22</v>
      </c>
      <c r="E10" s="34">
        <f>COUNTA(NATURALP_COUNTERPARTIES!A3:A29)</f>
        <v>8</v>
      </c>
      <c r="F10" s="42" t="e">
        <f t="shared" si="2"/>
        <v>#REF!</v>
      </c>
      <c r="G10" s="39" t="e">
        <f>COUNTIF(NATURALP_COUNTERPARTIES!#REF!,"Concluido")</f>
        <v>#REF!</v>
      </c>
      <c r="H10" s="35" t="e">
        <f t="shared" si="3"/>
        <v>#REF!</v>
      </c>
      <c r="I10" s="38" t="e">
        <f>COUNTIF(NATURALP_COUNTERPARTIES!#REF!,"Alterações ao Motor LT - Novos Campos: Definição Fechada / Dados existem no Datalake")</f>
        <v>#REF!</v>
      </c>
      <c r="J10" s="35" t="e">
        <f t="shared" si="4"/>
        <v>#REF!</v>
      </c>
      <c r="K10" s="38" t="e">
        <f>COUNTIF(NATURALP_COUNTERPARTIES!#REF!,"Alterações ao Motor LT - Novos Campos: Definição Fechada / Dados não existem no Datalake -&gt; Ingesta")</f>
        <v>#REF!</v>
      </c>
      <c r="L10" s="35" t="e">
        <f t="shared" si="5"/>
        <v>#REF!</v>
      </c>
      <c r="M10" s="38" t="e">
        <f>COUNTIF(NATURALP_COUNTERPARTIES!#REF!,"Alterações ao Motor LT - Novos Campos: Definição Fechada / Dados não existem no Datalake -&gt; Ingesta + Dev Datalake (tabelas intermédias) ")</f>
        <v>#REF!</v>
      </c>
      <c r="N10" s="35" t="e">
        <f t="shared" si="6"/>
        <v>#REF!</v>
      </c>
      <c r="O10" s="38" t="e">
        <f>COUNTIF(NATURALP_COUNTERPARTIES!#REF!,"Alterações ao Motor LT - Novos Campos: Definição Fechada / Dados não existem no Datalake -&gt; Ingesta + Dev Datalake (tabelas intermédias) + Dev Aplicação Origem")</f>
        <v>#REF!</v>
      </c>
      <c r="P10" s="35" t="e">
        <f t="shared" si="7"/>
        <v>#REF!</v>
      </c>
      <c r="Q10" s="38" t="e">
        <f>COUNTIF(NATURALP_COUNTERPARTIES!#REF!,"Alterações ao Motor LT - Novos Campos: Definição Incompleta / Dados existem no Datalake")</f>
        <v>#REF!</v>
      </c>
      <c r="R10" s="35" t="e">
        <f t="shared" si="8"/>
        <v>#REF!</v>
      </c>
      <c r="S10" s="38" t="e">
        <f>COUNTIF(NATURALP_COUNTERPARTIES!#REF!,"Alterações ao Motor LT - Novos Campos: Definição Incompleta / Dados existem no Datalake -&gt; Dev Datalake (tabelas intermédias)")</f>
        <v>#REF!</v>
      </c>
      <c r="T10" s="35" t="e">
        <f t="shared" si="9"/>
        <v>#REF!</v>
      </c>
      <c r="U10" s="38" t="e">
        <f>COUNTIF(NATURALP_COUNTERPARTIES!#REF!,"Alterações ao Motor LT - Novos Campos: Definição Incompleta / Dados não existem no Datalake")</f>
        <v>#REF!</v>
      </c>
      <c r="V10" s="35" t="e">
        <f t="shared" si="0"/>
        <v>#REF!</v>
      </c>
      <c r="W10" s="38" t="e">
        <f>COUNTIF(NATURALP_COUNTERPARTIES!#REF!,"Alterações ao Motor LT - Novos Campos: Definição por Iniciar")</f>
        <v>#REF!</v>
      </c>
      <c r="X10" s="35" t="e">
        <f t="shared" si="1"/>
        <v>#REF!</v>
      </c>
    </row>
    <row r="11" spans="2:24">
      <c r="B11" s="678"/>
      <c r="C11" s="27" t="s">
        <v>14</v>
      </c>
      <c r="D11" s="30" t="s">
        <v>23</v>
      </c>
      <c r="E11" s="34">
        <f>COUNTA(NATURALP_PROTECTIONS!A3:A27)</f>
        <v>17</v>
      </c>
      <c r="F11" s="42" t="e">
        <f t="shared" si="2"/>
        <v>#REF!</v>
      </c>
      <c r="G11" s="39" t="e">
        <f>COUNTIF(NATURALP_PROTECTIONS!#REF!,"Concluido")</f>
        <v>#REF!</v>
      </c>
      <c r="H11" s="35" t="e">
        <f t="shared" si="3"/>
        <v>#REF!</v>
      </c>
      <c r="I11" s="38" t="e">
        <f>COUNTIF(NATURALP_PROTECTIONS!#REF!,"Alterações ao Motor LT - Novos Campos: Definição Fechada / Dados existem no Datalake")</f>
        <v>#REF!</v>
      </c>
      <c r="J11" s="35" t="e">
        <f t="shared" si="4"/>
        <v>#REF!</v>
      </c>
      <c r="K11" s="38" t="e">
        <f>COUNTIF(NATURALP_PROTECTIONS!#REF!,"Alterações ao Motor LT - Novos Campos: Definição Fechada / Dados não existem no Datalake -&gt; Ingesta")</f>
        <v>#REF!</v>
      </c>
      <c r="L11" s="35" t="e">
        <f t="shared" si="5"/>
        <v>#REF!</v>
      </c>
      <c r="M11" s="38" t="e">
        <f>COUNTIF(NATURALP_PROTECTIONS!#REF!,"Alterações ao Motor LT - Novos Campos: Definição Fechada / Dados não existem no Datalake -&gt; Ingesta + Dev Datalake (tabelas intermédias) ")</f>
        <v>#REF!</v>
      </c>
      <c r="N11" s="35" t="e">
        <f t="shared" si="6"/>
        <v>#REF!</v>
      </c>
      <c r="O11" s="38" t="e">
        <f>COUNTIF(NATURALP_PROTECTIONS!#REF!,"Alterações ao Motor LT - Novos Campos: Definição Fechada / Dados não existem no Datalake -&gt; Ingesta + Dev Datalake (tabelas intermédias) + Dev Aplicação Origem")</f>
        <v>#REF!</v>
      </c>
      <c r="P11" s="35" t="e">
        <f t="shared" si="7"/>
        <v>#REF!</v>
      </c>
      <c r="Q11" s="38" t="e">
        <f>COUNTIF(NATURALP_PROTECTIONS!#REF!,"Alterações ao Motor LT - Novos Campos: Definição Incompleta / Dados existem no Datalake")</f>
        <v>#REF!</v>
      </c>
      <c r="R11" s="35" t="e">
        <f t="shared" si="8"/>
        <v>#REF!</v>
      </c>
      <c r="S11" s="38" t="e">
        <f>COUNTIF(NATURALP_PROTECTIONS!#REF!,"Alterações ao Motor LT - Novos Campos: Definição Incompleta / Dados existem no Datalake -&gt; Dev Datalake (tabelas intermédias)")</f>
        <v>#REF!</v>
      </c>
      <c r="T11" s="35" t="e">
        <f t="shared" si="9"/>
        <v>#REF!</v>
      </c>
      <c r="U11" s="38" t="e">
        <f>COUNTIF(NATURALP_PROTECTIONS!#REF!,"Alterações ao Motor LT - Novos Campos: Definição Incompleta / Dados não existem no Datalake")</f>
        <v>#REF!</v>
      </c>
      <c r="V11" s="35" t="e">
        <f t="shared" si="0"/>
        <v>#REF!</v>
      </c>
      <c r="W11" s="38" t="e">
        <f>COUNTIF(NATURALP_PROTECTIONS!#REF!,"Alterações ao Motor LT - Novos Campos: Definição por Iniciar")</f>
        <v>#REF!</v>
      </c>
      <c r="X11" s="35" t="e">
        <f t="shared" si="1"/>
        <v>#REF!</v>
      </c>
    </row>
    <row r="12" spans="2:24">
      <c r="B12" s="678"/>
      <c r="C12" s="27" t="s">
        <v>16</v>
      </c>
      <c r="D12" s="30" t="s">
        <v>24</v>
      </c>
      <c r="E12" s="34">
        <f>COUNTA(NATURALP_INSTRUMENT_COUNTERPART!A3:A9)</f>
        <v>4</v>
      </c>
      <c r="F12" s="42" t="e">
        <f t="shared" si="2"/>
        <v>#REF!</v>
      </c>
      <c r="G12" s="39" t="e">
        <f>COUNTIF(NATURALP_INSTRUMENT_COUNTERPART!#REF!,"Concluido")</f>
        <v>#REF!</v>
      </c>
      <c r="H12" s="35" t="e">
        <f t="shared" si="3"/>
        <v>#REF!</v>
      </c>
      <c r="I12" s="38" t="e">
        <f>COUNTIF(NATURALP_INSTRUMENT_COUNTERPART!#REF!,"Alterações ao Motor LT - Novos Campos: Definição Fechada / Dados existem no Datalake")</f>
        <v>#REF!</v>
      </c>
      <c r="J12" s="35" t="e">
        <f t="shared" si="4"/>
        <v>#REF!</v>
      </c>
      <c r="K12" s="38" t="e">
        <f>COUNTIF(NATURALP_INSTRUMENT_COUNTERPART!#REF!,"Alterações ao Motor LT - Novos Campos: Definição Fechada / Dados não existem no Datalake -&gt; Ingesta")</f>
        <v>#REF!</v>
      </c>
      <c r="L12" s="35" t="e">
        <f t="shared" si="5"/>
        <v>#REF!</v>
      </c>
      <c r="M12" s="38" t="e">
        <f>COUNTIF(NATURALP_INSTRUMENT_COUNTERPART!#REF!,"Alterações ao Motor LT - Novos Campos: Definição Fechada / Dados não existem no Datalake -&gt; Ingesta + Dev Datalake (tabelas intermédias) ")</f>
        <v>#REF!</v>
      </c>
      <c r="N12" s="35" t="e">
        <f t="shared" si="6"/>
        <v>#REF!</v>
      </c>
      <c r="O12" s="38" t="e">
        <f>COUNTIF(NATURALP_INSTRUMENT_COUNTERPART!#REF!,"Alterações ao Motor LT - Novos Campos: Definição Fechada / Dados não existem no Datalake -&gt; Ingesta + Dev Datalake (tabelas intermédias) + Dev Aplicação Origem")</f>
        <v>#REF!</v>
      </c>
      <c r="P12" s="35" t="e">
        <f t="shared" si="7"/>
        <v>#REF!</v>
      </c>
      <c r="Q12" s="38" t="e">
        <f>COUNTIF(NATURALP_INSTRUMENT_COUNTERPART!#REF!,"Alterações ao Motor LT - Novos Campos: Definição Incompleta / Dados existem no Datalake")</f>
        <v>#REF!</v>
      </c>
      <c r="R12" s="35" t="e">
        <f t="shared" si="8"/>
        <v>#REF!</v>
      </c>
      <c r="S12" s="38" t="e">
        <f>COUNTIF(NATURALP_INSTRUMENT_COUNTERPART!#REF!,"Alterações ao Motor LT - Novos Campos: Definição Incompleta / Dados existem no Datalake -&gt; Dev Datalake (tabelas intermédias)")</f>
        <v>#REF!</v>
      </c>
      <c r="T12" s="35" t="e">
        <f t="shared" si="9"/>
        <v>#REF!</v>
      </c>
      <c r="U12" s="38" t="e">
        <f>COUNTIF(NATURALP_INSTRUMENT_COUNTERPART!#REF!,"Alterações ao Motor LT - Novos Campos: Definição Incompleta / Dados não existem no Datalake")</f>
        <v>#REF!</v>
      </c>
      <c r="V12" s="35" t="e">
        <f t="shared" si="0"/>
        <v>#REF!</v>
      </c>
      <c r="W12" s="38" t="e">
        <f>COUNTIF(NATURALP_INSTRUMENT_COUNTERPART!#REF!,"Alterações ao Motor LT - Novos Campos: Definição por Iniciar")</f>
        <v>#REF!</v>
      </c>
      <c r="X12" s="35" t="e">
        <f t="shared" si="1"/>
        <v>#REF!</v>
      </c>
    </row>
    <row r="13" spans="2:24">
      <c r="B13" s="679"/>
      <c r="C13" s="27" t="s">
        <v>18</v>
      </c>
      <c r="D13" s="30" t="s">
        <v>25</v>
      </c>
      <c r="E13" s="34">
        <f>COUNTA(NATURALP_INSTRUMENT_PROTECTION!A3:A12)</f>
        <v>4</v>
      </c>
      <c r="F13" s="42" t="e">
        <f t="shared" si="2"/>
        <v>#REF!</v>
      </c>
      <c r="G13" s="39" t="e">
        <f>COUNTIF(NATURALP_INSTRUMENT_PROTECTION!#REF!,"Concluido")</f>
        <v>#REF!</v>
      </c>
      <c r="H13" s="35" t="e">
        <f t="shared" si="3"/>
        <v>#REF!</v>
      </c>
      <c r="I13" s="38" t="e">
        <f>COUNTIF(NATURALP_INSTRUMENT_PROTECTION!#REF!,"Alterações ao Motor LT - Novos Campos: Definição Fechada / Dados existem no Datalake")</f>
        <v>#REF!</v>
      </c>
      <c r="J13" s="35" t="e">
        <f t="shared" si="4"/>
        <v>#REF!</v>
      </c>
      <c r="K13" s="38" t="e">
        <f>COUNTIF(NATURALP_INSTRUMENT_PROTECTION!#REF!,"Alterações ao Motor LT - Novos Campos: Definição Fechada / Dados não existem no Datalake -&gt; Ingesta")</f>
        <v>#REF!</v>
      </c>
      <c r="L13" s="35" t="e">
        <f t="shared" si="5"/>
        <v>#REF!</v>
      </c>
      <c r="M13" s="38" t="e">
        <f>COUNTIF(NATURALP_INSTRUMENT_PROTECTION!#REF!,"Alterações ao Motor LT - Novos Campos: Definição Fechada / Dados não existem no Datalake -&gt; Ingesta + Dev Datalake (tabelas intermédias) ")</f>
        <v>#REF!</v>
      </c>
      <c r="N13" s="35" t="e">
        <f t="shared" si="6"/>
        <v>#REF!</v>
      </c>
      <c r="O13" s="38" t="e">
        <f>COUNTIF(NATURALP_INSTRUMENT_PROTECTION!#REF!,"Alterações ao Motor LT - Novos Campos: Definição Fechada / Dados não existem no Datalake -&gt; Ingesta + Dev Datalake (tabelas intermédias) + Dev Aplicação Origem")</f>
        <v>#REF!</v>
      </c>
      <c r="P13" s="35" t="e">
        <f t="shared" si="7"/>
        <v>#REF!</v>
      </c>
      <c r="Q13" s="38" t="e">
        <f>COUNTIF(NATURALP_INSTRUMENT_PROTECTION!#REF!,"Alterações ao Motor LT - Novos Campos: Definição Incompleta / Dados existem no Datalake")</f>
        <v>#REF!</v>
      </c>
      <c r="R13" s="35" t="e">
        <f t="shared" si="8"/>
        <v>#REF!</v>
      </c>
      <c r="S13" s="38" t="e">
        <f>COUNTIF(NATURALP_INSTRUMENT_PROTECTION!#REF!,"Alterações ao Motor LT - Novos Campos: Definição Incompleta / Dados existem no Datalake -&gt; Dev Datalake (tabelas intermédias)")</f>
        <v>#REF!</v>
      </c>
      <c r="T13" s="35" t="e">
        <f t="shared" si="9"/>
        <v>#REF!</v>
      </c>
      <c r="U13" s="38" t="e">
        <f>COUNTIF(NATURALP_INSTRUMENT_PROTECTION!#REF!,"Alterações ao Motor LT - Novos Campos: Definição Incompleta / Dados não existem no Datalake")</f>
        <v>#REF!</v>
      </c>
      <c r="V13" s="35" t="e">
        <f t="shared" si="0"/>
        <v>#REF!</v>
      </c>
      <c r="W13" s="38" t="e">
        <f>COUNTIF(NATURALP_INSTRUMENT_PROTECTION!#REF!,"Alterações ao Motor LT - Novos Campos: Definição por Iniciar")</f>
        <v>#REF!</v>
      </c>
      <c r="X13" s="35" t="e">
        <f t="shared" si="1"/>
        <v>#REF!</v>
      </c>
    </row>
    <row r="14" spans="2:24">
      <c r="B14" s="677" t="s">
        <v>26</v>
      </c>
      <c r="C14" s="27" t="s">
        <v>10</v>
      </c>
      <c r="D14" s="30" t="s">
        <v>27</v>
      </c>
      <c r="E14" s="34">
        <f>COUNTA(OFFBAL_INSTRUMENTS!A3:A66)</f>
        <v>27</v>
      </c>
      <c r="F14" s="42" t="e">
        <f t="shared" si="2"/>
        <v>#REF!</v>
      </c>
      <c r="G14" s="39" t="e">
        <f>COUNTIF(OFFBAL_INSTRUMENTS!#REF!,"Concluido")</f>
        <v>#REF!</v>
      </c>
      <c r="H14" s="35" t="e">
        <f t="shared" si="3"/>
        <v>#REF!</v>
      </c>
      <c r="I14" s="38" t="e">
        <f>COUNTIF(OFFBAL_INSTRUMENTS!#REF!,"Alterações ao Motor LT - Novos Campos: Definição Fechada / Dados existem no Datalake")</f>
        <v>#REF!</v>
      </c>
      <c r="J14" s="35" t="e">
        <f t="shared" si="4"/>
        <v>#REF!</v>
      </c>
      <c r="K14" s="38" t="e">
        <f>COUNTIF(OFFBAL_INSTRUMENTS!#REF!,"Alterações ao Motor LT - Novos Campos: Definição Fechada / Dados não existem no Datalake -&gt; Ingesta")</f>
        <v>#REF!</v>
      </c>
      <c r="L14" s="35" t="e">
        <f t="shared" si="5"/>
        <v>#REF!</v>
      </c>
      <c r="M14" s="38" t="e">
        <f>COUNTIF(OFFBAL_INSTRUMENTS!#REF!,"Alterações ao Motor LT - Novos Campos: Definição Fechada / Dados não existem no Datalake -&gt; Ingesta + Dev Datalake (tabelas intermédias) ")</f>
        <v>#REF!</v>
      </c>
      <c r="N14" s="35" t="e">
        <f t="shared" si="6"/>
        <v>#REF!</v>
      </c>
      <c r="O14" s="38" t="e">
        <f>COUNTIF(OFFBAL_INSTRUMENTS!#REF!,"Alterações ao Motor LT - Novos Campos: Definição Fechada / Dados não existem no Datalake -&gt; Ingesta + Dev Datalake (tabelas intermédias) + Dev Aplicação Origem")</f>
        <v>#REF!</v>
      </c>
      <c r="P14" s="35" t="e">
        <f t="shared" si="7"/>
        <v>#REF!</v>
      </c>
      <c r="Q14" s="38" t="e">
        <f>COUNTIF(OFFBAL_INSTRUMENTS!#REF!,"Alterações ao Motor LT - Novos Campos: Definição Incompleta / Dados existem no Datalake")</f>
        <v>#REF!</v>
      </c>
      <c r="R14" s="35" t="e">
        <f t="shared" si="8"/>
        <v>#REF!</v>
      </c>
      <c r="S14" s="38" t="e">
        <f>COUNTIF(OFFBAL_INSTRUMENTS!#REF!,"Alterações ao Motor LT - Novos Campos: Definição Incompleta / Dados existem no Datalake -&gt; Dev Datalake (tabelas intermédias)")</f>
        <v>#REF!</v>
      </c>
      <c r="T14" s="35" t="e">
        <f t="shared" si="9"/>
        <v>#REF!</v>
      </c>
      <c r="U14" s="38" t="e">
        <f>COUNTIF(OFFBAL_INSTRUMENTS!#REF!,"Alterações ao Motor LT - Novos Campos: Definição Incompleta / Dados não existem no Datalake")</f>
        <v>#REF!</v>
      </c>
      <c r="V14" s="35" t="e">
        <f t="shared" si="0"/>
        <v>#REF!</v>
      </c>
      <c r="W14" s="38" t="e">
        <f>COUNTIF(OFFBAL_INSTRUMENTS!#REF!,"Alterações ao Motor LT - Novos Campos: Definição por Iniciar")</f>
        <v>#REF!</v>
      </c>
      <c r="X14" s="35" t="e">
        <f t="shared" si="1"/>
        <v>#REF!</v>
      </c>
    </row>
    <row r="15" spans="2:24">
      <c r="B15" s="678"/>
      <c r="C15" s="27" t="s">
        <v>12</v>
      </c>
      <c r="D15" s="30" t="s">
        <v>28</v>
      </c>
      <c r="E15" s="34">
        <f>COUNTA(OFFBAL_COUNTERPARTIES!A3:A59)</f>
        <v>30</v>
      </c>
      <c r="F15" s="42" t="e">
        <f t="shared" si="2"/>
        <v>#REF!</v>
      </c>
      <c r="G15" s="39" t="e">
        <f>COUNTIF(OFFBAL_COUNTERPARTIES!#REF!,"Concluido")</f>
        <v>#REF!</v>
      </c>
      <c r="H15" s="35" t="e">
        <f t="shared" si="3"/>
        <v>#REF!</v>
      </c>
      <c r="I15" s="38" t="e">
        <f>COUNTIF(OFFBAL_COUNTERPARTIES!#REF!,"Alterações ao Motor LT - Novos Campos: Definição Fechada / Dados existem no Datalake")</f>
        <v>#REF!</v>
      </c>
      <c r="J15" s="35" t="e">
        <f t="shared" si="4"/>
        <v>#REF!</v>
      </c>
      <c r="K15" s="38" t="e">
        <f>COUNTIF(OFFBAL_COUNTERPARTIES!#REF!,"Alterações ao Motor LT - Novos Campos: Definição Fechada / Dados não existem no Datalake -&gt; Ingesta")</f>
        <v>#REF!</v>
      </c>
      <c r="L15" s="35" t="e">
        <f t="shared" si="5"/>
        <v>#REF!</v>
      </c>
      <c r="M15" s="38" t="e">
        <f>COUNTIF(OFFBAL_COUNTERPARTIES!#REF!,"Alterações ao Motor LT - Novos Campos: Definição Fechada / Dados não existem no Datalake -&gt; Ingesta + Dev Datalake (tabelas intermédias) ")</f>
        <v>#REF!</v>
      </c>
      <c r="N15" s="35" t="e">
        <f t="shared" si="6"/>
        <v>#REF!</v>
      </c>
      <c r="O15" s="38" t="e">
        <f>COUNTIF(OFFBAL_COUNTERPARTIES!#REF!,"Alterações ao Motor LT - Novos Campos: Definição Fechada / Dados não existem no Datalake -&gt; Ingesta + Dev Datalake (tabelas intermédias) + Dev Aplicação Origem")</f>
        <v>#REF!</v>
      </c>
      <c r="P15" s="35" t="e">
        <f t="shared" si="7"/>
        <v>#REF!</v>
      </c>
      <c r="Q15" s="38" t="e">
        <f>COUNTIF(OFFBAL_COUNTERPARTIES!#REF!,"Alterações ao Motor LT - Novos Campos: Definição Incompleta / Dados existem no Datalake")</f>
        <v>#REF!</v>
      </c>
      <c r="R15" s="35" t="e">
        <f t="shared" si="8"/>
        <v>#REF!</v>
      </c>
      <c r="S15" s="38" t="e">
        <f>COUNTIF(OFFBAL_COUNTERPARTIES!#REF!,"Alterações ao Motor LT - Novos Campos: Definição Incompleta / Dados existem no Datalake -&gt; Dev Datalake (tabelas intermédias)")</f>
        <v>#REF!</v>
      </c>
      <c r="T15" s="35" t="e">
        <f t="shared" si="9"/>
        <v>#REF!</v>
      </c>
      <c r="U15" s="38" t="e">
        <f>COUNTIF(OFFBAL_COUNTERPARTIES!#REF!,"Alterações ao Motor LT - Novos Campos: Definição Incompleta / Dados não existem no Datalake")</f>
        <v>#REF!</v>
      </c>
      <c r="V15" s="35" t="e">
        <f t="shared" si="0"/>
        <v>#REF!</v>
      </c>
      <c r="W15" s="38" t="e">
        <f>COUNTIF(OFFBAL_COUNTERPARTIES!#REF!,"Alterações ao Motor LT - Novos Campos: Definição por Iniciar")</f>
        <v>#REF!</v>
      </c>
      <c r="X15" s="35" t="e">
        <f t="shared" si="1"/>
        <v>#REF!</v>
      </c>
    </row>
    <row r="16" spans="2:24">
      <c r="B16" s="678"/>
      <c r="C16" s="27" t="s">
        <v>14</v>
      </c>
      <c r="D16" s="30" t="s">
        <v>29</v>
      </c>
      <c r="E16" s="34">
        <f>COUNTA(OFFBAL_PROTECTIONS!A3:A27)</f>
        <v>17</v>
      </c>
      <c r="F16" s="42" t="e">
        <f t="shared" si="2"/>
        <v>#REF!</v>
      </c>
      <c r="G16" s="39" t="e">
        <f>COUNTIF(OFFBAL_PROTECTIONS!#REF!,"Concluido")</f>
        <v>#REF!</v>
      </c>
      <c r="H16" s="35" t="e">
        <f t="shared" si="3"/>
        <v>#REF!</v>
      </c>
      <c r="I16" s="38" t="e">
        <f>COUNTIF(OFFBAL_PROTECTIONS!#REF!,"Alterações ao Motor LT - Novos Campos: Definição Fechada / Dados existem no Datalake")</f>
        <v>#REF!</v>
      </c>
      <c r="J16" s="35" t="e">
        <f t="shared" si="4"/>
        <v>#REF!</v>
      </c>
      <c r="K16" s="38" t="e">
        <f>COUNTIF(OFFBAL_PROTECTIONS!#REF!,"Alterações ao Motor LT - Novos Campos: Definição Fechada / Dados não existem no Datalake -&gt; Ingesta")</f>
        <v>#REF!</v>
      </c>
      <c r="L16" s="35" t="e">
        <f t="shared" si="5"/>
        <v>#REF!</v>
      </c>
      <c r="M16" s="38" t="e">
        <f>COUNTIF(OFFBAL_PROTECTIONS!#REF!,"Alterações ao Motor LT - Novos Campos: Definição Fechada / Dados não existem no Datalake -&gt; Ingesta + Dev Datalake (tabelas intermédias) ")</f>
        <v>#REF!</v>
      </c>
      <c r="N16" s="35" t="e">
        <f t="shared" si="6"/>
        <v>#REF!</v>
      </c>
      <c r="O16" s="38" t="e">
        <f>COUNTIF(OFFBAL_PROTECTIONS!#REF!,"Alterações ao Motor LT - Novos Campos: Definição Fechada / Dados não existem no Datalake -&gt; Ingesta + Dev Datalake (tabelas intermédias) + Dev Aplicação Origem")</f>
        <v>#REF!</v>
      </c>
      <c r="P16" s="35" t="e">
        <f t="shared" si="7"/>
        <v>#REF!</v>
      </c>
      <c r="Q16" s="38" t="e">
        <f>COUNTIF(OFFBAL_PROTECTIONS!#REF!,"Alterações ao Motor LT - Novos Campos: Definição Incompleta / Dados existem no Datalake")</f>
        <v>#REF!</v>
      </c>
      <c r="R16" s="35" t="e">
        <f t="shared" si="8"/>
        <v>#REF!</v>
      </c>
      <c r="S16" s="38" t="e">
        <f>COUNTIF(OFFBAL_PROTECTIONS!#REF!,"Alterações ao Motor LT - Novos Campos: Definição Incompleta / Dados existem no Datalake -&gt; Dev Datalake (tabelas intermédias)")</f>
        <v>#REF!</v>
      </c>
      <c r="T16" s="35" t="e">
        <f t="shared" si="9"/>
        <v>#REF!</v>
      </c>
      <c r="U16" s="38" t="e">
        <f>COUNTIF(OFFBAL_PROTECTIONS!#REF!,"Alterações ao Motor LT - Novos Campos: Definição Incompleta / Dados não existem no Datalake")</f>
        <v>#REF!</v>
      </c>
      <c r="V16" s="35" t="e">
        <f t="shared" si="0"/>
        <v>#REF!</v>
      </c>
      <c r="W16" s="38" t="e">
        <f>COUNTIF(OFFBAL_PROTECTIONS!#REF!,"Alterações ao Motor LT - Novos Campos: Definição por Iniciar")</f>
        <v>#REF!</v>
      </c>
      <c r="X16" s="35" t="e">
        <f t="shared" si="1"/>
        <v>#REF!</v>
      </c>
    </row>
    <row r="17" spans="2:26">
      <c r="B17" s="678"/>
      <c r="C17" s="27" t="s">
        <v>16</v>
      </c>
      <c r="D17" s="30" t="s">
        <v>30</v>
      </c>
      <c r="E17" s="34">
        <f>COUNTA(OFFBAL_INSTRUMENT_COUNTERPARTY!A3:A8)</f>
        <v>3</v>
      </c>
      <c r="F17" s="42" t="e">
        <f t="shared" si="2"/>
        <v>#REF!</v>
      </c>
      <c r="G17" s="39" t="e">
        <f>COUNTIF(OFFBAL_INSTRUMENT_COUNTERPARTY!#REF!,"Concluido")</f>
        <v>#REF!</v>
      </c>
      <c r="H17" s="35" t="e">
        <f t="shared" si="3"/>
        <v>#REF!</v>
      </c>
      <c r="I17" s="38" t="e">
        <f>COUNTIF(OFFBAL_INSTRUMENT_COUNTERPARTY!#REF!,"Alterações ao Motor LT - Novos Campos: Definição Fechada / Dados existem no Datalake")</f>
        <v>#REF!</v>
      </c>
      <c r="J17" s="35" t="e">
        <f t="shared" si="4"/>
        <v>#REF!</v>
      </c>
      <c r="K17" s="38" t="e">
        <f>COUNTIF(OFFBAL_INSTRUMENT_COUNTERPARTY!#REF!,"Alterações ao Motor LT - Novos Campos: Definição Fechada / Dados não existem no Datalake -&gt; Ingesta")</f>
        <v>#REF!</v>
      </c>
      <c r="L17" s="35" t="e">
        <f t="shared" si="5"/>
        <v>#REF!</v>
      </c>
      <c r="M17" s="38" t="e">
        <f>COUNTIF(OFFBAL_INSTRUMENT_COUNTERPARTY!#REF!,"Alterações ao Motor LT - Novos Campos: Definição Fechada / Dados não existem no Datalake -&gt; Ingesta + Dev Datalake (tabelas intermédias) ")</f>
        <v>#REF!</v>
      </c>
      <c r="N17" s="35" t="e">
        <f t="shared" si="6"/>
        <v>#REF!</v>
      </c>
      <c r="O17" s="38" t="e">
        <f>COUNTIF(OFFBAL_INSTRUMENT_COUNTERPARTY!#REF!,"Alterações ao Motor LT - Novos Campos: Definição Fechada / Dados não existem no Datalake -&gt; Ingesta + Dev Datalake (tabelas intermédias) + Dev Aplicação Origem")</f>
        <v>#REF!</v>
      </c>
      <c r="P17" s="35" t="e">
        <f t="shared" si="7"/>
        <v>#REF!</v>
      </c>
      <c r="Q17" s="38" t="e">
        <f>COUNTIF(OFFBAL_INSTRUMENT_COUNTERPARTY!#REF!,"Alterações ao Motor LT - Novos Campos: Definição Incompleta / Dados existem no Datalake")</f>
        <v>#REF!</v>
      </c>
      <c r="R17" s="35" t="e">
        <f t="shared" si="8"/>
        <v>#REF!</v>
      </c>
      <c r="S17" s="38" t="e">
        <f>COUNTIF(OFFBAL_INSTRUMENT_COUNTERPARTY!#REF!,"Alterações ao Motor LT - Novos Campos: Definição Incompleta / Dados existem no Datalake -&gt; Dev Datalake (tabelas intermédias)")</f>
        <v>#REF!</v>
      </c>
      <c r="T17" s="35" t="e">
        <f t="shared" si="9"/>
        <v>#REF!</v>
      </c>
      <c r="U17" s="38" t="e">
        <f>COUNTIF(OFFBAL_INSTRUMENT_COUNTERPARTY!#REF!,"Alterações ao Motor LT - Novos Campos: Definição Incompleta / Dados não existem no Datalake")</f>
        <v>#REF!</v>
      </c>
      <c r="V17" s="35" t="e">
        <f t="shared" si="0"/>
        <v>#REF!</v>
      </c>
      <c r="W17" s="38" t="e">
        <f>COUNTIF(OFFBAL_INSTRUMENT_COUNTERPARTY!#REF!,"Alterações ao Motor LT - Novos Campos: Definição por Iniciar")</f>
        <v>#REF!</v>
      </c>
      <c r="X17" s="35" t="e">
        <f t="shared" si="1"/>
        <v>#REF!</v>
      </c>
    </row>
    <row r="18" spans="2:26">
      <c r="B18" s="679"/>
      <c r="C18" s="27" t="s">
        <v>18</v>
      </c>
      <c r="D18" s="30" t="s">
        <v>31</v>
      </c>
      <c r="E18" s="34">
        <f>COUNTA(OFFBAL_INSTRUMENT_PROTECTION!A3:A12)</f>
        <v>4</v>
      </c>
      <c r="F18" s="42" t="e">
        <f t="shared" si="2"/>
        <v>#REF!</v>
      </c>
      <c r="G18" s="39" t="e">
        <f>COUNTIF(OFFBAL_INSTRUMENT_PROTECTION!#REF!,"Concluido")</f>
        <v>#REF!</v>
      </c>
      <c r="H18" s="35" t="e">
        <f t="shared" si="3"/>
        <v>#REF!</v>
      </c>
      <c r="I18" s="38" t="e">
        <f>COUNTIF(OFFBAL_INSTRUMENT_PROTECTION!#REF!,"Alterações ao Motor LT - Novos Campos: Definição Fechada / Dados existem no Datalake")</f>
        <v>#REF!</v>
      </c>
      <c r="J18" s="35" t="e">
        <f t="shared" si="4"/>
        <v>#REF!</v>
      </c>
      <c r="K18" s="38" t="e">
        <f>COUNTIF(OFFBAL_INSTRUMENT_PROTECTION!#REF!,"Alterações ao Motor LT - Novos Campos: Definição Fechada / Dados não existem no Datalake -&gt; Ingesta")</f>
        <v>#REF!</v>
      </c>
      <c r="L18" s="35" t="e">
        <f t="shared" si="5"/>
        <v>#REF!</v>
      </c>
      <c r="M18" s="38" t="e">
        <f>COUNTIF(OFFBAL_INSTRUMENT_PROTECTION!#REF!,"Alterações ao Motor LT - Novos Campos: Definição Fechada / Dados não existem no Datalake -&gt; Ingesta + Dev Datalake (tabelas intermédias) ")</f>
        <v>#REF!</v>
      </c>
      <c r="N18" s="35" t="e">
        <f t="shared" si="6"/>
        <v>#REF!</v>
      </c>
      <c r="O18" s="38" t="e">
        <f>COUNTIF(OFFBAL_INSTRUMENT_PROTECTION!#REF!,"Alterações ao Motor LT - Novos Campos: Definição Fechada / Dados não existem no Datalake -&gt; Ingesta + Dev Datalake (tabelas intermédias) + Dev Aplicação Origem")</f>
        <v>#REF!</v>
      </c>
      <c r="P18" s="35" t="e">
        <f t="shared" si="7"/>
        <v>#REF!</v>
      </c>
      <c r="Q18" s="38" t="e">
        <f>COUNTIF(OFFBAL_INSTRUMENT_PROTECTION!#REF!,"Alterações ao Motor LT - Novos Campos: Definição Incompleta / Dados existem no Datalake")</f>
        <v>#REF!</v>
      </c>
      <c r="R18" s="35" t="e">
        <f t="shared" si="8"/>
        <v>#REF!</v>
      </c>
      <c r="S18" s="38" t="e">
        <f>COUNTIF(OFFBAL_INSTRUMENT_PROTECTION!#REF!,"Alterações ao Motor LT - Novos Campos: Definição Incompleta / Dados existem no Datalake -&gt; Dev Datalake (tabelas intermédias)")</f>
        <v>#REF!</v>
      </c>
      <c r="T18" s="35" t="e">
        <f t="shared" si="9"/>
        <v>#REF!</v>
      </c>
      <c r="U18" s="38" t="e">
        <f>COUNTIF(OFFBAL_INSTRUMENT_PROTECTION!#REF!,"Alterações ao Motor LT - Novos Campos: Definição Incompleta / Dados não existem no Datalake")</f>
        <v>#REF!</v>
      </c>
      <c r="V18" s="35" t="e">
        <f t="shared" si="0"/>
        <v>#REF!</v>
      </c>
      <c r="W18" s="38" t="e">
        <f>COUNTIF(OFFBAL_INSTRUMENT_PROTECTION!#REF!,"Alterações ao Motor LT - Novos Campos: Definição por Iniciar")</f>
        <v>#REF!</v>
      </c>
      <c r="X18" s="35" t="e">
        <f t="shared" si="1"/>
        <v>#REF!</v>
      </c>
    </row>
    <row r="19" spans="2:26">
      <c r="B19" s="28" t="s">
        <v>32</v>
      </c>
      <c r="C19" s="27" t="s">
        <v>33</v>
      </c>
      <c r="D19" s="30" t="s">
        <v>34</v>
      </c>
      <c r="E19" s="34">
        <f>COUNTA(DERIVATIVES!A3:A43)</f>
        <v>29</v>
      </c>
      <c r="F19" s="42" t="e">
        <f t="shared" si="2"/>
        <v>#REF!</v>
      </c>
      <c r="G19" s="39" t="e">
        <f>COUNTIF(DERIVATIVES!#REF!,"Concluido")</f>
        <v>#REF!</v>
      </c>
      <c r="H19" s="35" t="e">
        <f t="shared" si="3"/>
        <v>#REF!</v>
      </c>
      <c r="I19" s="38" t="e">
        <f>COUNTIF(DERIVATIVES!#REF!,"Alterações ao Motor LT - Novos Campos: Definição Fechada / Dados existem no Datalake")</f>
        <v>#REF!</v>
      </c>
      <c r="J19" s="35" t="e">
        <f t="shared" si="4"/>
        <v>#REF!</v>
      </c>
      <c r="K19" s="38" t="e">
        <f>COUNTIF(DERIVATIVES!#REF!,"Alterações ao Motor LT - Novos Campos: Definição Fechada / Dados não existem no Datalake -&gt; Ingesta")</f>
        <v>#REF!</v>
      </c>
      <c r="L19" s="35" t="e">
        <f t="shared" si="5"/>
        <v>#REF!</v>
      </c>
      <c r="M19" s="38" t="e">
        <f>COUNTIF(DERIVATIVES!#REF!,"Alterações ao Motor LT - Novos Campos: Definição Fechada / Dados não existem no Datalake -&gt; Ingesta + Dev Datalake (tabelas intermédias) ")</f>
        <v>#REF!</v>
      </c>
      <c r="N19" s="35" t="e">
        <f t="shared" si="6"/>
        <v>#REF!</v>
      </c>
      <c r="O19" s="38" t="e">
        <f>COUNTIF(DERIVATIVES!#REF!,"Alterações ao Motor LT - Novos Campos: Definição Fechada / Dados não existem no Datalake -&gt; Ingesta + Dev Datalake (tabelas intermédias) + Dev Aplicação Origem")</f>
        <v>#REF!</v>
      </c>
      <c r="P19" s="35" t="e">
        <f t="shared" si="7"/>
        <v>#REF!</v>
      </c>
      <c r="Q19" s="38" t="e">
        <f>COUNTIF(DERIVATIVES!#REF!,"Alterações ao Motor LT - Novos Campos: Definição Incompleta / Dados existem no Datalake")</f>
        <v>#REF!</v>
      </c>
      <c r="R19" s="35" t="e">
        <f t="shared" si="8"/>
        <v>#REF!</v>
      </c>
      <c r="S19" s="38" t="e">
        <f>COUNTIF(DERIVATIVES!#REF!,"Alterações ao Motor LT - Novos Campos: Definição Incompleta / Dados existem no Datalake -&gt; Dev Datalake (tabelas intermédias)")</f>
        <v>#REF!</v>
      </c>
      <c r="T19" s="35" t="e">
        <f t="shared" si="9"/>
        <v>#REF!</v>
      </c>
      <c r="U19" s="38" t="e">
        <f>COUNTIF(DERIVATIVES!#REF!,"Alterações ao Motor LT - Novos Campos: Definição Incompleta / Dados não existem no Datalake")</f>
        <v>#REF!</v>
      </c>
      <c r="V19" s="35" t="e">
        <f t="shared" si="0"/>
        <v>#REF!</v>
      </c>
      <c r="W19" s="38" t="e">
        <f>COUNTIF(DERIVATIVES!#REF!,"Alterações ao Motor LT - Novos Campos: Definição por Iniciar")</f>
        <v>#REF!</v>
      </c>
      <c r="X19" s="35" t="e">
        <f t="shared" si="1"/>
        <v>#REF!</v>
      </c>
    </row>
    <row r="20" spans="2:26">
      <c r="B20" s="28" t="s">
        <v>35</v>
      </c>
      <c r="C20" s="27" t="s">
        <v>33</v>
      </c>
      <c r="D20" s="30" t="s">
        <v>36</v>
      </c>
      <c r="E20" s="34">
        <f>COUNTA(DEBT_SECURITIES!A3:A77)</f>
        <v>40</v>
      </c>
      <c r="F20" s="42" t="e">
        <f t="shared" si="2"/>
        <v>#REF!</v>
      </c>
      <c r="G20" s="39" t="e">
        <f>COUNTIF(DEBT_SECURITIES!#REF!,"Concluido")</f>
        <v>#REF!</v>
      </c>
      <c r="H20" s="35" t="e">
        <f t="shared" si="3"/>
        <v>#REF!</v>
      </c>
      <c r="I20" s="38" t="e">
        <f>COUNTIF(DEBT_SECURITIES!#REF!,"Alterações ao Motor LT - Novos Campos: Definição Fechada / Dados existem no Datalake")</f>
        <v>#REF!</v>
      </c>
      <c r="J20" s="35" t="e">
        <f t="shared" si="4"/>
        <v>#REF!</v>
      </c>
      <c r="K20" s="38" t="e">
        <f>COUNTIF(DEBT_SECURITIES!#REF!,"Alterações ao Motor LT - Novos Campos: Definição Fechada / Dados não existem no Datalake -&gt; Ingesta")</f>
        <v>#REF!</v>
      </c>
      <c r="L20" s="35" t="e">
        <f t="shared" si="5"/>
        <v>#REF!</v>
      </c>
      <c r="M20" s="38" t="e">
        <f>COUNTIF(DEBT_SECURITIES!#REF!,"Alterações ao Motor LT - Novos Campos: Definição Fechada / Dados não existem no Datalake -&gt; Ingesta + Dev Datalake (tabelas intermédias) ")</f>
        <v>#REF!</v>
      </c>
      <c r="N20" s="35" t="e">
        <f t="shared" si="6"/>
        <v>#REF!</v>
      </c>
      <c r="O20" s="38" t="e">
        <f>COUNTIF(DEBT_SECURITIES!#REF!,"Alterações ao Motor LT - Novos Campos: Definição Fechada / Dados não existem no Datalake -&gt; Ingesta + Dev Datalake (tabelas intermédias) + Dev Aplicação Origem")</f>
        <v>#REF!</v>
      </c>
      <c r="P20" s="35" t="e">
        <f t="shared" si="7"/>
        <v>#REF!</v>
      </c>
      <c r="Q20" s="38" t="e">
        <f>COUNTIF(DEBT_SECURITIES!#REF!,"Alterações ao Motor LT - Novos Campos: Definição Incompleta / Dados existem no Datalake")</f>
        <v>#REF!</v>
      </c>
      <c r="R20" s="35" t="e">
        <f t="shared" si="8"/>
        <v>#REF!</v>
      </c>
      <c r="S20" s="38" t="e">
        <f>COUNTIF(DEBT_SECURITIES!#REF!,"Alterações ao Motor LT - Novos Campos: Definição Incompleta / Dados existem no Datalake -&gt; Dev Datalake (tabelas intermédias)")</f>
        <v>#REF!</v>
      </c>
      <c r="T20" s="35" t="e">
        <f t="shared" si="9"/>
        <v>#REF!</v>
      </c>
      <c r="U20" s="38" t="e">
        <f>COUNTIF(DEBT_SECURITIES!#REF!,"Alterações ao Motor LT - Novos Campos: Definição Incompleta / Dados não existem no Datalake")</f>
        <v>#REF!</v>
      </c>
      <c r="V20" s="35" t="e">
        <f t="shared" si="0"/>
        <v>#REF!</v>
      </c>
      <c r="W20" s="38" t="e">
        <f>COUNTIF(DEBT_SECURITIES!#REF!,"Alterações ao Motor LT - Novos Campos: Definição por Iniciar")</f>
        <v>#REF!</v>
      </c>
      <c r="X20" s="35" t="e">
        <f t="shared" si="1"/>
        <v>#REF!</v>
      </c>
    </row>
    <row r="21" spans="2:26">
      <c r="B21" s="28" t="s">
        <v>37</v>
      </c>
      <c r="C21" s="27" t="s">
        <v>33</v>
      </c>
      <c r="D21" s="30" t="s">
        <v>38</v>
      </c>
      <c r="E21" s="34">
        <f>COUNTA(EQUITY_INSTRUMENTS!A3:A35)</f>
        <v>18</v>
      </c>
      <c r="F21" s="42" t="e">
        <f>SUM(H21,J21,L21,N21,P21,R21,T21,V21,X21)</f>
        <v>#REF!</v>
      </c>
      <c r="G21" s="39" t="e">
        <f>COUNTIF(EQUITY_INSTRUMENTS!#REF!,"Concluido")</f>
        <v>#REF!</v>
      </c>
      <c r="H21" s="35" t="e">
        <f t="shared" si="3"/>
        <v>#REF!</v>
      </c>
      <c r="I21" s="38" t="e">
        <f>COUNTIF(EQUITY_INSTRUMENTS!#REF!,"Alterações ao Motor LT - Novos Campos: Definição Fechada / Dados existem no Datalake")</f>
        <v>#REF!</v>
      </c>
      <c r="J21" s="35" t="e">
        <f t="shared" si="4"/>
        <v>#REF!</v>
      </c>
      <c r="K21" s="38" t="e">
        <f>COUNTIF(EQUITY_INSTRUMENTS!#REF!,"Alterações ao Motor LT - Novos Campos: Definição Fechada / Dados não existem no Datalake -&gt; Ingesta")</f>
        <v>#REF!</v>
      </c>
      <c r="L21" s="35" t="e">
        <f t="shared" si="5"/>
        <v>#REF!</v>
      </c>
      <c r="M21" s="38" t="e">
        <f>COUNTIF(EQUITY_INSTRUMENTS!#REF!,"Alterações ao Motor LT - Novos Campos: Definição Fechada / Dados não existem no Datalake -&gt; Ingesta + Dev Datalake (tabelas intermédias) ")</f>
        <v>#REF!</v>
      </c>
      <c r="N21" s="35" t="e">
        <f t="shared" si="6"/>
        <v>#REF!</v>
      </c>
      <c r="O21" s="38" t="e">
        <f>COUNTIF(EQUITY_INSTRUMENTS!#REF!,"Alterações ao Motor LT - Novos Campos: Definição Fechada / Dados não existem no Datalake -&gt; Ingesta + Dev Datalake (tabelas intermédias) + Dev Aplicação Origem")</f>
        <v>#REF!</v>
      </c>
      <c r="P21" s="35" t="e">
        <f t="shared" si="7"/>
        <v>#REF!</v>
      </c>
      <c r="Q21" s="38" t="e">
        <f>COUNTIF(EQUITY_INSTRUMENTS!#REF!,"Alterações ao Motor LT - Novos Campos: Definição Incompleta / Dados existem no Datalake")</f>
        <v>#REF!</v>
      </c>
      <c r="R21" s="35" t="e">
        <f t="shared" si="8"/>
        <v>#REF!</v>
      </c>
      <c r="S21" s="38" t="e">
        <f>COUNTIF(EQUITY_INSTRUMENTS!#REF!,"Alterações ao Motor LT - Novos Campos: Definição Incompleta / Dados existem no Datalake -&gt; Dev Datalake (tabelas intermédias)")</f>
        <v>#REF!</v>
      </c>
      <c r="T21" s="35" t="e">
        <f t="shared" si="9"/>
        <v>#REF!</v>
      </c>
      <c r="U21" s="38" t="e">
        <f>COUNTIF(EQUITY_INSTRUMENTS!#REF!,"Alterações ao Motor LT - Novos Campos: Definição Incompleta / Dados não existem no Datalake")</f>
        <v>#REF!</v>
      </c>
      <c r="V21" s="35" t="e">
        <f t="shared" si="0"/>
        <v>#REF!</v>
      </c>
      <c r="W21" s="38" t="e">
        <f>COUNTIF(EQUITY_INSTRUMENTS!#REF!,"Alterações ao Motor LT - Novos Campos: Definição por Iniciar")</f>
        <v>#REF!</v>
      </c>
      <c r="X21" s="35" t="e">
        <f t="shared" si="1"/>
        <v>#REF!</v>
      </c>
    </row>
    <row r="22" spans="2:26" s="21" customFormat="1" ht="15.75" thickBot="1">
      <c r="B22" s="44" t="s">
        <v>0</v>
      </c>
      <c r="C22" s="24" t="s">
        <v>1</v>
      </c>
      <c r="D22" s="31"/>
      <c r="E22" s="36">
        <f>SUM(E4:E21)</f>
        <v>278</v>
      </c>
      <c r="F22" s="37" t="e">
        <f>SUM(H22,J22,L22,N22,P22,R22,T22,V22,X22)</f>
        <v>#REF!</v>
      </c>
      <c r="G22" s="40" t="e">
        <f>SUM(G4:G21)</f>
        <v>#REF!</v>
      </c>
      <c r="H22" s="37" t="e">
        <f t="shared" si="3"/>
        <v>#REF!</v>
      </c>
      <c r="I22" s="36" t="e">
        <f>SUM(I4:I21)</f>
        <v>#REF!</v>
      </c>
      <c r="J22" s="37" t="e">
        <f t="shared" si="4"/>
        <v>#REF!</v>
      </c>
      <c r="K22" s="36" t="e">
        <f>SUM(K4:K21)</f>
        <v>#REF!</v>
      </c>
      <c r="L22" s="37" t="e">
        <f t="shared" si="5"/>
        <v>#REF!</v>
      </c>
      <c r="M22" s="36" t="e">
        <f>SUM(M4:M21)</f>
        <v>#REF!</v>
      </c>
      <c r="N22" s="37" t="e">
        <f t="shared" si="6"/>
        <v>#REF!</v>
      </c>
      <c r="O22" s="36" t="e">
        <f>SUM(O4:O21)</f>
        <v>#REF!</v>
      </c>
      <c r="P22" s="37" t="e">
        <f t="shared" si="7"/>
        <v>#REF!</v>
      </c>
      <c r="Q22" s="36" t="e">
        <f>SUM(Q4:Q21)</f>
        <v>#REF!</v>
      </c>
      <c r="R22" s="37" t="e">
        <f t="shared" si="8"/>
        <v>#REF!</v>
      </c>
      <c r="S22" s="36" t="e">
        <f>SUM(S4:S21)</f>
        <v>#REF!</v>
      </c>
      <c r="T22" s="37" t="e">
        <f t="shared" si="9"/>
        <v>#REF!</v>
      </c>
      <c r="U22" s="36" t="e">
        <f>SUM(U4:U21)</f>
        <v>#REF!</v>
      </c>
      <c r="V22" s="37" t="e">
        <f t="shared" si="0"/>
        <v>#REF!</v>
      </c>
      <c r="W22" s="36" t="e">
        <f>SUM(W4:W21)</f>
        <v>#REF!</v>
      </c>
      <c r="X22" s="37" t="e">
        <f t="shared" si="1"/>
        <v>#REF!</v>
      </c>
      <c r="Y22"/>
      <c r="Z22"/>
    </row>
    <row r="23" spans="2:26" s="21" customFormat="1">
      <c r="B23"/>
      <c r="C23" s="43" t="s">
        <v>0</v>
      </c>
      <c r="D23"/>
      <c r="Y23"/>
      <c r="Z23"/>
    </row>
    <row r="24" spans="2:26" s="21" customFormat="1">
      <c r="B24" s="7" t="s">
        <v>0</v>
      </c>
      <c r="C24" t="s">
        <v>39</v>
      </c>
      <c r="D24"/>
      <c r="Y24"/>
      <c r="Z24"/>
    </row>
    <row r="27" spans="2:26" s="21" customFormat="1">
      <c r="B27" t="s">
        <v>0</v>
      </c>
      <c r="C27"/>
      <c r="D27"/>
      <c r="Y27"/>
      <c r="Z27"/>
    </row>
  </sheetData>
  <mergeCells count="13">
    <mergeCell ref="W2:X2"/>
    <mergeCell ref="Q2:R2"/>
    <mergeCell ref="S2:T2"/>
    <mergeCell ref="B4:B8"/>
    <mergeCell ref="B9:B13"/>
    <mergeCell ref="B14:B18"/>
    <mergeCell ref="U2:V2"/>
    <mergeCell ref="E2:F2"/>
    <mergeCell ref="G2:H2"/>
    <mergeCell ref="I2:J2"/>
    <mergeCell ref="K2:L2"/>
    <mergeCell ref="M2:N2"/>
    <mergeCell ref="O2:P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DF32F9-DB57-439B-A663-EB3979C79A2A}"/>
</file>

<file path=customXml/itemProps2.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3.xml><?xml version="1.0" encoding="utf-8"?>
<ds:datastoreItem xmlns:ds="http://schemas.openxmlformats.org/officeDocument/2006/customXml" ds:itemID="{D6E2900E-8ED9-4FB0-97C2-DEB654BE2610}">
  <ds:schemaRefs>
    <ds:schemaRef ds:uri="http://schemas.microsoft.com/office/2006/metadata/properties"/>
    <ds:schemaRef ds:uri="http://schemas.microsoft.com/office/infopath/2007/PartnerControls"/>
    <ds:schemaRef ds:uri="http://schemas.microsoft.com/sharepoint/v3"/>
    <ds:schemaRef ds:uri="09d3dac3-f296-4107-b579-4b1e37be6169"/>
    <ds:schemaRef ds:uri="5ad20f8b-9281-4829-a9aa-2b5a878ba2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Filtros dos Segmentos</vt:lpstr>
      <vt:lpstr>LEGAL PERSONS DATA SETS</vt:lpstr>
      <vt:lpstr>LEGALP_INSTRUMENTS</vt:lpstr>
      <vt:lpstr>LEGALP_COUNTERPARTIES</vt:lpstr>
      <vt:lpstr>LEGALP_PROTECTIONS</vt:lpstr>
      <vt:lpstr>LEGALP_INSTRUMENT_COUNTERPARTY</vt:lpstr>
      <vt:lpstr>LEGALP_INSTRUMENT_PROTECTION</vt:lpstr>
      <vt:lpstr>NATURAL PERSONS DATA SETS</vt:lpstr>
      <vt:lpstr>NATURALP_INSTRUMENTS</vt:lpstr>
      <vt:lpstr>NATURALP_COUNTERPARTIES</vt:lpstr>
      <vt:lpstr>NATURALP_PROTECTIONS</vt:lpstr>
      <vt:lpstr>NATURALP_INSTRUMENT_COUNTERPART</vt:lpstr>
      <vt:lpstr>NATURALP_INSTRUMENT_PROTECTION</vt:lpstr>
      <vt:lpstr>OFF-BALANCE DATA SETS</vt:lpstr>
      <vt:lpstr>OFFBAL_INSTRUMENTS</vt:lpstr>
      <vt:lpstr>OFFBAL_COUNTERPARTIES</vt:lpstr>
      <vt:lpstr>OFFBAL_PROTECTIONS</vt:lpstr>
      <vt:lpstr>OFFBAL_INSTRUMENT_COUNTERPARTY</vt:lpstr>
      <vt:lpstr>OFFBAL_INSTRUMENT_PROTECTION</vt:lpstr>
      <vt:lpstr>DERIVATIVES Data Set</vt:lpstr>
      <vt:lpstr>DERIVATIVES</vt:lpstr>
      <vt:lpstr>DEBT SECURITIES Data Set</vt:lpstr>
      <vt:lpstr>DEBT_SECURITIES</vt:lpstr>
      <vt:lpstr>EQUITY INSTRUMENTS Data Set</vt:lpstr>
      <vt:lpstr>EQUITY_INSTRUMENTS</vt:lpstr>
      <vt:lpstr>DTA DTC Data Set</vt:lpstr>
      <vt:lpstr>DTA_DTC</vt:lpstr>
      <vt:lpstr>INTANGIBLE ASSETS Data Set</vt:lpstr>
      <vt:lpstr>INTANGIBLE_ASSETS</vt:lpstr>
      <vt:lpstr>LT803</vt:lpstr>
      <vt:lpstr>LT829</vt:lpstr>
      <vt:lpstr>LT830</vt:lpstr>
      <vt:lpstr>LT831</vt:lpstr>
      <vt:lpstr>Apoio novos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Luís Filipe da Silva Pragosa</cp:lastModifiedBy>
  <cp:revision/>
  <dcterms:created xsi:type="dcterms:W3CDTF">2023-07-31T13:21:11Z</dcterms:created>
  <dcterms:modified xsi:type="dcterms:W3CDTF">2025-01-24T11:08:52Z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