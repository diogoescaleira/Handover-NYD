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codeName="ThisWorkbook"/>
  <mc:AlternateContent xmlns:mc="http://schemas.openxmlformats.org/markup-compatibility/2006">
    <mc:Choice Requires="x15">
      <x15ac:absPath xmlns:x15ac="http://schemas.microsoft.com/office/spreadsheetml/2010/11/ac" url="https://santandernet.sharepoint.com/sites/ReportsFinanceira/Shared Documents/General/3. VALUATION/1. Documentação/2. Documentação IT/"/>
    </mc:Choice>
  </mc:AlternateContent>
  <xr:revisionPtr revIDLastSave="1236" documentId="8_{9FA3A4CE-2931-467C-AB8E-C4E272EE45F0}" xr6:coauthVersionLast="47" xr6:coauthVersionMax="47" xr10:uidLastSave="{FF5372B5-46EF-458C-8487-B59033527551}"/>
  <bookViews>
    <workbookView xWindow="-108" yWindow="-108" windowWidth="23256" windowHeight="12456" activeTab="3" xr2:uid="{12FD2EAB-F37D-4456-965C-6C8C92D61326}"/>
  </bookViews>
  <sheets>
    <sheet name="Cockpit" sheetId="10" r:id="rId1"/>
    <sheet name="Valuation | Justificações" sheetId="19" r:id="rId2"/>
    <sheet name="Input F 01.01" sheetId="15" r:id="rId3"/>
    <sheet name="Input F 01.02" sheetId="17" r:id="rId4"/>
    <sheet name="Input F 09.01.1" sheetId="18" r:id="rId5"/>
    <sheet name="Exposures to legal persons" sheetId="16" r:id="rId6"/>
    <sheet name="Exposures to natural persons" sheetId="20" r:id="rId7"/>
    <sheet name="Off-balance sheet exposures" sheetId="21" r:id="rId8"/>
    <sheet name="Derivatives" sheetId="22" r:id="rId9"/>
    <sheet name="Debt securities" sheetId="23" r:id="rId10"/>
    <sheet name="Equity" sheetId="24" r:id="rId11"/>
    <sheet name="Extração_DataLake" sheetId="11" r:id="rId12"/>
    <sheet name="AUX" sheetId="8" r:id="rId13"/>
  </sheets>
  <definedNames>
    <definedName name="_xlnm._FilterDatabase" localSheetId="0" hidden="1">Cockpit!$B$289:$K$338</definedName>
    <definedName name="_xlnm._FilterDatabase" localSheetId="9" hidden="1">'Debt securities'!$E$90:$M$139</definedName>
    <definedName name="_xlnm._FilterDatabase" localSheetId="8" hidden="1">Derivatives!$E$59:$M$108</definedName>
    <definedName name="_xlnm._FilterDatabase" localSheetId="10" hidden="1">Equity!$E$76:$M$125</definedName>
    <definedName name="_xlnm._FilterDatabase" localSheetId="5" hidden="1">'Exposures to legal persons'!$E$102:$M$151</definedName>
    <definedName name="_xlnm._FilterDatabase" localSheetId="6" hidden="1">'Exposures to natural persons'!$E$117:$M$166</definedName>
    <definedName name="_xlnm._FilterDatabase" localSheetId="7" hidden="1">'Off-balance sheet exposures'!$E$118:$M$167</definedName>
    <definedName name="_xleta.LEFT" hidden="1" xlm="1">#NAME?</definedName>
    <definedName name="_xleta.SHEET" hidden="1" xlm="1">#NAME?</definedName>
    <definedName name="_xleta.SUM" hidden="1" xlm="1">#NAME?</definedName>
    <definedName name="Query_from_Impala_PRO_1" localSheetId="11" hidden="1">Extração_DataLake!$B$10:$G$17</definedName>
    <definedName name="Query_from_Impala_PRO_1_1" localSheetId="11" hidden="1">Extração_DataLake!$I$10:$N$11</definedName>
    <definedName name="Query_from_Impala_PRO_1_1_1" localSheetId="11" hidden="1">Extração_DataLake!$P$10:$T$11</definedName>
    <definedName name="Query_from_Impala_PRO_1_1_1_1_1" localSheetId="11" hidden="1">Extração_DataLake!$AC$10:$AH$67</definedName>
    <definedName name="Query_from_Impala_PRO_1_1_1_1_1_1" localSheetId="11" hidden="1">Extração_DataLake!$AJ$10:$AO$46</definedName>
    <definedName name="Query_from_Impala_PRO_1_1_1_1_1_1_1" localSheetId="11" hidden="1">Extração_DataLake!#REF!</definedName>
    <definedName name="Query_from_Impala_PRO_1_1_1_1_1_1_2" localSheetId="11" hidden="1">Extração_DataLake!$AQ$10:$AU$13</definedName>
    <definedName name="Query_from_Impala_PRO_1_1_1_1_1_2" localSheetId="11" hidden="1">Extração_DataLake!$V$10:$AA$310</definedName>
    <definedName name="Query_from_Impala_PRO_1_2" localSheetId="11" hidden="1">Extração_DataLake!#REF!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23" l="1"/>
  <c r="E18" i="24" l="1"/>
  <c r="J18" i="24" s="1"/>
  <c r="E38" i="23"/>
  <c r="J38" i="23" s="1"/>
  <c r="F39" i="23"/>
  <c r="E39" i="23"/>
  <c r="G39" i="23" l="1"/>
  <c r="J39" i="23" s="1"/>
  <c r="F30" i="20"/>
  <c r="E30" i="20"/>
  <c r="F30" i="21"/>
  <c r="E30" i="21"/>
  <c r="F47" i="23"/>
  <c r="E47" i="23"/>
  <c r="F46" i="23"/>
  <c r="E46" i="23"/>
  <c r="F30" i="23"/>
  <c r="E30" i="23"/>
  <c r="F33" i="24"/>
  <c r="E33" i="24"/>
  <c r="F32" i="24"/>
  <c r="E32" i="24"/>
  <c r="F31" i="24"/>
  <c r="E31" i="24"/>
  <c r="F27" i="24"/>
  <c r="E27" i="24"/>
  <c r="F26" i="24"/>
  <c r="E26" i="24"/>
  <c r="E9" i="24"/>
  <c r="G30" i="20" l="1"/>
  <c r="J30" i="20" s="1"/>
  <c r="G30" i="21"/>
  <c r="J30" i="21" s="1"/>
  <c r="G32" i="24"/>
  <c r="J32" i="24" s="1"/>
  <c r="G26" i="24"/>
  <c r="J26" i="24" s="1"/>
  <c r="G31" i="24"/>
  <c r="J31" i="24" s="1"/>
  <c r="G46" i="23"/>
  <c r="J46" i="23" s="1"/>
  <c r="G47" i="23"/>
  <c r="J47" i="23" s="1"/>
  <c r="G30" i="23"/>
  <c r="J30" i="23" s="1"/>
  <c r="G27" i="24"/>
  <c r="J27" i="24" s="1"/>
  <c r="G33" i="24"/>
  <c r="J33" i="24" s="1"/>
  <c r="F30" i="24" l="1"/>
  <c r="E30" i="24"/>
  <c r="F29" i="24"/>
  <c r="E29" i="24"/>
  <c r="F28" i="24"/>
  <c r="E28" i="24"/>
  <c r="F63" i="21"/>
  <c r="E63" i="21"/>
  <c r="F62" i="21"/>
  <c r="E62" i="21"/>
  <c r="F61" i="21"/>
  <c r="E61" i="21"/>
  <c r="F60" i="21"/>
  <c r="E60" i="21"/>
  <c r="F59" i="21"/>
  <c r="E59" i="21"/>
  <c r="F58" i="21"/>
  <c r="E58" i="21"/>
  <c r="F57" i="21"/>
  <c r="E57" i="21"/>
  <c r="F56" i="21"/>
  <c r="E56" i="21"/>
  <c r="F55" i="21"/>
  <c r="E55" i="21"/>
  <c r="F54" i="21"/>
  <c r="E54" i="21"/>
  <c r="G62" i="21" l="1"/>
  <c r="J62" i="21" s="1"/>
  <c r="G63" i="21"/>
  <c r="J63" i="21" s="1"/>
  <c r="G60" i="21"/>
  <c r="J60" i="21" s="1"/>
  <c r="G28" i="24"/>
  <c r="J28" i="24" s="1"/>
  <c r="G29" i="24"/>
  <c r="J29" i="24" s="1"/>
  <c r="G30" i="24"/>
  <c r="J30" i="24" s="1"/>
  <c r="G61" i="21"/>
  <c r="J61" i="21" s="1"/>
  <c r="G55" i="21"/>
  <c r="J55" i="21" s="1"/>
  <c r="G58" i="21"/>
  <c r="J58" i="21" s="1"/>
  <c r="G59" i="21"/>
  <c r="J59" i="21" s="1"/>
  <c r="G56" i="21"/>
  <c r="J56" i="21" s="1"/>
  <c r="G54" i="21"/>
  <c r="J54" i="21" s="1"/>
  <c r="G57" i="21"/>
  <c r="J57" i="21" s="1"/>
  <c r="F47" i="21"/>
  <c r="E47" i="21"/>
  <c r="F46" i="21"/>
  <c r="E46" i="21"/>
  <c r="F45" i="21"/>
  <c r="E45" i="21"/>
  <c r="F39" i="21"/>
  <c r="E39" i="21"/>
  <c r="F38" i="21"/>
  <c r="E38" i="21"/>
  <c r="F37" i="21"/>
  <c r="E37" i="21"/>
  <c r="F36" i="21"/>
  <c r="E36" i="21"/>
  <c r="F35" i="21"/>
  <c r="E35" i="21"/>
  <c r="F34" i="21"/>
  <c r="E34" i="21"/>
  <c r="F33" i="21"/>
  <c r="E33" i="21"/>
  <c r="F32" i="21"/>
  <c r="E32" i="21"/>
  <c r="F31" i="21"/>
  <c r="E31" i="21"/>
  <c r="F35" i="16"/>
  <c r="E35" i="16"/>
  <c r="F34" i="16"/>
  <c r="E34" i="16"/>
  <c r="F33" i="16"/>
  <c r="E33" i="16"/>
  <c r="F32" i="16"/>
  <c r="E32" i="16"/>
  <c r="F31" i="16"/>
  <c r="E31" i="16"/>
  <c r="F30" i="16"/>
  <c r="E30" i="16"/>
  <c r="F51" i="20"/>
  <c r="E51" i="20"/>
  <c r="F49" i="20"/>
  <c r="E49" i="20"/>
  <c r="F48" i="20"/>
  <c r="E48" i="20"/>
  <c r="F47" i="20"/>
  <c r="E47" i="20"/>
  <c r="F46" i="20"/>
  <c r="E46" i="20"/>
  <c r="F45" i="20"/>
  <c r="E45" i="20"/>
  <c r="F44" i="20"/>
  <c r="E44" i="20"/>
  <c r="F43" i="20"/>
  <c r="E43" i="20"/>
  <c r="F42" i="20"/>
  <c r="E42" i="20"/>
  <c r="F41" i="20"/>
  <c r="E41" i="20"/>
  <c r="F40" i="20"/>
  <c r="E40" i="20"/>
  <c r="F39" i="20"/>
  <c r="E39" i="20"/>
  <c r="F38" i="20"/>
  <c r="E38" i="20"/>
  <c r="F37" i="20"/>
  <c r="E37" i="20"/>
  <c r="F36" i="20"/>
  <c r="E36" i="20"/>
  <c r="F35" i="20"/>
  <c r="E35" i="20"/>
  <c r="F34" i="20"/>
  <c r="E34" i="20"/>
  <c r="F33" i="20"/>
  <c r="E33" i="20"/>
  <c r="F32" i="20"/>
  <c r="E32" i="20"/>
  <c r="F31" i="20"/>
  <c r="E31" i="20"/>
  <c r="G31" i="16" l="1"/>
  <c r="J31" i="16" s="1"/>
  <c r="G37" i="20"/>
  <c r="G43" i="20"/>
  <c r="G46" i="20"/>
  <c r="G33" i="20"/>
  <c r="G39" i="20"/>
  <c r="G45" i="20"/>
  <c r="G48" i="20"/>
  <c r="G30" i="16"/>
  <c r="J30" i="16" s="1"/>
  <c r="G33" i="16"/>
  <c r="J33" i="16" s="1"/>
  <c r="G49" i="20"/>
  <c r="G34" i="16"/>
  <c r="J34" i="16" s="1"/>
  <c r="G32" i="20"/>
  <c r="G38" i="20"/>
  <c r="G44" i="20"/>
  <c r="G47" i="20"/>
  <c r="G34" i="21"/>
  <c r="J34" i="21" s="1"/>
  <c r="G36" i="21"/>
  <c r="J36" i="21" s="1"/>
  <c r="G39" i="21"/>
  <c r="J39" i="21" s="1"/>
  <c r="G47" i="21"/>
  <c r="J47" i="21" s="1"/>
  <c r="G45" i="21"/>
  <c r="J45" i="21" s="1"/>
  <c r="G46" i="21"/>
  <c r="J46" i="21" s="1"/>
  <c r="G35" i="21"/>
  <c r="J35" i="21" s="1"/>
  <c r="G38" i="21"/>
  <c r="J38" i="21" s="1"/>
  <c r="G37" i="21"/>
  <c r="J37" i="21" s="1"/>
  <c r="G33" i="21"/>
  <c r="J33" i="21" s="1"/>
  <c r="G32" i="16"/>
  <c r="J32" i="16" s="1"/>
  <c r="G34" i="20"/>
  <c r="G40" i="20"/>
  <c r="G35" i="16"/>
  <c r="J35" i="16" s="1"/>
  <c r="G35" i="20"/>
  <c r="G41" i="20"/>
  <c r="G32" i="21"/>
  <c r="J32" i="21" s="1"/>
  <c r="G36" i="20"/>
  <c r="G42" i="20"/>
  <c r="G51" i="20"/>
  <c r="F47" i="16"/>
  <c r="E47" i="16"/>
  <c r="F46" i="16"/>
  <c r="E46" i="16"/>
  <c r="F45" i="16"/>
  <c r="E45" i="16"/>
  <c r="F44" i="16"/>
  <c r="E44" i="16"/>
  <c r="F43" i="16"/>
  <c r="E43" i="16"/>
  <c r="F42" i="16"/>
  <c r="E42" i="16"/>
  <c r="F41" i="16"/>
  <c r="E41" i="16"/>
  <c r="F63" i="20"/>
  <c r="E63" i="20"/>
  <c r="F62" i="20"/>
  <c r="E62" i="20"/>
  <c r="F61" i="20"/>
  <c r="E61" i="20"/>
  <c r="F60" i="20"/>
  <c r="E60" i="20"/>
  <c r="F53" i="21"/>
  <c r="E53" i="21"/>
  <c r="F52" i="21"/>
  <c r="E52" i="21"/>
  <c r="F51" i="21"/>
  <c r="E51" i="21"/>
  <c r="F50" i="21"/>
  <c r="E50" i="21"/>
  <c r="F49" i="21"/>
  <c r="E49" i="21"/>
  <c r="F48" i="21"/>
  <c r="E48" i="21"/>
  <c r="F22" i="22"/>
  <c r="E22" i="22"/>
  <c r="F21" i="22"/>
  <c r="E21" i="22"/>
  <c r="F20" i="22"/>
  <c r="E20" i="22"/>
  <c r="F19" i="22"/>
  <c r="E19" i="22"/>
  <c r="F18" i="22"/>
  <c r="E18" i="22"/>
  <c r="F17" i="22"/>
  <c r="E17" i="22"/>
  <c r="F16" i="22"/>
  <c r="E16" i="22"/>
  <c r="F15" i="22"/>
  <c r="E15" i="22"/>
  <c r="F53" i="23"/>
  <c r="F52" i="23"/>
  <c r="F51" i="23"/>
  <c r="F50" i="23"/>
  <c r="F49" i="23"/>
  <c r="F48" i="23"/>
  <c r="F45" i="23"/>
  <c r="F44" i="23"/>
  <c r="F43" i="23"/>
  <c r="F42" i="23"/>
  <c r="F41" i="23"/>
  <c r="F40" i="23"/>
  <c r="F37" i="23"/>
  <c r="F36" i="23"/>
  <c r="F35" i="23"/>
  <c r="F34" i="23"/>
  <c r="F33" i="23"/>
  <c r="F32" i="23"/>
  <c r="F29" i="23"/>
  <c r="F27" i="23"/>
  <c r="F26" i="23"/>
  <c r="F25" i="23"/>
  <c r="F24" i="23"/>
  <c r="F23" i="23"/>
  <c r="F22" i="23"/>
  <c r="F21" i="23"/>
  <c r="F20" i="23"/>
  <c r="F19" i="23"/>
  <c r="F18" i="23"/>
  <c r="F17" i="23"/>
  <c r="F16" i="23"/>
  <c r="F15" i="23"/>
  <c r="E53" i="23"/>
  <c r="E52" i="23"/>
  <c r="E51" i="23"/>
  <c r="E50" i="23"/>
  <c r="E49" i="23"/>
  <c r="E48" i="23"/>
  <c r="E45" i="23"/>
  <c r="E44" i="23"/>
  <c r="E43" i="23"/>
  <c r="E42" i="23"/>
  <c r="E41" i="23"/>
  <c r="E40" i="23"/>
  <c r="E37" i="23"/>
  <c r="E36" i="23"/>
  <c r="E35" i="23"/>
  <c r="E34" i="23"/>
  <c r="E33" i="23"/>
  <c r="E32" i="23"/>
  <c r="E29" i="23"/>
  <c r="E27" i="23"/>
  <c r="E26" i="23"/>
  <c r="E25" i="23"/>
  <c r="E24" i="23"/>
  <c r="E23" i="23"/>
  <c r="E22" i="23"/>
  <c r="E21" i="23"/>
  <c r="E20" i="23"/>
  <c r="E19" i="23"/>
  <c r="E18" i="23"/>
  <c r="E17" i="23"/>
  <c r="E16" i="23"/>
  <c r="E15" i="23"/>
  <c r="F25" i="24"/>
  <c r="F24" i="24"/>
  <c r="F23" i="24"/>
  <c r="F22" i="24"/>
  <c r="F21" i="24"/>
  <c r="F20" i="24"/>
  <c r="F19" i="24"/>
  <c r="F18" i="24" s="1"/>
  <c r="F17" i="24"/>
  <c r="F16" i="24"/>
  <c r="F15" i="24"/>
  <c r="E25" i="24"/>
  <c r="E24" i="24"/>
  <c r="E23" i="24"/>
  <c r="E22" i="24"/>
  <c r="E21" i="24"/>
  <c r="E20" i="24"/>
  <c r="E19" i="24"/>
  <c r="E17" i="24"/>
  <c r="E16" i="24"/>
  <c r="E15" i="24"/>
  <c r="F66" i="16"/>
  <c r="E66" i="16"/>
  <c r="F65" i="16"/>
  <c r="E65" i="16"/>
  <c r="F64" i="16"/>
  <c r="E64" i="16"/>
  <c r="F63" i="16"/>
  <c r="E63" i="16"/>
  <c r="F62" i="16"/>
  <c r="E62" i="16"/>
  <c r="F61" i="16"/>
  <c r="E61" i="16"/>
  <c r="F60" i="16"/>
  <c r="E60" i="16"/>
  <c r="F59" i="16"/>
  <c r="E59" i="16"/>
  <c r="F58" i="16"/>
  <c r="E58" i="16"/>
  <c r="F57" i="16"/>
  <c r="E57" i="16"/>
  <c r="F56" i="16"/>
  <c r="E56" i="16"/>
  <c r="F55" i="16"/>
  <c r="E55" i="16"/>
  <c r="F81" i="20"/>
  <c r="E81" i="20"/>
  <c r="F80" i="20"/>
  <c r="E80" i="20"/>
  <c r="F79" i="20"/>
  <c r="E79" i="20"/>
  <c r="F78" i="20"/>
  <c r="E78" i="20"/>
  <c r="F77" i="20"/>
  <c r="E77" i="20"/>
  <c r="F76" i="20"/>
  <c r="E76" i="20"/>
  <c r="F75" i="20"/>
  <c r="E75" i="20"/>
  <c r="F74" i="20"/>
  <c r="E74" i="20"/>
  <c r="F73" i="20"/>
  <c r="E73" i="20"/>
  <c r="F72" i="20"/>
  <c r="E72" i="20"/>
  <c r="F71" i="20"/>
  <c r="E71" i="20"/>
  <c r="F70" i="20"/>
  <c r="E70" i="20"/>
  <c r="F82" i="21"/>
  <c r="F81" i="21"/>
  <c r="F80" i="21"/>
  <c r="F79" i="21"/>
  <c r="F78" i="21"/>
  <c r="F77" i="21"/>
  <c r="F76" i="21"/>
  <c r="F75" i="21"/>
  <c r="F74" i="21"/>
  <c r="F73" i="21"/>
  <c r="F72" i="21"/>
  <c r="F71" i="21"/>
  <c r="E71" i="21"/>
  <c r="E82" i="21"/>
  <c r="E81" i="21"/>
  <c r="E80" i="21"/>
  <c r="E79" i="21"/>
  <c r="E78" i="21"/>
  <c r="E77" i="21"/>
  <c r="E76" i="21"/>
  <c r="E75" i="21"/>
  <c r="E74" i="21"/>
  <c r="E73" i="21"/>
  <c r="E72" i="21"/>
  <c r="G52" i="21" l="1"/>
  <c r="G51" i="21"/>
  <c r="G49" i="21"/>
  <c r="G53" i="21"/>
  <c r="G50" i="21"/>
  <c r="D21" i="10" l="1"/>
  <c r="D20" i="10"/>
  <c r="G62" i="20"/>
  <c r="D32" i="10" a="1"/>
  <c r="D32" i="10" s="1"/>
  <c r="G32" i="10" s="1"/>
  <c r="D33" i="10" a="1"/>
  <c r="D33" i="10" s="1"/>
  <c r="G33" i="10" s="1"/>
  <c r="D34" i="10" a="1"/>
  <c r="D34" i="10" s="1"/>
  <c r="G34" i="10" s="1"/>
  <c r="D19" i="10"/>
  <c r="D23" i="10"/>
  <c r="D30" i="10" l="1" a="1"/>
  <c r="D30" i="10" s="1"/>
  <c r="G30" i="10" s="1"/>
  <c r="D31" i="10" a="1"/>
  <c r="D31" i="10" s="1"/>
  <c r="G31" i="10" s="1"/>
  <c r="D29" i="10" a="1"/>
  <c r="D29" i="10" s="1"/>
  <c r="G29" i="10" s="1"/>
  <c r="J37" i="20"/>
  <c r="G58" i="16"/>
  <c r="J58" i="16" s="1"/>
  <c r="J48" i="20"/>
  <c r="G63" i="16"/>
  <c r="J63" i="16" s="1"/>
  <c r="G82" i="21"/>
  <c r="J82" i="21" s="1"/>
  <c r="G76" i="21"/>
  <c r="J76" i="21" s="1"/>
  <c r="G56" i="16"/>
  <c r="J56" i="16" s="1"/>
  <c r="G15" i="24"/>
  <c r="J15" i="24" s="1"/>
  <c r="G51" i="23"/>
  <c r="J51" i="23" s="1"/>
  <c r="G43" i="23"/>
  <c r="J43" i="23" s="1"/>
  <c r="G35" i="23"/>
  <c r="J35" i="23" s="1"/>
  <c r="G27" i="23"/>
  <c r="J27" i="23" s="1"/>
  <c r="G21" i="23"/>
  <c r="J21" i="23" s="1"/>
  <c r="G34" i="23"/>
  <c r="J34" i="23" s="1"/>
  <c r="G49" i="23"/>
  <c r="J49" i="23" s="1"/>
  <c r="G41" i="23"/>
  <c r="J41" i="23" s="1"/>
  <c r="G33" i="23"/>
  <c r="J33" i="23" s="1"/>
  <c r="G25" i="23"/>
  <c r="J25" i="23" s="1"/>
  <c r="G19" i="23"/>
  <c r="J19" i="23" s="1"/>
  <c r="G16" i="23"/>
  <c r="J16" i="23" s="1"/>
  <c r="G78" i="20"/>
  <c r="J78" i="20" s="1"/>
  <c r="G72" i="20"/>
  <c r="J72" i="20" s="1"/>
  <c r="G42" i="23"/>
  <c r="J42" i="23" s="1"/>
  <c r="G48" i="21"/>
  <c r="J48" i="21" s="1"/>
  <c r="G17" i="23"/>
  <c r="J17" i="23" s="1"/>
  <c r="G26" i="23"/>
  <c r="J26" i="23" s="1"/>
  <c r="G76" i="20"/>
  <c r="J76" i="20" s="1"/>
  <c r="J47" i="20"/>
  <c r="J44" i="20"/>
  <c r="G52" i="23"/>
  <c r="J52" i="23" s="1"/>
  <c r="G36" i="23"/>
  <c r="J36" i="23" s="1"/>
  <c r="G22" i="23"/>
  <c r="J22" i="23" s="1"/>
  <c r="G55" i="16"/>
  <c r="J55" i="16" s="1"/>
  <c r="G50" i="23"/>
  <c r="J50" i="23" s="1"/>
  <c r="G17" i="22"/>
  <c r="J17" i="22" s="1"/>
  <c r="G20" i="23"/>
  <c r="J20" i="23" s="1"/>
  <c r="G20" i="24"/>
  <c r="J20" i="24" s="1"/>
  <c r="G73" i="21"/>
  <c r="J73" i="21" s="1"/>
  <c r="J51" i="20"/>
  <c r="J42" i="20"/>
  <c r="J36" i="20"/>
  <c r="G48" i="23"/>
  <c r="J48" i="23" s="1"/>
  <c r="G40" i="23"/>
  <c r="J40" i="23" s="1"/>
  <c r="G32" i="23"/>
  <c r="J32" i="23" s="1"/>
  <c r="G24" i="23"/>
  <c r="J24" i="23" s="1"/>
  <c r="G18" i="23"/>
  <c r="J18" i="23" s="1"/>
  <c r="G79" i="20"/>
  <c r="J79" i="20" s="1"/>
  <c r="G73" i="20"/>
  <c r="J73" i="20" s="1"/>
  <c r="G20" i="22"/>
  <c r="J20" i="22" s="1"/>
  <c r="G72" i="21"/>
  <c r="J72" i="21" s="1"/>
  <c r="G61" i="20"/>
  <c r="J61" i="20" s="1"/>
  <c r="G46" i="16"/>
  <c r="J46" i="16" s="1"/>
  <c r="G24" i="24"/>
  <c r="J24" i="24" s="1"/>
  <c r="G16" i="24"/>
  <c r="J16" i="24" s="1"/>
  <c r="G19" i="22"/>
  <c r="J19" i="22" s="1"/>
  <c r="J49" i="20"/>
  <c r="J40" i="20"/>
  <c r="J34" i="20"/>
  <c r="G23" i="24"/>
  <c r="J23" i="24" s="1"/>
  <c r="G18" i="22"/>
  <c r="J18" i="22" s="1"/>
  <c r="J45" i="20"/>
  <c r="J33" i="20"/>
  <c r="G57" i="16"/>
  <c r="J57" i="16" s="1"/>
  <c r="G22" i="24"/>
  <c r="J22" i="24" s="1"/>
  <c r="G19" i="24"/>
  <c r="J19" i="24" s="1"/>
  <c r="G81" i="21"/>
  <c r="J81" i="21" s="1"/>
  <c r="J32" i="20"/>
  <c r="G75" i="20"/>
  <c r="J75" i="20" s="1"/>
  <c r="G31" i="20"/>
  <c r="J31" i="20" s="1"/>
  <c r="G22" i="22"/>
  <c r="J22" i="22" s="1"/>
  <c r="G63" i="20"/>
  <c r="J63" i="20" s="1"/>
  <c r="G15" i="23"/>
  <c r="J15" i="23" s="1"/>
  <c r="G71" i="21"/>
  <c r="J71" i="21" s="1"/>
  <c r="G80" i="20"/>
  <c r="J80" i="20" s="1"/>
  <c r="G74" i="20"/>
  <c r="J74" i="20" s="1"/>
  <c r="J38" i="20"/>
  <c r="G59" i="16"/>
  <c r="J59" i="16" s="1"/>
  <c r="G21" i="24"/>
  <c r="J21" i="24" s="1"/>
  <c r="G53" i="23"/>
  <c r="J53" i="23" s="1"/>
  <c r="G45" i="23"/>
  <c r="J45" i="23" s="1"/>
  <c r="G37" i="23"/>
  <c r="J37" i="23" s="1"/>
  <c r="G29" i="23"/>
  <c r="J29" i="23" s="1"/>
  <c r="G23" i="23"/>
  <c r="J23" i="23" s="1"/>
  <c r="G31" i="21"/>
  <c r="J31" i="21" s="1"/>
  <c r="J46" i="20"/>
  <c r="J43" i="20"/>
  <c r="G45" i="16"/>
  <c r="J45" i="16" s="1"/>
  <c r="G44" i="23"/>
  <c r="J44" i="23" s="1"/>
  <c r="G77" i="20"/>
  <c r="J77" i="20" s="1"/>
  <c r="G71" i="20"/>
  <c r="J71" i="20" s="1"/>
  <c r="G25" i="24"/>
  <c r="J25" i="24" s="1"/>
  <c r="G17" i="24"/>
  <c r="J17" i="24" s="1"/>
  <c r="G21" i="22"/>
  <c r="J21" i="22" s="1"/>
  <c r="G16" i="22"/>
  <c r="J16" i="22" s="1"/>
  <c r="G74" i="21"/>
  <c r="J74" i="21" s="1"/>
  <c r="G70" i="20"/>
  <c r="J70" i="20" s="1"/>
  <c r="G60" i="20"/>
  <c r="J60" i="20" s="1"/>
  <c r="J41" i="20"/>
  <c r="J35" i="20"/>
  <c r="G62" i="16"/>
  <c r="J62" i="16" s="1"/>
  <c r="G43" i="16"/>
  <c r="J43" i="16" s="1"/>
  <c r="G15" i="22"/>
  <c r="J15" i="22" s="1"/>
  <c r="G79" i="21"/>
  <c r="J79" i="21" s="1"/>
  <c r="G61" i="16"/>
  <c r="J61" i="16" s="1"/>
  <c r="G41" i="16"/>
  <c r="J41" i="16" s="1"/>
  <c r="G42" i="16"/>
  <c r="J42" i="16" s="1"/>
  <c r="G78" i="21"/>
  <c r="J78" i="21" s="1"/>
  <c r="G81" i="20"/>
  <c r="J81" i="20" s="1"/>
  <c r="J39" i="20"/>
  <c r="G66" i="16"/>
  <c r="J66" i="16" s="1"/>
  <c r="G60" i="16"/>
  <c r="J60" i="16" s="1"/>
  <c r="G77" i="21"/>
  <c r="J77" i="21" s="1"/>
  <c r="G75" i="21"/>
  <c r="J75" i="21" s="1"/>
  <c r="G80" i="21"/>
  <c r="J80" i="21" s="1"/>
  <c r="G44" i="16"/>
  <c r="J44" i="16" s="1"/>
  <c r="G65" i="16"/>
  <c r="J65" i="16" s="1"/>
  <c r="G64" i="16"/>
  <c r="J64" i="16" s="1"/>
  <c r="G47" i="16"/>
  <c r="J47" i="16" s="1"/>
  <c r="G9" i="24"/>
  <c r="C34" i="10" s="1"/>
  <c r="E9" i="23"/>
  <c r="G9" i="23" s="1"/>
  <c r="C33" i="10" s="1"/>
  <c r="E9" i="22"/>
  <c r="G9" i="22" s="1"/>
  <c r="C32" i="10" s="1"/>
  <c r="J53" i="21"/>
  <c r="J52" i="21"/>
  <c r="J51" i="21"/>
  <c r="J50" i="21"/>
  <c r="J49" i="21"/>
  <c r="E24" i="21"/>
  <c r="G24" i="21" s="1"/>
  <c r="E23" i="21"/>
  <c r="G23" i="21" s="1"/>
  <c r="E22" i="21"/>
  <c r="G22" i="21" s="1"/>
  <c r="E21" i="21"/>
  <c r="G21" i="21" s="1"/>
  <c r="E20" i="21"/>
  <c r="G20" i="21" s="1"/>
  <c r="E19" i="21"/>
  <c r="G19" i="21" s="1"/>
  <c r="E18" i="21"/>
  <c r="G18" i="21" s="1"/>
  <c r="E13" i="21"/>
  <c r="G13" i="21" s="1"/>
  <c r="E12" i="21"/>
  <c r="G12" i="21" s="1"/>
  <c r="E11" i="21"/>
  <c r="G11" i="21" s="1"/>
  <c r="E10" i="21"/>
  <c r="G10" i="21" s="1"/>
  <c r="E9" i="21"/>
  <c r="G9" i="21" s="1"/>
  <c r="J62" i="20"/>
  <c r="E13" i="20"/>
  <c r="G13" i="20" s="1"/>
  <c r="E12" i="20"/>
  <c r="G12" i="20" s="1"/>
  <c r="E11" i="20"/>
  <c r="G11" i="20" s="1"/>
  <c r="E10" i="20"/>
  <c r="G10" i="20" s="1"/>
  <c r="E24" i="20"/>
  <c r="G24" i="20" s="1"/>
  <c r="E23" i="20"/>
  <c r="G23" i="20" s="1"/>
  <c r="E22" i="20"/>
  <c r="G22" i="20" s="1"/>
  <c r="E21" i="20"/>
  <c r="G21" i="20" s="1"/>
  <c r="E20" i="20"/>
  <c r="G20" i="20" s="1"/>
  <c r="E19" i="20"/>
  <c r="G19" i="20" s="1"/>
  <c r="E18" i="20"/>
  <c r="G18" i="20" s="1"/>
  <c r="E9" i="20"/>
  <c r="G9" i="20" s="1"/>
  <c r="E19" i="16"/>
  <c r="G19" i="16" s="1"/>
  <c r="E20" i="16"/>
  <c r="G20" i="16" s="1"/>
  <c r="E21" i="16"/>
  <c r="G21" i="16" s="1"/>
  <c r="E22" i="16"/>
  <c r="G22" i="16" s="1"/>
  <c r="E23" i="16"/>
  <c r="G23" i="16" s="1"/>
  <c r="E24" i="16"/>
  <c r="G24" i="16" s="1"/>
  <c r="E18" i="16"/>
  <c r="G18" i="16" s="1"/>
  <c r="E13" i="16"/>
  <c r="G13" i="16" s="1"/>
  <c r="E12" i="16"/>
  <c r="G12" i="16" s="1"/>
  <c r="E11" i="16"/>
  <c r="G11" i="16" s="1"/>
  <c r="E10" i="16"/>
  <c r="G10" i="16" s="1"/>
  <c r="E9" i="16"/>
  <c r="G9" i="16" s="1"/>
  <c r="C29" i="10" l="1"/>
  <c r="C30" i="10"/>
  <c r="C31" i="10"/>
  <c r="C21" i="10" l="1"/>
  <c r="E21" i="10" s="1"/>
  <c r="G21" i="10" s="1"/>
  <c r="H21" i="10" s="1"/>
  <c r="C19" i="10"/>
  <c r="C20" i="10"/>
  <c r="D22" i="10"/>
  <c r="C23" i="10"/>
  <c r="C22" i="10"/>
  <c r="F21" i="10" l="1"/>
  <c r="E23" i="10"/>
  <c r="G23" i="10" s="1"/>
  <c r="H23" i="10" s="1"/>
  <c r="E22" i="10"/>
  <c r="G22" i="10" s="1"/>
  <c r="H22" i="10" s="1"/>
  <c r="E20" i="10"/>
  <c r="G20" i="10" s="1"/>
  <c r="H20" i="10" s="1"/>
  <c r="E19" i="10"/>
  <c r="G19" i="10" s="1"/>
  <c r="H19" i="10" s="1"/>
  <c r="D18" i="10"/>
  <c r="C18" i="10"/>
  <c r="F19" i="10" l="1"/>
  <c r="F20" i="10"/>
  <c r="F22" i="10"/>
  <c r="F23" i="10"/>
  <c r="E18" i="10"/>
  <c r="G18" i="10" s="1"/>
  <c r="H18" i="10" s="1"/>
  <c r="F18" i="10" l="1"/>
  <c r="D12" i="10" l="1"/>
  <c r="D11" i="10"/>
  <c r="D10" i="10"/>
  <c r="D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Haizhen Li</author>
  </authors>
  <commentList>
    <comment ref="D6" authorId="0" shapeId="0" xr:uid="{4CF9EE3B-0D05-4692-A992-A2DC6AE9EDB6}">
      <text>
        <r>
          <rPr>
            <sz val="9"/>
            <color indexed="81"/>
            <rFont val="Tahoma"/>
            <family val="2"/>
          </rPr>
          <t>Metric  =  Carrying amount [mi]_x000D_
Base  =  Assets</t>
        </r>
      </text>
    </comment>
    <comment ref="C7" authorId="0" shapeId="0" xr:uid="{785B0B99-17AD-4230-9660-DB578BC5C6C6}">
      <text>
        <r>
          <rPr>
            <sz val="9"/>
            <color indexed="81"/>
            <rFont val="Tahoma"/>
            <family val="2"/>
          </rPr>
          <t>Main category  =  Cash on hand, Loans and advances. On demand [call] and short notice [current account]_x000D_
Accounting portfolio  =  Cash and cash balances at central banks and other demand deposits</t>
        </r>
      </text>
    </comment>
    <comment ref="D7" authorId="0" shapeId="0" xr:uid="{D7538D79-4898-4E54-ADA3-DF911A971E0E}">
      <text>
        <r>
          <rPr>
            <sz val="9"/>
            <color indexed="81"/>
            <rFont val="Tahoma"/>
            <family val="2"/>
          </rPr>
          <t>DataPointVID 10898_x000D_
DataPointID 10898_x000D_
Accounting portfolio  =  Cash and cash balances at central banks and other demand deposits_x000D_
Metric  =  Carrying amount [mi]_x000D_
Base  =  Assets_x000D_
Main category  =  Cash on hand, Loans and advances. On demand [call] and short notice [current account]</t>
        </r>
      </text>
    </comment>
    <comment ref="C8" authorId="0" shapeId="0" xr:uid="{3617A2B3-A377-41A9-A2C6-03BF8201C524}">
      <text>
        <r>
          <rPr>
            <sz val="9"/>
            <color indexed="81"/>
            <rFont val="Tahoma"/>
            <family val="2"/>
          </rPr>
          <t>Main category  =  Cash on hand_x000D_
Accounting portfolio  =  Cash and cash balances at central banks and other demand deposits</t>
        </r>
      </text>
    </comment>
    <comment ref="D8" authorId="0" shapeId="0" xr:uid="{080ED475-647E-4E79-90D4-55D3E9B973B5}">
      <text>
        <r>
          <rPr>
            <sz val="9"/>
            <color indexed="81"/>
            <rFont val="Tahoma"/>
            <family val="2"/>
          </rPr>
          <t>DataPointVID 112718_x000D_
DataPointID 32358_x000D_
Accounting portfolio  =  Cash and cash balances at central banks and other demand deposits_x000D_
Metric  =  Carrying amount [mi]_x000D_
Base  =  Assets_x000D_
Main category  =  Cash on hand</t>
        </r>
      </text>
    </comment>
    <comment ref="C9" authorId="0" shapeId="0" xr:uid="{9F223E19-AB35-4183-8134-0C9A7B87FF05}">
      <text>
        <r>
          <rPr>
            <sz val="9"/>
            <color indexed="81"/>
            <rFont val="Tahoma"/>
            <family val="2"/>
          </rPr>
          <t>Main category  =  Loans and advances_x000D_
Counterparty sector  =  Central banks_x000D_
Accounting portfolio  =  Cash and cash balances at central banks and other demand deposits_x000D_
Instrument  =  On demand [call] and short notice [current account]</t>
        </r>
      </text>
    </comment>
    <comment ref="D9" authorId="0" shapeId="0" xr:uid="{30054A3E-ED32-4864-AB82-0A2203D9C137}">
      <text>
        <r>
          <rPr>
            <sz val="9"/>
            <color indexed="81"/>
            <rFont val="Tahoma"/>
            <family val="2"/>
          </rPr>
          <t>DataPointVID 151111_x000D_
DataPointID 32237_x000D_
Accounting portfolio  =  Cash and cash balances at central banks and other demand deposits_x000D_
Metric  =  Carrying amount [mi]_x000D_
Base  =  Assets_x000D_
Counterparty sector  =  Central banks_x000D_
Instrument  =  On demand [call] and short notice [current account]_x000D_
Main category  =  Loans and advances</t>
        </r>
      </text>
    </comment>
    <comment ref="C10" authorId="0" shapeId="0" xr:uid="{8CD07738-FD97-49D3-AA96-08D529F788C4}">
      <text>
        <r>
          <rPr>
            <sz val="9"/>
            <color indexed="81"/>
            <rFont val="Tahoma"/>
            <family val="2"/>
          </rPr>
          <t>Main category  =  Loans and advances_x000D_
Counterparty sector  =  Credit institutions_x000D_
Accounting portfolio  =  Cash and cash balances at central banks and other demand deposits_x000D_
Instrument  =  On demand [call] and short notice [current account]</t>
        </r>
      </text>
    </comment>
    <comment ref="D10" authorId="0" shapeId="0" xr:uid="{3667E254-3B23-43D4-9F66-3F8F7BDE7DD3}">
      <text>
        <r>
          <rPr>
            <sz val="9"/>
            <color indexed="81"/>
            <rFont val="Tahoma"/>
            <family val="2"/>
          </rPr>
          <t>DataPointVID 151115_x000D_
DataPointID 32244_x000D_
Accounting portfolio  =  Cash and cash balances at central banks and other demand deposits_x000D_
Metric  =  Carrying amount [mi]_x000D_
Base  =  Assets_x000D_
Counterparty sector  =  Credit institutions_x000D_
Instrument  =  On demand [call] and short notice [current account]_x000D_
Main category  =  Loans and advances</t>
        </r>
      </text>
    </comment>
    <comment ref="C11" authorId="0" shapeId="0" xr:uid="{7DEF6577-139A-4912-AA55-6A86453F624B}">
      <text>
        <r>
          <rPr>
            <sz val="9"/>
            <color indexed="81"/>
            <rFont val="Tahoma"/>
            <family val="2"/>
          </rPr>
          <t>Main category  =  Derivatives, Debt securities, Loans and advances, Equity instruments_x000D_
Accounting portfolio  =  Financial assets held for trading</t>
        </r>
      </text>
    </comment>
    <comment ref="D11" authorId="0" shapeId="0" xr:uid="{152E3334-DEC6-4548-97FB-9276BC1F411D}">
      <text>
        <r>
          <rPr>
            <sz val="9"/>
            <color indexed="81"/>
            <rFont val="Tahoma"/>
            <family val="2"/>
          </rPr>
          <t>{F 04.01, r0190, c 0010}=={F 01.01, r0050, c 0010}_x000D_
DataPointVID 11110_x000D_
DataPointID 11110_x000D_
Accounting portfolio  =  Financial assets held for trading_x000D_
Metric  =  Carrying amount [mi]_x000D_
Base  =  Assets_x000D_
Main category  =  Derivatives, Debt securities, Loans and advances, Equity instruments</t>
        </r>
      </text>
    </comment>
    <comment ref="C12" authorId="0" shapeId="0" xr:uid="{30EBE8CF-7F1F-461A-AB7C-D80796DB22D7}">
      <text>
        <r>
          <rPr>
            <sz val="9"/>
            <color indexed="81"/>
            <rFont val="Tahoma"/>
            <family val="2"/>
          </rPr>
          <t>Main category  =  Derivatives_x000D_
Accounting portfolio  =  Financial assets held for trading</t>
        </r>
      </text>
    </comment>
    <comment ref="D12" authorId="0" shapeId="0" xr:uid="{99C136BA-40EA-49ED-9852-BF77F77689F4}">
      <text>
        <r>
          <rPr>
            <sz val="9"/>
            <color indexed="81"/>
            <rFont val="Tahoma"/>
            <family val="2"/>
          </rPr>
          <t>{F 04.01, r0005, c 0010}=={F 01.01, r0060, c 0010}_x000D_
DataPointVID 11108_x000D_
DataPointID 11108_x000D_
Accounting portfolio  =  Financial assets held for trading_x000D_
Metric  =  Carrying amount [mi]_x000D_
Base  =  Assets_x000D_
Main category  =  Derivatives</t>
        </r>
      </text>
    </comment>
    <comment ref="C13" authorId="0" shapeId="0" xr:uid="{1532668E-13FD-444A-AD40-920AFB056847}">
      <text>
        <r>
          <rPr>
            <sz val="9"/>
            <color indexed="81"/>
            <rFont val="Tahoma"/>
            <family val="2"/>
          </rPr>
          <t>Main category  =  Equity instruments_x000D_
Accounting portfolio  =  Financial assets held for trading</t>
        </r>
      </text>
    </comment>
    <comment ref="D13" authorId="0" shapeId="0" xr:uid="{CC6B36D0-F2A5-404A-ACEE-7A4C89C0C984}">
      <text>
        <r>
          <rPr>
            <sz val="9"/>
            <color indexed="81"/>
            <rFont val="Tahoma"/>
            <family val="2"/>
          </rPr>
          <t>{F 04.01, r0010, c 0010}=={F 01.01, r0070, c 0010}_x000D_
DataPointVID 11112_x000D_
DataPointID 11112_x000D_
Accounting portfolio  =  Financial assets held for trading_x000D_
Metric  =  Carrying amount [mi]_x000D_
Base  =  Assets_x000D_
Main category  =  Equity instruments</t>
        </r>
      </text>
    </comment>
    <comment ref="C14" authorId="0" shapeId="0" xr:uid="{DA8372A3-025A-46DB-93EA-7B3A8377FB17}">
      <text>
        <r>
          <rPr>
            <sz val="9"/>
            <color indexed="81"/>
            <rFont val="Tahoma"/>
            <family val="2"/>
          </rPr>
          <t>Main category  =  Debt securities_x000D_
Accounting portfolio  =  Financial assets held for trading</t>
        </r>
      </text>
    </comment>
    <comment ref="D14" authorId="0" shapeId="0" xr:uid="{60989F1F-BD76-4931-A968-785438C98292}">
      <text>
        <r>
          <rPr>
            <sz val="9"/>
            <color indexed="81"/>
            <rFont val="Tahoma"/>
            <family val="2"/>
          </rPr>
          <t>{F 04.01, r0060, c 0010}=={F 01.01, r0080, c 0010}_x000D_
DataPointVID 11106_x000D_
DataPointID 11106_x000D_
Accounting portfolio  =  Financial assets held for trading_x000D_
Metric  =  Carrying amount [mi]_x000D_
Base  =  Assets_x000D_
Main category  =  Debt securities</t>
        </r>
      </text>
    </comment>
    <comment ref="C15" authorId="0" shapeId="0" xr:uid="{CC7A44DB-4FFB-46B0-9656-FFE12AD8A134}">
      <text>
        <r>
          <rPr>
            <sz val="9"/>
            <color indexed="81"/>
            <rFont val="Tahoma"/>
            <family val="2"/>
          </rPr>
          <t>Main category  =  Loans and advances_x000D_
Accounting portfolio  =  Financial assets held for trading</t>
        </r>
      </text>
    </comment>
    <comment ref="D15" authorId="0" shapeId="0" xr:uid="{27633821-A1BA-44BB-9272-49D8F6A66820}">
      <text>
        <r>
          <rPr>
            <sz val="9"/>
            <color indexed="81"/>
            <rFont val="Tahoma"/>
            <family val="2"/>
          </rPr>
          <t>{F 04.01, r0120, c 0010}=={F 01.01, r0090, c 0010}_x000D_
DataPointVID 11114_x000D_
DataPointID 11114_x000D_
Accounting portfolio  =  Financial assets held for trading_x000D_
Metric  =  Carrying amount [mi]_x000D_
Base  =  Assets_x000D_
Main category  =  Loans and advances</t>
        </r>
      </text>
    </comment>
    <comment ref="C16" authorId="0" shapeId="0" xr:uid="{BCF2F278-056E-4795-9D42-D3495793AA96}">
      <text>
        <r>
          <rPr>
            <sz val="9"/>
            <color indexed="81"/>
            <rFont val="Tahoma"/>
            <family val="2"/>
          </rPr>
          <t>Main category  =  Derivatives, Debt securities, Loans and advances, Equity instruments_x000D_
Accounting portfolio  =  Trading financial assets</t>
        </r>
      </text>
    </comment>
    <comment ref="D16" authorId="0" shapeId="0" xr:uid="{D2404920-5A54-4077-9187-7F450458B06D}">
      <text>
        <r>
          <rPr>
            <sz val="9"/>
            <color indexed="81"/>
            <rFont val="Tahoma"/>
            <family val="2"/>
          </rPr>
          <t>{F 04.06, r0190, c 0010}=={F 01.01, r0091, c 0010}_x000D_
DataPointVID 45921_x000D_
DataPointID 45921_x000D_
Accounting portfolio  =  Trading financial assets_x000D_
Metric  =  Carrying amount [mi]_x000D_
Base  =  Assets_x000D_
Main category  =  Derivatives, Debt securities, Loans and advances, Equity instruments</t>
        </r>
      </text>
    </comment>
    <comment ref="C17" authorId="0" shapeId="0" xr:uid="{1C885052-B5F7-42D2-BACF-C64E0D61EE5E}">
      <text>
        <r>
          <rPr>
            <sz val="9"/>
            <color indexed="81"/>
            <rFont val="Tahoma"/>
            <family val="2"/>
          </rPr>
          <t>Main category  =  Derivatives_x000D_
Accounting portfolio  =  Trading financial assets</t>
        </r>
      </text>
    </comment>
    <comment ref="D17" authorId="0" shapeId="0" xr:uid="{4D0D966B-5418-4A66-9BD4-21AA2D8935A1}">
      <text>
        <r>
          <rPr>
            <sz val="9"/>
            <color indexed="81"/>
            <rFont val="Tahoma"/>
            <family val="2"/>
          </rPr>
          <t>{F 04.06, r0005, c 0010}=={F 01.01, r0092, c 0010}_x000D_
DataPointVID 45920_x000D_
DataPointID 45920_x000D_
Accounting portfolio  =  Trading financial assets_x000D_
Metric  =  Carrying amount [mi]_x000D_
Base  =  Assets_x000D_
Main category  =  Derivatives</t>
        </r>
      </text>
    </comment>
    <comment ref="C18" authorId="0" shapeId="0" xr:uid="{2A750BC3-5045-4582-8B18-0FC41E263487}">
      <text>
        <r>
          <rPr>
            <sz val="9"/>
            <color indexed="81"/>
            <rFont val="Tahoma"/>
            <family val="2"/>
          </rPr>
          <t>Main category  =  Equity instruments_x000D_
Accounting portfolio  =  Trading financial assets</t>
        </r>
      </text>
    </comment>
    <comment ref="D18" authorId="0" shapeId="0" xr:uid="{B4323CBE-BDEE-4ECC-A582-FFBC9BD1C825}">
      <text>
        <r>
          <rPr>
            <sz val="9"/>
            <color indexed="81"/>
            <rFont val="Tahoma"/>
            <family val="2"/>
          </rPr>
          <t>{F 04.06, r0010, c 0010}=={F 01.01, r0093, c 0010}_x000D_
DataPointVID 45922_x000D_
DataPointID 45922_x000D_
Accounting portfolio  =  Trading financial assets_x000D_
Metric  =  Carrying amount [mi]_x000D_
Base  =  Assets_x000D_
Main category  =  Equity instruments</t>
        </r>
      </text>
    </comment>
    <comment ref="C19" authorId="0" shapeId="0" xr:uid="{F653C5E7-0DDE-423F-BD4F-CC83A8E9D3BE}">
      <text>
        <r>
          <rPr>
            <sz val="9"/>
            <color indexed="81"/>
            <rFont val="Tahoma"/>
            <family val="2"/>
          </rPr>
          <t>Main category  =  Debt securities_x000D_
Accounting portfolio  =  Trading financial assets</t>
        </r>
      </text>
    </comment>
    <comment ref="D19" authorId="0" shapeId="0" xr:uid="{FA0539E6-FD84-40AE-81DE-A238575B6EDD}">
      <text>
        <r>
          <rPr>
            <sz val="9"/>
            <color indexed="81"/>
            <rFont val="Tahoma"/>
            <family val="2"/>
          </rPr>
          <t>{F 04.06, r0060, c 0010}=={F 01.01, r0094, c 0010}_x000D_
DataPointVID 45919_x000D_
DataPointID 45919_x000D_
Accounting portfolio  =  Trading financial assets_x000D_
Metric  =  Carrying amount [mi]_x000D_
Base  =  Assets_x000D_
Main category  =  Debt securities</t>
        </r>
      </text>
    </comment>
    <comment ref="C20" authorId="0" shapeId="0" xr:uid="{A9DEA8EC-64A1-4CB3-BB0E-07CAA5F74670}">
      <text>
        <r>
          <rPr>
            <sz val="9"/>
            <color indexed="81"/>
            <rFont val="Tahoma"/>
            <family val="2"/>
          </rPr>
          <t>Main category  =  Loans and advances_x000D_
Accounting portfolio  =  Trading financial assets</t>
        </r>
      </text>
    </comment>
    <comment ref="D20" authorId="0" shapeId="0" xr:uid="{E0B9BD64-7A85-49CF-A035-B40855CE1987}">
      <text>
        <r>
          <rPr>
            <sz val="9"/>
            <color indexed="81"/>
            <rFont val="Tahoma"/>
            <family val="2"/>
          </rPr>
          <t>{F 04.06, r0120, c 0010}=={F 01.01, r0095, c 0010}_x000D_
DataPointVID 45924_x000D_
DataPointID 45924_x000D_
Accounting portfolio  =  Trading financial assets_x000D_
Metric  =  Carrying amount [mi]_x000D_
Base  =  Assets_x000D_
Main category  =  Loans and advances</t>
        </r>
      </text>
    </comment>
    <comment ref="C21" authorId="0" shapeId="0" xr:uid="{46FBAEDD-1852-4B12-9A46-AB74F482793B}">
      <text>
        <r>
          <rPr>
            <sz val="9"/>
            <color indexed="81"/>
            <rFont val="Tahoma"/>
            <family val="2"/>
          </rPr>
          <t>Main category  =  Equity instruments, debt securities, loans and advances_x000D_
Accounting portfolio  =  Non-trading financial assets mandatorily at fair value through profit or loss</t>
        </r>
      </text>
    </comment>
    <comment ref="D21" authorId="0" shapeId="0" xr:uid="{8300084A-5402-4AA7-B4F9-EFBC0AB1EF31}">
      <text>
        <r>
          <rPr>
            <sz val="9"/>
            <color indexed="81"/>
            <rFont val="Tahoma"/>
            <family val="2"/>
          </rPr>
          <t>{F 01.01, r0096, c 0010}=={F 04.02.1, r0180, c 0010}_x000D_
DataPointVID 152736_x000D_
DataPointID 152736_x000D_
Accounting portfolio  =  Non-trading financial assets mandatorily at fair value through profit or loss_x000D_
Metric  =  Carrying amount [mi]_x000D_
Base  =  Assets_x000D_
Main category  =  Equity instruments, debt securities, loans and advances</t>
        </r>
      </text>
    </comment>
    <comment ref="C22" authorId="0" shapeId="0" xr:uid="{D785368C-B58F-4408-B704-F8A4B5D61211}">
      <text>
        <r>
          <rPr>
            <sz val="9"/>
            <color indexed="81"/>
            <rFont val="Tahoma"/>
            <family val="2"/>
          </rPr>
          <t>Main category  =  Equity instruments_x000D_
Accounting portfolio  =  Non-trading financial assets mandatorily at fair value through profit or loss</t>
        </r>
      </text>
    </comment>
    <comment ref="D22" authorId="0" shapeId="0" xr:uid="{1EAFCDF8-F93D-4A18-A1D5-2F77A4C9BC74}">
      <text>
        <r>
          <rPr>
            <sz val="9"/>
            <color indexed="81"/>
            <rFont val="Tahoma"/>
            <family val="2"/>
          </rPr>
          <t>{F 01.01, r0097, c 0010}=={F 04.02.1, r0010, c 0010}_x000D_
DataPointVID 152734_x000D_
DataPointID 152734_x000D_
Accounting portfolio  =  Non-trading financial assets mandatorily at fair value through profit or loss_x000D_
Metric  =  Carrying amount [mi]_x000D_
Base  =  Assets_x000D_
Main category  =  Equity instruments</t>
        </r>
      </text>
    </comment>
    <comment ref="C23" authorId="0" shapeId="0" xr:uid="{B3DCBFB5-FDEC-435C-848A-446A138A4F7E}">
      <text>
        <r>
          <rPr>
            <sz val="9"/>
            <color indexed="81"/>
            <rFont val="Tahoma"/>
            <family val="2"/>
          </rPr>
          <t>Main category  =  Debt securities_x000D_
Accounting portfolio  =  Non-trading financial assets mandatorily at fair value through profit or loss</t>
        </r>
      </text>
    </comment>
    <comment ref="D23" authorId="0" shapeId="0" xr:uid="{ADF396B0-DBD7-4C51-BA51-CC96D3E116FB}">
      <text>
        <r>
          <rPr>
            <sz val="9"/>
            <color indexed="81"/>
            <rFont val="Tahoma"/>
            <family val="2"/>
          </rPr>
          <t>{F 01.01, r0098, c 0010}=={F 04.02.1, r0050, c 0010}_x000D_
DataPointVID 152732_x000D_
DataPointID 152732_x000D_
Accounting portfolio  =  Non-trading financial assets mandatorily at fair value through profit or loss_x000D_
Metric  =  Carrying amount [mi]_x000D_
Base  =  Assets_x000D_
Main category  =  Debt securities</t>
        </r>
      </text>
    </comment>
    <comment ref="C24" authorId="0" shapeId="0" xr:uid="{93300DBC-149A-484F-8A9C-34F7BEEF335C}">
      <text>
        <r>
          <rPr>
            <sz val="9"/>
            <color indexed="81"/>
            <rFont val="Tahoma"/>
            <family val="2"/>
          </rPr>
          <t>Main category  =  Loans and advances_x000D_
Accounting portfolio  =  Non-trading financial assets mandatorily at fair value through profit or loss</t>
        </r>
      </text>
    </comment>
    <comment ref="D24" authorId="0" shapeId="0" xr:uid="{9A0E7B80-7A5A-412A-9FE5-D0CF2B809C69}">
      <text>
        <r>
          <rPr>
            <sz val="9"/>
            <color indexed="81"/>
            <rFont val="Tahoma"/>
            <family val="2"/>
          </rPr>
          <t>{F 01.01, r0099, c 0010}=={F 04.02.1, r0110, c 0010}_x000D_
DataPointVID 152738_x000D_
DataPointID 152738_x000D_
Accounting portfolio  =  Non-trading financial assets mandatorily at fair value through profit or loss_x000D_
Metric  =  Carrying amount [mi]_x000D_
Base  =  Assets_x000D_
Main category  =  Loans and advances</t>
        </r>
      </text>
    </comment>
    <comment ref="C25" authorId="0" shapeId="0" xr:uid="{1D85543D-D6C0-4D43-89C5-58266AE466EC}">
      <text>
        <r>
          <rPr>
            <sz val="9"/>
            <color indexed="81"/>
            <rFont val="Tahoma"/>
            <family val="2"/>
          </rPr>
          <t>Main category  =  Equity instruments, debt securities, loans and advances_x000D_
Accounting portfolio  =  Financial assets designated at fair value through profit or loss</t>
        </r>
      </text>
    </comment>
    <comment ref="D25" authorId="0" shapeId="0" xr:uid="{BBFFCDED-06D5-4358-A7E2-39A05B5E76C4}">
      <text>
        <r>
          <rPr>
            <sz val="9"/>
            <color indexed="81"/>
            <rFont val="Tahoma"/>
            <family val="2"/>
          </rPr>
          <t>{F 01.01, r0100, c 0010}=={F 04.02.2, r0190, c 0010}_x000D_
DataPointVID 10976_x000D_
DataPointID 10976_x000D_
Accounting portfolio  =  Financial assets designated at fair value through profit or loss_x000D_
Metric  =  Carrying amount [mi]_x000D_
Base  =  Assets_x000D_
Main category  =  Equity instruments, debt securities, loans and advances</t>
        </r>
      </text>
    </comment>
    <comment ref="C26" authorId="0" shapeId="0" xr:uid="{FF36F44A-FAF8-4CCA-BC25-35C8BAC42DB3}">
      <text>
        <r>
          <rPr>
            <sz val="9"/>
            <color indexed="81"/>
            <rFont val="Tahoma"/>
            <family val="2"/>
          </rPr>
          <t>Main category  =  Equity instruments_x000D_
Accounting portfolio  =  Financial assets designated at fair value through profit or loss</t>
        </r>
      </text>
    </comment>
    <comment ref="D26" authorId="0" shapeId="0" xr:uid="{A15515BC-8D79-4A6E-9E5C-5AA373043466}">
      <text>
        <r>
          <rPr>
            <sz val="9"/>
            <color indexed="81"/>
            <rFont val="Tahoma"/>
            <family val="2"/>
          </rPr>
          <t>{F 01.01, r0110, c 0010}=={F 04.02.2, r0010, c 0010}_x000D_
DataPointVID 10974_x000D_
DataPointID 10974_x000D_
Accounting portfolio  =  Financial assets designated at fair value through profit or loss_x000D_
Metric  =  Carrying amount [mi]_x000D_
Base  =  Assets_x000D_
Main category  =  Equity instruments</t>
        </r>
      </text>
    </comment>
    <comment ref="C27" authorId="0" shapeId="0" xr:uid="{BDBDDD24-C203-4D25-88D7-392A4EB509C2}">
      <text>
        <r>
          <rPr>
            <sz val="9"/>
            <color indexed="81"/>
            <rFont val="Tahoma"/>
            <family val="2"/>
          </rPr>
          <t>Main category  =  Debt securities_x000D_
Accounting portfolio  =  Financial assets designated at fair value through profit or loss</t>
        </r>
      </text>
    </comment>
    <comment ref="D27" authorId="0" shapeId="0" xr:uid="{E750C2AE-DA1F-4877-ACCE-8F750820F99C}">
      <text>
        <r>
          <rPr>
            <sz val="9"/>
            <color indexed="81"/>
            <rFont val="Tahoma"/>
            <family val="2"/>
          </rPr>
          <t>{F 01.01, r0120, c 0010}=={F 04.02.2, r0060, c 0010}_x000D_
DataPointVID 10972_x000D_
DataPointID 10972_x000D_
Accounting portfolio  =  Financial assets designated at fair value through profit or loss_x000D_
Metric  =  Carrying amount [mi]_x000D_
Base  =  Assets_x000D_
Main category  =  Debt securities</t>
        </r>
      </text>
    </comment>
    <comment ref="C28" authorId="0" shapeId="0" xr:uid="{6ADC6475-D0E3-4A5B-AD57-1993B62D75CC}">
      <text>
        <r>
          <rPr>
            <sz val="9"/>
            <color indexed="81"/>
            <rFont val="Tahoma"/>
            <family val="2"/>
          </rPr>
          <t>Main category  =  Loans and advances_x000D_
Accounting portfolio  =  Financial assets designated at fair value through profit or loss</t>
        </r>
      </text>
    </comment>
    <comment ref="D28" authorId="0" shapeId="0" xr:uid="{66A8C5D1-DFA4-4866-B937-19167E11B975}">
      <text>
        <r>
          <rPr>
            <sz val="9"/>
            <color indexed="81"/>
            <rFont val="Tahoma"/>
            <family val="2"/>
          </rPr>
          <t>{F 01.01, r0130, c 0010}=={F 04.02.2, r0120, c 0010}_x000D_
DataPointVID 10978_x000D_
DataPointID 10978_x000D_
Accounting portfolio  =  Financial assets designated at fair value through profit or loss_x000D_
Metric  =  Carrying amount [mi]_x000D_
Base  =  Assets_x000D_
Main category  =  Loans and advances</t>
        </r>
      </text>
    </comment>
    <comment ref="C29" authorId="0" shapeId="0" xr:uid="{FCB5E8D8-1FCD-4CCE-80AC-16F3A8D495DF}">
      <text>
        <r>
          <rPr>
            <sz val="9"/>
            <color indexed="81"/>
            <rFont val="Tahoma"/>
            <family val="2"/>
          </rPr>
          <t>Main category  =  Equity instruments, debt securities, loans and advances_x000D_
Accounting portfolio  =  Financial assets at fair value through other comprehensive income</t>
        </r>
      </text>
    </comment>
    <comment ref="D29" authorId="0" shapeId="0" xr:uid="{3F5B8C20-57E0-4BE7-AD75-C252EA5008F2}">
      <text>
        <r>
          <rPr>
            <sz val="9"/>
            <color indexed="81"/>
            <rFont val="Tahoma"/>
            <family val="2"/>
          </rPr>
          <t>{F 01.01, r0141, c 0010}=={F 04.03.1, r0180, c 0010}_x000D_
DataPointVID 152877_x000D_
DataPointID 152877_x000D_
Accounting portfolio  =  Financial assets at fair value through other comprehensive income_x000D_
Metric  =  Carrying amount [mi]_x000D_
Base  =  Assets_x000D_
Main category  =  Equity instruments, debt securities, loans and advances</t>
        </r>
      </text>
    </comment>
    <comment ref="C30" authorId="0" shapeId="0" xr:uid="{484BE2AA-2E83-411D-B057-60492104640D}">
      <text>
        <r>
          <rPr>
            <sz val="9"/>
            <color indexed="81"/>
            <rFont val="Tahoma"/>
            <family val="2"/>
          </rPr>
          <t>Main category  =  Equity instruments_x000D_
Accounting portfolio  =  Financial assets at fair value through other comprehensive income</t>
        </r>
      </text>
    </comment>
    <comment ref="D30" authorId="0" shapeId="0" xr:uid="{2ED83534-0D9D-4A5C-8D42-47548746E0DB}">
      <text>
        <r>
          <rPr>
            <sz val="9"/>
            <color indexed="81"/>
            <rFont val="Tahoma"/>
            <family val="2"/>
          </rPr>
          <t>{F 01.01, r0142, c 0010}=={F 04.03.1, r0010, c 0010}_x000D_
DataPointVID 152875_x000D_
DataPointID 152875_x000D_
Accounting portfolio  =  Financial assets at fair value through other comprehensive income_x000D_
Metric  =  Carrying amount [mi]_x000D_
Base  =  Assets_x000D_
Main category  =  Equity instruments</t>
        </r>
      </text>
    </comment>
    <comment ref="C31" authorId="0" shapeId="0" xr:uid="{338F3471-E308-4841-9233-D54F473DDC4B}">
      <text>
        <r>
          <rPr>
            <sz val="9"/>
            <color indexed="81"/>
            <rFont val="Tahoma"/>
            <family val="2"/>
          </rPr>
          <t>Main category  =  Debt securities_x000D_
Accounting portfolio  =  Financial assets at fair value through other comprehensive income</t>
        </r>
      </text>
    </comment>
    <comment ref="D31" authorId="0" shapeId="0" xr:uid="{890EE64F-D89F-4EA1-909F-5F8CA5CED8BB}">
      <text>
        <r>
          <rPr>
            <sz val="9"/>
            <color indexed="81"/>
            <rFont val="Tahoma"/>
            <family val="2"/>
          </rPr>
          <t>{F 01.01, r0143, c 0010}=={F 04.03.1, r0050, c 0010}_x000D_
DataPointVID 152873_x000D_
DataPointID 152873_x000D_
Accounting portfolio  =  Financial assets at fair value through other comprehensive income_x000D_
Metric  =  Carrying amount [mi]_x000D_
Base  =  Assets_x000D_
Main category  =  Debt securities</t>
        </r>
      </text>
    </comment>
    <comment ref="C32" authorId="0" shapeId="0" xr:uid="{E7C98CC6-2D22-4952-957E-4A9FFC68E8C5}">
      <text>
        <r>
          <rPr>
            <sz val="9"/>
            <color indexed="81"/>
            <rFont val="Tahoma"/>
            <family val="2"/>
          </rPr>
          <t>Main category  =  Loans and advances_x000D_
Accounting portfolio  =  Financial assets at fair value through other comprehensive income</t>
        </r>
      </text>
    </comment>
    <comment ref="D32" authorId="0" shapeId="0" xr:uid="{A647B4FB-DBC1-4E25-8B6B-D34D31912412}">
      <text>
        <r>
          <rPr>
            <sz val="9"/>
            <color indexed="81"/>
            <rFont val="Tahoma"/>
            <family val="2"/>
          </rPr>
          <t>{F 01.01, r0144, c 0010}=={F 04.03.1, r0110, c 0010}_x000D_
DataPointVID 152879_x000D_
DataPointID 152879_x000D_
Accounting portfolio  =  Financial assets at fair value through other comprehensive income_x000D_
Metric  =  Carrying amount [mi]_x000D_
Base  =  Assets_x000D_
Main category  =  Loans and advances</t>
        </r>
      </text>
    </comment>
    <comment ref="C33" authorId="0" shapeId="0" xr:uid="{C9D20503-35AE-44F1-80E3-D8F270117D27}">
      <text>
        <r>
          <rPr>
            <sz val="9"/>
            <color indexed="81"/>
            <rFont val="Tahoma"/>
            <family val="2"/>
          </rPr>
          <t>Main category  =  Equity instruments, debt securities, loans and advances_x000D_
Accounting portfolio  =  Non-trading non-derivative financial assets measured at fair value through profit or loss</t>
        </r>
      </text>
    </comment>
    <comment ref="D33" authorId="0" shapeId="0" xr:uid="{D65249E2-7406-491A-B092-D1241633F8B6}">
      <text>
        <r>
          <rPr>
            <sz val="9"/>
            <color indexed="81"/>
            <rFont val="Tahoma"/>
            <family val="2"/>
          </rPr>
          <t>{F 04.07, r0190, c 0010}=={F 01.01, r0171, c 0010}_x000D_
DataPointVID 45693_x000D_
DataPointID 45693_x000D_
Accounting portfolio  =  Non-trading non-derivative financial assets measured at fair value through profit or loss_x000D_
Metric  =  Carrying amount [mi]_x000D_
Base  =  Assets_x000D_
Main category  =  Equity instruments, debt securities, loans and advances</t>
        </r>
      </text>
    </comment>
    <comment ref="C34" authorId="0" shapeId="0" xr:uid="{3F29C728-EC74-4717-8C64-5BBAF2C880EA}">
      <text>
        <r>
          <rPr>
            <sz val="9"/>
            <color indexed="81"/>
            <rFont val="Tahoma"/>
            <family val="2"/>
          </rPr>
          <t>Main category  =  Equity instruments_x000D_
Accounting portfolio  =  Non-trading non-derivative financial assets measured at fair value through profit or loss</t>
        </r>
      </text>
    </comment>
    <comment ref="D34" authorId="0" shapeId="0" xr:uid="{5153786D-638B-43B5-8037-D175E565FBE9}">
      <text>
        <r>
          <rPr>
            <sz val="9"/>
            <color indexed="81"/>
            <rFont val="Tahoma"/>
            <family val="2"/>
          </rPr>
          <t>{F 04.07, r0010, c 0010}=={F 01.01, r0172, c 0010}_x000D_
DataPointVID 45691_x000D_
DataPointID 45691_x000D_
Accounting portfolio  =  Non-trading non-derivative financial assets measured at fair value through profit or loss_x000D_
Metric  =  Carrying amount [mi]_x000D_
Base  =  Assets_x000D_
Main category  =  Equity instruments</t>
        </r>
      </text>
    </comment>
    <comment ref="C35" authorId="0" shapeId="0" xr:uid="{C71BD018-6011-451B-AF0E-CE19DDB629AD}">
      <text>
        <r>
          <rPr>
            <sz val="9"/>
            <color indexed="81"/>
            <rFont val="Tahoma"/>
            <family val="2"/>
          </rPr>
          <t>Main category  =  Debt securities_x000D_
Accounting portfolio  =  Non-trading non-derivative financial assets measured at fair value through profit or loss</t>
        </r>
      </text>
    </comment>
    <comment ref="D35" authorId="0" shapeId="0" xr:uid="{9437ED7E-97F9-4F44-8224-2ECA975475BA}">
      <text>
        <r>
          <rPr>
            <sz val="9"/>
            <color indexed="81"/>
            <rFont val="Tahoma"/>
            <family val="2"/>
          </rPr>
          <t>{F 04.07, r0060, c 0010}=={F 01.01, r0173, c 0010}_x000D_
DataPointVID 45690_x000D_
DataPointID 45690_x000D_
Accounting portfolio  =  Non-trading non-derivative financial assets measured at fair value through profit or loss_x000D_
Metric  =  Carrying amount [mi]_x000D_
Base  =  Assets_x000D_
Main category  =  Debt securities</t>
        </r>
      </text>
    </comment>
    <comment ref="C36" authorId="0" shapeId="0" xr:uid="{C5CA3B3F-A53B-4A13-ACFB-80F9EE362AC4}">
      <text>
        <r>
          <rPr>
            <sz val="9"/>
            <color indexed="81"/>
            <rFont val="Tahoma"/>
            <family val="2"/>
          </rPr>
          <t>Main category  =  Loans and advances_x000D_
Accounting portfolio  =  Non-trading non-derivative financial assets measured at fair value through profit or loss</t>
        </r>
      </text>
    </comment>
    <comment ref="D36" authorId="0" shapeId="0" xr:uid="{9E474559-4A47-4E92-9565-DDC1C8629F29}">
      <text>
        <r>
          <rPr>
            <sz val="9"/>
            <color indexed="81"/>
            <rFont val="Tahoma"/>
            <family val="2"/>
          </rPr>
          <t>{F 04.07, r0120, c 0010}=={F 01.01, r0174, c 0010}_x000D_
DataPointVID 45694_x000D_
DataPointID 45694_x000D_
Accounting portfolio  =  Non-trading non-derivative financial assets measured at fair value through profit or loss_x000D_
Metric  =  Carrying amount [mi]_x000D_
Base  =  Assets_x000D_
Main category  =  Loans and advances</t>
        </r>
      </text>
    </comment>
    <comment ref="C37" authorId="0" shapeId="0" xr:uid="{39CC2765-5C6D-4993-9E55-52332047473F}">
      <text>
        <r>
          <rPr>
            <sz val="9"/>
            <color indexed="81"/>
            <rFont val="Tahoma"/>
            <family val="2"/>
          </rPr>
          <t>Main category  =  Equity instruments, debt securities, loans and advances_x000D_
Accounting portfolio  =  Non-trading non-derivative financial assets measured at fair value to equity</t>
        </r>
      </text>
    </comment>
    <comment ref="D37" authorId="0" shapeId="0" xr:uid="{46D92D97-6C9A-4471-AB05-EA55ABE2219C}">
      <text>
        <r>
          <rPr>
            <sz val="9"/>
            <color indexed="81"/>
            <rFont val="Tahoma"/>
            <family val="2"/>
          </rPr>
          <t>DataPointVID 45749_x000D_
DataPointID 45749_x000D_
Accounting portfolio  =  Non-trading non-derivative financial assets measured at fair value to equity_x000D_
Metric  =  Carrying amount [mi]_x000D_
Base  =  Assets_x000D_
Main category  =  Equity instruments, debt securities, loans and advances</t>
        </r>
      </text>
    </comment>
    <comment ref="C38" authorId="0" shapeId="0" xr:uid="{10BBC523-9E79-4EEE-9166-AD5FE3ED1F39}">
      <text>
        <r>
          <rPr>
            <sz val="9"/>
            <color indexed="81"/>
            <rFont val="Tahoma"/>
            <family val="2"/>
          </rPr>
          <t>Main category  =  Equity instruments_x000D_
Accounting portfolio  =  Non-trading non-derivative financial assets measured at fair value to equity</t>
        </r>
      </text>
    </comment>
    <comment ref="D38" authorId="0" shapeId="0" xr:uid="{89BC9A94-2169-4B4E-A05D-ED8BC80064DA}">
      <text>
        <r>
          <rPr>
            <sz val="9"/>
            <color indexed="81"/>
            <rFont val="Tahoma"/>
            <family val="2"/>
          </rPr>
          <t>DataPointVID 45747_x000D_
DataPointID 45747_x000D_
Accounting portfolio  =  Non-trading non-derivative financial assets measured at fair value to equity_x000D_
Metric  =  Carrying amount [mi]_x000D_
Base  =  Assets_x000D_
Main category  =  Equity instruments</t>
        </r>
      </text>
    </comment>
    <comment ref="C39" authorId="0" shapeId="0" xr:uid="{33F1EB6D-04DC-4AB8-B1F4-7B74FF1F5C2F}">
      <text>
        <r>
          <rPr>
            <sz val="9"/>
            <color indexed="81"/>
            <rFont val="Tahoma"/>
            <family val="2"/>
          </rPr>
          <t>Main category  =  Debt securities_x000D_
Accounting portfolio  =  Non-trading non-derivative financial assets measured at fair value to equity</t>
        </r>
      </text>
    </comment>
    <comment ref="D39" authorId="0" shapeId="0" xr:uid="{F92880D8-2F57-405B-A063-FFC0C5B5C5A1}">
      <text>
        <r>
          <rPr>
            <sz val="9"/>
            <color indexed="81"/>
            <rFont val="Tahoma"/>
            <family val="2"/>
          </rPr>
          <t>DataPointVID 45746_x000D_
DataPointID 45746_x000D_
Accounting portfolio  =  Non-trading non-derivative financial assets measured at fair value to equity_x000D_
Metric  =  Carrying amount [mi]_x000D_
Base  =  Assets_x000D_
Main category  =  Debt securities</t>
        </r>
      </text>
    </comment>
    <comment ref="C40" authorId="0" shapeId="0" xr:uid="{8DE6B168-9EFB-4518-A333-F43717093287}">
      <text>
        <r>
          <rPr>
            <sz val="9"/>
            <color indexed="81"/>
            <rFont val="Tahoma"/>
            <family val="2"/>
          </rPr>
          <t>Main category  =  Loans and advances_x000D_
Accounting portfolio  =  Non-trading non-derivative financial assets measured at fair value to equity</t>
        </r>
      </text>
    </comment>
    <comment ref="D40" authorId="0" shapeId="0" xr:uid="{821B5469-E4A9-444E-8A44-8B9BC1A91B3A}">
      <text>
        <r>
          <rPr>
            <sz val="9"/>
            <color indexed="81"/>
            <rFont val="Tahoma"/>
            <family val="2"/>
          </rPr>
          <t>DataPointVID 45750_x000D_
DataPointID 45750_x000D_
Accounting portfolio  =  Non-trading non-derivative financial assets measured at fair value to equity_x000D_
Metric  =  Carrying amount [mi]_x000D_
Base  =  Assets_x000D_
Main category  =  Loans and advances</t>
        </r>
      </text>
    </comment>
    <comment ref="C41" authorId="0" shapeId="0" xr:uid="{DA164B23-063F-45D5-BCBA-47BE3A9B3B97}">
      <text>
        <r>
          <rPr>
            <sz val="9"/>
            <color indexed="81"/>
            <rFont val="Tahoma"/>
            <family val="2"/>
          </rPr>
          <t>Main category  =  Equity instruments, debt securities, loans and advances_x000D_
Accounting portfolio  =  Financial assets at amortised cost</t>
        </r>
      </text>
    </comment>
    <comment ref="D41" authorId="0" shapeId="0" xr:uid="{FECE9C51-E80B-4086-8A5F-74CBC010D21C}">
      <text>
        <r>
          <rPr>
            <sz val="9"/>
            <color indexed="81"/>
            <rFont val="Tahoma"/>
            <family val="2"/>
          </rPr>
          <t>DataPointVID 152251_x000D_
DataPointID 152251_x000D_
Accounting portfolio  =  Financial assets at amortised cost_x000D_
Metric  =  Carrying amount [mi]_x000D_
Base  =  Assets_x000D_
Main category  =  Equity instruments, debt securities, loans and advances</t>
        </r>
      </text>
    </comment>
    <comment ref="C42" authorId="0" shapeId="0" xr:uid="{9C8AAC9D-FA99-4526-9EDA-5D3E2A3A14D9}">
      <text>
        <r>
          <rPr>
            <sz val="9"/>
            <color indexed="81"/>
            <rFont val="Tahoma"/>
            <family val="2"/>
          </rPr>
          <t>Main category  =  Debt securities_x000D_
Accounting portfolio  =  Financial assets at amortised cost</t>
        </r>
      </text>
    </comment>
    <comment ref="D42" authorId="0" shapeId="0" xr:uid="{5D3EEAC8-55F2-4C63-BFE7-38C01FA34AAB}">
      <text>
        <r>
          <rPr>
            <sz val="9"/>
            <color indexed="81"/>
            <rFont val="Tahoma"/>
            <family val="2"/>
          </rPr>
          <t>{F 01.01, r0182, c 0010}=={F 04.04.1, r0010, c 0010}_x000D_
DataPointVID 152247_x000D_
DataPointID 152247_x000D_
Accounting portfolio  =  Financial assets at amortised cost_x000D_
Metric  =  Carrying amount [mi]_x000D_
Base  =  Assets_x000D_
Main category  =  Debt securities</t>
        </r>
      </text>
    </comment>
    <comment ref="C43" authorId="0" shapeId="0" xr:uid="{D27C9CE5-3DF0-47EF-9193-31231BBD7431}">
      <text>
        <r>
          <rPr>
            <sz val="9"/>
            <color indexed="81"/>
            <rFont val="Tahoma"/>
            <family val="2"/>
          </rPr>
          <t>Main category  =  Loans and advances_x000D_
Accounting portfolio  =  Financial assets at amortised cost</t>
        </r>
      </text>
    </comment>
    <comment ref="D43" authorId="0" shapeId="0" xr:uid="{272D5B74-93AA-43D6-AF99-97E91B988A01}">
      <text>
        <r>
          <rPr>
            <sz val="9"/>
            <color indexed="81"/>
            <rFont val="Tahoma"/>
            <family val="2"/>
          </rPr>
          <t>{F 01.01, r0183, c 0010}=={F 04.04.1, r0070, c 0010}_x000D_
DataPointVID 152253_x000D_
DataPointID 152253_x000D_
Accounting portfolio  =  Financial assets at amortised cost_x000D_
Metric  =  Carrying amount [mi]_x000D_
Base  =  Assets_x000D_
Main category  =  Loans and advances</t>
        </r>
      </text>
    </comment>
    <comment ref="C44" authorId="0" shapeId="0" xr:uid="{ED90AEAA-E7D0-4BD7-A42D-5B5863F812F9}">
      <text>
        <r>
          <rPr>
            <sz val="9"/>
            <color indexed="81"/>
            <rFont val="Tahoma"/>
            <family val="2"/>
          </rPr>
          <t>Main category  =  Equity instruments, debt securities, loans and advances_x000D_
Accounting portfolio  =  Non-trading non-derivative financial assets measured at a cost-based method</t>
        </r>
      </text>
    </comment>
    <comment ref="D44" authorId="0" shapeId="0" xr:uid="{BEEBEF46-58D3-478C-803F-70A22FF2E0DA}">
      <text>
        <r>
          <rPr>
            <sz val="9"/>
            <color indexed="81"/>
            <rFont val="Tahoma"/>
            <family val="2"/>
          </rPr>
          <t>{F 01.01, r0231, c 0010}=={F 04.09, r0140, c 0050}_x000D_
DataPointVID 151654_x000D_
DataPointID 46532_x000D_
Accounting portfolio  =  Non-trading non-derivative financial assets measured at a cost-based method_x000D_
Metric  =  Carrying amount [mi]_x000D_
Base  =  Assets_x000D_
Main category  =  Equity instruments, debt securities, loans and advances</t>
        </r>
      </text>
    </comment>
    <comment ref="C45" authorId="0" shapeId="0" xr:uid="{DD295729-2BD6-495E-93BC-01FD137CCFD8}">
      <text>
        <r>
          <rPr>
            <sz val="9"/>
            <color indexed="81"/>
            <rFont val="Tahoma"/>
            <family val="2"/>
          </rPr>
          <t>Main category  =  Equity instruments_x000D_
Accounting portfolio  =  Non-trading non-derivative financial assets measured at a cost-based method</t>
        </r>
      </text>
    </comment>
    <comment ref="D45" authorId="0" shapeId="0" xr:uid="{C36E0002-DF22-4279-9337-FA63ABA5DC86}">
      <text>
        <r>
          <rPr>
            <sz val="9"/>
            <color indexed="81"/>
            <rFont val="Tahoma"/>
            <family val="2"/>
          </rPr>
          <t>{F 01.01, r0390, c 0010}=={F 04.09, r0005, c 0050}_x000D_
DataPointVID 151652_x000D_
DataPointID 151652_x000D_
Accounting portfolio  =  Non-trading non-derivative financial assets measured at a cost-based method_x000D_
Metric  =  Carrying amount [mi]_x000D_
Base  =  Assets_x000D_
Main category  =  Equity instruments</t>
        </r>
      </text>
    </comment>
    <comment ref="C46" authorId="0" shapeId="0" xr:uid="{6E92B717-091F-49C2-A688-0063AE1A54C9}">
      <text>
        <r>
          <rPr>
            <sz val="9"/>
            <color indexed="81"/>
            <rFont val="Tahoma"/>
            <family val="2"/>
          </rPr>
          <t>Main category  =  Debt securities_x000D_
Accounting portfolio  =  Non-trading non-derivative financial assets measured at a cost-based method</t>
        </r>
      </text>
    </comment>
    <comment ref="D46" authorId="0" shapeId="0" xr:uid="{C08206E6-0D7D-4D22-BF06-514F04221D80}">
      <text>
        <r>
          <rPr>
            <sz val="9"/>
            <color indexed="81"/>
            <rFont val="Tahoma"/>
            <family val="2"/>
          </rPr>
          <t>{F 01.01, r0232, c 0010}=={F 04.09, r0010, c 0050}_x000D_
DataPointVID 46530_x000D_
DataPointID 46530_x000D_
Accounting portfolio  =  Non-trading non-derivative financial assets measured at a cost-based method_x000D_
Metric  =  Carrying amount [mi]_x000D_
Base  =  Assets_x000D_
Main category  =  Debt securities</t>
        </r>
      </text>
    </comment>
    <comment ref="C47" authorId="0" shapeId="0" xr:uid="{13EEBF10-5420-4B2C-B0FA-99C0C31ED23B}">
      <text>
        <r>
          <rPr>
            <sz val="9"/>
            <color indexed="81"/>
            <rFont val="Tahoma"/>
            <family val="2"/>
          </rPr>
          <t>Main category  =  Loans and advances_x000D_
Accounting portfolio  =  Non-trading non-derivative financial assets measured at a cost-based method</t>
        </r>
      </text>
    </comment>
    <comment ref="D47" authorId="0" shapeId="0" xr:uid="{CC5BB6B9-1241-486C-8E11-B1EE050B198F}">
      <text>
        <r>
          <rPr>
            <sz val="9"/>
            <color indexed="81"/>
            <rFont val="Tahoma"/>
            <family val="2"/>
          </rPr>
          <t>{F 01.01, r0233, c 0010}=={F 04.09, r0070, c 0050}_x000D_
DataPointVID 46534_x000D_
DataPointID 46534_x000D_
Accounting portfolio  =  Non-trading non-derivative financial assets measured at a cost-based method_x000D_
Metric  =  Carrying amount [mi]_x000D_
Base  =  Assets_x000D_
Main category  =  Loans and advances</t>
        </r>
      </text>
    </comment>
    <comment ref="C48" authorId="0" shapeId="0" xr:uid="{846C323C-BCE7-48B4-9206-CB714D31C2F7}">
      <text>
        <r>
          <rPr>
            <sz val="9"/>
            <color indexed="81"/>
            <rFont val="Tahoma"/>
            <family val="2"/>
          </rPr>
          <t>Main category  =  Equity instruments, debt securities, loans and advances_x000D_
Accounting portfolio  =  Other non-trading non-derivative financial assets</t>
        </r>
      </text>
    </comment>
    <comment ref="D48" authorId="0" shapeId="0" xr:uid="{9FBF6D6D-825C-4458-A267-6E84A5517D8F}">
      <text>
        <r>
          <rPr>
            <sz val="9"/>
            <color indexed="81"/>
            <rFont val="Tahoma"/>
            <family val="2"/>
          </rPr>
          <t>{F 01.01, r0234, c 0010}=={F 04.10, r0190, c 0010}_x000D_
DataPointVID 46025_x000D_
DataPointID 46025_x000D_
Accounting portfolio  =  Other non-trading non-derivative financial assets_x000D_
Metric  =  Carrying amount [mi]_x000D_
Base  =  Assets_x000D_
Main category  =  Equity instruments, debt securities, loans and advances</t>
        </r>
      </text>
    </comment>
    <comment ref="C49" authorId="0" shapeId="0" xr:uid="{6E58A86E-B388-45D9-BF2D-4BBFFF20BC8A}">
      <text>
        <r>
          <rPr>
            <sz val="9"/>
            <color indexed="81"/>
            <rFont val="Tahoma"/>
            <family val="2"/>
          </rPr>
          <t>Main category  =  Equity instruments_x000D_
Accounting portfolio  =  Other non-trading non-derivative financial assets</t>
        </r>
      </text>
    </comment>
    <comment ref="D49" authorId="0" shapeId="0" xr:uid="{072D19D0-848D-4F15-9ADF-AA38C8474BC8}">
      <text>
        <r>
          <rPr>
            <sz val="9"/>
            <color indexed="81"/>
            <rFont val="Tahoma"/>
            <family val="2"/>
          </rPr>
          <t>{F 01.01, r0235, c 0010}=={F 04.10, r0010, c 0010}_x000D_
DataPointVID 46023_x000D_
DataPointID 46023_x000D_
Accounting portfolio  =  Other non-trading non-derivative financial assets_x000D_
Metric  =  Carrying amount [mi]_x000D_
Base  =  Assets_x000D_
Main category  =  Equity instruments</t>
        </r>
      </text>
    </comment>
    <comment ref="C50" authorId="0" shapeId="0" xr:uid="{FEB334F3-9E0B-456F-B071-DD6EEDEB5F71}">
      <text>
        <r>
          <rPr>
            <sz val="9"/>
            <color indexed="81"/>
            <rFont val="Tahoma"/>
            <family val="2"/>
          </rPr>
          <t>Main category  =  Debt securities_x000D_
Accounting portfolio  =  Other non-trading non-derivative financial assets</t>
        </r>
      </text>
    </comment>
    <comment ref="D50" authorId="0" shapeId="0" xr:uid="{B32306F2-0989-4FE3-9632-A3297E54071D}">
      <text>
        <r>
          <rPr>
            <sz val="9"/>
            <color indexed="81"/>
            <rFont val="Tahoma"/>
            <family val="2"/>
          </rPr>
          <t>{F 01.01, r0236, c 0010}=={F 04.10, r0060, c 0010}_x000D_
DataPointVID 46022_x000D_
DataPointID 46022_x000D_
Accounting portfolio  =  Other non-trading non-derivative financial assets_x000D_
Metric  =  Carrying amount [mi]_x000D_
Base  =  Assets_x000D_
Main category  =  Debt securities</t>
        </r>
      </text>
    </comment>
    <comment ref="C51" authorId="0" shapeId="0" xr:uid="{4B0ED521-340D-4CE2-BD00-34F67AD46F95}">
      <text>
        <r>
          <rPr>
            <sz val="9"/>
            <color indexed="81"/>
            <rFont val="Tahoma"/>
            <family val="2"/>
          </rPr>
          <t>Main category  =  Loans and advances_x000D_
Accounting portfolio  =  Other non-trading non-derivative financial assets</t>
        </r>
      </text>
    </comment>
    <comment ref="D51" authorId="0" shapeId="0" xr:uid="{BADE8A26-2246-42E1-95BD-EAC865312A4C}">
      <text>
        <r>
          <rPr>
            <sz val="9"/>
            <color indexed="81"/>
            <rFont val="Tahoma"/>
            <family val="2"/>
          </rPr>
          <t>{F 01.01, r0237, c 0010}=={F 04.10, r0120, c 0010}_x000D_
DataPointVID 46026_x000D_
DataPointID 46026_x000D_
Accounting portfolio  =  Other non-trading non-derivative financial assets_x000D_
Metric  =  Carrying amount [mi]_x000D_
Base  =  Assets_x000D_
Main category  =  Loans and advances</t>
        </r>
      </text>
    </comment>
    <comment ref="C52" authorId="0" shapeId="0" xr:uid="{77DBEBEA-C166-4AE5-A4EA-1E34AB0FD9BD}">
      <text>
        <r>
          <rPr>
            <sz val="9"/>
            <color indexed="81"/>
            <rFont val="Tahoma"/>
            <family val="2"/>
          </rPr>
          <t>Main category  =  Derivatives_x000D_
Accounting portfolio  =  Hedge accounting</t>
        </r>
      </text>
    </comment>
    <comment ref="D52" authorId="0" shapeId="0" xr:uid="{FB4A6E42-9CCC-4756-881A-27167B9FCE99}">
      <text>
        <r>
          <rPr>
            <sz val="9"/>
            <color indexed="81"/>
            <rFont val="Tahoma"/>
            <family val="2"/>
          </rPr>
          <t>{F 11.01, r0500, c 0010}=={F 01.01, r0240, c 0010}=={F 11.02, r0230, c 0005}_x000D_
DataPointVID 11478_x000D_
DataPointID 11478_x000D_
Accounting portfolio  =  Hedge accounting_x000D_
Metric  =  Carrying amount [mi]_x000D_
Base  =  Assets_x000D_
Main category  =  Derivatives</t>
        </r>
      </text>
    </comment>
    <comment ref="C53" authorId="0" shapeId="0" xr:uid="{B40CDA52-435B-4B49-80D6-3FD040F92988}">
      <text>
        <r>
          <rPr>
            <sz val="9"/>
            <color indexed="81"/>
            <rFont val="Tahoma"/>
            <family val="2"/>
          </rPr>
          <t>Main category  =  Fair value changes_x000D_
Accounting portfolio  =  Other than classified as held for sale_x000D_
Financial reporting standard  =  IAS 39_x000D_
Type of hedge  =  Portfolio fair value hedge of interest rate risk_x000D_
Hedged or hedging instrument  =  Hedged item</t>
        </r>
      </text>
    </comment>
    <comment ref="D53" authorId="0" shapeId="0" xr:uid="{80FA9125-3EF5-420F-ACCF-02B565BC7C80}">
      <text>
        <r>
          <rPr>
            <sz val="9"/>
            <color indexed="81"/>
            <rFont val="Tahoma"/>
            <family val="2"/>
          </rPr>
          <t>DataPointVID 152657_x000D_
DataPointID 32402_x000D_
Accounting portfolio  =  Other than classified as held for sale_x000D_
Metric  =  Carrying amount [mi]_x000D_
Base  =  Assets_x000D_
Financial reporting standard  =  IAS 39_x000D_
Hedged or hedging instrument  =  Hedged item_x000D_
Main category  =  Fair value changes_x000D_
Type of hedge  =  Portfolio fair value hedge of interest rate risk</t>
        </r>
      </text>
    </comment>
    <comment ref="C54" authorId="0" shapeId="0" xr:uid="{6C5FD895-2842-48BC-BBE5-C68FF9A0DC82}">
      <text>
        <r>
          <rPr>
            <sz val="9"/>
            <color indexed="81"/>
            <rFont val="Tahoma"/>
            <family val="2"/>
          </rPr>
          <t>Main category  =  Equity instruments_x000D_
Accounting portfolio  =  Investments in subsidiaries, joint ventures and associates</t>
        </r>
      </text>
    </comment>
    <comment ref="D54" authorId="0" shapeId="0" xr:uid="{1D4B17D4-A643-4918-9A05-E40E2ABA4A80}">
      <text>
        <r>
          <rPr>
            <sz val="9"/>
            <color indexed="81"/>
            <rFont val="Tahoma"/>
            <family val="2"/>
          </rPr>
          <t>DataPointVID 11802_x000D_
DataPointID 11802_x000D_
Accounting portfolio  =  Investments in subsidiaries, joint ventures and associates_x000D_
Metric  =  Carrying amount [mi]_x000D_
Base  =  Assets_x000D_
Main category  =  Equity instruments</t>
        </r>
      </text>
    </comment>
    <comment ref="C55" authorId="0" shapeId="0" xr:uid="{6B2A7E70-6609-4726-A853-A4E029D845D7}">
      <text>
        <r>
          <rPr>
            <sz val="9"/>
            <color indexed="81"/>
            <rFont val="Tahoma"/>
            <family val="2"/>
          </rPr>
          <t>Main category  =  Tangible assets_x000D_
Accounting portfolio  =  Other than classified as held for sale</t>
        </r>
      </text>
    </comment>
    <comment ref="D55" authorId="0" shapeId="0" xr:uid="{8DDDA740-E623-4254-9B52-B06EA6244FB2}">
      <text>
        <r>
          <rPr>
            <sz val="9"/>
            <color indexed="81"/>
            <rFont val="Tahoma"/>
            <family val="2"/>
          </rPr>
          <t>DataPointVID 113158_x000D_
DataPointID 32420_x000D_
Accounting portfolio  =  Other than classified as held for sale_x000D_
Metric  =  Carrying amount [mi]_x000D_
Base  =  Assets_x000D_
Main category  =  Tangible assets</t>
        </r>
      </text>
    </comment>
    <comment ref="C56" authorId="0" shapeId="0" xr:uid="{AD670397-9E17-4905-B439-AB98B87F4B0B}">
      <text>
        <r>
          <rPr>
            <sz val="9"/>
            <color indexed="81"/>
            <rFont val="Tahoma"/>
            <family val="2"/>
          </rPr>
          <t>Main category  =  Tangible assets_x000D_
Accounting portfolio  =  Property, plant and equipment</t>
        </r>
      </text>
    </comment>
    <comment ref="D56" authorId="0" shapeId="0" xr:uid="{7E8D745D-FF0F-46E7-BAB2-FA129B23DB25}">
      <text>
        <r>
          <rPr>
            <sz val="9"/>
            <color indexed="81"/>
            <rFont val="Tahoma"/>
            <family val="2"/>
          </rPr>
          <t>{F 01.01, r0280, c 0010}=={F 42.00, r0010, c 0010}_x000D_
DataPointVID 11922_x000D_
DataPointID 11922_x000D_
Accounting portfolio  =  Property, plant and equipment_x000D_
Metric  =  Carrying amount [mi]_x000D_
Base  =  Assets_x000D_
Main category  =  Tangible assets</t>
        </r>
      </text>
    </comment>
    <comment ref="C57" authorId="0" shapeId="0" xr:uid="{92E55D0D-8889-4E66-B21F-D9BFF0B7F40E}">
      <text>
        <r>
          <rPr>
            <sz val="9"/>
            <color indexed="81"/>
            <rFont val="Tahoma"/>
            <family val="2"/>
          </rPr>
          <t>Main category  =  Tangible assets_x000D_
Accounting portfolio  =  Investment property</t>
        </r>
      </text>
    </comment>
    <comment ref="D57" authorId="0" shapeId="0" xr:uid="{D3742E8E-03C3-4A94-AE67-8A8F6A2995BD}">
      <text>
        <r>
          <rPr>
            <sz val="9"/>
            <color indexed="81"/>
            <rFont val="Tahoma"/>
            <family val="2"/>
          </rPr>
          <t>{F 01.01, r0290, c 0010}=={F 42.00, r0040, c 0010}_x000D_
DataPointVID 11776_x000D_
DataPointID 11776_x000D_
Accounting portfolio  =  Investment property_x000D_
Metric  =  Carrying amount [mi]_x000D_
Base  =  Assets_x000D_
Main category  =  Tangible assets</t>
        </r>
      </text>
    </comment>
    <comment ref="C58" authorId="0" shapeId="0" xr:uid="{72079D55-41C9-47C4-8256-5A6FDAC25A79}">
      <text>
        <r>
          <rPr>
            <sz val="9"/>
            <color indexed="81"/>
            <rFont val="Tahoma"/>
            <family val="2"/>
          </rPr>
          <t>Main category  =  Intangible assets_x000D_
Accounting portfolio  =  Other than classified as held for sale</t>
        </r>
      </text>
    </comment>
    <comment ref="D58" authorId="0" shapeId="0" xr:uid="{C173408C-9C50-47FD-9743-A62E0B8AB332}">
      <text>
        <r>
          <rPr>
            <sz val="9"/>
            <color indexed="81"/>
            <rFont val="Tahoma"/>
            <family val="2"/>
          </rPr>
          <t>DataPointVID 113153_x000D_
DataPointID 32406_x000D_
Accounting portfolio  =  Other than classified as held for sale_x000D_
Metric  =  Carrying amount [mi]_x000D_
Base  =  Assets_x000D_
Main category  =  Intangible assets</t>
        </r>
      </text>
    </comment>
    <comment ref="C59" authorId="0" shapeId="0" xr:uid="{F2D3A7F0-3EC4-451F-85F4-B26B13E56D64}">
      <text>
        <r>
          <rPr>
            <sz val="9"/>
            <color indexed="81"/>
            <rFont val="Tahoma"/>
            <family val="2"/>
          </rPr>
          <t>Main category  =  Goodwill_x000D_
Accounting portfolio  =  Other than classified as held for sale</t>
        </r>
      </text>
    </comment>
    <comment ref="D59" authorId="0" shapeId="0" xr:uid="{280052F6-EA1A-4C31-A4FC-A27E729451AF}">
      <text>
        <r>
          <rPr>
            <sz val="9"/>
            <color indexed="81"/>
            <rFont val="Tahoma"/>
            <family val="2"/>
          </rPr>
          <t>DataPointVID 113151_x000D_
DataPointID 32404_x000D_
Accounting portfolio  =  Other than classified as held for sale_x000D_
Metric  =  Carrying amount [mi]_x000D_
Base  =  Assets_x000D_
Main category  =  Goodwill</t>
        </r>
      </text>
    </comment>
    <comment ref="C60" authorId="0" shapeId="0" xr:uid="{AF188866-78C0-49D4-86FF-0C8A1C29176E}">
      <text>
        <r>
          <rPr>
            <sz val="9"/>
            <color indexed="81"/>
            <rFont val="Tahoma"/>
            <family val="2"/>
          </rPr>
          <t>Main category  =  Intangible assets other than Goodwill_x000D_
Accounting portfolio  =  Other than classified as held for sale</t>
        </r>
      </text>
    </comment>
    <comment ref="D60" authorId="0" shapeId="0" xr:uid="{92E40394-7111-4997-9E1D-9DD5B1CFA434}">
      <text>
        <r>
          <rPr>
            <sz val="9"/>
            <color indexed="81"/>
            <rFont val="Tahoma"/>
            <family val="2"/>
          </rPr>
          <t>{F 01.01, r0320, c 0010}=={F 42.00, r0070, c 0010}_x000D_
DataPointVID 113155_x000D_
DataPointID 32408_x000D_
Accounting portfolio  =  Other than classified as held for sale_x000D_
Metric  =  Carrying amount [mi]_x000D_
Base  =  Assets_x000D_
Main category  =  Intangible assets other than Goodwill</t>
        </r>
      </text>
    </comment>
    <comment ref="C61" authorId="0" shapeId="0" xr:uid="{FF2C925B-764A-48E9-986D-ECB9FE55B409}">
      <text>
        <r>
          <rPr>
            <sz val="9"/>
            <color indexed="81"/>
            <rFont val="Tahoma"/>
            <family val="2"/>
          </rPr>
          <t>Main category  =  Tax assets_x000D_
Accounting portfolio  =  Other than classified as held for sale</t>
        </r>
      </text>
    </comment>
    <comment ref="D61" authorId="0" shapeId="0" xr:uid="{1CB71A7B-23B7-47D8-980A-35FF12B63532}">
      <text>
        <r>
          <rPr>
            <sz val="9"/>
            <color indexed="81"/>
            <rFont val="Tahoma"/>
            <family val="2"/>
          </rPr>
          <t>DataPointVID 113160_x000D_
DataPointID 32422_x000D_
Accounting portfolio  =  Other than classified as held for sale_x000D_
Metric  =  Carrying amount [mi]_x000D_
Base  =  Assets_x000D_
Main category  =  Tax assets</t>
        </r>
      </text>
    </comment>
    <comment ref="C62" authorId="0" shapeId="0" xr:uid="{DFAEECCA-167C-49CD-BFA9-02E87BA94E41}">
      <text>
        <r>
          <rPr>
            <sz val="9"/>
            <color indexed="81"/>
            <rFont val="Tahoma"/>
            <family val="2"/>
          </rPr>
          <t>Main category  =  Current tax assets_x000D_
Accounting portfolio  =  Other than classified as held for sale</t>
        </r>
      </text>
    </comment>
    <comment ref="D62" authorId="0" shapeId="0" xr:uid="{CFBF8C0B-2E82-413E-9C7B-0D0CDA5CA741}">
      <text>
        <r>
          <rPr>
            <sz val="9"/>
            <color indexed="81"/>
            <rFont val="Tahoma"/>
            <family val="2"/>
          </rPr>
          <t>DataPointVID 113145_x000D_
DataPointID 32360_x000D_
Accounting portfolio  =  Other than classified as held for sale_x000D_
Metric  =  Carrying amount [mi]_x000D_
Base  =  Assets_x000D_
Main category  =  Current tax assets</t>
        </r>
      </text>
    </comment>
    <comment ref="C63" authorId="0" shapeId="0" xr:uid="{C849766E-544A-47A7-88AB-B895E12A7B36}">
      <text>
        <r>
          <rPr>
            <sz val="9"/>
            <color indexed="81"/>
            <rFont val="Tahoma"/>
            <family val="2"/>
          </rPr>
          <t>Main category  =  Deferred tax assets_x000D_
Accounting portfolio  =  Other than classified as held for sale</t>
        </r>
      </text>
    </comment>
    <comment ref="D63" authorId="0" shapeId="0" xr:uid="{76175EDB-CF16-4741-BB2C-0CA6E6A3E6D2}">
      <text>
        <r>
          <rPr>
            <sz val="9"/>
            <color indexed="81"/>
            <rFont val="Tahoma"/>
            <family val="2"/>
          </rPr>
          <t>DataPointVID 113147_x000D_
DataPointID 113147_x000D_
Accounting portfolio  =  Other than classified as held for sale_x000D_
Metric  =  Carrying amount [mi]_x000D_
Base  =  Assets_x000D_
Main category  =  Deferred tax assets</t>
        </r>
      </text>
    </comment>
    <comment ref="C64" authorId="0" shapeId="0" xr:uid="{F745EAD2-9F39-4B71-A4BA-2BF17A891AEC}">
      <text>
        <r>
          <rPr>
            <sz val="9"/>
            <color indexed="81"/>
            <rFont val="Tahoma"/>
            <family val="2"/>
          </rPr>
          <t>Main category  =  Assets other than Cash on hand, Derivatives, Debt securities, Loans and advances, Equity instruments, Fair value changes of the hedged items in portfolio hedge of interest rate risk, Tangible assets, Intangible assets, Tax assets_x000D_
Accounting portfolio  =  Other than classified as held for sale</t>
        </r>
      </text>
    </comment>
    <comment ref="D64" authorId="0" shapeId="0" xr:uid="{99076265-51AB-4249-A246-3D7DBFBBDE9E}">
      <text>
        <r>
          <rPr>
            <sz val="9"/>
            <color indexed="81"/>
            <rFont val="Tahoma"/>
            <family val="2"/>
          </rPr>
          <t>DataPointVID 113143_x000D_
DataPointID 32356_x000D_
Accounting portfolio  =  Other than classified as held for sale_x000D_
Metric  =  Carrying amount [mi]_x000D_
Base  =  Assets_x000D_
Main category  =  Assets other than Cash on hand, Derivatives, Debt securities, Loans and advances, Equity instruments, Fair value changes of the hedged items in portfolio hedge of interest rate risk, Tangible assets, Intangible assets, Tax assets</t>
        </r>
      </text>
    </comment>
    <comment ref="C65" authorId="0" shapeId="0" xr:uid="{35983550-47BE-46BF-A754-EB6387CE2945}">
      <text>
        <r>
          <rPr>
            <sz val="9"/>
            <color indexed="81"/>
            <rFont val="Tahoma"/>
            <family val="2"/>
          </rPr>
          <t>Main category  =  All assets_x000D_
Accounting portfolio  =  Classified as held for sale</t>
        </r>
      </text>
    </comment>
    <comment ref="D65" authorId="0" shapeId="0" xr:uid="{91B8E7EA-46A3-4A3D-B777-5B2FD3F3DCE0}">
      <text>
        <r>
          <rPr>
            <sz val="9"/>
            <color indexed="81"/>
            <rFont val="Tahoma"/>
            <family val="2"/>
          </rPr>
          <t>DataPointVID 10903_x000D_
DataPointID 10903_x000D_
Accounting portfolio  =  Classified as held for sale_x000D_
Metric  =  Carrying amount [mi]_x000D_
Base  =  Assets_x000D_
Main category  =  All assets</t>
        </r>
      </text>
    </comment>
    <comment ref="C66" authorId="0" shapeId="0" xr:uid="{4DEF8CD8-D6A9-4B3A-A3C6-AA2F0485B27F}">
      <text>
        <r>
          <rPr>
            <sz val="9"/>
            <color indexed="81"/>
            <rFont val="Tahoma"/>
            <family val="2"/>
          </rPr>
          <t>Main category  =  Haircuts for trading assets at fair value</t>
        </r>
      </text>
    </comment>
    <comment ref="D66" authorId="0" shapeId="0" xr:uid="{19402A6C-1915-4D51-9274-C5AF23126C70}">
      <text>
        <r>
          <rPr>
            <sz val="9"/>
            <color indexed="81"/>
            <rFont val="Tahoma"/>
            <family val="2"/>
          </rPr>
          <t>DataPointVID 155442_x000D_
DataPointID 155442_x000D_
Metric  =  Carrying amount [mi]_x000D_
Base  =  Assets_x000D_
Main category  =  Haircuts for trading assets at fair value</t>
        </r>
      </text>
    </comment>
    <comment ref="C67" authorId="0" shapeId="0" xr:uid="{0ED23317-A051-40E9-BF14-CF286BD88CB8}">
      <text>
        <r>
          <rPr>
            <sz val="9"/>
            <color indexed="81"/>
            <rFont val="Tahoma"/>
            <family val="2"/>
          </rPr>
          <t>Main category  =  All assets</t>
        </r>
      </text>
    </comment>
    <comment ref="D67" authorId="0" shapeId="0" xr:uid="{7BDB12BB-B3EF-4E4C-A555-E116C7DDBB35}">
      <text>
        <r>
          <rPr>
            <sz val="9"/>
            <color indexed="81"/>
            <rFont val="Tahoma"/>
            <family val="2"/>
          </rPr>
          <t>DataPointVID 32354_x000D_
DataPointID 32354_x000D_
Metric  =  Carrying amount [mi]_x000D_
Base  =  Assets_x000D_
Main category  =  All assets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Haizhen Li</author>
  </authors>
  <commentList>
    <comment ref="D6" authorId="0" shapeId="0" xr:uid="{CF31CC71-4290-426E-937D-E29AB4767175}">
      <text>
        <r>
          <rPr>
            <sz val="9"/>
            <color indexed="81"/>
            <rFont val="Tahoma"/>
            <family val="2"/>
          </rPr>
          <t>Metric  =  Carrying amount [mi]_x000D_
Base  =  Liabilities</t>
        </r>
      </text>
    </comment>
    <comment ref="C7" authorId="0" shapeId="0" xr:uid="{490D37D4-CD23-4646-8933-E9195B19ED80}">
      <text>
        <r>
          <rPr>
            <sz val="9"/>
            <color indexed="81"/>
            <rFont val="Tahoma"/>
            <family val="2"/>
          </rPr>
          <t>Main category  =  Derivatives, Short positions, Deposits, Debt securities issued, Other financial liabilities_x000D_
Accounting portfolio  =  Financial liabilities held for trading</t>
        </r>
      </text>
    </comment>
    <comment ref="D7" authorId="0" shapeId="0" xr:uid="{DCE7BC90-B1C0-4D57-B774-C7322799B8BF}">
      <text>
        <r>
          <rPr>
            <sz val="9"/>
            <color indexed="81"/>
            <rFont val="Tahoma"/>
            <family val="2"/>
          </rPr>
          <t>{F 08.01.b, r0450, c 0010}=={F 01.02, r0010, c 0010}_x000D_
DataPointVID 11345_x000D_
DataPointID 11345_x000D_
Accounting portfolio  =  Financial liabilities held for trading_x000D_
Metric  =  Carrying amount [mi]_x000D_
Base  =  Liabilities_x000D_
Main category  =  Derivatives, Short positions, Deposits, Debt securities issued, Other financial liabilities</t>
        </r>
      </text>
    </comment>
    <comment ref="C8" authorId="0" shapeId="0" xr:uid="{0C15D9D9-1070-4EF6-B999-A668AAB2C8ED}">
      <text>
        <r>
          <rPr>
            <sz val="9"/>
            <color indexed="81"/>
            <rFont val="Tahoma"/>
            <family val="2"/>
          </rPr>
          <t>Main category  =  Derivatives_x000D_
Accounting portfolio  =  Financial liabilities held for trading</t>
        </r>
      </text>
    </comment>
    <comment ref="D8" authorId="0" shapeId="0" xr:uid="{828994BC-EC67-41C8-93C0-70B409B26719}">
      <text>
        <r>
          <rPr>
            <sz val="9"/>
            <color indexed="81"/>
            <rFont val="Tahoma"/>
            <family val="2"/>
          </rPr>
          <t>{F 01.02, r0020, c 0010}=={F 08.01.a, r0010, c 0010}_x000D_
DataPointVID 11343_x000D_
DataPointID 11343_x000D_
Accounting portfolio  =  Financial liabilities held for trading_x000D_
Metric  =  Carrying amount [mi]_x000D_
Base  =  Liabilities_x000D_
Main category  =  Derivatives</t>
        </r>
      </text>
    </comment>
    <comment ref="C9" authorId="0" shapeId="0" xr:uid="{E0042268-503D-4A78-9293-F765253678A1}">
      <text>
        <r>
          <rPr>
            <sz val="9"/>
            <color indexed="81"/>
            <rFont val="Tahoma"/>
            <family val="2"/>
          </rPr>
          <t>Main category  =  Short positions_x000D_
Accounting portfolio  =  Financial liabilities held for trading</t>
        </r>
      </text>
    </comment>
    <comment ref="D9" authorId="0" shapeId="0" xr:uid="{AAF11208-7436-4880-A350-9A260460FAF6}">
      <text>
        <r>
          <rPr>
            <sz val="9"/>
            <color indexed="81"/>
            <rFont val="Tahoma"/>
            <family val="2"/>
          </rPr>
          <t>{F 01.02, r0030, c 0010}=={F 08.01.a, r0020, c 0010}_x000D_
DataPointVID 11349_x000D_
DataPointID 11349_x000D_
Accounting portfolio  =  Financial liabilities held for trading_x000D_
Metric  =  Carrying amount [mi]_x000D_
Base  =  Liabilities_x000D_
Main category  =  Short positions</t>
        </r>
      </text>
    </comment>
    <comment ref="C10" authorId="0" shapeId="0" xr:uid="{B7F1A402-94D6-4C4E-9D3D-9F462A2CDCB4}">
      <text>
        <r>
          <rPr>
            <sz val="9"/>
            <color indexed="81"/>
            <rFont val="Tahoma"/>
            <family val="2"/>
          </rPr>
          <t>Main category  =  Deposits_x000D_
Accounting portfolio  =  Financial liabilities held for trading</t>
        </r>
      </text>
    </comment>
    <comment ref="D10" authorId="0" shapeId="0" xr:uid="{B79176F6-D7A0-4258-8AF8-BBC3C54F4296}">
      <text>
        <r>
          <rPr>
            <sz val="9"/>
            <color indexed="81"/>
            <rFont val="Tahoma"/>
            <family val="2"/>
          </rPr>
          <t>{F 01.02, r0040, c 0010}=={F 08.01.a, r0050, c 0010}_x000D_
DataPointVID 11341_x000D_
DataPointID 11341_x000D_
Accounting portfolio  =  Financial liabilities held for trading_x000D_
Metric  =  Carrying amount [mi]_x000D_
Base  =  Liabilities_x000D_
Main category  =  Deposits</t>
        </r>
      </text>
    </comment>
    <comment ref="C11" authorId="0" shapeId="0" xr:uid="{0FCA7F94-9966-45FD-8E91-5F9CA82F5AE1}">
      <text>
        <r>
          <rPr>
            <sz val="9"/>
            <color indexed="81"/>
            <rFont val="Tahoma"/>
            <family val="2"/>
          </rPr>
          <t>Main category  =  Debt securities issued_x000D_
Accounting portfolio  =  Financial liabilities held for trading</t>
        </r>
      </text>
    </comment>
    <comment ref="D11" authorId="0" shapeId="0" xr:uid="{A4A5E7C6-E98C-4855-8848-30A0678A1FCB}">
      <text>
        <r>
          <rPr>
            <sz val="9"/>
            <color indexed="81"/>
            <rFont val="Tahoma"/>
            <family val="2"/>
          </rPr>
          <t>{F 01.02, r0050, c 0010}=={F 08.01.a, r0360, c 0010}_x000D_
DataPointVID 11332_x000D_
DataPointID 11332_x000D_
Accounting portfolio  =  Financial liabilities held for trading_x000D_
Metric  =  Carrying amount [mi]_x000D_
Base  =  Liabilities_x000D_
Main category  =  Debt securities issued</t>
        </r>
      </text>
    </comment>
    <comment ref="C12" authorId="0" shapeId="0" xr:uid="{29A6E792-345C-4136-B43F-953ED65A5ABE}">
      <text>
        <r>
          <rPr>
            <sz val="9"/>
            <color indexed="81"/>
            <rFont val="Tahoma"/>
            <family val="2"/>
          </rPr>
          <t>Main category  =  Other financial liabilities_x000D_
Accounting portfolio  =  Financial liabilities held for trading</t>
        </r>
      </text>
    </comment>
    <comment ref="D12" authorId="0" shapeId="0" xr:uid="{6FDB321A-352E-4065-AD7A-B42DFFEDA310}">
      <text>
        <r>
          <rPr>
            <sz val="9"/>
            <color indexed="81"/>
            <rFont val="Tahoma"/>
            <family val="2"/>
          </rPr>
          <t>{F 01.02, r0060, c 0010}=={F 08.01.a, r0440, c 0010}_x000D_
DataPointVID 11347_x000D_
DataPointID 11347_x000D_
Accounting portfolio  =  Financial liabilities held for trading_x000D_
Metric  =  Carrying amount [mi]_x000D_
Base  =  Liabilities_x000D_
Main category  =  Other financial liabilities</t>
        </r>
      </text>
    </comment>
    <comment ref="C13" authorId="0" shapeId="0" xr:uid="{9D2580A6-D08D-4EFD-9A8D-080F85F5E332}">
      <text>
        <r>
          <rPr>
            <sz val="9"/>
            <color indexed="81"/>
            <rFont val="Tahoma"/>
            <family val="2"/>
          </rPr>
          <t>Main category  =  Derivatives, Short positions, Deposits, Debt securities issued, Other financial liabilities_x000D_
Accounting portfolio  =  Trading financial liabilities</t>
        </r>
      </text>
    </comment>
    <comment ref="D13" authorId="0" shapeId="0" xr:uid="{727FDF12-3DBB-4348-B5D9-CEBC1E58EB73}">
      <text>
        <r>
          <rPr>
            <sz val="9"/>
            <color indexed="81"/>
            <rFont val="Tahoma"/>
            <family val="2"/>
          </rPr>
          <t>{F 08.01.b, r0450, c 0034}=={F 01.02, r0061, c 0010}_x000D_
DataPointVID 45982_x000D_
DataPointID 45982_x000D_
Accounting portfolio  =  Trading financial liabilities_x000D_
Metric  =  Carrying amount [mi]_x000D_
Base  =  Liabilities_x000D_
Main category  =  Derivatives, Short positions, Deposits, Debt securities issued, Other financial liabilities</t>
        </r>
      </text>
    </comment>
    <comment ref="C14" authorId="0" shapeId="0" xr:uid="{C7E4DC16-302A-422C-A8FB-16F5254CDE5A}">
      <text>
        <r>
          <rPr>
            <sz val="9"/>
            <color indexed="81"/>
            <rFont val="Tahoma"/>
            <family val="2"/>
          </rPr>
          <t>Main category  =  Derivatives_x000D_
Accounting portfolio  =  Trading financial liabilities</t>
        </r>
      </text>
    </comment>
    <comment ref="D14" authorId="0" shapeId="0" xr:uid="{DDA926A8-7512-4D59-A5E0-4729B46AC7D4}">
      <text>
        <r>
          <rPr>
            <sz val="9"/>
            <color indexed="81"/>
            <rFont val="Tahoma"/>
            <family val="2"/>
          </rPr>
          <t>{F 01.02, r0062, c 0010}=={F 08.01.a, r0010, c 0034}_x000D_
DataPointVID 45981_x000D_
DataPointID 45981_x000D_
Accounting portfolio  =  Trading financial liabilities_x000D_
Metric  =  Carrying amount [mi]_x000D_
Base  =  Liabilities_x000D_
Main category  =  Derivatives</t>
        </r>
      </text>
    </comment>
    <comment ref="C15" authorId="0" shapeId="0" xr:uid="{2C55CE41-099B-4FEC-AF3A-49539DB1CA5E}">
      <text>
        <r>
          <rPr>
            <sz val="9"/>
            <color indexed="81"/>
            <rFont val="Tahoma"/>
            <family val="2"/>
          </rPr>
          <t>Main category  =  Short positions_x000D_
Accounting portfolio  =  Trading financial liabilities</t>
        </r>
      </text>
    </comment>
    <comment ref="D15" authorId="0" shapeId="0" xr:uid="{8B87638A-819F-45C1-8740-FC6900E34676}">
      <text>
        <r>
          <rPr>
            <sz val="9"/>
            <color indexed="81"/>
            <rFont val="Tahoma"/>
            <family val="2"/>
          </rPr>
          <t>{F 01.02, r0063, c 0010}=={F 08.01.a, r0020, c 0034}_x000D_
DataPointVID 45984_x000D_
DataPointID 45984_x000D_
Accounting portfolio  =  Trading financial liabilities_x000D_
Metric  =  Carrying amount [mi]_x000D_
Base  =  Liabilities_x000D_
Main category  =  Short positions</t>
        </r>
      </text>
    </comment>
    <comment ref="C16" authorId="0" shapeId="0" xr:uid="{A14BF0F8-7B37-46AB-BC33-72C1B1D13808}">
      <text>
        <r>
          <rPr>
            <sz val="9"/>
            <color indexed="81"/>
            <rFont val="Tahoma"/>
            <family val="2"/>
          </rPr>
          <t>Main category  =  Deposits_x000D_
Accounting portfolio  =  Trading financial liabilities</t>
        </r>
      </text>
    </comment>
    <comment ref="D16" authorId="0" shapeId="0" xr:uid="{0E14CE04-50CA-4B7F-B4D3-EF71B343AC01}">
      <text>
        <r>
          <rPr>
            <sz val="9"/>
            <color indexed="81"/>
            <rFont val="Tahoma"/>
            <family val="2"/>
          </rPr>
          <t>{F 01.02, r0064, c 0010}=={F 08.01.a, r0050, c 0034}_x000D_
DataPointVID 45980_x000D_
DataPointID 45980_x000D_
Accounting portfolio  =  Trading financial liabilities_x000D_
Metric  =  Carrying amount [mi]_x000D_
Base  =  Liabilities_x000D_
Main category  =  Deposits</t>
        </r>
      </text>
    </comment>
    <comment ref="C17" authorId="0" shapeId="0" xr:uid="{63E33A97-F80C-407F-9C3B-7B81707B4A42}">
      <text>
        <r>
          <rPr>
            <sz val="9"/>
            <color indexed="81"/>
            <rFont val="Tahoma"/>
            <family val="2"/>
          </rPr>
          <t>Main category  =  Debt securities issued_x000D_
Accounting portfolio  =  Trading financial liabilities</t>
        </r>
      </text>
    </comment>
    <comment ref="D17" authorId="0" shapeId="0" xr:uid="{0E06EF1C-7FA3-4168-94A5-CB40FF37DF09}">
      <text>
        <r>
          <rPr>
            <sz val="9"/>
            <color indexed="81"/>
            <rFont val="Tahoma"/>
            <family val="2"/>
          </rPr>
          <t>{F 01.02, r0065, c 0010}=={F 08.01.a, r0360, c 0034}_x000D_
DataPointVID 45972_x000D_
DataPointID 45972_x000D_
Accounting portfolio  =  Trading financial liabilities_x000D_
Metric  =  Carrying amount [mi]_x000D_
Base  =  Liabilities_x000D_
Main category  =  Debt securities issued</t>
        </r>
      </text>
    </comment>
    <comment ref="C18" authorId="0" shapeId="0" xr:uid="{C19F894D-CACB-4DD1-8836-ED36BEAE9C2B}">
      <text>
        <r>
          <rPr>
            <sz val="9"/>
            <color indexed="81"/>
            <rFont val="Tahoma"/>
            <family val="2"/>
          </rPr>
          <t>Main category  =  Other financial liabilities_x000D_
Accounting portfolio  =  Trading financial liabilities</t>
        </r>
      </text>
    </comment>
    <comment ref="D18" authorId="0" shapeId="0" xr:uid="{AD844B2E-A8E6-4504-9594-BA03127DF3BB}">
      <text>
        <r>
          <rPr>
            <sz val="9"/>
            <color indexed="81"/>
            <rFont val="Tahoma"/>
            <family val="2"/>
          </rPr>
          <t>{F 01.02, r0066, c 0010}=={F 08.01.a, r0440, c 0034}_x000D_
DataPointVID 45983_x000D_
DataPointID 45983_x000D_
Accounting portfolio  =  Trading financial liabilities_x000D_
Metric  =  Carrying amount [mi]_x000D_
Base  =  Liabilities_x000D_
Main category  =  Other financial liabilities</t>
        </r>
      </text>
    </comment>
    <comment ref="C19" authorId="0" shapeId="0" xr:uid="{2845048B-7058-4495-93ED-A2775C3B0346}">
      <text>
        <r>
          <rPr>
            <sz val="9"/>
            <color indexed="81"/>
            <rFont val="Tahoma"/>
            <family val="2"/>
          </rPr>
          <t>Main category  =  Deposits, Debt securities issued, Other financial liabilities_x000D_
Accounting portfolio  =  Financial liabilities designated at fair value through profit or loss</t>
        </r>
      </text>
    </comment>
    <comment ref="D19" authorId="0" shapeId="0" xr:uid="{C10A4FE1-E84D-45CC-B1FD-998B50A5048E}">
      <text>
        <r>
          <rPr>
            <sz val="9"/>
            <color indexed="81"/>
            <rFont val="Tahoma"/>
            <family val="2"/>
          </rPr>
          <t>{F 08.01.b, r0450, c 0020}=={F 01.02, r0070, c 0010}_x000D_
DataPointVID 11247_x000D_
DataPointID 11247_x000D_
Accounting portfolio  =  Financial liabilities designated at fair value through profit or loss_x000D_
Metric  =  Carrying amount [mi]_x000D_
Base  =  Liabilities_x000D_
Main category  =  Deposits, Debt securities issued, Other financial liabilities</t>
        </r>
      </text>
    </comment>
    <comment ref="C20" authorId="0" shapeId="0" xr:uid="{175BBAD1-A37C-4646-B17F-BF24748678D2}">
      <text>
        <r>
          <rPr>
            <sz val="9"/>
            <color indexed="81"/>
            <rFont val="Tahoma"/>
            <family val="2"/>
          </rPr>
          <t>Main category  =  Deposits_x000D_
Accounting portfolio  =  Financial liabilities designated at fair value through profit or loss</t>
        </r>
      </text>
    </comment>
    <comment ref="D20" authorId="0" shapeId="0" xr:uid="{303354F6-3A6B-4EC9-B272-B44CA065203B}">
      <text>
        <r>
          <rPr>
            <sz val="9"/>
            <color indexed="81"/>
            <rFont val="Tahoma"/>
            <family val="2"/>
          </rPr>
          <t>{F 01.02, r0080, c 0010}=={F 08.01.a, r0050, c 0020}_x000D_
DataPointVID 11243_x000D_
DataPointID 11243_x000D_
Accounting portfolio  =  Financial liabilities designated at fair value through profit or loss_x000D_
Metric  =  Carrying amount [mi]_x000D_
Base  =  Liabilities_x000D_
Main category  =  Deposits</t>
        </r>
      </text>
    </comment>
    <comment ref="C21" authorId="0" shapeId="0" xr:uid="{17491FE8-BBF4-4E9A-B48F-7953EB0354DC}">
      <text>
        <r>
          <rPr>
            <sz val="9"/>
            <color indexed="81"/>
            <rFont val="Tahoma"/>
            <family val="2"/>
          </rPr>
          <t>Main category  =  Debt securities issued_x000D_
Accounting portfolio  =  Financial liabilities designated at fair value through profit or loss</t>
        </r>
      </text>
    </comment>
    <comment ref="D21" authorId="0" shapeId="0" xr:uid="{65A6DB98-C4DA-4AA5-9FF6-7CDB6B597CD7}">
      <text>
        <r>
          <rPr>
            <sz val="9"/>
            <color indexed="81"/>
            <rFont val="Tahoma"/>
            <family val="2"/>
          </rPr>
          <t>{F 01.02, r0090, c 0010}=={F 08.01.a, r0360, c 0020}_x000D_
DataPointVID 11233_x000D_
DataPointID 11233_x000D_
Accounting portfolio  =  Financial liabilities designated at fair value through profit or loss_x000D_
Metric  =  Carrying amount [mi]_x000D_
Base  =  Liabilities_x000D_
Main category  =  Debt securities issued</t>
        </r>
      </text>
    </comment>
    <comment ref="C22" authorId="0" shapeId="0" xr:uid="{0C201406-8288-4A13-80E6-ABE15DEC9C39}">
      <text>
        <r>
          <rPr>
            <sz val="9"/>
            <color indexed="81"/>
            <rFont val="Tahoma"/>
            <family val="2"/>
          </rPr>
          <t>Main category  =  Other financial liabilities_x000D_
Accounting portfolio  =  Financial liabilities designated at fair value through profit or loss</t>
        </r>
      </text>
    </comment>
    <comment ref="D22" authorId="0" shapeId="0" xr:uid="{1E749020-CD90-4A01-AA07-734A74596C8C}">
      <text>
        <r>
          <rPr>
            <sz val="9"/>
            <color indexed="81"/>
            <rFont val="Tahoma"/>
            <family val="2"/>
          </rPr>
          <t>{F 01.02, r0100, c 0010}=={F 08.01.a, r0440, c 0020}_x000D_
DataPointVID 11249_x000D_
DataPointID 11249_x000D_
Accounting portfolio  =  Financial liabilities designated at fair value through profit or loss_x000D_
Metric  =  Carrying amount [mi]_x000D_
Base  =  Liabilities_x000D_
Main category  =  Other financial liabilities</t>
        </r>
      </text>
    </comment>
    <comment ref="C23" authorId="0" shapeId="0" xr:uid="{0C0E00FC-B942-4310-896A-2E76813875A3}">
      <text>
        <r>
          <rPr>
            <sz val="9"/>
            <color indexed="81"/>
            <rFont val="Tahoma"/>
            <family val="2"/>
          </rPr>
          <t>Main category  =  Deposits, Debt securities issued, Other financial liabilities_x000D_
Accounting portfolio  =  Financial liabilities measured at amortised cost</t>
        </r>
      </text>
    </comment>
    <comment ref="D23" authorId="0" shapeId="0" xr:uid="{CDB74B8C-F556-4735-A58E-F4307FFA82FE}">
      <text>
        <r>
          <rPr>
            <sz val="9"/>
            <color indexed="81"/>
            <rFont val="Tahoma"/>
            <family val="2"/>
          </rPr>
          <t>{F 08.01.b, r0450, c 0030}=={F 01.02, r0110, c 0010}_x000D_
DataPointVID 11451_x000D_
DataPointID 11451_x000D_
Accounting portfolio  =  Financial liabilities measured at amortised cost_x000D_
Metric  =  Carrying amount [mi]_x000D_
Base  =  Liabilities_x000D_
Main category  =  Deposits, Debt securities issued, Other financial liabilities</t>
        </r>
      </text>
    </comment>
    <comment ref="C24" authorId="0" shapeId="0" xr:uid="{3711C5AC-5582-48F7-BD8C-924E75FC50EA}">
      <text>
        <r>
          <rPr>
            <sz val="9"/>
            <color indexed="81"/>
            <rFont val="Tahoma"/>
            <family val="2"/>
          </rPr>
          <t>Main category  =  Deposits_x000D_
Accounting portfolio  =  Financial liabilities measured at amortised cost</t>
        </r>
      </text>
    </comment>
    <comment ref="D24" authorId="0" shapeId="0" xr:uid="{AD8C0920-20D2-4DF8-9F0D-6B0474783CEA}">
      <text>
        <r>
          <rPr>
            <sz val="9"/>
            <color indexed="81"/>
            <rFont val="Tahoma"/>
            <family val="2"/>
          </rPr>
          <t>{F 01.02, r0120, c 0010}=={F 08.01.a, r0050, c 0030}_x000D_
DataPointVID 11447_x000D_
DataPointID 11447_x000D_
Accounting portfolio  =  Financial liabilities measured at amortised cost_x000D_
Metric  =  Carrying amount [mi]_x000D_
Base  =  Liabilities_x000D_
Main category  =  Deposits</t>
        </r>
      </text>
    </comment>
    <comment ref="C25" authorId="0" shapeId="0" xr:uid="{D3513E7F-26E1-48D3-982D-B09E642415A5}">
      <text>
        <r>
          <rPr>
            <sz val="9"/>
            <color indexed="81"/>
            <rFont val="Tahoma"/>
            <family val="2"/>
          </rPr>
          <t>Main category  =  Debt securities issued_x000D_
Accounting portfolio  =  Financial liabilities measured at amortised cost</t>
        </r>
      </text>
    </comment>
    <comment ref="D25" authorId="0" shapeId="0" xr:uid="{67922A8F-544D-49E2-888E-7777E7DC8FB7}">
      <text>
        <r>
          <rPr>
            <sz val="9"/>
            <color indexed="81"/>
            <rFont val="Tahoma"/>
            <family val="2"/>
          </rPr>
          <t>{F 01.02, r0130, c 0010}=={F 08.01.a, r0360, c 0030}_x000D_
DataPointVID 11437_x000D_
DataPointID 11437_x000D_
Accounting portfolio  =  Financial liabilities measured at amortised cost_x000D_
Metric  =  Carrying amount [mi]_x000D_
Base  =  Liabilities_x000D_
Main category  =  Debt securities issued</t>
        </r>
      </text>
    </comment>
    <comment ref="C26" authorId="0" shapeId="0" xr:uid="{5E002AF5-EFC8-42E1-8A4D-D659FE851594}">
      <text>
        <r>
          <rPr>
            <sz val="9"/>
            <color indexed="81"/>
            <rFont val="Tahoma"/>
            <family val="2"/>
          </rPr>
          <t>Main category  =  Other financial liabilities_x000D_
Accounting portfolio  =  Financial liabilities measured at amortised cost</t>
        </r>
      </text>
    </comment>
    <comment ref="D26" authorId="0" shapeId="0" xr:uid="{CBA54E75-3328-4B1C-AF58-596A688793C9}">
      <text>
        <r>
          <rPr>
            <sz val="9"/>
            <color indexed="81"/>
            <rFont val="Tahoma"/>
            <family val="2"/>
          </rPr>
          <t>{F 01.02, r0140, c 0010}=={F 08.01.a, r0440, c 0030}_x000D_
DataPointVID 11453_x000D_
DataPointID 11453_x000D_
Accounting portfolio  =  Financial liabilities measured at amortised cost_x000D_
Metric  =  Carrying amount [mi]_x000D_
Base  =  Liabilities_x000D_
Main category  =  Other financial liabilities</t>
        </r>
      </text>
    </comment>
    <comment ref="C27" authorId="0" shapeId="0" xr:uid="{49825FA2-1FC6-465A-A2F3-2E61B744AA1B}">
      <text>
        <r>
          <rPr>
            <sz val="9"/>
            <color indexed="81"/>
            <rFont val="Tahoma"/>
            <family val="2"/>
          </rPr>
          <t>Main category  =  Deposits, Debt securities issued, Other financial liabilities_x000D_
Accounting portfolio  =  Non-trading non-derivative financial liabilities measured at a cost-based method</t>
        </r>
      </text>
    </comment>
    <comment ref="D27" authorId="0" shapeId="0" xr:uid="{5191FE5D-4379-4F58-8D6E-E17311494D48}">
      <text>
        <r>
          <rPr>
            <sz val="9"/>
            <color indexed="81"/>
            <rFont val="Tahoma"/>
            <family val="2"/>
          </rPr>
          <t>{F 08.01.b, r0450, c 0035}=={F 01.02, r0141, c 0010}_x000D_
DataPointVID 45849_x000D_
DataPointID 45849_x000D_
Accounting portfolio  =  Non-trading non-derivative financial liabilities measured at a cost-based method_x000D_
Metric  =  Carrying amount [mi]_x000D_
Base  =  Liabilities_x000D_
Main category  =  Deposits, Debt securities issued, Other financial liabilities</t>
        </r>
      </text>
    </comment>
    <comment ref="C28" authorId="0" shapeId="0" xr:uid="{A8A7FF53-E3E8-4172-BA3E-A467FF30BDBF}">
      <text>
        <r>
          <rPr>
            <sz val="9"/>
            <color indexed="81"/>
            <rFont val="Tahoma"/>
            <family val="2"/>
          </rPr>
          <t>Main category  =  Deposits_x000D_
Accounting portfolio  =  Non-trading non-derivative financial liabilities measured at a cost-based method</t>
        </r>
      </text>
    </comment>
    <comment ref="D28" authorId="0" shapeId="0" xr:uid="{BF899655-69AF-4479-BEC9-08BBBC75B41B}">
      <text>
        <r>
          <rPr>
            <sz val="9"/>
            <color indexed="81"/>
            <rFont val="Tahoma"/>
            <family val="2"/>
          </rPr>
          <t>{F 01.02, r0142, c 0010}=={F 08.01.a, r0050, c 0035}_x000D_
DataPointVID 45846_x000D_
DataPointID 45846_x000D_
Accounting portfolio  =  Non-trading non-derivative financial liabilities measured at a cost-based method_x000D_
Metric  =  Carrying amount [mi]_x000D_
Base  =  Liabilities_x000D_
Main category  =  Deposits</t>
        </r>
      </text>
    </comment>
    <comment ref="C29" authorId="0" shapeId="0" xr:uid="{0CC77BE3-88AB-489F-A556-E898183722AD}">
      <text>
        <r>
          <rPr>
            <sz val="9"/>
            <color indexed="81"/>
            <rFont val="Tahoma"/>
            <family val="2"/>
          </rPr>
          <t>Main category  =  Debt securities issued_x000D_
Accounting portfolio  =  Non-trading non-derivative financial liabilities measured at a cost-based method</t>
        </r>
      </text>
    </comment>
    <comment ref="D29" authorId="0" shapeId="0" xr:uid="{41DBF5D4-8C63-48B1-AC68-CBB29ADF67C3}">
      <text>
        <r>
          <rPr>
            <sz val="9"/>
            <color indexed="81"/>
            <rFont val="Tahoma"/>
            <family val="2"/>
          </rPr>
          <t>{F 01.02, r0143, c 0010}=={F 08.01.a, r0360, c 0035}_x000D_
DataPointVID 45837_x000D_
DataPointID 45837_x000D_
Accounting portfolio  =  Non-trading non-derivative financial liabilities measured at a cost-based method_x000D_
Metric  =  Carrying amount [mi]_x000D_
Base  =  Liabilities_x000D_
Main category  =  Debt securities issued</t>
        </r>
      </text>
    </comment>
    <comment ref="C30" authorId="0" shapeId="0" xr:uid="{782896AE-97B4-4F64-ADBE-C01BAA1D9011}">
      <text>
        <r>
          <rPr>
            <sz val="9"/>
            <color indexed="81"/>
            <rFont val="Tahoma"/>
            <family val="2"/>
          </rPr>
          <t>Main category  =  Other financial liabilities_x000D_
Accounting portfolio  =  Non-trading non-derivative financial liabilities measured at a cost-based method</t>
        </r>
      </text>
    </comment>
    <comment ref="D30" authorId="0" shapeId="0" xr:uid="{E910F330-21BB-4E0C-A24C-0C08C4012C51}">
      <text>
        <r>
          <rPr>
            <sz val="9"/>
            <color indexed="81"/>
            <rFont val="Tahoma"/>
            <family val="2"/>
          </rPr>
          <t>{F 01.02, r0144, c 0010}=={F 08.01.a, r0440, c 0035}_x000D_
DataPointVID 45851_x000D_
DataPointID 45851_x000D_
Accounting portfolio  =  Non-trading non-derivative financial liabilities measured at a cost-based method_x000D_
Metric  =  Carrying amount [mi]_x000D_
Base  =  Liabilities_x000D_
Main category  =  Other financial liabilities</t>
        </r>
      </text>
    </comment>
    <comment ref="C31" authorId="0" shapeId="0" xr:uid="{11A284E1-7CBE-46FC-8A15-B8ABB06E729F}">
      <text>
        <r>
          <rPr>
            <sz val="9"/>
            <color indexed="81"/>
            <rFont val="Tahoma"/>
            <family val="2"/>
          </rPr>
          <t>Main category  =  Derivatives_x000D_
Accounting portfolio  =  Hedge accounting</t>
        </r>
      </text>
    </comment>
    <comment ref="D31" authorId="0" shapeId="0" xr:uid="{B4B9C870-A06D-4214-9849-E8075B00B16D}">
      <text>
        <r>
          <rPr>
            <sz val="9"/>
            <color indexed="81"/>
            <rFont val="Tahoma"/>
            <family val="2"/>
          </rPr>
          <t>{F 11.01, r0500, c 0020}=={F 08.01.b, r0450, c 0037}=={F 01.02, r0150, c 0010}=={F 11.02, r0230, c 0007}=={F 08.01.a, r0010, c 0037}_x000D_
DataPointVID 11485_x000D_
DataPointID 11485_x000D_
Accounting portfolio  =  Hedge accounting_x000D_
Metric  =  Carrying amount [mi]_x000D_
Base  =  Liabilities_x000D_
Main category  =  Derivatives</t>
        </r>
      </text>
    </comment>
    <comment ref="C32" authorId="0" shapeId="0" xr:uid="{1C8AB9AA-9189-41E3-9458-15E07FD3AA7A}">
      <text>
        <r>
          <rPr>
            <sz val="9"/>
            <color indexed="81"/>
            <rFont val="Tahoma"/>
            <family val="2"/>
          </rPr>
          <t>Main category  =  Fair value changes_x000D_
Accounting portfolio  =  Other than classified as held for sale_x000D_
Financial reporting standard  =  IAS 39_x000D_
Type of hedge  =  Portfolio fair value hedge of interest rate risk_x000D_
Hedged or hedging instrument  =  Hedged item</t>
        </r>
      </text>
    </comment>
    <comment ref="D32" authorId="0" shapeId="0" xr:uid="{31E85899-95F0-4935-A630-0638679C2E05}">
      <text>
        <r>
          <rPr>
            <sz val="9"/>
            <color indexed="81"/>
            <rFont val="Tahoma"/>
            <family val="2"/>
          </rPr>
          <t>DataPointVID 152663_x000D_
DataPointID 32629_x000D_
Accounting portfolio  =  Other than classified as held for sale_x000D_
Metric  =  Carrying amount [mi]_x000D_
Base  =  Liabilities_x000D_
Financial reporting standard  =  IAS 39_x000D_
Hedged or hedging instrument  =  Hedged item_x000D_
Main category  =  Fair value changes_x000D_
Type of hedge  =  Portfolio fair value hedge of interest rate risk</t>
        </r>
      </text>
    </comment>
    <comment ref="C33" authorId="0" shapeId="0" xr:uid="{CF0518FA-FC6A-4689-BF7F-525D174CD09C}">
      <text>
        <r>
          <rPr>
            <sz val="9"/>
            <color indexed="81"/>
            <rFont val="Tahoma"/>
            <family val="2"/>
          </rPr>
          <t>Main category  =  Provisions_x000D_
Accounting portfolio  =  Other than classified as held for sale</t>
        </r>
      </text>
    </comment>
    <comment ref="D33" authorId="0" shapeId="0" xr:uid="{5E45205C-62F4-434E-BAC4-E782182C8B73}">
      <text>
        <r>
          <rPr>
            <sz val="9"/>
            <color indexed="81"/>
            <rFont val="Tahoma"/>
            <family val="2"/>
          </rPr>
          <t>DataPointVID 113181_x000D_
DataPointID 32633_x000D_
Accounting portfolio  =  Other than classified as held for sale_x000D_
Metric  =  Carrying amount [mi]_x000D_
Base  =  Liabilities_x000D_
Main category  =  Provisions</t>
        </r>
      </text>
    </comment>
    <comment ref="C34" authorId="0" shapeId="0" xr:uid="{0D0CF3A6-1B4A-4C7B-8740-3F7EA3A91F56}">
      <text>
        <r>
          <rPr>
            <sz val="9"/>
            <color indexed="81"/>
            <rFont val="Tahoma"/>
            <family val="2"/>
          </rPr>
          <t>Main category  =  Provisions_x000D_
Accounting portfolio  =  Other than classified as held for sale_x000D_
Main category that generates the provision  =  Funds for general banking risks</t>
        </r>
      </text>
    </comment>
    <comment ref="D34" authorId="0" shapeId="0" xr:uid="{91B29BFB-76AA-40CA-8B01-3B98E598A5EA}">
      <text>
        <r>
          <rPr>
            <sz val="9"/>
            <color indexed="81"/>
            <rFont val="Tahoma"/>
            <family val="2"/>
          </rPr>
          <t>DataPointVID 152669_x000D_
DataPointID 46317_x000D_
Accounting portfolio  =  Other than classified as held for sale_x000D_
Metric  =  Carrying amount [mi]_x000D_
Base  =  Liabilities_x000D_
Main category that generates the provision  =  Funds for general banking risks_x000D_
Main category  =  Provisions</t>
        </r>
      </text>
    </comment>
    <comment ref="C35" authorId="0" shapeId="0" xr:uid="{3E7E727A-1983-4057-997F-B5EE5AAE2413}">
      <text>
        <r>
          <rPr>
            <sz val="9"/>
            <color indexed="81"/>
            <rFont val="Tahoma"/>
            <family val="2"/>
          </rPr>
          <t>Main category  =  Provisions_x000D_
Accounting portfolio  =  Other than classified as held for sale_x000D_
Main category that generates the provision  =  Employee benefits. Pension and other post-employment defined benefit obligations</t>
        </r>
      </text>
    </comment>
    <comment ref="D35" authorId="0" shapeId="0" xr:uid="{C94F24FA-0CAA-4F7F-A1F5-FE601A8F92E0}">
      <text>
        <r>
          <rPr>
            <sz val="9"/>
            <color indexed="81"/>
            <rFont val="Tahoma"/>
            <family val="2"/>
          </rPr>
          <t>{F 01.02, r0180, c 0010}=={F 43.00, r0070, c 0010}_x000D_
DataPointVID 152673_x000D_
DataPointID 113186_x000D_
Accounting portfolio  =  Other than classified as held for sale_x000D_
Metric  =  Carrying amount [mi]_x000D_
Base  =  Liabilities_x000D_
Main category that generates the provision  =  Employee benefits. Pension and other post-employment defined benefit obligations_x000D_
Main category  =  Provisions</t>
        </r>
      </text>
    </comment>
    <comment ref="C36" authorId="0" shapeId="0" xr:uid="{E01B0237-3A0C-45A2-989F-33D350561BC3}">
      <text>
        <r>
          <rPr>
            <sz val="9"/>
            <color indexed="81"/>
            <rFont val="Tahoma"/>
            <family val="2"/>
          </rPr>
          <t>Main category  =  Provisions_x000D_
Accounting portfolio  =  Other than classified as held for sale_x000D_
Main category that generates the provision  =  Employee benefits. Other than pension and other post-employment defined benefit obligations</t>
        </r>
      </text>
    </comment>
    <comment ref="D36" authorId="0" shapeId="0" xr:uid="{1A94404E-4824-437B-80F7-25A7CFB3C1AF}">
      <text>
        <r>
          <rPr>
            <sz val="9"/>
            <color indexed="81"/>
            <rFont val="Tahoma"/>
            <family val="2"/>
          </rPr>
          <t>{F 01.02, r0190, c 0010}=={F 43.00, r0070, c 0020}_x000D_
DataPointVID 152671_x000D_
DataPointID 32636_x000D_
Accounting portfolio  =  Other than classified as held for sale_x000D_
Metric  =  Carrying amount [mi]_x000D_
Base  =  Liabilities_x000D_
Main category that generates the provision  =  Employee benefits. Other than pension and other post-employment defined benefit obligations_x000D_
Main category  =  Provisions</t>
        </r>
      </text>
    </comment>
    <comment ref="C37" authorId="0" shapeId="0" xr:uid="{993DABA9-A55F-483A-B22D-F700403CF3FD}">
      <text>
        <r>
          <rPr>
            <sz val="9"/>
            <color indexed="81"/>
            <rFont val="Tahoma"/>
            <family val="2"/>
          </rPr>
          <t>Main category  =  Provisions_x000D_
Accounting portfolio  =  Other than classified as held for sale_x000D_
Main category that generates the provision  =  Restructuring</t>
        </r>
      </text>
    </comment>
    <comment ref="D37" authorId="0" shapeId="0" xr:uid="{AB981BA3-9EDE-4155-9C99-F2F416933B5A}">
      <text>
        <r>
          <rPr>
            <sz val="9"/>
            <color indexed="81"/>
            <rFont val="Tahoma"/>
            <family val="2"/>
          </rPr>
          <t>{F 01.02, r0200, c 0010}=={F 43.00, r0070, c 0030}_x000D_
DataPointVID 152679_x000D_
DataPointID 32646_x000D_
Accounting portfolio  =  Other than classified as held for sale_x000D_
Metric  =  Carrying amount [mi]_x000D_
Base  =  Liabilities_x000D_
Main category that generates the provision  =  Restructuring_x000D_
Main category  =  Provisions</t>
        </r>
      </text>
    </comment>
    <comment ref="C38" authorId="0" shapeId="0" xr:uid="{3C8A9D17-0649-4698-A734-9735B034113E}">
      <text>
        <r>
          <rPr>
            <sz val="9"/>
            <color indexed="81"/>
            <rFont val="Tahoma"/>
            <family val="2"/>
          </rPr>
          <t>Main category  =  Provisions_x000D_
Accounting portfolio  =  Other than classified as held for sale_x000D_
Main category that generates the provision  =  Pending legal issues and tax litigation</t>
        </r>
      </text>
    </comment>
    <comment ref="D38" authorId="0" shapeId="0" xr:uid="{12FD0150-5197-4538-B96A-A42C58AF4F78}">
      <text>
        <r>
          <rPr>
            <sz val="9"/>
            <color indexed="81"/>
            <rFont val="Tahoma"/>
            <family val="2"/>
          </rPr>
          <t>{F 01.02, r0210, c 0010}=={F 43.00, r0070, c 0040}_x000D_
DataPointVID 152677_x000D_
DataPointID 32644_x000D_
Accounting portfolio  =  Other than classified as held for sale_x000D_
Metric  =  Carrying amount [mi]_x000D_
Base  =  Liabilities_x000D_
Main category that generates the provision  =  Pending legal issues and tax litigation_x000D_
Main category  =  Provisions</t>
        </r>
      </text>
    </comment>
    <comment ref="C39" authorId="0" shapeId="0" xr:uid="{46A595CC-8D9E-40BC-ABC5-4E36CFEF80CD}">
      <text>
        <r>
          <rPr>
            <sz val="9"/>
            <color indexed="81"/>
            <rFont val="Tahoma"/>
            <family val="2"/>
          </rPr>
          <t>Main category  =  Provisions_x000D_
Accounting portfolio  =  Other than classified as held for sale_x000D_
Main category that generates the provision  =  Off-balance sheet exposures subject to credit risk</t>
        </r>
      </text>
    </comment>
    <comment ref="D39" authorId="0" shapeId="0" xr:uid="{D8DD4865-0B15-4A95-B7D6-12B04B3C5E7E}">
      <text>
        <r>
          <rPr>
            <sz val="9"/>
            <color indexed="81"/>
            <rFont val="Tahoma"/>
            <family val="2"/>
          </rPr>
          <t>DataPointVID 152670_x000D_
DataPointID 152670_x000D_
Accounting portfolio  =  Other than classified as held for sale_x000D_
Metric  =  Carrying amount [mi]_x000D_
Base  =  Liabilities_x000D_
Main category that generates the provision  =  Off-balance sheet exposures subject to credit risk_x000D_
Main category  =  Provisions</t>
        </r>
      </text>
    </comment>
    <comment ref="C40" authorId="0" shapeId="0" xr:uid="{137ECF83-FD12-4D61-92A5-33EC632C4276}">
      <text>
        <r>
          <rPr>
            <sz val="9"/>
            <color indexed="81"/>
            <rFont val="Tahoma"/>
            <family val="2"/>
          </rPr>
          <t>Main category  =  Provisions_x000D_
Accounting portfolio  =  Other than classified as held for sale_x000D_
Main category that generates the provision  =  Other than Employee benefits, Restructuring, Pending legal issues and tax litigation, Off-balance sheet exposures subject to credit risk</t>
        </r>
      </text>
    </comment>
    <comment ref="D40" authorId="0" shapeId="0" xr:uid="{46CD1A60-F1CF-428F-97A3-7B214D65434F}">
      <text>
        <r>
          <rPr>
            <sz val="9"/>
            <color indexed="81"/>
            <rFont val="Tahoma"/>
            <family val="2"/>
          </rPr>
          <t>{F 01.02, r0230, c 0010}=={F 43.00, r0070, c 0060}_x000D_
DataPointVID 152675_x000D_
DataPointID 32642_x000D_
Accounting portfolio  =  Other than classified as held for sale_x000D_
Metric  =  Carrying amount [mi]_x000D_
Base  =  Liabilities_x000D_
Main category that generates the provision  =  Other than Employee benefits, Restructuring, Pending legal issues and tax litigation, Off-balance sheet exposures subject to credit risk_x000D_
Main category  =  Provisions</t>
        </r>
      </text>
    </comment>
    <comment ref="C41" authorId="0" shapeId="0" xr:uid="{FA33FC18-92AA-48AD-B8D6-37D925C1C86B}">
      <text>
        <r>
          <rPr>
            <sz val="9"/>
            <color indexed="81"/>
            <rFont val="Tahoma"/>
            <family val="2"/>
          </rPr>
          <t>Main category  =  Tax liabilities_x000D_
Accounting portfolio  =  Other than classified as held for sale</t>
        </r>
      </text>
    </comment>
    <comment ref="D41" authorId="0" shapeId="0" xr:uid="{268F6261-ACFD-4A23-8533-D49458B423D0}">
      <text>
        <r>
          <rPr>
            <sz val="9"/>
            <color indexed="81"/>
            <rFont val="Tahoma"/>
            <family val="2"/>
          </rPr>
          <t>DataPointVID 113198_x000D_
DataPointID 32651_x000D_
Accounting portfolio  =  Other than classified as held for sale_x000D_
Metric  =  Carrying amount [mi]_x000D_
Base  =  Liabilities_x000D_
Main category  =  Tax liabilities</t>
        </r>
      </text>
    </comment>
    <comment ref="C42" authorId="0" shapeId="0" xr:uid="{06AEE416-3FDE-45EA-BFB3-9F6647421509}">
      <text>
        <r>
          <rPr>
            <sz val="9"/>
            <color indexed="81"/>
            <rFont val="Tahoma"/>
            <family val="2"/>
          </rPr>
          <t>Main category  =  Current tax liabilities_x000D_
Accounting portfolio  =  Other than classified as held for sale</t>
        </r>
      </text>
    </comment>
    <comment ref="D42" authorId="0" shapeId="0" xr:uid="{4EA555D4-CC41-4C73-833C-12D435EC45D7}">
      <text>
        <r>
          <rPr>
            <sz val="9"/>
            <color indexed="81"/>
            <rFont val="Tahoma"/>
            <family val="2"/>
          </rPr>
          <t>DataPointVID 113173_x000D_
DataPointID 32594_x000D_
Accounting portfolio  =  Other than classified as held for sale_x000D_
Metric  =  Carrying amount [mi]_x000D_
Base  =  Liabilities_x000D_
Main category  =  Current tax liabilities</t>
        </r>
      </text>
    </comment>
    <comment ref="C43" authorId="0" shapeId="0" xr:uid="{584CDE3D-4283-4C75-B1E3-9EE2B5D38432}">
      <text>
        <r>
          <rPr>
            <sz val="9"/>
            <color indexed="81"/>
            <rFont val="Tahoma"/>
            <family val="2"/>
          </rPr>
          <t>Main category  =  Deferred tax liabilities_x000D_
Accounting portfolio  =  Other than classified as held for sale</t>
        </r>
      </text>
    </comment>
    <comment ref="D43" authorId="0" shapeId="0" xr:uid="{35F7FDCA-B8DA-4629-8D0B-BB7D7C6AC293}">
      <text>
        <r>
          <rPr>
            <sz val="9"/>
            <color indexed="81"/>
            <rFont val="Tahoma"/>
            <family val="2"/>
          </rPr>
          <t>DataPointVID 113175_x000D_
DataPointID 113175_x000D_
Accounting portfolio  =  Other than classified as held for sale_x000D_
Metric  =  Carrying amount [mi]_x000D_
Base  =  Liabilities_x000D_
Main category  =  Deferred tax liabilities</t>
        </r>
      </text>
    </comment>
    <comment ref="C44" authorId="0" shapeId="0" xr:uid="{79AC19C8-298E-4ED9-ACCE-07F3CC6A43DF}">
      <text>
        <r>
          <rPr>
            <sz val="9"/>
            <color indexed="81"/>
            <rFont val="Tahoma"/>
            <family val="2"/>
          </rPr>
          <t>Main category  =  Share capital repayable on demand_x000D_
Accounting portfolio  =  Other than classified as held for sale</t>
        </r>
      </text>
    </comment>
    <comment ref="D44" authorId="0" shapeId="0" xr:uid="{80D5D127-5F19-4512-BAF1-D143DD50D95D}">
      <text>
        <r>
          <rPr>
            <sz val="9"/>
            <color indexed="81"/>
            <rFont val="Tahoma"/>
            <family val="2"/>
          </rPr>
          <t>DataPointVID 113196_x000D_
DataPointID 32648_x000D_
Accounting portfolio  =  Other than classified as held for sale_x000D_
Metric  =  Carrying amount [mi]_x000D_
Base  =  Liabilities_x000D_
Main category  =  Share capital repayable on demand</t>
        </r>
      </text>
    </comment>
    <comment ref="C45" authorId="0" shapeId="0" xr:uid="{8DBA24A7-107C-453E-A63A-BC8850C59294}">
      <text>
        <r>
          <rPr>
            <sz val="9"/>
            <color indexed="81"/>
            <rFont val="Tahoma"/>
            <family val="2"/>
          </rPr>
          <t>Main category  =  Liabilities other than Derivatives, Short positions, Deposits, Debt securities issued, Other financial liabilities, Fair value changes of hedged items in portfolio hedge of interest rate risk, Provisions, Tax liabilities, Share capital repayable on demand_x000D_
Accounting portfolio  =  Other than classified as held for sale</t>
        </r>
      </text>
    </comment>
    <comment ref="D45" authorId="0" shapeId="0" xr:uid="{26EA6E9F-5480-45FF-A1AF-46DAAA313821}">
      <text>
        <r>
          <rPr>
            <sz val="9"/>
            <color indexed="81"/>
            <rFont val="Tahoma"/>
            <family val="2"/>
          </rPr>
          <t>DataPointVID 113179_x000D_
DataPointID 32631_x000D_
Accounting portfolio  =  Other than classified as held for sale_x000D_
Metric  =  Carrying amount [mi]_x000D_
Base  =  Liabilities_x000D_
Main category  =  Liabilities other than Derivatives, Short positions, Deposits, Debt securities issued, Other financial liabilities, Fair value changes of hedged items in portfolio hedge of interest rate risk, Provisions, Tax liabilities, Share capital repayable on demand</t>
        </r>
      </text>
    </comment>
    <comment ref="C46" authorId="0" shapeId="0" xr:uid="{F06C40A9-9F5D-4527-B220-EAF42279F604}">
      <text>
        <r>
          <rPr>
            <sz val="9"/>
            <color indexed="81"/>
            <rFont val="Tahoma"/>
            <family val="2"/>
          </rPr>
          <t>Main category  =  All liabilities_x000D_
Accounting portfolio  =  Classified as held for sale</t>
        </r>
      </text>
    </comment>
    <comment ref="D46" authorId="0" shapeId="0" xr:uid="{EF0C2201-B050-4C37-9A75-4A49A26198DB}">
      <text>
        <r>
          <rPr>
            <sz val="9"/>
            <color indexed="81"/>
            <rFont val="Tahoma"/>
            <family val="2"/>
          </rPr>
          <t>DataPointVID 10907_x000D_
DataPointID 10907_x000D_
Accounting portfolio  =  Classified as held for sale_x000D_
Metric  =  Carrying amount [mi]_x000D_
Base  =  Liabilities_x000D_
Main category  =  All liabilities</t>
        </r>
      </text>
    </comment>
    <comment ref="C47" authorId="0" shapeId="0" xr:uid="{2000BC75-CE3F-44B2-97C9-7A0B8CE71C8D}">
      <text>
        <r>
          <rPr>
            <sz val="9"/>
            <color indexed="81"/>
            <rFont val="Tahoma"/>
            <family val="2"/>
          </rPr>
          <t>Main category  =  Haircuts for trading liabilities at fair value</t>
        </r>
      </text>
    </comment>
    <comment ref="D47" authorId="0" shapeId="0" xr:uid="{8BDA68BC-C537-4455-A11D-A62F07AADA4F}">
      <text>
        <r>
          <rPr>
            <sz val="9"/>
            <color indexed="81"/>
            <rFont val="Tahoma"/>
            <family val="2"/>
          </rPr>
          <t>DataPointVID 155640_x000D_
DataPointID 155640_x000D_
Metric  =  Carrying amount [mi]_x000D_
Base  =  Liabilities_x000D_
Main category  =  Haircuts for trading liabilities at fair value</t>
        </r>
      </text>
    </comment>
    <comment ref="C48" authorId="0" shapeId="0" xr:uid="{2F5FE5BC-1CDE-44AA-859B-153B0F525A09}">
      <text>
        <r>
          <rPr>
            <sz val="9"/>
            <color indexed="81"/>
            <rFont val="Tahoma"/>
            <family val="2"/>
          </rPr>
          <t>Main category  =  All liabilities</t>
        </r>
      </text>
    </comment>
    <comment ref="D48" authorId="0" shapeId="0" xr:uid="{F94A1922-6070-4A7B-952C-A36450EFFF0A}">
      <text>
        <r>
          <rPr>
            <sz val="9"/>
            <color indexed="81"/>
            <rFont val="Tahoma"/>
            <family val="2"/>
          </rPr>
          <t>DataPointVID 32592_x000D_
DataPointID 32592_x000D_
Metric  =  Carrying amount [mi]_x000D_
Base  =  Liabilities_x000D_
Main category  =  All liabilities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Haizhen Li</author>
  </authors>
  <commentList>
    <comment ref="D7" authorId="0" shapeId="0" xr:uid="{65B28BAA-07C7-425A-8040-19AB06D48A6B}">
      <text>
        <r>
          <rPr>
            <sz val="9"/>
            <color indexed="81"/>
            <rFont val="Tahoma"/>
            <family val="2"/>
          </rPr>
          <t>Metric  =  Nominal amount [mi]_x000D_
Base  =  Off balance sheet items_x000D_
Impairment status  =  Instruments without significant increase in credit risk (Stage 1)_x000D_
Financial reporting standard  =  IFRS 9 impairment</t>
        </r>
      </text>
    </comment>
    <comment ref="E7" authorId="0" shapeId="0" xr:uid="{00CE07F2-3A39-4FAE-B7BB-A14163E05011}">
      <text>
        <r>
          <rPr>
            <sz val="9"/>
            <color indexed="81"/>
            <rFont val="Tahoma"/>
            <family val="2"/>
          </rPr>
          <t>Metric  =  Nominal amount [mi]_x000D_
Base  =  Off balance sheet items_x000D_
Impairment status  =  Instruments with significant increase in credit risk (Stage 2)_x000D_
Financial reporting standard  =  IFRS 9 impairment</t>
        </r>
      </text>
    </comment>
    <comment ref="F7" authorId="0" shapeId="0" xr:uid="{BFDD6851-ED2D-4497-94DF-250F3810214C}">
      <text>
        <r>
          <rPr>
            <sz val="9"/>
            <color indexed="81"/>
            <rFont val="Tahoma"/>
            <family val="2"/>
          </rPr>
          <t>Metric  =  Nominal amount [mi]_x000D_
Base  =  Off balance sheet items_x000D_
Impairment status  =  Instruments with significant increase in credit risk. Credit impaired  assets (Stage 3)_x000D_
Financial reporting standard  =  IFRS 9 impairment</t>
        </r>
      </text>
    </comment>
    <comment ref="G7" authorId="0" shapeId="0" xr:uid="{A5CDBDD3-83F6-4B75-84AD-7B6253F35148}">
      <text>
        <r>
          <rPr>
            <sz val="9"/>
            <color indexed="81"/>
            <rFont val="Tahoma"/>
            <family val="2"/>
          </rPr>
          <t>Metric  =  Nominal amount [mi]_x000D_
Base  =  Off balance sheet items_x000D_
Impairment status  =  Instruments with significant increase in credit risk. Purchased or originated credit-impaired instruments_x000D_
Financial reporting standard  =  IFRS 9 impairment</t>
        </r>
      </text>
    </comment>
    <comment ref="H7" authorId="0" shapeId="0" xr:uid="{CB0128AD-FD37-4F4E-8D9B-2FDD0CA6AD44}">
      <text>
        <r>
          <rPr>
            <sz val="9"/>
            <color indexed="81"/>
            <rFont val="Tahoma"/>
            <family val="2"/>
          </rPr>
          <t>Metric  =  Carrying amount [mi]_x000D_
Base  =  Liabilities_x000D_
Impairment status  =  Instruments without significant increase in credit risk (Stage 1)_x000D_
Financial reporting standard  =  IFRS 9 impairment</t>
        </r>
      </text>
    </comment>
    <comment ref="I7" authorId="0" shapeId="0" xr:uid="{2C8DA3D9-1CC3-427D-BDC2-86836A7FC1F2}">
      <text>
        <r>
          <rPr>
            <sz val="9"/>
            <color indexed="81"/>
            <rFont val="Tahoma"/>
            <family val="2"/>
          </rPr>
          <t>Metric  =  Carrying amount [mi]_x000D_
Base  =  Liabilities_x000D_
Impairment status  =  Instruments with significant increase in credit risk (Stage 2)_x000D_
Financial reporting standard  =  IFRS 9 impairment</t>
        </r>
      </text>
    </comment>
    <comment ref="J7" authorId="0" shapeId="0" xr:uid="{BD0A095A-512E-47E4-B262-97F5B9B9C5B1}">
      <text>
        <r>
          <rPr>
            <sz val="9"/>
            <color indexed="81"/>
            <rFont val="Tahoma"/>
            <family val="2"/>
          </rPr>
          <t>Metric  =  Carrying amount [mi]_x000D_
Base  =  Liabilities_x000D_
Impairment status  =  Instruments with significant increase in credit risk. Credit impaired  assets (Stage 3)_x000D_
Financial reporting standard  =  IFRS 9 impairment</t>
        </r>
      </text>
    </comment>
    <comment ref="K7" authorId="0" shapeId="0" xr:uid="{AE784544-9033-43D2-ADD1-80737E01CF6F}">
      <text>
        <r>
          <rPr>
            <sz val="9"/>
            <color indexed="81"/>
            <rFont val="Tahoma"/>
            <family val="2"/>
          </rPr>
          <t>Metric  =  Carrying amount [mi]_x000D_
Base  =  Liabilities_x000D_
Impairment status  =  Instruments with significant increase in credit risk. Purchased or originated credit-impaired instruments_x000D_
Financial reporting standard  =  IFRS 9 impairment</t>
        </r>
      </text>
    </comment>
    <comment ref="L7" authorId="0" shapeId="0" xr:uid="{9D78B43A-DF0C-4D24-ADE1-E12C21706A41}">
      <text>
        <r>
          <rPr>
            <sz val="9"/>
            <color indexed="81"/>
            <rFont val="Tahoma"/>
            <family val="2"/>
          </rPr>
          <t>Metric  =  Nominal amount [mi]_x000D_
Base  =  Off balance sheet items_x000D_
Financial reporting standard  =  IAS 37 or IFRS 4</t>
        </r>
      </text>
    </comment>
    <comment ref="M7" authorId="0" shapeId="0" xr:uid="{BA4A22C2-A40D-4A7B-9CE5-B21D1DDE4101}">
      <text>
        <r>
          <rPr>
            <sz val="9"/>
            <color indexed="81"/>
            <rFont val="Tahoma"/>
            <family val="2"/>
          </rPr>
          <t>Metric  =  Carrying amount [mi]_x000D_
Base  =  Liabilities_x000D_
Financial reporting standard  =  IAS 37 or IFRS 4</t>
        </r>
      </text>
    </comment>
    <comment ref="N7" authorId="0" shapeId="0" xr:uid="{8D59C82E-FD3C-4DAE-AD9C-95B02FB44E01}">
      <text>
        <r>
          <rPr>
            <sz val="9"/>
            <color indexed="81"/>
            <rFont val="Tahoma"/>
            <family val="2"/>
          </rPr>
          <t>Metric  =  Nominal amount [mi]_x000D_
Base  =  Memorandum items_x000D_
Financial reporting standard  =  IFRS 9 fair valued commitments and financial guarantees</t>
        </r>
      </text>
    </comment>
    <comment ref="O7" authorId="0" shapeId="0" xr:uid="{AE5EE2C4-E4BC-43A6-90C8-A528E8B183AF}">
      <text>
        <r>
          <rPr>
            <sz val="9"/>
            <color indexed="81"/>
            <rFont val="Tahoma"/>
            <family val="2"/>
          </rPr>
          <t>Metric  =  Accumulated negative changes in fair value due to credit risk [mi]_x000D_
Base  =  Liabilities_x000D_
Financial reporting standard  =  IFRS 9 fair valued commitments and financial guarantees</t>
        </r>
      </text>
    </comment>
    <comment ref="C8" authorId="0" shapeId="0" xr:uid="{7E8A0F14-C703-4776-8229-12AD523F63D8}">
      <text>
        <r>
          <rPr>
            <sz val="9"/>
            <color indexed="81"/>
            <rFont val="Tahoma"/>
            <family val="2"/>
          </rPr>
          <t>Main category  =  Loan commitments given</t>
        </r>
      </text>
    </comment>
    <comment ref="D8" authorId="0" shapeId="0" xr:uid="{5E7B2E3F-43C1-4C62-90A2-1464FABE7DC9}">
      <text>
        <r>
          <rPr>
            <sz val="9"/>
            <color indexed="81"/>
            <rFont val="Tahoma"/>
            <family val="2"/>
          </rPr>
          <t>DataPointVID 155917_x000D_
DataPointID 155917_x000D_
Metric  =  Nominal amount [mi]_x000D_
Base  =  Off balance sheet items_x000D_
Financial reporting standard  =  IFRS 9 impairment_x000D_
Impairment status  =  Instruments without significant increase in credit risk (Stage 1)_x000D_
Main category  =  Loan commitments given</t>
        </r>
      </text>
    </comment>
    <comment ref="E8" authorId="0" shapeId="0" xr:uid="{078F26A5-9A02-4F43-834D-E4D2DB60F4F4}">
      <text>
        <r>
          <rPr>
            <sz val="9"/>
            <color indexed="81"/>
            <rFont val="Tahoma"/>
            <family val="2"/>
          </rPr>
          <t>DataPointVID 155923_x000D_
DataPointID 155923_x000D_
Metric  =  Nominal amount [mi]_x000D_
Base  =  Off balance sheet items_x000D_
Financial reporting standard  =  IFRS 9 impairment_x000D_
Impairment status  =  Instruments with significant increase in credit risk (Stage 2)_x000D_
Main category  =  Loan commitments given</t>
        </r>
      </text>
    </comment>
    <comment ref="F8" authorId="0" shapeId="0" xr:uid="{38D000ED-A575-4F4E-947F-40149A019B23}">
      <text>
        <r>
          <rPr>
            <sz val="9"/>
            <color indexed="81"/>
            <rFont val="Tahoma"/>
            <family val="2"/>
          </rPr>
          <t>DataPointVID 155929_x000D_
DataPointID 155929_x000D_
Metric  =  Nominal amount [mi]_x000D_
Base  =  Off balance sheet items_x000D_
Financial reporting standard  =  IFRS 9 impairment_x000D_
Impairment status  =  Instruments with significant increase in credit risk. Credit impaired  assets (Stage 3)_x000D_
Main category  =  Loan commitments given</t>
        </r>
      </text>
    </comment>
    <comment ref="H8" authorId="0" shapeId="0" xr:uid="{E4741AF0-5C39-4DDA-A192-CFF3412BE33C}">
      <text>
        <r>
          <rPr>
            <sz val="9"/>
            <color indexed="81"/>
            <rFont val="Tahoma"/>
            <family val="2"/>
          </rPr>
          <t>DataPointVID 155600_x000D_
DataPointID 155600_x000D_
Metric  =  Carrying amount [mi]_x000D_
Base  =  Liabilities_x000D_
Financial reporting standard  =  IFRS 9 impairment_x000D_
Impairment status  =  Instruments without significant increase in credit risk (Stage 1)_x000D_
Main category  =  Loan commitments given</t>
        </r>
      </text>
    </comment>
    <comment ref="I8" authorId="0" shapeId="0" xr:uid="{A49A428E-E721-4E1B-9D2C-5B75D374316E}">
      <text>
        <r>
          <rPr>
            <sz val="9"/>
            <color indexed="81"/>
            <rFont val="Tahoma"/>
            <family val="2"/>
          </rPr>
          <t>DataPointVID 155606_x000D_
DataPointID 155606_x000D_
Metric  =  Carrying amount [mi]_x000D_
Base  =  Liabilities_x000D_
Financial reporting standard  =  IFRS 9 impairment_x000D_
Impairment status  =  Instruments with significant increase in credit risk (Stage 2)_x000D_
Main category  =  Loan commitments given</t>
        </r>
      </text>
    </comment>
    <comment ref="J8" authorId="0" shapeId="0" xr:uid="{4123B422-862F-412B-9359-BDEC53B4CC02}">
      <text>
        <r>
          <rPr>
            <sz val="9"/>
            <color indexed="81"/>
            <rFont val="Tahoma"/>
            <family val="2"/>
          </rPr>
          <t>DataPointVID 155612_x000D_
DataPointID 155612_x000D_
Metric  =  Carrying amount [mi]_x000D_
Base  =  Liabilities_x000D_
Financial reporting standard  =  IFRS 9 impairment_x000D_
Impairment status  =  Instruments with significant increase in credit risk. Credit impaired  assets (Stage 3)_x000D_
Main category  =  Loan commitments given</t>
        </r>
      </text>
    </comment>
    <comment ref="L8" authorId="0" shapeId="0" xr:uid="{B22CE540-C4EF-4A29-A1ED-BBC420614DCC}">
      <text>
        <r>
          <rPr>
            <sz val="9"/>
            <color indexed="81"/>
            <rFont val="Tahoma"/>
            <family val="2"/>
          </rPr>
          <t>DataPointVID 155935_x000D_
DataPointID 155935_x000D_
Metric  =  Nominal amount [mi]_x000D_
Base  =  Off balance sheet items_x000D_
Financial reporting standard  =  IAS 37 or IFRS 4_x000D_
Main category  =  Loan commitments given</t>
        </r>
      </text>
    </comment>
    <comment ref="M8" authorId="0" shapeId="0" xr:uid="{0D0AB8A3-8510-44A7-A3DB-E89BA32C8DA7}">
      <text>
        <r>
          <rPr>
            <sz val="9"/>
            <color indexed="81"/>
            <rFont val="Tahoma"/>
            <family val="2"/>
          </rPr>
          <t>DataPointVID 155618_x000D_
DataPointID 155618_x000D_
Metric  =  Carrying amount [mi]_x000D_
Base  =  Liabilities_x000D_
Financial reporting standard  =  IAS 37 or IFRS 4_x000D_
Main category  =  Loan commitments given</t>
        </r>
      </text>
    </comment>
    <comment ref="N8" authorId="0" shapeId="0" xr:uid="{8BC5A781-87B4-44DA-B530-593993954449}">
      <text>
        <r>
          <rPr>
            <sz val="9"/>
            <color indexed="81"/>
            <rFont val="Tahoma"/>
            <family val="2"/>
          </rPr>
          <t>DataPointVID 155821_x000D_
DataPointID 155821_x000D_
Metric  =  Nominal amount [mi]_x000D_
Base  =  Memorandum items_x000D_
Financial reporting standard  =  IFRS 9 fair valued commitments and financial guarantees_x000D_
Main category  =  Loan commitments given</t>
        </r>
      </text>
    </comment>
    <comment ref="C9" authorId="0" shapeId="0" xr:uid="{0166C820-06ED-4FC9-9F7F-F88243836C97}">
      <text>
        <r>
          <rPr>
            <sz val="9"/>
            <color indexed="81"/>
            <rFont val="Tahoma"/>
            <family val="2"/>
          </rPr>
          <t>Main category  =  Loan commitments given_x000D_
Performing status  =  Non-performing exposures</t>
        </r>
      </text>
    </comment>
    <comment ref="D9" authorId="0" shapeId="0" xr:uid="{EA59D56D-E2D5-4E41-A422-EE875936FBE1}">
      <text>
        <r>
          <rPr>
            <sz val="9"/>
            <color indexed="81"/>
            <rFont val="Tahoma"/>
            <family val="2"/>
          </rPr>
          <t>DataPointVID 155918_x000D_
DataPointID 155918_x000D_
Metric  =  Nominal amount [mi]_x000D_
Base  =  Off balance sheet items_x000D_
Financial reporting standard  =  IFRS 9 impairment_x000D_
Impairment status  =  Instruments without significant increase in credit risk (Stage 1)_x000D_
Main category  =  Loan commitments given_x000D_
Performing status  =  Non-performing exposures</t>
        </r>
      </text>
    </comment>
    <comment ref="E9" authorId="0" shapeId="0" xr:uid="{82E3D8B1-30ED-4B11-B16C-C2D014FE6B3F}">
      <text>
        <r>
          <rPr>
            <sz val="9"/>
            <color indexed="81"/>
            <rFont val="Tahoma"/>
            <family val="2"/>
          </rPr>
          <t>DataPointVID 155924_x000D_
DataPointID 155924_x000D_
Metric  =  Nominal amount [mi]_x000D_
Base  =  Off balance sheet items_x000D_
Financial reporting standard  =  IFRS 9 impairment_x000D_
Impairment status  =  Instruments with significant increase in credit risk (Stage 2)_x000D_
Main category  =  Loan commitments given_x000D_
Performing status  =  Non-performing exposures</t>
        </r>
      </text>
    </comment>
    <comment ref="F9" authorId="0" shapeId="0" xr:uid="{7F751B8D-028E-4B90-8CAB-213AA75E8857}">
      <text>
        <r>
          <rPr>
            <sz val="9"/>
            <color indexed="81"/>
            <rFont val="Tahoma"/>
            <family val="2"/>
          </rPr>
          <t>DataPointVID 155930_x000D_
DataPointID 155930_x000D_
Metric  =  Nominal amount [mi]_x000D_
Base  =  Off balance sheet items_x000D_
Financial reporting standard  =  IFRS 9 impairment_x000D_
Impairment status  =  Instruments with significant increase in credit risk. Credit impaired  assets (Stage 3)_x000D_
Main category  =  Loan commitments given_x000D_
Performing status  =  Non-performing exposures</t>
        </r>
      </text>
    </comment>
    <comment ref="H9" authorId="0" shapeId="0" xr:uid="{9B5A8B41-EFD6-40B7-BF96-5D57E2496537}">
      <text>
        <r>
          <rPr>
            <sz val="9"/>
            <color indexed="81"/>
            <rFont val="Tahoma"/>
            <family val="2"/>
          </rPr>
          <t>DataPointVID 155601_x000D_
DataPointID 155601_x000D_
Metric  =  Carrying amount [mi]_x000D_
Base  =  Liabilities_x000D_
Financial reporting standard  =  IFRS 9 impairment_x000D_
Impairment status  =  Instruments without significant increase in credit risk (Stage 1)_x000D_
Main category  =  Loan commitments given_x000D_
Performing status  =  Non-performing exposures</t>
        </r>
      </text>
    </comment>
    <comment ref="I9" authorId="0" shapeId="0" xr:uid="{F7912B53-DB85-4B4F-8161-632F65F2A84C}">
      <text>
        <r>
          <rPr>
            <sz val="9"/>
            <color indexed="81"/>
            <rFont val="Tahoma"/>
            <family val="2"/>
          </rPr>
          <t>DataPointVID 155607_x000D_
DataPointID 155607_x000D_
Metric  =  Carrying amount [mi]_x000D_
Base  =  Liabilities_x000D_
Financial reporting standard  =  IFRS 9 impairment_x000D_
Impairment status  =  Instruments with significant increase in credit risk (Stage 2)_x000D_
Main category  =  Loan commitments given_x000D_
Performing status  =  Non-performing exposures</t>
        </r>
      </text>
    </comment>
    <comment ref="J9" authorId="0" shapeId="0" xr:uid="{4840246D-3F0C-4D3D-AD3D-BEC0119ACF67}">
      <text>
        <r>
          <rPr>
            <sz val="9"/>
            <color indexed="81"/>
            <rFont val="Tahoma"/>
            <family val="2"/>
          </rPr>
          <t>DataPointVID 155613_x000D_
DataPointID 155613_x000D_
Metric  =  Carrying amount [mi]_x000D_
Base  =  Liabilities_x000D_
Financial reporting standard  =  IFRS 9 impairment_x000D_
Impairment status  =  Instruments with significant increase in credit risk. Credit impaired  assets (Stage 3)_x000D_
Main category  =  Loan commitments given_x000D_
Performing status  =  Non-performing exposures</t>
        </r>
      </text>
    </comment>
    <comment ref="L9" authorId="0" shapeId="0" xr:uid="{7B668900-B896-42E0-BE76-76475745BC39}">
      <text>
        <r>
          <rPr>
            <sz val="9"/>
            <color indexed="81"/>
            <rFont val="Tahoma"/>
            <family val="2"/>
          </rPr>
          <t>DataPointVID 155936_x000D_
DataPointID 155936_x000D_
Metric  =  Nominal amount [mi]_x000D_
Base  =  Off balance sheet items_x000D_
Financial reporting standard  =  IAS 37 or IFRS 4_x000D_
Main category  =  Loan commitments given_x000D_
Performing status  =  Non-performing exposures</t>
        </r>
      </text>
    </comment>
    <comment ref="M9" authorId="0" shapeId="0" xr:uid="{3CF5C3A2-4562-45CF-B30F-721A28ACB500}">
      <text>
        <r>
          <rPr>
            <sz val="9"/>
            <color indexed="81"/>
            <rFont val="Tahoma"/>
            <family val="2"/>
          </rPr>
          <t>DataPointVID 155619_x000D_
DataPointID 155619_x000D_
Metric  =  Carrying amount [mi]_x000D_
Base  =  Liabilities_x000D_
Financial reporting standard  =  IAS 37 or IFRS 4_x000D_
Main category  =  Loan commitments given_x000D_
Performing status  =  Non-performing exposures</t>
        </r>
      </text>
    </comment>
    <comment ref="N9" authorId="0" shapeId="0" xr:uid="{5B65AB82-C6CF-452A-BB6C-C3124275525A}">
      <text>
        <r>
          <rPr>
            <sz val="9"/>
            <color indexed="81"/>
            <rFont val="Tahoma"/>
            <family val="2"/>
          </rPr>
          <t>DataPointVID 155822_x000D_
DataPointID 155822_x000D_
Metric  =  Nominal amount [mi]_x000D_
Base  =  Memorandum items_x000D_
Financial reporting standard  =  IFRS 9 fair valued commitments and financial guarantees_x000D_
Main category  =  Loan commitments given_x000D_
Performing status  =  Non-performing exposures</t>
        </r>
      </text>
    </comment>
    <comment ref="O9" authorId="0" shapeId="0" xr:uid="{02D7A2D8-2B4E-47C9-8495-9BF7E4AB2F9C}">
      <text>
        <r>
          <rPr>
            <sz val="9"/>
            <color indexed="81"/>
            <rFont val="Tahoma"/>
            <family val="2"/>
          </rPr>
          <t>DataPointVID 155981_x000D_
DataPointID 155981_x000D_
Metric  =  Accumulated negative changes in fair value due to credit risk [mi]_x000D_
Base  =  Liabilities_x000D_
Financial reporting standard  =  IFRS 9 fair valued commitments and financial guarantees_x000D_
Main category  =  Loan commitments given_x000D_
Performing status  =  Non-performing exposures</t>
        </r>
      </text>
    </comment>
    <comment ref="C10" authorId="0" shapeId="0" xr:uid="{D36E2874-3D99-4394-80A6-112A7F467E7F}">
      <text>
        <r>
          <rPr>
            <sz val="9"/>
            <color indexed="81"/>
            <rFont val="Tahoma"/>
            <family val="2"/>
          </rPr>
          <t>Main category  =  Loan commitments given_x000D_
Counterparty sector  =  Central banks</t>
        </r>
      </text>
    </comment>
    <comment ref="D10" authorId="0" shapeId="0" xr:uid="{C368A0C7-5AEF-419F-838F-BAAA3EE7C0EC}">
      <text>
        <r>
          <rPr>
            <sz val="9"/>
            <color indexed="81"/>
            <rFont val="Tahoma"/>
            <family val="2"/>
          </rPr>
          <t>DataPointVID 155826_x000D_
DataPointID 155826_x000D_
Metric  =  Nominal amount [mi]_x000D_
Base  =  Off balance sheet items_x000D_
Counterparty sector  =  Central banks_x000D_
Financial reporting standard  =  IFRS 9 impairment_x000D_
Impairment status  =  Instruments without significant increase in credit risk (Stage 1)_x000D_
Main category  =  Loan commitments given</t>
        </r>
      </text>
    </comment>
    <comment ref="E10" authorId="0" shapeId="0" xr:uid="{2C9525CB-B5EE-4739-9E65-D571E64C31FD}">
      <text>
        <r>
          <rPr>
            <sz val="9"/>
            <color indexed="81"/>
            <rFont val="Tahoma"/>
            <family val="2"/>
          </rPr>
          <t>DataPointVID 155829_x000D_
DataPointID 155829_x000D_
Metric  =  Nominal amount [mi]_x000D_
Base  =  Off balance sheet items_x000D_
Counterparty sector  =  Central banks_x000D_
Financial reporting standard  =  IFRS 9 impairment_x000D_
Impairment status  =  Instruments with significant increase in credit risk (Stage 2)_x000D_
Main category  =  Loan commitments given</t>
        </r>
      </text>
    </comment>
    <comment ref="F10" authorId="0" shapeId="0" xr:uid="{6E71953D-0856-4D69-B988-9F1C6E0F93CE}">
      <text>
        <r>
          <rPr>
            <sz val="9"/>
            <color indexed="81"/>
            <rFont val="Tahoma"/>
            <family val="2"/>
          </rPr>
          <t>DataPointVID 155832_x000D_
DataPointID 155832_x000D_
Metric  =  Nominal amount [mi]_x000D_
Base  =  Off balance sheet items_x000D_
Counterparty sector  =  Central banks_x000D_
Financial reporting standard  =  IFRS 9 impairment_x000D_
Impairment status  =  Instruments with significant increase in credit risk. Credit impaired  assets (Stage 3)_x000D_
Main category  =  Loan commitments given</t>
        </r>
      </text>
    </comment>
    <comment ref="H10" authorId="0" shapeId="0" xr:uid="{05AB9779-104C-456A-AA0F-C1E385A8DD4A}">
      <text>
        <r>
          <rPr>
            <sz val="9"/>
            <color indexed="81"/>
            <rFont val="Tahoma"/>
            <family val="2"/>
          </rPr>
          <t>DataPointVID 155468_x000D_
DataPointID 155468_x000D_
Metric  =  Carrying amount [mi]_x000D_
Base  =  Liabilities_x000D_
Counterparty sector  =  Central banks_x000D_
Financial reporting standard  =  IFRS 9 impairment_x000D_
Impairment status  =  Instruments without significant increase in credit risk (Stage 1)_x000D_
Main category  =  Loan commitments given</t>
        </r>
      </text>
    </comment>
    <comment ref="I10" authorId="0" shapeId="0" xr:uid="{076F93DE-8028-4228-BABB-9F64D86076C8}">
      <text>
        <r>
          <rPr>
            <sz val="9"/>
            <color indexed="81"/>
            <rFont val="Tahoma"/>
            <family val="2"/>
          </rPr>
          <t>DataPointVID 155471_x000D_
DataPointID 155471_x000D_
Metric  =  Carrying amount [mi]_x000D_
Base  =  Liabilities_x000D_
Counterparty sector  =  Central banks_x000D_
Financial reporting standard  =  IFRS 9 impairment_x000D_
Impairment status  =  Instruments with significant increase in credit risk (Stage 2)_x000D_
Main category  =  Loan commitments given</t>
        </r>
      </text>
    </comment>
    <comment ref="J10" authorId="0" shapeId="0" xr:uid="{6165047E-3556-40CF-B1D5-6E58BC8840BA}">
      <text>
        <r>
          <rPr>
            <sz val="9"/>
            <color indexed="81"/>
            <rFont val="Tahoma"/>
            <family val="2"/>
          </rPr>
          <t>DataPointVID 155474_x000D_
DataPointID 155474_x000D_
Metric  =  Carrying amount [mi]_x000D_
Base  =  Liabilities_x000D_
Counterparty sector  =  Central banks_x000D_
Financial reporting standard  =  IFRS 9 impairment_x000D_
Impairment status  =  Instruments with significant increase in credit risk. Credit impaired  assets (Stage 3)_x000D_
Main category  =  Loan commitments given</t>
        </r>
      </text>
    </comment>
    <comment ref="L10" authorId="0" shapeId="0" xr:uid="{D73E3976-DA7E-46C4-A070-D1EBFC22326B}">
      <text>
        <r>
          <rPr>
            <sz val="9"/>
            <color indexed="81"/>
            <rFont val="Tahoma"/>
            <family val="2"/>
          </rPr>
          <t>DataPointVID 155835_x000D_
DataPointID 155835_x000D_
Metric  =  Nominal amount [mi]_x000D_
Base  =  Off balance sheet items_x000D_
Counterparty sector  =  Central banks_x000D_
Financial reporting standard  =  IAS 37 or IFRS 4_x000D_
Main category  =  Loan commitments given</t>
        </r>
      </text>
    </comment>
    <comment ref="M10" authorId="0" shapeId="0" xr:uid="{27F885BE-951F-4154-BA1A-245CB2ACABAB}">
      <text>
        <r>
          <rPr>
            <sz val="9"/>
            <color indexed="81"/>
            <rFont val="Tahoma"/>
            <family val="2"/>
          </rPr>
          <t>DataPointVID 155477_x000D_
DataPointID 155477_x000D_
Metric  =  Carrying amount [mi]_x000D_
Base  =  Liabilities_x000D_
Counterparty sector  =  Central banks_x000D_
Financial reporting standard  =  IAS 37 or IFRS 4_x000D_
Main category  =  Loan commitments given</t>
        </r>
      </text>
    </comment>
    <comment ref="C11" authorId="0" shapeId="0" xr:uid="{DAC5E1E8-22A3-4979-A0AF-CA937A361097}">
      <text>
        <r>
          <rPr>
            <sz val="9"/>
            <color indexed="81"/>
            <rFont val="Tahoma"/>
            <family val="2"/>
          </rPr>
          <t>Main category  =  Loan commitments given_x000D_
Counterparty sector  =  General governments</t>
        </r>
      </text>
    </comment>
    <comment ref="D11" authorId="0" shapeId="0" xr:uid="{B90AC77A-8EC4-40E1-AF42-8D19977B6BE6}">
      <text>
        <r>
          <rPr>
            <sz val="9"/>
            <color indexed="81"/>
            <rFont val="Tahoma"/>
            <family val="2"/>
          </rPr>
          <t>DataPointVID 155856_x000D_
DataPointID 155856_x000D_
Metric  =  Nominal amount [mi]_x000D_
Base  =  Off balance sheet items_x000D_
Counterparty sector  =  General governments_x000D_
Financial reporting standard  =  IFRS 9 impairment_x000D_
Impairment status  =  Instruments without significant increase in credit risk (Stage 1)_x000D_
Main category  =  Loan commitments given</t>
        </r>
      </text>
    </comment>
    <comment ref="E11" authorId="0" shapeId="0" xr:uid="{48684E18-E9CB-48A7-B4CE-AA7641C05E5F}">
      <text>
        <r>
          <rPr>
            <sz val="9"/>
            <color indexed="81"/>
            <rFont val="Tahoma"/>
            <family val="2"/>
          </rPr>
          <t>DataPointVID 155859_x000D_
DataPointID 155859_x000D_
Metric  =  Nominal amount [mi]_x000D_
Base  =  Off balance sheet items_x000D_
Counterparty sector  =  General governments_x000D_
Financial reporting standard  =  IFRS 9 impairment_x000D_
Impairment status  =  Instruments with significant increase in credit risk (Stage 2)_x000D_
Main category  =  Loan commitments given</t>
        </r>
      </text>
    </comment>
    <comment ref="F11" authorId="0" shapeId="0" xr:uid="{D2392D49-A638-48BE-96A9-85F155D7E7D4}">
      <text>
        <r>
          <rPr>
            <sz val="9"/>
            <color indexed="81"/>
            <rFont val="Tahoma"/>
            <family val="2"/>
          </rPr>
          <t>DataPointVID 155862_x000D_
DataPointID 155862_x000D_
Metric  =  Nominal amount [mi]_x000D_
Base  =  Off balance sheet items_x000D_
Counterparty sector  =  General governments_x000D_
Financial reporting standard  =  IFRS 9 impairment_x000D_
Impairment status  =  Instruments with significant increase in credit risk. Credit impaired  assets (Stage 3)_x000D_
Main category  =  Loan commitments given</t>
        </r>
      </text>
    </comment>
    <comment ref="H11" authorId="0" shapeId="0" xr:uid="{AF2CCFE0-D87A-4746-BAB0-F48E3B2BD3A8}">
      <text>
        <r>
          <rPr>
            <sz val="9"/>
            <color indexed="81"/>
            <rFont val="Tahoma"/>
            <family val="2"/>
          </rPr>
          <t>DataPointVID 155510_x000D_
DataPointID 155510_x000D_
Metric  =  Carrying amount [mi]_x000D_
Base  =  Liabilities_x000D_
Counterparty sector  =  General governments_x000D_
Financial reporting standard  =  IFRS 9 impairment_x000D_
Impairment status  =  Instruments without significant increase in credit risk (Stage 1)_x000D_
Main category  =  Loan commitments given</t>
        </r>
      </text>
    </comment>
    <comment ref="I11" authorId="0" shapeId="0" xr:uid="{00CA04BE-AD2E-43F4-94B7-075318AB93B4}">
      <text>
        <r>
          <rPr>
            <sz val="9"/>
            <color indexed="81"/>
            <rFont val="Tahoma"/>
            <family val="2"/>
          </rPr>
          <t>DataPointVID 155513_x000D_
DataPointID 155513_x000D_
Metric  =  Carrying amount [mi]_x000D_
Base  =  Liabilities_x000D_
Counterparty sector  =  General governments_x000D_
Financial reporting standard  =  IFRS 9 impairment_x000D_
Impairment status  =  Instruments with significant increase in credit risk (Stage 2)_x000D_
Main category  =  Loan commitments given</t>
        </r>
      </text>
    </comment>
    <comment ref="J11" authorId="0" shapeId="0" xr:uid="{128C64FA-FAD9-4BDC-85C3-6B2CF8B3CC83}">
      <text>
        <r>
          <rPr>
            <sz val="9"/>
            <color indexed="81"/>
            <rFont val="Tahoma"/>
            <family val="2"/>
          </rPr>
          <t>DataPointVID 155516_x000D_
DataPointID 155516_x000D_
Metric  =  Carrying amount [mi]_x000D_
Base  =  Liabilities_x000D_
Counterparty sector  =  General governments_x000D_
Financial reporting standard  =  IFRS 9 impairment_x000D_
Impairment status  =  Instruments with significant increase in credit risk. Credit impaired  assets (Stage 3)_x000D_
Main category  =  Loan commitments given</t>
        </r>
      </text>
    </comment>
    <comment ref="L11" authorId="0" shapeId="0" xr:uid="{5C45A0FA-EE5B-4524-97D3-0003B1BC85E5}">
      <text>
        <r>
          <rPr>
            <sz val="9"/>
            <color indexed="81"/>
            <rFont val="Tahoma"/>
            <family val="2"/>
          </rPr>
          <t>DataPointVID 155865_x000D_
DataPointID 155865_x000D_
Metric  =  Nominal amount [mi]_x000D_
Base  =  Off balance sheet items_x000D_
Counterparty sector  =  General governments_x000D_
Financial reporting standard  =  IAS 37 or IFRS 4_x000D_
Main category  =  Loan commitments given</t>
        </r>
      </text>
    </comment>
    <comment ref="M11" authorId="0" shapeId="0" xr:uid="{E12B0C37-182D-40EB-8924-B1845F50B097}">
      <text>
        <r>
          <rPr>
            <sz val="9"/>
            <color indexed="81"/>
            <rFont val="Tahoma"/>
            <family val="2"/>
          </rPr>
          <t>DataPointVID 155519_x000D_
DataPointID 155519_x000D_
Metric  =  Carrying amount [mi]_x000D_
Base  =  Liabilities_x000D_
Counterparty sector  =  General governments_x000D_
Financial reporting standard  =  IAS 37 or IFRS 4_x000D_
Main category  =  Loan commitments given</t>
        </r>
      </text>
    </comment>
    <comment ref="C12" authorId="0" shapeId="0" xr:uid="{5112ED84-020D-4874-BD9D-545572B4D4F5}">
      <text>
        <r>
          <rPr>
            <sz val="9"/>
            <color indexed="81"/>
            <rFont val="Tahoma"/>
            <family val="2"/>
          </rPr>
          <t>Main category  =  Loan commitments given_x000D_
Counterparty sector  =  Credit institutions</t>
        </r>
      </text>
    </comment>
    <comment ref="D12" authorId="0" shapeId="0" xr:uid="{BDDE423E-9F11-4996-8FAD-867CC1A7806E}">
      <text>
        <r>
          <rPr>
            <sz val="9"/>
            <color indexed="81"/>
            <rFont val="Tahoma"/>
            <family val="2"/>
          </rPr>
          <t>DataPointVID 155841_x000D_
DataPointID 155841_x000D_
Metric  =  Nominal amount [mi]_x000D_
Base  =  Off balance sheet items_x000D_
Counterparty sector  =  Credit institutions_x000D_
Financial reporting standard  =  IFRS 9 impairment_x000D_
Impairment status  =  Instruments without significant increase in credit risk (Stage 1)_x000D_
Main category  =  Loan commitments given</t>
        </r>
      </text>
    </comment>
    <comment ref="E12" authorId="0" shapeId="0" xr:uid="{95FB6E93-B021-48E3-B12E-5E82B1284489}">
      <text>
        <r>
          <rPr>
            <sz val="9"/>
            <color indexed="81"/>
            <rFont val="Tahoma"/>
            <family val="2"/>
          </rPr>
          <t>DataPointVID 155844_x000D_
DataPointID 155844_x000D_
Metric  =  Nominal amount [mi]_x000D_
Base  =  Off balance sheet items_x000D_
Counterparty sector  =  Credit institutions_x000D_
Financial reporting standard  =  IFRS 9 impairment_x000D_
Impairment status  =  Instruments with significant increase in credit risk (Stage 2)_x000D_
Main category  =  Loan commitments given</t>
        </r>
      </text>
    </comment>
    <comment ref="F12" authorId="0" shapeId="0" xr:uid="{FE7E7972-6DA3-4793-8BB3-1C3E6F1381F3}">
      <text>
        <r>
          <rPr>
            <sz val="9"/>
            <color indexed="81"/>
            <rFont val="Tahoma"/>
            <family val="2"/>
          </rPr>
          <t>DataPointVID 155847_x000D_
DataPointID 155847_x000D_
Metric  =  Nominal amount [mi]_x000D_
Base  =  Off balance sheet items_x000D_
Counterparty sector  =  Credit institutions_x000D_
Financial reporting standard  =  IFRS 9 impairment_x000D_
Impairment status  =  Instruments with significant increase in credit risk. Credit impaired  assets (Stage 3)_x000D_
Main category  =  Loan commitments given</t>
        </r>
      </text>
    </comment>
    <comment ref="H12" authorId="0" shapeId="0" xr:uid="{82FE5607-78EC-4D7C-A809-0E6F16776DB5}">
      <text>
        <r>
          <rPr>
            <sz val="9"/>
            <color indexed="81"/>
            <rFont val="Tahoma"/>
            <family val="2"/>
          </rPr>
          <t>DataPointVID 155489_x000D_
DataPointID 155489_x000D_
Metric  =  Carrying amount [mi]_x000D_
Base  =  Liabilities_x000D_
Counterparty sector  =  Credit institutions_x000D_
Financial reporting standard  =  IFRS 9 impairment_x000D_
Impairment status  =  Instruments without significant increase in credit risk (Stage 1)_x000D_
Main category  =  Loan commitments given</t>
        </r>
      </text>
    </comment>
    <comment ref="I12" authorId="0" shapeId="0" xr:uid="{378DD93F-95F7-45E5-BE9B-DCA1C26FF20E}">
      <text>
        <r>
          <rPr>
            <sz val="9"/>
            <color indexed="81"/>
            <rFont val="Tahoma"/>
            <family val="2"/>
          </rPr>
          <t>DataPointVID 155492_x000D_
DataPointID 155492_x000D_
Metric  =  Carrying amount [mi]_x000D_
Base  =  Liabilities_x000D_
Counterparty sector  =  Credit institutions_x000D_
Financial reporting standard  =  IFRS 9 impairment_x000D_
Impairment status  =  Instruments with significant increase in credit risk (Stage 2)_x000D_
Main category  =  Loan commitments given</t>
        </r>
      </text>
    </comment>
    <comment ref="J12" authorId="0" shapeId="0" xr:uid="{354289C4-BDEA-4999-AC44-0E38C641B2EA}">
      <text>
        <r>
          <rPr>
            <sz val="9"/>
            <color indexed="81"/>
            <rFont val="Tahoma"/>
            <family val="2"/>
          </rPr>
          <t>DataPointVID 155495_x000D_
DataPointID 155495_x000D_
Metric  =  Carrying amount [mi]_x000D_
Base  =  Liabilities_x000D_
Counterparty sector  =  Credit institutions_x000D_
Financial reporting standard  =  IFRS 9 impairment_x000D_
Impairment status  =  Instruments with significant increase in credit risk. Credit impaired  assets (Stage 3)_x000D_
Main category  =  Loan commitments given</t>
        </r>
      </text>
    </comment>
    <comment ref="L12" authorId="0" shapeId="0" xr:uid="{95C98946-D2CF-4D1B-B23B-79454E54A948}">
      <text>
        <r>
          <rPr>
            <sz val="9"/>
            <color indexed="81"/>
            <rFont val="Tahoma"/>
            <family val="2"/>
          </rPr>
          <t>DataPointVID 155850_x000D_
DataPointID 155850_x000D_
Metric  =  Nominal amount [mi]_x000D_
Base  =  Off balance sheet items_x000D_
Counterparty sector  =  Credit institutions_x000D_
Financial reporting standard  =  IAS 37 or IFRS 4_x000D_
Main category  =  Loan commitments given</t>
        </r>
      </text>
    </comment>
    <comment ref="M12" authorId="0" shapeId="0" xr:uid="{9936157D-7904-4BCE-BD9D-AA24A6E84B3F}">
      <text>
        <r>
          <rPr>
            <sz val="9"/>
            <color indexed="81"/>
            <rFont val="Tahoma"/>
            <family val="2"/>
          </rPr>
          <t>DataPointVID 155498_x000D_
DataPointID 155498_x000D_
Metric  =  Carrying amount [mi]_x000D_
Base  =  Liabilities_x000D_
Counterparty sector  =  Credit institutions_x000D_
Financial reporting standard  =  IAS 37 or IFRS 4_x000D_
Main category  =  Loan commitments given</t>
        </r>
      </text>
    </comment>
    <comment ref="C13" authorId="0" shapeId="0" xr:uid="{C76DC60E-5C0D-4A32-9854-F8F101BDD797}">
      <text>
        <r>
          <rPr>
            <sz val="9"/>
            <color indexed="81"/>
            <rFont val="Tahoma"/>
            <family val="2"/>
          </rPr>
          <t>Main category  =  Loan commitments given_x000D_
Counterparty sector  =  Financial corporations other than credit institutions</t>
        </r>
      </text>
    </comment>
    <comment ref="D13" authorId="0" shapeId="0" xr:uid="{9AE7787A-4905-4EE6-9CF1-3DD7F30E6257}">
      <text>
        <r>
          <rPr>
            <sz val="9"/>
            <color indexed="81"/>
            <rFont val="Tahoma"/>
            <family val="2"/>
          </rPr>
          <t>DataPointVID 155901_x000D_
DataPointID 155901_x000D_
Metric  =  Nominal amount [mi]_x000D_
Base  =  Off balance sheet items_x000D_
Counterparty sector  =  Financial corporations other than credit institutions_x000D_
Financial reporting standard  =  IFRS 9 impairment_x000D_
Impairment status  =  Instruments without significant increase in credit risk (Stage 1)_x000D_
Main category  =  Loan commitments given</t>
        </r>
      </text>
    </comment>
    <comment ref="E13" authorId="0" shapeId="0" xr:uid="{98EEAAA7-46B6-4B3D-8951-24753AC33C8C}">
      <text>
        <r>
          <rPr>
            <sz val="9"/>
            <color indexed="81"/>
            <rFont val="Tahoma"/>
            <family val="2"/>
          </rPr>
          <t>DataPointVID 155904_x000D_
DataPointID 155904_x000D_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(Stage 2)_x000D_
Main category  =  Loan commitments given</t>
        </r>
      </text>
    </comment>
    <comment ref="F13" authorId="0" shapeId="0" xr:uid="{1A27692F-CBB5-4595-88F3-FC54E5A98F73}">
      <text>
        <r>
          <rPr>
            <sz val="9"/>
            <color indexed="81"/>
            <rFont val="Tahoma"/>
            <family val="2"/>
          </rPr>
          <t>DataPointVID 155907_x000D_
DataPointID 155907_x000D_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Credit impaired  assets (Stage 3)_x000D_
Main category  =  Loan commitments given</t>
        </r>
      </text>
    </comment>
    <comment ref="H13" authorId="0" shapeId="0" xr:uid="{5D0AB88A-8FE5-4B72-A1B4-964BB5C6B8CA}">
      <text>
        <r>
          <rPr>
            <sz val="9"/>
            <color indexed="81"/>
            <rFont val="Tahoma"/>
            <family val="2"/>
          </rPr>
          <t>DataPointVID 155573_x000D_
DataPointID 155573_x000D_
Metric  =  Carrying amount [mi]_x000D_
Base  =  Liabilities_x000D_
Counterparty sector  =  Financial corporations other than credit institutions_x000D_
Financial reporting standard  =  IFRS 9 impairment_x000D_
Impairment status  =  Instruments without significant increase in credit risk (Stage 1)_x000D_
Main category  =  Loan commitments given</t>
        </r>
      </text>
    </comment>
    <comment ref="I13" authorId="0" shapeId="0" xr:uid="{C3EEC2DF-7DB7-4D8F-8FA9-45035A409CEE}">
      <text>
        <r>
          <rPr>
            <sz val="9"/>
            <color indexed="81"/>
            <rFont val="Tahoma"/>
            <family val="2"/>
          </rPr>
          <t>DataPointVID 155576_x000D_
DataPointID 155576_x000D_
Metric  =  Carrying amount [mi]_x000D_
Base  =  Liabilities_x000D_
Counterparty sector  =  Financial corporations other than credit institutions_x000D_
Financial reporting standard  =  IFRS 9 impairment_x000D_
Impairment status  =  Instruments with significant increase in credit risk (Stage 2)_x000D_
Main category  =  Loan commitments given</t>
        </r>
      </text>
    </comment>
    <comment ref="J13" authorId="0" shapeId="0" xr:uid="{751DD709-C133-4AF7-A25F-66A21E2F9798}">
      <text>
        <r>
          <rPr>
            <sz val="9"/>
            <color indexed="81"/>
            <rFont val="Tahoma"/>
            <family val="2"/>
          </rPr>
          <t>DataPointVID 155579_x000D_
DataPointID 155579_x000D_
Metric  =  Carrying amount [mi]_x000D_
Base  =  Liabilities_x000D_
Counterparty sector  =  Financial corporations other than credit institutions_x000D_
Financial reporting standard  =  IFRS 9 impairment_x000D_
Impairment status  =  Instruments with significant increase in credit risk. Credit impaired  assets (Stage 3)_x000D_
Main category  =  Loan commitments given</t>
        </r>
      </text>
    </comment>
    <comment ref="L13" authorId="0" shapeId="0" xr:uid="{C1EDD0E4-A869-47AF-8C7D-C9423AC6C5CB}">
      <text>
        <r>
          <rPr>
            <sz val="9"/>
            <color indexed="81"/>
            <rFont val="Tahoma"/>
            <family val="2"/>
          </rPr>
          <t>DataPointVID 155910_x000D_
DataPointID 155910_x000D_
Metric  =  Nominal amount [mi]_x000D_
Base  =  Off balance sheet items_x000D_
Counterparty sector  =  Financial corporations other than credit institutions_x000D_
Financial reporting standard  =  IAS 37 or IFRS 4_x000D_
Main category  =  Loan commitments given</t>
        </r>
      </text>
    </comment>
    <comment ref="M13" authorId="0" shapeId="0" xr:uid="{A4167B07-2695-47F2-A6E6-F5FF2A02E310}">
      <text>
        <r>
          <rPr>
            <sz val="9"/>
            <color indexed="81"/>
            <rFont val="Tahoma"/>
            <family val="2"/>
          </rPr>
          <t>DataPointVID 155582_x000D_
DataPointID 155582_x000D_
Metric  =  Carrying amount [mi]_x000D_
Base  =  Liabilities_x000D_
Counterparty sector  =  Financial corporations other than credit institutions_x000D_
Financial reporting standard  =  IAS 37 or IFRS 4_x000D_
Main category  =  Loan commitments given</t>
        </r>
      </text>
    </comment>
    <comment ref="C14" authorId="0" shapeId="0" xr:uid="{64968AA6-7EB7-4179-ABDE-1763D31F740F}">
      <text>
        <r>
          <rPr>
            <sz val="9"/>
            <color indexed="81"/>
            <rFont val="Tahoma"/>
            <family val="2"/>
          </rPr>
          <t>Main category  =  Loan commitments given_x000D_
Counterparty sector  =  Non-financial corporations</t>
        </r>
      </text>
    </comment>
    <comment ref="D14" authorId="0" shapeId="0" xr:uid="{F5FEE1F9-AA28-4B5C-8330-93262CA0D18D}">
      <text>
        <r>
          <rPr>
            <sz val="9"/>
            <color indexed="81"/>
            <rFont val="Tahoma"/>
            <family val="2"/>
          </rPr>
          <t>DataPointVID 155886_x000D_
DataPointID 155886_x000D_
Metric  =  Nominal amount [mi]_x000D_
Base  =  Off balance sheet items_x000D_
Counterparty sector  =  Non-financial corporations_x000D_
Financial reporting standard  =  IFRS 9 impairment_x000D_
Impairment status  =  Instruments without significant increase in credit risk (Stage 1)_x000D_
Main category  =  Loan commitments given</t>
        </r>
      </text>
    </comment>
    <comment ref="E14" authorId="0" shapeId="0" xr:uid="{0EA6D431-572E-4D21-A0DE-0B1FC8CA6189}">
      <text>
        <r>
          <rPr>
            <sz val="9"/>
            <color indexed="81"/>
            <rFont val="Tahoma"/>
            <family val="2"/>
          </rPr>
          <t>DataPointVID 155889_x000D_
DataPointID 155889_x000D_
Metric  =  Nominal amount [mi]_x000D_
Base  =  Off balance sheet items_x000D_
Counterparty sector  =  Non-financial corporations_x000D_
Financial reporting standard  =  IFRS 9 impairment_x000D_
Impairment status  =  Instruments with significant increase in credit risk (Stage 2)_x000D_
Main category  =  Loan commitments given</t>
        </r>
      </text>
    </comment>
    <comment ref="F14" authorId="0" shapeId="0" xr:uid="{9AD4540A-FB88-4BF2-AAAF-6C8014387870}">
      <text>
        <r>
          <rPr>
            <sz val="9"/>
            <color indexed="81"/>
            <rFont val="Tahoma"/>
            <family val="2"/>
          </rPr>
          <t>DataPointVID 155892_x000D_
DataPointID 155892_x000D_
Metric  =  Nominal amount [mi]_x000D_
Base  =  Off balance sheet items_x000D_
Counterparty sector  =  Non-financial corporations_x000D_
Financial reporting standard  =  IFRS 9 impairment_x000D_
Impairment status  =  Instruments with significant increase in credit risk. Credit impaired  assets (Stage 3)_x000D_
Main category  =  Loan commitments given</t>
        </r>
      </text>
    </comment>
    <comment ref="H14" authorId="0" shapeId="0" xr:uid="{BC7D58B4-250D-4313-86B9-E9A162124347}">
      <text>
        <r>
          <rPr>
            <sz val="9"/>
            <color indexed="81"/>
            <rFont val="Tahoma"/>
            <family val="2"/>
          </rPr>
          <t>DataPointVID 155552_x000D_
DataPointID 155552_x000D_
Metric  =  Carrying amount [mi]_x000D_
Base  =  Liabilities_x000D_
Counterparty sector  =  Non-financial corporations_x000D_
Financial reporting standard  =  IFRS 9 impairment_x000D_
Impairment status  =  Instruments without significant increase in credit risk (Stage 1)_x000D_
Main category  =  Loan commitments given</t>
        </r>
      </text>
    </comment>
    <comment ref="I14" authorId="0" shapeId="0" xr:uid="{2017DA74-9284-444D-A8F6-F0ADE3245511}">
      <text>
        <r>
          <rPr>
            <sz val="9"/>
            <color indexed="81"/>
            <rFont val="Tahoma"/>
            <family val="2"/>
          </rPr>
          <t>DataPointVID 155555_x000D_
DataPointID 155555_x000D_
Metric  =  Carrying amount [mi]_x000D_
Base  =  Liabilities_x000D_
Counterparty sector  =  Non-financial corporations_x000D_
Financial reporting standard  =  IFRS 9 impairment_x000D_
Impairment status  =  Instruments with significant increase in credit risk (Stage 2)_x000D_
Main category  =  Loan commitments given</t>
        </r>
      </text>
    </comment>
    <comment ref="J14" authorId="0" shapeId="0" xr:uid="{A95EC142-6637-4F39-89FA-91C6C3DD3A76}">
      <text>
        <r>
          <rPr>
            <sz val="9"/>
            <color indexed="81"/>
            <rFont val="Tahoma"/>
            <family val="2"/>
          </rPr>
          <t>DataPointVID 155558_x000D_
DataPointID 155558_x000D_
Metric  =  Carrying amount [mi]_x000D_
Base  =  Liabilities_x000D_
Counterparty sector  =  Non-financial corporations_x000D_
Financial reporting standard  =  IFRS 9 impairment_x000D_
Impairment status  =  Instruments with significant increase in credit risk. Credit impaired  assets (Stage 3)_x000D_
Main category  =  Loan commitments given</t>
        </r>
      </text>
    </comment>
    <comment ref="L14" authorId="0" shapeId="0" xr:uid="{E335A580-9B0E-49C9-87CE-CDCE20CE9F4C}">
      <text>
        <r>
          <rPr>
            <sz val="9"/>
            <color indexed="81"/>
            <rFont val="Tahoma"/>
            <family val="2"/>
          </rPr>
          <t>DataPointVID 155895_x000D_
DataPointID 155895_x000D_
Metric  =  Nominal amount [mi]_x000D_
Base  =  Off balance sheet items_x000D_
Counterparty sector  =  Non-financial corporations_x000D_
Financial reporting standard  =  IAS 37 or IFRS 4_x000D_
Main category  =  Loan commitments given</t>
        </r>
      </text>
    </comment>
    <comment ref="M14" authorId="0" shapeId="0" xr:uid="{8111985C-2754-4A06-B4B0-748A4CFD9949}">
      <text>
        <r>
          <rPr>
            <sz val="9"/>
            <color indexed="81"/>
            <rFont val="Tahoma"/>
            <family val="2"/>
          </rPr>
          <t>DataPointVID 155561_x000D_
DataPointID 155561_x000D_
Metric  =  Carrying amount [mi]_x000D_
Base  =  Liabilities_x000D_
Counterparty sector  =  Non-financial corporations_x000D_
Financial reporting standard  =  IAS 37 or IFRS 4_x000D_
Main category  =  Loan commitments given</t>
        </r>
      </text>
    </comment>
    <comment ref="C15" authorId="0" shapeId="0" xr:uid="{776ACB56-5A60-4D48-AAC0-8ADDC4CC3A99}">
      <text>
        <r>
          <rPr>
            <sz val="9"/>
            <color indexed="81"/>
            <rFont val="Tahoma"/>
            <family val="2"/>
          </rPr>
          <t>Main category  =  Loan commitments given_x000D_
Counterparty sector  =  Households</t>
        </r>
      </text>
    </comment>
    <comment ref="D15" authorId="0" shapeId="0" xr:uid="{674A396A-E797-4205-AED4-47D013ABFF9D}">
      <text>
        <r>
          <rPr>
            <sz val="9"/>
            <color indexed="81"/>
            <rFont val="Tahoma"/>
            <family val="2"/>
          </rPr>
          <t>DataPointVID 155871_x000D_
DataPointID 155871_x000D_
Metric  =  Nominal amount [mi]_x000D_
Base  =  Off balance sheet items_x000D_
Counterparty sector  =  Households_x000D_
Financial reporting standard  =  IFRS 9 impairment_x000D_
Impairment status  =  Instruments without significant increase in credit risk (Stage 1)_x000D_
Main category  =  Loan commitments given</t>
        </r>
      </text>
    </comment>
    <comment ref="E15" authorId="0" shapeId="0" xr:uid="{13A65937-8CF8-4E5A-9CB4-C9FB51FBFFD1}">
      <text>
        <r>
          <rPr>
            <sz val="9"/>
            <color indexed="81"/>
            <rFont val="Tahoma"/>
            <family val="2"/>
          </rPr>
          <t>DataPointVID 155874_x000D_
DataPointID 155874_x000D_
Metric  =  Nominal amount [mi]_x000D_
Base  =  Off balance sheet items_x000D_
Counterparty sector  =  Households_x000D_
Financial reporting standard  =  IFRS 9 impairment_x000D_
Impairment status  =  Instruments with significant increase in credit risk (Stage 2)_x000D_
Main category  =  Loan commitments given</t>
        </r>
      </text>
    </comment>
    <comment ref="F15" authorId="0" shapeId="0" xr:uid="{284439F5-DA09-4995-9864-636FC5A7646D}">
      <text>
        <r>
          <rPr>
            <sz val="9"/>
            <color indexed="81"/>
            <rFont val="Tahoma"/>
            <family val="2"/>
          </rPr>
          <t>DataPointVID 155877_x000D_
DataPointID 155877_x000D_
Metric  =  Nominal amount [mi]_x000D_
Base  =  Off balance sheet items_x000D_
Counterparty sector  =  Households_x000D_
Financial reporting standard  =  IFRS 9 impairment_x000D_
Impairment status  =  Instruments with significant increase in credit risk. Credit impaired  assets (Stage 3)_x000D_
Main category  =  Loan commitments given</t>
        </r>
      </text>
    </comment>
    <comment ref="H15" authorId="0" shapeId="0" xr:uid="{659A6651-202F-49E5-9FA9-2D806163C7A5}">
      <text>
        <r>
          <rPr>
            <sz val="9"/>
            <color indexed="81"/>
            <rFont val="Tahoma"/>
            <family val="2"/>
          </rPr>
          <t>DataPointVID 155531_x000D_
DataPointID 155531_x000D_
Metric  =  Carrying amount [mi]_x000D_
Base  =  Liabilities_x000D_
Counterparty sector  =  Households_x000D_
Financial reporting standard  =  IFRS 9 impairment_x000D_
Impairment status  =  Instruments without significant increase in credit risk (Stage 1)_x000D_
Main category  =  Loan commitments given</t>
        </r>
      </text>
    </comment>
    <comment ref="I15" authorId="0" shapeId="0" xr:uid="{09C50AE4-B2DD-46C2-B7B0-6956B6596708}">
      <text>
        <r>
          <rPr>
            <sz val="9"/>
            <color indexed="81"/>
            <rFont val="Tahoma"/>
            <family val="2"/>
          </rPr>
          <t>DataPointVID 155534_x000D_
DataPointID 155534_x000D_
Metric  =  Carrying amount [mi]_x000D_
Base  =  Liabilities_x000D_
Counterparty sector  =  Households_x000D_
Financial reporting standard  =  IFRS 9 impairment_x000D_
Impairment status  =  Instruments with significant increase in credit risk (Stage 2)_x000D_
Main category  =  Loan commitments given</t>
        </r>
      </text>
    </comment>
    <comment ref="J15" authorId="0" shapeId="0" xr:uid="{40FC220F-4CDD-4694-8EE5-8795AF3C6839}">
      <text>
        <r>
          <rPr>
            <sz val="9"/>
            <color indexed="81"/>
            <rFont val="Tahoma"/>
            <family val="2"/>
          </rPr>
          <t>DataPointVID 155537_x000D_
DataPointID 155537_x000D_
Metric  =  Carrying amount [mi]_x000D_
Base  =  Liabilities_x000D_
Counterparty sector  =  Households_x000D_
Financial reporting standard  =  IFRS 9 impairment_x000D_
Impairment status  =  Instruments with significant increase in credit risk. Credit impaired  assets (Stage 3)_x000D_
Main category  =  Loan commitments given</t>
        </r>
      </text>
    </comment>
    <comment ref="L15" authorId="0" shapeId="0" xr:uid="{5E048C53-5C47-49BE-9333-36F7E978842C}">
      <text>
        <r>
          <rPr>
            <sz val="9"/>
            <color indexed="81"/>
            <rFont val="Tahoma"/>
            <family val="2"/>
          </rPr>
          <t>DataPointVID 155880_x000D_
DataPointID 155880_x000D_
Metric  =  Nominal amount [mi]_x000D_
Base  =  Off balance sheet items_x000D_
Counterparty sector  =  Households_x000D_
Financial reporting standard  =  IAS 37 or IFRS 4_x000D_
Main category  =  Loan commitments given</t>
        </r>
      </text>
    </comment>
    <comment ref="M15" authorId="0" shapeId="0" xr:uid="{F39FBFF0-977B-4053-8780-3EF79BA7F2BC}">
      <text>
        <r>
          <rPr>
            <sz val="9"/>
            <color indexed="81"/>
            <rFont val="Tahoma"/>
            <family val="2"/>
          </rPr>
          <t>DataPointVID 155540_x000D_
DataPointID 155540_x000D_
Metric  =  Carrying amount [mi]_x000D_
Base  =  Liabilities_x000D_
Counterparty sector  =  Households_x000D_
Financial reporting standard  =  IAS 37 or IFRS 4_x000D_
Main category  =  Loan commitments given</t>
        </r>
      </text>
    </comment>
    <comment ref="C16" authorId="0" shapeId="0" xr:uid="{2CAEA47E-BB9B-4EA2-8278-EF3DA6FBA7B8}">
      <text>
        <r>
          <rPr>
            <sz val="9"/>
            <color indexed="81"/>
            <rFont val="Tahoma"/>
            <family val="2"/>
          </rPr>
          <t>Main category  =  Financial guarantees given</t>
        </r>
      </text>
    </comment>
    <comment ref="D16" authorId="0" shapeId="0" xr:uid="{4A9D33CD-BD87-4C86-B10F-CF13C83D7CEA}">
      <text>
        <r>
          <rPr>
            <sz val="9"/>
            <color indexed="81"/>
            <rFont val="Tahoma"/>
            <family val="2"/>
          </rPr>
          <t>DataPointVID 155915_x000D_
DataPointID 155915_x000D_
Metric  =  Nominal amount [mi]_x000D_
Base  =  Off balance sheet items_x000D_
Financial reporting standard  =  IFRS 9 impairment_x000D_
Impairment status  =  Instruments without significant increase in credit risk (Stage 1)_x000D_
Main category  =  Financial guarantees given</t>
        </r>
      </text>
    </comment>
    <comment ref="E16" authorId="0" shapeId="0" xr:uid="{AAF89E79-2BE9-430E-A2A6-9B5AA6A684C6}">
      <text>
        <r>
          <rPr>
            <sz val="9"/>
            <color indexed="81"/>
            <rFont val="Tahoma"/>
            <family val="2"/>
          </rPr>
          <t>DataPointVID 155921_x000D_
DataPointID 155921_x000D_
Metric  =  Nominal amount [mi]_x000D_
Base  =  Off balance sheet items_x000D_
Financial reporting standard  =  IFRS 9 impairment_x000D_
Impairment status  =  Instruments with significant increase in credit risk (Stage 2)_x000D_
Main category  =  Financial guarantees given</t>
        </r>
      </text>
    </comment>
    <comment ref="F16" authorId="0" shapeId="0" xr:uid="{8B251B65-7975-49DD-8941-F42B86955C56}">
      <text>
        <r>
          <rPr>
            <sz val="9"/>
            <color indexed="81"/>
            <rFont val="Tahoma"/>
            <family val="2"/>
          </rPr>
          <t>DataPointVID 155927_x000D_
DataPointID 155927_x000D_
Metric  =  Nominal amount [mi]_x000D_
Base  =  Off balance sheet items_x000D_
Financial reporting standard  =  IFRS 9 impairment_x000D_
Impairment status  =  Instruments with significant increase in credit risk. Credit impaired  assets (Stage 3)_x000D_
Main category  =  Financial guarantees given</t>
        </r>
      </text>
    </comment>
    <comment ref="H16" authorId="0" shapeId="0" xr:uid="{4AB17039-0BCA-43DC-B89A-64E22F3F7BD4}">
      <text>
        <r>
          <rPr>
            <sz val="9"/>
            <color indexed="81"/>
            <rFont val="Tahoma"/>
            <family val="2"/>
          </rPr>
          <t>DataPointVID 155598_x000D_
DataPointID 155598_x000D_
Metric  =  Carrying amount [mi]_x000D_
Base  =  Liabilities_x000D_
Financial reporting standard  =  IFRS 9 impairment_x000D_
Impairment status  =  Instruments without significant increase in credit risk (Stage 1)_x000D_
Main category  =  Financial guarantees given</t>
        </r>
      </text>
    </comment>
    <comment ref="I16" authorId="0" shapeId="0" xr:uid="{4F4990F6-9127-4C04-B5F8-D5196BC5F358}">
      <text>
        <r>
          <rPr>
            <sz val="9"/>
            <color indexed="81"/>
            <rFont val="Tahoma"/>
            <family val="2"/>
          </rPr>
          <t>DataPointVID 155604_x000D_
DataPointID 155604_x000D_
Metric  =  Carrying amount [mi]_x000D_
Base  =  Liabilities_x000D_
Financial reporting standard  =  IFRS 9 impairment_x000D_
Impairment status  =  Instruments with significant increase in credit risk (Stage 2)_x000D_
Main category  =  Financial guarantees given</t>
        </r>
      </text>
    </comment>
    <comment ref="J16" authorId="0" shapeId="0" xr:uid="{54BD5AA2-0C17-474E-BE0F-E85F0777C39A}">
      <text>
        <r>
          <rPr>
            <sz val="9"/>
            <color indexed="81"/>
            <rFont val="Tahoma"/>
            <family val="2"/>
          </rPr>
          <t>DataPointVID 155610_x000D_
DataPointID 155610_x000D_
Metric  =  Carrying amount [mi]_x000D_
Base  =  Liabilities_x000D_
Financial reporting standard  =  IFRS 9 impairment_x000D_
Impairment status  =  Instruments with significant increase in credit risk. Credit impaired  assets (Stage 3)_x000D_
Main category  =  Financial guarantees given</t>
        </r>
      </text>
    </comment>
    <comment ref="L16" authorId="0" shapeId="0" xr:uid="{DA83339F-D924-4C41-8037-7CD2394EF5AD}">
      <text>
        <r>
          <rPr>
            <sz val="9"/>
            <color indexed="81"/>
            <rFont val="Tahoma"/>
            <family val="2"/>
          </rPr>
          <t>DataPointVID 155933_x000D_
DataPointID 155933_x000D_
Metric  =  Nominal amount [mi]_x000D_
Base  =  Off balance sheet items_x000D_
Financial reporting standard  =  IAS 37 or IFRS 4_x000D_
Main category  =  Financial guarantees given</t>
        </r>
      </text>
    </comment>
    <comment ref="M16" authorId="0" shapeId="0" xr:uid="{848D3B68-5B59-4DAA-AA06-0D19B1BF6F59}">
      <text>
        <r>
          <rPr>
            <sz val="9"/>
            <color indexed="81"/>
            <rFont val="Tahoma"/>
            <family val="2"/>
          </rPr>
          <t>DataPointVID 155616_x000D_
DataPointID 155616_x000D_
Metric  =  Carrying amount [mi]_x000D_
Base  =  Liabilities_x000D_
Financial reporting standard  =  IAS 37 or IFRS 4_x000D_
Main category  =  Financial guarantees given</t>
        </r>
      </text>
    </comment>
    <comment ref="N16" authorId="0" shapeId="0" xr:uid="{982CF619-54D8-4C08-A22F-DC7E6E572F60}">
      <text>
        <r>
          <rPr>
            <sz val="9"/>
            <color indexed="81"/>
            <rFont val="Tahoma"/>
            <family val="2"/>
          </rPr>
          <t>DataPointVID 155819_x000D_
DataPointID 155819_x000D_
Metric  =  Nominal amount [mi]_x000D_
Base  =  Memorandum items_x000D_
Financial reporting standard  =  IFRS 9 fair valued commitments and financial guarantees_x000D_
Main category  =  Financial guarantees given</t>
        </r>
      </text>
    </comment>
    <comment ref="C17" authorId="0" shapeId="0" xr:uid="{CB162940-EF70-4139-8F62-7C3E7AEE6647}">
      <text>
        <r>
          <rPr>
            <sz val="9"/>
            <color indexed="81"/>
            <rFont val="Tahoma"/>
            <family val="2"/>
          </rPr>
          <t>Main category  =  Financial guarantees given_x000D_
Performing status  =  Non-performing exposures</t>
        </r>
      </text>
    </comment>
    <comment ref="D17" authorId="0" shapeId="0" xr:uid="{48793074-8570-45F1-84D1-760BE3D4E0BF}">
      <text>
        <r>
          <rPr>
            <sz val="9"/>
            <color indexed="81"/>
            <rFont val="Tahoma"/>
            <family val="2"/>
          </rPr>
          <t>DataPointVID 155916_x000D_
DataPointID 155916_x000D_
Metric  =  Nominal amount [mi]_x000D_
Base  =  Off balance sheet items_x000D_
Financial reporting standard  =  IFRS 9 impairment_x000D_
Impairment status  =  Instruments without significant increase in credit risk (Stage 1)_x000D_
Main category  =  Financial guarantees given_x000D_
Performing status  =  Non-performing exposures</t>
        </r>
      </text>
    </comment>
    <comment ref="E17" authorId="0" shapeId="0" xr:uid="{C08ADB82-6056-4DFE-8CE2-AF4199CEA055}">
      <text>
        <r>
          <rPr>
            <sz val="9"/>
            <color indexed="81"/>
            <rFont val="Tahoma"/>
            <family val="2"/>
          </rPr>
          <t>DataPointVID 155922_x000D_
DataPointID 155922_x000D_
Metric  =  Nominal amount [mi]_x000D_
Base  =  Off balance sheet items_x000D_
Financial reporting standard  =  IFRS 9 impairment_x000D_
Impairment status  =  Instruments with significant increase in credit risk (Stage 2)_x000D_
Main category  =  Financial guarantees given_x000D_
Performing status  =  Non-performing exposures</t>
        </r>
      </text>
    </comment>
    <comment ref="F17" authorId="0" shapeId="0" xr:uid="{4E13A6B8-22BA-431F-8C7E-91CC10988007}">
      <text>
        <r>
          <rPr>
            <sz val="9"/>
            <color indexed="81"/>
            <rFont val="Tahoma"/>
            <family val="2"/>
          </rPr>
          <t>DataPointVID 155928_x000D_
DataPointID 155928_x000D_
Metric  =  Nominal amount [mi]_x000D_
Base  =  Off balance sheet items_x000D_
Financial reporting standard  =  IFRS 9 impairment_x000D_
Impairment status  =  Instruments with significant increase in credit risk. Credit impaired  assets (Stage 3)_x000D_
Main category  =  Financial guarantees given_x000D_
Performing status  =  Non-performing exposures</t>
        </r>
      </text>
    </comment>
    <comment ref="H17" authorId="0" shapeId="0" xr:uid="{0726ADF6-5F63-4915-BB91-2527AFADB359}">
      <text>
        <r>
          <rPr>
            <sz val="9"/>
            <color indexed="81"/>
            <rFont val="Tahoma"/>
            <family val="2"/>
          </rPr>
          <t>DataPointVID 155599_x000D_
DataPointID 155599_x000D_
Metric  =  Carrying amount [mi]_x000D_
Base  =  Liabilities_x000D_
Financial reporting standard  =  IFRS 9 impairment_x000D_
Impairment status  =  Instruments without significant increase in credit risk (Stage 1)_x000D_
Main category  =  Financial guarantees given_x000D_
Performing status  =  Non-performing exposures</t>
        </r>
      </text>
    </comment>
    <comment ref="I17" authorId="0" shapeId="0" xr:uid="{FD041FD8-EB48-438F-A52E-0E0EF6B08651}">
      <text>
        <r>
          <rPr>
            <sz val="9"/>
            <color indexed="81"/>
            <rFont val="Tahoma"/>
            <family val="2"/>
          </rPr>
          <t>DataPointVID 155605_x000D_
DataPointID 155605_x000D_
Metric  =  Carrying amount [mi]_x000D_
Base  =  Liabilities_x000D_
Financial reporting standard  =  IFRS 9 impairment_x000D_
Impairment status  =  Instruments with significant increase in credit risk (Stage 2)_x000D_
Main category  =  Financial guarantees given_x000D_
Performing status  =  Non-performing exposures</t>
        </r>
      </text>
    </comment>
    <comment ref="J17" authorId="0" shapeId="0" xr:uid="{8D60535E-EC60-42EE-998B-726E9F4D3AE9}">
      <text>
        <r>
          <rPr>
            <sz val="9"/>
            <color indexed="81"/>
            <rFont val="Tahoma"/>
            <family val="2"/>
          </rPr>
          <t>DataPointVID 155611_x000D_
DataPointID 155611_x000D_
Metric  =  Carrying amount [mi]_x000D_
Base  =  Liabilities_x000D_
Financial reporting standard  =  IFRS 9 impairment_x000D_
Impairment status  =  Instruments with significant increase in credit risk. Credit impaired  assets (Stage 3)_x000D_
Main category  =  Financial guarantees given_x000D_
Performing status  =  Non-performing exposures</t>
        </r>
      </text>
    </comment>
    <comment ref="L17" authorId="0" shapeId="0" xr:uid="{C8FC73C2-A4A1-4E76-AEB8-40B0DAE3BC2E}">
      <text>
        <r>
          <rPr>
            <sz val="9"/>
            <color indexed="81"/>
            <rFont val="Tahoma"/>
            <family val="2"/>
          </rPr>
          <t>DataPointVID 155934_x000D_
DataPointID 155934_x000D_
Metric  =  Nominal amount [mi]_x000D_
Base  =  Off balance sheet items_x000D_
Financial reporting standard  =  IAS 37 or IFRS 4_x000D_
Main category  =  Financial guarantees given_x000D_
Performing status  =  Non-performing exposures</t>
        </r>
      </text>
    </comment>
    <comment ref="M17" authorId="0" shapeId="0" xr:uid="{D7469566-7FE0-4279-B981-EC8FACDFB35D}">
      <text>
        <r>
          <rPr>
            <sz val="9"/>
            <color indexed="81"/>
            <rFont val="Tahoma"/>
            <family val="2"/>
          </rPr>
          <t>DataPointVID 155617_x000D_
DataPointID 155617_x000D_
Metric  =  Carrying amount [mi]_x000D_
Base  =  Liabilities_x000D_
Financial reporting standard  =  IAS 37 or IFRS 4_x000D_
Main category  =  Financial guarantees given_x000D_
Performing status  =  Non-performing exposures</t>
        </r>
      </text>
    </comment>
    <comment ref="N17" authorId="0" shapeId="0" xr:uid="{73B7D35C-A7A7-4B94-B1F2-381F3D233091}">
      <text>
        <r>
          <rPr>
            <sz val="9"/>
            <color indexed="81"/>
            <rFont val="Tahoma"/>
            <family val="2"/>
          </rPr>
          <t>DataPointVID 155820_x000D_
DataPointID 155820_x000D_
Metric  =  Nominal amount [mi]_x000D_
Base  =  Memorandum items_x000D_
Financial reporting standard  =  IFRS 9 fair valued commitments and financial guarantees_x000D_
Main category  =  Financial guarantees given_x000D_
Performing status  =  Non-performing exposures</t>
        </r>
      </text>
    </comment>
    <comment ref="O17" authorId="0" shapeId="0" xr:uid="{866EA716-C6AC-4333-A8AC-51C722E9A9C0}">
      <text>
        <r>
          <rPr>
            <sz val="9"/>
            <color indexed="81"/>
            <rFont val="Tahoma"/>
            <family val="2"/>
          </rPr>
          <t>DataPointVID 155980_x000D_
DataPointID 155980_x000D_
Metric  =  Accumulated negative changes in fair value due to credit risk [mi]_x000D_
Base  =  Liabilities_x000D_
Financial reporting standard  =  IFRS 9 fair valued commitments and financial guarantees_x000D_
Main category  =  Financial guarantees given_x000D_
Performing status  =  Non-performing exposures</t>
        </r>
      </text>
    </comment>
    <comment ref="C18" authorId="0" shapeId="0" xr:uid="{B171C64F-9335-4A8B-9495-19A323D8C7C1}">
      <text>
        <r>
          <rPr>
            <sz val="9"/>
            <color indexed="81"/>
            <rFont val="Tahoma"/>
            <family val="2"/>
          </rPr>
          <t>Main category  =  Financial guarantees given_x000D_
Counterparty sector  =  Central banks</t>
        </r>
      </text>
    </comment>
    <comment ref="D18" authorId="0" shapeId="0" xr:uid="{7243381D-F4AD-4639-82A2-E07101070E4B}">
      <text>
        <r>
          <rPr>
            <sz val="9"/>
            <color indexed="81"/>
            <rFont val="Tahoma"/>
            <family val="2"/>
          </rPr>
          <t>DataPointVID 155825_x000D_
DataPointID 155825_x000D_
Metric  =  Nominal amount [mi]_x000D_
Base  =  Off balance sheet items_x000D_
Counterparty sector  =  Central banks_x000D_
Financial reporting standard  =  IFRS 9 impairment_x000D_
Impairment status  =  Instruments without significant increase in credit risk (Stage 1)_x000D_
Main category  =  Financial guarantees given</t>
        </r>
      </text>
    </comment>
    <comment ref="E18" authorId="0" shapeId="0" xr:uid="{E4913928-653D-4C25-9FD6-8699469CBE39}">
      <text>
        <r>
          <rPr>
            <sz val="9"/>
            <color indexed="81"/>
            <rFont val="Tahoma"/>
            <family val="2"/>
          </rPr>
          <t>DataPointVID 155828_x000D_
DataPointID 155828_x000D_
Metric  =  Nominal amount [mi]_x000D_
Base  =  Off balance sheet items_x000D_
Counterparty sector  =  Central banks_x000D_
Financial reporting standard  =  IFRS 9 impairment_x000D_
Impairment status  =  Instruments with significant increase in credit risk (Stage 2)_x000D_
Main category  =  Financial guarantees given</t>
        </r>
      </text>
    </comment>
    <comment ref="F18" authorId="0" shapeId="0" xr:uid="{80632398-D5EE-418C-B469-6DF2C902AB5D}">
      <text>
        <r>
          <rPr>
            <sz val="9"/>
            <color indexed="81"/>
            <rFont val="Tahoma"/>
            <family val="2"/>
          </rPr>
          <t>DataPointVID 155831_x000D_
DataPointID 155831_x000D_
Metric  =  Nominal amount [mi]_x000D_
Base  =  Off balance sheet items_x000D_
Counterparty sector  =  Central banks_x000D_
Financial reporting standard  =  IFRS 9 impairment_x000D_
Impairment status  =  Instruments with significant increase in credit risk. Credit impaired  assets (Stage 3)_x000D_
Main category  =  Financial guarantees given</t>
        </r>
      </text>
    </comment>
    <comment ref="H18" authorId="0" shapeId="0" xr:uid="{E219F7F2-DC2C-47F4-B27A-07DE8927C6BF}">
      <text>
        <r>
          <rPr>
            <sz val="9"/>
            <color indexed="81"/>
            <rFont val="Tahoma"/>
            <family val="2"/>
          </rPr>
          <t>DataPointVID 155467_x000D_
DataPointID 155467_x000D_
Metric  =  Carrying amount [mi]_x000D_
Base  =  Liabilities_x000D_
Counterparty sector  =  Central banks_x000D_
Financial reporting standard  =  IFRS 9 impairment_x000D_
Impairment status  =  Instruments without significant increase in credit risk (Stage 1)_x000D_
Main category  =  Financial guarantees given</t>
        </r>
      </text>
    </comment>
    <comment ref="I18" authorId="0" shapeId="0" xr:uid="{0A11E907-9BDB-4DC1-A9E3-6018806288D6}">
      <text>
        <r>
          <rPr>
            <sz val="9"/>
            <color indexed="81"/>
            <rFont val="Tahoma"/>
            <family val="2"/>
          </rPr>
          <t>DataPointVID 155470_x000D_
DataPointID 155470_x000D_
Metric  =  Carrying amount [mi]_x000D_
Base  =  Liabilities_x000D_
Counterparty sector  =  Central banks_x000D_
Financial reporting standard  =  IFRS 9 impairment_x000D_
Impairment status  =  Instruments with significant increase in credit risk (Stage 2)_x000D_
Main category  =  Financial guarantees given</t>
        </r>
      </text>
    </comment>
    <comment ref="J18" authorId="0" shapeId="0" xr:uid="{60841F37-AFD1-436B-A2CE-AC1A6CD3AC5F}">
      <text>
        <r>
          <rPr>
            <sz val="9"/>
            <color indexed="81"/>
            <rFont val="Tahoma"/>
            <family val="2"/>
          </rPr>
          <t>DataPointVID 155473_x000D_
DataPointID 155473_x000D_
Metric  =  Carrying amount [mi]_x000D_
Base  =  Liabilities_x000D_
Counterparty sector  =  Central banks_x000D_
Financial reporting standard  =  IFRS 9 impairment_x000D_
Impairment status  =  Instruments with significant increase in credit risk. Credit impaired  assets (Stage 3)_x000D_
Main category  =  Financial guarantees given</t>
        </r>
      </text>
    </comment>
    <comment ref="L18" authorId="0" shapeId="0" xr:uid="{8D4792C7-D6FF-499F-9209-70015EF1BB93}">
      <text>
        <r>
          <rPr>
            <sz val="9"/>
            <color indexed="81"/>
            <rFont val="Tahoma"/>
            <family val="2"/>
          </rPr>
          <t>DataPointVID 155834_x000D_
DataPointID 155834_x000D_
Metric  =  Nominal amount [mi]_x000D_
Base  =  Off balance sheet items_x000D_
Counterparty sector  =  Central banks_x000D_
Financial reporting standard  =  IAS 37 or IFRS 4_x000D_
Main category  =  Financial guarantees given</t>
        </r>
      </text>
    </comment>
    <comment ref="M18" authorId="0" shapeId="0" xr:uid="{711F62D1-545D-4AE5-9A1A-8620FBEE044D}">
      <text>
        <r>
          <rPr>
            <sz val="9"/>
            <color indexed="81"/>
            <rFont val="Tahoma"/>
            <family val="2"/>
          </rPr>
          <t>DataPointVID 155476_x000D_
DataPointID 155476_x000D_
Metric  =  Carrying amount [mi]_x000D_
Base  =  Liabilities_x000D_
Counterparty sector  =  Central banks_x000D_
Financial reporting standard  =  IAS 37 or IFRS 4_x000D_
Main category  =  Financial guarantees given</t>
        </r>
      </text>
    </comment>
    <comment ref="C19" authorId="0" shapeId="0" xr:uid="{3B2FE526-4E26-4B1F-B1E0-C79B4A94A2DC}">
      <text>
        <r>
          <rPr>
            <sz val="9"/>
            <color indexed="81"/>
            <rFont val="Tahoma"/>
            <family val="2"/>
          </rPr>
          <t>Main category  =  Financial guarantees given_x000D_
Counterparty sector  =  General governments</t>
        </r>
      </text>
    </comment>
    <comment ref="D19" authorId="0" shapeId="0" xr:uid="{5535510F-8979-4F91-A4F1-28794A740E38}">
      <text>
        <r>
          <rPr>
            <sz val="9"/>
            <color indexed="81"/>
            <rFont val="Tahoma"/>
            <family val="2"/>
          </rPr>
          <t>DataPointVID 155855_x000D_
DataPointID 155855_x000D_
Metric  =  Nominal amount [mi]_x000D_
Base  =  Off balance sheet items_x000D_
Counterparty sector  =  General governments_x000D_
Financial reporting standard  =  IFRS 9 impairment_x000D_
Impairment status  =  Instruments without significant increase in credit risk (Stage 1)_x000D_
Main category  =  Financial guarantees given</t>
        </r>
      </text>
    </comment>
    <comment ref="E19" authorId="0" shapeId="0" xr:uid="{C99B08AF-BEA5-48D8-A3B4-B65C8C63A41F}">
      <text>
        <r>
          <rPr>
            <sz val="9"/>
            <color indexed="81"/>
            <rFont val="Tahoma"/>
            <family val="2"/>
          </rPr>
          <t>DataPointVID 155858_x000D_
DataPointID 155858_x000D_
Metric  =  Nominal amount [mi]_x000D_
Base  =  Off balance sheet items_x000D_
Counterparty sector  =  General governments_x000D_
Financial reporting standard  =  IFRS 9 impairment_x000D_
Impairment status  =  Instruments with significant increase in credit risk (Stage 2)_x000D_
Main category  =  Financial guarantees given</t>
        </r>
      </text>
    </comment>
    <comment ref="F19" authorId="0" shapeId="0" xr:uid="{F9B0AF49-2901-4645-81C9-6FF358F94D21}">
      <text>
        <r>
          <rPr>
            <sz val="9"/>
            <color indexed="81"/>
            <rFont val="Tahoma"/>
            <family val="2"/>
          </rPr>
          <t>DataPointVID 155861_x000D_
DataPointID 155861_x000D_
Metric  =  Nominal amount [mi]_x000D_
Base  =  Off balance sheet items_x000D_
Counterparty sector  =  General governments_x000D_
Financial reporting standard  =  IFRS 9 impairment_x000D_
Impairment status  =  Instruments with significant increase in credit risk. Credit impaired  assets (Stage 3)_x000D_
Main category  =  Financial guarantees given</t>
        </r>
      </text>
    </comment>
    <comment ref="H19" authorId="0" shapeId="0" xr:uid="{0CE58656-7552-4817-90E2-CDB113ED2C56}">
      <text>
        <r>
          <rPr>
            <sz val="9"/>
            <color indexed="81"/>
            <rFont val="Tahoma"/>
            <family val="2"/>
          </rPr>
          <t>DataPointVID 155509_x000D_
DataPointID 155509_x000D_
Metric  =  Carrying amount [mi]_x000D_
Base  =  Liabilities_x000D_
Counterparty sector  =  General governments_x000D_
Financial reporting standard  =  IFRS 9 impairment_x000D_
Impairment status  =  Instruments without significant increase in credit risk (Stage 1)_x000D_
Main category  =  Financial guarantees given</t>
        </r>
      </text>
    </comment>
    <comment ref="I19" authorId="0" shapeId="0" xr:uid="{C601A4BB-3C32-42E2-AE72-CA7C361E0684}">
      <text>
        <r>
          <rPr>
            <sz val="9"/>
            <color indexed="81"/>
            <rFont val="Tahoma"/>
            <family val="2"/>
          </rPr>
          <t>DataPointVID 155512_x000D_
DataPointID 155512_x000D_
Metric  =  Carrying amount [mi]_x000D_
Base  =  Liabilities_x000D_
Counterparty sector  =  General governments_x000D_
Financial reporting standard  =  IFRS 9 impairment_x000D_
Impairment status  =  Instruments with significant increase in credit risk (Stage 2)_x000D_
Main category  =  Financial guarantees given</t>
        </r>
      </text>
    </comment>
    <comment ref="J19" authorId="0" shapeId="0" xr:uid="{74BD1E62-192E-4289-A7F0-B8B61338B37E}">
      <text>
        <r>
          <rPr>
            <sz val="9"/>
            <color indexed="81"/>
            <rFont val="Tahoma"/>
            <family val="2"/>
          </rPr>
          <t>DataPointVID 155515_x000D_
DataPointID 155515_x000D_
Metric  =  Carrying amount [mi]_x000D_
Base  =  Liabilities_x000D_
Counterparty sector  =  General governments_x000D_
Financial reporting standard  =  IFRS 9 impairment_x000D_
Impairment status  =  Instruments with significant increase in credit risk. Credit impaired  assets (Stage 3)_x000D_
Main category  =  Financial guarantees given</t>
        </r>
      </text>
    </comment>
    <comment ref="L19" authorId="0" shapeId="0" xr:uid="{14C7C865-EAFC-459B-AE7E-08B4D6EB7E58}">
      <text>
        <r>
          <rPr>
            <sz val="9"/>
            <color indexed="81"/>
            <rFont val="Tahoma"/>
            <family val="2"/>
          </rPr>
          <t>DataPointVID 155864_x000D_
DataPointID 155864_x000D_
Metric  =  Nominal amount [mi]_x000D_
Base  =  Off balance sheet items_x000D_
Counterparty sector  =  General governments_x000D_
Financial reporting standard  =  IAS 37 or IFRS 4_x000D_
Main category  =  Financial guarantees given</t>
        </r>
      </text>
    </comment>
    <comment ref="M19" authorId="0" shapeId="0" xr:uid="{E698C31A-9209-436C-9161-0946728B41F9}">
      <text>
        <r>
          <rPr>
            <sz val="9"/>
            <color indexed="81"/>
            <rFont val="Tahoma"/>
            <family val="2"/>
          </rPr>
          <t>DataPointVID 155518_x000D_
DataPointID 155518_x000D_
Metric  =  Carrying amount [mi]_x000D_
Base  =  Liabilities_x000D_
Counterparty sector  =  General governments_x000D_
Financial reporting standard  =  IAS 37 or IFRS 4_x000D_
Main category  =  Financial guarantees given</t>
        </r>
      </text>
    </comment>
    <comment ref="C20" authorId="0" shapeId="0" xr:uid="{A417A17D-B18C-4D04-8D08-359AF0F52288}">
      <text>
        <r>
          <rPr>
            <sz val="9"/>
            <color indexed="81"/>
            <rFont val="Tahoma"/>
            <family val="2"/>
          </rPr>
          <t>Main category  =  Financial guarantees given_x000D_
Counterparty sector  =  Credit institutions</t>
        </r>
      </text>
    </comment>
    <comment ref="D20" authorId="0" shapeId="0" xr:uid="{CC681FDD-4FEF-4047-955F-7439832B9812}">
      <text>
        <r>
          <rPr>
            <sz val="9"/>
            <color indexed="81"/>
            <rFont val="Tahoma"/>
            <family val="2"/>
          </rPr>
          <t>DataPointVID 155840_x000D_
DataPointID 155840_x000D_
Metric  =  Nominal amount [mi]_x000D_
Base  =  Off balance sheet items_x000D_
Counterparty sector  =  Credit institutions_x000D_
Financial reporting standard  =  IFRS 9 impairment_x000D_
Impairment status  =  Instruments without significant increase in credit risk (Stage 1)_x000D_
Main category  =  Financial guarantees given</t>
        </r>
      </text>
    </comment>
    <comment ref="E20" authorId="0" shapeId="0" xr:uid="{8FE38BFA-6B2E-4453-B071-CA2364AB9EBE}">
      <text>
        <r>
          <rPr>
            <sz val="9"/>
            <color indexed="81"/>
            <rFont val="Tahoma"/>
            <family val="2"/>
          </rPr>
          <t>DataPointVID 155843_x000D_
DataPointID 155843_x000D_
Metric  =  Nominal amount [mi]_x000D_
Base  =  Off balance sheet items_x000D_
Counterparty sector  =  Credit institutions_x000D_
Financial reporting standard  =  IFRS 9 impairment_x000D_
Impairment status  =  Instruments with significant increase in credit risk (Stage 2)_x000D_
Main category  =  Financial guarantees given</t>
        </r>
      </text>
    </comment>
    <comment ref="F20" authorId="0" shapeId="0" xr:uid="{A9BF2B74-6906-4965-BAC0-1C228BE54D0E}">
      <text>
        <r>
          <rPr>
            <sz val="9"/>
            <color indexed="81"/>
            <rFont val="Tahoma"/>
            <family val="2"/>
          </rPr>
          <t>DataPointVID 155846_x000D_
DataPointID 155846_x000D_
Metric  =  Nominal amount [mi]_x000D_
Base  =  Off balance sheet items_x000D_
Counterparty sector  =  Credit institutions_x000D_
Financial reporting standard  =  IFRS 9 impairment_x000D_
Impairment status  =  Instruments with significant increase in credit risk. Credit impaired  assets (Stage 3)_x000D_
Main category  =  Financial guarantees given</t>
        </r>
      </text>
    </comment>
    <comment ref="H20" authorId="0" shapeId="0" xr:uid="{C4E9ADAC-B1B3-4C63-B7AA-D6013138B8C3}">
      <text>
        <r>
          <rPr>
            <sz val="9"/>
            <color indexed="81"/>
            <rFont val="Tahoma"/>
            <family val="2"/>
          </rPr>
          <t>DataPointVID 155488_x000D_
DataPointID 155488_x000D_
Metric  =  Carrying amount [mi]_x000D_
Base  =  Liabilities_x000D_
Counterparty sector  =  Credit institutions_x000D_
Financial reporting standard  =  IFRS 9 impairment_x000D_
Impairment status  =  Instruments without significant increase in credit risk (Stage 1)_x000D_
Main category  =  Financial guarantees given</t>
        </r>
      </text>
    </comment>
    <comment ref="I20" authorId="0" shapeId="0" xr:uid="{156B51C2-5D98-408C-9784-1C03FE720BAF}">
      <text>
        <r>
          <rPr>
            <sz val="9"/>
            <color indexed="81"/>
            <rFont val="Tahoma"/>
            <family val="2"/>
          </rPr>
          <t>DataPointVID 155491_x000D_
DataPointID 155491_x000D_
Metric  =  Carrying amount [mi]_x000D_
Base  =  Liabilities_x000D_
Counterparty sector  =  Credit institutions_x000D_
Financial reporting standard  =  IFRS 9 impairment_x000D_
Impairment status  =  Instruments with significant increase in credit risk (Stage 2)_x000D_
Main category  =  Financial guarantees given</t>
        </r>
      </text>
    </comment>
    <comment ref="J20" authorId="0" shapeId="0" xr:uid="{310C6670-44A8-40D5-A52C-F0B75EBEC337}">
      <text>
        <r>
          <rPr>
            <sz val="9"/>
            <color indexed="81"/>
            <rFont val="Tahoma"/>
            <family val="2"/>
          </rPr>
          <t>DataPointVID 155494_x000D_
DataPointID 155494_x000D_
Metric  =  Carrying amount [mi]_x000D_
Base  =  Liabilities_x000D_
Counterparty sector  =  Credit institutions_x000D_
Financial reporting standard  =  IFRS 9 impairment_x000D_
Impairment status  =  Instruments with significant increase in credit risk. Credit impaired  assets (Stage 3)_x000D_
Main category  =  Financial guarantees given</t>
        </r>
      </text>
    </comment>
    <comment ref="L20" authorId="0" shapeId="0" xr:uid="{F5F21958-68E7-46D0-AE15-C670F1FB2C82}">
      <text>
        <r>
          <rPr>
            <sz val="9"/>
            <color indexed="81"/>
            <rFont val="Tahoma"/>
            <family val="2"/>
          </rPr>
          <t>DataPointVID 155849_x000D_
DataPointID 155849_x000D_
Metric  =  Nominal amount [mi]_x000D_
Base  =  Off balance sheet items_x000D_
Counterparty sector  =  Credit institutions_x000D_
Financial reporting standard  =  IAS 37 or IFRS 4_x000D_
Main category  =  Financial guarantees given</t>
        </r>
      </text>
    </comment>
    <comment ref="M20" authorId="0" shapeId="0" xr:uid="{3FB86604-B69F-4F75-AAE7-BD864930DDAC}">
      <text>
        <r>
          <rPr>
            <sz val="9"/>
            <color indexed="81"/>
            <rFont val="Tahoma"/>
            <family val="2"/>
          </rPr>
          <t>DataPointVID 155497_x000D_
DataPointID 155497_x000D_
Metric  =  Carrying amount [mi]_x000D_
Base  =  Liabilities_x000D_
Counterparty sector  =  Credit institutions_x000D_
Financial reporting standard  =  IAS 37 or IFRS 4_x000D_
Main category  =  Financial guarantees given</t>
        </r>
      </text>
    </comment>
    <comment ref="C21" authorId="0" shapeId="0" xr:uid="{B84ACCC6-580B-4B04-9CC7-442CE776C93F}">
      <text>
        <r>
          <rPr>
            <sz val="9"/>
            <color indexed="81"/>
            <rFont val="Tahoma"/>
            <family val="2"/>
          </rPr>
          <t>Main category  =  Financial guarantees given_x000D_
Counterparty sector  =  Financial corporations other than credit institutions</t>
        </r>
      </text>
    </comment>
    <comment ref="D21" authorId="0" shapeId="0" xr:uid="{C4B12459-A833-4C1B-8216-08AF7D741E82}">
      <text>
        <r>
          <rPr>
            <sz val="9"/>
            <color indexed="81"/>
            <rFont val="Tahoma"/>
            <family val="2"/>
          </rPr>
          <t>DataPointVID 155900_x000D_
DataPointID 155900_x000D_
Metric  =  Nominal amount [mi]_x000D_
Base  =  Off balance sheet items_x000D_
Counterparty sector  =  Financial corporations other than credit institutions_x000D_
Financial reporting standard  =  IFRS 9 impairment_x000D_
Impairment status  =  Instruments without significant increase in credit risk (Stage 1)_x000D_
Main category  =  Financial guarantees given</t>
        </r>
      </text>
    </comment>
    <comment ref="E21" authorId="0" shapeId="0" xr:uid="{E1BA5908-CA75-4E2C-B76A-AA23A88E2681}">
      <text>
        <r>
          <rPr>
            <sz val="9"/>
            <color indexed="81"/>
            <rFont val="Tahoma"/>
            <family val="2"/>
          </rPr>
          <t>DataPointVID 155903_x000D_
DataPointID 155903_x000D_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(Stage 2)_x000D_
Main category  =  Financial guarantees given</t>
        </r>
      </text>
    </comment>
    <comment ref="F21" authorId="0" shapeId="0" xr:uid="{B5E6FCE7-5B85-4A56-99C2-7A46E5D2811F}">
      <text>
        <r>
          <rPr>
            <sz val="9"/>
            <color indexed="81"/>
            <rFont val="Tahoma"/>
            <family val="2"/>
          </rPr>
          <t>DataPointVID 155906_x000D_
DataPointID 155906_x000D_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Credit impaired  assets (Stage 3)_x000D_
Main category  =  Financial guarantees given</t>
        </r>
      </text>
    </comment>
    <comment ref="H21" authorId="0" shapeId="0" xr:uid="{0CB424B3-2811-46A6-8841-66281F061171}">
      <text>
        <r>
          <rPr>
            <sz val="9"/>
            <color indexed="81"/>
            <rFont val="Tahoma"/>
            <family val="2"/>
          </rPr>
          <t>DataPointVID 155572_x000D_
DataPointID 155572_x000D_
Metric  =  Carrying amount [mi]_x000D_
Base  =  Liabilities_x000D_
Counterparty sector  =  Financial corporations other than credit institutions_x000D_
Financial reporting standard  =  IFRS 9 impairment_x000D_
Impairment status  =  Instruments without significant increase in credit risk (Stage 1)_x000D_
Main category  =  Financial guarantees given</t>
        </r>
      </text>
    </comment>
    <comment ref="I21" authorId="0" shapeId="0" xr:uid="{1A118450-AB85-4D79-AEF6-12A061A47AF2}">
      <text>
        <r>
          <rPr>
            <sz val="9"/>
            <color indexed="81"/>
            <rFont val="Tahoma"/>
            <family val="2"/>
          </rPr>
          <t>DataPointVID 155575_x000D_
DataPointID 155575_x000D_
Metric  =  Carrying amount [mi]_x000D_
Base  =  Liabilities_x000D_
Counterparty sector  =  Financial corporations other than credit institutions_x000D_
Financial reporting standard  =  IFRS 9 impairment_x000D_
Impairment status  =  Instruments with significant increase in credit risk (Stage 2)_x000D_
Main category  =  Financial guarantees given</t>
        </r>
      </text>
    </comment>
    <comment ref="J21" authorId="0" shapeId="0" xr:uid="{080392C3-1B38-4C46-96B6-A5D9A2B6AFCA}">
      <text>
        <r>
          <rPr>
            <sz val="9"/>
            <color indexed="81"/>
            <rFont val="Tahoma"/>
            <family val="2"/>
          </rPr>
          <t>DataPointVID 155578_x000D_
DataPointID 155578_x000D_
Metric  =  Carrying amount [mi]_x000D_
Base  =  Liabilities_x000D_
Counterparty sector  =  Financial corporations other than credit institutions_x000D_
Financial reporting standard  =  IFRS 9 impairment_x000D_
Impairment status  =  Instruments with significant increase in credit risk. Credit impaired  assets (Stage 3)_x000D_
Main category  =  Financial guarantees given</t>
        </r>
      </text>
    </comment>
    <comment ref="L21" authorId="0" shapeId="0" xr:uid="{C2292774-BAFC-4085-986C-E5CE8E301A38}">
      <text>
        <r>
          <rPr>
            <sz val="9"/>
            <color indexed="81"/>
            <rFont val="Tahoma"/>
            <family val="2"/>
          </rPr>
          <t>DataPointVID 155909_x000D_
DataPointID 155909_x000D_
Metric  =  Nominal amount [mi]_x000D_
Base  =  Off balance sheet items_x000D_
Counterparty sector  =  Financial corporations other than credit institutions_x000D_
Financial reporting standard  =  IAS 37 or IFRS 4_x000D_
Main category  =  Financial guarantees given</t>
        </r>
      </text>
    </comment>
    <comment ref="M21" authorId="0" shapeId="0" xr:uid="{82990BDA-2A4C-436F-B2B5-83E6B88C2F01}">
      <text>
        <r>
          <rPr>
            <sz val="9"/>
            <color indexed="81"/>
            <rFont val="Tahoma"/>
            <family val="2"/>
          </rPr>
          <t>DataPointVID 155581_x000D_
DataPointID 155581_x000D_
Metric  =  Carrying amount [mi]_x000D_
Base  =  Liabilities_x000D_
Counterparty sector  =  Financial corporations other than credit institutions_x000D_
Financial reporting standard  =  IAS 37 or IFRS 4_x000D_
Main category  =  Financial guarantees given</t>
        </r>
      </text>
    </comment>
    <comment ref="C22" authorId="0" shapeId="0" xr:uid="{CC33BC7A-E19E-42CD-8ADE-71FE8055FC44}">
      <text>
        <r>
          <rPr>
            <sz val="9"/>
            <color indexed="81"/>
            <rFont val="Tahoma"/>
            <family val="2"/>
          </rPr>
          <t>Main category  =  Financial guarantees given_x000D_
Counterparty sector  =  Non-financial corporations</t>
        </r>
      </text>
    </comment>
    <comment ref="D22" authorId="0" shapeId="0" xr:uid="{1FBA4413-F278-4C4F-A412-9FDDC47B0AAA}">
      <text>
        <r>
          <rPr>
            <sz val="9"/>
            <color indexed="81"/>
            <rFont val="Tahoma"/>
            <family val="2"/>
          </rPr>
          <t>DataPointVID 155885_x000D_
DataPointID 155885_x000D_
Metric  =  Nominal amount [mi]_x000D_
Base  =  Off balance sheet items_x000D_
Counterparty sector  =  Non-financial corporations_x000D_
Financial reporting standard  =  IFRS 9 impairment_x000D_
Impairment status  =  Instruments without significant increase in credit risk (Stage 1)_x000D_
Main category  =  Financial guarantees given</t>
        </r>
      </text>
    </comment>
    <comment ref="E22" authorId="0" shapeId="0" xr:uid="{DB749A5E-863F-47B0-9BF4-62F2646755B0}">
      <text>
        <r>
          <rPr>
            <sz val="9"/>
            <color indexed="81"/>
            <rFont val="Tahoma"/>
            <family val="2"/>
          </rPr>
          <t>DataPointVID 155888_x000D_
DataPointID 155888_x000D_
Metric  =  Nominal amount [mi]_x000D_
Base  =  Off balance sheet items_x000D_
Counterparty sector  =  Non-financial corporations_x000D_
Financial reporting standard  =  IFRS 9 impairment_x000D_
Impairment status  =  Instruments with significant increase in credit risk (Stage 2)_x000D_
Main category  =  Financial guarantees given</t>
        </r>
      </text>
    </comment>
    <comment ref="F22" authorId="0" shapeId="0" xr:uid="{44F969A2-C11D-40D5-A37C-CF5387653458}">
      <text>
        <r>
          <rPr>
            <sz val="9"/>
            <color indexed="81"/>
            <rFont val="Tahoma"/>
            <family val="2"/>
          </rPr>
          <t>DataPointVID 155891_x000D_
DataPointID 155891_x000D_
Metric  =  Nominal amount [mi]_x000D_
Base  =  Off balance sheet items_x000D_
Counterparty sector  =  Non-financial corporations_x000D_
Financial reporting standard  =  IFRS 9 impairment_x000D_
Impairment status  =  Instruments with significant increase in credit risk. Credit impaired  assets (Stage 3)_x000D_
Main category  =  Financial guarantees given</t>
        </r>
      </text>
    </comment>
    <comment ref="H22" authorId="0" shapeId="0" xr:uid="{BE2FCCB6-4109-42F9-A8C1-FD1762645C9A}">
      <text>
        <r>
          <rPr>
            <sz val="9"/>
            <color indexed="81"/>
            <rFont val="Tahoma"/>
            <family val="2"/>
          </rPr>
          <t>DataPointVID 155551_x000D_
DataPointID 155551_x000D_
Metric  =  Carrying amount [mi]_x000D_
Base  =  Liabilities_x000D_
Counterparty sector  =  Non-financial corporations_x000D_
Financial reporting standard  =  IFRS 9 impairment_x000D_
Impairment status  =  Instruments without significant increase in credit risk (Stage 1)_x000D_
Main category  =  Financial guarantees given</t>
        </r>
      </text>
    </comment>
    <comment ref="I22" authorId="0" shapeId="0" xr:uid="{1F5C5839-FAB0-446C-98D9-470B71FF6B46}">
      <text>
        <r>
          <rPr>
            <sz val="9"/>
            <color indexed="81"/>
            <rFont val="Tahoma"/>
            <family val="2"/>
          </rPr>
          <t>DataPointVID 155554_x000D_
DataPointID 155554_x000D_
Metric  =  Carrying amount [mi]_x000D_
Base  =  Liabilities_x000D_
Counterparty sector  =  Non-financial corporations_x000D_
Financial reporting standard  =  IFRS 9 impairment_x000D_
Impairment status  =  Instruments with significant increase in credit risk (Stage 2)_x000D_
Main category  =  Financial guarantees given</t>
        </r>
      </text>
    </comment>
    <comment ref="J22" authorId="0" shapeId="0" xr:uid="{B71203FD-A8AA-42F1-BB1A-4140F37C1608}">
      <text>
        <r>
          <rPr>
            <sz val="9"/>
            <color indexed="81"/>
            <rFont val="Tahoma"/>
            <family val="2"/>
          </rPr>
          <t>DataPointVID 155557_x000D_
DataPointID 155557_x000D_
Metric  =  Carrying amount [mi]_x000D_
Base  =  Liabilities_x000D_
Counterparty sector  =  Non-financial corporations_x000D_
Financial reporting standard  =  IFRS 9 impairment_x000D_
Impairment status  =  Instruments with significant increase in credit risk. Credit impaired  assets (Stage 3)_x000D_
Main category  =  Financial guarantees given</t>
        </r>
      </text>
    </comment>
    <comment ref="L22" authorId="0" shapeId="0" xr:uid="{524A3366-108F-40B7-A01F-5A0361B04518}">
      <text>
        <r>
          <rPr>
            <sz val="9"/>
            <color indexed="81"/>
            <rFont val="Tahoma"/>
            <family val="2"/>
          </rPr>
          <t>DataPointVID 155894_x000D_
DataPointID 155894_x000D_
Metric  =  Nominal amount [mi]_x000D_
Base  =  Off balance sheet items_x000D_
Counterparty sector  =  Non-financial corporations_x000D_
Financial reporting standard  =  IAS 37 or IFRS 4_x000D_
Main category  =  Financial guarantees given</t>
        </r>
      </text>
    </comment>
    <comment ref="M22" authorId="0" shapeId="0" xr:uid="{D082A28A-FC1B-49F2-BF1D-AF70FD96BAE0}">
      <text>
        <r>
          <rPr>
            <sz val="9"/>
            <color indexed="81"/>
            <rFont val="Tahoma"/>
            <family val="2"/>
          </rPr>
          <t>DataPointVID 155560_x000D_
DataPointID 155560_x000D_
Metric  =  Carrying amount [mi]_x000D_
Base  =  Liabilities_x000D_
Counterparty sector  =  Non-financial corporations_x000D_
Financial reporting standard  =  IAS 37 or IFRS 4_x000D_
Main category  =  Financial guarantees given</t>
        </r>
      </text>
    </comment>
    <comment ref="C23" authorId="0" shapeId="0" xr:uid="{BB18879B-184D-40D6-B121-F7B18D8157D7}">
      <text>
        <r>
          <rPr>
            <sz val="9"/>
            <color indexed="81"/>
            <rFont val="Tahoma"/>
            <family val="2"/>
          </rPr>
          <t>Main category  =  Financial guarantees given_x000D_
Counterparty sector  =  Households</t>
        </r>
      </text>
    </comment>
    <comment ref="D23" authorId="0" shapeId="0" xr:uid="{339D077C-D495-432D-96CF-3B62BED3A398}">
      <text>
        <r>
          <rPr>
            <sz val="9"/>
            <color indexed="81"/>
            <rFont val="Tahoma"/>
            <family val="2"/>
          </rPr>
          <t>DataPointVID 155870_x000D_
DataPointID 155870_x000D_
Metric  =  Nominal amount [mi]_x000D_
Base  =  Off balance sheet items_x000D_
Counterparty sector  =  Households_x000D_
Financial reporting standard  =  IFRS 9 impairment_x000D_
Impairment status  =  Instruments without significant increase in credit risk (Stage 1)_x000D_
Main category  =  Financial guarantees given</t>
        </r>
      </text>
    </comment>
    <comment ref="E23" authorId="0" shapeId="0" xr:uid="{C6B498FC-72D6-407F-9F2B-7472ABAA1206}">
      <text>
        <r>
          <rPr>
            <sz val="9"/>
            <color indexed="81"/>
            <rFont val="Tahoma"/>
            <family val="2"/>
          </rPr>
          <t>DataPointVID 155873_x000D_
DataPointID 155873_x000D_
Metric  =  Nominal amount [mi]_x000D_
Base  =  Off balance sheet items_x000D_
Counterparty sector  =  Households_x000D_
Financial reporting standard  =  IFRS 9 impairment_x000D_
Impairment status  =  Instruments with significant increase in credit risk (Stage 2)_x000D_
Main category  =  Financial guarantees given</t>
        </r>
      </text>
    </comment>
    <comment ref="F23" authorId="0" shapeId="0" xr:uid="{9EF75000-F5F3-42A0-94AE-8F8E4079EFB3}">
      <text>
        <r>
          <rPr>
            <sz val="9"/>
            <color indexed="81"/>
            <rFont val="Tahoma"/>
            <family val="2"/>
          </rPr>
          <t>DataPointVID 155876_x000D_
DataPointID 155876_x000D_
Metric  =  Nominal amount [mi]_x000D_
Base  =  Off balance sheet items_x000D_
Counterparty sector  =  Households_x000D_
Financial reporting standard  =  IFRS 9 impairment_x000D_
Impairment status  =  Instruments with significant increase in credit risk. Credit impaired  assets (Stage 3)_x000D_
Main category  =  Financial guarantees given</t>
        </r>
      </text>
    </comment>
    <comment ref="H23" authorId="0" shapeId="0" xr:uid="{01CCA046-3414-4D68-BCA3-579B29542BE7}">
      <text>
        <r>
          <rPr>
            <sz val="9"/>
            <color indexed="81"/>
            <rFont val="Tahoma"/>
            <family val="2"/>
          </rPr>
          <t>DataPointVID 155530_x000D_
DataPointID 155530_x000D_
Metric  =  Carrying amount [mi]_x000D_
Base  =  Liabilities_x000D_
Counterparty sector  =  Households_x000D_
Financial reporting standard  =  IFRS 9 impairment_x000D_
Impairment status  =  Instruments without significant increase in credit risk (Stage 1)_x000D_
Main category  =  Financial guarantees given</t>
        </r>
      </text>
    </comment>
    <comment ref="I23" authorId="0" shapeId="0" xr:uid="{DB4513E6-F62C-46F7-A3AE-F00ACFAF2287}">
      <text>
        <r>
          <rPr>
            <sz val="9"/>
            <color indexed="81"/>
            <rFont val="Tahoma"/>
            <family val="2"/>
          </rPr>
          <t>DataPointVID 155533_x000D_
DataPointID 155533_x000D_
Metric  =  Carrying amount [mi]_x000D_
Base  =  Liabilities_x000D_
Counterparty sector  =  Households_x000D_
Financial reporting standard  =  IFRS 9 impairment_x000D_
Impairment status  =  Instruments with significant increase in credit risk (Stage 2)_x000D_
Main category  =  Financial guarantees given</t>
        </r>
      </text>
    </comment>
    <comment ref="J23" authorId="0" shapeId="0" xr:uid="{35ACCEC4-30C5-42E1-B8B3-73B47E8B2965}">
      <text>
        <r>
          <rPr>
            <sz val="9"/>
            <color indexed="81"/>
            <rFont val="Tahoma"/>
            <family val="2"/>
          </rPr>
          <t>DataPointVID 155536_x000D_
DataPointID 155536_x000D_
Metric  =  Carrying amount [mi]_x000D_
Base  =  Liabilities_x000D_
Counterparty sector  =  Households_x000D_
Financial reporting standard  =  IFRS 9 impairment_x000D_
Impairment status  =  Instruments with significant increase in credit risk. Credit impaired  assets (Stage 3)_x000D_
Main category  =  Financial guarantees given</t>
        </r>
      </text>
    </comment>
    <comment ref="L23" authorId="0" shapeId="0" xr:uid="{F406DA92-FCB2-4970-8B86-F6B422C9756F}">
      <text>
        <r>
          <rPr>
            <sz val="9"/>
            <color indexed="81"/>
            <rFont val="Tahoma"/>
            <family val="2"/>
          </rPr>
          <t>DataPointVID 155879_x000D_
DataPointID 155879_x000D_
Metric  =  Nominal amount [mi]_x000D_
Base  =  Off balance sheet items_x000D_
Counterparty sector  =  Households_x000D_
Financial reporting standard  =  IAS 37 or IFRS 4_x000D_
Main category  =  Financial guarantees given</t>
        </r>
      </text>
    </comment>
    <comment ref="M23" authorId="0" shapeId="0" xr:uid="{7A22F687-1F46-45E6-897A-4398A0AF2845}">
      <text>
        <r>
          <rPr>
            <sz val="9"/>
            <color indexed="81"/>
            <rFont val="Tahoma"/>
            <family val="2"/>
          </rPr>
          <t>DataPointVID 155539_x000D_
DataPointID 155539_x000D_
Metric  =  Carrying amount [mi]_x000D_
Base  =  Liabilities_x000D_
Counterparty sector  =  Households_x000D_
Financial reporting standard  =  IAS 37 or IFRS 4_x000D_
Main category  =  Financial guarantees given</t>
        </r>
      </text>
    </comment>
    <comment ref="C24" authorId="0" shapeId="0" xr:uid="{6447B817-49A6-4BC8-B24A-7BAC2C190537}">
      <text>
        <r>
          <rPr>
            <sz val="9"/>
            <color indexed="81"/>
            <rFont val="Tahoma"/>
            <family val="2"/>
          </rPr>
          <t>Main category  =  Other Commitments given</t>
        </r>
      </text>
    </comment>
    <comment ref="D24" authorId="0" shapeId="0" xr:uid="{AEF7B7D5-2585-46E3-A68E-12E6BD00A615}">
      <text>
        <r>
          <rPr>
            <sz val="9"/>
            <color indexed="81"/>
            <rFont val="Tahoma"/>
            <family val="2"/>
          </rPr>
          <t>DataPointVID 155919_x000D_
DataPointID 155919_x000D_
Metric  =  Nominal amount [mi]_x000D_
Base  =  Off balance sheet items_x000D_
Financial reporting standard  =  IFRS 9 impairment_x000D_
Impairment status  =  Instruments without significant increase in credit risk (Stage 1)_x000D_
Main category  =  Other Commitments given</t>
        </r>
      </text>
    </comment>
    <comment ref="E24" authorId="0" shapeId="0" xr:uid="{22F801E1-B87F-48D9-952A-A565828B3DAC}">
      <text>
        <r>
          <rPr>
            <sz val="9"/>
            <color indexed="81"/>
            <rFont val="Tahoma"/>
            <family val="2"/>
          </rPr>
          <t>DataPointVID 155925_x000D_
DataPointID 155925_x000D_
Metric  =  Nominal amount [mi]_x000D_
Base  =  Off balance sheet items_x000D_
Financial reporting standard  =  IFRS 9 impairment_x000D_
Impairment status  =  Instruments with significant increase in credit risk (Stage 2)_x000D_
Main category  =  Other Commitments given</t>
        </r>
      </text>
    </comment>
    <comment ref="F24" authorId="0" shapeId="0" xr:uid="{2B6DD5AF-30C8-4FFA-9DF5-2887C595EE90}">
      <text>
        <r>
          <rPr>
            <sz val="9"/>
            <color indexed="81"/>
            <rFont val="Tahoma"/>
            <family val="2"/>
          </rPr>
          <t>DataPointVID 155931_x000D_
DataPointID 155931_x000D_
Metric  =  Nominal amount [mi]_x000D_
Base  =  Off balance sheet items_x000D_
Financial reporting standard  =  IFRS 9 impairment_x000D_
Impairment status  =  Instruments with significant increase in credit risk. Credit impaired  assets (Stage 3)_x000D_
Main category  =  Other Commitments given</t>
        </r>
      </text>
    </comment>
    <comment ref="H24" authorId="0" shapeId="0" xr:uid="{481FD444-6F2E-49DD-827C-544F004CABB0}">
      <text>
        <r>
          <rPr>
            <sz val="9"/>
            <color indexed="81"/>
            <rFont val="Tahoma"/>
            <family val="2"/>
          </rPr>
          <t>DataPointVID 155602_x000D_
DataPointID 155602_x000D_
Metric  =  Carrying amount [mi]_x000D_
Base  =  Liabilities_x000D_
Financial reporting standard  =  IFRS 9 impairment_x000D_
Impairment status  =  Instruments without significant increase in credit risk (Stage 1)_x000D_
Main category  =  Other Commitments given</t>
        </r>
      </text>
    </comment>
    <comment ref="I24" authorId="0" shapeId="0" xr:uid="{BBDA598D-E7C4-4019-A36F-8846F151F9D9}">
      <text>
        <r>
          <rPr>
            <sz val="9"/>
            <color indexed="81"/>
            <rFont val="Tahoma"/>
            <family val="2"/>
          </rPr>
          <t>DataPointVID 155608_x000D_
DataPointID 155608_x000D_
Metric  =  Carrying amount [mi]_x000D_
Base  =  Liabilities_x000D_
Financial reporting standard  =  IFRS 9 impairment_x000D_
Impairment status  =  Instruments with significant increase in credit risk (Stage 2)_x000D_
Main category  =  Other Commitments given</t>
        </r>
      </text>
    </comment>
    <comment ref="J24" authorId="0" shapeId="0" xr:uid="{321043A0-EDB3-459C-A996-CE80EB2A9034}">
      <text>
        <r>
          <rPr>
            <sz val="9"/>
            <color indexed="81"/>
            <rFont val="Tahoma"/>
            <family val="2"/>
          </rPr>
          <t>DataPointVID 155614_x000D_
DataPointID 155614_x000D_
Metric  =  Carrying amount [mi]_x000D_
Base  =  Liabilities_x000D_
Financial reporting standard  =  IFRS 9 impairment_x000D_
Impairment status  =  Instruments with significant increase in credit risk. Credit impaired  assets (Stage 3)_x000D_
Main category  =  Other Commitments given</t>
        </r>
      </text>
    </comment>
    <comment ref="L24" authorId="0" shapeId="0" xr:uid="{1E0499B9-02E8-493B-8659-11608918A355}">
      <text>
        <r>
          <rPr>
            <sz val="9"/>
            <color indexed="81"/>
            <rFont val="Tahoma"/>
            <family val="2"/>
          </rPr>
          <t>DataPointVID 155937_x000D_
DataPointID 155937_x000D_
Metric  =  Nominal amount [mi]_x000D_
Base  =  Off balance sheet items_x000D_
Financial reporting standard  =  IAS 37 or IFRS 4_x000D_
Main category  =  Other Commitments given</t>
        </r>
      </text>
    </comment>
    <comment ref="M24" authorId="0" shapeId="0" xr:uid="{B109D690-1315-444E-A2DF-5C23EF990CD5}">
      <text>
        <r>
          <rPr>
            <sz val="9"/>
            <color indexed="81"/>
            <rFont val="Tahoma"/>
            <family val="2"/>
          </rPr>
          <t>DataPointVID 155620_x000D_
DataPointID 155620_x000D_
Metric  =  Carrying amount [mi]_x000D_
Base  =  Liabilities_x000D_
Financial reporting standard  =  IAS 37 or IFRS 4_x000D_
Main category  =  Other Commitments given</t>
        </r>
      </text>
    </comment>
    <comment ref="N24" authorId="0" shapeId="0" xr:uid="{89BB42D9-8B2A-4B03-9CCA-BD26232DC85B}">
      <text>
        <r>
          <rPr>
            <sz val="9"/>
            <color indexed="81"/>
            <rFont val="Tahoma"/>
            <family val="2"/>
          </rPr>
          <t>DataPointVID 155823_x000D_
DataPointID 155823_x000D_
Metric  =  Nominal amount [mi]_x000D_
Base  =  Memorandum items_x000D_
Financial reporting standard  =  IFRS 9 fair valued commitments and financial guarantees_x000D_
Main category  =  Other Commitments given</t>
        </r>
      </text>
    </comment>
    <comment ref="C25" authorId="0" shapeId="0" xr:uid="{8C17F6A5-303B-463C-83C7-5DC229AC5459}">
      <text>
        <r>
          <rPr>
            <sz val="9"/>
            <color indexed="81"/>
            <rFont val="Tahoma"/>
            <family val="2"/>
          </rPr>
          <t>Main category  =  Other Commitments given_x000D_
Performing status  =  Non-performing exposures</t>
        </r>
      </text>
    </comment>
    <comment ref="D25" authorId="0" shapeId="0" xr:uid="{B8444AB3-D677-4FDF-9C32-63C8B42F56D5}">
      <text>
        <r>
          <rPr>
            <sz val="9"/>
            <color indexed="81"/>
            <rFont val="Tahoma"/>
            <family val="2"/>
          </rPr>
          <t>DataPointVID 155920_x000D_
DataPointID 155920_x000D_
Metric  =  Nominal amount [mi]_x000D_
Base  =  Off balance sheet items_x000D_
Financial reporting standard  =  IFRS 9 impairment_x000D_
Impairment status  =  Instruments without significant increase in credit risk (Stage 1)_x000D_
Main category  =  Other Commitments given_x000D_
Performing status  =  Non-performing exposures</t>
        </r>
      </text>
    </comment>
    <comment ref="E25" authorId="0" shapeId="0" xr:uid="{093FA4BA-2FA3-4385-B374-60D830D03E18}">
      <text>
        <r>
          <rPr>
            <sz val="9"/>
            <color indexed="81"/>
            <rFont val="Tahoma"/>
            <family val="2"/>
          </rPr>
          <t>DataPointVID 155926_x000D_
DataPointID 155926_x000D_
Metric  =  Nominal amount [mi]_x000D_
Base  =  Off balance sheet items_x000D_
Financial reporting standard  =  IFRS 9 impairment_x000D_
Impairment status  =  Instruments with significant increase in credit risk (Stage 2)_x000D_
Main category  =  Other Commitments given_x000D_
Performing status  =  Non-performing exposures</t>
        </r>
      </text>
    </comment>
    <comment ref="F25" authorId="0" shapeId="0" xr:uid="{372688C2-68CB-4087-94F6-A60381F8209B}">
      <text>
        <r>
          <rPr>
            <sz val="9"/>
            <color indexed="81"/>
            <rFont val="Tahoma"/>
            <family val="2"/>
          </rPr>
          <t>DataPointVID 155932_x000D_
DataPointID 155932_x000D_
Metric  =  Nominal amount [mi]_x000D_
Base  =  Off balance sheet items_x000D_
Financial reporting standard  =  IFRS 9 impairment_x000D_
Impairment status  =  Instruments with significant increase in credit risk. Credit impaired  assets (Stage 3)_x000D_
Main category  =  Other Commitments given_x000D_
Performing status  =  Non-performing exposures</t>
        </r>
      </text>
    </comment>
    <comment ref="H25" authorId="0" shapeId="0" xr:uid="{054AF882-5084-4266-867B-1783D2C51CE6}">
      <text>
        <r>
          <rPr>
            <sz val="9"/>
            <color indexed="81"/>
            <rFont val="Tahoma"/>
            <family val="2"/>
          </rPr>
          <t>DataPointVID 155603_x000D_
DataPointID 155603_x000D_
Metric  =  Carrying amount [mi]_x000D_
Base  =  Liabilities_x000D_
Financial reporting standard  =  IFRS 9 impairment_x000D_
Impairment status  =  Instruments without significant increase in credit risk (Stage 1)_x000D_
Main category  =  Other Commitments given_x000D_
Performing status  =  Non-performing exposures</t>
        </r>
      </text>
    </comment>
    <comment ref="I25" authorId="0" shapeId="0" xr:uid="{F6538DA0-A162-4227-A630-76EBFF1ED6D3}">
      <text>
        <r>
          <rPr>
            <sz val="9"/>
            <color indexed="81"/>
            <rFont val="Tahoma"/>
            <family val="2"/>
          </rPr>
          <t>DataPointVID 155609_x000D_
DataPointID 155609_x000D_
Metric  =  Carrying amount [mi]_x000D_
Base  =  Liabilities_x000D_
Financial reporting standard  =  IFRS 9 impairment_x000D_
Impairment status  =  Instruments with significant increase in credit risk (Stage 2)_x000D_
Main category  =  Other Commitments given_x000D_
Performing status  =  Non-performing exposures</t>
        </r>
      </text>
    </comment>
    <comment ref="J25" authorId="0" shapeId="0" xr:uid="{864E7F39-2368-4C51-ADD3-6590E551D8DF}">
      <text>
        <r>
          <rPr>
            <sz val="9"/>
            <color indexed="81"/>
            <rFont val="Tahoma"/>
            <family val="2"/>
          </rPr>
          <t>DataPointVID 155615_x000D_
DataPointID 155615_x000D_
Metric  =  Carrying amount [mi]_x000D_
Base  =  Liabilities_x000D_
Financial reporting standard  =  IFRS 9 impairment_x000D_
Impairment status  =  Instruments with significant increase in credit risk. Credit impaired  assets (Stage 3)_x000D_
Main category  =  Other Commitments given_x000D_
Performing status  =  Non-performing exposures</t>
        </r>
      </text>
    </comment>
    <comment ref="L25" authorId="0" shapeId="0" xr:uid="{02B489BB-55C7-491C-9BDA-6814E3CDCDC3}">
      <text>
        <r>
          <rPr>
            <sz val="9"/>
            <color indexed="81"/>
            <rFont val="Tahoma"/>
            <family val="2"/>
          </rPr>
          <t>DataPointVID 155938_x000D_
DataPointID 155938_x000D_
Metric  =  Nominal amount [mi]_x000D_
Base  =  Off balance sheet items_x000D_
Financial reporting standard  =  IAS 37 or IFRS 4_x000D_
Main category  =  Other Commitments given_x000D_
Performing status  =  Non-performing exposures</t>
        </r>
      </text>
    </comment>
    <comment ref="M25" authorId="0" shapeId="0" xr:uid="{FB853256-8292-4B5D-9D13-3FA5E2BB395C}">
      <text>
        <r>
          <rPr>
            <sz val="9"/>
            <color indexed="81"/>
            <rFont val="Tahoma"/>
            <family val="2"/>
          </rPr>
          <t>DataPointVID 155621_x000D_
DataPointID 155621_x000D_
Metric  =  Carrying amount [mi]_x000D_
Base  =  Liabilities_x000D_
Financial reporting standard  =  IAS 37 or IFRS 4_x000D_
Main category  =  Other Commitments given_x000D_
Performing status  =  Non-performing exposures</t>
        </r>
      </text>
    </comment>
    <comment ref="N25" authorId="0" shapeId="0" xr:uid="{81B7A62A-7051-4694-80B2-57AADD7869D9}">
      <text>
        <r>
          <rPr>
            <sz val="9"/>
            <color indexed="81"/>
            <rFont val="Tahoma"/>
            <family val="2"/>
          </rPr>
          <t>DataPointVID 155824_x000D_
DataPointID 155824_x000D_
Metric  =  Nominal amount [mi]_x000D_
Base  =  Memorandum items_x000D_
Financial reporting standard  =  IFRS 9 fair valued commitments and financial guarantees_x000D_
Main category  =  Other Commitments given_x000D_
Performing status  =  Non-performing exposures</t>
        </r>
      </text>
    </comment>
    <comment ref="O25" authorId="0" shapeId="0" xr:uid="{CCF569E5-6BB6-4C01-B9A1-750722410EAB}">
      <text>
        <r>
          <rPr>
            <sz val="9"/>
            <color indexed="81"/>
            <rFont val="Tahoma"/>
            <family val="2"/>
          </rPr>
          <t>DataPointVID 155982_x000D_
DataPointID 155982_x000D_
Metric  =  Accumulated negative changes in fair value due to credit risk [mi]_x000D_
Base  =  Liabilities_x000D_
Financial reporting standard  =  IFRS 9 fair valued commitments and financial guarantees_x000D_
Main category  =  Other Commitments given_x000D_
Performing status  =  Non-performing exposures</t>
        </r>
      </text>
    </comment>
    <comment ref="C26" authorId="0" shapeId="0" xr:uid="{709C6B5C-2AC8-4642-ADF8-6CB92934E222}">
      <text>
        <r>
          <rPr>
            <sz val="9"/>
            <color indexed="81"/>
            <rFont val="Tahoma"/>
            <family val="2"/>
          </rPr>
          <t>Main category  =  Other Commitments given_x000D_
Counterparty sector  =  Central banks</t>
        </r>
      </text>
    </comment>
    <comment ref="D26" authorId="0" shapeId="0" xr:uid="{6583ADBF-625B-4F99-8064-CB0390C13EA1}">
      <text>
        <r>
          <rPr>
            <sz val="9"/>
            <color indexed="81"/>
            <rFont val="Tahoma"/>
            <family val="2"/>
          </rPr>
          <t>DataPointVID 155827_x000D_
DataPointID 155827_x000D_
Metric  =  Nominal amount [mi]_x000D_
Base  =  Off balance sheet items_x000D_
Counterparty sector  =  Central banks_x000D_
Financial reporting standard  =  IFRS 9 impairment_x000D_
Impairment status  =  Instruments without significant increase in credit risk (Stage 1)_x000D_
Main category  =  Other Commitments given</t>
        </r>
      </text>
    </comment>
    <comment ref="E26" authorId="0" shapeId="0" xr:uid="{E4CA5611-9FB8-4963-B402-B825701D1357}">
      <text>
        <r>
          <rPr>
            <sz val="9"/>
            <color indexed="81"/>
            <rFont val="Tahoma"/>
            <family val="2"/>
          </rPr>
          <t>DataPointVID 155830_x000D_
DataPointID 155830_x000D_
Metric  =  Nominal amount [mi]_x000D_
Base  =  Off balance sheet items_x000D_
Counterparty sector  =  Central banks_x000D_
Financial reporting standard  =  IFRS 9 impairment_x000D_
Impairment status  =  Instruments with significant increase in credit risk (Stage 2)_x000D_
Main category  =  Other Commitments given</t>
        </r>
      </text>
    </comment>
    <comment ref="F26" authorId="0" shapeId="0" xr:uid="{6BC1FA6B-9E9B-4F59-916B-93D9836F2D7C}">
      <text>
        <r>
          <rPr>
            <sz val="9"/>
            <color indexed="81"/>
            <rFont val="Tahoma"/>
            <family val="2"/>
          </rPr>
          <t>DataPointVID 155833_x000D_
DataPointID 155833_x000D_
Metric  =  Nominal amount [mi]_x000D_
Base  =  Off balance sheet items_x000D_
Counterparty sector  =  Central banks_x000D_
Financial reporting standard  =  IFRS 9 impairment_x000D_
Impairment status  =  Instruments with significant increase in credit risk. Credit impaired  assets (Stage 3)_x000D_
Main category  =  Other Commitments given</t>
        </r>
      </text>
    </comment>
    <comment ref="H26" authorId="0" shapeId="0" xr:uid="{D53FA1CC-6C99-47A5-B177-CA8E39FBF9CD}">
      <text>
        <r>
          <rPr>
            <sz val="9"/>
            <color indexed="81"/>
            <rFont val="Tahoma"/>
            <family val="2"/>
          </rPr>
          <t>DataPointVID 155469_x000D_
DataPointID 155469_x000D_
Metric  =  Carrying amount [mi]_x000D_
Base  =  Liabilities_x000D_
Counterparty sector  =  Central banks_x000D_
Financial reporting standard  =  IFRS 9 impairment_x000D_
Impairment status  =  Instruments without significant increase in credit risk (Stage 1)_x000D_
Main category  =  Other Commitments given</t>
        </r>
      </text>
    </comment>
    <comment ref="I26" authorId="0" shapeId="0" xr:uid="{93F635DD-0CBB-49CB-AF5D-FE7DAB913C13}">
      <text>
        <r>
          <rPr>
            <sz val="9"/>
            <color indexed="81"/>
            <rFont val="Tahoma"/>
            <family val="2"/>
          </rPr>
          <t>DataPointVID 155472_x000D_
DataPointID 155472_x000D_
Metric  =  Carrying amount [mi]_x000D_
Base  =  Liabilities_x000D_
Counterparty sector  =  Central banks_x000D_
Financial reporting standard  =  IFRS 9 impairment_x000D_
Impairment status  =  Instruments with significant increase in credit risk (Stage 2)_x000D_
Main category  =  Other Commitments given</t>
        </r>
      </text>
    </comment>
    <comment ref="J26" authorId="0" shapeId="0" xr:uid="{4A57CD55-B134-4EFD-9602-AEAD347E4EC9}">
      <text>
        <r>
          <rPr>
            <sz val="9"/>
            <color indexed="81"/>
            <rFont val="Tahoma"/>
            <family val="2"/>
          </rPr>
          <t>DataPointVID 155475_x000D_
DataPointID 155475_x000D_
Metric  =  Carrying amount [mi]_x000D_
Base  =  Liabilities_x000D_
Counterparty sector  =  Central banks_x000D_
Financial reporting standard  =  IFRS 9 impairment_x000D_
Impairment status  =  Instruments with significant increase in credit risk. Credit impaired  assets (Stage 3)_x000D_
Main category  =  Other Commitments given</t>
        </r>
      </text>
    </comment>
    <comment ref="L26" authorId="0" shapeId="0" xr:uid="{DB5F3ECC-08CC-4AE1-A249-136BB406A3DD}">
      <text>
        <r>
          <rPr>
            <sz val="9"/>
            <color indexed="81"/>
            <rFont val="Tahoma"/>
            <family val="2"/>
          </rPr>
          <t>DataPointVID 155836_x000D_
DataPointID 155836_x000D_
Metric  =  Nominal amount [mi]_x000D_
Base  =  Off balance sheet items_x000D_
Counterparty sector  =  Central banks_x000D_
Financial reporting standard  =  IAS 37 or IFRS 4_x000D_
Main category  =  Other Commitments given</t>
        </r>
      </text>
    </comment>
    <comment ref="M26" authorId="0" shapeId="0" xr:uid="{912FB13B-4F14-4F28-83A0-D2CCE6CF1EF7}">
      <text>
        <r>
          <rPr>
            <sz val="9"/>
            <color indexed="81"/>
            <rFont val="Tahoma"/>
            <family val="2"/>
          </rPr>
          <t>DataPointVID 155478_x000D_
DataPointID 155478_x000D_
Metric  =  Carrying amount [mi]_x000D_
Base  =  Liabilities_x000D_
Counterparty sector  =  Central banks_x000D_
Financial reporting standard  =  IAS 37 or IFRS 4_x000D_
Main category  =  Other Commitments given</t>
        </r>
      </text>
    </comment>
    <comment ref="C27" authorId="0" shapeId="0" xr:uid="{3507F433-0769-4286-92E1-6424109F8124}">
      <text>
        <r>
          <rPr>
            <sz val="9"/>
            <color indexed="81"/>
            <rFont val="Tahoma"/>
            <family val="2"/>
          </rPr>
          <t>Main category  =  Other Commitments given_x000D_
Counterparty sector  =  General governments</t>
        </r>
      </text>
    </comment>
    <comment ref="D27" authorId="0" shapeId="0" xr:uid="{DABDE2C4-EBA5-40DB-B366-F7F27957C120}">
      <text>
        <r>
          <rPr>
            <sz val="9"/>
            <color indexed="81"/>
            <rFont val="Tahoma"/>
            <family val="2"/>
          </rPr>
          <t>DataPointVID 155857_x000D_
DataPointID 155857_x000D_
Metric  =  Nominal amount [mi]_x000D_
Base  =  Off balance sheet items_x000D_
Counterparty sector  =  General governments_x000D_
Financial reporting standard  =  IFRS 9 impairment_x000D_
Impairment status  =  Instruments without significant increase in credit risk (Stage 1)_x000D_
Main category  =  Other Commitments given</t>
        </r>
      </text>
    </comment>
    <comment ref="E27" authorId="0" shapeId="0" xr:uid="{7EABABA0-D2FC-41C1-A7E0-B13C97260350}">
      <text>
        <r>
          <rPr>
            <sz val="9"/>
            <color indexed="81"/>
            <rFont val="Tahoma"/>
            <family val="2"/>
          </rPr>
          <t>DataPointVID 155860_x000D_
DataPointID 155860_x000D_
Metric  =  Nominal amount [mi]_x000D_
Base  =  Off balance sheet items_x000D_
Counterparty sector  =  General governments_x000D_
Financial reporting standard  =  IFRS 9 impairment_x000D_
Impairment status  =  Instruments with significant increase in credit risk (Stage 2)_x000D_
Main category  =  Other Commitments given</t>
        </r>
      </text>
    </comment>
    <comment ref="F27" authorId="0" shapeId="0" xr:uid="{E7C98803-3A9B-4C20-B5DB-E73D1C9B7072}">
      <text>
        <r>
          <rPr>
            <sz val="9"/>
            <color indexed="81"/>
            <rFont val="Tahoma"/>
            <family val="2"/>
          </rPr>
          <t>DataPointVID 155863_x000D_
DataPointID 155863_x000D_
Metric  =  Nominal amount [mi]_x000D_
Base  =  Off balance sheet items_x000D_
Counterparty sector  =  General governments_x000D_
Financial reporting standard  =  IFRS 9 impairment_x000D_
Impairment status  =  Instruments with significant increase in credit risk. Credit impaired  assets (Stage 3)_x000D_
Main category  =  Other Commitments given</t>
        </r>
      </text>
    </comment>
    <comment ref="H27" authorId="0" shapeId="0" xr:uid="{80AB2B0D-A316-47C0-8DDA-7DE065AA7B7E}">
      <text>
        <r>
          <rPr>
            <sz val="9"/>
            <color indexed="81"/>
            <rFont val="Tahoma"/>
            <family val="2"/>
          </rPr>
          <t>DataPointVID 155511_x000D_
DataPointID 155511_x000D_
Metric  =  Carrying amount [mi]_x000D_
Base  =  Liabilities_x000D_
Counterparty sector  =  General governments_x000D_
Financial reporting standard  =  IFRS 9 impairment_x000D_
Impairment status  =  Instruments without significant increase in credit risk (Stage 1)_x000D_
Main category  =  Other Commitments given</t>
        </r>
      </text>
    </comment>
    <comment ref="I27" authorId="0" shapeId="0" xr:uid="{B605E1D7-419A-4C55-A4B5-3C55F2753CBB}">
      <text>
        <r>
          <rPr>
            <sz val="9"/>
            <color indexed="81"/>
            <rFont val="Tahoma"/>
            <family val="2"/>
          </rPr>
          <t>DataPointVID 155514_x000D_
DataPointID 155514_x000D_
Metric  =  Carrying amount [mi]_x000D_
Base  =  Liabilities_x000D_
Counterparty sector  =  General governments_x000D_
Financial reporting standard  =  IFRS 9 impairment_x000D_
Impairment status  =  Instruments with significant increase in credit risk (Stage 2)_x000D_
Main category  =  Other Commitments given</t>
        </r>
      </text>
    </comment>
    <comment ref="J27" authorId="0" shapeId="0" xr:uid="{30F5533A-ED12-4F01-9B37-CBB4B9B164AC}">
      <text>
        <r>
          <rPr>
            <sz val="9"/>
            <color indexed="81"/>
            <rFont val="Tahoma"/>
            <family val="2"/>
          </rPr>
          <t>DataPointVID 155517_x000D_
DataPointID 155517_x000D_
Metric  =  Carrying amount [mi]_x000D_
Base  =  Liabilities_x000D_
Counterparty sector  =  General governments_x000D_
Financial reporting standard  =  IFRS 9 impairment_x000D_
Impairment status  =  Instruments with significant increase in credit risk. Credit impaired  assets (Stage 3)_x000D_
Main category  =  Other Commitments given</t>
        </r>
      </text>
    </comment>
    <comment ref="L27" authorId="0" shapeId="0" xr:uid="{AE0B6947-CA42-48BC-9619-F9FB9F2688BA}">
      <text>
        <r>
          <rPr>
            <sz val="9"/>
            <color indexed="81"/>
            <rFont val="Tahoma"/>
            <family val="2"/>
          </rPr>
          <t>DataPointVID 155866_x000D_
DataPointID 155866_x000D_
Metric  =  Nominal amount [mi]_x000D_
Base  =  Off balance sheet items_x000D_
Counterparty sector  =  General governments_x000D_
Financial reporting standard  =  IAS 37 or IFRS 4_x000D_
Main category  =  Other Commitments given</t>
        </r>
      </text>
    </comment>
    <comment ref="M27" authorId="0" shapeId="0" xr:uid="{7A9DF4DE-85EA-4B4A-97BE-992C971C27C4}">
      <text>
        <r>
          <rPr>
            <sz val="9"/>
            <color indexed="81"/>
            <rFont val="Tahoma"/>
            <family val="2"/>
          </rPr>
          <t>DataPointVID 155520_x000D_
DataPointID 155520_x000D_
Metric  =  Carrying amount [mi]_x000D_
Base  =  Liabilities_x000D_
Counterparty sector  =  General governments_x000D_
Financial reporting standard  =  IAS 37 or IFRS 4_x000D_
Main category  =  Other Commitments given</t>
        </r>
      </text>
    </comment>
    <comment ref="C28" authorId="0" shapeId="0" xr:uid="{4B7FE105-F7F2-4841-A928-1D88202B156F}">
      <text>
        <r>
          <rPr>
            <sz val="9"/>
            <color indexed="81"/>
            <rFont val="Tahoma"/>
            <family val="2"/>
          </rPr>
          <t>Main category  =  Other Commitments given_x000D_
Counterparty sector  =  Credit institutions</t>
        </r>
      </text>
    </comment>
    <comment ref="D28" authorId="0" shapeId="0" xr:uid="{19F853F0-C0F9-40A2-BB80-AA81722E9B9C}">
      <text>
        <r>
          <rPr>
            <sz val="9"/>
            <color indexed="81"/>
            <rFont val="Tahoma"/>
            <family val="2"/>
          </rPr>
          <t>DataPointVID 155842_x000D_
DataPointID 155842_x000D_
Metric  =  Nominal amount [mi]_x000D_
Base  =  Off balance sheet items_x000D_
Counterparty sector  =  Credit institutions_x000D_
Financial reporting standard  =  IFRS 9 impairment_x000D_
Impairment status  =  Instruments without significant increase in credit risk (Stage 1)_x000D_
Main category  =  Other Commitments given</t>
        </r>
      </text>
    </comment>
    <comment ref="E28" authorId="0" shapeId="0" xr:uid="{5A10C181-1FB5-4F06-983B-ED15A0451965}">
      <text>
        <r>
          <rPr>
            <sz val="9"/>
            <color indexed="81"/>
            <rFont val="Tahoma"/>
            <family val="2"/>
          </rPr>
          <t>DataPointVID 155845_x000D_
DataPointID 155845_x000D_
Metric  =  Nominal amount [mi]_x000D_
Base  =  Off balance sheet items_x000D_
Counterparty sector  =  Credit institutions_x000D_
Financial reporting standard  =  IFRS 9 impairment_x000D_
Impairment status  =  Instruments with significant increase in credit risk (Stage 2)_x000D_
Main category  =  Other Commitments given</t>
        </r>
      </text>
    </comment>
    <comment ref="F28" authorId="0" shapeId="0" xr:uid="{A557569C-039D-473C-AD2A-DD380B187DD4}">
      <text>
        <r>
          <rPr>
            <sz val="9"/>
            <color indexed="81"/>
            <rFont val="Tahoma"/>
            <family val="2"/>
          </rPr>
          <t>DataPointVID 155848_x000D_
DataPointID 155848_x000D_
Metric  =  Nominal amount [mi]_x000D_
Base  =  Off balance sheet items_x000D_
Counterparty sector  =  Credit institutions_x000D_
Financial reporting standard  =  IFRS 9 impairment_x000D_
Impairment status  =  Instruments with significant increase in credit risk. Credit impaired  assets (Stage 3)_x000D_
Main category  =  Other Commitments given</t>
        </r>
      </text>
    </comment>
    <comment ref="H28" authorId="0" shapeId="0" xr:uid="{F599D115-C91D-4563-AE23-597D4737743C}">
      <text>
        <r>
          <rPr>
            <sz val="9"/>
            <color indexed="81"/>
            <rFont val="Tahoma"/>
            <family val="2"/>
          </rPr>
          <t>DataPointVID 155490_x000D_
DataPointID 155490_x000D_
Metric  =  Carrying amount [mi]_x000D_
Base  =  Liabilities_x000D_
Counterparty sector  =  Credit institutions_x000D_
Financial reporting standard  =  IFRS 9 impairment_x000D_
Impairment status  =  Instruments without significant increase in credit risk (Stage 1)_x000D_
Main category  =  Other Commitments given</t>
        </r>
      </text>
    </comment>
    <comment ref="I28" authorId="0" shapeId="0" xr:uid="{C4015B00-6BFD-4639-998F-9117EBB6484A}">
      <text>
        <r>
          <rPr>
            <sz val="9"/>
            <color indexed="81"/>
            <rFont val="Tahoma"/>
            <family val="2"/>
          </rPr>
          <t>DataPointVID 155493_x000D_
DataPointID 155493_x000D_
Metric  =  Carrying amount [mi]_x000D_
Base  =  Liabilities_x000D_
Counterparty sector  =  Credit institutions_x000D_
Financial reporting standard  =  IFRS 9 impairment_x000D_
Impairment status  =  Instruments with significant increase in credit risk (Stage 2)_x000D_
Main category  =  Other Commitments given</t>
        </r>
      </text>
    </comment>
    <comment ref="J28" authorId="0" shapeId="0" xr:uid="{58B5D931-5CEB-4D2E-B03A-CBDA077C64C5}">
      <text>
        <r>
          <rPr>
            <sz val="9"/>
            <color indexed="81"/>
            <rFont val="Tahoma"/>
            <family val="2"/>
          </rPr>
          <t>DataPointVID 155496_x000D_
DataPointID 155496_x000D_
Metric  =  Carrying amount [mi]_x000D_
Base  =  Liabilities_x000D_
Counterparty sector  =  Credit institutions_x000D_
Financial reporting standard  =  IFRS 9 impairment_x000D_
Impairment status  =  Instruments with significant increase in credit risk. Credit impaired  assets (Stage 3)_x000D_
Main category  =  Other Commitments given</t>
        </r>
      </text>
    </comment>
    <comment ref="L28" authorId="0" shapeId="0" xr:uid="{D47C04A8-4D68-4344-8160-5DC6DB78BBBA}">
      <text>
        <r>
          <rPr>
            <sz val="9"/>
            <color indexed="81"/>
            <rFont val="Tahoma"/>
            <family val="2"/>
          </rPr>
          <t>DataPointVID 155851_x000D_
DataPointID 155851_x000D_
Metric  =  Nominal amount [mi]_x000D_
Base  =  Off balance sheet items_x000D_
Counterparty sector  =  Credit institutions_x000D_
Financial reporting standard  =  IAS 37 or IFRS 4_x000D_
Main category  =  Other Commitments given</t>
        </r>
      </text>
    </comment>
    <comment ref="M28" authorId="0" shapeId="0" xr:uid="{39A388EA-BD3F-49CE-BCBB-36920909ECB0}">
      <text>
        <r>
          <rPr>
            <sz val="9"/>
            <color indexed="81"/>
            <rFont val="Tahoma"/>
            <family val="2"/>
          </rPr>
          <t>DataPointVID 155499_x000D_
DataPointID 155499_x000D_
Metric  =  Carrying amount [mi]_x000D_
Base  =  Liabilities_x000D_
Counterparty sector  =  Credit institutions_x000D_
Financial reporting standard  =  IAS 37 or IFRS 4_x000D_
Main category  =  Other Commitments given</t>
        </r>
      </text>
    </comment>
    <comment ref="C29" authorId="0" shapeId="0" xr:uid="{1E7B23B3-203F-4259-A194-B462370FAAE9}">
      <text>
        <r>
          <rPr>
            <sz val="9"/>
            <color indexed="81"/>
            <rFont val="Tahoma"/>
            <family val="2"/>
          </rPr>
          <t>Main category  =  Other Commitments given_x000D_
Counterparty sector  =  Financial corporations other than credit institutions</t>
        </r>
      </text>
    </comment>
    <comment ref="D29" authorId="0" shapeId="0" xr:uid="{073079DB-F979-4A44-9CE5-D8109963A77C}">
      <text>
        <r>
          <rPr>
            <sz val="9"/>
            <color indexed="81"/>
            <rFont val="Tahoma"/>
            <family val="2"/>
          </rPr>
          <t>DataPointVID 155902_x000D_
DataPointID 155902_x000D_
Metric  =  Nominal amount [mi]_x000D_
Base  =  Off balance sheet items_x000D_
Counterparty sector  =  Financial corporations other than credit institutions_x000D_
Financial reporting standard  =  IFRS 9 impairment_x000D_
Impairment status  =  Instruments without significant increase in credit risk (Stage 1)_x000D_
Main category  =  Other Commitments given</t>
        </r>
      </text>
    </comment>
    <comment ref="E29" authorId="0" shapeId="0" xr:uid="{ACD1129F-4BF6-449B-A4AC-6970C2C19FF8}">
      <text>
        <r>
          <rPr>
            <sz val="9"/>
            <color indexed="81"/>
            <rFont val="Tahoma"/>
            <family val="2"/>
          </rPr>
          <t>DataPointVID 155905_x000D_
DataPointID 155905_x000D_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(Stage 2)_x000D_
Main category  =  Other Commitments given</t>
        </r>
      </text>
    </comment>
    <comment ref="F29" authorId="0" shapeId="0" xr:uid="{69DB4DB6-9931-4820-B8CA-7D9AB3F94A1B}">
      <text>
        <r>
          <rPr>
            <sz val="9"/>
            <color indexed="81"/>
            <rFont val="Tahoma"/>
            <family val="2"/>
          </rPr>
          <t>DataPointVID 155908_x000D_
DataPointID 155908_x000D_
Metric  =  Nominal amount [mi]_x000D_
Base  =  Off balance sheet items_x000D_
Counterparty sector  =  Financial corporations other than credit institutions_x000D_
Financial reporting standard  =  IFRS 9 impairment_x000D_
Impairment status  =  Instruments with significant increase in credit risk. Credit impaired  assets (Stage 3)_x000D_
Main category  =  Other Commitments given</t>
        </r>
      </text>
    </comment>
    <comment ref="H29" authorId="0" shapeId="0" xr:uid="{47862C36-82E9-41B1-94A8-89BE63C9120F}">
      <text>
        <r>
          <rPr>
            <sz val="9"/>
            <color indexed="81"/>
            <rFont val="Tahoma"/>
            <family val="2"/>
          </rPr>
          <t>DataPointVID 155574_x000D_
DataPointID 155574_x000D_
Metric  =  Carrying amount [mi]_x000D_
Base  =  Liabilities_x000D_
Counterparty sector  =  Financial corporations other than credit institutions_x000D_
Financial reporting standard  =  IFRS 9 impairment_x000D_
Impairment status  =  Instruments without significant increase in credit risk (Stage 1)_x000D_
Main category  =  Other Commitments given</t>
        </r>
      </text>
    </comment>
    <comment ref="I29" authorId="0" shapeId="0" xr:uid="{26526446-3394-41C6-A722-64D327525AE4}">
      <text>
        <r>
          <rPr>
            <sz val="9"/>
            <color indexed="81"/>
            <rFont val="Tahoma"/>
            <family val="2"/>
          </rPr>
          <t>DataPointVID 155577_x000D_
DataPointID 155577_x000D_
Metric  =  Carrying amount [mi]_x000D_
Base  =  Liabilities_x000D_
Counterparty sector  =  Financial corporations other than credit institutions_x000D_
Financial reporting standard  =  IFRS 9 impairment_x000D_
Impairment status  =  Instruments with significant increase in credit risk (Stage 2)_x000D_
Main category  =  Other Commitments given</t>
        </r>
      </text>
    </comment>
    <comment ref="J29" authorId="0" shapeId="0" xr:uid="{F3D5FACE-284E-40F0-96B4-674B6A1D0171}">
      <text>
        <r>
          <rPr>
            <sz val="9"/>
            <color indexed="81"/>
            <rFont val="Tahoma"/>
            <family val="2"/>
          </rPr>
          <t>DataPointVID 155580_x000D_
DataPointID 155580_x000D_
Metric  =  Carrying amount [mi]_x000D_
Base  =  Liabilities_x000D_
Counterparty sector  =  Financial corporations other than credit institutions_x000D_
Financial reporting standard  =  IFRS 9 impairment_x000D_
Impairment status  =  Instruments with significant increase in credit risk. Credit impaired  assets (Stage 3)_x000D_
Main category  =  Other Commitments given</t>
        </r>
      </text>
    </comment>
    <comment ref="L29" authorId="0" shapeId="0" xr:uid="{2A27DDD1-F28F-411C-8B0F-E64EDEB45614}">
      <text>
        <r>
          <rPr>
            <sz val="9"/>
            <color indexed="81"/>
            <rFont val="Tahoma"/>
            <family val="2"/>
          </rPr>
          <t>DataPointVID 155911_x000D_
DataPointID 155911_x000D_
Metric  =  Nominal amount [mi]_x000D_
Base  =  Off balance sheet items_x000D_
Counterparty sector  =  Financial corporations other than credit institutions_x000D_
Financial reporting standard  =  IAS 37 or IFRS 4_x000D_
Main category  =  Other Commitments given</t>
        </r>
      </text>
    </comment>
    <comment ref="M29" authorId="0" shapeId="0" xr:uid="{59EF524A-61DF-4306-8927-C314C801020A}">
      <text>
        <r>
          <rPr>
            <sz val="9"/>
            <color indexed="81"/>
            <rFont val="Tahoma"/>
            <family val="2"/>
          </rPr>
          <t>DataPointVID 155583_x000D_
DataPointID 155583_x000D_
Metric  =  Carrying amount [mi]_x000D_
Base  =  Liabilities_x000D_
Counterparty sector  =  Financial corporations other than credit institutions_x000D_
Financial reporting standard  =  IAS 37 or IFRS 4_x000D_
Main category  =  Other Commitments given</t>
        </r>
      </text>
    </comment>
    <comment ref="C30" authorId="0" shapeId="0" xr:uid="{CFAD7927-5C34-4CD1-9EDC-1CE02D9FA2C9}">
      <text>
        <r>
          <rPr>
            <sz val="9"/>
            <color indexed="81"/>
            <rFont val="Tahoma"/>
            <family val="2"/>
          </rPr>
          <t>Main category  =  Other Commitments given_x000D_
Counterparty sector  =  Non-financial corporations</t>
        </r>
      </text>
    </comment>
    <comment ref="D30" authorId="0" shapeId="0" xr:uid="{C776DE8B-0446-455A-B67E-407206180DFD}">
      <text>
        <r>
          <rPr>
            <sz val="9"/>
            <color indexed="81"/>
            <rFont val="Tahoma"/>
            <family val="2"/>
          </rPr>
          <t>DataPointVID 155887_x000D_
DataPointID 155887_x000D_
Metric  =  Nominal amount [mi]_x000D_
Base  =  Off balance sheet items_x000D_
Counterparty sector  =  Non-financial corporations_x000D_
Financial reporting standard  =  IFRS 9 impairment_x000D_
Impairment status  =  Instruments without significant increase in credit risk (Stage 1)_x000D_
Main category  =  Other Commitments given</t>
        </r>
      </text>
    </comment>
    <comment ref="E30" authorId="0" shapeId="0" xr:uid="{58A4ACDB-D937-45F4-88D3-A80C337C7ED0}">
      <text>
        <r>
          <rPr>
            <sz val="9"/>
            <color indexed="81"/>
            <rFont val="Tahoma"/>
            <family val="2"/>
          </rPr>
          <t>DataPointVID 155890_x000D_
DataPointID 155890_x000D_
Metric  =  Nominal amount [mi]_x000D_
Base  =  Off balance sheet items_x000D_
Counterparty sector  =  Non-financial corporations_x000D_
Financial reporting standard  =  IFRS 9 impairment_x000D_
Impairment status  =  Instruments with significant increase in credit risk (Stage 2)_x000D_
Main category  =  Other Commitments given</t>
        </r>
      </text>
    </comment>
    <comment ref="F30" authorId="0" shapeId="0" xr:uid="{4F3CD2AA-AD12-4A21-B9FA-8881ED44B013}">
      <text>
        <r>
          <rPr>
            <sz val="9"/>
            <color indexed="81"/>
            <rFont val="Tahoma"/>
            <family val="2"/>
          </rPr>
          <t>DataPointVID 155893_x000D_
DataPointID 155893_x000D_
Metric  =  Nominal amount [mi]_x000D_
Base  =  Off balance sheet items_x000D_
Counterparty sector  =  Non-financial corporations_x000D_
Financial reporting standard  =  IFRS 9 impairment_x000D_
Impairment status  =  Instruments with significant increase in credit risk. Credit impaired  assets (Stage 3)_x000D_
Main category  =  Other Commitments given</t>
        </r>
      </text>
    </comment>
    <comment ref="H30" authorId="0" shapeId="0" xr:uid="{4CFE32D5-0F2F-4D61-9EF8-56AD13E02843}">
      <text>
        <r>
          <rPr>
            <sz val="9"/>
            <color indexed="81"/>
            <rFont val="Tahoma"/>
            <family val="2"/>
          </rPr>
          <t>DataPointVID 155553_x000D_
DataPointID 155553_x000D_
Metric  =  Carrying amount [mi]_x000D_
Base  =  Liabilities_x000D_
Counterparty sector  =  Non-financial corporations_x000D_
Financial reporting standard  =  IFRS 9 impairment_x000D_
Impairment status  =  Instruments without significant increase in credit risk (Stage 1)_x000D_
Main category  =  Other Commitments given</t>
        </r>
      </text>
    </comment>
    <comment ref="I30" authorId="0" shapeId="0" xr:uid="{39221943-2FFC-4324-9161-D9A9A8A0CBCC}">
      <text>
        <r>
          <rPr>
            <sz val="9"/>
            <color indexed="81"/>
            <rFont val="Tahoma"/>
            <family val="2"/>
          </rPr>
          <t>DataPointVID 155556_x000D_
DataPointID 155556_x000D_
Metric  =  Carrying amount [mi]_x000D_
Base  =  Liabilities_x000D_
Counterparty sector  =  Non-financial corporations_x000D_
Financial reporting standard  =  IFRS 9 impairment_x000D_
Impairment status  =  Instruments with significant increase in credit risk (Stage 2)_x000D_
Main category  =  Other Commitments given</t>
        </r>
      </text>
    </comment>
    <comment ref="J30" authorId="0" shapeId="0" xr:uid="{E98B9D15-4E75-400A-8128-4C5245BD3D19}">
      <text>
        <r>
          <rPr>
            <sz val="9"/>
            <color indexed="81"/>
            <rFont val="Tahoma"/>
            <family val="2"/>
          </rPr>
          <t>DataPointVID 155559_x000D_
DataPointID 155559_x000D_
Metric  =  Carrying amount [mi]_x000D_
Base  =  Liabilities_x000D_
Counterparty sector  =  Non-financial corporations_x000D_
Financial reporting standard  =  IFRS 9 impairment_x000D_
Impairment status  =  Instruments with significant increase in credit risk. Credit impaired  assets (Stage 3)_x000D_
Main category  =  Other Commitments given</t>
        </r>
      </text>
    </comment>
    <comment ref="L30" authorId="0" shapeId="0" xr:uid="{8FB974BF-3785-41D1-BE54-2DA35A164AB8}">
      <text>
        <r>
          <rPr>
            <sz val="9"/>
            <color indexed="81"/>
            <rFont val="Tahoma"/>
            <family val="2"/>
          </rPr>
          <t>DataPointVID 155896_x000D_
DataPointID 155896_x000D_
Metric  =  Nominal amount [mi]_x000D_
Base  =  Off balance sheet items_x000D_
Counterparty sector  =  Non-financial corporations_x000D_
Financial reporting standard  =  IAS 37 or IFRS 4_x000D_
Main category  =  Other Commitments given</t>
        </r>
      </text>
    </comment>
    <comment ref="M30" authorId="0" shapeId="0" xr:uid="{A6B95B80-D7AF-48C2-949D-7601EADD3F40}">
      <text>
        <r>
          <rPr>
            <sz val="9"/>
            <color indexed="81"/>
            <rFont val="Tahoma"/>
            <family val="2"/>
          </rPr>
          <t>DataPointVID 155562_x000D_
DataPointID 155562_x000D_
Metric  =  Carrying amount [mi]_x000D_
Base  =  Liabilities_x000D_
Counterparty sector  =  Non-financial corporations_x000D_
Financial reporting standard  =  IAS 37 or IFRS 4_x000D_
Main category  =  Other Commitments given</t>
        </r>
      </text>
    </comment>
    <comment ref="C31" authorId="0" shapeId="0" xr:uid="{0BCBE35E-65A1-4629-9E46-99DA68729905}">
      <text>
        <r>
          <rPr>
            <sz val="9"/>
            <color indexed="81"/>
            <rFont val="Tahoma"/>
            <family val="2"/>
          </rPr>
          <t>Main category  =  Other Commitments given_x000D_
Counterparty sector  =  Households</t>
        </r>
      </text>
    </comment>
    <comment ref="D31" authorId="0" shapeId="0" xr:uid="{FF2E0AD3-78ED-4CB4-8D44-9C448DFBBB49}">
      <text>
        <r>
          <rPr>
            <sz val="9"/>
            <color indexed="81"/>
            <rFont val="Tahoma"/>
            <family val="2"/>
          </rPr>
          <t>DataPointVID 155872_x000D_
DataPointID 155872_x000D_
Metric  =  Nominal amount [mi]_x000D_
Base  =  Off balance sheet items_x000D_
Counterparty sector  =  Households_x000D_
Financial reporting standard  =  IFRS 9 impairment_x000D_
Impairment status  =  Instruments without significant increase in credit risk (Stage 1)_x000D_
Main category  =  Other Commitments given</t>
        </r>
      </text>
    </comment>
    <comment ref="E31" authorId="0" shapeId="0" xr:uid="{1643C917-FE81-456D-A022-E45B10531A52}">
      <text>
        <r>
          <rPr>
            <sz val="9"/>
            <color indexed="81"/>
            <rFont val="Tahoma"/>
            <family val="2"/>
          </rPr>
          <t>DataPointVID 155875_x000D_
DataPointID 155875_x000D_
Metric  =  Nominal amount [mi]_x000D_
Base  =  Off balance sheet items_x000D_
Counterparty sector  =  Households_x000D_
Financial reporting standard  =  IFRS 9 impairment_x000D_
Impairment status  =  Instruments with significant increase in credit risk (Stage 2)_x000D_
Main category  =  Other Commitments given</t>
        </r>
      </text>
    </comment>
    <comment ref="F31" authorId="0" shapeId="0" xr:uid="{B8B323F3-F35F-4261-AF8A-9A3050648DE8}">
      <text>
        <r>
          <rPr>
            <sz val="9"/>
            <color indexed="81"/>
            <rFont val="Tahoma"/>
            <family val="2"/>
          </rPr>
          <t>DataPointVID 155878_x000D_
DataPointID 155878_x000D_
Metric  =  Nominal amount [mi]_x000D_
Base  =  Off balance sheet items_x000D_
Counterparty sector  =  Households_x000D_
Financial reporting standard  =  IFRS 9 impairment_x000D_
Impairment status  =  Instruments with significant increase in credit risk. Credit impaired  assets (Stage 3)_x000D_
Main category  =  Other Commitments given</t>
        </r>
      </text>
    </comment>
    <comment ref="H31" authorId="0" shapeId="0" xr:uid="{F48E71BD-D36A-4314-AC41-B13BCA1D4212}">
      <text>
        <r>
          <rPr>
            <sz val="9"/>
            <color indexed="81"/>
            <rFont val="Tahoma"/>
            <family val="2"/>
          </rPr>
          <t>DataPointVID 155532_x000D_
DataPointID 155532_x000D_
Metric  =  Carrying amount [mi]_x000D_
Base  =  Liabilities_x000D_
Counterparty sector  =  Households_x000D_
Financial reporting standard  =  IFRS 9 impairment_x000D_
Impairment status  =  Instruments without significant increase in credit risk (Stage 1)_x000D_
Main category  =  Other Commitments given</t>
        </r>
      </text>
    </comment>
    <comment ref="I31" authorId="0" shapeId="0" xr:uid="{1122A388-D4A0-4512-9118-322575A49BCF}">
      <text>
        <r>
          <rPr>
            <sz val="9"/>
            <color indexed="81"/>
            <rFont val="Tahoma"/>
            <family val="2"/>
          </rPr>
          <t>DataPointVID 155535_x000D_
DataPointID 155535_x000D_
Metric  =  Carrying amount [mi]_x000D_
Base  =  Liabilities_x000D_
Counterparty sector  =  Households_x000D_
Financial reporting standard  =  IFRS 9 impairment_x000D_
Impairment status  =  Instruments with significant increase in credit risk (Stage 2)_x000D_
Main category  =  Other Commitments given</t>
        </r>
      </text>
    </comment>
    <comment ref="J31" authorId="0" shapeId="0" xr:uid="{EC933396-8499-48D2-8E93-CBC9A9F62B7A}">
      <text>
        <r>
          <rPr>
            <sz val="9"/>
            <color indexed="81"/>
            <rFont val="Tahoma"/>
            <family val="2"/>
          </rPr>
          <t>DataPointVID 155538_x000D_
DataPointID 155538_x000D_
Metric  =  Carrying amount [mi]_x000D_
Base  =  Liabilities_x000D_
Counterparty sector  =  Households_x000D_
Financial reporting standard  =  IFRS 9 impairment_x000D_
Impairment status  =  Instruments with significant increase in credit risk. Credit impaired  assets (Stage 3)_x000D_
Main category  =  Other Commitments given</t>
        </r>
      </text>
    </comment>
    <comment ref="L31" authorId="0" shapeId="0" xr:uid="{A4FAA367-24A4-49B4-8FB8-79618584119C}">
      <text>
        <r>
          <rPr>
            <sz val="9"/>
            <color indexed="81"/>
            <rFont val="Tahoma"/>
            <family val="2"/>
          </rPr>
          <t>DataPointVID 155881_x000D_
DataPointID 155881_x000D_
Metric  =  Nominal amount [mi]_x000D_
Base  =  Off balance sheet items_x000D_
Counterparty sector  =  Households_x000D_
Financial reporting standard  =  IAS 37 or IFRS 4_x000D_
Main category  =  Other Commitments given</t>
        </r>
      </text>
    </comment>
    <comment ref="M31" authorId="0" shapeId="0" xr:uid="{A8419003-41A7-4713-ACD5-9B3A0D7BA770}">
      <text>
        <r>
          <rPr>
            <sz val="9"/>
            <color indexed="81"/>
            <rFont val="Tahoma"/>
            <family val="2"/>
          </rPr>
          <t>DataPointVID 155541_x000D_
DataPointID 155541_x000D_
Metric  =  Carrying amount [mi]_x000D_
Base  =  Liabilities_x000D_
Counterparty sector  =  Households_x000D_
Financial reporting standard  =  IAS 37 or IFRS 4_x000D_
Main category  =  Other Commitments given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9000000}" name="Query from Impala PRO2" type="1" refreshedVersion="8" background="1" saveData="1">
    <dbPr connection="DSN=Impala PRO;" command="SELECT LT002.segmento, _x000d__x000a_sum(LT002.grss_crryng_amnt_instrmnt) as valor_bruto_on, _x000d__x000a_sum(LT002.off_blnc_sht_amnt_instrmnt) as valor_bruto_off, _x000d__x000a_sum(LT002.accmltd_imprmnt_instrmnt) as provisao_on, _x000d__x000a_sum(LT002.prvsns_off_blnc_sht) as provisao_off, _x000d__x000a_AUX_1.tipo_conta_x000d__x000a_FROM_x000d__x000a__x000d__x000a_(SELECT * FROM cd_loan_tapes_bce.lt002_instrument_x000d__x000a_WHERE ref_date = ?_x000d__x000a_AND ambito = ?_x000d__x000a_and nome_perimetro = ?_x000d__x000a_and entidade = ?) LT002_x000d__x000a__x000d__x000a_LEFT JOIN_x000d__x000a__x000d__x000a_(_x000d__x000a_SELECT DISTINCT KT_CHAVES.instrmnt_id, LT001.tipo_conta FROM_x000d__x000a__x000d__x000a_(SELECT * FROM cd_loan_tapes_bce.lt001_univ_oper_x000d__x000a_WHERE ref_date = ?_x000d__x000a_AND ambito = ?_x000d__x000a_and nome_perimetro = ?_x000d__x000a_and entidade = ?_x000d__x000a_and segmento = 'Derivatives') LT001_x000d__x000a__x000d__x000a_INNER JOIN_x000d__x000a__x000d__x000a_(SELECT * FROM cd_loan_tapes_bce.kt_chaves_lt_x000d__x000a_WHERE ref_date = ?_x000d__x000a_AND ambito = ?_x000d__x000a_and nome_perimetro = ?_x000d__x000a_and entidade = ?) KT_CHAVES_x000d__x000a__x000d__x000a_ON LT001.cempresa = KT_CHAVES.cempresa  _x000d__x000a_AND LT001.cbalcao = KT_CHAVES.cbalcao_x000d__x000a_AND LT001.cnumecta = KT_CHAVES.cnumecta_x000d__x000a_AND LT001.zdeposit = KT_CHAVES.zdeposit_x000d__x000a_) AUX_1_x000d__x000a__x000d__x000a_ON LT002.instrmnt_id = AUX_1.instrmnt_id_x000d__x000a__x000d__x000a_GROUP BY tipo_conta, segmento"/>
    <parameters count="15">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11"/>
      <parameter name="Parameter14" parameterType="cell" cell="Cockpit!#REF!"/>
      <parameter name="Parameter15" parameterType="cell" cell="Cockpit!$D$12"/>
    </parameters>
    <extLst>
      <ext xmlns:x15="http://schemas.microsoft.com/office/spreadsheetml/2010/11/main" uri="{DE250136-89BD-433C-8126-D09CA5730AF9}">
        <x15:connection id="" excludeFromRefreshAll="1"/>
      </ext>
    </extLst>
  </connection>
  <connection id="2" xr16:uid="{FC184365-371F-4385-A683-C9B484D9D2E6}" name="Query from Impala PRO21" type="1" refreshedVersion="8" background="1" saveData="1">
    <dbPr connection="DSN=Impala PRO;" command="select * from_x000d__x000a_(_x000d__x000a__x000d__x000a_SELECT_x000d__x000a_'lt002_instrument' as tabela,segmento, instrmnt_id, 'Não Aplicável' as entty_id, 'Não Aplicável' as prtctn_id, count(*) as cnt_x000d__x000a__x000d__x000a_FROM cd_loan_tapes_bce.lt002_instrument_x000d__x000a_WHERE ref_date = ?_x000d__x000a_AND ambito = ?_x000d__x000a_and nome_perimetro = ?_x000d__x000a_and entidade = ?_x000d__x000a__x000d__x000a_GROUP BY instrmnt_id,segmento) as base_x000d__x000a_where cnt&lt;&gt;1_x000d__x000a__x000d__x000a_union all_x000d__x000a__x000d__x000a__x000d__x000a_select * from_x000d__x000a_(_x000d__x000a__x000d__x000a_SELECT_x000d__x000a_'lt003_entity' as tabela,segmento,  'Não Aplicável' as instrmnt_id, entty_id,  'Não Aplicável' as prtctn_id,count(*) as cnt_x000d__x000a__x000d__x000a_FROM cd_loan_tapes_bce.lt003_entity_x000d__x000a_WHERE ref_date = ?_x000d__x000a_AND ambito = ?_x000d__x000a_and nome_perimetro = ?_x000d__x000a_and entidade = ?_x000d__x000a__x000d__x000a_GROUP BY entty_id,segmento) as base_x000d__x000a_where cnt&lt;&gt;1_x000d__x000a__x000d__x000a_union all_x000d__x000a__x000d__x000a__x000d__x000a__x000d__x000a_select * from_x000d__x000a_(_x000d__x000a__x000d__x000a_SELECT_x000d__x000a_'lt004_protection' as tabela,segmento, 'Não Aplicável' as instrmnt_id,'Não Aplicável' as entty_id, prtctn_id, count(*) as cnt_x000d__x000a__x000d__x000a_FROM cd_loan_tapes_bce.lt004_protection_x000d__x000a_WHERE ref_date = ?_x000d__x000a_AND ambito = ?_x000d__x000a_and nome_perimetro = ?_x000d__x000a_and entidade = ?_x000d__x000a__x000d__x000a_GROUP BY prtctn_id,segmento) as base_x000d__x000a_where cnt&lt;&gt;1_x000d__x000a__x000d__x000a_Union all_x000d__x000a__x000d__x000a__x000d__x000a_select * from_x000d__x000a_(_x000d__x000a__x000d__x000a_SELECT_x000d__x000a_'lt005_instr_ent' as tabela,segmento, instrmnt_id, entty_id, 'Não Aplicável' as prtctn_id, count(*) as cnt_x000d__x000a__x000d__x000a_FROM cd_loan_tapes_bce.lt005_instr_ent_x000d__x000a_WHERE ref_date = ?_x000d__x000a_AND ambito = ?_x000d__x000a_and nome_perimetro = ?_x000d__x000a_and entidade = ?_x000d__x000a__x000d__x000a_GROUP BY instrmnt_id, entty_id,segmento) as base_x000d__x000a_where cnt&lt;&gt;1_x000d__x000a__x000d__x000a_union all_x000d__x000a__x000d__x000a_select * from_x000d__x000a_(_x000d__x000a__x000d__x000a_SELECT_x000d__x000a_'lt006_instr_prot' as tabela,segmento, instrmnt_id, 'Não Aplicável' as entty_id, prtctn_id, count(*) as cnt_x000d__x000a__x000d__x000a_FROM cd_loan_tapes_bce.lt006_instr_prot_x000d__x000a_WHERE ref_date = ?_x000d__x000a_AND ambito = ?_x000d__x000a_and nome_perimetro = ?_x000d__x000a_and entidade = ?_x000d__x000a__x000d__x000a_GROUP BY instrmnt_id, prtctn_id,segmento) as base_x000d__x000a_where cnt&lt;&gt;1"/>
    <parameters count="24">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11"/>
      <parameter name="Parameter24" parameterType="cell" cell="Cockpit!$D$12"/>
    </parameters>
    <extLst>
      <ext xmlns:x15="http://schemas.microsoft.com/office/spreadsheetml/2010/11/main" uri="{DE250136-89BD-433C-8126-D09CA5730AF9}">
        <x15:connection id="" excludeFromRefreshAll="1"/>
      </ext>
    </extLst>
  </connection>
  <connection id="3" xr16:uid="{0ABB944B-E3BC-4685-AC19-BEF7B640C510}" name="Query from Impala PRO211" type="1" refreshedVersion="8" background="1" saveData="1">
    <dbPr connection="DSN=Impala PRO;" command="--6 para 2_x000d__x000a__x000d__x000a_select 'lt006_instr_prot contida na lt002_instr' as teste, B.segmento, B.instrmnt_id ,'Não Aplicável' as entty_id, 'Não Aplicável' as prtctn_id from_x000d__x000a_(_x000d__x000a_SELECT *_x000d__x000a__x000d__x000a_FROM cd_loan_tapes_bce.lt002_instrument_x000d__x000a_WHERE ref_date = ?_x000d__x000a_AND ambito = ?_x000d__x000a_and nome_perimetro = ?_x000d__x000a_and entidade = ?_x000d__x000a_and segmento not in ('Equity','Derivatives', 'Debt securities')_x000d__x000a_) A_x000d__x000a__x000d__x000a_right join _x000d__x000a_(_x000d__x000a_SELECT *_x000d__x000a__x000d__x000a_FROM cd_loan_tapes_bce.lt006_instr_prot_x000d__x000a_WHERE ref_date = ?_x000d__x000a_AND ambito = ?_x000d__x000a_and nome_perimetro = ?_x000d__x000a_and entidade = ?_x000d__x000a_and segmento not in ('Equity','Derivatives', 'Debt securities')_x000d__x000a_) B_x000d__x000a_on A.instrmnt_id=B.instrmnt_id_x000d__x000a_and A.segmento = B.segmento_x000d__x000a_where A.instrmnt_id is null_x000d__x000a__x000d__x000a_-- union all_x000d__x000a__x000d__x000a_-- select 'lt002_instr contida na lt006_instr_prot' as teste, a.segmento, a.instrmnt_id ,'Não Aplicável' as entty_id, 'Não Aplicável' as prtctn_id from_x000d__x000a_-- (_x000d__x000a_-- SELECT *_x000d__x000a__x000d__x000a_-- FROM bu_loantape_work.lt002_instrument_srb_x000d__x000a_-- WHERE ref_date = ?_x000d__x000a_-- AND ambito = ?_x000d__x000a_-- and nome_perimetro = ?_x000d__x000a_-- and entidade = ?_x000d__x000a_-- and segmento not in ('Equity','Derivatives', 'Debt securities')_x000d__x000a_-- ) A_x000d__x000a__x000d__x000a_-- left join _x000d__x000a_-- (_x000d__x000a_-- SELECT *_x000d__x000a__x000d__x000a_-- FROM bu_loantape_work.lt006_instr_prot_srb_x000d__x000a_-- WHERE ref_date = ?_x000d__x000a_-- AND ambito = ?_x000d__x000a_-- and nome_perimetro = ?_x000d__x000a_-- and entidade = ?_x000d__x000a_-- and segmento not in ('Equity','Derivatives', 'Debt securities')_x000d__x000a_-- ) B_x000d__x000a_-- on A.instrmnt_id=B.instrmnt_id_x000d__x000a_-- where B.instrmnt_id is null_x000d__x000a__x000d__x000a_union all_x000d__x000a__x000d__x000a_-- 2 para 5_x000d__x000a__x000d__x000a_select  'lt005_instr_ent contida na lt002_instrument' as teste, B.segmento, B.instrmnt_id ,'Não Aplicável' as entty_id, 'Não Aplicável' as prtctn_id from_x000d__x000a_(_x000d__x000a_SELECT *_x000d__x000a__x000d__x000a_FROM cd_loan_tapes_bce.lt002_instrument_x000d__x000a_WHERE ref_date = ?_x000d__x000a_AND ambito = ?_x000d__x000a_and nome_perimetro = ?_x000d__x000a_and entidade = ?_x000d__x000a_and segmento not in ('Equity','Derivatives', 'Debt securities')_x000d__x000a_) A_x000d__x000a__x000d__x000a_right join _x000d__x000a_(_x000d__x000a_SELECT *_x000d__x000a__x000d__x000a_FROM cd_loan_tapes_bce.lt005_instr_ent_x000d__x000a_WHERE ref_date = ?_x000d__x000a_AND ambito = ?_x000d__x000a_and nome_perimetro = ?_x000d__x000a_and entidade = ?_x000d__x000a_and segmento not in ('Equity','Derivatives', 'Debt securities')_x000d__x000a_) B_x000d__x000a_on A.instrmnt_id=B.instrmnt_id_x000d__x000a_and A.segmento = B.segmento_x000d__x000a_where A.instrmnt_id is null_x000d__x000a__x000d__x000a_union all_x000d__x000a__x000d__x000a_select  'lt002_instrument contida na lt005_instr_ent' as teste, a.segmento, a.instrmnt_id ,'Não Aplicável' as entty_id, 'Não Aplicável' as prtctn_id from_x000d__x000a_(_x000d__x000a_SELECT *_x000d__x000a__x000d__x000a_FROM cd_loan_tapes_bce.lt002_instrument_x000d__x000a_WHERE ref_date = ?_x000d__x000a_AND ambito = ?_x000d__x000a_and nome_perimetro = ?_x000d__x000a_and entidade = ?_x000d__x000a_and segmento not in ('Equity','Derivatives', 'Debt securities')_x000d__x000a_) A_x000d__x000a__x000d__x000a_left join _x000d__x000a_(_x000d__x000a_SELECT *_x000d__x000a__x000d__x000a_FROM cd_loan_tapes_bce.lt005_instr_ent_x000d__x000a_WHERE ref_date = ?_x000d__x000a_AND ambito = ?_x000d__x000a_and nome_perimetro = ?_x000d__x000a_and entidade = ?_x000d__x000a_and segmento not in ('Equity','Derivatives', 'Debt securities')_x000d__x000a_) B_x000d__x000a_on A.instrmnt_id=B.instrmnt_id_x000d__x000a_and A.segmento = B.segmento_x000d__x000a_where b.instrmnt_id is null_x000d__x000a__x000d__x000a_union all_x000d__x000a__x000d__x000a_--5_3_x000d__x000a__x000d__x000a_select 'lt005_instr_ent contida na lt003_entity' as teste, B.segmento,'Não Aplicável' as instrmnt_id,  B.entty_id, 'Não Aplicável' as prtctn_id from_x000d__x000a_(_x000d__x000a_SELECT *_x000d__x000a__x000d__x000a_FROM cd_loan_tapes_bce.lt003_entity_x000d__x000a_WHERE ref_date = ?_x000d__x000a_AND ambito = ?_x000d__x000a_and nome_perimetro = ?_x000d__x000a_and entidade = ?_x000d__x000a_and segmento not in ('Equity','Derivatives', 'Debt securities')_x000d__x000a_) A_x000d__x000a__x000d__x000a_right join _x000d__x000a_(_x000d__x000a_SELECT *_x000d__x000a__x000d__x000a_FROM cd_loan_tapes_bce.lt005_instr_ent_x000d__x000a_WHERE ref_date = ?_x000d__x000a_AND ambito = ?_x000d__x000a_and nome_perimetro = ?_x000d__x000a_and entidade = ?_x000d__x000a_and segmento not in ('Equity','Derivatives', 'Debt securities')_x000d__x000a_) B_x000d__x000a_on A.entty_id=B.entty_id_x000d__x000a_and A.segmento = B.segmento_x000d__x000a_where A.entty_id is null_x000d__x000a__x000d__x000a_union all _x000d__x000a__x000d__x000a_select 'lt003_entity contida na lt005_instr_ent' as teste, a.segmento,'Não Aplicável' as instrmnt_id,  a.entty_id, 'Não Aplicável' as prtctn_id from_x000d__x000a_(_x000d__x000a_SELECT *_x000d__x000a__x000d__x000a_FROM cd_loan_tapes_bce.lt003_entity_x000d__x000a_WHERE ref_date = ?_x000d__x000a_AND ambito = ?_x000d__x000a_and nome_perimetro = ?_x000d__x000a_and entidade = ?_x000d__x000a_and segmento not in ('Equity','Derivatives', 'Debt securities')_x000d__x000a_) A_x000d__x000a__x000d__x000a_left join _x000d__x000a_(_x000d__x000a_SELECT *_x000d__x000a__x000d__x000a_FROM cd_loan_tapes_bce.lt005_instr_ent_x000d__x000a_WHERE ref_date = ?_x000d__x000a_AND ambito = ?_x000d__x000a_and nome_perimetro = ?_x000d__x000a_and entidade = ?_x000d__x000a_and segmento not in ('Equity','Derivatives', 'Debt securities')_x000d__x000a_) B_x000d__x000a_on A.entty_id=B.entty_id_x000d__x000a_and A.segmento = B.segmento_x000d__x000a_where b.entty_id is null_x000d__x000a__x000d__x000a__x000d__x000a_--6 para 4 _x000d__x000a__x000d__x000a_union all_x000d__x000a__x000d__x000a__x000d__x000a_select  'lt006_instr_prot contida na lt004_protection' as teste,B.segmento, 'Não Aplicável' as instrmnt_id,  'Não Aplicável' as entty_id, B.prtctn_id  from_x000d__x000a_(_x000d__x000a_SELECT *_x000d__x000a__x000d__x000a_FROM cd_loan_tapes_bce.lt004_protection_x000d__x000a_WHERE ref_date = ?_x000d__x000a_AND ambito = ?_x000d__x000a_and nome_perimetro = ?_x000d__x000a_and entidade = ?_x000d__x000a_and segmento not in ('Equity','Derivatives', 'Debt securities')_x000d__x000a_) A_x000d__x000a__x000d__x000a_right join _x000d__x000a_(_x000d__x000a_SELECT *_x000d__x000a__x000d__x000a_FROM cd_loan_tapes_bce.lt006_instr_prot_x000d__x000a_WHERE ref_date = ?_x000d__x000a_AND ambito = ?_x000d__x000a_and nome_perimetro = ?_x000d__x000a_and entidade = ?_x000d__x000a_and segmento not in ('Equity','Derivatives', 'Debt securities')_x000d__x000a_) B_x000d__x000a_on A.prtctn_id=B.prtctn_id_x000d__x000a_and A.segmento = B.segmento_x000d__x000a_where A.prtctn_id is null_x000d__x000a__x000d__x000a_union all_x000d__x000a__x000d__x000a_select  'lt004_protection contida na lt006_instr_prot' as teste,a.segmento, 'Não Aplicável' as instrmnt_id,  'Não Aplicável' as entty_id, a.prtctn_id  from_x000d__x000a_(_x000d__x000a_SELECT *_x000d__x000a__x000d__x000a_FROM cd_loan_tapes_bce.lt004_protection_x000d__x000a_WHERE ref_date = ?_x000d__x000a_AND ambito = ?_x000d__x000a_and nome_perimetro = ?_x000d__x000a_and entidade = ?_x000d__x000a_and segmento not in ('Equity','Derivatives', 'Debt securities')_x000d__x000a_) A_x000d__x000a__x000d__x000a_left join _x000d__x000a_(_x000d__x000a_SELECT *_x000d__x000a__x000d__x000a_FROM cd_loan_tapes_bce.lt006_instr_prot_x000d__x000a_WHERE ref_date = ?_x000d__x000a_AND ambito = ?_x000d__x000a_and nome_perimetro = ?_x000d__x000a_and entidade = ?_x000d__x000a_and segmento not in ('Equity','Derivatives', 'Debt securities')_x000d__x000a_) B_x000d__x000a_on A.prtctn_id=B.prtctn_id_x000d__x000a_and A.segmento = B.segmento_x000d__x000a_where b.prtctn_id is null"/>
    <parameters count="64">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11"/>
      <parameter name="Parameter24" parameterType="cell" cell="Cockpit!$D$12"/>
      <parameter name="Parameter25" parameterType="cell" cell="Cockpit!$D$9"/>
      <parameter name="Parameter26" parameterType="cell" cell="Cockpit!$D$10"/>
      <parameter name="Parameter27" parameterType="cell" cell="Cockpit!$D$11"/>
      <parameter name="Parameter28" parameterType="cell" cell="Cockpit!$D$12"/>
      <parameter name="Parameter29" parameterType="cell" cell="Cockpit!$D$9"/>
      <parameter name="Parameter30" parameterType="cell" cell="Cockpit!$D$10"/>
      <parameter name="Parameter31" parameterType="cell" cell="Cockpit!$D$11"/>
      <parameter name="Parameter32" parameterType="cell" cell="Cockpit!$D$12"/>
      <parameter name="Parameter33" parameterType="cell" cell="Cockpit!$D$9"/>
      <parameter name="Parameter34" parameterType="cell" cell="Cockpit!$D$10"/>
      <parameter name="Parameter35" parameterType="cell" cell="Cockpit!$D$11"/>
      <parameter name="Parameter36" parameterType="cell" cell="Cockpit!$D$12"/>
      <parameter name="Parameter37" parameterType="cell" cell="Cockpit!$D$9"/>
      <parameter name="Parameter38" parameterType="cell" cell="Cockpit!$D$10"/>
      <parameter name="Parameter39" parameterType="cell" cell="Cockpit!$D$11"/>
      <parameter name="Parameter40" parameterType="cell" cell="Cockpit!$D$12"/>
      <parameter name="Parameter41" parameterType="cell" cell="Cockpit!$D$9"/>
      <parameter name="Parameter42" parameterType="cell" cell="Cockpit!$D$10"/>
      <parameter name="Parameter43" parameterType="cell" cell="Cockpit!$D$11"/>
      <parameter name="Parameter44" parameterType="cell" cell="Cockpit!$D$12"/>
      <parameter name="Parameter45" parameterType="cell" cell="Cockpit!$D$9"/>
      <parameter name="Parameter46" parameterType="cell" cell="Cockpit!$D$10"/>
      <parameter name="Parameter47" parameterType="cell" cell="Cockpit!$D$11"/>
      <parameter name="Parameter48" parameterType="cell" cell="Cockpit!$D$12"/>
      <parameter name="Parameter49" parameterType="cell" cell="Cockpit!$D$9"/>
      <parameter name="Parameter50" parameterType="cell" cell="Cockpit!$D$10"/>
      <parameter name="Parameter51" parameterType="cell" cell="Cockpit!$D$11"/>
      <parameter name="Parameter52" parameterType="cell" cell="Cockpit!$D$12"/>
      <parameter name="Parameter53" parameterType="cell" cell="Cockpit!$D$9"/>
      <parameter name="Parameter54" parameterType="cell" cell="Cockpit!$D$10"/>
      <parameter name="Parameter55" parameterType="cell" cell="Cockpit!$D$11"/>
      <parameter name="Parameter56" parameterType="cell" cell="Cockpit!$D$12"/>
      <parameter name="Parameter57" parameterType="cell" cell="Cockpit!$D$9"/>
      <parameter name="Parameter58" parameterType="cell" cell="Cockpit!$D$10"/>
      <parameter name="Parameter59" parameterType="cell" cell="Cockpit!$D$11"/>
      <parameter name="Parameter60" parameterType="cell" cell="Cockpit!$D$12"/>
      <parameter name="Parameter61" parameterType="cell" cell="Cockpit!$D$9"/>
      <parameter name="Parameter62" parameterType="cell" cell="Cockpit!$D$10"/>
      <parameter name="Parameter63" parameterType="cell" cell="Cockpit!$D$11"/>
      <parameter name="Parameter64" parameterType="cell" cell="Cockpit!$D$12"/>
    </parameters>
    <extLst>
      <ext xmlns:x15="http://schemas.microsoft.com/office/spreadsheetml/2010/11/main" uri="{DE250136-89BD-433C-8126-D09CA5730AF9}">
        <x15:connection id="" excludeFromRefreshAll="1"/>
      </ext>
    </extLst>
  </connection>
  <connection id="4" xr16:uid="{E05EC4B3-E833-418E-85F8-6EBDB8892613}" name="Query from Impala PRO21111" type="1" refreshedVersion="8" background="1" saveData="1">
    <dbPr connection="DSN=Impala PRO;" command="-- EXTRNL_RTNG_x000d__x000a_-- Teste Missing Data_x000d__x000a_SELECT 'lt003_entity' as tabela, segmento, 'EXTRNL_RTNG' as Nome_do_Campo, 'Teste Missing Data' as Descritivo_do_Controlo,_x000d__x000a_sum(case when EXTRNL_RTNG = '99999999999'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 Teste Not Applicable_x000d__x000a_SELECT tabela, segmento, Nome_do_Campo, Descritivo_do_Controlo,_x000d__x000a_(case when Total_NOKs &gt; 0 then Total_registos else 0 end) as Total_NOKs,_x000d__x000a_Total_registos FROM _x000d__x000a__x000d__x000a_(_x000d__x000a__x000d__x000a_SELECT 'lt003_entity' as tabela, segmento, 'EXTRNL_RTNG' as Nome_do_Campo, 'Teste Not Applicable' as Descritivo_do_Controlo,_x000d__x000a_min(case when segmento = 'Exposures to natural persons' and EXTRNL_RTNG = '11111111111' then 0_x000d__x000a_         when EXTRNL_RTNG = '11111111111'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 Aux_1_x000d__x000a__x000d__x000a_UNION ALL_x000d__x000a__x000d__x000a_-- Teste Catálogo_x000d__x000a_select 'lt003_entity' as tabela,  segmento, 'EXTRNL_RTNG' as Nome_do_Campo, 'Teste Catálogo' as Descritivo_do_Controlo,   _x000d__x000a_count(case when EXTRNL_RTNG not in (_x000d__x000a_'1',_x000d__x000a_'2',_x000d__x000a_'3',_x000d__x000a_'4',_x000d__x000a_'5',_x000d__x000a_'6',_x000d__x000a_'7',_x000d__x000a_'8',_x000d__x000a_'9',_x000d__x000a_'10',_x000d__x000a_'11',_x000d__x000a_'12',_x000d__x000a_'13',_x000d__x000a_'14',_x000d__x000a_'15',_x000d__x000a_'16',_x000d__x000a_'17',_x000d__x000a_'18',_x000d__x000a_'19',_x000d__x000a_'20',_x000d__x000a_'21',_x000d__x000a_'99999999999',_x000d__x000a_'11111111111'_x000d__x000a_) then 1 end_x000d__x000a_)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 INTRNL_RTNG_x000d__x000a_-- Teste Missing Data_x000d__x000a_SELECT 'lt003_entity' as tabela, segmento, 'INTRNL_RTNG' as Nome_do_Campo, 'Teste Missing Data' as Descritivo_do_Controlo,_x000d__x000a_sum(case when INTRNL_RTNG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Teste Not Applicable_x000d__x000a_SELECT 'lt003_entity' as tabela, segmento, 'INTRNL_RTNG' as Nome_do_Campo, 'Teste Not Applicable' as Descritivo_do_Controlo,_x000d__x000a_sum(case when CLIENTE_PRIM_TIT is null then 0_x000d__x000a_         when INTRNL_RTNG = 'N/A' then 1 else 0 end) as Total_NOKs,_x000d__x000a_count(*) as Total_registos_x000d__x000a_FROM _x000d__x000a_(_x000d__x000a_SELECT LT003.*, LT005.entty_id AS CLIENTE_PRIM_TIT from _x000d__x000a_(SELECT *_x000d__x000a_FROM cd_loan_tapes_bce.lt003_entity_x000d__x000a_WHERE 1=1_x000d__x000a_and ref_date = ?_x000d__x000a_and ambito = ?_x000d__x000a_and nome_perimetro = ?_x000d__x000a_and entidade = ?) LT003_x000d__x000a_  _x000d__x000a_  LEFT JOIN_x000d__x000a__x000d__x000a_(SELECT DISTINCT entty_id_x000d__x000a_FROM cd_loan_tapes_bce.lt005_instr_ent_x000d__x000a_WHERE 1=1_x000d__x000a_and ref_date = ?_x000d__x000a_and ambito = ?_x000d__x000a_and nome_perimetro = ?_x000d__x000a_and entidade = ?_x000d__x000a_  and csequencia_rel = '00001'_x000d__x000a_  ) LT005_x000d__x000a_  _x000d__x000a_  ON LT003.entty_id = LT005.entty_id_x000d__x000a_  ) AUX_x000d__x000a__x000d__x000a_GROUP BY segmento_x000d__x000a__x000d__x000a_UNION ALL_x000d__x000a__x000d__x000a_-- PROBABILITY_DEFAULT_OTHERS_x000d__x000a_-- Teste Missing Data_x000d__x000a_SELECT 'lt003_entity' as tabela, segmento, 'PROBABILITY_DEFAULT_OTHERS' as Nome_do_Campo, 'Teste Missing Data' as Descritivo_do_Controlo,_x000d__x000a_sum(case when PROBABILITY_DEFAULT_OTHERS = 99999999999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3_entity' as tabela, segmento, 'PROBABILITY_DEFAULT_OTHERS' as Nome_do_Campo, 'Teste Not Applicable' as Descritivo_do_Controlo,_x000d__x000a_sum(case when PROBABILITY_DEFAULT_OTHERS = 11111111111 then 0 else 1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 CNTRY_x000d__x000a_-- Teste Missing Data_x000d__x000a_SELECT 'lt003_entity' as tabela, segmento, 'CNTRY' as Nome_do_Campo, 'Teste Missing Data' as Descritivo_do_Controlo,_x000d__x000a_sum(case when CNTRY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 _x000d__x000a_-- Teste Not Applicable_x000d__x000a_SELECT tabela, segmento, Nome_do_Campo, Descritivo_do_Controlo,_x000d__x000a_(case when Total_NOKs &gt; 0 then Total_registos else 0 end) as Total_NOKs,_x000d__x000a_Total_registos FROM_x000d__x000a_ _x000d__x000a_(_x000d__x000a_ _x000d__x000a_SELECT 'lt003_entity' as tabela, segmento, 'CNTRY' as Nome_do_Campo, 'Teste Not Applicable' as Descritivo_do_Controlo,_x000d__x000a_min(case when segmento in ('Exposures to legal persons','Exposures to natural persons') and CNTRY = 'N/A' then 0_x000d__x000a_         when CNTRY = 'N/A'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 Aux_1_x000d__x000a__x000d__x000a_UNION ALL_x000d__x000a_ _x000d__x000a_-- Teste Catálogo_x000d__x000a_select 'lt003_entity' as tabela,  segmento, 'CNTRY' as Nome_do_Campo, 'Teste Catálogo' as Descritivo_do_Controlo,   _x000d__x000a_count(case when CNTRY not in (_x000d__x000a_'AD',_x000d__x000a_'AED',_x000d__x000a_'AE',_x000d__x000a_'AF',_x000d__x000a_'AG',_x000d__x000a_'AI',_x000d__x000a_'AL',_x000d__x000a_'AM',_x000d__x000a_'AO',_x000d__x000a_'AQ',_x000d__x000a_'AR',_x000d__x000a_'AS',_x000d__x000a_'AT',_x000d__x000a_'AU',_x000d__x000a_'AW',_x000d__x000a_'AX',_x000d__x000a_'AZ',_x000d__x000a_'BA',_x000d__x000a_'BB',_x000d__x000a_'BD',_x000d__x000a_'BE',_x000d__x000a_'BF',_x000d__x000a_'BG',_x000d__x000a_'BH',_x000d__x000a_'BI',_x000d__x000a_'BJ',_x000d__x000a_'BL',_x000d__x000a_'BM',_x000d__x000a_'BN',_x000d__x000a_'BO',_x000d__x000a_'BQ',_x000d__x000a_'BR',_x000d__x000a_'BS',_x000d__x000a_'BT',_x000d__x000a_'BV',_x000d__x000a_'BW',_x000d__x000a_'BY',_x000d__x000a_'BZ',_x000d__x000a_'CA',_x000d__x000a_'CC',_x000d__x000a_'CD',_x000d__x000a_'CF',_x000d__x000a_'CG',_x000d__x000a_'CH',_x000d__x000a_'CI',_x000d__x000a_'CK',_x000d__x000a_'CL',_x000d__x000a_'CM',_x000d__x000a_'CN',_x000d__x000a_'CO',_x000d__x000a_'CR',_x000d__x000a_'CU',_x000d__x000a_'CV',_x000d__x000a_'CW',_x000d__x000a_'CX',_x000d__x000a_'CY',_x000d__x000a_'CZ',_x000d__x000a_'DE',_x000d__x000a_'DJ',_x000d__x000a_'DK',_x000d__x000a_'DM',_x000d__x000a_'DO',_x000d__x000a_'DZ',_x000d__x000a_'E$',_x000d__x000a_'EC',_x000d__x000a_'EE',_x000d__x000a_'EG',_x000d__x000a_'EH',_x000d__x000a_'ER',_x000d__x000a_'ES',_x000d__x000a_'ET',_x000d__x000a_'FI',_x000d__x000a_'FJ',_x000d__x000a_'FK',_x000d__x000a_'FM',_x000d__x000a_'FO',_x000d__x000a_'FR',_x000d__x000a_'GA',_x000d__x000a_'GB',_x000d__x000a_'GD',_x000d__x000a_'GE',_x000d__x000a_'GF',_x000d__x000a_'GG',_x000d__x000a_'GH',_x000d__x000a_'GI',_x000d__x000a_'GL',_x000d__x000a_'GM',_x000d__x000a_'GN',_x000d__x000a_'GP',_x000d__x000a_'GQ',_x000d__x000a_'GR',_x000d__x000a_'GS',_x000d__x000a_'GT',_x000d__x000a_'GU',_x000d__x000a_'GW',_x000d__x000a_'GY',_x000d__x000a_'HK',_x000d__x000a_'HM',_x000d__x000a_'HN',_x000d__x000a_'HR',_x000d__x000a_'HT',_x000d__x000a_'HU',_x000d__x000a_'ID',_x000d__x000a_'IE',_x000d__x000a_'IL',_x000d__x000a_'IM',_x000d__x000a_'IN',_x000d__x000a_'IO',_x000d__x000a_'IQ',_x000d__x000a_'IR',_x000d__x000a_'IS',_x000d__x000a_'IT',_x000d__x000a_'JE',_x000d__x000a_'JM',_x000d__x000a_'JO',_x000d__x000a_'JP',_x000d__x000a_'KE',_x000d__x000a_'KG',_x000d__x000a_'KH',_x000d__x000a_'KI',_x000d__x000a_'KM',_x000d__x000a_'KN',_x000d__x000a_'KP',_x000d__x000a_'KR',_x000d__x000a_'KW',_x000d__x000a_'KY',_x000d__x000a_'KZ',_x000d__x000a_'LA',_x000d__x000a_'LB',_x000d__x000a_'LC',_x000d__x000a_'LI',_x000d__x000a_'LK',_x000d__x000a_'LR',_x000d__x000a_'LS',_x000d__x000a_'LT',_x000d__x000a_'LU',_x000d__x000a_'LV',_x000d__x000a_'LY',_x000d__x000a_'MA',_x000d__x000a_'MC',_x000d__x000a_'MD',_x000d__x000a_'ME',_x000d__x000a_'MF',_x000d__x000a_'MG',_x000d__x000a_'MH',_x000d__x000a_'MK',_x000d__x000a_'ML',_x000d__x000a_'MM',_x000d__x000a_'MN',_x000d__x000a_'MO',_x000d__x000a_'MP',_x000d__x000a_'MQ',_x000d__x000a_'MR',_x000d__x000a_'MS',_x000d__x000a_'MT',_x000d__x000a_'MU',_x000d__x000a_'MV',_x000d__x000a_'MW',_x000d__x000a_'MX',_x000d__x000a_'MY',_x000d__x000a_'MZ',_x000d__x000a_'N$',_x000d__x000a_'NA',_x000d__x000a_'NC',_x000d__x000a_'NE',_x000d__x000a_'NF',_x000d__x000a_'NG',_x000d__x000a_'NI',_x000d__x000a_'NL',_x000d__x000a_'NO',_x000d__x000a_'NP',_x000d__x000a_'NR',_x000d__x000a_'NU',_x000d__x000a_'NZ',_x000d__x000a_'OM',_x000d__x000a_'PA',_x000d__x000a_'PE',_x000d__x000a_'PF',_x000d__x000a_'PG',_x000d__x000a_'PH',_x000d__x000a_'PK',_x000d__x000a_'PL',_x000d__x000a_'PM',_x000d__x000a_'PN',_x000d__x000a_'PR',_x000d__x000a_'PS',_x000d__x000a_'PT',_x000d__x000a_'PW',_x000d__x000a_'PY',_x000d__x000a_'QA',_x000d__x000a_'RE',_x000d__x000a_'RO',_x000d__x000a_'RS',_x000d__x000a_'RU',_x000d__x000a_'RW',_x000d__x000a_'SA',_x000d__x000a_'SB',_x000d__x000a_'SC',_x000d__x000a_'SD',_x000d__x000a_'SE',_x000d__x000a_'SG',_x000d__x000a_'SH',_x000d__x000a_'SI',_x000d__x000a_'SJ',_x000d__x000a_'SK',_x000d__x000a_'SL',_x000d__x000a_'SM',_x000d__x000a_'SN',_x000d__x000a_'SO',_x000d__x000a_'SR',_x000d__x000a_'SS',_x000d__x000a_'ST',_x000d__x000a_'SV',_x000d__x000a_'SX',_x000d__x000a_'SY',_x000d__x000a_'SZ',_x000d__x000a_'TC',_x000d__x000a_'TD',_x000d__x000a_'TF',_x000d__x000a_'TG',_x000d__x000a_'TH',_x000d__x000a_'TJ',_x000d__x000a_'TK',_x000d__x000a_'TL',_x000d__x000a_'TM',_x000d__x000a_'TN',_x000d__x000a_'TO',_x000d__x000a_'TR',_x000d__x000a_'TT',_x000d__x000a_'TV',_x000d__x000a_'TW',_x000d__x000a_'TZ',_x000d__x000a_'UA',_x000d__x000a_'UG',_x000d__x000a_'UM',_x000d__x000a_'US',_x000d__x000a_'UY',_x000d__x000a_'UZ',_x000d__x000a_'VA',_x000d__x000a_'VC',_x000d__x000a_'VE',_x000d__x000a_'VG',_x000d__x000a_'VI',_x000d__x000a_'VN',_x000d__x000a_'VU',_x000d__x000a_'WF',_x000d__x000a_'WS',_x000d__x000a_'YE',_x000d__x000a_'YT',_x000d__x000a_'ZA',_x000d__x000a_'ZM',_x000d__x000a_'ZW',_x000d__x000a_'MISS',_x000d__x000a_'N/A'_x000d__x000a_) then 1 end_x000d__x000a_)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_x000d__x000a_UNION ALL_x000d__x000a__x000d__x000a_-- ADDRESS_STREET_x000d__x000a_-- Teste Missing Data_x000d__x000a_SELECT 'lt003_entity' as tabela, segmento, 'ADDRESS_STREET' as Nome_do_Campo, 'Teste Missing Data' as Descritivo_do_Controlo,_x000d__x000a_sum(case when ADDRESS_STREET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UNION ALL_x000d__x000a_ _x000d__x000a_-- Teste Not Applicable_x000d__x000a_SELECT tabela, segmento, Nome_do_Campo, Descritivo_do_Controlo,_x000d__x000a_(case when Total_NOKs &gt; 0 then Total_registos else 0 end) as Total_NOKs,_x000d__x000a_Total_registos FROM_x000d__x000a_ _x000d__x000a_(_x000d__x000a_ _x000d__x000a_SELECT 'lt003_entity' as tabela, segmento, 'ADDRESS_STREET' as Nome_do_Campo, 'Teste Not Applicable' as Descritivo_do_Controlo,_x000d__x000a_min(case when segmento in ('Exposures to legal persons','Exposures to natural persons') and ADDRESS_STREET = 'N/A' then 0_x000d__x000a_         when ADDRESS_STREET = 'N/A'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 Aux_1_x000d__x000a__x000d__x000a_UNION ALL_x000d__x000a__x000d__x000a_-- ADDRESS_CITY_TOWN_VILLAGE_x000d__x000a_-- Teste Missing Data_x000d__x000a_SELECT 'lt003_entity' as tabela, segmento, 'ADDRESS_CITY_TOWN_VILLAGE' as Nome_do_Campo, 'Teste Missing Data' as Descritivo_do_Controlo,_x000d__x000a_sum(case when ADDRESS_CITY_TOWN_VILLAGE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UNION ALL_x000d__x000a_ _x000d__x000a_-- Teste Not Applicable_x000d__x000a_SELECT tabela, segmento, Nome_do_Campo, Descritivo_do_Controlo,_x000d__x000a_(case when Total_NOKs &gt; 0 then Total_registos else 0 end) as Total_NOKs,_x000d__x000a_Total_registos FROM_x000d__x000a_ _x000d__x000a_(_x000d__x000a_ _x000d__x000a_SELECT 'lt003_entity' as tabela, segmento, 'ADDRESS_CITY_TOWN_VILLAGE' as Nome_do_Campo, 'Teste Not Applicable' as Descritivo_do_Controlo,_x000d__x000a_min(case when segmento in ('Exposures to legal persons','Exposures to natural persons') and ADDRESS_CITY_TOWN_VILLAGE = 'N/A' then 0_x000d__x000a_         when ADDRESS_CITY_TOWN_VILLAGE = 'N/A'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 Aux_1_x000d__x000a__x000d__x000a_UNION ALL_x000d__x000a__x000d__x000a_-- ADDRESS_COUNTY_ADM_DIV_x000d__x000a_-- Teste Missing Data_x000d__x000a_SELECT 'lt003_entity' as tabela, segmento, 'ADDRESS_COUNTY_ADM_DIV' as Nome_do_Campo, 'Teste Missing Data' as Descritivo_do_Controlo,_x000d__x000a_sum(case when ADDRESS_COUNTY_ADM_DIV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UNION ALL_x000d__x000a_ _x000d__x000a_-- Teste Not Applicable_x000d__x000a_SELECT tabela, segmento, Nome_do_Campo, Descritivo_do_Controlo,_x000d__x000a_(case when Total_NOKs &gt; 0 then Total_registos else 0 end) as Total_NOKs,_x000d__x000a_Total_registos FROM_x000d__x000a_ _x000d__x000a_(_x000d__x000a_ _x000d__x000a_SELECT 'lt003_entity' as tabela, segmento, 'ADDRESS_COUNTY_ADM_DIV' as Nome_do_Campo, 'Teste Not Applicable' as Descritivo_do_Controlo,_x000d__x000a_min(case when segmento in ('Exposures to legal persons','Exposures to natural persons') and ADDRESS_COUNTY_ADM_DIV = 'N/A' then 0_x000d__x000a_         when ADDRESS_COUNTY_ADM_DIV = 'N/A'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 Aux_1_x000d__x000a__x000d__x000a_UNION ALL_x000d__x000a__x000d__x000a_-- INSTITUTIONAL_SECTOR_x000d__x000a_-- Teste Missing Data_x000d__x000a_SELECT 'lt003_entity' as tabela, segmento, 'INSTITUTIONAL_SECTOR' as Nome_do_Campo, 'Teste Missing Data' as Descritivo_do_Controlo,_x000d__x000a_sum(case when Institutional_Sector = 'MISS'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UNION ALL_x000d__x000a_ _x000d__x000a_-- Teste Not Applicable_x000d__x000a_SELECT tabela, segmento, Nome_do_Campo, Descritivo_do_Controlo,_x000d__x000a_(case when Total_NOKs &gt; 0 then Total_registos else 0 end) as Total_NOKs,_x000d__x000a_Total_registos FROM_x000d__x000a_ _x000d__x000a_(_x000d__x000a_ _x000d__x000a_SELECT 'lt003_entity' as tabela, segmento, 'INSTITUTIONAL_SECTOR' as Nome_do_Campo, 'Teste Not Applicable' as Descritivo_do_Controlo,_x000d__x000a_min(case when segmento in ('Exposures to legal persons','Exposures to natural persons') and Institutional_Sector = 'N/A' then 0_x000d__x000a_         when Institutional_Sector = 'N/A' then 1 else 0 end) as Total_NOKs,_x000d__x000a_count(*) as Total_registos_x000d__x000a_FROM cd_loan_tapes_bce.lt003_entity_x000d__x000a_WHERE 1=1_x000d__x000a_and ref_date = ?_x000d__x000a_and ambito = ?_x000d__x000a_and nome_perimetro = ?_x000d__x000a_and entidade = ?_x000d__x000a_GROUP BY segmento_x000d__x000a_ _x000d__x000a_) Aux_1_x000d__x000a_ _x000d__x000a_UNION ALL_x000d__x000a_ _x000d__x000a_-- Teste Catálogo_x000d__x000a_select 'lt003_entity' as tabela,  segmento, 'INSTITUTIONAL_SECTOR' as Nome_do_Campo, 'Teste Catálogo' as Descritivo_do_Controlo,   _x000d__x000a_count(case when Institutional_Sector not in (_x000d__x000a_'Non-financial corporations',_x000d__x000a_'Credit institutions',_x000d__x000a_'Central Bank',_x000d__x000a_'Deposit-taking corporations other than credit institutions',_x000d__x000a_'Money market funds (MMF)',_x000d__x000a_'Non-MMF Investment funds',_x000d__x000a_'Financial vehicle corporations (FVCs) engaged in securitisation transactions, Other financial intermediaries, except financial auxiliaries, captive financial institutions and money lenders, insurance corporations, pension funds and financial vehicle corporations engaged in securitisation transactions',_x000d__x000a_'Financial auxiliaries',_x000d__x000a_'Captive financial institutions and money lenders',_x000d__x000a_'Insurance corporations',_x000d__x000a_'Pension funds',_x000d__x000a_'Central government',_x000d__x000a_'State government',_x000d__x000a_'Local government',_x000d__x000a_'Social security funds',_x000d__x000a_'Non-profit institutions serving households',_x000d__x000a_'MISS',_x000d__x000a_'N/A'_x000d__x000a_) then 1 end_x000d__x000a_) as Total_NOKs,_x000d__x000a_count(*) as Total_registos_x000d__x000a_FROM cd_loan_tapes_bce.lt003_entity_x000d__x000a_WHERE 1=1_x000d__x000a_and ref_date = ?_x000d__x000a_and ambito = ?_x000d__x000a_and nome_perimetro = ?_x000d__x000a_and entidade = ?_x000d__x000a_group by segmento"/>
    <parameters count="80">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11"/>
      <parameter name="Parameter24" parameterType="cell" cell="Cockpit!$D$12"/>
      <parameter name="Parameter25" parameterType="cell" cell="Cockpit!$D$9"/>
      <parameter name="Parameter26" parameterType="cell" cell="Cockpit!$D$10"/>
      <parameter name="Parameter27" parameterType="cell" cell="Cockpit!$D$11"/>
      <parameter name="Parameter28" parameterType="cell" cell="Cockpit!$D$12"/>
      <parameter name="Parameter29" parameterType="cell" cell="Cockpit!$D$9"/>
      <parameter name="Parameter30" parameterType="cell" cell="Cockpit!$D$10"/>
      <parameter name="Parameter31" parameterType="cell" cell="Cockpit!$D$11"/>
      <parameter name="Parameter32" parameterType="cell" cell="Cockpit!$D$12"/>
      <parameter name="Parameter33" parameterType="cell" cell="Cockpit!$D$9"/>
      <parameter name="Parameter34" parameterType="cell" cell="Cockpit!$D$10"/>
      <parameter name="Parameter35" parameterType="cell" cell="Cockpit!$D$11"/>
      <parameter name="Parameter36" parameterType="cell" cell="Cockpit!$D$12"/>
      <parameter name="Parameter37" parameterType="cell" cell="Cockpit!$D$9"/>
      <parameter name="Parameter38" parameterType="cell" cell="Cockpit!$D$10"/>
      <parameter name="Parameter39" parameterType="cell" cell="Cockpit!$D$11"/>
      <parameter name="Parameter40" parameterType="cell" cell="Cockpit!$D$12"/>
      <parameter name="Parameter41" parameterType="cell" cell="Cockpit!$D$9"/>
      <parameter name="Parameter42" parameterType="cell" cell="Cockpit!$D$10"/>
      <parameter name="Parameter43" parameterType="cell" cell="Cockpit!$D$11"/>
      <parameter name="Parameter44" parameterType="cell" cell="Cockpit!$D$12"/>
      <parameter name="Parameter45" parameterType="cell" cell="Cockpit!$D$9"/>
      <parameter name="Parameter46" parameterType="cell" cell="Cockpit!$D$10"/>
      <parameter name="Parameter47" parameterType="cell" cell="Cockpit!$D$11"/>
      <parameter name="Parameter48" parameterType="cell" cell="Cockpit!$D$12"/>
      <parameter name="Parameter49" parameterType="cell" cell="Cockpit!$D$9"/>
      <parameter name="Parameter50" parameterType="cell" cell="Cockpit!$D$10"/>
      <parameter name="Parameter51" parameterType="cell" cell="Cockpit!$D$11"/>
      <parameter name="Parameter52" parameterType="cell" cell="Cockpit!$D$12"/>
      <parameter name="Parameter53" parameterType="cell" cell="Cockpit!$D$9"/>
      <parameter name="Parameter54" parameterType="cell" cell="Cockpit!$D$10"/>
      <parameter name="Parameter55" parameterType="cell" cell="Cockpit!$D$11"/>
      <parameter name="Parameter56" parameterType="cell" cell="Cockpit!$D$12"/>
      <parameter name="Parameter57" parameterType="cell" cell="Cockpit!$D$9"/>
      <parameter name="Parameter58" parameterType="cell" cell="Cockpit!$D$10"/>
      <parameter name="Parameter59" parameterType="cell" cell="Cockpit!$D$11"/>
      <parameter name="Parameter60" parameterType="cell" cell="Cockpit!$D$12"/>
      <parameter name="Parameter61" parameterType="cell" cell="Cockpit!$D$9"/>
      <parameter name="Parameter62" parameterType="cell" cell="Cockpit!$D$10"/>
      <parameter name="Parameter63" parameterType="cell" cell="Cockpit!$D$11"/>
      <parameter name="Parameter64" parameterType="cell" cell="Cockpit!$D$12"/>
      <parameter name="Parameter65" parameterType="cell" cell="Cockpit!$D$9"/>
      <parameter name="Parameter66" parameterType="cell" cell="Cockpit!$D$10"/>
      <parameter name="Parameter67" parameterType="cell" cell="Cockpit!$D$11"/>
      <parameter name="Parameter68" parameterType="cell" cell="Cockpit!$D$12"/>
      <parameter name="Parameter69" parameterType="cell" cell="Cockpit!$D$9"/>
      <parameter name="Parameter70" parameterType="cell" cell="Cockpit!$D$10"/>
      <parameter name="Parameter71" parameterType="cell" cell="Cockpit!$D$11"/>
      <parameter name="Parameter72" parameterType="cell" cell="Cockpit!$D$12"/>
      <parameter name="Parameter73" parameterType="cell" cell="Cockpit!$D$9"/>
      <parameter name="Parameter74" parameterType="cell" cell="Cockpit!$D$10"/>
      <parameter name="Parameter75" parameterType="cell" cell="Cockpit!$D$11"/>
      <parameter name="Parameter76" parameterType="cell" cell="Cockpit!$D$12"/>
      <parameter name="Parameter77" parameterType="cell" cell="Cockpit!$D$9"/>
      <parameter name="Parameter78" parameterType="cell" cell="Cockpit!$D$10"/>
      <parameter name="Parameter79" parameterType="cell" cell="Cockpit!$D$11"/>
      <parameter name="Parameter80" parameterType="cell" cell="Cockpit!$D$12"/>
    </parameters>
    <extLst>
      <ext xmlns:x15="http://schemas.microsoft.com/office/spreadsheetml/2010/11/main" uri="{DE250136-89BD-433C-8126-D09CA5730AF9}">
        <x15:connection id="" excludeFromRefreshAll="1"/>
      </ext>
    </extLst>
  </connection>
  <connection id="5" xr16:uid="{D90F4094-9C5F-4E68-BD75-446AF2869435}" name="Query from Impala PRO211111" type="1" refreshedVersion="8" background="1" saveData="1">
    <dbPr connection="DSN=Impala PRO;" command="-- RL_ESTT_PST_CD_x000d__x000a_-- Teste Missing Data_x000d__x000a_SELECT 'lt004_protection' as tabela, segmento, 'RL_ESTT_PST_CD' as Nome_do_Campo, 'Teste Missing Data' as Descritivo_do_Controlo,_x000d__x000a_sum(case when RL_ESTT_PST_CD = 'MISS'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4_protection' as tabela, segmento, 'RL_ESTT_PST_CD' as Nome_do_Campo, 'Teste Not Applicable' as Descritivo_do_Controlo,_x000d__x000a_sum(case when RL_ESTT_PST_CD = 'N/A' and prtctn_id like 'I%'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YP_PRTCTN_x000d__x000a_-- Teste Missing Data_x000d__x000a_SELECT 'lt004_protection' as tabela, segmento, 'TYP_PRTCTN' as Nome_do_Campo, 'Teste Missing Data' as Descritivo_do_Controlo,_x000d__x000a_sum(case when TYP_PRTCTN = '99999999999'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4_protection' as tabela, segmento, 'TYP_PRTCTN' as Nome_do_Campo, 'Teste Not Applicable' as Descritivo_do_Controlo,_x000d__x000a_sum(case when TYP_PRTCTN = '11111111111'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Catálogo_x000d__x000a_select 'lt004_protection' as tabela,  base.segmento, 'TYP_PRTCTN' as Nome_do_Campo, 'Teste Catálogo' as Descritivo_do_Controlo,   _x000d__x000a_sum(case when TYP_PRTCTN in ('99999999999','11111111111') then 0_x000d__x000a_           when base.TYP_PRTCTN = Codelist.valor_destino then 0 else 1 end) as Total_NOKs,_x000d__x000a_count(*) as Total_registos_x000d__x000a_ from_x000d__x000a_(_x000d__x000a_SELECT  prtctn_id, TYP_PRTCTN, segmento_x000d__x000a_FROM cd_loan_tapes_bce.lt004_protection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conceito, LT829.valor_destino, LT829.descritivo_valor_destino  _x000d__x000a_FROM_x000d__x000a_ _x000d__x000a_(SELECT * from cd_loan_tapes_bce.lt830_conversoes_x000d__x000a_WHERE ref_date = ?_x000d__x000a_and ambito = ?) LT830_x000d__x000a_ _x000d__x000a_INNER JOIN_x000d__x000a_ _x000d__x000a_(SELECT * FROM cd_loan_tapes_bce.lt829_regras_conversao_x000d__x000a_WHERE ref_date = ?_x000d__x000a_and campo_conceito= 'TYP_PRTCTN') LT829_x000d__x000a_ _x000d__x000a_ON LT830.tabela = LT829.tabela_x000d__x000a_and LT830.campo_conceito = LT829.campo_conceito_x000d__x000a_and LT830.regra_conversao = LT829.regra_conversao_x000d__x000a_) Codelist_x000d__x000a_on Base.TYP_PRTCTN=Codelist.valor_destino_x000d__x000a_and Base.segmento=Codelist.segmento_x000d__x000a_where 1=1_x000d__x000a_group by Base.segmento_x000d__x000a__x000d__x000a_UNION ALL_x000d__x000a__x000d__x000a_-- GROSS_AREA_x000d__x000a_-- Teste Missing Data_x000d__x000a_SELECT 'lt004_protection' as tabela, segmento, 'GROSS_AREA' as Nome_do_Campo, 'Teste Missing Data' as Descritivo_do_Controlo,_x000d__x000a_sum(case when GROSS_AREA = 99999999999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4_protection' as tabela, segmento, 'GROSS_AREA' as Nome_do_Campo, 'Teste Not Applicable' as Descritivo_do_Controlo,_x000d__x000a_sum(case when typ_prtctn not in ('Residential real estate collateral', 'Commercial real estate collateral', 'Offices and commercial premises') then 0 _x000d__x000a_         when GROSS_AREA = 11111111111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LAND_AREA_x000d__x000a_-- Teste Missing Data_x000d__x000a_SELECT 'lt004_protection' as tabela, segmento, 'LAND_AREA' as Nome_do_Campo, 'Teste Missing Data' as Descritivo_do_Controlo,_x000d__x000a_sum(case when LAND_AREA = 99999999999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4_protection' as tabela, segmento, 'LAND_AREA' as Nome_do_Campo, 'Teste Not Applicable' as Descritivo_do_Controlo,_x000d__x000a_sum(case when typ_prtctn not in ('Residential real estate collateral', 'Commercial real estate collateral', 'Offices and commercial premises') then 0_x000d__x000a_         when LAND_AREA = 11111111111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LIEN_POSITION_x000d__x000a_-- Teste Missing Data_x000d__x000a_SELECT 'lt004_protection' as tabela, segmento, 'LIEN_POSITION' as Nome_do_Campo, 'Teste Missing Data' as Descritivo_do_Controlo,_x000d__x000a_sum(case when LIEN_POSITION = 99999999999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4_protection' as tabela, segmento, 'LIEN_POSITION' as Nome_do_Campo, 'Teste Not Applicable' as Descritivo_do_Controlo,_x000d__x000a_sum(case when LIEN_POSITION = 11111111111 then 1 else 0 end) as Total_NOKs,_x000d__x000a_count(*) as Total_registos_x000d__x000a_FROM cd_loan_tapes_bce.lt004_protection_x000d__x000a_where 1=1_x000d__x000a_and ref_date = ?_x000d__x000a_and ambito = ?_x000d__x000a_and nome_perimetro = ?_x000d__x000a_and entidade = ?_x000d__x000a_GROUP BY segmento_x000d__x000a__x000d__x000a_UNION ALL_x000d__x000a__x000d__x000a_-- Teste Catálogo_x000d__x000a_select 'lt004_protection' as tabela,  segmento, 'LIEN_POSITION' as Nome_do_Campo, 'Teste Catálogo' as Descritivo_do_Controlo,   _x000d__x000a_count(case when LIEN_POSITION not in (_x000d__x000a_1,_x000d__x000a_99999999999,_x000d__x000a_11111111111_x000d__x000a_) then 1 end_x000d__x000a_) as Total_NOKs,_x000d__x000a_count(*) as Total_registos_x000d__x000a_FROM cd_loan_tapes_bce.lt004_protection_x000d__x000a_WHERE 1=1_x000d__x000a_and ref_date = ?_x000d__x000a_and ambito = ?_x000d__x000a_and nome_perimetro = ?_x000d__x000a_and entidade = ?_x000d__x000a_ _x000d__x000a_group by segmento"/>
    <parameters count="64">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9"/>
      <parameter name="Parameter24" parameterType="cell" cell="Cockpit!$D$9"/>
      <parameter name="Parameter25" parameterType="cell" cell="Cockpit!$D$10"/>
      <parameter name="Parameter26" parameterType="cell" cell="Cockpit!$D$11"/>
      <parameter name="Parameter27" parameterType="cell" cell="Cockpit!$D$12"/>
      <parameter name="Parameter28" parameterType="cell" cell="Cockpit!$D$9"/>
      <parameter name="Parameter29" parameterType="cell" cell="Cockpit!$D$10"/>
      <parameter name="Parameter30" parameterType="cell" cell="Cockpit!$D$11"/>
      <parameter name="Parameter31" parameterType="cell" cell="Cockpit!$D$12"/>
      <parameter name="Parameter32" parameterType="cell" cell="Cockpit!$D$9"/>
      <parameter name="Parameter33" parameterType="cell" cell="Cockpit!$D$10"/>
      <parameter name="Parameter34" parameterType="cell" cell="Cockpit!$D$11"/>
      <parameter name="Parameter35" parameterType="cell" cell="Cockpit!$D$12"/>
      <parameter name="Parameter36" parameterType="cell" cell="Cockpit!$D$9"/>
      <parameter name="Parameter37" parameterType="cell" cell="Cockpit!$D$10"/>
      <parameter name="Parameter38" parameterType="cell" cell="Cockpit!$D$11"/>
      <parameter name="Parameter39" parameterType="cell" cell="Cockpit!$D$12"/>
      <parameter name="Parameter40" parameterType="cell" cell="Cockpit!$D$9"/>
      <parameter name="Parameter41" parameterType="cell" cell="Cockpit!$D$10"/>
      <parameter name="Parameter42" parameterType="cell" cell="Cockpit!$D$11"/>
      <parameter name="Parameter43" parameterType="cell" cell="Cockpit!$D$12"/>
      <parameter name="Parameter44" parameterType="cell" cell="Cockpit!$D$9"/>
      <parameter name="Parameter45" parameterType="cell" cell="Cockpit!$D$10"/>
      <parameter name="Parameter46" parameterType="cell" cell="Cockpit!$D$11"/>
      <parameter name="Parameter47" parameterType="cell" cell="Cockpit!$D$12"/>
      <parameter name="Parameter48" parameterType="cell" cell="Cockpit!$D$9"/>
      <parameter name="Parameter49" parameterType="cell" cell="Cockpit!$D$10"/>
      <parameter name="Parameter50" parameterType="cell" cell="Cockpit!$D$11"/>
      <parameter name="Parameter51" parameterType="cell" cell="Cockpit!$D$12"/>
      <parameter name="Parameter52" parameterType="cell" cell="Cockpit!$D$9"/>
      <parameter name="Parameter53" parameterType="cell" cell="Cockpit!$D$10"/>
      <parameter name="Parameter54" parameterType="cell" cell="Cockpit!$D$11"/>
      <parameter name="Parameter55" parameterType="cell" cell="Cockpit!$D$12"/>
      <parameter name="Parameter56" parameterType="cell" cell="Cockpit!$D$9"/>
      <parameter name="Parameter57" parameterType="cell" cell="Cockpit!$D$10"/>
      <parameter name="Parameter58" parameterType="cell" cell="Cockpit!$D$11"/>
      <parameter name="Parameter59" parameterType="cell" cell="Cockpit!$D$12"/>
      <parameter name="Parameter60" parameterType="cell" cell="Cockpit!$D$9"/>
      <parameter name="Parameter61" parameterType="cell" cell="Cockpit!$D$10"/>
      <parameter name="Parameter62" parameterType="cell" cell="Cockpit!$D$11"/>
      <parameter name="Parameter63" parameterType="cell" cell="Cockpit!$D$12"/>
      <parameter name="Parameter64" parameterType="cell" cell="Cockpit!$D$9"/>
    </parameters>
    <extLst>
      <ext xmlns:x15="http://schemas.microsoft.com/office/spreadsheetml/2010/11/main" uri="{DE250136-89BD-433C-8126-D09CA5730AF9}">
        <x15:connection id="" excludeFromRefreshAll="1"/>
      </ext>
    </extLst>
  </connection>
  <connection id="6" xr16:uid="{40E7FF0B-95C9-4975-8FEA-7999D85C95BD}" name="Query from Impala PRO2111111" type="1" refreshedVersion="8" background="1" saveData="1">
    <dbPr connection="DSN=Impala PRO;" command="-- ISIN_x000d__x000a_-- Teste Duplicados_x000d__x000a_select * from_x000d__x000a_(_x000d__x000a__x000d__x000a_SELECT_x000d__x000a_'lt002_instrument' as tabela,segmento, 'ISIN' as nome_campo, ISIN as chave, count(*) as cnt_x000d__x000a__x000d__x000a_FROM cd_loan_tapes_bce.lt002_instrument_x000d__x000a_WHERE 1=1_x000d__x000a_and ref_date = ?_x000d__x000a_and ambito = ?_x000d__x000a_and nome_perimetro = ?_x000d__x000a_and entidade = ?_x000d__x000a_and isin &lt;&gt; 'N/A'_x000d__x000a__x000d__x000a_GROUP BY isin,segmento) as base_x000d__x000a_where cnt&lt;&gt;1"/>
    <parameters count="64">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9"/>
      <parameter name="Parameter24" parameterType="cell" cell="Cockpit!$D$9"/>
      <parameter name="Parameter25" parameterType="cell" cell="Cockpit!$D$10"/>
      <parameter name="Parameter26" parameterType="cell" cell="Cockpit!$D$11"/>
      <parameter name="Parameter27" parameterType="cell" cell="Cockpit!$D$12"/>
      <parameter name="Parameter28" parameterType="cell" cell="Cockpit!$D$9"/>
      <parameter name="Parameter29" parameterType="cell" cell="Cockpit!$D$10"/>
      <parameter name="Parameter30" parameterType="cell" cell="Cockpit!$D$11"/>
      <parameter name="Parameter31" parameterType="cell" cell="Cockpit!$D$12"/>
      <parameter name="Parameter32" parameterType="cell" cell="Cockpit!$D$9"/>
      <parameter name="Parameter33" parameterType="cell" cell="Cockpit!$D$10"/>
      <parameter name="Parameter34" parameterType="cell" cell="Cockpit!$D$11"/>
      <parameter name="Parameter35" parameterType="cell" cell="Cockpit!$D$12"/>
      <parameter name="Parameter36" parameterType="cell" cell="Cockpit!$D$9"/>
      <parameter name="Parameter37" parameterType="cell" cell="Cockpit!$D$10"/>
      <parameter name="Parameter38" parameterType="cell" cell="Cockpit!$D$11"/>
      <parameter name="Parameter39" parameterType="cell" cell="Cockpit!$D$12"/>
      <parameter name="Parameter40" parameterType="cell" cell="Cockpit!$D$9"/>
      <parameter name="Parameter41" parameterType="cell" cell="Cockpit!$D$10"/>
      <parameter name="Parameter42" parameterType="cell" cell="Cockpit!$D$11"/>
      <parameter name="Parameter43" parameterType="cell" cell="Cockpit!$D$12"/>
      <parameter name="Parameter44" parameterType="cell" cell="Cockpit!$D$9"/>
      <parameter name="Parameter45" parameterType="cell" cell="Cockpit!$D$10"/>
      <parameter name="Parameter46" parameterType="cell" cell="Cockpit!$D$11"/>
      <parameter name="Parameter47" parameterType="cell" cell="Cockpit!$D$12"/>
      <parameter name="Parameter48" parameterType="cell" cell="Cockpit!$D$9"/>
      <parameter name="Parameter49" parameterType="cell" cell="Cockpit!$D$10"/>
      <parameter name="Parameter50" parameterType="cell" cell="Cockpit!$D$11"/>
      <parameter name="Parameter51" parameterType="cell" cell="Cockpit!$D$12"/>
      <parameter name="Parameter52" parameterType="cell" cell="Cockpit!$D$9"/>
      <parameter name="Parameter53" parameterType="cell" cell="Cockpit!$D$10"/>
      <parameter name="Parameter54" parameterType="cell" cell="Cockpit!$D$11"/>
      <parameter name="Parameter55" parameterType="cell" cell="Cockpit!$D$12"/>
      <parameter name="Parameter56" parameterType="cell" cell="Cockpit!$D$9"/>
      <parameter name="Parameter57" parameterType="cell" cell="Cockpit!$D$10"/>
      <parameter name="Parameter58" parameterType="cell" cell="Cockpit!$D$11"/>
      <parameter name="Parameter59" parameterType="cell" cell="Cockpit!$D$12"/>
      <parameter name="Parameter60" parameterType="cell" cell="Cockpit!$D$9"/>
      <parameter name="Parameter61" parameterType="cell" cell="Cockpit!$D$10"/>
      <parameter name="Parameter62" parameterType="cell" cell="Cockpit!$D$11"/>
      <parameter name="Parameter63" parameterType="cell" cell="Cockpit!$D$12"/>
      <parameter name="Parameter64" parameterType="cell" cell="Cockpit!$D$9"/>
    </parameters>
    <extLst>
      <ext xmlns:x15="http://schemas.microsoft.com/office/spreadsheetml/2010/11/main" uri="{DE250136-89BD-433C-8126-D09CA5730AF9}">
        <x15:connection id="" excludeFromRefreshAll="1"/>
      </ext>
    </extLst>
  </connection>
  <connection id="7" xr16:uid="{1B9C0027-6034-4E15-955A-AF2ABC736B41}" name="Query from Impala PRO211112" type="1" refreshedVersion="8" background="1" saveData="1">
    <dbPr connection="DSN=Impala PRO;" command="-- IMPRMNT_STTS_x000d__x000a_-- Teste Missing Data_x000d__x000a_SELECT 'lt002_instrument' as tabela, segmento, 'IMPRMNT_STTS' as Nome_do_Campo, 'Teste Missing Data' as Descritivo_do_Controlo,_x000d__x000a_sum(case when IMPRMNT_STTS = '99999999999' then 1 else 0 end) as Total_NOKs,_x000d__x000a_count(*) as Total_registos_x000d__x000a_FROM cd_loan_tapes_bce.lt002_instrument_x000d__x000a_where 1=1_x000d__x000a_and ref_date = ?_x000d__x000a_and ambito = ?_x000d__x000a_and nome_perimetro = ?_x000d__x000a_and entidade = ? _x000d__x000a_GROUP BY segmento_x000d__x000a__x000d__x000a_UNION ALL_x000d__x000a__x000d__x000a_-- Teste Not Applicable_x000d__x000a_SELECT 'lt002_instrument' as tabela, segmento, 'IMPRMNT_STTS' as Nome_do_Campo, 'Teste Not Applicable' as Descritivo_do_Controlo,_x000d__x000a_sum(case when IMPRMNT_STTS = '11111111111' and segmento in ('Exposures to legal persons','Derivatives','Debt securities','Equity') then 0_x000d__x000a_         when IMPRMNT_STTS = '11111111111' and instrmnt_id like 'NN%' then 0_x000d__x000a_         when IMPRMNT_STTS = '11111111111' and instrmnt_id like 'SS%' then 0_x000d__x000a_         when IMPRMNT_STTS = '11111111111' and instrmnt_id like 'SS85%' then 0_x000d__x000a_         when IMPRMNT_STTS = '11111111111' and instrmnt_id like 'SNCS%' then 0_x000d__x000a_         when IMPRMNT_STTS = '11111111111' and instrmnt_id like 'SNCN%' then 0_x000d__x000a_         when IMPRMNT_STTS = '11111111111' then 1 else 0 end) as Total_NOKs,_x000d__x000a_count(*) as Total_registos_x000d__x000a__x000d__x000a_FROM cd_loan_tapes_bce.lt002_instrument_x000d__x000a_where 1=1_x000d__x000a_and ref_date = ?_x000d__x000a_and ambito = ?_x000d__x000a_and nome_perimetro = ?_x000d__x000a_and entidade = ? _x000d__x000a__x000d__x000a_GROUP BY segmento_x000d__x000a__x000d__x000a_UNION ALL_x000d__x000a__x000d__x000a_-- INTRNL_SGMNT_x000d__x000a_-- Teste Missing Data_x000d__x000a_SELECT 'lt002_instrument' as tabela, segmento, 'INTRNL_SGMNT' as Nome_do_Campo, 'Teste Missing Data' as Descritivo_do_Controlo,_x000d__x000a_sum(case when INTRNL_SGMNT = 'MISS' then 1 else 0 end) as Total_NOKs,_x000d__x000a_count(*) as Total_registos_x000d__x000a_FROM cd_loan_tapes_bce.lt002_instrument_x000d__x000a_where 1=1_x000d__x000a_and ref_date = ?_x000d__x000a_and ambito = ?_x000d__x000a_and nome_perimetro = ?_x000d__x000a_and entidade = ? _x000d__x000a_GROUP BY segmento_x000d__x000a__x000d__x000a_UNION ALL_x000d__x000a__x000d__x000a_-- Teste Not Applicable_x000d__x000a_SELECT 'lt002_instrument' as tabela, segmento, 'INTRNL_SGMNT' as Nome_do_Campo, 'Teste Not Applicable' as Descritivo_do_Controlo,_x000d__x000a_sum(case when INTRNL_SGMNT = 'N/A' and segmento in ('Derivatives','Debt securities','Equity') then 0_x000d__x000a_         when INTRNL_SGMNT = 'N/A' and instrmnt_id like 'NN%' then 0_x000d__x000a_         when INTRNL_SGMNT = 'N/A' and instrmnt_id like 'SS%' then 0_x000d__x000a_         when INTRNL_SGMNT = 'N/A' and instrmnt_id like 'SS85%' then 0_x000d__x000a_         when INTRNL_SGMNT = 'N/A' and instrmnt_id like 'SNCS%' then 0_x000d__x000a_         when INTRNL_SGMNT = 'N/A' and instrmnt_id like 'SNCN%' then 0_x000d__x000a_         when INTRNL_SGMNT = 'N/A' then 1 else 0 end) as Total_NOKs,_x000d__x000a_count(*) as Total_registos_x000d__x000a__x000d__x000a_FROM cd_loan_tapes_bce.lt002_instrument_x000d__x000a_where 1=1_x000d__x000a_and ref_date = ?_x000d__x000a_and ambito = ?_x000d__x000a_and nome_perimetro = ?_x000d__x000a_and entidade = ? _x000d__x000a__x000d__x000a_GROUP BY segmento_x000d__x000a__x000d__x000a_UNION ALL _x000d__x000a__x000d__x000a_-- TYP_INTRST_RT_x000d__x000a_-- Teste Missing Data_x000d__x000a_SELECT 'lt002_instrument' as tabela, segmento, 'TYP_INTRST_RT' as Nome_do_Campo, 'Teste Missing Data' as Descritivo_do_Controlo,_x000d__x000a_sum(case when TYP_INTRST_RT = '99999999999' and substr(cntrct_id,-3) in ('020', '011') then 0_x000d__x000a_         when TYP_INTRST_RT = '99999999999' then 1 else 0 end) as Total_NOKs,_x000d__x000a_count(*) as Total_registos_x000d__x000a_FROM cd_loan_tapes_bce.lt002_instrument_x000d__x000a_where 1=1_x000d__x000a_and ref_date = ?_x000d__x000a_and ambito = ?_x000d__x000a_and nome_perimetro = ?_x000d__x000a_and entidade = ? _x000d__x000a_GROUP BY segmento_x000d__x000a__x000d__x000a_UNION ALL_x000d__x000a__x000d__x000a_-- Teste Not Applicable_x000d__x000a_SELECT 'lt002_instrument' as tabela, segmento, 'TYP_INTRST_RT' as Nome_do_Campo, 'Teste Not Applicable' as Descritivo_do_Controlo,_x000d__x000a_sum(case when TYP_INTRST_RT = '11111111111' and segmento in ('Exposures to legal persons', 'Off-balance sheet exposures' ,'Derivatives','Equity') then 0_x000d__x000a_         when TYP_INTRST_RT = '11111111111' and instrmnt_id like 'NN%' then 0_x000d__x000a_         when TYP_INTRST_RT = '11111111111' and instrmnt_id like 'SS%' then 0_x000d__x000a_         when TYP_INTRST_RT = '11111111111' and instrmnt_id like 'SS85%' then 0_x000d__x000a_         when TYP_INTRST_RT = '11111111111' and instrmnt_id like 'SNCS%' then 0_x000d__x000a_         when TYP_INTRST_RT = '11111111111' and instrmnt_id like 'SNCN%' then 0_x000d__x000a_         when TYP_INTRST_RT = '11111111111' then 1 else 0 end) as Total_NOKs,_x000d__x000a_count(*) as Total_registos_x000d__x000a__x000d__x000a_FROM cd_loan_tapes_bce.lt002_instrument_x000d__x000a_where 1=1_x000d__x000a_and ref_date = ?_x000d__x000a_and ambito = ?_x000d__x000a_and nome_perimetro = ?_x000d__x000a_and entidade = ? _x000d__x000a__x000d__x000a_GROUP BY segmento_x000d__x000a__x000d__x000a_UNION ALL_x000d__x000a__x000d__x000a_-- ACCNTNG_CLSSFCTN_x000d__x000a_-- Teste Missing Data_x000d__x000a_SELECT 'lt002_instrument' as tabela, segmento, 'ACCNTNG_CLSSFCTN' as Nome_do_Campo, 'Teste Missing Data' as Descritivo_do_Controlo,_x000d__x000a_sum(case when ACCNTNG_CLSSFCTN = '99999999999' then 1 else 0 end) as Total_NOKs,_x000d__x000a_count(*) as Total_registos_x000d__x000a_FROM cd_loan_tapes_bce.lt002_instrument_x000d__x000a_where 1=1_x000d__x000a_and ref_date = ?_x000d__x000a_and ambito = ?_x000d__x000a_and nome_perimetro = ?_x000d__x000a_and entidade = ? _x000d__x000a_GROUP BY segmento_x000d__x000a__x000d__x000a_UNION ALL_x000d__x000a__x000d__x000a_-- Teste Not Applicable_x000d__x000a_SELECT 'lt002_instrument' as tabela, segmento, 'ACCNTNG_CLSSFCTN' as Nome_do_Campo, 'Teste Not Applicable' as Descritivo_do_Controlo,_x000d__x000a_sum(case when ACCNTNG_CLSSFCTN = '11111111111' and segmento in ('Exposures to legal persons', 'Off-balance sheet exposures') then 0_x000d__x000a_         when ACCNTNG_CLSSFCTN = '11111111111' and instrmnt_id like 'NN%' then 0_x000d__x000a_         when ACCNTNG_CLSSFCTN = '11111111111' and instrmnt_id like 'SS%' then 0_x000d__x000a_         when ACCNTNG_CLSSFCTN = '11111111111' and instrmnt_id like 'SS85%' then 0_x000d__x000a_         when ACCNTNG_CLSSFCTN = '11111111111' and instrmnt_id like 'SNCS%' then 0_x000d__x000a_         when ACCNTNG_CLSSFCTN = '11111111111' and instrmnt_id like 'SNCN%' then 0_x000d__x000a_         when ACCNTNG_CLSSFCTN = '11111111111' then 1 else 0 end) as Total_NOKs,_x000d__x000a_count(*) as Total_registos_x000d__x000a__x000d__x000a_FROM cd_loan_tapes_bce.lt002_instrument_x000d__x000a_where 1=1_x000d__x000a_and ref_date = ?_x000d__x000a_and ambito = ?_x000d__x000a_and nome_perimetro = ?_x000d__x000a_and entidade = ? _x000d__x000a__x000d__x000a_GROUP BY segmento_x000d__x000a__x000d__x000a_UNION ALL_x000d__x000a__x000d__x000a_-- PYMNT_FRQNCY_x000d__x000a_-- Teste Missing Data_x000d__x000a_SELECT 'lt002_instrument' as tabela, segmento, 'PYMNT_FRQNCY' as Nome_do_Campo, 'Teste Missing Data' as Descritivo_do_Controlo,_x000d__x000a_sum(case when PYMNT_FRQNCY = '99999999999' then 1 else 0 end) as Total_NOKs,_x000d__x000a_count(*) as Total_registos_x000d__x000a_FROM cd_loan_tapes_bce.lt002_instrument_x000d__x000a_where 1=1_x000d__x000a_and ref_date = ?_x000d__x000a_and ambito = ?_x000d__x000a_and nome_perimetro = ?_x000d__x000a_and entidade = ? _x000d__x000a_GROUP BY segmento_x000d__x000a__x000d__x000a_UNION ALL_x000d__x000a__x000d__x000a_-- Teste Not Applicable_x000d__x000a_SELECT 'lt002_instrument' as tabela, lt002.segmento, 'PYMNT_FRQNCY' as Nome_do_Campo, 'Teste Not Applicable' as Descritivo_do_Controlo,_x000d__x000a_sum(case when lt002.PYMNT_FRQNCY = '11111111111' and lt002.segmento in ('Exposures to legal persons', 'Off-balance sheet exposures', 'Derivatives', 'Equity') then 0_x000d__x000a_         when lt002.PYMNT_FRQNCY = '11111111111' and lt002.instrmnt_id like 'NN%' then 0_x000d__x000a_         when lt002.PYMNT_FRQNCY = '11111111111' and lt002.instrmnt_id like 'SS%' then 0_x000d__x000a_         when lt002.PYMNT_FRQNCY = '11111111111' and lt002.instrmnt_id like 'SS85%' then 0_x000d__x000a_         when lt002.PYMNT_FRQNCY = '11111111111' and lt002.instrmnt_id like 'SNCS%' then 0_x000d__x000a_         when lt002.PYMNT_FRQNCY = '11111111111' and lt002.instrmnt_id like 'SNCN%' then 0_x000d__x000a_         when lt002.PYMNT_FRQNCY = '11111111111' and aux_1.cproduto in ('011', '020', '029', '007', '048')  then 0 _x000d__x000a_         when lt002.PYMNT_FRQNCY = '11111111111' then 1 else 0 end) as Total_NOKs,_x000d__x000a_count(*) as Total_registos_x000d__x000a__x000d__x000a_from_x000d__x000a__x000d__x000a_(select *_x000d__x000a_FROM cd_loan_tapes_bce.lt002_instrument_x000d__x000a_where 1=1_x000d__x000a_and ref_date = ?_x000d__x000a_and ambito = ?_x000d__x000a_and nome_perimetro = ?_x000d__x000a_and entidade = ?) lt002_x000d__x000a__x000d__x000a_inner join_x000d__x000a__x000d__x000a_(_x000d__x000a_select KT_CHAVES.instrmnt_id, lt001.cproduto, lt001.segmento FROM_x000d__x000a__x000d__x000a_(select distinct cempresa, cbalcao, cnumecta, zdeposit, cproduto, segmento_x000d__x000a_FROM cd_loan_tapes_bce.lt001_univ_oper_x000d__x000a_where 1=1_x000d__x000a_and ref_date = ?_x000d__x000a_and ambito = ?_x000d__x000a_and nome_perimetro = ?_x000d__x000a_and entidade = ?) lt001_x000d__x000a__x000d__x000a_inner join_x000d__x000a__x000d__x000a_(select *_x000d__x000a_FROM cd_loan_tapes_bce.kt_chaves_lt_x000d__x000a_where 1=1_x000d__x000a_and ref_date = ?_x000d__x000a_and ambito = ?_x000d__x000a_and nome_perimetro = ?_x000d__x000a_and entidade = ?) KT_CHAVES_x000d__x000a__x000d__x000a_on lt001.cempresa = KT_CHAVES.cempresa_x000d__x000a_and lt001.cbalcao = KT_CHAVES.cbalcao_x000d__x000a_and lt001.cnumecta = KT_CHAVES.cnumecta_x000d__x000a_and lt001.zdeposit = KT_CHAVES.zdeposit_x000d__x000a_and lt001.segmento = KT_CHAVES.segmento _x000d__x000a_) AUX_1_x000d__x000a__x000d__x000a_on lt002.instrmnt_id = aux_1.instrmnt_id_x000d__x000a_and lt002.segmento = aux_1.segmento _x000d__x000a__x000d__x000a_group by lt002.segmento_x000d__x000a__x000d__x000a_UNION ALL_x000d__x000a__x000d__x000a_-- ASST_SCRT_CLSS_x000d__x000a_-- Teste Missing Data_x000d__x000a_SELECT 'lt002_instrument' as tabela, segmento, 'ASST_SCRT_CLSS' as Nome_do_Campo, 'Teste Missing Data' as Descritivo_do_Controlo,_x000d__x000a_sum(case when ASST_SCRT_CLSS = '99999999999'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2_instrument' as tabela, segmento, 'ASST_SCRT_CLSS' as Nome_do_Campo, 'Teste Not Applicable' as Descritivo_do_Controlo,_x000d__x000a_sum(case when ASST_SCRT_CLSS = '11111111111' and segmento in ('Exposures to natural persons','Exposures to legal persons', 'Off-balance sheet exposures', 'Derivatives', 'Equity') then 0_x000d__x000a_         when ASST_SCRT_CLSS = '11111111111' and instrmnt_id like 'NN%' then 0_x000d__x000a_         when ASST_SCRT_CLSS = '11111111111' and instrmnt_id like 'SS%' then 0_x000d__x000a_         when ASST_SCRT_CLSS = '11111111111' and instrmnt_id like 'SS85%' then 0_x000d__x000a_         when ASST_SCRT_CLSS = '11111111111' and instrmnt_id like 'SNCS%' then 0_x000d__x000a_         when ASST_SCRT_CLSS = '11111111111' and instrmnt_id like 'SNCN%' then 0_x000d__x000a_         when ASST_SCRT_CLSS = '11111111111'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INSTR_SNRTY_CLSS_x000d__x000a_-- Teste Missing Data_x000d__x000a_SELECT 'lt002_instrument' as tabela, segmento, 'INSTR_SNRTY_CLSS' as Nome_do_Campo, 'Teste Missing Data' as Descritivo_do_Controlo,_x000d__x000a_sum(case when INSTR_SNRTY_CLSS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 _x000d__x000a__x000d__x000a_-- Teste Not Applicable_x000d__x000a_SELECT 'lt002_instrument' as tabela, segmento, 'INSTR_SNRTY_CLSS' as Nome_do_Campo, 'Teste Not Applicable' as Descritivo_do_Controlo,_x000d__x000a_sum(case when INSTR_SNRTY_CLSS = 'N/A' and segmento in ('Exposures to legal persons', 'Exposures to natural persons', 'Off-balance sheet exposures', 'Derivatives', 'Equity') then 0_x000d__x000a_         when INSTR_SNRTY_CLSS = 'N/A' and instrmnt_id like 'NN%' then 0_x000d__x000a_         when INSTR_SNRTY_CLSS = 'N/A' and instrmnt_id like 'SS%' then 0_x000d__x000a_         when INSTR_SNRTY_CLSS = 'N/A' and instrmnt_id like 'SS85%' then 0_x000d__x000a_         when INSTR_SNRTY_CLSS = 'N/A' and instrmnt_id like 'SNCS%' then 0_x000d__x000a_         when INSTR_SNRTY_CLSS = 'N/A' and instrmnt_id like 'SNCN%' then 0_x000d__x000a_         when INSTR_SNRTY_CLSS = 'N/A'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 _x000d__x000a__x000d__x000a_-- INSTRMNT_CLSS_x000d__x000a_-- Teste Missing Data_x000d__x000a_SELECT 'lt002_instrument' as tabela, segmento, 'INSTRMNT_CLSS' as Nome_do_Campo, 'Teste Missing Data' as Descritivo_do_Controlo,_x000d__x000a_sum(case when INSTRMNT_CLSS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2_instrument' as tabela, segmento, 'INSTRMNT_CLSS' as Nome_do_Campo, 'Teste Not Applicable' as Descritivo_do_Controlo,_x000d__x000a_sum(case when INSTRMNT_CLSS = 'N/A' and segmento in ('Exposures to legal persons', 'Exposures to natural persons', 'Off-balance sheet exposures', 'Derivatives', 'Equity') then 0_x000d__x000a_         when INSTRMNT_CLSS = 'N/A' and instrmnt_id like 'NN%' then 0_x000d__x000a_         when INSTRMNT_CLSS = 'N/A' and instrmnt_id like 'SS%' then 0_x000d__x000a_         when INSTRMNT_CLSS = 'N/A' and instrmnt_id like 'SS85%' then 0_x000d__x000a_         when INSTRMNT_CLSS = 'N/A' and instrmnt_id like 'SNCS%' then 0_x000d__x000a_         when INSTRMNT_CLSS = 'N/A' and instrmnt_id like 'SNCN%' then 0_x000d__x000a_         when INSTRMNT_CLSS = 'N/A'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ISSR_ID_TYP_x000d__x000a_-- Teste Missing Data_x000d__x000a_SELECT 'lt002_instrument' as tabela, segmento, 'ISSR_ID_TYP' as Nome_do_Campo, 'Teste Missing Data' as Descritivo_do_Controlo,_x000d__x000a_sum(case when ISSR_ID_TYP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Teste Not Applicable_x000d__x000a_SELECT 'lt002_instrument' as tabela, segmento, 'ISSR_ID_TYP' as Nome_do_Campo, 'Teste Not Applicable' as Descritivo_do_Controlo,_x000d__x000a_sum(case when ISSR_ID_TYP = 'N/A' and segmento in ('Exposures to legal persons', 'Exposures to natural persons', 'Off-balance sheet exposures', 'Derivatives') then 0_x000d__x000a_         when ISSR_ID_TYP = 'N/A' and instrmnt_id like 'NN%' then 0_x000d__x000a_         when ISSR_ID_TYP = 'N/A' and instrmnt_id like 'SS%' then 0_x000d__x000a_         when ISSR_ID_TYP = 'N/A' and instrmnt_id like 'SS85%' then 0_x000d__x000a_         when ISSR_ID_TYP = 'N/A' and instrmnt_id like 'SNCS%' then 0_x000d__x000a_         when ISSR_ID_TYP = 'N/A' and instrmnt_id like 'SNCN%' then 0_x000d__x000a_         when ISSR_ID_TYP = 'N/A'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ISSR_NACE_SCTR_x000d__x000a_-- Teste Missing Data_x000d__x000a_SELECT 'lt002_instrument' as tabela, segmento, 'ISSR_NACE_SCTR' as Nome_do_Campo, 'Teste Missing Data' as Descritivo_do_Controlo,_x000d__x000a_sum(case when ISSR_NACE_SCTR = 'MISS' then 1 else 0 end) as Total_NOKs,_x000d__x000a_count(*) as Total_registos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Teste Not Applicable_x000d__x000a_SELECT 'lt002_instrument' as tabela, segmento, 'ISSR_NACE_SCTR' as Nome_do_Campo, 'Teste Not Applicable' as Descritivo_do_Controlo,_x000d__x000a_sum(case when ISSR_NACE_SCTR = 'N/A' and segmento in ('Exposures to legal persons', 'Exposures to natural persons', 'Off-balance sheet exposures', 'Derivatives') then 0_x000d__x000a_         when ISSR_NACE_SCTR = 'N/A' and instrmnt_id like 'NN%' then 0_x000d__x000a_         when ISSR_NACE_SCTR = 'N/A' and instrmnt_id like 'SS%' then 0_x000d__x000a_         when ISSR_NACE_SCTR = 'N/A' and instrmnt_id like 'SS85%' then 0_x000d__x000a_         when ISSR_NACE_SCTR = 'N/A' and instrmnt_id like 'SNCS%' then 0_x000d__x000a_         when ISSR_NACE_SCTR = 'N/A' and instrmnt_id like 'SNCN%' then 0_x000d__x000a_         when ISSR_NACE_SCTR = 'N/A'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PRDNTL_PRTFL_x000d__x000a_-- Teste Missing Data_x000d__x000a_SELECT 'lt002_instrument' as tabela, segmento, 'PRDNTL_PRTFL' as Nome_do_Campo, 'Teste Missing Data' as Descritivo_do_Controlo,_x000d__x000a_sum(case when PRDNTL_PRTFL = '99999999999'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2_instrument' as tabela, segmento, 'PRDNTL_PRTFL' as Nome_do_Campo, 'Teste Not Applicable' as Descritivo_do_Controlo,_x000d__x000a_sum(case when PRDNTL_PRTFL = '11111111111' and segmento in ('Exposures to legal persons', 'Off-balance sheet exposures') then 0_x000d__x000a_         when PRDNTL_PRTFL = '11111111111' and instrmnt_id like 'NN%' then 0_x000d__x000a_         when PRDNTL_PRTFL = '11111111111' and instrmnt_id like 'SS%' then 0_x000d__x000a_         when PRDNTL_PRTFL = '11111111111' and instrmnt_id like 'SS85%' then 0_x000d__x000a_         when PRDNTL_PRTFL = '11111111111' and instrmnt_id like 'SNCS%' then 0_x000d__x000a_         when PRDNTL_PRTFL = '11111111111' and instrmnt_id like 'SNCN%' then 0_x000d__x000a_         when PRDNTL_PRTFL = '11111111111'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CRR_EXPOSURE_CLASS_x000d__x000a_-- Teste Missing Data_x000d__x000a_SELECT 'lt002_instrument' as tabela, segmento, 'CRR_EXPOSURE_CLASS' as Nome_do_Campo, 'Teste Missing Data' as Descritivo_do_Controlo,_x000d__x000a_sum(case when CRR_EXPOSURE_CLASS = 'MISS' then 1 else 0 end) as Total_NOKs,_x000d__x000a_count(*) as Total_registos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 Teste Not Applicable_x000d__x000a_SELECT 'lt002_instrument' as tabela, segmento, 'CRR_EXPOSURE_CLASS' as Nome_do_Campo, 'Teste Not Applicable' as Descritivo_do_Controlo,_x000d__x000a_sum(case when CRR_EXPOSURE_CLASS = 'N/A' and segmento in ('Derivatives', 'Debt securities', 'Equity') then 0_x000d__x000a_         when CRR_EXPOSURE_CLASS = 'N/A' then 1 else 0 end) as Total_NOKs,_x000d__x000a_count(*) as Total_registos_x000d__x000a__x000d__x000a_FROM cd_loan_tapes_bce.lt002_instrument_x000d__x000a_where 1=1_x000d__x000a_and ref_date = ?_x000d__x000a_and ambito = ?_x000d__x000a_and nome_perimetro = ?_x000d__x000a_and entidade = ?_x000d__x000a__x000d__x000a_GROUP BY segmento_x000d__x000a__x000d__x000a_UNION ALL_x000d__x000a__x000d__x000a_select 'lt002_instrument' as tabela,  base.segmento, 'IMPRMNT_STTS' as Nome_do_Campo, 'Teste Catálogo' as Descritivo_do_Controlo,   _x000d__x000a_sum(case when IMPRMNT_STTS in ('99999999999','11111111111') then 0_x000d__x000a_           when base.IMPRMNT_STTS = Codelist.valor_destino then 0 else 1 end) as Total_NOKs,_x000d__x000a_count(*) as Total_registos_x000d__x000a_from_x000d__x000a_(_x000d__x000a_SELECT  instrmnt_id, IMPRMNT_STTS, segmento_x000d__x000a_FROM cd_loan_tapes_bce.lt002_instrument_x000d__x000a_where 1=1_x000d__x000a_and ref_date = ?_x000d__x000a_and ambito = ?_x000d__x000a_and nome_perimetro = ?_x000d__x000a_and entidade = ?_x000d__x000a_ _x000d__x000a_) Base_x000d__x000a_ _x000d__x000a_left join_x000d__x000a_ _x000d__x000a_(_x000d__x000a_SELECT LT830.segmento, LT830.tabela, LT830.campo_conceito, LT829.regra_conversao, LT829.valor_destino_x000d__x000a_FROM_x000d__x000a_(SELECT * from cd_loan_tapes_bce.lt830_conversoes_x000d__x000a_WHERE ref_date = ?_x000d__x000a_and ambito = ?) LT830_x000d__x000a_INNER JOIN_x000d__x000a_(SELECT  distinct tabela, campo_conceito,regra_conversao, valor_destino FROM cd_loan_tapes_bce.lt829_regras_conversao_x000d__x000a_WHERE ref_date = ?_x000d__x000a_and campo_conceito='IMPRMNT_STTS') LT829_x000d__x000a_ON LT830.tabela = LT829.tabela_x000d__x000a_and LT830.campo_conceito = LT829.campo_conceito_x000d__x000a_and LT830.regra_conversao = LT829.regra_conversao_x000d__x000a_) Codelist_x000d__x000a_on Base.IMPRMNT_STTS=Codelist.valor_destino_x000d__x000a_and Base.segmento=Codelist.segmento_x000d__x000a_where 1=1_x000d__x000a_group by Base.segmento_x000d__x000a__x000d__x000a_UNION ALL_x000d__x000a__x000d__x000a_select 'lt002_instrument' as tabela,  base.segmento, 'INTRNL_SGMNT' as Nome_do_Campo, 'Teste Catálogo' as Descritivo_do_Controlo,   _x000d__x000a_sum(case when INTRNL_SGMNT in ('N/A','MISS') then 0_x000d__x000a_           when base.INTRNL_SGMNT = Codelist.valor_destino then 0 else 1 end) as Total_NOKs,_x000d__x000a_count(*) as Total_registos_x000d__x000a_ from_x000d__x000a_(_x000d__x000a_SELECT  instrmnt_id, intrnl_sgmnt,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destino_x000d__x000a_FROM_x000d__x000a_ _x000d__x000a_(SELECT * from cd_loan_tapes_bce.lt830_conversoes_x000d__x000a_WHERE ref_date = ?_x000d__x000a_and ambito = ?) LT830_x000d__x000a_ _x000d__x000a_INNER JOIN_x000d__x000a_ _x000d__x000a_(SELECT  distinct tabela, campo_conceito,regra_conversao, valor_destino FROM cd_loan_tapes_bce.lt829_regras_conversao_x000d__x000a_WHERE ref_date = ?_x000d__x000a_and campo_conceito='INTRNL_SGMNT') LT829_x000d__x000a_ _x000d__x000a_ON LT830.tabela = LT829.tabela_x000d__x000a_and LT830.campo_conceito = LT829.campo_conceito_x000d__x000a_and LT830.regra_conversao = LT829.regra_conversao_x000d__x000a_) Codelist_x000d__x000a_on Base.intrnl_sgmnt=Codelist.valor_destino_x000d__x000a_and Base.segmento=Codelist.segmento_x000d__x000a_where 1=1_x000d__x000a_group by Base.segmento_x000d__x000a__x000d__x000a_UNION ALL_x000d__x000a__x000d__x000a_select 'lt002_instrument' as tabela,  base.segmento, 'TYP_INTRST_RT' as Nome_do_Campo, 'Teste Catálogo' as Descritivo_do_Controlo,   _x000d__x000a_sum(case when TYP_INTRST_RT in ('99999999999','11111111111') then 0_x000d__x000a_           when base.TYP_INTRST_RT = Codelist.valor_destino then 0 else 1 end) as Total_NOKs,_x000d__x000a_count(*) as Total_registos_x000d__x000a_ from_x000d__x000a_(_x000d__x000a_SELECT  instrmnt_id, typ_intrst_rt,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destino_x000d__x000a_FROM_x000d__x000a_ _x000d__x000a_(SELECT * from cd_loan_tapes_bce.lt830_conversoes_x000d__x000a_WHERE ref_date = ?_x000d__x000a_and ambito = ?) LT830_x000d__x000a_ _x000d__x000a_INNER JOIN_x000d__x000a_ _x000d__x000a_(SELECT  distinct tabela, campo_conceito,regra_conversao, valor_destino FROM cd_loan_tapes_bce.lt829_regras_conversao_x000d__x000a_WHERE ref_date = ?_x000d__x000a_and campo_conceito='TYP_INTRST_RT') LT829_x000d__x000a_ _x000d__x000a_ON LT830.tabela = LT829.tabela_x000d__x000a_and LT830.campo_conceito = LT829.campo_conceito_x000d__x000a_and LT830.regra_conversao = LT829.regra_conversao_x000d__x000a_) Codelist_x000d__x000a_on Base.TYP_INTRST_RT=Codelist.valor_destino_x000d__x000a_and Base.segmento=Codelist.segmento_x000d__x000a_where 1=1_x000d__x000a_group by Base.segmento_x000d__x000a__x000d__x000a_UNION ALL_x000d__x000a__x000d__x000a_select 'lt002_instrument' as tabela,  base.segmento, 'ACCNTNG_CLSSFCTN' as Nome_do_Campo, 'Teste Catálogo' as Descritivo_do_Controlo,   _x000d__x000a_sum(case when ACCNTNG_CLSSFCTN in ('99999999999','11111111111') then 0_x000d__x000a_           when base.ACCNTNG_CLSSFCTN = Codelist.valor_destino then 0_x000d__x000a_           when Base.segmento in ('Debt securities','Equity') and base.ACCNTNG_CLSSFCTN in ('2','3','4','5','6','7','8','9','10','12','13','14','15','41','45','46','47','48','99999999999','11111111111') then 0_x000d__x000a_           else 1 end) as Total_NOKs,_x000d__x000a_count(*) as Total_registos_x000d__x000a_ from_x000d__x000a_(_x000d__x000a_SELECT  instrmnt_id, ACCNTNG_CLSSFCTN,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destino_x000d__x000a_FROM_x000d__x000a_ _x000d__x000a_(SELECT * from cd_loan_tapes_bce.lt830_conversoes_x000d__x000a_WHERE ref_date = ?_x000d__x000a_and ambito = ?) LT830_x000d__x000a_ _x000d__x000a_INNER JOIN_x000d__x000a_ _x000d__x000a_(SELECT  distinct tabela, campo_conceito,regra_conversao, valor_destino FROM cd_loan_tapes_bce.lt829_regras_conversao_x000d__x000a_WHERE ref_date = ?_x000d__x000a_and campo_conceito='ACCNTNG_CLSSFCTN') LT829_x000d__x000a_ _x000d__x000a_ON LT830.tabela = LT829.tabela_x000d__x000a_and LT830.campo_conceito = LT829.campo_conceito_x000d__x000a_and LT830.regra_conversao = LT829.regra_conversao_x000d__x000a_) Codelist_x000d__x000a_on Base.ACCNTNG_CLSSFCTN=Codelist.valor_destino_x000d__x000a_and Base.segmento=Codelist.segmento_x000d__x000a_where 1=1_x000d__x000a_group by Base.segmento_x000d__x000a__x000d__x000a_UNION ALL_x000d__x000a__x000d__x000a_select 'lt002_instrument' as tabela,  base.segmento, 'PYMNT_FRQNCY' as Nome_do_Campo, 'Teste Catálogo' as Descritivo_do_Controlo,   _x000d__x000a_sum(case when PYMNT_FRQNCY in ('99999999999','11111111111') then 0_x000d__x000a_           when base.PYMNT_FRQNCY = Codelist.valor_destino then 0 else 1 end) as Total_NOKs,_x000d__x000a_count(*) as Total_registos_x000d__x000a_ from_x000d__x000a_(_x000d__x000a_SELECT  instrmnt_id, PYMNT_FRQNCY,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destino_x000d__x000a_FROM_x000d__x000a_ _x000d__x000a_(SELECT * from cd_loan_tapes_bce.lt830_conversoes_x000d__x000a_WHERE ref_date = ?_x000d__x000a_and ambito = ?) LT830_x000d__x000a_ _x000d__x000a_INNER JOIN_x000d__x000a_ _x000d__x000a_(SELECT distinct tabela, campo_conceito,regra_conversao, valor_destino FROM cd_loan_tapes_bce.lt829_regras_conversao_x000d__x000a_WHERE ref_date = ?_x000d__x000a_and campo_conceito='PYMNT_FRQNCY') LT829_x000d__x000a_ _x000d__x000a_ON LT830.tabela = LT829.tabela_x000d__x000a_and LT830.campo_conceito = LT829.campo_conceito_x000d__x000a_and LT830.regra_conversao = LT829.regra_conversao_x000d__x000a_) Codelist_x000d__x000a_on Base.PYMNT_FRQNCY=Codelist.valor_destino_x000d__x000a_and Base.segmento=Codelist.segmento_x000d__x000a_where 1=1_x000d__x000a_group by Base.segmento_x000d__x000a__x000d__x000a_UNION ALL_x000d__x000a__x000d__x000a_select 'lt002_instrument' as tabela,  segmento, 'ASST_SCRT_CLSS' as Nome_do_Campo, 'Teste Catálogo' as Descritivo_do_Controlo,   _x000d__x000a_sum(case when ASST_SCRT_CLSS in ('1202','1102','1107','1198','1201','11111111111','99999999999') then 0_x000d__x000a_           else 1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select 'lt002_instrument' as tabela,  segmento, 'INSTR_SNRTY_CLSS' as Nome_do_Campo, 'Teste Catálogo' as Descritivo_do_Controlo,   _x000d__x000a_sum(case when INSTR_SNRTY_CLSS in (_x000d__x000a_'111',_x000d__x000a_'121',_x000d__x000a_'131',_x000d__x000a_'141',_x000d__x000a_'151',_x000d__x000a_'161',_x000d__x000a_'171',_x000d__x000a_'191',_x000d__x000a_'211',_x000d__x000a_'221',_x000d__x000a_'231',_x000d__x000a_'241',_x000d__x000a_'251',_x000d__x000a_'261',_x000d__x000a_'271',_x000d__x000a_'291',_x000d__x000a_'811',_x000d__x000a_'821',_x000d__x000a_'831',_x000d__x000a_'841',_x000d__x000a_'851',_x000d__x000a_'861',_x000d__x000a_'871',_x000d__x000a_'891',_x000d__x000a_'911',_x000d__x000a_'921',_x000d__x000a_'931',_x000d__x000a_'941',_x000d__x000a_'951',_x000d__x000a_'961',_x000d__x000a_'971',_x000d__x000a_'991',_x000d__x000a_'112',_x000d__x000a_'122',_x000d__x000a_'132',_x000d__x000a_'142',_x000d__x000a_'152',_x000d__x000a_'162',_x000d__x000a_'172',_x000d__x000a_'192',_x000d__x000a_'212',_x000d__x000a_'222',_x000d__x000a_'232',_x000d__x000a_'242',_x000d__x000a_'252',_x000d__x000a_'262',_x000d__x000a_'272',_x000d__x000a_'292',_x000d__x000a_'812',_x000d__x000a_'822',_x000d__x000a_'832',_x000d__x000a_'842',_x000d__x000a_'852',_x000d__x000a_'862',_x000d__x000a_'872',_x000d__x000a_'892',_x000d__x000a_'912',_x000d__x000a_'922',_x000d__x000a_'932',_x000d__x000a_'942',_x000d__x000a_'952',_x000d__x000a_'962',_x000d__x000a_'972',_x000d__x000a_'992',_x000d__x000a_'119',_x000d__x000a_'129',_x000d__x000a_'139',_x000d__x000a_'149',_x000d__x000a_'159',_x000d__x000a_'169',_x000d__x000a_'179',_x000d__x000a_'199',_x000d__x000a_'219',_x000d__x000a_'229',_x000d__x000a_'239',_x000d__x000a_'249',_x000d__x000a_'259',_x000d__x000a_'269',_x000d__x000a_'279',_x000d__x000a_'299',_x000d__x000a_'819',_x000d__x000a_'829',_x000d__x000a_'839',_x000d__x000a_'849',_x000d__x000a_'859',_x000d__x000a_'869',_x000d__x000a_'879',_x000d__x000a_'899',_x000d__x000a_'919',_x000d__x000a_'929',_x000d__x000a_'939',_x000d__x000a_'949',_x000d__x000a_'959',_x000d__x000a_'969',_x000d__x000a_'979',_x000d__x000a_'999',_x000d__x000a_'N/A',_x000d__x000a_'MISS'_x000d__x000a_)_x000d__x000a__x000d__x000a_then 0_x000d__x000a_           else 1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select 'lt002_instrument' as tabela,  segmento, 'INSTRMNT_CLSS' as Nome_do_Campo, 'Teste Catálogo' as Descritivo_do_Controlo,   _x000d__x000a_sum(case when INSTRMNT_CLSS in ('F_31','F_32','N/A','MISS') then 0_x000d__x000a_           else 1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select 'lt002_instrument' as tabela,  segmento, 'ISSR_ID_TYP' as Nome_do_Campo, 'Teste Catálogo' as Descritivo_do_Controlo,   _x000d__x000a_sum(case when ISSR_ID_TYP in ('LEI','TAX','OTHER','N/A','MISS') then 0_x000d__x000a_           else 1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select 'lt002_instrument' as tabela,  base.segmento, 'ISSR_NACE_SCTR' as Nome_do_Campo, 'Teste Catálogo' as Descritivo_do_Controlo,   _x000d__x000a_sum(case when ISSR_NACE_SCTR in ('N/A','MISS') then 0_x000d__x000a_           when base.ISSR_NACE_SCTR = Codelist.valor_destino then 0 else 1 end) as Total_NOKs,_x000d__x000a_count(*) as Total_registos_x000d__x000a__x000d__x000a_ from_x000d__x000a_(_x000d__x000a_SELECT  instrmnt_id, ISSR_NACE_SCTR,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LT830.segmento, LT830.tabela, LT830.campo_conceito, LT829.regra_conversao, LT829.valor_destino_x000d__x000a_FROM_x000d__x000a_ _x000d__x000a_(SELECT * from cd_loan_tapes_bce.lt830_conversoes_x000d__x000a_WHERE ref_date = ?_x000d__x000a_and ambito = ?) LT830_x000d__x000a_ _x000d__x000a_INNER JOIN_x000d__x000a_ _x000d__x000a_(SELECT  distinct tabela, campo_conceito,regra_conversao, valor_destino FROM cd_loan_tapes_bce.lt829_regras_conversao_x000d__x000a_WHERE ref_date = ?_x000d__x000a_and campo_conceito='ISSR_NACE_SCTR') LT829_x000d__x000a_ _x000d__x000a_ON LT830.tabela = LT829.tabela_x000d__x000a_and LT830.campo_conceito = LT829.campo_conceito_x000d__x000a_and LT830.regra_conversao = LT829.regra_conversao_x000d__x000a_) Codelist_x000d__x000a_on Base.ISSR_NACE_SCTR=Codelist.valor_destino_x000d__x000a_and Base.segmento=Codelist.segmento_x000d__x000a_where 1=1_x000d__x000a_group by Base.segmento_x000d__x000a__x000d__x000a_UNION ALL_x000d__x000a__x000d__x000a_select 'lt002_instrument' as tabela,  segmento, 'PRDNTL_PRTFL' as Nome_do_Campo, 'Teste Catálogo' as Descritivo_do_Controlo,_x000d__x000a_sum(case when PRDNTL_PRTFL in ('1','2','11111111111','99999999999') then 0_x000d__x000a_           else 1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select 'lt002_instrument' as tabela,  base.segmento, 'CRR_EXPOSURE_CLASS' as Nome_do_Campo, 'Teste Catálogo' as Descritivo_do_Controlo, _x000d__x000a_sum(case when CRR_EXPOSURE_CLASS in ('N/A','MISS') then 0_x000d__x000a_           when base.CRR_EXPOSURE_CLASS = lt831.valor_destino then 0 else 1 end) as Total_NOKs,_x000d__x000a_count(*) as Total_registos_x000d__x000a__x000d__x000a_ from_x000d__x000a_(_x000d__x000a_SELECT instrmnt_id, CRR_EXPOSURE_CLASS, segmento_x000d__x000a_FROM cd_loan_tapes_bce.lt002_instrument _x000d__x000a_where 1=1_x000d__x000a_and ref_date = ?_x000d__x000a_and ambito = ?_x000d__x000a_and nome_perimetro = ?_x000d__x000a_and entidade = ?_x000d__x000a_) Base_x000d__x000a__x000d__x000a_left join_x000d__x000a__x000d__x000a_(_x000d__x000a_SELECT distinct tabela_conceito, campo_conceito, valor_destino_x000d__x000a_FROM cd_loan_tapes_bce.lt831_param_conceitos_x000d__x000a_where  ref_date = ?_x000d__x000a_and campo_conceito='CRR_EXPOSURE_CLASS'_x000d__x000a_and tabela_conceito='LT002_INSTRUMENT') lt831_x000d__x000a_ _x000d__x000a_on Base.CRR_EXPOSURE_CLASS=lt831.valor_destino_x000d__x000a_group by Base.segmento_x000d__x000a__x000d__x000a_UNION ALL_x000d__x000a__x000d__x000a_-- PRDCT_x000d__x000a_-- Teste Missing Data_x000d__x000a_SELECT 'lt002_instrument' as tabela, segmento, 'PRDCT' as Nome_do_Campo, 'Teste Missing Data' as Descritivo_do_Controlo,_x000d__x000a_sum(case when PRDCT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 _x000d__x000a_UNION ALL_x000d__x000a_ _x000d__x000a_-- Teste Not Applicable_x000d__x000a_SELECT 'lt002_instrument' as tabela, segmento, 'PRDCT' as Nome_do_Campo, 'Teste Not Applicable' as Descritivo_do_Controlo,_x000d__x000a_sum(case when PRDCT = 'N/A' and segmento in ('Exposures to legal persons','Exposures to natural persons','Off-balance sheet exposures','Debt securities','Equity') then 0_x000d__x000a_         when PRDCT = 'N/A' and instrmnt_id like 'NN%' then 0_x000d__x000a_         when PRDCT = 'N/A' and instrmnt_id like 'SS%' then 0_x000d__x000a_         when PRDCT = 'N/A' and instrmnt_id like 'SS85%' then 0_x000d__x000a_         when PRDCT = 'N/A' and instrmnt_id like 'SNCS%' then 0_x000d__x000a_         when PRDCT = 'N/A' and instrmnt_id like 'SNCN%' then 0_x000d__x000a_         when PRDCT = 'N/A' then 1 else 0 end) as Total_NOKs,_x000d__x000a_count(*) as Total_registos_x000d__x000a_ _x000d__x000a_FROM cd_loan_tapes_bce.lt002_instrument_x000d__x000a_where 1=1_x000d__x000a_and ref_date = ?_x000d__x000a_and ambito = ?_x000d__x000a_and nome_perimetro = ?_x000d__x000a_and entidade = ?_x000d__x000a_ _x000d__x000a_GROUP BY segmento_x000d__x000a__x000d__x000a_UNION ALL_x000d__x000a__x000d__x000a_-- CPN_CRRNCY_x000d__x000a_-- Teste Missing Data_x000d__x000a_SELECT 'lt002_instrument' as tabela, segmento, 'CPN_CRRNCY' as Nome_do_Campo, 'Teste Missing Data' as Descritivo_do_Controlo,_x000d__x000a_sum(case when CPN_CRRNCY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 _x000d__x000a_UNION ALL_x000d__x000a_ _x000d__x000a_-- Teste Not Applicable_x000d__x000a_SELECT 'lt002_instrument' as tabela, segmento, 'CPN_CRRNCY' as Nome_do_Campo, 'Teste Not Applicable' as Descritivo_do_Controlo,_x000d__x000a_sum(case when CPN_CRRNCY = 'N/A' and segmento in ('Exposures to legal persons','Exposures to natural persons','Off-balance sheet exposures','Derivatives','Equity') then 0_x000d__x000a_         when CPN_CRRNCY = 'N/A' and instrmnt_id like 'NN%' then 0_x000d__x000a_         when CPN_CRRNCY = 'N/A' and instrmnt_id like 'SS%' then 0_x000d__x000a_         when CPN_CRRNCY = 'N/A' and instrmnt_id like 'SS85%' then 0_x000d__x000a_         when CPN_CRRNCY = 'N/A' and instrmnt_id like 'SNCS%' then 0_x000d__x000a_         when CPN_CRRNCY = 'N/A' and instrmnt_id like 'SNCN%' then 0_x000d__x000a_         when CPN_CRRNCY = 'N/A' then 1 else 0 end) as Total_NOKs,_x000d__x000a_count(*) as Total_registos_x000d__x000a_ _x000d__x000a_FROM cd_loan_tapes_bce.lt002_instrument_x000d__x000a_where 1=1_x000d__x000a_and ref_date = ?_x000d__x000a_and ambito = ?_x000d__x000a_and nome_perimetro = ?_x000d__x000a_and entidade = ?_x000d__x000a_ _x000d__x000a_GROUP BY segmento_x000d__x000a__x000d__x000a_UNION ALL_x000d__x000a_ _x000d__x000a_-- Teste Catálogo_x000d__x000a_select 'lt002_instrument' as tabela,  segmento, 'CPN_CRRNCY' as Nome_do_Campo, 'Teste Catálogo' as Descritivo_do_Controlo,   _x000d__x000a_count(case when CPN_CRRNCY not in (_x000d__x000a_'AED',_x000d__x000a_'AFN',_x000d__x000a_'ALL',_x000d__x000a_'AMD',_x000d__x000a_'ANG',_x000d__x000a_'AOA',_x000d__x000a_'ARS',_x000d__x000a_'AUD',_x000d__x000a_'AWG',_x000d__x000a_'AZN',_x000d__x000a_'BAM',_x000d__x000a_'BBD',_x000d__x000a_'BDT',_x000d__x000a_'BGN',_x000d__x000a_'BHD',_x000d__x000a_'BIF',_x000d__x000a_'BMD',_x000d__x000a_'BND',_x000d__x000a_'BOB',_x000d__x000a_'BOV',_x000d__x000a_'BRL',_x000d__x000a_'BSD',_x000d__x000a_'BTN',_x000d__x000a_'BWP',_x000d__x000a_'BYN',_x000d__x000a_'BZD',_x000d__x000a_'CAD',_x000d__x000a_'CDF',_x000d__x000a_'CHE',_x000d__x000a_'CHF',_x000d__x000a_'CHW',_x000d__x000a_'CLF',_x000d__x000a_'CLP',_x000d__x000a_'CNY',_x000d__x000a_'COP',_x000d__x000a_'COU',_x000d__x000a_'CRC',_x000d__x000a_'CUC',_x000d__x000a_'CUP',_x000d__x000a_'CVE',_x000d__x000a_'CZK',_x000d__x000a_'DJF',_x000d__x000a_'DKK',_x000d__x000a_'DOP',_x000d__x000a_'DZD',_x000d__x000a_'EGP',_x000d__x000a_'ERN',_x000d__x000a_'ETB',_x000d__x000a_'EUR',_x000d__x000a_'FJD',_x000d__x000a_'FKP',_x000d__x000a_'GBP',_x000d__x000a_'GEL',_x000d__x000a_'GHS',_x000d__x000a_'GIP',_x000d__x000a_'GMD',_x000d__x000a_'GNF',_x000d__x000a_'GTQ',_x000d__x000a_'GYD',_x000d__x000a_'HKD',_x000d__x000a_'HNL',_x000d__x000a_'HRK',_x000d__x000a_'HTG',_x000d__x000a_'HUF',_x000d__x000a_'IDR',_x000d__x000a_'ILS',_x000d__x000a_'INR',_x000d__x000a_'IQD',_x000d__x000a_'IRR',_x000d__x000a_'ISK',_x000d__x000a_'JMD',_x000d__x000a_'JOD',_x000d__x000a_'JPY',_x000d__x000a_'KES',_x000d__x000a_'KGS',_x000d__x000a_'KHR',_x000d__x000a_'KMF',_x000d__x000a_'KPW',_x000d__x000a_'KRW',_x000d__x000a_'KWD',_x000d__x000a_'KYD',_x000d__x000a_'KZT',_x000d__x000a_'LAK',_x000d__x000a_'LBP',_x000d__x000a_'LKR',_x000d__x000a_'LRD',_x000d__x000a_'LSL',_x000d__x000a_'LYD',_x000d__x000a_'MAD',_x000d__x000a_'MDL',_x000d__x000a_'MGA',_x000d__x000a_'MKD',_x000d__x000a_'MMK',_x000d__x000a_'MNT',_x000d__x000a_'MOP',_x000d__x000a_'MRO',_x000d__x000a_'MRU',_x000d__x000a_'MUR',_x000d__x000a_'MVR',_x000d__x000a_'MWK',_x000d__x000a_'MXN',_x000d__x000a_'MXV',_x000d__x000a_'MYR',_x000d__x000a_'MZN',_x000d__x000a_'NAD',_x000d__x000a_'NGN',_x000d__x000a_'NIO',_x000d__x000a_'NOK',_x000d__x000a_'NPR',_x000d__x000a_'NZD',_x000d__x000a_'OMR',_x000d__x000a_'PAB',_x000d__x000a_'PEN',_x000d__x000a_'PGK',_x000d__x000a_'PHP',_x000d__x000a_'PKR',_x000d__x000a_'PLN',_x000d__x000a_'PYG',_x000d__x000a_'QAR',_x000d__x000a_'RON',_x000d__x000a_'RSD',_x000d__x000a_'RUB',_x000d__x000a_'RWF',_x000d__x000a_'SAR',_x000d__x000a_'SBD',_x000d__x000a_'SCR',_x000d__x000a_'SDG',_x000d__x000a_'SEK',_x000d__x000a_'SGD',_x000d__x000a_'SHP',_x000d__x000a_'SLL',_x000d__x000a_'SOS',_x000d__x000a_'SRD',_x000d__x000a_'SSP',_x000d__x000a_'STD',_x000d__x000a_'STN',_x000d__x000a_'SVC',_x000d__x000a_'SYP',_x000d__x000a_'SZL',_x000d__x000a_'THB',_x000d__x000a_'TJS',_x000d__x000a_'TMT',_x000d__x000a_'TND',_x000d__x000a_'TOP',_x000d__x000a_'TRY',_x000d__x000a_'TTD',_x000d__x000a_'TWD',_x000d__x000a_'TZS',_x000d__x000a_'UAH',_x000d__x000a_'UGX',_x000d__x000a_'USD',_x000d__x000a_'USN',_x000d__x000a_'UYI',_x000d__x000a_'UYU',_x000d__x000a_'UYW',_x000d__x000a_'UZS',_x000d__x000a_'VEF',_x000d__x000a_'VES',_x000d__x000a_'VND',_x000d__x000a_'VUV',_x000d__x000a_'WST',_x000d__x000a_'XAF',_x000d__x000a_'XAG',_x000d__x000a_'XAU',_x000d__x000a_'XBA',_x000d__x000a_'XBB',_x000d__x000a_'XBC',_x000d__x000a_'XBD',_x000d__x000a_'XCD',_x000d__x000a_'XDR',_x000d__x000a_'XOF',_x000d__x000a_'XPD',_x000d__x000a_'XPF',_x000d__x000a_'XPT',_x000d__x000a_'XSU',_x000d__x000a_'XTS',_x000d__x000a_'XUA',_x000d__x000a_'XXX',_x000d__x000a_'YER',_x000d__x000a_'ZAR',_x000d__x000a_'ZMW',_x000d__x000a_'ZWL',_x000d__x000a_'N/A',_x000d__x000a_'MISS'_x000d__x000a_) then 1 end_x000d__x000a_)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 _x000d__x000a_UNION ALL_x000d__x000a__x000d__x000a_-- CPN_RT_x000d__x000a_-- Teste Missing Data_x000d__x000a_SELECT 'lt002_instrument' as tabela, segmento, 'CPN_RT' as Nome_do_Campo, 'Teste Missing Data' as Descritivo_do_Controlo,_x000d__x000a_sum(case when CPN_RT = 99999999999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 _x000d__x000a_UNION ALL_x000d__x000a_ _x000d__x000a_-- Teste Not Applicable_x000d__x000a_SELECT 'lt002_instrument' as tabela, segmento, 'CPN_RT' as Nome_do_Campo, 'Teste Not Applicable' as Descritivo_do_Controlo,_x000d__x000a_sum(case when CPN_RT = 11111111111 and segmento in ('Exposures to legal persons','Exposures to natural persons','Off-balance sheet exposures','Derivatives','Equity') then 0_x000d__x000a_         when CPN_RT = 11111111111 and instrmnt_id like 'NN%' then 0_x000d__x000a_         when CPN_RT = 11111111111 and instrmnt_id like 'SS%' then 0_x000d__x000a_         when CPN_RT = 11111111111 and instrmnt_id like 'SS85%' then 0_x000d__x000a_         when CPN_RT = 11111111111 and instrmnt_id like 'SNCS%' then 0_x000d__x000a_         when CPN_RT = 11111111111 and instrmnt_id like 'SNCN%' then 0_x000d__x000a_         when CPN_RT = 11111111111 then 1 else 0 end) as Total_NOKs,_x000d__x000a_count(*) as Total_registos_x000d__x000a_ _x000d__x000a_FROM cd_loan_tapes_bce.lt002_instrument_x000d__x000a_where 1=1_x000d__x000a_and ref_date = ?_x000d__x000a_and ambito = ?_x000d__x000a_and nome_perimetro = ?_x000d__x000a_and entidade = ?_x000d__x000a_ _x000d__x000a_GROUP BY segmento_x000d__x000a__x000d__x000a_UNION ALL_x000d__x000a__x000d__x000a_-- VLTN_TYP_x000d__x000a_-- Teste Missing Data_x000d__x000a_SELECT 'lt002_instrument' as tabela, segmento, 'VLTN_TYP' as Nome_do_Campo, 'Teste Missing Data' as Descritivo_do_Controlo,_x000d__x000a_sum(case when vltn_typ = '99999999999'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2_instrument' as tabela, segmento, 'VLTN_TYP' as Nome_do_Campo, 'Teste Not Applicable' as Descritivo_do_Controlo,_x000d__x000a_sum(case when vltn_typ = '11111111111' and segmento in ('Exposures to legal persons','Exposures to natural persons','Off-balance sheet exposures','Derivatives') then 0_x000d__x000a_         when vltn_typ = '11111111111' and instrmnt_id like 'NN%' then 0_x000d__x000a_         when vltn_typ = '11111111111' and instrmnt_id like 'SS%' then 0_x000d__x000a_         when vltn_typ = '11111111111' and instrmnt_id like 'SS85%' then 0_x000d__x000a_         when vltn_typ = '11111111111' and instrmnt_id like 'SNCS%' then 0_x000d__x000a_         when vltn_typ = '11111111111' and instrmnt_id like 'SNCN%' then 0_x000d__x000a_         when vltn_typ = '11111111111' then 1 else 0 end) as Total_NOKs,_x000d__x000a_count(*) as Total_registos_x000d__x000a_ _x000d__x000a_FROM cd_loan_tapes_bce.lt002_instrument_x000d__x000a_where 1=1_x000d__x000a_and ref_date = ?_x000d__x000a_and ambito = ?_x000d__x000a_and nome_perimetro = ?_x000d__x000a_and entidade = ?_x000d__x000a_ _x000d__x000a_GROUP BY segmento_x000d__x000a__x000d__x000a_UNION ALL_x000d__x000a__x000d__x000a_-- Teste Catálogo_x000d__x000a_select 'lt002_instrument' as tabela,  segmento, 'VLTN_TYP' as Nome_do_Campo, 'Teste Catálogo' as Descritivo_do_Controlo,   _x000d__x000a_count(case when VLTN_TYP not in ('1','2',_x000d__x000a__x000d__x000a_'99999999999',_x000d__x000a_'11111111111'_x000d__x000a_) then 1 end_x000d__x000a_)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ISSR_TYP_x000d__x000a_-- Teste Missing Data_x000d__x000a_SELECT 'lt002_instrument' as tabela, segmento, 'ISSR_TYP' as Nome_do_Campo, 'Teste Missing Data' as Descritivo_do_Controlo,_x000d__x000a_sum(case when issr_typ = 'MISS'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_x000d__x000a__x000d__x000a_-- Teste Not Applicable_x000d__x000a_SELECT 'lt002_instrument' as tabela, segmento, 'ISSR_TYP' as Nome_do_Campo, 'Teste Not Applicable' as Descritivo_do_Controlo,_x000d__x000a_sum(case when ISSR_TYP = '11111111111' and segmento in ('Exposures to legal persons','Exposures to natural persons','Off-balance sheet exposures','Derivatives','Equity') then 0_x000d__x000a_         when ISSR_TYP = '11111111111' and instrmnt_id like 'NN%' then 0_x000d__x000a_         when ISSR_TYP = '11111111111' and instrmnt_id like 'SS%' then 0_x000d__x000a_         when ISSR_TYP = '11111111111' and instrmnt_id like 'SS85%' then 0_x000d__x000a_         when ISSR_TYP = '11111111111' and instrmnt_id like 'SNCS%' then 0_x000d__x000a_         when ISSR_TYP = '11111111111' and instrmnt_id like 'SNCN%' then 0_x000d__x000a_         when ISSR_TYP = '11111111111' then 1 else 0 end) as Total_NOKs,_x000d__x000a_count(*) as Total_registos_x000d__x000a_FROM cd_loan_tapes_bce.lt002_instrument_x000d__x000a_where 1=1_x000d__x000a_and ref_date = ?_x000d__x000a_and ambito = ?_x000d__x000a_and nome_perimetro = ?_x000d__x000a_and entidade = ?_x000d__x000a_ _x000d__x000a_GROUP BY segmento_x000d__x000a__x000d__x000a_UNION ALL_x000d__x000a__x000d__x000a_-- CNTRCT_ID_x000d__x000a_-- Teste Missing Data_x000d__x000a_SELECT 'lt002_instrument' as tabela, segmento, 'CNTRCT_ID' as Nome_do_Campo, 'Teste Missing Data' as Descritivo_do_Controlo,_x000d__x000a_sum(case when CNTRCT_ID = '' then 1 else 0 end) as Total_NOKs,_x000d__x000a_count(*) as Total_registos_x000d__x000a_FROM cd_loan_tapes_bce.lt002_instrument_x000d__x000a_where 1=1_x000d__x000a_and ref_date = ?_x000d__x000a_and ambito = ?_x000d__x000a_and nome_perimetro = ?_x000d__x000a_and entidade = ?_x000d__x000a_GROUP BY segmento_x000d__x000a__x000d__x000a_UNION ALL _x000d__x000a__x000d__x000a_-- Teste Catálogo_x000d__x000a_select 'lt002_instrument' as tabela,  base.segmento, 'ISIN' as Nome_do_Campo, 'Teste Catálogo' as Descritivo_do_Controlo,   _x000d__x000a_sum(case when ISIN = 'N/A' then 0_x000d__x000a_         when base.ISIN = CATALOGO.chave then 0 else 1 end) as Total_NOKs,_x000d__x000a_count(*) as Total_registos_x000d__x000a_from_x000d__x000a_(_x000d__x000a_SELECT  instrmnt_id, ISIN, segmento_x000d__x000a_FROM cd_loan_tapes_bce.lt002_instrument_x000d__x000a_where 1=1_x000d__x000a_and ref_date = ?_x000d__x000a_and ambito = ?_x000d__x000a_and nome_perimetro = ?_x000d__x000a_and entidade = ?_x000d__x000a_ _x000d__x000a_) Base_x000d__x000a_ _x000d__x000a_left join_x000d__x000a_ _x000d__x000a_(_x000d__x000a_SELECT DISTINCT isin as chave, 'CT610' as origem from cd_captools.ct610_titulos_x000d__x000a_WHERE ref_date = ?_x000d__x000a__x000d__x000a_UNION ALL_x000d__x000a__x000d__x000a_SELECT DISTINCT ctitulo as chave, 'AL006' as origem from cd_alm.al006_saq_ppc _x000d__x000a_WHERE ref_date = ?_x000d__x000a_) CATALOGO_x000d__x000a__x000d__x000a_on Base.ISIN = CATALOGO.chave_x000d__x000a_where 1=1_x000d__x000a_group by Base.segmento"/>
    <parameters count="229">
      <parameter name="Parameter1" parameterType="cell" cell="Cockpit!$D$9"/>
      <parameter name="Parameter2" parameterType="cell" cell="Cockpit!$D$10"/>
      <parameter name="Parameter3" parameterType="cell" cell="Cockpit!$D$11"/>
      <parameter name="Parameter4" parameterType="cell" cell="Cockpit!$D$12"/>
      <parameter name="Parameter5" parameterType="cell" cell="Cockpit!$D$9"/>
      <parameter name="Parameter6" parameterType="cell" cell="Cockpit!$D$10"/>
      <parameter name="Parameter7" parameterType="cell" cell="Cockpit!$D$11"/>
      <parameter name="Parameter8" parameterType="cell" cell="Cockpit!$D$12"/>
      <parameter name="Parameter9" parameterType="cell" cell="Cockpit!$D$9"/>
      <parameter name="Parameter10" parameterType="cell" cell="Cockpit!$D$10"/>
      <parameter name="Parameter11" parameterType="cell" cell="Cockpit!$D$11"/>
      <parameter name="Parameter12" parameterType="cell" cell="Cockpit!$D$12"/>
      <parameter name="Parameter13" parameterType="cell" cell="Cockpit!$D$9"/>
      <parameter name="Parameter14" parameterType="cell" cell="Cockpit!$D$10"/>
      <parameter name="Parameter15" parameterType="cell" cell="Cockpit!$D$11"/>
      <parameter name="Parameter16" parameterType="cell" cell="Cockpit!$D$12"/>
      <parameter name="Parameter17" parameterType="cell" cell="Cockpit!$D$9"/>
      <parameter name="Parameter18" parameterType="cell" cell="Cockpit!$D$10"/>
      <parameter name="Parameter19" parameterType="cell" cell="Cockpit!$D$11"/>
      <parameter name="Parameter20" parameterType="cell" cell="Cockpit!$D$12"/>
      <parameter name="Parameter21" parameterType="cell" cell="Cockpit!$D$9"/>
      <parameter name="Parameter22" parameterType="cell" cell="Cockpit!$D$10"/>
      <parameter name="Parameter23" parameterType="cell" cell="Cockpit!$D$11"/>
      <parameter name="Parameter24" parameterType="cell" cell="Cockpit!$D$12"/>
      <parameter name="Parameter25" parameterType="cell" cell="Cockpit!$D$9"/>
      <parameter name="Parameter26" parameterType="cell" cell="Cockpit!$D$10"/>
      <parameter name="Parameter27" parameterType="cell" cell="Cockpit!$D$11"/>
      <parameter name="Parameter28" parameterType="cell" cell="Cockpit!$D$12"/>
      <parameter name="Parameter29" parameterType="cell" cell="Cockpit!$D$9"/>
      <parameter name="Parameter30" parameterType="cell" cell="Cockpit!$D$10"/>
      <parameter name="Parameter31" parameterType="cell" cell="Cockpit!$D$11"/>
      <parameter name="Parameter32" parameterType="cell" cell="Cockpit!$D$12"/>
      <parameter name="Parameter33" parameterType="cell" cell="Cockpit!$D$9"/>
      <parameter name="Parameter34" parameterType="cell" cell="Cockpit!$D$10"/>
      <parameter name="Parameter35" parameterType="cell" cell="Cockpit!$D$11"/>
      <parameter name="Parameter36" parameterType="cell" cell="Cockpit!$D$12"/>
      <parameter name="Parameter37" parameterType="cell" cell="Cockpit!$D$9"/>
      <parameter name="Parameter38" parameterType="cell" cell="Cockpit!$D$10"/>
      <parameter name="Parameter39" parameterType="cell" cell="Cockpit!$D$11"/>
      <parameter name="Parameter40" parameterType="cell" cell="Cockpit!$D$12"/>
      <parameter name="Parameter41" parameterType="cell" cell="Cockpit!$D$9"/>
      <parameter name="Parameter42" parameterType="cell" cell="Cockpit!$D$10"/>
      <parameter name="Parameter43" parameterType="cell" cell="Cockpit!$D$11"/>
      <parameter name="Parameter44" parameterType="cell" cell="Cockpit!$D$12"/>
      <parameter name="Parameter45" parameterType="cell" cell="Cockpit!$D$9"/>
      <parameter name="Parameter46" parameterType="cell" cell="Cockpit!$D$10"/>
      <parameter name="Parameter47" parameterType="cell" cell="Cockpit!$D$11"/>
      <parameter name="Parameter48" parameterType="cell" cell="Cockpit!$D$12"/>
      <parameter name="Parameter49" parameterType="cell" cell="Cockpit!$D$9"/>
      <parameter name="Parameter50" parameterType="cell" cell="Cockpit!$D$10"/>
      <parameter name="Parameter51" parameterType="cell" cell="Cockpit!$D$11"/>
      <parameter name="Parameter52" parameterType="cell" cell="Cockpit!$D$12"/>
      <parameter name="Parameter53" parameterType="cell" cell="Cockpit!$D$9"/>
      <parameter name="Parameter54" parameterType="cell" cell="Cockpit!$D$10"/>
      <parameter name="Parameter55" parameterType="cell" cell="Cockpit!$D$11"/>
      <parameter name="Parameter56" parameterType="cell" cell="Cockpit!$D$12"/>
      <parameter name="Parameter57" parameterType="cell" cell="Cockpit!$D$9"/>
      <parameter name="Parameter58" parameterType="cell" cell="Cockpit!$D$10"/>
      <parameter name="Parameter59" parameterType="cell" cell="Cockpit!$D$11"/>
      <parameter name="Parameter60" parameterType="cell" cell="Cockpit!$D$12"/>
      <parameter name="Parameter61" parameterType="cell" cell="Cockpit!$D$9"/>
      <parameter name="Parameter62" parameterType="cell" cell="Cockpit!$D$10"/>
      <parameter name="Parameter63" parameterType="cell" cell="Cockpit!$D$11"/>
      <parameter name="Parameter64" parameterType="cell" cell="Cockpit!$D$12"/>
      <parameter name="Parameter65" parameterType="cell" cell="Cockpit!$D$9"/>
      <parameter name="Parameter66" parameterType="cell" cell="Cockpit!$D$10"/>
      <parameter name="Parameter67" parameterType="cell" cell="Cockpit!$D$11"/>
      <parameter name="Parameter68" parameterType="cell" cell="Cockpit!$D$12"/>
      <parameter name="Parameter69" parameterType="cell" cell="Cockpit!$D$9"/>
      <parameter name="Parameter70" parameterType="cell" cell="Cockpit!$D$10"/>
      <parameter name="Parameter71" parameterType="cell" cell="Cockpit!$D$11"/>
      <parameter name="Parameter72" parameterType="cell" cell="Cockpit!$D$12"/>
      <parameter name="Parameter73" parameterType="cell" cell="Cockpit!$D$9"/>
      <parameter name="Parameter74" parameterType="cell" cell="Cockpit!$D$10"/>
      <parameter name="Parameter75" parameterType="cell" cell="Cockpit!$D$11"/>
      <parameter name="Parameter76" parameterType="cell" cell="Cockpit!$D$12"/>
      <parameter name="Parameter77" parameterType="cell" cell="Cockpit!$D$9"/>
      <parameter name="Parameter78" parameterType="cell" cell="Cockpit!$D$10"/>
      <parameter name="Parameter79" parameterType="cell" cell="Cockpit!$D$11"/>
      <parameter name="Parameter80" parameterType="cell" cell="Cockpit!$D$12"/>
      <parameter name="Parameter81" parameterType="cell" cell="Cockpit!$D$9"/>
      <parameter name="Parameter82" parameterType="cell" cell="Cockpit!$D$10"/>
      <parameter name="Parameter83" parameterType="cell" cell="Cockpit!$D$11"/>
      <parameter name="Parameter84" parameterType="cell" cell="Cockpit!$D$12"/>
      <parameter name="Parameter85" parameterType="cell" cell="Cockpit!$D$9"/>
      <parameter name="Parameter86" parameterType="cell" cell="Cockpit!$D$10"/>
      <parameter name="Parameter87" parameterType="cell" cell="Cockpit!$D$11"/>
      <parameter name="Parameter88" parameterType="cell" cell="Cockpit!$D$12"/>
      <parameter name="Parameter89" parameterType="cell" cell="Cockpit!$D$9"/>
      <parameter name="Parameter90" parameterType="cell" cell="Cockpit!$D$10"/>
      <parameter name="Parameter91" parameterType="cell" cell="Cockpit!$D$11"/>
      <parameter name="Parameter92" parameterType="cell" cell="Cockpit!$D$12"/>
      <parameter name="Parameter93" parameterType="cell" cell="Cockpit!$D$9"/>
      <parameter name="Parameter94" parameterType="cell" cell="Cockpit!$D$10"/>
      <parameter name="Parameter95" parameterType="cell" cell="Cockpit!$D$11"/>
      <parameter name="Parameter96" parameterType="cell" cell="Cockpit!$D$12"/>
      <parameter name="Parameter97" parameterType="cell" cell="Cockpit!$D$9"/>
      <parameter name="Parameter98" parameterType="cell" cell="Cockpit!$D$10"/>
      <parameter name="Parameter99" parameterType="cell" cell="Cockpit!$D$11"/>
      <parameter name="Parameter100" parameterType="cell" cell="Cockpit!$D$12"/>
      <parameter name="Parameter101" parameterType="cell" cell="Cockpit!$D$9"/>
      <parameter name="Parameter102" parameterType="cell" cell="Cockpit!$D$10"/>
      <parameter name="Parameter103" parameterType="cell" cell="Cockpit!$D$11"/>
      <parameter name="Parameter104" parameterType="cell" cell="Cockpit!$D$12"/>
      <parameter name="Parameter105" parameterType="cell" cell="Cockpit!$D$9"/>
      <parameter name="Parameter106" parameterType="cell" cell="Cockpit!$D$10"/>
      <parameter name="Parameter107" parameterType="cell" cell="Cockpit!$D$11"/>
      <parameter name="Parameter108" parameterType="cell" cell="Cockpit!$D$12"/>
      <parameter name="Parameter109" parameterType="cell" cell="Cockpit!$D$9"/>
      <parameter name="Parameter110" parameterType="cell" cell="Cockpit!$D$10"/>
      <parameter name="Parameter111" parameterType="cell" cell="Cockpit!$D$9"/>
      <parameter name="Parameter112" parameterType="cell" cell="Cockpit!$D$9"/>
      <parameter name="Parameter113" parameterType="cell" cell="Cockpit!$D$10"/>
      <parameter name="Parameter114" parameterType="cell" cell="Cockpit!$D$11"/>
      <parameter name="Parameter115" parameterType="cell" cell="Cockpit!$D$12"/>
      <parameter name="Parameter116" parameterType="cell" cell="Cockpit!$D$9"/>
      <parameter name="Parameter117" parameterType="cell" cell="Cockpit!$D$10"/>
      <parameter name="Parameter118" parameterType="cell" cell="Cockpit!$D$9"/>
      <parameter name="Parameter119" parameterType="cell" cell="Cockpit!$D$9"/>
      <parameter name="Parameter120" parameterType="cell" cell="Cockpit!$D$10"/>
      <parameter name="Parameter121" parameterType="cell" cell="Cockpit!$D$11"/>
      <parameter name="Parameter122" parameterType="cell" cell="Cockpit!$D$12"/>
      <parameter name="Parameter123" parameterType="cell" cell="Cockpit!$D$9"/>
      <parameter name="Parameter124" parameterType="cell" cell="Cockpit!$D$10"/>
      <parameter name="Parameter125" parameterType="cell" cell="Cockpit!$D$9"/>
      <parameter name="Parameter126" parameterType="cell" cell="Cockpit!$D$9"/>
      <parameter name="Parameter127" parameterType="cell" cell="Cockpit!$D$10"/>
      <parameter name="Parameter128" parameterType="cell" cell="Cockpit!$D$11"/>
      <parameter name="Parameter129" parameterType="cell" cell="Cockpit!$D$12"/>
      <parameter name="Parameter130" parameterType="cell" cell="Cockpit!$D$9"/>
      <parameter name="Parameter131" parameterType="cell" cell="Cockpit!$D$10"/>
      <parameter name="Parameter132" parameterType="cell" cell="Cockpit!$D$9"/>
      <parameter name="Parameter133" parameterType="cell" cell="Cockpit!$D$9"/>
      <parameter name="Parameter134" parameterType="cell" cell="Cockpit!$D$10"/>
      <parameter name="Parameter135" parameterType="cell" cell="Cockpit!$D$11"/>
      <parameter name="Parameter136" parameterType="cell" cell="Cockpit!$D$12"/>
      <parameter name="Parameter137" parameterType="cell" cell="Cockpit!$D$9"/>
      <parameter name="Parameter138" parameterType="cell" cell="Cockpit!$D$10"/>
      <parameter name="Parameter139" parameterType="cell" cell="Cockpit!$D$9"/>
      <parameter name="Parameter140" parameterType="cell" cell="Cockpit!$D$9"/>
      <parameter name="Parameter141" parameterType="cell" cell="Cockpit!$D$10"/>
      <parameter name="Parameter142" parameterType="cell" cell="Cockpit!$D$11"/>
      <parameter name="Parameter143" parameterType="cell" cell="Cockpit!$D$12"/>
      <parameter name="Parameter144" parameterType="cell" cell="Cockpit!$D$9"/>
      <parameter name="Parameter145" parameterType="cell" cell="Cockpit!$D$10"/>
      <parameter name="Parameter146" parameterType="cell" cell="Cockpit!$D$11"/>
      <parameter name="Parameter147" parameterType="cell" cell="Cockpit!$D$12"/>
      <parameter name="Parameter148" parameterType="cell" cell="Cockpit!$D$9"/>
      <parameter name="Parameter149" parameterType="cell" cell="Cockpit!$D$10"/>
      <parameter name="Parameter150" parameterType="cell" cell="Cockpit!$D$11"/>
      <parameter name="Parameter151" parameterType="cell" cell="Cockpit!$D$12"/>
      <parameter name="Parameter152" parameterType="cell" cell="Cockpit!$D$9"/>
      <parameter name="Parameter153" parameterType="cell" cell="Cockpit!$D$10"/>
      <parameter name="Parameter154" parameterType="cell" cell="Cockpit!$D$11"/>
      <parameter name="Parameter155" parameterType="cell" cell="Cockpit!$D$12"/>
      <parameter name="Parameter156" parameterType="cell" cell="Cockpit!$D$9"/>
      <parameter name="Parameter157" parameterType="cell" cell="Cockpit!$D$10"/>
      <parameter name="Parameter158" parameterType="cell" cell="Cockpit!$D$11"/>
      <parameter name="Parameter159" parameterType="cell" cell="Cockpit!$D$12"/>
      <parameter name="Parameter160" parameterType="cell" cell="Cockpit!$D$9"/>
      <parameter name="Parameter161" parameterType="cell" cell="Cockpit!$D$10"/>
      <parameter name="Parameter162" parameterType="cell" cell="Cockpit!$D$9"/>
      <parameter name="Parameter163" parameterType="cell" cell="Cockpit!$D$9"/>
      <parameter name="Parameter164" parameterType="cell" cell="Cockpit!$D$10"/>
      <parameter name="Parameter165" parameterType="cell" cell="Cockpit!$D$11"/>
      <parameter name="Parameter166" parameterType="cell" cell="Cockpit!$D$12"/>
      <parameter name="Parameter167" parameterType="cell" cell="Cockpit!$D$9"/>
      <parameter name="Parameter168" parameterType="cell" cell="Cockpit!$D$10"/>
      <parameter name="Parameter169" parameterType="cell" cell="Cockpit!$D$11"/>
      <parameter name="Parameter170" parameterType="cell" cell="Cockpit!$D$12"/>
      <parameter name="Parameter171" parameterType="cell" cell="Cockpit!$D$9"/>
      <parameter name="Parameter172" parameterType="cell" cell="Cockpit!$D$9"/>
      <parameter name="Parameter173" parameterType="cell" cell="Cockpit!$D$10"/>
      <parameter name="Parameter174" parameterType="cell" cell="Cockpit!$D$11"/>
      <parameter name="Parameter175" parameterType="cell" cell="Cockpit!$D$12"/>
      <parameter name="Parameter176" parameterType="cell" cell="Cockpit!$D$9"/>
      <parameter name="Parameter177" parameterType="cell" cell="Cockpit!$D$10"/>
      <parameter name="Parameter178" parameterType="cell" cell="Cockpit!$D$11"/>
      <parameter name="Parameter179" parameterType="cell" cell="Cockpit!$D$12"/>
      <parameter name="Parameter180" parameterType="cell" cell="Cockpit!$D$9"/>
      <parameter name="Parameter181" parameterType="cell" cell="Cockpit!$D$10"/>
      <parameter name="Parameter182" parameterType="cell" cell="Cockpit!$D$11"/>
      <parameter name="Parameter183" parameterType="cell" cell="Cockpit!$D$12"/>
      <parameter name="Parameter184" parameterType="cell" cell="Cockpit!$D$9"/>
      <parameter name="Parameter185" parameterType="cell" cell="Cockpit!$D$10"/>
      <parameter name="Parameter186" parameterType="cell" cell="Cockpit!$D$11"/>
      <parameter name="Parameter187" parameterType="cell" cell="Cockpit!$D$12"/>
      <parameter name="Parameter188" parameterType="cell" cell="Cockpit!$D$9"/>
      <parameter name="Parameter189" parameterType="cell" cell="Cockpit!$D$10"/>
      <parameter name="Parameter190" parameterType="cell" cell="Cockpit!$D$11"/>
      <parameter name="Parameter191" parameterType="cell" cell="Cockpit!$D$12"/>
      <parameter name="Parameter192" parameterType="cell" cell="Cockpit!$D$9"/>
      <parameter name="Parameter193" parameterType="cell" cell="Cockpit!$D$10"/>
      <parameter name="Parameter194" parameterType="cell" cell="Cockpit!$D$11"/>
      <parameter name="Parameter195" parameterType="cell" cell="Cockpit!$D$12"/>
      <parameter name="Parameter196" parameterType="cell" cell="Cockpit!$D$9"/>
      <parameter name="Parameter197" parameterType="cell" cell="Cockpit!$D$10"/>
      <parameter name="Parameter198" parameterType="cell" cell="Cockpit!$D$11"/>
      <parameter name="Parameter199" parameterType="cell" cell="Cockpit!$D$12"/>
      <parameter name="Parameter200" parameterType="cell" cell="Cockpit!$D$9"/>
      <parameter name="Parameter201" parameterType="cell" cell="Cockpit!$D$10"/>
      <parameter name="Parameter202" parameterType="cell" cell="Cockpit!$D$11"/>
      <parameter name="Parameter203" parameterType="cell" cell="Cockpit!$D$12"/>
      <parameter name="Parameter204" parameterType="cell" cell="Cockpit!$D$9"/>
      <parameter name="Parameter205" parameterType="cell" cell="Cockpit!$D$10"/>
      <parameter name="Parameter206" parameterType="cell" cell="Cockpit!$D$11"/>
      <parameter name="Parameter207" parameterType="cell" cell="Cockpit!$D$12"/>
      <parameter name="Parameter208" parameterType="cell" cell="Cockpit!$D$9"/>
      <parameter name="Parameter209" parameterType="cell" cell="Cockpit!$D$10"/>
      <parameter name="Parameter210" parameterType="cell" cell="Cockpit!$D$11"/>
      <parameter name="Parameter211" parameterType="cell" cell="Cockpit!$D$12"/>
      <parameter name="Parameter212" parameterType="cell" cell="Cockpit!$D$9"/>
      <parameter name="Parameter213" parameterType="cell" cell="Cockpit!$D$10"/>
      <parameter name="Parameter214" parameterType="cell" cell="Cockpit!$D$11"/>
      <parameter name="Parameter215" parameterType="cell" cell="Cockpit!$D$12"/>
      <parameter name="Parameter216" parameterType="cell" cell="Cockpit!$D$9"/>
      <parameter name="Parameter217" parameterType="cell" cell="Cockpit!$D$10"/>
      <parameter name="Parameter218" parameterType="cell" cell="Cockpit!$D$11"/>
      <parameter name="Parameter219" parameterType="cell" cell="Cockpit!$D$12"/>
      <parameter name="Parameter220" parameterType="cell" cell="Cockpit!$D$9"/>
      <parameter name="Parameter221" parameterType="cell" cell="Cockpit!$D$10"/>
      <parameter name="Parameter222" parameterType="cell" cell="Cockpit!$D$11"/>
      <parameter name="Parameter223" parameterType="cell" cell="Cockpit!$D$12"/>
      <parameter name="Parameter224" parameterType="cell" cell="Cockpit!$D$9"/>
      <parameter name="Parameter225" parameterType="cell" cell="Cockpit!$D$10"/>
      <parameter name="Parameter226" parameterType="cell" cell="Cockpit!$D$11"/>
      <parameter name="Parameter227" parameterType="cell" cell="Cockpit!$D$12"/>
      <parameter name="Parameter228" parameterType="cell" cell="Cockpit!$D$9"/>
      <parameter name="Parameter229" parameterType="cell" cell="Cockpit!$D$9"/>
    </parameter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<sst xmlns="http://schemas.openxmlformats.org/spreadsheetml/2006/main" count="3313" uniqueCount="480">
  <si>
    <t>Reconciliação &amp; Data Quality | SRB - Valuation</t>
  </si>
  <si>
    <t>Selecionar os parâmetros a extrair</t>
  </si>
  <si>
    <t>Parâmetro</t>
  </si>
  <si>
    <t>Valor</t>
  </si>
  <si>
    <r>
      <t xml:space="preserve">Valor </t>
    </r>
    <r>
      <rPr>
        <b/>
        <i/>
        <sz val="10"/>
        <color rgb="FFFFFFFF"/>
        <rFont val="Santander Text"/>
        <family val="2"/>
      </rPr>
      <t>Query</t>
    </r>
  </si>
  <si>
    <t>Ref_date</t>
  </si>
  <si>
    <t>Âmbito</t>
  </si>
  <si>
    <t>SRB_VALUATION</t>
  </si>
  <si>
    <t>Perímetro</t>
  </si>
  <si>
    <t>Individual Local</t>
  </si>
  <si>
    <t>Entidade</t>
  </si>
  <si>
    <t>00100 - BANCO SANTANDER TOTTA</t>
  </si>
  <si>
    <t>Templates FINREP &amp; Segmentos SRB - Valuation | Resumo Reconciliação</t>
  </si>
  <si>
    <t>Segmento | SRB - Valuation</t>
  </si>
  <si>
    <t>FINREP | Carrying amount</t>
  </si>
  <si>
    <t>SRB - Valuation | Carrying amount</t>
  </si>
  <si>
    <t>Diferença</t>
  </si>
  <si>
    <t>Controlo Automático</t>
  </si>
  <si>
    <t>Diferença com justificação</t>
  </si>
  <si>
    <t>Controlo Justificações</t>
  </si>
  <si>
    <t>Comentários</t>
  </si>
  <si>
    <t>Exposures (Legal and Natural persons)</t>
  </si>
  <si>
    <t>Contrato de empresas não financeiras carregada numa conta de particulares.</t>
  </si>
  <si>
    <t>Off-balance sheet exposures</t>
  </si>
  <si>
    <t>Derivatives (componente Ativo)</t>
  </si>
  <si>
    <t>Derivatives (componente Passivo)</t>
  </si>
  <si>
    <t>Financial assets - Debt securities</t>
  </si>
  <si>
    <t>Financial assets - Equity</t>
  </si>
  <si>
    <t>Data Integrity &amp; Data Quality | Resumo Controlos</t>
  </si>
  <si>
    <t>Data Integrity
Duplicados | Integridade de Tabelas</t>
  </si>
  <si>
    <t>Data Quality
Missing Data | N/A | Catálogo</t>
  </si>
  <si>
    <r>
      <t xml:space="preserve">Threshold </t>
    </r>
    <r>
      <rPr>
        <b/>
        <sz val="10"/>
        <color rgb="FFFFFFFF"/>
        <rFont val="Santander Text"/>
        <family val="2"/>
      </rPr>
      <t>amarelo</t>
    </r>
  </si>
  <si>
    <r>
      <t xml:space="preserve">Threshold </t>
    </r>
    <r>
      <rPr>
        <b/>
        <sz val="10"/>
        <color rgb="FFFFFFFF"/>
        <rFont val="Santander Text"/>
        <family val="2"/>
      </rPr>
      <t>vermelho</t>
    </r>
  </si>
  <si>
    <t>Semáforo</t>
  </si>
  <si>
    <t>Exposures to legal persons</t>
  </si>
  <si>
    <t>Exposures to natural persons</t>
  </si>
  <si>
    <t>Derivatives</t>
  </si>
  <si>
    <t>Debt securities</t>
  </si>
  <si>
    <t>Equity</t>
  </si>
  <si>
    <t>chave_fr</t>
  </si>
  <si>
    <t>msaldo_final</t>
  </si>
  <si>
    <t>CMAH22222996020000000000000000</t>
  </si>
  <si>
    <t>F 01.01 - Balance Sheet Statement [Statement of Financial Position]: Assets</t>
  </si>
  <si>
    <t>Columns</t>
  </si>
  <si>
    <t>Carrying amount</t>
  </si>
  <si>
    <t>0010</t>
  </si>
  <si>
    <t>Cash, cash balances at central banks and other demand deposits</t>
  </si>
  <si>
    <t>1855552396</t>
  </si>
  <si>
    <t>Cash on hand</t>
  </si>
  <si>
    <t>0020</t>
  </si>
  <si>
    <t>364248940</t>
  </si>
  <si>
    <t>Cash balances at central banks</t>
  </si>
  <si>
    <t>0030</t>
  </si>
  <si>
    <t>1338375489</t>
  </si>
  <si>
    <t>Other demand deposits</t>
  </si>
  <si>
    <t>0040</t>
  </si>
  <si>
    <t>152927967</t>
  </si>
  <si>
    <t>Financial assets held for trading</t>
  </si>
  <si>
    <t>0050</t>
  </si>
  <si>
    <t>1548450085</t>
  </si>
  <si>
    <t>0060</t>
  </si>
  <si>
    <t>Equity instruments</t>
  </si>
  <si>
    <t>0070</t>
  </si>
  <si>
    <t>0</t>
  </si>
  <si>
    <t>0080</t>
  </si>
  <si>
    <t>Loans and advances</t>
  </si>
  <si>
    <t>0090</t>
  </si>
  <si>
    <t>Trading financial assets</t>
  </si>
  <si>
    <t>0091</t>
  </si>
  <si>
    <t>0092</t>
  </si>
  <si>
    <t>0093</t>
  </si>
  <si>
    <t>0094</t>
  </si>
  <si>
    <t>0095</t>
  </si>
  <si>
    <t>Non-trading financial assets mandatorily at fair value through profit or loss</t>
  </si>
  <si>
    <t>0096</t>
  </si>
  <si>
    <t>781433682</t>
  </si>
  <si>
    <t>0097</t>
  </si>
  <si>
    <t>142483472</t>
  </si>
  <si>
    <t>0098</t>
  </si>
  <si>
    <t>638950210</t>
  </si>
  <si>
    <t>0099</t>
  </si>
  <si>
    <t>Financial assets designated at fair value through profit or loss</t>
  </si>
  <si>
    <t>0100</t>
  </si>
  <si>
    <t>0110</t>
  </si>
  <si>
    <t>0120</t>
  </si>
  <si>
    <t>0130</t>
  </si>
  <si>
    <t>Financial assets at fair value through other comprehensive income</t>
  </si>
  <si>
    <t>0141</t>
  </si>
  <si>
    <t>3838285741</t>
  </si>
  <si>
    <t>0142</t>
  </si>
  <si>
    <t>174336421</t>
  </si>
  <si>
    <t>0143</t>
  </si>
  <si>
    <t>1240222904</t>
  </si>
  <si>
    <t>0144</t>
  </si>
  <si>
    <t>2423726416</t>
  </si>
  <si>
    <t>Non-trading non-derivative financial assets measured at fair value through profit or loss</t>
  </si>
  <si>
    <t>0171</t>
  </si>
  <si>
    <t>0172</t>
  </si>
  <si>
    <t>0173</t>
  </si>
  <si>
    <t>0174</t>
  </si>
  <si>
    <t>Non-trading non-derivative financial assets measured at fair value to equity</t>
  </si>
  <si>
    <t>0175</t>
  </si>
  <si>
    <t>0176</t>
  </si>
  <si>
    <t>0177</t>
  </si>
  <si>
    <t>0178</t>
  </si>
  <si>
    <t>Financial assets at amortised cost</t>
  </si>
  <si>
    <t>0181</t>
  </si>
  <si>
    <t>47587671521</t>
  </si>
  <si>
    <t>0182</t>
  </si>
  <si>
    <t>11825540750</t>
  </si>
  <si>
    <t>0183</t>
  </si>
  <si>
    <t>35762130771</t>
  </si>
  <si>
    <t>Non-trading non-derivative financial assets measured at a cost-based method</t>
  </si>
  <si>
    <t>0231</t>
  </si>
  <si>
    <t>0390</t>
  </si>
  <si>
    <t>0232</t>
  </si>
  <si>
    <t>0233</t>
  </si>
  <si>
    <t>Other non-trading non-derivative financial assets</t>
  </si>
  <si>
    <t>0234</t>
  </si>
  <si>
    <t>0235</t>
  </si>
  <si>
    <t>0236</t>
  </si>
  <si>
    <t>0237</t>
  </si>
  <si>
    <t>Derivatives – Hedge accounting</t>
  </si>
  <si>
    <t>0240</t>
  </si>
  <si>
    <t>144672708</t>
  </si>
  <si>
    <t>Fair value changes of the hedged items in portfolio hedge of interest rate risk</t>
  </si>
  <si>
    <t>0250</t>
  </si>
  <si>
    <t>Investments in subsidiaries, joint ventures and associates</t>
  </si>
  <si>
    <t>0260</t>
  </si>
  <si>
    <t>547607576</t>
  </si>
  <si>
    <t>Tangible assets</t>
  </si>
  <si>
    <t>0270</t>
  </si>
  <si>
    <t>254639354</t>
  </si>
  <si>
    <t>Property, plant and equipment</t>
  </si>
  <si>
    <t>0280</t>
  </si>
  <si>
    <t>Investment property</t>
  </si>
  <si>
    <t>0290</t>
  </si>
  <si>
    <t>Intangible assets</t>
  </si>
  <si>
    <t>0300</t>
  </si>
  <si>
    <t>34900533</t>
  </si>
  <si>
    <t>Goodwill</t>
  </si>
  <si>
    <t>0310</t>
  </si>
  <si>
    <t>Other intangible assets</t>
  </si>
  <si>
    <t>0320</t>
  </si>
  <si>
    <t>Tax assets</t>
  </si>
  <si>
    <t>0330</t>
  </si>
  <si>
    <t>107363451</t>
  </si>
  <si>
    <t>Current tax assets</t>
  </si>
  <si>
    <t>0340</t>
  </si>
  <si>
    <t>1614674</t>
  </si>
  <si>
    <t>Deferred tax assets</t>
  </si>
  <si>
    <t>0350</t>
  </si>
  <si>
    <t>105748777</t>
  </si>
  <si>
    <t>Other assets</t>
  </si>
  <si>
    <t>0360</t>
  </si>
  <si>
    <t>343409185</t>
  </si>
  <si>
    <t>Non-current assets and disposal groups classified as held for sale</t>
  </si>
  <si>
    <t>0370</t>
  </si>
  <si>
    <t>24302909</t>
  </si>
  <si>
    <t>(-) Haircuts for trading assets at fair value</t>
  </si>
  <si>
    <t>0375</t>
  </si>
  <si>
    <t>Total assets</t>
  </si>
  <si>
    <t>0380</t>
  </si>
  <si>
    <t>57068289141</t>
  </si>
  <si>
    <t>F 01.02 - Balance Sheet Statement [Statement of Financial Position]: Liabilities</t>
  </si>
  <si>
    <t>Financial liabilities held for trading</t>
  </si>
  <si>
    <t>1555249499</t>
  </si>
  <si>
    <t>Short positions</t>
  </si>
  <si>
    <t>Deposits</t>
  </si>
  <si>
    <t>Debt securities issued</t>
  </si>
  <si>
    <t>Other financial liabilities</t>
  </si>
  <si>
    <t>Trading financial liabilities</t>
  </si>
  <si>
    <t>0061</t>
  </si>
  <si>
    <t>0062</t>
  </si>
  <si>
    <t>0063</t>
  </si>
  <si>
    <t>0064</t>
  </si>
  <si>
    <t>0065</t>
  </si>
  <si>
    <t>0066</t>
  </si>
  <si>
    <t>Financial liabilities designated at fair value through profit or loss</t>
  </si>
  <si>
    <t>Financial liabilities measured at amortised cost</t>
  </si>
  <si>
    <t>50264040722</t>
  </si>
  <si>
    <t>43000336104</t>
  </si>
  <si>
    <t>5189849926</t>
  </si>
  <si>
    <t>0140</t>
  </si>
  <si>
    <t>2073854692</t>
  </si>
  <si>
    <t>Non-trading non-derivative financial liabilities measured at a cost-based method</t>
  </si>
  <si>
    <t>0150</t>
  </si>
  <si>
    <t>18344200</t>
  </si>
  <si>
    <t>0160</t>
  </si>
  <si>
    <t>Provisions</t>
  </si>
  <si>
    <t>0170</t>
  </si>
  <si>
    <t>123648218</t>
  </si>
  <si>
    <t>Funds for general banking risks [if presented within liabilities]</t>
  </si>
  <si>
    <t>Pension and other post employment defined benefit obligations</t>
  </si>
  <si>
    <t>0180</t>
  </si>
  <si>
    <t>14992247</t>
  </si>
  <si>
    <t>Other long term employee benefits</t>
  </si>
  <si>
    <t>0190</t>
  </si>
  <si>
    <t>Restructuring</t>
  </si>
  <si>
    <t>0200</t>
  </si>
  <si>
    <t>22241438</t>
  </si>
  <si>
    <t>Pending legal issues and tax litigation</t>
  </si>
  <si>
    <t>0210</t>
  </si>
  <si>
    <t>23852935</t>
  </si>
  <si>
    <t>Commitments and guarantees given</t>
  </si>
  <si>
    <t>0220</t>
  </si>
  <si>
    <t>51945717</t>
  </si>
  <si>
    <t>Other provisions</t>
  </si>
  <si>
    <t>0230</t>
  </si>
  <si>
    <t>10615881</t>
  </si>
  <si>
    <t>Tax liabilities</t>
  </si>
  <si>
    <t>520065541</t>
  </si>
  <si>
    <t>Current tax liabilities</t>
  </si>
  <si>
    <t>418946923</t>
  </si>
  <si>
    <t>Deferred tax liabilities</t>
  </si>
  <si>
    <t>101118618</t>
  </si>
  <si>
    <t>Share capital repayable on demand</t>
  </si>
  <si>
    <t>Other liabilities</t>
  </si>
  <si>
    <t>471281920</t>
  </si>
  <si>
    <t>Liabilities included in disposal groups classified as held for sale</t>
  </si>
  <si>
    <t>Haircuts for trading liabilities at fair value</t>
  </si>
  <si>
    <t>0295</t>
  </si>
  <si>
    <t>Total liabilities</t>
  </si>
  <si>
    <t>52952630100</t>
  </si>
  <si>
    <t>F 09.01.1 - Off-balance sheet exposures : Loan commitments, financial guarantees and other commitments given</t>
  </si>
  <si>
    <t>Nominal amount of off-balance sheet commitments under IFRS 9 impairment</t>
  </si>
  <si>
    <t>Provisions on off-balance sheet commitments under IFRS 9 impairment</t>
  </si>
  <si>
    <t>Other commitments measured under IAS 37 and financial guarantees measured under IFRS 4</t>
  </si>
  <si>
    <t>Commitments and guarantees measured at fair value</t>
  </si>
  <si>
    <t>Instruments without significant increase in credit risk since initial recognition (Stage 1)</t>
  </si>
  <si>
    <t>Instruments with significant increase in credit risk since initial recognition but not credit-impaired (Stage 2)_x000D_
(Stage 2)</t>
  </si>
  <si>
    <t>Credit-impaired instruments (Stage 3)</t>
  </si>
  <si>
    <t>Purchased or originated credit-impaired instruments</t>
  </si>
  <si>
    <t>Nominal amount</t>
  </si>
  <si>
    <t>Provision</t>
  </si>
  <si>
    <t>Accumulated negatives change in fair value due to credit risk on non-performing commitments</t>
  </si>
  <si>
    <t>0035</t>
  </si>
  <si>
    <t>Loan commitments given</t>
  </si>
  <si>
    <t>6691003698</t>
  </si>
  <si>
    <t>412798142</t>
  </si>
  <si>
    <t>19784715</t>
  </si>
  <si>
    <t>819456</t>
  </si>
  <si>
    <t>9295783</t>
  </si>
  <si>
    <t>8461164</t>
  </si>
  <si>
    <t>14254</t>
  </si>
  <si>
    <t>1319</t>
  </si>
  <si>
    <t>of which: non-performing</t>
  </si>
  <si>
    <t>0021</t>
  </si>
  <si>
    <t>Central banks</t>
  </si>
  <si>
    <t>General governments</t>
  </si>
  <si>
    <t>457270177</t>
  </si>
  <si>
    <t>2879046</t>
  </si>
  <si>
    <t>22799</t>
  </si>
  <si>
    <t>146</t>
  </si>
  <si>
    <t>Credit institutions</t>
  </si>
  <si>
    <t>140173561</t>
  </si>
  <si>
    <t>440000</t>
  </si>
  <si>
    <t>2010</t>
  </si>
  <si>
    <t>3</t>
  </si>
  <si>
    <t>Other financial corporations</t>
  </si>
  <si>
    <t>286794621</t>
  </si>
  <si>
    <t>526866</t>
  </si>
  <si>
    <t>292082</t>
  </si>
  <si>
    <t>119974</t>
  </si>
  <si>
    <t>32638</t>
  </si>
  <si>
    <t>Non-financial corporations</t>
  </si>
  <si>
    <t>4042715863</t>
  </si>
  <si>
    <t>193036853</t>
  </si>
  <si>
    <t>14262354</t>
  </si>
  <si>
    <t>3728657</t>
  </si>
  <si>
    <t>3328611</t>
  </si>
  <si>
    <t>Households</t>
  </si>
  <si>
    <t>1764049476</t>
  </si>
  <si>
    <t>215915377</t>
  </si>
  <si>
    <t>5230279</t>
  </si>
  <si>
    <t>5422343</t>
  </si>
  <si>
    <t>5099766</t>
  </si>
  <si>
    <t>Financial guarantees given</t>
  </si>
  <si>
    <t>358873008</t>
  </si>
  <si>
    <t>21227808</t>
  </si>
  <si>
    <t>16248557</t>
  </si>
  <si>
    <t>1976418</t>
  </si>
  <si>
    <t>637477</t>
  </si>
  <si>
    <t>566240</t>
  </si>
  <si>
    <t>11652982</t>
  </si>
  <si>
    <t>1362751</t>
  </si>
  <si>
    <t>0101</t>
  </si>
  <si>
    <t>16248556</t>
  </si>
  <si>
    <t>1609082</t>
  </si>
  <si>
    <t>1332221</t>
  </si>
  <si>
    <t>1464050</t>
  </si>
  <si>
    <t>15500</t>
  </si>
  <si>
    <t>309</t>
  </si>
  <si>
    <t>22</t>
  </si>
  <si>
    <t>47691876</t>
  </si>
  <si>
    <t>1693</t>
  </si>
  <si>
    <t>8366551</t>
  </si>
  <si>
    <t>402785</t>
  </si>
  <si>
    <t>4946</t>
  </si>
  <si>
    <t>1087</t>
  </si>
  <si>
    <t>298840030</t>
  </si>
  <si>
    <t>16890653</t>
  </si>
  <si>
    <t>16090975</t>
  </si>
  <si>
    <t>626753</t>
  </si>
  <si>
    <t>539062</t>
  </si>
  <si>
    <t>11540628</t>
  </si>
  <si>
    <t>2510501</t>
  </si>
  <si>
    <t>3918870</t>
  </si>
  <si>
    <t>157582</t>
  </si>
  <si>
    <t>3776</t>
  </si>
  <si>
    <t>26069</t>
  </si>
  <si>
    <t>112354</t>
  </si>
  <si>
    <t>Other Commitments given</t>
  </si>
  <si>
    <t>2386691880</t>
  </si>
  <si>
    <t>89580375</t>
  </si>
  <si>
    <t>86463541</t>
  </si>
  <si>
    <t>7542388</t>
  </si>
  <si>
    <t>1159148</t>
  </si>
  <si>
    <t>1355902</t>
  </si>
  <si>
    <t>16087641</t>
  </si>
  <si>
    <t>1351056</t>
  </si>
  <si>
    <t>6923827</t>
  </si>
  <si>
    <t>1330422</t>
  </si>
  <si>
    <t>8712251</t>
  </si>
  <si>
    <t>62691</t>
  </si>
  <si>
    <t>7689</t>
  </si>
  <si>
    <t>4</t>
  </si>
  <si>
    <t>373774916</t>
  </si>
  <si>
    <t>464053</t>
  </si>
  <si>
    <t>6505</t>
  </si>
  <si>
    <t>21966</t>
  </si>
  <si>
    <t>670091162</t>
  </si>
  <si>
    <t>60668</t>
  </si>
  <si>
    <t>47334</t>
  </si>
  <si>
    <t>498779</t>
  </si>
  <si>
    <t>35</t>
  </si>
  <si>
    <t>9467</t>
  </si>
  <si>
    <t>1291041382</t>
  </si>
  <si>
    <t>87198211</t>
  </si>
  <si>
    <t>84425460</t>
  </si>
  <si>
    <t>637651</t>
  </si>
  <si>
    <t>1262063</t>
  </si>
  <si>
    <t>15686332</t>
  </si>
  <si>
    <t>43072169</t>
  </si>
  <si>
    <t>1794752</t>
  </si>
  <si>
    <t>1990747</t>
  </si>
  <si>
    <t>8524</t>
  </si>
  <si>
    <t>71834</t>
  </si>
  <si>
    <t>391842</t>
  </si>
  <si>
    <t>Data Integrity | Duplicados</t>
  </si>
  <si>
    <t>Nome da Tabela</t>
  </si>
  <si>
    <t>Nome do campo</t>
  </si>
  <si>
    <t>Teste | Data Integrity</t>
  </si>
  <si>
    <t># Incidência</t>
  </si>
  <si>
    <t>Threshold</t>
  </si>
  <si>
    <t>lt002_instrument</t>
  </si>
  <si>
    <t>instrmnt_id</t>
  </si>
  <si>
    <t>Registos Duplicados</t>
  </si>
  <si>
    <t>#0</t>
  </si>
  <si>
    <t>lt003_entity</t>
  </si>
  <si>
    <t>entty_id</t>
  </si>
  <si>
    <t>lt004_protection</t>
  </si>
  <si>
    <t>prtctn_id</t>
  </si>
  <si>
    <t>lt005_instr_ent</t>
  </si>
  <si>
    <t>instrmnt_id &amp; entty_id</t>
  </si>
  <si>
    <t>lt006_instr_prot</t>
  </si>
  <si>
    <t>instrmnt_id &amp; prtctn_id</t>
  </si>
  <si>
    <t>Data Integrity | Integridade de Tabelas</t>
  </si>
  <si>
    <t>Nome da Tabela 1</t>
  </si>
  <si>
    <t>Nome da Tabela 2</t>
  </si>
  <si>
    <t>lt002_instrument contida na lt005_instr_ent</t>
  </si>
  <si>
    <t>lt003_entity contida na lt005_instr_ent</t>
  </si>
  <si>
    <t>lt004_protection contida na lt006_instr_prot</t>
  </si>
  <si>
    <t>lt005_instr_ent contida na lt002_instrument</t>
  </si>
  <si>
    <t>lt005_instr_ent contida na lt003_entity</t>
  </si>
  <si>
    <t>lt006_instr_prot contida na lt002_instr</t>
  </si>
  <si>
    <t>lt006_instr_prot contida na lt004_protection</t>
  </si>
  <si>
    <t>Data Quality | INSTRUMENT</t>
  </si>
  <si>
    <t>Teste | Data Quality</t>
  </si>
  <si>
    <t># Total NOKs</t>
  </si>
  <si>
    <t># Total de Resgistos</t>
  </si>
  <si>
    <t>% Incidência</t>
  </si>
  <si>
    <t>INTRNL_SGMNT</t>
  </si>
  <si>
    <t>Teste Missing Data</t>
  </si>
  <si>
    <t>Teste Not Applicable</t>
  </si>
  <si>
    <t>Teste Catálogo</t>
  </si>
  <si>
    <t>CRR_EXPOSURE_CLASS</t>
  </si>
  <si>
    <t>Data Quality | ENTITY</t>
  </si>
  <si>
    <t>EXTRNL_RTNG</t>
  </si>
  <si>
    <r>
      <t xml:space="preserve">EXTRNL_RTNG </t>
    </r>
    <r>
      <rPr>
        <vertAlign val="superscript"/>
        <sz val="10"/>
        <color rgb="FF000000"/>
        <rFont val="Santander Text"/>
        <family val="2"/>
      </rPr>
      <t>(1)</t>
    </r>
  </si>
  <si>
    <t>INTRNL_RTNG</t>
  </si>
  <si>
    <r>
      <t xml:space="preserve">INTRNL_RTNG </t>
    </r>
    <r>
      <rPr>
        <vertAlign val="superscript"/>
        <sz val="10"/>
        <color rgb="FF000000"/>
        <rFont val="Santander Text"/>
        <family val="2"/>
      </rPr>
      <t>(2)</t>
    </r>
  </si>
  <si>
    <t>PROBABILITY_DEFAULT_OTHERS</t>
  </si>
  <si>
    <r>
      <rPr>
        <vertAlign val="superscript"/>
        <sz val="10"/>
        <color rgb="FF000000"/>
        <rFont val="Santander Text"/>
        <family val="2"/>
      </rPr>
      <t>(1)</t>
    </r>
    <r>
      <rPr>
        <sz val="10"/>
        <color rgb="FF000000"/>
        <rFont val="Santander Text"/>
        <family val="2"/>
      </rPr>
      <t xml:space="preserve"> Uma vez que as contrapartes com rating externos são muito reduzidas, o controlo está a validar se existe pelo menos uma contraparte preenchida com rating externo. Caso para o segmento todas estejas como Not Applicable, o teste retorna 100% de incidência.</t>
    </r>
  </si>
  <si>
    <r>
      <rPr>
        <vertAlign val="superscript"/>
        <sz val="10"/>
        <color rgb="FF000000"/>
        <rFont val="Santander Text"/>
        <family val="2"/>
      </rPr>
      <t>(2)</t>
    </r>
    <r>
      <rPr>
        <sz val="10"/>
        <color rgb="FF000000"/>
        <rFont val="Santander Text"/>
        <family val="2"/>
      </rPr>
      <t xml:space="preserve"> Uma vez que o rating interno é atribuído somente a primeiros titulares, o controlo está a validar precisamente se os primeiros titulares têm um rating interno preenchido.</t>
    </r>
  </si>
  <si>
    <t>Data Quality | PROTECTION</t>
  </si>
  <si>
    <t>RL_ESTT_PST_CD</t>
  </si>
  <si>
    <t>TYP_PRTCTN</t>
  </si>
  <si>
    <t>GROSS_AREA</t>
  </si>
  <si>
    <r>
      <t xml:space="preserve">GROSS_AREA </t>
    </r>
    <r>
      <rPr>
        <vertAlign val="superscript"/>
        <sz val="10"/>
        <color rgb="FF000000"/>
        <rFont val="Santander Text"/>
        <family val="2"/>
      </rPr>
      <t>(1)</t>
    </r>
  </si>
  <si>
    <t>LAND_AREA</t>
  </si>
  <si>
    <r>
      <t xml:space="preserve">LAND_AREA </t>
    </r>
    <r>
      <rPr>
        <vertAlign val="superscript"/>
        <sz val="10"/>
        <color rgb="FF000000"/>
        <rFont val="Santander Text"/>
        <family val="2"/>
      </rPr>
      <t>(1)</t>
    </r>
  </si>
  <si>
    <t>LIEN_POSITION</t>
  </si>
  <si>
    <r>
      <rPr>
        <vertAlign val="superscript"/>
        <sz val="10"/>
        <color rgb="FF000000"/>
        <rFont val="Santander Text"/>
        <family val="2"/>
      </rPr>
      <t>(1)</t>
    </r>
    <r>
      <rPr>
        <sz val="10"/>
        <color rgb="FF000000"/>
        <rFont val="Santander Text"/>
        <family val="2"/>
      </rPr>
      <t xml:space="preserve"> Controlo aplicável apenas aos Type of Protection: "Residential real estate collateral", "Commercial real estate collateral" e "Offices and commercial premises".</t>
    </r>
  </si>
  <si>
    <t>CNTRCT_ID</t>
  </si>
  <si>
    <t>IMPRMNT_STTS</t>
  </si>
  <si>
    <r>
      <t xml:space="preserve">TYP_INTRST_RT </t>
    </r>
    <r>
      <rPr>
        <vertAlign val="superscript"/>
        <sz val="10"/>
        <color rgb="FF000000"/>
        <rFont val="Santander Text"/>
        <family val="2"/>
      </rPr>
      <t>(1)</t>
    </r>
  </si>
  <si>
    <t>Operações com o campo "COD_TIPO_TAXA_ACT" a vazio na tabela AL029_CNT_CORE_M.</t>
  </si>
  <si>
    <t>TYP_INTRST_RT</t>
  </si>
  <si>
    <t>ACCNTNG_CLSSFCTN</t>
  </si>
  <si>
    <t>PYMNT_FRQNCY</t>
  </si>
  <si>
    <r>
      <t xml:space="preserve">PYMNT_FRQNCY </t>
    </r>
    <r>
      <rPr>
        <vertAlign val="superscript"/>
        <sz val="10"/>
        <color rgb="FF000000"/>
        <rFont val="Santander Text"/>
        <family val="2"/>
      </rPr>
      <t>(2)</t>
    </r>
  </si>
  <si>
    <t>PRDNTL_PRTFL</t>
  </si>
  <si>
    <t>Root Cause: Operações em que a LT Estrutural estava e continua a definir o campo para aplicar apenas a Debt Securities.
Resolução: Para passar a incluir o conceito nos restantes segmentos, trata-se de uma alteração estrutural da LT e implica uma análise a fundo com a Contabilidade e alteração de parametrizações / desenvolvimento tecnológico.</t>
  </si>
  <si>
    <t>Resolução: Trata-se de operações totalmente titularizadas que não consomem capital. Pela especificação devem ser classificados como NA e não como missing values, pelo que já foi solicitado a tecnologia a sua correção.</t>
  </si>
  <si>
    <r>
      <t xml:space="preserve">CRR_EXPOSURE_CLASS </t>
    </r>
    <r>
      <rPr>
        <vertAlign val="superscript"/>
        <sz val="10"/>
        <color rgb="FF000000"/>
        <rFont val="Santander Text"/>
        <family val="2"/>
      </rPr>
      <t>(3)</t>
    </r>
  </si>
  <si>
    <t>N/A</t>
  </si>
  <si>
    <r>
      <rPr>
        <vertAlign val="superscript"/>
        <sz val="10"/>
        <color rgb="FF000000"/>
        <rFont val="Santander Text"/>
        <family val="2"/>
      </rPr>
      <t>(1)</t>
    </r>
    <r>
      <rPr>
        <sz val="10"/>
        <color rgb="FF000000"/>
        <rFont val="Santander Text"/>
        <family val="2"/>
      </rPr>
      <t xml:space="preserve"> Uma vez que o conceito não se aplica a todo o tipo de operações, o controlo está a considerar como ok os seguintes produtos "Cartões -011" e "DO -020".</t>
    </r>
  </si>
  <si>
    <r>
      <rPr>
        <vertAlign val="superscript"/>
        <sz val="10"/>
        <color rgb="FF000000"/>
        <rFont val="Santander Text"/>
        <family val="2"/>
      </rPr>
      <t>(2)</t>
    </r>
    <r>
      <rPr>
        <sz val="10"/>
        <color rgb="FF000000"/>
        <rFont val="Santander Text"/>
        <family val="2"/>
      </rPr>
      <t xml:space="preserve"> Uma vez que o conceito não se aplica a todo o tipo de operações, o controlo está a considerar como ok os seguintes produtos "Cartões -011",  "DO -020" , "Contas internas - 029" "Confirming - 007" e "Garantias Prestadas - 048.</t>
    </r>
  </si>
  <si>
    <r>
      <rPr>
        <vertAlign val="superscript"/>
        <sz val="10"/>
        <color rgb="FF000000"/>
        <rFont val="Santander Text"/>
        <family val="2"/>
      </rPr>
      <t>(3)</t>
    </r>
    <r>
      <rPr>
        <sz val="10"/>
        <color rgb="FF000000"/>
        <rFont val="Santander Text"/>
        <family val="2"/>
      </rPr>
      <t xml:space="preserve"> O controlo de Not Applicable não faz sentido aplicar ao conceito, uma vez que existem operações pela referência de risco totalmente titularizadas que não consomem capital.</t>
    </r>
  </si>
  <si>
    <r>
      <t xml:space="preserve">INTRNL_RTNG </t>
    </r>
    <r>
      <rPr>
        <vertAlign val="superscript"/>
        <sz val="10"/>
        <color rgb="FF000000"/>
        <rFont val="Santander Text"/>
        <family val="2"/>
      </rPr>
      <t>(1)</t>
    </r>
  </si>
  <si>
    <r>
      <rPr>
        <vertAlign val="superscript"/>
        <sz val="10"/>
        <color rgb="FF000000"/>
        <rFont val="Santander Text"/>
        <family val="2"/>
      </rPr>
      <t>(1)</t>
    </r>
    <r>
      <rPr>
        <sz val="10"/>
        <color rgb="FF000000"/>
        <rFont val="Santander Text"/>
        <family val="2"/>
      </rPr>
      <t xml:space="preserve"> Uma vez que o rating interno é atribuído somente a primeiros titulares, o controlo está a validar precisamente se os primeiros titulares têm um rating interno preenchido.</t>
    </r>
  </si>
  <si>
    <t>CNTRY</t>
  </si>
  <si>
    <t>ADDRESS_STREET</t>
  </si>
  <si>
    <t>Root Cause: Campo preenchido apenas a partir do rácio de Fev-25.
Resolução: Incidência resolvida a partir do rácio de Fev-25.</t>
  </si>
  <si>
    <t>ADDRESS_CITY_TOWN_VILLAGE</t>
  </si>
  <si>
    <t>ADDRESS_COUNTY_ADM_DIV</t>
  </si>
  <si>
    <t>INSTITUTIONAL_SECTOR</t>
  </si>
  <si>
    <t>PRDCT</t>
  </si>
  <si>
    <t>Root Cause: 496 operações preenchidas na LT001 com a carteira contabilística “derivados de cobertura” e “passivos financeiros detidos para negociacao”. Esta opção não se encontra ao dia de hoje parametrizada na tabela LT803.
Resolução: Já foi solicitado a Tecnologia a parametrização das carteiras contabilísticas em falta.</t>
  </si>
  <si>
    <t>CPN_CRRNCY</t>
  </si>
  <si>
    <r>
      <t xml:space="preserve">PYMNT_FRQNCY </t>
    </r>
    <r>
      <rPr>
        <vertAlign val="superscript"/>
        <sz val="10"/>
        <color rgb="FF000000"/>
        <rFont val="Santander Text"/>
        <family val="2"/>
      </rPr>
      <t>(1)</t>
    </r>
  </si>
  <si>
    <t>ASST_SCRT_CLSS</t>
  </si>
  <si>
    <r>
      <t xml:space="preserve">ASST_SCRT_CLSS </t>
    </r>
    <r>
      <rPr>
        <vertAlign val="superscript"/>
        <sz val="10"/>
        <color rgb="FF000000"/>
        <rFont val="Santander Text"/>
        <family val="2"/>
      </rPr>
      <t>(2)</t>
    </r>
  </si>
  <si>
    <t>CPN_RT</t>
  </si>
  <si>
    <r>
      <t xml:space="preserve">CPN_RT </t>
    </r>
    <r>
      <rPr>
        <vertAlign val="superscript"/>
        <sz val="10"/>
        <color rgb="FF000000"/>
        <rFont val="Santander Text"/>
        <family val="2"/>
      </rPr>
      <t>(2)</t>
    </r>
  </si>
  <si>
    <t>INSTR_SNRTY_CLSS</t>
  </si>
  <si>
    <t>INSTRMNT_CLSS</t>
  </si>
  <si>
    <t>ISIN</t>
  </si>
  <si>
    <t>Teste Duplicados</t>
  </si>
  <si>
    <t>Root Cause: 3 operações com ISIN duplicado.
Resolução: 2 dos ISIN sobre Papel Comercial vêm duplicadas da origem e já foi comunicada a Tecnologia para resolução. O 3ª ISIN encontra-se corretamente duplicado, uma vez que se trata de um título de dívida pública que tem uma parte numa carteira SIGOM e outra parte noutra, gerando assim 2 chaves distintas.</t>
  </si>
  <si>
    <t>ISSR_ID_TYP</t>
  </si>
  <si>
    <t>ISSR_NACE_SCTR</t>
  </si>
  <si>
    <t>ISSR_TYP</t>
  </si>
  <si>
    <t>VLTN_TYP</t>
  </si>
  <si>
    <t xml:space="preserve">Resolução: A LT terá de ser aprovisionada com esta informação que no presente é somente utilizada para um fim específico do reporte trimestral. </t>
  </si>
  <si>
    <r>
      <rPr>
        <vertAlign val="superscript"/>
        <sz val="10"/>
        <color rgb="FF000000"/>
        <rFont val="Santander Text"/>
        <family val="2"/>
      </rPr>
      <t>(1)</t>
    </r>
    <r>
      <rPr>
        <sz val="10"/>
        <color rgb="FF000000"/>
        <rFont val="Santander Text"/>
        <family val="2"/>
      </rPr>
      <t xml:space="preserve"> Uma vez que o conceito não se aplica a todo o tipo de operações, o controlo está a considerar como ok os seguintes produtos "Cartões -011",  "DO -020" , "Contas internas - 029" "Confirming - 007" e "Garantias Prestadas - 048.</t>
    </r>
  </si>
  <si>
    <r>
      <rPr>
        <vertAlign val="superscript"/>
        <sz val="10"/>
        <color rgb="FF000000"/>
        <rFont val="Santander Text"/>
        <family val="2"/>
      </rPr>
      <t>(2)</t>
    </r>
    <r>
      <rPr>
        <sz val="10"/>
        <color rgb="FF000000"/>
        <rFont val="Santander Text"/>
        <family val="2"/>
      </rPr>
      <t xml:space="preserve"> O controlo de Not Applicable não faz sentido aplicar ao conceito, uma vez que este pressupõe apenas ser preenchido para Títulos e Covered Bonds.</t>
    </r>
  </si>
  <si>
    <t>Root Cause: Operações classificadas com a Carteira Contabilística  'investimentos em associadas e filiais excluidas da consolidacao' a entrar erradamente no universo do Valuation.
Resolução: Solicitado à equipa de Tecnologia a exclusão das opereações de Equity com a respetiva Carteira Contabilística.</t>
  </si>
  <si>
    <t>Fonte Granular SRB - Valuation</t>
  </si>
  <si>
    <t>Reconciliação SRB - Valuation</t>
  </si>
  <si>
    <t>Data Quality | Instrument</t>
  </si>
  <si>
    <t>Data Quality | Entity</t>
  </si>
  <si>
    <t>Data Quality | Protection</t>
  </si>
  <si>
    <t>Data Quality | Duplicados</t>
  </si>
  <si>
    <t>segmento</t>
  </si>
  <si>
    <t>valor_bruto_on</t>
  </si>
  <si>
    <t>valor_bruto_off</t>
  </si>
  <si>
    <t>provisao_on</t>
  </si>
  <si>
    <t>provisao_off</t>
  </si>
  <si>
    <t>tipo_conta</t>
  </si>
  <si>
    <t>tabela</t>
  </si>
  <si>
    <t>cnt</t>
  </si>
  <si>
    <t>teste</t>
  </si>
  <si>
    <t>nome_do_campo</t>
  </si>
  <si>
    <t>descritivo_do_controlo</t>
  </si>
  <si>
    <t>total_noks</t>
  </si>
  <si>
    <t>total_registos</t>
  </si>
  <si>
    <t>nome_campo</t>
  </si>
  <si>
    <t>chave</t>
  </si>
  <si>
    <t>PTL634JM0025</t>
  </si>
  <si>
    <t>A</t>
  </si>
  <si>
    <t>PTS35VJM0035</t>
  </si>
  <si>
    <t>PTOTEROE0014</t>
  </si>
  <si>
    <t>P</t>
  </si>
  <si>
    <t>Segmento</t>
  </si>
  <si>
    <t>Individual Corporativo</t>
  </si>
  <si>
    <t>00280 - TOTTA IRELAND,PLC</t>
  </si>
  <si>
    <t>ST SGPS Cons</t>
  </si>
  <si>
    <t>Individual IDComb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</si>
</sst>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Aptos Narrow"/>
      <family val="2"/>
      <scheme val="minor"/>
    </font>
    <font>
      <b/>
      <sz val="11"/>
      <color theme="1"/>
      <name val="Aptos Narrow"/>
      <family val="2"/>
      <scheme val="minor"/>
    </font>
    <font>
      <b/>
      <sz val="10"/>
      <color rgb="FFFFFFFF"/>
      <name val="Santander Text"/>
      <family val="2"/>
    </font>
    <font>
      <sz val="10"/>
      <color rgb="FF000000"/>
      <name val="Santander Text"/>
      <family val="2"/>
    </font>
    <font>
      <b/>
      <i/>
      <sz val="10"/>
      <color rgb="FFFFFFFF"/>
      <name val="Santander Text"/>
      <family val="2"/>
    </font>
    <font>
      <b/>
      <sz val="10"/>
      <color theme="1"/>
      <name val="Santander Text"/>
      <family val="2"/>
    </font>
    <font>
      <sz val="9"/>
      <color indexed="12"/>
      <name val="Aptos Narrow"/>
      <family val="2"/>
      <scheme val="minor"/>
    </font>
    <font>
      <sz val="9"/>
      <color indexed="14"/>
      <name val="Aptos Narrow"/>
      <family val="2"/>
      <scheme val="minor"/>
    </font>
    <font>
      <sz val="9"/>
      <color indexed="16"/>
      <name val="Aptos Narrow"/>
      <family val="2"/>
      <scheme val="minor"/>
    </font>
    <font>
      <sz val="9"/>
      <color indexed="19"/>
      <name val="Aptos Narrow"/>
      <family val="2"/>
      <scheme val="minor"/>
    </font>
    <font>
      <sz val="9"/>
      <color indexed="81"/>
      <name val="Tahoma"/>
      <family val="2"/>
    </font>
    <font>
      <b/>
      <sz val="9"/>
      <color theme="1"/>
      <name val="Santander Text"/>
      <family val="2"/>
    </font>
    <font>
      <b/>
      <sz val="10"/>
      <color rgb="FFC00000"/>
      <name val="Santander Text"/>
      <family val="2"/>
    </font>
    <font>
      <sz val="8"/>
      <name val="Aptos Narrow"/>
      <family val="2"/>
      <scheme val="minor"/>
    </font>
    <font>
      <sz val="9"/>
      <color indexed="21"/>
      <name val="Aptos Narrow"/>
      <family val="2"/>
      <scheme val="minor"/>
    </font>
    <font>
      <sz val="9"/>
      <color indexed="17"/>
      <name val="Aptos Narrow"/>
      <family val="2"/>
      <scheme val="minor"/>
    </font>
    <font>
      <sz val="9"/>
      <color indexed="18"/>
      <name val="Aptos Narrow"/>
      <family val="2"/>
      <scheme val="minor"/>
    </font>
    <font>
      <sz val="9"/>
      <color indexed="20"/>
      <name val="Aptos Narrow"/>
      <family val="2"/>
      <scheme val="minor"/>
    </font>
    <font>
      <sz val="9"/>
      <color indexed="33"/>
      <name val="Aptos Narrow"/>
      <family val="2"/>
      <scheme val="minor"/>
    </font>
    <font>
      <sz val="9"/>
      <color theme="1"/>
      <name val="Santander Text"/>
      <family val="2"/>
    </font>
    <font>
      <sz val="10"/>
      <color theme="1"/>
      <name val="Santander Text"/>
      <family val="2"/>
    </font>
    <font>
      <sz val="10"/>
      <color theme="1"/>
      <name val="Aptos Narrow"/>
      <family val="2"/>
      <scheme val="minor"/>
    </font>
    <font>
      <vertAlign val="superscript"/>
      <sz val="10"/>
      <color rgb="FF000000"/>
      <name val="Santander Text"/>
      <family val="2"/>
    </font>
    <font>
      <sz val="10"/>
      <name val="Santander Text"/>
      <family val="2"/>
    </font>
  </fonts>
  <fills count="11">
    <fill>
      <patternFill patternType="none"/>
    </fill>
    <fill>
      <patternFill patternType="gray125"/>
    </fill>
    <fill>
      <patternFill patternType="solid">
        <fgColor rgb="FFFF0000"/>
        <bgColor indexed="64"/>
      </patternFill>
    </fill>
    <fill>
      <patternFill patternType="solid">
        <fgColor rgb="FFB00000"/>
        <bgColor indexed="64"/>
      </patternFill>
    </fill>
    <fill>
      <patternFill patternType="solid">
        <fgColor rgb="FF6E7678"/>
        <bgColor indexed="64"/>
      </patternFill>
    </fill>
    <fill>
      <patternFill patternType="solid">
        <fgColor theme="2"/>
        <bgColor indexed="64"/>
      </patternFill>
    </fill>
    <fill>
      <patternFill patternType="solid">
        <fgColor theme="0" tint="-0.14999847407452621"/>
        <bgColor indexed="64"/>
      </patternFill>
    </fill>
    <fill>
      <patternFill patternType="solid">
        <fgColor rgb="FFD8D8D8"/>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bgColor indexed="64"/>
      </patternFill>
    </fill>
  </fills>
  <borders count="10">
    <border>
      <left/>
      <right/>
      <top/>
      <bottom/>
      <diagonal/>
    </border>
    <border>
      <left style="medium">
        <color rgb="FFD0CECE"/>
      </left>
      <right style="medium">
        <color rgb="FFD0CECE"/>
      </right>
      <top style="medium">
        <color rgb="FFD0CECE"/>
      </top>
      <bottom style="medium">
        <color rgb="FFD0CECE"/>
      </bottom>
      <diagonal/>
    </border>
    <border>
      <left style="medium">
        <color rgb="FFD0CECE"/>
      </left>
      <right style="medium">
        <color rgb="FFD0CECE"/>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C00000"/>
      </bottom>
      <diagonal/>
    </border>
  </borders>
  <cellStyleXfs count="1">
    <xf numFmtId="0" fontId="0" fillId="0" borderId="0"/>
  </cellStyleXfs>
  <cellXfs count="86">
    <xf numFmtId="0" fontId="0" fillId="0" borderId="0" xfId="0"/>
    <xf numFmtId="0" fontId="0" fillId="2" borderId="0" xfId="0" applyFill="1"/>
    <xf numFmtId="0" fontId="0" fillId="2" borderId="0" xfId="0" applyFill="1" applyAlignment="1">
      <alignment horizontal="center" vertical="center"/>
    </xf>
    <xf numFmtId="0" fontId="0" fillId="0" borderId="0" xfId="0" applyAlignment="1">
      <alignment horizontal="center" vertical="center"/>
    </xf>
    <xf numFmtId="0" fontId="2" fillId="3" borderId="1" xfId="0" applyFont="1" applyFill="1" applyBorder="1" applyAlignment="1">
      <alignment horizontal="center" vertical="center" readingOrder="1"/>
    </xf>
    <xf numFmtId="0" fontId="2" fillId="4" borderId="2" xfId="0" applyFont="1" applyFill="1" applyBorder="1" applyAlignment="1">
      <alignment horizontal="center" vertical="center" readingOrder="1"/>
    </xf>
    <xf numFmtId="0" fontId="3" fillId="0" borderId="1" xfId="0" applyFont="1" applyBorder="1" applyAlignment="1">
      <alignment horizontal="center" readingOrder="1"/>
    </xf>
    <xf numFmtId="0" fontId="0" fillId="5" borderId="0" xfId="0" applyFill="1"/>
    <xf numFmtId="0" fontId="0" fillId="5" borderId="0" xfId="0" applyFill="1" applyAlignment="1">
      <alignment horizontal="center" vertical="center"/>
    </xf>
    <xf numFmtId="0" fontId="5" fillId="5" borderId="0" xfId="0" applyFont="1" applyFill="1"/>
    <xf numFmtId="0" fontId="0" fillId="0" borderId="0" xfId="0" applyAlignment="1">
      <alignment wrapText="1"/>
    </xf>
    <xf numFmtId="0" fontId="0" fillId="7" borderId="5" xfId="0" applyFill="1" applyBorder="1" applyAlignment="1">
      <alignment horizontal="left" vertical="top" wrapText="1"/>
    </xf>
    <xf numFmtId="0" fontId="0" fillId="7" borderId="5" xfId="0" quotePrefix="1" applyFill="1" applyBorder="1" applyAlignment="1">
      <alignment horizontal="left" vertical="top" wrapText="1"/>
    </xf>
    <xf numFmtId="0" fontId="0" fillId="7" borderId="6" xfId="0" applyFill="1" applyBorder="1" applyAlignment="1">
      <alignment horizontal="left" vertical="center" wrapText="1" indent="2"/>
    </xf>
    <xf numFmtId="0" fontId="0" fillId="7" borderId="5" xfId="0" quotePrefix="1" applyFill="1" applyBorder="1" applyAlignment="1">
      <alignment horizontal="left" vertical="center"/>
    </xf>
    <xf numFmtId="49" fontId="0" fillId="0" borderId="5" xfId="0" applyNumberFormat="1" applyBorder="1"/>
    <xf numFmtId="0" fontId="6" fillId="0" borderId="0" xfId="0" applyFont="1" applyAlignment="1">
      <alignment horizontal="left" vertical="top" wrapText="1"/>
    </xf>
    <xf numFmtId="0" fontId="7" fillId="0" borderId="0" xfId="0" applyFont="1" applyAlignment="1">
      <alignment horizontal="left" vertical="top" wrapText="1"/>
    </xf>
    <xf numFmtId="0" fontId="8" fillId="0" borderId="0" xfId="0" applyFont="1" applyAlignment="1">
      <alignment horizontal="left" vertical="top" wrapText="1"/>
    </xf>
    <xf numFmtId="0" fontId="9" fillId="0" borderId="0" xfId="0" applyFont="1" applyAlignment="1">
      <alignment horizontal="left" vertical="top" wrapText="1"/>
    </xf>
    <xf numFmtId="0" fontId="0" fillId="7" borderId="6" xfId="0" applyFill="1" applyBorder="1" applyAlignment="1">
      <alignment horizontal="left" vertical="center" wrapText="1" indent="4"/>
    </xf>
    <xf numFmtId="0" fontId="0" fillId="7" borderId="6" xfId="0" applyFill="1" applyBorder="1" applyAlignment="1">
      <alignment horizontal="left" vertical="center" wrapText="1"/>
    </xf>
    <xf numFmtId="0" fontId="3" fillId="0" borderId="1" xfId="0" quotePrefix="1" applyFont="1" applyBorder="1" applyAlignment="1">
      <alignment horizontal="center" readingOrder="1"/>
    </xf>
    <xf numFmtId="0" fontId="2" fillId="9" borderId="2" xfId="0" applyFont="1" applyFill="1" applyBorder="1" applyAlignment="1">
      <alignment horizontal="center" vertical="center" readingOrder="1"/>
    </xf>
    <xf numFmtId="14" fontId="3" fillId="0" borderId="1" xfId="0" quotePrefix="1" applyNumberFormat="1" applyFont="1" applyBorder="1" applyAlignment="1">
      <alignment horizontal="center" readingOrder="1"/>
    </xf>
    <xf numFmtId="0" fontId="12" fillId="0" borderId="0" xfId="0" applyFont="1"/>
    <xf numFmtId="0" fontId="3" fillId="8" borderId="1" xfId="0" applyFont="1" applyFill="1" applyBorder="1" applyAlignment="1">
      <alignment horizontal="center" readingOrder="1"/>
    </xf>
    <xf numFmtId="14" fontId="3" fillId="8" borderId="1" xfId="0" quotePrefix="1" applyNumberFormat="1" applyFont="1" applyFill="1" applyBorder="1" applyAlignment="1">
      <alignment horizontal="center" readingOrder="1"/>
    </xf>
    <xf numFmtId="4" fontId="3" fillId="0" borderId="1" xfId="0" applyNumberFormat="1" applyFont="1" applyBorder="1" applyAlignment="1">
      <alignment horizontal="center" readingOrder="1"/>
    </xf>
    <xf numFmtId="0" fontId="14" fillId="0" borderId="0" xfId="0" applyFont="1" applyAlignment="1">
      <alignment horizontal="left" vertical="top" wrapText="1"/>
    </xf>
    <xf numFmtId="0" fontId="2" fillId="3" borderId="1" xfId="0" applyFont="1" applyFill="1" applyBorder="1" applyAlignment="1">
      <alignment horizontal="left" vertical="center" wrapText="1" indent="1" readingOrder="1"/>
    </xf>
    <xf numFmtId="14" fontId="3" fillId="0" borderId="1" xfId="0" quotePrefix="1" applyNumberFormat="1" applyFont="1" applyBorder="1" applyAlignment="1">
      <alignment horizontal="left" indent="1" readingOrder="1"/>
    </xf>
    <xf numFmtId="0" fontId="2" fillId="4" borderId="1" xfId="0" applyFont="1" applyFill="1" applyBorder="1" applyAlignment="1">
      <alignment horizontal="center" vertical="center" wrapText="1" readingOrder="1"/>
    </xf>
    <xf numFmtId="4" fontId="11" fillId="0" borderId="1" xfId="0" quotePrefix="1" applyNumberFormat="1" applyFont="1" applyBorder="1" applyAlignment="1">
      <alignment horizontal="center" vertical="center"/>
    </xf>
    <xf numFmtId="0" fontId="12" fillId="0" borderId="9" xfId="0" applyFont="1" applyBorder="1"/>
    <xf numFmtId="0" fontId="0" fillId="0" borderId="9" xfId="0" applyBorder="1"/>
    <xf numFmtId="0" fontId="1" fillId="7" borderId="4" xfId="0" applyFont="1" applyFill="1" applyBorder="1" applyAlignment="1">
      <alignment horizontal="center" vertical="center"/>
    </xf>
    <xf numFmtId="0" fontId="15" fillId="0" borderId="0" xfId="0" applyFont="1" applyAlignment="1">
      <alignment horizontal="left" vertical="top" wrapText="1"/>
    </xf>
    <xf numFmtId="0" fontId="16" fillId="0" borderId="0" xfId="0" applyFont="1" applyAlignment="1">
      <alignment horizontal="left" vertical="top" wrapText="1"/>
    </xf>
    <xf numFmtId="0" fontId="17" fillId="0" borderId="0" xfId="0" applyFont="1" applyAlignment="1">
      <alignment horizontal="left" vertical="top" wrapText="1"/>
    </xf>
    <xf numFmtId="14" fontId="3" fillId="0" borderId="0" xfId="0" quotePrefix="1" applyNumberFormat="1" applyFont="1" applyAlignment="1">
      <alignment horizontal="left" indent="1" readingOrder="1"/>
    </xf>
    <xf numFmtId="4" fontId="11" fillId="0" borderId="0" xfId="0" quotePrefix="1" applyNumberFormat="1" applyFont="1" applyAlignment="1">
      <alignment horizontal="center" vertical="center"/>
    </xf>
    <xf numFmtId="0" fontId="2" fillId="10" borderId="1" xfId="0" applyFont="1" applyFill="1" applyBorder="1" applyAlignment="1">
      <alignment horizontal="center" vertical="center" wrapText="1" readingOrder="1"/>
    </xf>
    <xf numFmtId="4" fontId="3" fillId="0" borderId="1" xfId="0" quotePrefix="1" applyNumberFormat="1" applyFont="1" applyBorder="1" applyAlignment="1">
      <alignment horizontal="left" indent="1" readingOrder="1"/>
    </xf>
    <xf numFmtId="4" fontId="3" fillId="0" borderId="1" xfId="0" quotePrefix="1" applyNumberFormat="1" applyFont="1" applyBorder="1" applyAlignment="1">
      <alignment horizontal="center" readingOrder="1"/>
    </xf>
    <xf numFmtId="0" fontId="18" fillId="0" borderId="0" xfId="0" applyFont="1" applyAlignment="1">
      <alignment horizontal="left" vertical="top" wrapText="1"/>
    </xf>
    <xf numFmtId="0" fontId="2" fillId="3" borderId="1" xfId="0" applyFont="1" applyFill="1" applyBorder="1" applyAlignment="1">
      <alignment horizontal="left" vertical="center" indent="1" readingOrder="1"/>
    </xf>
    <xf numFmtId="4" fontId="3" fillId="0" borderId="1" xfId="0" applyNumberFormat="1" applyFont="1" applyBorder="1" applyAlignment="1">
      <alignment horizontal="left" indent="1" readingOrder="1"/>
    </xf>
    <xf numFmtId="0" fontId="2" fillId="3" borderId="0" xfId="0" applyFont="1" applyFill="1" applyAlignment="1">
      <alignment horizontal="center" vertical="center" readingOrder="1"/>
    </xf>
    <xf numFmtId="3" fontId="3" fillId="0" borderId="1" xfId="0" applyNumberFormat="1" applyFont="1" applyBorder="1" applyAlignment="1">
      <alignment horizontal="center" readingOrder="1"/>
    </xf>
    <xf numFmtId="0" fontId="2" fillId="4" borderId="1" xfId="0" applyFont="1" applyFill="1" applyBorder="1" applyAlignment="1">
      <alignment horizontal="center" vertical="center" readingOrder="1"/>
    </xf>
    <xf numFmtId="0" fontId="4" fillId="4" borderId="1" xfId="0" applyFont="1" applyFill="1" applyBorder="1" applyAlignment="1">
      <alignment horizontal="center" vertical="center" readingOrder="1"/>
    </xf>
    <xf numFmtId="4" fontId="19" fillId="0" borderId="1" xfId="0" quotePrefix="1" applyNumberFormat="1" applyFont="1" applyBorder="1" applyAlignment="1">
      <alignment horizontal="center" vertical="center"/>
    </xf>
    <xf numFmtId="0" fontId="2" fillId="10" borderId="1" xfId="0" applyFont="1" applyFill="1" applyBorder="1" applyAlignment="1">
      <alignment horizontal="left" vertical="center" indent="1" readingOrder="1"/>
    </xf>
    <xf numFmtId="10" fontId="3" fillId="0" borderId="1" xfId="0" quotePrefix="1" applyNumberFormat="1" applyFont="1" applyBorder="1" applyAlignment="1">
      <alignment horizontal="center" readingOrder="1"/>
    </xf>
    <xf numFmtId="4" fontId="3" fillId="0" borderId="0" xfId="0" quotePrefix="1" applyNumberFormat="1" applyFont="1" applyAlignment="1">
      <alignment horizontal="left" indent="1" readingOrder="1"/>
    </xf>
    <xf numFmtId="10" fontId="3" fillId="0" borderId="0" xfId="0" quotePrefix="1" applyNumberFormat="1" applyFont="1" applyAlignment="1">
      <alignment horizontal="center" readingOrder="1"/>
    </xf>
    <xf numFmtId="3" fontId="3" fillId="0" borderId="1" xfId="0" quotePrefix="1" applyNumberFormat="1" applyFont="1" applyBorder="1" applyAlignment="1">
      <alignment horizontal="center" readingOrder="1"/>
    </xf>
    <xf numFmtId="4" fontId="20" fillId="0" borderId="1" xfId="0" quotePrefix="1" applyNumberFormat="1" applyFont="1" applyBorder="1" applyAlignment="1">
      <alignment horizontal="center" vertical="center"/>
    </xf>
    <xf numFmtId="0" fontId="21" fillId="5" borderId="0" xfId="0" applyFont="1" applyFill="1"/>
    <xf numFmtId="0" fontId="21" fillId="5" borderId="0" xfId="0" applyFont="1" applyFill="1" applyAlignment="1">
      <alignment horizontal="center" vertical="center"/>
    </xf>
    <xf numFmtId="0" fontId="21" fillId="0" borderId="0" xfId="0" applyFont="1"/>
    <xf numFmtId="0" fontId="21" fillId="2" borderId="0" xfId="0" applyFont="1" applyFill="1"/>
    <xf numFmtId="0" fontId="21" fillId="2" borderId="0" xfId="0" applyFont="1" applyFill="1" applyAlignment="1">
      <alignment horizontal="center" vertical="center"/>
    </xf>
    <xf numFmtId="0" fontId="21" fillId="0" borderId="0" xfId="0" applyFont="1" applyAlignment="1">
      <alignment horizontal="center" vertical="center"/>
    </xf>
    <xf numFmtId="10" fontId="20" fillId="0" borderId="1" xfId="0" quotePrefix="1" applyNumberFormat="1" applyFont="1" applyBorder="1" applyAlignment="1">
      <alignment horizontal="center" vertical="center"/>
    </xf>
    <xf numFmtId="10" fontId="20" fillId="0" borderId="0" xfId="0" quotePrefix="1" applyNumberFormat="1" applyFont="1" applyAlignment="1">
      <alignment horizontal="center" vertical="center"/>
    </xf>
    <xf numFmtId="4" fontId="20" fillId="0" borderId="0" xfId="0" quotePrefix="1" applyNumberFormat="1" applyFont="1" applyAlignment="1">
      <alignment horizontal="center" vertical="center"/>
    </xf>
    <xf numFmtId="0" fontId="4" fillId="4" borderId="1" xfId="0" applyFont="1" applyFill="1" applyBorder="1" applyAlignment="1">
      <alignment horizontal="center" vertical="center" wrapText="1" readingOrder="1"/>
    </xf>
    <xf numFmtId="4" fontId="20" fillId="0" borderId="1" xfId="0" quotePrefix="1" applyNumberFormat="1" applyFont="1" applyBorder="1" applyAlignment="1">
      <alignment horizontal="left" vertical="center" indent="1"/>
    </xf>
    <xf numFmtId="0" fontId="3" fillId="0" borderId="0" xfId="0" applyFont="1" applyAlignment="1">
      <alignment horizontal="center" readingOrder="1"/>
    </xf>
    <xf numFmtId="4" fontId="3" fillId="0" borderId="0" xfId="0" applyNumberFormat="1" applyFont="1" applyAlignment="1">
      <alignment horizontal="center" readingOrder="1"/>
    </xf>
    <xf numFmtId="3" fontId="3" fillId="0" borderId="0" xfId="0" applyNumberFormat="1" applyFont="1" applyAlignment="1">
      <alignment horizontal="center" readingOrder="1"/>
    </xf>
    <xf numFmtId="3" fontId="21" fillId="0" borderId="0" xfId="0" applyNumberFormat="1" applyFont="1"/>
    <xf numFmtId="4" fontId="23" fillId="0" borderId="1" xfId="0" quotePrefix="1" applyNumberFormat="1" applyFont="1" applyBorder="1" applyAlignment="1">
      <alignment horizontal="left" vertical="center" wrapText="1" indent="1"/>
    </xf>
    <xf numFmtId="4" fontId="23" fillId="0" borderId="1" xfId="0" quotePrefix="1" applyNumberFormat="1" applyFont="1" applyBorder="1" applyAlignment="1">
      <alignment horizontal="left" vertical="center" indent="1"/>
    </xf>
    <xf numFmtId="0" fontId="1" fillId="7" borderId="3" xfId="0" applyFont="1" applyFill="1" applyBorder="1" applyAlignment="1">
      <alignment horizontal="left" vertical="center"/>
    </xf>
    <xf numFmtId="0" fontId="1" fillId="7" borderId="0" xfId="0" applyFont="1" applyFill="1" applyAlignment="1">
      <alignment horizontal="left" vertical="center"/>
    </xf>
    <xf numFmtId="0" fontId="1" fillId="7" borderId="4" xfId="0" applyFont="1" applyFill="1" applyBorder="1" applyAlignment="1">
      <alignment horizontal="center" vertical="center"/>
    </xf>
    <xf numFmtId="0" fontId="0" fillId="7" borderId="7" xfId="0" applyFill="1" applyBorder="1" applyAlignment="1">
      <alignment horizontal="left" vertical="top" wrapText="1"/>
    </xf>
    <xf numFmtId="0" fontId="0" fillId="7" borderId="8" xfId="0" applyFill="1" applyBorder="1" applyAlignment="1">
      <alignment horizontal="left" vertical="top" wrapText="1"/>
    </xf>
    <xf numFmtId="0" fontId="0" fillId="7" borderId="6" xfId="0" applyFill="1" applyBorder="1" applyAlignment="1">
      <alignment horizontal="left" vertical="top" wrapText="1"/>
    </xf>
    <xf numFmtId="0" fontId="12" fillId="6" borderId="7" xfId="0" applyFont="1" applyFill="1" applyBorder="1" applyAlignment="1">
      <alignment horizontal="left" indent="1"/>
    </xf>
    <xf numFmtId="0" fontId="12" fillId="6" borderId="8" xfId="0" applyFont="1" applyFill="1" applyBorder="1" applyAlignment="1">
      <alignment horizontal="left" indent="1"/>
    </xf>
    <xf numFmtId="0" fontId="12" fillId="6" borderId="6" xfId="0" applyFont="1" applyFill="1" applyBorder="1" applyAlignment="1">
      <alignment horizontal="left" indent="1"/>
    </xf>
    <xf numFmtId="0" fontId="12" fillId="6" borderId="5" xfId="0" applyFont="1" applyFill="1" applyBorder="1" applyAlignment="1">
      <alignment horizontal="left" indent="1"/>
    </xf>
  </cellXfs>
  <cellStyles count="1">
    <cellStyle name="Normal" xfId="0" builtinId="0"/>
  </cellStyles>
  <dxfs count="47">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3" formatCode="#,##0"/>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numFmt numFmtId="4" formatCode="#,##0.00"/>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border diagonalUp="0" diagonalDown="0">
        <left style="medium">
          <color rgb="FFD0CECE"/>
        </left>
        <right style="medium">
          <color rgb="FFD0CECE"/>
        </right>
        <top style="medium">
          <color rgb="FFD0CECE"/>
        </top>
        <bottom style="medium">
          <color rgb="FFD0CECE"/>
        </bottom>
        <vertical/>
        <horizontal/>
      </border>
    </dxf>
    <dxf>
      <font>
        <b val="0"/>
        <i val="0"/>
        <strike val="0"/>
        <condense val="0"/>
        <extend val="0"/>
        <outline val="0"/>
        <shadow val="0"/>
        <u val="none"/>
        <vertAlign val="baseline"/>
        <sz val="10"/>
        <color rgb="FF000000"/>
        <name val="Santander Text"/>
        <family val="2"/>
        <scheme val="none"/>
      </font>
      <alignment horizontal="center" vertical="bottom" textRotation="0" wrapText="0" indent="0" justifyLastLine="0" shrinkToFit="0" readingOrder="1"/>
    </dxf>
  </dxfs>
  <tableStyles count="0" defaultTableStyle="TableStyleMedium2" defaultPivotStyle="PivotStyleLight16"/>
  <colors>
    <mruColors>
      <color rgb="FFFEF3E6"/>
      <color rgb="FFFDEEDB"/>
      <color rgb="FFFCDFBC"/>
      <color rgb="FFFACF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55668</xdr:colOff>
      <xdr:row>0</xdr:row>
      <xdr:rowOff>115422</xdr:rowOff>
    </xdr:from>
    <xdr:to>
      <xdr:col>1</xdr:col>
      <xdr:colOff>1240093</xdr:colOff>
      <xdr:row>1</xdr:row>
      <xdr:rowOff>131887</xdr:rowOff>
    </xdr:to>
    <xdr:pic>
      <xdr:nvPicPr>
        <xdr:cNvPr id="2" name="Gráfico 10">
          <a:extLst>
            <a:ext uri="{FF2B5EF4-FFF2-40B4-BE49-F238E27FC236}">
              <a16:creationId xmlns:a16="http://schemas.microsoft.com/office/drawing/2014/main" id="{616ABA54-9C70-4FEB-889A-BD09009419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4268" y="115422"/>
          <a:ext cx="1184425" cy="197440"/>
        </a:xfrm>
        <a:prstGeom prst="rect">
          <a:avLst/>
        </a:prstGeom>
      </xdr:spPr>
    </xdr:pic>
    <xdr:clientData/>
  </xdr:twoCellAnchor>
  <xdr:twoCellAnchor>
    <xdr:from>
      <xdr:col>4</xdr:col>
      <xdr:colOff>267551</xdr:colOff>
      <xdr:row>9</xdr:row>
      <xdr:rowOff>41729</xdr:rowOff>
    </xdr:from>
    <xdr:to>
      <xdr:col>4</xdr:col>
      <xdr:colOff>1615440</xdr:colOff>
      <xdr:row>11</xdr:row>
      <xdr:rowOff>0</xdr:rowOff>
    </xdr:to>
    <xdr:sp macro="[0]!Extrair_LT" textlink="">
      <xdr:nvSpPr>
        <xdr:cNvPr id="3" name="Rectangle: Rounded Corners 2">
          <a:extLst>
            <a:ext uri="{FF2B5EF4-FFF2-40B4-BE49-F238E27FC236}">
              <a16:creationId xmlns:a16="http://schemas.microsoft.com/office/drawing/2014/main" id="{6126BD34-E5CA-B0C5-2191-70E37A5B91A4}"/>
            </a:ext>
          </a:extLst>
        </xdr:cNvPr>
        <xdr:cNvSpPr/>
      </xdr:nvSpPr>
      <xdr:spPr>
        <a:xfrm>
          <a:off x="7552271" y="1634309"/>
          <a:ext cx="1347889" cy="385172"/>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latin typeface="Santander Text" panose="020B0504020201020104" pitchFamily="34" charset="0"/>
            </a:rPr>
            <a:t>Atualizar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135697</xdr:rowOff>
    </xdr:to>
    <xdr:pic>
      <xdr:nvPicPr>
        <xdr:cNvPr id="2" name="Gráfico 10">
          <a:extLst>
            <a:ext uri="{FF2B5EF4-FFF2-40B4-BE49-F238E27FC236}">
              <a16:creationId xmlns:a16="http://schemas.microsoft.com/office/drawing/2014/main" id="{A6865BDF-B207-4F3E-8D33-274AEDEA03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6805" cy="2031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135697</xdr:rowOff>
    </xdr:to>
    <xdr:pic>
      <xdr:nvPicPr>
        <xdr:cNvPr id="2" name="Gráfico 10">
          <a:extLst>
            <a:ext uri="{FF2B5EF4-FFF2-40B4-BE49-F238E27FC236}">
              <a16:creationId xmlns:a16="http://schemas.microsoft.com/office/drawing/2014/main" id="{5F990FDB-7B04-42C4-9B2D-F9CFA0CB24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4265" cy="20315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135697</xdr:rowOff>
    </xdr:to>
    <xdr:pic>
      <xdr:nvPicPr>
        <xdr:cNvPr id="2" name="Gráfico 10">
          <a:extLst>
            <a:ext uri="{FF2B5EF4-FFF2-40B4-BE49-F238E27FC236}">
              <a16:creationId xmlns:a16="http://schemas.microsoft.com/office/drawing/2014/main" id="{07F30696-7E88-4B65-8276-EA29B48B3E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4265" cy="20315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135697</xdr:rowOff>
    </xdr:to>
    <xdr:pic>
      <xdr:nvPicPr>
        <xdr:cNvPr id="2" name="Gráfico 10">
          <a:extLst>
            <a:ext uri="{FF2B5EF4-FFF2-40B4-BE49-F238E27FC236}">
              <a16:creationId xmlns:a16="http://schemas.microsoft.com/office/drawing/2014/main" id="{8B3DC531-05E7-45C7-BE2E-958F9D84A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4265" cy="20315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144164</xdr:rowOff>
    </xdr:to>
    <xdr:pic>
      <xdr:nvPicPr>
        <xdr:cNvPr id="2" name="Gráfico 10">
          <a:extLst>
            <a:ext uri="{FF2B5EF4-FFF2-40B4-BE49-F238E27FC236}">
              <a16:creationId xmlns:a16="http://schemas.microsoft.com/office/drawing/2014/main" id="{30E5BB57-1D7D-4E3C-BBE5-6DA3693205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4265" cy="20315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59478</xdr:colOff>
      <xdr:row>0</xdr:row>
      <xdr:rowOff>115422</xdr:rowOff>
    </xdr:from>
    <xdr:to>
      <xdr:col>1</xdr:col>
      <xdr:colOff>1233743</xdr:colOff>
      <xdr:row>1</xdr:row>
      <xdr:rowOff>144164</xdr:rowOff>
    </xdr:to>
    <xdr:pic>
      <xdr:nvPicPr>
        <xdr:cNvPr id="2" name="Gráfico 10">
          <a:extLst>
            <a:ext uri="{FF2B5EF4-FFF2-40B4-BE49-F238E27FC236}">
              <a16:creationId xmlns:a16="http://schemas.microsoft.com/office/drawing/2014/main" id="{6B3FDBE9-AEAD-4454-B753-BB6494AEE8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8078" y="115422"/>
          <a:ext cx="1174265" cy="20315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57236</xdr:colOff>
      <xdr:row>0</xdr:row>
      <xdr:rowOff>93345</xdr:rowOff>
    </xdr:from>
    <xdr:to>
      <xdr:col>1</xdr:col>
      <xdr:colOff>1241488</xdr:colOff>
      <xdr:row>1</xdr:row>
      <xdr:rowOff>136653</xdr:rowOff>
    </xdr:to>
    <xdr:pic>
      <xdr:nvPicPr>
        <xdr:cNvPr id="2" name="Gráfico 10">
          <a:extLst>
            <a:ext uri="{FF2B5EF4-FFF2-40B4-BE49-F238E27FC236}">
              <a16:creationId xmlns:a16="http://schemas.microsoft.com/office/drawing/2014/main" id="{1BD23200-1D77-4069-83A0-601D3579AF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5836" y="104775"/>
          <a:ext cx="1184252" cy="212853"/>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Impala PRO_1" adjustColumnWidth="0" connectionId="1" xr16:uid="{8A523C93-2E44-4938-B06B-1A41C54D7597}" autoFormatId="16" applyNumberFormats="0" applyBorderFormats="0" applyFontFormats="0" applyPatternFormats="0" applyAlignmentFormats="0" applyWidthHeightFormats="0">
  <queryTableRefresh preserveSortFilterLayout="0" nextId="7">
    <queryTableFields count="6">
      <queryTableField id="1" name="segmento" tableColumnId="20"/>
      <queryTableField id="2" name="valor_bruto_on" tableColumnId="21"/>
      <queryTableField id="3" name="valor_bruto_off" tableColumnId="22"/>
      <queryTableField id="4" name="provisao_on" tableColumnId="23"/>
      <queryTableField id="5" name="provisao_off" tableColumnId="24"/>
      <queryTableField id="6" name="tipo_conta"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_from_Impala_PRO_1_1" adjustColumnWidth="0" connectionId="2" xr16:uid="{F387208F-9206-4439-B95A-0CDC816048DF}" autoFormatId="16" applyNumberFormats="0" applyBorderFormats="0" applyFontFormats="0" applyPatternFormats="0" applyAlignmentFormats="0" applyWidthHeightFormats="0">
  <queryTableRefresh preserveSortFilterLayout="0" nextId="7">
    <queryTableFields count="6">
      <queryTableField id="1" name="tabela" tableColumnId="13"/>
      <queryTableField id="2" name="segmento" tableColumnId="14"/>
      <queryTableField id="3" name="instrmnt_id" tableColumnId="15"/>
      <queryTableField id="4" name="entty_id" tableColumnId="16"/>
      <queryTableField id="5" name="prtctn_id" tableColumnId="17"/>
      <queryTableField id="6" name="cnt"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_from_Impala_PRO_1_1_1" adjustColumnWidth="0" connectionId="3" xr16:uid="{9262EDD5-C420-4F7B-86AF-4928DE91F4BA}" autoFormatId="16" applyNumberFormats="0" applyBorderFormats="0" applyFontFormats="0" applyPatternFormats="0" applyAlignmentFormats="0" applyWidthHeightFormats="0">
  <queryTableRefresh preserveSortFilterLayout="0" nextId="6">
    <queryTableFields count="5">
      <queryTableField id="1" name="teste" tableColumnId="1"/>
      <queryTableField id="2" name="segmento" tableColumnId="2"/>
      <queryTableField id="3" name="instrmnt_id" tableColumnId="3"/>
      <queryTableField id="4" name="entty_id" tableColumnId="4"/>
      <queryTableField id="5" name="prtctn_i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_from_Impala_PRO_1_1_1_1_1" adjustColumnWidth="0" connectionId="4" xr16:uid="{6BDE8F2A-778E-4055-9A99-74562C291E17}" autoFormatId="16" applyNumberFormats="0" applyBorderFormats="0" applyFontFormats="0" applyPatternFormats="0" applyAlignmentFormats="0" applyWidthHeightFormats="0">
  <queryTableRefresh preserveSortFilterLayout="0" nextId="7">
    <queryTableFields count="6">
      <queryTableField id="1" name="tabela" tableColumnId="7"/>
      <queryTableField id="2" name="segmento" tableColumnId="8"/>
      <queryTableField id="3" name="nome_do_campo" tableColumnId="9"/>
      <queryTableField id="4" name="descritivo_do_controlo" tableColumnId="10"/>
      <queryTableField id="5" name="total_noks" tableColumnId="11"/>
      <queryTableField id="6" name="total_registos"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_from_Impala_PRO_1_1_1_1_1_1" adjustColumnWidth="0" connectionId="5" xr16:uid="{FC5335CB-4587-4368-85C9-4F4A9033073F}" autoFormatId="16" applyNumberFormats="0" applyBorderFormats="0" applyFontFormats="0" applyPatternFormats="0" applyAlignmentFormats="0" applyWidthHeightFormats="0">
  <queryTableRefresh preserveSortFilterLayout="0" nextId="7">
    <queryTableFields count="6">
      <queryTableField id="1" name="tabela" tableColumnId="1"/>
      <queryTableField id="2" name="segmento" tableColumnId="2"/>
      <queryTableField id="3" name="nome_do_campo" tableColumnId="3"/>
      <queryTableField id="4" name="descritivo_do_controlo" tableColumnId="4"/>
      <queryTableField id="5" name="total_noks" tableColumnId="5"/>
      <queryTableField id="6" name="total_registos"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_from_Impala_PRO_1_1_1_1_1_2" adjustColumnWidth="0" connectionId="7" xr16:uid="{E82CB35B-629A-43FD-8CAE-C20C665C919B}" autoFormatId="16" applyNumberFormats="0" applyBorderFormats="0" applyFontFormats="0" applyPatternFormats="0" applyAlignmentFormats="0" applyWidthHeightFormats="0">
  <queryTableRefresh preserveSortFilterLayout="0" nextId="7">
    <queryTableFields count="6">
      <queryTableField id="1" name="tabela" tableColumnId="1"/>
      <queryTableField id="2" name="segmento" tableColumnId="2"/>
      <queryTableField id="3" name="nome_do_campo" tableColumnId="3"/>
      <queryTableField id="4" name="descritivo_do_controlo" tableColumnId="4"/>
      <queryTableField id="5" name="total_noks" tableColumnId="5"/>
      <queryTableField id="6" name="total_registos"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_from_Impala_PRO_1_1_1_1_1_1_2" adjustColumnWidth="0" connectionId="6" xr16:uid="{7FC5B398-0263-4327-9AA3-D4312F96F9BA}" autoFormatId="16" applyNumberFormats="0" applyBorderFormats="0" applyFontFormats="0" applyPatternFormats="0" applyAlignmentFormats="0" applyWidthHeightFormats="0">
  <queryTableRefresh preserveSortFilterLayout="0" nextId="6">
    <queryTableFields count="5">
      <queryTableField id="1" name="tabela" tableColumnId="13"/>
      <queryTableField id="2" name="segmento" tableColumnId="14"/>
      <queryTableField id="3" name="nome_campo" tableColumnId="15"/>
      <queryTableField id="4" name="chave" tableColumnId="16"/>
      <queryTableField id="5" name="cnt" tableColumnId="1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6AA14A-6E52-4D6E-8BF3-48D0D2B4E752}" name="Componente_Ativo" displayName="Componente_Ativo" ref="B10:G17" tableType="queryTable" totalsRowShown="0" dataDxfId="46">
  <sortState xmlns:xlrd2="http://schemas.microsoft.com/office/spreadsheetml/2017/richdata2" ref="B11:G17">
    <sortCondition ref="B10:B17"/>
  </sortState>
  <tableColumns count="6">
    <tableColumn id="20" xr3:uid="{BFE5173C-6C1C-474E-A9A5-675A2E94EDCF}" uniqueName="20" name="segmento" queryTableFieldId="1" dataDxfId="45"/>
    <tableColumn id="21" xr3:uid="{5EAF55D1-3D93-4576-8DEE-F8C5B4B3A1C3}" uniqueName="21" name="valor_bruto_on" queryTableFieldId="2" dataDxfId="44"/>
    <tableColumn id="22" xr3:uid="{0D03659E-0285-4D5E-AC9A-F075FFF8CD11}" uniqueName="22" name="valor_bruto_off" queryTableFieldId="3" dataDxfId="43"/>
    <tableColumn id="23" xr3:uid="{D7A59BD8-2D7F-49F1-8D56-8310C520ED30}" uniqueName="23" name="provisao_on" queryTableFieldId="4" dataDxfId="42"/>
    <tableColumn id="24" xr3:uid="{77AC1231-98BC-4112-91BF-C3B959E2BC2A}" uniqueName="24" name="provisao_off" queryTableFieldId="5" dataDxfId="41"/>
    <tableColumn id="25" xr3:uid="{AB1D93F9-98EC-479A-A4F6-4CD2BCE2BF0E}" uniqueName="25" name="tipo_conta" queryTableFieldId="6" dataDxfId="4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7A5CA1-C12E-4A6B-A1A7-5127F2482EF8}" name="Componente_Passivo" displayName="Componente_Passivo" ref="I10:N11" tableType="queryTable" insertRow="1" totalsRowShown="0" dataDxfId="39">
  <tableColumns count="6">
    <tableColumn id="13" xr3:uid="{646645E8-FC18-4289-8B4F-7F1BD553D125}" uniqueName="13" name="tabela" queryTableFieldId="1" dataDxfId="38"/>
    <tableColumn id="14" xr3:uid="{28976252-0FBD-4B56-8D4C-D57570A80C64}" uniqueName="14" name="segmento" queryTableFieldId="2" dataDxfId="37"/>
    <tableColumn id="15" xr3:uid="{7ADA98E5-D662-4CD8-B98C-E7BAF45737D5}" uniqueName="15" name="instrmnt_id" queryTableFieldId="3" dataDxfId="36"/>
    <tableColumn id="16" xr3:uid="{C193AF1E-EDCB-451B-B1B7-A7DC04DE7E6F}" uniqueName="16" name="entty_id" queryTableFieldId="4" dataDxfId="35"/>
    <tableColumn id="17" xr3:uid="{A9CEBCA5-7B66-4851-87F1-87C99F57739B}" uniqueName="17" name="prtctn_id" queryTableFieldId="5" dataDxfId="34"/>
    <tableColumn id="18" xr3:uid="{DA298BC7-550D-4063-A879-59EAE96AD3C2}" uniqueName="18" name="cnt" queryTableFieldId="6" dataDxfId="3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F1E364-4205-47F9-84CD-CF208166E572}" name="Componente_EA" displayName="Componente_EA" ref="P10:T11" tableType="queryTable" insertRow="1" totalsRowShown="0" dataDxfId="32">
  <tableColumns count="5">
    <tableColumn id="1" xr3:uid="{148B16EE-356D-4C15-AEE7-1DA2DF8CDC75}" uniqueName="1" name="teste" queryTableFieldId="1" dataDxfId="31"/>
    <tableColumn id="2" xr3:uid="{950B73F6-4E81-43B2-A74E-D1808309E84E}" uniqueName="2" name="segmento" queryTableFieldId="2" dataDxfId="30"/>
    <tableColumn id="3" xr3:uid="{8B92C66A-21AB-4E9D-B717-ED7913E83B82}" uniqueName="3" name="instrmnt_id" queryTableFieldId="3" dataDxfId="29"/>
    <tableColumn id="4" xr3:uid="{5CB2AE9D-7B79-4D29-9603-1872B01BFF2C}" uniqueName="4" name="entty_id" queryTableFieldId="4" dataDxfId="28"/>
    <tableColumn id="5" xr3:uid="{9C68F6B0-1ACD-46A9-A9A3-7B8B9CFB3D7A}" uniqueName="5" name="prtctn_id" queryTableFieldId="5" dataDxfId="2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2C7149-83CE-41B9-AA24-7A3F04B750EE}" name="Componente_EA56" displayName="Componente_EA56" ref="AC10:AH67" tableType="queryTable" totalsRowShown="0" dataDxfId="26">
  <sortState xmlns:xlrd2="http://schemas.microsoft.com/office/spreadsheetml/2017/richdata2" ref="AC11:AH67">
    <sortCondition ref="AE10:AE67"/>
  </sortState>
  <tableColumns count="6">
    <tableColumn id="7" xr3:uid="{383D32A7-6FDC-499E-B2CF-5847038C3179}" uniqueName="7" name="tabela" queryTableFieldId="1" dataDxfId="25"/>
    <tableColumn id="8" xr3:uid="{53579446-E09B-45D8-957F-F1FE30A96478}" uniqueName="8" name="segmento" queryTableFieldId="2" dataDxfId="24"/>
    <tableColumn id="9" xr3:uid="{BA88E438-2161-41DC-8D90-8510CB90B4EA}" uniqueName="9" name="nome_do_campo" queryTableFieldId="3" dataDxfId="23"/>
    <tableColumn id="10" xr3:uid="{8927566D-80BD-4D37-8586-A6BC48675EA8}" uniqueName="10" name="descritivo_do_controlo" queryTableFieldId="4" dataDxfId="22"/>
    <tableColumn id="11" xr3:uid="{E38C1028-4E77-432F-85BC-D161A32C9596}" uniqueName="11" name="total_noks" queryTableFieldId="5" dataDxfId="21"/>
    <tableColumn id="12" xr3:uid="{17DF3E9A-8469-49E7-A395-B13C5EED4963}" uniqueName="12" name="total_registos" queryTableFieldId="6" dataDxfId="20"/>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19F8E1-62A4-46FF-9F6E-B5F00B025A43}" name="Componente_EA567" displayName="Componente_EA567" ref="AJ10:AO46" tableType="queryTable" totalsRowShown="0" dataDxfId="19">
  <sortState xmlns:xlrd2="http://schemas.microsoft.com/office/spreadsheetml/2017/richdata2" ref="AJ11:AO46">
    <sortCondition ref="AL10:AL46"/>
  </sortState>
  <tableColumns count="6">
    <tableColumn id="1" xr3:uid="{D946CD78-05DC-4173-9238-48ED18940EBC}" uniqueName="1" name="tabela" queryTableFieldId="1" dataDxfId="18"/>
    <tableColumn id="2" xr3:uid="{512498C0-3C1C-4595-99EF-1592897A2EC4}" uniqueName="2" name="segmento" queryTableFieldId="2" dataDxfId="17"/>
    <tableColumn id="3" xr3:uid="{EF3467EC-919A-4B59-B17B-7CA1C73C08C5}" uniqueName="3" name="nome_do_campo" queryTableFieldId="3" dataDxfId="16"/>
    <tableColumn id="4" xr3:uid="{44FECB9F-EED4-412A-829B-E874F04DFED6}" uniqueName="4" name="descritivo_do_controlo" queryTableFieldId="4" dataDxfId="15"/>
    <tableColumn id="5" xr3:uid="{92C21734-25E1-4932-A9CE-A23B8805E0BB}" uniqueName="5" name="total_noks" queryTableFieldId="5" dataDxfId="14"/>
    <tableColumn id="6" xr3:uid="{9169E8AE-560C-408C-9C1C-EE3AE591C190}" uniqueName="6" name="total_registos" queryTableFieldId="6" dataDxfId="13"/>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3CA6149-65AD-47CA-9164-02ADAE5AA0B2}" name="Componente_EA569" displayName="Componente_EA569" ref="V10:AA310" tableType="queryTable" totalsRowShown="0" dataDxfId="12">
  <sortState xmlns:xlrd2="http://schemas.microsoft.com/office/spreadsheetml/2017/richdata2" ref="V11:AA310">
    <sortCondition ref="X10:X310"/>
  </sortState>
  <tableColumns count="6">
    <tableColumn id="1" xr3:uid="{E624CCC2-1996-42B1-BB56-1972D6AC3537}" uniqueName="1" name="tabela" queryTableFieldId="1" dataDxfId="11"/>
    <tableColumn id="2" xr3:uid="{D3E3D937-5FA0-48D2-9053-00265BEF2436}" uniqueName="2" name="segmento" queryTableFieldId="2" dataDxfId="10"/>
    <tableColumn id="3" xr3:uid="{DF48CA05-F416-4418-84AF-1CD7486B9A96}" uniqueName="3" name="nome_do_campo" queryTableFieldId="3" dataDxfId="9"/>
    <tableColumn id="4" xr3:uid="{E176C906-51E8-4E57-8A36-4567586CAB41}" uniqueName="4" name="descritivo_do_controlo" queryTableFieldId="4" dataDxfId="8"/>
    <tableColumn id="5" xr3:uid="{13AF9A5F-2E17-4CEA-ACF9-086A63EEF54E}" uniqueName="5" name="total_noks" queryTableFieldId="5" dataDxfId="7"/>
    <tableColumn id="6" xr3:uid="{FF6F8165-B7B9-4F2A-8D16-A559B6DB06E9}" uniqueName="6" name="total_registos" queryTableFieldId="6" dataDxfId="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1B1A23-C413-46CC-8252-6D0EB41A0D83}" name="Componente_EA5678" displayName="Componente_EA5678" ref="AQ10:AU13" tableType="queryTable" totalsRowShown="0" dataDxfId="5">
  <sortState xmlns:xlrd2="http://schemas.microsoft.com/office/spreadsheetml/2017/richdata2" ref="AQ11:AV13">
    <sortCondition ref="AS10:AS13"/>
  </sortState>
  <tableColumns count="5">
    <tableColumn id="13" xr3:uid="{17F69873-9AF8-4209-B529-C40A21CAB35B}" uniqueName="13" name="tabela" queryTableFieldId="1" dataDxfId="4"/>
    <tableColumn id="14" xr3:uid="{CC1F5C36-A37C-4883-B2AC-08256D19A68C}" uniqueName="14" name="segmento" queryTableFieldId="2" dataDxfId="3"/>
    <tableColumn id="15" xr3:uid="{E518A5B4-193F-4027-8AE1-620CC9DB7F82}" uniqueName="15" name="nome_campo" queryTableFieldId="3" dataDxfId="2"/>
    <tableColumn id="16" xr3:uid="{A1973B66-FF0A-4842-AAC8-C2AFE3686C1B}" uniqueName="16" name="chave" queryTableFieldId="4" dataDxfId="1"/>
    <tableColumn id="17" xr3:uid="{385C0914-79F1-42A7-A7D7-2283A4754EDD}" uniqueName="17" name="cnt" queryTableFieldId="5"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drawing" Target="../drawings/drawing8.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D3F6-6EB4-4DA3-A21F-D5A0F2C77205}">
  <sheetPr codeName="Sheet7">
    <tabColor theme="3" tint="0.749992370372631"/>
  </sheetPr>
  <dimension ref="A1:J204"/>
  <sheetViews>
    <sheetView showGridLines="0" zoomScale="90" zoomScaleNormal="90" workbookViewId="0"/>
  </sheetViews>
  <sheetFormatPr defaultColWidth="0" defaultRowHeight="13.8"/>
  <cols>
    <col min="1" max="1" width="3.296875" customWidth="1"/>
    <col min="2" max="2" width="38.8984375" customWidth="1"/>
    <col min="3" max="4" width="33.296875" customWidth="1"/>
    <col min="5" max="8" width="20" customWidth="1"/>
    <col min="9" max="9" width="75.296875" customWidth="1"/>
    <col min="10" max="10" width="3.296875" customWidth="1"/>
    <col min="11" max="16384" width="8.59765625" hidden="1"/>
  </cols>
  <sheetData>
    <row r="1" spans="1:10">
      <c r="A1" s="7"/>
      <c r="B1" s="7"/>
      <c r="C1" s="7"/>
      <c r="D1" s="8"/>
      <c r="E1" s="8"/>
      <c r="F1" s="7"/>
      <c r="G1" s="7"/>
      <c r="H1" s="7"/>
      <c r="I1" s="7"/>
      <c r="J1" s="7"/>
    </row>
    <row r="2" spans="1:10">
      <c r="A2" s="7"/>
      <c r="B2" s="7"/>
      <c r="C2" s="7"/>
      <c r="D2" s="8"/>
      <c r="E2" s="8"/>
      <c r="F2" s="7"/>
      <c r="G2" s="7"/>
      <c r="H2" s="7"/>
      <c r="I2" s="7"/>
      <c r="J2" s="7"/>
    </row>
    <row r="3" spans="1:10" ht="16.5" customHeight="1">
      <c r="A3" s="7"/>
      <c r="B3" s="9" t="s">
        <v>0</v>
      </c>
      <c r="C3" s="7"/>
      <c r="D3" s="8"/>
      <c r="E3" s="8"/>
      <c r="F3" s="7"/>
      <c r="G3" s="7"/>
      <c r="H3" s="7"/>
      <c r="I3" s="7"/>
      <c r="J3" s="7"/>
    </row>
    <row r="4" spans="1:10" ht="1.5" customHeight="1">
      <c r="A4" s="1"/>
      <c r="B4" s="1"/>
      <c r="C4" s="1"/>
      <c r="D4" s="2"/>
      <c r="E4" s="2"/>
      <c r="F4" s="1"/>
      <c r="G4" s="1"/>
      <c r="H4" s="1"/>
      <c r="I4" s="1"/>
      <c r="J4" s="1"/>
    </row>
    <row r="5" spans="1:10">
      <c r="D5" s="3"/>
      <c r="E5" s="3"/>
    </row>
    <row r="6" spans="1:10" ht="16.2">
      <c r="B6" s="34" t="s">
        <v>1</v>
      </c>
      <c r="C6" s="35"/>
      <c r="D6" s="35"/>
    </row>
    <row r="7" spans="1:10" ht="14.4" thickBot="1">
      <c r="D7" s="3"/>
      <c r="E7" s="3"/>
    </row>
    <row r="8" spans="1:10" ht="16.8" thickBot="1">
      <c r="B8" s="4" t="s">
        <v>2</v>
      </c>
      <c r="C8" s="5" t="s">
        <v>3</v>
      </c>
      <c r="D8" s="23" t="s">
        <v>4</v>
      </c>
    </row>
    <row r="9" spans="1:10" ht="16.8" thickBot="1">
      <c r="B9" s="26" t="s">
        <v>5</v>
      </c>
      <c r="C9" s="24">
        <v>45657</v>
      </c>
      <c r="D9" s="27" t="str">
        <f>YEAR(C9)&amp;"-"&amp;TEXT(MONTH(C9),"00")&amp;"-"&amp;TEXT(DAY(C9),"00")</f>
        <v>2024-12-31</v>
      </c>
    </row>
    <row r="10" spans="1:10" ht="16.8" thickBot="1">
      <c r="B10" s="26" t="s">
        <v>6</v>
      </c>
      <c r="C10" s="6" t="s">
        <v>7</v>
      </c>
      <c r="D10" s="26" t="str">
        <f>C10</f>
        <v>SRB_VALUATION</v>
      </c>
    </row>
    <row r="11" spans="1:10" ht="16.8" thickBot="1">
      <c r="B11" s="26" t="s">
        <v>8</v>
      </c>
      <c r="C11" s="6" t="s">
        <v>9</v>
      </c>
      <c r="D11" s="26" t="str">
        <f>C11</f>
        <v>Individual Local</v>
      </c>
    </row>
    <row r="12" spans="1:10" ht="16.8" thickBot="1">
      <c r="B12" s="26" t="s">
        <v>10</v>
      </c>
      <c r="C12" s="6" t="s">
        <v>11</v>
      </c>
      <c r="D12" s="26" t="str">
        <f>LEFT(C12,5)</f>
        <v>00100</v>
      </c>
      <c r="E12" s="3"/>
    </row>
    <row r="13" spans="1:10">
      <c r="D13" s="3"/>
      <c r="E13" s="3"/>
    </row>
    <row r="15" spans="1:10" ht="16.2">
      <c r="B15" s="34" t="s">
        <v>12</v>
      </c>
      <c r="C15" s="35"/>
      <c r="D15" s="35"/>
      <c r="E15" s="35"/>
      <c r="F15" s="35"/>
      <c r="G15" s="35"/>
      <c r="H15" s="35"/>
      <c r="I15" s="35"/>
    </row>
    <row r="16" spans="1:10" ht="14.4" thickBot="1"/>
    <row r="17" spans="2:9" ht="38.4" customHeight="1" thickBot="1">
      <c r="B17" s="30" t="s">
        <v>13</v>
      </c>
      <c r="C17" s="42" t="s">
        <v>14</v>
      </c>
      <c r="D17" s="42" t="s">
        <v>15</v>
      </c>
      <c r="E17" s="42" t="s">
        <v>16</v>
      </c>
      <c r="F17" s="32" t="s">
        <v>17</v>
      </c>
      <c r="G17" s="42" t="s">
        <v>18</v>
      </c>
      <c r="H17" s="32" t="s">
        <v>19</v>
      </c>
      <c r="I17" s="32" t="s">
        <v>20</v>
      </c>
    </row>
    <row r="18" spans="2:9" ht="16.8" thickBot="1">
      <c r="B18" s="31" t="s">
        <v>21</v>
      </c>
      <c r="C18" s="44">
        <f>_xlfn.NUMBERVALUE('Input F 01.01'!D9)+_xlfn.NUMBERVALUE('Input F 01.01'!D10)+_xlfn.NUMBERVALUE('Input F 01.01'!D15)+_xlfn.NUMBERVALUE('Input F 01.01'!D24)+_xlfn.NUMBERVALUE('Input F 01.01'!D28)+_xlfn.NUMBERVALUE('Input F 01.01'!D32)+_xlfn.NUMBERVALUE('Input F 01.01'!D43)</f>
        <v>39677160643</v>
      </c>
      <c r="D18" s="44">
        <f>SUMIFS(Componente_Ativo[valor_bruto_on],Componente_Ativo[segmento],"Exposures to natural persons")+SUMIFS(Componente_Ativo[valor_bruto_on],Componente_Ativo[segmento],"Exposures to legal persons")-SUMIFS(Componente_Ativo[provisao_on],Componente_Ativo[segmento],"Exposures to natural persons")-SUMIFS(Componente_Ativo[provisao_on],Componente_Ativo[segmento],"Exposures to legal persons")</f>
        <v>39677160008.659996</v>
      </c>
      <c r="E18" s="44">
        <f t="shared" ref="E18:E23" si="0">C18-D18</f>
        <v>634.34000396728516</v>
      </c>
      <c r="F18" s="33">
        <f>ABS(E18)</f>
        <v>634.34000396728516</v>
      </c>
      <c r="G18" s="44">
        <f>E18+SUMIFS('Valuation | Justificações'!C:C,'Valuation | Justificações'!A:A,Cockpit!B18)</f>
        <v>1.0700039672851744</v>
      </c>
      <c r="H18" s="33">
        <f>ABS(G18)</f>
        <v>1.0700039672851744</v>
      </c>
      <c r="I18" s="43" t="s">
        <v>22</v>
      </c>
    </row>
    <row r="19" spans="2:9" ht="16.8" thickBot="1">
      <c r="B19" s="31" t="s">
        <v>23</v>
      </c>
      <c r="C19" s="44">
        <f>_xlfn.NUMBERVALUE('Input F 09.01.1'!D8)+_xlfn.NUMBERVALUE('Input F 09.01.1'!E8)+_xlfn.NUMBERVALUE('Input F 09.01.1'!F8)+_xlfn.NUMBERVALUE('Input F 09.01.1'!G8)+_xlfn.NUMBERVALUE('Input F 09.01.1'!D16)+_xlfn.NUMBERVALUE('Input F 09.01.1'!E16)+_xlfn.NUMBERVALUE('Input F 09.01.1'!F16)+_xlfn.NUMBERVALUE('Input F 09.01.1'!G16)+_xlfn.NUMBERVALUE('Input F 09.01.1'!D24)+_xlfn.NUMBERVALUE('Input F 09.01.1'!E24)+_xlfn.NUMBERVALUE('Input F 09.01.1'!F24)+_xlfn.NUMBERVALUE('Input F 09.01.1'!G24)
-_xlfn.NUMBERVALUE('Input F 09.01.1'!H8)-_xlfn.NUMBERVALUE('Input F 09.01.1'!I8)-_xlfn.NUMBERVALUE('Input F 09.01.1'!J8)-_xlfn.NUMBERVALUE('Input F 09.01.1'!K8)-_xlfn.NUMBERVALUE('Input F 09.01.1'!H16)-_xlfn.NUMBERVALUE('Input F 09.01.1'!I16)-_xlfn.NUMBERVALUE('Input F 09.01.1'!J16)-_xlfn.NUMBERVALUE('Input F 09.01.1'!K16)-_xlfn.NUMBERVALUE('Input F 09.01.1'!H24)-_xlfn.NUMBERVALUE('Input F 09.01.1'!I24)-_xlfn.NUMBERVALUE('Input F 09.01.1'!J24)-_xlfn.NUMBERVALUE('Input F 09.01.1'!K24)</f>
        <v>10041064269</v>
      </c>
      <c r="D19" s="44">
        <f>SUMIFS(Componente_Ativo[valor_bruto_off],Componente_Ativo[segmento],"Off-balance sheet exposures")-SUMIFS(Componente_Ativo[provisao_off],Componente_Ativo[segmento],"Off-balance sheet exposures")</f>
        <v>10041064269.939999</v>
      </c>
      <c r="E19" s="44">
        <f>C19-D19</f>
        <v>-0.93999862670898438</v>
      </c>
      <c r="F19" s="33">
        <f t="shared" ref="F19:F23" si="1">ABS(E19)</f>
        <v>0.93999862670898438</v>
      </c>
      <c r="G19" s="44">
        <f>E19+SUMIFS('Valuation | Justificações'!C:C,'Valuation | Justificações'!A:A,Cockpit!B19)</f>
        <v>-0.93999862670898438</v>
      </c>
      <c r="H19" s="33">
        <f t="shared" ref="H19:H23" si="2">ABS(G19)</f>
        <v>0.93999862670898438</v>
      </c>
      <c r="I19" s="43"/>
    </row>
    <row r="20" spans="2:9" ht="16.8" thickBot="1">
      <c r="B20" s="31" t="s">
        <v>24</v>
      </c>
      <c r="C20" s="44">
        <f>_xlfn.NUMBERVALUE('Input F 01.01'!D12)+_xlfn.NUMBERVALUE('Input F 01.01'!D52)</f>
        <v>1693122793</v>
      </c>
      <c r="D20" s="44">
        <f>SUMIFS(Componente_Ativo[valor_bruto_on],Componente_Ativo[segmento],"Derivatives",Componente_Ativo[tipo_conta],"A")</f>
        <v>1693122792.2</v>
      </c>
      <c r="E20" s="44">
        <f t="shared" si="0"/>
        <v>0.79999995231628418</v>
      </c>
      <c r="F20" s="33">
        <f t="shared" si="1"/>
        <v>0.79999995231628418</v>
      </c>
      <c r="G20" s="44">
        <f>E20+SUMIFS('Valuation | Justificações'!C:C,'Valuation | Justificações'!A:A,Cockpit!B20)</f>
        <v>0.79999995231628418</v>
      </c>
      <c r="H20" s="33">
        <f t="shared" si="2"/>
        <v>0.79999995231628418</v>
      </c>
      <c r="I20" s="43"/>
    </row>
    <row r="21" spans="2:9" ht="16.8" thickBot="1">
      <c r="B21" s="31" t="s">
        <v>25</v>
      </c>
      <c r="C21" s="44">
        <f>_xlfn.NUMBERVALUE('Input F 01.02'!D8)+_xlfn.NUMBERVALUE('Input F 01.02'!D31)</f>
        <v>1573593699</v>
      </c>
      <c r="D21" s="44">
        <f>ABS(SUMIFS(Componente_Ativo[valor_bruto_on],Componente_Ativo[segmento],"Derivatives",Componente_Ativo[tipo_conta],"P"))</f>
        <v>1573593699.6099999</v>
      </c>
      <c r="E21" s="44">
        <f t="shared" si="0"/>
        <v>-0.6099998950958252</v>
      </c>
      <c r="F21" s="33">
        <f t="shared" si="1"/>
        <v>0.6099998950958252</v>
      </c>
      <c r="G21" s="44">
        <f>E21+SUMIFS('Valuation | Justificações'!C:C,'Valuation | Justificações'!A:A,Cockpit!B21)</f>
        <v>-0.6099998950958252</v>
      </c>
      <c r="H21" s="33">
        <f t="shared" si="2"/>
        <v>0.6099998950958252</v>
      </c>
      <c r="I21" s="43"/>
    </row>
    <row r="22" spans="2:9" ht="16.8" thickBot="1">
      <c r="B22" s="31" t="s">
        <v>26</v>
      </c>
      <c r="C22" s="44">
        <f>_xlfn.NUMBERVALUE('Input F 01.01'!D14)+_xlfn.NUMBERVALUE('Input F 01.01'!D23)+_xlfn.NUMBERVALUE('Input F 01.01'!D27)+_xlfn.NUMBERVALUE('Input F 01.01'!D31)+_xlfn.NUMBERVALUE('Input F 01.01'!D42)</f>
        <v>13704713864</v>
      </c>
      <c r="D22" s="44">
        <f>SUMIFS(Componente_Ativo[valor_bruto_on],Componente_Ativo[segmento],"Debt securities")-SUMIFS(Componente_Ativo[provisao_on],Componente_Ativo[segmento],"Debt securities")</f>
        <v>13704713863.940001</v>
      </c>
      <c r="E22" s="44">
        <f t="shared" si="0"/>
        <v>5.9999465942382813E-2</v>
      </c>
      <c r="F22" s="33">
        <f t="shared" si="1"/>
        <v>5.9999465942382813E-2</v>
      </c>
      <c r="G22" s="44">
        <f>E22+SUMIFS('Valuation | Justificações'!C:C,'Valuation | Justificações'!A:A,Cockpit!B22)</f>
        <v>5.9999465942382813E-2</v>
      </c>
      <c r="H22" s="33">
        <f t="shared" si="2"/>
        <v>5.9999465942382813E-2</v>
      </c>
      <c r="I22" s="43"/>
    </row>
    <row r="23" spans="2:9" ht="16.8" thickBot="1">
      <c r="B23" s="31" t="s">
        <v>27</v>
      </c>
      <c r="C23" s="44">
        <f>_xlfn.NUMBERVALUE('Input F 01.01'!D13)+_xlfn.NUMBERVALUE('Input F 01.01'!D22)+_xlfn.NUMBERVALUE('Input F 01.01'!D30)+_xlfn.NUMBERVALUE('Input F 01.01'!D54)</f>
        <v>864427469</v>
      </c>
      <c r="D23" s="44">
        <f>SUMIFS(Componente_Ativo[valor_bruto_on],Componente_Ativo[segmento],"Equity")</f>
        <v>864427468.67999995</v>
      </c>
      <c r="E23" s="44">
        <f t="shared" si="0"/>
        <v>0.3200000524520874</v>
      </c>
      <c r="F23" s="33">
        <f t="shared" si="1"/>
        <v>0.3200000524520874</v>
      </c>
      <c r="G23" s="44">
        <f>E23+SUMIFS('Valuation | Justificações'!C:C,'Valuation | Justificações'!A:A,Cockpit!B23)</f>
        <v>0.3200000524520874</v>
      </c>
      <c r="H23" s="33">
        <f t="shared" si="2"/>
        <v>0.3200000524520874</v>
      </c>
      <c r="I23" s="43"/>
    </row>
    <row r="24" spans="2:9" ht="16.2">
      <c r="B24" s="40"/>
      <c r="C24" s="40"/>
      <c r="D24" s="41"/>
      <c r="E24" s="40"/>
    </row>
    <row r="25" spans="2:9" ht="16.2">
      <c r="B25" s="40"/>
    </row>
    <row r="26" spans="2:9" ht="16.2">
      <c r="B26" s="34" t="s">
        <v>28</v>
      </c>
      <c r="C26" s="35"/>
      <c r="D26" s="35"/>
      <c r="E26" s="35"/>
      <c r="F26" s="35"/>
      <c r="G26" s="35"/>
    </row>
    <row r="27" spans="2:9" ht="14.4" thickBot="1"/>
    <row r="28" spans="2:9" ht="38.4" customHeight="1" thickBot="1">
      <c r="B28" s="30" t="s">
        <v>13</v>
      </c>
      <c r="C28" s="42" t="s">
        <v>29</v>
      </c>
      <c r="D28" s="42" t="s">
        <v>30</v>
      </c>
      <c r="E28" s="68" t="s">
        <v>31</v>
      </c>
      <c r="F28" s="68" t="s">
        <v>32</v>
      </c>
      <c r="G28" s="50" t="s">
        <v>33</v>
      </c>
    </row>
    <row r="29" spans="2:9" ht="16.8" thickBot="1">
      <c r="B29" s="31" t="s">
        <v>34</v>
      </c>
      <c r="C29" s="52">
        <f>SUM('Exposures to legal persons'!G9:G13,'Exposures to legal persons'!G18:G24)</f>
        <v>0</v>
      </c>
      <c r="D29" s="54" cm="1">
        <f t="array" ref="D29">SUM('Exposures to legal persons'!E30:E35,'Exposures to legal persons'!E41:E47,'Exposures to legal persons'!E55:E66)/
(
SUMPRODUCT(1/COUNTIF('Exposures to legal persons'!C30:C35,'Exposures to legal persons'!C30:C35&amp;""),'Exposures to legal persons'!F30:F35)
+
SUMPRODUCT(1/COUNTIF('Exposures to legal persons'!C41:C47,'Exposures to legal persons'!C41:C47&amp;""),'Exposures to legal persons'!F41:F47)
+
SUMPRODUCT(1/COUNTIF('Exposures to legal persons'!C55:C66,'Exposures to legal persons'!C55:C66&amp;""),'Exposures to legal persons'!F55:F66)
)</f>
        <v>9.4307375887536836E-4</v>
      </c>
      <c r="E29" s="65">
        <v>0.05</v>
      </c>
      <c r="F29" s="65">
        <v>0.1</v>
      </c>
      <c r="G29" s="58">
        <f>IF(D29&gt;=F29,2,IF(D29&gt;=E29,1,0))</f>
        <v>0</v>
      </c>
    </row>
    <row r="30" spans="2:9" ht="16.8" thickBot="1">
      <c r="B30" s="31" t="s">
        <v>35</v>
      </c>
      <c r="C30" s="52">
        <f>SUM('Exposures to natural persons'!G9:G13,'Exposures to natural persons'!G18:G24)</f>
        <v>0</v>
      </c>
      <c r="D30" s="54" cm="1">
        <f t="array" ref="D30">SUM('Exposures to natural persons'!E31:E51,'Exposures to natural persons'!E60:E63,'Exposures to natural persons'!E70:E81)/
(
SUMPRODUCT(1/COUNTIF('Exposures to natural persons'!C31:C51,'Exposures to natural persons'!C31:C51&amp;""),'Exposures to natural persons'!F31:F51)
+
SUMPRODUCT(1/COUNTIF('Exposures to natural persons'!C60:C63,'Exposures to natural persons'!C60:C63&amp;""),'Exposures to natural persons'!F60:F63)
+
SUMPRODUCT(1/COUNTIF('Exposures to natural persons'!C70:C81,'Exposures to natural persons'!C70:C81&amp;""),'Exposures to natural persons'!F70:F81)
)</f>
        <v>8.7471767878170861E-2</v>
      </c>
      <c r="E30" s="65">
        <v>0.05</v>
      </c>
      <c r="F30" s="65">
        <v>0.1</v>
      </c>
      <c r="G30" s="58">
        <f t="shared" ref="G30:G34" si="3">IF(D30&gt;=F30,2,IF(D30&gt;=E30,1,0))</f>
        <v>1</v>
      </c>
    </row>
    <row r="31" spans="2:9" ht="16.8" thickBot="1">
      <c r="B31" s="31" t="s">
        <v>23</v>
      </c>
      <c r="C31" s="52">
        <f>SUM('Off-balance sheet exposures'!G9:G13,'Off-balance sheet exposures'!G18:G24)</f>
        <v>0</v>
      </c>
      <c r="D31" s="54" cm="1">
        <f t="array" ref="D31">SUM('Off-balance sheet exposures'!E31:E39,'Off-balance sheet exposures'!E48:E63,'Off-balance sheet exposures'!E71:E82)/
(
SUMPRODUCT(1/COUNTIF('Off-balance sheet exposures'!C31:C39,'Off-balance sheet exposures'!C31:C39&amp;""),'Off-balance sheet exposures'!F31:F39)
+
SUMPRODUCT(1/COUNTIF('Off-balance sheet exposures'!C48:C63,'Off-balance sheet exposures'!C48:C63&amp;""),'Off-balance sheet exposures'!F48:F63)
+
SUMPRODUCT(1/COUNTIF('Off-balance sheet exposures'!C71:C82,'Off-balance sheet exposures'!C71:C82&amp;""),'Off-balance sheet exposures'!F71:F82)
)</f>
        <v>0.23660359977989195</v>
      </c>
      <c r="E31" s="65">
        <v>0.05</v>
      </c>
      <c r="F31" s="65">
        <v>0.1</v>
      </c>
      <c r="G31" s="58">
        <f t="shared" si="3"/>
        <v>2</v>
      </c>
    </row>
    <row r="32" spans="2:9" ht="16.8" thickBot="1">
      <c r="B32" s="31" t="s">
        <v>36</v>
      </c>
      <c r="C32" s="52">
        <f>SUM(Derivatives!G9)</f>
        <v>0</v>
      </c>
      <c r="D32" s="54" cm="1">
        <f t="array" ref="D32">SUM(Derivatives!E15:E22)/SUMPRODUCT(1/COUNTIF(Derivatives!C15:C22,Derivatives!C15:C22&amp;""),Derivatives!F15:F22)</f>
        <v>0.51878212732305262</v>
      </c>
      <c r="E32" s="65">
        <v>0.05</v>
      </c>
      <c r="F32" s="65">
        <v>0.1</v>
      </c>
      <c r="G32" s="58">
        <f t="shared" si="3"/>
        <v>2</v>
      </c>
    </row>
    <row r="33" spans="2:7" ht="16.8" thickBot="1">
      <c r="B33" s="31" t="s">
        <v>37</v>
      </c>
      <c r="C33" s="52">
        <f>SUM('Debt securities'!G9)</f>
        <v>0</v>
      </c>
      <c r="D33" s="54" cm="1">
        <f t="array" ref="D33">SUM('Debt securities'!E15:E53)/SUMPRODUCT(1/COUNTIF('Debt securities'!C15:C53,'Debt securities'!C15:C53&amp;""),'Debt securities'!F15:F53)</f>
        <v>6.45068394528438E-2</v>
      </c>
      <c r="E33" s="65">
        <v>0.05</v>
      </c>
      <c r="F33" s="65">
        <v>0.1</v>
      </c>
      <c r="G33" s="58">
        <f t="shared" si="3"/>
        <v>1</v>
      </c>
    </row>
    <row r="34" spans="2:7" ht="16.8" thickBot="1">
      <c r="B34" s="31" t="s">
        <v>38</v>
      </c>
      <c r="C34" s="52">
        <f>SUM(Equity!G9)</f>
        <v>0</v>
      </c>
      <c r="D34" s="54" cm="1">
        <f t="array" ref="D34">SUM(Equity!E15:E33)/SUMPRODUCT(1/COUNTIF(Equity!C15:C33,Equity!C15:C33&amp;""),Equity!F15:F33)</f>
        <v>0.27210884353741499</v>
      </c>
      <c r="E34" s="65">
        <v>0.05</v>
      </c>
      <c r="F34" s="65">
        <v>0.1</v>
      </c>
      <c r="G34" s="58">
        <f t="shared" si="3"/>
        <v>2</v>
      </c>
    </row>
    <row r="35" spans="2:7" ht="16.2">
      <c r="B35" s="40"/>
      <c r="C35" s="40"/>
      <c r="D35" s="41"/>
      <c r="E35" s="40"/>
    </row>
    <row r="74" ht="16.2" customHeight="1"/>
    <row r="75" ht="16.2" customHeight="1"/>
    <row r="76" ht="16.2" customHeight="1"/>
    <row r="141" ht="81" customHeight="1"/>
    <row r="202" ht="16.2" customHeight="1"/>
    <row r="203" ht="16.2" customHeight="1"/>
    <row r="204" ht="16.2" customHeight="1"/>
  </sheetData>
  <conditionalFormatting sqref="D24 D35">
    <cfRule type="iconSet" priority="8">
      <iconSet showValue="0" reverse="1">
        <cfvo type="percent" val="0"/>
        <cfvo type="num" val="100"/>
        <cfvo type="num" val="500"/>
      </iconSet>
    </cfRule>
  </conditionalFormatting>
  <conditionalFormatting sqref="F18:F23">
    <cfRule type="iconSet" priority="42">
      <iconSet showValue="0" reverse="1">
        <cfvo type="percent" val="0"/>
        <cfvo type="num" val="100"/>
        <cfvo type="num" val="500"/>
      </iconSet>
    </cfRule>
  </conditionalFormatting>
  <conditionalFormatting sqref="H18:H23">
    <cfRule type="iconSet" priority="44">
      <iconSet showValue="0" reverse="1">
        <cfvo type="percent" val="0"/>
        <cfvo type="num" val="100"/>
        <cfvo type="num" val="500"/>
      </iconSet>
    </cfRule>
  </conditionalFormatting>
  <conditionalFormatting sqref="G30:G34 C29:C34">
    <cfRule type="iconSet" priority="47">
      <iconSet showValue="0" reverse="1">
        <cfvo type="percent" val="0"/>
        <cfvo type="num" val="1"/>
        <cfvo type="num" val="1"/>
      </iconSet>
    </cfRule>
  </conditionalFormatting>
  <conditionalFormatting sqref="G29:G34">
    <cfRule type="iconSet" priority="1">
      <iconSet showValue="0" reverse="1">
        <cfvo type="percent" val="0"/>
        <cfvo type="num" val="1"/>
        <cfvo type="num" val="2"/>
      </iconSet>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3CE273B-C584-4464-9D42-5D0196CAF097}">
          <x14:formula1>
            <xm:f>AUX!$A$2</xm:f>
          </x14:formula1>
          <xm:sqref>C10</xm:sqref>
        </x14:dataValidation>
        <x14:dataValidation type="list" allowBlank="1" showInputMessage="1" showErrorMessage="1" xr:uid="{1F1A0EBC-8411-4871-A65A-EACFF83CDF52}">
          <x14:formula1>
            <xm:f>AUX!$B$2:$B$5</xm:f>
          </x14:formula1>
          <xm:sqref>C11</xm:sqref>
        </x14:dataValidation>
        <x14:dataValidation type="list" allowBlank="1" showInputMessage="1" showErrorMessage="1" xr:uid="{D4CBDB6C-5DF5-499F-8227-D73099481441}">
          <x14:formula1>
            <xm:f>AUX!$D$2:$D$3</xm:f>
          </x14:formula1>
          <xm:sqref>C12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247D8-A140-4DF5-AC52-2905EB9E0159}">
  <sheetPr codeName="Sheet10">
    <tabColor theme="5"/>
  </sheetPr>
  <dimension ref="A1:D7"/>
  <sheetViews>
    <sheetView showGridLines="0" zoomScale="90" zoomScaleNormal="90" workbookViewId="0"/>
  </sheetViews>
  <sheetFormatPr defaultRowHeight="13.8"/>
  <cols>
    <col min="1" max="1" width="49.59765625" customWidth="1"/>
    <col min="2" max="2" width="45" customWidth="1"/>
    <col min="3" max="3" width="20.8984375" customWidth="1"/>
    <col min="4" max="4" width="65.09765625" bestFit="1" customWidth="1"/>
  </cols>
  <sheetData>
    <row r="1" spans="1:4" ht="16.8" thickBot="1">
      <c r="A1" s="46" t="s">
        <v>13</v>
      </c>
      <c r="B1" s="4" t="s">
        <v>39</v>
      </c>
      <c r="C1" s="4" t="s">
        <v>40</v>
      </c>
      <c r="D1" s="4" t="s">
        <v>20</v>
      </c>
    </row>
    <row r="2" spans="1:4" ht="16.8" thickBot="1">
      <c r="A2" s="31" t="s">
        <v>21</v>
      </c>
      <c r="B2" s="6" t="s">
        <v>41</v>
      </c>
      <c r="C2" s="28">
        <v>-633.27</v>
      </c>
      <c r="D2" s="47" t="s">
        <v>22</v>
      </c>
    </row>
    <row r="3" spans="1:4" ht="16.8" thickBot="1">
      <c r="A3" s="31" t="s">
        <v>24</v>
      </c>
      <c r="B3" s="6"/>
      <c r="C3" s="28"/>
      <c r="D3" s="47"/>
    </row>
    <row r="4" spans="1:4" ht="16.8" thickBot="1">
      <c r="A4" s="31" t="s">
        <v>25</v>
      </c>
      <c r="B4" s="6"/>
      <c r="C4" s="28"/>
      <c r="D4" s="47"/>
    </row>
    <row r="5" spans="1:4" ht="16.8" thickBot="1">
      <c r="A5" s="31" t="s">
        <v>26</v>
      </c>
      <c r="B5" s="6"/>
      <c r="C5" s="28"/>
      <c r="D5" s="47"/>
    </row>
    <row r="6" spans="1:4" ht="16.8" thickBot="1">
      <c r="A6" s="31" t="s">
        <v>27</v>
      </c>
      <c r="B6" s="6"/>
      <c r="C6" s="28"/>
      <c r="D6" s="47"/>
    </row>
    <row r="7" spans="1:4" ht="16.8" thickBot="1">
      <c r="A7" s="31" t="s">
        <v>23</v>
      </c>
      <c r="B7" s="6"/>
      <c r="C7" s="28"/>
      <c r="D7" s="4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3FE12-335C-4FD1-AFF6-C3A8DB142D03}">
  <sheetPr codeName="Sheet13">
    <tabColor theme="0" tint="-4.9989318521683403E-2"/>
  </sheetPr>
  <dimension ref="A1:K67"/>
  <sheetViews>
    <sheetView workbookViewId="0">
      <selection activeCell="B9" sqref="B9"/>
    </sheetView>
  </sheetViews>
  <sheetFormatPr defaultRowHeight="13.8"/>
  <cols>
    <col min="1" max="1" width="5.69921875" customWidth="1" collapsed="1"/>
    <col min="2" max="2" width="76.296875" bestFit="1" customWidth="1" collapsed="1"/>
    <col min="3" max="3" width="5" bestFit="1" customWidth="1" collapsed="1"/>
    <col min="4" max="4" width="20.69921875" customWidth="1" collapsed="1"/>
    <col min="5" max="5" width="25.69921875" customWidth="1" collapsed="1"/>
    <col min="6" max="6" width="20.69921875" bestFit="1" customWidth="1" collapsed="1"/>
    <col min="7" max="11" width="25.69921875" customWidth="1" collapsed="1"/>
  </cols>
  <sheetData>
    <row r="1" spans="1:11" ht="14.4" customHeight="1">
      <c r="A1" s="76" t="s">
        <v>42</v>
      </c>
      <c r="B1" s="77"/>
      <c r="C1" s="77"/>
      <c r="D1" s="77"/>
      <c r="E1" s="10"/>
      <c r="F1" s="10"/>
      <c r="G1" s="10"/>
      <c r="H1" s="10"/>
      <c r="I1" s="10"/>
      <c r="J1" s="10"/>
      <c r="K1" s="10"/>
    </row>
    <row r="2" spans="1:11" ht="14.4" customHeight="1">
      <c r="E2" s="10"/>
      <c r="F2" s="10"/>
      <c r="G2" s="10"/>
      <c r="H2" s="10"/>
      <c r="I2" s="10"/>
      <c r="J2" s="10"/>
      <c r="K2" s="10"/>
    </row>
    <row r="3" spans="1:11" ht="14.4" customHeight="1">
      <c r="E3" s="10"/>
      <c r="F3" s="10"/>
      <c r="G3" s="10"/>
      <c r="H3" s="10"/>
      <c r="I3" s="10"/>
      <c r="J3" s="10"/>
      <c r="K3" s="10"/>
    </row>
    <row r="4" spans="1:11" ht="14.4" customHeight="1">
      <c r="D4" s="36" t="s">
        <v>43</v>
      </c>
    </row>
    <row r="5" spans="1:11" ht="14.4" customHeight="1">
      <c r="D5" s="11" t="s">
        <v>44</v>
      </c>
    </row>
    <row r="6" spans="1:11" ht="15" customHeight="1">
      <c r="D6" s="12" t="s">
        <v>45</v>
      </c>
      <c r="E6" s="10"/>
      <c r="F6" s="10"/>
      <c r="G6" s="10"/>
      <c r="H6" s="10"/>
      <c r="I6" s="10"/>
      <c r="J6" s="10"/>
      <c r="K6" s="10"/>
    </row>
    <row r="7" spans="1:11" ht="14.4" customHeight="1">
      <c r="B7" s="13" t="s">
        <v>46</v>
      </c>
      <c r="C7" s="14" t="s">
        <v>45</v>
      </c>
      <c r="D7" s="15" t="s">
        <v>47</v>
      </c>
      <c r="E7" s="16"/>
      <c r="F7" s="10"/>
      <c r="G7" s="18"/>
      <c r="H7" s="10"/>
      <c r="I7" s="10"/>
      <c r="J7" s="10"/>
      <c r="K7" s="10"/>
    </row>
    <row r="8" spans="1:11" ht="14.4" customHeight="1">
      <c r="B8" s="20" t="s">
        <v>48</v>
      </c>
      <c r="C8" s="14" t="s">
        <v>49</v>
      </c>
      <c r="D8" s="15" t="s">
        <v>50</v>
      </c>
      <c r="E8" s="16"/>
      <c r="F8" s="10"/>
      <c r="G8" s="18"/>
      <c r="H8" s="10"/>
      <c r="I8" s="10"/>
      <c r="J8" s="10"/>
      <c r="K8" s="10"/>
    </row>
    <row r="9" spans="1:11" ht="14.4" customHeight="1">
      <c r="B9" s="20" t="s">
        <v>51</v>
      </c>
      <c r="C9" s="14" t="s">
        <v>52</v>
      </c>
      <c r="D9" s="15" t="s">
        <v>53</v>
      </c>
      <c r="E9" s="16"/>
      <c r="F9" s="17"/>
      <c r="G9" s="18"/>
      <c r="H9" s="10"/>
      <c r="I9" s="10"/>
      <c r="J9" s="19"/>
      <c r="K9" s="10"/>
    </row>
    <row r="10" spans="1:11" ht="14.4" customHeight="1">
      <c r="B10" s="20" t="s">
        <v>54</v>
      </c>
      <c r="C10" s="14" t="s">
        <v>55</v>
      </c>
      <c r="D10" s="15" t="s">
        <v>56</v>
      </c>
      <c r="E10" s="16"/>
      <c r="F10" s="17"/>
      <c r="G10" s="18"/>
      <c r="H10" s="10"/>
      <c r="I10" s="10"/>
      <c r="J10" s="19"/>
      <c r="K10" s="10"/>
    </row>
    <row r="11" spans="1:11" ht="14.4" customHeight="1">
      <c r="B11" s="13" t="s">
        <v>57</v>
      </c>
      <c r="C11" s="14" t="s">
        <v>58</v>
      </c>
      <c r="D11" s="15" t="s">
        <v>59</v>
      </c>
      <c r="E11" s="16"/>
      <c r="F11" s="10"/>
      <c r="G11" s="18"/>
      <c r="H11" s="10"/>
      <c r="I11" s="10"/>
      <c r="J11" s="10"/>
      <c r="K11" s="10"/>
    </row>
    <row r="12" spans="1:11" ht="14.4" customHeight="1">
      <c r="B12" s="20" t="s">
        <v>36</v>
      </c>
      <c r="C12" s="14" t="s">
        <v>60</v>
      </c>
      <c r="D12" s="15" t="s">
        <v>59</v>
      </c>
      <c r="E12" s="16"/>
      <c r="F12" s="10"/>
      <c r="G12" s="18"/>
      <c r="H12" s="10"/>
      <c r="I12" s="10"/>
      <c r="J12" s="10"/>
      <c r="K12" s="10"/>
    </row>
    <row r="13" spans="1:11" ht="14.4" customHeight="1">
      <c r="B13" s="20" t="s">
        <v>61</v>
      </c>
      <c r="C13" s="14" t="s">
        <v>62</v>
      </c>
      <c r="D13" s="15" t="s">
        <v>63</v>
      </c>
      <c r="E13" s="16"/>
      <c r="F13" s="10"/>
      <c r="G13" s="18"/>
      <c r="H13" s="10"/>
      <c r="I13" s="10"/>
      <c r="J13" s="10"/>
      <c r="K13" s="10"/>
    </row>
    <row r="14" spans="1:11" ht="14.4" customHeight="1">
      <c r="B14" s="20" t="s">
        <v>37</v>
      </c>
      <c r="C14" s="14" t="s">
        <v>64</v>
      </c>
      <c r="D14" s="15" t="s">
        <v>63</v>
      </c>
      <c r="E14" s="16"/>
      <c r="F14" s="10"/>
      <c r="G14" s="18"/>
      <c r="H14" s="10"/>
      <c r="I14" s="10"/>
      <c r="J14" s="10"/>
      <c r="K14" s="10"/>
    </row>
    <row r="15" spans="1:11" ht="14.4" customHeight="1">
      <c r="B15" s="20" t="s">
        <v>65</v>
      </c>
      <c r="C15" s="14" t="s">
        <v>66</v>
      </c>
      <c r="D15" s="15" t="s">
        <v>63</v>
      </c>
      <c r="E15" s="16"/>
      <c r="F15" s="10"/>
      <c r="G15" s="18"/>
      <c r="H15" s="10"/>
      <c r="I15" s="10"/>
      <c r="J15" s="10"/>
      <c r="K15" s="10"/>
    </row>
    <row r="16" spans="1:11" ht="14.4" customHeight="1">
      <c r="B16" s="13" t="s">
        <v>67</v>
      </c>
      <c r="C16" s="14" t="s">
        <v>68</v>
      </c>
      <c r="D16" s="15" t="s">
        <v>63</v>
      </c>
      <c r="E16" s="16"/>
      <c r="F16" s="10"/>
      <c r="G16" s="18"/>
      <c r="H16" s="10"/>
      <c r="I16" s="10"/>
      <c r="J16" s="10"/>
      <c r="K16" s="10"/>
    </row>
    <row r="17" spans="2:11" ht="14.4" customHeight="1">
      <c r="B17" s="20" t="s">
        <v>36</v>
      </c>
      <c r="C17" s="14" t="s">
        <v>69</v>
      </c>
      <c r="D17" s="15" t="s">
        <v>63</v>
      </c>
      <c r="E17" s="16"/>
      <c r="F17" s="10"/>
      <c r="G17" s="18"/>
      <c r="H17" s="10"/>
      <c r="I17" s="10"/>
      <c r="J17" s="10"/>
      <c r="K17" s="10"/>
    </row>
    <row r="18" spans="2:11" ht="14.4" customHeight="1">
      <c r="B18" s="20" t="s">
        <v>61</v>
      </c>
      <c r="C18" s="14" t="s">
        <v>70</v>
      </c>
      <c r="D18" s="15" t="s">
        <v>63</v>
      </c>
      <c r="E18" s="16"/>
      <c r="F18" s="10"/>
      <c r="G18" s="18"/>
      <c r="H18" s="10"/>
      <c r="I18" s="10"/>
      <c r="J18" s="10"/>
      <c r="K18" s="10"/>
    </row>
    <row r="19" spans="2:11" ht="14.4" customHeight="1">
      <c r="B19" s="20" t="s">
        <v>37</v>
      </c>
      <c r="C19" s="14" t="s">
        <v>71</v>
      </c>
      <c r="D19" s="15" t="s">
        <v>63</v>
      </c>
      <c r="E19" s="16"/>
      <c r="F19" s="10"/>
      <c r="G19" s="18"/>
      <c r="H19" s="10"/>
      <c r="I19" s="10"/>
      <c r="J19" s="10"/>
      <c r="K19" s="10"/>
    </row>
    <row r="20" spans="2:11" ht="14.4" customHeight="1">
      <c r="B20" s="20" t="s">
        <v>65</v>
      </c>
      <c r="C20" s="14" t="s">
        <v>72</v>
      </c>
      <c r="D20" s="15" t="s">
        <v>63</v>
      </c>
      <c r="E20" s="16"/>
      <c r="F20" s="10"/>
      <c r="G20" s="18"/>
      <c r="H20" s="10"/>
      <c r="I20" s="10"/>
      <c r="J20" s="10"/>
      <c r="K20" s="10"/>
    </row>
    <row r="21" spans="2:11" ht="14.4" customHeight="1">
      <c r="B21" s="13" t="s">
        <v>73</v>
      </c>
      <c r="C21" s="14" t="s">
        <v>74</v>
      </c>
      <c r="D21" s="15" t="s">
        <v>75</v>
      </c>
      <c r="E21" s="16"/>
      <c r="F21" s="10"/>
      <c r="G21" s="18"/>
      <c r="H21" s="10"/>
      <c r="I21" s="10"/>
      <c r="J21" s="10"/>
      <c r="K21" s="10"/>
    </row>
    <row r="22" spans="2:11" ht="14.4" customHeight="1">
      <c r="B22" s="20" t="s">
        <v>61</v>
      </c>
      <c r="C22" s="14" t="s">
        <v>76</v>
      </c>
      <c r="D22" s="15" t="s">
        <v>77</v>
      </c>
      <c r="E22" s="16"/>
      <c r="F22" s="10"/>
      <c r="G22" s="18"/>
      <c r="H22" s="10"/>
      <c r="I22" s="10"/>
      <c r="J22" s="10"/>
      <c r="K22" s="10"/>
    </row>
    <row r="23" spans="2:11" ht="14.4" customHeight="1">
      <c r="B23" s="20" t="s">
        <v>37</v>
      </c>
      <c r="C23" s="14" t="s">
        <v>78</v>
      </c>
      <c r="D23" s="15" t="s">
        <v>79</v>
      </c>
      <c r="E23" s="16"/>
      <c r="F23" s="10"/>
      <c r="G23" s="18"/>
      <c r="H23" s="10"/>
      <c r="I23" s="10"/>
      <c r="J23" s="10"/>
      <c r="K23" s="10"/>
    </row>
    <row r="24" spans="2:11" ht="14.4" customHeight="1">
      <c r="B24" s="20" t="s">
        <v>65</v>
      </c>
      <c r="C24" s="14" t="s">
        <v>80</v>
      </c>
      <c r="D24" s="15" t="s">
        <v>63</v>
      </c>
      <c r="E24" s="16"/>
      <c r="F24" s="10"/>
      <c r="G24" s="18"/>
      <c r="H24" s="10"/>
      <c r="I24" s="10"/>
      <c r="J24" s="10"/>
      <c r="K24" s="10"/>
    </row>
    <row r="25" spans="2:11" ht="14.4" customHeight="1">
      <c r="B25" s="13" t="s">
        <v>81</v>
      </c>
      <c r="C25" s="14" t="s">
        <v>82</v>
      </c>
      <c r="D25" s="15" t="s">
        <v>63</v>
      </c>
      <c r="E25" s="16"/>
      <c r="F25" s="10"/>
      <c r="G25" s="18"/>
      <c r="H25" s="10"/>
      <c r="I25" s="10"/>
      <c r="J25" s="10"/>
      <c r="K25" s="10"/>
    </row>
    <row r="26" spans="2:11" ht="14.4" customHeight="1">
      <c r="B26" s="20" t="s">
        <v>61</v>
      </c>
      <c r="C26" s="14" t="s">
        <v>83</v>
      </c>
      <c r="D26" s="15" t="s">
        <v>63</v>
      </c>
      <c r="E26" s="16"/>
      <c r="F26" s="10"/>
      <c r="G26" s="18"/>
      <c r="H26" s="10"/>
      <c r="I26" s="10"/>
      <c r="J26" s="10"/>
      <c r="K26" s="10"/>
    </row>
    <row r="27" spans="2:11" ht="14.4" customHeight="1">
      <c r="B27" s="20" t="s">
        <v>37</v>
      </c>
      <c r="C27" s="14" t="s">
        <v>84</v>
      </c>
      <c r="D27" s="15" t="s">
        <v>63</v>
      </c>
      <c r="E27" s="16"/>
      <c r="F27" s="10"/>
      <c r="G27" s="18"/>
      <c r="H27" s="10"/>
      <c r="I27" s="10"/>
      <c r="J27" s="10"/>
      <c r="K27" s="10"/>
    </row>
    <row r="28" spans="2:11" ht="14.4" customHeight="1">
      <c r="B28" s="20" t="s">
        <v>65</v>
      </c>
      <c r="C28" s="14" t="s">
        <v>85</v>
      </c>
      <c r="D28" s="15" t="s">
        <v>63</v>
      </c>
      <c r="E28" s="16"/>
      <c r="F28" s="10"/>
      <c r="G28" s="18"/>
      <c r="H28" s="10"/>
      <c r="I28" s="10"/>
      <c r="J28" s="10"/>
      <c r="K28" s="10"/>
    </row>
    <row r="29" spans="2:11" ht="14.4" customHeight="1">
      <c r="B29" s="13" t="s">
        <v>86</v>
      </c>
      <c r="C29" s="14" t="s">
        <v>87</v>
      </c>
      <c r="D29" s="15" t="s">
        <v>88</v>
      </c>
      <c r="E29" s="16"/>
      <c r="F29" s="10"/>
      <c r="G29" s="18"/>
      <c r="H29" s="10"/>
      <c r="I29" s="10"/>
      <c r="J29" s="10"/>
      <c r="K29" s="10"/>
    </row>
    <row r="30" spans="2:11" ht="14.4" customHeight="1">
      <c r="B30" s="20" t="s">
        <v>61</v>
      </c>
      <c r="C30" s="14" t="s">
        <v>89</v>
      </c>
      <c r="D30" s="15" t="s">
        <v>90</v>
      </c>
      <c r="E30" s="16"/>
      <c r="F30" s="10"/>
      <c r="G30" s="18"/>
      <c r="H30" s="10"/>
      <c r="I30" s="10"/>
      <c r="J30" s="10"/>
      <c r="K30" s="10"/>
    </row>
    <row r="31" spans="2:11" ht="14.4" customHeight="1">
      <c r="B31" s="20" t="s">
        <v>37</v>
      </c>
      <c r="C31" s="14" t="s">
        <v>91</v>
      </c>
      <c r="D31" s="15" t="s">
        <v>92</v>
      </c>
      <c r="E31" s="16"/>
      <c r="F31" s="10"/>
      <c r="G31" s="18"/>
      <c r="H31" s="10"/>
      <c r="I31" s="10"/>
      <c r="J31" s="10"/>
      <c r="K31" s="10"/>
    </row>
    <row r="32" spans="2:11" ht="14.4" customHeight="1">
      <c r="B32" s="20" t="s">
        <v>65</v>
      </c>
      <c r="C32" s="14" t="s">
        <v>93</v>
      </c>
      <c r="D32" s="15" t="s">
        <v>94</v>
      </c>
      <c r="E32" s="16"/>
      <c r="F32" s="10"/>
      <c r="G32" s="18"/>
      <c r="H32" s="10"/>
      <c r="I32" s="10"/>
      <c r="J32" s="10"/>
      <c r="K32" s="10"/>
    </row>
    <row r="33" spans="2:11" ht="14.4" customHeight="1">
      <c r="B33" s="13" t="s">
        <v>95</v>
      </c>
      <c r="C33" s="14" t="s">
        <v>96</v>
      </c>
      <c r="D33" s="15" t="s">
        <v>63</v>
      </c>
      <c r="E33" s="16"/>
      <c r="F33" s="10"/>
      <c r="G33" s="18"/>
      <c r="H33" s="10"/>
      <c r="I33" s="10"/>
      <c r="J33" s="10"/>
      <c r="K33" s="10"/>
    </row>
    <row r="34" spans="2:11" ht="14.4" customHeight="1">
      <c r="B34" s="20" t="s">
        <v>61</v>
      </c>
      <c r="C34" s="14" t="s">
        <v>97</v>
      </c>
      <c r="D34" s="15" t="s">
        <v>63</v>
      </c>
      <c r="E34" s="16"/>
      <c r="F34" s="10"/>
      <c r="G34" s="18"/>
      <c r="H34" s="10"/>
      <c r="I34" s="10"/>
      <c r="J34" s="10"/>
      <c r="K34" s="10"/>
    </row>
    <row r="35" spans="2:11" ht="14.4" customHeight="1">
      <c r="B35" s="20" t="s">
        <v>37</v>
      </c>
      <c r="C35" s="14" t="s">
        <v>98</v>
      </c>
      <c r="D35" s="15" t="s">
        <v>63</v>
      </c>
      <c r="E35" s="16"/>
      <c r="F35" s="10"/>
      <c r="G35" s="18"/>
      <c r="H35" s="10"/>
      <c r="I35" s="10"/>
      <c r="J35" s="10"/>
      <c r="K35" s="10"/>
    </row>
    <row r="36" spans="2:11" ht="14.4" customHeight="1">
      <c r="B36" s="20" t="s">
        <v>65</v>
      </c>
      <c r="C36" s="14" t="s">
        <v>99</v>
      </c>
      <c r="D36" s="15" t="s">
        <v>63</v>
      </c>
      <c r="E36" s="16"/>
      <c r="F36" s="10"/>
      <c r="G36" s="18"/>
      <c r="H36" s="10"/>
      <c r="I36" s="10"/>
      <c r="J36" s="10"/>
      <c r="K36" s="10"/>
    </row>
    <row r="37" spans="2:11" ht="14.4" customHeight="1">
      <c r="B37" s="13" t="s">
        <v>100</v>
      </c>
      <c r="C37" s="14" t="s">
        <v>101</v>
      </c>
      <c r="D37" s="15" t="s">
        <v>63</v>
      </c>
      <c r="E37" s="16"/>
      <c r="F37" s="10"/>
      <c r="G37" s="18"/>
      <c r="H37" s="10"/>
      <c r="I37" s="10"/>
      <c r="J37" s="10"/>
      <c r="K37" s="10"/>
    </row>
    <row r="38" spans="2:11" ht="14.4" customHeight="1">
      <c r="B38" s="20" t="s">
        <v>61</v>
      </c>
      <c r="C38" s="14" t="s">
        <v>102</v>
      </c>
      <c r="D38" s="15" t="s">
        <v>63</v>
      </c>
      <c r="E38" s="16"/>
      <c r="F38" s="10"/>
      <c r="G38" s="18"/>
      <c r="H38" s="10"/>
      <c r="I38" s="10"/>
      <c r="J38" s="10"/>
      <c r="K38" s="10"/>
    </row>
    <row r="39" spans="2:11" ht="14.4" customHeight="1">
      <c r="B39" s="20" t="s">
        <v>37</v>
      </c>
      <c r="C39" s="14" t="s">
        <v>103</v>
      </c>
      <c r="D39" s="15" t="s">
        <v>63</v>
      </c>
      <c r="E39" s="16"/>
      <c r="F39" s="10"/>
      <c r="G39" s="18"/>
      <c r="H39" s="10"/>
      <c r="I39" s="10"/>
      <c r="J39" s="10"/>
      <c r="K39" s="10"/>
    </row>
    <row r="40" spans="2:11" ht="14.4" customHeight="1">
      <c r="B40" s="20" t="s">
        <v>65</v>
      </c>
      <c r="C40" s="14" t="s">
        <v>104</v>
      </c>
      <c r="D40" s="15" t="s">
        <v>63</v>
      </c>
      <c r="E40" s="16"/>
      <c r="F40" s="10"/>
      <c r="G40" s="18"/>
      <c r="H40" s="10"/>
      <c r="I40" s="10"/>
      <c r="J40" s="10"/>
      <c r="K40" s="10"/>
    </row>
    <row r="41" spans="2:11" ht="14.4" customHeight="1">
      <c r="B41" s="13" t="s">
        <v>105</v>
      </c>
      <c r="C41" s="14" t="s">
        <v>106</v>
      </c>
      <c r="D41" s="15" t="s">
        <v>107</v>
      </c>
      <c r="E41" s="16"/>
      <c r="F41" s="10"/>
      <c r="G41" s="18"/>
      <c r="H41" s="10"/>
      <c r="I41" s="10"/>
      <c r="J41" s="10"/>
      <c r="K41" s="10"/>
    </row>
    <row r="42" spans="2:11" ht="14.4" customHeight="1">
      <c r="B42" s="20" t="s">
        <v>37</v>
      </c>
      <c r="C42" s="14" t="s">
        <v>108</v>
      </c>
      <c r="D42" s="15" t="s">
        <v>109</v>
      </c>
      <c r="E42" s="16"/>
      <c r="F42" s="10"/>
      <c r="G42" s="18"/>
      <c r="H42" s="10"/>
      <c r="I42" s="10"/>
      <c r="J42" s="10"/>
      <c r="K42" s="10"/>
    </row>
    <row r="43" spans="2:11" ht="14.4" customHeight="1">
      <c r="B43" s="20" t="s">
        <v>65</v>
      </c>
      <c r="C43" s="14" t="s">
        <v>110</v>
      </c>
      <c r="D43" s="15" t="s">
        <v>111</v>
      </c>
      <c r="E43" s="16"/>
      <c r="F43" s="10"/>
      <c r="G43" s="18"/>
      <c r="H43" s="10"/>
      <c r="I43" s="10"/>
      <c r="J43" s="10"/>
      <c r="K43" s="10"/>
    </row>
    <row r="44" spans="2:11" ht="14.4" customHeight="1">
      <c r="B44" s="13" t="s">
        <v>112</v>
      </c>
      <c r="C44" s="14" t="s">
        <v>113</v>
      </c>
      <c r="D44" s="15" t="s">
        <v>63</v>
      </c>
      <c r="E44" s="16"/>
      <c r="F44" s="10"/>
      <c r="G44" s="18"/>
      <c r="H44" s="10"/>
      <c r="I44" s="10"/>
      <c r="J44" s="10"/>
      <c r="K44" s="10"/>
    </row>
    <row r="45" spans="2:11" ht="14.4" customHeight="1">
      <c r="B45" s="20" t="s">
        <v>61</v>
      </c>
      <c r="C45" s="14" t="s">
        <v>114</v>
      </c>
      <c r="D45" s="15" t="s">
        <v>63</v>
      </c>
      <c r="E45" s="16"/>
      <c r="F45" s="10"/>
      <c r="G45" s="18"/>
      <c r="H45" s="10"/>
      <c r="I45" s="10"/>
      <c r="J45" s="10"/>
      <c r="K45" s="10"/>
    </row>
    <row r="46" spans="2:11" ht="14.4" customHeight="1">
      <c r="B46" s="20" t="s">
        <v>37</v>
      </c>
      <c r="C46" s="14" t="s">
        <v>115</v>
      </c>
      <c r="D46" s="15" t="s">
        <v>63</v>
      </c>
      <c r="E46" s="16"/>
      <c r="F46" s="10"/>
      <c r="G46" s="18"/>
      <c r="H46" s="10"/>
      <c r="I46" s="10"/>
      <c r="J46" s="10"/>
      <c r="K46" s="10"/>
    </row>
    <row r="47" spans="2:11" ht="14.4" customHeight="1">
      <c r="B47" s="20" t="s">
        <v>65</v>
      </c>
      <c r="C47" s="14" t="s">
        <v>116</v>
      </c>
      <c r="D47" s="15" t="s">
        <v>63</v>
      </c>
      <c r="E47" s="16"/>
      <c r="F47" s="10"/>
      <c r="G47" s="18"/>
      <c r="H47" s="10"/>
      <c r="I47" s="10"/>
      <c r="J47" s="10"/>
      <c r="K47" s="10"/>
    </row>
    <row r="48" spans="2:11" ht="14.4" customHeight="1">
      <c r="B48" s="13" t="s">
        <v>117</v>
      </c>
      <c r="C48" s="14" t="s">
        <v>118</v>
      </c>
      <c r="D48" s="15" t="s">
        <v>63</v>
      </c>
      <c r="E48" s="16"/>
      <c r="F48" s="10"/>
      <c r="G48" s="18"/>
      <c r="H48" s="10"/>
      <c r="I48" s="10"/>
      <c r="J48" s="10"/>
      <c r="K48" s="10"/>
    </row>
    <row r="49" spans="2:11" ht="14.4" customHeight="1">
      <c r="B49" s="20" t="s">
        <v>61</v>
      </c>
      <c r="C49" s="14" t="s">
        <v>119</v>
      </c>
      <c r="D49" s="15" t="s">
        <v>63</v>
      </c>
      <c r="E49" s="16"/>
      <c r="F49" s="10"/>
      <c r="G49" s="18"/>
      <c r="H49" s="10"/>
      <c r="I49" s="10"/>
      <c r="J49" s="10"/>
      <c r="K49" s="10"/>
    </row>
    <row r="50" spans="2:11" ht="14.4" customHeight="1">
      <c r="B50" s="20" t="s">
        <v>37</v>
      </c>
      <c r="C50" s="14" t="s">
        <v>120</v>
      </c>
      <c r="D50" s="15" t="s">
        <v>63</v>
      </c>
      <c r="E50" s="16"/>
      <c r="F50" s="10"/>
      <c r="G50" s="18"/>
      <c r="H50" s="10"/>
      <c r="I50" s="10"/>
      <c r="J50" s="10"/>
      <c r="K50" s="10"/>
    </row>
    <row r="51" spans="2:11" ht="14.4" customHeight="1">
      <c r="B51" s="20" t="s">
        <v>65</v>
      </c>
      <c r="C51" s="14" t="s">
        <v>121</v>
      </c>
      <c r="D51" s="15" t="s">
        <v>63</v>
      </c>
      <c r="E51" s="16"/>
      <c r="F51" s="10"/>
      <c r="G51" s="18"/>
      <c r="H51" s="10"/>
      <c r="I51" s="10"/>
      <c r="J51" s="10"/>
      <c r="K51" s="10"/>
    </row>
    <row r="52" spans="2:11" ht="14.4" customHeight="1">
      <c r="B52" s="13" t="s">
        <v>122</v>
      </c>
      <c r="C52" s="14" t="s">
        <v>123</v>
      </c>
      <c r="D52" s="15" t="s">
        <v>124</v>
      </c>
      <c r="E52" s="16"/>
      <c r="F52" s="10"/>
      <c r="G52" s="18"/>
      <c r="H52" s="10"/>
      <c r="I52" s="10"/>
      <c r="J52" s="10"/>
      <c r="K52" s="10"/>
    </row>
    <row r="53" spans="2:11" ht="14.4" customHeight="1">
      <c r="B53" s="13" t="s">
        <v>125</v>
      </c>
      <c r="C53" s="14" t="s">
        <v>126</v>
      </c>
      <c r="D53" s="15" t="s">
        <v>63</v>
      </c>
      <c r="E53" s="16"/>
      <c r="F53" s="10"/>
      <c r="G53" s="18"/>
      <c r="H53" s="37"/>
      <c r="I53" s="38"/>
      <c r="J53" s="10"/>
      <c r="K53" s="39"/>
    </row>
    <row r="54" spans="2:11" ht="14.4" customHeight="1">
      <c r="B54" s="13" t="s">
        <v>127</v>
      </c>
      <c r="C54" s="14" t="s">
        <v>128</v>
      </c>
      <c r="D54" s="15" t="s">
        <v>129</v>
      </c>
      <c r="E54" s="16"/>
      <c r="F54" s="10"/>
      <c r="G54" s="18"/>
      <c r="H54" s="10"/>
      <c r="I54" s="10"/>
      <c r="J54" s="10"/>
      <c r="K54" s="10"/>
    </row>
    <row r="55" spans="2:11" ht="14.4" customHeight="1">
      <c r="B55" s="13" t="s">
        <v>130</v>
      </c>
      <c r="C55" s="14" t="s">
        <v>131</v>
      </c>
      <c r="D55" s="15" t="s">
        <v>132</v>
      </c>
      <c r="E55" s="16"/>
      <c r="F55" s="10"/>
      <c r="G55" s="18"/>
      <c r="H55" s="10"/>
      <c r="I55" s="10"/>
      <c r="J55" s="10"/>
      <c r="K55" s="10"/>
    </row>
    <row r="56" spans="2:11" ht="14.4" customHeight="1">
      <c r="B56" s="20" t="s">
        <v>133</v>
      </c>
      <c r="C56" s="14" t="s">
        <v>134</v>
      </c>
      <c r="D56" s="15" t="s">
        <v>132</v>
      </c>
      <c r="E56" s="16"/>
      <c r="F56" s="10"/>
      <c r="G56" s="18"/>
      <c r="H56" s="10"/>
      <c r="I56" s="10"/>
      <c r="J56" s="10"/>
      <c r="K56" s="10"/>
    </row>
    <row r="57" spans="2:11" ht="14.4" customHeight="1">
      <c r="B57" s="20" t="s">
        <v>135</v>
      </c>
      <c r="C57" s="14" t="s">
        <v>136</v>
      </c>
      <c r="D57" s="15" t="s">
        <v>63</v>
      </c>
      <c r="E57" s="16"/>
      <c r="F57" s="10"/>
      <c r="G57" s="18"/>
      <c r="H57" s="10"/>
      <c r="I57" s="10"/>
      <c r="J57" s="10"/>
      <c r="K57" s="10"/>
    </row>
    <row r="58" spans="2:11" ht="14.4" customHeight="1">
      <c r="B58" s="13" t="s">
        <v>137</v>
      </c>
      <c r="C58" s="14" t="s">
        <v>138</v>
      </c>
      <c r="D58" s="15" t="s">
        <v>139</v>
      </c>
      <c r="E58" s="16"/>
      <c r="F58" s="10"/>
      <c r="G58" s="18"/>
      <c r="H58" s="10"/>
      <c r="I58" s="10"/>
      <c r="J58" s="10"/>
      <c r="K58" s="10"/>
    </row>
    <row r="59" spans="2:11" ht="14.4" customHeight="1">
      <c r="B59" s="20" t="s">
        <v>140</v>
      </c>
      <c r="C59" s="14" t="s">
        <v>141</v>
      </c>
      <c r="D59" s="15" t="s">
        <v>63</v>
      </c>
      <c r="E59" s="16"/>
      <c r="F59" s="10"/>
      <c r="G59" s="18"/>
      <c r="H59" s="10"/>
      <c r="I59" s="10"/>
      <c r="J59" s="10"/>
      <c r="K59" s="10"/>
    </row>
    <row r="60" spans="2:11" ht="14.4" customHeight="1">
      <c r="B60" s="20" t="s">
        <v>142</v>
      </c>
      <c r="C60" s="14" t="s">
        <v>143</v>
      </c>
      <c r="D60" s="15" t="s">
        <v>139</v>
      </c>
      <c r="E60" s="16"/>
      <c r="F60" s="10"/>
      <c r="G60" s="18"/>
      <c r="H60" s="10"/>
      <c r="I60" s="10"/>
      <c r="J60" s="10"/>
      <c r="K60" s="10"/>
    </row>
    <row r="61" spans="2:11" ht="14.4" customHeight="1">
      <c r="B61" s="13" t="s">
        <v>144</v>
      </c>
      <c r="C61" s="14" t="s">
        <v>145</v>
      </c>
      <c r="D61" s="15" t="s">
        <v>146</v>
      </c>
      <c r="E61" s="16"/>
      <c r="F61" s="10"/>
      <c r="G61" s="18"/>
      <c r="H61" s="10"/>
      <c r="I61" s="10"/>
      <c r="J61" s="10"/>
      <c r="K61" s="10"/>
    </row>
    <row r="62" spans="2:11" ht="14.4" customHeight="1">
      <c r="B62" s="20" t="s">
        <v>147</v>
      </c>
      <c r="C62" s="14" t="s">
        <v>148</v>
      </c>
      <c r="D62" s="15" t="s">
        <v>149</v>
      </c>
      <c r="E62" s="16"/>
      <c r="F62" s="10"/>
      <c r="G62" s="18"/>
      <c r="H62" s="10"/>
      <c r="I62" s="10"/>
      <c r="J62" s="10"/>
      <c r="K62" s="10"/>
    </row>
    <row r="63" spans="2:11" ht="14.4" customHeight="1">
      <c r="B63" s="20" t="s">
        <v>150</v>
      </c>
      <c r="C63" s="14" t="s">
        <v>151</v>
      </c>
      <c r="D63" s="15" t="s">
        <v>152</v>
      </c>
      <c r="E63" s="16"/>
      <c r="F63" s="10"/>
      <c r="G63" s="18"/>
      <c r="H63" s="10"/>
      <c r="I63" s="10"/>
      <c r="J63" s="10"/>
      <c r="K63" s="10"/>
    </row>
    <row r="64" spans="2:11" ht="14.4" customHeight="1">
      <c r="B64" s="13" t="s">
        <v>153</v>
      </c>
      <c r="C64" s="14" t="s">
        <v>154</v>
      </c>
      <c r="D64" s="15" t="s">
        <v>155</v>
      </c>
      <c r="E64" s="16"/>
      <c r="F64" s="10"/>
      <c r="G64" s="18"/>
      <c r="H64" s="10"/>
      <c r="I64" s="10"/>
      <c r="J64" s="10"/>
      <c r="K64" s="10"/>
    </row>
    <row r="65" spans="2:11" ht="14.4" customHeight="1">
      <c r="B65" s="13" t="s">
        <v>156</v>
      </c>
      <c r="C65" s="14" t="s">
        <v>157</v>
      </c>
      <c r="D65" s="15" t="s">
        <v>158</v>
      </c>
      <c r="E65" s="16"/>
      <c r="F65" s="10"/>
      <c r="G65" s="18"/>
      <c r="H65" s="10"/>
      <c r="I65" s="10"/>
      <c r="J65" s="10"/>
      <c r="K65" s="10"/>
    </row>
    <row r="66" spans="2:11" ht="14.4" customHeight="1">
      <c r="B66" s="13" t="s">
        <v>159</v>
      </c>
      <c r="C66" s="14" t="s">
        <v>160</v>
      </c>
      <c r="D66" s="15" t="s">
        <v>63</v>
      </c>
      <c r="E66" s="16"/>
      <c r="F66" s="10"/>
      <c r="G66" s="10"/>
      <c r="H66" s="10"/>
      <c r="I66" s="10"/>
      <c r="J66" s="10"/>
      <c r="K66" s="10"/>
    </row>
    <row r="67" spans="2:11" ht="15" customHeight="1">
      <c r="B67" s="21" t="s">
        <v>161</v>
      </c>
      <c r="C67" s="14" t="s">
        <v>162</v>
      </c>
      <c r="D67" s="15" t="s">
        <v>163</v>
      </c>
      <c r="E67" s="16"/>
      <c r="F67" s="10"/>
      <c r="G67" s="10"/>
      <c r="H67" s="10"/>
      <c r="I67" s="10"/>
      <c r="J67" s="10"/>
      <c r="K67" s="10"/>
    </row>
  </sheetData>
  <mergeCells count="1">
    <mergeCell ref="A1:D1"/>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BA6A8-3FE7-4A54-80D3-35170C6A2E8E}">
  <sheetPr codeName="Sheet15">
    <tabColor theme="0" tint="-4.9989318521683403E-2"/>
  </sheetPr>
  <dimension ref="A1:J48"/>
  <sheetViews>
    <sheetView tabSelected="1" workbookViewId="0">
      <selection activeCell="B7" sqref="B7"/>
    </sheetView>
  </sheetViews>
  <sheetFormatPr defaultRowHeight="13.8"/>
  <cols>
    <col min="1" max="1" width="5.69921875" customWidth="1" collapsed="1"/>
    <col min="2" max="2" width="69.69921875" customWidth="1" collapsed="1"/>
    <col min="3" max="3" width="5" bestFit="1" customWidth="1" collapsed="1"/>
    <col min="4" max="4" width="20.69921875" customWidth="1" collapsed="1"/>
    <col min="5" max="10" width="25.69921875" customWidth="1" collapsed="1"/>
  </cols>
  <sheetData>
    <row r="1" spans="1:10" ht="14.4" customHeight="1">
      <c r="A1" s="76" t="s">
        <v>164</v>
      </c>
      <c r="B1" s="77"/>
      <c r="C1" s="77"/>
      <c r="D1" s="77"/>
      <c r="E1" s="10"/>
      <c r="F1" s="10"/>
      <c r="G1" s="10"/>
      <c r="H1" s="10"/>
      <c r="I1" s="10"/>
      <c r="J1" s="10"/>
    </row>
    <row r="2" spans="1:10" ht="14.4" customHeight="1">
      <c r="E2" s="10"/>
      <c r="F2" s="10"/>
      <c r="G2" s="10"/>
      <c r="H2" s="10"/>
      <c r="I2" s="10"/>
      <c r="J2" s="10"/>
    </row>
    <row r="3" spans="1:10" ht="14.4" customHeight="1">
      <c r="E3" s="10"/>
      <c r="F3" s="10"/>
      <c r="G3" s="10"/>
      <c r="H3" s="10"/>
      <c r="I3" s="10"/>
      <c r="J3" s="10"/>
    </row>
    <row r="4" spans="1:10" ht="14.4" customHeight="1">
      <c r="D4" s="36" t="s">
        <v>43</v>
      </c>
    </row>
    <row r="5" spans="1:10" ht="14.4" customHeight="1">
      <c r="D5" s="11" t="s">
        <v>44</v>
      </c>
    </row>
    <row r="6" spans="1:10" ht="15" customHeight="1">
      <c r="D6" s="12" t="s">
        <v>45</v>
      </c>
      <c r="E6" s="10"/>
      <c r="F6" s="10"/>
      <c r="G6" s="10"/>
      <c r="H6" s="10"/>
      <c r="I6" s="10"/>
      <c r="J6" s="10"/>
    </row>
    <row r="7" spans="1:10" ht="14.4" customHeight="1">
      <c r="B7" s="13" t="s">
        <v>165</v>
      </c>
      <c r="C7" s="14" t="s">
        <v>45</v>
      </c>
      <c r="D7" s="15" t="s">
        <v>166</v>
      </c>
      <c r="E7" s="16"/>
      <c r="F7" s="18"/>
      <c r="G7" s="10"/>
      <c r="H7" s="10"/>
      <c r="I7" s="10"/>
      <c r="J7" s="10"/>
    </row>
    <row r="8" spans="1:10" ht="14.4" customHeight="1">
      <c r="B8" s="20" t="s">
        <v>36</v>
      </c>
      <c r="C8" s="14" t="s">
        <v>49</v>
      </c>
      <c r="D8" s="15" t="s">
        <v>166</v>
      </c>
      <c r="E8" s="16"/>
      <c r="F8" s="18"/>
      <c r="G8" s="10"/>
      <c r="H8" s="10"/>
      <c r="I8" s="10"/>
      <c r="J8" s="10"/>
    </row>
    <row r="9" spans="1:10" ht="14.4" customHeight="1">
      <c r="B9" s="20" t="s">
        <v>167</v>
      </c>
      <c r="C9" s="14" t="s">
        <v>52</v>
      </c>
      <c r="D9" s="15" t="s">
        <v>63</v>
      </c>
      <c r="E9" s="16"/>
      <c r="F9" s="18"/>
      <c r="G9" s="10"/>
      <c r="H9" s="10"/>
      <c r="I9" s="10"/>
      <c r="J9" s="10"/>
    </row>
    <row r="10" spans="1:10" ht="14.4" customHeight="1">
      <c r="B10" s="20" t="s">
        <v>168</v>
      </c>
      <c r="C10" s="14" t="s">
        <v>55</v>
      </c>
      <c r="D10" s="15" t="s">
        <v>63</v>
      </c>
      <c r="E10" s="16"/>
      <c r="F10" s="18"/>
      <c r="G10" s="10"/>
      <c r="H10" s="10"/>
      <c r="I10" s="10"/>
      <c r="J10" s="10"/>
    </row>
    <row r="11" spans="1:10" ht="14.4" customHeight="1">
      <c r="B11" s="20" t="s">
        <v>169</v>
      </c>
      <c r="C11" s="14" t="s">
        <v>58</v>
      </c>
      <c r="D11" s="15" t="s">
        <v>63</v>
      </c>
      <c r="E11" s="16"/>
      <c r="F11" s="18"/>
      <c r="G11" s="10"/>
      <c r="H11" s="10"/>
      <c r="I11" s="10"/>
      <c r="J11" s="10"/>
    </row>
    <row r="12" spans="1:10" ht="14.4" customHeight="1">
      <c r="B12" s="20" t="s">
        <v>170</v>
      </c>
      <c r="C12" s="14" t="s">
        <v>60</v>
      </c>
      <c r="D12" s="15" t="s">
        <v>63</v>
      </c>
      <c r="E12" s="16"/>
      <c r="F12" s="18"/>
      <c r="G12" s="10"/>
      <c r="H12" s="10"/>
      <c r="I12" s="10"/>
      <c r="J12" s="10"/>
    </row>
    <row r="13" spans="1:10" ht="14.4" customHeight="1">
      <c r="B13" s="13" t="s">
        <v>171</v>
      </c>
      <c r="C13" s="14" t="s">
        <v>172</v>
      </c>
      <c r="D13" s="15" t="s">
        <v>63</v>
      </c>
      <c r="E13" s="16"/>
      <c r="F13" s="18"/>
      <c r="G13" s="10"/>
      <c r="H13" s="10"/>
      <c r="I13" s="10"/>
      <c r="J13" s="10"/>
    </row>
    <row r="14" spans="1:10" ht="14.4" customHeight="1">
      <c r="B14" s="20" t="s">
        <v>36</v>
      </c>
      <c r="C14" s="14" t="s">
        <v>173</v>
      </c>
      <c r="D14" s="15" t="s">
        <v>63</v>
      </c>
      <c r="E14" s="16"/>
      <c r="F14" s="18"/>
      <c r="G14" s="10"/>
      <c r="H14" s="10"/>
      <c r="I14" s="10"/>
      <c r="J14" s="10"/>
    </row>
    <row r="15" spans="1:10" ht="14.4" customHeight="1">
      <c r="B15" s="20" t="s">
        <v>167</v>
      </c>
      <c r="C15" s="14" t="s">
        <v>174</v>
      </c>
      <c r="D15" s="15" t="s">
        <v>63</v>
      </c>
      <c r="E15" s="16"/>
      <c r="F15" s="18"/>
      <c r="G15" s="10"/>
      <c r="H15" s="10"/>
      <c r="I15" s="10"/>
      <c r="J15" s="10"/>
    </row>
    <row r="16" spans="1:10" ht="14.4" customHeight="1">
      <c r="B16" s="20" t="s">
        <v>168</v>
      </c>
      <c r="C16" s="14" t="s">
        <v>175</v>
      </c>
      <c r="D16" s="15" t="s">
        <v>63</v>
      </c>
      <c r="E16" s="16"/>
      <c r="F16" s="18"/>
      <c r="G16" s="10"/>
      <c r="H16" s="10"/>
      <c r="I16" s="10"/>
      <c r="J16" s="10"/>
    </row>
    <row r="17" spans="2:10" ht="14.4" customHeight="1">
      <c r="B17" s="20" t="s">
        <v>169</v>
      </c>
      <c r="C17" s="14" t="s">
        <v>176</v>
      </c>
      <c r="D17" s="15" t="s">
        <v>63</v>
      </c>
      <c r="E17" s="16"/>
      <c r="F17" s="18"/>
      <c r="G17" s="10"/>
      <c r="H17" s="10"/>
      <c r="I17" s="10"/>
      <c r="J17" s="10"/>
    </row>
    <row r="18" spans="2:10" ht="14.4" customHeight="1">
      <c r="B18" s="20" t="s">
        <v>170</v>
      </c>
      <c r="C18" s="14" t="s">
        <v>177</v>
      </c>
      <c r="D18" s="15" t="s">
        <v>63</v>
      </c>
      <c r="E18" s="16"/>
      <c r="F18" s="18"/>
      <c r="G18" s="10"/>
      <c r="H18" s="10"/>
      <c r="I18" s="10"/>
      <c r="J18" s="10"/>
    </row>
    <row r="19" spans="2:10" ht="14.4" customHeight="1">
      <c r="B19" s="13" t="s">
        <v>178</v>
      </c>
      <c r="C19" s="14" t="s">
        <v>62</v>
      </c>
      <c r="D19" s="15" t="s">
        <v>63</v>
      </c>
      <c r="E19" s="16"/>
      <c r="F19" s="18"/>
      <c r="G19" s="10"/>
      <c r="H19" s="10"/>
      <c r="I19" s="10"/>
      <c r="J19" s="10"/>
    </row>
    <row r="20" spans="2:10" ht="14.4" customHeight="1">
      <c r="B20" s="20" t="s">
        <v>168</v>
      </c>
      <c r="C20" s="14" t="s">
        <v>64</v>
      </c>
      <c r="D20" s="15" t="s">
        <v>63</v>
      </c>
      <c r="E20" s="16"/>
      <c r="F20" s="18"/>
      <c r="G20" s="10"/>
      <c r="H20" s="10"/>
      <c r="I20" s="10"/>
      <c r="J20" s="10"/>
    </row>
    <row r="21" spans="2:10" ht="14.4" customHeight="1">
      <c r="B21" s="20" t="s">
        <v>169</v>
      </c>
      <c r="C21" s="14" t="s">
        <v>66</v>
      </c>
      <c r="D21" s="15" t="s">
        <v>63</v>
      </c>
      <c r="E21" s="16"/>
      <c r="F21" s="18"/>
      <c r="G21" s="10"/>
      <c r="H21" s="10"/>
      <c r="I21" s="10"/>
      <c r="J21" s="10"/>
    </row>
    <row r="22" spans="2:10" ht="14.4" customHeight="1">
      <c r="B22" s="20" t="s">
        <v>170</v>
      </c>
      <c r="C22" s="14" t="s">
        <v>82</v>
      </c>
      <c r="D22" s="15" t="s">
        <v>63</v>
      </c>
      <c r="E22" s="16"/>
      <c r="F22" s="18"/>
      <c r="G22" s="10"/>
      <c r="H22" s="10"/>
      <c r="I22" s="10"/>
      <c r="J22" s="10"/>
    </row>
    <row r="23" spans="2:10" ht="14.4" customHeight="1">
      <c r="B23" s="13" t="s">
        <v>179</v>
      </c>
      <c r="C23" s="14" t="s">
        <v>83</v>
      </c>
      <c r="D23" s="15" t="s">
        <v>180</v>
      </c>
      <c r="E23" s="16"/>
      <c r="F23" s="18"/>
      <c r="G23" s="10"/>
      <c r="H23" s="10"/>
      <c r="I23" s="10"/>
      <c r="J23" s="10"/>
    </row>
    <row r="24" spans="2:10" ht="14.4" customHeight="1">
      <c r="B24" s="20" t="s">
        <v>168</v>
      </c>
      <c r="C24" s="14" t="s">
        <v>84</v>
      </c>
      <c r="D24" s="15" t="s">
        <v>181</v>
      </c>
      <c r="E24" s="16"/>
      <c r="F24" s="18"/>
      <c r="G24" s="10"/>
      <c r="H24" s="10"/>
      <c r="I24" s="10"/>
      <c r="J24" s="10"/>
    </row>
    <row r="25" spans="2:10" ht="14.4" customHeight="1">
      <c r="B25" s="20" t="s">
        <v>169</v>
      </c>
      <c r="C25" s="14" t="s">
        <v>85</v>
      </c>
      <c r="D25" s="15" t="s">
        <v>182</v>
      </c>
      <c r="E25" s="16"/>
      <c r="F25" s="18"/>
      <c r="G25" s="10"/>
      <c r="H25" s="10"/>
      <c r="I25" s="10"/>
      <c r="J25" s="10"/>
    </row>
    <row r="26" spans="2:10" ht="14.4" customHeight="1">
      <c r="B26" s="20" t="s">
        <v>170</v>
      </c>
      <c r="C26" s="14" t="s">
        <v>183</v>
      </c>
      <c r="D26" s="15" t="s">
        <v>184</v>
      </c>
      <c r="E26" s="16"/>
      <c r="F26" s="18"/>
      <c r="G26" s="10"/>
      <c r="H26" s="10"/>
      <c r="I26" s="10"/>
      <c r="J26" s="10"/>
    </row>
    <row r="27" spans="2:10" ht="28.95" customHeight="1">
      <c r="B27" s="13" t="s">
        <v>185</v>
      </c>
      <c r="C27" s="14" t="s">
        <v>87</v>
      </c>
      <c r="D27" s="15" t="s">
        <v>63</v>
      </c>
      <c r="E27" s="16"/>
      <c r="F27" s="18"/>
      <c r="G27" s="10"/>
      <c r="H27" s="10"/>
      <c r="I27" s="10"/>
      <c r="J27" s="10"/>
    </row>
    <row r="28" spans="2:10" ht="14.4" customHeight="1">
      <c r="B28" s="20" t="s">
        <v>168</v>
      </c>
      <c r="C28" s="14" t="s">
        <v>89</v>
      </c>
      <c r="D28" s="15" t="s">
        <v>63</v>
      </c>
      <c r="E28" s="16"/>
      <c r="F28" s="18"/>
      <c r="G28" s="10"/>
      <c r="H28" s="10"/>
      <c r="I28" s="10"/>
      <c r="J28" s="10"/>
    </row>
    <row r="29" spans="2:10" ht="14.4" customHeight="1">
      <c r="B29" s="20" t="s">
        <v>169</v>
      </c>
      <c r="C29" s="14" t="s">
        <v>91</v>
      </c>
      <c r="D29" s="15" t="s">
        <v>63</v>
      </c>
      <c r="E29" s="16"/>
      <c r="F29" s="18"/>
      <c r="G29" s="10"/>
      <c r="H29" s="10"/>
      <c r="I29" s="10"/>
      <c r="J29" s="10"/>
    </row>
    <row r="30" spans="2:10" ht="14.4" customHeight="1">
      <c r="B30" s="20" t="s">
        <v>170</v>
      </c>
      <c r="C30" s="14" t="s">
        <v>93</v>
      </c>
      <c r="D30" s="15" t="s">
        <v>63</v>
      </c>
      <c r="E30" s="16"/>
      <c r="F30" s="18"/>
      <c r="G30" s="10"/>
      <c r="H30" s="10"/>
      <c r="I30" s="10"/>
      <c r="J30" s="10"/>
    </row>
    <row r="31" spans="2:10" ht="14.4" customHeight="1">
      <c r="B31" s="13" t="s">
        <v>122</v>
      </c>
      <c r="C31" s="14" t="s">
        <v>186</v>
      </c>
      <c r="D31" s="15" t="s">
        <v>187</v>
      </c>
      <c r="E31" s="16"/>
      <c r="F31" s="18"/>
      <c r="G31" s="10"/>
      <c r="H31" s="10"/>
      <c r="I31" s="10"/>
      <c r="J31" s="10"/>
    </row>
    <row r="32" spans="2:10" ht="14.4" customHeight="1">
      <c r="B32" s="13" t="s">
        <v>125</v>
      </c>
      <c r="C32" s="14" t="s">
        <v>188</v>
      </c>
      <c r="D32" s="15" t="s">
        <v>63</v>
      </c>
      <c r="E32" s="16"/>
      <c r="F32" s="18"/>
      <c r="G32" s="10"/>
      <c r="H32" s="37"/>
      <c r="I32" s="38"/>
      <c r="J32" s="39"/>
    </row>
    <row r="33" spans="2:10" ht="14.4" customHeight="1">
      <c r="B33" s="13" t="s">
        <v>189</v>
      </c>
      <c r="C33" s="14" t="s">
        <v>190</v>
      </c>
      <c r="D33" s="15" t="s">
        <v>191</v>
      </c>
      <c r="E33" s="16"/>
      <c r="F33" s="18"/>
      <c r="G33" s="10"/>
      <c r="H33" s="10"/>
      <c r="I33" s="10"/>
      <c r="J33" s="10"/>
    </row>
    <row r="34" spans="2:10" ht="14.4" customHeight="1">
      <c r="B34" s="20" t="s">
        <v>192</v>
      </c>
      <c r="C34" s="14" t="s">
        <v>101</v>
      </c>
      <c r="D34" s="15" t="s">
        <v>63</v>
      </c>
      <c r="E34" s="16"/>
      <c r="F34" s="18"/>
      <c r="G34" s="29"/>
      <c r="H34" s="10"/>
      <c r="I34" s="10"/>
      <c r="J34" s="10"/>
    </row>
    <row r="35" spans="2:10" ht="14.4" customHeight="1">
      <c r="B35" s="20" t="s">
        <v>193</v>
      </c>
      <c r="C35" s="14" t="s">
        <v>194</v>
      </c>
      <c r="D35" s="15" t="s">
        <v>195</v>
      </c>
      <c r="E35" s="16"/>
      <c r="F35" s="18"/>
      <c r="G35" s="29"/>
      <c r="H35" s="10"/>
      <c r="I35" s="10"/>
      <c r="J35" s="10"/>
    </row>
    <row r="36" spans="2:10" ht="14.4" customHeight="1">
      <c r="B36" s="20" t="s">
        <v>196</v>
      </c>
      <c r="C36" s="14" t="s">
        <v>197</v>
      </c>
      <c r="D36" s="15" t="s">
        <v>63</v>
      </c>
      <c r="E36" s="16"/>
      <c r="F36" s="18"/>
      <c r="G36" s="29"/>
      <c r="H36" s="10"/>
      <c r="I36" s="10"/>
      <c r="J36" s="10"/>
    </row>
    <row r="37" spans="2:10" ht="14.4" customHeight="1">
      <c r="B37" s="20" t="s">
        <v>198</v>
      </c>
      <c r="C37" s="14" t="s">
        <v>199</v>
      </c>
      <c r="D37" s="15" t="s">
        <v>200</v>
      </c>
      <c r="E37" s="16"/>
      <c r="F37" s="18"/>
      <c r="G37" s="29"/>
      <c r="H37" s="10"/>
      <c r="I37" s="10"/>
      <c r="J37" s="10"/>
    </row>
    <row r="38" spans="2:10" ht="14.4" customHeight="1">
      <c r="B38" s="20" t="s">
        <v>201</v>
      </c>
      <c r="C38" s="14" t="s">
        <v>202</v>
      </c>
      <c r="D38" s="15" t="s">
        <v>203</v>
      </c>
      <c r="E38" s="16"/>
      <c r="F38" s="18"/>
      <c r="G38" s="29"/>
      <c r="H38" s="10"/>
      <c r="I38" s="10"/>
      <c r="J38" s="10"/>
    </row>
    <row r="39" spans="2:10" ht="14.4" customHeight="1">
      <c r="B39" s="20" t="s">
        <v>204</v>
      </c>
      <c r="C39" s="14" t="s">
        <v>205</v>
      </c>
      <c r="D39" s="15" t="s">
        <v>206</v>
      </c>
      <c r="E39" s="16"/>
      <c r="F39" s="18"/>
      <c r="G39" s="29"/>
      <c r="H39" s="10"/>
      <c r="I39" s="10"/>
      <c r="J39" s="10"/>
    </row>
    <row r="40" spans="2:10" ht="14.4" customHeight="1">
      <c r="B40" s="20" t="s">
        <v>207</v>
      </c>
      <c r="C40" s="14" t="s">
        <v>208</v>
      </c>
      <c r="D40" s="15" t="s">
        <v>209</v>
      </c>
      <c r="E40" s="16"/>
      <c r="F40" s="18"/>
      <c r="G40" s="29"/>
      <c r="H40" s="10"/>
      <c r="I40" s="10"/>
      <c r="J40" s="10"/>
    </row>
    <row r="41" spans="2:10" ht="14.4" customHeight="1">
      <c r="B41" s="13" t="s">
        <v>210</v>
      </c>
      <c r="C41" s="14" t="s">
        <v>123</v>
      </c>
      <c r="D41" s="15" t="s">
        <v>211</v>
      </c>
      <c r="E41" s="16"/>
      <c r="F41" s="18"/>
      <c r="G41" s="10"/>
      <c r="H41" s="10"/>
      <c r="I41" s="10"/>
      <c r="J41" s="10"/>
    </row>
    <row r="42" spans="2:10" ht="14.4" customHeight="1">
      <c r="B42" s="20" t="s">
        <v>212</v>
      </c>
      <c r="C42" s="14" t="s">
        <v>126</v>
      </c>
      <c r="D42" s="15" t="s">
        <v>213</v>
      </c>
      <c r="E42" s="16"/>
      <c r="F42" s="18"/>
      <c r="G42" s="10"/>
      <c r="H42" s="10"/>
      <c r="I42" s="10"/>
      <c r="J42" s="10"/>
    </row>
    <row r="43" spans="2:10" ht="14.4" customHeight="1">
      <c r="B43" s="20" t="s">
        <v>214</v>
      </c>
      <c r="C43" s="14" t="s">
        <v>128</v>
      </c>
      <c r="D43" s="15" t="s">
        <v>215</v>
      </c>
      <c r="E43" s="16"/>
      <c r="F43" s="18"/>
      <c r="G43" s="10"/>
      <c r="H43" s="10"/>
      <c r="I43" s="10"/>
      <c r="J43" s="10"/>
    </row>
    <row r="44" spans="2:10" ht="14.4" customHeight="1">
      <c r="B44" s="13" t="s">
        <v>216</v>
      </c>
      <c r="C44" s="14" t="s">
        <v>131</v>
      </c>
      <c r="D44" s="15" t="s">
        <v>63</v>
      </c>
      <c r="E44" s="16"/>
      <c r="F44" s="18"/>
      <c r="G44" s="10"/>
      <c r="H44" s="10"/>
      <c r="I44" s="10"/>
      <c r="J44" s="10"/>
    </row>
    <row r="45" spans="2:10" ht="14.4" customHeight="1">
      <c r="B45" s="13" t="s">
        <v>217</v>
      </c>
      <c r="C45" s="14" t="s">
        <v>134</v>
      </c>
      <c r="D45" s="15" t="s">
        <v>218</v>
      </c>
      <c r="E45" s="16"/>
      <c r="F45" s="18"/>
      <c r="G45" s="10"/>
      <c r="H45" s="10"/>
      <c r="I45" s="10"/>
      <c r="J45" s="10"/>
    </row>
    <row r="46" spans="2:10" ht="14.4" customHeight="1">
      <c r="B46" s="13" t="s">
        <v>219</v>
      </c>
      <c r="C46" s="14" t="s">
        <v>136</v>
      </c>
      <c r="D46" s="15" t="s">
        <v>63</v>
      </c>
      <c r="E46" s="16"/>
      <c r="F46" s="18"/>
      <c r="G46" s="10"/>
      <c r="H46" s="10"/>
      <c r="I46" s="10"/>
      <c r="J46" s="10"/>
    </row>
    <row r="47" spans="2:10" ht="14.4" customHeight="1">
      <c r="B47" s="13" t="s">
        <v>220</v>
      </c>
      <c r="C47" s="14" t="s">
        <v>221</v>
      </c>
      <c r="D47" s="15" t="s">
        <v>63</v>
      </c>
      <c r="E47" s="16"/>
      <c r="F47" s="10"/>
      <c r="G47" s="10"/>
      <c r="H47" s="10"/>
      <c r="I47" s="10"/>
      <c r="J47" s="10"/>
    </row>
    <row r="48" spans="2:10" ht="15" customHeight="1">
      <c r="B48" s="21" t="s">
        <v>222</v>
      </c>
      <c r="C48" s="14" t="s">
        <v>138</v>
      </c>
      <c r="D48" s="15" t="s">
        <v>223</v>
      </c>
      <c r="E48" s="16"/>
      <c r="F48" s="10"/>
      <c r="G48" s="10"/>
      <c r="H48" s="10"/>
      <c r="I48" s="10"/>
      <c r="J48" s="10"/>
    </row>
  </sheetData>
  <mergeCells count="1">
    <mergeCell ref="A1:D1"/>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46E3-D3C2-4DC5-8F43-7FF249F79186}">
  <sheetPr codeName="Sheet16">
    <tabColor theme="0" tint="-4.9989318521683403E-2"/>
  </sheetPr>
  <dimension ref="A1:R31"/>
  <sheetViews>
    <sheetView workbookViewId="0">
      <selection sqref="A1:O1"/>
    </sheetView>
  </sheetViews>
  <sheetFormatPr defaultRowHeight="13.8" outlineLevelRow="1"/>
  <cols>
    <col min="1" max="1" width="5.69921875" customWidth="1" collapsed="1"/>
    <col min="2" max="2" width="26.69921875" customWidth="1" collapsed="1"/>
    <col min="3" max="3" width="5" bestFit="1" customWidth="1" collapsed="1"/>
    <col min="4" max="15" width="20.69921875" customWidth="1" collapsed="1"/>
    <col min="16" max="18" width="25.69921875" customWidth="1" collapsed="1"/>
  </cols>
  <sheetData>
    <row r="1" spans="1:18" ht="14.4" customHeight="1">
      <c r="A1" s="76" t="s">
        <v>224</v>
      </c>
      <c r="B1" s="77"/>
      <c r="C1" s="77"/>
      <c r="D1" s="77"/>
      <c r="E1" s="77"/>
      <c r="F1" s="77"/>
      <c r="G1" s="77"/>
      <c r="H1" s="77"/>
      <c r="I1" s="77"/>
      <c r="J1" s="77"/>
      <c r="K1" s="77"/>
      <c r="L1" s="77"/>
      <c r="M1" s="77"/>
      <c r="N1" s="77"/>
      <c r="O1" s="77"/>
      <c r="P1" s="10"/>
      <c r="Q1" s="10"/>
      <c r="R1" s="10"/>
    </row>
    <row r="2" spans="1:18" ht="14.4" customHeight="1">
      <c r="P2" s="10"/>
      <c r="Q2" s="10"/>
      <c r="R2" s="10"/>
    </row>
    <row r="3" spans="1:18" ht="14.4" customHeight="1">
      <c r="P3" s="10"/>
      <c r="Q3" s="10"/>
      <c r="R3" s="10"/>
    </row>
    <row r="4" spans="1:18" ht="14.4" customHeight="1">
      <c r="D4" s="78" t="s">
        <v>43</v>
      </c>
      <c r="E4" s="78"/>
      <c r="F4" s="78"/>
      <c r="G4" s="78"/>
      <c r="H4" s="78"/>
      <c r="I4" s="78"/>
      <c r="J4" s="78"/>
      <c r="K4" s="78"/>
      <c r="L4" s="78"/>
      <c r="M4" s="78"/>
      <c r="N4" s="78"/>
      <c r="O4" s="78"/>
      <c r="P4" s="10"/>
      <c r="Q4" s="10"/>
      <c r="R4" s="10"/>
    </row>
    <row r="5" spans="1:18" ht="14.4" customHeight="1">
      <c r="D5" s="79" t="s">
        <v>225</v>
      </c>
      <c r="E5" s="80"/>
      <c r="F5" s="80"/>
      <c r="G5" s="81"/>
      <c r="H5" s="79" t="s">
        <v>226</v>
      </c>
      <c r="I5" s="80"/>
      <c r="J5" s="80"/>
      <c r="K5" s="81"/>
      <c r="L5" s="79" t="s">
        <v>227</v>
      </c>
      <c r="M5" s="81"/>
      <c r="N5" s="79" t="s">
        <v>228</v>
      </c>
      <c r="O5" s="81"/>
    </row>
    <row r="6" spans="1:18" ht="100.95" customHeight="1">
      <c r="D6" s="11" t="s">
        <v>229</v>
      </c>
      <c r="E6" s="11" t="s">
        <v>230</v>
      </c>
      <c r="F6" s="11" t="s">
        <v>231</v>
      </c>
      <c r="G6" s="11" t="s">
        <v>232</v>
      </c>
      <c r="H6" s="11" t="s">
        <v>229</v>
      </c>
      <c r="I6" s="11" t="s">
        <v>230</v>
      </c>
      <c r="J6" s="11" t="s">
        <v>231</v>
      </c>
      <c r="K6" s="11" t="s">
        <v>232</v>
      </c>
      <c r="L6" s="11" t="s">
        <v>233</v>
      </c>
      <c r="M6" s="11" t="s">
        <v>234</v>
      </c>
      <c r="N6" s="11" t="s">
        <v>233</v>
      </c>
      <c r="O6" s="11" t="s">
        <v>235</v>
      </c>
    </row>
    <row r="7" spans="1:18" ht="15" customHeight="1">
      <c r="D7" s="12" t="s">
        <v>45</v>
      </c>
      <c r="E7" s="12" t="s">
        <v>49</v>
      </c>
      <c r="F7" s="12" t="s">
        <v>52</v>
      </c>
      <c r="G7" s="12" t="s">
        <v>236</v>
      </c>
      <c r="H7" s="12" t="s">
        <v>55</v>
      </c>
      <c r="I7" s="12" t="s">
        <v>58</v>
      </c>
      <c r="J7" s="12" t="s">
        <v>60</v>
      </c>
      <c r="K7" s="12" t="s">
        <v>176</v>
      </c>
      <c r="L7" s="12" t="s">
        <v>82</v>
      </c>
      <c r="M7" s="12" t="s">
        <v>83</v>
      </c>
      <c r="N7" s="12" t="s">
        <v>84</v>
      </c>
      <c r="O7" s="12" t="s">
        <v>85</v>
      </c>
      <c r="P7" s="10"/>
      <c r="Q7" s="10"/>
      <c r="R7" s="10"/>
    </row>
    <row r="8" spans="1:18" ht="14.4" customHeight="1">
      <c r="B8" s="21" t="s">
        <v>237</v>
      </c>
      <c r="C8" s="14" t="s">
        <v>45</v>
      </c>
      <c r="D8" s="15" t="s">
        <v>238</v>
      </c>
      <c r="E8" s="15" t="s">
        <v>239</v>
      </c>
      <c r="F8" s="15" t="s">
        <v>240</v>
      </c>
      <c r="G8" s="15" t="s">
        <v>241</v>
      </c>
      <c r="H8" s="15" t="s">
        <v>242</v>
      </c>
      <c r="I8" s="15" t="s">
        <v>243</v>
      </c>
      <c r="J8" s="15" t="s">
        <v>244</v>
      </c>
      <c r="K8" s="15" t="s">
        <v>245</v>
      </c>
      <c r="L8" s="15" t="s">
        <v>63</v>
      </c>
      <c r="M8" s="15" t="s">
        <v>63</v>
      </c>
      <c r="N8" s="15" t="s">
        <v>63</v>
      </c>
      <c r="O8" s="15" t="s">
        <v>63</v>
      </c>
      <c r="P8" s="16"/>
      <c r="Q8" s="10"/>
      <c r="R8" s="10"/>
    </row>
    <row r="9" spans="1:18" ht="14.4" customHeight="1" outlineLevel="1">
      <c r="B9" s="13" t="s">
        <v>246</v>
      </c>
      <c r="C9" s="14" t="s">
        <v>247</v>
      </c>
      <c r="D9" s="15" t="s">
        <v>63</v>
      </c>
      <c r="E9" s="15" t="s">
        <v>63</v>
      </c>
      <c r="F9" s="15" t="s">
        <v>240</v>
      </c>
      <c r="G9" s="15" t="s">
        <v>63</v>
      </c>
      <c r="H9" s="15" t="s">
        <v>63</v>
      </c>
      <c r="I9" s="15" t="s">
        <v>63</v>
      </c>
      <c r="J9" s="15" t="s">
        <v>244</v>
      </c>
      <c r="K9" s="15" t="s">
        <v>63</v>
      </c>
      <c r="L9" s="15" t="s">
        <v>63</v>
      </c>
      <c r="M9" s="15" t="s">
        <v>63</v>
      </c>
      <c r="N9" s="15" t="s">
        <v>63</v>
      </c>
      <c r="O9" s="15" t="s">
        <v>63</v>
      </c>
      <c r="P9" s="16"/>
      <c r="Q9" s="10"/>
      <c r="R9" s="45"/>
    </row>
    <row r="10" spans="1:18" ht="14.4" customHeight="1" outlineLevel="1">
      <c r="B10" s="13" t="s">
        <v>248</v>
      </c>
      <c r="C10" s="14" t="s">
        <v>52</v>
      </c>
      <c r="D10" s="15" t="s">
        <v>63</v>
      </c>
      <c r="E10" s="15" t="s">
        <v>63</v>
      </c>
      <c r="F10" s="15" t="s">
        <v>63</v>
      </c>
      <c r="G10" s="15" t="s">
        <v>63</v>
      </c>
      <c r="H10" s="15" t="s">
        <v>63</v>
      </c>
      <c r="I10" s="15" t="s">
        <v>63</v>
      </c>
      <c r="J10" s="15" t="s">
        <v>63</v>
      </c>
      <c r="K10" s="15" t="s">
        <v>63</v>
      </c>
      <c r="L10" s="15" t="s">
        <v>63</v>
      </c>
      <c r="M10" s="15" t="s">
        <v>63</v>
      </c>
      <c r="N10" s="15" t="s">
        <v>63</v>
      </c>
      <c r="O10" s="15" t="s">
        <v>63</v>
      </c>
      <c r="P10" s="16"/>
      <c r="Q10" s="17"/>
      <c r="R10" s="10"/>
    </row>
    <row r="11" spans="1:18" ht="14.4" customHeight="1" outlineLevel="1">
      <c r="B11" s="13" t="s">
        <v>249</v>
      </c>
      <c r="C11" s="14" t="s">
        <v>55</v>
      </c>
      <c r="D11" s="15" t="s">
        <v>250</v>
      </c>
      <c r="E11" s="15" t="s">
        <v>251</v>
      </c>
      <c r="F11" s="15" t="s">
        <v>63</v>
      </c>
      <c r="G11" s="15" t="s">
        <v>63</v>
      </c>
      <c r="H11" s="15" t="s">
        <v>252</v>
      </c>
      <c r="I11" s="15" t="s">
        <v>253</v>
      </c>
      <c r="J11" s="15" t="s">
        <v>63</v>
      </c>
      <c r="K11" s="15" t="s">
        <v>63</v>
      </c>
      <c r="L11" s="15" t="s">
        <v>63</v>
      </c>
      <c r="M11" s="15" t="s">
        <v>63</v>
      </c>
      <c r="N11" s="15" t="s">
        <v>63</v>
      </c>
      <c r="O11" s="15" t="s">
        <v>63</v>
      </c>
      <c r="P11" s="16"/>
      <c r="Q11" s="17"/>
      <c r="R11" s="10"/>
    </row>
    <row r="12" spans="1:18" ht="14.4" customHeight="1" outlineLevel="1">
      <c r="B12" s="13" t="s">
        <v>254</v>
      </c>
      <c r="C12" s="14" t="s">
        <v>58</v>
      </c>
      <c r="D12" s="15" t="s">
        <v>255</v>
      </c>
      <c r="E12" s="15" t="s">
        <v>256</v>
      </c>
      <c r="F12" s="15" t="s">
        <v>63</v>
      </c>
      <c r="G12" s="15" t="s">
        <v>63</v>
      </c>
      <c r="H12" s="15" t="s">
        <v>257</v>
      </c>
      <c r="I12" s="15" t="s">
        <v>258</v>
      </c>
      <c r="J12" s="15" t="s">
        <v>63</v>
      </c>
      <c r="K12" s="15" t="s">
        <v>63</v>
      </c>
      <c r="L12" s="15" t="s">
        <v>63</v>
      </c>
      <c r="M12" s="15" t="s">
        <v>63</v>
      </c>
      <c r="N12" s="15" t="s">
        <v>63</v>
      </c>
      <c r="O12" s="15" t="s">
        <v>63</v>
      </c>
      <c r="P12" s="16"/>
      <c r="Q12" s="17"/>
      <c r="R12" s="10"/>
    </row>
    <row r="13" spans="1:18" ht="28.95" customHeight="1" outlineLevel="1">
      <c r="B13" s="13" t="s">
        <v>259</v>
      </c>
      <c r="C13" s="14" t="s">
        <v>60</v>
      </c>
      <c r="D13" s="15" t="s">
        <v>260</v>
      </c>
      <c r="E13" s="15" t="s">
        <v>261</v>
      </c>
      <c r="F13" s="15" t="s">
        <v>262</v>
      </c>
      <c r="G13" s="15" t="s">
        <v>63</v>
      </c>
      <c r="H13" s="15" t="s">
        <v>263</v>
      </c>
      <c r="I13" s="15" t="s">
        <v>264</v>
      </c>
      <c r="J13" s="15" t="s">
        <v>63</v>
      </c>
      <c r="K13" s="15" t="s">
        <v>63</v>
      </c>
      <c r="L13" s="15" t="s">
        <v>63</v>
      </c>
      <c r="M13" s="15" t="s">
        <v>63</v>
      </c>
      <c r="N13" s="15" t="s">
        <v>63</v>
      </c>
      <c r="O13" s="15" t="s">
        <v>63</v>
      </c>
      <c r="P13" s="16"/>
      <c r="Q13" s="17"/>
      <c r="R13" s="10"/>
    </row>
    <row r="14" spans="1:18" ht="14.4" customHeight="1" outlineLevel="1">
      <c r="B14" s="13" t="s">
        <v>265</v>
      </c>
      <c r="C14" s="14" t="s">
        <v>62</v>
      </c>
      <c r="D14" s="15" t="s">
        <v>266</v>
      </c>
      <c r="E14" s="15" t="s">
        <v>267</v>
      </c>
      <c r="F14" s="15" t="s">
        <v>268</v>
      </c>
      <c r="G14" s="15" t="s">
        <v>241</v>
      </c>
      <c r="H14" s="15" t="s">
        <v>269</v>
      </c>
      <c r="I14" s="15" t="s">
        <v>270</v>
      </c>
      <c r="J14" s="15" t="s">
        <v>63</v>
      </c>
      <c r="K14" s="15" t="s">
        <v>245</v>
      </c>
      <c r="L14" s="15" t="s">
        <v>63</v>
      </c>
      <c r="M14" s="15" t="s">
        <v>63</v>
      </c>
      <c r="N14" s="15" t="s">
        <v>63</v>
      </c>
      <c r="O14" s="15" t="s">
        <v>63</v>
      </c>
      <c r="P14" s="16"/>
      <c r="Q14" s="17"/>
      <c r="R14" s="10"/>
    </row>
    <row r="15" spans="1:18" ht="14.4" customHeight="1" outlineLevel="1">
      <c r="B15" s="13" t="s">
        <v>271</v>
      </c>
      <c r="C15" s="14" t="s">
        <v>64</v>
      </c>
      <c r="D15" s="15" t="s">
        <v>272</v>
      </c>
      <c r="E15" s="15" t="s">
        <v>273</v>
      </c>
      <c r="F15" s="15" t="s">
        <v>274</v>
      </c>
      <c r="G15" s="15" t="s">
        <v>63</v>
      </c>
      <c r="H15" s="15" t="s">
        <v>275</v>
      </c>
      <c r="I15" s="15" t="s">
        <v>276</v>
      </c>
      <c r="J15" s="15" t="s">
        <v>244</v>
      </c>
      <c r="K15" s="15" t="s">
        <v>63</v>
      </c>
      <c r="L15" s="15" t="s">
        <v>63</v>
      </c>
      <c r="M15" s="15" t="s">
        <v>63</v>
      </c>
      <c r="N15" s="15" t="s">
        <v>63</v>
      </c>
      <c r="O15" s="15" t="s">
        <v>63</v>
      </c>
      <c r="P15" s="16"/>
      <c r="Q15" s="17"/>
      <c r="R15" s="10"/>
    </row>
    <row r="16" spans="1:18" ht="14.4" customHeight="1">
      <c r="B16" s="21" t="s">
        <v>277</v>
      </c>
      <c r="C16" s="14" t="s">
        <v>66</v>
      </c>
      <c r="D16" s="15" t="s">
        <v>278</v>
      </c>
      <c r="E16" s="15" t="s">
        <v>279</v>
      </c>
      <c r="F16" s="15" t="s">
        <v>280</v>
      </c>
      <c r="G16" s="15" t="s">
        <v>281</v>
      </c>
      <c r="H16" s="15" t="s">
        <v>282</v>
      </c>
      <c r="I16" s="15" t="s">
        <v>283</v>
      </c>
      <c r="J16" s="15" t="s">
        <v>284</v>
      </c>
      <c r="K16" s="15" t="s">
        <v>285</v>
      </c>
      <c r="L16" s="15" t="s">
        <v>63</v>
      </c>
      <c r="M16" s="15" t="s">
        <v>63</v>
      </c>
      <c r="N16" s="15" t="s">
        <v>63</v>
      </c>
      <c r="O16" s="15" t="s">
        <v>63</v>
      </c>
      <c r="P16" s="16"/>
      <c r="Q16" s="10"/>
      <c r="R16" s="10"/>
    </row>
    <row r="17" spans="2:18" ht="14.4" customHeight="1" outlineLevel="1">
      <c r="B17" s="13" t="s">
        <v>246</v>
      </c>
      <c r="C17" s="14" t="s">
        <v>286</v>
      </c>
      <c r="D17" s="15" t="s">
        <v>63</v>
      </c>
      <c r="E17" s="15" t="s">
        <v>63</v>
      </c>
      <c r="F17" s="15" t="s">
        <v>287</v>
      </c>
      <c r="G17" s="15" t="s">
        <v>288</v>
      </c>
      <c r="H17" s="15" t="s">
        <v>63</v>
      </c>
      <c r="I17" s="15" t="s">
        <v>63</v>
      </c>
      <c r="J17" s="15" t="s">
        <v>284</v>
      </c>
      <c r="K17" s="15" t="s">
        <v>289</v>
      </c>
      <c r="L17" s="15" t="s">
        <v>63</v>
      </c>
      <c r="M17" s="15" t="s">
        <v>63</v>
      </c>
      <c r="N17" s="15" t="s">
        <v>63</v>
      </c>
      <c r="O17" s="15" t="s">
        <v>63</v>
      </c>
      <c r="P17" s="16"/>
      <c r="Q17" s="10"/>
      <c r="R17" s="45"/>
    </row>
    <row r="18" spans="2:18" ht="14.4" customHeight="1" outlineLevel="1">
      <c r="B18" s="13" t="s">
        <v>248</v>
      </c>
      <c r="C18" s="14" t="s">
        <v>83</v>
      </c>
      <c r="D18" s="15" t="s">
        <v>63</v>
      </c>
      <c r="E18" s="15" t="s">
        <v>63</v>
      </c>
      <c r="F18" s="15" t="s">
        <v>63</v>
      </c>
      <c r="G18" s="15" t="s">
        <v>63</v>
      </c>
      <c r="H18" s="15" t="s">
        <v>63</v>
      </c>
      <c r="I18" s="15" t="s">
        <v>63</v>
      </c>
      <c r="J18" s="15" t="s">
        <v>63</v>
      </c>
      <c r="K18" s="15" t="s">
        <v>63</v>
      </c>
      <c r="L18" s="15" t="s">
        <v>63</v>
      </c>
      <c r="M18" s="15" t="s">
        <v>63</v>
      </c>
      <c r="N18" s="15" t="s">
        <v>63</v>
      </c>
      <c r="O18" s="15" t="s">
        <v>63</v>
      </c>
      <c r="P18" s="16"/>
      <c r="Q18" s="17"/>
      <c r="R18" s="10"/>
    </row>
    <row r="19" spans="2:18" ht="14.4" customHeight="1" outlineLevel="1">
      <c r="B19" s="13" t="s">
        <v>249</v>
      </c>
      <c r="C19" s="14" t="s">
        <v>84</v>
      </c>
      <c r="D19" s="15" t="s">
        <v>290</v>
      </c>
      <c r="E19" s="15" t="s">
        <v>291</v>
      </c>
      <c r="F19" s="15" t="s">
        <v>63</v>
      </c>
      <c r="G19" s="15" t="s">
        <v>63</v>
      </c>
      <c r="H19" s="15" t="s">
        <v>292</v>
      </c>
      <c r="I19" s="15" t="s">
        <v>293</v>
      </c>
      <c r="J19" s="15" t="s">
        <v>63</v>
      </c>
      <c r="K19" s="15" t="s">
        <v>63</v>
      </c>
      <c r="L19" s="15" t="s">
        <v>63</v>
      </c>
      <c r="M19" s="15" t="s">
        <v>63</v>
      </c>
      <c r="N19" s="15" t="s">
        <v>63</v>
      </c>
      <c r="O19" s="15" t="s">
        <v>63</v>
      </c>
      <c r="P19" s="16"/>
      <c r="Q19" s="17"/>
      <c r="R19" s="10"/>
    </row>
    <row r="20" spans="2:18" ht="14.4" customHeight="1" outlineLevel="1">
      <c r="B20" s="13" t="s">
        <v>254</v>
      </c>
      <c r="C20" s="14" t="s">
        <v>85</v>
      </c>
      <c r="D20" s="15" t="s">
        <v>294</v>
      </c>
      <c r="E20" s="15" t="s">
        <v>63</v>
      </c>
      <c r="F20" s="15" t="s">
        <v>63</v>
      </c>
      <c r="G20" s="15" t="s">
        <v>63</v>
      </c>
      <c r="H20" s="15" t="s">
        <v>295</v>
      </c>
      <c r="I20" s="15" t="s">
        <v>63</v>
      </c>
      <c r="J20" s="15" t="s">
        <v>63</v>
      </c>
      <c r="K20" s="15" t="s">
        <v>63</v>
      </c>
      <c r="L20" s="15" t="s">
        <v>63</v>
      </c>
      <c r="M20" s="15" t="s">
        <v>63</v>
      </c>
      <c r="N20" s="15" t="s">
        <v>63</v>
      </c>
      <c r="O20" s="15" t="s">
        <v>63</v>
      </c>
      <c r="P20" s="16"/>
      <c r="Q20" s="17"/>
      <c r="R20" s="10"/>
    </row>
    <row r="21" spans="2:18" ht="28.95" customHeight="1" outlineLevel="1">
      <c r="B21" s="13" t="s">
        <v>259</v>
      </c>
      <c r="C21" s="14" t="s">
        <v>183</v>
      </c>
      <c r="D21" s="15" t="s">
        <v>296</v>
      </c>
      <c r="E21" s="15" t="s">
        <v>297</v>
      </c>
      <c r="F21" s="15" t="s">
        <v>63</v>
      </c>
      <c r="G21" s="15" t="s">
        <v>63</v>
      </c>
      <c r="H21" s="15" t="s">
        <v>298</v>
      </c>
      <c r="I21" s="15" t="s">
        <v>299</v>
      </c>
      <c r="J21" s="15" t="s">
        <v>63</v>
      </c>
      <c r="K21" s="15" t="s">
        <v>63</v>
      </c>
      <c r="L21" s="15" t="s">
        <v>63</v>
      </c>
      <c r="M21" s="15" t="s">
        <v>63</v>
      </c>
      <c r="N21" s="15" t="s">
        <v>63</v>
      </c>
      <c r="O21" s="15" t="s">
        <v>63</v>
      </c>
      <c r="P21" s="16"/>
      <c r="Q21" s="17"/>
      <c r="R21" s="10"/>
    </row>
    <row r="22" spans="2:18" ht="14.4" customHeight="1" outlineLevel="1">
      <c r="B22" s="13" t="s">
        <v>265</v>
      </c>
      <c r="C22" s="14" t="s">
        <v>186</v>
      </c>
      <c r="D22" s="15" t="s">
        <v>300</v>
      </c>
      <c r="E22" s="15" t="s">
        <v>301</v>
      </c>
      <c r="F22" s="15" t="s">
        <v>302</v>
      </c>
      <c r="G22" s="15" t="s">
        <v>281</v>
      </c>
      <c r="H22" s="15" t="s">
        <v>303</v>
      </c>
      <c r="I22" s="15" t="s">
        <v>304</v>
      </c>
      <c r="J22" s="15" t="s">
        <v>305</v>
      </c>
      <c r="K22" s="15" t="s">
        <v>285</v>
      </c>
      <c r="L22" s="15" t="s">
        <v>63</v>
      </c>
      <c r="M22" s="15" t="s">
        <v>63</v>
      </c>
      <c r="N22" s="15" t="s">
        <v>63</v>
      </c>
      <c r="O22" s="15" t="s">
        <v>63</v>
      </c>
      <c r="P22" s="16"/>
      <c r="Q22" s="17"/>
      <c r="R22" s="10"/>
    </row>
    <row r="23" spans="2:18" ht="14.4" customHeight="1" outlineLevel="1">
      <c r="B23" s="13" t="s">
        <v>271</v>
      </c>
      <c r="C23" s="14" t="s">
        <v>188</v>
      </c>
      <c r="D23" s="15" t="s">
        <v>306</v>
      </c>
      <c r="E23" s="15" t="s">
        <v>307</v>
      </c>
      <c r="F23" s="15" t="s">
        <v>308</v>
      </c>
      <c r="G23" s="15" t="s">
        <v>63</v>
      </c>
      <c r="H23" s="15" t="s">
        <v>309</v>
      </c>
      <c r="I23" s="15" t="s">
        <v>310</v>
      </c>
      <c r="J23" s="15" t="s">
        <v>311</v>
      </c>
      <c r="K23" s="15" t="s">
        <v>63</v>
      </c>
      <c r="L23" s="15" t="s">
        <v>63</v>
      </c>
      <c r="M23" s="15" t="s">
        <v>63</v>
      </c>
      <c r="N23" s="15" t="s">
        <v>63</v>
      </c>
      <c r="O23" s="15" t="s">
        <v>63</v>
      </c>
      <c r="P23" s="16"/>
      <c r="Q23" s="17"/>
      <c r="R23" s="10"/>
    </row>
    <row r="24" spans="2:18" ht="14.4" customHeight="1">
      <c r="B24" s="21" t="s">
        <v>312</v>
      </c>
      <c r="C24" s="14" t="s">
        <v>190</v>
      </c>
      <c r="D24" s="15" t="s">
        <v>313</v>
      </c>
      <c r="E24" s="15" t="s">
        <v>314</v>
      </c>
      <c r="F24" s="15" t="s">
        <v>315</v>
      </c>
      <c r="G24" s="15" t="s">
        <v>316</v>
      </c>
      <c r="H24" s="15" t="s">
        <v>317</v>
      </c>
      <c r="I24" s="15" t="s">
        <v>318</v>
      </c>
      <c r="J24" s="15" t="s">
        <v>319</v>
      </c>
      <c r="K24" s="15" t="s">
        <v>320</v>
      </c>
      <c r="L24" s="15" t="s">
        <v>63</v>
      </c>
      <c r="M24" s="15" t="s">
        <v>63</v>
      </c>
      <c r="N24" s="15" t="s">
        <v>63</v>
      </c>
      <c r="O24" s="15" t="s">
        <v>63</v>
      </c>
      <c r="P24" s="16"/>
      <c r="Q24" s="10"/>
      <c r="R24" s="10"/>
    </row>
    <row r="25" spans="2:18" ht="14.4" customHeight="1" outlineLevel="1">
      <c r="B25" s="13" t="s">
        <v>246</v>
      </c>
      <c r="C25" s="14" t="s">
        <v>106</v>
      </c>
      <c r="D25" s="15" t="s">
        <v>63</v>
      </c>
      <c r="E25" s="15" t="s">
        <v>63</v>
      </c>
      <c r="F25" s="15" t="s">
        <v>315</v>
      </c>
      <c r="G25" s="15" t="s">
        <v>321</v>
      </c>
      <c r="H25" s="15" t="s">
        <v>63</v>
      </c>
      <c r="I25" s="15" t="s">
        <v>63</v>
      </c>
      <c r="J25" s="15" t="s">
        <v>319</v>
      </c>
      <c r="K25" s="15" t="s">
        <v>322</v>
      </c>
      <c r="L25" s="15" t="s">
        <v>63</v>
      </c>
      <c r="M25" s="15" t="s">
        <v>63</v>
      </c>
      <c r="N25" s="15" t="s">
        <v>63</v>
      </c>
      <c r="O25" s="15" t="s">
        <v>63</v>
      </c>
      <c r="P25" s="16"/>
      <c r="Q25" s="10"/>
      <c r="R25" s="45"/>
    </row>
    <row r="26" spans="2:18" ht="14.4" customHeight="1" outlineLevel="1">
      <c r="B26" s="13" t="s">
        <v>248</v>
      </c>
      <c r="C26" s="14" t="s">
        <v>197</v>
      </c>
      <c r="D26" s="15" t="s">
        <v>63</v>
      </c>
      <c r="E26" s="15" t="s">
        <v>63</v>
      </c>
      <c r="F26" s="15" t="s">
        <v>63</v>
      </c>
      <c r="G26" s="15" t="s">
        <v>63</v>
      </c>
      <c r="H26" s="15" t="s">
        <v>63</v>
      </c>
      <c r="I26" s="15" t="s">
        <v>63</v>
      </c>
      <c r="J26" s="15" t="s">
        <v>63</v>
      </c>
      <c r="K26" s="15" t="s">
        <v>63</v>
      </c>
      <c r="L26" s="15" t="s">
        <v>63</v>
      </c>
      <c r="M26" s="15" t="s">
        <v>63</v>
      </c>
      <c r="N26" s="15" t="s">
        <v>63</v>
      </c>
      <c r="O26" s="15" t="s">
        <v>63</v>
      </c>
      <c r="P26" s="16"/>
      <c r="Q26" s="17"/>
      <c r="R26" s="10"/>
    </row>
    <row r="27" spans="2:18" ht="14.4" customHeight="1" outlineLevel="1">
      <c r="B27" s="13" t="s">
        <v>249</v>
      </c>
      <c r="C27" s="14" t="s">
        <v>199</v>
      </c>
      <c r="D27" s="15" t="s">
        <v>323</v>
      </c>
      <c r="E27" s="15" t="s">
        <v>324</v>
      </c>
      <c r="F27" s="15" t="s">
        <v>63</v>
      </c>
      <c r="G27" s="15" t="s">
        <v>63</v>
      </c>
      <c r="H27" s="15" t="s">
        <v>325</v>
      </c>
      <c r="I27" s="15" t="s">
        <v>326</v>
      </c>
      <c r="J27" s="15" t="s">
        <v>63</v>
      </c>
      <c r="K27" s="15" t="s">
        <v>63</v>
      </c>
      <c r="L27" s="15" t="s">
        <v>63</v>
      </c>
      <c r="M27" s="15" t="s">
        <v>63</v>
      </c>
      <c r="N27" s="15" t="s">
        <v>63</v>
      </c>
      <c r="O27" s="15" t="s">
        <v>63</v>
      </c>
      <c r="P27" s="16"/>
      <c r="Q27" s="17"/>
      <c r="R27" s="10"/>
    </row>
    <row r="28" spans="2:18" ht="14.4" customHeight="1" outlineLevel="1">
      <c r="B28" s="13" t="s">
        <v>254</v>
      </c>
      <c r="C28" s="14" t="s">
        <v>202</v>
      </c>
      <c r="D28" s="15" t="s">
        <v>327</v>
      </c>
      <c r="E28" s="15" t="s">
        <v>328</v>
      </c>
      <c r="F28" s="15" t="s">
        <v>63</v>
      </c>
      <c r="G28" s="15" t="s">
        <v>63</v>
      </c>
      <c r="H28" s="15" t="s">
        <v>329</v>
      </c>
      <c r="I28" s="15" t="s">
        <v>330</v>
      </c>
      <c r="J28" s="15" t="s">
        <v>63</v>
      </c>
      <c r="K28" s="15" t="s">
        <v>63</v>
      </c>
      <c r="L28" s="15" t="s">
        <v>63</v>
      </c>
      <c r="M28" s="15" t="s">
        <v>63</v>
      </c>
      <c r="N28" s="15" t="s">
        <v>63</v>
      </c>
      <c r="O28" s="15" t="s">
        <v>63</v>
      </c>
      <c r="P28" s="16"/>
      <c r="Q28" s="17"/>
      <c r="R28" s="10"/>
    </row>
    <row r="29" spans="2:18" ht="28.95" customHeight="1" outlineLevel="1">
      <c r="B29" s="13" t="s">
        <v>259</v>
      </c>
      <c r="C29" s="14" t="s">
        <v>205</v>
      </c>
      <c r="D29" s="15" t="s">
        <v>331</v>
      </c>
      <c r="E29" s="15" t="s">
        <v>332</v>
      </c>
      <c r="F29" s="15" t="s">
        <v>333</v>
      </c>
      <c r="G29" s="15" t="s">
        <v>63</v>
      </c>
      <c r="H29" s="15" t="s">
        <v>334</v>
      </c>
      <c r="I29" s="15" t="s">
        <v>335</v>
      </c>
      <c r="J29" s="15" t="s">
        <v>336</v>
      </c>
      <c r="K29" s="15" t="s">
        <v>63</v>
      </c>
      <c r="L29" s="15" t="s">
        <v>63</v>
      </c>
      <c r="M29" s="15" t="s">
        <v>63</v>
      </c>
      <c r="N29" s="15" t="s">
        <v>63</v>
      </c>
      <c r="O29" s="15" t="s">
        <v>63</v>
      </c>
      <c r="P29" s="16"/>
      <c r="Q29" s="17"/>
      <c r="R29" s="10"/>
    </row>
    <row r="30" spans="2:18" ht="14.4" customHeight="1" outlineLevel="1">
      <c r="B30" s="13" t="s">
        <v>265</v>
      </c>
      <c r="C30" s="14" t="s">
        <v>208</v>
      </c>
      <c r="D30" s="15" t="s">
        <v>337</v>
      </c>
      <c r="E30" s="15" t="s">
        <v>338</v>
      </c>
      <c r="F30" s="15" t="s">
        <v>339</v>
      </c>
      <c r="G30" s="15" t="s">
        <v>316</v>
      </c>
      <c r="H30" s="15" t="s">
        <v>340</v>
      </c>
      <c r="I30" s="15" t="s">
        <v>341</v>
      </c>
      <c r="J30" s="15" t="s">
        <v>342</v>
      </c>
      <c r="K30" s="15" t="s">
        <v>320</v>
      </c>
      <c r="L30" s="15" t="s">
        <v>63</v>
      </c>
      <c r="M30" s="15" t="s">
        <v>63</v>
      </c>
      <c r="N30" s="15" t="s">
        <v>63</v>
      </c>
      <c r="O30" s="15" t="s">
        <v>63</v>
      </c>
      <c r="P30" s="16"/>
      <c r="Q30" s="17"/>
      <c r="R30" s="10"/>
    </row>
    <row r="31" spans="2:18" ht="15" customHeight="1" outlineLevel="1">
      <c r="B31" s="13" t="s">
        <v>271</v>
      </c>
      <c r="C31" s="14" t="s">
        <v>123</v>
      </c>
      <c r="D31" s="15" t="s">
        <v>343</v>
      </c>
      <c r="E31" s="15" t="s">
        <v>344</v>
      </c>
      <c r="F31" s="15" t="s">
        <v>345</v>
      </c>
      <c r="G31" s="15" t="s">
        <v>63</v>
      </c>
      <c r="H31" s="15" t="s">
        <v>346</v>
      </c>
      <c r="I31" s="15" t="s">
        <v>347</v>
      </c>
      <c r="J31" s="15" t="s">
        <v>348</v>
      </c>
      <c r="K31" s="15" t="s">
        <v>63</v>
      </c>
      <c r="L31" s="15" t="s">
        <v>63</v>
      </c>
      <c r="M31" s="15" t="s">
        <v>63</v>
      </c>
      <c r="N31" s="15" t="s">
        <v>63</v>
      </c>
      <c r="O31" s="15" t="s">
        <v>63</v>
      </c>
      <c r="P31" s="16"/>
      <c r="Q31" s="17"/>
      <c r="R31" s="10"/>
    </row>
  </sheetData>
  <mergeCells count="6">
    <mergeCell ref="A1:O1"/>
    <mergeCell ref="D4:O4"/>
    <mergeCell ref="D5:G5"/>
    <mergeCell ref="H5:K5"/>
    <mergeCell ref="L5:M5"/>
    <mergeCell ref="N5:O5"/>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01D9-8F2A-40F8-A978-8CD2E576C2D0}">
  <sheetPr codeName="Sheet14">
    <tabColor theme="9" tint="0.39997558519241921"/>
  </sheetPr>
  <dimension ref="A1:AI87"/>
  <sheetViews>
    <sheetView showGridLines="0" zoomScale="90" zoomScaleNormal="90" workbookViewId="0"/>
  </sheetViews>
  <sheetFormatPr defaultColWidth="0" defaultRowHeight="13.8"/>
  <cols>
    <col min="1" max="1" width="3.296875" style="61" customWidth="1"/>
    <col min="2" max="3" width="27.69921875" style="61" customWidth="1"/>
    <col min="4" max="4" width="38.59765625" style="61" bestFit="1" customWidth="1"/>
    <col min="5" max="10" width="22.296875" style="61" customWidth="1"/>
    <col min="11" max="11" width="66.69921875" style="61" customWidth="1"/>
    <col min="12" max="12" width="3.296875" style="61" customWidth="1"/>
    <col min="13" max="16" width="21.69921875" hidden="1" customWidth="1"/>
    <col min="17" max="17" width="5.59765625" hidden="1" customWidth="1"/>
    <col min="18" max="18" width="44.3984375" hidden="1" customWidth="1"/>
    <col min="19" max="19" width="5.59765625" hidden="1" customWidth="1"/>
    <col min="20" max="29" width="21.69921875" hidden="1" customWidth="1"/>
    <col min="30" max="30" width="3.296875" hidden="1" customWidth="1"/>
    <col min="31" max="31" width="18.296875" hidden="1" customWidth="1"/>
    <col min="32" max="32" width="13.296875" hidden="1" customWidth="1"/>
    <col min="33" max="35" width="15.59765625" hidden="1" customWidth="1"/>
    <col min="36" max="16384" width="9"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4.4"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COUNTIFS(Extração_DataLake!I:I,'Exposures to legal persons'!B9,Extração_DataLake!J:J,"Exposures to legal persons")</f>
        <v>0</v>
      </c>
      <c r="F9" s="58" t="s">
        <v>358</v>
      </c>
      <c r="G9" s="58">
        <f>IF(E9&gt;0,1,0)</f>
        <v>0</v>
      </c>
      <c r="H9" s="58"/>
    </row>
    <row r="10" spans="1:12" ht="16.8" thickBot="1">
      <c r="B10" s="31" t="s">
        <v>359</v>
      </c>
      <c r="C10" s="31" t="s">
        <v>360</v>
      </c>
      <c r="D10" s="43" t="s">
        <v>357</v>
      </c>
      <c r="E10" s="57">
        <f>COUNTIFS(Extração_DataLake!I:I,'Exposures to legal persons'!B10,Extração_DataLake!J:J,"Exposures to legal persons")</f>
        <v>0</v>
      </c>
      <c r="F10" s="58" t="s">
        <v>358</v>
      </c>
      <c r="G10" s="58">
        <f t="shared" ref="G10:G13" si="0">IF(E10&gt;0,1,0)</f>
        <v>0</v>
      </c>
      <c r="H10" s="58"/>
    </row>
    <row r="11" spans="1:12" ht="16.8" thickBot="1">
      <c r="B11" s="31" t="s">
        <v>361</v>
      </c>
      <c r="C11" s="31" t="s">
        <v>362</v>
      </c>
      <c r="D11" s="43" t="s">
        <v>357</v>
      </c>
      <c r="E11" s="57">
        <f>COUNTIFS(Extração_DataLake!I:I,'Exposures to legal persons'!B11,Extração_DataLake!J:J,"Exposures to legal persons")</f>
        <v>0</v>
      </c>
      <c r="F11" s="58" t="s">
        <v>358</v>
      </c>
      <c r="G11" s="58">
        <f t="shared" si="0"/>
        <v>0</v>
      </c>
      <c r="H11" s="58"/>
    </row>
    <row r="12" spans="1:12" ht="16.8" thickBot="1">
      <c r="B12" s="31" t="s">
        <v>363</v>
      </c>
      <c r="C12" s="31" t="s">
        <v>364</v>
      </c>
      <c r="D12" s="43" t="s">
        <v>357</v>
      </c>
      <c r="E12" s="57">
        <f>COUNTIFS(Extração_DataLake!I:I,'Exposures to legal persons'!B12,Extração_DataLake!J:J,"Exposures to legal persons")</f>
        <v>0</v>
      </c>
      <c r="F12" s="58" t="s">
        <v>358</v>
      </c>
      <c r="G12" s="58">
        <f t="shared" si="0"/>
        <v>0</v>
      </c>
      <c r="H12" s="58"/>
    </row>
    <row r="13" spans="1:12" ht="16.8" thickBot="1">
      <c r="B13" s="31" t="s">
        <v>365</v>
      </c>
      <c r="C13" s="31" t="s">
        <v>366</v>
      </c>
      <c r="D13" s="43" t="s">
        <v>357</v>
      </c>
      <c r="E13" s="57">
        <f>COUNTIFS(Extração_DataLake!I:I,'Exposures to legal persons'!B13,Extração_DataLake!J:J,"Exposures to legal persons")</f>
        <v>0</v>
      </c>
      <c r="F13" s="58" t="s">
        <v>358</v>
      </c>
      <c r="G13" s="58">
        <f t="shared" si="0"/>
        <v>0</v>
      </c>
      <c r="H13" s="58"/>
    </row>
    <row r="14" spans="1:12">
      <c r="G14" s="64"/>
      <c r="H14" s="64"/>
    </row>
    <row r="15" spans="1:12" ht="16.2">
      <c r="B15" s="34" t="s">
        <v>367</v>
      </c>
      <c r="C15" s="34"/>
      <c r="D15" s="34"/>
      <c r="E15" s="34"/>
      <c r="F15" s="34"/>
      <c r="G15" s="34"/>
      <c r="H15" s="34"/>
    </row>
    <row r="16" spans="1:12" ht="14.4" thickBot="1">
      <c r="G16" s="64"/>
      <c r="H16" s="64"/>
    </row>
    <row r="17" spans="2:11" ht="39" customHeight="1" thickBot="1">
      <c r="B17" s="46" t="s">
        <v>368</v>
      </c>
      <c r="C17" s="46" t="s">
        <v>369</v>
      </c>
      <c r="D17" s="53" t="s">
        <v>352</v>
      </c>
      <c r="E17" s="50" t="s">
        <v>353</v>
      </c>
      <c r="F17" s="51" t="s">
        <v>354</v>
      </c>
      <c r="G17" s="50" t="s">
        <v>33</v>
      </c>
      <c r="H17" s="50" t="s">
        <v>20</v>
      </c>
    </row>
    <row r="18" spans="2:11" ht="16.8" thickBot="1">
      <c r="B18" s="31" t="s">
        <v>355</v>
      </c>
      <c r="C18" s="31" t="s">
        <v>363</v>
      </c>
      <c r="D18" s="43" t="s">
        <v>370</v>
      </c>
      <c r="E18" s="57">
        <f>COUNTIFS(Extração_DataLake!P:P,'Exposures to legal persons'!D18,Extração_DataLake!Q:Q,"Exposures to legal persons")</f>
        <v>0</v>
      </c>
      <c r="F18" s="58" t="s">
        <v>358</v>
      </c>
      <c r="G18" s="58">
        <f>IF(E18&gt;0,1,0)</f>
        <v>0</v>
      </c>
      <c r="H18" s="58"/>
    </row>
    <row r="19" spans="2:11" ht="16.8" thickBot="1">
      <c r="B19" s="31" t="s">
        <v>359</v>
      </c>
      <c r="C19" s="31" t="s">
        <v>363</v>
      </c>
      <c r="D19" s="43" t="s">
        <v>371</v>
      </c>
      <c r="E19" s="57">
        <f>COUNTIFS(Extração_DataLake!P:P,'Exposures to legal persons'!D19,Extração_DataLake!Q:Q,"Exposures to legal persons")</f>
        <v>0</v>
      </c>
      <c r="F19" s="58" t="s">
        <v>358</v>
      </c>
      <c r="G19" s="58">
        <f t="shared" ref="G19:G24" si="1">IF(E19&gt;0,1,0)</f>
        <v>0</v>
      </c>
      <c r="H19" s="58"/>
    </row>
    <row r="20" spans="2:11" ht="16.8" thickBot="1">
      <c r="B20" s="31" t="s">
        <v>361</v>
      </c>
      <c r="C20" s="31" t="s">
        <v>365</v>
      </c>
      <c r="D20" s="43" t="s">
        <v>372</v>
      </c>
      <c r="E20" s="57">
        <f>COUNTIFS(Extração_DataLake!P:P,'Exposures to legal persons'!D20,Extração_DataLake!Q:Q,"Exposures to legal persons")</f>
        <v>0</v>
      </c>
      <c r="F20" s="58" t="s">
        <v>358</v>
      </c>
      <c r="G20" s="58">
        <f t="shared" si="1"/>
        <v>0</v>
      </c>
      <c r="H20" s="58"/>
    </row>
    <row r="21" spans="2:11" ht="16.8" thickBot="1">
      <c r="B21" s="31" t="s">
        <v>363</v>
      </c>
      <c r="C21" s="31" t="s">
        <v>355</v>
      </c>
      <c r="D21" s="43" t="s">
        <v>373</v>
      </c>
      <c r="E21" s="57">
        <f>COUNTIFS(Extração_DataLake!P:P,'Exposures to legal persons'!D21,Extração_DataLake!Q:Q,"Exposures to legal persons")</f>
        <v>0</v>
      </c>
      <c r="F21" s="58" t="s">
        <v>358</v>
      </c>
      <c r="G21" s="58">
        <f t="shared" si="1"/>
        <v>0</v>
      </c>
      <c r="H21" s="58"/>
    </row>
    <row r="22" spans="2:11" ht="16.8" thickBot="1">
      <c r="B22" s="31" t="s">
        <v>363</v>
      </c>
      <c r="C22" s="31" t="s">
        <v>359</v>
      </c>
      <c r="D22" s="43" t="s">
        <v>374</v>
      </c>
      <c r="E22" s="57">
        <f>COUNTIFS(Extração_DataLake!P:P,'Exposures to legal persons'!D22,Extração_DataLake!Q:Q,"Exposures to legal persons")</f>
        <v>0</v>
      </c>
      <c r="F22" s="58" t="s">
        <v>358</v>
      </c>
      <c r="G22" s="58">
        <f t="shared" si="1"/>
        <v>0</v>
      </c>
      <c r="H22" s="58"/>
    </row>
    <row r="23" spans="2:11" ht="16.8" thickBot="1">
      <c r="B23" s="31" t="s">
        <v>365</v>
      </c>
      <c r="C23" s="31" t="s">
        <v>355</v>
      </c>
      <c r="D23" s="43" t="s">
        <v>375</v>
      </c>
      <c r="E23" s="57">
        <f>COUNTIFS(Extração_DataLake!P:P,'Exposures to legal persons'!D23,Extração_DataLake!Q:Q,"Exposures to legal persons")</f>
        <v>0</v>
      </c>
      <c r="F23" s="58" t="s">
        <v>358</v>
      </c>
      <c r="G23" s="58">
        <f t="shared" si="1"/>
        <v>0</v>
      </c>
      <c r="H23" s="58"/>
    </row>
    <row r="24" spans="2:11" ht="16.8" thickBot="1">
      <c r="B24" s="31" t="s">
        <v>365</v>
      </c>
      <c r="C24" s="31" t="s">
        <v>361</v>
      </c>
      <c r="D24" s="43" t="s">
        <v>376</v>
      </c>
      <c r="E24" s="57">
        <f>COUNTIFS(Extração_DataLake!P:P,'Exposures to legal persons'!D24,Extração_DataLake!Q:Q,"Exposures to legal persons")</f>
        <v>0</v>
      </c>
      <c r="F24" s="58" t="s">
        <v>358</v>
      </c>
      <c r="G24" s="58">
        <f t="shared" si="1"/>
        <v>0</v>
      </c>
      <c r="H24" s="58"/>
    </row>
    <row r="27" spans="2:11" ht="16.2">
      <c r="B27" s="34" t="s">
        <v>377</v>
      </c>
      <c r="C27" s="34"/>
      <c r="D27" s="34"/>
      <c r="E27" s="34"/>
      <c r="F27" s="34"/>
      <c r="G27" s="34"/>
      <c r="H27" s="34"/>
      <c r="I27" s="34"/>
      <c r="J27" s="34"/>
      <c r="K27" s="34"/>
    </row>
    <row r="28" spans="2:11" ht="14.4" thickBot="1">
      <c r="G28" s="64"/>
      <c r="H28" s="64"/>
      <c r="I28" s="64"/>
      <c r="J28" s="64"/>
      <c r="K28" s="64"/>
    </row>
    <row r="29" spans="2:11" ht="39.6" customHeight="1" thickBot="1">
      <c r="B29" s="46" t="s">
        <v>350</v>
      </c>
      <c r="C29" s="46" t="s">
        <v>351</v>
      </c>
      <c r="D29" s="53" t="s">
        <v>378</v>
      </c>
      <c r="E29" s="50" t="s">
        <v>379</v>
      </c>
      <c r="F29" s="50" t="s">
        <v>380</v>
      </c>
      <c r="G29" s="50" t="s">
        <v>381</v>
      </c>
      <c r="H29" s="51" t="s">
        <v>31</v>
      </c>
      <c r="I29" s="51" t="s">
        <v>32</v>
      </c>
      <c r="J29" s="50" t="s">
        <v>33</v>
      </c>
      <c r="K29" s="50" t="s">
        <v>20</v>
      </c>
    </row>
    <row r="30" spans="2:11" ht="16.8" thickBot="1">
      <c r="B30" s="31" t="s">
        <v>355</v>
      </c>
      <c r="C30" s="31" t="s">
        <v>382</v>
      </c>
      <c r="D30" s="43" t="s">
        <v>383</v>
      </c>
      <c r="E30" s="57">
        <f>SUMIFS(Extração_DataLake!Z:Z,Extração_DataLake!V:V,B30,Extração_DataLake!W:W,"Exposures to legal persons",Extração_DataLake!X:X,IFERROR(LEFT(C30,FIND(" ",C30)-1),C30),Extração_DataLake!Y:Y,D30)</f>
        <v>0</v>
      </c>
      <c r="F30" s="57">
        <f>SUMIFS(Extração_DataLake!AA:AA,Extração_DataLake!V:V,B30,Extração_DataLake!W:W,"Exposures to legal persons",Extração_DataLake!X:X,IFERROR(LEFT(C30,FIND(" ",C30)-1),C30),Extração_DataLake!Y:Y,D30)</f>
        <v>348271</v>
      </c>
      <c r="G30" s="54">
        <f t="shared" ref="G30:G35" si="2">E30/F30</f>
        <v>0</v>
      </c>
      <c r="H30" s="65">
        <v>0.01</v>
      </c>
      <c r="I30" s="65">
        <v>0.05</v>
      </c>
      <c r="J30" s="58">
        <f t="shared" ref="J30:J35" si="3">IF(G30&gt;=I30,2,IF(G30&gt;=H30,1,0))</f>
        <v>0</v>
      </c>
      <c r="K30" s="58"/>
    </row>
    <row r="31" spans="2:11" ht="16.8" thickBot="1">
      <c r="B31" s="31" t="s">
        <v>355</v>
      </c>
      <c r="C31" s="31" t="s">
        <v>382</v>
      </c>
      <c r="D31" s="43" t="s">
        <v>384</v>
      </c>
      <c r="E31" s="57">
        <f>SUMIFS(Extração_DataLake!Z:Z,Extração_DataLake!V:V,B31,Extração_DataLake!W:W,"Exposures to legal persons",Extração_DataLake!X:X,IFERROR(LEFT(C31,FIND(" ",C31)-1),C31),Extração_DataLake!Y:Y,D31)</f>
        <v>0</v>
      </c>
      <c r="F31" s="57">
        <f>SUMIFS(Extração_DataLake!AA:AA,Extração_DataLake!V:V,B31,Extração_DataLake!W:W,"Exposures to legal persons",Extração_DataLake!X:X,IFERROR(LEFT(C31,FIND(" ",C31)-1),C31),Extração_DataLake!Y:Y,D31)</f>
        <v>348271</v>
      </c>
      <c r="G31" s="54">
        <f t="shared" si="2"/>
        <v>0</v>
      </c>
      <c r="H31" s="65">
        <v>0.01</v>
      </c>
      <c r="I31" s="65">
        <v>0.05</v>
      </c>
      <c r="J31" s="58">
        <f t="shared" si="3"/>
        <v>0</v>
      </c>
      <c r="K31" s="58"/>
    </row>
    <row r="32" spans="2:11" ht="16.8" thickBot="1">
      <c r="B32" s="31" t="s">
        <v>355</v>
      </c>
      <c r="C32" s="31" t="s">
        <v>382</v>
      </c>
      <c r="D32" s="43" t="s">
        <v>385</v>
      </c>
      <c r="E32" s="57">
        <f>SUMIFS(Extração_DataLake!Z:Z,Extração_DataLake!V:V,B32,Extração_DataLake!W:W,"Exposures to legal persons",Extração_DataLake!X:X,IFERROR(LEFT(C32,FIND(" ",C32)-1),C32),Extração_DataLake!Y:Y,D32)</f>
        <v>0</v>
      </c>
      <c r="F32" s="57">
        <f>SUMIFS(Extração_DataLake!AA:AA,Extração_DataLake!V:V,B32,Extração_DataLake!W:W,"Exposures to legal persons",Extração_DataLake!X:X,IFERROR(LEFT(C32,FIND(" ",C32)-1),C32),Extração_DataLake!Y:Y,D32)</f>
        <v>348271</v>
      </c>
      <c r="G32" s="54">
        <f t="shared" si="2"/>
        <v>0</v>
      </c>
      <c r="H32" s="65">
        <v>0.01</v>
      </c>
      <c r="I32" s="65">
        <v>0.05</v>
      </c>
      <c r="J32" s="58">
        <f t="shared" si="3"/>
        <v>0</v>
      </c>
      <c r="K32" s="58"/>
    </row>
    <row r="33" spans="2:11" ht="16.8" thickBot="1">
      <c r="B33" s="31" t="s">
        <v>355</v>
      </c>
      <c r="C33" s="31" t="s">
        <v>386</v>
      </c>
      <c r="D33" s="43" t="s">
        <v>383</v>
      </c>
      <c r="E33" s="57">
        <f>SUMIFS(Extração_DataLake!Z:Z,Extração_DataLake!V:V,B33,Extração_DataLake!W:W,"Exposures to legal persons",Extração_DataLake!X:X,IFERROR(LEFT(C33,FIND(" ",C33)-1),C33),Extração_DataLake!Y:Y,D33)</f>
        <v>114</v>
      </c>
      <c r="F33" s="57">
        <f>SUMIFS(Extração_DataLake!AA:AA,Extração_DataLake!V:V,B33,Extração_DataLake!W:W,"Exposures to legal persons",Extração_DataLake!X:X,IFERROR(LEFT(C33,FIND(" ",C33)-1),C33),Extração_DataLake!Y:Y,D33)</f>
        <v>348271</v>
      </c>
      <c r="G33" s="54">
        <f t="shared" si="2"/>
        <v>3.2733130234788424E-4</v>
      </c>
      <c r="H33" s="65">
        <v>0.01</v>
      </c>
      <c r="I33" s="65">
        <v>0.05</v>
      </c>
      <c r="J33" s="58">
        <f t="shared" si="3"/>
        <v>0</v>
      </c>
      <c r="K33" s="58"/>
    </row>
    <row r="34" spans="2:11" ht="16.8" thickBot="1">
      <c r="B34" s="31" t="s">
        <v>355</v>
      </c>
      <c r="C34" s="31" t="s">
        <v>386</v>
      </c>
      <c r="D34" s="43" t="s">
        <v>384</v>
      </c>
      <c r="E34" s="57">
        <f>SUMIFS(Extração_DataLake!Z:Z,Extração_DataLake!V:V,B34,Extração_DataLake!W:W,"Exposures to legal persons",Extração_DataLake!X:X,IFERROR(LEFT(C34,FIND(" ",C34)-1),C34),Extração_DataLake!Y:Y,D34)</f>
        <v>0</v>
      </c>
      <c r="F34" s="57">
        <f>SUMIFS(Extração_DataLake!AA:AA,Extração_DataLake!V:V,B34,Extração_DataLake!W:W,"Exposures to legal persons",Extração_DataLake!X:X,IFERROR(LEFT(C34,FIND(" ",C34)-1),C34),Extração_DataLake!Y:Y,D34)</f>
        <v>348271</v>
      </c>
      <c r="G34" s="54">
        <f t="shared" si="2"/>
        <v>0</v>
      </c>
      <c r="H34" s="65">
        <v>0.01</v>
      </c>
      <c r="I34" s="65">
        <v>0.05</v>
      </c>
      <c r="J34" s="58">
        <f t="shared" si="3"/>
        <v>0</v>
      </c>
      <c r="K34" s="58"/>
    </row>
    <row r="35" spans="2:11" ht="16.8" thickBot="1">
      <c r="B35" s="31" t="s">
        <v>355</v>
      </c>
      <c r="C35" s="31" t="s">
        <v>386</v>
      </c>
      <c r="D35" s="43" t="s">
        <v>385</v>
      </c>
      <c r="E35" s="57">
        <f>SUMIFS(Extração_DataLake!Z:Z,Extração_DataLake!V:V,B35,Extração_DataLake!W:W,"Exposures to legal persons",Extração_DataLake!X:X,IFERROR(LEFT(C35,FIND(" ",C35)-1),C35),Extração_DataLake!Y:Y,D35)</f>
        <v>0</v>
      </c>
      <c r="F35" s="57">
        <f>SUMIFS(Extração_DataLake!AA:AA,Extração_DataLake!V:V,B35,Extração_DataLake!W:W,"Exposures to legal persons",Extração_DataLake!X:X,IFERROR(LEFT(C35,FIND(" ",C35)-1),C35),Extração_DataLake!Y:Y,D35)</f>
        <v>348271</v>
      </c>
      <c r="G35" s="54">
        <f t="shared" si="2"/>
        <v>0</v>
      </c>
      <c r="H35" s="65">
        <v>0.01</v>
      </c>
      <c r="I35" s="65">
        <v>0.05</v>
      </c>
      <c r="J35" s="58">
        <f t="shared" si="3"/>
        <v>0</v>
      </c>
      <c r="K35" s="58"/>
    </row>
    <row r="36" spans="2:11">
      <c r="I36" s="64"/>
      <c r="J36" s="64"/>
    </row>
    <row r="37" spans="2:11">
      <c r="I37" s="64"/>
      <c r="J37" s="64"/>
    </row>
    <row r="38" spans="2:11" ht="16.2">
      <c r="B38" s="34" t="s">
        <v>387</v>
      </c>
      <c r="C38" s="34"/>
      <c r="D38" s="34"/>
      <c r="E38" s="34"/>
      <c r="F38" s="34"/>
      <c r="G38" s="34"/>
      <c r="H38" s="34"/>
      <c r="I38" s="34"/>
      <c r="J38" s="34"/>
      <c r="K38" s="34"/>
    </row>
    <row r="39" spans="2:11" ht="14.4" thickBot="1">
      <c r="I39" s="64"/>
      <c r="J39" s="64"/>
      <c r="K39" s="64"/>
    </row>
    <row r="40" spans="2:11" ht="39.6" customHeight="1" thickBot="1">
      <c r="B40" s="46" t="s">
        <v>350</v>
      </c>
      <c r="C40" s="46" t="s">
        <v>351</v>
      </c>
      <c r="D40" s="53" t="s">
        <v>378</v>
      </c>
      <c r="E40" s="50" t="s">
        <v>379</v>
      </c>
      <c r="F40" s="50" t="s">
        <v>380</v>
      </c>
      <c r="G40" s="50" t="s">
        <v>381</v>
      </c>
      <c r="H40" s="51" t="s">
        <v>31</v>
      </c>
      <c r="I40" s="51" t="s">
        <v>32</v>
      </c>
      <c r="J40" s="50" t="s">
        <v>33</v>
      </c>
      <c r="K40" s="50" t="s">
        <v>20</v>
      </c>
    </row>
    <row r="41" spans="2:11" ht="16.8" thickBot="1">
      <c r="B41" s="31" t="s">
        <v>359</v>
      </c>
      <c r="C41" s="31" t="s">
        <v>388</v>
      </c>
      <c r="D41" s="43" t="s">
        <v>383</v>
      </c>
      <c r="E41" s="57">
        <f>SUMIFS(Extração_DataLake!AG:AG,Extração_DataLake!AC:AC,'Exposures to legal persons'!B41,Extração_DataLake!AD:AD,"Exposures to legal persons",Extração_DataLake!AE:AE,IFERROR(LEFT('Exposures to legal persons'!C41,FIND(" ",'Exposures to legal persons'!C41)-1),'Exposures to legal persons'!C41),Extração_DataLake!AF:AF,'Exposures to legal persons'!D41)</f>
        <v>0</v>
      </c>
      <c r="F41" s="57">
        <f>SUMIFS(Extração_DataLake!AH:AH,Extração_DataLake!AC:AC,'Exposures to legal persons'!B41,Extração_DataLake!AD:AD,"Exposures to legal persons",Extração_DataLake!AE:AE,IFERROR(LEFT('Exposures to legal persons'!C41,FIND(" ",'Exposures to legal persons'!C41)-1),'Exposures to legal persons'!C41),Extração_DataLake!AF:AF,'Exposures to legal persons'!D41)</f>
        <v>73999</v>
      </c>
      <c r="G41" s="54">
        <f>E41/F41</f>
        <v>0</v>
      </c>
      <c r="H41" s="65">
        <v>0.01</v>
      </c>
      <c r="I41" s="65">
        <v>0.05</v>
      </c>
      <c r="J41" s="58">
        <f>IF(G41&gt;=I41,2,IF(G41&gt;=H41,1,0))</f>
        <v>0</v>
      </c>
      <c r="K41" s="58"/>
    </row>
    <row r="42" spans="2:11" ht="17.399999999999999" thickBot="1">
      <c r="B42" s="31" t="s">
        <v>359</v>
      </c>
      <c r="C42" s="31" t="s">
        <v>389</v>
      </c>
      <c r="D42" s="43" t="s">
        <v>384</v>
      </c>
      <c r="E42" s="57">
        <f>SUMIFS(Extração_DataLake!AG:AG,Extração_DataLake!AC:AC,'Exposures to legal persons'!B42,Extração_DataLake!AD:AD,"Exposures to legal persons",Extração_DataLake!AE:AE,IFERROR(LEFT('Exposures to legal persons'!C42,FIND(" ",'Exposures to legal persons'!C42)-1),'Exposures to legal persons'!C42),Extração_DataLake!AF:AF,'Exposures to legal persons'!D42)</f>
        <v>0</v>
      </c>
      <c r="F42" s="57">
        <f>SUMIFS(Extração_DataLake!AH:AH,Extração_DataLake!AC:AC,'Exposures to legal persons'!B42,Extração_DataLake!AD:AD,"Exposures to legal persons",Extração_DataLake!AE:AE,IFERROR(LEFT('Exposures to legal persons'!C42,FIND(" ",'Exposures to legal persons'!C42)-1),'Exposures to legal persons'!C42),Extração_DataLake!AF:AF,'Exposures to legal persons'!D42)</f>
        <v>73999</v>
      </c>
      <c r="G42" s="54">
        <f t="shared" ref="G42:G47" si="4">E42/F42</f>
        <v>0</v>
      </c>
      <c r="H42" s="65">
        <v>0.01</v>
      </c>
      <c r="I42" s="65">
        <v>0.05</v>
      </c>
      <c r="J42" s="58">
        <f t="shared" ref="J42:J47" si="5">IF(G42&gt;=I42,2,IF(G42&gt;=H42,1,0))</f>
        <v>0</v>
      </c>
      <c r="K42" s="58"/>
    </row>
    <row r="43" spans="2:11" ht="16.8" thickBot="1">
      <c r="B43" s="31" t="s">
        <v>359</v>
      </c>
      <c r="C43" s="31" t="s">
        <v>388</v>
      </c>
      <c r="D43" s="43" t="s">
        <v>385</v>
      </c>
      <c r="E43" s="57">
        <f>SUMIFS(Extração_DataLake!AG:AG,Extração_DataLake!AC:AC,'Exposures to legal persons'!B43,Extração_DataLake!AD:AD,"Exposures to legal persons",Extração_DataLake!AE:AE,IFERROR(LEFT('Exposures to legal persons'!C43,FIND(" ",'Exposures to legal persons'!C43)-1),'Exposures to legal persons'!C43),Extração_DataLake!AF:AF,'Exposures to legal persons'!D43)</f>
        <v>0</v>
      </c>
      <c r="F43" s="57">
        <f>SUMIFS(Extração_DataLake!AH:AH,Extração_DataLake!AC:AC,'Exposures to legal persons'!B43,Extração_DataLake!AD:AD,"Exposures to legal persons",Extração_DataLake!AE:AE,IFERROR(LEFT('Exposures to legal persons'!C43,FIND(" ",'Exposures to legal persons'!C43)-1),'Exposures to legal persons'!C43),Extração_DataLake!AF:AF,'Exposures to legal persons'!D43)</f>
        <v>73999</v>
      </c>
      <c r="G43" s="54">
        <f t="shared" si="4"/>
        <v>0</v>
      </c>
      <c r="H43" s="65">
        <v>0.01</v>
      </c>
      <c r="I43" s="65">
        <v>0.05</v>
      </c>
      <c r="J43" s="58">
        <f t="shared" si="5"/>
        <v>0</v>
      </c>
      <c r="K43" s="58"/>
    </row>
    <row r="44" spans="2:11" ht="16.8" thickBot="1">
      <c r="B44" s="31" t="s">
        <v>359</v>
      </c>
      <c r="C44" s="31" t="s">
        <v>390</v>
      </c>
      <c r="D44" s="43" t="s">
        <v>383</v>
      </c>
      <c r="E44" s="57">
        <f>SUMIFS(Extração_DataLake!AG:AG,Extração_DataLake!AC:AC,'Exposures to legal persons'!B44,Extração_DataLake!AD:AD,"Exposures to legal persons",Extração_DataLake!AE:AE,IFERROR(LEFT('Exposures to legal persons'!C44,FIND(" ",'Exposures to legal persons'!C44)-1),'Exposures to legal persons'!C44),Extração_DataLake!AF:AF,'Exposures to legal persons'!D44)</f>
        <v>1097</v>
      </c>
      <c r="F44" s="57">
        <f>SUMIFS(Extração_DataLake!AH:AH,Extração_DataLake!AC:AC,'Exposures to legal persons'!B44,Extração_DataLake!AD:AD,"Exposures to legal persons",Extração_DataLake!AE:AE,IFERROR(LEFT('Exposures to legal persons'!C44,FIND(" ",'Exposures to legal persons'!C44)-1),'Exposures to legal persons'!C44),Extração_DataLake!AF:AF,'Exposures to legal persons'!D44)</f>
        <v>73999</v>
      </c>
      <c r="G44" s="54">
        <f t="shared" si="4"/>
        <v>1.4824524655738591E-2</v>
      </c>
      <c r="H44" s="65">
        <v>0.01</v>
      </c>
      <c r="I44" s="65">
        <v>0.05</v>
      </c>
      <c r="J44" s="58">
        <f t="shared" si="5"/>
        <v>1</v>
      </c>
      <c r="K44" s="58"/>
    </row>
    <row r="45" spans="2:11" ht="17.399999999999999" thickBot="1">
      <c r="B45" s="31" t="s">
        <v>359</v>
      </c>
      <c r="C45" s="31" t="s">
        <v>391</v>
      </c>
      <c r="D45" s="43" t="s">
        <v>384</v>
      </c>
      <c r="E45" s="57">
        <f>SUMIFS(Extração_DataLake!AG:AG,Extração_DataLake!AC:AC,'Exposures to legal persons'!B45,Extração_DataLake!AD:AD,"Exposures to legal persons",Extração_DataLake!AE:AE,IFERROR(LEFT('Exposures to legal persons'!C45,FIND(" ",'Exposures to legal persons'!C45)-1),'Exposures to legal persons'!C45),Extração_DataLake!AF:AF,'Exposures to legal persons'!D45)</f>
        <v>44</v>
      </c>
      <c r="F45" s="57">
        <f>SUMIFS(Extração_DataLake!AH:AH,Extração_DataLake!AC:AC,'Exposures to legal persons'!B45,Extração_DataLake!AD:AD,"Exposures to legal persons",Extração_DataLake!AE:AE,IFERROR(LEFT('Exposures to legal persons'!C45,FIND(" ",'Exposures to legal persons'!C45)-1),'Exposures to legal persons'!C45),Extração_DataLake!AF:AF,'Exposures to legal persons'!D45)</f>
        <v>73999</v>
      </c>
      <c r="G45" s="54">
        <f t="shared" si="4"/>
        <v>5.9460262976526713E-4</v>
      </c>
      <c r="H45" s="65">
        <v>0.01</v>
      </c>
      <c r="I45" s="65">
        <v>0.05</v>
      </c>
      <c r="J45" s="58">
        <f t="shared" si="5"/>
        <v>0</v>
      </c>
      <c r="K45" s="58"/>
    </row>
    <row r="46" spans="2:11" ht="16.8" thickBot="1">
      <c r="B46" s="31" t="s">
        <v>359</v>
      </c>
      <c r="C46" s="31" t="s">
        <v>392</v>
      </c>
      <c r="D46" s="43" t="s">
        <v>383</v>
      </c>
      <c r="E46" s="57">
        <f>SUMIFS(Extração_DataLake!AG:AG,Extração_DataLake!AC:AC,'Exposures to legal persons'!B46,Extração_DataLake!AD:AD,"Exposures to legal persons",Extração_DataLake!AE:AE,IFERROR(LEFT('Exposures to legal persons'!C46,FIND(" ",'Exposures to legal persons'!C46)-1),'Exposures to legal persons'!C46),Extração_DataLake!AF:AF,'Exposures to legal persons'!D46)</f>
        <v>0</v>
      </c>
      <c r="F46" s="57">
        <f>SUMIFS(Extração_DataLake!AH:AH,Extração_DataLake!AC:AC,'Exposures to legal persons'!B46,Extração_DataLake!AD:AD,"Exposures to legal persons",Extração_DataLake!AE:AE,IFERROR(LEFT('Exposures to legal persons'!C46,FIND(" ",'Exposures to legal persons'!C46)-1),'Exposures to legal persons'!C46),Extração_DataLake!AF:AF,'Exposures to legal persons'!D46)</f>
        <v>73999</v>
      </c>
      <c r="G46" s="54">
        <f t="shared" si="4"/>
        <v>0</v>
      </c>
      <c r="H46" s="65">
        <v>0.01</v>
      </c>
      <c r="I46" s="65">
        <v>0.05</v>
      </c>
      <c r="J46" s="58">
        <f t="shared" si="5"/>
        <v>0</v>
      </c>
      <c r="K46" s="58"/>
    </row>
    <row r="47" spans="2:11" ht="16.8" thickBot="1">
      <c r="B47" s="31" t="s">
        <v>359</v>
      </c>
      <c r="C47" s="31" t="s">
        <v>392</v>
      </c>
      <c r="D47" s="43" t="s">
        <v>384</v>
      </c>
      <c r="E47" s="57">
        <f>SUMIFS(Extração_DataLake!AG:AG,Extração_DataLake!AC:AC,'Exposures to legal persons'!B47,Extração_DataLake!AD:AD,"Exposures to legal persons",Extração_DataLake!AE:AE,IFERROR(LEFT('Exposures to legal persons'!C47,FIND(" ",'Exposures to legal persons'!C47)-1),'Exposures to legal persons'!C47),Extração_DataLake!AF:AF,'Exposures to legal persons'!D47)</f>
        <v>0</v>
      </c>
      <c r="F47" s="57">
        <f>SUMIFS(Extração_DataLake!AH:AH,Extração_DataLake!AC:AC,'Exposures to legal persons'!B47,Extração_DataLake!AD:AD,"Exposures to legal persons",Extração_DataLake!AE:AE,IFERROR(LEFT('Exposures to legal persons'!C47,FIND(" ",'Exposures to legal persons'!C47)-1),'Exposures to legal persons'!C47),Extração_DataLake!AF:AF,'Exposures to legal persons'!D47)</f>
        <v>73999</v>
      </c>
      <c r="G47" s="54">
        <f t="shared" si="4"/>
        <v>0</v>
      </c>
      <c r="H47" s="65">
        <v>0.01</v>
      </c>
      <c r="I47" s="65">
        <v>0.05</v>
      </c>
      <c r="J47" s="58">
        <f t="shared" si="5"/>
        <v>0</v>
      </c>
      <c r="K47" s="58"/>
    </row>
    <row r="49" spans="2:11" ht="16.8">
      <c r="B49" s="40" t="s">
        <v>393</v>
      </c>
    </row>
    <row r="50" spans="2:11" ht="16.8">
      <c r="B50" s="40" t="s">
        <v>394</v>
      </c>
    </row>
    <row r="52" spans="2:11" ht="16.2">
      <c r="B52" s="34" t="s">
        <v>395</v>
      </c>
      <c r="C52" s="34"/>
      <c r="D52" s="34"/>
      <c r="E52" s="34"/>
      <c r="F52" s="34"/>
      <c r="G52" s="34"/>
      <c r="H52" s="34"/>
      <c r="I52" s="34"/>
      <c r="J52" s="34"/>
      <c r="K52" s="34"/>
    </row>
    <row r="53" spans="2:11" ht="14.4" thickBot="1">
      <c r="I53" s="64"/>
      <c r="J53" s="64"/>
      <c r="K53" s="64"/>
    </row>
    <row r="54" spans="2:11" ht="39.6" customHeight="1" thickBot="1">
      <c r="B54" s="46" t="s">
        <v>350</v>
      </c>
      <c r="C54" s="46" t="s">
        <v>351</v>
      </c>
      <c r="D54" s="53" t="s">
        <v>378</v>
      </c>
      <c r="E54" s="50" t="s">
        <v>379</v>
      </c>
      <c r="F54" s="50" t="s">
        <v>380</v>
      </c>
      <c r="G54" s="50" t="s">
        <v>381</v>
      </c>
      <c r="H54" s="51" t="s">
        <v>31</v>
      </c>
      <c r="I54" s="51" t="s">
        <v>32</v>
      </c>
      <c r="J54" s="50" t="s">
        <v>33</v>
      </c>
      <c r="K54" s="50" t="s">
        <v>20</v>
      </c>
    </row>
    <row r="55" spans="2:11" ht="16.8" thickBot="1">
      <c r="B55" s="31" t="s">
        <v>361</v>
      </c>
      <c r="C55" s="31" t="s">
        <v>396</v>
      </c>
      <c r="D55" s="43" t="s">
        <v>383</v>
      </c>
      <c r="E55" s="57">
        <f>SUMIFS(Extração_DataLake!AN:AN,Extração_DataLake!AJ:AJ,'Exposures to legal persons'!B55,Extração_DataLake!AK:AK,"Exposures to legal persons",Extração_DataLake!AL:AL,IFERROR(LEFT('Exposures to legal persons'!C55,FIND(" ",'Exposures to legal persons'!C55)-1),'Exposures to legal persons'!C55),Extração_DataLake!AM:AM,'Exposures to legal persons'!D55)</f>
        <v>192</v>
      </c>
      <c r="F55" s="57">
        <f>SUMIFS(Extração_DataLake!AO:AO,Extração_DataLake!AJ:AJ,'Exposures to legal persons'!B55,Extração_DataLake!AK:AK,"Exposures to legal persons",Extração_DataLake!AL:AL,IFERROR(LEFT('Exposures to legal persons'!C55,FIND(" ",'Exposures to legal persons'!C55)-1),'Exposures to legal persons'!C55),Extração_DataLake!AM:AM,'Exposures to legal persons'!D55)</f>
        <v>67890</v>
      </c>
      <c r="G55" s="54">
        <f>E55/F55</f>
        <v>2.8281042863455589E-3</v>
      </c>
      <c r="H55" s="65">
        <v>0.01</v>
      </c>
      <c r="I55" s="65">
        <v>0.05</v>
      </c>
      <c r="J55" s="58">
        <f>IF(G55&gt;=I55,2,IF(G55&gt;=H55,1,0))</f>
        <v>0</v>
      </c>
      <c r="K55" s="58"/>
    </row>
    <row r="56" spans="2:11" ht="16.2" customHeight="1" thickBot="1">
      <c r="B56" s="31" t="s">
        <v>361</v>
      </c>
      <c r="C56" s="31" t="s">
        <v>396</v>
      </c>
      <c r="D56" s="43" t="s">
        <v>384</v>
      </c>
      <c r="E56" s="57">
        <f>SUMIFS(Extração_DataLake!AN:AN,Extração_DataLake!AJ:AJ,'Exposures to legal persons'!B56,Extração_DataLake!AK:AK,"Exposures to legal persons",Extração_DataLake!AL:AL,IFERROR(LEFT('Exposures to legal persons'!C56,FIND(" ",'Exposures to legal persons'!C56)-1),'Exposures to legal persons'!C56),Extração_DataLake!AM:AM,'Exposures to legal persons'!D56)</f>
        <v>0</v>
      </c>
      <c r="F56" s="57">
        <f>SUMIFS(Extração_DataLake!AO:AO,Extração_DataLake!AJ:AJ,'Exposures to legal persons'!B56,Extração_DataLake!AK:AK,"Exposures to legal persons",Extração_DataLake!AL:AL,IFERROR(LEFT('Exposures to legal persons'!C56,FIND(" ",'Exposures to legal persons'!C56)-1),'Exposures to legal persons'!C56),Extração_DataLake!AM:AM,'Exposures to legal persons'!D56)</f>
        <v>67890</v>
      </c>
      <c r="G56" s="54">
        <f t="shared" ref="G56:G66" si="6">E56/F56</f>
        <v>0</v>
      </c>
      <c r="H56" s="65">
        <v>0.01</v>
      </c>
      <c r="I56" s="65">
        <v>0.05</v>
      </c>
      <c r="J56" s="58">
        <f t="shared" ref="J56:J66" si="7">IF(G56&gt;=I56,2,IF(G56&gt;=H56,1,0))</f>
        <v>0</v>
      </c>
      <c r="K56" s="58"/>
    </row>
    <row r="57" spans="2:11" ht="16.2" customHeight="1" thickBot="1">
      <c r="B57" s="31" t="s">
        <v>361</v>
      </c>
      <c r="C57" s="31" t="s">
        <v>397</v>
      </c>
      <c r="D57" s="43" t="s">
        <v>383</v>
      </c>
      <c r="E57" s="57">
        <f>SUMIFS(Extração_DataLake!AN:AN,Extração_DataLake!AJ:AJ,'Exposures to legal persons'!B57,Extração_DataLake!AK:AK,"Exposures to legal persons",Extração_DataLake!AL:AL,IFERROR(LEFT('Exposures to legal persons'!C57,FIND(" ",'Exposures to legal persons'!C57)-1),'Exposures to legal persons'!C57),Extração_DataLake!AM:AM,'Exposures to legal persons'!D57)</f>
        <v>7</v>
      </c>
      <c r="F57" s="57">
        <f>SUMIFS(Extração_DataLake!AO:AO,Extração_DataLake!AJ:AJ,'Exposures to legal persons'!B57,Extração_DataLake!AK:AK,"Exposures to legal persons",Extração_DataLake!AL:AL,IFERROR(LEFT('Exposures to legal persons'!C57,FIND(" ",'Exposures to legal persons'!C57)-1),'Exposures to legal persons'!C57),Extração_DataLake!AM:AM,'Exposures to legal persons'!D57)</f>
        <v>67890</v>
      </c>
      <c r="G57" s="54">
        <f t="shared" si="6"/>
        <v>1.0310796877301516E-4</v>
      </c>
      <c r="H57" s="65">
        <v>0.01</v>
      </c>
      <c r="I57" s="65">
        <v>0.05</v>
      </c>
      <c r="J57" s="58">
        <f t="shared" si="7"/>
        <v>0</v>
      </c>
      <c r="K57" s="58"/>
    </row>
    <row r="58" spans="2:11" ht="16.2" customHeight="1" thickBot="1">
      <c r="B58" s="31" t="s">
        <v>361</v>
      </c>
      <c r="C58" s="31" t="s">
        <v>397</v>
      </c>
      <c r="D58" s="43" t="s">
        <v>384</v>
      </c>
      <c r="E58" s="57">
        <f>SUMIFS(Extração_DataLake!AN:AN,Extração_DataLake!AJ:AJ,'Exposures to legal persons'!B58,Extração_DataLake!AK:AK,"Exposures to legal persons",Extração_DataLake!AL:AL,IFERROR(LEFT('Exposures to legal persons'!C58,FIND(" ",'Exposures to legal persons'!C58)-1),'Exposures to legal persons'!C58),Extração_DataLake!AM:AM,'Exposures to legal persons'!D58)</f>
        <v>0</v>
      </c>
      <c r="F58" s="57">
        <f>SUMIFS(Extração_DataLake!AO:AO,Extração_DataLake!AJ:AJ,'Exposures to legal persons'!B58,Extração_DataLake!AK:AK,"Exposures to legal persons",Extração_DataLake!AL:AL,IFERROR(LEFT('Exposures to legal persons'!C58,FIND(" ",'Exposures to legal persons'!C58)-1),'Exposures to legal persons'!C58),Extração_DataLake!AM:AM,'Exposures to legal persons'!D58)</f>
        <v>67890</v>
      </c>
      <c r="G58" s="54">
        <f t="shared" si="6"/>
        <v>0</v>
      </c>
      <c r="H58" s="65">
        <v>0.01</v>
      </c>
      <c r="I58" s="65">
        <v>0.05</v>
      </c>
      <c r="J58" s="58">
        <f t="shared" si="7"/>
        <v>0</v>
      </c>
      <c r="K58" s="58"/>
    </row>
    <row r="59" spans="2:11" ht="16.8" thickBot="1">
      <c r="B59" s="31" t="s">
        <v>361</v>
      </c>
      <c r="C59" s="31" t="s">
        <v>397</v>
      </c>
      <c r="D59" s="43" t="s">
        <v>385</v>
      </c>
      <c r="E59" s="57">
        <f>SUMIFS(Extração_DataLake!AN:AN,Extração_DataLake!AJ:AJ,'Exposures to legal persons'!B59,Extração_DataLake!AK:AK,"Exposures to legal persons",Extração_DataLake!AL:AL,IFERROR(LEFT('Exposures to legal persons'!C59,FIND(" ",'Exposures to legal persons'!C59)-1),'Exposures to legal persons'!C59),Extração_DataLake!AM:AM,'Exposures to legal persons'!D59)</f>
        <v>0</v>
      </c>
      <c r="F59" s="57">
        <f>SUMIFS(Extração_DataLake!AO:AO,Extração_DataLake!AJ:AJ,'Exposures to legal persons'!B59,Extração_DataLake!AK:AK,"Exposures to legal persons",Extração_DataLake!AL:AL,IFERROR(LEFT('Exposures to legal persons'!C59,FIND(" ",'Exposures to legal persons'!C59)-1),'Exposures to legal persons'!C59),Extração_DataLake!AM:AM,'Exposures to legal persons'!D59)</f>
        <v>67890</v>
      </c>
      <c r="G59" s="54">
        <f t="shared" si="6"/>
        <v>0</v>
      </c>
      <c r="H59" s="65">
        <v>0.01</v>
      </c>
      <c r="I59" s="65">
        <v>0.05</v>
      </c>
      <c r="J59" s="58">
        <f t="shared" si="7"/>
        <v>0</v>
      </c>
      <c r="K59" s="58"/>
    </row>
    <row r="60" spans="2:11" ht="16.8" thickBot="1">
      <c r="B60" s="31" t="s">
        <v>361</v>
      </c>
      <c r="C60" s="31" t="s">
        <v>398</v>
      </c>
      <c r="D60" s="43" t="s">
        <v>383</v>
      </c>
      <c r="E60" s="57">
        <f>SUMIFS(Extração_DataLake!AN:AN,Extração_DataLake!AJ:AJ,'Exposures to legal persons'!B60,Extração_DataLake!AK:AK,"Exposures to legal persons",Extração_DataLake!AL:AL,IFERROR(LEFT('Exposures to legal persons'!C60,FIND(" ",'Exposures to legal persons'!C60)-1),'Exposures to legal persons'!C60),Extração_DataLake!AM:AM,'Exposures to legal persons'!D60)</f>
        <v>0</v>
      </c>
      <c r="F60" s="57">
        <f>SUMIFS(Extração_DataLake!AO:AO,Extração_DataLake!AJ:AJ,'Exposures to legal persons'!B60,Extração_DataLake!AK:AK,"Exposures to legal persons",Extração_DataLake!AL:AL,IFERROR(LEFT('Exposures to legal persons'!C60,FIND(" ",'Exposures to legal persons'!C60)-1),'Exposures to legal persons'!C60),Extração_DataLake!AM:AM,'Exposures to legal persons'!D60)</f>
        <v>67890</v>
      </c>
      <c r="G60" s="54">
        <f t="shared" si="6"/>
        <v>0</v>
      </c>
      <c r="H60" s="65">
        <v>0.01</v>
      </c>
      <c r="I60" s="65">
        <v>0.05</v>
      </c>
      <c r="J60" s="58">
        <f t="shared" si="7"/>
        <v>0</v>
      </c>
      <c r="K60" s="58"/>
    </row>
    <row r="61" spans="2:11" ht="17.399999999999999" thickBot="1">
      <c r="B61" s="31" t="s">
        <v>361</v>
      </c>
      <c r="C61" s="31" t="s">
        <v>399</v>
      </c>
      <c r="D61" s="43" t="s">
        <v>384</v>
      </c>
      <c r="E61" s="57">
        <f>SUMIFS(Extração_DataLake!AN:AN,Extração_DataLake!AJ:AJ,'Exposures to legal persons'!B61,Extração_DataLake!AK:AK,"Exposures to legal persons",Extração_DataLake!AL:AL,IFERROR(LEFT('Exposures to legal persons'!C61,FIND(" ",'Exposures to legal persons'!C61)-1),'Exposures to legal persons'!C61),Extração_DataLake!AM:AM,'Exposures to legal persons'!D61)</f>
        <v>0</v>
      </c>
      <c r="F61" s="57">
        <f>SUMIFS(Extração_DataLake!AO:AO,Extração_DataLake!AJ:AJ,'Exposures to legal persons'!B61,Extração_DataLake!AK:AK,"Exposures to legal persons",Extração_DataLake!AL:AL,IFERROR(LEFT('Exposures to legal persons'!C61,FIND(" ",'Exposures to legal persons'!C61)-1),'Exposures to legal persons'!C61),Extração_DataLake!AM:AM,'Exposures to legal persons'!D61)</f>
        <v>67890</v>
      </c>
      <c r="G61" s="54">
        <f t="shared" si="6"/>
        <v>0</v>
      </c>
      <c r="H61" s="65">
        <v>0.01</v>
      </c>
      <c r="I61" s="65">
        <v>0.05</v>
      </c>
      <c r="J61" s="58">
        <f t="shared" si="7"/>
        <v>0</v>
      </c>
      <c r="K61" s="58"/>
    </row>
    <row r="62" spans="2:11" ht="16.8" thickBot="1">
      <c r="B62" s="31" t="s">
        <v>361</v>
      </c>
      <c r="C62" s="31" t="s">
        <v>400</v>
      </c>
      <c r="D62" s="43" t="s">
        <v>383</v>
      </c>
      <c r="E62" s="57">
        <f>SUMIFS(Extração_DataLake!AN:AN,Extração_DataLake!AJ:AJ,'Exposures to legal persons'!B62,Extração_DataLake!AK:AK,"Exposures to legal persons",Extração_DataLake!AL:AL,IFERROR(LEFT('Exposures to legal persons'!C62,FIND(" ",'Exposures to legal persons'!C62)-1),'Exposures to legal persons'!C62),Extração_DataLake!AM:AM,'Exposures to legal persons'!D62)</f>
        <v>0</v>
      </c>
      <c r="F62" s="57">
        <f>SUMIFS(Extração_DataLake!AO:AO,Extração_DataLake!AJ:AJ,'Exposures to legal persons'!B62,Extração_DataLake!AK:AK,"Exposures to legal persons",Extração_DataLake!AL:AL,IFERROR(LEFT('Exposures to legal persons'!C62,FIND(" ",'Exposures to legal persons'!C62)-1),'Exposures to legal persons'!C62),Extração_DataLake!AM:AM,'Exposures to legal persons'!D62)</f>
        <v>67890</v>
      </c>
      <c r="G62" s="54">
        <f t="shared" si="6"/>
        <v>0</v>
      </c>
      <c r="H62" s="65">
        <v>0.01</v>
      </c>
      <c r="I62" s="65">
        <v>0.05</v>
      </c>
      <c r="J62" s="58">
        <f t="shared" si="7"/>
        <v>0</v>
      </c>
      <c r="K62" s="58"/>
    </row>
    <row r="63" spans="2:11" ht="17.399999999999999" thickBot="1">
      <c r="B63" s="31" t="s">
        <v>361</v>
      </c>
      <c r="C63" s="31" t="s">
        <v>401</v>
      </c>
      <c r="D63" s="43" t="s">
        <v>384</v>
      </c>
      <c r="E63" s="57">
        <f>SUMIFS(Extração_DataLake!AN:AN,Extração_DataLake!AJ:AJ,'Exposures to legal persons'!B63,Extração_DataLake!AK:AK,"Exposures to legal persons",Extração_DataLake!AL:AL,IFERROR(LEFT('Exposures to legal persons'!C63,FIND(" ",'Exposures to legal persons'!C63)-1),'Exposures to legal persons'!C63),Extração_DataLake!AM:AM,'Exposures to legal persons'!D63)</f>
        <v>0</v>
      </c>
      <c r="F63" s="57">
        <f>SUMIFS(Extração_DataLake!AO:AO,Extração_DataLake!AJ:AJ,'Exposures to legal persons'!B63,Extração_DataLake!AK:AK,"Exposures to legal persons",Extração_DataLake!AL:AL,IFERROR(LEFT('Exposures to legal persons'!C63,FIND(" ",'Exposures to legal persons'!C63)-1),'Exposures to legal persons'!C63),Extração_DataLake!AM:AM,'Exposures to legal persons'!D63)</f>
        <v>67890</v>
      </c>
      <c r="G63" s="54">
        <f t="shared" si="6"/>
        <v>0</v>
      </c>
      <c r="H63" s="65">
        <v>0.01</v>
      </c>
      <c r="I63" s="65">
        <v>0.05</v>
      </c>
      <c r="J63" s="58">
        <f t="shared" si="7"/>
        <v>0</v>
      </c>
      <c r="K63" s="58"/>
    </row>
    <row r="64" spans="2:11" ht="16.8" thickBot="1">
      <c r="B64" s="31" t="s">
        <v>361</v>
      </c>
      <c r="C64" s="31" t="s">
        <v>402</v>
      </c>
      <c r="D64" s="43" t="s">
        <v>383</v>
      </c>
      <c r="E64" s="57">
        <f>SUMIFS(Extração_DataLake!AN:AN,Extração_DataLake!AJ:AJ,'Exposures to legal persons'!B64,Extração_DataLake!AK:AK,"Exposures to legal persons",Extração_DataLake!AL:AL,IFERROR(LEFT('Exposures to legal persons'!C64,FIND(" ",'Exposures to legal persons'!C64)-1),'Exposures to legal persons'!C64),Extração_DataLake!AM:AM,'Exposures to legal persons'!D64)</f>
        <v>0</v>
      </c>
      <c r="F64" s="57">
        <f>SUMIFS(Extração_DataLake!AO:AO,Extração_DataLake!AJ:AJ,'Exposures to legal persons'!B64,Extração_DataLake!AK:AK,"Exposures to legal persons",Extração_DataLake!AL:AL,IFERROR(LEFT('Exposures to legal persons'!C64,FIND(" ",'Exposures to legal persons'!C64)-1),'Exposures to legal persons'!C64),Extração_DataLake!AM:AM,'Exposures to legal persons'!D64)</f>
        <v>67890</v>
      </c>
      <c r="G64" s="54">
        <f t="shared" si="6"/>
        <v>0</v>
      </c>
      <c r="H64" s="65">
        <v>0.01</v>
      </c>
      <c r="I64" s="65">
        <v>0.05</v>
      </c>
      <c r="J64" s="58">
        <f t="shared" si="7"/>
        <v>0</v>
      </c>
      <c r="K64" s="58"/>
    </row>
    <row r="65" spans="2:11" ht="16.8" thickBot="1">
      <c r="B65" s="31" t="s">
        <v>361</v>
      </c>
      <c r="C65" s="31" t="s">
        <v>402</v>
      </c>
      <c r="D65" s="43" t="s">
        <v>384</v>
      </c>
      <c r="E65" s="57">
        <f>SUMIFS(Extração_DataLake!AN:AN,Extração_DataLake!AJ:AJ,'Exposures to legal persons'!B65,Extração_DataLake!AK:AK,"Exposures to legal persons",Extração_DataLake!AL:AL,IFERROR(LEFT('Exposures to legal persons'!C65,FIND(" ",'Exposures to legal persons'!C65)-1),'Exposures to legal persons'!C65),Extração_DataLake!AM:AM,'Exposures to legal persons'!D65)</f>
        <v>0</v>
      </c>
      <c r="F65" s="57">
        <f>SUMIFS(Extração_DataLake!AO:AO,Extração_DataLake!AJ:AJ,'Exposures to legal persons'!B65,Extração_DataLake!AK:AK,"Exposures to legal persons",Extração_DataLake!AL:AL,IFERROR(LEFT('Exposures to legal persons'!C65,FIND(" ",'Exposures to legal persons'!C65)-1),'Exposures to legal persons'!C65),Extração_DataLake!AM:AM,'Exposures to legal persons'!D65)</f>
        <v>67890</v>
      </c>
      <c r="G65" s="54">
        <f t="shared" si="6"/>
        <v>0</v>
      </c>
      <c r="H65" s="65">
        <v>0.01</v>
      </c>
      <c r="I65" s="65">
        <v>0.05</v>
      </c>
      <c r="J65" s="58">
        <f t="shared" si="7"/>
        <v>0</v>
      </c>
      <c r="K65" s="58"/>
    </row>
    <row r="66" spans="2:11" ht="16.8" thickBot="1">
      <c r="B66" s="31" t="s">
        <v>361</v>
      </c>
      <c r="C66" s="31" t="s">
        <v>402</v>
      </c>
      <c r="D66" s="43" t="s">
        <v>385</v>
      </c>
      <c r="E66" s="57">
        <f>SUMIFS(Extração_DataLake!AN:AN,Extração_DataLake!AJ:AJ,'Exposures to legal persons'!B66,Extração_DataLake!AK:AK,"Exposures to legal persons",Extração_DataLake!AL:AL,IFERROR(LEFT('Exposures to legal persons'!C66,FIND(" ",'Exposures to legal persons'!C66)-1),'Exposures to legal persons'!C66),Extração_DataLake!AM:AM,'Exposures to legal persons'!D66)</f>
        <v>0</v>
      </c>
      <c r="F66" s="57">
        <f>SUMIFS(Extração_DataLake!AO:AO,Extração_DataLake!AJ:AJ,'Exposures to legal persons'!B66,Extração_DataLake!AK:AK,"Exposures to legal persons",Extração_DataLake!AL:AL,IFERROR(LEFT('Exposures to legal persons'!C66,FIND(" ",'Exposures to legal persons'!C66)-1),'Exposures to legal persons'!C66),Extração_DataLake!AM:AM,'Exposures to legal persons'!D66)</f>
        <v>67890</v>
      </c>
      <c r="G66" s="54">
        <f t="shared" si="6"/>
        <v>0</v>
      </c>
      <c r="H66" s="65">
        <v>0.01</v>
      </c>
      <c r="I66" s="65">
        <v>0.05</v>
      </c>
      <c r="J66" s="58">
        <f t="shared" si="7"/>
        <v>0</v>
      </c>
      <c r="K66" s="58"/>
    </row>
    <row r="68" spans="2:11" ht="16.8">
      <c r="B68" s="40" t="s">
        <v>403</v>
      </c>
    </row>
    <row r="85" ht="16.2" customHeight="1"/>
    <row r="86" ht="16.2" customHeight="1"/>
    <row r="87" ht="16.2" customHeight="1"/>
  </sheetData>
  <phoneticPr fontId="13" type="noConversion"/>
  <conditionalFormatting sqref="G9:G13">
    <cfRule type="iconSet" priority="10">
      <iconSet showValue="0" reverse="1">
        <cfvo type="percent" val="0"/>
        <cfvo type="num" val="1"/>
        <cfvo type="num" val="1"/>
      </iconSet>
    </cfRule>
  </conditionalFormatting>
  <conditionalFormatting sqref="G18:G24">
    <cfRule type="iconSet" priority="37">
      <iconSet showValue="0" reverse="1">
        <cfvo type="percent" val="0"/>
        <cfvo type="num" val="1"/>
        <cfvo type="num" val="1"/>
      </iconSet>
    </cfRule>
  </conditionalFormatting>
  <conditionalFormatting sqref="J41:J47">
    <cfRule type="iconSet" priority="4">
      <iconSet showValue="0" reverse="1">
        <cfvo type="percent" val="0"/>
        <cfvo type="num" val="1"/>
        <cfvo type="num" val="2"/>
      </iconSet>
    </cfRule>
  </conditionalFormatting>
  <conditionalFormatting sqref="J55:J66">
    <cfRule type="iconSet" priority="3">
      <iconSet showValue="0" reverse="1">
        <cfvo type="percent" val="0"/>
        <cfvo type="num" val="1"/>
        <cfvo type="num" val="2"/>
      </iconSet>
    </cfRule>
  </conditionalFormatting>
  <conditionalFormatting sqref="J30:J35">
    <cfRule type="iconSet" priority="68">
      <iconSet showValue="0" reverse="1">
        <cfvo type="percent" val="0"/>
        <cfvo type="num" val="1"/>
        <cfvo type="num" val="2"/>
      </iconSet>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1C3D4-6EB4-4CF3-8F4A-6EC60D3553BB}">
  <sheetPr codeName="Sheet17">
    <tabColor theme="9" tint="0.39997558519241921"/>
  </sheetPr>
  <dimension ref="A1:AI102"/>
  <sheetViews>
    <sheetView showGridLines="0" zoomScale="90" zoomScaleNormal="90" workbookViewId="0"/>
  </sheetViews>
  <sheetFormatPr defaultColWidth="0" defaultRowHeight="13.8"/>
  <cols>
    <col min="1" max="1" width="3.296875" style="61" customWidth="1"/>
    <col min="2" max="3" width="27.69921875" style="61" customWidth="1"/>
    <col min="4" max="4" width="38.59765625" style="61" bestFit="1" customWidth="1"/>
    <col min="5" max="10" width="22.296875" style="61" customWidth="1"/>
    <col min="11" max="11" width="66.69921875" style="61" customWidth="1"/>
    <col min="12" max="12" width="3.296875" style="61" customWidth="1"/>
    <col min="13" max="16" width="21.69921875" hidden="1" customWidth="1"/>
    <col min="17" max="17" width="5.59765625" hidden="1" customWidth="1"/>
    <col min="18" max="18" width="44.3984375" hidden="1" customWidth="1"/>
    <col min="19" max="19" width="5.59765625" hidden="1" customWidth="1"/>
    <col min="20" max="29" width="21.69921875" hidden="1" customWidth="1"/>
    <col min="30" max="30" width="3.296875" hidden="1" customWidth="1"/>
    <col min="31" max="31" width="18.296875" hidden="1" customWidth="1"/>
    <col min="32" max="32" width="13.296875" hidden="1" customWidth="1"/>
    <col min="33" max="35" width="15.59765625" hidden="1" customWidth="1"/>
    <col min="36" max="16384" width="9"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4.4"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COUNTIFS(Extração_DataLake!I:I,'Exposures to natural persons'!B9,Extração_DataLake!J:J,"Exposures to natural persons")</f>
        <v>0</v>
      </c>
      <c r="F9" s="58" t="s">
        <v>358</v>
      </c>
      <c r="G9" s="58">
        <f>IF(E9&gt;0,1,0)</f>
        <v>0</v>
      </c>
      <c r="H9" s="58"/>
    </row>
    <row r="10" spans="1:12" ht="16.8" thickBot="1">
      <c r="B10" s="31" t="s">
        <v>359</v>
      </c>
      <c r="C10" s="31" t="s">
        <v>360</v>
      </c>
      <c r="D10" s="43" t="s">
        <v>357</v>
      </c>
      <c r="E10" s="57">
        <f>COUNTIFS(Extração_DataLake!I:I,'Exposures to natural persons'!B10,Extração_DataLake!J:J,"Exposures to natural persons")</f>
        <v>0</v>
      </c>
      <c r="F10" s="58" t="s">
        <v>358</v>
      </c>
      <c r="G10" s="58">
        <f t="shared" ref="G10:G13" si="0">IF(E10&gt;0,1,0)</f>
        <v>0</v>
      </c>
      <c r="H10" s="58"/>
    </row>
    <row r="11" spans="1:12" ht="16.8" thickBot="1">
      <c r="B11" s="31" t="s">
        <v>361</v>
      </c>
      <c r="C11" s="31" t="s">
        <v>362</v>
      </c>
      <c r="D11" s="43" t="s">
        <v>357</v>
      </c>
      <c r="E11" s="57">
        <f>COUNTIFS(Extração_DataLake!I:I,'Exposures to natural persons'!B11,Extração_DataLake!J:J,"Exposures to natural persons")</f>
        <v>0</v>
      </c>
      <c r="F11" s="58" t="s">
        <v>358</v>
      </c>
      <c r="G11" s="58">
        <f t="shared" si="0"/>
        <v>0</v>
      </c>
      <c r="H11" s="58"/>
    </row>
    <row r="12" spans="1:12" ht="16.8" thickBot="1">
      <c r="B12" s="31" t="s">
        <v>363</v>
      </c>
      <c r="C12" s="31" t="s">
        <v>364</v>
      </c>
      <c r="D12" s="43" t="s">
        <v>357</v>
      </c>
      <c r="E12" s="57">
        <f>COUNTIFS(Extração_DataLake!I:I,'Exposures to natural persons'!B12,Extração_DataLake!J:J,"Exposures to natural persons")</f>
        <v>0</v>
      </c>
      <c r="F12" s="58" t="s">
        <v>358</v>
      </c>
      <c r="G12" s="58">
        <f t="shared" si="0"/>
        <v>0</v>
      </c>
      <c r="H12" s="58"/>
    </row>
    <row r="13" spans="1:12" ht="16.8" thickBot="1">
      <c r="B13" s="31" t="s">
        <v>365</v>
      </c>
      <c r="C13" s="31" t="s">
        <v>366</v>
      </c>
      <c r="D13" s="43" t="s">
        <v>357</v>
      </c>
      <c r="E13" s="57">
        <f>COUNTIFS(Extração_DataLake!I:I,'Exposures to natural persons'!B13,Extração_DataLake!J:J,"Exposures to natural persons")</f>
        <v>0</v>
      </c>
      <c r="F13" s="58" t="s">
        <v>358</v>
      </c>
      <c r="G13" s="58">
        <f t="shared" si="0"/>
        <v>0</v>
      </c>
      <c r="H13" s="58"/>
    </row>
    <row r="14" spans="1:12">
      <c r="G14" s="64"/>
      <c r="H14" s="64"/>
    </row>
    <row r="15" spans="1:12" ht="16.2">
      <c r="B15" s="34" t="s">
        <v>367</v>
      </c>
      <c r="C15" s="34"/>
      <c r="D15" s="34"/>
      <c r="E15" s="34"/>
      <c r="F15" s="34"/>
      <c r="G15" s="34"/>
      <c r="H15" s="34"/>
    </row>
    <row r="16" spans="1:12" ht="14.4" thickBot="1">
      <c r="G16" s="64"/>
      <c r="H16" s="64"/>
    </row>
    <row r="17" spans="2:11" ht="39" customHeight="1" thickBot="1">
      <c r="B17" s="46" t="s">
        <v>368</v>
      </c>
      <c r="C17" s="46" t="s">
        <v>369</v>
      </c>
      <c r="D17" s="53" t="s">
        <v>352</v>
      </c>
      <c r="E17" s="50" t="s">
        <v>353</v>
      </c>
      <c r="F17" s="51" t="s">
        <v>354</v>
      </c>
      <c r="G17" s="50" t="s">
        <v>33</v>
      </c>
      <c r="H17" s="50" t="s">
        <v>20</v>
      </c>
    </row>
    <row r="18" spans="2:11" ht="16.8" thickBot="1">
      <c r="B18" s="31" t="s">
        <v>355</v>
      </c>
      <c r="C18" s="31" t="s">
        <v>363</v>
      </c>
      <c r="D18" s="43" t="s">
        <v>370</v>
      </c>
      <c r="E18" s="57">
        <f>COUNTIFS(Extração_DataLake!P:P,'Exposures to natural persons'!D18,Extração_DataLake!Q:Q,"Exposures to natural persons")</f>
        <v>0</v>
      </c>
      <c r="F18" s="58" t="s">
        <v>358</v>
      </c>
      <c r="G18" s="58">
        <f>IF(E18&gt;0,1,0)</f>
        <v>0</v>
      </c>
      <c r="H18" s="58"/>
    </row>
    <row r="19" spans="2:11" ht="16.8" thickBot="1">
      <c r="B19" s="31" t="s">
        <v>359</v>
      </c>
      <c r="C19" s="31" t="s">
        <v>363</v>
      </c>
      <c r="D19" s="43" t="s">
        <v>371</v>
      </c>
      <c r="E19" s="57">
        <f>COUNTIFS(Extração_DataLake!P:P,'Exposures to natural persons'!D19,Extração_DataLake!Q:Q,"Exposures to natural persons")</f>
        <v>0</v>
      </c>
      <c r="F19" s="58" t="s">
        <v>358</v>
      </c>
      <c r="G19" s="58">
        <f t="shared" ref="G19:G24" si="1">IF(E19&gt;0,1,0)</f>
        <v>0</v>
      </c>
      <c r="H19" s="58"/>
    </row>
    <row r="20" spans="2:11" ht="16.8" thickBot="1">
      <c r="B20" s="31" t="s">
        <v>361</v>
      </c>
      <c r="C20" s="31" t="s">
        <v>365</v>
      </c>
      <c r="D20" s="43" t="s">
        <v>372</v>
      </c>
      <c r="E20" s="57">
        <f>COUNTIFS(Extração_DataLake!P:P,'Exposures to natural persons'!D20,Extração_DataLake!Q:Q,"Exposures to natural persons")</f>
        <v>0</v>
      </c>
      <c r="F20" s="58" t="s">
        <v>358</v>
      </c>
      <c r="G20" s="58">
        <f t="shared" si="1"/>
        <v>0</v>
      </c>
      <c r="H20" s="58"/>
    </row>
    <row r="21" spans="2:11" ht="16.8" thickBot="1">
      <c r="B21" s="31" t="s">
        <v>363</v>
      </c>
      <c r="C21" s="31" t="s">
        <v>355</v>
      </c>
      <c r="D21" s="43" t="s">
        <v>373</v>
      </c>
      <c r="E21" s="57">
        <f>COUNTIFS(Extração_DataLake!P:P,'Exposures to natural persons'!D21,Extração_DataLake!Q:Q,"Exposures to natural persons")</f>
        <v>0</v>
      </c>
      <c r="F21" s="58" t="s">
        <v>358</v>
      </c>
      <c r="G21" s="58">
        <f t="shared" si="1"/>
        <v>0</v>
      </c>
      <c r="H21" s="58"/>
    </row>
    <row r="22" spans="2:11" ht="16.8" thickBot="1">
      <c r="B22" s="31" t="s">
        <v>363</v>
      </c>
      <c r="C22" s="31" t="s">
        <v>359</v>
      </c>
      <c r="D22" s="43" t="s">
        <v>374</v>
      </c>
      <c r="E22" s="57">
        <f>COUNTIFS(Extração_DataLake!P:P,'Exposures to natural persons'!D22,Extração_DataLake!Q:Q,"Exposures to natural persons")</f>
        <v>0</v>
      </c>
      <c r="F22" s="58" t="s">
        <v>358</v>
      </c>
      <c r="G22" s="58">
        <f t="shared" si="1"/>
        <v>0</v>
      </c>
      <c r="H22" s="58"/>
    </row>
    <row r="23" spans="2:11" ht="16.8" thickBot="1">
      <c r="B23" s="31" t="s">
        <v>365</v>
      </c>
      <c r="C23" s="31" t="s">
        <v>355</v>
      </c>
      <c r="D23" s="43" t="s">
        <v>375</v>
      </c>
      <c r="E23" s="57">
        <f>COUNTIFS(Extração_DataLake!P:P,'Exposures to natural persons'!D23,Extração_DataLake!Q:Q,"Exposures to natural persons")</f>
        <v>0</v>
      </c>
      <c r="F23" s="58" t="s">
        <v>358</v>
      </c>
      <c r="G23" s="58">
        <f t="shared" si="1"/>
        <v>0</v>
      </c>
      <c r="H23" s="58"/>
    </row>
    <row r="24" spans="2:11" ht="16.8" thickBot="1">
      <c r="B24" s="31" t="s">
        <v>365</v>
      </c>
      <c r="C24" s="31" t="s">
        <v>361</v>
      </c>
      <c r="D24" s="43" t="s">
        <v>376</v>
      </c>
      <c r="E24" s="57">
        <f>COUNTIFS(Extração_DataLake!P:P,'Exposures to natural persons'!D24,Extração_DataLake!Q:Q,"Exposures to natural persons")</f>
        <v>0</v>
      </c>
      <c r="F24" s="58" t="s">
        <v>358</v>
      </c>
      <c r="G24" s="58">
        <f t="shared" si="1"/>
        <v>0</v>
      </c>
      <c r="H24" s="58"/>
    </row>
    <row r="27" spans="2:11" ht="16.2">
      <c r="B27" s="34" t="s">
        <v>377</v>
      </c>
      <c r="C27" s="34"/>
      <c r="D27" s="34"/>
      <c r="E27" s="34"/>
      <c r="F27" s="34"/>
      <c r="G27" s="34"/>
      <c r="H27" s="34"/>
      <c r="I27" s="34"/>
      <c r="J27" s="34"/>
      <c r="K27" s="34"/>
    </row>
    <row r="28" spans="2:11" ht="14.4" thickBot="1">
      <c r="G28" s="64"/>
      <c r="H28" s="64"/>
      <c r="I28" s="64"/>
      <c r="J28" s="64"/>
      <c r="K28" s="64"/>
    </row>
    <row r="29" spans="2:11" ht="39.6" customHeight="1" thickBot="1">
      <c r="B29" s="46" t="s">
        <v>350</v>
      </c>
      <c r="C29" s="46" t="s">
        <v>351</v>
      </c>
      <c r="D29" s="53" t="s">
        <v>378</v>
      </c>
      <c r="E29" s="50" t="s">
        <v>379</v>
      </c>
      <c r="F29" s="50" t="s">
        <v>380</v>
      </c>
      <c r="G29" s="50" t="s">
        <v>381</v>
      </c>
      <c r="H29" s="51" t="s">
        <v>31</v>
      </c>
      <c r="I29" s="51" t="s">
        <v>32</v>
      </c>
      <c r="J29" s="50" t="s">
        <v>33</v>
      </c>
      <c r="K29" s="50" t="s">
        <v>20</v>
      </c>
    </row>
    <row r="30" spans="2:11" ht="16.8" thickBot="1">
      <c r="B30" s="31" t="s">
        <v>355</v>
      </c>
      <c r="C30" s="31" t="s">
        <v>404</v>
      </c>
      <c r="D30" s="43" t="s">
        <v>383</v>
      </c>
      <c r="E30" s="57">
        <f>SUMIFS(Extração_DataLake!Z:Z,Extração_DataLake!V:V,B30,Extração_DataLake!W:W,"Exposures to natural persons",Extração_DataLake!X:X,IFERROR(LEFT(C30,FIND(" ",C30)-1),C30),Extração_DataLake!Y:Y,D30)</f>
        <v>0</v>
      </c>
      <c r="F30" s="57">
        <f>SUMIFS(Extração_DataLake!AA:AA,Extração_DataLake!V:V,B30,Extração_DataLake!W:W,"Exposures to natural persons",Extração_DataLake!X:X,IFERROR(LEFT(C30,FIND(" ",C30)-1),C30),Extração_DataLake!Y:Y,D30)</f>
        <v>1464871</v>
      </c>
      <c r="G30" s="54">
        <f>E30/F30</f>
        <v>0</v>
      </c>
      <c r="H30" s="65">
        <v>0.01</v>
      </c>
      <c r="I30" s="65">
        <v>0.05</v>
      </c>
      <c r="J30" s="58">
        <f>IF(G30&gt;=I30,2,IF(G30&gt;=H30,1,0))</f>
        <v>0</v>
      </c>
      <c r="K30" s="58"/>
    </row>
    <row r="31" spans="2:11" ht="16.8" thickBot="1">
      <c r="B31" s="31" t="s">
        <v>355</v>
      </c>
      <c r="C31" s="31" t="s">
        <v>405</v>
      </c>
      <c r="D31" s="43" t="s">
        <v>383</v>
      </c>
      <c r="E31" s="57">
        <f>SUMIFS(Extração_DataLake!Z:Z,Extração_DataLake!V:V,B31,Extração_DataLake!W:W,"Exposures to natural persons",Extração_DataLake!X:X,IFERROR(LEFT(C31,FIND(" ",C31)-1),C31),Extração_DataLake!Y:Y,D31)</f>
        <v>0</v>
      </c>
      <c r="F31" s="57">
        <f>SUMIFS(Extração_DataLake!AA:AA,Extração_DataLake!V:V,B31,Extração_DataLake!W:W,"Exposures to natural persons",Extração_DataLake!X:X,IFERROR(LEFT(C31,FIND(" ",C31)-1),C31),Extração_DataLake!Y:Y,D31)</f>
        <v>1464871</v>
      </c>
      <c r="G31" s="54">
        <f>E31/F31</f>
        <v>0</v>
      </c>
      <c r="H31" s="65">
        <v>0.01</v>
      </c>
      <c r="I31" s="65">
        <v>0.05</v>
      </c>
      <c r="J31" s="58">
        <f>IF(G31&gt;=I31,2,IF(G31&gt;=H31,1,0))</f>
        <v>0</v>
      </c>
      <c r="K31" s="58"/>
    </row>
    <row r="32" spans="2:11" ht="16.8" thickBot="1">
      <c r="B32" s="31" t="s">
        <v>355</v>
      </c>
      <c r="C32" s="31" t="s">
        <v>405</v>
      </c>
      <c r="D32" s="43" t="s">
        <v>384</v>
      </c>
      <c r="E32" s="57">
        <f>SUMIFS(Extração_DataLake!Z:Z,Extração_DataLake!V:V,B32,Extração_DataLake!W:W,"Exposures to natural persons",Extração_DataLake!X:X,IFERROR(LEFT(C32,FIND(" ",C32)-1),C32),Extração_DataLake!Y:Y,D32)</f>
        <v>0</v>
      </c>
      <c r="F32" s="57">
        <f>SUMIFS(Extração_DataLake!AA:AA,Extração_DataLake!V:V,B32,Extração_DataLake!W:W,"Exposures to natural persons",Extração_DataLake!X:X,IFERROR(LEFT(C32,FIND(" ",C32)-1),C32),Extração_DataLake!Y:Y,D32)</f>
        <v>1464871</v>
      </c>
      <c r="G32" s="54">
        <f t="shared" ref="G32:G51" si="2">E32/F32</f>
        <v>0</v>
      </c>
      <c r="H32" s="65">
        <v>0.01</v>
      </c>
      <c r="I32" s="65">
        <v>0.05</v>
      </c>
      <c r="J32" s="58">
        <f t="shared" ref="J32:J51" si="3">IF(G32&gt;=I32,2,IF(G32&gt;=H32,1,0))</f>
        <v>0</v>
      </c>
      <c r="K32" s="58"/>
    </row>
    <row r="33" spans="2:11" ht="16.8" thickBot="1">
      <c r="B33" s="31" t="s">
        <v>355</v>
      </c>
      <c r="C33" s="31" t="s">
        <v>405</v>
      </c>
      <c r="D33" s="43" t="s">
        <v>385</v>
      </c>
      <c r="E33" s="57">
        <f>SUMIFS(Extração_DataLake!Z:Z,Extração_DataLake!V:V,B33,Extração_DataLake!W:W,"Exposures to natural persons",Extração_DataLake!X:X,IFERROR(LEFT(C33,FIND(" ",C33)-1),C33),Extração_DataLake!Y:Y,D33)</f>
        <v>0</v>
      </c>
      <c r="F33" s="57">
        <f>SUMIFS(Extração_DataLake!AA:AA,Extração_DataLake!V:V,B33,Extração_DataLake!W:W,"Exposures to natural persons",Extração_DataLake!X:X,IFERROR(LEFT(C33,FIND(" ",C33)-1),C33),Extração_DataLake!Y:Y,D33)</f>
        <v>1464871</v>
      </c>
      <c r="G33" s="54">
        <f t="shared" si="2"/>
        <v>0</v>
      </c>
      <c r="H33" s="65">
        <v>0.01</v>
      </c>
      <c r="I33" s="65">
        <v>0.05</v>
      </c>
      <c r="J33" s="58">
        <f t="shared" si="3"/>
        <v>0</v>
      </c>
      <c r="K33" s="58"/>
    </row>
    <row r="34" spans="2:11" ht="16.8" thickBot="1">
      <c r="B34" s="31" t="s">
        <v>355</v>
      </c>
      <c r="C34" s="31" t="s">
        <v>382</v>
      </c>
      <c r="D34" s="43" t="s">
        <v>383</v>
      </c>
      <c r="E34" s="57">
        <f>SUMIFS(Extração_DataLake!Z:Z,Extração_DataLake!V:V,B34,Extração_DataLake!W:W,"Exposures to natural persons",Extração_DataLake!X:X,IFERROR(LEFT(C34,FIND(" ",C34)-1),C34),Extração_DataLake!Y:Y,D34)</f>
        <v>0</v>
      </c>
      <c r="F34" s="57">
        <f>SUMIFS(Extração_DataLake!AA:AA,Extração_DataLake!V:V,B34,Extração_DataLake!W:W,"Exposures to natural persons",Extração_DataLake!X:X,IFERROR(LEFT(C34,FIND(" ",C34)-1),C34),Extração_DataLake!Y:Y,D34)</f>
        <v>1464871</v>
      </c>
      <c r="G34" s="54">
        <f t="shared" si="2"/>
        <v>0</v>
      </c>
      <c r="H34" s="65">
        <v>0.01</v>
      </c>
      <c r="I34" s="65">
        <v>0.05</v>
      </c>
      <c r="J34" s="58">
        <f t="shared" si="3"/>
        <v>0</v>
      </c>
      <c r="K34" s="58"/>
    </row>
    <row r="35" spans="2:11" ht="16.8" thickBot="1">
      <c r="B35" s="31" t="s">
        <v>355</v>
      </c>
      <c r="C35" s="31" t="s">
        <v>382</v>
      </c>
      <c r="D35" s="43" t="s">
        <v>384</v>
      </c>
      <c r="E35" s="57">
        <f>SUMIFS(Extração_DataLake!Z:Z,Extração_DataLake!V:V,B35,Extração_DataLake!W:W,"Exposures to natural persons",Extração_DataLake!X:X,IFERROR(LEFT(C35,FIND(" ",C35)-1),C35),Extração_DataLake!Y:Y,D35)</f>
        <v>0</v>
      </c>
      <c r="F35" s="57">
        <f>SUMIFS(Extração_DataLake!AA:AA,Extração_DataLake!V:V,B35,Extração_DataLake!W:W,"Exposures to natural persons",Extração_DataLake!X:X,IFERROR(LEFT(C35,FIND(" ",C35)-1),C35),Extração_DataLake!Y:Y,D35)</f>
        <v>1464871</v>
      </c>
      <c r="G35" s="54">
        <f t="shared" si="2"/>
        <v>0</v>
      </c>
      <c r="H35" s="65">
        <v>0.01</v>
      </c>
      <c r="I35" s="65">
        <v>0.05</v>
      </c>
      <c r="J35" s="58">
        <f t="shared" si="3"/>
        <v>0</v>
      </c>
      <c r="K35" s="58"/>
    </row>
    <row r="36" spans="2:11" ht="16.8" thickBot="1">
      <c r="B36" s="31" t="s">
        <v>355</v>
      </c>
      <c r="C36" s="31" t="s">
        <v>382</v>
      </c>
      <c r="D36" s="43" t="s">
        <v>385</v>
      </c>
      <c r="E36" s="57">
        <f>SUMIFS(Extração_DataLake!Z:Z,Extração_DataLake!V:V,B36,Extração_DataLake!W:W,"Exposures to natural persons",Extração_DataLake!X:X,IFERROR(LEFT(C36,FIND(" ",C36)-1),C36),Extração_DataLake!Y:Y,D36)</f>
        <v>0</v>
      </c>
      <c r="F36" s="57">
        <f>SUMIFS(Extração_DataLake!AA:AA,Extração_DataLake!V:V,B36,Extração_DataLake!W:W,"Exposures to natural persons",Extração_DataLake!X:X,IFERROR(LEFT(C36,FIND(" ",C36)-1),C36),Extração_DataLake!Y:Y,D36)</f>
        <v>1464871</v>
      </c>
      <c r="G36" s="54">
        <f t="shared" si="2"/>
        <v>0</v>
      </c>
      <c r="H36" s="65">
        <v>0.01</v>
      </c>
      <c r="I36" s="65">
        <v>0.05</v>
      </c>
      <c r="J36" s="58">
        <f t="shared" si="3"/>
        <v>0</v>
      </c>
      <c r="K36" s="58"/>
    </row>
    <row r="37" spans="2:11" ht="17.399999999999999" thickBot="1">
      <c r="B37" s="31" t="s">
        <v>355</v>
      </c>
      <c r="C37" s="31" t="s">
        <v>406</v>
      </c>
      <c r="D37" s="43" t="s">
        <v>383</v>
      </c>
      <c r="E37" s="57">
        <f>SUMIFS(Extração_DataLake!Z:Z,Extração_DataLake!V:V,B37,Extração_DataLake!W:W,"Exposures to natural persons",Extração_DataLake!X:X,IFERROR(LEFT(C37,FIND(" ",C37)-1),C37),Extração_DataLake!Y:Y,D37)</f>
        <v>8746</v>
      </c>
      <c r="F37" s="57">
        <f>SUMIFS(Extração_DataLake!AA:AA,Extração_DataLake!V:V,B37,Extração_DataLake!W:W,"Exposures to natural persons",Extração_DataLake!X:X,IFERROR(LEFT(C37,FIND(" ",C37)-1),C37),Extração_DataLake!Y:Y,D37)</f>
        <v>1464871</v>
      </c>
      <c r="G37" s="54">
        <f t="shared" si="2"/>
        <v>5.9704915996016033E-3</v>
      </c>
      <c r="H37" s="65">
        <v>0.01</v>
      </c>
      <c r="I37" s="65">
        <v>0.05</v>
      </c>
      <c r="J37" s="58">
        <f t="shared" si="3"/>
        <v>0</v>
      </c>
      <c r="K37" s="69" t="s">
        <v>407</v>
      </c>
    </row>
    <row r="38" spans="2:11" ht="16.8" thickBot="1">
      <c r="B38" s="31" t="s">
        <v>355</v>
      </c>
      <c r="C38" s="31" t="s">
        <v>408</v>
      </c>
      <c r="D38" s="43" t="s">
        <v>384</v>
      </c>
      <c r="E38" s="57">
        <f>SUMIFS(Extração_DataLake!Z:Z,Extração_DataLake!V:V,B38,Extração_DataLake!W:W,"Exposures to natural persons",Extração_DataLake!X:X,IFERROR(LEFT(C38,FIND(" ",C38)-1),C38),Extração_DataLake!Y:Y,D38)</f>
        <v>0</v>
      </c>
      <c r="F38" s="57">
        <f>SUMIFS(Extração_DataLake!AA:AA,Extração_DataLake!V:V,B38,Extração_DataLake!W:W,"Exposures to natural persons",Extração_DataLake!X:X,IFERROR(LEFT(C38,FIND(" ",C38)-1),C38),Extração_DataLake!Y:Y,D38)</f>
        <v>1464871</v>
      </c>
      <c r="G38" s="54">
        <f t="shared" si="2"/>
        <v>0</v>
      </c>
      <c r="H38" s="65">
        <v>0.01</v>
      </c>
      <c r="I38" s="65">
        <v>0.05</v>
      </c>
      <c r="J38" s="58">
        <f t="shared" si="3"/>
        <v>0</v>
      </c>
      <c r="K38" s="58"/>
    </row>
    <row r="39" spans="2:11" ht="16.8" thickBot="1">
      <c r="B39" s="31" t="s">
        <v>355</v>
      </c>
      <c r="C39" s="31" t="s">
        <v>408</v>
      </c>
      <c r="D39" s="43" t="s">
        <v>385</v>
      </c>
      <c r="E39" s="57">
        <f>SUMIFS(Extração_DataLake!Z:Z,Extração_DataLake!V:V,B39,Extração_DataLake!W:W,"Exposures to natural persons",Extração_DataLake!X:X,IFERROR(LEFT(C39,FIND(" ",C39)-1),C39),Extração_DataLake!Y:Y,D39)</f>
        <v>0</v>
      </c>
      <c r="F39" s="57">
        <f>SUMIFS(Extração_DataLake!AA:AA,Extração_DataLake!V:V,B39,Extração_DataLake!W:W,"Exposures to natural persons",Extração_DataLake!X:X,IFERROR(LEFT(C39,FIND(" ",C39)-1),C39),Extração_DataLake!Y:Y,D39)</f>
        <v>1464871</v>
      </c>
      <c r="G39" s="54">
        <f t="shared" si="2"/>
        <v>0</v>
      </c>
      <c r="H39" s="65">
        <v>0.01</v>
      </c>
      <c r="I39" s="65">
        <v>0.05</v>
      </c>
      <c r="J39" s="58">
        <f t="shared" si="3"/>
        <v>0</v>
      </c>
      <c r="K39" s="58"/>
    </row>
    <row r="40" spans="2:11" ht="16.8" thickBot="1">
      <c r="B40" s="31" t="s">
        <v>355</v>
      </c>
      <c r="C40" s="31" t="s">
        <v>409</v>
      </c>
      <c r="D40" s="43" t="s">
        <v>383</v>
      </c>
      <c r="E40" s="57">
        <f>SUMIFS(Extração_DataLake!Z:Z,Extração_DataLake!V:V,B40,Extração_DataLake!W:W,"Exposures to natural persons",Extração_DataLake!X:X,IFERROR(LEFT(C40,FIND(" ",C40)-1),C40),Extração_DataLake!Y:Y,D40)</f>
        <v>0</v>
      </c>
      <c r="F40" s="57">
        <f>SUMIFS(Extração_DataLake!AA:AA,Extração_DataLake!V:V,B40,Extração_DataLake!W:W,"Exposures to natural persons",Extração_DataLake!X:X,IFERROR(LEFT(C40,FIND(" ",C40)-1),C40),Extração_DataLake!Y:Y,D40)</f>
        <v>1464871</v>
      </c>
      <c r="G40" s="54">
        <f t="shared" si="2"/>
        <v>0</v>
      </c>
      <c r="H40" s="65">
        <v>0.01</v>
      </c>
      <c r="I40" s="65">
        <v>0.05</v>
      </c>
      <c r="J40" s="58">
        <f t="shared" si="3"/>
        <v>0</v>
      </c>
      <c r="K40" s="58"/>
    </row>
    <row r="41" spans="2:11" ht="16.8" thickBot="1">
      <c r="B41" s="31" t="s">
        <v>355</v>
      </c>
      <c r="C41" s="31" t="s">
        <v>409</v>
      </c>
      <c r="D41" s="43" t="s">
        <v>384</v>
      </c>
      <c r="E41" s="57">
        <f>SUMIFS(Extração_DataLake!Z:Z,Extração_DataLake!V:V,B41,Extração_DataLake!W:W,"Exposures to natural persons",Extração_DataLake!X:X,IFERROR(LEFT(C41,FIND(" ",C41)-1),C41),Extração_DataLake!Y:Y,D41)</f>
        <v>0</v>
      </c>
      <c r="F41" s="57">
        <f>SUMIFS(Extração_DataLake!AA:AA,Extração_DataLake!V:V,B41,Extração_DataLake!W:W,"Exposures to natural persons",Extração_DataLake!X:X,IFERROR(LEFT(C41,FIND(" ",C41)-1),C41),Extração_DataLake!Y:Y,D41)</f>
        <v>1464871</v>
      </c>
      <c r="G41" s="54">
        <f t="shared" si="2"/>
        <v>0</v>
      </c>
      <c r="H41" s="65">
        <v>0.01</v>
      </c>
      <c r="I41" s="65">
        <v>0.05</v>
      </c>
      <c r="J41" s="58">
        <f t="shared" si="3"/>
        <v>0</v>
      </c>
      <c r="K41" s="58"/>
    </row>
    <row r="42" spans="2:11" ht="16.8" thickBot="1">
      <c r="B42" s="31" t="s">
        <v>355</v>
      </c>
      <c r="C42" s="31" t="s">
        <v>409</v>
      </c>
      <c r="D42" s="43" t="s">
        <v>385</v>
      </c>
      <c r="E42" s="57">
        <f>SUMIFS(Extração_DataLake!Z:Z,Extração_DataLake!V:V,B42,Extração_DataLake!W:W,"Exposures to natural persons",Extração_DataLake!X:X,IFERROR(LEFT(C42,FIND(" ",C42)-1),C42),Extração_DataLake!Y:Y,D42)</f>
        <v>0</v>
      </c>
      <c r="F42" s="57">
        <f>SUMIFS(Extração_DataLake!AA:AA,Extração_DataLake!V:V,B42,Extração_DataLake!W:W,"Exposures to natural persons",Extração_DataLake!X:X,IFERROR(LEFT(C42,FIND(" ",C42)-1),C42),Extração_DataLake!Y:Y,D42)</f>
        <v>1464871</v>
      </c>
      <c r="G42" s="54">
        <f t="shared" si="2"/>
        <v>0</v>
      </c>
      <c r="H42" s="65">
        <v>0.01</v>
      </c>
      <c r="I42" s="65">
        <v>0.05</v>
      </c>
      <c r="J42" s="58">
        <f t="shared" si="3"/>
        <v>0</v>
      </c>
      <c r="K42" s="58"/>
    </row>
    <row r="43" spans="2:11" ht="16.8" thickBot="1">
      <c r="B43" s="31" t="s">
        <v>355</v>
      </c>
      <c r="C43" s="31" t="s">
        <v>410</v>
      </c>
      <c r="D43" s="43" t="s">
        <v>383</v>
      </c>
      <c r="E43" s="57">
        <f>SUMIFS(Extração_DataLake!Z:Z,Extração_DataLake!V:V,B43,Extração_DataLake!W:W,"Exposures to natural persons",Extração_DataLake!X:X,IFERROR(LEFT(C43,FIND(" ",C43)-1),C43),Extração_DataLake!Y:Y,D43)</f>
        <v>7118</v>
      </c>
      <c r="F43" s="57">
        <f>SUMIFS(Extração_DataLake!AA:AA,Extração_DataLake!V:V,B43,Extração_DataLake!W:W,"Exposures to natural persons",Extração_DataLake!X:X,IFERROR(LEFT(C43,FIND(" ",C43)-1),C43),Extração_DataLake!Y:Y,D43)</f>
        <v>1464871</v>
      </c>
      <c r="G43" s="54">
        <f t="shared" si="2"/>
        <v>4.8591309405401567E-3</v>
      </c>
      <c r="H43" s="65">
        <v>0.01</v>
      </c>
      <c r="I43" s="65">
        <v>0.05</v>
      </c>
      <c r="J43" s="58">
        <f t="shared" si="3"/>
        <v>0</v>
      </c>
      <c r="K43" s="58"/>
    </row>
    <row r="44" spans="2:11" ht="17.399999999999999" thickBot="1">
      <c r="B44" s="31" t="s">
        <v>355</v>
      </c>
      <c r="C44" s="31" t="s">
        <v>411</v>
      </c>
      <c r="D44" s="43" t="s">
        <v>384</v>
      </c>
      <c r="E44" s="57">
        <f>SUMIFS(Extração_DataLake!Z:Z,Extração_DataLake!V:V,B44,Extração_DataLake!W:W,"Exposures to natural persons",Extração_DataLake!X:X,IFERROR(LEFT(C44,FIND(" ",C44)-1),C44),Extração_DataLake!Y:Y,D44)</f>
        <v>3723</v>
      </c>
      <c r="F44" s="57">
        <f>SUMIFS(Extração_DataLake!AA:AA,Extração_DataLake!V:V,B44,Extração_DataLake!W:W,"Exposures to natural persons",Extração_DataLake!X:X,IFERROR(LEFT(C44,FIND(" ",C44)-1),C44),Extração_DataLake!Y:Y,D44)</f>
        <v>1464871</v>
      </c>
      <c r="G44" s="54">
        <f t="shared" si="2"/>
        <v>2.5415207209372021E-3</v>
      </c>
      <c r="H44" s="65">
        <v>0.01</v>
      </c>
      <c r="I44" s="65">
        <v>0.05</v>
      </c>
      <c r="J44" s="58">
        <f t="shared" si="3"/>
        <v>0</v>
      </c>
      <c r="K44" s="58"/>
    </row>
    <row r="45" spans="2:11" ht="16.8" thickBot="1">
      <c r="B45" s="31" t="s">
        <v>355</v>
      </c>
      <c r="C45" s="31" t="s">
        <v>410</v>
      </c>
      <c r="D45" s="43" t="s">
        <v>385</v>
      </c>
      <c r="E45" s="57">
        <f>SUMIFS(Extração_DataLake!Z:Z,Extração_DataLake!V:V,B45,Extração_DataLake!W:W,"Exposures to natural persons",Extração_DataLake!X:X,IFERROR(LEFT(C45,FIND(" ",C45)-1),C45),Extração_DataLake!Y:Y,D45)</f>
        <v>0</v>
      </c>
      <c r="F45" s="57">
        <f>SUMIFS(Extração_DataLake!AA:AA,Extração_DataLake!V:V,B45,Extração_DataLake!W:W,"Exposures to natural persons",Extração_DataLake!X:X,IFERROR(LEFT(C45,FIND(" ",C45)-1),C45),Extração_DataLake!Y:Y,D45)</f>
        <v>1464871</v>
      </c>
      <c r="G45" s="54">
        <f t="shared" si="2"/>
        <v>0</v>
      </c>
      <c r="H45" s="65">
        <v>0.01</v>
      </c>
      <c r="I45" s="65">
        <v>0.05</v>
      </c>
      <c r="J45" s="58">
        <f t="shared" si="3"/>
        <v>0</v>
      </c>
      <c r="K45" s="58"/>
    </row>
    <row r="46" spans="2:11" ht="16.8" thickBot="1">
      <c r="B46" s="31" t="s">
        <v>355</v>
      </c>
      <c r="C46" s="31" t="s">
        <v>412</v>
      </c>
      <c r="D46" s="43" t="s">
        <v>383</v>
      </c>
      <c r="E46" s="57">
        <f>SUMIFS(Extração_DataLake!Z:Z,Extração_DataLake!V:V,B46,Extração_DataLake!W:W,"Exposures to natural persons",Extração_DataLake!X:X,IFERROR(LEFT(C46,FIND(" ",C46)-1),C46),Extração_DataLake!Y:Y,D46)</f>
        <v>0</v>
      </c>
      <c r="F46" s="57">
        <f>SUMIFS(Extração_DataLake!AA:AA,Extração_DataLake!V:V,B46,Extração_DataLake!W:W,"Exposures to natural persons",Extração_DataLake!X:X,IFERROR(LEFT(C46,FIND(" ",C46)-1),C46),Extração_DataLake!Y:Y,D46)</f>
        <v>1464871</v>
      </c>
      <c r="G46" s="54">
        <f t="shared" si="2"/>
        <v>0</v>
      </c>
      <c r="H46" s="65">
        <v>0.01</v>
      </c>
      <c r="I46" s="65">
        <v>0.05</v>
      </c>
      <c r="J46" s="58">
        <f t="shared" si="3"/>
        <v>0</v>
      </c>
      <c r="K46" s="58"/>
    </row>
    <row r="47" spans="2:11" ht="16.8" thickBot="1">
      <c r="B47" s="31" t="s">
        <v>355</v>
      </c>
      <c r="C47" s="31" t="s">
        <v>412</v>
      </c>
      <c r="D47" s="43" t="s">
        <v>384</v>
      </c>
      <c r="E47" s="57">
        <f>SUMIFS(Extração_DataLake!Z:Z,Extração_DataLake!V:V,B47,Extração_DataLake!W:W,"Exposures to natural persons",Extração_DataLake!X:X,IFERROR(LEFT(C47,FIND(" ",C47)-1),C47),Extração_DataLake!Y:Y,D47)</f>
        <v>1464824</v>
      </c>
      <c r="F47" s="57">
        <f>SUMIFS(Extração_DataLake!AA:AA,Extração_DataLake!V:V,B47,Extração_DataLake!W:W,"Exposures to natural persons",Extração_DataLake!X:X,IFERROR(LEFT(C47,FIND(" ",C47)-1),C47),Extração_DataLake!Y:Y,D47)</f>
        <v>1464871</v>
      </c>
      <c r="G47" s="54">
        <f t="shared" si="2"/>
        <v>0.99996791526352835</v>
      </c>
      <c r="H47" s="65">
        <v>0.01</v>
      </c>
      <c r="I47" s="65">
        <v>0.05</v>
      </c>
      <c r="J47" s="58">
        <f t="shared" si="3"/>
        <v>2</v>
      </c>
      <c r="K47" s="75" t="s">
        <v>413</v>
      </c>
    </row>
    <row r="48" spans="2:11" ht="16.8" thickBot="1">
      <c r="B48" s="31" t="s">
        <v>355</v>
      </c>
      <c r="C48" s="31" t="s">
        <v>412</v>
      </c>
      <c r="D48" s="43" t="s">
        <v>385</v>
      </c>
      <c r="E48" s="57">
        <f>SUMIFS(Extração_DataLake!Z:Z,Extração_DataLake!V:V,B48,Extração_DataLake!W:W,"Exposures to natural persons",Extração_DataLake!X:X,IFERROR(LEFT(C48,FIND(" ",C48)-1),C48),Extração_DataLake!Y:Y,D48)</f>
        <v>0</v>
      </c>
      <c r="F48" s="57">
        <f>SUMIFS(Extração_DataLake!AA:AA,Extração_DataLake!V:V,B48,Extração_DataLake!W:W,"Exposures to natural persons",Extração_DataLake!X:X,IFERROR(LEFT(C48,FIND(" ",C48)-1),C48),Extração_DataLake!Y:Y,D48)</f>
        <v>1464871</v>
      </c>
      <c r="G48" s="54">
        <f t="shared" si="2"/>
        <v>0</v>
      </c>
      <c r="H48" s="65">
        <v>0.01</v>
      </c>
      <c r="I48" s="65">
        <v>0.05</v>
      </c>
      <c r="J48" s="58">
        <f t="shared" si="3"/>
        <v>0</v>
      </c>
      <c r="K48" s="58"/>
    </row>
    <row r="49" spans="2:11" ht="16.8" thickBot="1">
      <c r="B49" s="31" t="s">
        <v>355</v>
      </c>
      <c r="C49" s="31" t="s">
        <v>386</v>
      </c>
      <c r="D49" s="43" t="s">
        <v>383</v>
      </c>
      <c r="E49" s="57">
        <f>SUMIFS(Extração_DataLake!Z:Z,Extração_DataLake!V:V,B49,Extração_DataLake!W:W,"Exposures to natural persons",Extração_DataLake!X:X,IFERROR(LEFT(C49,FIND(" ",C49)-1),C49),Extração_DataLake!Y:Y,D49)</f>
        <v>124639</v>
      </c>
      <c r="F49" s="57">
        <f>SUMIFS(Extração_DataLake!AA:AA,Extração_DataLake!V:V,B49,Extração_DataLake!W:W,"Exposures to natural persons",Extração_DataLake!X:X,IFERROR(LEFT(C49,FIND(" ",C49)-1),C49),Extração_DataLake!Y:Y,D49)</f>
        <v>1464871</v>
      </c>
      <c r="G49" s="54">
        <f t="shared" si="2"/>
        <v>8.5085307853046452E-2</v>
      </c>
      <c r="H49" s="65">
        <v>0.01</v>
      </c>
      <c r="I49" s="65">
        <v>0.05</v>
      </c>
      <c r="J49" s="58">
        <f t="shared" si="3"/>
        <v>2</v>
      </c>
      <c r="K49" s="69" t="s">
        <v>414</v>
      </c>
    </row>
    <row r="50" spans="2:11" ht="17.399999999999999" thickBot="1">
      <c r="B50" s="31" t="s">
        <v>355</v>
      </c>
      <c r="C50" s="31" t="s">
        <v>415</v>
      </c>
      <c r="D50" s="43" t="s">
        <v>384</v>
      </c>
      <c r="E50" s="57">
        <v>0</v>
      </c>
      <c r="F50" s="57" t="s">
        <v>416</v>
      </c>
      <c r="G50" s="57" t="s">
        <v>416</v>
      </c>
      <c r="H50" s="57" t="s">
        <v>416</v>
      </c>
      <c r="I50" s="57" t="s">
        <v>416</v>
      </c>
      <c r="J50" s="57" t="s">
        <v>416</v>
      </c>
      <c r="K50" s="58"/>
    </row>
    <row r="51" spans="2:11" ht="16.8" thickBot="1">
      <c r="B51" s="31" t="s">
        <v>355</v>
      </c>
      <c r="C51" s="31" t="s">
        <v>386</v>
      </c>
      <c r="D51" s="43" t="s">
        <v>385</v>
      </c>
      <c r="E51" s="57">
        <f>SUMIFS(Extração_DataLake!Z:Z,Extração_DataLake!V:V,B51,Extração_DataLake!W:W,"Exposures to natural persons",Extração_DataLake!X:X,IFERROR(LEFT(C51,FIND(" ",C51)-1),C51),Extração_DataLake!Y:Y,D51)</f>
        <v>0</v>
      </c>
      <c r="F51" s="57">
        <f>SUMIFS(Extração_DataLake!AA:AA,Extração_DataLake!V:V,B51,Extração_DataLake!W:W,"Exposures to natural persons",Extração_DataLake!X:X,IFERROR(LEFT(C51,FIND(" ",C51)-1),C51),Extração_DataLake!Y:Y,D51)</f>
        <v>1464871</v>
      </c>
      <c r="G51" s="54">
        <f t="shared" si="2"/>
        <v>0</v>
      </c>
      <c r="H51" s="65">
        <v>0.01</v>
      </c>
      <c r="I51" s="65">
        <v>0.05</v>
      </c>
      <c r="J51" s="58">
        <f t="shared" si="3"/>
        <v>0</v>
      </c>
      <c r="K51" s="58"/>
    </row>
    <row r="52" spans="2:11" ht="16.2">
      <c r="B52" s="40"/>
      <c r="C52" s="40"/>
      <c r="D52" s="55"/>
      <c r="G52" s="56"/>
      <c r="H52" s="66"/>
      <c r="I52" s="66"/>
      <c r="J52" s="67"/>
    </row>
    <row r="53" spans="2:11" ht="16.8">
      <c r="B53" s="40" t="s">
        <v>417</v>
      </c>
      <c r="C53" s="40"/>
      <c r="D53" s="55"/>
      <c r="G53" s="56"/>
      <c r="H53" s="66"/>
      <c r="I53" s="66"/>
      <c r="J53" s="67"/>
    </row>
    <row r="54" spans="2:11" ht="16.8">
      <c r="B54" s="40" t="s">
        <v>418</v>
      </c>
      <c r="C54" s="40"/>
      <c r="D54" s="55"/>
      <c r="G54" s="56"/>
      <c r="H54" s="66"/>
      <c r="I54" s="66"/>
      <c r="J54" s="67"/>
    </row>
    <row r="55" spans="2:11" ht="16.8">
      <c r="B55" s="40" t="s">
        <v>419</v>
      </c>
      <c r="C55" s="40"/>
      <c r="D55" s="55"/>
      <c r="G55" s="56"/>
      <c r="H55" s="66"/>
      <c r="I55" s="66"/>
      <c r="J55" s="67"/>
    </row>
    <row r="56" spans="2:11" ht="16.2">
      <c r="B56" s="40"/>
      <c r="C56" s="40"/>
      <c r="D56" s="55"/>
      <c r="G56" s="56"/>
      <c r="H56" s="66"/>
      <c r="I56" s="66"/>
      <c r="J56" s="67"/>
    </row>
    <row r="57" spans="2:11" ht="16.2">
      <c r="B57" s="34" t="s">
        <v>387</v>
      </c>
      <c r="C57" s="34"/>
      <c r="D57" s="34"/>
      <c r="E57" s="34"/>
      <c r="F57" s="34"/>
      <c r="G57" s="34"/>
      <c r="H57" s="34"/>
      <c r="I57" s="34"/>
      <c r="J57" s="34"/>
      <c r="K57" s="34"/>
    </row>
    <row r="58" spans="2:11" ht="14.4" thickBot="1">
      <c r="I58" s="64"/>
      <c r="J58" s="64"/>
      <c r="K58" s="64"/>
    </row>
    <row r="59" spans="2:11" ht="39.6" customHeight="1" thickBot="1">
      <c r="B59" s="46" t="s">
        <v>350</v>
      </c>
      <c r="C59" s="46" t="s">
        <v>351</v>
      </c>
      <c r="D59" s="53" t="s">
        <v>378</v>
      </c>
      <c r="E59" s="50" t="s">
        <v>379</v>
      </c>
      <c r="F59" s="50" t="s">
        <v>380</v>
      </c>
      <c r="G59" s="50" t="s">
        <v>381</v>
      </c>
      <c r="H59" s="51" t="s">
        <v>31</v>
      </c>
      <c r="I59" s="51" t="s">
        <v>32</v>
      </c>
      <c r="J59" s="50" t="s">
        <v>33</v>
      </c>
      <c r="K59" s="50" t="s">
        <v>20</v>
      </c>
    </row>
    <row r="60" spans="2:11" ht="16.8" thickBot="1">
      <c r="B60" s="31" t="s">
        <v>359</v>
      </c>
      <c r="C60" s="31" t="s">
        <v>390</v>
      </c>
      <c r="D60" s="43" t="s">
        <v>383</v>
      </c>
      <c r="E60" s="57">
        <f>SUMIFS(Extração_DataLake!AG:AG,Extração_DataLake!AC:AC,'Exposures to natural persons'!B60,Extração_DataLake!AD:AD,"Exposures to natural persons",Extração_DataLake!AE:AE,IFERROR(LEFT('Exposures to natural persons'!C60,FIND(" ",'Exposures to natural persons'!C60)-1),'Exposures to natural persons'!C60),Extração_DataLake!AF:AF,'Exposures to natural persons'!D60)</f>
        <v>3141</v>
      </c>
      <c r="F60" s="57">
        <f>SUMIFS(Extração_DataLake!AH:AH,Extração_DataLake!AC:AC,'Exposures to natural persons'!B60,Extração_DataLake!AD:AD,"Exposures to natural persons",Extração_DataLake!AE:AE,IFERROR(LEFT('Exposures to natural persons'!C60,FIND(" ",'Exposures to natural persons'!C60)-1),'Exposures to natural persons'!C60),Extração_DataLake!AF:AF,'Exposures to natural persons'!D60)</f>
        <v>902855</v>
      </c>
      <c r="G60" s="54">
        <f t="shared" ref="G60:G63" si="4">E60/F60</f>
        <v>3.4789639532372308E-3</v>
      </c>
      <c r="H60" s="65">
        <v>0.01</v>
      </c>
      <c r="I60" s="65">
        <v>0.05</v>
      </c>
      <c r="J60" s="58">
        <f t="shared" ref="J60:J63" si="5">IF(G60&gt;=I60,2,IF(G60&gt;=H60,1,0))</f>
        <v>0</v>
      </c>
      <c r="K60" s="58"/>
    </row>
    <row r="61" spans="2:11" ht="17.399999999999999" thickBot="1">
      <c r="B61" s="31" t="s">
        <v>359</v>
      </c>
      <c r="C61" s="31" t="s">
        <v>420</v>
      </c>
      <c r="D61" s="43" t="s">
        <v>384</v>
      </c>
      <c r="E61" s="57">
        <f>SUMIFS(Extração_DataLake!AG:AG,Extração_DataLake!AC:AC,'Exposures to natural persons'!B61,Extração_DataLake!AD:AD,"Exposures to natural persons",Extração_DataLake!AE:AE,IFERROR(LEFT('Exposures to natural persons'!C61,FIND(" ",'Exposures to natural persons'!C61)-1),'Exposures to natural persons'!C61),Extração_DataLake!AF:AF,'Exposures to natural persons'!D61)</f>
        <v>4633</v>
      </c>
      <c r="F61" s="57">
        <f>SUMIFS(Extração_DataLake!AH:AH,Extração_DataLake!AC:AC,'Exposures to natural persons'!B61,Extração_DataLake!AD:AD,"Exposures to natural persons",Extração_DataLake!AE:AE,IFERROR(LEFT('Exposures to natural persons'!C61,FIND(" ",'Exposures to natural persons'!C61)-1),'Exposures to natural persons'!C61),Extração_DataLake!AF:AF,'Exposures to natural persons'!D61)</f>
        <v>902855</v>
      </c>
      <c r="G61" s="54">
        <f t="shared" si="4"/>
        <v>5.1314995209640526E-3</v>
      </c>
      <c r="H61" s="65">
        <v>0.01</v>
      </c>
      <c r="I61" s="65">
        <v>0.05</v>
      </c>
      <c r="J61" s="58">
        <f t="shared" si="5"/>
        <v>0</v>
      </c>
      <c r="K61" s="58"/>
    </row>
    <row r="62" spans="2:11" ht="16.8" thickBot="1">
      <c r="B62" s="31" t="s">
        <v>359</v>
      </c>
      <c r="C62" s="31" t="s">
        <v>392</v>
      </c>
      <c r="D62" s="43" t="s">
        <v>383</v>
      </c>
      <c r="E62" s="57">
        <f>SUMIFS(Extração_DataLake!AG:AG,Extração_DataLake!AC:AC,'Exposures to natural persons'!B62,Extração_DataLake!AD:AD,"Exposures to natural persons",Extração_DataLake!AE:AE,IFERROR(LEFT('Exposures to natural persons'!C62,FIND(" ",'Exposures to natural persons'!C62)-1),'Exposures to natural persons'!C62),Extração_DataLake!AF:AF,'Exposures to natural persons'!D62)</f>
        <v>0</v>
      </c>
      <c r="F62" s="57">
        <f>SUMIFS(Extração_DataLake!AH:AH,Extração_DataLake!AC:AC,'Exposures to natural persons'!B62,Extração_DataLake!AD:AD,"Exposures to natural persons",Extração_DataLake!AE:AE,IFERROR(LEFT('Exposures to natural persons'!C62,FIND(" ",'Exposures to natural persons'!C62)-1),'Exposures to natural persons'!C62),Extração_DataLake!AF:AF,'Exposures to natural persons'!D62)</f>
        <v>902855</v>
      </c>
      <c r="G62" s="54">
        <f t="shared" si="4"/>
        <v>0</v>
      </c>
      <c r="H62" s="65">
        <v>0.01</v>
      </c>
      <c r="I62" s="65">
        <v>0.05</v>
      </c>
      <c r="J62" s="58">
        <f t="shared" si="5"/>
        <v>0</v>
      </c>
      <c r="K62" s="58"/>
    </row>
    <row r="63" spans="2:11" ht="16.8" thickBot="1">
      <c r="B63" s="31" t="s">
        <v>359</v>
      </c>
      <c r="C63" s="31" t="s">
        <v>392</v>
      </c>
      <c r="D63" s="43" t="s">
        <v>384</v>
      </c>
      <c r="E63" s="57">
        <f>SUMIFS(Extração_DataLake!AG:AG,Extração_DataLake!AC:AC,'Exposures to natural persons'!B63,Extração_DataLake!AD:AD,"Exposures to natural persons",Extração_DataLake!AE:AE,IFERROR(LEFT('Exposures to natural persons'!C63,FIND(" ",'Exposures to natural persons'!C63)-1),'Exposures to natural persons'!C63),Extração_DataLake!AF:AF,'Exposures to natural persons'!D63)</f>
        <v>0</v>
      </c>
      <c r="F63" s="57">
        <f>SUMIFS(Extração_DataLake!AH:AH,Extração_DataLake!AC:AC,'Exposures to natural persons'!B63,Extração_DataLake!AD:AD,"Exposures to natural persons",Extração_DataLake!AE:AE,IFERROR(LEFT('Exposures to natural persons'!C63,FIND(" ",'Exposures to natural persons'!C63)-1),'Exposures to natural persons'!C63),Extração_DataLake!AF:AF,'Exposures to natural persons'!D63)</f>
        <v>902855</v>
      </c>
      <c r="G63" s="54">
        <f t="shared" si="4"/>
        <v>0</v>
      </c>
      <c r="H63" s="65">
        <v>0.01</v>
      </c>
      <c r="I63" s="65">
        <v>0.05</v>
      </c>
      <c r="J63" s="58">
        <f t="shared" si="5"/>
        <v>0</v>
      </c>
      <c r="K63" s="58"/>
    </row>
    <row r="65" spans="2:11" ht="16.8">
      <c r="B65" s="40" t="s">
        <v>421</v>
      </c>
    </row>
    <row r="67" spans="2:11" ht="16.2">
      <c r="B67" s="34" t="s">
        <v>395</v>
      </c>
      <c r="C67" s="34"/>
      <c r="D67" s="34"/>
      <c r="E67" s="34"/>
      <c r="F67" s="34"/>
      <c r="G67" s="34"/>
      <c r="H67" s="34"/>
      <c r="I67" s="34"/>
      <c r="J67" s="34"/>
      <c r="K67" s="34"/>
    </row>
    <row r="68" spans="2:11" ht="14.4" thickBot="1">
      <c r="I68" s="64"/>
      <c r="J68" s="64"/>
      <c r="K68" s="64"/>
    </row>
    <row r="69" spans="2:11" ht="39.6" customHeight="1" thickBot="1">
      <c r="B69" s="46" t="s">
        <v>350</v>
      </c>
      <c r="C69" s="46" t="s">
        <v>351</v>
      </c>
      <c r="D69" s="53" t="s">
        <v>378</v>
      </c>
      <c r="E69" s="50" t="s">
        <v>379</v>
      </c>
      <c r="F69" s="50" t="s">
        <v>380</v>
      </c>
      <c r="G69" s="50" t="s">
        <v>381</v>
      </c>
      <c r="H69" s="51" t="s">
        <v>31</v>
      </c>
      <c r="I69" s="51" t="s">
        <v>32</v>
      </c>
      <c r="J69" s="50" t="s">
        <v>33</v>
      </c>
      <c r="K69" s="50" t="s">
        <v>20</v>
      </c>
    </row>
    <row r="70" spans="2:11" ht="16.8" thickBot="1">
      <c r="B70" s="31" t="s">
        <v>361</v>
      </c>
      <c r="C70" s="31" t="s">
        <v>396</v>
      </c>
      <c r="D70" s="43" t="s">
        <v>383</v>
      </c>
      <c r="E70" s="57">
        <f>SUMIFS(Extração_DataLake!AN:AN,Extração_DataLake!AJ:AJ,'Exposures to natural persons'!B70,Extração_DataLake!AK:AK,"Exposures to natural persons",Extração_DataLake!AL:AL,IFERROR(LEFT('Exposures to natural persons'!C70,FIND(" ",'Exposures to natural persons'!C70)-1),'Exposures to natural persons'!C70),Extração_DataLake!AM:AM,'Exposures to natural persons'!D70)</f>
        <v>65</v>
      </c>
      <c r="F70" s="57">
        <f>SUMIFS(Extração_DataLake!AO:AO,Extração_DataLake!AJ:AJ,'Exposures to natural persons'!B70,Extração_DataLake!AK:AK,"Exposures to natural persons",Extração_DataLake!AL:AL,IFERROR(LEFT('Exposures to natural persons'!C70,FIND(" ",'Exposures to natural persons'!C70)-1),'Exposures to natural persons'!C70),Extração_DataLake!AM:AM,'Exposures to natural persons'!D70)</f>
        <v>370329</v>
      </c>
      <c r="G70" s="54">
        <f>E70/F70</f>
        <v>1.7551960553993881E-4</v>
      </c>
      <c r="H70" s="65">
        <v>0.01</v>
      </c>
      <c r="I70" s="65">
        <v>0.05</v>
      </c>
      <c r="J70" s="58">
        <f>IF(G70&gt;=I70,2,IF(G70&gt;=H70,1,0))</f>
        <v>0</v>
      </c>
      <c r="K70" s="58"/>
    </row>
    <row r="71" spans="2:11" ht="16.2" customHeight="1" thickBot="1">
      <c r="B71" s="31" t="s">
        <v>361</v>
      </c>
      <c r="C71" s="31" t="s">
        <v>396</v>
      </c>
      <c r="D71" s="43" t="s">
        <v>384</v>
      </c>
      <c r="E71" s="57">
        <f>SUMIFS(Extração_DataLake!AN:AN,Extração_DataLake!AJ:AJ,'Exposures to natural persons'!B71,Extração_DataLake!AK:AK,"Exposures to natural persons",Extração_DataLake!AL:AL,IFERROR(LEFT('Exposures to natural persons'!C71,FIND(" ",'Exposures to natural persons'!C71)-1),'Exposures to natural persons'!C71),Extração_DataLake!AM:AM,'Exposures to natural persons'!D71)</f>
        <v>0</v>
      </c>
      <c r="F71" s="57">
        <f>SUMIFS(Extração_DataLake!AO:AO,Extração_DataLake!AJ:AJ,'Exposures to natural persons'!B71,Extração_DataLake!AK:AK,"Exposures to natural persons",Extração_DataLake!AL:AL,IFERROR(LEFT('Exposures to natural persons'!C71,FIND(" ",'Exposures to natural persons'!C71)-1),'Exposures to natural persons'!C71),Extração_DataLake!AM:AM,'Exposures to natural persons'!D71)</f>
        <v>370329</v>
      </c>
      <c r="G71" s="54">
        <f t="shared" ref="G71:G81" si="6">E71/F71</f>
        <v>0</v>
      </c>
      <c r="H71" s="65">
        <v>0.01</v>
      </c>
      <c r="I71" s="65">
        <v>0.05</v>
      </c>
      <c r="J71" s="58">
        <f t="shared" ref="J71:J81" si="7">IF(G71&gt;=I71,2,IF(G71&gt;=H71,1,0))</f>
        <v>0</v>
      </c>
      <c r="K71" s="58"/>
    </row>
    <row r="72" spans="2:11" ht="16.2" customHeight="1" thickBot="1">
      <c r="B72" s="31" t="s">
        <v>361</v>
      </c>
      <c r="C72" s="31" t="s">
        <v>397</v>
      </c>
      <c r="D72" s="43" t="s">
        <v>383</v>
      </c>
      <c r="E72" s="57">
        <f>SUMIFS(Extração_DataLake!AN:AN,Extração_DataLake!AJ:AJ,'Exposures to natural persons'!B72,Extração_DataLake!AK:AK,"Exposures to natural persons",Extração_DataLake!AL:AL,IFERROR(LEFT('Exposures to natural persons'!C72,FIND(" ",'Exposures to natural persons'!C72)-1),'Exposures to natural persons'!C72),Extração_DataLake!AM:AM,'Exposures to natural persons'!D72)</f>
        <v>1</v>
      </c>
      <c r="F72" s="57">
        <f>SUMIFS(Extração_DataLake!AO:AO,Extração_DataLake!AJ:AJ,'Exposures to natural persons'!B72,Extração_DataLake!AK:AK,"Exposures to natural persons",Extração_DataLake!AL:AL,IFERROR(LEFT('Exposures to natural persons'!C72,FIND(" ",'Exposures to natural persons'!C72)-1),'Exposures to natural persons'!C72),Extração_DataLake!AM:AM,'Exposures to natural persons'!D72)</f>
        <v>370329</v>
      </c>
      <c r="G72" s="54">
        <f t="shared" si="6"/>
        <v>2.7003016236913664E-6</v>
      </c>
      <c r="H72" s="65">
        <v>0.01</v>
      </c>
      <c r="I72" s="65">
        <v>0.05</v>
      </c>
      <c r="J72" s="58">
        <f t="shared" si="7"/>
        <v>0</v>
      </c>
      <c r="K72" s="58"/>
    </row>
    <row r="73" spans="2:11" ht="16.2" customHeight="1" thickBot="1">
      <c r="B73" s="31" t="s">
        <v>361</v>
      </c>
      <c r="C73" s="31" t="s">
        <v>397</v>
      </c>
      <c r="D73" s="43" t="s">
        <v>384</v>
      </c>
      <c r="E73" s="57">
        <f>SUMIFS(Extração_DataLake!AN:AN,Extração_DataLake!AJ:AJ,'Exposures to natural persons'!B73,Extração_DataLake!AK:AK,"Exposures to natural persons",Extração_DataLake!AL:AL,IFERROR(LEFT('Exposures to natural persons'!C73,FIND(" ",'Exposures to natural persons'!C73)-1),'Exposures to natural persons'!C73),Extração_DataLake!AM:AM,'Exposures to natural persons'!D73)</f>
        <v>0</v>
      </c>
      <c r="F73" s="57">
        <f>SUMIFS(Extração_DataLake!AO:AO,Extração_DataLake!AJ:AJ,'Exposures to natural persons'!B73,Extração_DataLake!AK:AK,"Exposures to natural persons",Extração_DataLake!AL:AL,IFERROR(LEFT('Exposures to natural persons'!C73,FIND(" ",'Exposures to natural persons'!C73)-1),'Exposures to natural persons'!C73),Extração_DataLake!AM:AM,'Exposures to natural persons'!D73)</f>
        <v>370329</v>
      </c>
      <c r="G73" s="54">
        <f t="shared" si="6"/>
        <v>0</v>
      </c>
      <c r="H73" s="65">
        <v>0.01</v>
      </c>
      <c r="I73" s="65">
        <v>0.05</v>
      </c>
      <c r="J73" s="58">
        <f t="shared" si="7"/>
        <v>0</v>
      </c>
      <c r="K73" s="58"/>
    </row>
    <row r="74" spans="2:11" ht="16.8" thickBot="1">
      <c r="B74" s="31" t="s">
        <v>361</v>
      </c>
      <c r="C74" s="31" t="s">
        <v>397</v>
      </c>
      <c r="D74" s="43" t="s">
        <v>385</v>
      </c>
      <c r="E74" s="57">
        <f>SUMIFS(Extração_DataLake!AN:AN,Extração_DataLake!AJ:AJ,'Exposures to natural persons'!B74,Extração_DataLake!AK:AK,"Exposures to natural persons",Extração_DataLake!AL:AL,IFERROR(LEFT('Exposures to natural persons'!C74,FIND(" ",'Exposures to natural persons'!C74)-1),'Exposures to natural persons'!C74),Extração_DataLake!AM:AM,'Exposures to natural persons'!D74)</f>
        <v>0</v>
      </c>
      <c r="F74" s="57">
        <f>SUMIFS(Extração_DataLake!AO:AO,Extração_DataLake!AJ:AJ,'Exposures to natural persons'!B74,Extração_DataLake!AK:AK,"Exposures to natural persons",Extração_DataLake!AL:AL,IFERROR(LEFT('Exposures to natural persons'!C74,FIND(" ",'Exposures to natural persons'!C74)-1),'Exposures to natural persons'!C74),Extração_DataLake!AM:AM,'Exposures to natural persons'!D74)</f>
        <v>370329</v>
      </c>
      <c r="G74" s="54">
        <f t="shared" si="6"/>
        <v>0</v>
      </c>
      <c r="H74" s="65">
        <v>0.01</v>
      </c>
      <c r="I74" s="65">
        <v>0.05</v>
      </c>
      <c r="J74" s="58">
        <f t="shared" si="7"/>
        <v>0</v>
      </c>
      <c r="K74" s="58"/>
    </row>
    <row r="75" spans="2:11" ht="16.8" thickBot="1">
      <c r="B75" s="31" t="s">
        <v>361</v>
      </c>
      <c r="C75" s="31" t="s">
        <v>398</v>
      </c>
      <c r="D75" s="43" t="s">
        <v>383</v>
      </c>
      <c r="E75" s="57">
        <f>SUMIFS(Extração_DataLake!AN:AN,Extração_DataLake!AJ:AJ,'Exposures to natural persons'!B75,Extração_DataLake!AK:AK,"Exposures to natural persons",Extração_DataLake!AL:AL,IFERROR(LEFT('Exposures to natural persons'!C75,FIND(" ",'Exposures to natural persons'!C75)-1),'Exposures to natural persons'!C75),Extração_DataLake!AM:AM,'Exposures to natural persons'!D75)</f>
        <v>0</v>
      </c>
      <c r="F75" s="57">
        <f>SUMIFS(Extração_DataLake!AO:AO,Extração_DataLake!AJ:AJ,'Exposures to natural persons'!B75,Extração_DataLake!AK:AK,"Exposures to natural persons",Extração_DataLake!AL:AL,IFERROR(LEFT('Exposures to natural persons'!C75,FIND(" ",'Exposures to natural persons'!C75)-1),'Exposures to natural persons'!C75),Extração_DataLake!AM:AM,'Exposures to natural persons'!D75)</f>
        <v>370329</v>
      </c>
      <c r="G75" s="54">
        <f t="shared" si="6"/>
        <v>0</v>
      </c>
      <c r="H75" s="65">
        <v>0.01</v>
      </c>
      <c r="I75" s="65">
        <v>0.05</v>
      </c>
      <c r="J75" s="58">
        <f t="shared" si="7"/>
        <v>0</v>
      </c>
      <c r="K75" s="58"/>
    </row>
    <row r="76" spans="2:11" ht="17.399999999999999" thickBot="1">
      <c r="B76" s="31" t="s">
        <v>361</v>
      </c>
      <c r="C76" s="31" t="s">
        <v>399</v>
      </c>
      <c r="D76" s="43" t="s">
        <v>384</v>
      </c>
      <c r="E76" s="57">
        <f>SUMIFS(Extração_DataLake!AN:AN,Extração_DataLake!AJ:AJ,'Exposures to natural persons'!B76,Extração_DataLake!AK:AK,"Exposures to natural persons",Extração_DataLake!AL:AL,IFERROR(LEFT('Exposures to natural persons'!C76,FIND(" ",'Exposures to natural persons'!C76)-1),'Exposures to natural persons'!C76),Extração_DataLake!AM:AM,'Exposures to natural persons'!D76)</f>
        <v>0</v>
      </c>
      <c r="F76" s="57">
        <f>SUMIFS(Extração_DataLake!AO:AO,Extração_DataLake!AJ:AJ,'Exposures to natural persons'!B76,Extração_DataLake!AK:AK,"Exposures to natural persons",Extração_DataLake!AL:AL,IFERROR(LEFT('Exposures to natural persons'!C76,FIND(" ",'Exposures to natural persons'!C76)-1),'Exposures to natural persons'!C76),Extração_DataLake!AM:AM,'Exposures to natural persons'!D76)</f>
        <v>370329</v>
      </c>
      <c r="G76" s="54">
        <f t="shared" si="6"/>
        <v>0</v>
      </c>
      <c r="H76" s="65">
        <v>0.01</v>
      </c>
      <c r="I76" s="65">
        <v>0.05</v>
      </c>
      <c r="J76" s="58">
        <f t="shared" si="7"/>
        <v>0</v>
      </c>
      <c r="K76" s="58"/>
    </row>
    <row r="77" spans="2:11" ht="16.8" thickBot="1">
      <c r="B77" s="31" t="s">
        <v>361</v>
      </c>
      <c r="C77" s="31" t="s">
        <v>400</v>
      </c>
      <c r="D77" s="43" t="s">
        <v>383</v>
      </c>
      <c r="E77" s="57">
        <f>SUMIFS(Extração_DataLake!AN:AN,Extração_DataLake!AJ:AJ,'Exposures to natural persons'!B77,Extração_DataLake!AK:AK,"Exposures to natural persons",Extração_DataLake!AL:AL,IFERROR(LEFT('Exposures to natural persons'!C77,FIND(" ",'Exposures to natural persons'!C77)-1),'Exposures to natural persons'!C77),Extração_DataLake!AM:AM,'Exposures to natural persons'!D77)</f>
        <v>0</v>
      </c>
      <c r="F77" s="57">
        <f>SUMIFS(Extração_DataLake!AO:AO,Extração_DataLake!AJ:AJ,'Exposures to natural persons'!B77,Extração_DataLake!AK:AK,"Exposures to natural persons",Extração_DataLake!AL:AL,IFERROR(LEFT('Exposures to natural persons'!C77,FIND(" ",'Exposures to natural persons'!C77)-1),'Exposures to natural persons'!C77),Extração_DataLake!AM:AM,'Exposures to natural persons'!D77)</f>
        <v>370329</v>
      </c>
      <c r="G77" s="54">
        <f t="shared" si="6"/>
        <v>0</v>
      </c>
      <c r="H77" s="65">
        <v>0.01</v>
      </c>
      <c r="I77" s="65">
        <v>0.05</v>
      </c>
      <c r="J77" s="58">
        <f t="shared" si="7"/>
        <v>0</v>
      </c>
      <c r="K77" s="58"/>
    </row>
    <row r="78" spans="2:11" ht="17.399999999999999" thickBot="1">
      <c r="B78" s="31" t="s">
        <v>361</v>
      </c>
      <c r="C78" s="31" t="s">
        <v>401</v>
      </c>
      <c r="D78" s="43" t="s">
        <v>384</v>
      </c>
      <c r="E78" s="57">
        <f>SUMIFS(Extração_DataLake!AN:AN,Extração_DataLake!AJ:AJ,'Exposures to natural persons'!B78,Extração_DataLake!AK:AK,"Exposures to natural persons",Extração_DataLake!AL:AL,IFERROR(LEFT('Exposures to natural persons'!C78,FIND(" ",'Exposures to natural persons'!C78)-1),'Exposures to natural persons'!C78),Extração_DataLake!AM:AM,'Exposures to natural persons'!D78)</f>
        <v>0</v>
      </c>
      <c r="F78" s="57">
        <f>SUMIFS(Extração_DataLake!AO:AO,Extração_DataLake!AJ:AJ,'Exposures to natural persons'!B78,Extração_DataLake!AK:AK,"Exposures to natural persons",Extração_DataLake!AL:AL,IFERROR(LEFT('Exposures to natural persons'!C78,FIND(" ",'Exposures to natural persons'!C78)-1),'Exposures to natural persons'!C78),Extração_DataLake!AM:AM,'Exposures to natural persons'!D78)</f>
        <v>370329</v>
      </c>
      <c r="G78" s="54">
        <f t="shared" si="6"/>
        <v>0</v>
      </c>
      <c r="H78" s="65">
        <v>0.01</v>
      </c>
      <c r="I78" s="65">
        <v>0.05</v>
      </c>
      <c r="J78" s="58">
        <f t="shared" si="7"/>
        <v>0</v>
      </c>
      <c r="K78" s="58"/>
    </row>
    <row r="79" spans="2:11" ht="16.8" thickBot="1">
      <c r="B79" s="31" t="s">
        <v>361</v>
      </c>
      <c r="C79" s="31" t="s">
        <v>402</v>
      </c>
      <c r="D79" s="43" t="s">
        <v>383</v>
      </c>
      <c r="E79" s="57">
        <f>SUMIFS(Extração_DataLake!AN:AN,Extração_DataLake!AJ:AJ,'Exposures to natural persons'!B79,Extração_DataLake!AK:AK,"Exposures to natural persons",Extração_DataLake!AL:AL,IFERROR(LEFT('Exposures to natural persons'!C79,FIND(" ",'Exposures to natural persons'!C79)-1),'Exposures to natural persons'!C79),Extração_DataLake!AM:AM,'Exposures to natural persons'!D79)</f>
        <v>0</v>
      </c>
      <c r="F79" s="57">
        <f>SUMIFS(Extração_DataLake!AO:AO,Extração_DataLake!AJ:AJ,'Exposures to natural persons'!B79,Extração_DataLake!AK:AK,"Exposures to natural persons",Extração_DataLake!AL:AL,IFERROR(LEFT('Exposures to natural persons'!C79,FIND(" ",'Exposures to natural persons'!C79)-1),'Exposures to natural persons'!C79),Extração_DataLake!AM:AM,'Exposures to natural persons'!D79)</f>
        <v>370329</v>
      </c>
      <c r="G79" s="54">
        <f t="shared" si="6"/>
        <v>0</v>
      </c>
      <c r="H79" s="65">
        <v>0.01</v>
      </c>
      <c r="I79" s="65">
        <v>0.05</v>
      </c>
      <c r="J79" s="58">
        <f t="shared" si="7"/>
        <v>0</v>
      </c>
      <c r="K79" s="58"/>
    </row>
    <row r="80" spans="2:11" ht="16.8" thickBot="1">
      <c r="B80" s="31" t="s">
        <v>361</v>
      </c>
      <c r="C80" s="31" t="s">
        <v>402</v>
      </c>
      <c r="D80" s="43" t="s">
        <v>384</v>
      </c>
      <c r="E80" s="57">
        <f>SUMIFS(Extração_DataLake!AN:AN,Extração_DataLake!AJ:AJ,'Exposures to natural persons'!B80,Extração_DataLake!AK:AK,"Exposures to natural persons",Extração_DataLake!AL:AL,IFERROR(LEFT('Exposures to natural persons'!C80,FIND(" ",'Exposures to natural persons'!C80)-1),'Exposures to natural persons'!C80),Extração_DataLake!AM:AM,'Exposures to natural persons'!D80)</f>
        <v>0</v>
      </c>
      <c r="F80" s="57">
        <f>SUMIFS(Extração_DataLake!AO:AO,Extração_DataLake!AJ:AJ,'Exposures to natural persons'!B80,Extração_DataLake!AK:AK,"Exposures to natural persons",Extração_DataLake!AL:AL,IFERROR(LEFT('Exposures to natural persons'!C80,FIND(" ",'Exposures to natural persons'!C80)-1),'Exposures to natural persons'!C80),Extração_DataLake!AM:AM,'Exposures to natural persons'!D80)</f>
        <v>370329</v>
      </c>
      <c r="G80" s="54">
        <f t="shared" si="6"/>
        <v>0</v>
      </c>
      <c r="H80" s="65">
        <v>0.01</v>
      </c>
      <c r="I80" s="65">
        <v>0.05</v>
      </c>
      <c r="J80" s="58">
        <f t="shared" si="7"/>
        <v>0</v>
      </c>
      <c r="K80" s="58"/>
    </row>
    <row r="81" spans="2:11" ht="16.8" thickBot="1">
      <c r="B81" s="31" t="s">
        <v>361</v>
      </c>
      <c r="C81" s="31" t="s">
        <v>402</v>
      </c>
      <c r="D81" s="43" t="s">
        <v>385</v>
      </c>
      <c r="E81" s="57">
        <f>SUMIFS(Extração_DataLake!AN:AN,Extração_DataLake!AJ:AJ,'Exposures to natural persons'!B81,Extração_DataLake!AK:AK,"Exposures to natural persons",Extração_DataLake!AL:AL,IFERROR(LEFT('Exposures to natural persons'!C81,FIND(" ",'Exposures to natural persons'!C81)-1),'Exposures to natural persons'!C81),Extração_DataLake!AM:AM,'Exposures to natural persons'!D81)</f>
        <v>0</v>
      </c>
      <c r="F81" s="57">
        <f>SUMIFS(Extração_DataLake!AO:AO,Extração_DataLake!AJ:AJ,'Exposures to natural persons'!B81,Extração_DataLake!AK:AK,"Exposures to natural persons",Extração_DataLake!AL:AL,IFERROR(LEFT('Exposures to natural persons'!C81,FIND(" ",'Exposures to natural persons'!C81)-1),'Exposures to natural persons'!C81),Extração_DataLake!AM:AM,'Exposures to natural persons'!D81)</f>
        <v>370329</v>
      </c>
      <c r="G81" s="54">
        <f t="shared" si="6"/>
        <v>0</v>
      </c>
      <c r="H81" s="65">
        <v>0.01</v>
      </c>
      <c r="I81" s="65">
        <v>0.05</v>
      </c>
      <c r="J81" s="58">
        <f t="shared" si="7"/>
        <v>0</v>
      </c>
      <c r="K81" s="58"/>
    </row>
    <row r="83" spans="2:11" ht="16.8">
      <c r="B83" s="40" t="s">
        <v>403</v>
      </c>
    </row>
    <row r="100" ht="16.2" customHeight="1"/>
    <row r="101" ht="16.2" customHeight="1"/>
    <row r="102" ht="16.2" customHeight="1"/>
  </sheetData>
  <conditionalFormatting sqref="G9:G13">
    <cfRule type="iconSet" priority="5">
      <iconSet showValue="0" reverse="1">
        <cfvo type="percent" val="0"/>
        <cfvo type="num" val="1"/>
        <cfvo type="num" val="1"/>
      </iconSet>
    </cfRule>
  </conditionalFormatting>
  <conditionalFormatting sqref="G18:G24">
    <cfRule type="iconSet" priority="6">
      <iconSet showValue="0" reverse="1">
        <cfvo type="percent" val="0"/>
        <cfvo type="num" val="1"/>
        <cfvo type="num" val="1"/>
      </iconSet>
    </cfRule>
  </conditionalFormatting>
  <conditionalFormatting sqref="J70:J81">
    <cfRule type="iconSet" priority="3">
      <iconSet showValue="0" reverse="1">
        <cfvo type="percent" val="0"/>
        <cfvo type="num" val="1"/>
        <cfvo type="num" val="2"/>
      </iconSet>
    </cfRule>
  </conditionalFormatting>
  <conditionalFormatting sqref="J52:J56">
    <cfRule type="iconSet" priority="40">
      <iconSet showValue="0" reverse="1">
        <cfvo type="percent" val="0"/>
        <cfvo type="num" val="1"/>
        <cfvo type="num" val="2"/>
      </iconSet>
    </cfRule>
  </conditionalFormatting>
  <conditionalFormatting sqref="J60:J63">
    <cfRule type="iconSet" priority="48">
      <iconSet showValue="0" reverse="1">
        <cfvo type="percent" val="0"/>
        <cfvo type="num" val="1"/>
        <cfvo type="num" val="2"/>
      </iconSet>
    </cfRule>
  </conditionalFormatting>
  <conditionalFormatting sqref="J30:J49 J51">
    <cfRule type="iconSet" priority="66">
      <iconSet showValue="0" reverse="1">
        <cfvo type="percent" val="0"/>
        <cfvo type="num" val="1"/>
        <cfvo type="num" val="2"/>
      </iconSet>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F2377-993D-40D7-B2BE-54B43A6A6946}">
  <sheetPr codeName="Sheet18">
    <tabColor theme="9" tint="0.39997558519241921"/>
  </sheetPr>
  <dimension ref="A1:AI103"/>
  <sheetViews>
    <sheetView showGridLines="0" zoomScale="90" zoomScaleNormal="90" workbookViewId="0"/>
  </sheetViews>
  <sheetFormatPr defaultColWidth="0" defaultRowHeight="13.8"/>
  <cols>
    <col min="1" max="1" width="3.296875" style="61" customWidth="1"/>
    <col min="2" max="3" width="27.69921875" style="61" customWidth="1"/>
    <col min="4" max="4" width="38.59765625" style="61" bestFit="1" customWidth="1"/>
    <col min="5" max="10" width="22.296875" style="61" customWidth="1"/>
    <col min="11" max="11" width="66.69921875" style="61" customWidth="1"/>
    <col min="12" max="12" width="3.296875" style="61" customWidth="1"/>
    <col min="13" max="16" width="21.69921875" hidden="1" customWidth="1"/>
    <col min="17" max="17" width="5.59765625" hidden="1" customWidth="1"/>
    <col min="18" max="18" width="44.3984375" hidden="1" customWidth="1"/>
    <col min="19" max="19" width="5.59765625" hidden="1" customWidth="1"/>
    <col min="20" max="29" width="21.69921875" hidden="1" customWidth="1"/>
    <col min="30" max="30" width="3.296875" hidden="1" customWidth="1"/>
    <col min="31" max="31" width="18.296875" hidden="1" customWidth="1"/>
    <col min="32" max="32" width="13.296875" hidden="1" customWidth="1"/>
    <col min="33" max="35" width="15.59765625" hidden="1" customWidth="1"/>
    <col min="36" max="16384" width="9"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4.4"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COUNTIFS(Extração_DataLake!I:I,'Off-balance sheet exposures'!B9,Extração_DataLake!J:J,"Off-balance sheet exposures")</f>
        <v>0</v>
      </c>
      <c r="F9" s="58" t="s">
        <v>358</v>
      </c>
      <c r="G9" s="58">
        <f>IF(E9&gt;0,1,0)</f>
        <v>0</v>
      </c>
      <c r="H9" s="58"/>
    </row>
    <row r="10" spans="1:12" ht="16.8" thickBot="1">
      <c r="B10" s="31" t="s">
        <v>359</v>
      </c>
      <c r="C10" s="31" t="s">
        <v>360</v>
      </c>
      <c r="D10" s="43" t="s">
        <v>357</v>
      </c>
      <c r="E10" s="57">
        <f>COUNTIFS(Extração_DataLake!I:I,'Off-balance sheet exposures'!B10,Extração_DataLake!J:J,"Off-balance sheet exposures")</f>
        <v>0</v>
      </c>
      <c r="F10" s="58" t="s">
        <v>358</v>
      </c>
      <c r="G10" s="58">
        <f t="shared" ref="G10:G13" si="0">IF(E10&gt;0,1,0)</f>
        <v>0</v>
      </c>
      <c r="H10" s="58"/>
    </row>
    <row r="11" spans="1:12" ht="16.8" thickBot="1">
      <c r="B11" s="31" t="s">
        <v>361</v>
      </c>
      <c r="C11" s="31" t="s">
        <v>362</v>
      </c>
      <c r="D11" s="43" t="s">
        <v>357</v>
      </c>
      <c r="E11" s="57">
        <f>COUNTIFS(Extração_DataLake!I:I,'Off-balance sheet exposures'!B11,Extração_DataLake!J:J,"Off-balance sheet exposures")</f>
        <v>0</v>
      </c>
      <c r="F11" s="58" t="s">
        <v>358</v>
      </c>
      <c r="G11" s="58">
        <f t="shared" si="0"/>
        <v>0</v>
      </c>
      <c r="H11" s="58"/>
    </row>
    <row r="12" spans="1:12" ht="16.8" thickBot="1">
      <c r="B12" s="31" t="s">
        <v>363</v>
      </c>
      <c r="C12" s="31" t="s">
        <v>364</v>
      </c>
      <c r="D12" s="43" t="s">
        <v>357</v>
      </c>
      <c r="E12" s="57">
        <f>COUNTIFS(Extração_DataLake!I:I,'Off-balance sheet exposures'!B12,Extração_DataLake!J:J,"Off-balance sheet exposures")</f>
        <v>0</v>
      </c>
      <c r="F12" s="58" t="s">
        <v>358</v>
      </c>
      <c r="G12" s="58">
        <f t="shared" si="0"/>
        <v>0</v>
      </c>
      <c r="H12" s="58"/>
    </row>
    <row r="13" spans="1:12" ht="16.8" thickBot="1">
      <c r="B13" s="31" t="s">
        <v>365</v>
      </c>
      <c r="C13" s="31" t="s">
        <v>366</v>
      </c>
      <c r="D13" s="43" t="s">
        <v>357</v>
      </c>
      <c r="E13" s="57">
        <f>COUNTIFS(Extração_DataLake!I:I,'Off-balance sheet exposures'!B13,Extração_DataLake!J:J,"Off-balance sheet exposures")</f>
        <v>0</v>
      </c>
      <c r="F13" s="58" t="s">
        <v>358</v>
      </c>
      <c r="G13" s="58">
        <f t="shared" si="0"/>
        <v>0</v>
      </c>
      <c r="H13" s="58"/>
    </row>
    <row r="14" spans="1:12">
      <c r="G14" s="64"/>
      <c r="H14" s="64"/>
    </row>
    <row r="15" spans="1:12" ht="16.2">
      <c r="B15" s="34" t="s">
        <v>367</v>
      </c>
      <c r="C15" s="34"/>
      <c r="D15" s="34"/>
      <c r="E15" s="34"/>
      <c r="F15" s="34"/>
      <c r="G15" s="34"/>
      <c r="H15" s="34"/>
    </row>
    <row r="16" spans="1:12" ht="14.4" thickBot="1">
      <c r="G16" s="64"/>
      <c r="H16" s="64"/>
    </row>
    <row r="17" spans="2:11" ht="39" customHeight="1" thickBot="1">
      <c r="B17" s="46" t="s">
        <v>368</v>
      </c>
      <c r="C17" s="46" t="s">
        <v>369</v>
      </c>
      <c r="D17" s="53" t="s">
        <v>352</v>
      </c>
      <c r="E17" s="50" t="s">
        <v>353</v>
      </c>
      <c r="F17" s="51" t="s">
        <v>354</v>
      </c>
      <c r="G17" s="50" t="s">
        <v>33</v>
      </c>
      <c r="H17" s="50" t="s">
        <v>20</v>
      </c>
    </row>
    <row r="18" spans="2:11" ht="16.8" thickBot="1">
      <c r="B18" s="31" t="s">
        <v>355</v>
      </c>
      <c r="C18" s="31" t="s">
        <v>363</v>
      </c>
      <c r="D18" s="43" t="s">
        <v>370</v>
      </c>
      <c r="E18" s="57">
        <f>COUNTIFS(Extração_DataLake!P:P,'Off-balance sheet exposures'!D18,Extração_DataLake!Q:Q,"Off-balance sheet exposures")</f>
        <v>0</v>
      </c>
      <c r="F18" s="58" t="s">
        <v>358</v>
      </c>
      <c r="G18" s="58">
        <f>IF(E18&gt;0,1,0)</f>
        <v>0</v>
      </c>
      <c r="H18" s="58"/>
    </row>
    <row r="19" spans="2:11" ht="16.8" thickBot="1">
      <c r="B19" s="31" t="s">
        <v>359</v>
      </c>
      <c r="C19" s="31" t="s">
        <v>363</v>
      </c>
      <c r="D19" s="43" t="s">
        <v>371</v>
      </c>
      <c r="E19" s="57">
        <f>COUNTIFS(Extração_DataLake!P:P,'Off-balance sheet exposures'!D19,Extração_DataLake!Q:Q,"Off-balance sheet exposures")</f>
        <v>0</v>
      </c>
      <c r="F19" s="58" t="s">
        <v>358</v>
      </c>
      <c r="G19" s="58">
        <f t="shared" ref="G19:G24" si="1">IF(E19&gt;0,1,0)</f>
        <v>0</v>
      </c>
      <c r="H19" s="58"/>
    </row>
    <row r="20" spans="2:11" ht="16.8" thickBot="1">
      <c r="B20" s="31" t="s">
        <v>361</v>
      </c>
      <c r="C20" s="31" t="s">
        <v>365</v>
      </c>
      <c r="D20" s="43" t="s">
        <v>372</v>
      </c>
      <c r="E20" s="57">
        <f>COUNTIFS(Extração_DataLake!P:P,'Off-balance sheet exposures'!D20,Extração_DataLake!Q:Q,"Off-balance sheet exposures")</f>
        <v>0</v>
      </c>
      <c r="F20" s="58" t="s">
        <v>358</v>
      </c>
      <c r="G20" s="58">
        <f t="shared" si="1"/>
        <v>0</v>
      </c>
      <c r="H20" s="58"/>
    </row>
    <row r="21" spans="2:11" ht="16.8" thickBot="1">
      <c r="B21" s="31" t="s">
        <v>363</v>
      </c>
      <c r="C21" s="31" t="s">
        <v>355</v>
      </c>
      <c r="D21" s="43" t="s">
        <v>373</v>
      </c>
      <c r="E21" s="57">
        <f>COUNTIFS(Extração_DataLake!P:P,'Off-balance sheet exposures'!D21,Extração_DataLake!Q:Q,"Off-balance sheet exposures")</f>
        <v>0</v>
      </c>
      <c r="F21" s="58" t="s">
        <v>358</v>
      </c>
      <c r="G21" s="58">
        <f t="shared" si="1"/>
        <v>0</v>
      </c>
      <c r="H21" s="58"/>
    </row>
    <row r="22" spans="2:11" ht="16.8" thickBot="1">
      <c r="B22" s="31" t="s">
        <v>363</v>
      </c>
      <c r="C22" s="31" t="s">
        <v>359</v>
      </c>
      <c r="D22" s="43" t="s">
        <v>374</v>
      </c>
      <c r="E22" s="57">
        <f>COUNTIFS(Extração_DataLake!P:P,'Off-balance sheet exposures'!D22,Extração_DataLake!Q:Q,"Off-balance sheet exposures")</f>
        <v>0</v>
      </c>
      <c r="F22" s="58" t="s">
        <v>358</v>
      </c>
      <c r="G22" s="58">
        <f t="shared" si="1"/>
        <v>0</v>
      </c>
      <c r="H22" s="58"/>
    </row>
    <row r="23" spans="2:11" ht="16.8" thickBot="1">
      <c r="B23" s="31" t="s">
        <v>365</v>
      </c>
      <c r="C23" s="31" t="s">
        <v>355</v>
      </c>
      <c r="D23" s="43" t="s">
        <v>375</v>
      </c>
      <c r="E23" s="57">
        <f>COUNTIFS(Extração_DataLake!P:P,'Off-balance sheet exposures'!D23,Extração_DataLake!Q:Q,"Off-balance sheet exposures")</f>
        <v>0</v>
      </c>
      <c r="F23" s="58" t="s">
        <v>358</v>
      </c>
      <c r="G23" s="58">
        <f t="shared" si="1"/>
        <v>0</v>
      </c>
      <c r="H23" s="58"/>
    </row>
    <row r="24" spans="2:11" ht="16.8" thickBot="1">
      <c r="B24" s="31" t="s">
        <v>365</v>
      </c>
      <c r="C24" s="31" t="s">
        <v>361</v>
      </c>
      <c r="D24" s="43" t="s">
        <v>376</v>
      </c>
      <c r="E24" s="57">
        <f>COUNTIFS(Extração_DataLake!P:P,'Off-balance sheet exposures'!D24,Extração_DataLake!Q:Q,"Off-balance sheet exposures")</f>
        <v>0</v>
      </c>
      <c r="F24" s="58" t="s">
        <v>358</v>
      </c>
      <c r="G24" s="58">
        <f t="shared" si="1"/>
        <v>0</v>
      </c>
      <c r="H24" s="58"/>
    </row>
    <row r="27" spans="2:11" ht="16.2">
      <c r="B27" s="34" t="s">
        <v>377</v>
      </c>
      <c r="C27" s="34"/>
      <c r="D27" s="34"/>
      <c r="E27" s="34"/>
      <c r="F27" s="34"/>
      <c r="G27" s="34"/>
      <c r="H27" s="34"/>
      <c r="I27" s="34"/>
      <c r="J27" s="34"/>
      <c r="K27" s="34"/>
    </row>
    <row r="28" spans="2:11" ht="14.4" thickBot="1">
      <c r="G28" s="64"/>
      <c r="H28" s="64"/>
      <c r="I28" s="64"/>
      <c r="J28" s="64"/>
      <c r="K28" s="64"/>
    </row>
    <row r="29" spans="2:11" ht="39.6" customHeight="1" thickBot="1">
      <c r="B29" s="46" t="s">
        <v>350</v>
      </c>
      <c r="C29" s="46" t="s">
        <v>351</v>
      </c>
      <c r="D29" s="53" t="s">
        <v>378</v>
      </c>
      <c r="E29" s="50" t="s">
        <v>379</v>
      </c>
      <c r="F29" s="50" t="s">
        <v>380</v>
      </c>
      <c r="G29" s="50" t="s">
        <v>381</v>
      </c>
      <c r="H29" s="51" t="s">
        <v>31</v>
      </c>
      <c r="I29" s="51" t="s">
        <v>32</v>
      </c>
      <c r="J29" s="50" t="s">
        <v>33</v>
      </c>
      <c r="K29" s="50" t="s">
        <v>20</v>
      </c>
    </row>
    <row r="30" spans="2:11" ht="16.8" thickBot="1">
      <c r="B30" s="31" t="s">
        <v>355</v>
      </c>
      <c r="C30" s="31" t="s">
        <v>404</v>
      </c>
      <c r="D30" s="43" t="s">
        <v>383</v>
      </c>
      <c r="E30" s="57">
        <f>SUMIFS(Extração_DataLake!Z:Z,Extração_DataLake!V:V,B30,Extração_DataLake!W:W,"Off-balance sheet exposures",Extração_DataLake!X:X,IFERROR(LEFT(C30,FIND(" ",C30)-1),C30),Extração_DataLake!Y:Y,D30)</f>
        <v>0</v>
      </c>
      <c r="F30" s="57">
        <f>SUMIFS(Extração_DataLake!AA:AA,Extração_DataLake!V:V,B30,Extração_DataLake!W:W,"Off-balance sheet exposures",Extração_DataLake!X:X,IFERROR(LEFT(C30,FIND(" ",C30)-1),C30),Extração_DataLake!Y:Y,D30)</f>
        <v>903589</v>
      </c>
      <c r="G30" s="54">
        <f>E30/F30</f>
        <v>0</v>
      </c>
      <c r="H30" s="65">
        <v>0.01</v>
      </c>
      <c r="I30" s="65">
        <v>0.05</v>
      </c>
      <c r="J30" s="58">
        <f>IF(G30&gt;=I30,2,IF(G30&gt;=H30,1,0))</f>
        <v>0</v>
      </c>
      <c r="K30" s="58"/>
    </row>
    <row r="31" spans="2:11" ht="16.8" thickBot="1">
      <c r="B31" s="31" t="s">
        <v>355</v>
      </c>
      <c r="C31" s="31" t="s">
        <v>405</v>
      </c>
      <c r="D31" s="43" t="s">
        <v>383</v>
      </c>
      <c r="E31" s="57">
        <f>SUMIFS(Extração_DataLake!Z:Z,Extração_DataLake!V:V,B31,Extração_DataLake!W:W,"Off-balance sheet exposures",Extração_DataLake!X:X,IFERROR(LEFT(C31,FIND(" ",C31)-1),C31),Extração_DataLake!Y:Y,D31)</f>
        <v>0</v>
      </c>
      <c r="F31" s="57">
        <f>SUMIFS(Extração_DataLake!AA:AA,Extração_DataLake!V:V,B31,Extração_DataLake!W:W,"Off-balance sheet exposures",Extração_DataLake!X:X,IFERROR(LEFT(C31,FIND(" ",C31)-1),C31),Extração_DataLake!Y:Y,D31)</f>
        <v>903589</v>
      </c>
      <c r="G31" s="54">
        <f>E31/F31</f>
        <v>0</v>
      </c>
      <c r="H31" s="65">
        <v>0.01</v>
      </c>
      <c r="I31" s="65">
        <v>0.05</v>
      </c>
      <c r="J31" s="58">
        <f>IF(G31&gt;=I31,2,IF(G31&gt;=H31,1,0))</f>
        <v>0</v>
      </c>
      <c r="K31" s="58"/>
    </row>
    <row r="32" spans="2:11" ht="16.8" thickBot="1">
      <c r="B32" s="31" t="s">
        <v>355</v>
      </c>
      <c r="C32" s="31" t="s">
        <v>405</v>
      </c>
      <c r="D32" s="43" t="s">
        <v>384</v>
      </c>
      <c r="E32" s="57">
        <f>SUMIFS(Extração_DataLake!Z:Z,Extração_DataLake!V:V,B32,Extração_DataLake!W:W,"Off-balance sheet exposures",Extração_DataLake!X:X,IFERROR(LEFT(C32,FIND(" ",C32)-1),C32),Extração_DataLake!Y:Y,D32)</f>
        <v>0</v>
      </c>
      <c r="F32" s="57">
        <f>SUMIFS(Extração_DataLake!AA:AA,Extração_DataLake!V:V,B32,Extração_DataLake!W:W,"Off-balance sheet exposures",Extração_DataLake!X:X,IFERROR(LEFT(C32,FIND(" ",C32)-1),C32),Extração_DataLake!Y:Y,D32)</f>
        <v>903589</v>
      </c>
      <c r="G32" s="54">
        <f t="shared" ref="G32:G39" si="2">E32/F32</f>
        <v>0</v>
      </c>
      <c r="H32" s="65">
        <v>0.01</v>
      </c>
      <c r="I32" s="65">
        <v>0.05</v>
      </c>
      <c r="J32" s="58">
        <f t="shared" ref="J32:J39" si="3">IF(G32&gt;=I32,2,IF(G32&gt;=H32,1,0))</f>
        <v>0</v>
      </c>
      <c r="K32" s="58"/>
    </row>
    <row r="33" spans="2:11" ht="16.8" thickBot="1">
      <c r="B33" s="31" t="s">
        <v>355</v>
      </c>
      <c r="C33" s="31" t="s">
        <v>405</v>
      </c>
      <c r="D33" s="43" t="s">
        <v>385</v>
      </c>
      <c r="E33" s="57">
        <f>SUMIFS(Extração_DataLake!Z:Z,Extração_DataLake!V:V,B33,Extração_DataLake!W:W,"Off-balance sheet exposures",Extração_DataLake!X:X,IFERROR(LEFT(C33,FIND(" ",C33)-1),C33),Extração_DataLake!Y:Y,D33)</f>
        <v>0</v>
      </c>
      <c r="F33" s="57">
        <f>SUMIFS(Extração_DataLake!AA:AA,Extração_DataLake!V:V,B33,Extração_DataLake!W:W,"Off-balance sheet exposures",Extração_DataLake!X:X,IFERROR(LEFT(C33,FIND(" ",C33)-1),C33),Extração_DataLake!Y:Y,D33)</f>
        <v>903589</v>
      </c>
      <c r="G33" s="54">
        <f t="shared" si="2"/>
        <v>0</v>
      </c>
      <c r="H33" s="65">
        <v>0.01</v>
      </c>
      <c r="I33" s="65">
        <v>0.05</v>
      </c>
      <c r="J33" s="58">
        <f t="shared" si="3"/>
        <v>0</v>
      </c>
      <c r="K33" s="58"/>
    </row>
    <row r="34" spans="2:11" ht="16.8" thickBot="1">
      <c r="B34" s="31" t="s">
        <v>355</v>
      </c>
      <c r="C34" s="31" t="s">
        <v>382</v>
      </c>
      <c r="D34" s="43" t="s">
        <v>383</v>
      </c>
      <c r="E34" s="57">
        <f>SUMIFS(Extração_DataLake!Z:Z,Extração_DataLake!V:V,B34,Extração_DataLake!W:W,"Off-balance sheet exposures",Extração_DataLake!X:X,IFERROR(LEFT(C34,FIND(" ",C34)-1),C34),Extração_DataLake!Y:Y,D34)</f>
        <v>0</v>
      </c>
      <c r="F34" s="57">
        <f>SUMIFS(Extração_DataLake!AA:AA,Extração_DataLake!V:V,B34,Extração_DataLake!W:W,"Off-balance sheet exposures",Extração_DataLake!X:X,IFERROR(LEFT(C34,FIND(" ",C34)-1),C34),Extração_DataLake!Y:Y,D34)</f>
        <v>903589</v>
      </c>
      <c r="G34" s="54">
        <f t="shared" si="2"/>
        <v>0</v>
      </c>
      <c r="H34" s="65">
        <v>0.01</v>
      </c>
      <c r="I34" s="65">
        <v>0.05</v>
      </c>
      <c r="J34" s="58">
        <f t="shared" si="3"/>
        <v>0</v>
      </c>
      <c r="K34" s="58"/>
    </row>
    <row r="35" spans="2:11" ht="16.8" thickBot="1">
      <c r="B35" s="31" t="s">
        <v>355</v>
      </c>
      <c r="C35" s="31" t="s">
        <v>382</v>
      </c>
      <c r="D35" s="43" t="s">
        <v>384</v>
      </c>
      <c r="E35" s="57">
        <f>SUMIFS(Extração_DataLake!Z:Z,Extração_DataLake!V:V,B35,Extração_DataLake!W:W,"Off-balance sheet exposures",Extração_DataLake!X:X,IFERROR(LEFT(C35,FIND(" ",C35)-1),C35),Extração_DataLake!Y:Y,D35)</f>
        <v>0</v>
      </c>
      <c r="F35" s="57">
        <f>SUMIFS(Extração_DataLake!AA:AA,Extração_DataLake!V:V,B35,Extração_DataLake!W:W,"Off-balance sheet exposures",Extração_DataLake!X:X,IFERROR(LEFT(C35,FIND(" ",C35)-1),C35),Extração_DataLake!Y:Y,D35)</f>
        <v>903589</v>
      </c>
      <c r="G35" s="54">
        <f t="shared" si="2"/>
        <v>0</v>
      </c>
      <c r="H35" s="65">
        <v>0.01</v>
      </c>
      <c r="I35" s="65">
        <v>0.05</v>
      </c>
      <c r="J35" s="58">
        <f t="shared" si="3"/>
        <v>0</v>
      </c>
      <c r="K35" s="58"/>
    </row>
    <row r="36" spans="2:11" ht="16.8" thickBot="1">
      <c r="B36" s="31" t="s">
        <v>355</v>
      </c>
      <c r="C36" s="31" t="s">
        <v>382</v>
      </c>
      <c r="D36" s="43" t="s">
        <v>385</v>
      </c>
      <c r="E36" s="57">
        <f>SUMIFS(Extração_DataLake!Z:Z,Extração_DataLake!V:V,B36,Extração_DataLake!W:W,"Off-balance sheet exposures",Extração_DataLake!X:X,IFERROR(LEFT(C36,FIND(" ",C36)-1),C36),Extração_DataLake!Y:Y,D36)</f>
        <v>0</v>
      </c>
      <c r="F36" s="57">
        <f>SUMIFS(Extração_DataLake!AA:AA,Extração_DataLake!V:V,B36,Extração_DataLake!W:W,"Off-balance sheet exposures",Extração_DataLake!X:X,IFERROR(LEFT(C36,FIND(" ",C36)-1),C36),Extração_DataLake!Y:Y,D36)</f>
        <v>903589</v>
      </c>
      <c r="G36" s="54">
        <f t="shared" si="2"/>
        <v>0</v>
      </c>
      <c r="H36" s="65">
        <v>0.01</v>
      </c>
      <c r="I36" s="65">
        <v>0.05</v>
      </c>
      <c r="J36" s="58">
        <f t="shared" si="3"/>
        <v>0</v>
      </c>
      <c r="K36" s="58"/>
    </row>
    <row r="37" spans="2:11" ht="16.8" thickBot="1">
      <c r="B37" s="31" t="s">
        <v>355</v>
      </c>
      <c r="C37" s="31" t="s">
        <v>386</v>
      </c>
      <c r="D37" s="43" t="s">
        <v>383</v>
      </c>
      <c r="E37" s="57">
        <f>SUMIFS(Extração_DataLake!Z:Z,Extração_DataLake!V:V,B37,Extração_DataLake!W:W,"Off-balance sheet exposures",Extração_DataLake!X:X,IFERROR(LEFT(C37,FIND(" ",C37)-1),C37),Extração_DataLake!Y:Y,D37)</f>
        <v>29</v>
      </c>
      <c r="F37" s="57">
        <f>SUMIFS(Extração_DataLake!AA:AA,Extração_DataLake!V:V,B37,Extração_DataLake!W:W,"Off-balance sheet exposures",Extração_DataLake!X:X,IFERROR(LEFT(C37,FIND(" ",C37)-1),C37),Extração_DataLake!Y:Y,D37)</f>
        <v>903589</v>
      </c>
      <c r="G37" s="54">
        <f t="shared" si="2"/>
        <v>3.2094237534985484E-5</v>
      </c>
      <c r="H37" s="65">
        <v>0.01</v>
      </c>
      <c r="I37" s="65">
        <v>0.05</v>
      </c>
      <c r="J37" s="58">
        <f t="shared" si="3"/>
        <v>0</v>
      </c>
      <c r="K37" s="58"/>
    </row>
    <row r="38" spans="2:11" ht="16.8" thickBot="1">
      <c r="B38" s="31" t="s">
        <v>355</v>
      </c>
      <c r="C38" s="31" t="s">
        <v>386</v>
      </c>
      <c r="D38" s="43" t="s">
        <v>384</v>
      </c>
      <c r="E38" s="57">
        <f>SUMIFS(Extração_DataLake!Z:Z,Extração_DataLake!V:V,B38,Extração_DataLake!W:W,"Off-balance sheet exposures",Extração_DataLake!X:X,IFERROR(LEFT(C38,FIND(" ",C38)-1),C38),Extração_DataLake!Y:Y,D38)</f>
        <v>0</v>
      </c>
      <c r="F38" s="57">
        <f>SUMIFS(Extração_DataLake!AA:AA,Extração_DataLake!V:V,B38,Extração_DataLake!W:W,"Off-balance sheet exposures",Extração_DataLake!X:X,IFERROR(LEFT(C38,FIND(" ",C38)-1),C38),Extração_DataLake!Y:Y,D38)</f>
        <v>903589</v>
      </c>
      <c r="G38" s="54">
        <f t="shared" si="2"/>
        <v>0</v>
      </c>
      <c r="H38" s="65">
        <v>0.01</v>
      </c>
      <c r="I38" s="65">
        <v>0.05</v>
      </c>
      <c r="J38" s="58">
        <f t="shared" si="3"/>
        <v>0</v>
      </c>
      <c r="K38" s="58"/>
    </row>
    <row r="39" spans="2:11" ht="16.8" thickBot="1">
      <c r="B39" s="31" t="s">
        <v>355</v>
      </c>
      <c r="C39" s="31" t="s">
        <v>386</v>
      </c>
      <c r="D39" s="43" t="s">
        <v>385</v>
      </c>
      <c r="E39" s="57">
        <f>SUMIFS(Extração_DataLake!Z:Z,Extração_DataLake!V:V,B39,Extração_DataLake!W:W,"Off-balance sheet exposures",Extração_DataLake!X:X,IFERROR(LEFT(C39,FIND(" ",C39)-1),C39),Extração_DataLake!Y:Y,D39)</f>
        <v>0</v>
      </c>
      <c r="F39" s="57">
        <f>SUMIFS(Extração_DataLake!AA:AA,Extração_DataLake!V:V,B39,Extração_DataLake!W:W,"Off-balance sheet exposures",Extração_DataLake!X:X,IFERROR(LEFT(C39,FIND(" ",C39)-1),C39),Extração_DataLake!Y:Y,D39)</f>
        <v>903589</v>
      </c>
      <c r="G39" s="54">
        <f t="shared" si="2"/>
        <v>0</v>
      </c>
      <c r="H39" s="65">
        <v>0.01</v>
      </c>
      <c r="I39" s="65">
        <v>0.05</v>
      </c>
      <c r="J39" s="58">
        <f t="shared" si="3"/>
        <v>0</v>
      </c>
      <c r="K39" s="58"/>
    </row>
    <row r="40" spans="2:11">
      <c r="I40" s="64"/>
      <c r="J40" s="64"/>
    </row>
    <row r="41" spans="2:11">
      <c r="I41" s="64"/>
      <c r="J41" s="64"/>
    </row>
    <row r="42" spans="2:11" ht="16.2">
      <c r="B42" s="34" t="s">
        <v>387</v>
      </c>
      <c r="C42" s="34"/>
      <c r="D42" s="34"/>
      <c r="E42" s="34"/>
      <c r="F42" s="34"/>
      <c r="G42" s="34"/>
      <c r="H42" s="34"/>
      <c r="I42" s="34"/>
      <c r="J42" s="34"/>
      <c r="K42" s="34"/>
    </row>
    <row r="43" spans="2:11" ht="14.4" thickBot="1">
      <c r="I43" s="64"/>
      <c r="J43" s="64"/>
      <c r="K43" s="64"/>
    </row>
    <row r="44" spans="2:11" ht="39.6" customHeight="1" thickBot="1">
      <c r="B44" s="46" t="s">
        <v>350</v>
      </c>
      <c r="C44" s="46" t="s">
        <v>351</v>
      </c>
      <c r="D44" s="53" t="s">
        <v>378</v>
      </c>
      <c r="E44" s="50" t="s">
        <v>379</v>
      </c>
      <c r="F44" s="50" t="s">
        <v>380</v>
      </c>
      <c r="G44" s="50" t="s">
        <v>381</v>
      </c>
      <c r="H44" s="51" t="s">
        <v>31</v>
      </c>
      <c r="I44" s="51" t="s">
        <v>32</v>
      </c>
      <c r="J44" s="50" t="s">
        <v>33</v>
      </c>
      <c r="K44" s="50" t="s">
        <v>20</v>
      </c>
    </row>
    <row r="45" spans="2:11" ht="16.8" thickBot="1">
      <c r="B45" s="31" t="s">
        <v>359</v>
      </c>
      <c r="C45" s="31" t="s">
        <v>422</v>
      </c>
      <c r="D45" s="43" t="s">
        <v>383</v>
      </c>
      <c r="E45" s="57">
        <f>SUMIFS(Extração_DataLake!AG:AG,Extração_DataLake!AC:AC,'Off-balance sheet exposures'!B45,Extração_DataLake!AD:AD,"Off-balance sheet exposures",Extração_DataLake!AE:AE,IFERROR(LEFT('Off-balance sheet exposures'!C45,FIND(" ",'Off-balance sheet exposures'!C45)-1),'Off-balance sheet exposures'!C45),Extração_DataLake!AF:AF,'Off-balance sheet exposures'!D45)</f>
        <v>1</v>
      </c>
      <c r="F45" s="57">
        <f>SUMIFS(Extração_DataLake!AH:AH,Extração_DataLake!AC:AC,'Off-balance sheet exposures'!B45,Extração_DataLake!AD:AD,"Off-balance sheet exposures",Extração_DataLake!AE:AE,IFERROR(LEFT('Off-balance sheet exposures'!C45,FIND(" ",'Off-balance sheet exposures'!C45)-1),'Off-balance sheet exposures'!C45),Extração_DataLake!AF:AF,'Off-balance sheet exposures'!D45)</f>
        <v>795831</v>
      </c>
      <c r="G45" s="54">
        <f>E45/F45</f>
        <v>1.2565481867381391E-6</v>
      </c>
      <c r="H45" s="65">
        <v>0.01</v>
      </c>
      <c r="I45" s="65">
        <v>0.05</v>
      </c>
      <c r="J45" s="58">
        <f>IF(G45&gt;=I45,2,IF(G45&gt;=H45,1,0))</f>
        <v>0</v>
      </c>
      <c r="K45" s="58"/>
    </row>
    <row r="46" spans="2:11" ht="16.8" thickBot="1">
      <c r="B46" s="31" t="s">
        <v>359</v>
      </c>
      <c r="C46" s="31" t="s">
        <v>422</v>
      </c>
      <c r="D46" s="43" t="s">
        <v>384</v>
      </c>
      <c r="E46" s="57">
        <f>SUMIFS(Extração_DataLake!AG:AG,Extração_DataLake!AC:AC,'Off-balance sheet exposures'!B46,Extração_DataLake!AD:AD,"Off-balance sheet exposures",Extração_DataLake!AE:AE,IFERROR(LEFT('Off-balance sheet exposures'!C46,FIND(" ",'Off-balance sheet exposures'!C46)-1),'Off-balance sheet exposures'!C46),Extração_DataLake!AF:AF,'Off-balance sheet exposures'!D46)</f>
        <v>0</v>
      </c>
      <c r="F46" s="57">
        <f>SUMIFS(Extração_DataLake!AH:AH,Extração_DataLake!AC:AC,'Off-balance sheet exposures'!B46,Extração_DataLake!AD:AD,"Off-balance sheet exposures",Extração_DataLake!AE:AE,IFERROR(LEFT('Off-balance sheet exposures'!C46,FIND(" ",'Off-balance sheet exposures'!C46)-1),'Off-balance sheet exposures'!C46),Extração_DataLake!AF:AF,'Off-balance sheet exposures'!D46)</f>
        <v>795831</v>
      </c>
      <c r="G46" s="54">
        <f t="shared" ref="G46:G47" si="4">E46/F46</f>
        <v>0</v>
      </c>
      <c r="H46" s="65">
        <v>0.01</v>
      </c>
      <c r="I46" s="65">
        <v>0.05</v>
      </c>
      <c r="J46" s="58">
        <f t="shared" ref="J46:J47" si="5">IF(G46&gt;=I46,2,IF(G46&gt;=H46,1,0))</f>
        <v>0</v>
      </c>
      <c r="K46" s="58"/>
    </row>
    <row r="47" spans="2:11" ht="16.8" thickBot="1">
      <c r="B47" s="31" t="s">
        <v>359</v>
      </c>
      <c r="C47" s="31" t="s">
        <v>422</v>
      </c>
      <c r="D47" s="43" t="s">
        <v>385</v>
      </c>
      <c r="E47" s="57">
        <f>SUMIFS(Extração_DataLake!AG:AG,Extração_DataLake!AC:AC,'Off-balance sheet exposures'!B47,Extração_DataLake!AD:AD,"Off-balance sheet exposures",Extração_DataLake!AE:AE,IFERROR(LEFT('Off-balance sheet exposures'!C47,FIND(" ",'Off-balance sheet exposures'!C47)-1),'Off-balance sheet exposures'!C47),Extração_DataLake!AF:AF,'Off-balance sheet exposures'!D47)</f>
        <v>0</v>
      </c>
      <c r="F47" s="57">
        <f>SUMIFS(Extração_DataLake!AH:AH,Extração_DataLake!AC:AC,'Off-balance sheet exposures'!B47,Extração_DataLake!AD:AD,"Off-balance sheet exposures",Extração_DataLake!AE:AE,IFERROR(LEFT('Off-balance sheet exposures'!C47,FIND(" ",'Off-balance sheet exposures'!C47)-1),'Off-balance sheet exposures'!C47),Extração_DataLake!AF:AF,'Off-balance sheet exposures'!D47)</f>
        <v>795831</v>
      </c>
      <c r="G47" s="54">
        <f t="shared" si="4"/>
        <v>0</v>
      </c>
      <c r="H47" s="65">
        <v>0.01</v>
      </c>
      <c r="I47" s="65">
        <v>0.05</v>
      </c>
      <c r="J47" s="58">
        <f t="shared" si="5"/>
        <v>0</v>
      </c>
      <c r="K47" s="58"/>
    </row>
    <row r="48" spans="2:11" ht="16.8" thickBot="1">
      <c r="B48" s="31" t="s">
        <v>359</v>
      </c>
      <c r="C48" s="31" t="s">
        <v>388</v>
      </c>
      <c r="D48" s="43" t="s">
        <v>383</v>
      </c>
      <c r="E48" s="57">
        <f>SUMIFS(Extração_DataLake!AG:AG,Extração_DataLake!AC:AC,'Off-balance sheet exposures'!B48,Extração_DataLake!AD:AD,"Off-balance sheet exposures",Extração_DataLake!AE:AE,IFERROR(LEFT('Off-balance sheet exposures'!C48,FIND(" ",'Off-balance sheet exposures'!C48)-1),'Off-balance sheet exposures'!C48),Extração_DataLake!AF:AF,'Off-balance sheet exposures'!D48)</f>
        <v>0</v>
      </c>
      <c r="F48" s="57">
        <f>SUMIFS(Extração_DataLake!AH:AH,Extração_DataLake!AC:AC,'Off-balance sheet exposures'!B48,Extração_DataLake!AD:AD,"Off-balance sheet exposures",Extração_DataLake!AE:AE,IFERROR(LEFT('Off-balance sheet exposures'!C48,FIND(" ",'Off-balance sheet exposures'!C48)-1),'Off-balance sheet exposures'!C48),Extração_DataLake!AF:AF,'Off-balance sheet exposures'!D48)</f>
        <v>795831</v>
      </c>
      <c r="G48" s="54">
        <f>E48/F48</f>
        <v>0</v>
      </c>
      <c r="H48" s="65">
        <v>0.01</v>
      </c>
      <c r="I48" s="65">
        <v>0.05</v>
      </c>
      <c r="J48" s="58">
        <f>IF(G48&gt;=I48,2,IF(G48&gt;=H48,1,0))</f>
        <v>0</v>
      </c>
      <c r="K48" s="58"/>
    </row>
    <row r="49" spans="2:11" ht="17.399999999999999" thickBot="1">
      <c r="B49" s="31" t="s">
        <v>359</v>
      </c>
      <c r="C49" s="31" t="s">
        <v>389</v>
      </c>
      <c r="D49" s="43" t="s">
        <v>384</v>
      </c>
      <c r="E49" s="57">
        <f>SUMIFS(Extração_DataLake!AG:AG,Extração_DataLake!AC:AC,'Off-balance sheet exposures'!B49,Extração_DataLake!AD:AD,"Off-balance sheet exposures",Extração_DataLake!AE:AE,IFERROR(LEFT('Off-balance sheet exposures'!C49,FIND(" ",'Off-balance sheet exposures'!C49)-1),'Off-balance sheet exposures'!C49),Extração_DataLake!AF:AF,'Off-balance sheet exposures'!D49)</f>
        <v>0</v>
      </c>
      <c r="F49" s="57">
        <f>SUMIFS(Extração_DataLake!AH:AH,Extração_DataLake!AC:AC,'Off-balance sheet exposures'!B49,Extração_DataLake!AD:AD,"Off-balance sheet exposures",Extração_DataLake!AE:AE,IFERROR(LEFT('Off-balance sheet exposures'!C49,FIND(" ",'Off-balance sheet exposures'!C49)-1),'Off-balance sheet exposures'!C49),Extração_DataLake!AF:AF,'Off-balance sheet exposures'!D49)</f>
        <v>795831</v>
      </c>
      <c r="G49" s="54">
        <f t="shared" ref="G49:G53" si="6">E49/F49</f>
        <v>0</v>
      </c>
      <c r="H49" s="65">
        <v>0.01</v>
      </c>
      <c r="I49" s="65">
        <v>0.05</v>
      </c>
      <c r="J49" s="58">
        <f t="shared" ref="J49:J53" si="7">IF(G49&gt;=I49,2,IF(G49&gt;=H49,1,0))</f>
        <v>0</v>
      </c>
      <c r="K49" s="58"/>
    </row>
    <row r="50" spans="2:11" ht="16.8" thickBot="1">
      <c r="B50" s="31" t="s">
        <v>359</v>
      </c>
      <c r="C50" s="31" t="s">
        <v>388</v>
      </c>
      <c r="D50" s="43" t="s">
        <v>385</v>
      </c>
      <c r="E50" s="57">
        <f>SUMIFS(Extração_DataLake!AG:AG,Extração_DataLake!AC:AC,'Off-balance sheet exposures'!B50,Extração_DataLake!AD:AD,"Off-balance sheet exposures",Extração_DataLake!AE:AE,IFERROR(LEFT('Off-balance sheet exposures'!C50,FIND(" ",'Off-balance sheet exposures'!C50)-1),'Off-balance sheet exposures'!C50),Extração_DataLake!AF:AF,'Off-balance sheet exposures'!D50)</f>
        <v>0</v>
      </c>
      <c r="F50" s="57">
        <f>SUMIFS(Extração_DataLake!AH:AH,Extração_DataLake!AC:AC,'Off-balance sheet exposures'!B50,Extração_DataLake!AD:AD,"Off-balance sheet exposures",Extração_DataLake!AE:AE,IFERROR(LEFT('Off-balance sheet exposures'!C50,FIND(" ",'Off-balance sheet exposures'!C50)-1),'Off-balance sheet exposures'!C50),Extração_DataLake!AF:AF,'Off-balance sheet exposures'!D50)</f>
        <v>795831</v>
      </c>
      <c r="G50" s="54">
        <f t="shared" si="6"/>
        <v>0</v>
      </c>
      <c r="H50" s="65">
        <v>0.01</v>
      </c>
      <c r="I50" s="65">
        <v>0.05</v>
      </c>
      <c r="J50" s="58">
        <f t="shared" si="7"/>
        <v>0</v>
      </c>
      <c r="K50" s="58"/>
    </row>
    <row r="51" spans="2:11" ht="16.8" thickBot="1">
      <c r="B51" s="31" t="s">
        <v>359</v>
      </c>
      <c r="C51" s="31" t="s">
        <v>390</v>
      </c>
      <c r="D51" s="43" t="s">
        <v>383</v>
      </c>
      <c r="E51" s="57">
        <f>SUMIFS(Extração_DataLake!AG:AG,Extração_DataLake!AC:AC,'Off-balance sheet exposures'!B51,Extração_DataLake!AD:AD,"Off-balance sheet exposures",Extração_DataLake!AE:AE,IFERROR(LEFT('Off-balance sheet exposures'!C51,FIND(" ",'Off-balance sheet exposures'!C51)-1),'Off-balance sheet exposures'!C51),Extração_DataLake!AF:AF,'Off-balance sheet exposures'!D51)</f>
        <v>2207</v>
      </c>
      <c r="F51" s="57">
        <f>SUMIFS(Extração_DataLake!AH:AH,Extração_DataLake!AC:AC,'Off-balance sheet exposures'!B51,Extração_DataLake!AD:AD,"Off-balance sheet exposures",Extração_DataLake!AE:AE,IFERROR(LEFT('Off-balance sheet exposures'!C51,FIND(" ",'Off-balance sheet exposures'!C51)-1),'Off-balance sheet exposures'!C51),Extração_DataLake!AF:AF,'Off-balance sheet exposures'!D51)</f>
        <v>795831</v>
      </c>
      <c r="G51" s="54">
        <f t="shared" si="6"/>
        <v>2.7732018481310731E-3</v>
      </c>
      <c r="H51" s="65">
        <v>0.01</v>
      </c>
      <c r="I51" s="65">
        <v>0.05</v>
      </c>
      <c r="J51" s="58">
        <f t="shared" si="7"/>
        <v>0</v>
      </c>
      <c r="K51" s="58"/>
    </row>
    <row r="52" spans="2:11" ht="17.399999999999999" thickBot="1">
      <c r="B52" s="31" t="s">
        <v>359</v>
      </c>
      <c r="C52" s="31" t="s">
        <v>391</v>
      </c>
      <c r="D52" s="43" t="s">
        <v>384</v>
      </c>
      <c r="E52" s="57">
        <f>SUMIFS(Extração_DataLake!AG:AG,Extração_DataLake!AC:AC,'Off-balance sheet exposures'!B52,Extração_DataLake!AD:AD,"Off-balance sheet exposures",Extração_DataLake!AE:AE,IFERROR(LEFT('Off-balance sheet exposures'!C52,FIND(" ",'Off-balance sheet exposures'!C52)-1),'Off-balance sheet exposures'!C52),Extração_DataLake!AF:AF,'Off-balance sheet exposures'!D52)</f>
        <v>5647</v>
      </c>
      <c r="F52" s="57">
        <f>SUMIFS(Extração_DataLake!AH:AH,Extração_DataLake!AC:AC,'Off-balance sheet exposures'!B52,Extração_DataLake!AD:AD,"Off-balance sheet exposures",Extração_DataLake!AE:AE,IFERROR(LEFT('Off-balance sheet exposures'!C52,FIND(" ",'Off-balance sheet exposures'!C52)-1),'Off-balance sheet exposures'!C52),Extração_DataLake!AF:AF,'Off-balance sheet exposures'!D52)</f>
        <v>795831</v>
      </c>
      <c r="G52" s="54">
        <f t="shared" si="6"/>
        <v>7.0957276105102713E-3</v>
      </c>
      <c r="H52" s="65">
        <v>0.01</v>
      </c>
      <c r="I52" s="65">
        <v>0.05</v>
      </c>
      <c r="J52" s="58">
        <f t="shared" si="7"/>
        <v>0</v>
      </c>
      <c r="K52" s="58"/>
    </row>
    <row r="53" spans="2:11" ht="16.8" thickBot="1">
      <c r="B53" s="31" t="s">
        <v>359</v>
      </c>
      <c r="C53" s="31" t="s">
        <v>392</v>
      </c>
      <c r="D53" s="43" t="s">
        <v>383</v>
      </c>
      <c r="E53" s="57">
        <f>SUMIFS(Extração_DataLake!AG:AG,Extração_DataLake!AC:AC,'Off-balance sheet exposures'!B53,Extração_DataLake!AD:AD,"Off-balance sheet exposures",Extração_DataLake!AE:AE,IFERROR(LEFT('Off-balance sheet exposures'!C53,FIND(" ",'Off-balance sheet exposures'!C53)-1),'Off-balance sheet exposures'!C53),Extração_DataLake!AF:AF,'Off-balance sheet exposures'!D53)</f>
        <v>0</v>
      </c>
      <c r="F53" s="57">
        <f>SUMIFS(Extração_DataLake!AH:AH,Extração_DataLake!AC:AC,'Off-balance sheet exposures'!B53,Extração_DataLake!AD:AD,"Off-balance sheet exposures",Extração_DataLake!AE:AE,IFERROR(LEFT('Off-balance sheet exposures'!C53,FIND(" ",'Off-balance sheet exposures'!C53)-1),'Off-balance sheet exposures'!C53),Extração_DataLake!AF:AF,'Off-balance sheet exposures'!D53)</f>
        <v>795831</v>
      </c>
      <c r="G53" s="54">
        <f t="shared" si="6"/>
        <v>0</v>
      </c>
      <c r="H53" s="65">
        <v>0.01</v>
      </c>
      <c r="I53" s="65">
        <v>0.05</v>
      </c>
      <c r="J53" s="58">
        <f t="shared" si="7"/>
        <v>0</v>
      </c>
      <c r="K53" s="58"/>
    </row>
    <row r="54" spans="2:11" ht="16.8" thickBot="1">
      <c r="B54" s="31" t="s">
        <v>359</v>
      </c>
      <c r="C54" s="31" t="s">
        <v>392</v>
      </c>
      <c r="D54" s="43" t="s">
        <v>384</v>
      </c>
      <c r="E54" s="57">
        <f>SUMIFS(Extração_DataLake!AG:AG,Extração_DataLake!AC:AC,'Off-balance sheet exposures'!B54,Extração_DataLake!AD:AD,"Off-balance sheet exposures",Extração_DataLake!AE:AE,IFERROR(LEFT('Off-balance sheet exposures'!C54,FIND(" ",'Off-balance sheet exposures'!C54)-1),'Off-balance sheet exposures'!C54),Extração_DataLake!AF:AF,'Off-balance sheet exposures'!D54)</f>
        <v>0</v>
      </c>
      <c r="F54" s="57">
        <f>SUMIFS(Extração_DataLake!AH:AH,Extração_DataLake!AC:AC,'Off-balance sheet exposures'!B54,Extração_DataLake!AD:AD,"Off-balance sheet exposures",Extração_DataLake!AE:AE,IFERROR(LEFT('Off-balance sheet exposures'!C54,FIND(" ",'Off-balance sheet exposures'!C54)-1),'Off-balance sheet exposures'!C54),Extração_DataLake!AF:AF,'Off-balance sheet exposures'!D54)</f>
        <v>795831</v>
      </c>
      <c r="G54" s="54">
        <f t="shared" ref="G54" si="8">E54/F54</f>
        <v>0</v>
      </c>
      <c r="H54" s="65">
        <v>0.01</v>
      </c>
      <c r="I54" s="65">
        <v>0.05</v>
      </c>
      <c r="J54" s="58">
        <f t="shared" ref="J54" si="9">IF(G54&gt;=I54,2,IF(G54&gt;=H54,1,0))</f>
        <v>0</v>
      </c>
      <c r="K54" s="58"/>
    </row>
    <row r="55" spans="2:11" ht="16.8" thickBot="1">
      <c r="B55" s="31" t="s">
        <v>359</v>
      </c>
      <c r="C55" s="31" t="s">
        <v>423</v>
      </c>
      <c r="D55" s="43" t="s">
        <v>383</v>
      </c>
      <c r="E55" s="57">
        <f>SUMIFS(Extração_DataLake!AG:AG,Extração_DataLake!AC:AC,'Off-balance sheet exposures'!B55,Extração_DataLake!AD:AD,"Off-balance sheet exposures",Extração_DataLake!AE:AE,IFERROR(LEFT('Off-balance sheet exposures'!C55,FIND(" ",'Off-balance sheet exposures'!C55)-1),'Off-balance sheet exposures'!C55),Extração_DataLake!AF:AF,'Off-balance sheet exposures'!D55)</f>
        <v>795831</v>
      </c>
      <c r="F55" s="57">
        <f>SUMIFS(Extração_DataLake!AH:AH,Extração_DataLake!AC:AC,'Off-balance sheet exposures'!B55,Extração_DataLake!AD:AD,"Off-balance sheet exposures",Extração_DataLake!AE:AE,IFERROR(LEFT('Off-balance sheet exposures'!C55,FIND(" ",'Off-balance sheet exposures'!C55)-1),'Off-balance sheet exposures'!C55),Extração_DataLake!AF:AF,'Off-balance sheet exposures'!D55)</f>
        <v>795831</v>
      </c>
      <c r="G55" s="54">
        <f t="shared" ref="G55:G57" si="10">E55/F55</f>
        <v>1</v>
      </c>
      <c r="H55" s="65">
        <v>0.01</v>
      </c>
      <c r="I55" s="65">
        <v>0.05</v>
      </c>
      <c r="J55" s="58">
        <f t="shared" ref="J55:J57" si="11">IF(G55&gt;=I55,2,IF(G55&gt;=H55,1,0))</f>
        <v>2</v>
      </c>
      <c r="K55" s="69" t="s">
        <v>424</v>
      </c>
    </row>
    <row r="56" spans="2:11" ht="16.8" thickBot="1">
      <c r="B56" s="31" t="s">
        <v>359</v>
      </c>
      <c r="C56" s="31" t="s">
        <v>423</v>
      </c>
      <c r="D56" s="43" t="s">
        <v>384</v>
      </c>
      <c r="E56" s="57">
        <f>SUMIFS(Extração_DataLake!AG:AG,Extração_DataLake!AC:AC,'Off-balance sheet exposures'!B56,Extração_DataLake!AD:AD,"Off-balance sheet exposures",Extração_DataLake!AE:AE,IFERROR(LEFT('Off-balance sheet exposures'!C56,FIND(" ",'Off-balance sheet exposures'!C56)-1),'Off-balance sheet exposures'!C56),Extração_DataLake!AF:AF,'Off-balance sheet exposures'!D56)</f>
        <v>0</v>
      </c>
      <c r="F56" s="57">
        <f>SUMIFS(Extração_DataLake!AH:AH,Extração_DataLake!AC:AC,'Off-balance sheet exposures'!B56,Extração_DataLake!AD:AD,"Off-balance sheet exposures",Extração_DataLake!AE:AE,IFERROR(LEFT('Off-balance sheet exposures'!C56,FIND(" ",'Off-balance sheet exposures'!C56)-1),'Off-balance sheet exposures'!C56),Extração_DataLake!AF:AF,'Off-balance sheet exposures'!D56)</f>
        <v>795831</v>
      </c>
      <c r="G56" s="54">
        <f t="shared" si="10"/>
        <v>0</v>
      </c>
      <c r="H56" s="65">
        <v>0.01</v>
      </c>
      <c r="I56" s="65">
        <v>0.05</v>
      </c>
      <c r="J56" s="58">
        <f t="shared" si="11"/>
        <v>0</v>
      </c>
      <c r="K56" s="58"/>
    </row>
    <row r="57" spans="2:11" ht="16.8" thickBot="1">
      <c r="B57" s="31" t="s">
        <v>359</v>
      </c>
      <c r="C57" s="31" t="s">
        <v>425</v>
      </c>
      <c r="D57" s="43" t="s">
        <v>383</v>
      </c>
      <c r="E57" s="57">
        <f>SUMIFS(Extração_DataLake!AG:AG,Extração_DataLake!AC:AC,'Off-balance sheet exposures'!B57,Extração_DataLake!AD:AD,"Off-balance sheet exposures",Extração_DataLake!AE:AE,IFERROR(LEFT('Off-balance sheet exposures'!C57,FIND(" ",'Off-balance sheet exposures'!C57)-1),'Off-balance sheet exposures'!C57),Extração_DataLake!AF:AF,'Off-balance sheet exposures'!D57)</f>
        <v>795831</v>
      </c>
      <c r="F57" s="57">
        <f>SUMIFS(Extração_DataLake!AH:AH,Extração_DataLake!AC:AC,'Off-balance sheet exposures'!B57,Extração_DataLake!AD:AD,"Off-balance sheet exposures",Extração_DataLake!AE:AE,IFERROR(LEFT('Off-balance sheet exposures'!C57,FIND(" ",'Off-balance sheet exposures'!C57)-1),'Off-balance sheet exposures'!C57),Extração_DataLake!AF:AF,'Off-balance sheet exposures'!D57)</f>
        <v>795831</v>
      </c>
      <c r="G57" s="54">
        <f t="shared" si="10"/>
        <v>1</v>
      </c>
      <c r="H57" s="65">
        <v>0.01</v>
      </c>
      <c r="I57" s="65">
        <v>0.05</v>
      </c>
      <c r="J57" s="58">
        <f t="shared" si="11"/>
        <v>2</v>
      </c>
      <c r="K57" s="69" t="s">
        <v>424</v>
      </c>
    </row>
    <row r="58" spans="2:11" ht="16.8" thickBot="1">
      <c r="B58" s="31" t="s">
        <v>359</v>
      </c>
      <c r="C58" s="31" t="s">
        <v>425</v>
      </c>
      <c r="D58" s="43" t="s">
        <v>384</v>
      </c>
      <c r="E58" s="57">
        <f>SUMIFS(Extração_DataLake!AG:AG,Extração_DataLake!AC:AC,'Off-balance sheet exposures'!B58,Extração_DataLake!AD:AD,"Off-balance sheet exposures",Extração_DataLake!AE:AE,IFERROR(LEFT('Off-balance sheet exposures'!C58,FIND(" ",'Off-balance sheet exposures'!C58)-1),'Off-balance sheet exposures'!C58),Extração_DataLake!AF:AF,'Off-balance sheet exposures'!D58)</f>
        <v>0</v>
      </c>
      <c r="F58" s="57">
        <f>SUMIFS(Extração_DataLake!AH:AH,Extração_DataLake!AC:AC,'Off-balance sheet exposures'!B58,Extração_DataLake!AD:AD,"Off-balance sheet exposures",Extração_DataLake!AE:AE,IFERROR(LEFT('Off-balance sheet exposures'!C58,FIND(" ",'Off-balance sheet exposures'!C58)-1),'Off-balance sheet exposures'!C58),Extração_DataLake!AF:AF,'Off-balance sheet exposures'!D58)</f>
        <v>795831</v>
      </c>
      <c r="G58" s="54">
        <f t="shared" ref="G58:G59" si="12">E58/F58</f>
        <v>0</v>
      </c>
      <c r="H58" s="65">
        <v>0.01</v>
      </c>
      <c r="I58" s="65">
        <v>0.05</v>
      </c>
      <c r="J58" s="58">
        <f t="shared" ref="J58:J59" si="13">IF(G58&gt;=I58,2,IF(G58&gt;=H58,1,0))</f>
        <v>0</v>
      </c>
      <c r="K58" s="58"/>
    </row>
    <row r="59" spans="2:11" ht="16.8" thickBot="1">
      <c r="B59" s="31" t="s">
        <v>359</v>
      </c>
      <c r="C59" s="31" t="s">
        <v>426</v>
      </c>
      <c r="D59" s="43" t="s">
        <v>383</v>
      </c>
      <c r="E59" s="57">
        <f>SUMIFS(Extração_DataLake!AG:AG,Extração_DataLake!AC:AC,'Off-balance sheet exposures'!B59,Extração_DataLake!AD:AD,"Off-balance sheet exposures",Extração_DataLake!AE:AE,IFERROR(LEFT('Off-balance sheet exposures'!C59,FIND(" ",'Off-balance sheet exposures'!C59)-1),'Off-balance sheet exposures'!C59),Extração_DataLake!AF:AF,'Off-balance sheet exposures'!D59)</f>
        <v>795831</v>
      </c>
      <c r="F59" s="57">
        <f>SUMIFS(Extração_DataLake!AH:AH,Extração_DataLake!AC:AC,'Off-balance sheet exposures'!B59,Extração_DataLake!AD:AD,"Off-balance sheet exposures",Extração_DataLake!AE:AE,IFERROR(LEFT('Off-balance sheet exposures'!C59,FIND(" ",'Off-balance sheet exposures'!C59)-1),'Off-balance sheet exposures'!C59),Extração_DataLake!AF:AF,'Off-balance sheet exposures'!D59)</f>
        <v>795831</v>
      </c>
      <c r="G59" s="54">
        <f t="shared" si="12"/>
        <v>1</v>
      </c>
      <c r="H59" s="65">
        <v>0.01</v>
      </c>
      <c r="I59" s="65">
        <v>0.05</v>
      </c>
      <c r="J59" s="58">
        <f t="shared" si="13"/>
        <v>2</v>
      </c>
      <c r="K59" s="69" t="s">
        <v>424</v>
      </c>
    </row>
    <row r="60" spans="2:11" ht="16.8" thickBot="1">
      <c r="B60" s="31" t="s">
        <v>359</v>
      </c>
      <c r="C60" s="31" t="s">
        <v>426</v>
      </c>
      <c r="D60" s="43" t="s">
        <v>384</v>
      </c>
      <c r="E60" s="57">
        <f>SUMIFS(Extração_DataLake!AG:AG,Extração_DataLake!AC:AC,'Off-balance sheet exposures'!B60,Extração_DataLake!AD:AD,"Off-balance sheet exposures",Extração_DataLake!AE:AE,IFERROR(LEFT('Off-balance sheet exposures'!C60,FIND(" ",'Off-balance sheet exposures'!C60)-1),'Off-balance sheet exposures'!C60),Extração_DataLake!AF:AF,'Off-balance sheet exposures'!D60)</f>
        <v>0</v>
      </c>
      <c r="F60" s="57">
        <f>SUMIFS(Extração_DataLake!AH:AH,Extração_DataLake!AC:AC,'Off-balance sheet exposures'!B60,Extração_DataLake!AD:AD,"Off-balance sheet exposures",Extração_DataLake!AE:AE,IFERROR(LEFT('Off-balance sheet exposures'!C60,FIND(" ",'Off-balance sheet exposures'!C60)-1),'Off-balance sheet exposures'!C60),Extração_DataLake!AF:AF,'Off-balance sheet exposures'!D60)</f>
        <v>795831</v>
      </c>
      <c r="G60" s="54">
        <f t="shared" ref="G60:G61" si="14">E60/F60</f>
        <v>0</v>
      </c>
      <c r="H60" s="65">
        <v>0.01</v>
      </c>
      <c r="I60" s="65">
        <v>0.05</v>
      </c>
      <c r="J60" s="58">
        <f t="shared" ref="J60:J61" si="15">IF(G60&gt;=I60,2,IF(G60&gt;=H60,1,0))</f>
        <v>0</v>
      </c>
      <c r="K60" s="58"/>
    </row>
    <row r="61" spans="2:11" ht="16.8" thickBot="1">
      <c r="B61" s="31" t="s">
        <v>359</v>
      </c>
      <c r="C61" s="31" t="s">
        <v>427</v>
      </c>
      <c r="D61" s="43" t="s">
        <v>383</v>
      </c>
      <c r="E61" s="57">
        <f>SUMIFS(Extração_DataLake!AG:AG,Extração_DataLake!AC:AC,'Off-balance sheet exposures'!B61,Extração_DataLake!AD:AD,"Off-balance sheet exposures",Extração_DataLake!AE:AE,IFERROR(LEFT('Off-balance sheet exposures'!C61,FIND(" ",'Off-balance sheet exposures'!C61)-1),'Off-balance sheet exposures'!C61),Extração_DataLake!AF:AF,'Off-balance sheet exposures'!D61)</f>
        <v>1</v>
      </c>
      <c r="F61" s="57">
        <f>SUMIFS(Extração_DataLake!AH:AH,Extração_DataLake!AC:AC,'Off-balance sheet exposures'!B61,Extração_DataLake!AD:AD,"Off-balance sheet exposures",Extração_DataLake!AE:AE,IFERROR(LEFT('Off-balance sheet exposures'!C61,FIND(" ",'Off-balance sheet exposures'!C61)-1),'Off-balance sheet exposures'!C61),Extração_DataLake!AF:AF,'Off-balance sheet exposures'!D61)</f>
        <v>795831</v>
      </c>
      <c r="G61" s="54">
        <f t="shared" si="14"/>
        <v>1.2565481867381391E-6</v>
      </c>
      <c r="H61" s="65">
        <v>0.01</v>
      </c>
      <c r="I61" s="65">
        <v>0.05</v>
      </c>
      <c r="J61" s="58">
        <f t="shared" si="15"/>
        <v>0</v>
      </c>
      <c r="K61" s="58"/>
    </row>
    <row r="62" spans="2:11" ht="16.8" thickBot="1">
      <c r="B62" s="31" t="s">
        <v>359</v>
      </c>
      <c r="C62" s="31" t="s">
        <v>427</v>
      </c>
      <c r="D62" s="43" t="s">
        <v>384</v>
      </c>
      <c r="E62" s="57">
        <f>SUMIFS(Extração_DataLake!AG:AG,Extração_DataLake!AC:AC,'Off-balance sheet exposures'!B62,Extração_DataLake!AD:AD,"Off-balance sheet exposures",Extração_DataLake!AE:AE,IFERROR(LEFT('Off-balance sheet exposures'!C62,FIND(" ",'Off-balance sheet exposures'!C62)-1),'Off-balance sheet exposures'!C62),Extração_DataLake!AF:AF,'Off-balance sheet exposures'!D62)</f>
        <v>0</v>
      </c>
      <c r="F62" s="57">
        <f>SUMIFS(Extração_DataLake!AH:AH,Extração_DataLake!AC:AC,'Off-balance sheet exposures'!B62,Extração_DataLake!AD:AD,"Off-balance sheet exposures",Extração_DataLake!AE:AE,IFERROR(LEFT('Off-balance sheet exposures'!C62,FIND(" ",'Off-balance sheet exposures'!C62)-1),'Off-balance sheet exposures'!C62),Extração_DataLake!AF:AF,'Off-balance sheet exposures'!D62)</f>
        <v>795831</v>
      </c>
      <c r="G62" s="54">
        <f t="shared" ref="G62:G63" si="16">E62/F62</f>
        <v>0</v>
      </c>
      <c r="H62" s="65">
        <v>0.01</v>
      </c>
      <c r="I62" s="65">
        <v>0.05</v>
      </c>
      <c r="J62" s="58">
        <f t="shared" ref="J62:J63" si="17">IF(G62&gt;=I62,2,IF(G62&gt;=H62,1,0))</f>
        <v>0</v>
      </c>
      <c r="K62" s="58"/>
    </row>
    <row r="63" spans="2:11" ht="16.8" thickBot="1">
      <c r="B63" s="31" t="s">
        <v>359</v>
      </c>
      <c r="C63" s="31" t="s">
        <v>427</v>
      </c>
      <c r="D63" s="43" t="s">
        <v>385</v>
      </c>
      <c r="E63" s="57">
        <f>SUMIFS(Extração_DataLake!AG:AG,Extração_DataLake!AC:AC,'Off-balance sheet exposures'!B63,Extração_DataLake!AD:AD,"Off-balance sheet exposures",Extração_DataLake!AE:AE,IFERROR(LEFT('Off-balance sheet exposures'!C63,FIND(" ",'Off-balance sheet exposures'!C63)-1),'Off-balance sheet exposures'!C63),Extração_DataLake!AF:AF,'Off-balance sheet exposures'!D63)</f>
        <v>0</v>
      </c>
      <c r="F63" s="57">
        <f>SUMIFS(Extração_DataLake!AH:AH,Extração_DataLake!AC:AC,'Off-balance sheet exposures'!B63,Extração_DataLake!AD:AD,"Off-balance sheet exposures",Extração_DataLake!AE:AE,IFERROR(LEFT('Off-balance sheet exposures'!C63,FIND(" ",'Off-balance sheet exposures'!C63)-1),'Off-balance sheet exposures'!C63),Extração_DataLake!AF:AF,'Off-balance sheet exposures'!D63)</f>
        <v>795831</v>
      </c>
      <c r="G63" s="54">
        <f t="shared" si="16"/>
        <v>0</v>
      </c>
      <c r="H63" s="65">
        <v>0.01</v>
      </c>
      <c r="I63" s="65">
        <v>0.05</v>
      </c>
      <c r="J63" s="58">
        <f t="shared" si="17"/>
        <v>0</v>
      </c>
      <c r="K63" s="58"/>
    </row>
    <row r="65" spans="2:11" ht="16.8">
      <c r="B65" s="40" t="s">
        <v>393</v>
      </c>
    </row>
    <row r="66" spans="2:11" ht="16.8">
      <c r="B66" s="40" t="s">
        <v>394</v>
      </c>
    </row>
    <row r="68" spans="2:11" ht="16.2">
      <c r="B68" s="34" t="s">
        <v>395</v>
      </c>
      <c r="C68" s="34"/>
      <c r="D68" s="34"/>
      <c r="E68" s="34"/>
      <c r="F68" s="34"/>
      <c r="G68" s="34"/>
      <c r="H68" s="34"/>
      <c r="I68" s="34"/>
      <c r="J68" s="34"/>
      <c r="K68" s="34"/>
    </row>
    <row r="69" spans="2:11" ht="14.4" thickBot="1">
      <c r="I69" s="64"/>
      <c r="J69" s="64"/>
      <c r="K69" s="64"/>
    </row>
    <row r="70" spans="2:11" ht="39.6" customHeight="1" thickBot="1">
      <c r="B70" s="46" t="s">
        <v>350</v>
      </c>
      <c r="C70" s="46" t="s">
        <v>351</v>
      </c>
      <c r="D70" s="53" t="s">
        <v>378</v>
      </c>
      <c r="E70" s="50" t="s">
        <v>379</v>
      </c>
      <c r="F70" s="50" t="s">
        <v>380</v>
      </c>
      <c r="G70" s="50" t="s">
        <v>381</v>
      </c>
      <c r="H70" s="51" t="s">
        <v>31</v>
      </c>
      <c r="I70" s="51" t="s">
        <v>32</v>
      </c>
      <c r="J70" s="50" t="s">
        <v>33</v>
      </c>
      <c r="K70" s="50" t="s">
        <v>20</v>
      </c>
    </row>
    <row r="71" spans="2:11" ht="16.8" thickBot="1">
      <c r="B71" s="31" t="s">
        <v>361</v>
      </c>
      <c r="C71" s="31" t="s">
        <v>396</v>
      </c>
      <c r="D71" s="43" t="s">
        <v>383</v>
      </c>
      <c r="E71" s="57">
        <f>SUMIFS(Extração_DataLake!AN:AN,Extração_DataLake!AJ:AJ,'Off-balance sheet exposures'!B71,Extração_DataLake!AK:AK,"Off-balance sheet exposures",Extração_DataLake!AL:AL,IFERROR(LEFT('Off-balance sheet exposures'!C71,FIND(" ",'Off-balance sheet exposures'!C71)-1),'Off-balance sheet exposures'!C71),Extração_DataLake!AM:AM,'Off-balance sheet exposures'!D71)</f>
        <v>24</v>
      </c>
      <c r="F71" s="57">
        <f>SUMIFS(Extração_DataLake!AO:AO,Extração_DataLake!AJ:AJ,'Off-balance sheet exposures'!B71,Extração_DataLake!AK:AK,"Off-balance sheet exposures",Extração_DataLake!AL:AL,IFERROR(LEFT('Off-balance sheet exposures'!C71,FIND(" ",'Off-balance sheet exposures'!C71)-1),'Off-balance sheet exposures'!C71),Extração_DataLake!AM:AM,'Off-balance sheet exposures'!D71)</f>
        <v>35839</v>
      </c>
      <c r="G71" s="54">
        <f>E71/F71</f>
        <v>6.6966154189570018E-4</v>
      </c>
      <c r="H71" s="65">
        <v>0.01</v>
      </c>
      <c r="I71" s="65">
        <v>0.05</v>
      </c>
      <c r="J71" s="58">
        <f>IF(G71&gt;=I71,2,IF(G71&gt;=H71,1,0))</f>
        <v>0</v>
      </c>
      <c r="K71" s="58"/>
    </row>
    <row r="72" spans="2:11" ht="16.2" customHeight="1" thickBot="1">
      <c r="B72" s="31" t="s">
        <v>361</v>
      </c>
      <c r="C72" s="31" t="s">
        <v>396</v>
      </c>
      <c r="D72" s="43" t="s">
        <v>384</v>
      </c>
      <c r="E72" s="57">
        <f>SUMIFS(Extração_DataLake!AN:AN,Extração_DataLake!AJ:AJ,'Off-balance sheet exposures'!B72,Extração_DataLake!AK:AK,"Off-balance sheet exposures",Extração_DataLake!AL:AL,IFERROR(LEFT('Off-balance sheet exposures'!C72,FIND(" ",'Off-balance sheet exposures'!C72)-1),'Off-balance sheet exposures'!C72),Extração_DataLake!AM:AM,'Off-balance sheet exposures'!D72)</f>
        <v>0</v>
      </c>
      <c r="F72" s="57">
        <f>SUMIFS(Extração_DataLake!AO:AO,Extração_DataLake!AJ:AJ,'Off-balance sheet exposures'!B72,Extração_DataLake!AK:AK,"Off-balance sheet exposures",Extração_DataLake!AL:AL,IFERROR(LEFT('Off-balance sheet exposures'!C72,FIND(" ",'Off-balance sheet exposures'!C72)-1),'Off-balance sheet exposures'!C72),Extração_DataLake!AM:AM,'Off-balance sheet exposures'!D72)</f>
        <v>35839</v>
      </c>
      <c r="G72" s="54">
        <f t="shared" ref="G72:G82" si="18">E72/F72</f>
        <v>0</v>
      </c>
      <c r="H72" s="65">
        <v>0.01</v>
      </c>
      <c r="I72" s="65">
        <v>0.05</v>
      </c>
      <c r="J72" s="58">
        <f t="shared" ref="J72:J82" si="19">IF(G72&gt;=I72,2,IF(G72&gt;=H72,1,0))</f>
        <v>0</v>
      </c>
      <c r="K72" s="58"/>
    </row>
    <row r="73" spans="2:11" ht="16.2" customHeight="1" thickBot="1">
      <c r="B73" s="31" t="s">
        <v>361</v>
      </c>
      <c r="C73" s="31" t="s">
        <v>397</v>
      </c>
      <c r="D73" s="43" t="s">
        <v>383</v>
      </c>
      <c r="E73" s="57">
        <f>SUMIFS(Extração_DataLake!AN:AN,Extração_DataLake!AJ:AJ,'Off-balance sheet exposures'!B73,Extração_DataLake!AK:AK,"Off-balance sheet exposures",Extração_DataLake!AL:AL,IFERROR(LEFT('Off-balance sheet exposures'!C73,FIND(" ",'Off-balance sheet exposures'!C73)-1),'Off-balance sheet exposures'!C73),Extração_DataLake!AM:AM,'Off-balance sheet exposures'!D73)</f>
        <v>2</v>
      </c>
      <c r="F73" s="57">
        <f>SUMIFS(Extração_DataLake!AO:AO,Extração_DataLake!AJ:AJ,'Off-balance sheet exposures'!B73,Extração_DataLake!AK:AK,"Off-balance sheet exposures",Extração_DataLake!AL:AL,IFERROR(LEFT('Off-balance sheet exposures'!C73,FIND(" ",'Off-balance sheet exposures'!C73)-1),'Off-balance sheet exposures'!C73),Extração_DataLake!AM:AM,'Off-balance sheet exposures'!D73)</f>
        <v>35839</v>
      </c>
      <c r="G73" s="54">
        <f t="shared" si="18"/>
        <v>5.5805128491308351E-5</v>
      </c>
      <c r="H73" s="65">
        <v>0.01</v>
      </c>
      <c r="I73" s="65">
        <v>0.05</v>
      </c>
      <c r="J73" s="58">
        <f t="shared" si="19"/>
        <v>0</v>
      </c>
      <c r="K73" s="58"/>
    </row>
    <row r="74" spans="2:11" ht="16.2" customHeight="1" thickBot="1">
      <c r="B74" s="31" t="s">
        <v>361</v>
      </c>
      <c r="C74" s="31" t="s">
        <v>397</v>
      </c>
      <c r="D74" s="43" t="s">
        <v>384</v>
      </c>
      <c r="E74" s="57">
        <f>SUMIFS(Extração_DataLake!AN:AN,Extração_DataLake!AJ:AJ,'Off-balance sheet exposures'!B74,Extração_DataLake!AK:AK,"Off-balance sheet exposures",Extração_DataLake!AL:AL,IFERROR(LEFT('Off-balance sheet exposures'!C74,FIND(" ",'Off-balance sheet exposures'!C74)-1),'Off-balance sheet exposures'!C74),Extração_DataLake!AM:AM,'Off-balance sheet exposures'!D74)</f>
        <v>0</v>
      </c>
      <c r="F74" s="57">
        <f>SUMIFS(Extração_DataLake!AO:AO,Extração_DataLake!AJ:AJ,'Off-balance sheet exposures'!B74,Extração_DataLake!AK:AK,"Off-balance sheet exposures",Extração_DataLake!AL:AL,IFERROR(LEFT('Off-balance sheet exposures'!C74,FIND(" ",'Off-balance sheet exposures'!C74)-1),'Off-balance sheet exposures'!C74),Extração_DataLake!AM:AM,'Off-balance sheet exposures'!D74)</f>
        <v>35839</v>
      </c>
      <c r="G74" s="54">
        <f t="shared" si="18"/>
        <v>0</v>
      </c>
      <c r="H74" s="65">
        <v>0.01</v>
      </c>
      <c r="I74" s="65">
        <v>0.05</v>
      </c>
      <c r="J74" s="58">
        <f t="shared" si="19"/>
        <v>0</v>
      </c>
      <c r="K74" s="58"/>
    </row>
    <row r="75" spans="2:11" ht="16.8" thickBot="1">
      <c r="B75" s="31" t="s">
        <v>361</v>
      </c>
      <c r="C75" s="31" t="s">
        <v>397</v>
      </c>
      <c r="D75" s="43" t="s">
        <v>385</v>
      </c>
      <c r="E75" s="57">
        <f>SUMIFS(Extração_DataLake!AN:AN,Extração_DataLake!AJ:AJ,'Off-balance sheet exposures'!B75,Extração_DataLake!AK:AK,"Off-balance sheet exposures",Extração_DataLake!AL:AL,IFERROR(LEFT('Off-balance sheet exposures'!C75,FIND(" ",'Off-balance sheet exposures'!C75)-1),'Off-balance sheet exposures'!C75),Extração_DataLake!AM:AM,'Off-balance sheet exposures'!D75)</f>
        <v>0</v>
      </c>
      <c r="F75" s="57">
        <f>SUMIFS(Extração_DataLake!AO:AO,Extração_DataLake!AJ:AJ,'Off-balance sheet exposures'!B75,Extração_DataLake!AK:AK,"Off-balance sheet exposures",Extração_DataLake!AL:AL,IFERROR(LEFT('Off-balance sheet exposures'!C75,FIND(" ",'Off-balance sheet exposures'!C75)-1),'Off-balance sheet exposures'!C75),Extração_DataLake!AM:AM,'Off-balance sheet exposures'!D75)</f>
        <v>35839</v>
      </c>
      <c r="G75" s="54">
        <f t="shared" si="18"/>
        <v>0</v>
      </c>
      <c r="H75" s="65">
        <v>0.01</v>
      </c>
      <c r="I75" s="65">
        <v>0.05</v>
      </c>
      <c r="J75" s="58">
        <f t="shared" si="19"/>
        <v>0</v>
      </c>
      <c r="K75" s="58"/>
    </row>
    <row r="76" spans="2:11" ht="16.8" thickBot="1">
      <c r="B76" s="31" t="s">
        <v>361</v>
      </c>
      <c r="C76" s="31" t="s">
        <v>398</v>
      </c>
      <c r="D76" s="43" t="s">
        <v>383</v>
      </c>
      <c r="E76" s="57">
        <f>SUMIFS(Extração_DataLake!AN:AN,Extração_DataLake!AJ:AJ,'Off-balance sheet exposures'!B76,Extração_DataLake!AK:AK,"Off-balance sheet exposures",Extração_DataLake!AL:AL,IFERROR(LEFT('Off-balance sheet exposures'!C76,FIND(" ",'Off-balance sheet exposures'!C76)-1),'Off-balance sheet exposures'!C76),Extração_DataLake!AM:AM,'Off-balance sheet exposures'!D76)</f>
        <v>0</v>
      </c>
      <c r="F76" s="57">
        <f>SUMIFS(Extração_DataLake!AO:AO,Extração_DataLake!AJ:AJ,'Off-balance sheet exposures'!B76,Extração_DataLake!AK:AK,"Off-balance sheet exposures",Extração_DataLake!AL:AL,IFERROR(LEFT('Off-balance sheet exposures'!C76,FIND(" ",'Off-balance sheet exposures'!C76)-1),'Off-balance sheet exposures'!C76),Extração_DataLake!AM:AM,'Off-balance sheet exposures'!D76)</f>
        <v>35839</v>
      </c>
      <c r="G76" s="54">
        <f t="shared" si="18"/>
        <v>0</v>
      </c>
      <c r="H76" s="65">
        <v>0.01</v>
      </c>
      <c r="I76" s="65">
        <v>0.05</v>
      </c>
      <c r="J76" s="58">
        <f t="shared" si="19"/>
        <v>0</v>
      </c>
      <c r="K76" s="58"/>
    </row>
    <row r="77" spans="2:11" ht="17.399999999999999" thickBot="1">
      <c r="B77" s="31" t="s">
        <v>361</v>
      </c>
      <c r="C77" s="31" t="s">
        <v>399</v>
      </c>
      <c r="D77" s="43" t="s">
        <v>384</v>
      </c>
      <c r="E77" s="57">
        <f>SUMIFS(Extração_DataLake!AN:AN,Extração_DataLake!AJ:AJ,'Off-balance sheet exposures'!B77,Extração_DataLake!AK:AK,"Off-balance sheet exposures",Extração_DataLake!AL:AL,IFERROR(LEFT('Off-balance sheet exposures'!C77,FIND(" ",'Off-balance sheet exposures'!C77)-1),'Off-balance sheet exposures'!C77),Extração_DataLake!AM:AM,'Off-balance sheet exposures'!D77)</f>
        <v>0</v>
      </c>
      <c r="F77" s="57">
        <f>SUMIFS(Extração_DataLake!AO:AO,Extração_DataLake!AJ:AJ,'Off-balance sheet exposures'!B77,Extração_DataLake!AK:AK,"Off-balance sheet exposures",Extração_DataLake!AL:AL,IFERROR(LEFT('Off-balance sheet exposures'!C77,FIND(" ",'Off-balance sheet exposures'!C77)-1),'Off-balance sheet exposures'!C77),Extração_DataLake!AM:AM,'Off-balance sheet exposures'!D77)</f>
        <v>35839</v>
      </c>
      <c r="G77" s="54">
        <f t="shared" si="18"/>
        <v>0</v>
      </c>
      <c r="H77" s="65">
        <v>0.01</v>
      </c>
      <c r="I77" s="65">
        <v>0.05</v>
      </c>
      <c r="J77" s="58">
        <f t="shared" si="19"/>
        <v>0</v>
      </c>
      <c r="K77" s="58"/>
    </row>
    <row r="78" spans="2:11" ht="16.8" thickBot="1">
      <c r="B78" s="31" t="s">
        <v>361</v>
      </c>
      <c r="C78" s="31" t="s">
        <v>400</v>
      </c>
      <c r="D78" s="43" t="s">
        <v>383</v>
      </c>
      <c r="E78" s="57">
        <f>SUMIFS(Extração_DataLake!AN:AN,Extração_DataLake!AJ:AJ,'Off-balance sheet exposures'!B78,Extração_DataLake!AK:AK,"Off-balance sheet exposures",Extração_DataLake!AL:AL,IFERROR(LEFT('Off-balance sheet exposures'!C78,FIND(" ",'Off-balance sheet exposures'!C78)-1),'Off-balance sheet exposures'!C78),Extração_DataLake!AM:AM,'Off-balance sheet exposures'!D78)</f>
        <v>0</v>
      </c>
      <c r="F78" s="57">
        <f>SUMIFS(Extração_DataLake!AO:AO,Extração_DataLake!AJ:AJ,'Off-balance sheet exposures'!B78,Extração_DataLake!AK:AK,"Off-balance sheet exposures",Extração_DataLake!AL:AL,IFERROR(LEFT('Off-balance sheet exposures'!C78,FIND(" ",'Off-balance sheet exposures'!C78)-1),'Off-balance sheet exposures'!C78),Extração_DataLake!AM:AM,'Off-balance sheet exposures'!D78)</f>
        <v>35839</v>
      </c>
      <c r="G78" s="54">
        <f t="shared" si="18"/>
        <v>0</v>
      </c>
      <c r="H78" s="65">
        <v>0.01</v>
      </c>
      <c r="I78" s="65">
        <v>0.05</v>
      </c>
      <c r="J78" s="58">
        <f t="shared" si="19"/>
        <v>0</v>
      </c>
      <c r="K78" s="58"/>
    </row>
    <row r="79" spans="2:11" ht="17.399999999999999" thickBot="1">
      <c r="B79" s="31" t="s">
        <v>361</v>
      </c>
      <c r="C79" s="31" t="s">
        <v>401</v>
      </c>
      <c r="D79" s="43" t="s">
        <v>384</v>
      </c>
      <c r="E79" s="57">
        <f>SUMIFS(Extração_DataLake!AN:AN,Extração_DataLake!AJ:AJ,'Off-balance sheet exposures'!B79,Extração_DataLake!AK:AK,"Off-balance sheet exposures",Extração_DataLake!AL:AL,IFERROR(LEFT('Off-balance sheet exposures'!C79,FIND(" ",'Off-balance sheet exposures'!C79)-1),'Off-balance sheet exposures'!C79),Extração_DataLake!AM:AM,'Off-balance sheet exposures'!D79)</f>
        <v>0</v>
      </c>
      <c r="F79" s="57">
        <f>SUMIFS(Extração_DataLake!AO:AO,Extração_DataLake!AJ:AJ,'Off-balance sheet exposures'!B79,Extração_DataLake!AK:AK,"Off-balance sheet exposures",Extração_DataLake!AL:AL,IFERROR(LEFT('Off-balance sheet exposures'!C79,FIND(" ",'Off-balance sheet exposures'!C79)-1),'Off-balance sheet exposures'!C79),Extração_DataLake!AM:AM,'Off-balance sheet exposures'!D79)</f>
        <v>35839</v>
      </c>
      <c r="G79" s="54">
        <f t="shared" si="18"/>
        <v>0</v>
      </c>
      <c r="H79" s="65">
        <v>0.01</v>
      </c>
      <c r="I79" s="65">
        <v>0.05</v>
      </c>
      <c r="J79" s="58">
        <f t="shared" si="19"/>
        <v>0</v>
      </c>
      <c r="K79" s="58"/>
    </row>
    <row r="80" spans="2:11" ht="16.8" thickBot="1">
      <c r="B80" s="31" t="s">
        <v>361</v>
      </c>
      <c r="C80" s="31" t="s">
        <v>402</v>
      </c>
      <c r="D80" s="43" t="s">
        <v>383</v>
      </c>
      <c r="E80" s="57">
        <f>SUMIFS(Extração_DataLake!AN:AN,Extração_DataLake!AJ:AJ,'Off-balance sheet exposures'!B80,Extração_DataLake!AK:AK,"Off-balance sheet exposures",Extração_DataLake!AL:AL,IFERROR(LEFT('Off-balance sheet exposures'!C80,FIND(" ",'Off-balance sheet exposures'!C80)-1),'Off-balance sheet exposures'!C80),Extração_DataLake!AM:AM,'Off-balance sheet exposures'!D80)</f>
        <v>0</v>
      </c>
      <c r="F80" s="57">
        <f>SUMIFS(Extração_DataLake!AO:AO,Extração_DataLake!AJ:AJ,'Off-balance sheet exposures'!B80,Extração_DataLake!AK:AK,"Off-balance sheet exposures",Extração_DataLake!AL:AL,IFERROR(LEFT('Off-balance sheet exposures'!C80,FIND(" ",'Off-balance sheet exposures'!C80)-1),'Off-balance sheet exposures'!C80),Extração_DataLake!AM:AM,'Off-balance sheet exposures'!D80)</f>
        <v>35839</v>
      </c>
      <c r="G80" s="54">
        <f t="shared" si="18"/>
        <v>0</v>
      </c>
      <c r="H80" s="65">
        <v>0.01</v>
      </c>
      <c r="I80" s="65">
        <v>0.05</v>
      </c>
      <c r="J80" s="58">
        <f t="shared" si="19"/>
        <v>0</v>
      </c>
      <c r="K80" s="58"/>
    </row>
    <row r="81" spans="2:11" ht="16.8" thickBot="1">
      <c r="B81" s="31" t="s">
        <v>361</v>
      </c>
      <c r="C81" s="31" t="s">
        <v>402</v>
      </c>
      <c r="D81" s="43" t="s">
        <v>384</v>
      </c>
      <c r="E81" s="57">
        <f>SUMIFS(Extração_DataLake!AN:AN,Extração_DataLake!AJ:AJ,'Off-balance sheet exposures'!B81,Extração_DataLake!AK:AK,"Off-balance sheet exposures",Extração_DataLake!AL:AL,IFERROR(LEFT('Off-balance sheet exposures'!C81,FIND(" ",'Off-balance sheet exposures'!C81)-1),'Off-balance sheet exposures'!C81),Extração_DataLake!AM:AM,'Off-balance sheet exposures'!D81)</f>
        <v>0</v>
      </c>
      <c r="F81" s="57">
        <f>SUMIFS(Extração_DataLake!AO:AO,Extração_DataLake!AJ:AJ,'Off-balance sheet exposures'!B81,Extração_DataLake!AK:AK,"Off-balance sheet exposures",Extração_DataLake!AL:AL,IFERROR(LEFT('Off-balance sheet exposures'!C81,FIND(" ",'Off-balance sheet exposures'!C81)-1),'Off-balance sheet exposures'!C81),Extração_DataLake!AM:AM,'Off-balance sheet exposures'!D81)</f>
        <v>35839</v>
      </c>
      <c r="G81" s="54">
        <f t="shared" si="18"/>
        <v>0</v>
      </c>
      <c r="H81" s="65">
        <v>0.01</v>
      </c>
      <c r="I81" s="65">
        <v>0.05</v>
      </c>
      <c r="J81" s="58">
        <f t="shared" si="19"/>
        <v>0</v>
      </c>
      <c r="K81" s="58"/>
    </row>
    <row r="82" spans="2:11" ht="16.8" thickBot="1">
      <c r="B82" s="31" t="s">
        <v>361</v>
      </c>
      <c r="C82" s="31" t="s">
        <v>402</v>
      </c>
      <c r="D82" s="43" t="s">
        <v>385</v>
      </c>
      <c r="E82" s="57">
        <f>SUMIFS(Extração_DataLake!AN:AN,Extração_DataLake!AJ:AJ,'Off-balance sheet exposures'!B82,Extração_DataLake!AK:AK,"Off-balance sheet exposures",Extração_DataLake!AL:AL,IFERROR(LEFT('Off-balance sheet exposures'!C82,FIND(" ",'Off-balance sheet exposures'!C82)-1),'Off-balance sheet exposures'!C82),Extração_DataLake!AM:AM,'Off-balance sheet exposures'!D82)</f>
        <v>0</v>
      </c>
      <c r="F82" s="57">
        <f>SUMIFS(Extração_DataLake!AO:AO,Extração_DataLake!AJ:AJ,'Off-balance sheet exposures'!B82,Extração_DataLake!AK:AK,"Off-balance sheet exposures",Extração_DataLake!AL:AL,IFERROR(LEFT('Off-balance sheet exposures'!C82,FIND(" ",'Off-balance sheet exposures'!C82)-1),'Off-balance sheet exposures'!C82),Extração_DataLake!AM:AM,'Off-balance sheet exposures'!D82)</f>
        <v>35839</v>
      </c>
      <c r="G82" s="54">
        <f t="shared" si="18"/>
        <v>0</v>
      </c>
      <c r="H82" s="65">
        <v>0.01</v>
      </c>
      <c r="I82" s="65">
        <v>0.05</v>
      </c>
      <c r="J82" s="58">
        <f t="shared" si="19"/>
        <v>0</v>
      </c>
      <c r="K82" s="58"/>
    </row>
    <row r="84" spans="2:11" ht="16.8">
      <c r="B84" s="40" t="s">
        <v>403</v>
      </c>
    </row>
    <row r="101" ht="16.2" customHeight="1"/>
    <row r="102" ht="16.2" customHeight="1"/>
    <row r="103" ht="16.2" customHeight="1"/>
  </sheetData>
  <conditionalFormatting sqref="G9:G13">
    <cfRule type="iconSet" priority="5">
      <iconSet showValue="0" reverse="1">
        <cfvo type="percent" val="0"/>
        <cfvo type="num" val="1"/>
        <cfvo type="num" val="1"/>
      </iconSet>
    </cfRule>
  </conditionalFormatting>
  <conditionalFormatting sqref="G18:G24">
    <cfRule type="iconSet" priority="6">
      <iconSet showValue="0" reverse="1">
        <cfvo type="percent" val="0"/>
        <cfvo type="num" val="1"/>
        <cfvo type="num" val="1"/>
      </iconSet>
    </cfRule>
  </conditionalFormatting>
  <conditionalFormatting sqref="J71:J82">
    <cfRule type="iconSet" priority="3">
      <iconSet showValue="0" reverse="1">
        <cfvo type="percent" val="0"/>
        <cfvo type="num" val="1"/>
        <cfvo type="num" val="2"/>
      </iconSet>
    </cfRule>
  </conditionalFormatting>
  <conditionalFormatting sqref="J45:J63">
    <cfRule type="iconSet" priority="50">
      <iconSet showValue="0" reverse="1">
        <cfvo type="percent" val="0"/>
        <cfvo type="num" val="1"/>
        <cfvo type="num" val="2"/>
      </iconSet>
    </cfRule>
  </conditionalFormatting>
  <conditionalFormatting sqref="J30:J39">
    <cfRule type="iconSet" priority="65">
      <iconSet showValue="0" reverse="1">
        <cfvo type="percent" val="0"/>
        <cfvo type="num" val="1"/>
        <cfvo type="num" val="2"/>
      </iconSet>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9A8E7-C6A9-44B3-A65E-F7ED1DD088DC}">
  <sheetPr codeName="Sheet19">
    <tabColor theme="9" tint="0.39997558519241921"/>
  </sheetPr>
  <dimension ref="A1:AI44"/>
  <sheetViews>
    <sheetView showGridLines="0" zoomScale="90" zoomScaleNormal="90" workbookViewId="0"/>
  </sheetViews>
  <sheetFormatPr defaultColWidth="0" defaultRowHeight="13.8"/>
  <cols>
    <col min="1" max="1" width="3.296875" style="61" customWidth="1"/>
    <col min="2" max="4" width="27.69921875" style="61" customWidth="1"/>
    <col min="5" max="10" width="22.296875" style="61" customWidth="1"/>
    <col min="11" max="11" width="66.69921875" style="61" customWidth="1"/>
    <col min="12" max="12" width="3.296875" style="61" customWidth="1"/>
    <col min="13" max="16" width="21.69921875" hidden="1" customWidth="1"/>
    <col min="17" max="17" width="5.59765625" hidden="1" customWidth="1"/>
    <col min="18" max="18" width="44.3984375" hidden="1" customWidth="1"/>
    <col min="19" max="19" width="5.59765625" hidden="1" customWidth="1"/>
    <col min="20" max="29" width="21.69921875" hidden="1" customWidth="1"/>
    <col min="30" max="30" width="3.296875" hidden="1" customWidth="1"/>
    <col min="31" max="31" width="18.296875" hidden="1" customWidth="1"/>
    <col min="32" max="32" width="13.296875" hidden="1" customWidth="1"/>
    <col min="33" max="35" width="15.59765625" hidden="1" customWidth="1"/>
    <col min="36" max="16384" width="9"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4.4"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COUNTIFS(Extração_DataLake!I:I,Derivatives!B9,Extração_DataLake!J:J,"Derivatives")</f>
        <v>0</v>
      </c>
      <c r="F9" s="58" t="s">
        <v>358</v>
      </c>
      <c r="G9" s="58">
        <f>IF(E9&gt;0,1,0)</f>
        <v>0</v>
      </c>
      <c r="H9" s="58"/>
    </row>
    <row r="10" spans="1:12">
      <c r="G10" s="64"/>
      <c r="H10" s="64"/>
    </row>
    <row r="12" spans="1:12" ht="16.2">
      <c r="B12" s="34" t="s">
        <v>377</v>
      </c>
      <c r="C12" s="34"/>
      <c r="D12" s="34"/>
      <c r="E12" s="34"/>
      <c r="F12" s="34"/>
      <c r="G12" s="34"/>
      <c r="H12" s="34"/>
      <c r="I12" s="34"/>
      <c r="J12" s="34"/>
      <c r="K12" s="34"/>
    </row>
    <row r="13" spans="1:12" ht="14.4" thickBot="1">
      <c r="G13" s="64"/>
      <c r="H13" s="64"/>
      <c r="I13" s="64"/>
      <c r="J13" s="64"/>
      <c r="K13" s="64"/>
    </row>
    <row r="14" spans="1:12" ht="39.6" customHeight="1" thickBot="1">
      <c r="B14" s="46" t="s">
        <v>350</v>
      </c>
      <c r="C14" s="46" t="s">
        <v>351</v>
      </c>
      <c r="D14" s="53" t="s">
        <v>378</v>
      </c>
      <c r="E14" s="50" t="s">
        <v>379</v>
      </c>
      <c r="F14" s="50" t="s">
        <v>380</v>
      </c>
      <c r="G14" s="50" t="s">
        <v>381</v>
      </c>
      <c r="H14" s="51" t="s">
        <v>31</v>
      </c>
      <c r="I14" s="51" t="s">
        <v>32</v>
      </c>
      <c r="J14" s="50" t="s">
        <v>33</v>
      </c>
      <c r="K14" s="50" t="s">
        <v>20</v>
      </c>
    </row>
    <row r="15" spans="1:12" ht="16.8" thickBot="1">
      <c r="B15" s="31" t="s">
        <v>355</v>
      </c>
      <c r="C15" s="31" t="s">
        <v>428</v>
      </c>
      <c r="D15" s="43" t="s">
        <v>383</v>
      </c>
      <c r="E15" s="57">
        <f>SUMIFS(Extração_DataLake!Z:Z,Extração_DataLake!V:V,B15,Extração_DataLake!W:W,"Derivatives",Extração_DataLake!X:X,IFERROR(LEFT(C15,FIND(" ",C15)-1),C15),Extração_DataLake!Y:Y,D15)</f>
        <v>0</v>
      </c>
      <c r="F15" s="57">
        <f>SUMIFS(Extração_DataLake!AA:AA,Extração_DataLake!V:V,B15,Extração_DataLake!W:W,"Derivatives",Extração_DataLake!X:X,IFERROR(LEFT(C15,FIND(" ",C15)-1),C15),Extração_DataLake!Y:Y,D15)</f>
        <v>843</v>
      </c>
      <c r="G15" s="54">
        <f>E15/F15</f>
        <v>0</v>
      </c>
      <c r="H15" s="65">
        <v>0.01</v>
      </c>
      <c r="I15" s="65">
        <v>0.05</v>
      </c>
      <c r="J15" s="58">
        <f>IF(G15&gt;=I15,2,IF(G15&gt;=H15,1,0))</f>
        <v>0</v>
      </c>
      <c r="K15" s="58"/>
    </row>
    <row r="16" spans="1:12" ht="16.8" thickBot="1">
      <c r="B16" s="31" t="s">
        <v>355</v>
      </c>
      <c r="C16" s="31" t="s">
        <v>428</v>
      </c>
      <c r="D16" s="43" t="s">
        <v>384</v>
      </c>
      <c r="E16" s="57">
        <f>SUMIFS(Extração_DataLake!Z:Z,Extração_DataLake!V:V,B16,Extração_DataLake!W:W,"Derivatives",Extração_DataLake!X:X,IFERROR(LEFT(C16,FIND(" ",C16)-1),C16),Extração_DataLake!Y:Y,D16)</f>
        <v>0</v>
      </c>
      <c r="F16" s="57">
        <f>SUMIFS(Extração_DataLake!AA:AA,Extração_DataLake!V:V,B16,Extração_DataLake!W:W,"Derivatives",Extração_DataLake!X:X,IFERROR(LEFT(C16,FIND(" ",C16)-1),C16),Extração_DataLake!Y:Y,D16)</f>
        <v>843</v>
      </c>
      <c r="G16" s="54">
        <f t="shared" ref="G16:G22" si="0">E16/F16</f>
        <v>0</v>
      </c>
      <c r="H16" s="65">
        <v>0.01</v>
      </c>
      <c r="I16" s="65">
        <v>0.05</v>
      </c>
      <c r="J16" s="58">
        <f t="shared" ref="J16:J22" si="1">IF(G16&gt;=I16,2,IF(G16&gt;=H16,1,0))</f>
        <v>0</v>
      </c>
      <c r="K16" s="58"/>
    </row>
    <row r="17" spans="2:11" ht="16.8" thickBot="1">
      <c r="B17" s="31" t="s">
        <v>355</v>
      </c>
      <c r="C17" s="31" t="s">
        <v>409</v>
      </c>
      <c r="D17" s="43" t="s">
        <v>383</v>
      </c>
      <c r="E17" s="57">
        <f>SUMIFS(Extração_DataLake!Z:Z,Extração_DataLake!V:V,B17,Extração_DataLake!W:W,"Derivatives",Extração_DataLake!X:X,IFERROR(LEFT(C17,FIND(" ",C17)-1),C17),Extração_DataLake!Y:Y,D17)</f>
        <v>496</v>
      </c>
      <c r="F17" s="57">
        <f>SUMIFS(Extração_DataLake!AA:AA,Extração_DataLake!V:V,B17,Extração_DataLake!W:W,"Derivatives",Extração_DataLake!X:X,IFERROR(LEFT(C17,FIND(" ",C17)-1),C17),Extração_DataLake!Y:Y,D17)</f>
        <v>843</v>
      </c>
      <c r="G17" s="54">
        <f t="shared" si="0"/>
        <v>0.58837485172004744</v>
      </c>
      <c r="H17" s="65">
        <v>0.01</v>
      </c>
      <c r="I17" s="65">
        <v>0.05</v>
      </c>
      <c r="J17" s="58">
        <f t="shared" si="1"/>
        <v>2</v>
      </c>
      <c r="K17" s="69" t="s">
        <v>429</v>
      </c>
    </row>
    <row r="18" spans="2:11" ht="16.8" thickBot="1">
      <c r="B18" s="31" t="s">
        <v>355</v>
      </c>
      <c r="C18" s="31" t="s">
        <v>409</v>
      </c>
      <c r="D18" s="43" t="s">
        <v>384</v>
      </c>
      <c r="E18" s="57">
        <f>SUMIFS(Extração_DataLake!Z:Z,Extração_DataLake!V:V,B18,Extração_DataLake!W:W,"Derivatives",Extração_DataLake!X:X,IFERROR(LEFT(C18,FIND(" ",C18)-1),C18),Extração_DataLake!Y:Y,D18)</f>
        <v>0</v>
      </c>
      <c r="F18" s="57">
        <f>SUMIFS(Extração_DataLake!AA:AA,Extração_DataLake!V:V,B18,Extração_DataLake!W:W,"Derivatives",Extração_DataLake!X:X,IFERROR(LEFT(C18,FIND(" ",C18)-1),C18),Extração_DataLake!Y:Y,D18)</f>
        <v>843</v>
      </c>
      <c r="G18" s="54">
        <f t="shared" si="0"/>
        <v>0</v>
      </c>
      <c r="H18" s="65">
        <v>0.01</v>
      </c>
      <c r="I18" s="65">
        <v>0.05</v>
      </c>
      <c r="J18" s="58">
        <f t="shared" si="1"/>
        <v>0</v>
      </c>
      <c r="K18" s="58"/>
    </row>
    <row r="19" spans="2:11" ht="16.8" thickBot="1">
      <c r="B19" s="31" t="s">
        <v>355</v>
      </c>
      <c r="C19" s="31" t="s">
        <v>409</v>
      </c>
      <c r="D19" s="43" t="s">
        <v>385</v>
      </c>
      <c r="E19" s="57">
        <f>SUMIFS(Extração_DataLake!Z:Z,Extração_DataLake!V:V,B19,Extração_DataLake!W:W,"Derivatives",Extração_DataLake!X:X,IFERROR(LEFT(C19,FIND(" ",C19)-1),C19),Extração_DataLake!Y:Y,D19)</f>
        <v>0</v>
      </c>
      <c r="F19" s="57">
        <f>SUMIFS(Extração_DataLake!AA:AA,Extração_DataLake!V:V,B19,Extração_DataLake!W:W,"Derivatives",Extração_DataLake!X:X,IFERROR(LEFT(C19,FIND(" ",C19)-1),C19),Extração_DataLake!Y:Y,D19)</f>
        <v>843</v>
      </c>
      <c r="G19" s="54">
        <f t="shared" si="0"/>
        <v>0</v>
      </c>
      <c r="H19" s="65">
        <v>0.01</v>
      </c>
      <c r="I19" s="65">
        <v>0.05</v>
      </c>
      <c r="J19" s="58">
        <f t="shared" si="1"/>
        <v>0</v>
      </c>
      <c r="K19" s="58"/>
    </row>
    <row r="20" spans="2:11" ht="16.8" thickBot="1">
      <c r="B20" s="31" t="s">
        <v>355</v>
      </c>
      <c r="C20" s="31" t="s">
        <v>412</v>
      </c>
      <c r="D20" s="43" t="s">
        <v>383</v>
      </c>
      <c r="E20" s="57">
        <f>SUMIFS(Extração_DataLake!Z:Z,Extração_DataLake!V:V,B20,Extração_DataLake!W:W,"Derivatives",Extração_DataLake!X:X,IFERROR(LEFT(C20,FIND(" ",C20)-1),C20),Extração_DataLake!Y:Y,D20)</f>
        <v>0</v>
      </c>
      <c r="F20" s="57">
        <f>SUMIFS(Extração_DataLake!AA:AA,Extração_DataLake!V:V,B20,Extração_DataLake!W:W,"Derivatives",Extração_DataLake!X:X,IFERROR(LEFT(C20,FIND(" ",C20)-1),C20),Extração_DataLake!Y:Y,D20)</f>
        <v>843</v>
      </c>
      <c r="G20" s="54">
        <f t="shared" si="0"/>
        <v>0</v>
      </c>
      <c r="H20" s="65">
        <v>0.01</v>
      </c>
      <c r="I20" s="65">
        <v>0.05</v>
      </c>
      <c r="J20" s="58">
        <f t="shared" si="1"/>
        <v>0</v>
      </c>
      <c r="K20" s="58"/>
    </row>
    <row r="21" spans="2:11" ht="16.8" thickBot="1">
      <c r="B21" s="31" t="s">
        <v>355</v>
      </c>
      <c r="C21" s="31" t="s">
        <v>412</v>
      </c>
      <c r="D21" s="43" t="s">
        <v>384</v>
      </c>
      <c r="E21" s="57">
        <f>SUMIFS(Extração_DataLake!Z:Z,Extração_DataLake!V:V,B21,Extração_DataLake!W:W,"Derivatives",Extração_DataLake!X:X,IFERROR(LEFT(C21,FIND(" ",C21)-1),C21),Extração_DataLake!Y:Y,D21)</f>
        <v>816</v>
      </c>
      <c r="F21" s="57">
        <f>SUMIFS(Extração_DataLake!AA:AA,Extração_DataLake!V:V,B21,Extração_DataLake!W:W,"Derivatives",Extração_DataLake!X:X,IFERROR(LEFT(C21,FIND(" ",C21)-1),C21),Extração_DataLake!Y:Y,D21)</f>
        <v>843</v>
      </c>
      <c r="G21" s="54">
        <f t="shared" si="0"/>
        <v>0.96797153024911031</v>
      </c>
      <c r="H21" s="65">
        <v>0.01</v>
      </c>
      <c r="I21" s="65">
        <v>0.05</v>
      </c>
      <c r="J21" s="58">
        <f t="shared" si="1"/>
        <v>2</v>
      </c>
      <c r="K21" s="75" t="s">
        <v>413</v>
      </c>
    </row>
    <row r="22" spans="2:11" ht="16.8" thickBot="1">
      <c r="B22" s="31" t="s">
        <v>355</v>
      </c>
      <c r="C22" s="31" t="s">
        <v>412</v>
      </c>
      <c r="D22" s="43" t="s">
        <v>385</v>
      </c>
      <c r="E22" s="57">
        <f>SUMIFS(Extração_DataLake!Z:Z,Extração_DataLake!V:V,B22,Extração_DataLake!W:W,"Derivatives",Extração_DataLake!X:X,IFERROR(LEFT(C22,FIND(" ",C22)-1),C22),Extração_DataLake!Y:Y,D22)</f>
        <v>0</v>
      </c>
      <c r="F22" s="57">
        <f>SUMIFS(Extração_DataLake!AA:AA,Extração_DataLake!V:V,B22,Extração_DataLake!W:W,"Derivatives",Extração_DataLake!X:X,IFERROR(LEFT(C22,FIND(" ",C22)-1),C22),Extração_DataLake!Y:Y,D22)</f>
        <v>843</v>
      </c>
      <c r="G22" s="54">
        <f t="shared" si="0"/>
        <v>0</v>
      </c>
      <c r="H22" s="65">
        <v>0.01</v>
      </c>
      <c r="I22" s="65">
        <v>0.05</v>
      </c>
      <c r="J22" s="58">
        <f t="shared" si="1"/>
        <v>0</v>
      </c>
      <c r="K22" s="58"/>
    </row>
    <row r="24" spans="2:11" ht="16.2">
      <c r="B24" s="40"/>
    </row>
    <row r="42" ht="16.2" customHeight="1"/>
    <row r="43" ht="16.2" customHeight="1"/>
    <row r="44" ht="16.2" customHeight="1"/>
  </sheetData>
  <conditionalFormatting sqref="G9">
    <cfRule type="iconSet" priority="38">
      <iconSet showValue="0" reverse="1">
        <cfvo type="percent" val="0"/>
        <cfvo type="num" val="1"/>
        <cfvo type="num" val="1"/>
      </iconSet>
    </cfRule>
  </conditionalFormatting>
  <conditionalFormatting sqref="J15:J22">
    <cfRule type="iconSet" priority="63">
      <iconSet showValue="0" reverse="1">
        <cfvo type="percent" val="0"/>
        <cfvo type="num" val="1"/>
        <cfvo type="num" val="2"/>
      </iconSet>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CEB3-1F89-45DF-BADE-E87FFA37AE08}">
  <sheetPr codeName="Sheet20">
    <tabColor theme="9" tint="0.39997558519241921"/>
  </sheetPr>
  <dimension ref="A1:AI75"/>
  <sheetViews>
    <sheetView showGridLines="0" zoomScale="90" zoomScaleNormal="90" workbookViewId="0"/>
  </sheetViews>
  <sheetFormatPr defaultColWidth="0" defaultRowHeight="13.2"/>
  <cols>
    <col min="1" max="1" width="3.296875" style="61" customWidth="1"/>
    <col min="2" max="4" width="27.69921875" style="61" customWidth="1"/>
    <col min="5" max="10" width="22.296875" style="61" customWidth="1"/>
    <col min="11" max="11" width="66.69921875" style="61" customWidth="1"/>
    <col min="12" max="12" width="3.296875" style="61" customWidth="1"/>
    <col min="13" max="16" width="21.69921875" style="61" hidden="1" customWidth="1"/>
    <col min="17" max="17" width="5.59765625" style="61" hidden="1" customWidth="1"/>
    <col min="18" max="18" width="44.3984375" style="61" hidden="1" customWidth="1"/>
    <col min="19" max="19" width="5.59765625" style="61" hidden="1" customWidth="1"/>
    <col min="20" max="29" width="21.69921875" style="61" hidden="1" customWidth="1"/>
    <col min="30" max="30" width="3.296875" style="61" hidden="1" customWidth="1"/>
    <col min="31" max="31" width="18.296875" style="61" hidden="1" customWidth="1"/>
    <col min="32" max="32" width="13.296875" style="61" hidden="1" customWidth="1"/>
    <col min="33" max="35" width="15.59765625" style="61" hidden="1" customWidth="1"/>
    <col min="36" max="16384" width="9" style="61"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3.8"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COUNTIFS(Extração_DataLake!I:I,'Debt securities'!B9,Extração_DataLake!J:J,"Debt securities")</f>
        <v>0</v>
      </c>
      <c r="F9" s="58" t="s">
        <v>358</v>
      </c>
      <c r="G9" s="58">
        <f>IF(E9&gt;0,1,0)</f>
        <v>0</v>
      </c>
      <c r="H9" s="58"/>
    </row>
    <row r="10" spans="1:12">
      <c r="G10" s="64"/>
      <c r="H10" s="64"/>
    </row>
    <row r="12" spans="1:12" ht="16.2">
      <c r="B12" s="34" t="s">
        <v>377</v>
      </c>
      <c r="C12" s="34"/>
      <c r="D12" s="34"/>
      <c r="E12" s="34"/>
      <c r="F12" s="34"/>
      <c r="G12" s="34"/>
      <c r="H12" s="34"/>
      <c r="I12" s="34"/>
      <c r="J12" s="34"/>
      <c r="K12" s="34"/>
    </row>
    <row r="13" spans="1:12" ht="13.8" thickBot="1">
      <c r="G13" s="64"/>
      <c r="H13" s="64"/>
      <c r="I13" s="64"/>
      <c r="J13" s="64"/>
      <c r="K13" s="64"/>
    </row>
    <row r="14" spans="1:12" ht="39.6" customHeight="1" thickBot="1">
      <c r="B14" s="46" t="s">
        <v>350</v>
      </c>
      <c r="C14" s="46" t="s">
        <v>351</v>
      </c>
      <c r="D14" s="53" t="s">
        <v>378</v>
      </c>
      <c r="E14" s="50" t="s">
        <v>379</v>
      </c>
      <c r="F14" s="50" t="s">
        <v>380</v>
      </c>
      <c r="G14" s="50" t="s">
        <v>381</v>
      </c>
      <c r="H14" s="51" t="s">
        <v>31</v>
      </c>
      <c r="I14" s="51" t="s">
        <v>32</v>
      </c>
      <c r="J14" s="50" t="s">
        <v>33</v>
      </c>
      <c r="K14" s="50" t="s">
        <v>20</v>
      </c>
    </row>
    <row r="15" spans="1:12" ht="16.8" thickBot="1">
      <c r="B15" s="31" t="s">
        <v>355</v>
      </c>
      <c r="C15" s="31" t="s">
        <v>430</v>
      </c>
      <c r="D15" s="43" t="s">
        <v>383</v>
      </c>
      <c r="E15" s="57">
        <f>SUMIFS(Extração_DataLake!Z:Z,Extração_DataLake!V:V,B15,Extração_DataLake!W:W,"Debt securities",Extração_DataLake!X:X,IFERROR(LEFT(C15,FIND(" ",C15)-1),C15),Extração_DataLake!Y:Y,D15)</f>
        <v>0</v>
      </c>
      <c r="F15" s="57">
        <f>SUMIFS(Extração_DataLake!AA:AA,Extração_DataLake!V:V,B15,Extração_DataLake!W:W,"Debt securities",Extração_DataLake!X:X,IFERROR(LEFT(C15,FIND(" ",C15)-1),C15),Extração_DataLake!Y:Y,D15)</f>
        <v>463</v>
      </c>
      <c r="G15" s="54">
        <f>E15/F15</f>
        <v>0</v>
      </c>
      <c r="H15" s="65">
        <v>0.01</v>
      </c>
      <c r="I15" s="65">
        <v>0.05</v>
      </c>
      <c r="J15" s="58">
        <f>IF(G15&gt;=I15,2,IF(G15&gt;=H15,1,0))</f>
        <v>0</v>
      </c>
      <c r="K15" s="58"/>
    </row>
    <row r="16" spans="1:12" ht="16.8" thickBot="1">
      <c r="B16" s="31" t="s">
        <v>355</v>
      </c>
      <c r="C16" s="31" t="s">
        <v>430</v>
      </c>
      <c r="D16" s="43" t="s">
        <v>384</v>
      </c>
      <c r="E16" s="57">
        <f>SUMIFS(Extração_DataLake!Z:Z,Extração_DataLake!V:V,B16,Extração_DataLake!W:W,"Debt securities",Extração_DataLake!X:X,IFERROR(LEFT(C16,FIND(" ",C16)-1),C16),Extração_DataLake!Y:Y,D16)</f>
        <v>0</v>
      </c>
      <c r="F16" s="57">
        <f>SUMIFS(Extração_DataLake!AA:AA,Extração_DataLake!V:V,B16,Extração_DataLake!W:W,"Debt securities",Extração_DataLake!X:X,IFERROR(LEFT(C16,FIND(" ",C16)-1),C16),Extração_DataLake!Y:Y,D16)</f>
        <v>463</v>
      </c>
      <c r="G16" s="54">
        <f t="shared" ref="G16:G53" si="0">E16/F16</f>
        <v>0</v>
      </c>
      <c r="H16" s="65">
        <v>0.01</v>
      </c>
      <c r="I16" s="65">
        <v>0.05</v>
      </c>
      <c r="J16" s="58">
        <f t="shared" ref="J16:J53" si="1">IF(G16&gt;=I16,2,IF(G16&gt;=H16,1,0))</f>
        <v>0</v>
      </c>
      <c r="K16" s="58"/>
    </row>
    <row r="17" spans="1:11" ht="16.8" thickBot="1">
      <c r="B17" s="31" t="s">
        <v>355</v>
      </c>
      <c r="C17" s="31" t="s">
        <v>430</v>
      </c>
      <c r="D17" s="43" t="s">
        <v>385</v>
      </c>
      <c r="E17" s="57">
        <f>SUMIFS(Extração_DataLake!Z:Z,Extração_DataLake!V:V,B17,Extração_DataLake!W:W,"Debt securities",Extração_DataLake!X:X,IFERROR(LEFT(C17,FIND(" ",C17)-1),C17),Extração_DataLake!Y:Y,D17)</f>
        <v>0</v>
      </c>
      <c r="F17" s="57">
        <f>SUMIFS(Extração_DataLake!AA:AA,Extração_DataLake!V:V,B17,Extração_DataLake!W:W,"Debt securities",Extração_DataLake!X:X,IFERROR(LEFT(C17,FIND(" ",C17)-1),C17),Extração_DataLake!Y:Y,D17)</f>
        <v>463</v>
      </c>
      <c r="G17" s="54">
        <f t="shared" si="0"/>
        <v>0</v>
      </c>
      <c r="H17" s="65">
        <v>0.01</v>
      </c>
      <c r="I17" s="65">
        <v>0.05</v>
      </c>
      <c r="J17" s="58">
        <f t="shared" si="1"/>
        <v>0</v>
      </c>
      <c r="K17" s="58"/>
    </row>
    <row r="18" spans="1:11" ht="16.8" thickBot="1">
      <c r="B18" s="31" t="s">
        <v>355</v>
      </c>
      <c r="C18" s="31" t="s">
        <v>408</v>
      </c>
      <c r="D18" s="43" t="s">
        <v>383</v>
      </c>
      <c r="E18" s="57">
        <f>SUMIFS(Extração_DataLake!Z:Z,Extração_DataLake!V:V,B18,Extração_DataLake!W:W,"Debt securities",Extração_DataLake!X:X,IFERROR(LEFT(C18,FIND(" ",C18)-1),C18),Extração_DataLake!Y:Y,D18)</f>
        <v>0</v>
      </c>
      <c r="F18" s="57">
        <f>SUMIFS(Extração_DataLake!AA:AA,Extração_DataLake!V:V,B18,Extração_DataLake!W:W,"Debt securities",Extração_DataLake!X:X,IFERROR(LEFT(C18,FIND(" ",C18)-1),C18),Extração_DataLake!Y:Y,D18)</f>
        <v>463</v>
      </c>
      <c r="G18" s="54">
        <f t="shared" si="0"/>
        <v>0</v>
      </c>
      <c r="H18" s="65">
        <v>0.01</v>
      </c>
      <c r="I18" s="65">
        <v>0.05</v>
      </c>
      <c r="J18" s="58">
        <f t="shared" si="1"/>
        <v>0</v>
      </c>
      <c r="K18" s="58"/>
    </row>
    <row r="19" spans="1:11" ht="16.8" thickBot="1">
      <c r="B19" s="31" t="s">
        <v>355</v>
      </c>
      <c r="C19" s="31" t="s">
        <v>408</v>
      </c>
      <c r="D19" s="43" t="s">
        <v>384</v>
      </c>
      <c r="E19" s="57">
        <f>SUMIFS(Extração_DataLake!Z:Z,Extração_DataLake!V:V,B19,Extração_DataLake!W:W,"Debt securities",Extração_DataLake!X:X,IFERROR(LEFT(C19,FIND(" ",C19)-1),C19),Extração_DataLake!Y:Y,D19)</f>
        <v>0</v>
      </c>
      <c r="F19" s="57">
        <f>SUMIFS(Extração_DataLake!AA:AA,Extração_DataLake!V:V,B19,Extração_DataLake!W:W,"Debt securities",Extração_DataLake!X:X,IFERROR(LEFT(C19,FIND(" ",C19)-1),C19),Extração_DataLake!Y:Y,D19)</f>
        <v>463</v>
      </c>
      <c r="G19" s="54">
        <f t="shared" si="0"/>
        <v>0</v>
      </c>
      <c r="H19" s="65">
        <v>0.01</v>
      </c>
      <c r="I19" s="65">
        <v>0.05</v>
      </c>
      <c r="J19" s="58">
        <f t="shared" si="1"/>
        <v>0</v>
      </c>
      <c r="K19" s="58"/>
    </row>
    <row r="20" spans="1:11" ht="16.8" thickBot="1">
      <c r="B20" s="31" t="s">
        <v>355</v>
      </c>
      <c r="C20" s="31" t="s">
        <v>408</v>
      </c>
      <c r="D20" s="43" t="s">
        <v>385</v>
      </c>
      <c r="E20" s="57">
        <f>SUMIFS(Extração_DataLake!Z:Z,Extração_DataLake!V:V,B20,Extração_DataLake!W:W,"Debt securities",Extração_DataLake!X:X,IFERROR(LEFT(C20,FIND(" ",C20)-1),C20),Extração_DataLake!Y:Y,D20)</f>
        <v>0</v>
      </c>
      <c r="F20" s="57">
        <f>SUMIFS(Extração_DataLake!AA:AA,Extração_DataLake!V:V,B20,Extração_DataLake!W:W,"Debt securities",Extração_DataLake!X:X,IFERROR(LEFT(C20,FIND(" ",C20)-1),C20),Extração_DataLake!Y:Y,D20)</f>
        <v>463</v>
      </c>
      <c r="G20" s="54">
        <f t="shared" si="0"/>
        <v>0</v>
      </c>
      <c r="H20" s="65">
        <v>0.01</v>
      </c>
      <c r="I20" s="65">
        <v>0.05</v>
      </c>
      <c r="J20" s="58">
        <f t="shared" si="1"/>
        <v>0</v>
      </c>
      <c r="K20" s="58"/>
    </row>
    <row r="21" spans="1:11" ht="16.8" thickBot="1">
      <c r="B21" s="31" t="s">
        <v>355</v>
      </c>
      <c r="C21" s="31" t="s">
        <v>409</v>
      </c>
      <c r="D21" s="43" t="s">
        <v>383</v>
      </c>
      <c r="E21" s="57">
        <f>SUMIFS(Extração_DataLake!Z:Z,Extração_DataLake!V:V,B21,Extração_DataLake!W:W,"Debt securities",Extração_DataLake!X:X,IFERROR(LEFT(C21,FIND(" ",C21)-1),C21),Extração_DataLake!Y:Y,D21)</f>
        <v>0</v>
      </c>
      <c r="F21" s="57">
        <f>SUMIFS(Extração_DataLake!AA:AA,Extração_DataLake!V:V,B21,Extração_DataLake!W:W,"Debt securities",Extração_DataLake!X:X,IFERROR(LEFT(C21,FIND(" ",C21)-1),C21),Extração_DataLake!Y:Y,D21)</f>
        <v>463</v>
      </c>
      <c r="G21" s="54">
        <f t="shared" si="0"/>
        <v>0</v>
      </c>
      <c r="H21" s="65">
        <v>0.01</v>
      </c>
      <c r="I21" s="65">
        <v>0.05</v>
      </c>
      <c r="J21" s="58">
        <f t="shared" si="1"/>
        <v>0</v>
      </c>
      <c r="K21" s="69"/>
    </row>
    <row r="22" spans="1:11" ht="16.8" thickBot="1">
      <c r="B22" s="31" t="s">
        <v>355</v>
      </c>
      <c r="C22" s="31" t="s">
        <v>409</v>
      </c>
      <c r="D22" s="43" t="s">
        <v>384</v>
      </c>
      <c r="E22" s="57">
        <f>SUMIFS(Extração_DataLake!Z:Z,Extração_DataLake!V:V,B22,Extração_DataLake!W:W,"Debt securities",Extração_DataLake!X:X,IFERROR(LEFT(C22,FIND(" ",C22)-1),C22),Extração_DataLake!Y:Y,D22)</f>
        <v>0</v>
      </c>
      <c r="F22" s="57">
        <f>SUMIFS(Extração_DataLake!AA:AA,Extração_DataLake!V:V,B22,Extração_DataLake!W:W,"Debt securities",Extração_DataLake!X:X,IFERROR(LEFT(C22,FIND(" ",C22)-1),C22),Extração_DataLake!Y:Y,D22)</f>
        <v>463</v>
      </c>
      <c r="G22" s="54">
        <f t="shared" si="0"/>
        <v>0</v>
      </c>
      <c r="H22" s="65">
        <v>0.01</v>
      </c>
      <c r="I22" s="65">
        <v>0.05</v>
      </c>
      <c r="J22" s="58">
        <f t="shared" si="1"/>
        <v>0</v>
      </c>
      <c r="K22" s="58"/>
    </row>
    <row r="23" spans="1:11" ht="16.8" thickBot="1">
      <c r="B23" s="31" t="s">
        <v>355</v>
      </c>
      <c r="C23" s="31" t="s">
        <v>409</v>
      </c>
      <c r="D23" s="43" t="s">
        <v>385</v>
      </c>
      <c r="E23" s="57">
        <f>SUMIFS(Extração_DataLake!Z:Z,Extração_DataLake!V:V,B23,Extração_DataLake!W:W,"Debt securities",Extração_DataLake!X:X,IFERROR(LEFT(C23,FIND(" ",C23)-1),C23),Extração_DataLake!Y:Y,D23)</f>
        <v>0</v>
      </c>
      <c r="F23" s="57">
        <f>SUMIFS(Extração_DataLake!AA:AA,Extração_DataLake!V:V,B23,Extração_DataLake!W:W,"Debt securities",Extração_DataLake!X:X,IFERROR(LEFT(C23,FIND(" ",C23)-1),C23),Extração_DataLake!Y:Y,D23)</f>
        <v>463</v>
      </c>
      <c r="G23" s="54">
        <f t="shared" si="0"/>
        <v>0</v>
      </c>
      <c r="H23" s="65">
        <v>0.01</v>
      </c>
      <c r="I23" s="65">
        <v>0.05</v>
      </c>
      <c r="J23" s="58">
        <f t="shared" si="1"/>
        <v>0</v>
      </c>
      <c r="K23" s="58"/>
    </row>
    <row r="24" spans="1:11" ht="16.8" thickBot="1">
      <c r="B24" s="31" t="s">
        <v>355</v>
      </c>
      <c r="C24" s="31" t="s">
        <v>410</v>
      </c>
      <c r="D24" s="43" t="s">
        <v>383</v>
      </c>
      <c r="E24" s="57">
        <f>SUMIFS(Extração_DataLake!Z:Z,Extração_DataLake!V:V,B24,Extração_DataLake!W:W,"Debt securities",Extração_DataLake!X:X,IFERROR(LEFT(C24,FIND(" ",C24)-1),C24),Extração_DataLake!Y:Y,D24)</f>
        <v>1</v>
      </c>
      <c r="F24" s="57">
        <f>SUMIFS(Extração_DataLake!AA:AA,Extração_DataLake!V:V,B24,Extração_DataLake!W:W,"Debt securities",Extração_DataLake!X:X,IFERROR(LEFT(C24,FIND(" ",C24)-1),C24),Extração_DataLake!Y:Y,D24)</f>
        <v>463</v>
      </c>
      <c r="G24" s="54">
        <f t="shared" si="0"/>
        <v>2.1598272138228943E-3</v>
      </c>
      <c r="H24" s="65">
        <v>0.01</v>
      </c>
      <c r="I24" s="65">
        <v>0.05</v>
      </c>
      <c r="J24" s="58">
        <f t="shared" si="1"/>
        <v>0</v>
      </c>
      <c r="K24" s="58"/>
    </row>
    <row r="25" spans="1:11" ht="17.399999999999999" thickBot="1">
      <c r="B25" s="31" t="s">
        <v>355</v>
      </c>
      <c r="C25" s="31" t="s">
        <v>431</v>
      </c>
      <c r="D25" s="43" t="s">
        <v>384</v>
      </c>
      <c r="E25" s="57">
        <f>SUMIFS(Extração_DataLake!Z:Z,Extração_DataLake!V:V,B25,Extração_DataLake!W:W,"Debt securities",Extração_DataLake!X:X,IFERROR(LEFT(C25,FIND(" ",C25)-1),C25),Extração_DataLake!Y:Y,D25)</f>
        <v>0</v>
      </c>
      <c r="F25" s="57">
        <f>SUMIFS(Extração_DataLake!AA:AA,Extração_DataLake!V:V,B25,Extração_DataLake!W:W,"Debt securities",Extração_DataLake!X:X,IFERROR(LEFT(C25,FIND(" ",C25)-1),C25),Extração_DataLake!Y:Y,D25)</f>
        <v>463</v>
      </c>
      <c r="G25" s="54">
        <f t="shared" si="0"/>
        <v>0</v>
      </c>
      <c r="H25" s="65">
        <v>0.01</v>
      </c>
      <c r="I25" s="65">
        <v>0.05</v>
      </c>
      <c r="J25" s="58">
        <f t="shared" si="1"/>
        <v>0</v>
      </c>
      <c r="K25" s="58"/>
    </row>
    <row r="26" spans="1:11" ht="16.8" thickBot="1">
      <c r="B26" s="31" t="s">
        <v>355</v>
      </c>
      <c r="C26" s="31" t="s">
        <v>410</v>
      </c>
      <c r="D26" s="43" t="s">
        <v>385</v>
      </c>
      <c r="E26" s="57">
        <f>SUMIFS(Extração_DataLake!Z:Z,Extração_DataLake!V:V,B26,Extração_DataLake!W:W,"Debt securities",Extração_DataLake!X:X,IFERROR(LEFT(C26,FIND(" ",C26)-1),C26),Extração_DataLake!Y:Y,D26)</f>
        <v>0</v>
      </c>
      <c r="F26" s="57">
        <f>SUMIFS(Extração_DataLake!AA:AA,Extração_DataLake!V:V,B26,Extração_DataLake!W:W,"Debt securities",Extração_DataLake!X:X,IFERROR(LEFT(C26,FIND(" ",C26)-1),C26),Extração_DataLake!Y:Y,D26)</f>
        <v>463</v>
      </c>
      <c r="G26" s="54">
        <f t="shared" si="0"/>
        <v>0</v>
      </c>
      <c r="H26" s="65">
        <v>0.01</v>
      </c>
      <c r="I26" s="65">
        <v>0.05</v>
      </c>
      <c r="J26" s="58">
        <f t="shared" si="1"/>
        <v>0</v>
      </c>
      <c r="K26" s="58"/>
    </row>
    <row r="27" spans="1:11" ht="16.8" thickBot="1">
      <c r="B27" s="31" t="s">
        <v>355</v>
      </c>
      <c r="C27" s="31" t="s">
        <v>432</v>
      </c>
      <c r="D27" s="43" t="s">
        <v>383</v>
      </c>
      <c r="E27" s="57">
        <f>SUMIFS(Extração_DataLake!Z:Z,Extração_DataLake!V:V,B27,Extração_DataLake!W:W,"Debt securities",Extração_DataLake!X:X,IFERROR(LEFT(C27,FIND(" ",C27)-1),C27),Extração_DataLake!Y:Y,D27)</f>
        <v>0</v>
      </c>
      <c r="F27" s="57">
        <f>SUMIFS(Extração_DataLake!AA:AA,Extração_DataLake!V:V,B27,Extração_DataLake!W:W,"Debt securities",Extração_DataLake!X:X,IFERROR(LEFT(C27,FIND(" ",C27)-1),C27),Extração_DataLake!Y:Y,D27)</f>
        <v>463</v>
      </c>
      <c r="G27" s="54">
        <f t="shared" si="0"/>
        <v>0</v>
      </c>
      <c r="H27" s="65">
        <v>0.01</v>
      </c>
      <c r="I27" s="65">
        <v>0.05</v>
      </c>
      <c r="J27" s="58">
        <f t="shared" si="1"/>
        <v>0</v>
      </c>
      <c r="K27" s="58"/>
    </row>
    <row r="28" spans="1:11" ht="17.399999999999999" thickBot="1">
      <c r="A28" s="73"/>
      <c r="B28" s="31" t="s">
        <v>355</v>
      </c>
      <c r="C28" s="31" t="s">
        <v>433</v>
      </c>
      <c r="D28" s="43" t="s">
        <v>384</v>
      </c>
      <c r="E28" s="57">
        <v>0</v>
      </c>
      <c r="F28" s="57" t="s">
        <v>416</v>
      </c>
      <c r="G28" s="57" t="s">
        <v>416</v>
      </c>
      <c r="H28" s="57" t="s">
        <v>416</v>
      </c>
      <c r="I28" s="57" t="s">
        <v>416</v>
      </c>
      <c r="J28" s="57" t="s">
        <v>416</v>
      </c>
      <c r="K28" s="69"/>
    </row>
    <row r="29" spans="1:11" ht="16.8" thickBot="1">
      <c r="B29" s="31" t="s">
        <v>355</v>
      </c>
      <c r="C29" s="31" t="s">
        <v>432</v>
      </c>
      <c r="D29" s="43" t="s">
        <v>385</v>
      </c>
      <c r="E29" s="57">
        <f>SUMIFS(Extração_DataLake!Z:Z,Extração_DataLake!V:V,B29,Extração_DataLake!W:W,"Debt securities",Extração_DataLake!X:X,IFERROR(LEFT(C29,FIND(" ",C29)-1),C29),Extração_DataLake!Y:Y,D29)</f>
        <v>0</v>
      </c>
      <c r="F29" s="57">
        <f>SUMIFS(Extração_DataLake!AA:AA,Extração_DataLake!V:V,B29,Extração_DataLake!W:W,"Debt securities",Extração_DataLake!X:X,IFERROR(LEFT(C29,FIND(" ",C29)-1),C29),Extração_DataLake!Y:Y,D29)</f>
        <v>463</v>
      </c>
      <c r="G29" s="54">
        <f t="shared" si="0"/>
        <v>0</v>
      </c>
      <c r="H29" s="65">
        <v>0.01</v>
      </c>
      <c r="I29" s="65">
        <v>0.05</v>
      </c>
      <c r="J29" s="58">
        <f t="shared" si="1"/>
        <v>0</v>
      </c>
      <c r="K29" s="58"/>
    </row>
    <row r="30" spans="1:11" ht="16.8" thickBot="1">
      <c r="B30" s="31" t="s">
        <v>355</v>
      </c>
      <c r="C30" s="31" t="s">
        <v>434</v>
      </c>
      <c r="D30" s="43" t="s">
        <v>383</v>
      </c>
      <c r="E30" s="57">
        <f>SUMIFS(Extração_DataLake!Z:Z,Extração_DataLake!V:V,B30,Extração_DataLake!W:W,"Debt securities",Extração_DataLake!X:X,IFERROR(LEFT(C30,FIND(" ",C30)-1),C30),Extração_DataLake!Y:Y,D30)</f>
        <v>0</v>
      </c>
      <c r="F30" s="57">
        <f>SUMIFS(Extração_DataLake!AA:AA,Extração_DataLake!V:V,B30,Extração_DataLake!W:W,"Debt securities",Extração_DataLake!X:X,IFERROR(LEFT(C30,FIND(" ",C30)-1),C30),Extração_DataLake!Y:Y,D30)</f>
        <v>463</v>
      </c>
      <c r="G30" s="54">
        <f t="shared" ref="G30" si="2">E30/F30</f>
        <v>0</v>
      </c>
      <c r="H30" s="65">
        <v>0.01</v>
      </c>
      <c r="I30" s="65">
        <v>0.05</v>
      </c>
      <c r="J30" s="58">
        <f t="shared" ref="J30" si="3">IF(G30&gt;=I30,2,IF(G30&gt;=H30,1,0))</f>
        <v>0</v>
      </c>
      <c r="K30" s="58"/>
    </row>
    <row r="31" spans="1:11" ht="17.399999999999999" thickBot="1">
      <c r="B31" s="31" t="s">
        <v>355</v>
      </c>
      <c r="C31" s="31" t="s">
        <v>435</v>
      </c>
      <c r="D31" s="43" t="s">
        <v>384</v>
      </c>
      <c r="E31" s="57">
        <v>0</v>
      </c>
      <c r="F31" s="57" t="s">
        <v>416</v>
      </c>
      <c r="G31" s="57" t="s">
        <v>416</v>
      </c>
      <c r="H31" s="57" t="s">
        <v>416</v>
      </c>
      <c r="I31" s="57" t="s">
        <v>416</v>
      </c>
      <c r="J31" s="57" t="s">
        <v>416</v>
      </c>
      <c r="K31" s="69"/>
    </row>
    <row r="32" spans="1:11" ht="16.8" thickBot="1">
      <c r="B32" s="31" t="s">
        <v>355</v>
      </c>
      <c r="C32" s="31" t="s">
        <v>436</v>
      </c>
      <c r="D32" s="43" t="s">
        <v>383</v>
      </c>
      <c r="E32" s="57">
        <f>SUMIFS(Extração_DataLake!Z:Z,Extração_DataLake!V:V,B32,Extração_DataLake!W:W,"Debt securities",Extração_DataLake!X:X,IFERROR(LEFT(C32,FIND(" ",C32)-1),C32),Extração_DataLake!Y:Y,D32)</f>
        <v>0</v>
      </c>
      <c r="F32" s="57">
        <f>SUMIFS(Extração_DataLake!AA:AA,Extração_DataLake!V:V,B32,Extração_DataLake!W:W,"Debt securities",Extração_DataLake!X:X,IFERROR(LEFT(C32,FIND(" ",C32)-1),C32),Extração_DataLake!Y:Y,D32)</f>
        <v>463</v>
      </c>
      <c r="G32" s="54">
        <f t="shared" si="0"/>
        <v>0</v>
      </c>
      <c r="H32" s="65">
        <v>0.01</v>
      </c>
      <c r="I32" s="65">
        <v>0.05</v>
      </c>
      <c r="J32" s="58">
        <f t="shared" si="1"/>
        <v>0</v>
      </c>
      <c r="K32" s="58"/>
    </row>
    <row r="33" spans="2:11" ht="16.8" thickBot="1">
      <c r="B33" s="31" t="s">
        <v>355</v>
      </c>
      <c r="C33" s="31" t="s">
        <v>436</v>
      </c>
      <c r="D33" s="43" t="s">
        <v>384</v>
      </c>
      <c r="E33" s="57">
        <f>SUMIFS(Extração_DataLake!Z:Z,Extração_DataLake!V:V,B33,Extração_DataLake!W:W,"Debt securities",Extração_DataLake!X:X,IFERROR(LEFT(C33,FIND(" ",C33)-1),C33),Extração_DataLake!Y:Y,D33)</f>
        <v>0</v>
      </c>
      <c r="F33" s="57">
        <f>SUMIFS(Extração_DataLake!AA:AA,Extração_DataLake!V:V,B33,Extração_DataLake!W:W,"Debt securities",Extração_DataLake!X:X,IFERROR(LEFT(C33,FIND(" ",C33)-1),C33),Extração_DataLake!Y:Y,D33)</f>
        <v>463</v>
      </c>
      <c r="G33" s="54">
        <f t="shared" si="0"/>
        <v>0</v>
      </c>
      <c r="H33" s="65">
        <v>0.01</v>
      </c>
      <c r="I33" s="65">
        <v>0.05</v>
      </c>
      <c r="J33" s="58">
        <f t="shared" si="1"/>
        <v>0</v>
      </c>
      <c r="K33" s="58"/>
    </row>
    <row r="34" spans="2:11" ht="16.8" thickBot="1">
      <c r="B34" s="31" t="s">
        <v>355</v>
      </c>
      <c r="C34" s="31" t="s">
        <v>436</v>
      </c>
      <c r="D34" s="43" t="s">
        <v>385</v>
      </c>
      <c r="E34" s="57">
        <f>SUMIFS(Extração_DataLake!Z:Z,Extração_DataLake!V:V,B34,Extração_DataLake!W:W,"Debt securities",Extração_DataLake!X:X,IFERROR(LEFT(C34,FIND(" ",C34)-1),C34),Extração_DataLake!Y:Y,D34)</f>
        <v>0</v>
      </c>
      <c r="F34" s="57">
        <f>SUMIFS(Extração_DataLake!AA:AA,Extração_DataLake!V:V,B34,Extração_DataLake!W:W,"Debt securities",Extração_DataLake!X:X,IFERROR(LEFT(C34,FIND(" ",C34)-1),C34),Extração_DataLake!Y:Y,D34)</f>
        <v>463</v>
      </c>
      <c r="G34" s="54">
        <f t="shared" si="0"/>
        <v>0</v>
      </c>
      <c r="H34" s="65">
        <v>0.01</v>
      </c>
      <c r="I34" s="65">
        <v>0.05</v>
      </c>
      <c r="J34" s="58">
        <f t="shared" si="1"/>
        <v>0</v>
      </c>
      <c r="K34" s="58"/>
    </row>
    <row r="35" spans="2:11" ht="16.8" thickBot="1">
      <c r="B35" s="31" t="s">
        <v>355</v>
      </c>
      <c r="C35" s="31" t="s">
        <v>437</v>
      </c>
      <c r="D35" s="43" t="s">
        <v>383</v>
      </c>
      <c r="E35" s="57">
        <f>SUMIFS(Extração_DataLake!Z:Z,Extração_DataLake!V:V,B35,Extração_DataLake!W:W,"Debt securities",Extração_DataLake!X:X,IFERROR(LEFT(C35,FIND(" ",C35)-1),C35),Extração_DataLake!Y:Y,D35)</f>
        <v>0</v>
      </c>
      <c r="F35" s="57">
        <f>SUMIFS(Extração_DataLake!AA:AA,Extração_DataLake!V:V,B35,Extração_DataLake!W:W,"Debt securities",Extração_DataLake!X:X,IFERROR(LEFT(C35,FIND(" ",C35)-1),C35),Extração_DataLake!Y:Y,D35)</f>
        <v>463</v>
      </c>
      <c r="G35" s="54">
        <f t="shared" si="0"/>
        <v>0</v>
      </c>
      <c r="H35" s="65">
        <v>0.01</v>
      </c>
      <c r="I35" s="65">
        <v>0.05</v>
      </c>
      <c r="J35" s="58">
        <f t="shared" si="1"/>
        <v>0</v>
      </c>
      <c r="K35" s="58"/>
    </row>
    <row r="36" spans="2:11" ht="16.8" thickBot="1">
      <c r="B36" s="31" t="s">
        <v>355</v>
      </c>
      <c r="C36" s="31" t="s">
        <v>437</v>
      </c>
      <c r="D36" s="43" t="s">
        <v>384</v>
      </c>
      <c r="E36" s="57">
        <f>SUMIFS(Extração_DataLake!Z:Z,Extração_DataLake!V:V,B36,Extração_DataLake!W:W,"Debt securities",Extração_DataLake!X:X,IFERROR(LEFT(C36,FIND(" ",C36)-1),C36),Extração_DataLake!Y:Y,D36)</f>
        <v>0</v>
      </c>
      <c r="F36" s="57">
        <f>SUMIFS(Extração_DataLake!AA:AA,Extração_DataLake!V:V,B36,Extração_DataLake!W:W,"Debt securities",Extração_DataLake!X:X,IFERROR(LEFT(C36,FIND(" ",C36)-1),C36),Extração_DataLake!Y:Y,D36)</f>
        <v>463</v>
      </c>
      <c r="G36" s="54">
        <f t="shared" si="0"/>
        <v>0</v>
      </c>
      <c r="H36" s="65">
        <v>0.01</v>
      </c>
      <c r="I36" s="65">
        <v>0.05</v>
      </c>
      <c r="J36" s="58">
        <f t="shared" si="1"/>
        <v>0</v>
      </c>
      <c r="K36" s="58"/>
    </row>
    <row r="37" spans="2:11" ht="16.8" thickBot="1">
      <c r="B37" s="31" t="s">
        <v>355</v>
      </c>
      <c r="C37" s="31" t="s">
        <v>437</v>
      </c>
      <c r="D37" s="43" t="s">
        <v>385</v>
      </c>
      <c r="E37" s="57">
        <f>SUMIFS(Extração_DataLake!Z:Z,Extração_DataLake!V:V,B37,Extração_DataLake!W:W,"Debt securities",Extração_DataLake!X:X,IFERROR(LEFT(C37,FIND(" ",C37)-1),C37),Extração_DataLake!Y:Y,D37)</f>
        <v>0</v>
      </c>
      <c r="F37" s="57">
        <f>SUMIFS(Extração_DataLake!AA:AA,Extração_DataLake!V:V,B37,Extração_DataLake!W:W,"Debt securities",Extração_DataLake!X:X,IFERROR(LEFT(C37,FIND(" ",C37)-1),C37),Extração_DataLake!Y:Y,D37)</f>
        <v>463</v>
      </c>
      <c r="G37" s="54">
        <f t="shared" si="0"/>
        <v>0</v>
      </c>
      <c r="H37" s="65">
        <v>0.01</v>
      </c>
      <c r="I37" s="65">
        <v>0.05</v>
      </c>
      <c r="J37" s="58">
        <f t="shared" si="1"/>
        <v>0</v>
      </c>
      <c r="K37" s="58"/>
    </row>
    <row r="38" spans="2:11" ht="16.8" thickBot="1">
      <c r="B38" s="31" t="s">
        <v>355</v>
      </c>
      <c r="C38" s="31" t="s">
        <v>438</v>
      </c>
      <c r="D38" s="43" t="s">
        <v>439</v>
      </c>
      <c r="E38" s="57">
        <f>COUNTIFS(Componente_EA5678[tabela],B38,Componente_EA5678[segmento],"Debt securities",Componente_EA5678[nome_campo],C38)</f>
        <v>3</v>
      </c>
      <c r="F38" s="57">
        <f>F39</f>
        <v>463</v>
      </c>
      <c r="G38" s="57" t="s">
        <v>416</v>
      </c>
      <c r="H38" s="58" t="s">
        <v>358</v>
      </c>
      <c r="I38" s="58" t="s">
        <v>358</v>
      </c>
      <c r="J38" s="58">
        <f>IF(E38&gt;0,1,0)</f>
        <v>1</v>
      </c>
      <c r="K38" s="69" t="s">
        <v>440</v>
      </c>
    </row>
    <row r="39" spans="2:11" ht="16.8" thickBot="1">
      <c r="B39" s="31" t="s">
        <v>355</v>
      </c>
      <c r="C39" s="31" t="s">
        <v>438</v>
      </c>
      <c r="D39" s="43" t="s">
        <v>385</v>
      </c>
      <c r="E39" s="57">
        <f>SUMIFS(Extração_DataLake!Z:Z,Extração_DataLake!V:V,B39,Extração_DataLake!W:W,"Debt securities",Extração_DataLake!X:X,IFERROR(LEFT(C39,FIND(" ",C39)-1),C39),Extração_DataLake!Y:Y,D39)</f>
        <v>0</v>
      </c>
      <c r="F39" s="57">
        <f>SUMIFS(Extração_DataLake!AA:AA,Extração_DataLake!V:V,B39,Extração_DataLake!W:W,"Debt securities",Extração_DataLake!X:X,IFERROR(LEFT(C39,FIND(" ",C39)-1),C39),Extração_DataLake!Y:Y,D39)</f>
        <v>463</v>
      </c>
      <c r="G39" s="54">
        <f t="shared" ref="G39" si="4">E39/F39</f>
        <v>0</v>
      </c>
      <c r="H39" s="65">
        <v>0.01</v>
      </c>
      <c r="I39" s="65">
        <v>0.05</v>
      </c>
      <c r="J39" s="58">
        <f t="shared" ref="J39" si="5">IF(G39&gt;=I39,2,IF(G39&gt;=H39,1,0))</f>
        <v>0</v>
      </c>
      <c r="K39" s="58"/>
    </row>
    <row r="40" spans="2:11" ht="16.8" thickBot="1">
      <c r="B40" s="31" t="s">
        <v>355</v>
      </c>
      <c r="C40" s="31" t="s">
        <v>441</v>
      </c>
      <c r="D40" s="43" t="s">
        <v>383</v>
      </c>
      <c r="E40" s="57">
        <f>SUMIFS(Extração_DataLake!Z:Z,Extração_DataLake!V:V,B40,Extração_DataLake!W:W,"Debt securities",Extração_DataLake!X:X,IFERROR(LEFT(C40,FIND(" ",C40)-1),C40),Extração_DataLake!Y:Y,D40)</f>
        <v>0</v>
      </c>
      <c r="F40" s="57">
        <f>SUMIFS(Extração_DataLake!AA:AA,Extração_DataLake!V:V,B40,Extração_DataLake!W:W,"Debt securities",Extração_DataLake!X:X,IFERROR(LEFT(C40,FIND(" ",C40)-1),C40),Extração_DataLake!Y:Y,D40)</f>
        <v>463</v>
      </c>
      <c r="G40" s="54">
        <f t="shared" si="0"/>
        <v>0</v>
      </c>
      <c r="H40" s="65">
        <v>0.01</v>
      </c>
      <c r="I40" s="65">
        <v>0.05</v>
      </c>
      <c r="J40" s="58">
        <f t="shared" si="1"/>
        <v>0</v>
      </c>
      <c r="K40" s="58"/>
    </row>
    <row r="41" spans="2:11" ht="16.8" thickBot="1">
      <c r="B41" s="31" t="s">
        <v>355</v>
      </c>
      <c r="C41" s="31" t="s">
        <v>441</v>
      </c>
      <c r="D41" s="43" t="s">
        <v>384</v>
      </c>
      <c r="E41" s="57">
        <f>SUMIFS(Extração_DataLake!Z:Z,Extração_DataLake!V:V,B41,Extração_DataLake!W:W,"Debt securities",Extração_DataLake!X:X,IFERROR(LEFT(C41,FIND(" ",C41)-1),C41),Extração_DataLake!Y:Y,D41)</f>
        <v>0</v>
      </c>
      <c r="F41" s="57">
        <f>SUMIFS(Extração_DataLake!AA:AA,Extração_DataLake!V:V,B41,Extração_DataLake!W:W,"Debt securities",Extração_DataLake!X:X,IFERROR(LEFT(C41,FIND(" ",C41)-1),C41),Extração_DataLake!Y:Y,D41)</f>
        <v>463</v>
      </c>
      <c r="G41" s="54">
        <f t="shared" si="0"/>
        <v>0</v>
      </c>
      <c r="H41" s="65">
        <v>0.01</v>
      </c>
      <c r="I41" s="65">
        <v>0.05</v>
      </c>
      <c r="J41" s="58">
        <f t="shared" si="1"/>
        <v>0</v>
      </c>
      <c r="K41" s="58"/>
    </row>
    <row r="42" spans="2:11" ht="16.2" customHeight="1" thickBot="1">
      <c r="B42" s="31" t="s">
        <v>355</v>
      </c>
      <c r="C42" s="31" t="s">
        <v>441</v>
      </c>
      <c r="D42" s="43" t="s">
        <v>385</v>
      </c>
      <c r="E42" s="57">
        <f>SUMIFS(Extração_DataLake!Z:Z,Extração_DataLake!V:V,B42,Extração_DataLake!W:W,"Debt securities",Extração_DataLake!X:X,IFERROR(LEFT(C42,FIND(" ",C42)-1),C42),Extração_DataLake!Y:Y,D42)</f>
        <v>0</v>
      </c>
      <c r="F42" s="57">
        <f>SUMIFS(Extração_DataLake!AA:AA,Extração_DataLake!V:V,B42,Extração_DataLake!W:W,"Debt securities",Extração_DataLake!X:X,IFERROR(LEFT(C42,FIND(" ",C42)-1),C42),Extração_DataLake!Y:Y,D42)</f>
        <v>463</v>
      </c>
      <c r="G42" s="54">
        <f t="shared" si="0"/>
        <v>0</v>
      </c>
      <c r="H42" s="65">
        <v>0.01</v>
      </c>
      <c r="I42" s="65">
        <v>0.05</v>
      </c>
      <c r="J42" s="58">
        <f t="shared" si="1"/>
        <v>0</v>
      </c>
      <c r="K42" s="58"/>
    </row>
    <row r="43" spans="2:11" ht="16.2" customHeight="1" thickBot="1">
      <c r="B43" s="31" t="s">
        <v>355</v>
      </c>
      <c r="C43" s="31" t="s">
        <v>442</v>
      </c>
      <c r="D43" s="43" t="s">
        <v>383</v>
      </c>
      <c r="E43" s="57">
        <f>SUMIFS(Extração_DataLake!Z:Z,Extração_DataLake!V:V,B43,Extração_DataLake!W:W,"Debt securities",Extração_DataLake!X:X,IFERROR(LEFT(C43,FIND(" ",C43)-1),C43),Extração_DataLake!Y:Y,D43)</f>
        <v>0</v>
      </c>
      <c r="F43" s="57">
        <f>SUMIFS(Extração_DataLake!AA:AA,Extração_DataLake!V:V,B43,Extração_DataLake!W:W,"Debt securities",Extração_DataLake!X:X,IFERROR(LEFT(C43,FIND(" ",C43)-1),C43),Extração_DataLake!Y:Y,D43)</f>
        <v>463</v>
      </c>
      <c r="G43" s="54">
        <f t="shared" si="0"/>
        <v>0</v>
      </c>
      <c r="H43" s="65">
        <v>0.01</v>
      </c>
      <c r="I43" s="65">
        <v>0.05</v>
      </c>
      <c r="J43" s="58">
        <f t="shared" si="1"/>
        <v>0</v>
      </c>
      <c r="K43" s="58"/>
    </row>
    <row r="44" spans="2:11" ht="16.2" customHeight="1" thickBot="1">
      <c r="B44" s="31" t="s">
        <v>355</v>
      </c>
      <c r="C44" s="31" t="s">
        <v>442</v>
      </c>
      <c r="D44" s="43" t="s">
        <v>384</v>
      </c>
      <c r="E44" s="57">
        <f>SUMIFS(Extração_DataLake!Z:Z,Extração_DataLake!V:V,B44,Extração_DataLake!W:W,"Debt securities",Extração_DataLake!X:X,IFERROR(LEFT(C44,FIND(" ",C44)-1),C44),Extração_DataLake!Y:Y,D44)</f>
        <v>0</v>
      </c>
      <c r="F44" s="57">
        <f>SUMIFS(Extração_DataLake!AA:AA,Extração_DataLake!V:V,B44,Extração_DataLake!W:W,"Debt securities",Extração_DataLake!X:X,IFERROR(LEFT(C44,FIND(" ",C44)-1),C44),Extração_DataLake!Y:Y,D44)</f>
        <v>463</v>
      </c>
      <c r="G44" s="54">
        <f t="shared" si="0"/>
        <v>0</v>
      </c>
      <c r="H44" s="65">
        <v>0.01</v>
      </c>
      <c r="I44" s="65">
        <v>0.05</v>
      </c>
      <c r="J44" s="58">
        <f t="shared" si="1"/>
        <v>0</v>
      </c>
      <c r="K44" s="58"/>
    </row>
    <row r="45" spans="2:11" ht="16.8" thickBot="1">
      <c r="B45" s="31" t="s">
        <v>355</v>
      </c>
      <c r="C45" s="31" t="s">
        <v>442</v>
      </c>
      <c r="D45" s="43" t="s">
        <v>385</v>
      </c>
      <c r="E45" s="57">
        <f>SUMIFS(Extração_DataLake!Z:Z,Extração_DataLake!V:V,B45,Extração_DataLake!W:W,"Debt securities",Extração_DataLake!X:X,IFERROR(LEFT(C45,FIND(" ",C45)-1),C45),Extração_DataLake!Y:Y,D45)</f>
        <v>0</v>
      </c>
      <c r="F45" s="57">
        <f>SUMIFS(Extração_DataLake!AA:AA,Extração_DataLake!V:V,B45,Extração_DataLake!W:W,"Debt securities",Extração_DataLake!X:X,IFERROR(LEFT(C45,FIND(" ",C45)-1),C45),Extração_DataLake!Y:Y,D45)</f>
        <v>463</v>
      </c>
      <c r="G45" s="54">
        <f t="shared" si="0"/>
        <v>0</v>
      </c>
      <c r="H45" s="65">
        <v>0.01</v>
      </c>
      <c r="I45" s="65">
        <v>0.05</v>
      </c>
      <c r="J45" s="58">
        <f t="shared" si="1"/>
        <v>0</v>
      </c>
      <c r="K45" s="58"/>
    </row>
    <row r="46" spans="2:11" ht="16.8" thickBot="1">
      <c r="B46" s="31" t="s">
        <v>355</v>
      </c>
      <c r="C46" s="31" t="s">
        <v>443</v>
      </c>
      <c r="D46" s="43" t="s">
        <v>383</v>
      </c>
      <c r="E46" s="57">
        <f>SUMIFS(Extração_DataLake!Z:Z,Extração_DataLake!V:V,B46,Extração_DataLake!W:W,"Debt securities",Extração_DataLake!X:X,IFERROR(LEFT(C46,FIND(" ",C46)-1),C46),Extração_DataLake!Y:Y,D46)</f>
        <v>0</v>
      </c>
      <c r="F46" s="57">
        <f>SUMIFS(Extração_DataLake!AA:AA,Extração_DataLake!V:V,B46,Extração_DataLake!W:W,"Debt securities",Extração_DataLake!X:X,IFERROR(LEFT(C46,FIND(" ",C46)-1),C46),Extração_DataLake!Y:Y,D46)</f>
        <v>463</v>
      </c>
      <c r="G46" s="54">
        <f t="shared" ref="G46:G47" si="6">E46/F46</f>
        <v>0</v>
      </c>
      <c r="H46" s="65">
        <v>0.01</v>
      </c>
      <c r="I46" s="65">
        <v>0.05</v>
      </c>
      <c r="J46" s="58">
        <f t="shared" ref="J46:J47" si="7">IF(G46&gt;=I46,2,IF(G46&gt;=H46,1,0))</f>
        <v>0</v>
      </c>
      <c r="K46" s="58"/>
    </row>
    <row r="47" spans="2:11" ht="16.8" thickBot="1">
      <c r="B47" s="31" t="s">
        <v>355</v>
      </c>
      <c r="C47" s="31" t="s">
        <v>443</v>
      </c>
      <c r="D47" s="43" t="s">
        <v>384</v>
      </c>
      <c r="E47" s="57">
        <f>SUMIFS(Extração_DataLake!Z:Z,Extração_DataLake!V:V,B47,Extração_DataLake!W:W,"Debt securities",Extração_DataLake!X:X,IFERROR(LEFT(C47,FIND(" ",C47)-1),C47),Extração_DataLake!Y:Y,D47)</f>
        <v>0</v>
      </c>
      <c r="F47" s="57">
        <f>SUMIFS(Extração_DataLake!AA:AA,Extração_DataLake!V:V,B47,Extração_DataLake!W:W,"Debt securities",Extração_DataLake!X:X,IFERROR(LEFT(C47,FIND(" ",C47)-1),C47),Extração_DataLake!Y:Y,D47)</f>
        <v>463</v>
      </c>
      <c r="G47" s="54">
        <f t="shared" si="6"/>
        <v>0</v>
      </c>
      <c r="H47" s="65">
        <v>0.01</v>
      </c>
      <c r="I47" s="65">
        <v>0.05</v>
      </c>
      <c r="J47" s="58">
        <f t="shared" si="7"/>
        <v>0</v>
      </c>
      <c r="K47" s="58"/>
    </row>
    <row r="48" spans="2:11" ht="16.8" thickBot="1">
      <c r="B48" s="31" t="s">
        <v>355</v>
      </c>
      <c r="C48" s="31" t="s">
        <v>412</v>
      </c>
      <c r="D48" s="43" t="s">
        <v>383</v>
      </c>
      <c r="E48" s="57">
        <f>SUMIFS(Extração_DataLake!Z:Z,Extração_DataLake!V:V,B48,Extração_DataLake!W:W,"Debt securities",Extração_DataLake!X:X,IFERROR(LEFT(C48,FIND(" ",C48)-1),C48),Extração_DataLake!Y:Y,D48)</f>
        <v>0</v>
      </c>
      <c r="F48" s="57">
        <f>SUMIFS(Extração_DataLake!AA:AA,Extração_DataLake!V:V,B48,Extração_DataLake!W:W,"Debt securities",Extração_DataLake!X:X,IFERROR(LEFT(C48,FIND(" ",C48)-1),C48),Extração_DataLake!Y:Y,D48)</f>
        <v>463</v>
      </c>
      <c r="G48" s="54">
        <f t="shared" si="0"/>
        <v>0</v>
      </c>
      <c r="H48" s="65">
        <v>0.01</v>
      </c>
      <c r="I48" s="65">
        <v>0.05</v>
      </c>
      <c r="J48" s="58">
        <f t="shared" si="1"/>
        <v>0</v>
      </c>
      <c r="K48" s="58"/>
    </row>
    <row r="49" spans="2:11" ht="16.8" thickBot="1">
      <c r="B49" s="31" t="s">
        <v>355</v>
      </c>
      <c r="C49" s="31" t="s">
        <v>412</v>
      </c>
      <c r="D49" s="43" t="s">
        <v>384</v>
      </c>
      <c r="E49" s="57">
        <f>SUMIFS(Extração_DataLake!Z:Z,Extração_DataLake!V:V,B49,Extração_DataLake!W:W,"Debt securities",Extração_DataLake!X:X,IFERROR(LEFT(C49,FIND(" ",C49)-1),C49),Extração_DataLake!Y:Y,D49)</f>
        <v>0</v>
      </c>
      <c r="F49" s="57">
        <f>SUMIFS(Extração_DataLake!AA:AA,Extração_DataLake!V:V,B49,Extração_DataLake!W:W,"Debt securities",Extração_DataLake!X:X,IFERROR(LEFT(C49,FIND(" ",C49)-1),C49),Extração_DataLake!Y:Y,D49)</f>
        <v>463</v>
      </c>
      <c r="G49" s="54">
        <f t="shared" si="0"/>
        <v>0</v>
      </c>
      <c r="H49" s="65">
        <v>0.01</v>
      </c>
      <c r="I49" s="65">
        <v>0.05</v>
      </c>
      <c r="J49" s="58">
        <f t="shared" si="1"/>
        <v>0</v>
      </c>
      <c r="K49" s="69"/>
    </row>
    <row r="50" spans="2:11" ht="16.8" thickBot="1">
      <c r="B50" s="31" t="s">
        <v>355</v>
      </c>
      <c r="C50" s="31" t="s">
        <v>412</v>
      </c>
      <c r="D50" s="43" t="s">
        <v>385</v>
      </c>
      <c r="E50" s="57">
        <f>SUMIFS(Extração_DataLake!Z:Z,Extração_DataLake!V:V,B50,Extração_DataLake!W:W,"Debt securities",Extração_DataLake!X:X,IFERROR(LEFT(C50,FIND(" ",C50)-1),C50),Extração_DataLake!Y:Y,D50)</f>
        <v>0</v>
      </c>
      <c r="F50" s="57">
        <f>SUMIFS(Extração_DataLake!AA:AA,Extração_DataLake!V:V,B50,Extração_DataLake!W:W,"Debt securities",Extração_DataLake!X:X,IFERROR(LEFT(C50,FIND(" ",C50)-1),C50),Extração_DataLake!Y:Y,D50)</f>
        <v>463</v>
      </c>
      <c r="G50" s="54">
        <f t="shared" si="0"/>
        <v>0</v>
      </c>
      <c r="H50" s="65">
        <v>0.01</v>
      </c>
      <c r="I50" s="65">
        <v>0.05</v>
      </c>
      <c r="J50" s="58">
        <f t="shared" si="1"/>
        <v>0</v>
      </c>
      <c r="K50" s="58"/>
    </row>
    <row r="51" spans="2:11" ht="16.8" thickBot="1">
      <c r="B51" s="31" t="s">
        <v>355</v>
      </c>
      <c r="C51" s="31" t="s">
        <v>444</v>
      </c>
      <c r="D51" s="43" t="s">
        <v>383</v>
      </c>
      <c r="E51" s="57">
        <f>SUMIFS(Extração_DataLake!Z:Z,Extração_DataLake!V:V,B51,Extração_DataLake!W:W,"Debt securities",Extração_DataLake!X:X,IFERROR(LEFT(C51,FIND(" ",C51)-1),C51),Extração_DataLake!Y:Y,D51)</f>
        <v>86</v>
      </c>
      <c r="F51" s="57">
        <f>SUMIFS(Extração_DataLake!AA:AA,Extração_DataLake!V:V,B51,Extração_DataLake!W:W,"Debt securities",Extração_DataLake!X:X,IFERROR(LEFT(C51,FIND(" ",C51)-1),C51),Extração_DataLake!Y:Y,D51)</f>
        <v>463</v>
      </c>
      <c r="G51" s="54">
        <f t="shared" si="0"/>
        <v>0.18574514038876891</v>
      </c>
      <c r="H51" s="65">
        <v>0.01</v>
      </c>
      <c r="I51" s="65">
        <v>0.05</v>
      </c>
      <c r="J51" s="58">
        <f t="shared" si="1"/>
        <v>2</v>
      </c>
      <c r="K51" s="69" t="s">
        <v>445</v>
      </c>
    </row>
    <row r="52" spans="2:11" ht="16.8" thickBot="1">
      <c r="B52" s="31" t="s">
        <v>355</v>
      </c>
      <c r="C52" s="31" t="s">
        <v>444</v>
      </c>
      <c r="D52" s="43" t="s">
        <v>384</v>
      </c>
      <c r="E52" s="57">
        <f>SUMIFS(Extração_DataLake!Z:Z,Extração_DataLake!V:V,B52,Extração_DataLake!W:W,"Debt securities",Extração_DataLake!X:X,IFERROR(LEFT(C52,FIND(" ",C52)-1),C52),Extração_DataLake!Y:Y,D52)</f>
        <v>358</v>
      </c>
      <c r="F52" s="57">
        <f>SUMIFS(Extração_DataLake!AA:AA,Extração_DataLake!V:V,B52,Extração_DataLake!W:W,"Debt securities",Extração_DataLake!X:X,IFERROR(LEFT(C52,FIND(" ",C52)-1),C52),Extração_DataLake!Y:Y,D52)</f>
        <v>463</v>
      </c>
      <c r="G52" s="54">
        <f t="shared" si="0"/>
        <v>0.77321814254859611</v>
      </c>
      <c r="H52" s="65">
        <v>0.01</v>
      </c>
      <c r="I52" s="65">
        <v>0.05</v>
      </c>
      <c r="J52" s="58">
        <f t="shared" si="1"/>
        <v>2</v>
      </c>
      <c r="K52" s="69" t="s">
        <v>445</v>
      </c>
    </row>
    <row r="53" spans="2:11" ht="16.8" thickBot="1">
      <c r="B53" s="31" t="s">
        <v>355</v>
      </c>
      <c r="C53" s="31" t="s">
        <v>444</v>
      </c>
      <c r="D53" s="43" t="s">
        <v>385</v>
      </c>
      <c r="E53" s="57">
        <f>SUMIFS(Extração_DataLake!Z:Z,Extração_DataLake!V:V,B53,Extração_DataLake!W:W,"Debt securities",Extração_DataLake!X:X,IFERROR(LEFT(C53,FIND(" ",C53)-1),C53),Extração_DataLake!Y:Y,D53)</f>
        <v>0</v>
      </c>
      <c r="F53" s="57">
        <f>SUMIFS(Extração_DataLake!AA:AA,Extração_DataLake!V:V,B53,Extração_DataLake!W:W,"Debt securities",Extração_DataLake!X:X,IFERROR(LEFT(C53,FIND(" ",C53)-1),C53),Extração_DataLake!Y:Y,D53)</f>
        <v>463</v>
      </c>
      <c r="G53" s="54">
        <f t="shared" si="0"/>
        <v>0</v>
      </c>
      <c r="H53" s="65">
        <v>0.01</v>
      </c>
      <c r="I53" s="65">
        <v>0.05</v>
      </c>
      <c r="J53" s="58">
        <f t="shared" si="1"/>
        <v>0</v>
      </c>
      <c r="K53" s="58"/>
    </row>
    <row r="55" spans="2:11" ht="16.8">
      <c r="B55" s="40" t="s">
        <v>446</v>
      </c>
    </row>
    <row r="56" spans="2:11" ht="16.8">
      <c r="B56" s="40" t="s">
        <v>447</v>
      </c>
    </row>
    <row r="73" ht="16.2" customHeight="1"/>
    <row r="74" ht="16.2" customHeight="1"/>
    <row r="75" ht="16.2" customHeight="1"/>
  </sheetData>
  <conditionalFormatting sqref="G9">
    <cfRule type="iconSet" priority="4">
      <iconSet showValue="0" reverse="1">
        <cfvo type="percent" val="0"/>
        <cfvo type="num" val="1"/>
        <cfvo type="num" val="1"/>
      </iconSet>
    </cfRule>
  </conditionalFormatting>
  <conditionalFormatting sqref="J15:J27 J39:J53 J32:J37 J29:J30">
    <cfRule type="iconSet" priority="71">
      <iconSet showValue="0" reverse="1">
        <cfvo type="percent" val="0"/>
        <cfvo type="num" val="1"/>
        <cfvo type="num" val="2"/>
      </iconSet>
    </cfRule>
  </conditionalFormatting>
  <conditionalFormatting sqref="J38">
    <cfRule type="iconSet" priority="1">
      <iconSet showValue="0" reverse="1">
        <cfvo type="percent" val="0"/>
        <cfvo type="num" val="1"/>
        <cfvo type="num" val="1"/>
      </iconSet>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F3014-2FED-4132-9C86-2E4F63DBE145}">
  <sheetPr codeName="Sheet21">
    <tabColor theme="9" tint="0.39997558519241921"/>
  </sheetPr>
  <dimension ref="A1:AI61"/>
  <sheetViews>
    <sheetView showGridLines="0" zoomScale="90" zoomScaleNormal="90" workbookViewId="0"/>
  </sheetViews>
  <sheetFormatPr defaultColWidth="0" defaultRowHeight="13.2"/>
  <cols>
    <col min="1" max="1" width="3.296875" style="61" customWidth="1"/>
    <col min="2" max="4" width="27.69921875" style="61" customWidth="1"/>
    <col min="5" max="10" width="22.296875" style="61" customWidth="1"/>
    <col min="11" max="11" width="66.69921875" style="61" customWidth="1"/>
    <col min="12" max="12" width="3.296875" style="61" customWidth="1"/>
    <col min="13" max="16" width="21.69921875" style="61" hidden="1" customWidth="1"/>
    <col min="17" max="17" width="5.59765625" style="61" hidden="1" customWidth="1"/>
    <col min="18" max="18" width="44.3984375" style="61" hidden="1" customWidth="1"/>
    <col min="19" max="19" width="5.59765625" style="61" hidden="1" customWidth="1"/>
    <col min="20" max="29" width="21.69921875" style="61" hidden="1" customWidth="1"/>
    <col min="30" max="30" width="3.296875" style="61" hidden="1" customWidth="1"/>
    <col min="31" max="31" width="18.296875" style="61" hidden="1" customWidth="1"/>
    <col min="32" max="32" width="13.296875" style="61" hidden="1" customWidth="1"/>
    <col min="33" max="35" width="15.59765625" style="61" hidden="1" customWidth="1"/>
    <col min="36" max="16384" width="9" style="61" hidden="1"/>
  </cols>
  <sheetData>
    <row r="1" spans="1:12">
      <c r="A1" s="59"/>
      <c r="B1" s="59"/>
      <c r="C1" s="59"/>
      <c r="D1" s="59"/>
      <c r="E1" s="59"/>
      <c r="F1" s="59"/>
      <c r="G1" s="60"/>
      <c r="H1" s="60"/>
      <c r="I1" s="59"/>
      <c r="J1" s="59"/>
      <c r="K1" s="59"/>
      <c r="L1" s="59"/>
    </row>
    <row r="2" spans="1:12">
      <c r="A2" s="59"/>
      <c r="B2" s="59"/>
      <c r="C2" s="59"/>
      <c r="D2" s="59"/>
      <c r="E2" s="59"/>
      <c r="F2" s="59"/>
      <c r="G2" s="60"/>
      <c r="H2" s="60"/>
      <c r="I2" s="59"/>
      <c r="J2" s="59"/>
      <c r="K2" s="59"/>
      <c r="L2" s="59"/>
    </row>
    <row r="3" spans="1:12" ht="16.5" customHeight="1">
      <c r="A3" s="59"/>
      <c r="B3" s="9" t="s">
        <v>0</v>
      </c>
      <c r="C3" s="59"/>
      <c r="D3" s="59"/>
      <c r="E3" s="9"/>
      <c r="F3" s="59"/>
      <c r="G3" s="60"/>
      <c r="H3" s="60"/>
      <c r="I3" s="59"/>
      <c r="J3" s="59"/>
      <c r="K3" s="59"/>
      <c r="L3" s="59"/>
    </row>
    <row r="4" spans="1:12" ht="1.5" customHeight="1">
      <c r="A4" s="62"/>
      <c r="B4" s="62"/>
      <c r="C4" s="62"/>
      <c r="D4" s="62"/>
      <c r="E4" s="62"/>
      <c r="F4" s="62"/>
      <c r="G4" s="63"/>
      <c r="H4" s="63"/>
      <c r="I4" s="62"/>
      <c r="J4" s="62"/>
      <c r="K4" s="62"/>
      <c r="L4" s="62"/>
    </row>
    <row r="5" spans="1:12">
      <c r="G5" s="64"/>
      <c r="H5" s="64"/>
    </row>
    <row r="6" spans="1:12" ht="16.2">
      <c r="B6" s="34" t="s">
        <v>349</v>
      </c>
      <c r="C6" s="34"/>
      <c r="D6" s="34"/>
      <c r="E6" s="34"/>
      <c r="F6" s="34"/>
      <c r="G6" s="34"/>
      <c r="H6" s="34"/>
    </row>
    <row r="7" spans="1:12" ht="13.8" thickBot="1">
      <c r="G7" s="64"/>
      <c r="H7" s="64"/>
    </row>
    <row r="8" spans="1:12" ht="39" customHeight="1" thickBot="1">
      <c r="B8" s="46" t="s">
        <v>350</v>
      </c>
      <c r="C8" s="46" t="s">
        <v>351</v>
      </c>
      <c r="D8" s="53" t="s">
        <v>352</v>
      </c>
      <c r="E8" s="50" t="s">
        <v>353</v>
      </c>
      <c r="F8" s="51" t="s">
        <v>354</v>
      </c>
      <c r="G8" s="50" t="s">
        <v>33</v>
      </c>
      <c r="H8" s="50" t="s">
        <v>20</v>
      </c>
    </row>
    <row r="9" spans="1:12" ht="16.8" thickBot="1">
      <c r="B9" s="31" t="s">
        <v>355</v>
      </c>
      <c r="C9" s="31" t="s">
        <v>356</v>
      </c>
      <c r="D9" s="43" t="s">
        <v>357</v>
      </c>
      <c r="E9" s="57">
        <f>COUNTIFS(Extração_DataLake!I:I,Equity!B9,Extração_DataLake!J:J,"Equity")</f>
        <v>0</v>
      </c>
      <c r="F9" s="58" t="s">
        <v>358</v>
      </c>
      <c r="G9" s="58">
        <f>IF(E9&gt;0,1,0)</f>
        <v>0</v>
      </c>
      <c r="H9" s="58"/>
    </row>
    <row r="10" spans="1:12">
      <c r="G10" s="64"/>
      <c r="H10" s="64"/>
    </row>
    <row r="12" spans="1:12" ht="16.2">
      <c r="B12" s="34" t="s">
        <v>377</v>
      </c>
      <c r="C12" s="34"/>
      <c r="D12" s="34"/>
      <c r="E12" s="34"/>
      <c r="F12" s="34"/>
      <c r="G12" s="34"/>
      <c r="H12" s="34"/>
      <c r="I12" s="34"/>
      <c r="J12" s="34"/>
      <c r="K12" s="34"/>
    </row>
    <row r="13" spans="1:12" ht="13.8" thickBot="1">
      <c r="G13" s="64"/>
      <c r="H13" s="64"/>
      <c r="I13" s="64"/>
      <c r="J13" s="64"/>
      <c r="K13" s="64"/>
    </row>
    <row r="14" spans="1:12" ht="39.6" customHeight="1" thickBot="1">
      <c r="B14" s="46" t="s">
        <v>350</v>
      </c>
      <c r="C14" s="46" t="s">
        <v>351</v>
      </c>
      <c r="D14" s="53" t="s">
        <v>378</v>
      </c>
      <c r="E14" s="50" t="s">
        <v>379</v>
      </c>
      <c r="F14" s="50" t="s">
        <v>380</v>
      </c>
      <c r="G14" s="50" t="s">
        <v>381</v>
      </c>
      <c r="H14" s="51" t="s">
        <v>31</v>
      </c>
      <c r="I14" s="51" t="s">
        <v>32</v>
      </c>
      <c r="J14" s="50" t="s">
        <v>33</v>
      </c>
      <c r="K14" s="50" t="s">
        <v>20</v>
      </c>
    </row>
    <row r="15" spans="1:12" ht="16.8" thickBot="1">
      <c r="B15" s="31" t="s">
        <v>355</v>
      </c>
      <c r="C15" s="31" t="s">
        <v>409</v>
      </c>
      <c r="D15" s="43" t="s">
        <v>383</v>
      </c>
      <c r="E15" s="57">
        <f>SUMIFS(Extração_DataLake!Z:Z,Extração_DataLake!V:V,Equity!B15,Extração_DataLake!W:W,"Equity",Extração_DataLake!X:X,IFERROR(LEFT(Equity!C15,FIND(" ",Equity!C15)-1),Equity!C15),Extração_DataLake!Y:Y,Equity!D15)</f>
        <v>8</v>
      </c>
      <c r="F15" s="57">
        <f>SUMIFS(Extração_DataLake!AA:AA,Extração_DataLake!V:V,Equity!B15,Extração_DataLake!W:W,"Equity",Extração_DataLake!X:X,IFERROR(LEFT(Equity!C15,FIND(" ",Equity!C15)-1),Equity!C15),Extração_DataLake!Y:Y,Equity!D15)</f>
        <v>42</v>
      </c>
      <c r="G15" s="54">
        <f t="shared" ref="G15:G25" si="0">E15/F15</f>
        <v>0.19047619047619047</v>
      </c>
      <c r="H15" s="65">
        <v>0.01</v>
      </c>
      <c r="I15" s="65">
        <v>0.05</v>
      </c>
      <c r="J15" s="58">
        <f t="shared" ref="J15:J25" si="1">IF(G15&gt;=I15,2,IF(G15&gt;=H15,1,0))</f>
        <v>2</v>
      </c>
      <c r="K15" s="69" t="s">
        <v>448</v>
      </c>
    </row>
    <row r="16" spans="1:12" ht="16.8" thickBot="1">
      <c r="B16" s="31" t="s">
        <v>355</v>
      </c>
      <c r="C16" s="31" t="s">
        <v>409</v>
      </c>
      <c r="D16" s="43" t="s">
        <v>384</v>
      </c>
      <c r="E16" s="57">
        <f>SUMIFS(Extração_DataLake!Z:Z,Extração_DataLake!V:V,Equity!B16,Extração_DataLake!W:W,"Equity",Extração_DataLake!X:X,IFERROR(LEFT(Equity!C16,FIND(" ",Equity!C16)-1),Equity!C16),Extração_DataLake!Y:Y,Equity!D16)</f>
        <v>0</v>
      </c>
      <c r="F16" s="57">
        <f>SUMIFS(Extração_DataLake!AA:AA,Extração_DataLake!V:V,Equity!B16,Extração_DataLake!W:W,"Equity",Extração_DataLake!X:X,IFERROR(LEFT(Equity!C16,FIND(" ",Equity!C16)-1),Equity!C16),Extração_DataLake!Y:Y,Equity!D16)</f>
        <v>42</v>
      </c>
      <c r="G16" s="54">
        <f t="shared" si="0"/>
        <v>0</v>
      </c>
      <c r="H16" s="65">
        <v>0.01</v>
      </c>
      <c r="I16" s="65">
        <v>0.05</v>
      </c>
      <c r="J16" s="58">
        <f t="shared" si="1"/>
        <v>0</v>
      </c>
      <c r="K16" s="58"/>
    </row>
    <row r="17" spans="2:11" ht="16.8" thickBot="1">
      <c r="B17" s="31" t="s">
        <v>355</v>
      </c>
      <c r="C17" s="31" t="s">
        <v>409</v>
      </c>
      <c r="D17" s="43" t="s">
        <v>385</v>
      </c>
      <c r="E17" s="57">
        <f>SUMIFS(Extração_DataLake!Z:Z,Extração_DataLake!V:V,Equity!B17,Extração_DataLake!W:W,"Equity",Extração_DataLake!X:X,IFERROR(LEFT(Equity!C17,FIND(" ",Equity!C17)-1),Equity!C17),Extração_DataLake!Y:Y,Equity!D17)</f>
        <v>0</v>
      </c>
      <c r="F17" s="57">
        <f>SUMIFS(Extração_DataLake!AA:AA,Extração_DataLake!V:V,Equity!B17,Extração_DataLake!W:W,"Equity",Extração_DataLake!X:X,IFERROR(LEFT(Equity!C17,FIND(" ",Equity!C17)-1),Equity!C17),Extração_DataLake!Y:Y,Equity!D17)</f>
        <v>42</v>
      </c>
      <c r="G17" s="54">
        <f t="shared" si="0"/>
        <v>0</v>
      </c>
      <c r="H17" s="65">
        <v>0.01</v>
      </c>
      <c r="I17" s="65">
        <v>0.05</v>
      </c>
      <c r="J17" s="58">
        <f t="shared" si="1"/>
        <v>0</v>
      </c>
      <c r="K17" s="58"/>
    </row>
    <row r="18" spans="2:11" ht="16.8" thickBot="1">
      <c r="B18" s="31" t="s">
        <v>355</v>
      </c>
      <c r="C18" s="31" t="s">
        <v>438</v>
      </c>
      <c r="D18" s="43" t="s">
        <v>439</v>
      </c>
      <c r="E18" s="57">
        <f>COUNTIFS(Componente_EA5678[tabela],Equity!B18,Componente_EA5678[segmento],"Equity",Componente_EA5678[nome_campo],Equity!C18)</f>
        <v>0</v>
      </c>
      <c r="F18" s="57">
        <f>F19</f>
        <v>42</v>
      </c>
      <c r="G18" s="57" t="s">
        <v>416</v>
      </c>
      <c r="H18" s="58" t="s">
        <v>358</v>
      </c>
      <c r="I18" s="58" t="s">
        <v>358</v>
      </c>
      <c r="J18" s="58">
        <f>IF(E18&gt;0,1,0)</f>
        <v>0</v>
      </c>
      <c r="K18" s="58"/>
    </row>
    <row r="19" spans="2:11" ht="16.8" thickBot="1">
      <c r="B19" s="31" t="s">
        <v>355</v>
      </c>
      <c r="C19" s="31" t="s">
        <v>438</v>
      </c>
      <c r="D19" s="43" t="s">
        <v>385</v>
      </c>
      <c r="E19" s="57">
        <f>SUMIFS(Extração_DataLake!Z:Z,Extração_DataLake!V:V,Equity!B19,Extração_DataLake!W:W,"Equity",Extração_DataLake!X:X,IFERROR(LEFT(Equity!C19,FIND(" ",Equity!C19)-1),Equity!C19),Extração_DataLake!Y:Y,Equity!D19)</f>
        <v>0</v>
      </c>
      <c r="F19" s="57">
        <f>SUMIFS(Extração_DataLake!AA:AA,Extração_DataLake!V:V,Equity!B19,Extração_DataLake!W:W,"Equity",Extração_DataLake!X:X,IFERROR(LEFT(Equity!C19,FIND(" ",Equity!C19)-1),Equity!C19),Extração_DataLake!Y:Y,Equity!D19)</f>
        <v>42</v>
      </c>
      <c r="G19" s="54">
        <f t="shared" si="0"/>
        <v>0</v>
      </c>
      <c r="H19" s="65">
        <v>0.01</v>
      </c>
      <c r="I19" s="65">
        <v>0.05</v>
      </c>
      <c r="J19" s="58">
        <f t="shared" si="1"/>
        <v>0</v>
      </c>
      <c r="K19" s="58"/>
    </row>
    <row r="20" spans="2:11" ht="16.8" thickBot="1">
      <c r="B20" s="31" t="s">
        <v>355</v>
      </c>
      <c r="C20" s="31" t="s">
        <v>441</v>
      </c>
      <c r="D20" s="43" t="s">
        <v>383</v>
      </c>
      <c r="E20" s="57">
        <f>SUMIFS(Extração_DataLake!Z:Z,Extração_DataLake!V:V,Equity!B20,Extração_DataLake!W:W,"Equity",Extração_DataLake!X:X,IFERROR(LEFT(Equity!C20,FIND(" ",Equity!C20)-1),Equity!C20),Extração_DataLake!Y:Y,Equity!D20)</f>
        <v>0</v>
      </c>
      <c r="F20" s="57">
        <f>SUMIFS(Extração_DataLake!AA:AA,Extração_DataLake!V:V,Equity!B20,Extração_DataLake!W:W,"Equity",Extração_DataLake!X:X,IFERROR(LEFT(Equity!C20,FIND(" ",Equity!C20)-1),Equity!C20),Extração_DataLake!Y:Y,Equity!D20)</f>
        <v>42</v>
      </c>
      <c r="G20" s="54">
        <f t="shared" si="0"/>
        <v>0</v>
      </c>
      <c r="H20" s="65">
        <v>0.01</v>
      </c>
      <c r="I20" s="65">
        <v>0.05</v>
      </c>
      <c r="J20" s="58">
        <f t="shared" si="1"/>
        <v>0</v>
      </c>
      <c r="K20" s="58"/>
    </row>
    <row r="21" spans="2:11" ht="16.8" thickBot="1">
      <c r="B21" s="31" t="s">
        <v>355</v>
      </c>
      <c r="C21" s="31" t="s">
        <v>441</v>
      </c>
      <c r="D21" s="43" t="s">
        <v>384</v>
      </c>
      <c r="E21" s="57">
        <f>SUMIFS(Extração_DataLake!Z:Z,Extração_DataLake!V:V,Equity!B21,Extração_DataLake!W:W,"Equity",Extração_DataLake!X:X,IFERROR(LEFT(Equity!C21,FIND(" ",Equity!C21)-1),Equity!C21),Extração_DataLake!Y:Y,Equity!D21)</f>
        <v>0</v>
      </c>
      <c r="F21" s="57">
        <f>SUMIFS(Extração_DataLake!AA:AA,Extração_DataLake!V:V,Equity!B21,Extração_DataLake!W:W,"Equity",Extração_DataLake!X:X,IFERROR(LEFT(Equity!C21,FIND(" ",Equity!C21)-1),Equity!C21),Extração_DataLake!Y:Y,Equity!D21)</f>
        <v>42</v>
      </c>
      <c r="G21" s="54">
        <f t="shared" si="0"/>
        <v>0</v>
      </c>
      <c r="H21" s="65">
        <v>0.01</v>
      </c>
      <c r="I21" s="65">
        <v>0.05</v>
      </c>
      <c r="J21" s="58">
        <f t="shared" si="1"/>
        <v>0</v>
      </c>
      <c r="K21" s="58"/>
    </row>
    <row r="22" spans="2:11" ht="16.8" thickBot="1">
      <c r="B22" s="31" t="s">
        <v>355</v>
      </c>
      <c r="C22" s="31" t="s">
        <v>441</v>
      </c>
      <c r="D22" s="43" t="s">
        <v>385</v>
      </c>
      <c r="E22" s="57">
        <f>SUMIFS(Extração_DataLake!Z:Z,Extração_DataLake!V:V,Equity!B22,Extração_DataLake!W:W,"Equity",Extração_DataLake!X:X,IFERROR(LEFT(Equity!C22,FIND(" ",Equity!C22)-1),Equity!C22),Extração_DataLake!Y:Y,Equity!D22)</f>
        <v>0</v>
      </c>
      <c r="F22" s="57">
        <f>SUMIFS(Extração_DataLake!AA:AA,Extração_DataLake!V:V,Equity!B22,Extração_DataLake!W:W,"Equity",Extração_DataLake!X:X,IFERROR(LEFT(Equity!C22,FIND(" ",Equity!C22)-1),Equity!C22),Extração_DataLake!Y:Y,Equity!D22)</f>
        <v>42</v>
      </c>
      <c r="G22" s="54">
        <f t="shared" si="0"/>
        <v>0</v>
      </c>
      <c r="H22" s="65">
        <v>0.01</v>
      </c>
      <c r="I22" s="65">
        <v>0.05</v>
      </c>
      <c r="J22" s="58">
        <f t="shared" si="1"/>
        <v>0</v>
      </c>
      <c r="K22" s="58"/>
    </row>
    <row r="23" spans="2:11" ht="16.8" thickBot="1">
      <c r="B23" s="31" t="s">
        <v>355</v>
      </c>
      <c r="C23" s="31" t="s">
        <v>442</v>
      </c>
      <c r="D23" s="43" t="s">
        <v>383</v>
      </c>
      <c r="E23" s="57">
        <f>SUMIFS(Extração_DataLake!Z:Z,Extração_DataLake!V:V,Equity!B23,Extração_DataLake!W:W,"Equity",Extração_DataLake!X:X,IFERROR(LEFT(Equity!C23,FIND(" ",Equity!C23)-1),Equity!C23),Extração_DataLake!Y:Y,Equity!D23)</f>
        <v>0</v>
      </c>
      <c r="F23" s="57">
        <f>SUMIFS(Extração_DataLake!AA:AA,Extração_DataLake!V:V,Equity!B23,Extração_DataLake!W:W,"Equity",Extração_DataLake!X:X,IFERROR(LEFT(Equity!C23,FIND(" ",Equity!C23)-1),Equity!C23),Extração_DataLake!Y:Y,Equity!D23)</f>
        <v>42</v>
      </c>
      <c r="G23" s="54">
        <f t="shared" si="0"/>
        <v>0</v>
      </c>
      <c r="H23" s="65">
        <v>0.01</v>
      </c>
      <c r="I23" s="65">
        <v>0.05</v>
      </c>
      <c r="J23" s="58">
        <f t="shared" si="1"/>
        <v>0</v>
      </c>
      <c r="K23" s="58"/>
    </row>
    <row r="24" spans="2:11" ht="16.8" thickBot="1">
      <c r="B24" s="31" t="s">
        <v>355</v>
      </c>
      <c r="C24" s="31" t="s">
        <v>442</v>
      </c>
      <c r="D24" s="43" t="s">
        <v>384</v>
      </c>
      <c r="E24" s="57">
        <f>SUMIFS(Extração_DataLake!Z:Z,Extração_DataLake!V:V,Equity!B24,Extração_DataLake!W:W,"Equity",Extração_DataLake!X:X,IFERROR(LEFT(Equity!C24,FIND(" ",Equity!C24)-1),Equity!C24),Extração_DataLake!Y:Y,Equity!D24)</f>
        <v>0</v>
      </c>
      <c r="F24" s="57">
        <f>SUMIFS(Extração_DataLake!AA:AA,Extração_DataLake!V:V,Equity!B24,Extração_DataLake!W:W,"Equity",Extração_DataLake!X:X,IFERROR(LEFT(Equity!C24,FIND(" ",Equity!C24)-1),Equity!C24),Extração_DataLake!Y:Y,Equity!D24)</f>
        <v>42</v>
      </c>
      <c r="G24" s="54">
        <f t="shared" si="0"/>
        <v>0</v>
      </c>
      <c r="H24" s="65">
        <v>0.01</v>
      </c>
      <c r="I24" s="65">
        <v>0.05</v>
      </c>
      <c r="J24" s="58">
        <f t="shared" si="1"/>
        <v>0</v>
      </c>
      <c r="K24" s="58"/>
    </row>
    <row r="25" spans="2:11" ht="16.8" thickBot="1">
      <c r="B25" s="31" t="s">
        <v>355</v>
      </c>
      <c r="C25" s="31" t="s">
        <v>442</v>
      </c>
      <c r="D25" s="43" t="s">
        <v>385</v>
      </c>
      <c r="E25" s="57">
        <f>SUMIFS(Extração_DataLake!Z:Z,Extração_DataLake!V:V,Equity!B25,Extração_DataLake!W:W,"Equity",Extração_DataLake!X:X,IFERROR(LEFT(Equity!C25,FIND(" ",Equity!C25)-1),Equity!C25),Extração_DataLake!Y:Y,Equity!D25)</f>
        <v>0</v>
      </c>
      <c r="F25" s="57">
        <f>SUMIFS(Extração_DataLake!AA:AA,Extração_DataLake!V:V,Equity!B25,Extração_DataLake!W:W,"Equity",Extração_DataLake!X:X,IFERROR(LEFT(Equity!C25,FIND(" ",Equity!C25)-1),Equity!C25),Extração_DataLake!Y:Y,Equity!D25)</f>
        <v>42</v>
      </c>
      <c r="G25" s="54">
        <f t="shared" si="0"/>
        <v>0</v>
      </c>
      <c r="H25" s="65">
        <v>0.01</v>
      </c>
      <c r="I25" s="65">
        <v>0.05</v>
      </c>
      <c r="J25" s="58">
        <f t="shared" si="1"/>
        <v>0</v>
      </c>
      <c r="K25" s="58"/>
    </row>
    <row r="26" spans="2:11" ht="16.8" thickBot="1">
      <c r="B26" s="31" t="s">
        <v>355</v>
      </c>
      <c r="C26" s="31" t="s">
        <v>443</v>
      </c>
      <c r="D26" s="43" t="s">
        <v>383</v>
      </c>
      <c r="E26" s="57">
        <f>SUMIFS(Extração_DataLake!Z:Z,Extração_DataLake!V:V,Equity!B26,Extração_DataLake!W:W,"Equity",Extração_DataLake!X:X,IFERROR(LEFT(Equity!C26,FIND(" ",Equity!C26)-1),Equity!C26),Extração_DataLake!Y:Y,Equity!D26)</f>
        <v>0</v>
      </c>
      <c r="F26" s="57">
        <f>SUMIFS(Extração_DataLake!AA:AA,Extração_DataLake!V:V,Equity!B26,Extração_DataLake!W:W,"Equity",Extração_DataLake!X:X,IFERROR(LEFT(Equity!C26,FIND(" ",Equity!C26)-1),Equity!C26),Extração_DataLake!Y:Y,Equity!D26)</f>
        <v>42</v>
      </c>
      <c r="G26" s="54">
        <f t="shared" ref="G26:G27" si="2">E26/F26</f>
        <v>0</v>
      </c>
      <c r="H26" s="65">
        <v>0.01</v>
      </c>
      <c r="I26" s="65">
        <v>0.05</v>
      </c>
      <c r="J26" s="58">
        <f t="shared" ref="J26:J27" si="3">IF(G26&gt;=I26,2,IF(G26&gt;=H26,1,0))</f>
        <v>0</v>
      </c>
      <c r="K26" s="58"/>
    </row>
    <row r="27" spans="2:11" ht="16.8" thickBot="1">
      <c r="B27" s="31" t="s">
        <v>355</v>
      </c>
      <c r="C27" s="31" t="s">
        <v>443</v>
      </c>
      <c r="D27" s="43" t="s">
        <v>384</v>
      </c>
      <c r="E27" s="57">
        <f>SUMIFS(Extração_DataLake!Z:Z,Extração_DataLake!V:V,Equity!B27,Extração_DataLake!W:W,"Equity",Extração_DataLake!X:X,IFERROR(LEFT(Equity!C27,FIND(" ",Equity!C27)-1),Equity!C27),Extração_DataLake!Y:Y,Equity!D27)</f>
        <v>0</v>
      </c>
      <c r="F27" s="57">
        <f>SUMIFS(Extração_DataLake!AA:AA,Extração_DataLake!V:V,Equity!B27,Extração_DataLake!W:W,"Equity",Extração_DataLake!X:X,IFERROR(LEFT(Equity!C27,FIND(" ",Equity!C27)-1),Equity!C27),Extração_DataLake!Y:Y,Equity!D27)</f>
        <v>42</v>
      </c>
      <c r="G27" s="54">
        <f t="shared" si="2"/>
        <v>0</v>
      </c>
      <c r="H27" s="65">
        <v>0.01</v>
      </c>
      <c r="I27" s="65">
        <v>0.05</v>
      </c>
      <c r="J27" s="58">
        <f t="shared" si="3"/>
        <v>0</v>
      </c>
      <c r="K27" s="58"/>
    </row>
    <row r="28" spans="2:11" ht="16.8" thickBot="1">
      <c r="B28" s="31" t="s">
        <v>355</v>
      </c>
      <c r="C28" s="31" t="s">
        <v>412</v>
      </c>
      <c r="D28" s="43" t="s">
        <v>383</v>
      </c>
      <c r="E28" s="57">
        <f>SUMIFS(Extração_DataLake!Z:Z,Extração_DataLake!V:V,Equity!B28,Extração_DataLake!W:W,"Equity",Extração_DataLake!X:X,IFERROR(LEFT(Equity!C28,FIND(" ",Equity!C28)-1),Equity!C28),Extração_DataLake!Y:Y,Equity!D28)</f>
        <v>0</v>
      </c>
      <c r="F28" s="57">
        <f>SUMIFS(Extração_DataLake!AA:AA,Extração_DataLake!V:V,Equity!B28,Extração_DataLake!W:W,"Equity",Extração_DataLake!X:X,IFERROR(LEFT(Equity!C28,FIND(" ",Equity!C28)-1),Equity!C28),Extração_DataLake!Y:Y,Equity!D28)</f>
        <v>42</v>
      </c>
      <c r="G28" s="54">
        <f t="shared" ref="G28:G33" si="4">E28/F28</f>
        <v>0</v>
      </c>
      <c r="H28" s="65">
        <v>0.01</v>
      </c>
      <c r="I28" s="65">
        <v>0.05</v>
      </c>
      <c r="J28" s="58">
        <f t="shared" ref="J28:J33" si="5">IF(G28&gt;=I28,2,IF(G28&gt;=H28,1,0))</f>
        <v>0</v>
      </c>
      <c r="K28" s="58"/>
    </row>
    <row r="29" spans="2:11" ht="16.2" customHeight="1" thickBot="1">
      <c r="B29" s="31" t="s">
        <v>355</v>
      </c>
      <c r="C29" s="31" t="s">
        <v>412</v>
      </c>
      <c r="D29" s="43" t="s">
        <v>384</v>
      </c>
      <c r="E29" s="57">
        <f>SUMIFS(Extração_DataLake!Z:Z,Extração_DataLake!V:V,Equity!B29,Extração_DataLake!W:W,"Equity",Extração_DataLake!X:X,IFERROR(LEFT(Equity!C29,FIND(" ",Equity!C29)-1),Equity!C29),Extração_DataLake!Y:Y,Equity!D29)</f>
        <v>36</v>
      </c>
      <c r="F29" s="57">
        <f>SUMIFS(Extração_DataLake!AA:AA,Extração_DataLake!V:V,Equity!B29,Extração_DataLake!W:W,"Equity",Extração_DataLake!X:X,IFERROR(LEFT(Equity!C29,FIND(" ",Equity!C29)-1),Equity!C29),Extração_DataLake!Y:Y,Equity!D29)</f>
        <v>42</v>
      </c>
      <c r="G29" s="54">
        <f t="shared" si="4"/>
        <v>0.8571428571428571</v>
      </c>
      <c r="H29" s="65">
        <v>0.01</v>
      </c>
      <c r="I29" s="65">
        <v>0.05</v>
      </c>
      <c r="J29" s="58">
        <f t="shared" si="5"/>
        <v>2</v>
      </c>
      <c r="K29" s="74" t="s">
        <v>413</v>
      </c>
    </row>
    <row r="30" spans="2:11" ht="16.2" customHeight="1" thickBot="1">
      <c r="B30" s="31" t="s">
        <v>355</v>
      </c>
      <c r="C30" s="31" t="s">
        <v>412</v>
      </c>
      <c r="D30" s="43" t="s">
        <v>385</v>
      </c>
      <c r="E30" s="57">
        <f>SUMIFS(Extração_DataLake!Z:Z,Extração_DataLake!V:V,Equity!B30,Extração_DataLake!W:W,"Equity",Extração_DataLake!X:X,IFERROR(LEFT(Equity!C30,FIND(" ",Equity!C30)-1),Equity!C30),Extração_DataLake!Y:Y,Equity!D30)</f>
        <v>0</v>
      </c>
      <c r="F30" s="57">
        <f>SUMIFS(Extração_DataLake!AA:AA,Extração_DataLake!V:V,Equity!B30,Extração_DataLake!W:W,"Equity",Extração_DataLake!X:X,IFERROR(LEFT(Equity!C30,FIND(" ",Equity!C30)-1),Equity!C30),Extração_DataLake!Y:Y,Equity!D30)</f>
        <v>42</v>
      </c>
      <c r="G30" s="54">
        <f t="shared" si="4"/>
        <v>0</v>
      </c>
      <c r="H30" s="65">
        <v>0.01</v>
      </c>
      <c r="I30" s="65">
        <v>0.05</v>
      </c>
      <c r="J30" s="58">
        <f t="shared" si="5"/>
        <v>0</v>
      </c>
      <c r="K30" s="58"/>
    </row>
    <row r="31" spans="2:11" ht="16.8" thickBot="1">
      <c r="B31" s="31" t="s">
        <v>355</v>
      </c>
      <c r="C31" s="31" t="s">
        <v>444</v>
      </c>
      <c r="D31" s="43" t="s">
        <v>383</v>
      </c>
      <c r="E31" s="57">
        <f>SUMIFS(Extração_DataLake!Z:Z,Extração_DataLake!V:V,Equity!B31,Extração_DataLake!W:W,"Equity",Extração_DataLake!X:X,IFERROR(LEFT(Equity!C31,FIND(" ",Equity!C31)-1),Equity!C31),Extração_DataLake!Y:Y,Equity!D31)</f>
        <v>36</v>
      </c>
      <c r="F31" s="57">
        <f>SUMIFS(Extração_DataLake!AA:AA,Extração_DataLake!V:V,Equity!B31,Extração_DataLake!W:W,"Equity",Extração_DataLake!X:X,IFERROR(LEFT(Equity!C31,FIND(" ",Equity!C31)-1),Equity!C31),Extração_DataLake!Y:Y,Equity!D31)</f>
        <v>42</v>
      </c>
      <c r="G31" s="54">
        <f t="shared" si="4"/>
        <v>0.8571428571428571</v>
      </c>
      <c r="H31" s="65">
        <v>0.01</v>
      </c>
      <c r="I31" s="65">
        <v>0.05</v>
      </c>
      <c r="J31" s="58">
        <f t="shared" si="5"/>
        <v>2</v>
      </c>
      <c r="K31" s="69" t="s">
        <v>445</v>
      </c>
    </row>
    <row r="32" spans="2:11" ht="16.8" thickBot="1">
      <c r="B32" s="31" t="s">
        <v>355</v>
      </c>
      <c r="C32" s="31" t="s">
        <v>444</v>
      </c>
      <c r="D32" s="43" t="s">
        <v>384</v>
      </c>
      <c r="E32" s="57">
        <f>SUMIFS(Extração_DataLake!Z:Z,Extração_DataLake!V:V,Equity!B32,Extração_DataLake!W:W,"Equity",Extração_DataLake!X:X,IFERROR(LEFT(Equity!C32,FIND(" ",Equity!C32)-1),Equity!C32),Extração_DataLake!Y:Y,Equity!D32)</f>
        <v>0</v>
      </c>
      <c r="F32" s="57">
        <f>SUMIFS(Extração_DataLake!AA:AA,Extração_DataLake!V:V,Equity!B32,Extração_DataLake!W:W,"Equity",Extração_DataLake!X:X,IFERROR(LEFT(Equity!C32,FIND(" ",Equity!C32)-1),Equity!C32),Extração_DataLake!Y:Y,Equity!D32)</f>
        <v>42</v>
      </c>
      <c r="G32" s="54">
        <f t="shared" si="4"/>
        <v>0</v>
      </c>
      <c r="H32" s="65">
        <v>0.01</v>
      </c>
      <c r="I32" s="65">
        <v>0.05</v>
      </c>
      <c r="J32" s="58">
        <f t="shared" si="5"/>
        <v>0</v>
      </c>
      <c r="K32" s="58"/>
    </row>
    <row r="33" spans="2:11" ht="16.8" thickBot="1">
      <c r="B33" s="31" t="s">
        <v>355</v>
      </c>
      <c r="C33" s="31" t="s">
        <v>444</v>
      </c>
      <c r="D33" s="43" t="s">
        <v>385</v>
      </c>
      <c r="E33" s="57">
        <f>SUMIFS(Extração_DataLake!Z:Z,Extração_DataLake!V:V,Equity!B33,Extração_DataLake!W:W,"Equity",Extração_DataLake!X:X,IFERROR(LEFT(Equity!C33,FIND(" ",Equity!C33)-1),Equity!C33),Extração_DataLake!Y:Y,Equity!D33)</f>
        <v>0</v>
      </c>
      <c r="F33" s="57">
        <f>SUMIFS(Extração_DataLake!AA:AA,Extração_DataLake!V:V,Equity!B33,Extração_DataLake!W:W,"Equity",Extração_DataLake!X:X,IFERROR(LEFT(Equity!C33,FIND(" ",Equity!C33)-1),Equity!C33),Extração_DataLake!Y:Y,Equity!D33)</f>
        <v>42</v>
      </c>
      <c r="G33" s="54">
        <f t="shared" si="4"/>
        <v>0</v>
      </c>
      <c r="H33" s="65">
        <v>0.01</v>
      </c>
      <c r="I33" s="65">
        <v>0.05</v>
      </c>
      <c r="J33" s="58">
        <f t="shared" si="5"/>
        <v>0</v>
      </c>
      <c r="K33" s="58"/>
    </row>
    <row r="35" spans="2:11" ht="16.2">
      <c r="B35" s="40"/>
    </row>
    <row r="59" ht="16.2" customHeight="1"/>
    <row r="60" ht="16.2" customHeight="1"/>
    <row r="61" ht="16.2" customHeight="1"/>
  </sheetData>
  <conditionalFormatting sqref="G9">
    <cfRule type="iconSet" priority="56">
      <iconSet showValue="0" reverse="1">
        <cfvo type="percent" val="0"/>
        <cfvo type="num" val="1"/>
        <cfvo type="num" val="1"/>
      </iconSet>
    </cfRule>
  </conditionalFormatting>
  <conditionalFormatting sqref="J15:J17 J19:J33">
    <cfRule type="iconSet" priority="70">
      <iconSet showValue="0" reverse="1">
        <cfvo type="percent" val="0"/>
        <cfvo type="num" val="1"/>
        <cfvo type="num" val="2"/>
      </iconSet>
    </cfRule>
  </conditionalFormatting>
  <conditionalFormatting sqref="J18">
    <cfRule type="iconSet" priority="1">
      <iconSet showValue="0" reverse="1">
        <cfvo type="percent" val="0"/>
        <cfvo type="num" val="1"/>
        <cfvo type="num" val="1"/>
      </iconSet>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0BEC7-1BDB-4F2D-945D-D2F544EE9F73}">
  <sheetPr codeName="Sheet8">
    <tabColor rgb="FF00B050"/>
  </sheetPr>
  <dimension ref="A1:AV310"/>
  <sheetViews>
    <sheetView showGridLines="0" zoomScaleNormal="100" workbookViewId="0"/>
  </sheetViews>
  <sheetFormatPr defaultColWidth="8.59765625" defaultRowHeight="13.8"/>
  <cols>
    <col min="1" max="1" width="3.296875" customWidth="1"/>
    <col min="2" max="2" width="30.59765625" customWidth="1"/>
    <col min="3" max="7" width="24" customWidth="1"/>
    <col min="9" max="14" width="21.69921875" customWidth="1"/>
    <col min="16" max="20" width="21.69921875" customWidth="1"/>
    <col min="22" max="22" width="21.69921875" customWidth="1"/>
    <col min="23" max="23" width="24.59765625" bestFit="1" customWidth="1"/>
    <col min="24" max="24" width="27.69921875" bestFit="1" customWidth="1"/>
    <col min="25" max="27" width="21.69921875" customWidth="1"/>
    <col min="29" max="29" width="21.69921875" customWidth="1"/>
    <col min="30" max="30" width="24.59765625" bestFit="1" customWidth="1"/>
    <col min="31" max="31" width="27.69921875" bestFit="1" customWidth="1"/>
    <col min="32" max="34" width="21.69921875" customWidth="1"/>
    <col min="36" max="36" width="21.69921875" customWidth="1"/>
    <col min="37" max="37" width="24.59765625" bestFit="1" customWidth="1"/>
    <col min="38" max="38" width="27.69921875" bestFit="1" customWidth="1"/>
    <col min="39" max="41" width="21.69921875" customWidth="1"/>
    <col min="43" max="43" width="21.69921875" customWidth="1"/>
    <col min="44" max="44" width="24.59765625" bestFit="1" customWidth="1"/>
    <col min="45" max="45" width="27.69921875" bestFit="1" customWidth="1"/>
    <col min="46" max="47" width="21.69921875" customWidth="1"/>
  </cols>
  <sheetData>
    <row r="1" spans="1:48">
      <c r="A1" s="7"/>
      <c r="B1" s="7"/>
      <c r="C1" s="7"/>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row>
    <row r="2" spans="1:48">
      <c r="A2" s="7"/>
      <c r="B2" s="7"/>
      <c r="C2" s="7"/>
      <c r="D2" s="7"/>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row>
    <row r="3" spans="1:48" ht="16.5" customHeight="1">
      <c r="A3" s="7"/>
      <c r="B3" s="9" t="s">
        <v>0</v>
      </c>
      <c r="C3" s="7"/>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row>
    <row r="4" spans="1:48" ht="1.5" customHeight="1">
      <c r="A4" s="1"/>
      <c r="B4" s="1"/>
      <c r="C4" s="1"/>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c r="D5" s="3"/>
      <c r="E5" s="3"/>
      <c r="F5" s="3"/>
      <c r="G5" s="3"/>
    </row>
    <row r="6" spans="1:48" ht="16.2">
      <c r="B6" s="25" t="s">
        <v>449</v>
      </c>
    </row>
    <row r="7" spans="1:48" ht="16.2">
      <c r="B7" s="25"/>
    </row>
    <row r="8" spans="1:48" ht="16.2">
      <c r="B8" s="85" t="s">
        <v>450</v>
      </c>
      <c r="C8" s="85"/>
      <c r="D8" s="85"/>
      <c r="E8" s="85"/>
      <c r="F8" s="85"/>
      <c r="G8" s="85"/>
      <c r="I8" s="85" t="s">
        <v>349</v>
      </c>
      <c r="J8" s="85"/>
      <c r="K8" s="85"/>
      <c r="L8" s="85"/>
      <c r="M8" s="85"/>
      <c r="N8" s="85"/>
      <c r="P8" s="85" t="s">
        <v>367</v>
      </c>
      <c r="Q8" s="85"/>
      <c r="R8" s="85"/>
      <c r="S8" s="85"/>
      <c r="T8" s="85"/>
      <c r="V8" s="85" t="s">
        <v>451</v>
      </c>
      <c r="W8" s="85"/>
      <c r="X8" s="85"/>
      <c r="Y8" s="85"/>
      <c r="Z8" s="85"/>
      <c r="AA8" s="85"/>
      <c r="AC8" s="85" t="s">
        <v>452</v>
      </c>
      <c r="AD8" s="85"/>
      <c r="AE8" s="85"/>
      <c r="AF8" s="85"/>
      <c r="AG8" s="85"/>
      <c r="AH8" s="85"/>
      <c r="AJ8" s="85" t="s">
        <v>453</v>
      </c>
      <c r="AK8" s="85"/>
      <c r="AL8" s="85"/>
      <c r="AM8" s="85"/>
      <c r="AN8" s="85"/>
      <c r="AO8" s="85"/>
      <c r="AQ8" s="82" t="s">
        <v>454</v>
      </c>
      <c r="AR8" s="83"/>
      <c r="AS8" s="83"/>
      <c r="AT8" s="83"/>
      <c r="AU8" s="84"/>
    </row>
    <row r="9" spans="1:48" ht="14.4" thickBot="1">
      <c r="D9" s="3"/>
      <c r="E9" s="3"/>
      <c r="F9" s="3"/>
      <c r="G9" s="3"/>
      <c r="K9" s="3"/>
      <c r="L9" s="3"/>
      <c r="M9" s="3"/>
      <c r="N9" s="3"/>
      <c r="R9" s="3"/>
      <c r="S9" s="3"/>
      <c r="T9" s="3"/>
      <c r="X9" s="3"/>
      <c r="Y9" s="3"/>
      <c r="Z9" s="3"/>
      <c r="AA9" s="3"/>
      <c r="AE9" s="3"/>
      <c r="AF9" s="3"/>
      <c r="AG9" s="3"/>
      <c r="AH9" s="3"/>
      <c r="AL9" s="3"/>
      <c r="AM9" s="3"/>
      <c r="AN9" s="3"/>
      <c r="AO9" s="3"/>
      <c r="AS9" s="3"/>
      <c r="AT9" s="3"/>
      <c r="AU9" s="3"/>
    </row>
    <row r="10" spans="1:48" ht="16.8" thickBot="1">
      <c r="B10" s="4" t="s">
        <v>455</v>
      </c>
      <c r="C10" s="4" t="s">
        <v>456</v>
      </c>
      <c r="D10" s="4" t="s">
        <v>457</v>
      </c>
      <c r="E10" s="4" t="s">
        <v>458</v>
      </c>
      <c r="F10" s="4" t="s">
        <v>459</v>
      </c>
      <c r="G10" s="4" t="s">
        <v>460</v>
      </c>
      <c r="I10" s="4" t="s">
        <v>461</v>
      </c>
      <c r="J10" s="4" t="s">
        <v>455</v>
      </c>
      <c r="K10" s="4" t="s">
        <v>356</v>
      </c>
      <c r="L10" s="4" t="s">
        <v>360</v>
      </c>
      <c r="M10" s="4" t="s">
        <v>362</v>
      </c>
      <c r="N10" s="4" t="s">
        <v>462</v>
      </c>
      <c r="P10" s="4" t="s">
        <v>463</v>
      </c>
      <c r="Q10" s="4" t="s">
        <v>455</v>
      </c>
      <c r="R10" s="4" t="s">
        <v>356</v>
      </c>
      <c r="S10" s="4" t="s">
        <v>360</v>
      </c>
      <c r="T10" s="4" t="s">
        <v>362</v>
      </c>
      <c r="V10" s="4" t="s">
        <v>461</v>
      </c>
      <c r="W10" s="4" t="s">
        <v>455</v>
      </c>
      <c r="X10" s="4" t="s">
        <v>464</v>
      </c>
      <c r="Y10" s="4" t="s">
        <v>465</v>
      </c>
      <c r="Z10" s="4" t="s">
        <v>466</v>
      </c>
      <c r="AA10" s="48" t="s">
        <v>467</v>
      </c>
      <c r="AC10" s="4" t="s">
        <v>461</v>
      </c>
      <c r="AD10" s="4" t="s">
        <v>455</v>
      </c>
      <c r="AE10" s="4" t="s">
        <v>464</v>
      </c>
      <c r="AF10" s="4" t="s">
        <v>465</v>
      </c>
      <c r="AG10" s="4" t="s">
        <v>466</v>
      </c>
      <c r="AH10" s="48" t="s">
        <v>467</v>
      </c>
      <c r="AJ10" s="4" t="s">
        <v>461</v>
      </c>
      <c r="AK10" s="4" t="s">
        <v>455</v>
      </c>
      <c r="AL10" s="4" t="s">
        <v>464</v>
      </c>
      <c r="AM10" s="4" t="s">
        <v>465</v>
      </c>
      <c r="AN10" s="4" t="s">
        <v>466</v>
      </c>
      <c r="AO10" s="48" t="s">
        <v>467</v>
      </c>
      <c r="AQ10" s="4" t="s">
        <v>461</v>
      </c>
      <c r="AR10" s="4" t="s">
        <v>455</v>
      </c>
      <c r="AS10" s="4" t="s">
        <v>468</v>
      </c>
      <c r="AT10" s="4" t="s">
        <v>469</v>
      </c>
      <c r="AU10" s="48" t="s">
        <v>462</v>
      </c>
    </row>
    <row r="11" spans="1:48" ht="16.8" thickBot="1">
      <c r="B11" s="6" t="s">
        <v>23</v>
      </c>
      <c r="C11" s="28">
        <v>0</v>
      </c>
      <c r="D11" s="28">
        <v>10093009986.719999</v>
      </c>
      <c r="E11" s="28">
        <v>0</v>
      </c>
      <c r="F11" s="28">
        <v>51945716.780000001</v>
      </c>
      <c r="G11" s="28"/>
      <c r="I11" s="6"/>
      <c r="J11" s="6"/>
      <c r="K11" s="6"/>
      <c r="L11" s="28"/>
      <c r="M11" s="28"/>
      <c r="N11" s="28"/>
      <c r="P11" s="6"/>
      <c r="Q11" s="6"/>
      <c r="R11" s="6"/>
      <c r="S11" s="28"/>
      <c r="T11" s="28"/>
      <c r="V11" s="6" t="s">
        <v>355</v>
      </c>
      <c r="W11" s="6" t="s">
        <v>23</v>
      </c>
      <c r="X11" s="6" t="s">
        <v>405</v>
      </c>
      <c r="Y11" s="28" t="s">
        <v>383</v>
      </c>
      <c r="Z11" s="49">
        <v>0</v>
      </c>
      <c r="AA11" s="49">
        <v>903589</v>
      </c>
      <c r="AC11" s="6" t="s">
        <v>359</v>
      </c>
      <c r="AD11" s="6" t="s">
        <v>23</v>
      </c>
      <c r="AE11" s="6" t="s">
        <v>388</v>
      </c>
      <c r="AF11" s="28" t="s">
        <v>383</v>
      </c>
      <c r="AG11" s="49">
        <v>0</v>
      </c>
      <c r="AH11" s="49">
        <v>795831</v>
      </c>
      <c r="AJ11" s="6" t="s">
        <v>361</v>
      </c>
      <c r="AK11" s="6" t="s">
        <v>23</v>
      </c>
      <c r="AL11" s="6" t="s">
        <v>398</v>
      </c>
      <c r="AM11" s="28" t="s">
        <v>383</v>
      </c>
      <c r="AN11" s="49">
        <v>0</v>
      </c>
      <c r="AO11" s="49">
        <v>35839</v>
      </c>
      <c r="AQ11" s="6" t="s">
        <v>355</v>
      </c>
      <c r="AR11" s="6" t="s">
        <v>37</v>
      </c>
      <c r="AS11" s="6" t="s">
        <v>438</v>
      </c>
      <c r="AT11" s="28" t="s">
        <v>470</v>
      </c>
      <c r="AU11" s="49">
        <v>2</v>
      </c>
    </row>
    <row r="12" spans="1:48" ht="16.8" thickBot="1">
      <c r="B12" s="6" t="s">
        <v>36</v>
      </c>
      <c r="C12" s="28">
        <v>1693122792.2</v>
      </c>
      <c r="D12" s="28">
        <v>5199999999948</v>
      </c>
      <c r="E12" s="28">
        <v>5199999999948</v>
      </c>
      <c r="F12" s="28">
        <v>5199999999948</v>
      </c>
      <c r="G12" s="28" t="s">
        <v>471</v>
      </c>
      <c r="V12" s="6" t="s">
        <v>355</v>
      </c>
      <c r="W12" s="6" t="s">
        <v>23</v>
      </c>
      <c r="X12" s="6" t="s">
        <v>405</v>
      </c>
      <c r="Y12" s="28" t="s">
        <v>384</v>
      </c>
      <c r="Z12" s="49">
        <v>0</v>
      </c>
      <c r="AA12" s="49">
        <v>903589</v>
      </c>
      <c r="AC12" s="6" t="s">
        <v>359</v>
      </c>
      <c r="AD12" s="6" t="s">
        <v>23</v>
      </c>
      <c r="AE12" s="6" t="s">
        <v>388</v>
      </c>
      <c r="AF12" s="28" t="s">
        <v>384</v>
      </c>
      <c r="AG12" s="49">
        <v>0</v>
      </c>
      <c r="AH12" s="49">
        <v>795831</v>
      </c>
      <c r="AJ12" s="6" t="s">
        <v>361</v>
      </c>
      <c r="AK12" s="6" t="s">
        <v>23</v>
      </c>
      <c r="AL12" s="6" t="s">
        <v>398</v>
      </c>
      <c r="AM12" s="28" t="s">
        <v>384</v>
      </c>
      <c r="AN12" s="49">
        <v>0</v>
      </c>
      <c r="AO12" s="49">
        <v>35839</v>
      </c>
      <c r="AQ12" s="6" t="s">
        <v>355</v>
      </c>
      <c r="AR12" s="6" t="s">
        <v>37</v>
      </c>
      <c r="AS12" s="6" t="s">
        <v>438</v>
      </c>
      <c r="AT12" s="28" t="s">
        <v>472</v>
      </c>
      <c r="AU12" s="49">
        <v>2</v>
      </c>
    </row>
    <row r="13" spans="1:48" ht="16.8" thickBot="1">
      <c r="B13" s="6" t="s">
        <v>34</v>
      </c>
      <c r="C13" s="28">
        <v>14674035415.77</v>
      </c>
      <c r="D13" s="28">
        <v>3869677777739081</v>
      </c>
      <c r="E13" s="28">
        <v>415832072.39999998</v>
      </c>
      <c r="F13" s="28">
        <v>3869677777739081</v>
      </c>
      <c r="G13" s="28"/>
      <c r="V13" s="6" t="s">
        <v>355</v>
      </c>
      <c r="W13" s="6" t="s">
        <v>23</v>
      </c>
      <c r="X13" s="6" t="s">
        <v>382</v>
      </c>
      <c r="Y13" s="28" t="s">
        <v>383</v>
      </c>
      <c r="Z13" s="49">
        <v>0</v>
      </c>
      <c r="AA13" s="49">
        <v>903589</v>
      </c>
      <c r="AC13" s="6" t="s">
        <v>359</v>
      </c>
      <c r="AD13" s="6" t="s">
        <v>23</v>
      </c>
      <c r="AE13" s="6" t="s">
        <v>388</v>
      </c>
      <c r="AF13" s="28" t="s">
        <v>385</v>
      </c>
      <c r="AG13" s="49">
        <v>0</v>
      </c>
      <c r="AH13" s="49">
        <v>795831</v>
      </c>
      <c r="AJ13" s="6" t="s">
        <v>361</v>
      </c>
      <c r="AK13" s="6" t="s">
        <v>34</v>
      </c>
      <c r="AL13" s="6" t="s">
        <v>398</v>
      </c>
      <c r="AM13" s="28" t="s">
        <v>383</v>
      </c>
      <c r="AN13" s="49">
        <v>0</v>
      </c>
      <c r="AO13" s="49">
        <v>67890</v>
      </c>
      <c r="AQ13" s="6" t="s">
        <v>355</v>
      </c>
      <c r="AR13" s="6" t="s">
        <v>37</v>
      </c>
      <c r="AS13" s="6" t="s">
        <v>438</v>
      </c>
      <c r="AT13" s="28" t="s">
        <v>473</v>
      </c>
      <c r="AU13" s="49">
        <v>2</v>
      </c>
    </row>
    <row r="14" spans="1:48" ht="16.8" thickBot="1">
      <c r="B14" s="6" t="s">
        <v>38</v>
      </c>
      <c r="C14" s="28">
        <v>864427468.67999995</v>
      </c>
      <c r="D14" s="28">
        <v>466666666662</v>
      </c>
      <c r="E14" s="28">
        <v>466666666662</v>
      </c>
      <c r="F14" s="28">
        <v>466666666662</v>
      </c>
      <c r="G14" s="28"/>
      <c r="V14" s="6" t="s">
        <v>355</v>
      </c>
      <c r="W14" s="6" t="s">
        <v>23</v>
      </c>
      <c r="X14" s="6" t="s">
        <v>382</v>
      </c>
      <c r="Y14" s="28" t="s">
        <v>384</v>
      </c>
      <c r="Z14" s="49">
        <v>0</v>
      </c>
      <c r="AA14" s="49">
        <v>903589</v>
      </c>
      <c r="AC14" s="6" t="s">
        <v>359</v>
      </c>
      <c r="AD14" s="6" t="s">
        <v>23</v>
      </c>
      <c r="AE14" s="6" t="s">
        <v>390</v>
      </c>
      <c r="AF14" s="28" t="s">
        <v>383</v>
      </c>
      <c r="AG14" s="49">
        <v>2207</v>
      </c>
      <c r="AH14" s="49">
        <v>795831</v>
      </c>
      <c r="AJ14" s="6" t="s">
        <v>361</v>
      </c>
      <c r="AK14" s="6" t="s">
        <v>34</v>
      </c>
      <c r="AL14" s="6" t="s">
        <v>398</v>
      </c>
      <c r="AM14" s="28" t="s">
        <v>384</v>
      </c>
      <c r="AN14" s="49">
        <v>0</v>
      </c>
      <c r="AO14" s="49">
        <v>67890</v>
      </c>
    </row>
    <row r="15" spans="1:48" ht="16.8" thickBot="1">
      <c r="B15" s="6" t="s">
        <v>35</v>
      </c>
      <c r="C15" s="28">
        <v>25740494695.119999</v>
      </c>
      <c r="D15" s="28">
        <v>0</v>
      </c>
      <c r="E15" s="28">
        <v>321538029.82999998</v>
      </c>
      <c r="F15" s="28">
        <v>0</v>
      </c>
      <c r="G15" s="28"/>
      <c r="V15" s="6" t="s">
        <v>355</v>
      </c>
      <c r="W15" s="6" t="s">
        <v>23</v>
      </c>
      <c r="X15" s="6" t="s">
        <v>408</v>
      </c>
      <c r="Y15" s="28" t="s">
        <v>383</v>
      </c>
      <c r="Z15" s="49">
        <v>0</v>
      </c>
      <c r="AA15" s="49">
        <v>903589</v>
      </c>
      <c r="AC15" s="6" t="s">
        <v>359</v>
      </c>
      <c r="AD15" s="6" t="s">
        <v>23</v>
      </c>
      <c r="AE15" s="6" t="s">
        <v>390</v>
      </c>
      <c r="AF15" s="28" t="s">
        <v>384</v>
      </c>
      <c r="AG15" s="49">
        <v>5647</v>
      </c>
      <c r="AH15" s="49">
        <v>795831</v>
      </c>
      <c r="AJ15" s="6" t="s">
        <v>361</v>
      </c>
      <c r="AK15" s="6" t="s">
        <v>35</v>
      </c>
      <c r="AL15" s="6" t="s">
        <v>398</v>
      </c>
      <c r="AM15" s="28" t="s">
        <v>383</v>
      </c>
      <c r="AN15" s="49">
        <v>0</v>
      </c>
      <c r="AO15" s="49">
        <v>370329</v>
      </c>
    </row>
    <row r="16" spans="1:48" ht="16.8" thickBot="1">
      <c r="B16" s="6" t="s">
        <v>36</v>
      </c>
      <c r="C16" s="28">
        <v>-1573593699.6099999</v>
      </c>
      <c r="D16" s="28">
        <v>4166666666625</v>
      </c>
      <c r="E16" s="28">
        <v>4166666666625</v>
      </c>
      <c r="F16" s="28">
        <v>4166666666625</v>
      </c>
      <c r="G16" s="28" t="s">
        <v>474</v>
      </c>
      <c r="V16" s="6" t="s">
        <v>355</v>
      </c>
      <c r="W16" s="6" t="s">
        <v>23</v>
      </c>
      <c r="X16" s="6" t="s">
        <v>408</v>
      </c>
      <c r="Y16" s="28" t="s">
        <v>384</v>
      </c>
      <c r="Z16" s="49">
        <v>0</v>
      </c>
      <c r="AA16" s="49">
        <v>903589</v>
      </c>
      <c r="AC16" s="6" t="s">
        <v>359</v>
      </c>
      <c r="AD16" s="6" t="s">
        <v>23</v>
      </c>
      <c r="AE16" s="6" t="s">
        <v>392</v>
      </c>
      <c r="AF16" s="28" t="s">
        <v>383</v>
      </c>
      <c r="AG16" s="49">
        <v>0</v>
      </c>
      <c r="AH16" s="49">
        <v>795831</v>
      </c>
      <c r="AJ16" s="6" t="s">
        <v>361</v>
      </c>
      <c r="AK16" s="6" t="s">
        <v>35</v>
      </c>
      <c r="AL16" s="6" t="s">
        <v>398</v>
      </c>
      <c r="AM16" s="28" t="s">
        <v>384</v>
      </c>
      <c r="AN16" s="49">
        <v>0</v>
      </c>
      <c r="AO16" s="49">
        <v>370329</v>
      </c>
    </row>
    <row r="17" spans="2:41" ht="16.8" thickBot="1">
      <c r="B17" s="6" t="s">
        <v>37</v>
      </c>
      <c r="C17" s="28">
        <v>13708607857.1</v>
      </c>
      <c r="D17" s="28">
        <v>5144444444393</v>
      </c>
      <c r="E17" s="28">
        <v>3893993.16</v>
      </c>
      <c r="F17" s="28">
        <v>5144444444393</v>
      </c>
      <c r="G17" s="28"/>
      <c r="V17" s="6" t="s">
        <v>355</v>
      </c>
      <c r="W17" s="6" t="s">
        <v>23</v>
      </c>
      <c r="X17" s="6" t="s">
        <v>409</v>
      </c>
      <c r="Y17" s="28" t="s">
        <v>383</v>
      </c>
      <c r="Z17" s="49">
        <v>0</v>
      </c>
      <c r="AA17" s="49">
        <v>903589</v>
      </c>
      <c r="AC17" s="6" t="s">
        <v>359</v>
      </c>
      <c r="AD17" s="6" t="s">
        <v>23</v>
      </c>
      <c r="AE17" s="6" t="s">
        <v>392</v>
      </c>
      <c r="AF17" s="28" t="s">
        <v>384</v>
      </c>
      <c r="AG17" s="49">
        <v>0</v>
      </c>
      <c r="AH17" s="49">
        <v>795831</v>
      </c>
      <c r="AJ17" s="6" t="s">
        <v>361</v>
      </c>
      <c r="AK17" s="6" t="s">
        <v>23</v>
      </c>
      <c r="AL17" s="6" t="s">
        <v>400</v>
      </c>
      <c r="AM17" s="28" t="s">
        <v>383</v>
      </c>
      <c r="AN17" s="49">
        <v>0</v>
      </c>
      <c r="AO17" s="49">
        <v>35839</v>
      </c>
    </row>
    <row r="18" spans="2:41" ht="16.8" thickBot="1">
      <c r="V18" s="6" t="s">
        <v>355</v>
      </c>
      <c r="W18" s="6" t="s">
        <v>23</v>
      </c>
      <c r="X18" s="6" t="s">
        <v>409</v>
      </c>
      <c r="Y18" s="28" t="s">
        <v>384</v>
      </c>
      <c r="Z18" s="49">
        <v>0</v>
      </c>
      <c r="AA18" s="49">
        <v>903589</v>
      </c>
      <c r="AC18" s="6" t="s">
        <v>359</v>
      </c>
      <c r="AD18" s="6" t="s">
        <v>23</v>
      </c>
      <c r="AE18" s="6" t="s">
        <v>422</v>
      </c>
      <c r="AF18" s="28" t="s">
        <v>383</v>
      </c>
      <c r="AG18" s="49">
        <v>1</v>
      </c>
      <c r="AH18" s="49">
        <v>795831</v>
      </c>
      <c r="AJ18" s="6" t="s">
        <v>361</v>
      </c>
      <c r="AK18" s="6" t="s">
        <v>23</v>
      </c>
      <c r="AL18" s="6" t="s">
        <v>400</v>
      </c>
      <c r="AM18" s="28" t="s">
        <v>384</v>
      </c>
      <c r="AN18" s="49">
        <v>0</v>
      </c>
      <c r="AO18" s="49">
        <v>35839</v>
      </c>
    </row>
    <row r="19" spans="2:41" ht="16.8" thickBot="1">
      <c r="V19" s="6" t="s">
        <v>355</v>
      </c>
      <c r="W19" s="6" t="s">
        <v>23</v>
      </c>
      <c r="X19" s="6" t="s">
        <v>410</v>
      </c>
      <c r="Y19" s="28" t="s">
        <v>383</v>
      </c>
      <c r="Z19" s="49">
        <v>0</v>
      </c>
      <c r="AA19" s="49">
        <v>903589</v>
      </c>
      <c r="AC19" s="6" t="s">
        <v>359</v>
      </c>
      <c r="AD19" s="6" t="s">
        <v>23</v>
      </c>
      <c r="AE19" s="6" t="s">
        <v>422</v>
      </c>
      <c r="AF19" s="28" t="s">
        <v>384</v>
      </c>
      <c r="AG19" s="49">
        <v>0</v>
      </c>
      <c r="AH19" s="49">
        <v>795831</v>
      </c>
      <c r="AJ19" s="6" t="s">
        <v>361</v>
      </c>
      <c r="AK19" s="6" t="s">
        <v>34</v>
      </c>
      <c r="AL19" s="6" t="s">
        <v>400</v>
      </c>
      <c r="AM19" s="28" t="s">
        <v>383</v>
      </c>
      <c r="AN19" s="49">
        <v>0</v>
      </c>
      <c r="AO19" s="49">
        <v>67890</v>
      </c>
    </row>
    <row r="20" spans="2:41" ht="16.8" thickBot="1">
      <c r="V20" s="6" t="s">
        <v>355</v>
      </c>
      <c r="W20" s="6" t="s">
        <v>23</v>
      </c>
      <c r="X20" s="6" t="s">
        <v>410</v>
      </c>
      <c r="Y20" s="28" t="s">
        <v>384</v>
      </c>
      <c r="Z20" s="49">
        <v>0</v>
      </c>
      <c r="AA20" s="49">
        <v>903589</v>
      </c>
      <c r="AC20" s="6" t="s">
        <v>359</v>
      </c>
      <c r="AD20" s="6" t="s">
        <v>23</v>
      </c>
      <c r="AE20" s="6" t="s">
        <v>422</v>
      </c>
      <c r="AF20" s="28" t="s">
        <v>385</v>
      </c>
      <c r="AG20" s="49">
        <v>0</v>
      </c>
      <c r="AH20" s="49">
        <v>795831</v>
      </c>
      <c r="AJ20" s="6" t="s">
        <v>361</v>
      </c>
      <c r="AK20" s="6" t="s">
        <v>34</v>
      </c>
      <c r="AL20" s="6" t="s">
        <v>400</v>
      </c>
      <c r="AM20" s="28" t="s">
        <v>384</v>
      </c>
      <c r="AN20" s="49">
        <v>0</v>
      </c>
      <c r="AO20" s="49">
        <v>67890</v>
      </c>
    </row>
    <row r="21" spans="2:41" ht="16.8" thickBot="1">
      <c r="V21" s="6" t="s">
        <v>355</v>
      </c>
      <c r="W21" s="6" t="s">
        <v>23</v>
      </c>
      <c r="X21" s="6" t="s">
        <v>432</v>
      </c>
      <c r="Y21" s="28" t="s">
        <v>383</v>
      </c>
      <c r="Z21" s="49">
        <v>0</v>
      </c>
      <c r="AA21" s="49">
        <v>903589</v>
      </c>
      <c r="AC21" s="6" t="s">
        <v>359</v>
      </c>
      <c r="AD21" s="6" t="s">
        <v>23</v>
      </c>
      <c r="AE21" s="6" t="s">
        <v>423</v>
      </c>
      <c r="AF21" s="28" t="s">
        <v>383</v>
      </c>
      <c r="AG21" s="49">
        <v>795831</v>
      </c>
      <c r="AH21" s="49">
        <v>795831</v>
      </c>
      <c r="AJ21" s="6" t="s">
        <v>361</v>
      </c>
      <c r="AK21" s="6" t="s">
        <v>35</v>
      </c>
      <c r="AL21" s="6" t="s">
        <v>400</v>
      </c>
      <c r="AM21" s="28" t="s">
        <v>383</v>
      </c>
      <c r="AN21" s="49">
        <v>0</v>
      </c>
      <c r="AO21" s="49">
        <v>370329</v>
      </c>
    </row>
    <row r="22" spans="2:41" ht="16.8" thickBot="1">
      <c r="V22" s="6" t="s">
        <v>355</v>
      </c>
      <c r="W22" s="6" t="s">
        <v>23</v>
      </c>
      <c r="X22" s="6" t="s">
        <v>432</v>
      </c>
      <c r="Y22" s="28" t="s">
        <v>384</v>
      </c>
      <c r="Z22" s="49">
        <v>0</v>
      </c>
      <c r="AA22" s="49">
        <v>903589</v>
      </c>
      <c r="AC22" s="6" t="s">
        <v>359</v>
      </c>
      <c r="AD22" s="6" t="s">
        <v>23</v>
      </c>
      <c r="AE22" s="6" t="s">
        <v>423</v>
      </c>
      <c r="AF22" s="28" t="s">
        <v>384</v>
      </c>
      <c r="AG22" s="49">
        <v>0</v>
      </c>
      <c r="AH22" s="49">
        <v>795831</v>
      </c>
      <c r="AJ22" s="6" t="s">
        <v>361</v>
      </c>
      <c r="AK22" s="6" t="s">
        <v>35</v>
      </c>
      <c r="AL22" s="6" t="s">
        <v>400</v>
      </c>
      <c r="AM22" s="28" t="s">
        <v>384</v>
      </c>
      <c r="AN22" s="49">
        <v>0</v>
      </c>
      <c r="AO22" s="49">
        <v>370329</v>
      </c>
    </row>
    <row r="23" spans="2:41" ht="16.8" thickBot="1">
      <c r="V23" s="6" t="s">
        <v>355</v>
      </c>
      <c r="W23" s="6" t="s">
        <v>23</v>
      </c>
      <c r="X23" s="6" t="s">
        <v>436</v>
      </c>
      <c r="Y23" s="28" t="s">
        <v>383</v>
      </c>
      <c r="Z23" s="49">
        <v>0</v>
      </c>
      <c r="AA23" s="49">
        <v>903589</v>
      </c>
      <c r="AC23" s="6" t="s">
        <v>359</v>
      </c>
      <c r="AD23" s="6" t="s">
        <v>23</v>
      </c>
      <c r="AE23" s="6" t="s">
        <v>425</v>
      </c>
      <c r="AF23" s="28" t="s">
        <v>383</v>
      </c>
      <c r="AG23" s="49">
        <v>795831</v>
      </c>
      <c r="AH23" s="49">
        <v>795831</v>
      </c>
      <c r="AJ23" s="6" t="s">
        <v>361</v>
      </c>
      <c r="AK23" s="6" t="s">
        <v>23</v>
      </c>
      <c r="AL23" s="6" t="s">
        <v>402</v>
      </c>
      <c r="AM23" s="28" t="s">
        <v>383</v>
      </c>
      <c r="AN23" s="49">
        <v>0</v>
      </c>
      <c r="AO23" s="49">
        <v>35839</v>
      </c>
    </row>
    <row r="24" spans="2:41" ht="16.8" thickBot="1">
      <c r="V24" s="6" t="s">
        <v>355</v>
      </c>
      <c r="W24" s="6" t="s">
        <v>23</v>
      </c>
      <c r="X24" s="6" t="s">
        <v>436</v>
      </c>
      <c r="Y24" s="28" t="s">
        <v>384</v>
      </c>
      <c r="Z24" s="49">
        <v>0</v>
      </c>
      <c r="AA24" s="49">
        <v>903589</v>
      </c>
      <c r="AC24" s="6" t="s">
        <v>359</v>
      </c>
      <c r="AD24" s="6" t="s">
        <v>23</v>
      </c>
      <c r="AE24" s="6" t="s">
        <v>425</v>
      </c>
      <c r="AF24" s="28" t="s">
        <v>384</v>
      </c>
      <c r="AG24" s="49">
        <v>0</v>
      </c>
      <c r="AH24" s="49">
        <v>795831</v>
      </c>
      <c r="AJ24" s="6" t="s">
        <v>361</v>
      </c>
      <c r="AK24" s="6" t="s">
        <v>23</v>
      </c>
      <c r="AL24" s="6" t="s">
        <v>402</v>
      </c>
      <c r="AM24" s="28" t="s">
        <v>384</v>
      </c>
      <c r="AN24" s="49">
        <v>0</v>
      </c>
      <c r="AO24" s="49">
        <v>35839</v>
      </c>
    </row>
    <row r="25" spans="2:41" ht="16.8" thickBot="1">
      <c r="V25" s="6" t="s">
        <v>355</v>
      </c>
      <c r="W25" s="6" t="s">
        <v>23</v>
      </c>
      <c r="X25" s="6" t="s">
        <v>437</v>
      </c>
      <c r="Y25" s="28" t="s">
        <v>383</v>
      </c>
      <c r="Z25" s="49">
        <v>0</v>
      </c>
      <c r="AA25" s="49">
        <v>903589</v>
      </c>
      <c r="AC25" s="6" t="s">
        <v>359</v>
      </c>
      <c r="AD25" s="6" t="s">
        <v>23</v>
      </c>
      <c r="AE25" s="6" t="s">
        <v>426</v>
      </c>
      <c r="AF25" s="28" t="s">
        <v>383</v>
      </c>
      <c r="AG25" s="49">
        <v>795831</v>
      </c>
      <c r="AH25" s="49">
        <v>795831</v>
      </c>
      <c r="AJ25" s="6" t="s">
        <v>361</v>
      </c>
      <c r="AK25" s="6" t="s">
        <v>23</v>
      </c>
      <c r="AL25" s="6" t="s">
        <v>402</v>
      </c>
      <c r="AM25" s="28" t="s">
        <v>385</v>
      </c>
      <c r="AN25" s="49">
        <v>0</v>
      </c>
      <c r="AO25" s="49">
        <v>35839</v>
      </c>
    </row>
    <row r="26" spans="2:41" ht="16.8" thickBot="1">
      <c r="V26" s="6" t="s">
        <v>355</v>
      </c>
      <c r="W26" s="6" t="s">
        <v>23</v>
      </c>
      <c r="X26" s="6" t="s">
        <v>437</v>
      </c>
      <c r="Y26" s="28" t="s">
        <v>384</v>
      </c>
      <c r="Z26" s="49">
        <v>0</v>
      </c>
      <c r="AA26" s="49">
        <v>903589</v>
      </c>
      <c r="AC26" s="6" t="s">
        <v>359</v>
      </c>
      <c r="AD26" s="6" t="s">
        <v>23</v>
      </c>
      <c r="AE26" s="6" t="s">
        <v>426</v>
      </c>
      <c r="AF26" s="28" t="s">
        <v>384</v>
      </c>
      <c r="AG26" s="49">
        <v>0</v>
      </c>
      <c r="AH26" s="49">
        <v>795831</v>
      </c>
      <c r="AJ26" s="6" t="s">
        <v>361</v>
      </c>
      <c r="AK26" s="6" t="s">
        <v>34</v>
      </c>
      <c r="AL26" s="6" t="s">
        <v>402</v>
      </c>
      <c r="AM26" s="28" t="s">
        <v>383</v>
      </c>
      <c r="AN26" s="49">
        <v>0</v>
      </c>
      <c r="AO26" s="49">
        <v>67890</v>
      </c>
    </row>
    <row r="27" spans="2:41" ht="16.8" thickBot="1">
      <c r="V27" s="6" t="s">
        <v>355</v>
      </c>
      <c r="W27" s="6" t="s">
        <v>23</v>
      </c>
      <c r="X27" s="6" t="s">
        <v>441</v>
      </c>
      <c r="Y27" s="28" t="s">
        <v>383</v>
      </c>
      <c r="Z27" s="49">
        <v>0</v>
      </c>
      <c r="AA27" s="49">
        <v>903589</v>
      </c>
      <c r="AC27" s="6" t="s">
        <v>359</v>
      </c>
      <c r="AD27" s="6" t="s">
        <v>23</v>
      </c>
      <c r="AE27" s="6" t="s">
        <v>427</v>
      </c>
      <c r="AF27" s="28" t="s">
        <v>383</v>
      </c>
      <c r="AG27" s="49">
        <v>1</v>
      </c>
      <c r="AH27" s="49">
        <v>795831</v>
      </c>
      <c r="AJ27" s="6" t="s">
        <v>361</v>
      </c>
      <c r="AK27" s="6" t="s">
        <v>34</v>
      </c>
      <c r="AL27" s="6" t="s">
        <v>402</v>
      </c>
      <c r="AM27" s="28" t="s">
        <v>384</v>
      </c>
      <c r="AN27" s="49">
        <v>0</v>
      </c>
      <c r="AO27" s="49">
        <v>67890</v>
      </c>
    </row>
    <row r="28" spans="2:41" ht="16.8" thickBot="1">
      <c r="V28" s="6" t="s">
        <v>355</v>
      </c>
      <c r="W28" s="6" t="s">
        <v>23</v>
      </c>
      <c r="X28" s="6" t="s">
        <v>441</v>
      </c>
      <c r="Y28" s="28" t="s">
        <v>384</v>
      </c>
      <c r="Z28" s="49">
        <v>0</v>
      </c>
      <c r="AA28" s="49">
        <v>903589</v>
      </c>
      <c r="AC28" s="6" t="s">
        <v>359</v>
      </c>
      <c r="AD28" s="6" t="s">
        <v>23</v>
      </c>
      <c r="AE28" s="6" t="s">
        <v>427</v>
      </c>
      <c r="AF28" s="28" t="s">
        <v>384</v>
      </c>
      <c r="AG28" s="49">
        <v>0</v>
      </c>
      <c r="AH28" s="49">
        <v>795831</v>
      </c>
      <c r="AJ28" s="6" t="s">
        <v>361</v>
      </c>
      <c r="AK28" s="6" t="s">
        <v>34</v>
      </c>
      <c r="AL28" s="6" t="s">
        <v>402</v>
      </c>
      <c r="AM28" s="28" t="s">
        <v>385</v>
      </c>
      <c r="AN28" s="49">
        <v>0</v>
      </c>
      <c r="AO28" s="49">
        <v>67890</v>
      </c>
    </row>
    <row r="29" spans="2:41" ht="16.8" thickBot="1">
      <c r="V29" s="6" t="s">
        <v>355</v>
      </c>
      <c r="W29" s="6" t="s">
        <v>23</v>
      </c>
      <c r="X29" s="6" t="s">
        <v>442</v>
      </c>
      <c r="Y29" s="28" t="s">
        <v>383</v>
      </c>
      <c r="Z29" s="49">
        <v>0</v>
      </c>
      <c r="AA29" s="49">
        <v>903589</v>
      </c>
      <c r="AC29" s="6" t="s">
        <v>359</v>
      </c>
      <c r="AD29" s="6" t="s">
        <v>23</v>
      </c>
      <c r="AE29" s="6" t="s">
        <v>427</v>
      </c>
      <c r="AF29" s="28" t="s">
        <v>385</v>
      </c>
      <c r="AG29" s="49">
        <v>0</v>
      </c>
      <c r="AH29" s="49">
        <v>795831</v>
      </c>
      <c r="AJ29" s="6" t="s">
        <v>361</v>
      </c>
      <c r="AK29" s="6" t="s">
        <v>35</v>
      </c>
      <c r="AL29" s="6" t="s">
        <v>402</v>
      </c>
      <c r="AM29" s="28" t="s">
        <v>383</v>
      </c>
      <c r="AN29" s="49">
        <v>0</v>
      </c>
      <c r="AO29" s="49">
        <v>370329</v>
      </c>
    </row>
    <row r="30" spans="2:41" ht="16.8" thickBot="1">
      <c r="V30" s="6" t="s">
        <v>355</v>
      </c>
      <c r="W30" s="6" t="s">
        <v>23</v>
      </c>
      <c r="X30" s="6" t="s">
        <v>442</v>
      </c>
      <c r="Y30" s="28" t="s">
        <v>384</v>
      </c>
      <c r="Z30" s="49">
        <v>0</v>
      </c>
      <c r="AA30" s="49">
        <v>903589</v>
      </c>
      <c r="AC30" s="6" t="s">
        <v>359</v>
      </c>
      <c r="AD30" s="6" t="s">
        <v>35</v>
      </c>
      <c r="AE30" s="6" t="s">
        <v>388</v>
      </c>
      <c r="AF30" s="28" t="s">
        <v>383</v>
      </c>
      <c r="AG30" s="49">
        <v>0</v>
      </c>
      <c r="AH30" s="49">
        <v>902855</v>
      </c>
      <c r="AJ30" s="6" t="s">
        <v>361</v>
      </c>
      <c r="AK30" s="6" t="s">
        <v>35</v>
      </c>
      <c r="AL30" s="6" t="s">
        <v>402</v>
      </c>
      <c r="AM30" s="28" t="s">
        <v>384</v>
      </c>
      <c r="AN30" s="49">
        <v>0</v>
      </c>
      <c r="AO30" s="49">
        <v>370329</v>
      </c>
    </row>
    <row r="31" spans="2:41" ht="16.8" thickBot="1">
      <c r="V31" s="6" t="s">
        <v>355</v>
      </c>
      <c r="W31" s="6" t="s">
        <v>23</v>
      </c>
      <c r="X31" s="6" t="s">
        <v>412</v>
      </c>
      <c r="Y31" s="28" t="s">
        <v>383</v>
      </c>
      <c r="Z31" s="49">
        <v>0</v>
      </c>
      <c r="AA31" s="49">
        <v>903589</v>
      </c>
      <c r="AC31" s="6" t="s">
        <v>359</v>
      </c>
      <c r="AD31" s="6" t="s">
        <v>35</v>
      </c>
      <c r="AE31" s="6" t="s">
        <v>388</v>
      </c>
      <c r="AF31" s="28" t="s">
        <v>384</v>
      </c>
      <c r="AG31" s="49">
        <v>0</v>
      </c>
      <c r="AH31" s="49">
        <v>902855</v>
      </c>
      <c r="AJ31" s="6" t="s">
        <v>361</v>
      </c>
      <c r="AK31" s="6" t="s">
        <v>35</v>
      </c>
      <c r="AL31" s="6" t="s">
        <v>402</v>
      </c>
      <c r="AM31" s="28" t="s">
        <v>385</v>
      </c>
      <c r="AN31" s="49">
        <v>0</v>
      </c>
      <c r="AO31" s="49">
        <v>370329</v>
      </c>
    </row>
    <row r="32" spans="2:41" ht="16.2" customHeight="1" thickBot="1">
      <c r="V32" s="6" t="s">
        <v>355</v>
      </c>
      <c r="W32" s="6" t="s">
        <v>23</v>
      </c>
      <c r="X32" s="6" t="s">
        <v>412</v>
      </c>
      <c r="Y32" s="28" t="s">
        <v>384</v>
      </c>
      <c r="Z32" s="49">
        <v>0</v>
      </c>
      <c r="AA32" s="49">
        <v>903589</v>
      </c>
      <c r="AC32" s="70" t="s">
        <v>359</v>
      </c>
      <c r="AD32" s="70" t="s">
        <v>35</v>
      </c>
      <c r="AE32" s="70" t="s">
        <v>388</v>
      </c>
      <c r="AF32" s="71" t="s">
        <v>385</v>
      </c>
      <c r="AG32" s="72">
        <v>0</v>
      </c>
      <c r="AH32" s="72">
        <v>902855</v>
      </c>
      <c r="AJ32" s="6" t="s">
        <v>361</v>
      </c>
      <c r="AK32" s="6" t="s">
        <v>23</v>
      </c>
      <c r="AL32" s="6" t="s">
        <v>396</v>
      </c>
      <c r="AM32" s="28" t="s">
        <v>383</v>
      </c>
      <c r="AN32" s="49">
        <v>24</v>
      </c>
      <c r="AO32" s="49">
        <v>35839</v>
      </c>
    </row>
    <row r="33" spans="22:41" ht="16.2" customHeight="1" thickBot="1">
      <c r="V33" s="6" t="s">
        <v>355</v>
      </c>
      <c r="W33" s="6" t="s">
        <v>23</v>
      </c>
      <c r="X33" s="6" t="s">
        <v>386</v>
      </c>
      <c r="Y33" s="28" t="s">
        <v>383</v>
      </c>
      <c r="Z33" s="49">
        <v>29</v>
      </c>
      <c r="AA33" s="49">
        <v>903589</v>
      </c>
      <c r="AC33" s="70" t="s">
        <v>359</v>
      </c>
      <c r="AD33" s="70" t="s">
        <v>35</v>
      </c>
      <c r="AE33" s="70" t="s">
        <v>390</v>
      </c>
      <c r="AF33" s="71" t="s">
        <v>383</v>
      </c>
      <c r="AG33" s="72">
        <v>3141</v>
      </c>
      <c r="AH33" s="72">
        <v>902855</v>
      </c>
      <c r="AJ33" s="6" t="s">
        <v>361</v>
      </c>
      <c r="AK33" s="6" t="s">
        <v>23</v>
      </c>
      <c r="AL33" s="6" t="s">
        <v>396</v>
      </c>
      <c r="AM33" s="28" t="s">
        <v>384</v>
      </c>
      <c r="AN33" s="49">
        <v>0</v>
      </c>
      <c r="AO33" s="49">
        <v>35839</v>
      </c>
    </row>
    <row r="34" spans="22:41" ht="16.2" customHeight="1" thickBot="1">
      <c r="V34" s="6" t="s">
        <v>355</v>
      </c>
      <c r="W34" s="6" t="s">
        <v>23</v>
      </c>
      <c r="X34" s="6" t="s">
        <v>386</v>
      </c>
      <c r="Y34" s="28" t="s">
        <v>384</v>
      </c>
      <c r="Z34" s="49">
        <v>0</v>
      </c>
      <c r="AA34" s="49">
        <v>903589</v>
      </c>
      <c r="AC34" s="70" t="s">
        <v>359</v>
      </c>
      <c r="AD34" s="70" t="s">
        <v>35</v>
      </c>
      <c r="AE34" s="70" t="s">
        <v>390</v>
      </c>
      <c r="AF34" s="71" t="s">
        <v>384</v>
      </c>
      <c r="AG34" s="72">
        <v>4633</v>
      </c>
      <c r="AH34" s="72">
        <v>902855</v>
      </c>
      <c r="AJ34" s="6" t="s">
        <v>361</v>
      </c>
      <c r="AK34" s="6" t="s">
        <v>34</v>
      </c>
      <c r="AL34" s="6" t="s">
        <v>396</v>
      </c>
      <c r="AM34" s="28" t="s">
        <v>383</v>
      </c>
      <c r="AN34" s="49">
        <v>192</v>
      </c>
      <c r="AO34" s="49">
        <v>67890</v>
      </c>
    </row>
    <row r="35" spans="22:41" ht="16.8" thickBot="1">
      <c r="V35" s="6" t="s">
        <v>355</v>
      </c>
      <c r="W35" s="6" t="s">
        <v>23</v>
      </c>
      <c r="X35" s="6" t="s">
        <v>405</v>
      </c>
      <c r="Y35" s="28" t="s">
        <v>385</v>
      </c>
      <c r="Z35" s="49">
        <v>0</v>
      </c>
      <c r="AA35" s="49">
        <v>903589</v>
      </c>
      <c r="AC35" s="70" t="s">
        <v>359</v>
      </c>
      <c r="AD35" s="70" t="s">
        <v>35</v>
      </c>
      <c r="AE35" s="70" t="s">
        <v>392</v>
      </c>
      <c r="AF35" s="71" t="s">
        <v>383</v>
      </c>
      <c r="AG35" s="72">
        <v>0</v>
      </c>
      <c r="AH35" s="72">
        <v>902855</v>
      </c>
      <c r="AJ35" s="6" t="s">
        <v>361</v>
      </c>
      <c r="AK35" s="6" t="s">
        <v>34</v>
      </c>
      <c r="AL35" s="6" t="s">
        <v>396</v>
      </c>
      <c r="AM35" s="28" t="s">
        <v>384</v>
      </c>
      <c r="AN35" s="49">
        <v>0</v>
      </c>
      <c r="AO35" s="49">
        <v>67890</v>
      </c>
    </row>
    <row r="36" spans="22:41" ht="16.8" thickBot="1">
      <c r="V36" s="6" t="s">
        <v>355</v>
      </c>
      <c r="W36" s="6" t="s">
        <v>23</v>
      </c>
      <c r="X36" s="6" t="s">
        <v>382</v>
      </c>
      <c r="Y36" s="28" t="s">
        <v>385</v>
      </c>
      <c r="Z36" s="49">
        <v>0</v>
      </c>
      <c r="AA36" s="49">
        <v>903589</v>
      </c>
      <c r="AC36" s="70" t="s">
        <v>359</v>
      </c>
      <c r="AD36" s="70" t="s">
        <v>35</v>
      </c>
      <c r="AE36" s="70" t="s">
        <v>392</v>
      </c>
      <c r="AF36" s="71" t="s">
        <v>384</v>
      </c>
      <c r="AG36" s="72">
        <v>0</v>
      </c>
      <c r="AH36" s="72">
        <v>902855</v>
      </c>
      <c r="AJ36" s="6" t="s">
        <v>361</v>
      </c>
      <c r="AK36" s="6" t="s">
        <v>35</v>
      </c>
      <c r="AL36" s="6" t="s">
        <v>396</v>
      </c>
      <c r="AM36" s="28" t="s">
        <v>383</v>
      </c>
      <c r="AN36" s="49">
        <v>65</v>
      </c>
      <c r="AO36" s="49">
        <v>370329</v>
      </c>
    </row>
    <row r="37" spans="22:41" ht="16.8" thickBot="1">
      <c r="V37" s="6" t="s">
        <v>355</v>
      </c>
      <c r="W37" s="6" t="s">
        <v>23</v>
      </c>
      <c r="X37" s="6" t="s">
        <v>408</v>
      </c>
      <c r="Y37" s="28" t="s">
        <v>385</v>
      </c>
      <c r="Z37" s="49">
        <v>0</v>
      </c>
      <c r="AA37" s="49">
        <v>903589</v>
      </c>
      <c r="AC37" s="70" t="s">
        <v>359</v>
      </c>
      <c r="AD37" s="70" t="s">
        <v>35</v>
      </c>
      <c r="AE37" s="70" t="s">
        <v>422</v>
      </c>
      <c r="AF37" s="71" t="s">
        <v>383</v>
      </c>
      <c r="AG37" s="72">
        <v>0</v>
      </c>
      <c r="AH37" s="72">
        <v>902855</v>
      </c>
      <c r="AJ37" s="6" t="s">
        <v>361</v>
      </c>
      <c r="AK37" s="6" t="s">
        <v>35</v>
      </c>
      <c r="AL37" s="6" t="s">
        <v>396</v>
      </c>
      <c r="AM37" s="28" t="s">
        <v>384</v>
      </c>
      <c r="AN37" s="49">
        <v>0</v>
      </c>
      <c r="AO37" s="49">
        <v>370329</v>
      </c>
    </row>
    <row r="38" spans="22:41" ht="16.8" thickBot="1">
      <c r="V38" s="6" t="s">
        <v>355</v>
      </c>
      <c r="W38" s="6" t="s">
        <v>23</v>
      </c>
      <c r="X38" s="6" t="s">
        <v>409</v>
      </c>
      <c r="Y38" s="28" t="s">
        <v>385</v>
      </c>
      <c r="Z38" s="49">
        <v>0</v>
      </c>
      <c r="AA38" s="49">
        <v>903589</v>
      </c>
      <c r="AC38" s="70" t="s">
        <v>359</v>
      </c>
      <c r="AD38" s="70" t="s">
        <v>35</v>
      </c>
      <c r="AE38" s="70" t="s">
        <v>422</v>
      </c>
      <c r="AF38" s="71" t="s">
        <v>384</v>
      </c>
      <c r="AG38" s="72">
        <v>0</v>
      </c>
      <c r="AH38" s="72">
        <v>902855</v>
      </c>
      <c r="AJ38" s="6" t="s">
        <v>361</v>
      </c>
      <c r="AK38" s="6" t="s">
        <v>23</v>
      </c>
      <c r="AL38" s="6" t="s">
        <v>397</v>
      </c>
      <c r="AM38" s="28" t="s">
        <v>383</v>
      </c>
      <c r="AN38" s="49">
        <v>2</v>
      </c>
      <c r="AO38" s="49">
        <v>35839</v>
      </c>
    </row>
    <row r="39" spans="22:41" ht="16.8" thickBot="1">
      <c r="V39" s="6" t="s">
        <v>355</v>
      </c>
      <c r="W39" s="6" t="s">
        <v>23</v>
      </c>
      <c r="X39" s="6" t="s">
        <v>410</v>
      </c>
      <c r="Y39" s="28" t="s">
        <v>385</v>
      </c>
      <c r="Z39" s="49">
        <v>0</v>
      </c>
      <c r="AA39" s="49">
        <v>903589</v>
      </c>
      <c r="AC39" s="70" t="s">
        <v>359</v>
      </c>
      <c r="AD39" s="70" t="s">
        <v>35</v>
      </c>
      <c r="AE39" s="70" t="s">
        <v>422</v>
      </c>
      <c r="AF39" s="71" t="s">
        <v>385</v>
      </c>
      <c r="AG39" s="72">
        <v>0</v>
      </c>
      <c r="AH39" s="72">
        <v>902855</v>
      </c>
      <c r="AJ39" s="6" t="s">
        <v>361</v>
      </c>
      <c r="AK39" s="6" t="s">
        <v>23</v>
      </c>
      <c r="AL39" s="6" t="s">
        <v>397</v>
      </c>
      <c r="AM39" s="28" t="s">
        <v>384</v>
      </c>
      <c r="AN39" s="49">
        <v>0</v>
      </c>
      <c r="AO39" s="49">
        <v>35839</v>
      </c>
    </row>
    <row r="40" spans="22:41" ht="16.8" thickBot="1">
      <c r="V40" s="6" t="s">
        <v>355</v>
      </c>
      <c r="W40" s="6" t="s">
        <v>23</v>
      </c>
      <c r="X40" s="6" t="s">
        <v>432</v>
      </c>
      <c r="Y40" s="28" t="s">
        <v>385</v>
      </c>
      <c r="Z40" s="49">
        <v>0</v>
      </c>
      <c r="AA40" s="49">
        <v>903589</v>
      </c>
      <c r="AC40" s="70" t="s">
        <v>359</v>
      </c>
      <c r="AD40" s="70" t="s">
        <v>35</v>
      </c>
      <c r="AE40" s="70" t="s">
        <v>423</v>
      </c>
      <c r="AF40" s="71" t="s">
        <v>383</v>
      </c>
      <c r="AG40" s="72">
        <v>0</v>
      </c>
      <c r="AH40" s="72">
        <v>902855</v>
      </c>
      <c r="AJ40" s="6" t="s">
        <v>361</v>
      </c>
      <c r="AK40" s="6" t="s">
        <v>23</v>
      </c>
      <c r="AL40" s="6" t="s">
        <v>397</v>
      </c>
      <c r="AM40" s="28" t="s">
        <v>385</v>
      </c>
      <c r="AN40" s="49">
        <v>0</v>
      </c>
      <c r="AO40" s="49">
        <v>35839</v>
      </c>
    </row>
    <row r="41" spans="22:41" ht="16.8" thickBot="1">
      <c r="V41" s="6" t="s">
        <v>355</v>
      </c>
      <c r="W41" s="6" t="s">
        <v>23</v>
      </c>
      <c r="X41" s="6" t="s">
        <v>436</v>
      </c>
      <c r="Y41" s="28" t="s">
        <v>385</v>
      </c>
      <c r="Z41" s="49">
        <v>0</v>
      </c>
      <c r="AA41" s="49">
        <v>903589</v>
      </c>
      <c r="AC41" s="70" t="s">
        <v>359</v>
      </c>
      <c r="AD41" s="70" t="s">
        <v>35</v>
      </c>
      <c r="AE41" s="70" t="s">
        <v>423</v>
      </c>
      <c r="AF41" s="71" t="s">
        <v>384</v>
      </c>
      <c r="AG41" s="72">
        <v>0</v>
      </c>
      <c r="AH41" s="72">
        <v>902855</v>
      </c>
      <c r="AJ41" s="6" t="s">
        <v>361</v>
      </c>
      <c r="AK41" s="6" t="s">
        <v>34</v>
      </c>
      <c r="AL41" s="6" t="s">
        <v>397</v>
      </c>
      <c r="AM41" s="28" t="s">
        <v>383</v>
      </c>
      <c r="AN41" s="49">
        <v>7</v>
      </c>
      <c r="AO41" s="49">
        <v>67890</v>
      </c>
    </row>
    <row r="42" spans="22:41" ht="16.8" thickBot="1">
      <c r="V42" s="6" t="s">
        <v>355</v>
      </c>
      <c r="W42" s="6" t="s">
        <v>23</v>
      </c>
      <c r="X42" s="6" t="s">
        <v>437</v>
      </c>
      <c r="Y42" s="28" t="s">
        <v>385</v>
      </c>
      <c r="Z42" s="49">
        <v>0</v>
      </c>
      <c r="AA42" s="49">
        <v>903589</v>
      </c>
      <c r="AC42" s="70" t="s">
        <v>359</v>
      </c>
      <c r="AD42" s="70" t="s">
        <v>35</v>
      </c>
      <c r="AE42" s="70" t="s">
        <v>425</v>
      </c>
      <c r="AF42" s="71" t="s">
        <v>383</v>
      </c>
      <c r="AG42" s="72">
        <v>0</v>
      </c>
      <c r="AH42" s="72">
        <v>902855</v>
      </c>
      <c r="AJ42" s="6" t="s">
        <v>361</v>
      </c>
      <c r="AK42" s="6" t="s">
        <v>34</v>
      </c>
      <c r="AL42" s="6" t="s">
        <v>397</v>
      </c>
      <c r="AM42" s="28" t="s">
        <v>384</v>
      </c>
      <c r="AN42" s="49">
        <v>0</v>
      </c>
      <c r="AO42" s="49">
        <v>67890</v>
      </c>
    </row>
    <row r="43" spans="22:41" ht="16.8" thickBot="1">
      <c r="V43" s="6" t="s">
        <v>355</v>
      </c>
      <c r="W43" s="6" t="s">
        <v>23</v>
      </c>
      <c r="X43" s="6" t="s">
        <v>441</v>
      </c>
      <c r="Y43" s="28" t="s">
        <v>385</v>
      </c>
      <c r="Z43" s="49">
        <v>0</v>
      </c>
      <c r="AA43" s="49">
        <v>903589</v>
      </c>
      <c r="AC43" s="70" t="s">
        <v>359</v>
      </c>
      <c r="AD43" s="70" t="s">
        <v>35</v>
      </c>
      <c r="AE43" s="70" t="s">
        <v>425</v>
      </c>
      <c r="AF43" s="71" t="s">
        <v>384</v>
      </c>
      <c r="AG43" s="72">
        <v>0</v>
      </c>
      <c r="AH43" s="72">
        <v>902855</v>
      </c>
      <c r="AJ43" s="6" t="s">
        <v>361</v>
      </c>
      <c r="AK43" s="6" t="s">
        <v>34</v>
      </c>
      <c r="AL43" s="6" t="s">
        <v>397</v>
      </c>
      <c r="AM43" s="28" t="s">
        <v>385</v>
      </c>
      <c r="AN43" s="49">
        <v>0</v>
      </c>
      <c r="AO43" s="49">
        <v>67890</v>
      </c>
    </row>
    <row r="44" spans="22:41" ht="16.8" thickBot="1">
      <c r="V44" s="6" t="s">
        <v>355</v>
      </c>
      <c r="W44" s="6" t="s">
        <v>23</v>
      </c>
      <c r="X44" s="6" t="s">
        <v>442</v>
      </c>
      <c r="Y44" s="28" t="s">
        <v>385</v>
      </c>
      <c r="Z44" s="49">
        <v>0</v>
      </c>
      <c r="AA44" s="49">
        <v>903589</v>
      </c>
      <c r="AC44" s="70" t="s">
        <v>359</v>
      </c>
      <c r="AD44" s="70" t="s">
        <v>35</v>
      </c>
      <c r="AE44" s="70" t="s">
        <v>426</v>
      </c>
      <c r="AF44" s="71" t="s">
        <v>383</v>
      </c>
      <c r="AG44" s="72">
        <v>0</v>
      </c>
      <c r="AH44" s="72">
        <v>902855</v>
      </c>
      <c r="AJ44" s="6" t="s">
        <v>361</v>
      </c>
      <c r="AK44" s="6" t="s">
        <v>35</v>
      </c>
      <c r="AL44" s="6" t="s">
        <v>397</v>
      </c>
      <c r="AM44" s="28" t="s">
        <v>383</v>
      </c>
      <c r="AN44" s="49">
        <v>1</v>
      </c>
      <c r="AO44" s="49">
        <v>370329</v>
      </c>
    </row>
    <row r="45" spans="22:41" ht="16.8" thickBot="1">
      <c r="V45" s="6" t="s">
        <v>355</v>
      </c>
      <c r="W45" s="6" t="s">
        <v>23</v>
      </c>
      <c r="X45" s="6" t="s">
        <v>412</v>
      </c>
      <c r="Y45" s="28" t="s">
        <v>385</v>
      </c>
      <c r="Z45" s="49">
        <v>0</v>
      </c>
      <c r="AA45" s="49">
        <v>903589</v>
      </c>
      <c r="AC45" s="70" t="s">
        <v>359</v>
      </c>
      <c r="AD45" s="70" t="s">
        <v>35</v>
      </c>
      <c r="AE45" s="70" t="s">
        <v>426</v>
      </c>
      <c r="AF45" s="71" t="s">
        <v>384</v>
      </c>
      <c r="AG45" s="72">
        <v>0</v>
      </c>
      <c r="AH45" s="72">
        <v>902855</v>
      </c>
      <c r="AJ45" s="6" t="s">
        <v>361</v>
      </c>
      <c r="AK45" s="6" t="s">
        <v>35</v>
      </c>
      <c r="AL45" s="6" t="s">
        <v>397</v>
      </c>
      <c r="AM45" s="28" t="s">
        <v>384</v>
      </c>
      <c r="AN45" s="49">
        <v>0</v>
      </c>
      <c r="AO45" s="49">
        <v>370329</v>
      </c>
    </row>
    <row r="46" spans="22:41" ht="16.8" thickBot="1">
      <c r="V46" s="6" t="s">
        <v>355</v>
      </c>
      <c r="W46" s="6" t="s">
        <v>23</v>
      </c>
      <c r="X46" s="6" t="s">
        <v>386</v>
      </c>
      <c r="Y46" s="28" t="s">
        <v>385</v>
      </c>
      <c r="Z46" s="49">
        <v>0</v>
      </c>
      <c r="AA46" s="49">
        <v>903589</v>
      </c>
      <c r="AC46" s="70" t="s">
        <v>359</v>
      </c>
      <c r="AD46" s="70" t="s">
        <v>35</v>
      </c>
      <c r="AE46" s="70" t="s">
        <v>427</v>
      </c>
      <c r="AF46" s="71" t="s">
        <v>383</v>
      </c>
      <c r="AG46" s="72">
        <v>0</v>
      </c>
      <c r="AH46" s="72">
        <v>902855</v>
      </c>
      <c r="AJ46" s="6" t="s">
        <v>361</v>
      </c>
      <c r="AK46" s="6" t="s">
        <v>35</v>
      </c>
      <c r="AL46" s="6" t="s">
        <v>397</v>
      </c>
      <c r="AM46" s="28" t="s">
        <v>385</v>
      </c>
      <c r="AN46" s="49">
        <v>0</v>
      </c>
      <c r="AO46" s="49">
        <v>370329</v>
      </c>
    </row>
    <row r="47" spans="22:41" ht="16.8" thickBot="1">
      <c r="V47" s="6" t="s">
        <v>355</v>
      </c>
      <c r="W47" s="6" t="s">
        <v>23</v>
      </c>
      <c r="X47" s="6" t="s">
        <v>428</v>
      </c>
      <c r="Y47" s="28" t="s">
        <v>383</v>
      </c>
      <c r="Z47" s="49">
        <v>0</v>
      </c>
      <c r="AA47" s="49">
        <v>903589</v>
      </c>
      <c r="AC47" s="70" t="s">
        <v>359</v>
      </c>
      <c r="AD47" s="70" t="s">
        <v>35</v>
      </c>
      <c r="AE47" s="70" t="s">
        <v>427</v>
      </c>
      <c r="AF47" s="71" t="s">
        <v>384</v>
      </c>
      <c r="AG47" s="72">
        <v>0</v>
      </c>
      <c r="AH47" s="72">
        <v>902855</v>
      </c>
    </row>
    <row r="48" spans="22:41" ht="16.8" thickBot="1">
      <c r="V48" s="6" t="s">
        <v>355</v>
      </c>
      <c r="W48" s="6" t="s">
        <v>23</v>
      </c>
      <c r="X48" s="6" t="s">
        <v>428</v>
      </c>
      <c r="Y48" s="28" t="s">
        <v>384</v>
      </c>
      <c r="Z48" s="49">
        <v>0</v>
      </c>
      <c r="AA48" s="49">
        <v>903589</v>
      </c>
      <c r="AC48" s="70" t="s">
        <v>359</v>
      </c>
      <c r="AD48" s="70" t="s">
        <v>35</v>
      </c>
      <c r="AE48" s="70" t="s">
        <v>427</v>
      </c>
      <c r="AF48" s="71" t="s">
        <v>385</v>
      </c>
      <c r="AG48" s="72">
        <v>0</v>
      </c>
      <c r="AH48" s="72">
        <v>902855</v>
      </c>
    </row>
    <row r="49" spans="22:34" ht="16.8" thickBot="1">
      <c r="V49" s="6" t="s">
        <v>355</v>
      </c>
      <c r="W49" s="6" t="s">
        <v>23</v>
      </c>
      <c r="X49" s="6" t="s">
        <v>430</v>
      </c>
      <c r="Y49" s="28" t="s">
        <v>383</v>
      </c>
      <c r="Z49" s="49">
        <v>0</v>
      </c>
      <c r="AA49" s="49">
        <v>903589</v>
      </c>
      <c r="AC49" s="70" t="s">
        <v>359</v>
      </c>
      <c r="AD49" s="70" t="s">
        <v>34</v>
      </c>
      <c r="AE49" s="70" t="s">
        <v>388</v>
      </c>
      <c r="AF49" s="71" t="s">
        <v>383</v>
      </c>
      <c r="AG49" s="72">
        <v>0</v>
      </c>
      <c r="AH49" s="72">
        <v>73999</v>
      </c>
    </row>
    <row r="50" spans="22:34" ht="16.8" thickBot="1">
      <c r="V50" s="6" t="s">
        <v>355</v>
      </c>
      <c r="W50" s="6" t="s">
        <v>23</v>
      </c>
      <c r="X50" s="6" t="s">
        <v>430</v>
      </c>
      <c r="Y50" s="28" t="s">
        <v>384</v>
      </c>
      <c r="Z50" s="49">
        <v>0</v>
      </c>
      <c r="AA50" s="49">
        <v>903589</v>
      </c>
      <c r="AC50" s="70" t="s">
        <v>359</v>
      </c>
      <c r="AD50" s="70" t="s">
        <v>34</v>
      </c>
      <c r="AE50" s="70" t="s">
        <v>388</v>
      </c>
      <c r="AF50" s="71" t="s">
        <v>384</v>
      </c>
      <c r="AG50" s="72">
        <v>0</v>
      </c>
      <c r="AH50" s="72">
        <v>73999</v>
      </c>
    </row>
    <row r="51" spans="22:34" ht="16.8" thickBot="1">
      <c r="V51" s="6" t="s">
        <v>355</v>
      </c>
      <c r="W51" s="6" t="s">
        <v>23</v>
      </c>
      <c r="X51" s="6" t="s">
        <v>430</v>
      </c>
      <c r="Y51" s="28" t="s">
        <v>385</v>
      </c>
      <c r="Z51" s="49">
        <v>0</v>
      </c>
      <c r="AA51" s="49">
        <v>903589</v>
      </c>
      <c r="AC51" s="70" t="s">
        <v>359</v>
      </c>
      <c r="AD51" s="70" t="s">
        <v>34</v>
      </c>
      <c r="AE51" s="70" t="s">
        <v>388</v>
      </c>
      <c r="AF51" s="71" t="s">
        <v>385</v>
      </c>
      <c r="AG51" s="72">
        <v>0</v>
      </c>
      <c r="AH51" s="72">
        <v>73999</v>
      </c>
    </row>
    <row r="52" spans="22:34" ht="16.8" thickBot="1">
      <c r="V52" s="6" t="s">
        <v>355</v>
      </c>
      <c r="W52" s="6" t="s">
        <v>23</v>
      </c>
      <c r="X52" s="6" t="s">
        <v>434</v>
      </c>
      <c r="Y52" s="28" t="s">
        <v>383</v>
      </c>
      <c r="Z52" s="49">
        <v>0</v>
      </c>
      <c r="AA52" s="49">
        <v>903589</v>
      </c>
      <c r="AC52" s="70" t="s">
        <v>359</v>
      </c>
      <c r="AD52" s="70" t="s">
        <v>34</v>
      </c>
      <c r="AE52" s="70" t="s">
        <v>390</v>
      </c>
      <c r="AF52" s="71" t="s">
        <v>383</v>
      </c>
      <c r="AG52" s="72">
        <v>1097</v>
      </c>
      <c r="AH52" s="72">
        <v>73999</v>
      </c>
    </row>
    <row r="53" spans="22:34" ht="16.8" thickBot="1">
      <c r="V53" s="6" t="s">
        <v>355</v>
      </c>
      <c r="W53" s="6" t="s">
        <v>23</v>
      </c>
      <c r="X53" s="6" t="s">
        <v>434</v>
      </c>
      <c r="Y53" s="28" t="s">
        <v>384</v>
      </c>
      <c r="Z53" s="49">
        <v>0</v>
      </c>
      <c r="AA53" s="49">
        <v>903589</v>
      </c>
      <c r="AC53" s="70" t="s">
        <v>359</v>
      </c>
      <c r="AD53" s="70" t="s">
        <v>34</v>
      </c>
      <c r="AE53" s="70" t="s">
        <v>390</v>
      </c>
      <c r="AF53" s="71" t="s">
        <v>384</v>
      </c>
      <c r="AG53" s="72">
        <v>44</v>
      </c>
      <c r="AH53" s="72">
        <v>73999</v>
      </c>
    </row>
    <row r="54" spans="22:34" ht="16.8" thickBot="1">
      <c r="V54" s="6" t="s">
        <v>355</v>
      </c>
      <c r="W54" s="6" t="s">
        <v>23</v>
      </c>
      <c r="X54" s="6" t="s">
        <v>444</v>
      </c>
      <c r="Y54" s="28" t="s">
        <v>383</v>
      </c>
      <c r="Z54" s="49">
        <v>0</v>
      </c>
      <c r="AA54" s="49">
        <v>903589</v>
      </c>
      <c r="AC54" s="70" t="s">
        <v>359</v>
      </c>
      <c r="AD54" s="70" t="s">
        <v>34</v>
      </c>
      <c r="AE54" s="70" t="s">
        <v>392</v>
      </c>
      <c r="AF54" s="71" t="s">
        <v>383</v>
      </c>
      <c r="AG54" s="72">
        <v>0</v>
      </c>
      <c r="AH54" s="72">
        <v>73999</v>
      </c>
    </row>
    <row r="55" spans="22:34" ht="16.8" thickBot="1">
      <c r="V55" s="6" t="s">
        <v>355</v>
      </c>
      <c r="W55" s="6" t="s">
        <v>23</v>
      </c>
      <c r="X55" s="6" t="s">
        <v>444</v>
      </c>
      <c r="Y55" s="28" t="s">
        <v>384</v>
      </c>
      <c r="Z55" s="49">
        <v>0</v>
      </c>
      <c r="AA55" s="49">
        <v>903589</v>
      </c>
      <c r="AC55" s="70" t="s">
        <v>359</v>
      </c>
      <c r="AD55" s="70" t="s">
        <v>34</v>
      </c>
      <c r="AE55" s="70" t="s">
        <v>392</v>
      </c>
      <c r="AF55" s="71" t="s">
        <v>384</v>
      </c>
      <c r="AG55" s="72">
        <v>0</v>
      </c>
      <c r="AH55" s="72">
        <v>73999</v>
      </c>
    </row>
    <row r="56" spans="22:34" ht="16.8" thickBot="1">
      <c r="V56" s="6" t="s">
        <v>355</v>
      </c>
      <c r="W56" s="6" t="s">
        <v>23</v>
      </c>
      <c r="X56" s="6" t="s">
        <v>444</v>
      </c>
      <c r="Y56" s="28" t="s">
        <v>385</v>
      </c>
      <c r="Z56" s="49">
        <v>0</v>
      </c>
      <c r="AA56" s="49">
        <v>903589</v>
      </c>
      <c r="AC56" s="70" t="s">
        <v>359</v>
      </c>
      <c r="AD56" s="70" t="s">
        <v>34</v>
      </c>
      <c r="AE56" s="70" t="s">
        <v>422</v>
      </c>
      <c r="AF56" s="71" t="s">
        <v>383</v>
      </c>
      <c r="AG56" s="72">
        <v>0</v>
      </c>
      <c r="AH56" s="72">
        <v>73999</v>
      </c>
    </row>
    <row r="57" spans="22:34" ht="16.8" thickBot="1">
      <c r="V57" s="6" t="s">
        <v>355</v>
      </c>
      <c r="W57" s="6" t="s">
        <v>23</v>
      </c>
      <c r="X57" s="6" t="s">
        <v>443</v>
      </c>
      <c r="Y57" s="28" t="s">
        <v>383</v>
      </c>
      <c r="Z57" s="49">
        <v>0</v>
      </c>
      <c r="AA57" s="49">
        <v>903589</v>
      </c>
      <c r="AC57" s="70" t="s">
        <v>359</v>
      </c>
      <c r="AD57" s="70" t="s">
        <v>34</v>
      </c>
      <c r="AE57" s="70" t="s">
        <v>422</v>
      </c>
      <c r="AF57" s="71" t="s">
        <v>384</v>
      </c>
      <c r="AG57" s="72">
        <v>0</v>
      </c>
      <c r="AH57" s="72">
        <v>73999</v>
      </c>
    </row>
    <row r="58" spans="22:34" ht="16.8" thickBot="1">
      <c r="V58" s="6" t="s">
        <v>355</v>
      </c>
      <c r="W58" s="6" t="s">
        <v>23</v>
      </c>
      <c r="X58" s="6" t="s">
        <v>443</v>
      </c>
      <c r="Y58" s="28" t="s">
        <v>384</v>
      </c>
      <c r="Z58" s="49">
        <v>0</v>
      </c>
      <c r="AA58" s="49">
        <v>903589</v>
      </c>
      <c r="AC58" s="70" t="s">
        <v>359</v>
      </c>
      <c r="AD58" s="70" t="s">
        <v>34</v>
      </c>
      <c r="AE58" s="70" t="s">
        <v>422</v>
      </c>
      <c r="AF58" s="71" t="s">
        <v>385</v>
      </c>
      <c r="AG58" s="72">
        <v>0</v>
      </c>
      <c r="AH58" s="72">
        <v>73999</v>
      </c>
    </row>
    <row r="59" spans="22:34" ht="16.8" thickBot="1">
      <c r="V59" s="6" t="s">
        <v>355</v>
      </c>
      <c r="W59" s="6" t="s">
        <v>23</v>
      </c>
      <c r="X59" s="6" t="s">
        <v>404</v>
      </c>
      <c r="Y59" s="28" t="s">
        <v>383</v>
      </c>
      <c r="Z59" s="49">
        <v>0</v>
      </c>
      <c r="AA59" s="49">
        <v>903589</v>
      </c>
      <c r="AC59" s="70" t="s">
        <v>359</v>
      </c>
      <c r="AD59" s="70" t="s">
        <v>34</v>
      </c>
      <c r="AE59" s="70" t="s">
        <v>423</v>
      </c>
      <c r="AF59" s="71" t="s">
        <v>383</v>
      </c>
      <c r="AG59" s="72">
        <v>0</v>
      </c>
      <c r="AH59" s="72">
        <v>73999</v>
      </c>
    </row>
    <row r="60" spans="22:34" ht="16.8" thickBot="1">
      <c r="V60" s="6" t="s">
        <v>355</v>
      </c>
      <c r="W60" s="6" t="s">
        <v>23</v>
      </c>
      <c r="X60" s="6" t="s">
        <v>438</v>
      </c>
      <c r="Y60" s="28" t="s">
        <v>385</v>
      </c>
      <c r="Z60" s="49">
        <v>0</v>
      </c>
      <c r="AA60" s="49">
        <v>903589</v>
      </c>
      <c r="AC60" s="70" t="s">
        <v>359</v>
      </c>
      <c r="AD60" s="70" t="s">
        <v>34</v>
      </c>
      <c r="AE60" s="70" t="s">
        <v>423</v>
      </c>
      <c r="AF60" s="71" t="s">
        <v>384</v>
      </c>
      <c r="AG60" s="72">
        <v>0</v>
      </c>
      <c r="AH60" s="72">
        <v>73999</v>
      </c>
    </row>
    <row r="61" spans="22:34" ht="16.8" thickBot="1">
      <c r="V61" s="6" t="s">
        <v>355</v>
      </c>
      <c r="W61" s="6" t="s">
        <v>38</v>
      </c>
      <c r="X61" s="6" t="s">
        <v>405</v>
      </c>
      <c r="Y61" s="28" t="s">
        <v>383</v>
      </c>
      <c r="Z61" s="49">
        <v>0</v>
      </c>
      <c r="AA61" s="49">
        <v>42</v>
      </c>
      <c r="AC61" s="70" t="s">
        <v>359</v>
      </c>
      <c r="AD61" s="70" t="s">
        <v>34</v>
      </c>
      <c r="AE61" s="70" t="s">
        <v>425</v>
      </c>
      <c r="AF61" s="71" t="s">
        <v>383</v>
      </c>
      <c r="AG61" s="72">
        <v>0</v>
      </c>
      <c r="AH61" s="72">
        <v>73999</v>
      </c>
    </row>
    <row r="62" spans="22:34" ht="16.8" thickBot="1">
      <c r="V62" s="6" t="s">
        <v>355</v>
      </c>
      <c r="W62" s="6" t="s">
        <v>37</v>
      </c>
      <c r="X62" s="6" t="s">
        <v>405</v>
      </c>
      <c r="Y62" s="28" t="s">
        <v>383</v>
      </c>
      <c r="Z62" s="49">
        <v>0</v>
      </c>
      <c r="AA62" s="49">
        <v>463</v>
      </c>
      <c r="AC62" s="70" t="s">
        <v>359</v>
      </c>
      <c r="AD62" s="70" t="s">
        <v>34</v>
      </c>
      <c r="AE62" s="70" t="s">
        <v>425</v>
      </c>
      <c r="AF62" s="71" t="s">
        <v>384</v>
      </c>
      <c r="AG62" s="72">
        <v>0</v>
      </c>
      <c r="AH62" s="72">
        <v>73999</v>
      </c>
    </row>
    <row r="63" spans="22:34" ht="16.8" thickBot="1">
      <c r="V63" s="6" t="s">
        <v>355</v>
      </c>
      <c r="W63" s="6" t="s">
        <v>38</v>
      </c>
      <c r="X63" s="6" t="s">
        <v>405</v>
      </c>
      <c r="Y63" s="28" t="s">
        <v>384</v>
      </c>
      <c r="Z63" s="49">
        <v>0</v>
      </c>
      <c r="AA63" s="49">
        <v>42</v>
      </c>
      <c r="AC63" s="70" t="s">
        <v>359</v>
      </c>
      <c r="AD63" s="70" t="s">
        <v>34</v>
      </c>
      <c r="AE63" s="70" t="s">
        <v>426</v>
      </c>
      <c r="AF63" s="71" t="s">
        <v>383</v>
      </c>
      <c r="AG63" s="72">
        <v>0</v>
      </c>
      <c r="AH63" s="72">
        <v>73999</v>
      </c>
    </row>
    <row r="64" spans="22:34" ht="16.8" thickBot="1">
      <c r="V64" s="6" t="s">
        <v>355</v>
      </c>
      <c r="W64" s="6" t="s">
        <v>37</v>
      </c>
      <c r="X64" s="6" t="s">
        <v>405</v>
      </c>
      <c r="Y64" s="28" t="s">
        <v>384</v>
      </c>
      <c r="Z64" s="49">
        <v>0</v>
      </c>
      <c r="AA64" s="49">
        <v>463</v>
      </c>
      <c r="AC64" s="70" t="s">
        <v>359</v>
      </c>
      <c r="AD64" s="70" t="s">
        <v>34</v>
      </c>
      <c r="AE64" s="70" t="s">
        <v>426</v>
      </c>
      <c r="AF64" s="71" t="s">
        <v>384</v>
      </c>
      <c r="AG64" s="72">
        <v>0</v>
      </c>
      <c r="AH64" s="72">
        <v>73999</v>
      </c>
    </row>
    <row r="65" spans="22:34" ht="16.8" thickBot="1">
      <c r="V65" s="6" t="s">
        <v>355</v>
      </c>
      <c r="W65" s="6" t="s">
        <v>38</v>
      </c>
      <c r="X65" s="6" t="s">
        <v>382</v>
      </c>
      <c r="Y65" s="28" t="s">
        <v>383</v>
      </c>
      <c r="Z65" s="49">
        <v>0</v>
      </c>
      <c r="AA65" s="49">
        <v>42</v>
      </c>
      <c r="AC65" s="70" t="s">
        <v>359</v>
      </c>
      <c r="AD65" s="70" t="s">
        <v>34</v>
      </c>
      <c r="AE65" s="70" t="s">
        <v>427</v>
      </c>
      <c r="AF65" s="71" t="s">
        <v>383</v>
      </c>
      <c r="AG65" s="72">
        <v>0</v>
      </c>
      <c r="AH65" s="72">
        <v>73999</v>
      </c>
    </row>
    <row r="66" spans="22:34" ht="16.8" thickBot="1">
      <c r="V66" s="6" t="s">
        <v>355</v>
      </c>
      <c r="W66" s="6" t="s">
        <v>37</v>
      </c>
      <c r="X66" s="6" t="s">
        <v>382</v>
      </c>
      <c r="Y66" s="28" t="s">
        <v>383</v>
      </c>
      <c r="Z66" s="49">
        <v>0</v>
      </c>
      <c r="AA66" s="49">
        <v>463</v>
      </c>
      <c r="AC66" s="70" t="s">
        <v>359</v>
      </c>
      <c r="AD66" s="70" t="s">
        <v>34</v>
      </c>
      <c r="AE66" s="70" t="s">
        <v>427</v>
      </c>
      <c r="AF66" s="71" t="s">
        <v>384</v>
      </c>
      <c r="AG66" s="72">
        <v>0</v>
      </c>
      <c r="AH66" s="72">
        <v>73999</v>
      </c>
    </row>
    <row r="67" spans="22:34" ht="16.8" thickBot="1">
      <c r="V67" s="6" t="s">
        <v>355</v>
      </c>
      <c r="W67" s="6" t="s">
        <v>38</v>
      </c>
      <c r="X67" s="6" t="s">
        <v>382</v>
      </c>
      <c r="Y67" s="28" t="s">
        <v>384</v>
      </c>
      <c r="Z67" s="49">
        <v>0</v>
      </c>
      <c r="AA67" s="49">
        <v>42</v>
      </c>
      <c r="AC67" s="70" t="s">
        <v>359</v>
      </c>
      <c r="AD67" s="70" t="s">
        <v>34</v>
      </c>
      <c r="AE67" s="70" t="s">
        <v>427</v>
      </c>
      <c r="AF67" s="71" t="s">
        <v>385</v>
      </c>
      <c r="AG67" s="72">
        <v>0</v>
      </c>
      <c r="AH67" s="72">
        <v>73999</v>
      </c>
    </row>
    <row r="68" spans="22:34" ht="16.8" thickBot="1">
      <c r="V68" s="6" t="s">
        <v>355</v>
      </c>
      <c r="W68" s="6" t="s">
        <v>37</v>
      </c>
      <c r="X68" s="6" t="s">
        <v>382</v>
      </c>
      <c r="Y68" s="28" t="s">
        <v>384</v>
      </c>
      <c r="Z68" s="49">
        <v>0</v>
      </c>
      <c r="AA68" s="49">
        <v>463</v>
      </c>
    </row>
    <row r="69" spans="22:34" ht="16.8" thickBot="1">
      <c r="V69" s="6" t="s">
        <v>355</v>
      </c>
      <c r="W69" s="6" t="s">
        <v>38</v>
      </c>
      <c r="X69" s="6" t="s">
        <v>408</v>
      </c>
      <c r="Y69" s="28" t="s">
        <v>383</v>
      </c>
      <c r="Z69" s="49">
        <v>0</v>
      </c>
      <c r="AA69" s="49">
        <v>42</v>
      </c>
    </row>
    <row r="70" spans="22:34" ht="16.8" thickBot="1">
      <c r="V70" s="6" t="s">
        <v>355</v>
      </c>
      <c r="W70" s="6" t="s">
        <v>37</v>
      </c>
      <c r="X70" s="6" t="s">
        <v>408</v>
      </c>
      <c r="Y70" s="28" t="s">
        <v>383</v>
      </c>
      <c r="Z70" s="49">
        <v>0</v>
      </c>
      <c r="AA70" s="49">
        <v>463</v>
      </c>
    </row>
    <row r="71" spans="22:34" ht="16.8" thickBot="1">
      <c r="V71" s="6" t="s">
        <v>355</v>
      </c>
      <c r="W71" s="6" t="s">
        <v>38</v>
      </c>
      <c r="X71" s="6" t="s">
        <v>408</v>
      </c>
      <c r="Y71" s="28" t="s">
        <v>384</v>
      </c>
      <c r="Z71" s="49">
        <v>0</v>
      </c>
      <c r="AA71" s="49">
        <v>42</v>
      </c>
    </row>
    <row r="72" spans="22:34" ht="16.8" thickBot="1">
      <c r="V72" s="6" t="s">
        <v>355</v>
      </c>
      <c r="W72" s="6" t="s">
        <v>37</v>
      </c>
      <c r="X72" s="6" t="s">
        <v>408</v>
      </c>
      <c r="Y72" s="28" t="s">
        <v>384</v>
      </c>
      <c r="Z72" s="49">
        <v>0</v>
      </c>
      <c r="AA72" s="49">
        <v>463</v>
      </c>
    </row>
    <row r="73" spans="22:34" ht="16.8" thickBot="1">
      <c r="V73" s="6" t="s">
        <v>355</v>
      </c>
      <c r="W73" s="6" t="s">
        <v>38</v>
      </c>
      <c r="X73" s="6" t="s">
        <v>409</v>
      </c>
      <c r="Y73" s="28" t="s">
        <v>383</v>
      </c>
      <c r="Z73" s="49">
        <v>8</v>
      </c>
      <c r="AA73" s="49">
        <v>42</v>
      </c>
    </row>
    <row r="74" spans="22:34" ht="16.8" thickBot="1">
      <c r="V74" s="6" t="s">
        <v>355</v>
      </c>
      <c r="W74" s="6" t="s">
        <v>37</v>
      </c>
      <c r="X74" s="6" t="s">
        <v>409</v>
      </c>
      <c r="Y74" s="28" t="s">
        <v>383</v>
      </c>
      <c r="Z74" s="49">
        <v>0</v>
      </c>
      <c r="AA74" s="49">
        <v>463</v>
      </c>
    </row>
    <row r="75" spans="22:34" ht="16.8" thickBot="1">
      <c r="V75" s="6" t="s">
        <v>355</v>
      </c>
      <c r="W75" s="6" t="s">
        <v>38</v>
      </c>
      <c r="X75" s="6" t="s">
        <v>409</v>
      </c>
      <c r="Y75" s="28" t="s">
        <v>384</v>
      </c>
      <c r="Z75" s="49">
        <v>0</v>
      </c>
      <c r="AA75" s="49">
        <v>42</v>
      </c>
    </row>
    <row r="76" spans="22:34" ht="16.8" thickBot="1">
      <c r="V76" s="6" t="s">
        <v>355</v>
      </c>
      <c r="W76" s="6" t="s">
        <v>37</v>
      </c>
      <c r="X76" s="6" t="s">
        <v>409</v>
      </c>
      <c r="Y76" s="28" t="s">
        <v>384</v>
      </c>
      <c r="Z76" s="49">
        <v>0</v>
      </c>
      <c r="AA76" s="49">
        <v>463</v>
      </c>
    </row>
    <row r="77" spans="22:34" ht="16.8" thickBot="1">
      <c r="V77" s="6" t="s">
        <v>355</v>
      </c>
      <c r="W77" s="6" t="s">
        <v>38</v>
      </c>
      <c r="X77" s="6" t="s">
        <v>410</v>
      </c>
      <c r="Y77" s="28" t="s">
        <v>383</v>
      </c>
      <c r="Z77" s="49">
        <v>0</v>
      </c>
      <c r="AA77" s="49">
        <v>42</v>
      </c>
    </row>
    <row r="78" spans="22:34" ht="16.8" thickBot="1">
      <c r="V78" s="6" t="s">
        <v>355</v>
      </c>
      <c r="W78" s="6" t="s">
        <v>37</v>
      </c>
      <c r="X78" s="6" t="s">
        <v>410</v>
      </c>
      <c r="Y78" s="28" t="s">
        <v>383</v>
      </c>
      <c r="Z78" s="49">
        <v>1</v>
      </c>
      <c r="AA78" s="49">
        <v>463</v>
      </c>
    </row>
    <row r="79" spans="22:34" ht="16.8" thickBot="1">
      <c r="V79" s="6" t="s">
        <v>355</v>
      </c>
      <c r="W79" s="6" t="s">
        <v>38</v>
      </c>
      <c r="X79" s="6" t="s">
        <v>410</v>
      </c>
      <c r="Y79" s="28" t="s">
        <v>384</v>
      </c>
      <c r="Z79" s="49">
        <v>0</v>
      </c>
      <c r="AA79" s="49">
        <v>42</v>
      </c>
    </row>
    <row r="80" spans="22:34" ht="16.8" thickBot="1">
      <c r="V80" s="6" t="s">
        <v>355</v>
      </c>
      <c r="W80" s="6" t="s">
        <v>37</v>
      </c>
      <c r="X80" s="6" t="s">
        <v>410</v>
      </c>
      <c r="Y80" s="28" t="s">
        <v>384</v>
      </c>
      <c r="Z80" s="49">
        <v>0</v>
      </c>
      <c r="AA80" s="49">
        <v>463</v>
      </c>
    </row>
    <row r="81" spans="22:27" ht="16.8" thickBot="1">
      <c r="V81" s="6" t="s">
        <v>355</v>
      </c>
      <c r="W81" s="6" t="s">
        <v>38</v>
      </c>
      <c r="X81" s="6" t="s">
        <v>432</v>
      </c>
      <c r="Y81" s="28" t="s">
        <v>383</v>
      </c>
      <c r="Z81" s="49">
        <v>0</v>
      </c>
      <c r="AA81" s="49">
        <v>42</v>
      </c>
    </row>
    <row r="82" spans="22:27" ht="16.8" thickBot="1">
      <c r="V82" s="6" t="s">
        <v>355</v>
      </c>
      <c r="W82" s="6" t="s">
        <v>37</v>
      </c>
      <c r="X82" s="6" t="s">
        <v>432</v>
      </c>
      <c r="Y82" s="28" t="s">
        <v>383</v>
      </c>
      <c r="Z82" s="49">
        <v>0</v>
      </c>
      <c r="AA82" s="49">
        <v>463</v>
      </c>
    </row>
    <row r="83" spans="22:27" ht="16.8" thickBot="1">
      <c r="V83" s="6" t="s">
        <v>355</v>
      </c>
      <c r="W83" s="6" t="s">
        <v>38</v>
      </c>
      <c r="X83" s="6" t="s">
        <v>432</v>
      </c>
      <c r="Y83" s="28" t="s">
        <v>384</v>
      </c>
      <c r="Z83" s="49">
        <v>0</v>
      </c>
      <c r="AA83" s="49">
        <v>42</v>
      </c>
    </row>
    <row r="84" spans="22:27" ht="16.8" thickBot="1">
      <c r="V84" s="6" t="s">
        <v>355</v>
      </c>
      <c r="W84" s="6" t="s">
        <v>37</v>
      </c>
      <c r="X84" s="6" t="s">
        <v>432</v>
      </c>
      <c r="Y84" s="28" t="s">
        <v>384</v>
      </c>
      <c r="Z84" s="49">
        <v>431</v>
      </c>
      <c r="AA84" s="49">
        <v>463</v>
      </c>
    </row>
    <row r="85" spans="22:27" ht="16.8" thickBot="1">
      <c r="V85" s="6" t="s">
        <v>355</v>
      </c>
      <c r="W85" s="6" t="s">
        <v>38</v>
      </c>
      <c r="X85" s="6" t="s">
        <v>436</v>
      </c>
      <c r="Y85" s="28" t="s">
        <v>383</v>
      </c>
      <c r="Z85" s="49">
        <v>0</v>
      </c>
      <c r="AA85" s="49">
        <v>42</v>
      </c>
    </row>
    <row r="86" spans="22:27" ht="16.8" thickBot="1">
      <c r="V86" s="6" t="s">
        <v>355</v>
      </c>
      <c r="W86" s="6" t="s">
        <v>37</v>
      </c>
      <c r="X86" s="6" t="s">
        <v>436</v>
      </c>
      <c r="Y86" s="28" t="s">
        <v>383</v>
      </c>
      <c r="Z86" s="49">
        <v>0</v>
      </c>
      <c r="AA86" s="49">
        <v>463</v>
      </c>
    </row>
    <row r="87" spans="22:27" ht="16.8" thickBot="1">
      <c r="V87" s="6" t="s">
        <v>355</v>
      </c>
      <c r="W87" s="6" t="s">
        <v>38</v>
      </c>
      <c r="X87" s="6" t="s">
        <v>436</v>
      </c>
      <c r="Y87" s="28" t="s">
        <v>384</v>
      </c>
      <c r="Z87" s="49">
        <v>0</v>
      </c>
      <c r="AA87" s="49">
        <v>42</v>
      </c>
    </row>
    <row r="88" spans="22:27" ht="16.8" thickBot="1">
      <c r="V88" s="6" t="s">
        <v>355</v>
      </c>
      <c r="W88" s="6" t="s">
        <v>37</v>
      </c>
      <c r="X88" s="6" t="s">
        <v>436</v>
      </c>
      <c r="Y88" s="28" t="s">
        <v>384</v>
      </c>
      <c r="Z88" s="49">
        <v>0</v>
      </c>
      <c r="AA88" s="49">
        <v>463</v>
      </c>
    </row>
    <row r="89" spans="22:27" ht="16.8" thickBot="1">
      <c r="V89" s="6" t="s">
        <v>355</v>
      </c>
      <c r="W89" s="6" t="s">
        <v>38</v>
      </c>
      <c r="X89" s="6" t="s">
        <v>437</v>
      </c>
      <c r="Y89" s="28" t="s">
        <v>383</v>
      </c>
      <c r="Z89" s="49">
        <v>0</v>
      </c>
      <c r="AA89" s="49">
        <v>42</v>
      </c>
    </row>
    <row r="90" spans="22:27" ht="16.8" thickBot="1">
      <c r="V90" s="6" t="s">
        <v>355</v>
      </c>
      <c r="W90" s="6" t="s">
        <v>37</v>
      </c>
      <c r="X90" s="6" t="s">
        <v>437</v>
      </c>
      <c r="Y90" s="28" t="s">
        <v>383</v>
      </c>
      <c r="Z90" s="49">
        <v>0</v>
      </c>
      <c r="AA90" s="49">
        <v>463</v>
      </c>
    </row>
    <row r="91" spans="22:27" ht="16.8" thickBot="1">
      <c r="V91" s="6" t="s">
        <v>355</v>
      </c>
      <c r="W91" s="6" t="s">
        <v>38</v>
      </c>
      <c r="X91" s="6" t="s">
        <v>437</v>
      </c>
      <c r="Y91" s="28" t="s">
        <v>384</v>
      </c>
      <c r="Z91" s="49">
        <v>0</v>
      </c>
      <c r="AA91" s="49">
        <v>42</v>
      </c>
    </row>
    <row r="92" spans="22:27" ht="16.8" thickBot="1">
      <c r="V92" s="6" t="s">
        <v>355</v>
      </c>
      <c r="W92" s="6" t="s">
        <v>37</v>
      </c>
      <c r="X92" s="6" t="s">
        <v>437</v>
      </c>
      <c r="Y92" s="28" t="s">
        <v>384</v>
      </c>
      <c r="Z92" s="49">
        <v>0</v>
      </c>
      <c r="AA92" s="49">
        <v>463</v>
      </c>
    </row>
    <row r="93" spans="22:27" ht="16.8" thickBot="1">
      <c r="V93" s="6" t="s">
        <v>355</v>
      </c>
      <c r="W93" s="6" t="s">
        <v>38</v>
      </c>
      <c r="X93" s="6" t="s">
        <v>441</v>
      </c>
      <c r="Y93" s="28" t="s">
        <v>383</v>
      </c>
      <c r="Z93" s="49">
        <v>0</v>
      </c>
      <c r="AA93" s="49">
        <v>42</v>
      </c>
    </row>
    <row r="94" spans="22:27" ht="16.8" thickBot="1">
      <c r="V94" s="6" t="s">
        <v>355</v>
      </c>
      <c r="W94" s="6" t="s">
        <v>37</v>
      </c>
      <c r="X94" s="6" t="s">
        <v>441</v>
      </c>
      <c r="Y94" s="28" t="s">
        <v>383</v>
      </c>
      <c r="Z94" s="49">
        <v>0</v>
      </c>
      <c r="AA94" s="49">
        <v>463</v>
      </c>
    </row>
    <row r="95" spans="22:27" ht="16.8" thickBot="1">
      <c r="V95" s="6" t="s">
        <v>355</v>
      </c>
      <c r="W95" s="6" t="s">
        <v>38</v>
      </c>
      <c r="X95" s="6" t="s">
        <v>441</v>
      </c>
      <c r="Y95" s="28" t="s">
        <v>384</v>
      </c>
      <c r="Z95" s="49">
        <v>0</v>
      </c>
      <c r="AA95" s="49">
        <v>42</v>
      </c>
    </row>
    <row r="96" spans="22:27" ht="16.8" thickBot="1">
      <c r="V96" s="6" t="s">
        <v>355</v>
      </c>
      <c r="W96" s="6" t="s">
        <v>37</v>
      </c>
      <c r="X96" s="6" t="s">
        <v>441</v>
      </c>
      <c r="Y96" s="28" t="s">
        <v>384</v>
      </c>
      <c r="Z96" s="49">
        <v>0</v>
      </c>
      <c r="AA96" s="49">
        <v>463</v>
      </c>
    </row>
    <row r="97" spans="22:27" ht="16.8" thickBot="1">
      <c r="V97" s="6" t="s">
        <v>355</v>
      </c>
      <c r="W97" s="6" t="s">
        <v>38</v>
      </c>
      <c r="X97" s="6" t="s">
        <v>442</v>
      </c>
      <c r="Y97" s="28" t="s">
        <v>383</v>
      </c>
      <c r="Z97" s="49">
        <v>0</v>
      </c>
      <c r="AA97" s="49">
        <v>42</v>
      </c>
    </row>
    <row r="98" spans="22:27" ht="16.8" thickBot="1">
      <c r="V98" s="6" t="s">
        <v>355</v>
      </c>
      <c r="W98" s="6" t="s">
        <v>37</v>
      </c>
      <c r="X98" s="6" t="s">
        <v>442</v>
      </c>
      <c r="Y98" s="28" t="s">
        <v>383</v>
      </c>
      <c r="Z98" s="49">
        <v>0</v>
      </c>
      <c r="AA98" s="49">
        <v>463</v>
      </c>
    </row>
    <row r="99" spans="22:27" ht="16.8" thickBot="1">
      <c r="V99" s="6" t="s">
        <v>355</v>
      </c>
      <c r="W99" s="6" t="s">
        <v>38</v>
      </c>
      <c r="X99" s="6" t="s">
        <v>442</v>
      </c>
      <c r="Y99" s="28" t="s">
        <v>384</v>
      </c>
      <c r="Z99" s="49">
        <v>0</v>
      </c>
      <c r="AA99" s="49">
        <v>42</v>
      </c>
    </row>
    <row r="100" spans="22:27" ht="16.8" thickBot="1">
      <c r="V100" s="6" t="s">
        <v>355</v>
      </c>
      <c r="W100" s="6" t="s">
        <v>37</v>
      </c>
      <c r="X100" s="6" t="s">
        <v>442</v>
      </c>
      <c r="Y100" s="28" t="s">
        <v>384</v>
      </c>
      <c r="Z100" s="49">
        <v>0</v>
      </c>
      <c r="AA100" s="49">
        <v>463</v>
      </c>
    </row>
    <row r="101" spans="22:27" ht="16.8" thickBot="1">
      <c r="V101" s="6" t="s">
        <v>355</v>
      </c>
      <c r="W101" s="6" t="s">
        <v>38</v>
      </c>
      <c r="X101" s="6" t="s">
        <v>412</v>
      </c>
      <c r="Y101" s="28" t="s">
        <v>383</v>
      </c>
      <c r="Z101" s="49">
        <v>0</v>
      </c>
      <c r="AA101" s="49">
        <v>42</v>
      </c>
    </row>
    <row r="102" spans="22:27" ht="16.8" thickBot="1">
      <c r="V102" s="6" t="s">
        <v>355</v>
      </c>
      <c r="W102" s="6" t="s">
        <v>37</v>
      </c>
      <c r="X102" s="6" t="s">
        <v>412</v>
      </c>
      <c r="Y102" s="28" t="s">
        <v>383</v>
      </c>
      <c r="Z102" s="49">
        <v>0</v>
      </c>
      <c r="AA102" s="49">
        <v>463</v>
      </c>
    </row>
    <row r="103" spans="22:27" ht="16.8" thickBot="1">
      <c r="V103" s="6" t="s">
        <v>355</v>
      </c>
      <c r="W103" s="6" t="s">
        <v>38</v>
      </c>
      <c r="X103" s="6" t="s">
        <v>412</v>
      </c>
      <c r="Y103" s="28" t="s">
        <v>384</v>
      </c>
      <c r="Z103" s="49">
        <v>36</v>
      </c>
      <c r="AA103" s="49">
        <v>42</v>
      </c>
    </row>
    <row r="104" spans="22:27" ht="16.8" thickBot="1">
      <c r="V104" s="6" t="s">
        <v>355</v>
      </c>
      <c r="W104" s="6" t="s">
        <v>37</v>
      </c>
      <c r="X104" s="6" t="s">
        <v>412</v>
      </c>
      <c r="Y104" s="28" t="s">
        <v>384</v>
      </c>
      <c r="Z104" s="49">
        <v>0</v>
      </c>
      <c r="AA104" s="49">
        <v>463</v>
      </c>
    </row>
    <row r="105" spans="22:27" ht="16.8" thickBot="1">
      <c r="V105" s="6" t="s">
        <v>355</v>
      </c>
      <c r="W105" s="6" t="s">
        <v>38</v>
      </c>
      <c r="X105" s="6" t="s">
        <v>386</v>
      </c>
      <c r="Y105" s="28" t="s">
        <v>383</v>
      </c>
      <c r="Z105" s="49">
        <v>0</v>
      </c>
      <c r="AA105" s="49">
        <v>42</v>
      </c>
    </row>
    <row r="106" spans="22:27" ht="16.8" thickBot="1">
      <c r="V106" s="6" t="s">
        <v>355</v>
      </c>
      <c r="W106" s="6" t="s">
        <v>37</v>
      </c>
      <c r="X106" s="6" t="s">
        <v>386</v>
      </c>
      <c r="Y106" s="28" t="s">
        <v>383</v>
      </c>
      <c r="Z106" s="49">
        <v>0</v>
      </c>
      <c r="AA106" s="49">
        <v>463</v>
      </c>
    </row>
    <row r="107" spans="22:27" ht="16.8" thickBot="1">
      <c r="V107" s="6" t="s">
        <v>355</v>
      </c>
      <c r="W107" s="6" t="s">
        <v>38</v>
      </c>
      <c r="X107" s="6" t="s">
        <v>386</v>
      </c>
      <c r="Y107" s="28" t="s">
        <v>384</v>
      </c>
      <c r="Z107" s="49">
        <v>0</v>
      </c>
      <c r="AA107" s="49">
        <v>42</v>
      </c>
    </row>
    <row r="108" spans="22:27" ht="16.8" thickBot="1">
      <c r="V108" s="6" t="s">
        <v>355</v>
      </c>
      <c r="W108" s="6" t="s">
        <v>37</v>
      </c>
      <c r="X108" s="6" t="s">
        <v>386</v>
      </c>
      <c r="Y108" s="28" t="s">
        <v>384</v>
      </c>
      <c r="Z108" s="49">
        <v>0</v>
      </c>
      <c r="AA108" s="49">
        <v>463</v>
      </c>
    </row>
    <row r="109" spans="22:27" ht="16.8" thickBot="1">
      <c r="V109" s="6" t="s">
        <v>355</v>
      </c>
      <c r="W109" s="6" t="s">
        <v>38</v>
      </c>
      <c r="X109" s="6" t="s">
        <v>405</v>
      </c>
      <c r="Y109" s="28" t="s">
        <v>385</v>
      </c>
      <c r="Z109" s="49">
        <v>0</v>
      </c>
      <c r="AA109" s="49">
        <v>42</v>
      </c>
    </row>
    <row r="110" spans="22:27" ht="16.8" thickBot="1">
      <c r="V110" s="6" t="s">
        <v>355</v>
      </c>
      <c r="W110" s="6" t="s">
        <v>37</v>
      </c>
      <c r="X110" s="6" t="s">
        <v>405</v>
      </c>
      <c r="Y110" s="28" t="s">
        <v>385</v>
      </c>
      <c r="Z110" s="49">
        <v>0</v>
      </c>
      <c r="AA110" s="49">
        <v>463</v>
      </c>
    </row>
    <row r="111" spans="22:27" ht="16.8" thickBot="1">
      <c r="V111" s="6" t="s">
        <v>355</v>
      </c>
      <c r="W111" s="6" t="s">
        <v>38</v>
      </c>
      <c r="X111" s="6" t="s">
        <v>382</v>
      </c>
      <c r="Y111" s="28" t="s">
        <v>385</v>
      </c>
      <c r="Z111" s="49">
        <v>0</v>
      </c>
      <c r="AA111" s="49">
        <v>42</v>
      </c>
    </row>
    <row r="112" spans="22:27" ht="16.8" thickBot="1">
      <c r="V112" s="6" t="s">
        <v>355</v>
      </c>
      <c r="W112" s="6" t="s">
        <v>37</v>
      </c>
      <c r="X112" s="6" t="s">
        <v>382</v>
      </c>
      <c r="Y112" s="28" t="s">
        <v>385</v>
      </c>
      <c r="Z112" s="49">
        <v>0</v>
      </c>
      <c r="AA112" s="49">
        <v>463</v>
      </c>
    </row>
    <row r="113" spans="22:27" ht="16.8" thickBot="1">
      <c r="V113" s="6" t="s">
        <v>355</v>
      </c>
      <c r="W113" s="6" t="s">
        <v>38</v>
      </c>
      <c r="X113" s="6" t="s">
        <v>408</v>
      </c>
      <c r="Y113" s="28" t="s">
        <v>385</v>
      </c>
      <c r="Z113" s="49">
        <v>0</v>
      </c>
      <c r="AA113" s="49">
        <v>42</v>
      </c>
    </row>
    <row r="114" spans="22:27" ht="16.8" thickBot="1">
      <c r="V114" s="6" t="s">
        <v>355</v>
      </c>
      <c r="W114" s="6" t="s">
        <v>37</v>
      </c>
      <c r="X114" s="6" t="s">
        <v>408</v>
      </c>
      <c r="Y114" s="28" t="s">
        <v>385</v>
      </c>
      <c r="Z114" s="49">
        <v>0</v>
      </c>
      <c r="AA114" s="49">
        <v>463</v>
      </c>
    </row>
    <row r="115" spans="22:27" ht="16.8" thickBot="1">
      <c r="V115" s="6" t="s">
        <v>355</v>
      </c>
      <c r="W115" s="6" t="s">
        <v>38</v>
      </c>
      <c r="X115" s="6" t="s">
        <v>409</v>
      </c>
      <c r="Y115" s="28" t="s">
        <v>385</v>
      </c>
      <c r="Z115" s="49">
        <v>0</v>
      </c>
      <c r="AA115" s="49">
        <v>42</v>
      </c>
    </row>
    <row r="116" spans="22:27" ht="16.8" thickBot="1">
      <c r="V116" s="6" t="s">
        <v>355</v>
      </c>
      <c r="W116" s="6" t="s">
        <v>37</v>
      </c>
      <c r="X116" s="6" t="s">
        <v>409</v>
      </c>
      <c r="Y116" s="28" t="s">
        <v>385</v>
      </c>
      <c r="Z116" s="49">
        <v>0</v>
      </c>
      <c r="AA116" s="49">
        <v>463</v>
      </c>
    </row>
    <row r="117" spans="22:27" ht="16.8" thickBot="1">
      <c r="V117" s="6" t="s">
        <v>355</v>
      </c>
      <c r="W117" s="6" t="s">
        <v>38</v>
      </c>
      <c r="X117" s="6" t="s">
        <v>410</v>
      </c>
      <c r="Y117" s="28" t="s">
        <v>385</v>
      </c>
      <c r="Z117" s="49">
        <v>0</v>
      </c>
      <c r="AA117" s="49">
        <v>42</v>
      </c>
    </row>
    <row r="118" spans="22:27" ht="16.8" thickBot="1">
      <c r="V118" s="6" t="s">
        <v>355</v>
      </c>
      <c r="W118" s="6" t="s">
        <v>37</v>
      </c>
      <c r="X118" s="6" t="s">
        <v>410</v>
      </c>
      <c r="Y118" s="28" t="s">
        <v>385</v>
      </c>
      <c r="Z118" s="49">
        <v>0</v>
      </c>
      <c r="AA118" s="49">
        <v>463</v>
      </c>
    </row>
    <row r="119" spans="22:27" ht="16.8" thickBot="1">
      <c r="V119" s="6" t="s">
        <v>355</v>
      </c>
      <c r="W119" s="6" t="s">
        <v>38</v>
      </c>
      <c r="X119" s="6" t="s">
        <v>432</v>
      </c>
      <c r="Y119" s="28" t="s">
        <v>385</v>
      </c>
      <c r="Z119" s="49">
        <v>0</v>
      </c>
      <c r="AA119" s="49">
        <v>42</v>
      </c>
    </row>
    <row r="120" spans="22:27" ht="16.8" thickBot="1">
      <c r="V120" s="6" t="s">
        <v>355</v>
      </c>
      <c r="W120" s="6" t="s">
        <v>37</v>
      </c>
      <c r="X120" s="6" t="s">
        <v>432</v>
      </c>
      <c r="Y120" s="28" t="s">
        <v>385</v>
      </c>
      <c r="Z120" s="49">
        <v>0</v>
      </c>
      <c r="AA120" s="49">
        <v>463</v>
      </c>
    </row>
    <row r="121" spans="22:27" ht="16.8" thickBot="1">
      <c r="V121" s="6" t="s">
        <v>355</v>
      </c>
      <c r="W121" s="6" t="s">
        <v>38</v>
      </c>
      <c r="X121" s="6" t="s">
        <v>436</v>
      </c>
      <c r="Y121" s="28" t="s">
        <v>385</v>
      </c>
      <c r="Z121" s="49">
        <v>0</v>
      </c>
      <c r="AA121" s="49">
        <v>42</v>
      </c>
    </row>
    <row r="122" spans="22:27" ht="16.8" thickBot="1">
      <c r="V122" s="6" t="s">
        <v>355</v>
      </c>
      <c r="W122" s="6" t="s">
        <v>37</v>
      </c>
      <c r="X122" s="6" t="s">
        <v>436</v>
      </c>
      <c r="Y122" s="28" t="s">
        <v>385</v>
      </c>
      <c r="Z122" s="49">
        <v>0</v>
      </c>
      <c r="AA122" s="49">
        <v>463</v>
      </c>
    </row>
    <row r="123" spans="22:27" ht="16.8" thickBot="1">
      <c r="V123" s="6" t="s">
        <v>355</v>
      </c>
      <c r="W123" s="6" t="s">
        <v>38</v>
      </c>
      <c r="X123" s="6" t="s">
        <v>437</v>
      </c>
      <c r="Y123" s="28" t="s">
        <v>385</v>
      </c>
      <c r="Z123" s="49">
        <v>0</v>
      </c>
      <c r="AA123" s="49">
        <v>42</v>
      </c>
    </row>
    <row r="124" spans="22:27" ht="16.8" thickBot="1">
      <c r="V124" s="6" t="s">
        <v>355</v>
      </c>
      <c r="W124" s="6" t="s">
        <v>37</v>
      </c>
      <c r="X124" s="6" t="s">
        <v>437</v>
      </c>
      <c r="Y124" s="28" t="s">
        <v>385</v>
      </c>
      <c r="Z124" s="49">
        <v>0</v>
      </c>
      <c r="AA124" s="49">
        <v>463</v>
      </c>
    </row>
    <row r="125" spans="22:27" ht="16.8" thickBot="1">
      <c r="V125" s="6" t="s">
        <v>355</v>
      </c>
      <c r="W125" s="6" t="s">
        <v>38</v>
      </c>
      <c r="X125" s="6" t="s">
        <v>441</v>
      </c>
      <c r="Y125" s="28" t="s">
        <v>385</v>
      </c>
      <c r="Z125" s="49">
        <v>0</v>
      </c>
      <c r="AA125" s="49">
        <v>42</v>
      </c>
    </row>
    <row r="126" spans="22:27" ht="16.8" thickBot="1">
      <c r="V126" s="6" t="s">
        <v>355</v>
      </c>
      <c r="W126" s="6" t="s">
        <v>37</v>
      </c>
      <c r="X126" s="6" t="s">
        <v>441</v>
      </c>
      <c r="Y126" s="28" t="s">
        <v>385</v>
      </c>
      <c r="Z126" s="49">
        <v>0</v>
      </c>
      <c r="AA126" s="49">
        <v>463</v>
      </c>
    </row>
    <row r="127" spans="22:27" ht="16.8" thickBot="1">
      <c r="V127" s="6" t="s">
        <v>355</v>
      </c>
      <c r="W127" s="6" t="s">
        <v>38</v>
      </c>
      <c r="X127" s="6" t="s">
        <v>442</v>
      </c>
      <c r="Y127" s="28" t="s">
        <v>385</v>
      </c>
      <c r="Z127" s="49">
        <v>0</v>
      </c>
      <c r="AA127" s="49">
        <v>42</v>
      </c>
    </row>
    <row r="128" spans="22:27" ht="16.8" thickBot="1">
      <c r="V128" s="6" t="s">
        <v>355</v>
      </c>
      <c r="W128" s="6" t="s">
        <v>37</v>
      </c>
      <c r="X128" s="6" t="s">
        <v>442</v>
      </c>
      <c r="Y128" s="28" t="s">
        <v>385</v>
      </c>
      <c r="Z128" s="49">
        <v>0</v>
      </c>
      <c r="AA128" s="49">
        <v>463</v>
      </c>
    </row>
    <row r="129" spans="22:27" ht="16.8" thickBot="1">
      <c r="V129" s="6" t="s">
        <v>355</v>
      </c>
      <c r="W129" s="6" t="s">
        <v>38</v>
      </c>
      <c r="X129" s="6" t="s">
        <v>412</v>
      </c>
      <c r="Y129" s="28" t="s">
        <v>385</v>
      </c>
      <c r="Z129" s="49">
        <v>0</v>
      </c>
      <c r="AA129" s="49">
        <v>42</v>
      </c>
    </row>
    <row r="130" spans="22:27" ht="16.8" thickBot="1">
      <c r="V130" s="6" t="s">
        <v>355</v>
      </c>
      <c r="W130" s="6" t="s">
        <v>37</v>
      </c>
      <c r="X130" s="6" t="s">
        <v>412</v>
      </c>
      <c r="Y130" s="28" t="s">
        <v>385</v>
      </c>
      <c r="Z130" s="49">
        <v>0</v>
      </c>
      <c r="AA130" s="49">
        <v>463</v>
      </c>
    </row>
    <row r="131" spans="22:27" ht="16.8" thickBot="1">
      <c r="V131" s="6" t="s">
        <v>355</v>
      </c>
      <c r="W131" s="6" t="s">
        <v>38</v>
      </c>
      <c r="X131" s="6" t="s">
        <v>386</v>
      </c>
      <c r="Y131" s="28" t="s">
        <v>385</v>
      </c>
      <c r="Z131" s="49">
        <v>0</v>
      </c>
      <c r="AA131" s="49">
        <v>42</v>
      </c>
    </row>
    <row r="132" spans="22:27" ht="16.8" thickBot="1">
      <c r="V132" s="6" t="s">
        <v>355</v>
      </c>
      <c r="W132" s="6" t="s">
        <v>37</v>
      </c>
      <c r="X132" s="6" t="s">
        <v>386</v>
      </c>
      <c r="Y132" s="28" t="s">
        <v>385</v>
      </c>
      <c r="Z132" s="49">
        <v>0</v>
      </c>
      <c r="AA132" s="49">
        <v>463</v>
      </c>
    </row>
    <row r="133" spans="22:27" ht="16.8" thickBot="1">
      <c r="V133" s="6" t="s">
        <v>355</v>
      </c>
      <c r="W133" s="6" t="s">
        <v>38</v>
      </c>
      <c r="X133" s="6" t="s">
        <v>428</v>
      </c>
      <c r="Y133" s="28" t="s">
        <v>383</v>
      </c>
      <c r="Z133" s="49">
        <v>0</v>
      </c>
      <c r="AA133" s="49">
        <v>42</v>
      </c>
    </row>
    <row r="134" spans="22:27" ht="16.8" thickBot="1">
      <c r="V134" s="6" t="s">
        <v>355</v>
      </c>
      <c r="W134" s="6" t="s">
        <v>37</v>
      </c>
      <c r="X134" s="6" t="s">
        <v>428</v>
      </c>
      <c r="Y134" s="28" t="s">
        <v>383</v>
      </c>
      <c r="Z134" s="49">
        <v>0</v>
      </c>
      <c r="AA134" s="49">
        <v>463</v>
      </c>
    </row>
    <row r="135" spans="22:27" ht="16.8" thickBot="1">
      <c r="V135" s="6" t="s">
        <v>355</v>
      </c>
      <c r="W135" s="6" t="s">
        <v>38</v>
      </c>
      <c r="X135" s="6" t="s">
        <v>428</v>
      </c>
      <c r="Y135" s="28" t="s">
        <v>384</v>
      </c>
      <c r="Z135" s="49">
        <v>0</v>
      </c>
      <c r="AA135" s="49">
        <v>42</v>
      </c>
    </row>
    <row r="136" spans="22:27" ht="16.8" thickBot="1">
      <c r="V136" s="6" t="s">
        <v>355</v>
      </c>
      <c r="W136" s="6" t="s">
        <v>37</v>
      </c>
      <c r="X136" s="6" t="s">
        <v>428</v>
      </c>
      <c r="Y136" s="28" t="s">
        <v>384</v>
      </c>
      <c r="Z136" s="49">
        <v>0</v>
      </c>
      <c r="AA136" s="49">
        <v>463</v>
      </c>
    </row>
    <row r="137" spans="22:27" ht="16.8" thickBot="1">
      <c r="V137" s="6" t="s">
        <v>355</v>
      </c>
      <c r="W137" s="6" t="s">
        <v>38</v>
      </c>
      <c r="X137" s="6" t="s">
        <v>430</v>
      </c>
      <c r="Y137" s="28" t="s">
        <v>383</v>
      </c>
      <c r="Z137" s="49">
        <v>0</v>
      </c>
      <c r="AA137" s="49">
        <v>42</v>
      </c>
    </row>
    <row r="138" spans="22:27" ht="16.8" thickBot="1">
      <c r="V138" s="6" t="s">
        <v>355</v>
      </c>
      <c r="W138" s="6" t="s">
        <v>37</v>
      </c>
      <c r="X138" s="6" t="s">
        <v>430</v>
      </c>
      <c r="Y138" s="28" t="s">
        <v>383</v>
      </c>
      <c r="Z138" s="49">
        <v>0</v>
      </c>
      <c r="AA138" s="49">
        <v>463</v>
      </c>
    </row>
    <row r="139" spans="22:27" ht="16.8" thickBot="1">
      <c r="V139" s="6" t="s">
        <v>355</v>
      </c>
      <c r="W139" s="6" t="s">
        <v>38</v>
      </c>
      <c r="X139" s="6" t="s">
        <v>430</v>
      </c>
      <c r="Y139" s="28" t="s">
        <v>384</v>
      </c>
      <c r="Z139" s="49">
        <v>0</v>
      </c>
      <c r="AA139" s="49">
        <v>42</v>
      </c>
    </row>
    <row r="140" spans="22:27" ht="16.8" thickBot="1">
      <c r="V140" s="6" t="s">
        <v>355</v>
      </c>
      <c r="W140" s="6" t="s">
        <v>37</v>
      </c>
      <c r="X140" s="6" t="s">
        <v>430</v>
      </c>
      <c r="Y140" s="28" t="s">
        <v>384</v>
      </c>
      <c r="Z140" s="49">
        <v>0</v>
      </c>
      <c r="AA140" s="49">
        <v>463</v>
      </c>
    </row>
    <row r="141" spans="22:27" ht="16.8" thickBot="1">
      <c r="V141" s="6" t="s">
        <v>355</v>
      </c>
      <c r="W141" s="6" t="s">
        <v>38</v>
      </c>
      <c r="X141" s="6" t="s">
        <v>430</v>
      </c>
      <c r="Y141" s="28" t="s">
        <v>385</v>
      </c>
      <c r="Z141" s="49">
        <v>0</v>
      </c>
      <c r="AA141" s="49">
        <v>42</v>
      </c>
    </row>
    <row r="142" spans="22:27" ht="16.8" thickBot="1">
      <c r="V142" s="6" t="s">
        <v>355</v>
      </c>
      <c r="W142" s="6" t="s">
        <v>37</v>
      </c>
      <c r="X142" s="6" t="s">
        <v>430</v>
      </c>
      <c r="Y142" s="28" t="s">
        <v>385</v>
      </c>
      <c r="Z142" s="49">
        <v>0</v>
      </c>
      <c r="AA142" s="49">
        <v>463</v>
      </c>
    </row>
    <row r="143" spans="22:27" ht="16.8" thickBot="1">
      <c r="V143" s="6" t="s">
        <v>355</v>
      </c>
      <c r="W143" s="6" t="s">
        <v>38</v>
      </c>
      <c r="X143" s="6" t="s">
        <v>434</v>
      </c>
      <c r="Y143" s="28" t="s">
        <v>383</v>
      </c>
      <c r="Z143" s="49">
        <v>0</v>
      </c>
      <c r="AA143" s="49">
        <v>42</v>
      </c>
    </row>
    <row r="144" spans="22:27" ht="16.8" thickBot="1">
      <c r="V144" s="6" t="s">
        <v>355</v>
      </c>
      <c r="W144" s="6" t="s">
        <v>37</v>
      </c>
      <c r="X144" s="6" t="s">
        <v>434</v>
      </c>
      <c r="Y144" s="28" t="s">
        <v>383</v>
      </c>
      <c r="Z144" s="49">
        <v>0</v>
      </c>
      <c r="AA144" s="49">
        <v>463</v>
      </c>
    </row>
    <row r="145" spans="22:27" ht="16.8" thickBot="1">
      <c r="V145" s="6" t="s">
        <v>355</v>
      </c>
      <c r="W145" s="6" t="s">
        <v>38</v>
      </c>
      <c r="X145" s="6" t="s">
        <v>434</v>
      </c>
      <c r="Y145" s="28" t="s">
        <v>384</v>
      </c>
      <c r="Z145" s="49">
        <v>0</v>
      </c>
      <c r="AA145" s="49">
        <v>42</v>
      </c>
    </row>
    <row r="146" spans="22:27" ht="16.8" thickBot="1">
      <c r="V146" s="6" t="s">
        <v>355</v>
      </c>
      <c r="W146" s="6" t="s">
        <v>37</v>
      </c>
      <c r="X146" s="6" t="s">
        <v>434</v>
      </c>
      <c r="Y146" s="28" t="s">
        <v>384</v>
      </c>
      <c r="Z146" s="49">
        <v>345</v>
      </c>
      <c r="AA146" s="49">
        <v>463</v>
      </c>
    </row>
    <row r="147" spans="22:27" ht="16.8" thickBot="1">
      <c r="V147" s="6" t="s">
        <v>355</v>
      </c>
      <c r="W147" s="6" t="s">
        <v>38</v>
      </c>
      <c r="X147" s="6" t="s">
        <v>444</v>
      </c>
      <c r="Y147" s="28" t="s">
        <v>383</v>
      </c>
      <c r="Z147" s="49">
        <v>36</v>
      </c>
      <c r="AA147" s="49">
        <v>42</v>
      </c>
    </row>
    <row r="148" spans="22:27" ht="16.8" thickBot="1">
      <c r="V148" s="6" t="s">
        <v>355</v>
      </c>
      <c r="W148" s="6" t="s">
        <v>37</v>
      </c>
      <c r="X148" s="6" t="s">
        <v>444</v>
      </c>
      <c r="Y148" s="28" t="s">
        <v>383</v>
      </c>
      <c r="Z148" s="49">
        <v>86</v>
      </c>
      <c r="AA148" s="49">
        <v>463</v>
      </c>
    </row>
    <row r="149" spans="22:27" ht="16.8" thickBot="1">
      <c r="V149" s="6" t="s">
        <v>355</v>
      </c>
      <c r="W149" s="6" t="s">
        <v>38</v>
      </c>
      <c r="X149" s="6" t="s">
        <v>444</v>
      </c>
      <c r="Y149" s="28" t="s">
        <v>384</v>
      </c>
      <c r="Z149" s="49">
        <v>0</v>
      </c>
      <c r="AA149" s="49">
        <v>42</v>
      </c>
    </row>
    <row r="150" spans="22:27" ht="16.8" thickBot="1">
      <c r="V150" s="6" t="s">
        <v>355</v>
      </c>
      <c r="W150" s="6" t="s">
        <v>37</v>
      </c>
      <c r="X150" s="6" t="s">
        <v>444</v>
      </c>
      <c r="Y150" s="28" t="s">
        <v>384</v>
      </c>
      <c r="Z150" s="49">
        <v>358</v>
      </c>
      <c r="AA150" s="49">
        <v>463</v>
      </c>
    </row>
    <row r="151" spans="22:27" ht="16.8" thickBot="1">
      <c r="V151" s="6" t="s">
        <v>355</v>
      </c>
      <c r="W151" s="6" t="s">
        <v>38</v>
      </c>
      <c r="X151" s="6" t="s">
        <v>444</v>
      </c>
      <c r="Y151" s="28" t="s">
        <v>385</v>
      </c>
      <c r="Z151" s="49">
        <v>0</v>
      </c>
      <c r="AA151" s="49">
        <v>42</v>
      </c>
    </row>
    <row r="152" spans="22:27" ht="16.8" thickBot="1">
      <c r="V152" s="6" t="s">
        <v>355</v>
      </c>
      <c r="W152" s="6" t="s">
        <v>37</v>
      </c>
      <c r="X152" s="6" t="s">
        <v>444</v>
      </c>
      <c r="Y152" s="28" t="s">
        <v>385</v>
      </c>
      <c r="Z152" s="49">
        <v>0</v>
      </c>
      <c r="AA152" s="49">
        <v>463</v>
      </c>
    </row>
    <row r="153" spans="22:27" ht="16.8" thickBot="1">
      <c r="V153" s="6" t="s">
        <v>355</v>
      </c>
      <c r="W153" s="6" t="s">
        <v>38</v>
      </c>
      <c r="X153" s="6" t="s">
        <v>443</v>
      </c>
      <c r="Y153" s="28" t="s">
        <v>383</v>
      </c>
      <c r="Z153" s="49">
        <v>0</v>
      </c>
      <c r="AA153" s="49">
        <v>42</v>
      </c>
    </row>
    <row r="154" spans="22:27" ht="16.8" thickBot="1">
      <c r="V154" s="6" t="s">
        <v>355</v>
      </c>
      <c r="W154" s="6" t="s">
        <v>37</v>
      </c>
      <c r="X154" s="6" t="s">
        <v>443</v>
      </c>
      <c r="Y154" s="28" t="s">
        <v>383</v>
      </c>
      <c r="Z154" s="49">
        <v>0</v>
      </c>
      <c r="AA154" s="49">
        <v>463</v>
      </c>
    </row>
    <row r="155" spans="22:27" ht="16.8" thickBot="1">
      <c r="V155" s="6" t="s">
        <v>355</v>
      </c>
      <c r="W155" s="6" t="s">
        <v>38</v>
      </c>
      <c r="X155" s="6" t="s">
        <v>443</v>
      </c>
      <c r="Y155" s="28" t="s">
        <v>384</v>
      </c>
      <c r="Z155" s="49">
        <v>0</v>
      </c>
      <c r="AA155" s="49">
        <v>42</v>
      </c>
    </row>
    <row r="156" spans="22:27" ht="16.8" thickBot="1">
      <c r="V156" s="6" t="s">
        <v>355</v>
      </c>
      <c r="W156" s="6" t="s">
        <v>37</v>
      </c>
      <c r="X156" s="6" t="s">
        <v>443</v>
      </c>
      <c r="Y156" s="28" t="s">
        <v>384</v>
      </c>
      <c r="Z156" s="49">
        <v>0</v>
      </c>
      <c r="AA156" s="49">
        <v>463</v>
      </c>
    </row>
    <row r="157" spans="22:27" ht="16.8" thickBot="1">
      <c r="V157" s="6" t="s">
        <v>355</v>
      </c>
      <c r="W157" s="6" t="s">
        <v>38</v>
      </c>
      <c r="X157" s="6" t="s">
        <v>404</v>
      </c>
      <c r="Y157" s="28" t="s">
        <v>383</v>
      </c>
      <c r="Z157" s="49">
        <v>0</v>
      </c>
      <c r="AA157" s="49">
        <v>42</v>
      </c>
    </row>
    <row r="158" spans="22:27" ht="16.8" thickBot="1">
      <c r="V158" s="6" t="s">
        <v>355</v>
      </c>
      <c r="W158" s="6" t="s">
        <v>37</v>
      </c>
      <c r="X158" s="6" t="s">
        <v>404</v>
      </c>
      <c r="Y158" s="28" t="s">
        <v>383</v>
      </c>
      <c r="Z158" s="49">
        <v>0</v>
      </c>
      <c r="AA158" s="49">
        <v>463</v>
      </c>
    </row>
    <row r="159" spans="22:27" ht="16.8" thickBot="1">
      <c r="V159" s="6" t="s">
        <v>355</v>
      </c>
      <c r="W159" s="6" t="s">
        <v>38</v>
      </c>
      <c r="X159" s="6" t="s">
        <v>438</v>
      </c>
      <c r="Y159" s="28" t="s">
        <v>385</v>
      </c>
      <c r="Z159" s="49">
        <v>0</v>
      </c>
      <c r="AA159" s="49">
        <v>42</v>
      </c>
    </row>
    <row r="160" spans="22:27" ht="16.2" customHeight="1" thickBot="1">
      <c r="V160" s="6" t="s">
        <v>355</v>
      </c>
      <c r="W160" s="6" t="s">
        <v>37</v>
      </c>
      <c r="X160" s="6" t="s">
        <v>438</v>
      </c>
      <c r="Y160" s="28" t="s">
        <v>385</v>
      </c>
      <c r="Z160" s="49">
        <v>0</v>
      </c>
      <c r="AA160" s="49">
        <v>463</v>
      </c>
    </row>
    <row r="161" spans="22:27" ht="16.2" customHeight="1" thickBot="1">
      <c r="V161" s="6" t="s">
        <v>355</v>
      </c>
      <c r="W161" s="6" t="s">
        <v>35</v>
      </c>
      <c r="X161" s="6" t="s">
        <v>405</v>
      </c>
      <c r="Y161" s="28" t="s">
        <v>383</v>
      </c>
      <c r="Z161" s="49">
        <v>0</v>
      </c>
      <c r="AA161" s="49">
        <v>1464871</v>
      </c>
    </row>
    <row r="162" spans="22:27" ht="16.2" customHeight="1" thickBot="1">
      <c r="V162" s="6" t="s">
        <v>355</v>
      </c>
      <c r="W162" s="6" t="s">
        <v>35</v>
      </c>
      <c r="X162" s="6" t="s">
        <v>405</v>
      </c>
      <c r="Y162" s="28" t="s">
        <v>384</v>
      </c>
      <c r="Z162" s="49">
        <v>0</v>
      </c>
      <c r="AA162" s="49">
        <v>1464871</v>
      </c>
    </row>
    <row r="163" spans="22:27" ht="16.8" thickBot="1">
      <c r="V163" s="6" t="s">
        <v>355</v>
      </c>
      <c r="W163" s="6" t="s">
        <v>35</v>
      </c>
      <c r="X163" s="6" t="s">
        <v>382</v>
      </c>
      <c r="Y163" s="28" t="s">
        <v>383</v>
      </c>
      <c r="Z163" s="49">
        <v>0</v>
      </c>
      <c r="AA163" s="49">
        <v>1464871</v>
      </c>
    </row>
    <row r="164" spans="22:27" ht="16.8" thickBot="1">
      <c r="V164" s="6" t="s">
        <v>355</v>
      </c>
      <c r="W164" s="6" t="s">
        <v>35</v>
      </c>
      <c r="X164" s="6" t="s">
        <v>382</v>
      </c>
      <c r="Y164" s="28" t="s">
        <v>384</v>
      </c>
      <c r="Z164" s="49">
        <v>0</v>
      </c>
      <c r="AA164" s="49">
        <v>1464871</v>
      </c>
    </row>
    <row r="165" spans="22:27" ht="16.8" thickBot="1">
      <c r="V165" s="6" t="s">
        <v>355</v>
      </c>
      <c r="W165" s="6" t="s">
        <v>35</v>
      </c>
      <c r="X165" s="6" t="s">
        <v>408</v>
      </c>
      <c r="Y165" s="28" t="s">
        <v>383</v>
      </c>
      <c r="Z165" s="49">
        <v>8746</v>
      </c>
      <c r="AA165" s="49">
        <v>1464871</v>
      </c>
    </row>
    <row r="166" spans="22:27" ht="16.8" thickBot="1">
      <c r="V166" s="6" t="s">
        <v>355</v>
      </c>
      <c r="W166" s="6" t="s">
        <v>35</v>
      </c>
      <c r="X166" s="6" t="s">
        <v>408</v>
      </c>
      <c r="Y166" s="28" t="s">
        <v>384</v>
      </c>
      <c r="Z166" s="49">
        <v>0</v>
      </c>
      <c r="AA166" s="49">
        <v>1464871</v>
      </c>
    </row>
    <row r="167" spans="22:27" ht="16.8" thickBot="1">
      <c r="V167" s="6" t="s">
        <v>355</v>
      </c>
      <c r="W167" s="6" t="s">
        <v>35</v>
      </c>
      <c r="X167" s="6" t="s">
        <v>409</v>
      </c>
      <c r="Y167" s="28" t="s">
        <v>383</v>
      </c>
      <c r="Z167" s="49">
        <v>0</v>
      </c>
      <c r="AA167" s="49">
        <v>1464871</v>
      </c>
    </row>
    <row r="168" spans="22:27" ht="16.8" thickBot="1">
      <c r="V168" s="6" t="s">
        <v>355</v>
      </c>
      <c r="W168" s="6" t="s">
        <v>35</v>
      </c>
      <c r="X168" s="6" t="s">
        <v>409</v>
      </c>
      <c r="Y168" s="28" t="s">
        <v>384</v>
      </c>
      <c r="Z168" s="49">
        <v>0</v>
      </c>
      <c r="AA168" s="49">
        <v>1464871</v>
      </c>
    </row>
    <row r="169" spans="22:27" ht="16.8" thickBot="1">
      <c r="V169" s="6" t="s">
        <v>355</v>
      </c>
      <c r="W169" s="6" t="s">
        <v>35</v>
      </c>
      <c r="X169" s="6" t="s">
        <v>410</v>
      </c>
      <c r="Y169" s="28" t="s">
        <v>383</v>
      </c>
      <c r="Z169" s="49">
        <v>7118</v>
      </c>
      <c r="AA169" s="49">
        <v>1464871</v>
      </c>
    </row>
    <row r="170" spans="22:27" ht="16.8" thickBot="1">
      <c r="V170" s="6" t="s">
        <v>355</v>
      </c>
      <c r="W170" s="6" t="s">
        <v>35</v>
      </c>
      <c r="X170" s="6" t="s">
        <v>410</v>
      </c>
      <c r="Y170" s="28" t="s">
        <v>384</v>
      </c>
      <c r="Z170" s="49">
        <v>3723</v>
      </c>
      <c r="AA170" s="49">
        <v>1464871</v>
      </c>
    </row>
    <row r="171" spans="22:27" ht="16.8" thickBot="1">
      <c r="V171" s="6" t="s">
        <v>355</v>
      </c>
      <c r="W171" s="6" t="s">
        <v>35</v>
      </c>
      <c r="X171" s="6" t="s">
        <v>432</v>
      </c>
      <c r="Y171" s="28" t="s">
        <v>383</v>
      </c>
      <c r="Z171" s="49">
        <v>0</v>
      </c>
      <c r="AA171" s="49">
        <v>1464871</v>
      </c>
    </row>
    <row r="172" spans="22:27" ht="16.8" thickBot="1">
      <c r="V172" s="6" t="s">
        <v>355</v>
      </c>
      <c r="W172" s="6" t="s">
        <v>35</v>
      </c>
      <c r="X172" s="6" t="s">
        <v>432</v>
      </c>
      <c r="Y172" s="28" t="s">
        <v>384</v>
      </c>
      <c r="Z172" s="49">
        <v>0</v>
      </c>
      <c r="AA172" s="49">
        <v>1464871</v>
      </c>
    </row>
    <row r="173" spans="22:27" ht="16.8" thickBot="1">
      <c r="V173" s="6" t="s">
        <v>355</v>
      </c>
      <c r="W173" s="6" t="s">
        <v>35</v>
      </c>
      <c r="X173" s="6" t="s">
        <v>436</v>
      </c>
      <c r="Y173" s="28" t="s">
        <v>383</v>
      </c>
      <c r="Z173" s="49">
        <v>0</v>
      </c>
      <c r="AA173" s="49">
        <v>1464871</v>
      </c>
    </row>
    <row r="174" spans="22:27" ht="16.8" thickBot="1">
      <c r="V174" s="6" t="s">
        <v>355</v>
      </c>
      <c r="W174" s="6" t="s">
        <v>35</v>
      </c>
      <c r="X174" s="6" t="s">
        <v>436</v>
      </c>
      <c r="Y174" s="28" t="s">
        <v>384</v>
      </c>
      <c r="Z174" s="49">
        <v>0</v>
      </c>
      <c r="AA174" s="49">
        <v>1464871</v>
      </c>
    </row>
    <row r="175" spans="22:27" ht="16.8" thickBot="1">
      <c r="V175" s="6" t="s">
        <v>355</v>
      </c>
      <c r="W175" s="6" t="s">
        <v>35</v>
      </c>
      <c r="X175" s="6" t="s">
        <v>437</v>
      </c>
      <c r="Y175" s="28" t="s">
        <v>383</v>
      </c>
      <c r="Z175" s="49">
        <v>0</v>
      </c>
      <c r="AA175" s="49">
        <v>1464871</v>
      </c>
    </row>
    <row r="176" spans="22:27" ht="16.8" thickBot="1">
      <c r="V176" s="6" t="s">
        <v>355</v>
      </c>
      <c r="W176" s="6" t="s">
        <v>35</v>
      </c>
      <c r="X176" s="6" t="s">
        <v>437</v>
      </c>
      <c r="Y176" s="28" t="s">
        <v>384</v>
      </c>
      <c r="Z176" s="49">
        <v>0</v>
      </c>
      <c r="AA176" s="49">
        <v>1464871</v>
      </c>
    </row>
    <row r="177" spans="22:27" ht="16.8" thickBot="1">
      <c r="V177" s="6" t="s">
        <v>355</v>
      </c>
      <c r="W177" s="6" t="s">
        <v>35</v>
      </c>
      <c r="X177" s="6" t="s">
        <v>441</v>
      </c>
      <c r="Y177" s="28" t="s">
        <v>383</v>
      </c>
      <c r="Z177" s="49">
        <v>0</v>
      </c>
      <c r="AA177" s="49">
        <v>1464871</v>
      </c>
    </row>
    <row r="178" spans="22:27" ht="16.8" thickBot="1">
      <c r="V178" s="6" t="s">
        <v>355</v>
      </c>
      <c r="W178" s="6" t="s">
        <v>35</v>
      </c>
      <c r="X178" s="6" t="s">
        <v>441</v>
      </c>
      <c r="Y178" s="28" t="s">
        <v>384</v>
      </c>
      <c r="Z178" s="49">
        <v>0</v>
      </c>
      <c r="AA178" s="49">
        <v>1464871</v>
      </c>
    </row>
    <row r="179" spans="22:27" ht="16.8" thickBot="1">
      <c r="V179" s="6" t="s">
        <v>355</v>
      </c>
      <c r="W179" s="6" t="s">
        <v>35</v>
      </c>
      <c r="X179" s="6" t="s">
        <v>442</v>
      </c>
      <c r="Y179" s="28" t="s">
        <v>383</v>
      </c>
      <c r="Z179" s="49">
        <v>0</v>
      </c>
      <c r="AA179" s="49">
        <v>1464871</v>
      </c>
    </row>
    <row r="180" spans="22:27" ht="16.8" thickBot="1">
      <c r="V180" s="6" t="s">
        <v>355</v>
      </c>
      <c r="W180" s="6" t="s">
        <v>35</v>
      </c>
      <c r="X180" s="6" t="s">
        <v>442</v>
      </c>
      <c r="Y180" s="28" t="s">
        <v>384</v>
      </c>
      <c r="Z180" s="49">
        <v>0</v>
      </c>
      <c r="AA180" s="49">
        <v>1464871</v>
      </c>
    </row>
    <row r="181" spans="22:27" ht="16.8" thickBot="1">
      <c r="V181" s="6" t="s">
        <v>355</v>
      </c>
      <c r="W181" s="6" t="s">
        <v>35</v>
      </c>
      <c r="X181" s="6" t="s">
        <v>412</v>
      </c>
      <c r="Y181" s="28" t="s">
        <v>383</v>
      </c>
      <c r="Z181" s="49">
        <v>0</v>
      </c>
      <c r="AA181" s="49">
        <v>1464871</v>
      </c>
    </row>
    <row r="182" spans="22:27" ht="16.8" thickBot="1">
      <c r="V182" s="6" t="s">
        <v>355</v>
      </c>
      <c r="W182" s="6" t="s">
        <v>35</v>
      </c>
      <c r="X182" s="6" t="s">
        <v>412</v>
      </c>
      <c r="Y182" s="28" t="s">
        <v>384</v>
      </c>
      <c r="Z182" s="49">
        <v>1464824</v>
      </c>
      <c r="AA182" s="49">
        <v>1464871</v>
      </c>
    </row>
    <row r="183" spans="22:27" ht="16.8" thickBot="1">
      <c r="V183" s="6" t="s">
        <v>355</v>
      </c>
      <c r="W183" s="6" t="s">
        <v>35</v>
      </c>
      <c r="X183" s="6" t="s">
        <v>386</v>
      </c>
      <c r="Y183" s="28" t="s">
        <v>383</v>
      </c>
      <c r="Z183" s="49">
        <v>124639</v>
      </c>
      <c r="AA183" s="49">
        <v>1464871</v>
      </c>
    </row>
    <row r="184" spans="22:27" ht="16.8" thickBot="1">
      <c r="V184" s="6" t="s">
        <v>355</v>
      </c>
      <c r="W184" s="6" t="s">
        <v>35</v>
      </c>
      <c r="X184" s="6" t="s">
        <v>386</v>
      </c>
      <c r="Y184" s="28" t="s">
        <v>384</v>
      </c>
      <c r="Z184" s="49">
        <v>0</v>
      </c>
      <c r="AA184" s="49">
        <v>1464871</v>
      </c>
    </row>
    <row r="185" spans="22:27" ht="16.8" thickBot="1">
      <c r="V185" s="6" t="s">
        <v>355</v>
      </c>
      <c r="W185" s="6" t="s">
        <v>35</v>
      </c>
      <c r="X185" s="6" t="s">
        <v>405</v>
      </c>
      <c r="Y185" s="28" t="s">
        <v>385</v>
      </c>
      <c r="Z185" s="49">
        <v>0</v>
      </c>
      <c r="AA185" s="49">
        <v>1464871</v>
      </c>
    </row>
    <row r="186" spans="22:27" ht="16.8" thickBot="1">
      <c r="V186" s="6" t="s">
        <v>355</v>
      </c>
      <c r="W186" s="6" t="s">
        <v>35</v>
      </c>
      <c r="X186" s="6" t="s">
        <v>382</v>
      </c>
      <c r="Y186" s="28" t="s">
        <v>385</v>
      </c>
      <c r="Z186" s="49">
        <v>0</v>
      </c>
      <c r="AA186" s="49">
        <v>1464871</v>
      </c>
    </row>
    <row r="187" spans="22:27" ht="16.8" thickBot="1">
      <c r="V187" s="6" t="s">
        <v>355</v>
      </c>
      <c r="W187" s="6" t="s">
        <v>35</v>
      </c>
      <c r="X187" s="6" t="s">
        <v>408</v>
      </c>
      <c r="Y187" s="28" t="s">
        <v>385</v>
      </c>
      <c r="Z187" s="49">
        <v>0</v>
      </c>
      <c r="AA187" s="49">
        <v>1464871</v>
      </c>
    </row>
    <row r="188" spans="22:27" ht="16.8" thickBot="1">
      <c r="V188" s="6" t="s">
        <v>355</v>
      </c>
      <c r="W188" s="6" t="s">
        <v>35</v>
      </c>
      <c r="X188" s="6" t="s">
        <v>409</v>
      </c>
      <c r="Y188" s="28" t="s">
        <v>385</v>
      </c>
      <c r="Z188" s="49">
        <v>0</v>
      </c>
      <c r="AA188" s="49">
        <v>1464871</v>
      </c>
    </row>
    <row r="189" spans="22:27" ht="16.8" thickBot="1">
      <c r="V189" s="6" t="s">
        <v>355</v>
      </c>
      <c r="W189" s="6" t="s">
        <v>35</v>
      </c>
      <c r="X189" s="6" t="s">
        <v>410</v>
      </c>
      <c r="Y189" s="28" t="s">
        <v>385</v>
      </c>
      <c r="Z189" s="49">
        <v>0</v>
      </c>
      <c r="AA189" s="49">
        <v>1464871</v>
      </c>
    </row>
    <row r="190" spans="22:27" ht="16.8" thickBot="1">
      <c r="V190" s="6" t="s">
        <v>355</v>
      </c>
      <c r="W190" s="6" t="s">
        <v>35</v>
      </c>
      <c r="X190" s="6" t="s">
        <v>432</v>
      </c>
      <c r="Y190" s="28" t="s">
        <v>385</v>
      </c>
      <c r="Z190" s="49">
        <v>0</v>
      </c>
      <c r="AA190" s="49">
        <v>1464871</v>
      </c>
    </row>
    <row r="191" spans="22:27" ht="16.8" thickBot="1">
      <c r="V191" s="6" t="s">
        <v>355</v>
      </c>
      <c r="W191" s="6" t="s">
        <v>35</v>
      </c>
      <c r="X191" s="6" t="s">
        <v>436</v>
      </c>
      <c r="Y191" s="28" t="s">
        <v>385</v>
      </c>
      <c r="Z191" s="49">
        <v>0</v>
      </c>
      <c r="AA191" s="49">
        <v>1464871</v>
      </c>
    </row>
    <row r="192" spans="22:27" ht="16.8" thickBot="1">
      <c r="V192" s="6" t="s">
        <v>355</v>
      </c>
      <c r="W192" s="6" t="s">
        <v>35</v>
      </c>
      <c r="X192" s="6" t="s">
        <v>437</v>
      </c>
      <c r="Y192" s="28" t="s">
        <v>385</v>
      </c>
      <c r="Z192" s="49">
        <v>0</v>
      </c>
      <c r="AA192" s="49">
        <v>1464871</v>
      </c>
    </row>
    <row r="193" spans="22:27" ht="16.8" thickBot="1">
      <c r="V193" s="6" t="s">
        <v>355</v>
      </c>
      <c r="W193" s="6" t="s">
        <v>35</v>
      </c>
      <c r="X193" s="6" t="s">
        <v>441</v>
      </c>
      <c r="Y193" s="28" t="s">
        <v>385</v>
      </c>
      <c r="Z193" s="49">
        <v>0</v>
      </c>
      <c r="AA193" s="49">
        <v>1464871</v>
      </c>
    </row>
    <row r="194" spans="22:27" ht="16.8" thickBot="1">
      <c r="V194" s="6" t="s">
        <v>355</v>
      </c>
      <c r="W194" s="6" t="s">
        <v>35</v>
      </c>
      <c r="X194" s="6" t="s">
        <v>442</v>
      </c>
      <c r="Y194" s="28" t="s">
        <v>385</v>
      </c>
      <c r="Z194" s="49">
        <v>0</v>
      </c>
      <c r="AA194" s="49">
        <v>1464871</v>
      </c>
    </row>
    <row r="195" spans="22:27" ht="16.8" thickBot="1">
      <c r="V195" s="6" t="s">
        <v>355</v>
      </c>
      <c r="W195" s="6" t="s">
        <v>35</v>
      </c>
      <c r="X195" s="6" t="s">
        <v>412</v>
      </c>
      <c r="Y195" s="28" t="s">
        <v>385</v>
      </c>
      <c r="Z195" s="49">
        <v>0</v>
      </c>
      <c r="AA195" s="49">
        <v>1464871</v>
      </c>
    </row>
    <row r="196" spans="22:27" ht="16.8" thickBot="1">
      <c r="V196" s="6" t="s">
        <v>355</v>
      </c>
      <c r="W196" s="6" t="s">
        <v>35</v>
      </c>
      <c r="X196" s="6" t="s">
        <v>386</v>
      </c>
      <c r="Y196" s="28" t="s">
        <v>385</v>
      </c>
      <c r="Z196" s="49">
        <v>0</v>
      </c>
      <c r="AA196" s="49">
        <v>1464871</v>
      </c>
    </row>
    <row r="197" spans="22:27" ht="16.8" thickBot="1">
      <c r="V197" s="6" t="s">
        <v>355</v>
      </c>
      <c r="W197" s="6" t="s">
        <v>35</v>
      </c>
      <c r="X197" s="6" t="s">
        <v>428</v>
      </c>
      <c r="Y197" s="28" t="s">
        <v>383</v>
      </c>
      <c r="Z197" s="49">
        <v>0</v>
      </c>
      <c r="AA197" s="49">
        <v>1464871</v>
      </c>
    </row>
    <row r="198" spans="22:27" ht="16.8" thickBot="1">
      <c r="V198" s="6" t="s">
        <v>355</v>
      </c>
      <c r="W198" s="6" t="s">
        <v>35</v>
      </c>
      <c r="X198" s="6" t="s">
        <v>428</v>
      </c>
      <c r="Y198" s="28" t="s">
        <v>384</v>
      </c>
      <c r="Z198" s="49">
        <v>0</v>
      </c>
      <c r="AA198" s="49">
        <v>1464871</v>
      </c>
    </row>
    <row r="199" spans="22:27" ht="16.8" thickBot="1">
      <c r="V199" s="6" t="s">
        <v>355</v>
      </c>
      <c r="W199" s="6" t="s">
        <v>35</v>
      </c>
      <c r="X199" s="6" t="s">
        <v>430</v>
      </c>
      <c r="Y199" s="28" t="s">
        <v>383</v>
      </c>
      <c r="Z199" s="49">
        <v>0</v>
      </c>
      <c r="AA199" s="49">
        <v>1464871</v>
      </c>
    </row>
    <row r="200" spans="22:27" ht="16.8" thickBot="1">
      <c r="V200" s="6" t="s">
        <v>355</v>
      </c>
      <c r="W200" s="6" t="s">
        <v>35</v>
      </c>
      <c r="X200" s="6" t="s">
        <v>430</v>
      </c>
      <c r="Y200" s="28" t="s">
        <v>384</v>
      </c>
      <c r="Z200" s="49">
        <v>0</v>
      </c>
      <c r="AA200" s="49">
        <v>1464871</v>
      </c>
    </row>
    <row r="201" spans="22:27" ht="16.8" thickBot="1">
      <c r="V201" s="6" t="s">
        <v>355</v>
      </c>
      <c r="W201" s="6" t="s">
        <v>35</v>
      </c>
      <c r="X201" s="6" t="s">
        <v>430</v>
      </c>
      <c r="Y201" s="28" t="s">
        <v>385</v>
      </c>
      <c r="Z201" s="49">
        <v>0</v>
      </c>
      <c r="AA201" s="49">
        <v>1464871</v>
      </c>
    </row>
    <row r="202" spans="22:27" ht="16.8" thickBot="1">
      <c r="V202" s="6" t="s">
        <v>355</v>
      </c>
      <c r="W202" s="6" t="s">
        <v>35</v>
      </c>
      <c r="X202" s="6" t="s">
        <v>434</v>
      </c>
      <c r="Y202" s="28" t="s">
        <v>383</v>
      </c>
      <c r="Z202" s="49">
        <v>0</v>
      </c>
      <c r="AA202" s="49">
        <v>1464871</v>
      </c>
    </row>
    <row r="203" spans="22:27" ht="16.8" thickBot="1">
      <c r="V203" s="6" t="s">
        <v>355</v>
      </c>
      <c r="W203" s="6" t="s">
        <v>35</v>
      </c>
      <c r="X203" s="6" t="s">
        <v>434</v>
      </c>
      <c r="Y203" s="28" t="s">
        <v>384</v>
      </c>
      <c r="Z203" s="49">
        <v>0</v>
      </c>
      <c r="AA203" s="49">
        <v>1464871</v>
      </c>
    </row>
    <row r="204" spans="22:27" ht="16.8" thickBot="1">
      <c r="V204" s="6" t="s">
        <v>355</v>
      </c>
      <c r="W204" s="6" t="s">
        <v>35</v>
      </c>
      <c r="X204" s="6" t="s">
        <v>444</v>
      </c>
      <c r="Y204" s="28" t="s">
        <v>383</v>
      </c>
      <c r="Z204" s="49">
        <v>0</v>
      </c>
      <c r="AA204" s="49">
        <v>1464871</v>
      </c>
    </row>
    <row r="205" spans="22:27" ht="16.8" thickBot="1">
      <c r="V205" s="6" t="s">
        <v>355</v>
      </c>
      <c r="W205" s="6" t="s">
        <v>35</v>
      </c>
      <c r="X205" s="6" t="s">
        <v>444</v>
      </c>
      <c r="Y205" s="28" t="s">
        <v>384</v>
      </c>
      <c r="Z205" s="49">
        <v>0</v>
      </c>
      <c r="AA205" s="49">
        <v>1464871</v>
      </c>
    </row>
    <row r="206" spans="22:27" ht="16.8" thickBot="1">
      <c r="V206" s="6" t="s">
        <v>355</v>
      </c>
      <c r="W206" s="6" t="s">
        <v>35</v>
      </c>
      <c r="X206" s="6" t="s">
        <v>444</v>
      </c>
      <c r="Y206" s="28" t="s">
        <v>385</v>
      </c>
      <c r="Z206" s="49">
        <v>0</v>
      </c>
      <c r="AA206" s="49">
        <v>1464871</v>
      </c>
    </row>
    <row r="207" spans="22:27" ht="16.8" thickBot="1">
      <c r="V207" s="6" t="s">
        <v>355</v>
      </c>
      <c r="W207" s="6" t="s">
        <v>35</v>
      </c>
      <c r="X207" s="6" t="s">
        <v>443</v>
      </c>
      <c r="Y207" s="28" t="s">
        <v>383</v>
      </c>
      <c r="Z207" s="49">
        <v>0</v>
      </c>
      <c r="AA207" s="49">
        <v>1464871</v>
      </c>
    </row>
    <row r="208" spans="22:27" ht="16.8" thickBot="1">
      <c r="V208" s="6" t="s">
        <v>355</v>
      </c>
      <c r="W208" s="6" t="s">
        <v>35</v>
      </c>
      <c r="X208" s="6" t="s">
        <v>443</v>
      </c>
      <c r="Y208" s="28" t="s">
        <v>384</v>
      </c>
      <c r="Z208" s="49">
        <v>0</v>
      </c>
      <c r="AA208" s="49">
        <v>1464871</v>
      </c>
    </row>
    <row r="209" spans="22:27" ht="16.8" thickBot="1">
      <c r="V209" s="6" t="s">
        <v>355</v>
      </c>
      <c r="W209" s="6" t="s">
        <v>35</v>
      </c>
      <c r="X209" s="6" t="s">
        <v>404</v>
      </c>
      <c r="Y209" s="28" t="s">
        <v>383</v>
      </c>
      <c r="Z209" s="49">
        <v>0</v>
      </c>
      <c r="AA209" s="49">
        <v>1464871</v>
      </c>
    </row>
    <row r="210" spans="22:27" ht="16.8" thickBot="1">
      <c r="V210" s="6" t="s">
        <v>355</v>
      </c>
      <c r="W210" s="6" t="s">
        <v>35</v>
      </c>
      <c r="X210" s="6" t="s">
        <v>438</v>
      </c>
      <c r="Y210" s="28" t="s">
        <v>385</v>
      </c>
      <c r="Z210" s="49">
        <v>0</v>
      </c>
      <c r="AA210" s="49">
        <v>1464871</v>
      </c>
    </row>
    <row r="211" spans="22:27" ht="16.8" thickBot="1">
      <c r="V211" s="6" t="s">
        <v>355</v>
      </c>
      <c r="W211" s="6" t="s">
        <v>36</v>
      </c>
      <c r="X211" s="6" t="s">
        <v>405</v>
      </c>
      <c r="Y211" s="28" t="s">
        <v>383</v>
      </c>
      <c r="Z211" s="49">
        <v>0</v>
      </c>
      <c r="AA211" s="49">
        <v>843</v>
      </c>
    </row>
    <row r="212" spans="22:27" ht="16.8" thickBot="1">
      <c r="V212" s="6" t="s">
        <v>355</v>
      </c>
      <c r="W212" s="6" t="s">
        <v>36</v>
      </c>
      <c r="X212" s="6" t="s">
        <v>405</v>
      </c>
      <c r="Y212" s="28" t="s">
        <v>384</v>
      </c>
      <c r="Z212" s="49">
        <v>0</v>
      </c>
      <c r="AA212" s="49">
        <v>843</v>
      </c>
    </row>
    <row r="213" spans="22:27" ht="16.8" thickBot="1">
      <c r="V213" s="6" t="s">
        <v>355</v>
      </c>
      <c r="W213" s="6" t="s">
        <v>36</v>
      </c>
      <c r="X213" s="6" t="s">
        <v>382</v>
      </c>
      <c r="Y213" s="28" t="s">
        <v>383</v>
      </c>
      <c r="Z213" s="49">
        <v>0</v>
      </c>
      <c r="AA213" s="49">
        <v>843</v>
      </c>
    </row>
    <row r="214" spans="22:27" ht="16.8" thickBot="1">
      <c r="V214" s="6" t="s">
        <v>355</v>
      </c>
      <c r="W214" s="6" t="s">
        <v>36</v>
      </c>
      <c r="X214" s="6" t="s">
        <v>382</v>
      </c>
      <c r="Y214" s="28" t="s">
        <v>384</v>
      </c>
      <c r="Z214" s="49">
        <v>0</v>
      </c>
      <c r="AA214" s="49">
        <v>843</v>
      </c>
    </row>
    <row r="215" spans="22:27" ht="16.8" thickBot="1">
      <c r="V215" s="6" t="s">
        <v>355</v>
      </c>
      <c r="W215" s="6" t="s">
        <v>36</v>
      </c>
      <c r="X215" s="6" t="s">
        <v>408</v>
      </c>
      <c r="Y215" s="28" t="s">
        <v>383</v>
      </c>
      <c r="Z215" s="49">
        <v>0</v>
      </c>
      <c r="AA215" s="49">
        <v>843</v>
      </c>
    </row>
    <row r="216" spans="22:27" ht="16.8" thickBot="1">
      <c r="V216" s="6" t="s">
        <v>355</v>
      </c>
      <c r="W216" s="6" t="s">
        <v>36</v>
      </c>
      <c r="X216" s="6" t="s">
        <v>408</v>
      </c>
      <c r="Y216" s="28" t="s">
        <v>384</v>
      </c>
      <c r="Z216" s="49">
        <v>0</v>
      </c>
      <c r="AA216" s="49">
        <v>843</v>
      </c>
    </row>
    <row r="217" spans="22:27" ht="16.8" thickBot="1">
      <c r="V217" s="6" t="s">
        <v>355</v>
      </c>
      <c r="W217" s="6" t="s">
        <v>36</v>
      </c>
      <c r="X217" s="6" t="s">
        <v>409</v>
      </c>
      <c r="Y217" s="28" t="s">
        <v>383</v>
      </c>
      <c r="Z217" s="49">
        <v>496</v>
      </c>
      <c r="AA217" s="49">
        <v>843</v>
      </c>
    </row>
    <row r="218" spans="22:27" ht="16.8" thickBot="1">
      <c r="V218" s="6" t="s">
        <v>355</v>
      </c>
      <c r="W218" s="6" t="s">
        <v>36</v>
      </c>
      <c r="X218" s="6" t="s">
        <v>409</v>
      </c>
      <c r="Y218" s="28" t="s">
        <v>384</v>
      </c>
      <c r="Z218" s="49">
        <v>0</v>
      </c>
      <c r="AA218" s="49">
        <v>843</v>
      </c>
    </row>
    <row r="219" spans="22:27" ht="16.8" thickBot="1">
      <c r="V219" s="6" t="s">
        <v>355</v>
      </c>
      <c r="W219" s="6" t="s">
        <v>36</v>
      </c>
      <c r="X219" s="6" t="s">
        <v>410</v>
      </c>
      <c r="Y219" s="28" t="s">
        <v>383</v>
      </c>
      <c r="Z219" s="49">
        <v>0</v>
      </c>
      <c r="AA219" s="49">
        <v>843</v>
      </c>
    </row>
    <row r="220" spans="22:27" ht="16.8" thickBot="1">
      <c r="V220" s="6" t="s">
        <v>355</v>
      </c>
      <c r="W220" s="6" t="s">
        <v>36</v>
      </c>
      <c r="X220" s="6" t="s">
        <v>410</v>
      </c>
      <c r="Y220" s="28" t="s">
        <v>384</v>
      </c>
      <c r="Z220" s="49">
        <v>0</v>
      </c>
      <c r="AA220" s="49">
        <v>843</v>
      </c>
    </row>
    <row r="221" spans="22:27" ht="16.8" thickBot="1">
      <c r="V221" s="6" t="s">
        <v>355</v>
      </c>
      <c r="W221" s="6" t="s">
        <v>36</v>
      </c>
      <c r="X221" s="6" t="s">
        <v>432</v>
      </c>
      <c r="Y221" s="28" t="s">
        <v>383</v>
      </c>
      <c r="Z221" s="49">
        <v>0</v>
      </c>
      <c r="AA221" s="49">
        <v>843</v>
      </c>
    </row>
    <row r="222" spans="22:27" ht="16.8" thickBot="1">
      <c r="V222" s="6" t="s">
        <v>355</v>
      </c>
      <c r="W222" s="6" t="s">
        <v>36</v>
      </c>
      <c r="X222" s="6" t="s">
        <v>432</v>
      </c>
      <c r="Y222" s="28" t="s">
        <v>384</v>
      </c>
      <c r="Z222" s="49">
        <v>0</v>
      </c>
      <c r="AA222" s="49">
        <v>843</v>
      </c>
    </row>
    <row r="223" spans="22:27" ht="16.8" thickBot="1">
      <c r="V223" s="6" t="s">
        <v>355</v>
      </c>
      <c r="W223" s="6" t="s">
        <v>36</v>
      </c>
      <c r="X223" s="6" t="s">
        <v>436</v>
      </c>
      <c r="Y223" s="28" t="s">
        <v>383</v>
      </c>
      <c r="Z223" s="49">
        <v>0</v>
      </c>
      <c r="AA223" s="49">
        <v>843</v>
      </c>
    </row>
    <row r="224" spans="22:27" ht="16.8" thickBot="1">
      <c r="V224" s="6" t="s">
        <v>355</v>
      </c>
      <c r="W224" s="6" t="s">
        <v>36</v>
      </c>
      <c r="X224" s="6" t="s">
        <v>436</v>
      </c>
      <c r="Y224" s="28" t="s">
        <v>384</v>
      </c>
      <c r="Z224" s="49">
        <v>0</v>
      </c>
      <c r="AA224" s="49">
        <v>843</v>
      </c>
    </row>
    <row r="225" spans="22:27" ht="16.8" thickBot="1">
      <c r="V225" s="6" t="s">
        <v>355</v>
      </c>
      <c r="W225" s="6" t="s">
        <v>36</v>
      </c>
      <c r="X225" s="6" t="s">
        <v>437</v>
      </c>
      <c r="Y225" s="28" t="s">
        <v>383</v>
      </c>
      <c r="Z225" s="49">
        <v>0</v>
      </c>
      <c r="AA225" s="49">
        <v>843</v>
      </c>
    </row>
    <row r="226" spans="22:27" ht="16.8" thickBot="1">
      <c r="V226" s="6" t="s">
        <v>355</v>
      </c>
      <c r="W226" s="6" t="s">
        <v>36</v>
      </c>
      <c r="X226" s="6" t="s">
        <v>437</v>
      </c>
      <c r="Y226" s="28" t="s">
        <v>384</v>
      </c>
      <c r="Z226" s="49">
        <v>0</v>
      </c>
      <c r="AA226" s="49">
        <v>843</v>
      </c>
    </row>
    <row r="227" spans="22:27" ht="16.8" thickBot="1">
      <c r="V227" s="6" t="s">
        <v>355</v>
      </c>
      <c r="W227" s="6" t="s">
        <v>36</v>
      </c>
      <c r="X227" s="6" t="s">
        <v>441</v>
      </c>
      <c r="Y227" s="28" t="s">
        <v>383</v>
      </c>
      <c r="Z227" s="49">
        <v>0</v>
      </c>
      <c r="AA227" s="49">
        <v>843</v>
      </c>
    </row>
    <row r="228" spans="22:27" ht="16.8" thickBot="1">
      <c r="V228" s="6" t="s">
        <v>355</v>
      </c>
      <c r="W228" s="6" t="s">
        <v>36</v>
      </c>
      <c r="X228" s="6" t="s">
        <v>441</v>
      </c>
      <c r="Y228" s="28" t="s">
        <v>384</v>
      </c>
      <c r="Z228" s="49">
        <v>0</v>
      </c>
      <c r="AA228" s="49">
        <v>843</v>
      </c>
    </row>
    <row r="229" spans="22:27" ht="16.8" thickBot="1">
      <c r="V229" s="6" t="s">
        <v>355</v>
      </c>
      <c r="W229" s="6" t="s">
        <v>36</v>
      </c>
      <c r="X229" s="6" t="s">
        <v>442</v>
      </c>
      <c r="Y229" s="28" t="s">
        <v>383</v>
      </c>
      <c r="Z229" s="49">
        <v>0</v>
      </c>
      <c r="AA229" s="49">
        <v>843</v>
      </c>
    </row>
    <row r="230" spans="22:27" ht="16.8" thickBot="1">
      <c r="V230" s="6" t="s">
        <v>355</v>
      </c>
      <c r="W230" s="6" t="s">
        <v>36</v>
      </c>
      <c r="X230" s="6" t="s">
        <v>442</v>
      </c>
      <c r="Y230" s="28" t="s">
        <v>384</v>
      </c>
      <c r="Z230" s="49">
        <v>0</v>
      </c>
      <c r="AA230" s="49">
        <v>843</v>
      </c>
    </row>
    <row r="231" spans="22:27" ht="16.8" thickBot="1">
      <c r="V231" s="6" t="s">
        <v>355</v>
      </c>
      <c r="W231" s="6" t="s">
        <v>36</v>
      </c>
      <c r="X231" s="6" t="s">
        <v>412</v>
      </c>
      <c r="Y231" s="28" t="s">
        <v>383</v>
      </c>
      <c r="Z231" s="49">
        <v>0</v>
      </c>
      <c r="AA231" s="49">
        <v>843</v>
      </c>
    </row>
    <row r="232" spans="22:27" ht="16.8" thickBot="1">
      <c r="V232" s="6" t="s">
        <v>355</v>
      </c>
      <c r="W232" s="6" t="s">
        <v>36</v>
      </c>
      <c r="X232" s="6" t="s">
        <v>412</v>
      </c>
      <c r="Y232" s="28" t="s">
        <v>384</v>
      </c>
      <c r="Z232" s="49">
        <v>816</v>
      </c>
      <c r="AA232" s="49">
        <v>843</v>
      </c>
    </row>
    <row r="233" spans="22:27" ht="16.8" thickBot="1">
      <c r="V233" s="6" t="s">
        <v>355</v>
      </c>
      <c r="W233" s="6" t="s">
        <v>36</v>
      </c>
      <c r="X233" s="6" t="s">
        <v>386</v>
      </c>
      <c r="Y233" s="28" t="s">
        <v>383</v>
      </c>
      <c r="Z233" s="49">
        <v>0</v>
      </c>
      <c r="AA233" s="49">
        <v>843</v>
      </c>
    </row>
    <row r="234" spans="22:27" ht="16.8" thickBot="1">
      <c r="V234" s="6" t="s">
        <v>355</v>
      </c>
      <c r="W234" s="6" t="s">
        <v>36</v>
      </c>
      <c r="X234" s="6" t="s">
        <v>386</v>
      </c>
      <c r="Y234" s="28" t="s">
        <v>384</v>
      </c>
      <c r="Z234" s="49">
        <v>0</v>
      </c>
      <c r="AA234" s="49">
        <v>843</v>
      </c>
    </row>
    <row r="235" spans="22:27" ht="16.8" thickBot="1">
      <c r="V235" s="6" t="s">
        <v>355</v>
      </c>
      <c r="W235" s="6" t="s">
        <v>36</v>
      </c>
      <c r="X235" s="6" t="s">
        <v>405</v>
      </c>
      <c r="Y235" s="28" t="s">
        <v>385</v>
      </c>
      <c r="Z235" s="49">
        <v>0</v>
      </c>
      <c r="AA235" s="49">
        <v>843</v>
      </c>
    </row>
    <row r="236" spans="22:27" ht="16.8" thickBot="1">
      <c r="V236" s="6" t="s">
        <v>355</v>
      </c>
      <c r="W236" s="6" t="s">
        <v>36</v>
      </c>
      <c r="X236" s="6" t="s">
        <v>382</v>
      </c>
      <c r="Y236" s="28" t="s">
        <v>385</v>
      </c>
      <c r="Z236" s="49">
        <v>0</v>
      </c>
      <c r="AA236" s="49">
        <v>843</v>
      </c>
    </row>
    <row r="237" spans="22:27" ht="16.8" thickBot="1">
      <c r="V237" s="6" t="s">
        <v>355</v>
      </c>
      <c r="W237" s="6" t="s">
        <v>36</v>
      </c>
      <c r="X237" s="6" t="s">
        <v>408</v>
      </c>
      <c r="Y237" s="28" t="s">
        <v>385</v>
      </c>
      <c r="Z237" s="49">
        <v>0</v>
      </c>
      <c r="AA237" s="49">
        <v>843</v>
      </c>
    </row>
    <row r="238" spans="22:27" ht="16.8" thickBot="1">
      <c r="V238" s="6" t="s">
        <v>355</v>
      </c>
      <c r="W238" s="6" t="s">
        <v>36</v>
      </c>
      <c r="X238" s="6" t="s">
        <v>409</v>
      </c>
      <c r="Y238" s="28" t="s">
        <v>385</v>
      </c>
      <c r="Z238" s="49">
        <v>0</v>
      </c>
      <c r="AA238" s="49">
        <v>843</v>
      </c>
    </row>
    <row r="239" spans="22:27" ht="16.8" thickBot="1">
      <c r="V239" s="6" t="s">
        <v>355</v>
      </c>
      <c r="W239" s="6" t="s">
        <v>36</v>
      </c>
      <c r="X239" s="6" t="s">
        <v>410</v>
      </c>
      <c r="Y239" s="28" t="s">
        <v>385</v>
      </c>
      <c r="Z239" s="49">
        <v>0</v>
      </c>
      <c r="AA239" s="49">
        <v>843</v>
      </c>
    </row>
    <row r="240" spans="22:27" ht="16.8" thickBot="1">
      <c r="V240" s="6" t="s">
        <v>355</v>
      </c>
      <c r="W240" s="6" t="s">
        <v>36</v>
      </c>
      <c r="X240" s="6" t="s">
        <v>432</v>
      </c>
      <c r="Y240" s="28" t="s">
        <v>385</v>
      </c>
      <c r="Z240" s="49">
        <v>0</v>
      </c>
      <c r="AA240" s="49">
        <v>843</v>
      </c>
    </row>
    <row r="241" spans="22:27" ht="16.8" thickBot="1">
      <c r="V241" s="6" t="s">
        <v>355</v>
      </c>
      <c r="W241" s="6" t="s">
        <v>36</v>
      </c>
      <c r="X241" s="6" t="s">
        <v>436</v>
      </c>
      <c r="Y241" s="28" t="s">
        <v>385</v>
      </c>
      <c r="Z241" s="49">
        <v>0</v>
      </c>
      <c r="AA241" s="49">
        <v>843</v>
      </c>
    </row>
    <row r="242" spans="22:27" ht="16.8" thickBot="1">
      <c r="V242" s="6" t="s">
        <v>355</v>
      </c>
      <c r="W242" s="6" t="s">
        <v>36</v>
      </c>
      <c r="X242" s="6" t="s">
        <v>437</v>
      </c>
      <c r="Y242" s="28" t="s">
        <v>385</v>
      </c>
      <c r="Z242" s="49">
        <v>0</v>
      </c>
      <c r="AA242" s="49">
        <v>843</v>
      </c>
    </row>
    <row r="243" spans="22:27" ht="16.8" thickBot="1">
      <c r="V243" s="6" t="s">
        <v>355</v>
      </c>
      <c r="W243" s="6" t="s">
        <v>36</v>
      </c>
      <c r="X243" s="6" t="s">
        <v>441</v>
      </c>
      <c r="Y243" s="28" t="s">
        <v>385</v>
      </c>
      <c r="Z243" s="49">
        <v>0</v>
      </c>
      <c r="AA243" s="49">
        <v>843</v>
      </c>
    </row>
    <row r="244" spans="22:27" ht="16.8" thickBot="1">
      <c r="V244" s="6" t="s">
        <v>355</v>
      </c>
      <c r="W244" s="6" t="s">
        <v>36</v>
      </c>
      <c r="X244" s="6" t="s">
        <v>442</v>
      </c>
      <c r="Y244" s="28" t="s">
        <v>385</v>
      </c>
      <c r="Z244" s="49">
        <v>0</v>
      </c>
      <c r="AA244" s="49">
        <v>843</v>
      </c>
    </row>
    <row r="245" spans="22:27" ht="16.8" thickBot="1">
      <c r="V245" s="6" t="s">
        <v>355</v>
      </c>
      <c r="W245" s="6" t="s">
        <v>36</v>
      </c>
      <c r="X245" s="6" t="s">
        <v>412</v>
      </c>
      <c r="Y245" s="28" t="s">
        <v>385</v>
      </c>
      <c r="Z245" s="49">
        <v>0</v>
      </c>
      <c r="AA245" s="49">
        <v>843</v>
      </c>
    </row>
    <row r="246" spans="22:27" ht="16.8" thickBot="1">
      <c r="V246" s="6" t="s">
        <v>355</v>
      </c>
      <c r="W246" s="6" t="s">
        <v>36</v>
      </c>
      <c r="X246" s="6" t="s">
        <v>386</v>
      </c>
      <c r="Y246" s="28" t="s">
        <v>385</v>
      </c>
      <c r="Z246" s="49">
        <v>0</v>
      </c>
      <c r="AA246" s="49">
        <v>843</v>
      </c>
    </row>
    <row r="247" spans="22:27" ht="16.8" thickBot="1">
      <c r="V247" s="6" t="s">
        <v>355</v>
      </c>
      <c r="W247" s="6" t="s">
        <v>36</v>
      </c>
      <c r="X247" s="6" t="s">
        <v>428</v>
      </c>
      <c r="Y247" s="28" t="s">
        <v>383</v>
      </c>
      <c r="Z247" s="49">
        <v>0</v>
      </c>
      <c r="AA247" s="49">
        <v>843</v>
      </c>
    </row>
    <row r="248" spans="22:27" ht="16.8" thickBot="1">
      <c r="V248" s="6" t="s">
        <v>355</v>
      </c>
      <c r="W248" s="6" t="s">
        <v>36</v>
      </c>
      <c r="X248" s="6" t="s">
        <v>428</v>
      </c>
      <c r="Y248" s="28" t="s">
        <v>384</v>
      </c>
      <c r="Z248" s="49">
        <v>0</v>
      </c>
      <c r="AA248" s="49">
        <v>843</v>
      </c>
    </row>
    <row r="249" spans="22:27" ht="16.8" thickBot="1">
      <c r="V249" s="6" t="s">
        <v>355</v>
      </c>
      <c r="W249" s="6" t="s">
        <v>36</v>
      </c>
      <c r="X249" s="6" t="s">
        <v>430</v>
      </c>
      <c r="Y249" s="28" t="s">
        <v>383</v>
      </c>
      <c r="Z249" s="49">
        <v>0</v>
      </c>
      <c r="AA249" s="49">
        <v>843</v>
      </c>
    </row>
    <row r="250" spans="22:27" ht="16.8" thickBot="1">
      <c r="V250" s="6" t="s">
        <v>355</v>
      </c>
      <c r="W250" s="6" t="s">
        <v>36</v>
      </c>
      <c r="X250" s="6" t="s">
        <v>430</v>
      </c>
      <c r="Y250" s="28" t="s">
        <v>384</v>
      </c>
      <c r="Z250" s="49">
        <v>0</v>
      </c>
      <c r="AA250" s="49">
        <v>843</v>
      </c>
    </row>
    <row r="251" spans="22:27" ht="16.8" thickBot="1">
      <c r="V251" s="6" t="s">
        <v>355</v>
      </c>
      <c r="W251" s="6" t="s">
        <v>36</v>
      </c>
      <c r="X251" s="6" t="s">
        <v>430</v>
      </c>
      <c r="Y251" s="28" t="s">
        <v>385</v>
      </c>
      <c r="Z251" s="49">
        <v>0</v>
      </c>
      <c r="AA251" s="49">
        <v>843</v>
      </c>
    </row>
    <row r="252" spans="22:27" ht="16.8" thickBot="1">
      <c r="V252" s="6" t="s">
        <v>355</v>
      </c>
      <c r="W252" s="6" t="s">
        <v>36</v>
      </c>
      <c r="X252" s="6" t="s">
        <v>434</v>
      </c>
      <c r="Y252" s="28" t="s">
        <v>383</v>
      </c>
      <c r="Z252" s="49">
        <v>0</v>
      </c>
      <c r="AA252" s="49">
        <v>843</v>
      </c>
    </row>
    <row r="253" spans="22:27" ht="16.8" thickBot="1">
      <c r="V253" s="6" t="s">
        <v>355</v>
      </c>
      <c r="W253" s="6" t="s">
        <v>36</v>
      </c>
      <c r="X253" s="6" t="s">
        <v>434</v>
      </c>
      <c r="Y253" s="28" t="s">
        <v>384</v>
      </c>
      <c r="Z253" s="49">
        <v>0</v>
      </c>
      <c r="AA253" s="49">
        <v>843</v>
      </c>
    </row>
    <row r="254" spans="22:27" ht="16.8" thickBot="1">
      <c r="V254" s="6" t="s">
        <v>355</v>
      </c>
      <c r="W254" s="6" t="s">
        <v>36</v>
      </c>
      <c r="X254" s="6" t="s">
        <v>444</v>
      </c>
      <c r="Y254" s="28" t="s">
        <v>383</v>
      </c>
      <c r="Z254" s="49">
        <v>0</v>
      </c>
      <c r="AA254" s="49">
        <v>843</v>
      </c>
    </row>
    <row r="255" spans="22:27" ht="16.8" thickBot="1">
      <c r="V255" s="6" t="s">
        <v>355</v>
      </c>
      <c r="W255" s="6" t="s">
        <v>36</v>
      </c>
      <c r="X255" s="6" t="s">
        <v>444</v>
      </c>
      <c r="Y255" s="28" t="s">
        <v>384</v>
      </c>
      <c r="Z255" s="49">
        <v>0</v>
      </c>
      <c r="AA255" s="49">
        <v>843</v>
      </c>
    </row>
    <row r="256" spans="22:27" ht="16.8" thickBot="1">
      <c r="V256" s="6" t="s">
        <v>355</v>
      </c>
      <c r="W256" s="6" t="s">
        <v>36</v>
      </c>
      <c r="X256" s="6" t="s">
        <v>444</v>
      </c>
      <c r="Y256" s="28" t="s">
        <v>385</v>
      </c>
      <c r="Z256" s="49">
        <v>0</v>
      </c>
      <c r="AA256" s="49">
        <v>843</v>
      </c>
    </row>
    <row r="257" spans="22:27" ht="16.8" thickBot="1">
      <c r="V257" s="6" t="s">
        <v>355</v>
      </c>
      <c r="W257" s="6" t="s">
        <v>36</v>
      </c>
      <c r="X257" s="6" t="s">
        <v>443</v>
      </c>
      <c r="Y257" s="28" t="s">
        <v>383</v>
      </c>
      <c r="Z257" s="49">
        <v>0</v>
      </c>
      <c r="AA257" s="49">
        <v>843</v>
      </c>
    </row>
    <row r="258" spans="22:27" ht="16.8" thickBot="1">
      <c r="V258" s="6" t="s">
        <v>355</v>
      </c>
      <c r="W258" s="6" t="s">
        <v>36</v>
      </c>
      <c r="X258" s="6" t="s">
        <v>443</v>
      </c>
      <c r="Y258" s="28" t="s">
        <v>384</v>
      </c>
      <c r="Z258" s="49">
        <v>0</v>
      </c>
      <c r="AA258" s="49">
        <v>843</v>
      </c>
    </row>
    <row r="259" spans="22:27" ht="16.8" thickBot="1">
      <c r="V259" s="6" t="s">
        <v>355</v>
      </c>
      <c r="W259" s="6" t="s">
        <v>36</v>
      </c>
      <c r="X259" s="6" t="s">
        <v>404</v>
      </c>
      <c r="Y259" s="28" t="s">
        <v>383</v>
      </c>
      <c r="Z259" s="49">
        <v>0</v>
      </c>
      <c r="AA259" s="49">
        <v>843</v>
      </c>
    </row>
    <row r="260" spans="22:27" ht="16.8" thickBot="1">
      <c r="V260" s="6" t="s">
        <v>355</v>
      </c>
      <c r="W260" s="6" t="s">
        <v>36</v>
      </c>
      <c r="X260" s="6" t="s">
        <v>438</v>
      </c>
      <c r="Y260" s="28" t="s">
        <v>385</v>
      </c>
      <c r="Z260" s="49">
        <v>0</v>
      </c>
      <c r="AA260" s="49">
        <v>843</v>
      </c>
    </row>
    <row r="261" spans="22:27" ht="16.8" thickBot="1">
      <c r="V261" s="6" t="s">
        <v>355</v>
      </c>
      <c r="W261" s="6" t="s">
        <v>34</v>
      </c>
      <c r="X261" s="6" t="s">
        <v>405</v>
      </c>
      <c r="Y261" s="28" t="s">
        <v>383</v>
      </c>
      <c r="Z261" s="49">
        <v>0</v>
      </c>
      <c r="AA261" s="49">
        <v>348271</v>
      </c>
    </row>
    <row r="262" spans="22:27" ht="16.8" thickBot="1">
      <c r="V262" s="6" t="s">
        <v>355</v>
      </c>
      <c r="W262" s="6" t="s">
        <v>34</v>
      </c>
      <c r="X262" s="6" t="s">
        <v>405</v>
      </c>
      <c r="Y262" s="28" t="s">
        <v>384</v>
      </c>
      <c r="Z262" s="49">
        <v>0</v>
      </c>
      <c r="AA262" s="49">
        <v>348271</v>
      </c>
    </row>
    <row r="263" spans="22:27" ht="16.8" thickBot="1">
      <c r="V263" s="6" t="s">
        <v>355</v>
      </c>
      <c r="W263" s="6" t="s">
        <v>34</v>
      </c>
      <c r="X263" s="6" t="s">
        <v>382</v>
      </c>
      <c r="Y263" s="28" t="s">
        <v>383</v>
      </c>
      <c r="Z263" s="49">
        <v>0</v>
      </c>
      <c r="AA263" s="49">
        <v>348271</v>
      </c>
    </row>
    <row r="264" spans="22:27" ht="16.8" thickBot="1">
      <c r="V264" s="6" t="s">
        <v>355</v>
      </c>
      <c r="W264" s="6" t="s">
        <v>34</v>
      </c>
      <c r="X264" s="6" t="s">
        <v>382</v>
      </c>
      <c r="Y264" s="28" t="s">
        <v>384</v>
      </c>
      <c r="Z264" s="49">
        <v>0</v>
      </c>
      <c r="AA264" s="49">
        <v>348271</v>
      </c>
    </row>
    <row r="265" spans="22:27" ht="16.8" thickBot="1">
      <c r="V265" s="6" t="s">
        <v>355</v>
      </c>
      <c r="W265" s="6" t="s">
        <v>34</v>
      </c>
      <c r="X265" s="6" t="s">
        <v>408</v>
      </c>
      <c r="Y265" s="28" t="s">
        <v>383</v>
      </c>
      <c r="Z265" s="49">
        <v>0</v>
      </c>
      <c r="AA265" s="49">
        <v>348271</v>
      </c>
    </row>
    <row r="266" spans="22:27" ht="16.8" thickBot="1">
      <c r="V266" s="6" t="s">
        <v>355</v>
      </c>
      <c r="W266" s="6" t="s">
        <v>34</v>
      </c>
      <c r="X266" s="6" t="s">
        <v>408</v>
      </c>
      <c r="Y266" s="28" t="s">
        <v>384</v>
      </c>
      <c r="Z266" s="49">
        <v>0</v>
      </c>
      <c r="AA266" s="49">
        <v>348271</v>
      </c>
    </row>
    <row r="267" spans="22:27" ht="16.8" thickBot="1">
      <c r="V267" s="6" t="s">
        <v>355</v>
      </c>
      <c r="W267" s="6" t="s">
        <v>34</v>
      </c>
      <c r="X267" s="6" t="s">
        <v>409</v>
      </c>
      <c r="Y267" s="28" t="s">
        <v>383</v>
      </c>
      <c r="Z267" s="49">
        <v>0</v>
      </c>
      <c r="AA267" s="49">
        <v>348271</v>
      </c>
    </row>
    <row r="268" spans="22:27" ht="16.8" thickBot="1">
      <c r="V268" s="6" t="s">
        <v>355</v>
      </c>
      <c r="W268" s="6" t="s">
        <v>34</v>
      </c>
      <c r="X268" s="6" t="s">
        <v>409</v>
      </c>
      <c r="Y268" s="28" t="s">
        <v>384</v>
      </c>
      <c r="Z268" s="49">
        <v>0</v>
      </c>
      <c r="AA268" s="49">
        <v>348271</v>
      </c>
    </row>
    <row r="269" spans="22:27" ht="16.8" thickBot="1">
      <c r="V269" s="6" t="s">
        <v>355</v>
      </c>
      <c r="W269" s="6" t="s">
        <v>34</v>
      </c>
      <c r="X269" s="6" t="s">
        <v>410</v>
      </c>
      <c r="Y269" s="28" t="s">
        <v>383</v>
      </c>
      <c r="Z269" s="49">
        <v>0</v>
      </c>
      <c r="AA269" s="49">
        <v>348271</v>
      </c>
    </row>
    <row r="270" spans="22:27" ht="16.8" thickBot="1">
      <c r="V270" s="6" t="s">
        <v>355</v>
      </c>
      <c r="W270" s="6" t="s">
        <v>34</v>
      </c>
      <c r="X270" s="6" t="s">
        <v>410</v>
      </c>
      <c r="Y270" s="28" t="s">
        <v>384</v>
      </c>
      <c r="Z270" s="49">
        <v>0</v>
      </c>
      <c r="AA270" s="49">
        <v>348271</v>
      </c>
    </row>
    <row r="271" spans="22:27" ht="16.8" thickBot="1">
      <c r="V271" s="6" t="s">
        <v>355</v>
      </c>
      <c r="W271" s="6" t="s">
        <v>34</v>
      </c>
      <c r="X271" s="6" t="s">
        <v>432</v>
      </c>
      <c r="Y271" s="28" t="s">
        <v>383</v>
      </c>
      <c r="Z271" s="49">
        <v>0</v>
      </c>
      <c r="AA271" s="49">
        <v>348271</v>
      </c>
    </row>
    <row r="272" spans="22:27" ht="16.8" thickBot="1">
      <c r="V272" s="6" t="s">
        <v>355</v>
      </c>
      <c r="W272" s="6" t="s">
        <v>34</v>
      </c>
      <c r="X272" s="6" t="s">
        <v>432</v>
      </c>
      <c r="Y272" s="28" t="s">
        <v>384</v>
      </c>
      <c r="Z272" s="49">
        <v>0</v>
      </c>
      <c r="AA272" s="49">
        <v>348271</v>
      </c>
    </row>
    <row r="273" spans="22:27" ht="16.8" thickBot="1">
      <c r="V273" s="6" t="s">
        <v>355</v>
      </c>
      <c r="W273" s="6" t="s">
        <v>34</v>
      </c>
      <c r="X273" s="6" t="s">
        <v>436</v>
      </c>
      <c r="Y273" s="28" t="s">
        <v>383</v>
      </c>
      <c r="Z273" s="49">
        <v>0</v>
      </c>
      <c r="AA273" s="49">
        <v>348271</v>
      </c>
    </row>
    <row r="274" spans="22:27" ht="16.8" thickBot="1">
      <c r="V274" s="6" t="s">
        <v>355</v>
      </c>
      <c r="W274" s="6" t="s">
        <v>34</v>
      </c>
      <c r="X274" s="6" t="s">
        <v>436</v>
      </c>
      <c r="Y274" s="28" t="s">
        <v>384</v>
      </c>
      <c r="Z274" s="49">
        <v>0</v>
      </c>
      <c r="AA274" s="49">
        <v>348271</v>
      </c>
    </row>
    <row r="275" spans="22:27" ht="16.8" thickBot="1">
      <c r="V275" s="6" t="s">
        <v>355</v>
      </c>
      <c r="W275" s="6" t="s">
        <v>34</v>
      </c>
      <c r="X275" s="6" t="s">
        <v>437</v>
      </c>
      <c r="Y275" s="28" t="s">
        <v>383</v>
      </c>
      <c r="Z275" s="49">
        <v>0</v>
      </c>
      <c r="AA275" s="49">
        <v>348271</v>
      </c>
    </row>
    <row r="276" spans="22:27" ht="16.8" thickBot="1">
      <c r="V276" s="6" t="s">
        <v>355</v>
      </c>
      <c r="W276" s="6" t="s">
        <v>34</v>
      </c>
      <c r="X276" s="6" t="s">
        <v>437</v>
      </c>
      <c r="Y276" s="28" t="s">
        <v>384</v>
      </c>
      <c r="Z276" s="49">
        <v>0</v>
      </c>
      <c r="AA276" s="49">
        <v>348271</v>
      </c>
    </row>
    <row r="277" spans="22:27" ht="16.8" thickBot="1">
      <c r="V277" s="6" t="s">
        <v>355</v>
      </c>
      <c r="W277" s="6" t="s">
        <v>34</v>
      </c>
      <c r="X277" s="6" t="s">
        <v>441</v>
      </c>
      <c r="Y277" s="28" t="s">
        <v>383</v>
      </c>
      <c r="Z277" s="49">
        <v>0</v>
      </c>
      <c r="AA277" s="49">
        <v>348271</v>
      </c>
    </row>
    <row r="278" spans="22:27" ht="16.8" thickBot="1">
      <c r="V278" s="6" t="s">
        <v>355</v>
      </c>
      <c r="W278" s="6" t="s">
        <v>34</v>
      </c>
      <c r="X278" s="6" t="s">
        <v>441</v>
      </c>
      <c r="Y278" s="28" t="s">
        <v>384</v>
      </c>
      <c r="Z278" s="49">
        <v>0</v>
      </c>
      <c r="AA278" s="49">
        <v>348271</v>
      </c>
    </row>
    <row r="279" spans="22:27" ht="16.8" thickBot="1">
      <c r="V279" s="6" t="s">
        <v>355</v>
      </c>
      <c r="W279" s="6" t="s">
        <v>34</v>
      </c>
      <c r="X279" s="6" t="s">
        <v>442</v>
      </c>
      <c r="Y279" s="28" t="s">
        <v>383</v>
      </c>
      <c r="Z279" s="49">
        <v>0</v>
      </c>
      <c r="AA279" s="49">
        <v>348271</v>
      </c>
    </row>
    <row r="280" spans="22:27" ht="16.8" thickBot="1">
      <c r="V280" s="6" t="s">
        <v>355</v>
      </c>
      <c r="W280" s="6" t="s">
        <v>34</v>
      </c>
      <c r="X280" s="6" t="s">
        <v>442</v>
      </c>
      <c r="Y280" s="28" t="s">
        <v>384</v>
      </c>
      <c r="Z280" s="49">
        <v>0</v>
      </c>
      <c r="AA280" s="49">
        <v>348271</v>
      </c>
    </row>
    <row r="281" spans="22:27" ht="16.8" thickBot="1">
      <c r="V281" s="6" t="s">
        <v>355</v>
      </c>
      <c r="W281" s="6" t="s">
        <v>34</v>
      </c>
      <c r="X281" s="6" t="s">
        <v>412</v>
      </c>
      <c r="Y281" s="28" t="s">
        <v>383</v>
      </c>
      <c r="Z281" s="49">
        <v>0</v>
      </c>
      <c r="AA281" s="49">
        <v>348271</v>
      </c>
    </row>
    <row r="282" spans="22:27" ht="16.8" thickBot="1">
      <c r="V282" s="6" t="s">
        <v>355</v>
      </c>
      <c r="W282" s="6" t="s">
        <v>34</v>
      </c>
      <c r="X282" s="6" t="s">
        <v>412</v>
      </c>
      <c r="Y282" s="28" t="s">
        <v>384</v>
      </c>
      <c r="Z282" s="49">
        <v>0</v>
      </c>
      <c r="AA282" s="49">
        <v>348271</v>
      </c>
    </row>
    <row r="283" spans="22:27" ht="16.8" thickBot="1">
      <c r="V283" s="6" t="s">
        <v>355</v>
      </c>
      <c r="W283" s="6" t="s">
        <v>34</v>
      </c>
      <c r="X283" s="6" t="s">
        <v>386</v>
      </c>
      <c r="Y283" s="28" t="s">
        <v>383</v>
      </c>
      <c r="Z283" s="49">
        <v>114</v>
      </c>
      <c r="AA283" s="49">
        <v>348271</v>
      </c>
    </row>
    <row r="284" spans="22:27" ht="16.8" thickBot="1">
      <c r="V284" s="6" t="s">
        <v>355</v>
      </c>
      <c r="W284" s="6" t="s">
        <v>34</v>
      </c>
      <c r="X284" s="6" t="s">
        <v>386</v>
      </c>
      <c r="Y284" s="28" t="s">
        <v>384</v>
      </c>
      <c r="Z284" s="49">
        <v>0</v>
      </c>
      <c r="AA284" s="49">
        <v>348271</v>
      </c>
    </row>
    <row r="285" spans="22:27" ht="16.8" thickBot="1">
      <c r="V285" s="6" t="s">
        <v>355</v>
      </c>
      <c r="W285" s="6" t="s">
        <v>34</v>
      </c>
      <c r="X285" s="6" t="s">
        <v>405</v>
      </c>
      <c r="Y285" s="28" t="s">
        <v>385</v>
      </c>
      <c r="Z285" s="49">
        <v>0</v>
      </c>
      <c r="AA285" s="49">
        <v>348271</v>
      </c>
    </row>
    <row r="286" spans="22:27" ht="16.8" thickBot="1">
      <c r="V286" s="6" t="s">
        <v>355</v>
      </c>
      <c r="W286" s="6" t="s">
        <v>34</v>
      </c>
      <c r="X286" s="6" t="s">
        <v>382</v>
      </c>
      <c r="Y286" s="28" t="s">
        <v>385</v>
      </c>
      <c r="Z286" s="49">
        <v>0</v>
      </c>
      <c r="AA286" s="49">
        <v>348271</v>
      </c>
    </row>
    <row r="287" spans="22:27" ht="16.8" thickBot="1">
      <c r="V287" s="6" t="s">
        <v>355</v>
      </c>
      <c r="W287" s="6" t="s">
        <v>34</v>
      </c>
      <c r="X287" s="6" t="s">
        <v>408</v>
      </c>
      <c r="Y287" s="28" t="s">
        <v>385</v>
      </c>
      <c r="Z287" s="49">
        <v>0</v>
      </c>
      <c r="AA287" s="49">
        <v>348271</v>
      </c>
    </row>
    <row r="288" spans="22:27" ht="16.8" thickBot="1">
      <c r="V288" s="6" t="s">
        <v>355</v>
      </c>
      <c r="W288" s="6" t="s">
        <v>34</v>
      </c>
      <c r="X288" s="6" t="s">
        <v>409</v>
      </c>
      <c r="Y288" s="28" t="s">
        <v>385</v>
      </c>
      <c r="Z288" s="49">
        <v>0</v>
      </c>
      <c r="AA288" s="49">
        <v>348271</v>
      </c>
    </row>
    <row r="289" spans="22:27" ht="16.8" thickBot="1">
      <c r="V289" s="6" t="s">
        <v>355</v>
      </c>
      <c r="W289" s="6" t="s">
        <v>34</v>
      </c>
      <c r="X289" s="6" t="s">
        <v>410</v>
      </c>
      <c r="Y289" s="28" t="s">
        <v>385</v>
      </c>
      <c r="Z289" s="49">
        <v>0</v>
      </c>
      <c r="AA289" s="49">
        <v>348271</v>
      </c>
    </row>
    <row r="290" spans="22:27" ht="16.8" thickBot="1">
      <c r="V290" s="6" t="s">
        <v>355</v>
      </c>
      <c r="W290" s="6" t="s">
        <v>34</v>
      </c>
      <c r="X290" s="6" t="s">
        <v>432</v>
      </c>
      <c r="Y290" s="28" t="s">
        <v>385</v>
      </c>
      <c r="Z290" s="49">
        <v>0</v>
      </c>
      <c r="AA290" s="49">
        <v>348271</v>
      </c>
    </row>
    <row r="291" spans="22:27" ht="16.8" thickBot="1">
      <c r="V291" s="6" t="s">
        <v>355</v>
      </c>
      <c r="W291" s="6" t="s">
        <v>34</v>
      </c>
      <c r="X291" s="6" t="s">
        <v>436</v>
      </c>
      <c r="Y291" s="28" t="s">
        <v>385</v>
      </c>
      <c r="Z291" s="49">
        <v>0</v>
      </c>
      <c r="AA291" s="49">
        <v>348271</v>
      </c>
    </row>
    <row r="292" spans="22:27" ht="16.8" thickBot="1">
      <c r="V292" s="6" t="s">
        <v>355</v>
      </c>
      <c r="W292" s="6" t="s">
        <v>34</v>
      </c>
      <c r="X292" s="6" t="s">
        <v>437</v>
      </c>
      <c r="Y292" s="28" t="s">
        <v>385</v>
      </c>
      <c r="Z292" s="49">
        <v>0</v>
      </c>
      <c r="AA292" s="49">
        <v>348271</v>
      </c>
    </row>
    <row r="293" spans="22:27" ht="16.8" thickBot="1">
      <c r="V293" s="6" t="s">
        <v>355</v>
      </c>
      <c r="W293" s="6" t="s">
        <v>34</v>
      </c>
      <c r="X293" s="6" t="s">
        <v>441</v>
      </c>
      <c r="Y293" s="28" t="s">
        <v>385</v>
      </c>
      <c r="Z293" s="49">
        <v>0</v>
      </c>
      <c r="AA293" s="49">
        <v>348271</v>
      </c>
    </row>
    <row r="294" spans="22:27" ht="16.8" thickBot="1">
      <c r="V294" s="6" t="s">
        <v>355</v>
      </c>
      <c r="W294" s="6" t="s">
        <v>34</v>
      </c>
      <c r="X294" s="6" t="s">
        <v>442</v>
      </c>
      <c r="Y294" s="28" t="s">
        <v>385</v>
      </c>
      <c r="Z294" s="49">
        <v>0</v>
      </c>
      <c r="AA294" s="49">
        <v>348271</v>
      </c>
    </row>
    <row r="295" spans="22:27" ht="16.8" thickBot="1">
      <c r="V295" s="6" t="s">
        <v>355</v>
      </c>
      <c r="W295" s="6" t="s">
        <v>34</v>
      </c>
      <c r="X295" s="6" t="s">
        <v>412</v>
      </c>
      <c r="Y295" s="28" t="s">
        <v>385</v>
      </c>
      <c r="Z295" s="49">
        <v>0</v>
      </c>
      <c r="AA295" s="49">
        <v>348271</v>
      </c>
    </row>
    <row r="296" spans="22:27" ht="16.8" thickBot="1">
      <c r="V296" s="6" t="s">
        <v>355</v>
      </c>
      <c r="W296" s="6" t="s">
        <v>34</v>
      </c>
      <c r="X296" s="6" t="s">
        <v>386</v>
      </c>
      <c r="Y296" s="28" t="s">
        <v>385</v>
      </c>
      <c r="Z296" s="49">
        <v>0</v>
      </c>
      <c r="AA296" s="49">
        <v>348271</v>
      </c>
    </row>
    <row r="297" spans="22:27" ht="16.8" thickBot="1">
      <c r="V297" s="6" t="s">
        <v>355</v>
      </c>
      <c r="W297" s="6" t="s">
        <v>34</v>
      </c>
      <c r="X297" s="6" t="s">
        <v>428</v>
      </c>
      <c r="Y297" s="28" t="s">
        <v>383</v>
      </c>
      <c r="Z297" s="49">
        <v>0</v>
      </c>
      <c r="AA297" s="49">
        <v>348271</v>
      </c>
    </row>
    <row r="298" spans="22:27" ht="16.8" thickBot="1">
      <c r="V298" s="6" t="s">
        <v>355</v>
      </c>
      <c r="W298" s="6" t="s">
        <v>34</v>
      </c>
      <c r="X298" s="6" t="s">
        <v>428</v>
      </c>
      <c r="Y298" s="28" t="s">
        <v>384</v>
      </c>
      <c r="Z298" s="49">
        <v>0</v>
      </c>
      <c r="AA298" s="49">
        <v>348271</v>
      </c>
    </row>
    <row r="299" spans="22:27" ht="16.8" thickBot="1">
      <c r="V299" s="6" t="s">
        <v>355</v>
      </c>
      <c r="W299" s="6" t="s">
        <v>34</v>
      </c>
      <c r="X299" s="6" t="s">
        <v>430</v>
      </c>
      <c r="Y299" s="28" t="s">
        <v>383</v>
      </c>
      <c r="Z299" s="49">
        <v>0</v>
      </c>
      <c r="AA299" s="49">
        <v>348271</v>
      </c>
    </row>
    <row r="300" spans="22:27" ht="16.8" thickBot="1">
      <c r="V300" s="6" t="s">
        <v>355</v>
      </c>
      <c r="W300" s="6" t="s">
        <v>34</v>
      </c>
      <c r="X300" s="6" t="s">
        <v>430</v>
      </c>
      <c r="Y300" s="28" t="s">
        <v>384</v>
      </c>
      <c r="Z300" s="49">
        <v>0</v>
      </c>
      <c r="AA300" s="49">
        <v>348271</v>
      </c>
    </row>
    <row r="301" spans="22:27" ht="16.8" thickBot="1">
      <c r="V301" s="6" t="s">
        <v>355</v>
      </c>
      <c r="W301" s="6" t="s">
        <v>34</v>
      </c>
      <c r="X301" s="6" t="s">
        <v>430</v>
      </c>
      <c r="Y301" s="28" t="s">
        <v>385</v>
      </c>
      <c r="Z301" s="49">
        <v>0</v>
      </c>
      <c r="AA301" s="49">
        <v>348271</v>
      </c>
    </row>
    <row r="302" spans="22:27" ht="16.8" thickBot="1">
      <c r="V302" s="6" t="s">
        <v>355</v>
      </c>
      <c r="W302" s="6" t="s">
        <v>34</v>
      </c>
      <c r="X302" s="6" t="s">
        <v>434</v>
      </c>
      <c r="Y302" s="28" t="s">
        <v>383</v>
      </c>
      <c r="Z302" s="49">
        <v>0</v>
      </c>
      <c r="AA302" s="49">
        <v>348271</v>
      </c>
    </row>
    <row r="303" spans="22:27" ht="16.8" thickBot="1">
      <c r="V303" s="6" t="s">
        <v>355</v>
      </c>
      <c r="W303" s="6" t="s">
        <v>34</v>
      </c>
      <c r="X303" s="6" t="s">
        <v>434</v>
      </c>
      <c r="Y303" s="28" t="s">
        <v>384</v>
      </c>
      <c r="Z303" s="49">
        <v>0</v>
      </c>
      <c r="AA303" s="49">
        <v>348271</v>
      </c>
    </row>
    <row r="304" spans="22:27" ht="16.8" thickBot="1">
      <c r="V304" s="6" t="s">
        <v>355</v>
      </c>
      <c r="W304" s="6" t="s">
        <v>34</v>
      </c>
      <c r="X304" s="6" t="s">
        <v>444</v>
      </c>
      <c r="Y304" s="28" t="s">
        <v>383</v>
      </c>
      <c r="Z304" s="49">
        <v>0</v>
      </c>
      <c r="AA304" s="49">
        <v>348271</v>
      </c>
    </row>
    <row r="305" spans="22:27" ht="16.8" thickBot="1">
      <c r="V305" s="6" t="s">
        <v>355</v>
      </c>
      <c r="W305" s="6" t="s">
        <v>34</v>
      </c>
      <c r="X305" s="6" t="s">
        <v>444</v>
      </c>
      <c r="Y305" s="28" t="s">
        <v>384</v>
      </c>
      <c r="Z305" s="49">
        <v>0</v>
      </c>
      <c r="AA305" s="49">
        <v>348271</v>
      </c>
    </row>
    <row r="306" spans="22:27" ht="16.8" thickBot="1">
      <c r="V306" s="6" t="s">
        <v>355</v>
      </c>
      <c r="W306" s="6" t="s">
        <v>34</v>
      </c>
      <c r="X306" s="6" t="s">
        <v>444</v>
      </c>
      <c r="Y306" s="28" t="s">
        <v>385</v>
      </c>
      <c r="Z306" s="49">
        <v>0</v>
      </c>
      <c r="AA306" s="49">
        <v>348271</v>
      </c>
    </row>
    <row r="307" spans="22:27" ht="16.8" thickBot="1">
      <c r="V307" s="6" t="s">
        <v>355</v>
      </c>
      <c r="W307" s="6" t="s">
        <v>34</v>
      </c>
      <c r="X307" s="6" t="s">
        <v>443</v>
      </c>
      <c r="Y307" s="28" t="s">
        <v>383</v>
      </c>
      <c r="Z307" s="49">
        <v>0</v>
      </c>
      <c r="AA307" s="49">
        <v>348271</v>
      </c>
    </row>
    <row r="308" spans="22:27" ht="16.8" thickBot="1">
      <c r="V308" s="6" t="s">
        <v>355</v>
      </c>
      <c r="W308" s="6" t="s">
        <v>34</v>
      </c>
      <c r="X308" s="6" t="s">
        <v>443</v>
      </c>
      <c r="Y308" s="28" t="s">
        <v>384</v>
      </c>
      <c r="Z308" s="49">
        <v>0</v>
      </c>
      <c r="AA308" s="49">
        <v>348271</v>
      </c>
    </row>
    <row r="309" spans="22:27" ht="16.8" thickBot="1">
      <c r="V309" s="6" t="s">
        <v>355</v>
      </c>
      <c r="W309" s="6" t="s">
        <v>34</v>
      </c>
      <c r="X309" s="6" t="s">
        <v>404</v>
      </c>
      <c r="Y309" s="28" t="s">
        <v>383</v>
      </c>
      <c r="Z309" s="49">
        <v>0</v>
      </c>
      <c r="AA309" s="49">
        <v>348271</v>
      </c>
    </row>
    <row r="310" spans="22:27" ht="16.8" thickBot="1">
      <c r="V310" s="6" t="s">
        <v>355</v>
      </c>
      <c r="W310" s="6" t="s">
        <v>34</v>
      </c>
      <c r="X310" s="6" t="s">
        <v>438</v>
      </c>
      <c r="Y310" s="28" t="s">
        <v>385</v>
      </c>
      <c r="Z310" s="49">
        <v>0</v>
      </c>
      <c r="AA310" s="49">
        <v>348271</v>
      </c>
    </row>
  </sheetData>
  <mergeCells count="7">
    <mergeCell ref="AQ8:AU8"/>
    <mergeCell ref="B8:G8"/>
    <mergeCell ref="I8:N8"/>
    <mergeCell ref="P8:T8"/>
    <mergeCell ref="AC8:AH8"/>
    <mergeCell ref="AJ8:AO8"/>
    <mergeCell ref="V8:AA8"/>
  </mergeCells>
  <phoneticPr fontId="13" type="noConversion"/>
  <pageMargins left="0.7" right="0.7" top="0.75" bottom="0.75" header="0.3" footer="0.3"/>
  <drawing r:id="rId1"/>
  <tableParts count="7">
    <tablePart r:id="rId2"/>
    <tablePart r:id="rId3"/>
    <tablePart r:id="rId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1C320-D875-4E06-ABEE-0ADC97FB7EBB}">
  <sheetPr codeName="Sheet9">
    <tabColor theme="0" tint="-4.9989318521683403E-2"/>
  </sheetPr>
  <dimension ref="A1:D5"/>
  <sheetViews>
    <sheetView showGridLines="0" zoomScale="90" zoomScaleNormal="90" workbookViewId="0"/>
  </sheetViews>
  <sheetFormatPr defaultRowHeight="13.8"/>
  <cols>
    <col min="1" max="3" width="20.8984375" customWidth="1"/>
    <col min="4" max="4" width="36.69921875" customWidth="1"/>
  </cols>
  <sheetData>
    <row r="1" spans="1:4" ht="16.8" thickBot="1">
      <c r="A1" s="4" t="s">
        <v>6</v>
      </c>
      <c r="B1" s="4" t="s">
        <v>8</v>
      </c>
      <c r="C1" s="4" t="s">
        <v>475</v>
      </c>
      <c r="D1" s="4" t="s">
        <v>10</v>
      </c>
    </row>
    <row r="2" spans="1:4" ht="16.8" thickBot="1">
      <c r="A2" s="6" t="s">
        <v>7</v>
      </c>
      <c r="B2" s="6" t="s">
        <v>476</v>
      </c>
      <c r="C2" s="6"/>
      <c r="D2" s="22" t="s">
        <v>11</v>
      </c>
    </row>
    <row r="3" spans="1:4" ht="16.8" thickBot="1">
      <c r="B3" s="6" t="s">
        <v>9</v>
      </c>
      <c r="D3" s="22" t="s">
        <v>477</v>
      </c>
    </row>
    <row r="4" spans="1:4" ht="16.8" thickBot="1">
      <c r="B4" s="6" t="s">
        <v>478</v>
      </c>
    </row>
    <row r="5" spans="1:4" ht="16.8" thickBot="1">
      <c r="B5" s="6" t="s">
        <v>479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6B9A5E792D2446B8986FAE34BEC557" ma:contentTypeVersion="13" ma:contentTypeDescription="Create a new document." ma:contentTypeScope="" ma:versionID="1bd2bbbdbde722e982e91dda7950abd0">
  <xsd:schema xmlns:xsd="http://www.w3.org/2001/XMLSchema" xmlns:xs="http://www.w3.org/2001/XMLSchema" xmlns:p="http://schemas.microsoft.com/office/2006/metadata/properties" xmlns:ns1="http://schemas.microsoft.com/sharepoint/v3" xmlns:ns2="5ad20f8b-9281-4829-a9aa-2b5a878ba2cc" xmlns:ns3="09d3dac3-f296-4107-b579-4b1e37be6169" targetNamespace="http://schemas.microsoft.com/office/2006/metadata/properties" ma:root="true" ma:fieldsID="63ef47364dd259a6898af9a94ded95aa" ns1:_="" ns2:_="" ns3:_="">
    <xsd:import namespace="http://schemas.microsoft.com/sharepoint/v3"/>
    <xsd:import namespace="5ad20f8b-9281-4829-a9aa-2b5a878ba2cc"/>
    <xsd:import namespace="09d3dac3-f296-4107-b579-4b1e37be616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Unified Compliance Policy Properties" ma:hidden="true" ma:internalName="_ip_UnifiedCompliancePolicyProperties">
      <xsd:simpleType>
        <xsd:restriction base="dms:Note"/>
      </xsd:simpleType>
    </xsd:element>
    <xsd:element name="_ip_UnifiedCompliancePolicyUIAction" ma:index="1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ad20f8b-9281-4829-a9aa-2b5a878ba2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9d3dac3-f296-4107-b579-4b1e37be6169"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2f43633d-4f01-4e5f-8ed6-670c29f8108f}" ma:internalName="TaxCatchAll" ma:showField="CatchAllData" ma:web="09d3dac3-f296-4107-b579-4b1e37be616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09d3dac3-f296-4107-b579-4b1e37be6169" xsi:nil="true"/>
    <lcf76f155ced4ddcb4097134ff3c332f xmlns="5ad20f8b-9281-4829-a9aa-2b5a878ba2c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CC8ECCC-A0E6-4574-8946-DC2B83E3B38A}">
  <ds:schemaRefs>
    <ds:schemaRef ds:uri="http://schemas.microsoft.com/sharepoint/v3/contenttype/forms"/>
  </ds:schemaRefs>
</ds:datastoreItem>
</file>

<file path=customXml/itemProps2.xml><?xml version="1.0" encoding="utf-8"?>
<ds:datastoreItem xmlns:ds="http://schemas.openxmlformats.org/officeDocument/2006/customXml" ds:itemID="{FF4B9BF5-567B-4678-BEE5-8490AAEF11AB}"/>
</file>

<file path=customXml/itemProps3.xml><?xml version="1.0" encoding="utf-8"?>
<ds:datastoreItem xmlns:ds="http://schemas.openxmlformats.org/officeDocument/2006/customXml" ds:itemID="{F1633FCB-4DAC-428E-AB9D-66570E6A40D8}">
  <ds:schemaRefs>
    <ds:schemaRef ds:uri="http://schemas.microsoft.com/office/2006/metadata/properties"/>
    <ds:schemaRef ds:uri="http://schemas.microsoft.com/office/infopath/2007/PartnerControls"/>
    <ds:schemaRef ds:uri="http://schemas.microsoft.com/sharepoint/v3"/>
    <ds:schemaRef ds:uri="09d3dac3-f296-4107-b579-4b1e37be6169"/>
    <ds:schemaRef ds:uri="5ad20f8b-9281-4829-a9aa-2b5a878ba2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Cockpit</vt:lpstr>
      <vt:lpstr>Valuation | Justificações</vt:lpstr>
      <vt:lpstr>Input F 01.01</vt:lpstr>
      <vt:lpstr>Input F 01.02</vt:lpstr>
      <vt:lpstr>Input F 09.01.1</vt:lpstr>
      <vt:lpstr>Exposures to legal persons</vt:lpstr>
      <vt:lpstr>Exposures to natural persons</vt:lpstr>
      <vt:lpstr>Off-balance sheet exposures</vt:lpstr>
      <vt:lpstr>Derivatives</vt:lpstr>
      <vt:lpstr>Debt securities</vt:lpstr>
      <vt:lpstr>Equity</vt:lpstr>
      <vt:lpstr>Extração_DataLake</vt:lpstr>
      <vt:lpstr>AUX</vt:lpstr>
    </vt:vector>
  </TitlesOfParts>
  <Manager/>
  <Company>Banco Santander Portugal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Gonçalo Antunes Marques</dc:creator>
  <cp:keywords/>
  <dc:description/>
  <cp:lastModifiedBy>Luís Filipe da Silva Pragosa</cp:lastModifiedBy>
  <cp:revision/>
  <dcterms:created xsi:type="dcterms:W3CDTF">2024-10-04T13:35:39Z</dcterms:created>
  <dcterms:modified xsi:type="dcterms:W3CDTF">2025-11-07T17:39:37Z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2abd79-57a9-4473-8700-c843f76a1e37_Enabled">
    <vt:lpwstr>true</vt:lpwstr>
  </property>
  <property fmtid="{D5CDD505-2E9C-101B-9397-08002B2CF9AE}" pid="3" name="MSIP_Label_0c2abd79-57a9-4473-8700-c843f76a1e37_SetDate">
    <vt:lpwstr>2024-10-04T13:37:57Z</vt:lpwstr>
  </property>
  <property fmtid="{D5CDD505-2E9C-101B-9397-08002B2CF9AE}" pid="4" name="MSIP_Label_0c2abd79-57a9-4473-8700-c843f76a1e37_Method">
    <vt:lpwstr>Privileged</vt:lpwstr>
  </property>
  <property fmtid="{D5CDD505-2E9C-101B-9397-08002B2CF9AE}" pid="5" name="MSIP_Label_0c2abd79-57a9-4473-8700-c843f76a1e37_Name">
    <vt:lpwstr>Internal</vt:lpwstr>
  </property>
  <property fmtid="{D5CDD505-2E9C-101B-9397-08002B2CF9AE}" pid="6" name="MSIP_Label_0c2abd79-57a9-4473-8700-c843f76a1e37_SiteId">
    <vt:lpwstr>35595a02-4d6d-44ac-99e1-f9ab4cd872db</vt:lpwstr>
  </property>
  <property fmtid="{D5CDD505-2E9C-101B-9397-08002B2CF9AE}" pid="7" name="MSIP_Label_0c2abd79-57a9-4473-8700-c843f76a1e37_ActionId">
    <vt:lpwstr>605cf3a1-3a93-4e30-b6c3-dc23094cba91</vt:lpwstr>
  </property>
  <property fmtid="{D5CDD505-2E9C-101B-9397-08002B2CF9AE}" pid="8" name="MSIP_Label_0c2abd79-57a9-4473-8700-c843f76a1e37_ContentBits">
    <vt:lpwstr>0</vt:lpwstr>
  </property>
  <property fmtid="{D5CDD505-2E9C-101B-9397-08002B2CF9AE}" pid="9" name="ContentTypeId">
    <vt:lpwstr>0x0101000B6B9A5E792D2446B8986FAE34BEC557</vt:lpwstr>
  </property>
  <property fmtid="{D5CDD505-2E9C-101B-9397-08002B2CF9AE}" pid="10" name="MediaServiceImageTags">
    <vt:lpwstr/>
  </property>
  <property fmtid="{D5CDD505-2E9C-101B-9397-08002B2CF9AE}" pid="11" name="SV_QUERY_LIST_4F35BF76-6C0D-4D9B-82B2-816C12CF3733">
    <vt:lpwstr>empty_477D106A-C0D6-4607-AEBD-E2C9D60EA279</vt:lpwstr>
  </property>
  <property fmtid="{D5CDD505-2E9C-101B-9397-08002B2CF9AE}" pid="12" name="SV_HIDDEN_GRID_QUERY_LIST_4F35BF76-6C0D-4D9B-82B2-816C12CF3733">
    <vt:lpwstr>empty_477D106A-C0D6-4607-AEBD-E2C9D60EA279</vt:lpwstr>
  </property>
</Properties>
</file>