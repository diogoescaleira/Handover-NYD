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e858309\Santander Office 365\Reports Financeira - General\3. VALUATION\1. Documentação\2. Documentação IT\"/>
    </mc:Choice>
  </mc:AlternateContent>
  <bookViews>
    <workbookView xWindow="-120" yWindow="-120" windowWidth="28920" windowHeight="13410" tabRatio="483"/>
  </bookViews>
  <sheets>
    <sheet name="Sheet1" sheetId="1" r:id="rId1"/>
  </sheets>
  <definedNames>
    <definedName name="_xlnm._FilterDatabase" localSheetId="0" hidden="1">Sheet1!$A$1:$L$124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2" i="1"/>
</calcChain>
</file>

<file path=xl/sharedStrings.xml><?xml version="1.0" encoding="utf-8"?>
<sst xmlns="http://schemas.openxmlformats.org/spreadsheetml/2006/main" count="1198" uniqueCount="278">
  <si>
    <t xml:space="preserve">Módulo </t>
  </si>
  <si>
    <t>Submódulo</t>
  </si>
  <si>
    <t>Exposures to legal persons</t>
  </si>
  <si>
    <t>Instruments</t>
  </si>
  <si>
    <t>Counterparties</t>
  </si>
  <si>
    <t>Protections</t>
  </si>
  <si>
    <t>Instrument-Counterparty relation</t>
  </si>
  <si>
    <t>Instrument-Protection relation</t>
  </si>
  <si>
    <t>Exposures to natural persons</t>
  </si>
  <si>
    <t>Off-balance sheet exposures</t>
  </si>
  <si>
    <t>Derivatives</t>
  </si>
  <si>
    <t>Debt securities</t>
  </si>
  <si>
    <t>Equity</t>
  </si>
  <si>
    <t>CRR_LOSS_GIVEN_DEFAULT</t>
  </si>
  <si>
    <t>DATE_STATUS_FORBEARANCE_RENEG</t>
  </si>
  <si>
    <t>% Incidência</t>
  </si>
  <si>
    <t>Comentários unidade</t>
  </si>
  <si>
    <t>Comentários DAI</t>
  </si>
  <si>
    <t>Poderá não ser incidência. Ver se não existe de facto renegociação que justifique os blanks.</t>
  </si>
  <si>
    <t>Campo</t>
  </si>
  <si>
    <t>IFRS9_PROB_DEFAULT_IMPAIRMENT</t>
  </si>
  <si>
    <t>PROBABILITY_DEFAULT_OTHERS</t>
  </si>
  <si>
    <t>DET_TYPE_SHIP_COLLATERAL</t>
  </si>
  <si>
    <t>Segundo as especificações, será um conceito a revisitar no futuro, pelo que a incidência é de 100%</t>
  </si>
  <si>
    <t>CRR_EXPOSURE_CLASS</t>
  </si>
  <si>
    <t>FINREP_EXPOSURE_CLASS</t>
  </si>
  <si>
    <t>TOTAL_RISK_EXPOSURE_AMOUNT</t>
  </si>
  <si>
    <t>TYPE_INSTRUMENT</t>
  </si>
  <si>
    <t>AMORTIZATION_TYPE</t>
  </si>
  <si>
    <t>END_DATE_INTEREST_ONLY_PERIOD</t>
  </si>
  <si>
    <t>INTEREST_RATE_CAP</t>
  </si>
  <si>
    <t>INTEREST_RATE_FLOOR</t>
  </si>
  <si>
    <t>INTEREST_RATE_RESET_FREQ</t>
  </si>
  <si>
    <t>INTEREST_RATE_SPREAD_MARGIN</t>
  </si>
  <si>
    <t>COMMITMENT_AMOUNT_INCEPTION</t>
  </si>
  <si>
    <t>INTEREST_RATE</t>
  </si>
  <si>
    <t>DEFAULT_STATUS_INSTRUMENT</t>
  </si>
  <si>
    <t>DATE_DEFAULT_STATUS_INSTRUMENT</t>
  </si>
  <si>
    <t>TRANSFERRED_AMOUNT</t>
  </si>
  <si>
    <t>ARREARS_INSTRUMENT</t>
  </si>
  <si>
    <t>DATE_PAST_DUE_INSTRUMENT</t>
  </si>
  <si>
    <t>TYPE_SECURITIZATION</t>
  </si>
  <si>
    <t>OUTSTANDING_NOMINAL_AMOUNT</t>
  </si>
  <si>
    <t>ACCRUED_INTEREST</t>
  </si>
  <si>
    <t>OFF_BALANCE_SHEET_AMOUNT</t>
  </si>
  <si>
    <t>ACCUM_WRITE_OFFS</t>
  </si>
  <si>
    <t>ACCUM_IMPAIRMENT_AMOUNT</t>
  </si>
  <si>
    <t>SOURCES_ENCUMBRANCE</t>
  </si>
  <si>
    <t>PROVIS_ASSOC_OFFBALANCE</t>
  </si>
  <si>
    <t>CUMULATIVE_RECOV_SINCE_DEFAULT</t>
  </si>
  <si>
    <t>CARRYING_AMOUNT</t>
  </si>
  <si>
    <t>PRUDENTIAL_PORTFOLIO</t>
  </si>
  <si>
    <t>ACCUM_CHANGES_FV_DUE_CR</t>
  </si>
  <si>
    <t>(3) O controlo de Not Applicable não faz sentido aplicar ao conceito, uma vez que existem operações pela referência de risco totalmente titularizadas que não consomem capital. Identifica as operações com incidência, referindo "Resolução: Trata-se de operações totalmente titularizadas que não consomem capital. Pela especificação devem ser classificados como NA e não como missing values, pelo que já foi solicitado a tecnologia a sua correção."</t>
  </si>
  <si>
    <t>Sem comentários</t>
  </si>
  <si>
    <t>Controlo não realizado</t>
  </si>
  <si>
    <t>Root Cause: Operações em que a LT Estrutural estava e continua a definir o campo para aplicar apenas a Debt Securities.
Resolução: Para passar a incluir o conceito nos restantes segmentos, trata-se de uma alteração estrutural da LT e implica uma análise a fundo com a Contabilidade e alteração de parametrizações / desenvolvimento tecnológico.</t>
  </si>
  <si>
    <t>Identificado pela unidade e em resolução. No entanto, se assim é, o campo "TYPE_Securitization" deveria estar preenchido, e está totalmente com MISS</t>
  </si>
  <si>
    <t>Está tudo preenchido com "Household", mesmo nos casos de corporates. Esclarecer.</t>
  </si>
  <si>
    <t xml:space="preserve">Deverá estar influenciado pelo CRR_EXPOSURE_CLASS. Retirando-se as operações titularizadas, </t>
  </si>
  <si>
    <t>Deverá estar influenciado pelo CRR_EXPOSURE_CLASS</t>
  </si>
  <si>
    <t>Poderá estar influênciado pelo tipo de operações</t>
  </si>
  <si>
    <t>Poderá estar influênciado pelo tipo de operações. Perceber conceito.</t>
  </si>
  <si>
    <t>Pode estar influenciado pelas titularizações referidas na "CRR EXPOSURE CLASS"</t>
  </si>
  <si>
    <t>Retirando os Default da coluna anterior, a incidência é de 76590, correspondentes, na maioria, aos 99999999999 da coluna anterior. A incidência passa a ser de 5,6%.</t>
  </si>
  <si>
    <t>Pode estar correto, não sendo incidência.</t>
  </si>
  <si>
    <t>Não existe um padrão, atingindo também créditos em Default. Esclarecer se pode ter incidências que não se devem considerar.</t>
  </si>
  <si>
    <t>Incidência identificada pela unidade.</t>
  </si>
  <si>
    <t>PROBABILITY_DEFAULT</t>
  </si>
  <si>
    <t>INTERNAL_CREDIT_RATING</t>
  </si>
  <si>
    <t>COUNTERPARTY_ROLE</t>
  </si>
  <si>
    <t>DEFAULT_STATUS_COUNTERPARTY</t>
  </si>
  <si>
    <t>DATE_DEFAULT_STATUS_COUNTERPARTY</t>
  </si>
  <si>
    <t>(1) Uma vez que o rating interno é atribuído somente a primeiros titulares, o controlo está a validar precisamente se os primeiros titulares têm um rating interno preenchido. Identifica 4633 de incidência + 3141.</t>
  </si>
  <si>
    <t>Pode estar influenciado por não ser 1º titular. Esclarecer.</t>
  </si>
  <si>
    <t>Existem 3141 "MISS", identificados pela unidade, e 151267 N/A, em que a unidade apenas refere 4633, por considerar que apenas devem ser considerados os 1os titulares. Mas se assim é, então o n.º total de registos também deve ser expurgado dos outros titulares, de forma a obter a % de incidência correta. Como não temos esta informação, nem as instruções do regulador consideram apenas os 1os titulares, a incidência será de 137212, correspondente a 17%.</t>
  </si>
  <si>
    <t>Pode não ser incidência. Esclarecer.</t>
  </si>
  <si>
    <t>Contaminado pelo "Probability of default". Esclarecer</t>
  </si>
  <si>
    <t>INSTRUMENT_ID</t>
  </si>
  <si>
    <t>DATE_PROTECTION_VALUE</t>
  </si>
  <si>
    <t>ORIGINAL_PROTECTION_VALUE</t>
  </si>
  <si>
    <t>DATE_ORIGINAL_PROTECTION_VALUE</t>
  </si>
  <si>
    <t>TYPE_PROTECTION_VALUE</t>
  </si>
  <si>
    <t>Poderá não ser incidência. Esclarecer.</t>
  </si>
  <si>
    <t>JOINT_LIABILITIES_AMOUNT</t>
  </si>
  <si>
    <t>11111111111.000000</t>
  </si>
  <si>
    <t>blanks</t>
  </si>
  <si>
    <t>99999999999.000000</t>
  </si>
  <si>
    <t>MISS</t>
  </si>
  <si>
    <t>Resultado Incidencia</t>
  </si>
  <si>
    <t>N/A</t>
  </si>
  <si>
    <t>11111111111.00</t>
  </si>
  <si>
    <t>11111111111.00 / MISS</t>
  </si>
  <si>
    <t>99999999999 / 11111111111</t>
  </si>
  <si>
    <t>11/11/1111</t>
  </si>
  <si>
    <t>11/11/1111 / blanks</t>
  </si>
  <si>
    <t>'99999999999.000000</t>
  </si>
  <si>
    <t>99999999999</t>
  </si>
  <si>
    <t>0.00</t>
  </si>
  <si>
    <t>11111111111</t>
  </si>
  <si>
    <t>N/A / MISS</t>
  </si>
  <si>
    <t>99999999999 /  11111111111</t>
  </si>
  <si>
    <t>11/11/1111 / 31/12/9999</t>
  </si>
  <si>
    <t>NOMINAL_AMOUNT</t>
  </si>
  <si>
    <t>NOMINAL_INTEREST_RATE_FEE</t>
  </si>
  <si>
    <t>Todos os 903589 campos a 0, implicando uma incidência de 100%.</t>
  </si>
  <si>
    <t>Todos os 903589 campos com 9999999999, implicando uma incidência de 100%. As especificações referem que o conceito do campo não está claro.</t>
  </si>
  <si>
    <t>Existem 48157 registos com 999999999, implicando no total uma incidência de 5,3%.</t>
  </si>
  <si>
    <t>Considera-se a mesma incidência do campo anterior.Existem 48157 registos com 999999999, implicando no total uma incidência de 5,3%.</t>
  </si>
  <si>
    <t>Todos os 903589 campos com 0, implicando uma incidência de 100%.</t>
  </si>
  <si>
    <t>LEGAL_ENTITY_ID</t>
  </si>
  <si>
    <t>HEAD_OFFICE_UNDERTAKING_ID</t>
  </si>
  <si>
    <t>IMMEDIATE_PARENT_UNDERTAKING_ID</t>
  </si>
  <si>
    <t>ULTIMATE_PARENT_UNDERTAKING_ID</t>
  </si>
  <si>
    <t>ADDRESS_STREET</t>
  </si>
  <si>
    <t>ADDRESS_CITY_TOWN_VILLAGE</t>
  </si>
  <si>
    <t>ADDRESS_COUNTY_ADM_DIV</t>
  </si>
  <si>
    <t>(2) Uma vez que o rating interno é atribuído somente a primeiros titulares, o controlo está a validar precisamente se os primeiros titulares têm um rating interno preenchido.</t>
  </si>
  <si>
    <t>Root Cause: Campo preenchido apenas a partir do rácio de Fev-25.
Resolução: Incidência resolvida a partir do rácio de Fev-25.</t>
  </si>
  <si>
    <t>Existem 2207 "MISS", identificados pela unidade, e 135005 N/A, em que a unidade apenas refere 5647, por considerar que apenas devem ser considerados os 1os titulares. Mas se assim é, então o n.º total de registos também deve ser expurgado dos outros titulares, de forma a obter a % de incidência correta. Como não temos esta informação, nem as instruções do regulador consideram apenas os 1os titulares, a incidência será de 137212, correspondente a 17%.</t>
  </si>
  <si>
    <t>Todos os 903589 campos com 0, implicando uma incidência de 100%. As especificações referem ser necessário validar a necessidade de criar um novo campo ("PD misto" ) na LT002_INSTRUMENT dado que se solicita um "misto" entre a PD 12m (PD12M_IFRS9) e a PD lifetime (PD_LT_IFRS9), campos já existentes nessa tabela.</t>
  </si>
  <si>
    <t>Contaminado pelo "Probability of default". Perceber porquê?</t>
  </si>
  <si>
    <t>As especificações referem Informação não parece existir no datalake, necessário avaliar fontes alternativas, implicando uma incidência de 100%.</t>
  </si>
  <si>
    <t>Segundo a unidade, este campo, a partir de fevereiro de 2025, já deverá estar preenchido. Necessárias evidências.</t>
  </si>
  <si>
    <t>'11/11/1111 / 31/12/9999</t>
  </si>
  <si>
    <t>PROTECTION_PROVIDER_ID</t>
  </si>
  <si>
    <t>MATURITY_DATE_PROTECTION</t>
  </si>
  <si>
    <t>Todos os resultados em N/A, implicando 100% incidência.</t>
  </si>
  <si>
    <t>Incidência em 28890 registos (data 11/11/1111). A maioria dos casos sem data refere-se ao TYPE COLATERAL "Other Protection Value". Perceber porquê.</t>
  </si>
  <si>
    <t>Incidência em 28890 registos (registos 11111111111). A maioria dos casos sem data refere-se ao TYPE COLATERAL "Other Protection Value". Perceber porquê.</t>
  </si>
  <si>
    <t>Incidência em 28890 registos (registos N/A). A maioria dos casos sem data refere-se ao TYPE COLATERAL "Other Protection Value". Perceber porquê.</t>
  </si>
  <si>
    <t>11111111111.00 / -11111111111.00</t>
  </si>
  <si>
    <t>Totalidade dos 1076726 registos sem informação (=11111111111). Incidência de 100%.</t>
  </si>
  <si>
    <t>EXTERNAL_CREDIT_RATING</t>
  </si>
  <si>
    <t>Totalidade dos 52075 registos sem informação (=11111111111). Incidência de 100%.</t>
  </si>
  <si>
    <t>11111111111.00 / 0.00</t>
  </si>
  <si>
    <t>UNIQUE_TRADE_ID</t>
  </si>
  <si>
    <t>COUNTERPARTY_ID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</si>
  <si>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</si>
  <si>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</si>
  <si>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</si>
  <si>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</si>
  <si>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</si>
  <si>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</si>
  <si>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</si>
  <si>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</si>
  <si>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</si>
  <si>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</si>
  <si>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</si>
  <si>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</si>
  <si>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</si>
  <si>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</si>
  <si>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</si>
  <si>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</si>
  <si>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</si>
  <si>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</si>
  <si>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ACCOUNTING_STANDARD</t>
  </si>
  <si>
    <t>ACCOUNTING_CLASSIFICATION</t>
  </si>
  <si>
    <t>HIERARCHY</t>
  </si>
  <si>
    <t>HEDGE_ID</t>
  </si>
  <si>
    <t>Root Cause: 496 operações preenchidas na LT001 com a carteira contabilística “derivados de cobertura” e “passivos financeiros detidos para negociacao”. Esta opção não se encontra ao dia de hoje parametrizada na tabela LT803.
Resolução: Já foi solicitado a Tecnologia a parametrização das carteiras contabilísticas em falta.</t>
  </si>
  <si>
    <t>Todos os 843 registos com "Miss" (100% incidência). De acordo com as especificações, esta informação não existia no datalake, foi endereçado um desenvolvimento às areas de ALM e SIGOM de forma a passar a aprovisionar esta informação nas tabelas al005_det_swapc e al011_derivados.</t>
  </si>
  <si>
    <t>São considerados 27 registos que não têm informação carregada em nenhum campo. Caso não sejam aplicáveis, devem ser retirados.</t>
  </si>
  <si>
    <t>Todos os 843 registos com "Miss" (100% incidência). De acordo com as especificações, regra quase finalizada, falta confirmar a forma correta de verificar se um contrato Finrep está ao abrigo de um contrato ISDA</t>
  </si>
  <si>
    <t>Todos os 843 registos com "Miss" (100% incidência). De acordo com as especificações, será um conceito a revisitar no futuro.</t>
  </si>
  <si>
    <t>Todos os 843 registos com "Miss" (100% incidência). De acordo com as especificações, será para reportar sempre Miss.</t>
  </si>
  <si>
    <t>Todos os 843 registos com "Miss" (100% incidência). De acordo com as especificações, "será necessário validar se o campo al011_derivados".</t>
  </si>
  <si>
    <t>Todos os 843 registos com "Miss" (100% incidência). De acordo com as especificações, será para reportar sempre N/A.</t>
  </si>
  <si>
    <t>Além dos 27 N/A já referidos, temos outros 30 com "N/A", o que implica 7% de incidência.</t>
  </si>
  <si>
    <t>Todos os 843 registos com valor 0 (100% incidência). De acordo com as especificações, será para reportar sempre N/A.</t>
  </si>
  <si>
    <t>Além dos 27 N/A já referidos, temos outros 496 com "N/A", o que implica 62% de incidência. Esta incidência foi identificada pela unidade.</t>
  </si>
  <si>
    <t>Além dos 27 N/A já referidos, temos outros 496 com "N/A", o que implica 100% de incidência. Esta incidência foi identificada pela unidade.</t>
  </si>
  <si>
    <t>Todos os 843 registos com "Miss" (100% incidência). De acordo com as especificações, os pontos estão a ser analisados.</t>
  </si>
  <si>
    <t>Todos os 843 registos com "N/A" (100% incidência).</t>
  </si>
  <si>
    <t>ISIN</t>
  </si>
  <si>
    <t>ISSUER_RATINGS</t>
  </si>
  <si>
    <t>ISSUER_RATINGS_SOURCES</t>
  </si>
  <si>
    <t>CURRENCY_VALUE</t>
  </si>
  <si>
    <t>VAL_TIMESTAMP</t>
  </si>
  <si>
    <t>VAL_TYPE</t>
  </si>
  <si>
    <t>GUARANTOR_ID</t>
  </si>
  <si>
    <t>GUARANTOR_ID_TYPE</t>
  </si>
  <si>
    <t>SECURITY_RATING</t>
  </si>
  <si>
    <t>PURCHASED_RESALE_AGR</t>
  </si>
  <si>
    <t>PART_LCR_BUFFER</t>
  </si>
  <si>
    <t>LCR_BUFFER_CATEGORY</t>
  </si>
  <si>
    <t>Root Cause: 3 operações com ISIN duplicado.
Resolução: 2 dos ISIN sobre Papel Comercial vêm duplicadas da origem e já foi comunicada a Tecnologia para resolução. O 3ª ISIN encontra-se corretamente duplicado, uma vez que se trata de um título de dívida pública que tem uma parte numa carteira SIGOM e outra parte noutra, gerando assim 2 chaves distintas.</t>
  </si>
  <si>
    <t>Não existem controlos de qualidade. Verificámos ainda assim, no ficheiro CSV, que todos os campos estão preenchidos, sendo identificados 3 duplicados pela unidade (o controlo de duplicados neste campo é desnecessário (inclusivamente está como N/A, pois podem existir ISINs duplicados, se forem de diferentes ISSUERs)). São considerados 19 registos (na maioria que se iniciam com SNC), que não têm informação carregada em nenhum campo. Caso não sejam aplicáveis, devem ser retirados.</t>
  </si>
  <si>
    <t>Além dos 19 N/A, temos o resto (444) com "Miss", o que implica 100% de incidência.</t>
  </si>
  <si>
    <t>Além dos 19 N/A já referidos, temos outros 358 com "N/A", o que implica 81% de incidência.</t>
  </si>
  <si>
    <t>Além dos 19 N/A já referidos, temos outros 358 com "N/A" e 86 "Miss", conforme identificado pela unidade, implicando uma incidência de 100%.</t>
  </si>
  <si>
    <t>Além dos 19 N/A já referidos, temos outros 435 com "Miss", o que implica 98% de incidência.</t>
  </si>
  <si>
    <t>Além dos 19 N/A já referidos, temos outros 440 com "N/A", o que implica 99% de incidência.</t>
  </si>
  <si>
    <t>MISS / N/A</t>
  </si>
  <si>
    <t>FINANCIAL_CONTRACT_ID</t>
  </si>
  <si>
    <t>DIVIDEND_YIELD</t>
  </si>
  <si>
    <t xml:space="preserve">Resolução: A LT terá de ser aprovisionada com esta informação que no presente é somente utilizada para um fim específico do reporte trimestral. </t>
  </si>
  <si>
    <t>Root Cause: Operações classificadas com a Carteira Contabilística  'investimentos em associadas e filiais excluidas da consolidacao' a entrar erradamente no universo do Valuation.
Resolução: Solicitado à equipa de Tecnologia a exclusão das opereações de Equity com a respetiva Carteira Contabilística.</t>
  </si>
  <si>
    <t>Não existem controlos de qualidade. Verificámos ainda assim, no ficheiro CSV, que todos os campos estão preenchidos, sem duplicados. São considerados 6 registos, que se iniciam com SNC, que não têm informação carregada em nenhum campo. Caso não sejam aplicáveis, devem ser retirados.</t>
  </si>
  <si>
    <t>O controlo de duplicados é desnecessário (inclusivamente está como N/A, pois podem existir ISINs duplicados, se forem de diferentes ISSUERs). Todos os campos do ficheiro CSV estão como N/A, implicando uma incidência de 100%. No entanto, não foram feitos testes aos N/A. A maioria dos ISINs estarão identificados no campo relativo ao "instrmnt_id", mas em conjunto com outros dados.</t>
  </si>
  <si>
    <t>Além dos 6 N/A, temos o resto (36) com "Miss", o que implica 100% de incidência.</t>
  </si>
  <si>
    <t>Além dos 6 N/A, temos o resto (36) com "N/A", o que implica 100% de incidência.</t>
  </si>
  <si>
    <t>Campos por preencher, conforme identificado pela unidade.</t>
  </si>
  <si>
    <t>Além dos 6 N/A, temos 8 linhas que não deveriam estar no reporte, conforme já identificado pela unidade.</t>
  </si>
  <si>
    <t>Além dos 6 N/A, temos 8 linhas que não deveriam estar no reporte, conforme já identificado pela unidade para o campo "ACCNTNG_CLSSFCTN".</t>
  </si>
  <si>
    <t>Possível Resposta</t>
  </si>
  <si>
    <t>Não temos operativa, não registamos este informação nos sistemas será sempre N/A</t>
  </si>
  <si>
    <t>Não temos registamos este informação nos sistemas será sempre N/A e não MISS?</t>
  </si>
  <si>
    <t>Mostrar que a corrida de fevereiro produziu resultados</t>
  </si>
  <si>
    <t>Se são natural persons, é natural que sejam households. Agora se aparecem corporates pode ser uma questão de mapeamento antes da LT</t>
  </si>
  <si>
    <t>verificar parametrização do not aplicable</t>
  </si>
  <si>
    <t>Problema identificado</t>
  </si>
  <si>
    <t>verificar isto mesmo</t>
  </si>
  <si>
    <t>Para além da questão do PPC que entretanto foi resolvida, é possível ter ISIN duplicados se o Banco tiver o mesmo títulos em carteiras contabilisticas distintas (i.e AFS e HTC) não sendo um erro</t>
  </si>
  <si>
    <t>É mesmo assim porque somos um Banco IRB. Preenche-se o outro campo da PD IFRS9</t>
  </si>
  <si>
    <t>Campo do novo projeto, mostrar evidencia</t>
  </si>
  <si>
    <t>Comentário IT</t>
  </si>
  <si>
    <t>Campo encontra-se de acordo com a especificação</t>
  </si>
  <si>
    <t>Campo a revisitar no âmbito da nova iniciativa do Valuation</t>
  </si>
  <si>
    <t>OFF_BLNC_SHT_AMNT_INSTRMNT</t>
  </si>
  <si>
    <t>select ACCMLTD_IMPRMNT_INSTRMNT, count(*) from cd_loan_tapes_bce.lt002_instrument where 
ambito='SRB_VALUATION' and ref_date='2024-12-31' and segmento='Exposures to natural persons'
--ambito='PM' and segmento='ESTR'
group by 1
order by count(*) desc</t>
  </si>
  <si>
    <t>PRVSNS_OFF_BLNC_SHT</t>
  </si>
  <si>
    <t>select CRRYNG_AMNT_INSTRMNT, count(*) from cd_loan_tapes_bce.lt002_instrument where 
ambito='SRB_VALUATION' and ref_date='2024-12-31' and segmento='Exposures to natural persons'
--ambito='PM' and segmento='ESTR'
group by 1
order by count(*) desc</t>
  </si>
  <si>
    <t>Tema já identificado</t>
  </si>
  <si>
    <t>ISSR_RTNG</t>
  </si>
  <si>
    <t>ISSR_RTNG_SRC</t>
  </si>
  <si>
    <t>VLTN_TYP</t>
  </si>
  <si>
    <t>select GRSS_CRRYNG_AMNT_INSTRMNT, count(*) from cd_loan_tapes_bce.lt002_instrument where 
ambito='SRB_VALUATION' and ref_date='2024-12-31' and segmento='Derivatives'
--ambito='PM' and segmento='ESTR'
group by 1
order by count(*) desc
;</t>
  </si>
  <si>
    <t>VLTN_CRRNCY</t>
  </si>
  <si>
    <t>PRT_LCR_BFFR</t>
  </si>
  <si>
    <t>select OFF_BLNC_SHT_AMNT_INSTRMNT, count(*) 
from cd_loan_tapes_bce.lt002_instrument where 
ambito='SRB_VALUATION' and ref_date='2024-12-31' and segmento='Off-balance sheet exposures'
--ambito='PM' and segmento='ESTR'
group by 1
order by count(*) desc</t>
  </si>
  <si>
    <t>LGD</t>
  </si>
  <si>
    <t>DT_FRBRNC_STTS</t>
  </si>
  <si>
    <t>select GRNTR_ID, count(*) 
from cd_loan_tapes_bce.lt002_instrument where 
ambito='SRB_VALUATION' and ref_date='2024-12-31' and segmento='Debt securities'
--ambito='PM' and segmento='ESTR'
group by 1
order by count(*) desc</t>
  </si>
  <si>
    <t>select GRNTR_ID_TYP, count(*) 
from cd_loan_tapes_bce.lt002_instrument where 
ambito='SRB_VALUATION' and ref_date='2024-12-31' and segmento='Debt securities'
--ambito='PM' and segmento='ESTR'
group by 1
order by count(*) desc</t>
  </si>
  <si>
    <t>PRCH_UNDR_RSL_AGR</t>
  </si>
  <si>
    <t>LCR_BFFR_CTGRY</t>
  </si>
  <si>
    <t>DT_VLTN</t>
  </si>
  <si>
    <t>RWA</t>
  </si>
  <si>
    <t>TYP_AMRTSTN</t>
  </si>
  <si>
    <t>DT_END_INTRST_ONLY</t>
  </si>
  <si>
    <t>INTRST_RT_RST_FRQNCY</t>
  </si>
  <si>
    <t>CMMTMNT_INCPTN_INSTRMNT</t>
  </si>
  <si>
    <t>ANNLSD_AGRD_RT</t>
  </si>
  <si>
    <t>DFLT_STTS_INSTRMNT</t>
  </si>
  <si>
    <t>DT_DFLT_STTS_INSTRMNT</t>
  </si>
  <si>
    <t>ARRRS_INSTRMNT</t>
  </si>
  <si>
    <t>DT_PST_D</t>
  </si>
  <si>
    <t>OTSTNDNG_NMNL_AMNT_INSTRMNT</t>
  </si>
  <si>
    <t>ACCRD_INTRST_INSTRMNT</t>
  </si>
  <si>
    <t>CMLTV_RCVRS_SNC_DFLT_INSTRMNT</t>
  </si>
  <si>
    <t>ACCNTNG_CLSSFCTN</t>
  </si>
  <si>
    <t>PRDNTL_PRTFL</t>
  </si>
  <si>
    <t>PD_CRR_RD</t>
  </si>
  <si>
    <t>INTRNL_RTNG</t>
  </si>
  <si>
    <t>DFLT_STTS</t>
  </si>
  <si>
    <t>DT_DFLT_STTS</t>
  </si>
  <si>
    <t>LEI</t>
  </si>
  <si>
    <t>DT_PRTCTN_VL</t>
  </si>
  <si>
    <t>ORGNL_PRTCTN_VL</t>
  </si>
  <si>
    <t>DT_ORGNL_PRTCTN_VL</t>
  </si>
  <si>
    <t>TYP_PRTCTN_VL</t>
  </si>
  <si>
    <t>PRTCTN_PRVDR_ID</t>
  </si>
  <si>
    <t>DT_MTRTY_PRTCTN</t>
  </si>
  <si>
    <t>JNT_LBLTY_AMNT</t>
  </si>
  <si>
    <t xml:space="preserve">
INTRNL_SGMNT</t>
  </si>
  <si>
    <t>ACCMLTD_WRTFFS_INSTRMNT</t>
  </si>
  <si>
    <t>ACCMLTD_CHNGS_FV_CR_INSTRMNT</t>
  </si>
  <si>
    <t>ACCMLTD_IMPRMNT_INSTRMNT</t>
  </si>
  <si>
    <t>Campo já existente no Loan Tape, necessária análise</t>
  </si>
  <si>
    <t>Campo novo, necessária análise</t>
  </si>
  <si>
    <t>Os registos mencionados (SNC%) tratam-se de registos manuais</t>
  </si>
  <si>
    <t>SPRD</t>
  </si>
  <si>
    <t>select typ_instrmnt, count(*) from cd_loan_tapes_bce.lt002_instrument where 
ambito='SRB_VALUATION' and ref_date='2024-12-31'
and segmento='Exposures to natural persons'
group by 1
order by count(*) desc</t>
  </si>
  <si>
    <t>Campo encontra-se preenchido, não existindo a % de incidência indicada</t>
  </si>
  <si>
    <t>campo_lt / Query</t>
  </si>
  <si>
    <t>Campo será alterado para reportar N/A em vez de MISS (Operativa inexistente)</t>
  </si>
  <si>
    <t>Campo não encontrado no Módulo/Submódulo indicado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</si>
</sst>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theme="1"/>
      <name val="Santander Text"/>
      <family val="2"/>
    </font>
    <font>
      <sz val="10"/>
      <color theme="1"/>
      <name val="Santander Text"/>
      <family val="2"/>
    </font>
    <font>
      <b/>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theme="2"/>
        <bgColor indexed="64"/>
      </patternFill>
    </fill>
  </fills>
  <borders count="10">
    <border>
      <left/>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10" fontId="2" fillId="2" borderId="8" xfId="1" applyNumberFormat="1" applyFont="1" applyFill="1" applyBorder="1" applyAlignment="1">
      <alignment horizontal="center" vertical="center" wrapText="1"/>
    </xf>
    <xf numFmtId="0" fontId="0" fillId="0" borderId="1" xfId="0" applyFill="1" applyBorder="1" applyAlignment="1">
      <alignment vertical="center" wrapText="1"/>
    </xf>
    <xf numFmtId="0" fontId="0" fillId="0" borderId="2" xfId="0" applyFill="1" applyBorder="1" applyAlignment="1">
      <alignment vertical="center" wrapText="1"/>
    </xf>
    <xf numFmtId="0" fontId="0" fillId="0" borderId="0" xfId="0" applyAlignment="1">
      <alignment vertical="center" wrapText="1"/>
    </xf>
    <xf numFmtId="0" fontId="0" fillId="0" borderId="6" xfId="0" applyFill="1" applyBorder="1" applyAlignment="1">
      <alignment vertical="center" wrapText="1"/>
    </xf>
    <xf numFmtId="10" fontId="0" fillId="0" borderId="6" xfId="1" applyNumberFormat="1" applyFont="1" applyFill="1" applyBorder="1" applyAlignment="1">
      <alignment vertical="center" wrapText="1"/>
    </xf>
    <xf numFmtId="0" fontId="0" fillId="0" borderId="0" xfId="0" applyFill="1" applyAlignment="1">
      <alignment vertical="center" wrapText="1"/>
    </xf>
    <xf numFmtId="0" fontId="0" fillId="0" borderId="3" xfId="0" applyFill="1" applyBorder="1" applyAlignment="1">
      <alignment vertical="center" wrapText="1"/>
    </xf>
    <xf numFmtId="10" fontId="0" fillId="0" borderId="3" xfId="1" applyNumberFormat="1" applyFont="1" applyFill="1" applyBorder="1" applyAlignment="1">
      <alignment vertical="center" wrapText="1"/>
    </xf>
    <xf numFmtId="10" fontId="0" fillId="0" borderId="3" xfId="1" quotePrefix="1" applyNumberFormat="1" applyFont="1" applyFill="1" applyBorder="1" applyAlignment="1">
      <alignment vertical="center" wrapText="1"/>
    </xf>
    <xf numFmtId="14" fontId="0" fillId="0" borderId="3" xfId="1" applyNumberFormat="1" applyFont="1" applyFill="1" applyBorder="1" applyAlignment="1">
      <alignment vertical="center" wrapText="1"/>
    </xf>
    <xf numFmtId="0" fontId="0" fillId="0" borderId="3" xfId="0" quotePrefix="1" applyFill="1" applyBorder="1" applyAlignment="1">
      <alignment vertical="center" wrapText="1"/>
    </xf>
    <xf numFmtId="0" fontId="0" fillId="0" borderId="2" xfId="0" applyFill="1" applyBorder="1" applyAlignment="1">
      <alignment horizontal="left" vertical="center" wrapText="1"/>
    </xf>
    <xf numFmtId="0" fontId="0" fillId="0" borderId="4" xfId="0" applyFill="1" applyBorder="1" applyAlignment="1">
      <alignment horizontal="left" vertical="center" wrapText="1"/>
    </xf>
    <xf numFmtId="0" fontId="0" fillId="0" borderId="5" xfId="0" applyFill="1" applyBorder="1" applyAlignment="1">
      <alignment vertical="center" wrapText="1"/>
    </xf>
    <xf numFmtId="10" fontId="0" fillId="0" borderId="0" xfId="1" applyNumberFormat="1" applyFont="1" applyAlignment="1">
      <alignment vertical="center" wrapText="1"/>
    </xf>
    <xf numFmtId="10" fontId="0" fillId="0" borderId="6" xfId="1" applyNumberFormat="1" applyFont="1" applyFill="1" applyBorder="1" applyAlignment="1">
      <alignment horizontal="center" vertical="center" wrapText="1"/>
    </xf>
    <xf numFmtId="10" fontId="0" fillId="0" borderId="3" xfId="1" applyNumberFormat="1" applyFont="1" applyFill="1" applyBorder="1" applyAlignment="1">
      <alignment horizontal="center" vertical="center" wrapText="1"/>
    </xf>
    <xf numFmtId="10" fontId="0" fillId="0" borderId="5" xfId="1" applyNumberFormat="1" applyFont="1" applyFill="1" applyBorder="1" applyAlignment="1">
      <alignment horizontal="center" vertical="center" wrapText="1"/>
    </xf>
    <xf numFmtId="10" fontId="0" fillId="0" borderId="0" xfId="1" applyNumberFormat="1" applyFont="1" applyAlignment="1">
      <alignment horizontal="center" vertical="center" wrapText="1"/>
    </xf>
    <xf numFmtId="0" fontId="3" fillId="0" borderId="0" xfId="0" applyFont="1"/>
    <xf numFmtId="0" fontId="0" fillId="0" borderId="9" xfId="0" applyFill="1" applyBorder="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4"/>
  <sheetViews>
    <sheetView tabSelected="1" zoomScale="70" zoomScaleNormal="70" workbookViewId="0">
      <selection activeCell="G10" sqref="G10"/>
    </sheetView>
  </sheetViews>
  <sheetFormatPr defaultColWidth="33.5703125" defaultRowHeight="16.5" x14ac:dyDescent="0.35"/>
  <cols>
    <col min="1" max="1" width="33.5703125" style="6"/>
    <col min="2" max="2" width="17.28515625" style="6" customWidth="1"/>
    <col min="3" max="3" width="40" style="6" customWidth="1"/>
    <col min="4" max="4" width="19.28515625" style="22" customWidth="1"/>
    <col min="5" max="5" width="21.140625" style="18" customWidth="1"/>
    <col min="6" max="8" width="33.5703125" style="6"/>
    <col min="9" max="9" width="62.42578125" style="9" customWidth="1"/>
    <col min="10" max="11" width="39.28515625" style="6" customWidth="1"/>
    <col min="12" max="12" width="83.140625" style="6" bestFit="1" customWidth="1"/>
    <col min="13" max="13" width="70.140625" style="9" bestFit="1" customWidth="1"/>
    <col min="14" max="14" width="39.28515625" style="6" customWidth="1"/>
    <col min="15" max="16384" width="33.5703125" style="6"/>
  </cols>
  <sheetData>
    <row r="1" spans="1:16" ht="30.75" thickBot="1" x14ac:dyDescent="0.4">
      <c r="A1" s="1" t="s">
        <v>0</v>
      </c>
      <c r="B1" s="2" t="s">
        <v>1</v>
      </c>
      <c r="C1" s="2" t="s">
        <v>19</v>
      </c>
      <c r="D1" s="3" t="s">
        <v>15</v>
      </c>
      <c r="E1" s="3" t="s">
        <v>89</v>
      </c>
      <c r="F1" s="2" t="s">
        <v>16</v>
      </c>
      <c r="G1" s="2" t="s">
        <v>17</v>
      </c>
      <c r="H1" s="2" t="s">
        <v>205</v>
      </c>
      <c r="I1" s="2" t="s">
        <v>216</v>
      </c>
      <c r="J1" s="9" t="s">
        <v>275</v>
      </c>
      <c r="K1" s="9"/>
      <c r="L1" s="9"/>
      <c r="N1" s="9" t="s">
        <v>275</v>
      </c>
      <c r="O1" s="9"/>
      <c r="P1" s="9"/>
    </row>
    <row r="2" spans="1:16" s="9" customFormat="1" x14ac:dyDescent="0.35">
      <c r="A2" s="4" t="s">
        <v>2</v>
      </c>
      <c r="B2" s="7" t="s">
        <v>3</v>
      </c>
      <c r="C2" s="7" t="s">
        <v>13</v>
      </c>
      <c r="D2" s="19">
        <v>0.34066287460052658</v>
      </c>
      <c r="E2" s="8" t="s">
        <v>85</v>
      </c>
      <c r="F2" s="7"/>
      <c r="G2" s="7"/>
      <c r="H2" s="7"/>
      <c r="I2" s="24" t="s">
        <v>269</v>
      </c>
      <c r="J2" s="9" t="s">
        <v>231</v>
      </c>
      <c r="L2" s="9" t="str">
        <f>CONCATENATE(A2,B2,C2)</f>
        <v>Exposures to legal personsInstrumentsCRR_LOSS_GIVEN_DEFAULT</v>
      </c>
      <c r="M2" s="24" t="s">
        <v>269</v>
      </c>
      <c r="N2" s="9" t="s">
        <v>231</v>
      </c>
    </row>
    <row r="3" spans="1:16" s="9" customFormat="1" ht="49.5" x14ac:dyDescent="0.35">
      <c r="A3" s="5" t="s">
        <v>2</v>
      </c>
      <c r="B3" s="10" t="s">
        <v>3</v>
      </c>
      <c r="C3" s="10" t="s">
        <v>14</v>
      </c>
      <c r="D3" s="20">
        <v>0.99931949545038201</v>
      </c>
      <c r="E3" s="11" t="s">
        <v>86</v>
      </c>
      <c r="F3" s="10"/>
      <c r="G3" s="10" t="s">
        <v>18</v>
      </c>
      <c r="H3" s="10"/>
      <c r="I3" s="24" t="s">
        <v>269</v>
      </c>
      <c r="J3" s="9" t="s">
        <v>232</v>
      </c>
      <c r="L3" s="9" t="str">
        <f t="shared" ref="L3:L66" si="0">CONCATENATE(A3,B3,C3)</f>
        <v>Exposures to legal personsInstrumentsDATE_STATUS_FORBEARANCE_RENEG</v>
      </c>
      <c r="M3" s="24" t="s">
        <v>269</v>
      </c>
      <c r="N3" s="9" t="s">
        <v>232</v>
      </c>
    </row>
    <row r="4" spans="1:16" s="9" customFormat="1" ht="33" x14ac:dyDescent="0.35">
      <c r="A4" s="5" t="s">
        <v>2</v>
      </c>
      <c r="B4" s="10" t="s">
        <v>4</v>
      </c>
      <c r="C4" s="10" t="s">
        <v>20</v>
      </c>
      <c r="D4" s="20">
        <v>1</v>
      </c>
      <c r="E4" s="11" t="s">
        <v>87</v>
      </c>
      <c r="F4" s="10"/>
      <c r="G4" s="10"/>
      <c r="H4" s="10" t="s">
        <v>215</v>
      </c>
      <c r="I4" s="24" t="s">
        <v>218</v>
      </c>
      <c r="L4" s="9" t="str">
        <f t="shared" si="0"/>
        <v>Exposures to legal personsCounterpartiesIFRS9_PROB_DEFAULT_IMPAIRMENT</v>
      </c>
      <c r="M4" s="24" t="s">
        <v>218</v>
      </c>
    </row>
    <row r="5" spans="1:16" s="9" customFormat="1" ht="49.5" x14ac:dyDescent="0.35">
      <c r="A5" s="5" t="s">
        <v>2</v>
      </c>
      <c r="B5" s="10" t="s">
        <v>4</v>
      </c>
      <c r="C5" s="10" t="s">
        <v>21</v>
      </c>
      <c r="D5" s="20">
        <v>1</v>
      </c>
      <c r="E5" s="11" t="s">
        <v>85</v>
      </c>
      <c r="F5" s="10"/>
      <c r="G5" s="10"/>
      <c r="H5" s="10" t="s">
        <v>214</v>
      </c>
      <c r="I5" s="24" t="s">
        <v>217</v>
      </c>
      <c r="L5" s="9" t="str">
        <f t="shared" si="0"/>
        <v>Exposures to legal personsCounterpartiesPROBABILITY_DEFAULT_OTHERS</v>
      </c>
      <c r="M5" s="24" t="s">
        <v>217</v>
      </c>
    </row>
    <row r="6" spans="1:16" s="9" customFormat="1" ht="49.5" x14ac:dyDescent="0.35">
      <c r="A6" s="5" t="s">
        <v>2</v>
      </c>
      <c r="B6" s="10" t="s">
        <v>5</v>
      </c>
      <c r="C6" s="10" t="s">
        <v>22</v>
      </c>
      <c r="D6" s="20">
        <v>1</v>
      </c>
      <c r="E6" s="11" t="s">
        <v>88</v>
      </c>
      <c r="F6" s="10"/>
      <c r="G6" s="10" t="s">
        <v>23</v>
      </c>
      <c r="H6" s="10" t="s">
        <v>206</v>
      </c>
      <c r="I6" s="24" t="s">
        <v>276</v>
      </c>
      <c r="L6" s="9" t="str">
        <f t="shared" si="0"/>
        <v>Exposures to legal personsProtectionsDET_TYPE_SHIP_COLLATERAL</v>
      </c>
      <c r="M6" s="24" t="s">
        <v>276</v>
      </c>
    </row>
    <row r="7" spans="1:16" s="9" customFormat="1" ht="198" x14ac:dyDescent="0.35">
      <c r="A7" s="5" t="s">
        <v>8</v>
      </c>
      <c r="B7" s="10" t="s">
        <v>3</v>
      </c>
      <c r="C7" s="10" t="s">
        <v>24</v>
      </c>
      <c r="D7" s="20">
        <v>8.5084625199078959E-2</v>
      </c>
      <c r="E7" s="11" t="s">
        <v>88</v>
      </c>
      <c r="F7" s="10" t="s">
        <v>53</v>
      </c>
      <c r="G7" s="10" t="s">
        <v>57</v>
      </c>
      <c r="H7" s="10" t="s">
        <v>210</v>
      </c>
      <c r="I7" s="24" t="s">
        <v>223</v>
      </c>
      <c r="L7" s="9" t="str">
        <f t="shared" si="0"/>
        <v>Exposures to natural personsInstrumentsCRR_EXPOSURE_CLASS</v>
      </c>
      <c r="M7" s="24" t="s">
        <v>223</v>
      </c>
    </row>
    <row r="8" spans="1:16" s="9" customFormat="1" ht="66" x14ac:dyDescent="0.35">
      <c r="A8" s="5" t="s">
        <v>8</v>
      </c>
      <c r="B8" s="10" t="s">
        <v>3</v>
      </c>
      <c r="C8" s="10" t="s">
        <v>25</v>
      </c>
      <c r="D8" s="20">
        <v>3.2084736471675663E-5</v>
      </c>
      <c r="E8" s="11" t="s">
        <v>90</v>
      </c>
      <c r="F8" s="10" t="s">
        <v>54</v>
      </c>
      <c r="G8" s="10" t="s">
        <v>58</v>
      </c>
      <c r="H8" s="10" t="s">
        <v>209</v>
      </c>
      <c r="I8" s="24" t="s">
        <v>269</v>
      </c>
      <c r="J8" s="9" t="s">
        <v>265</v>
      </c>
      <c r="L8" s="9" t="str">
        <f t="shared" si="0"/>
        <v>Exposures to natural personsInstrumentsFINREP_EXPOSURE_CLASS</v>
      </c>
      <c r="M8" s="24" t="s">
        <v>269</v>
      </c>
      <c r="N8" s="9" t="s">
        <v>265</v>
      </c>
    </row>
    <row r="9" spans="1:16" s="9" customFormat="1" ht="49.5" x14ac:dyDescent="0.35">
      <c r="A9" s="5" t="s">
        <v>8</v>
      </c>
      <c r="B9" s="10" t="s">
        <v>3</v>
      </c>
      <c r="C9" s="10" t="s">
        <v>26</v>
      </c>
      <c r="D9" s="20">
        <v>0.104368917126491</v>
      </c>
      <c r="E9" s="11" t="s">
        <v>92</v>
      </c>
      <c r="F9" s="10" t="s">
        <v>55</v>
      </c>
      <c r="G9" s="10" t="s">
        <v>59</v>
      </c>
      <c r="H9" s="10"/>
      <c r="I9" s="24" t="s">
        <v>269</v>
      </c>
      <c r="J9" s="9" t="s">
        <v>238</v>
      </c>
      <c r="L9" s="9" t="str">
        <f t="shared" si="0"/>
        <v>Exposures to natural personsInstrumentsTOTAL_RISK_EXPOSURE_AMOUNT</v>
      </c>
      <c r="M9" s="24" t="s">
        <v>269</v>
      </c>
      <c r="N9" s="9" t="s">
        <v>238</v>
      </c>
    </row>
    <row r="10" spans="1:16" s="9" customFormat="1" ht="33" x14ac:dyDescent="0.35">
      <c r="A10" s="5" t="s">
        <v>8</v>
      </c>
      <c r="B10" s="10" t="s">
        <v>3</v>
      </c>
      <c r="C10" s="10" t="s">
        <v>13</v>
      </c>
      <c r="D10" s="20">
        <v>0.10407196265063613</v>
      </c>
      <c r="E10" s="11" t="s">
        <v>85</v>
      </c>
      <c r="F10" s="10" t="s">
        <v>55</v>
      </c>
      <c r="G10" s="10" t="s">
        <v>60</v>
      </c>
      <c r="H10" s="10"/>
      <c r="I10" s="24" t="s">
        <v>269</v>
      </c>
      <c r="J10" s="9" t="s">
        <v>231</v>
      </c>
      <c r="L10" s="9" t="str">
        <f t="shared" si="0"/>
        <v>Exposures to natural personsInstrumentsCRR_LOSS_GIVEN_DEFAULT</v>
      </c>
      <c r="M10" s="24" t="s">
        <v>269</v>
      </c>
      <c r="N10" s="9" t="s">
        <v>231</v>
      </c>
    </row>
    <row r="11" spans="1:16" s="9" customFormat="1" ht="115.5" x14ac:dyDescent="0.35">
      <c r="A11" s="5" t="s">
        <v>8</v>
      </c>
      <c r="B11" s="10" t="s">
        <v>3</v>
      </c>
      <c r="C11" s="10" t="s">
        <v>27</v>
      </c>
      <c r="D11" s="20">
        <v>1</v>
      </c>
      <c r="E11" s="11" t="s">
        <v>93</v>
      </c>
      <c r="F11" s="10" t="s">
        <v>55</v>
      </c>
      <c r="G11" s="10"/>
      <c r="H11" s="10" t="s">
        <v>210</v>
      </c>
      <c r="I11" s="24" t="s">
        <v>274</v>
      </c>
      <c r="J11" s="9" t="s">
        <v>273</v>
      </c>
      <c r="L11" s="9" t="str">
        <f t="shared" si="0"/>
        <v>Exposures to natural personsInstrumentsTYPE_INSTRUMENT</v>
      </c>
      <c r="M11" s="24" t="s">
        <v>274</v>
      </c>
      <c r="N11" s="9" t="s">
        <v>273</v>
      </c>
    </row>
    <row r="12" spans="1:16" s="9" customFormat="1" ht="33" x14ac:dyDescent="0.35">
      <c r="A12" s="5" t="s">
        <v>8</v>
      </c>
      <c r="B12" s="10" t="s">
        <v>3</v>
      </c>
      <c r="C12" s="10" t="s">
        <v>28</v>
      </c>
      <c r="D12" s="20">
        <v>0.50696477710323984</v>
      </c>
      <c r="E12" s="11" t="s">
        <v>93</v>
      </c>
      <c r="F12" s="10" t="s">
        <v>55</v>
      </c>
      <c r="G12" s="10"/>
      <c r="H12" s="10"/>
      <c r="I12" s="24" t="s">
        <v>269</v>
      </c>
      <c r="J12" s="9" t="s">
        <v>239</v>
      </c>
      <c r="L12" s="9" t="str">
        <f t="shared" si="0"/>
        <v>Exposures to natural personsInstrumentsAMORTIZATION_TYPE</v>
      </c>
      <c r="M12" s="24" t="s">
        <v>269</v>
      </c>
      <c r="N12" s="9" t="s">
        <v>239</v>
      </c>
    </row>
    <row r="13" spans="1:16" s="9" customFormat="1" ht="33" x14ac:dyDescent="0.35">
      <c r="A13" s="5" t="s">
        <v>8</v>
      </c>
      <c r="B13" s="10" t="s">
        <v>3</v>
      </c>
      <c r="C13" s="10" t="s">
        <v>29</v>
      </c>
      <c r="D13" s="20">
        <v>0.93263161056502586</v>
      </c>
      <c r="E13" s="11" t="s">
        <v>95</v>
      </c>
      <c r="F13" s="10" t="s">
        <v>55</v>
      </c>
      <c r="G13" s="10" t="s">
        <v>61</v>
      </c>
      <c r="H13" s="10"/>
      <c r="I13" s="24" t="s">
        <v>269</v>
      </c>
      <c r="J13" s="9" t="s">
        <v>240</v>
      </c>
      <c r="L13" s="9" t="str">
        <f t="shared" si="0"/>
        <v>Exposures to natural personsInstrumentsEND_DATE_INTEREST_ONLY_PERIOD</v>
      </c>
      <c r="M13" s="24" t="s">
        <v>269</v>
      </c>
      <c r="N13" s="9" t="s">
        <v>240</v>
      </c>
    </row>
    <row r="14" spans="1:16" s="9" customFormat="1" ht="33" x14ac:dyDescent="0.35">
      <c r="A14" s="5" t="s">
        <v>8</v>
      </c>
      <c r="B14" s="10" t="s">
        <v>3</v>
      </c>
      <c r="C14" s="10" t="s">
        <v>30</v>
      </c>
      <c r="D14" s="20">
        <v>1</v>
      </c>
      <c r="E14" s="12" t="s">
        <v>96</v>
      </c>
      <c r="F14" s="10" t="s">
        <v>55</v>
      </c>
      <c r="G14" s="10"/>
      <c r="H14" s="10" t="s">
        <v>215</v>
      </c>
      <c r="I14" s="24" t="s">
        <v>218</v>
      </c>
      <c r="L14" s="9" t="str">
        <f t="shared" si="0"/>
        <v>Exposures to natural personsInstrumentsINTEREST_RATE_CAP</v>
      </c>
      <c r="M14" s="24" t="s">
        <v>218</v>
      </c>
    </row>
    <row r="15" spans="1:16" s="9" customFormat="1" ht="33" x14ac:dyDescent="0.35">
      <c r="A15" s="5" t="s">
        <v>8</v>
      </c>
      <c r="B15" s="10" t="s">
        <v>3</v>
      </c>
      <c r="C15" s="10" t="s">
        <v>31</v>
      </c>
      <c r="D15" s="20">
        <v>1</v>
      </c>
      <c r="E15" s="12" t="s">
        <v>96</v>
      </c>
      <c r="F15" s="10" t="s">
        <v>55</v>
      </c>
      <c r="G15" s="10"/>
      <c r="H15" s="10" t="s">
        <v>215</v>
      </c>
      <c r="I15" s="24" t="s">
        <v>218</v>
      </c>
      <c r="L15" s="9" t="str">
        <f t="shared" si="0"/>
        <v>Exposures to natural personsInstrumentsINTEREST_RATE_FLOOR</v>
      </c>
      <c r="M15" s="24" t="s">
        <v>218</v>
      </c>
    </row>
    <row r="16" spans="1:16" s="9" customFormat="1" x14ac:dyDescent="0.35">
      <c r="A16" s="5" t="s">
        <v>8</v>
      </c>
      <c r="B16" s="10" t="s">
        <v>3</v>
      </c>
      <c r="C16" s="10" t="s">
        <v>32</v>
      </c>
      <c r="D16" s="20">
        <v>0.75198566972791459</v>
      </c>
      <c r="E16" s="12" t="s">
        <v>97</v>
      </c>
      <c r="F16" s="10" t="s">
        <v>55</v>
      </c>
      <c r="G16" s="10"/>
      <c r="H16" s="10"/>
      <c r="I16" s="24" t="s">
        <v>269</v>
      </c>
      <c r="J16" s="9" t="s">
        <v>241</v>
      </c>
      <c r="L16" s="9" t="str">
        <f t="shared" si="0"/>
        <v>Exposures to natural personsInstrumentsINTEREST_RATE_RESET_FREQ</v>
      </c>
      <c r="M16" s="24" t="s">
        <v>269</v>
      </c>
      <c r="N16" s="9" t="s">
        <v>241</v>
      </c>
    </row>
    <row r="17" spans="1:14" s="9" customFormat="1" ht="33" x14ac:dyDescent="0.35">
      <c r="A17" s="5" t="s">
        <v>8</v>
      </c>
      <c r="B17" s="10" t="s">
        <v>3</v>
      </c>
      <c r="C17" s="10" t="s">
        <v>33</v>
      </c>
      <c r="D17" s="20">
        <v>1</v>
      </c>
      <c r="E17" s="12" t="s">
        <v>85</v>
      </c>
      <c r="F17" s="10" t="s">
        <v>55</v>
      </c>
      <c r="G17" s="10"/>
      <c r="H17" s="10" t="s">
        <v>210</v>
      </c>
      <c r="I17" s="24" t="s">
        <v>269</v>
      </c>
      <c r="J17" s="9" t="s">
        <v>272</v>
      </c>
      <c r="L17" s="9" t="str">
        <f t="shared" si="0"/>
        <v>Exposures to natural personsInstrumentsINTEREST_RATE_SPREAD_MARGIN</v>
      </c>
      <c r="M17" s="24" t="s">
        <v>269</v>
      </c>
      <c r="N17" s="9" t="s">
        <v>272</v>
      </c>
    </row>
    <row r="18" spans="1:14" s="9" customFormat="1" ht="33" x14ac:dyDescent="0.35">
      <c r="A18" s="5" t="s">
        <v>8</v>
      </c>
      <c r="B18" s="10" t="s">
        <v>3</v>
      </c>
      <c r="C18" s="10" t="s">
        <v>34</v>
      </c>
      <c r="D18" s="20">
        <v>0.49791551611029233</v>
      </c>
      <c r="E18" s="12" t="s">
        <v>98</v>
      </c>
      <c r="F18" s="10" t="s">
        <v>55</v>
      </c>
      <c r="G18" s="10" t="s">
        <v>62</v>
      </c>
      <c r="H18" s="10"/>
      <c r="I18" s="24" t="s">
        <v>269</v>
      </c>
      <c r="J18" s="9" t="s">
        <v>242</v>
      </c>
      <c r="L18" s="9" t="str">
        <f t="shared" si="0"/>
        <v>Exposures to natural personsInstrumentsCOMMITMENT_AMOUNT_INCEPTION</v>
      </c>
      <c r="M18" s="24" t="s">
        <v>269</v>
      </c>
      <c r="N18" s="9" t="s">
        <v>242</v>
      </c>
    </row>
    <row r="19" spans="1:14" s="9" customFormat="1" x14ac:dyDescent="0.35">
      <c r="A19" s="5" t="s">
        <v>8</v>
      </c>
      <c r="B19" s="10" t="s">
        <v>3</v>
      </c>
      <c r="C19" s="10" t="s">
        <v>35</v>
      </c>
      <c r="D19" s="20">
        <v>5.9527425964470589E-2</v>
      </c>
      <c r="E19" s="12" t="s">
        <v>96</v>
      </c>
      <c r="F19" s="10" t="s">
        <v>55</v>
      </c>
      <c r="G19" s="10"/>
      <c r="H19" s="10"/>
      <c r="I19" s="24" t="s">
        <v>269</v>
      </c>
      <c r="J19" s="9" t="s">
        <v>243</v>
      </c>
      <c r="L19" s="9" t="str">
        <f t="shared" si="0"/>
        <v>Exposures to natural personsInstrumentsINTEREST_RATE</v>
      </c>
      <c r="M19" s="24" t="s">
        <v>269</v>
      </c>
      <c r="N19" s="9" t="s">
        <v>243</v>
      </c>
    </row>
    <row r="20" spans="1:14" s="9" customFormat="1" ht="49.5" x14ac:dyDescent="0.35">
      <c r="A20" s="5" t="s">
        <v>8</v>
      </c>
      <c r="B20" s="10" t="s">
        <v>3</v>
      </c>
      <c r="C20" s="10" t="s">
        <v>36</v>
      </c>
      <c r="D20" s="20">
        <v>0.13837805513249973</v>
      </c>
      <c r="E20" s="11" t="s">
        <v>93</v>
      </c>
      <c r="F20" s="10" t="s">
        <v>55</v>
      </c>
      <c r="G20" s="10" t="s">
        <v>63</v>
      </c>
      <c r="H20" s="10"/>
      <c r="I20" s="24" t="s">
        <v>269</v>
      </c>
      <c r="J20" s="9" t="s">
        <v>244</v>
      </c>
      <c r="L20" s="9" t="str">
        <f t="shared" si="0"/>
        <v>Exposures to natural personsInstrumentsDEFAULT_STATUS_INSTRUMENT</v>
      </c>
      <c r="M20" s="24" t="s">
        <v>269</v>
      </c>
      <c r="N20" s="9" t="s">
        <v>244</v>
      </c>
    </row>
    <row r="21" spans="1:14" s="9" customFormat="1" ht="82.5" x14ac:dyDescent="0.35">
      <c r="A21" s="5" t="s">
        <v>8</v>
      </c>
      <c r="B21" s="10" t="s">
        <v>3</v>
      </c>
      <c r="C21" s="10" t="s">
        <v>37</v>
      </c>
      <c r="D21" s="20">
        <v>0.46892798068908459</v>
      </c>
      <c r="E21" s="13">
        <v>2958465</v>
      </c>
      <c r="F21" s="10" t="s">
        <v>55</v>
      </c>
      <c r="G21" s="10" t="s">
        <v>64</v>
      </c>
      <c r="H21" s="10" t="s">
        <v>210</v>
      </c>
      <c r="I21" s="24" t="s">
        <v>269</v>
      </c>
      <c r="J21" s="9" t="s">
        <v>245</v>
      </c>
      <c r="L21" s="9" t="str">
        <f t="shared" si="0"/>
        <v>Exposures to natural personsInstrumentsDATE_DEFAULT_STATUS_INSTRUMENT</v>
      </c>
      <c r="M21" s="24" t="s">
        <v>269</v>
      </c>
      <c r="N21" s="9" t="s">
        <v>245</v>
      </c>
    </row>
    <row r="22" spans="1:14" s="9" customFormat="1" ht="33" x14ac:dyDescent="0.35">
      <c r="A22" s="5" t="s">
        <v>8</v>
      </c>
      <c r="B22" s="10" t="s">
        <v>3</v>
      </c>
      <c r="C22" s="10" t="s">
        <v>38</v>
      </c>
      <c r="D22" s="20">
        <v>1.0000027306158699</v>
      </c>
      <c r="E22" s="12" t="s">
        <v>85</v>
      </c>
      <c r="F22" s="10" t="s">
        <v>55</v>
      </c>
      <c r="G22" s="10"/>
      <c r="H22" s="10" t="s">
        <v>210</v>
      </c>
      <c r="I22" s="24" t="s">
        <v>217</v>
      </c>
      <c r="L22" s="9" t="str">
        <f t="shared" si="0"/>
        <v>Exposures to natural personsInstrumentsTRANSFERRED_AMOUNT</v>
      </c>
      <c r="M22" s="24" t="s">
        <v>217</v>
      </c>
    </row>
    <row r="23" spans="1:14" s="9" customFormat="1" ht="33" x14ac:dyDescent="0.35">
      <c r="A23" s="5" t="s">
        <v>8</v>
      </c>
      <c r="B23" s="10" t="s">
        <v>3</v>
      </c>
      <c r="C23" s="10" t="s">
        <v>39</v>
      </c>
      <c r="D23" s="20">
        <v>0.9205274730675943</v>
      </c>
      <c r="E23" s="12" t="s">
        <v>98</v>
      </c>
      <c r="F23" s="10" t="s">
        <v>55</v>
      </c>
      <c r="G23" s="10" t="s">
        <v>65</v>
      </c>
      <c r="H23" s="10" t="s">
        <v>212</v>
      </c>
      <c r="I23" s="24" t="s">
        <v>269</v>
      </c>
      <c r="J23" s="9" t="s">
        <v>246</v>
      </c>
      <c r="L23" s="9" t="str">
        <f t="shared" si="0"/>
        <v>Exposures to natural personsInstrumentsARREARS_INSTRUMENT</v>
      </c>
      <c r="M23" s="24" t="s">
        <v>269</v>
      </c>
      <c r="N23" s="9" t="s">
        <v>246</v>
      </c>
    </row>
    <row r="24" spans="1:14" s="9" customFormat="1" ht="66" x14ac:dyDescent="0.35">
      <c r="A24" s="5" t="s">
        <v>8</v>
      </c>
      <c r="B24" s="10" t="s">
        <v>3</v>
      </c>
      <c r="C24" s="10" t="s">
        <v>40</v>
      </c>
      <c r="D24" s="20">
        <v>0.92052883837552935</v>
      </c>
      <c r="E24" s="14" t="s">
        <v>94</v>
      </c>
      <c r="F24" s="10" t="s">
        <v>55</v>
      </c>
      <c r="G24" s="10" t="s">
        <v>66</v>
      </c>
      <c r="H24" s="10"/>
      <c r="I24" s="24" t="s">
        <v>269</v>
      </c>
      <c r="J24" s="9" t="s">
        <v>247</v>
      </c>
      <c r="L24" s="9" t="str">
        <f t="shared" si="0"/>
        <v>Exposures to natural personsInstrumentsDATE_PAST_DUE_INSTRUMENT</v>
      </c>
      <c r="M24" s="24" t="s">
        <v>269</v>
      </c>
      <c r="N24" s="9" t="s">
        <v>247</v>
      </c>
    </row>
    <row r="25" spans="1:14" s="9" customFormat="1" ht="33" x14ac:dyDescent="0.35">
      <c r="A25" s="5" t="s">
        <v>8</v>
      </c>
      <c r="B25" s="10" t="s">
        <v>3</v>
      </c>
      <c r="C25" s="10" t="s">
        <v>41</v>
      </c>
      <c r="D25" s="20">
        <v>1.0000068265396749</v>
      </c>
      <c r="E25" s="10" t="s">
        <v>88</v>
      </c>
      <c r="F25" s="10" t="s">
        <v>55</v>
      </c>
      <c r="G25" s="10"/>
      <c r="H25" s="10" t="s">
        <v>210</v>
      </c>
      <c r="I25" s="24" t="s">
        <v>218</v>
      </c>
      <c r="L25" s="9" t="str">
        <f t="shared" si="0"/>
        <v>Exposures to natural personsInstrumentsTYPE_SECURITIZATION</v>
      </c>
      <c r="M25" s="24" t="s">
        <v>218</v>
      </c>
    </row>
    <row r="26" spans="1:14" s="9" customFormat="1" ht="33" x14ac:dyDescent="0.35">
      <c r="A26" s="5" t="s">
        <v>8</v>
      </c>
      <c r="B26" s="10" t="s">
        <v>3</v>
      </c>
      <c r="C26" s="10" t="s">
        <v>42</v>
      </c>
      <c r="D26" s="20">
        <v>0.52214154010830993</v>
      </c>
      <c r="E26" s="12" t="s">
        <v>98</v>
      </c>
      <c r="F26" s="10" t="s">
        <v>55</v>
      </c>
      <c r="G26" s="10" t="s">
        <v>65</v>
      </c>
      <c r="H26" s="10" t="s">
        <v>212</v>
      </c>
      <c r="I26" s="24" t="s">
        <v>269</v>
      </c>
      <c r="J26" s="9" t="s">
        <v>248</v>
      </c>
      <c r="L26" s="9" t="str">
        <f t="shared" si="0"/>
        <v>Exposures to natural personsInstrumentsOUTSTANDING_NOMINAL_AMOUNT</v>
      </c>
      <c r="M26" s="24" t="s">
        <v>269</v>
      </c>
      <c r="N26" s="9" t="s">
        <v>248</v>
      </c>
    </row>
    <row r="27" spans="1:14" s="9" customFormat="1" ht="33" x14ac:dyDescent="0.35">
      <c r="A27" s="5" t="s">
        <v>8</v>
      </c>
      <c r="B27" s="10" t="s">
        <v>3</v>
      </c>
      <c r="C27" s="10" t="s">
        <v>43</v>
      </c>
      <c r="D27" s="20">
        <v>0.52214290541624486</v>
      </c>
      <c r="E27" s="12" t="s">
        <v>98</v>
      </c>
      <c r="F27" s="10" t="s">
        <v>55</v>
      </c>
      <c r="G27" s="10" t="s">
        <v>65</v>
      </c>
      <c r="H27" s="10" t="s">
        <v>212</v>
      </c>
      <c r="I27" s="24" t="s">
        <v>269</v>
      </c>
      <c r="J27" s="9" t="s">
        <v>249</v>
      </c>
      <c r="L27" s="9" t="str">
        <f t="shared" si="0"/>
        <v>Exposures to natural personsInstrumentsACCRUED_INTEREST</v>
      </c>
      <c r="M27" s="24" t="s">
        <v>269</v>
      </c>
      <c r="N27" s="9" t="s">
        <v>249</v>
      </c>
    </row>
    <row r="28" spans="1:14" s="9" customFormat="1" ht="33" x14ac:dyDescent="0.35">
      <c r="A28" s="5" t="s">
        <v>8</v>
      </c>
      <c r="B28" s="10" t="s">
        <v>3</v>
      </c>
      <c r="C28" s="10" t="s">
        <v>44</v>
      </c>
      <c r="D28" s="20">
        <v>1.0000109224634797</v>
      </c>
      <c r="E28" s="12" t="s">
        <v>98</v>
      </c>
      <c r="F28" s="10" t="s">
        <v>55</v>
      </c>
      <c r="G28" s="10" t="s">
        <v>65</v>
      </c>
      <c r="H28" s="10" t="s">
        <v>212</v>
      </c>
      <c r="I28" s="24" t="s">
        <v>269</v>
      </c>
      <c r="J28" s="9" t="s">
        <v>219</v>
      </c>
      <c r="L28" s="9" t="str">
        <f t="shared" si="0"/>
        <v>Exposures to natural personsInstrumentsOFF_BALANCE_SHEET_AMOUNT</v>
      </c>
      <c r="M28" s="24" t="s">
        <v>269</v>
      </c>
      <c r="N28" s="9" t="s">
        <v>219</v>
      </c>
    </row>
    <row r="29" spans="1:14" s="9" customFormat="1" ht="42.75" customHeight="1" x14ac:dyDescent="0.35">
      <c r="A29" s="5" t="s">
        <v>8</v>
      </c>
      <c r="B29" s="10" t="s">
        <v>3</v>
      </c>
      <c r="C29" s="10" t="s">
        <v>45</v>
      </c>
      <c r="D29" s="20">
        <v>0.99998156834287799</v>
      </c>
      <c r="E29" s="10" t="s">
        <v>98</v>
      </c>
      <c r="F29" s="10" t="s">
        <v>55</v>
      </c>
      <c r="G29" s="10" t="s">
        <v>65</v>
      </c>
      <c r="H29" s="10" t="s">
        <v>212</v>
      </c>
      <c r="I29" s="24" t="s">
        <v>269</v>
      </c>
      <c r="J29" s="9" t="s">
        <v>266</v>
      </c>
      <c r="L29" s="9" t="str">
        <f t="shared" si="0"/>
        <v>Exposures to natural personsInstrumentsACCUM_WRITE_OFFS</v>
      </c>
      <c r="M29" s="24" t="s">
        <v>269</v>
      </c>
      <c r="N29" s="9" t="s">
        <v>266</v>
      </c>
    </row>
    <row r="30" spans="1:14" s="9" customFormat="1" ht="148.5" x14ac:dyDescent="0.35">
      <c r="A30" s="5" t="s">
        <v>8</v>
      </c>
      <c r="B30" s="10" t="s">
        <v>3</v>
      </c>
      <c r="C30" s="10" t="s">
        <v>46</v>
      </c>
      <c r="D30" s="20">
        <v>1.0000177490031545</v>
      </c>
      <c r="E30" s="10" t="s">
        <v>98</v>
      </c>
      <c r="F30" s="10" t="s">
        <v>55</v>
      </c>
      <c r="G30" s="10" t="s">
        <v>65</v>
      </c>
      <c r="H30" s="10" t="s">
        <v>212</v>
      </c>
      <c r="I30" s="24" t="s">
        <v>274</v>
      </c>
      <c r="J30" s="9" t="s">
        <v>220</v>
      </c>
      <c r="L30" s="9" t="str">
        <f t="shared" si="0"/>
        <v>Exposures to natural personsInstrumentsACCUM_IMPAIRMENT_AMOUNT</v>
      </c>
      <c r="M30" s="24" t="s">
        <v>274</v>
      </c>
      <c r="N30" s="9" t="s">
        <v>220</v>
      </c>
    </row>
    <row r="31" spans="1:14" s="9" customFormat="1" ht="33" x14ac:dyDescent="0.35">
      <c r="A31" s="5" t="s">
        <v>8</v>
      </c>
      <c r="B31" s="10" t="s">
        <v>3</v>
      </c>
      <c r="C31" s="10" t="s">
        <v>47</v>
      </c>
      <c r="D31" s="20">
        <v>1.0000218449269593</v>
      </c>
      <c r="E31" s="12" t="s">
        <v>99</v>
      </c>
      <c r="F31" s="10" t="s">
        <v>55</v>
      </c>
      <c r="G31" s="10"/>
      <c r="H31" s="10" t="s">
        <v>215</v>
      </c>
      <c r="I31" s="24" t="s">
        <v>218</v>
      </c>
      <c r="L31" s="9" t="str">
        <f t="shared" si="0"/>
        <v>Exposures to natural personsInstrumentsSOURCES_ENCUMBRANCE</v>
      </c>
      <c r="M31" s="24" t="s">
        <v>218</v>
      </c>
    </row>
    <row r="32" spans="1:14" s="9" customFormat="1" ht="33" x14ac:dyDescent="0.35">
      <c r="A32" s="5" t="s">
        <v>8</v>
      </c>
      <c r="B32" s="10" t="s">
        <v>3</v>
      </c>
      <c r="C32" s="10" t="s">
        <v>48</v>
      </c>
      <c r="D32" s="20">
        <v>1.0000259408507643</v>
      </c>
      <c r="E32" s="10" t="s">
        <v>98</v>
      </c>
      <c r="F32" s="10" t="s">
        <v>55</v>
      </c>
      <c r="G32" s="10" t="s">
        <v>65</v>
      </c>
      <c r="H32" s="10" t="s">
        <v>212</v>
      </c>
      <c r="I32" s="24" t="s">
        <v>269</v>
      </c>
      <c r="J32" s="9" t="s">
        <v>221</v>
      </c>
      <c r="L32" s="9" t="str">
        <f t="shared" si="0"/>
        <v>Exposures to natural personsInstrumentsPROVIS_ASSOC_OFFBALANCE</v>
      </c>
      <c r="M32" s="24" t="s">
        <v>269</v>
      </c>
      <c r="N32" s="9" t="s">
        <v>221</v>
      </c>
    </row>
    <row r="33" spans="1:14" s="9" customFormat="1" ht="33" x14ac:dyDescent="0.35">
      <c r="A33" s="5" t="s">
        <v>8</v>
      </c>
      <c r="B33" s="10" t="s">
        <v>3</v>
      </c>
      <c r="C33" s="10" t="s">
        <v>14</v>
      </c>
      <c r="D33" s="20">
        <v>0.9860834162189025</v>
      </c>
      <c r="E33" s="10" t="s">
        <v>86</v>
      </c>
      <c r="F33" s="10" t="s">
        <v>55</v>
      </c>
      <c r="G33" s="10" t="s">
        <v>65</v>
      </c>
      <c r="H33" s="10" t="s">
        <v>212</v>
      </c>
      <c r="I33" s="24" t="s">
        <v>269</v>
      </c>
      <c r="J33" s="9" t="s">
        <v>232</v>
      </c>
      <c r="L33" s="9" t="str">
        <f t="shared" si="0"/>
        <v>Exposures to natural personsInstrumentsDATE_STATUS_FORBEARANCE_RENEG</v>
      </c>
      <c r="M33" s="24" t="s">
        <v>269</v>
      </c>
      <c r="N33" s="9" t="s">
        <v>232</v>
      </c>
    </row>
    <row r="34" spans="1:14" s="9" customFormat="1" ht="33" x14ac:dyDescent="0.35">
      <c r="A34" s="5" t="s">
        <v>8</v>
      </c>
      <c r="B34" s="10" t="s">
        <v>3</v>
      </c>
      <c r="C34" s="10" t="s">
        <v>49</v>
      </c>
      <c r="D34" s="20">
        <v>0.80863843983531658</v>
      </c>
      <c r="E34" s="12" t="s">
        <v>85</v>
      </c>
      <c r="F34" s="10" t="s">
        <v>55</v>
      </c>
      <c r="G34" s="10" t="s">
        <v>65</v>
      </c>
      <c r="H34" s="10" t="s">
        <v>212</v>
      </c>
      <c r="I34" s="24" t="s">
        <v>269</v>
      </c>
      <c r="J34" s="9" t="s">
        <v>250</v>
      </c>
      <c r="L34" s="9" t="str">
        <f t="shared" si="0"/>
        <v>Exposures to natural personsInstrumentsCUMULATIVE_RECOV_SINCE_DEFAULT</v>
      </c>
      <c r="M34" s="24" t="s">
        <v>269</v>
      </c>
      <c r="N34" s="9" t="s">
        <v>250</v>
      </c>
    </row>
    <row r="35" spans="1:14" s="9" customFormat="1" ht="148.5" x14ac:dyDescent="0.35">
      <c r="A35" s="5" t="s">
        <v>8</v>
      </c>
      <c r="B35" s="10" t="s">
        <v>3</v>
      </c>
      <c r="C35" s="10" t="s">
        <v>50</v>
      </c>
      <c r="D35" s="20">
        <v>1.0000314020825043</v>
      </c>
      <c r="E35" s="10" t="s">
        <v>98</v>
      </c>
      <c r="F35" s="10" t="s">
        <v>55</v>
      </c>
      <c r="G35" s="10"/>
      <c r="H35" s="10" t="s">
        <v>210</v>
      </c>
      <c r="I35" s="24" t="s">
        <v>274</v>
      </c>
      <c r="J35" s="9" t="s">
        <v>222</v>
      </c>
      <c r="L35" s="9" t="str">
        <f t="shared" si="0"/>
        <v>Exposures to natural personsInstrumentsCARRYING_AMOUNT</v>
      </c>
      <c r="M35" s="24" t="s">
        <v>274</v>
      </c>
      <c r="N35" s="9" t="s">
        <v>222</v>
      </c>
    </row>
    <row r="36" spans="1:14" s="9" customFormat="1" ht="181.5" x14ac:dyDescent="0.35">
      <c r="A36" s="5" t="s">
        <v>8</v>
      </c>
      <c r="B36" s="10" t="s">
        <v>3</v>
      </c>
      <c r="C36" s="10" t="s">
        <v>51</v>
      </c>
      <c r="D36" s="20">
        <v>1.0000327673904392</v>
      </c>
      <c r="E36" s="12" t="s">
        <v>99</v>
      </c>
      <c r="F36" s="10" t="s">
        <v>56</v>
      </c>
      <c r="G36" s="10" t="s">
        <v>67</v>
      </c>
      <c r="H36" s="10" t="s">
        <v>211</v>
      </c>
      <c r="I36" s="24" t="s">
        <v>223</v>
      </c>
      <c r="L36" s="9" t="str">
        <f t="shared" si="0"/>
        <v>Exposures to natural personsInstrumentsPRUDENTIAL_PORTFOLIO</v>
      </c>
      <c r="M36" s="24" t="s">
        <v>223</v>
      </c>
    </row>
    <row r="37" spans="1:14" s="9" customFormat="1" ht="33" x14ac:dyDescent="0.35">
      <c r="A37" s="5" t="s">
        <v>8</v>
      </c>
      <c r="B37" s="10" t="s">
        <v>3</v>
      </c>
      <c r="C37" s="10" t="s">
        <v>52</v>
      </c>
      <c r="D37" s="20">
        <v>1.0001822686093178</v>
      </c>
      <c r="E37" s="12" t="s">
        <v>91</v>
      </c>
      <c r="F37" s="10" t="s">
        <v>55</v>
      </c>
      <c r="G37" s="10"/>
      <c r="H37" s="10" t="s">
        <v>210</v>
      </c>
      <c r="I37" s="24" t="s">
        <v>269</v>
      </c>
      <c r="J37" s="9" t="s">
        <v>267</v>
      </c>
      <c r="L37" s="9" t="str">
        <f t="shared" si="0"/>
        <v>Exposures to natural personsInstrumentsACCUM_CHANGES_FV_DUE_CR</v>
      </c>
      <c r="M37" s="24" t="s">
        <v>269</v>
      </c>
      <c r="N37" s="9" t="s">
        <v>267</v>
      </c>
    </row>
    <row r="38" spans="1:14" s="9" customFormat="1" ht="33" x14ac:dyDescent="0.35">
      <c r="A38" s="5" t="s">
        <v>8</v>
      </c>
      <c r="B38" s="10" t="s">
        <v>4</v>
      </c>
      <c r="C38" s="10" t="s">
        <v>68</v>
      </c>
      <c r="D38" s="20">
        <v>0.2098277131986864</v>
      </c>
      <c r="E38" s="12" t="s">
        <v>85</v>
      </c>
      <c r="F38" s="10" t="s">
        <v>55</v>
      </c>
      <c r="G38" s="10" t="s">
        <v>74</v>
      </c>
      <c r="H38" s="10"/>
      <c r="I38" s="24" t="s">
        <v>269</v>
      </c>
      <c r="J38" s="9" t="s">
        <v>253</v>
      </c>
      <c r="L38" s="9" t="str">
        <f t="shared" si="0"/>
        <v>Exposures to natural personsCounterpartiesPROBABILITY_DEFAULT</v>
      </c>
      <c r="M38" s="24" t="s">
        <v>269</v>
      </c>
      <c r="N38" s="9" t="s">
        <v>253</v>
      </c>
    </row>
    <row r="39" spans="1:14" s="9" customFormat="1" ht="214.5" x14ac:dyDescent="0.35">
      <c r="A39" s="5" t="s">
        <v>8</v>
      </c>
      <c r="B39" s="10" t="s">
        <v>4</v>
      </c>
      <c r="C39" s="10" t="s">
        <v>69</v>
      </c>
      <c r="D39" s="20">
        <v>0.17102192489380907</v>
      </c>
      <c r="E39" s="10" t="s">
        <v>100</v>
      </c>
      <c r="F39" s="10" t="s">
        <v>73</v>
      </c>
      <c r="G39" s="10" t="s">
        <v>75</v>
      </c>
      <c r="H39" s="10"/>
      <c r="I39" s="24" t="s">
        <v>269</v>
      </c>
      <c r="J39" s="9" t="s">
        <v>254</v>
      </c>
      <c r="L39" s="9" t="str">
        <f t="shared" si="0"/>
        <v>Exposures to natural personsCounterpartiesINTERNAL_CREDIT_RATING</v>
      </c>
      <c r="M39" s="24" t="s">
        <v>269</v>
      </c>
      <c r="N39" s="9" t="s">
        <v>254</v>
      </c>
    </row>
    <row r="40" spans="1:14" s="9" customFormat="1" ht="33" x14ac:dyDescent="0.35">
      <c r="A40" s="5" t="s">
        <v>8</v>
      </c>
      <c r="B40" s="10" t="s">
        <v>4</v>
      </c>
      <c r="C40" s="10" t="s">
        <v>20</v>
      </c>
      <c r="D40" s="20">
        <v>1</v>
      </c>
      <c r="E40" s="12" t="s">
        <v>96</v>
      </c>
      <c r="F40" s="10" t="s">
        <v>55</v>
      </c>
      <c r="G40" s="10"/>
      <c r="H40" s="10" t="s">
        <v>215</v>
      </c>
      <c r="I40" s="24" t="s">
        <v>218</v>
      </c>
      <c r="L40" s="9" t="str">
        <f t="shared" si="0"/>
        <v>Exposures to natural personsCounterpartiesIFRS9_PROB_DEFAULT_IMPAIRMENT</v>
      </c>
      <c r="M40" s="24" t="s">
        <v>218</v>
      </c>
    </row>
    <row r="41" spans="1:14" s="9" customFormat="1" x14ac:dyDescent="0.35">
      <c r="A41" s="5" t="s">
        <v>8</v>
      </c>
      <c r="B41" s="10" t="s">
        <v>4</v>
      </c>
      <c r="C41" s="10" t="s">
        <v>21</v>
      </c>
      <c r="D41" s="20">
        <v>1</v>
      </c>
      <c r="E41" s="10" t="s">
        <v>85</v>
      </c>
      <c r="F41" s="10" t="s">
        <v>54</v>
      </c>
      <c r="G41" s="10" t="s">
        <v>76</v>
      </c>
      <c r="H41" s="10" t="s">
        <v>212</v>
      </c>
      <c r="I41" s="24" t="s">
        <v>217</v>
      </c>
      <c r="L41" s="9" t="str">
        <f t="shared" si="0"/>
        <v>Exposures to natural personsCounterpartiesPROBABILITY_DEFAULT_OTHERS</v>
      </c>
      <c r="M41" s="24" t="s">
        <v>217</v>
      </c>
    </row>
    <row r="42" spans="1:14" s="9" customFormat="1" x14ac:dyDescent="0.35">
      <c r="A42" s="5" t="s">
        <v>8</v>
      </c>
      <c r="B42" s="10" t="s">
        <v>4</v>
      </c>
      <c r="C42" s="10" t="s">
        <v>70</v>
      </c>
      <c r="D42" s="20">
        <v>1</v>
      </c>
      <c r="E42" s="10" t="s">
        <v>90</v>
      </c>
      <c r="F42" s="10" t="s">
        <v>55</v>
      </c>
      <c r="G42" s="10" t="s">
        <v>76</v>
      </c>
      <c r="H42" s="10" t="s">
        <v>212</v>
      </c>
      <c r="I42" s="24" t="s">
        <v>217</v>
      </c>
      <c r="L42" s="9" t="str">
        <f t="shared" si="0"/>
        <v>Exposures to natural personsCounterpartiesCOUNTERPARTY_ROLE</v>
      </c>
      <c r="M42" s="24" t="s">
        <v>217</v>
      </c>
    </row>
    <row r="43" spans="1:14" s="9" customFormat="1" ht="33" x14ac:dyDescent="0.25">
      <c r="A43" s="5" t="s">
        <v>8</v>
      </c>
      <c r="B43" s="10" t="s">
        <v>4</v>
      </c>
      <c r="C43" s="10" t="s">
        <v>71</v>
      </c>
      <c r="D43" s="20">
        <v>0.23091969363851339</v>
      </c>
      <c r="E43" s="12" t="s">
        <v>101</v>
      </c>
      <c r="F43" s="10" t="s">
        <v>55</v>
      </c>
      <c r="G43" s="10" t="s">
        <v>77</v>
      </c>
      <c r="H43" s="10"/>
      <c r="I43" s="24" t="s">
        <v>269</v>
      </c>
      <c r="J43" s="23" t="s">
        <v>255</v>
      </c>
      <c r="K43" s="23"/>
      <c r="L43" s="9" t="str">
        <f t="shared" si="0"/>
        <v>Exposures to natural personsCounterpartiesDEFAULT_STATUS_COUNTERPARTY</v>
      </c>
      <c r="M43" s="24" t="s">
        <v>269</v>
      </c>
      <c r="N43" s="23" t="s">
        <v>255</v>
      </c>
    </row>
    <row r="44" spans="1:14" s="9" customFormat="1" ht="33" x14ac:dyDescent="0.35">
      <c r="A44" s="5" t="s">
        <v>8</v>
      </c>
      <c r="B44" s="10" t="s">
        <v>4</v>
      </c>
      <c r="C44" s="10" t="s">
        <v>72</v>
      </c>
      <c r="D44" s="20">
        <v>0.49171350881370762</v>
      </c>
      <c r="E44" s="14" t="s">
        <v>102</v>
      </c>
      <c r="F44" s="10" t="s">
        <v>55</v>
      </c>
      <c r="G44" s="10" t="s">
        <v>77</v>
      </c>
      <c r="H44" s="10"/>
      <c r="I44" s="24" t="s">
        <v>269</v>
      </c>
      <c r="J44" s="9" t="s">
        <v>256</v>
      </c>
      <c r="L44" s="9" t="str">
        <f t="shared" si="0"/>
        <v>Exposures to natural personsCounterpartiesDATE_DEFAULT_STATUS_COUNTERPARTY</v>
      </c>
      <c r="M44" s="24" t="s">
        <v>269</v>
      </c>
      <c r="N44" s="9" t="s">
        <v>256</v>
      </c>
    </row>
    <row r="45" spans="1:14" s="9" customFormat="1" ht="214.5" x14ac:dyDescent="0.35">
      <c r="A45" s="5" t="s">
        <v>8</v>
      </c>
      <c r="B45" s="10" t="s">
        <v>5</v>
      </c>
      <c r="C45" s="10" t="s">
        <v>78</v>
      </c>
      <c r="D45" s="20">
        <v>1</v>
      </c>
      <c r="E45" s="10" t="s">
        <v>90</v>
      </c>
      <c r="F45" s="10" t="s">
        <v>55</v>
      </c>
      <c r="G45" s="10" t="s">
        <v>75</v>
      </c>
      <c r="H45" s="10" t="s">
        <v>210</v>
      </c>
      <c r="I45" s="24" t="s">
        <v>217</v>
      </c>
      <c r="L45" s="9" t="str">
        <f t="shared" si="0"/>
        <v>Exposures to natural personsProtectionsINSTRUMENT_ID</v>
      </c>
      <c r="M45" s="24" t="s">
        <v>217</v>
      </c>
    </row>
    <row r="46" spans="1:14" s="9" customFormat="1" x14ac:dyDescent="0.35">
      <c r="A46" s="5" t="s">
        <v>8</v>
      </c>
      <c r="B46" s="10" t="s">
        <v>5</v>
      </c>
      <c r="C46" s="10" t="s">
        <v>79</v>
      </c>
      <c r="D46" s="20">
        <v>0.27758290601060137</v>
      </c>
      <c r="E46" s="14" t="s">
        <v>94</v>
      </c>
      <c r="F46" s="10" t="s">
        <v>55</v>
      </c>
      <c r="G46" s="10" t="s">
        <v>83</v>
      </c>
      <c r="H46" s="10" t="s">
        <v>212</v>
      </c>
      <c r="I46" s="24" t="s">
        <v>269</v>
      </c>
      <c r="J46" s="9" t="s">
        <v>258</v>
      </c>
      <c r="L46" s="9" t="str">
        <f t="shared" si="0"/>
        <v>Exposures to natural personsProtectionsDATE_PROTECTION_VALUE</v>
      </c>
      <c r="M46" s="24" t="s">
        <v>269</v>
      </c>
      <c r="N46" s="9" t="s">
        <v>258</v>
      </c>
    </row>
    <row r="47" spans="1:14" s="9" customFormat="1" x14ac:dyDescent="0.35">
      <c r="A47" s="5" t="s">
        <v>8</v>
      </c>
      <c r="B47" s="10" t="s">
        <v>5</v>
      </c>
      <c r="C47" s="10" t="s">
        <v>80</v>
      </c>
      <c r="D47" s="20">
        <v>0.27759100691547245</v>
      </c>
      <c r="E47" s="12" t="s">
        <v>85</v>
      </c>
      <c r="F47" s="10" t="s">
        <v>55</v>
      </c>
      <c r="G47" s="10" t="s">
        <v>83</v>
      </c>
      <c r="H47" s="10" t="s">
        <v>212</v>
      </c>
      <c r="I47" s="24" t="s">
        <v>269</v>
      </c>
      <c r="J47" s="9" t="s">
        <v>259</v>
      </c>
      <c r="L47" s="9" t="str">
        <f t="shared" si="0"/>
        <v>Exposures to natural personsProtectionsORIGINAL_PROTECTION_VALUE</v>
      </c>
      <c r="M47" s="24" t="s">
        <v>269</v>
      </c>
      <c r="N47" s="9" t="s">
        <v>259</v>
      </c>
    </row>
    <row r="48" spans="1:14" s="9" customFormat="1" x14ac:dyDescent="0.35">
      <c r="A48" s="5" t="s">
        <v>8</v>
      </c>
      <c r="B48" s="10" t="s">
        <v>5</v>
      </c>
      <c r="C48" s="10" t="s">
        <v>81</v>
      </c>
      <c r="D48" s="20">
        <v>0.27759370721709614</v>
      </c>
      <c r="E48" s="14" t="s">
        <v>94</v>
      </c>
      <c r="F48" s="10" t="s">
        <v>55</v>
      </c>
      <c r="G48" s="10" t="s">
        <v>83</v>
      </c>
      <c r="H48" s="10" t="s">
        <v>212</v>
      </c>
      <c r="I48" s="24" t="s">
        <v>269</v>
      </c>
      <c r="J48" s="9" t="s">
        <v>260</v>
      </c>
      <c r="L48" s="9" t="str">
        <f t="shared" si="0"/>
        <v>Exposures to natural personsProtectionsDATE_ORIGINAL_PROTECTION_VALUE</v>
      </c>
      <c r="M48" s="24" t="s">
        <v>269</v>
      </c>
      <c r="N48" s="9" t="s">
        <v>260</v>
      </c>
    </row>
    <row r="49" spans="1:14" s="9" customFormat="1" x14ac:dyDescent="0.35">
      <c r="A49" s="5" t="s">
        <v>8</v>
      </c>
      <c r="B49" s="10" t="s">
        <v>5</v>
      </c>
      <c r="C49" s="10" t="s">
        <v>82</v>
      </c>
      <c r="D49" s="20">
        <v>0.27759640751871983</v>
      </c>
      <c r="E49" s="10" t="s">
        <v>90</v>
      </c>
      <c r="F49" s="10" t="s">
        <v>55</v>
      </c>
      <c r="G49" s="10" t="s">
        <v>83</v>
      </c>
      <c r="H49" s="10" t="s">
        <v>212</v>
      </c>
      <c r="I49" s="24" t="s">
        <v>269</v>
      </c>
      <c r="J49" s="9" t="s">
        <v>261</v>
      </c>
      <c r="L49" s="9" t="str">
        <f t="shared" si="0"/>
        <v>Exposures to natural personsProtectionsTYPE_PROTECTION_VALUE</v>
      </c>
      <c r="M49" s="24" t="s">
        <v>269</v>
      </c>
      <c r="N49" s="9" t="s">
        <v>261</v>
      </c>
    </row>
    <row r="50" spans="1:14" s="9" customFormat="1" ht="49.5" x14ac:dyDescent="0.35">
      <c r="A50" s="5" t="s">
        <v>8</v>
      </c>
      <c r="B50" s="10" t="s">
        <v>6</v>
      </c>
      <c r="C50" s="10" t="s">
        <v>84</v>
      </c>
      <c r="D50" s="20">
        <v>0.62333792840868907</v>
      </c>
      <c r="E50" s="12" t="s">
        <v>91</v>
      </c>
      <c r="F50" s="10"/>
      <c r="G50" s="10"/>
      <c r="H50" s="10"/>
      <c r="I50" s="24" t="s">
        <v>269</v>
      </c>
      <c r="J50" s="9" t="s">
        <v>264</v>
      </c>
      <c r="L50" s="9" t="str">
        <f t="shared" si="0"/>
        <v>Exposures to natural personsInstrument-Counterparty relationJOINT_LIABILITIES_AMOUNT</v>
      </c>
      <c r="M50" s="24" t="s">
        <v>269</v>
      </c>
      <c r="N50" s="9" t="s">
        <v>264</v>
      </c>
    </row>
    <row r="51" spans="1:14" s="9" customFormat="1" ht="165" x14ac:dyDescent="0.35">
      <c r="A51" s="5" t="s">
        <v>9</v>
      </c>
      <c r="B51" s="10" t="s">
        <v>3</v>
      </c>
      <c r="C51" s="10" t="s">
        <v>103</v>
      </c>
      <c r="D51" s="20">
        <v>1</v>
      </c>
      <c r="E51" s="11" t="s">
        <v>98</v>
      </c>
      <c r="F51" s="10" t="s">
        <v>55</v>
      </c>
      <c r="G51" s="10" t="s">
        <v>105</v>
      </c>
      <c r="H51" s="10" t="s">
        <v>210</v>
      </c>
      <c r="I51" s="24" t="s">
        <v>274</v>
      </c>
      <c r="J51" s="9" t="s">
        <v>230</v>
      </c>
      <c r="L51" s="9" t="str">
        <f t="shared" si="0"/>
        <v>Off-balance sheet exposuresInstrumentsNOMINAL_AMOUNT</v>
      </c>
      <c r="M51" s="24" t="s">
        <v>274</v>
      </c>
      <c r="N51" s="9" t="s">
        <v>230</v>
      </c>
    </row>
    <row r="52" spans="1:14" s="9" customFormat="1" ht="82.5" x14ac:dyDescent="0.35">
      <c r="A52" s="5" t="s">
        <v>9</v>
      </c>
      <c r="B52" s="10" t="s">
        <v>3</v>
      </c>
      <c r="C52" s="10" t="s">
        <v>104</v>
      </c>
      <c r="D52" s="20">
        <v>1</v>
      </c>
      <c r="E52" s="12" t="s">
        <v>87</v>
      </c>
      <c r="F52" s="10" t="s">
        <v>55</v>
      </c>
      <c r="G52" s="10" t="s">
        <v>106</v>
      </c>
      <c r="H52" s="10" t="s">
        <v>215</v>
      </c>
      <c r="I52" s="24" t="s">
        <v>218</v>
      </c>
      <c r="L52" s="9" t="str">
        <f t="shared" si="0"/>
        <v>Off-balance sheet exposuresInstrumentsNOMINAL_INTEREST_RATE_FEE</v>
      </c>
      <c r="M52" s="24" t="s">
        <v>218</v>
      </c>
    </row>
    <row r="53" spans="1:14" s="9" customFormat="1" ht="49.5" x14ac:dyDescent="0.35">
      <c r="A53" s="5" t="s">
        <v>9</v>
      </c>
      <c r="B53" s="10" t="s">
        <v>3</v>
      </c>
      <c r="C53" s="10" t="s">
        <v>36</v>
      </c>
      <c r="D53" s="20">
        <v>5.3295248171458483E-2</v>
      </c>
      <c r="E53" s="12" t="s">
        <v>97</v>
      </c>
      <c r="F53" s="10" t="s">
        <v>55</v>
      </c>
      <c r="G53" s="10" t="s">
        <v>107</v>
      </c>
      <c r="H53" s="10"/>
      <c r="I53" s="24" t="s">
        <v>269</v>
      </c>
      <c r="J53" s="9" t="s">
        <v>244</v>
      </c>
      <c r="L53" s="9" t="str">
        <f t="shared" si="0"/>
        <v>Off-balance sheet exposuresInstrumentsDEFAULT_STATUS_INSTRUMENT</v>
      </c>
      <c r="M53" s="24" t="s">
        <v>269</v>
      </c>
      <c r="N53" s="9" t="s">
        <v>244</v>
      </c>
    </row>
    <row r="54" spans="1:14" s="9" customFormat="1" ht="66" x14ac:dyDescent="0.35">
      <c r="A54" s="5" t="s">
        <v>9</v>
      </c>
      <c r="B54" s="10" t="s">
        <v>3</v>
      </c>
      <c r="C54" s="10" t="s">
        <v>37</v>
      </c>
      <c r="D54" s="20">
        <v>0.45427843853787508</v>
      </c>
      <c r="E54" s="13">
        <v>2958465</v>
      </c>
      <c r="F54" s="10" t="s">
        <v>55</v>
      </c>
      <c r="G54" s="10" t="s">
        <v>108</v>
      </c>
      <c r="H54" s="10" t="s">
        <v>210</v>
      </c>
      <c r="I54" s="24" t="s">
        <v>269</v>
      </c>
      <c r="J54" s="9" t="s">
        <v>245</v>
      </c>
      <c r="L54" s="9" t="str">
        <f t="shared" si="0"/>
        <v>Off-balance sheet exposuresInstrumentsDATE_DEFAULT_STATUS_INSTRUMENT</v>
      </c>
      <c r="M54" s="24" t="s">
        <v>269</v>
      </c>
      <c r="N54" s="9" t="s">
        <v>245</v>
      </c>
    </row>
    <row r="55" spans="1:14" s="9" customFormat="1" ht="33" x14ac:dyDescent="0.35">
      <c r="A55" s="5" t="s">
        <v>9</v>
      </c>
      <c r="B55" s="10" t="s">
        <v>3</v>
      </c>
      <c r="C55" s="10" t="s">
        <v>46</v>
      </c>
      <c r="D55" s="20">
        <v>1</v>
      </c>
      <c r="E55" s="10" t="s">
        <v>88</v>
      </c>
      <c r="F55" s="10" t="s">
        <v>55</v>
      </c>
      <c r="G55" s="10" t="s">
        <v>109</v>
      </c>
      <c r="H55" s="10" t="s">
        <v>210</v>
      </c>
      <c r="I55" s="24" t="s">
        <v>269</v>
      </c>
      <c r="J55" s="9" t="s">
        <v>268</v>
      </c>
      <c r="L55" s="9" t="str">
        <f t="shared" si="0"/>
        <v>Off-balance sheet exposuresInstrumentsACCUM_IMPAIRMENT_AMOUNT</v>
      </c>
      <c r="M55" s="24" t="s">
        <v>269</v>
      </c>
      <c r="N55" s="9" t="s">
        <v>268</v>
      </c>
    </row>
    <row r="56" spans="1:14" s="9" customFormat="1" x14ac:dyDescent="0.25">
      <c r="A56" s="5" t="s">
        <v>9</v>
      </c>
      <c r="B56" s="10" t="s">
        <v>4</v>
      </c>
      <c r="C56" s="10" t="s">
        <v>68</v>
      </c>
      <c r="D56" s="20">
        <v>0.1743012632110667</v>
      </c>
      <c r="E56" s="12" t="s">
        <v>85</v>
      </c>
      <c r="F56" s="12" t="s">
        <v>55</v>
      </c>
      <c r="G56" s="10"/>
      <c r="H56" s="12"/>
      <c r="I56" s="24" t="s">
        <v>269</v>
      </c>
      <c r="J56" s="23" t="s">
        <v>253</v>
      </c>
      <c r="K56" s="23"/>
      <c r="L56" s="9" t="str">
        <f t="shared" si="0"/>
        <v>Off-balance sheet exposuresCounterpartiesPROBABILITY_DEFAULT</v>
      </c>
      <c r="M56" s="24" t="s">
        <v>269</v>
      </c>
      <c r="N56" s="23" t="s">
        <v>253</v>
      </c>
    </row>
    <row r="57" spans="1:14" s="9" customFormat="1" ht="214.5" x14ac:dyDescent="0.35">
      <c r="A57" s="5" t="s">
        <v>9</v>
      </c>
      <c r="B57" s="10" t="s">
        <v>4</v>
      </c>
      <c r="C57" s="10" t="s">
        <v>69</v>
      </c>
      <c r="D57" s="20">
        <v>0.17241266654017384</v>
      </c>
      <c r="E57" s="11" t="s">
        <v>100</v>
      </c>
      <c r="F57" s="12" t="s">
        <v>117</v>
      </c>
      <c r="G57" s="10" t="s">
        <v>119</v>
      </c>
      <c r="H57" s="12"/>
      <c r="I57" s="24" t="s">
        <v>269</v>
      </c>
      <c r="J57" s="9" t="s">
        <v>254</v>
      </c>
      <c r="L57" s="9" t="str">
        <f t="shared" si="0"/>
        <v>Off-balance sheet exposuresCounterpartiesINTERNAL_CREDIT_RATING</v>
      </c>
      <c r="M57" s="24" t="s">
        <v>269</v>
      </c>
      <c r="N57" s="9" t="s">
        <v>254</v>
      </c>
    </row>
    <row r="58" spans="1:14" s="9" customFormat="1" ht="165" x14ac:dyDescent="0.35">
      <c r="A58" s="5" t="s">
        <v>9</v>
      </c>
      <c r="B58" s="10" t="s">
        <v>4</v>
      </c>
      <c r="C58" s="10" t="s">
        <v>20</v>
      </c>
      <c r="D58" s="20">
        <v>0.99999874344865547</v>
      </c>
      <c r="E58" s="12" t="s">
        <v>87</v>
      </c>
      <c r="F58" s="12" t="s">
        <v>55</v>
      </c>
      <c r="G58" s="10" t="s">
        <v>120</v>
      </c>
      <c r="H58" s="12" t="s">
        <v>215</v>
      </c>
      <c r="I58" s="24" t="s">
        <v>218</v>
      </c>
      <c r="L58" s="9" t="str">
        <f t="shared" si="0"/>
        <v>Off-balance sheet exposuresCounterpartiesIFRS9_PROB_DEFAULT_IMPAIRMENT</v>
      </c>
      <c r="M58" s="24" t="s">
        <v>218</v>
      </c>
    </row>
    <row r="59" spans="1:14" s="9" customFormat="1" ht="33" x14ac:dyDescent="0.35">
      <c r="A59" s="5" t="s">
        <v>9</v>
      </c>
      <c r="B59" s="10" t="s">
        <v>4</v>
      </c>
      <c r="C59" s="10" t="s">
        <v>71</v>
      </c>
      <c r="D59" s="20">
        <v>0.21027507165484041</v>
      </c>
      <c r="E59" s="12" t="s">
        <v>99</v>
      </c>
      <c r="F59" s="12" t="s">
        <v>55</v>
      </c>
      <c r="G59" s="10" t="s">
        <v>121</v>
      </c>
      <c r="H59" s="12"/>
      <c r="I59" s="24" t="s">
        <v>269</v>
      </c>
      <c r="J59" s="9" t="s">
        <v>255</v>
      </c>
      <c r="L59" s="9" t="str">
        <f t="shared" si="0"/>
        <v>Off-balance sheet exposuresCounterpartiesDEFAULT_STATUS_COUNTERPARTY</v>
      </c>
      <c r="M59" s="24" t="s">
        <v>269</v>
      </c>
      <c r="N59" s="9" t="s">
        <v>255</v>
      </c>
    </row>
    <row r="60" spans="1:14" s="9" customFormat="1" ht="33" x14ac:dyDescent="0.35">
      <c r="A60" s="5" t="s">
        <v>9</v>
      </c>
      <c r="B60" s="10" t="s">
        <v>4</v>
      </c>
      <c r="C60" s="10" t="s">
        <v>72</v>
      </c>
      <c r="D60" s="20">
        <v>0.50610369815626222</v>
      </c>
      <c r="E60" s="12" t="s">
        <v>124</v>
      </c>
      <c r="F60" s="12" t="s">
        <v>55</v>
      </c>
      <c r="G60" s="10" t="s">
        <v>121</v>
      </c>
      <c r="H60" s="12"/>
      <c r="I60" s="24" t="s">
        <v>269</v>
      </c>
      <c r="J60" s="9" t="s">
        <v>256</v>
      </c>
      <c r="L60" s="9" t="str">
        <f t="shared" si="0"/>
        <v>Off-balance sheet exposuresCounterpartiesDATE_DEFAULT_STATUS_COUNTERPARTY</v>
      </c>
      <c r="M60" s="24" t="s">
        <v>269</v>
      </c>
      <c r="N60" s="9" t="s">
        <v>256</v>
      </c>
    </row>
    <row r="61" spans="1:14" s="9" customFormat="1" x14ac:dyDescent="0.35">
      <c r="A61" s="5" t="s">
        <v>9</v>
      </c>
      <c r="B61" s="10" t="s">
        <v>4</v>
      </c>
      <c r="C61" s="10" t="s">
        <v>110</v>
      </c>
      <c r="D61" s="20">
        <v>0.99923852988518891</v>
      </c>
      <c r="E61" s="10" t="s">
        <v>90</v>
      </c>
      <c r="F61" s="12" t="s">
        <v>55</v>
      </c>
      <c r="G61" s="10"/>
      <c r="H61" s="12"/>
      <c r="I61" s="24" t="s">
        <v>269</v>
      </c>
      <c r="J61" s="9" t="s">
        <v>257</v>
      </c>
      <c r="L61" s="9" t="str">
        <f t="shared" si="0"/>
        <v>Off-balance sheet exposuresCounterpartiesLEGAL_ENTITY_ID</v>
      </c>
      <c r="M61" s="24" t="s">
        <v>269</v>
      </c>
      <c r="N61" s="9" t="s">
        <v>257</v>
      </c>
    </row>
    <row r="62" spans="1:14" s="9" customFormat="1" ht="66" x14ac:dyDescent="0.35">
      <c r="A62" s="5" t="s">
        <v>9</v>
      </c>
      <c r="B62" s="10" t="s">
        <v>4</v>
      </c>
      <c r="C62" s="10" t="s">
        <v>111</v>
      </c>
      <c r="D62" s="20">
        <v>0.99999748689731083</v>
      </c>
      <c r="E62" s="10" t="s">
        <v>88</v>
      </c>
      <c r="F62" s="12" t="s">
        <v>55</v>
      </c>
      <c r="G62" s="10" t="s">
        <v>122</v>
      </c>
      <c r="H62" s="12" t="s">
        <v>207</v>
      </c>
      <c r="I62" s="24" t="s">
        <v>218</v>
      </c>
      <c r="L62" s="9" t="str">
        <f t="shared" si="0"/>
        <v>Off-balance sheet exposuresCounterpartiesHEAD_OFFICE_UNDERTAKING_ID</v>
      </c>
      <c r="M62" s="24" t="s">
        <v>218</v>
      </c>
    </row>
    <row r="63" spans="1:14" s="9" customFormat="1" ht="66" x14ac:dyDescent="0.35">
      <c r="A63" s="5" t="s">
        <v>9</v>
      </c>
      <c r="B63" s="10" t="s">
        <v>4</v>
      </c>
      <c r="C63" s="10" t="s">
        <v>112</v>
      </c>
      <c r="D63" s="20">
        <v>0.99999748689731083</v>
      </c>
      <c r="E63" s="10" t="s">
        <v>88</v>
      </c>
      <c r="F63" s="12" t="s">
        <v>55</v>
      </c>
      <c r="G63" s="10" t="s">
        <v>122</v>
      </c>
      <c r="H63" s="12" t="s">
        <v>207</v>
      </c>
      <c r="I63" s="24" t="s">
        <v>218</v>
      </c>
      <c r="L63" s="9" t="str">
        <f t="shared" si="0"/>
        <v>Off-balance sheet exposuresCounterpartiesIMMEDIATE_PARENT_UNDERTAKING_ID</v>
      </c>
      <c r="M63" s="24" t="s">
        <v>218</v>
      </c>
    </row>
    <row r="64" spans="1:14" s="9" customFormat="1" ht="66" x14ac:dyDescent="0.35">
      <c r="A64" s="5" t="s">
        <v>9</v>
      </c>
      <c r="B64" s="10" t="s">
        <v>4</v>
      </c>
      <c r="C64" s="10" t="s">
        <v>113</v>
      </c>
      <c r="D64" s="20">
        <v>0.99999748689731083</v>
      </c>
      <c r="E64" s="10" t="s">
        <v>88</v>
      </c>
      <c r="F64" s="12" t="s">
        <v>55</v>
      </c>
      <c r="G64" s="10" t="s">
        <v>122</v>
      </c>
      <c r="H64" s="12" t="s">
        <v>207</v>
      </c>
      <c r="I64" s="24" t="s">
        <v>218</v>
      </c>
      <c r="L64" s="9" t="str">
        <f t="shared" si="0"/>
        <v>Off-balance sheet exposuresCounterpartiesULTIMATE_PARENT_UNDERTAKING_ID</v>
      </c>
      <c r="M64" s="24" t="s">
        <v>218</v>
      </c>
    </row>
    <row r="65" spans="1:14" s="9" customFormat="1" ht="66" x14ac:dyDescent="0.35">
      <c r="A65" s="5" t="s">
        <v>9</v>
      </c>
      <c r="B65" s="10" t="s">
        <v>4</v>
      </c>
      <c r="C65" s="10" t="s">
        <v>114</v>
      </c>
      <c r="D65" s="20">
        <v>1</v>
      </c>
      <c r="E65" s="11" t="s">
        <v>86</v>
      </c>
      <c r="F65" s="12" t="s">
        <v>118</v>
      </c>
      <c r="G65" s="10" t="s">
        <v>123</v>
      </c>
      <c r="H65" s="12" t="s">
        <v>208</v>
      </c>
      <c r="I65" s="24" t="s">
        <v>223</v>
      </c>
      <c r="L65" s="9" t="str">
        <f t="shared" si="0"/>
        <v>Off-balance sheet exposuresCounterpartiesADDRESS_STREET</v>
      </c>
      <c r="M65" s="24" t="s">
        <v>223</v>
      </c>
    </row>
    <row r="66" spans="1:14" s="9" customFormat="1" ht="66" x14ac:dyDescent="0.35">
      <c r="A66" s="5" t="s">
        <v>9</v>
      </c>
      <c r="B66" s="10" t="s">
        <v>4</v>
      </c>
      <c r="C66" s="10" t="s">
        <v>115</v>
      </c>
      <c r="D66" s="20">
        <v>1</v>
      </c>
      <c r="E66" s="11" t="s">
        <v>86</v>
      </c>
      <c r="F66" s="12" t="s">
        <v>118</v>
      </c>
      <c r="G66" s="10" t="s">
        <v>123</v>
      </c>
      <c r="H66" s="12" t="s">
        <v>208</v>
      </c>
      <c r="I66" s="24" t="s">
        <v>223</v>
      </c>
      <c r="L66" s="9" t="str">
        <f t="shared" si="0"/>
        <v>Off-balance sheet exposuresCounterpartiesADDRESS_CITY_TOWN_VILLAGE</v>
      </c>
      <c r="M66" s="24" t="s">
        <v>223</v>
      </c>
    </row>
    <row r="67" spans="1:14" s="9" customFormat="1" ht="66" x14ac:dyDescent="0.35">
      <c r="A67" s="5" t="s">
        <v>9</v>
      </c>
      <c r="B67" s="10" t="s">
        <v>4</v>
      </c>
      <c r="C67" s="10" t="s">
        <v>116</v>
      </c>
      <c r="D67" s="20">
        <v>1</v>
      </c>
      <c r="E67" s="11" t="s">
        <v>86</v>
      </c>
      <c r="F67" s="12" t="s">
        <v>118</v>
      </c>
      <c r="G67" s="10" t="s">
        <v>123</v>
      </c>
      <c r="H67" s="12" t="s">
        <v>208</v>
      </c>
      <c r="I67" s="24" t="s">
        <v>223</v>
      </c>
      <c r="L67" s="9" t="str">
        <f t="shared" ref="L67:L124" si="1">CONCATENATE(A67,B67,C67)</f>
        <v>Off-balance sheet exposuresCounterpartiesADDRESS_COUNTY_ADM_DIV</v>
      </c>
      <c r="M67" s="24" t="s">
        <v>223</v>
      </c>
    </row>
    <row r="68" spans="1:14" s="9" customFormat="1" ht="33" x14ac:dyDescent="0.35">
      <c r="A68" s="5" t="s">
        <v>9</v>
      </c>
      <c r="B68" s="10" t="s">
        <v>5</v>
      </c>
      <c r="C68" s="10" t="s">
        <v>125</v>
      </c>
      <c r="D68" s="20">
        <v>1</v>
      </c>
      <c r="E68" s="10" t="s">
        <v>90</v>
      </c>
      <c r="F68" s="10" t="s">
        <v>55</v>
      </c>
      <c r="G68" s="10" t="s">
        <v>127</v>
      </c>
      <c r="H68" s="10" t="s">
        <v>210</v>
      </c>
      <c r="I68" s="24" t="s">
        <v>269</v>
      </c>
      <c r="J68" s="9" t="s">
        <v>262</v>
      </c>
      <c r="L68" s="9" t="str">
        <f t="shared" si="1"/>
        <v>Off-balance sheet exposuresProtectionsPROTECTION_PROVIDER_ID</v>
      </c>
      <c r="M68" s="24" t="s">
        <v>269</v>
      </c>
      <c r="N68" s="9" t="s">
        <v>262</v>
      </c>
    </row>
    <row r="69" spans="1:14" s="9" customFormat="1" ht="82.5" x14ac:dyDescent="0.35">
      <c r="A69" s="5" t="s">
        <v>9</v>
      </c>
      <c r="B69" s="10" t="s">
        <v>5</v>
      </c>
      <c r="C69" s="10" t="s">
        <v>79</v>
      </c>
      <c r="D69" s="20">
        <v>0.80610508105694911</v>
      </c>
      <c r="E69" s="14" t="s">
        <v>94</v>
      </c>
      <c r="F69" s="10" t="s">
        <v>55</v>
      </c>
      <c r="G69" s="10" t="s">
        <v>128</v>
      </c>
      <c r="H69" s="10"/>
      <c r="I69" s="24" t="s">
        <v>269</v>
      </c>
      <c r="J69" s="9" t="s">
        <v>258</v>
      </c>
      <c r="L69" s="9" t="str">
        <f t="shared" si="1"/>
        <v>Off-balance sheet exposuresProtectionsDATE_PROTECTION_VALUE</v>
      </c>
      <c r="M69" s="24" t="s">
        <v>269</v>
      </c>
      <c r="N69" s="9" t="s">
        <v>258</v>
      </c>
    </row>
    <row r="70" spans="1:14" s="9" customFormat="1" ht="82.5" x14ac:dyDescent="0.35">
      <c r="A70" s="5" t="s">
        <v>9</v>
      </c>
      <c r="B70" s="10" t="s">
        <v>5</v>
      </c>
      <c r="C70" s="10" t="s">
        <v>126</v>
      </c>
      <c r="D70" s="20">
        <v>0.80613298362119479</v>
      </c>
      <c r="E70" s="14" t="s">
        <v>94</v>
      </c>
      <c r="F70" s="10" t="s">
        <v>55</v>
      </c>
      <c r="G70" s="10" t="s">
        <v>128</v>
      </c>
      <c r="H70" s="10"/>
      <c r="I70" s="24" t="s">
        <v>269</v>
      </c>
      <c r="J70" s="9" t="s">
        <v>263</v>
      </c>
      <c r="L70" s="9" t="str">
        <f t="shared" si="1"/>
        <v>Off-balance sheet exposuresProtectionsMATURITY_DATE_PROTECTION</v>
      </c>
      <c r="M70" s="24" t="s">
        <v>269</v>
      </c>
      <c r="N70" s="9" t="s">
        <v>263</v>
      </c>
    </row>
    <row r="71" spans="1:14" s="9" customFormat="1" ht="82.5" x14ac:dyDescent="0.35">
      <c r="A71" s="5" t="s">
        <v>9</v>
      </c>
      <c r="B71" s="10" t="s">
        <v>5</v>
      </c>
      <c r="C71" s="10" t="s">
        <v>80</v>
      </c>
      <c r="D71" s="20">
        <v>0.80610508105694911</v>
      </c>
      <c r="E71" s="11" t="s">
        <v>85</v>
      </c>
      <c r="F71" s="10" t="s">
        <v>55</v>
      </c>
      <c r="G71" s="10" t="s">
        <v>129</v>
      </c>
      <c r="H71" s="10"/>
      <c r="I71" s="24" t="s">
        <v>269</v>
      </c>
      <c r="J71" s="9" t="s">
        <v>259</v>
      </c>
      <c r="L71" s="9" t="str">
        <f t="shared" si="1"/>
        <v>Off-balance sheet exposuresProtectionsORIGINAL_PROTECTION_VALUE</v>
      </c>
      <c r="M71" s="24" t="s">
        <v>269</v>
      </c>
      <c r="N71" s="9" t="s">
        <v>259</v>
      </c>
    </row>
    <row r="72" spans="1:14" s="9" customFormat="1" ht="66" x14ac:dyDescent="0.35">
      <c r="A72" s="5" t="s">
        <v>9</v>
      </c>
      <c r="B72" s="10" t="s">
        <v>5</v>
      </c>
      <c r="C72" s="10" t="s">
        <v>82</v>
      </c>
      <c r="D72" s="20">
        <v>0.80610508105694911</v>
      </c>
      <c r="E72" s="11" t="s">
        <v>85</v>
      </c>
      <c r="F72" s="10" t="s">
        <v>55</v>
      </c>
      <c r="G72" s="10" t="s">
        <v>130</v>
      </c>
      <c r="H72" s="10"/>
      <c r="I72" s="24" t="s">
        <v>269</v>
      </c>
      <c r="J72" s="9" t="s">
        <v>261</v>
      </c>
      <c r="L72" s="9" t="str">
        <f t="shared" si="1"/>
        <v>Off-balance sheet exposuresProtectionsTYPE_PROTECTION_VALUE</v>
      </c>
      <c r="M72" s="24" t="s">
        <v>269</v>
      </c>
      <c r="N72" s="9" t="s">
        <v>261</v>
      </c>
    </row>
    <row r="73" spans="1:14" s="9" customFormat="1" ht="49.5" x14ac:dyDescent="0.35">
      <c r="A73" s="5" t="s">
        <v>9</v>
      </c>
      <c r="B73" s="10" t="s">
        <v>6</v>
      </c>
      <c r="C73" s="10" t="s">
        <v>84</v>
      </c>
      <c r="D73" s="20">
        <v>0.99999907125861176</v>
      </c>
      <c r="E73" s="11" t="s">
        <v>131</v>
      </c>
      <c r="F73" s="10" t="s">
        <v>55</v>
      </c>
      <c r="G73" s="10" t="s">
        <v>132</v>
      </c>
      <c r="H73" s="10" t="s">
        <v>210</v>
      </c>
      <c r="I73" s="24" t="s">
        <v>269</v>
      </c>
      <c r="J73" s="9" t="s">
        <v>264</v>
      </c>
      <c r="L73" s="9" t="str">
        <f t="shared" si="1"/>
        <v>Off-balance sheet exposuresInstrument-Counterparty relationJOINT_LIABILITIES_AMOUNT</v>
      </c>
      <c r="M73" s="24" t="s">
        <v>269</v>
      </c>
      <c r="N73" s="9" t="s">
        <v>264</v>
      </c>
    </row>
    <row r="74" spans="1:14" s="9" customFormat="1" ht="49.5" x14ac:dyDescent="0.35">
      <c r="A74" s="5" t="s">
        <v>9</v>
      </c>
      <c r="B74" s="10" t="s">
        <v>7</v>
      </c>
      <c r="C74" s="10" t="s">
        <v>133</v>
      </c>
      <c r="D74" s="20">
        <v>0.99999907125861176</v>
      </c>
      <c r="E74" s="11" t="s">
        <v>135</v>
      </c>
      <c r="F74" s="10" t="s">
        <v>55</v>
      </c>
      <c r="G74" s="10" t="s">
        <v>134</v>
      </c>
      <c r="H74" s="10" t="s">
        <v>210</v>
      </c>
      <c r="I74" s="24" t="s">
        <v>277</v>
      </c>
      <c r="L74" s="9" t="str">
        <f t="shared" si="1"/>
        <v>Off-balance sheet exposuresInstrument-Protection relationEXTERNAL_CREDIT_RATING</v>
      </c>
      <c r="M74" s="24" t="s">
        <v>277</v>
      </c>
    </row>
    <row r="75" spans="1:14" s="9" customFormat="1" ht="148.5" x14ac:dyDescent="0.35">
      <c r="A75" s="15" t="s">
        <v>10</v>
      </c>
      <c r="B75" s="10" t="s">
        <v>3</v>
      </c>
      <c r="C75" s="10" t="s">
        <v>136</v>
      </c>
      <c r="D75" s="20">
        <v>1</v>
      </c>
      <c r="E75" s="10" t="s">
        <v>88</v>
      </c>
      <c r="F75" s="10" t="s">
        <v>55</v>
      </c>
      <c r="G75" s="10" t="s">
        <v>161</v>
      </c>
      <c r="H75" s="10" t="s">
        <v>215</v>
      </c>
      <c r="I75" s="24" t="s">
        <v>218</v>
      </c>
      <c r="L75" s="9" t="str">
        <f t="shared" si="1"/>
        <v>DerivativesInstrumentsUNIQUE_TRADE_ID</v>
      </c>
      <c r="M75" s="24" t="s">
        <v>218</v>
      </c>
    </row>
    <row r="76" spans="1:14" s="9" customFormat="1" ht="66" x14ac:dyDescent="0.35">
      <c r="A76" s="15" t="s">
        <v>10</v>
      </c>
      <c r="B76" s="10" t="s">
        <v>3</v>
      </c>
      <c r="C76" s="10" t="s">
        <v>137</v>
      </c>
      <c r="D76" s="20">
        <v>3.2028469750889681E-2</v>
      </c>
      <c r="E76" s="10" t="s">
        <v>88</v>
      </c>
      <c r="F76" s="10" t="s">
        <v>55</v>
      </c>
      <c r="G76" s="10" t="s">
        <v>162</v>
      </c>
      <c r="H76" s="10"/>
      <c r="I76" s="24" t="s">
        <v>271</v>
      </c>
      <c r="L76" s="9" t="str">
        <f t="shared" si="1"/>
        <v>DerivativesInstrumentsCOUNTERPARTY_ID</v>
      </c>
      <c r="M76" s="24" t="s">
        <v>271</v>
      </c>
    </row>
    <row r="77" spans="1:14" s="9" customFormat="1" ht="148.5" x14ac:dyDescent="0.35">
      <c r="A77" s="15" t="s">
        <v>10</v>
      </c>
      <c r="B77" s="10" t="s">
        <v>3</v>
      </c>
      <c r="C77" s="10" t="s">
        <v>138</v>
      </c>
      <c r="D77" s="20">
        <v>1</v>
      </c>
      <c r="E77" s="10" t="s">
        <v>88</v>
      </c>
      <c r="F77" s="10" t="s">
        <v>55</v>
      </c>
      <c r="G77" s="10" t="s">
        <v>161</v>
      </c>
      <c r="H77" s="10" t="s">
        <v>215</v>
      </c>
      <c r="I77" s="24" t="s">
        <v>218</v>
      </c>
      <c r="L77" s="9" t="str">
        <f t="shared" si="1"/>
        <v>DerivativesInstrumentsBASE_PRODUCT</v>
      </c>
      <c r="M77" s="24" t="s">
        <v>218</v>
      </c>
    </row>
    <row r="78" spans="1:14" s="9" customFormat="1" ht="148.5" x14ac:dyDescent="0.35">
      <c r="A78" s="15" t="s">
        <v>10</v>
      </c>
      <c r="B78" s="10" t="s">
        <v>3</v>
      </c>
      <c r="C78" s="10" t="s">
        <v>139</v>
      </c>
      <c r="D78" s="20">
        <v>1</v>
      </c>
      <c r="E78" s="10" t="s">
        <v>88</v>
      </c>
      <c r="F78" s="10" t="s">
        <v>55</v>
      </c>
      <c r="G78" s="10" t="s">
        <v>161</v>
      </c>
      <c r="H78" s="10" t="s">
        <v>215</v>
      </c>
      <c r="I78" s="24" t="s">
        <v>218</v>
      </c>
      <c r="L78" s="9" t="str">
        <f t="shared" si="1"/>
        <v>DerivativesInstrumentsGOVERNING_LAW</v>
      </c>
      <c r="M78" s="24" t="s">
        <v>218</v>
      </c>
    </row>
    <row r="79" spans="1:14" s="9" customFormat="1" ht="99" x14ac:dyDescent="0.35">
      <c r="A79" s="15" t="s">
        <v>10</v>
      </c>
      <c r="B79" s="10" t="s">
        <v>3</v>
      </c>
      <c r="C79" s="10" t="s">
        <v>140</v>
      </c>
      <c r="D79" s="20">
        <v>1</v>
      </c>
      <c r="E79" s="11" t="s">
        <v>88</v>
      </c>
      <c r="F79" s="10" t="s">
        <v>55</v>
      </c>
      <c r="G79" s="10" t="s">
        <v>163</v>
      </c>
      <c r="H79" s="10" t="s">
        <v>215</v>
      </c>
      <c r="I79" s="24" t="s">
        <v>218</v>
      </c>
      <c r="L79" s="9" t="str">
        <f t="shared" si="1"/>
        <v>DerivativesInstrumentsCONTRACT_RECOGN_WRITE_DOWN</v>
      </c>
      <c r="M79" s="24" t="s">
        <v>218</v>
      </c>
    </row>
    <row r="80" spans="1:14" s="9" customFormat="1" ht="99" x14ac:dyDescent="0.35">
      <c r="A80" s="15" t="s">
        <v>10</v>
      </c>
      <c r="B80" s="10" t="s">
        <v>3</v>
      </c>
      <c r="C80" s="10" t="s">
        <v>141</v>
      </c>
      <c r="D80" s="20">
        <v>1</v>
      </c>
      <c r="E80" s="11" t="s">
        <v>88</v>
      </c>
      <c r="F80" s="10" t="s">
        <v>55</v>
      </c>
      <c r="G80" s="10" t="s">
        <v>163</v>
      </c>
      <c r="H80" s="10" t="s">
        <v>215</v>
      </c>
      <c r="I80" s="24" t="s">
        <v>218</v>
      </c>
      <c r="L80" s="9" t="str">
        <f t="shared" si="1"/>
        <v>DerivativesInstrumentsCONTRACT_RECOGN_SUSPENSION</v>
      </c>
      <c r="M80" s="24" t="s">
        <v>218</v>
      </c>
    </row>
    <row r="81" spans="1:14" s="9" customFormat="1" ht="99" x14ac:dyDescent="0.35">
      <c r="A81" s="15" t="s">
        <v>10</v>
      </c>
      <c r="B81" s="10" t="s">
        <v>3</v>
      </c>
      <c r="C81" s="10" t="s">
        <v>142</v>
      </c>
      <c r="D81" s="20">
        <v>1</v>
      </c>
      <c r="E81" s="11" t="s">
        <v>88</v>
      </c>
      <c r="F81" s="10" t="s">
        <v>55</v>
      </c>
      <c r="G81" s="10" t="s">
        <v>163</v>
      </c>
      <c r="H81" s="10" t="s">
        <v>215</v>
      </c>
      <c r="I81" s="24" t="s">
        <v>218</v>
      </c>
      <c r="L81" s="9" t="str">
        <f t="shared" si="1"/>
        <v>DerivativesInstrumentsCONTRACT_RECOGN_RESOLUTION</v>
      </c>
      <c r="M81" s="24" t="s">
        <v>218</v>
      </c>
    </row>
    <row r="82" spans="1:14" s="9" customFormat="1" ht="66" x14ac:dyDescent="0.35">
      <c r="A82" s="15" t="s">
        <v>10</v>
      </c>
      <c r="B82" s="10" t="s">
        <v>3</v>
      </c>
      <c r="C82" s="10" t="s">
        <v>143</v>
      </c>
      <c r="D82" s="20">
        <v>1</v>
      </c>
      <c r="E82" s="11" t="s">
        <v>88</v>
      </c>
      <c r="F82" s="10" t="s">
        <v>55</v>
      </c>
      <c r="G82" s="10" t="s">
        <v>164</v>
      </c>
      <c r="H82" s="10" t="s">
        <v>215</v>
      </c>
      <c r="I82" s="24" t="s">
        <v>218</v>
      </c>
      <c r="L82" s="9" t="str">
        <f t="shared" si="1"/>
        <v>DerivativesInstrumentsCOLLATERAL_PORTFOLIO</v>
      </c>
      <c r="M82" s="24" t="s">
        <v>218</v>
      </c>
    </row>
    <row r="83" spans="1:14" s="9" customFormat="1" ht="66" x14ac:dyDescent="0.35">
      <c r="A83" s="15" t="s">
        <v>10</v>
      </c>
      <c r="B83" s="10" t="s">
        <v>3</v>
      </c>
      <c r="C83" s="10" t="s">
        <v>144</v>
      </c>
      <c r="D83" s="20">
        <v>1</v>
      </c>
      <c r="E83" s="12" t="s">
        <v>87</v>
      </c>
      <c r="F83" s="10" t="s">
        <v>55</v>
      </c>
      <c r="G83" s="10" t="s">
        <v>164</v>
      </c>
      <c r="H83" s="10" t="s">
        <v>215</v>
      </c>
      <c r="I83" s="24" t="s">
        <v>218</v>
      </c>
      <c r="L83" s="9" t="str">
        <f t="shared" si="1"/>
        <v>DerivativesInstrumentsCOLLATERAL_POSTED</v>
      </c>
      <c r="M83" s="24" t="s">
        <v>218</v>
      </c>
    </row>
    <row r="84" spans="1:14" s="9" customFormat="1" ht="66" x14ac:dyDescent="0.35">
      <c r="A84" s="15" t="s">
        <v>10</v>
      </c>
      <c r="B84" s="10" t="s">
        <v>3</v>
      </c>
      <c r="C84" s="10" t="s">
        <v>145</v>
      </c>
      <c r="D84" s="20">
        <v>1</v>
      </c>
      <c r="E84" s="11" t="s">
        <v>88</v>
      </c>
      <c r="F84" s="10" t="s">
        <v>55</v>
      </c>
      <c r="G84" s="10" t="s">
        <v>164</v>
      </c>
      <c r="H84" s="10" t="s">
        <v>215</v>
      </c>
      <c r="I84" s="24" t="s">
        <v>218</v>
      </c>
      <c r="L84" s="9" t="str">
        <f t="shared" si="1"/>
        <v>DerivativesInstrumentsCOLLATERAL_POSTED_CURRENCY</v>
      </c>
      <c r="M84" s="24" t="s">
        <v>218</v>
      </c>
    </row>
    <row r="85" spans="1:14" s="9" customFormat="1" ht="66" x14ac:dyDescent="0.35">
      <c r="A85" s="15" t="s">
        <v>10</v>
      </c>
      <c r="B85" s="10" t="s">
        <v>3</v>
      </c>
      <c r="C85" s="10" t="s">
        <v>146</v>
      </c>
      <c r="D85" s="20">
        <v>1</v>
      </c>
      <c r="E85" s="12" t="s">
        <v>87</v>
      </c>
      <c r="F85" s="10" t="s">
        <v>55</v>
      </c>
      <c r="G85" s="10" t="s">
        <v>164</v>
      </c>
      <c r="H85" s="10" t="s">
        <v>215</v>
      </c>
      <c r="I85" s="24" t="s">
        <v>218</v>
      </c>
      <c r="L85" s="9" t="str">
        <f t="shared" si="1"/>
        <v>DerivativesInstrumentsCOLLATERAL_RECEIVED</v>
      </c>
      <c r="M85" s="24" t="s">
        <v>218</v>
      </c>
    </row>
    <row r="86" spans="1:14" s="9" customFormat="1" ht="66" x14ac:dyDescent="0.35">
      <c r="A86" s="15" t="s">
        <v>10</v>
      </c>
      <c r="B86" s="10" t="s">
        <v>3</v>
      </c>
      <c r="C86" s="10" t="s">
        <v>147</v>
      </c>
      <c r="D86" s="20">
        <v>1</v>
      </c>
      <c r="E86" s="11" t="s">
        <v>88</v>
      </c>
      <c r="F86" s="10" t="s">
        <v>55</v>
      </c>
      <c r="G86" s="10" t="s">
        <v>164</v>
      </c>
      <c r="H86" s="10" t="s">
        <v>215</v>
      </c>
      <c r="I86" s="24" t="s">
        <v>218</v>
      </c>
      <c r="L86" s="9" t="str">
        <f t="shared" si="1"/>
        <v>DerivativesInstrumentsCOLLATERAL_RECEIVED_CURRENCY</v>
      </c>
      <c r="M86" s="24" t="s">
        <v>218</v>
      </c>
    </row>
    <row r="87" spans="1:14" s="9" customFormat="1" ht="66" x14ac:dyDescent="0.35">
      <c r="A87" s="15" t="s">
        <v>10</v>
      </c>
      <c r="B87" s="10" t="s">
        <v>3</v>
      </c>
      <c r="C87" s="10" t="s">
        <v>148</v>
      </c>
      <c r="D87" s="20">
        <v>1</v>
      </c>
      <c r="E87" s="10" t="s">
        <v>88</v>
      </c>
      <c r="F87" s="10" t="s">
        <v>55</v>
      </c>
      <c r="G87" s="10" t="s">
        <v>165</v>
      </c>
      <c r="H87" s="10" t="s">
        <v>215</v>
      </c>
      <c r="I87" s="24" t="s">
        <v>217</v>
      </c>
      <c r="L87" s="9" t="str">
        <f t="shared" si="1"/>
        <v>DerivativesInstrumentsLEG_1_CASH_FLOW</v>
      </c>
      <c r="M87" s="24" t="s">
        <v>217</v>
      </c>
    </row>
    <row r="88" spans="1:14" s="9" customFormat="1" ht="66" x14ac:dyDescent="0.35">
      <c r="A88" s="15" t="s">
        <v>10</v>
      </c>
      <c r="B88" s="10" t="s">
        <v>3</v>
      </c>
      <c r="C88" s="10" t="s">
        <v>149</v>
      </c>
      <c r="D88" s="20">
        <v>1</v>
      </c>
      <c r="E88" s="10" t="s">
        <v>88</v>
      </c>
      <c r="F88" s="10" t="s">
        <v>55</v>
      </c>
      <c r="G88" s="10" t="s">
        <v>165</v>
      </c>
      <c r="H88" s="10" t="s">
        <v>215</v>
      </c>
      <c r="I88" s="24" t="s">
        <v>217</v>
      </c>
      <c r="L88" s="9" t="str">
        <f t="shared" si="1"/>
        <v>DerivativesInstrumentsLEG_2_CASH_FLOW</v>
      </c>
      <c r="M88" s="24" t="s">
        <v>217</v>
      </c>
    </row>
    <row r="89" spans="1:14" s="9" customFormat="1" ht="66" x14ac:dyDescent="0.35">
      <c r="A89" s="15" t="s">
        <v>10</v>
      </c>
      <c r="B89" s="10" t="s">
        <v>3</v>
      </c>
      <c r="C89" s="10" t="s">
        <v>150</v>
      </c>
      <c r="D89" s="20">
        <v>1</v>
      </c>
      <c r="E89" s="11" t="s">
        <v>88</v>
      </c>
      <c r="F89" s="10" t="s">
        <v>55</v>
      </c>
      <c r="G89" s="10" t="s">
        <v>166</v>
      </c>
      <c r="H89" s="10" t="s">
        <v>215</v>
      </c>
      <c r="I89" s="24" t="s">
        <v>218</v>
      </c>
      <c r="L89" s="9" t="str">
        <f t="shared" si="1"/>
        <v>DerivativesInstrumentsLEG_1_REFERENCE_RATE</v>
      </c>
      <c r="M89" s="24" t="s">
        <v>218</v>
      </c>
    </row>
    <row r="90" spans="1:14" s="9" customFormat="1" ht="66" x14ac:dyDescent="0.35">
      <c r="A90" s="15" t="s">
        <v>10</v>
      </c>
      <c r="B90" s="10" t="s">
        <v>3</v>
      </c>
      <c r="C90" s="10" t="s">
        <v>151</v>
      </c>
      <c r="D90" s="20">
        <v>1</v>
      </c>
      <c r="E90" s="11" t="s">
        <v>88</v>
      </c>
      <c r="F90" s="10" t="s">
        <v>55</v>
      </c>
      <c r="G90" s="10" t="s">
        <v>166</v>
      </c>
      <c r="H90" s="10" t="s">
        <v>215</v>
      </c>
      <c r="I90" s="24" t="s">
        <v>218</v>
      </c>
      <c r="L90" s="9" t="str">
        <f t="shared" si="1"/>
        <v>DerivativesInstrumentsLEG_2_REFERENCE_RATE</v>
      </c>
      <c r="M90" s="24" t="s">
        <v>218</v>
      </c>
    </row>
    <row r="91" spans="1:14" s="9" customFormat="1" ht="148.5" x14ac:dyDescent="0.35">
      <c r="A91" s="15" t="s">
        <v>10</v>
      </c>
      <c r="B91" s="10" t="s">
        <v>3</v>
      </c>
      <c r="C91" s="10" t="s">
        <v>152</v>
      </c>
      <c r="D91" s="20">
        <v>1</v>
      </c>
      <c r="E91" s="11" t="s">
        <v>88</v>
      </c>
      <c r="F91" s="10" t="s">
        <v>55</v>
      </c>
      <c r="G91" s="10" t="s">
        <v>161</v>
      </c>
      <c r="H91" s="10" t="s">
        <v>215</v>
      </c>
      <c r="I91" s="24" t="s">
        <v>218</v>
      </c>
      <c r="L91" s="9" t="str">
        <f t="shared" si="1"/>
        <v>DerivativesInstrumentsLEG_1_REFERENCE_PERIOD</v>
      </c>
      <c r="M91" s="24" t="s">
        <v>218</v>
      </c>
    </row>
    <row r="92" spans="1:14" s="9" customFormat="1" ht="148.5" x14ac:dyDescent="0.35">
      <c r="A92" s="15" t="s">
        <v>10</v>
      </c>
      <c r="B92" s="10" t="s">
        <v>3</v>
      </c>
      <c r="C92" s="10" t="s">
        <v>153</v>
      </c>
      <c r="D92" s="20">
        <v>1</v>
      </c>
      <c r="E92" s="11" t="s">
        <v>88</v>
      </c>
      <c r="F92" s="10" t="s">
        <v>55</v>
      </c>
      <c r="G92" s="10" t="s">
        <v>161</v>
      </c>
      <c r="H92" s="10" t="s">
        <v>215</v>
      </c>
      <c r="I92" s="24" t="s">
        <v>218</v>
      </c>
      <c r="L92" s="9" t="str">
        <f t="shared" si="1"/>
        <v>DerivativesInstrumentsLEG_2_REFERENCE_PERIOD</v>
      </c>
      <c r="M92" s="24" t="s">
        <v>218</v>
      </c>
    </row>
    <row r="93" spans="1:14" s="9" customFormat="1" ht="66" x14ac:dyDescent="0.35">
      <c r="A93" s="15" t="s">
        <v>10</v>
      </c>
      <c r="B93" s="10" t="s">
        <v>3</v>
      </c>
      <c r="C93" s="10" t="s">
        <v>154</v>
      </c>
      <c r="D93" s="20">
        <v>1</v>
      </c>
      <c r="E93" s="12" t="s">
        <v>85</v>
      </c>
      <c r="F93" s="10" t="s">
        <v>55</v>
      </c>
      <c r="G93" s="10" t="s">
        <v>167</v>
      </c>
      <c r="H93" s="10" t="s">
        <v>210</v>
      </c>
      <c r="I93" s="24" t="s">
        <v>217</v>
      </c>
      <c r="L93" s="9" t="str">
        <f t="shared" si="1"/>
        <v>DerivativesInstrumentsPREMIUM</v>
      </c>
      <c r="M93" s="24" t="s">
        <v>217</v>
      </c>
    </row>
    <row r="94" spans="1:14" s="9" customFormat="1" ht="49.5" x14ac:dyDescent="0.35">
      <c r="A94" s="15" t="s">
        <v>10</v>
      </c>
      <c r="B94" s="10" t="s">
        <v>3</v>
      </c>
      <c r="C94" s="10" t="s">
        <v>155</v>
      </c>
      <c r="D94" s="20">
        <v>6.7615658362989328E-2</v>
      </c>
      <c r="E94" s="10" t="s">
        <v>90</v>
      </c>
      <c r="F94" s="10" t="s">
        <v>55</v>
      </c>
      <c r="G94" s="10" t="s">
        <v>168</v>
      </c>
      <c r="H94" s="10" t="s">
        <v>210</v>
      </c>
      <c r="I94" s="24" t="s">
        <v>270</v>
      </c>
      <c r="L94" s="9" t="str">
        <f t="shared" si="1"/>
        <v>DerivativesInstrumentsNETTING_AGREEMENT</v>
      </c>
      <c r="M94" s="24" t="s">
        <v>270</v>
      </c>
    </row>
    <row r="95" spans="1:14" s="9" customFormat="1" ht="148.5" x14ac:dyDescent="0.35">
      <c r="A95" s="15" t="s">
        <v>10</v>
      </c>
      <c r="B95" s="10" t="s">
        <v>3</v>
      </c>
      <c r="C95" s="10" t="s">
        <v>50</v>
      </c>
      <c r="D95" s="20">
        <v>1</v>
      </c>
      <c r="E95" s="10" t="s">
        <v>98</v>
      </c>
      <c r="F95" s="10" t="s">
        <v>55</v>
      </c>
      <c r="G95" s="10" t="s">
        <v>169</v>
      </c>
      <c r="H95" s="10" t="s">
        <v>210</v>
      </c>
      <c r="I95" s="24" t="s">
        <v>274</v>
      </c>
      <c r="J95" s="9" t="s">
        <v>227</v>
      </c>
      <c r="L95" s="9" t="str">
        <f t="shared" si="1"/>
        <v>DerivativesInstrumentsCARRYING_AMOUNT</v>
      </c>
      <c r="M95" s="24" t="s">
        <v>274</v>
      </c>
      <c r="N95" s="9" t="s">
        <v>227</v>
      </c>
    </row>
    <row r="96" spans="1:14" s="9" customFormat="1" ht="148.5" x14ac:dyDescent="0.35">
      <c r="A96" s="15" t="s">
        <v>10</v>
      </c>
      <c r="B96" s="10" t="s">
        <v>3</v>
      </c>
      <c r="C96" s="10" t="s">
        <v>156</v>
      </c>
      <c r="D96" s="20">
        <v>0.62040332147093713</v>
      </c>
      <c r="E96" s="12" t="s">
        <v>97</v>
      </c>
      <c r="F96" s="10" t="s">
        <v>160</v>
      </c>
      <c r="G96" s="10" t="s">
        <v>170</v>
      </c>
      <c r="H96" s="10"/>
      <c r="I96" s="24" t="s">
        <v>223</v>
      </c>
      <c r="J96" s="9" t="s">
        <v>251</v>
      </c>
      <c r="L96" s="9" t="str">
        <f t="shared" si="1"/>
        <v>DerivativesInstrumentsACCOUNTING_STANDARD</v>
      </c>
      <c r="M96" s="24" t="s">
        <v>223</v>
      </c>
      <c r="N96" s="9" t="s">
        <v>251</v>
      </c>
    </row>
    <row r="97" spans="1:14" s="9" customFormat="1" ht="181.5" x14ac:dyDescent="0.35">
      <c r="A97" s="15" t="s">
        <v>10</v>
      </c>
      <c r="B97" s="10" t="s">
        <v>3</v>
      </c>
      <c r="C97" s="10" t="s">
        <v>157</v>
      </c>
      <c r="D97" s="20">
        <v>1</v>
      </c>
      <c r="E97" s="12" t="s">
        <v>99</v>
      </c>
      <c r="F97" s="10" t="s">
        <v>56</v>
      </c>
      <c r="G97" s="10" t="s">
        <v>171</v>
      </c>
      <c r="H97" s="10" t="s">
        <v>210</v>
      </c>
      <c r="I97" s="24" t="s">
        <v>223</v>
      </c>
      <c r="J97" s="9" t="s">
        <v>252</v>
      </c>
      <c r="L97" s="9" t="str">
        <f t="shared" si="1"/>
        <v>DerivativesInstrumentsACCOUNTING_CLASSIFICATION</v>
      </c>
      <c r="M97" s="24" t="s">
        <v>223</v>
      </c>
      <c r="N97" s="9" t="s">
        <v>252</v>
      </c>
    </row>
    <row r="98" spans="1:14" s="9" customFormat="1" ht="66" x14ac:dyDescent="0.35">
      <c r="A98" s="15" t="s">
        <v>10</v>
      </c>
      <c r="B98" s="10" t="s">
        <v>3</v>
      </c>
      <c r="C98" s="10" t="s">
        <v>158</v>
      </c>
      <c r="D98" s="20">
        <v>1</v>
      </c>
      <c r="E98" s="10" t="s">
        <v>88</v>
      </c>
      <c r="F98" s="10" t="s">
        <v>55</v>
      </c>
      <c r="G98" s="10" t="s">
        <v>172</v>
      </c>
      <c r="H98" s="10" t="s">
        <v>215</v>
      </c>
      <c r="I98" s="24" t="s">
        <v>218</v>
      </c>
      <c r="L98" s="9" t="str">
        <f t="shared" si="1"/>
        <v>DerivativesInstrumentsHIERARCHY</v>
      </c>
      <c r="M98" s="24" t="s">
        <v>218</v>
      </c>
    </row>
    <row r="99" spans="1:14" s="9" customFormat="1" ht="33" x14ac:dyDescent="0.35">
      <c r="A99" s="15" t="s">
        <v>10</v>
      </c>
      <c r="B99" s="10" t="s">
        <v>3</v>
      </c>
      <c r="C99" s="10" t="s">
        <v>159</v>
      </c>
      <c r="D99" s="20">
        <v>1</v>
      </c>
      <c r="E99" s="10" t="s">
        <v>90</v>
      </c>
      <c r="F99" s="10" t="s">
        <v>55</v>
      </c>
      <c r="G99" s="10" t="s">
        <v>173</v>
      </c>
      <c r="H99" s="10" t="s">
        <v>210</v>
      </c>
      <c r="I99" s="24" t="s">
        <v>218</v>
      </c>
      <c r="L99" s="9" t="str">
        <f t="shared" si="1"/>
        <v>DerivativesInstrumentsHEDGE_ID</v>
      </c>
      <c r="M99" s="24" t="s">
        <v>218</v>
      </c>
    </row>
    <row r="100" spans="1:14" s="9" customFormat="1" ht="231" x14ac:dyDescent="0.35">
      <c r="A100" s="15" t="s">
        <v>11</v>
      </c>
      <c r="B100" s="10" t="s">
        <v>3</v>
      </c>
      <c r="C100" s="10" t="s">
        <v>174</v>
      </c>
      <c r="D100" s="20">
        <v>4.1036717062634988E-2</v>
      </c>
      <c r="E100" s="10" t="s">
        <v>90</v>
      </c>
      <c r="F100" s="10" t="s">
        <v>186</v>
      </c>
      <c r="G100" s="10" t="s">
        <v>187</v>
      </c>
      <c r="H100" s="10" t="s">
        <v>213</v>
      </c>
      <c r="I100" s="24" t="s">
        <v>223</v>
      </c>
      <c r="L100" s="9" t="str">
        <f t="shared" si="1"/>
        <v>Debt securitiesInstrumentsISIN</v>
      </c>
      <c r="M100" s="24" t="s">
        <v>223</v>
      </c>
    </row>
    <row r="101" spans="1:14" s="9" customFormat="1" ht="49.5" x14ac:dyDescent="0.35">
      <c r="A101" s="15" t="s">
        <v>11</v>
      </c>
      <c r="B101" s="10" t="s">
        <v>3</v>
      </c>
      <c r="C101" s="10" t="s">
        <v>175</v>
      </c>
      <c r="D101" s="20">
        <v>1</v>
      </c>
      <c r="E101" s="10" t="s">
        <v>88</v>
      </c>
      <c r="F101" s="10" t="s">
        <v>55</v>
      </c>
      <c r="G101" s="10" t="s">
        <v>188</v>
      </c>
      <c r="H101" s="10" t="s">
        <v>210</v>
      </c>
      <c r="I101" s="24" t="s">
        <v>269</v>
      </c>
      <c r="J101" s="9" t="s">
        <v>224</v>
      </c>
      <c r="L101" s="9" t="str">
        <f t="shared" si="1"/>
        <v>Debt securitiesInstrumentsISSUER_RATINGS</v>
      </c>
      <c r="M101" s="24" t="s">
        <v>269</v>
      </c>
      <c r="N101" s="9" t="s">
        <v>224</v>
      </c>
    </row>
    <row r="102" spans="1:14" s="9" customFormat="1" ht="49.5" x14ac:dyDescent="0.35">
      <c r="A102" s="15" t="s">
        <v>11</v>
      </c>
      <c r="B102" s="10" t="s">
        <v>3</v>
      </c>
      <c r="C102" s="10" t="s">
        <v>176</v>
      </c>
      <c r="D102" s="20">
        <v>1</v>
      </c>
      <c r="E102" s="10" t="s">
        <v>88</v>
      </c>
      <c r="F102" s="10" t="s">
        <v>55</v>
      </c>
      <c r="G102" s="10" t="s">
        <v>188</v>
      </c>
      <c r="H102" s="10" t="s">
        <v>210</v>
      </c>
      <c r="I102" s="24" t="s">
        <v>269</v>
      </c>
      <c r="J102" s="9" t="s">
        <v>225</v>
      </c>
      <c r="L102" s="9" t="str">
        <f t="shared" si="1"/>
        <v>Debt securitiesInstrumentsISSUER_RATINGS_SOURCES</v>
      </c>
      <c r="M102" s="24" t="s">
        <v>269</v>
      </c>
      <c r="N102" s="9" t="s">
        <v>225</v>
      </c>
    </row>
    <row r="103" spans="1:14" s="9" customFormat="1" ht="49.5" x14ac:dyDescent="0.35">
      <c r="A103" s="15" t="s">
        <v>11</v>
      </c>
      <c r="B103" s="10" t="s">
        <v>3</v>
      </c>
      <c r="C103" s="10" t="s">
        <v>177</v>
      </c>
      <c r="D103" s="20">
        <v>0.81425485961123112</v>
      </c>
      <c r="E103" s="10" t="s">
        <v>90</v>
      </c>
      <c r="F103" s="10" t="s">
        <v>55</v>
      </c>
      <c r="G103" s="10" t="s">
        <v>189</v>
      </c>
      <c r="H103" s="10" t="s">
        <v>210</v>
      </c>
      <c r="I103" s="24" t="s">
        <v>269</v>
      </c>
      <c r="J103" s="9" t="s">
        <v>228</v>
      </c>
      <c r="L103" s="9" t="str">
        <f t="shared" si="1"/>
        <v>Debt securitiesInstrumentsCURRENCY_VALUE</v>
      </c>
      <c r="M103" s="24" t="s">
        <v>269</v>
      </c>
      <c r="N103" s="9" t="s">
        <v>228</v>
      </c>
    </row>
    <row r="104" spans="1:14" s="9" customFormat="1" ht="49.5" x14ac:dyDescent="0.35">
      <c r="A104" s="15" t="s">
        <v>11</v>
      </c>
      <c r="B104" s="10" t="s">
        <v>3</v>
      </c>
      <c r="C104" s="10" t="s">
        <v>178</v>
      </c>
      <c r="D104" s="20">
        <v>0.81425485961123112</v>
      </c>
      <c r="E104" s="14" t="s">
        <v>94</v>
      </c>
      <c r="F104" s="10" t="s">
        <v>55</v>
      </c>
      <c r="G104" s="10" t="s">
        <v>189</v>
      </c>
      <c r="H104" s="10" t="s">
        <v>210</v>
      </c>
      <c r="I104" s="24" t="s">
        <v>269</v>
      </c>
      <c r="J104" s="9" t="s">
        <v>237</v>
      </c>
      <c r="L104" s="9" t="str">
        <f t="shared" si="1"/>
        <v>Debt securitiesInstrumentsVAL_TIMESTAMP</v>
      </c>
      <c r="M104" s="24" t="s">
        <v>269</v>
      </c>
      <c r="N104" s="9" t="s">
        <v>237</v>
      </c>
    </row>
    <row r="105" spans="1:14" s="9" customFormat="1" ht="82.5" x14ac:dyDescent="0.35">
      <c r="A105" s="15" t="s">
        <v>11</v>
      </c>
      <c r="B105" s="10" t="s">
        <v>3</v>
      </c>
      <c r="C105" s="10" t="s">
        <v>179</v>
      </c>
      <c r="D105" s="20">
        <v>1</v>
      </c>
      <c r="E105" s="12" t="s">
        <v>99</v>
      </c>
      <c r="F105" s="14" t="s">
        <v>196</v>
      </c>
      <c r="G105" s="10" t="s">
        <v>190</v>
      </c>
      <c r="H105" s="10" t="s">
        <v>210</v>
      </c>
      <c r="I105" s="24" t="s">
        <v>269</v>
      </c>
      <c r="J105" s="9" t="s">
        <v>226</v>
      </c>
      <c r="L105" s="9" t="str">
        <f t="shared" si="1"/>
        <v>Debt securitiesInstrumentsVAL_TYPE</v>
      </c>
      <c r="M105" s="24" t="s">
        <v>269</v>
      </c>
      <c r="N105" s="9" t="s">
        <v>226</v>
      </c>
    </row>
    <row r="106" spans="1:14" s="9" customFormat="1" ht="132" x14ac:dyDescent="0.35">
      <c r="A106" s="15" t="s">
        <v>11</v>
      </c>
      <c r="B106" s="10" t="s">
        <v>3</v>
      </c>
      <c r="C106" s="10" t="s">
        <v>180</v>
      </c>
      <c r="D106" s="20">
        <v>0.98056155507559395</v>
      </c>
      <c r="E106" s="10" t="s">
        <v>193</v>
      </c>
      <c r="F106" s="10" t="s">
        <v>55</v>
      </c>
      <c r="G106" s="10" t="s">
        <v>191</v>
      </c>
      <c r="H106" s="10" t="s">
        <v>210</v>
      </c>
      <c r="I106" s="24" t="s">
        <v>274</v>
      </c>
      <c r="J106" s="9" t="s">
        <v>233</v>
      </c>
      <c r="L106" s="9" t="str">
        <f t="shared" si="1"/>
        <v>Debt securitiesInstrumentsGUARANTOR_ID</v>
      </c>
      <c r="M106" s="24" t="s">
        <v>274</v>
      </c>
      <c r="N106" s="9" t="s">
        <v>233</v>
      </c>
    </row>
    <row r="107" spans="1:14" s="9" customFormat="1" ht="132" x14ac:dyDescent="0.35">
      <c r="A107" s="15" t="s">
        <v>11</v>
      </c>
      <c r="B107" s="10" t="s">
        <v>3</v>
      </c>
      <c r="C107" s="10" t="s">
        <v>181</v>
      </c>
      <c r="D107" s="20">
        <v>0.98056155507559395</v>
      </c>
      <c r="E107" s="10" t="s">
        <v>193</v>
      </c>
      <c r="F107" s="10" t="s">
        <v>55</v>
      </c>
      <c r="G107" s="10" t="s">
        <v>191</v>
      </c>
      <c r="H107" s="10" t="s">
        <v>210</v>
      </c>
      <c r="I107" s="24" t="s">
        <v>274</v>
      </c>
      <c r="J107" s="9" t="s">
        <v>234</v>
      </c>
      <c r="L107" s="9" t="str">
        <f t="shared" si="1"/>
        <v>Debt securitiesInstrumentsGUARANTOR_ID_TYPE</v>
      </c>
      <c r="M107" s="24" t="s">
        <v>274</v>
      </c>
      <c r="N107" s="9" t="s">
        <v>234</v>
      </c>
    </row>
    <row r="108" spans="1:14" s="9" customFormat="1" ht="49.5" x14ac:dyDescent="0.35">
      <c r="A108" s="15" t="s">
        <v>11</v>
      </c>
      <c r="B108" s="10" t="s">
        <v>3</v>
      </c>
      <c r="C108" s="10" t="s">
        <v>182</v>
      </c>
      <c r="D108" s="20">
        <v>1</v>
      </c>
      <c r="E108" s="11" t="s">
        <v>88</v>
      </c>
      <c r="F108" s="10" t="s">
        <v>55</v>
      </c>
      <c r="G108" s="10" t="s">
        <v>188</v>
      </c>
      <c r="H108" s="10" t="s">
        <v>215</v>
      </c>
      <c r="I108" s="24" t="s">
        <v>218</v>
      </c>
      <c r="L108" s="9" t="str">
        <f t="shared" si="1"/>
        <v>Debt securitiesInstrumentsSECURITY_RATING</v>
      </c>
      <c r="M108" s="24" t="s">
        <v>218</v>
      </c>
    </row>
    <row r="109" spans="1:14" s="9" customFormat="1" ht="49.5" x14ac:dyDescent="0.35">
      <c r="A109" s="15" t="s">
        <v>11</v>
      </c>
      <c r="B109" s="10" t="s">
        <v>3</v>
      </c>
      <c r="C109" s="10" t="s">
        <v>183</v>
      </c>
      <c r="D109" s="20">
        <v>0.81425485961123112</v>
      </c>
      <c r="E109" s="10" t="s">
        <v>90</v>
      </c>
      <c r="F109" s="10" t="s">
        <v>55</v>
      </c>
      <c r="G109" s="10" t="s">
        <v>189</v>
      </c>
      <c r="H109" s="10" t="s">
        <v>210</v>
      </c>
      <c r="I109" s="24" t="s">
        <v>269</v>
      </c>
      <c r="J109" s="9" t="s">
        <v>235</v>
      </c>
      <c r="L109" s="9" t="str">
        <f t="shared" si="1"/>
        <v>Debt securitiesInstrumentsPURCHASED_RESALE_AGR</v>
      </c>
      <c r="M109" s="24" t="s">
        <v>269</v>
      </c>
      <c r="N109" s="9" t="s">
        <v>235</v>
      </c>
    </row>
    <row r="110" spans="1:14" s="9" customFormat="1" ht="49.5" x14ac:dyDescent="0.35">
      <c r="A110" s="15" t="s">
        <v>11</v>
      </c>
      <c r="B110" s="10" t="s">
        <v>3</v>
      </c>
      <c r="C110" s="10" t="s">
        <v>184</v>
      </c>
      <c r="D110" s="20">
        <v>0.81425485961123112</v>
      </c>
      <c r="E110" s="10" t="s">
        <v>90</v>
      </c>
      <c r="F110" s="10" t="s">
        <v>55</v>
      </c>
      <c r="G110" s="10" t="s">
        <v>189</v>
      </c>
      <c r="H110" s="10" t="s">
        <v>210</v>
      </c>
      <c r="I110" s="24" t="s">
        <v>269</v>
      </c>
      <c r="J110" s="9" t="s">
        <v>229</v>
      </c>
      <c r="L110" s="9" t="str">
        <f t="shared" si="1"/>
        <v>Debt securitiesInstrumentsPART_LCR_BUFFER</v>
      </c>
      <c r="M110" s="24" t="s">
        <v>269</v>
      </c>
      <c r="N110" s="9" t="s">
        <v>229</v>
      </c>
    </row>
    <row r="111" spans="1:14" s="9" customFormat="1" ht="49.5" x14ac:dyDescent="0.35">
      <c r="A111" s="15" t="s">
        <v>11</v>
      </c>
      <c r="B111" s="10" t="s">
        <v>3</v>
      </c>
      <c r="C111" s="10" t="s">
        <v>185</v>
      </c>
      <c r="D111" s="20">
        <v>0.96760259179265662</v>
      </c>
      <c r="E111" s="10" t="s">
        <v>90</v>
      </c>
      <c r="F111" s="10" t="s">
        <v>55</v>
      </c>
      <c r="G111" s="10" t="s">
        <v>189</v>
      </c>
      <c r="H111" s="10" t="s">
        <v>210</v>
      </c>
      <c r="I111" s="24" t="s">
        <v>269</v>
      </c>
      <c r="J111" s="9" t="s">
        <v>236</v>
      </c>
      <c r="L111" s="9" t="str">
        <f t="shared" si="1"/>
        <v>Debt securitiesInstrumentsLCR_BUFFER_CATEGORY</v>
      </c>
      <c r="M111" s="24" t="s">
        <v>269</v>
      </c>
      <c r="N111" s="9" t="s">
        <v>236</v>
      </c>
    </row>
    <row r="112" spans="1:14" s="9" customFormat="1" ht="49.5" x14ac:dyDescent="0.35">
      <c r="A112" s="15" t="s">
        <v>11</v>
      </c>
      <c r="B112" s="10" t="s">
        <v>3</v>
      </c>
      <c r="C112" s="10" t="s">
        <v>159</v>
      </c>
      <c r="D112" s="20">
        <v>0.99136069114470837</v>
      </c>
      <c r="E112" s="10" t="s">
        <v>90</v>
      </c>
      <c r="F112" s="10" t="s">
        <v>55</v>
      </c>
      <c r="G112" s="10" t="s">
        <v>192</v>
      </c>
      <c r="H112" s="10" t="s">
        <v>210</v>
      </c>
      <c r="I112" s="24" t="s">
        <v>269</v>
      </c>
      <c r="J112" s="9" t="s">
        <v>159</v>
      </c>
      <c r="L112" s="9" t="str">
        <f t="shared" si="1"/>
        <v>Debt securitiesInstrumentsHEDGE_ID</v>
      </c>
      <c r="M112" s="24" t="s">
        <v>269</v>
      </c>
      <c r="N112" s="9" t="s">
        <v>159</v>
      </c>
    </row>
    <row r="113" spans="1:14" s="9" customFormat="1" ht="148.5" x14ac:dyDescent="0.35">
      <c r="A113" s="15" t="s">
        <v>12</v>
      </c>
      <c r="B113" s="10" t="s">
        <v>3</v>
      </c>
      <c r="C113" s="10" t="s">
        <v>194</v>
      </c>
      <c r="D113" s="20">
        <v>0</v>
      </c>
      <c r="E113" s="10"/>
      <c r="F113" s="10" t="s">
        <v>54</v>
      </c>
      <c r="G113" s="10" t="s">
        <v>198</v>
      </c>
      <c r="H113" s="10"/>
      <c r="I113" s="24" t="s">
        <v>271</v>
      </c>
      <c r="L113" s="9" t="str">
        <f t="shared" si="1"/>
        <v>EquityInstrumentsFINANCIAL_CONTRACT_ID</v>
      </c>
      <c r="M113" s="24" t="s">
        <v>271</v>
      </c>
    </row>
    <row r="114" spans="1:14" s="9" customFormat="1" ht="181.5" x14ac:dyDescent="0.35">
      <c r="A114" s="15" t="s">
        <v>12</v>
      </c>
      <c r="B114" s="10" t="s">
        <v>3</v>
      </c>
      <c r="C114" s="10" t="s">
        <v>174</v>
      </c>
      <c r="D114" s="20">
        <v>1</v>
      </c>
      <c r="E114" s="10" t="s">
        <v>90</v>
      </c>
      <c r="F114" s="10" t="s">
        <v>54</v>
      </c>
      <c r="G114" s="10" t="s">
        <v>199</v>
      </c>
      <c r="H114" s="10" t="s">
        <v>210</v>
      </c>
      <c r="I114" s="24" t="s">
        <v>269</v>
      </c>
      <c r="J114" s="9" t="s">
        <v>174</v>
      </c>
      <c r="L114" s="9" t="str">
        <f t="shared" si="1"/>
        <v>EquityInstrumentsISIN</v>
      </c>
      <c r="M114" s="24" t="s">
        <v>269</v>
      </c>
      <c r="N114" s="9" t="s">
        <v>174</v>
      </c>
    </row>
    <row r="115" spans="1:14" s="9" customFormat="1" ht="49.5" x14ac:dyDescent="0.35">
      <c r="A115" s="15" t="s">
        <v>12</v>
      </c>
      <c r="B115" s="10" t="s">
        <v>3</v>
      </c>
      <c r="C115" s="10" t="s">
        <v>175</v>
      </c>
      <c r="D115" s="20">
        <v>1</v>
      </c>
      <c r="E115" s="10" t="s">
        <v>88</v>
      </c>
      <c r="F115" s="10" t="s">
        <v>55</v>
      </c>
      <c r="G115" s="10" t="s">
        <v>200</v>
      </c>
      <c r="H115" s="10" t="s">
        <v>210</v>
      </c>
      <c r="I115" s="24" t="s">
        <v>269</v>
      </c>
      <c r="J115" s="9" t="s">
        <v>224</v>
      </c>
      <c r="L115" s="9" t="str">
        <f t="shared" si="1"/>
        <v>EquityInstrumentsISSUER_RATINGS</v>
      </c>
      <c r="M115" s="24" t="s">
        <v>269</v>
      </c>
      <c r="N115" s="9" t="s">
        <v>224</v>
      </c>
    </row>
    <row r="116" spans="1:14" s="9" customFormat="1" ht="49.5" x14ac:dyDescent="0.35">
      <c r="A116" s="15" t="s">
        <v>12</v>
      </c>
      <c r="B116" s="10" t="s">
        <v>3</v>
      </c>
      <c r="C116" s="10" t="s">
        <v>176</v>
      </c>
      <c r="D116" s="20">
        <v>1</v>
      </c>
      <c r="E116" s="10" t="s">
        <v>88</v>
      </c>
      <c r="F116" s="10" t="s">
        <v>55</v>
      </c>
      <c r="G116" s="10" t="s">
        <v>200</v>
      </c>
      <c r="H116" s="10" t="s">
        <v>210</v>
      </c>
      <c r="I116" s="24" t="s">
        <v>269</v>
      </c>
      <c r="J116" s="9" t="s">
        <v>225</v>
      </c>
      <c r="L116" s="9" t="str">
        <f t="shared" si="1"/>
        <v>EquityInstrumentsISSUER_RATINGS_SOURCES</v>
      </c>
      <c r="M116" s="24" t="s">
        <v>269</v>
      </c>
      <c r="N116" s="9" t="s">
        <v>225</v>
      </c>
    </row>
    <row r="117" spans="1:14" s="9" customFormat="1" ht="49.5" x14ac:dyDescent="0.35">
      <c r="A117" s="15" t="s">
        <v>12</v>
      </c>
      <c r="B117" s="10" t="s">
        <v>3</v>
      </c>
      <c r="C117" s="10" t="s">
        <v>177</v>
      </c>
      <c r="D117" s="20">
        <v>1</v>
      </c>
      <c r="E117" s="10" t="s">
        <v>90</v>
      </c>
      <c r="F117" s="10" t="s">
        <v>55</v>
      </c>
      <c r="G117" s="10" t="s">
        <v>201</v>
      </c>
      <c r="H117" s="10" t="s">
        <v>210</v>
      </c>
      <c r="I117" s="24" t="s">
        <v>269</v>
      </c>
      <c r="J117" s="9" t="s">
        <v>228</v>
      </c>
      <c r="L117" s="9" t="str">
        <f t="shared" si="1"/>
        <v>EquityInstrumentsCURRENCY_VALUE</v>
      </c>
      <c r="M117" s="24" t="s">
        <v>269</v>
      </c>
      <c r="N117" s="9" t="s">
        <v>228</v>
      </c>
    </row>
    <row r="118" spans="1:14" s="9" customFormat="1" ht="49.5" x14ac:dyDescent="0.35">
      <c r="A118" s="15" t="s">
        <v>12</v>
      </c>
      <c r="B118" s="10" t="s">
        <v>3</v>
      </c>
      <c r="C118" s="10" t="s">
        <v>178</v>
      </c>
      <c r="D118" s="20">
        <v>0</v>
      </c>
      <c r="E118" s="10"/>
      <c r="F118" s="10" t="s">
        <v>55</v>
      </c>
      <c r="G118" s="10" t="s">
        <v>201</v>
      </c>
      <c r="H118" s="10"/>
      <c r="I118" s="24" t="s">
        <v>269</v>
      </c>
      <c r="J118" s="9" t="s">
        <v>237</v>
      </c>
      <c r="L118" s="9" t="str">
        <f t="shared" si="1"/>
        <v>EquityInstrumentsVAL_TIMESTAMP</v>
      </c>
      <c r="M118" s="24" t="s">
        <v>269</v>
      </c>
      <c r="N118" s="9" t="s">
        <v>237</v>
      </c>
    </row>
    <row r="119" spans="1:14" s="9" customFormat="1" ht="82.5" x14ac:dyDescent="0.35">
      <c r="A119" s="15" t="s">
        <v>12</v>
      </c>
      <c r="B119" s="10" t="s">
        <v>3</v>
      </c>
      <c r="C119" s="10" t="s">
        <v>179</v>
      </c>
      <c r="D119" s="20">
        <v>1</v>
      </c>
      <c r="E119" s="14" t="s">
        <v>97</v>
      </c>
      <c r="F119" s="10" t="s">
        <v>196</v>
      </c>
      <c r="G119" s="10" t="s">
        <v>202</v>
      </c>
      <c r="H119" s="10" t="s">
        <v>210</v>
      </c>
      <c r="I119" s="24" t="s">
        <v>269</v>
      </c>
      <c r="J119" s="9" t="s">
        <v>226</v>
      </c>
      <c r="L119" s="9" t="str">
        <f t="shared" si="1"/>
        <v>EquityInstrumentsVAL_TYPE</v>
      </c>
      <c r="M119" s="24" t="s">
        <v>269</v>
      </c>
      <c r="N119" s="9" t="s">
        <v>226</v>
      </c>
    </row>
    <row r="120" spans="1:14" s="9" customFormat="1" ht="49.5" x14ac:dyDescent="0.35">
      <c r="A120" s="15" t="s">
        <v>12</v>
      </c>
      <c r="B120" s="10" t="s">
        <v>3</v>
      </c>
      <c r="C120" s="10" t="s">
        <v>195</v>
      </c>
      <c r="D120" s="20">
        <v>1</v>
      </c>
      <c r="E120" s="10" t="s">
        <v>88</v>
      </c>
      <c r="F120" s="10" t="s">
        <v>55</v>
      </c>
      <c r="G120" s="10" t="s">
        <v>200</v>
      </c>
      <c r="H120" s="10" t="s">
        <v>210</v>
      </c>
      <c r="I120" s="24" t="s">
        <v>217</v>
      </c>
      <c r="L120" s="9" t="str">
        <f t="shared" si="1"/>
        <v>EquityInstrumentsDIVIDEND_YIELD</v>
      </c>
      <c r="M120" s="24" t="s">
        <v>217</v>
      </c>
    </row>
    <row r="121" spans="1:14" s="9" customFormat="1" ht="49.5" x14ac:dyDescent="0.35">
      <c r="A121" s="15" t="s">
        <v>12</v>
      </c>
      <c r="B121" s="10" t="s">
        <v>3</v>
      </c>
      <c r="C121" s="10" t="s">
        <v>184</v>
      </c>
      <c r="D121" s="20">
        <v>1</v>
      </c>
      <c r="E121" s="10" t="s">
        <v>88</v>
      </c>
      <c r="F121" s="10" t="s">
        <v>55</v>
      </c>
      <c r="G121" s="10" t="s">
        <v>201</v>
      </c>
      <c r="H121" s="10" t="s">
        <v>210</v>
      </c>
      <c r="I121" s="24" t="s">
        <v>269</v>
      </c>
      <c r="J121" s="9" t="s">
        <v>229</v>
      </c>
      <c r="L121" s="9" t="str">
        <f t="shared" si="1"/>
        <v>EquityInstrumentsPART_LCR_BUFFER</v>
      </c>
      <c r="M121" s="24" t="s">
        <v>269</v>
      </c>
      <c r="N121" s="9" t="s">
        <v>229</v>
      </c>
    </row>
    <row r="122" spans="1:14" s="9" customFormat="1" ht="148.5" x14ac:dyDescent="0.35">
      <c r="A122" s="15" t="s">
        <v>12</v>
      </c>
      <c r="B122" s="10" t="s">
        <v>3</v>
      </c>
      <c r="C122" s="10" t="s">
        <v>157</v>
      </c>
      <c r="D122" s="20">
        <v>0.33333333333333331</v>
      </c>
      <c r="E122" s="10"/>
      <c r="F122" s="10" t="s">
        <v>197</v>
      </c>
      <c r="G122" s="10" t="s">
        <v>203</v>
      </c>
      <c r="H122" s="10"/>
      <c r="I122" s="24" t="s">
        <v>223</v>
      </c>
      <c r="L122" s="9" t="str">
        <f t="shared" si="1"/>
        <v>EquityInstrumentsACCOUNTING_CLASSIFICATION</v>
      </c>
      <c r="M122" s="24" t="s">
        <v>223</v>
      </c>
    </row>
    <row r="123" spans="1:14" s="9" customFormat="1" ht="181.5" x14ac:dyDescent="0.35">
      <c r="A123" s="15" t="s">
        <v>12</v>
      </c>
      <c r="B123" s="10" t="s">
        <v>3</v>
      </c>
      <c r="C123" s="10" t="s">
        <v>51</v>
      </c>
      <c r="D123" s="20">
        <v>1</v>
      </c>
      <c r="E123" s="10"/>
      <c r="F123" s="10" t="s">
        <v>56</v>
      </c>
      <c r="G123" s="10" t="s">
        <v>202</v>
      </c>
      <c r="H123" s="10" t="s">
        <v>210</v>
      </c>
      <c r="I123" s="24" t="s">
        <v>223</v>
      </c>
      <c r="L123" s="9" t="str">
        <f t="shared" si="1"/>
        <v>EquityInstrumentsPRUDENTIAL_PORTFOLIO</v>
      </c>
      <c r="M123" s="24" t="s">
        <v>223</v>
      </c>
    </row>
    <row r="124" spans="1:14" s="9" customFormat="1" ht="66.75" thickBot="1" x14ac:dyDescent="0.4">
      <c r="A124" s="16" t="s">
        <v>12</v>
      </c>
      <c r="B124" s="17" t="s">
        <v>3</v>
      </c>
      <c r="C124" s="17" t="s">
        <v>26</v>
      </c>
      <c r="D124" s="21">
        <v>0.33333333333333331</v>
      </c>
      <c r="E124" s="17"/>
      <c r="F124" s="17" t="s">
        <v>55</v>
      </c>
      <c r="G124" s="17" t="s">
        <v>204</v>
      </c>
      <c r="H124" s="17"/>
      <c r="I124" s="24" t="s">
        <v>269</v>
      </c>
      <c r="J124" s="9" t="s">
        <v>238</v>
      </c>
      <c r="L124" s="9" t="str">
        <f t="shared" si="1"/>
        <v>EquityInstrumentsTOTAL_RISK_EXPOSURE_AMOUNT</v>
      </c>
      <c r="M124" s="24" t="s">
        <v>269</v>
      </c>
      <c r="N124" s="9" t="s">
        <v>238</v>
      </c>
    </row>
  </sheetData>
  <autoFilter ref="A1:L12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60BFCE-70B9-4799-BF5A-BC812213C6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D6EB0D-CFBF-44CD-870B-E733D301BC55}">
  <ds:schemaRefs>
    <ds:schemaRef ds:uri="http://schemas.microsoft.com/sharepoint/v3/contenttype/forms"/>
  </ds:schemaRefs>
</ds:datastoreItem>
</file>

<file path=customXml/itemProps3.xml><?xml version="1.0" encoding="utf-8"?>
<ds:datastoreItem xmlns:ds="http://schemas.openxmlformats.org/officeDocument/2006/customXml" ds:itemID="{73FF7B6F-9E49-41CF-AA5B-F182CB8F849D}">
  <ds:schemaRefs>
    <ds:schemaRef ds:uri="http://schemas.microsoft.com/sharepoint/v3"/>
    <ds:schemaRef ds:uri="http://www.w3.org/XML/1998/namespace"/>
    <ds:schemaRef ds:uri="http://purl.org/dc/terms/"/>
    <ds:schemaRef ds:uri="5ad20f8b-9281-4829-a9aa-2b5a878ba2cc"/>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9d3dac3-f296-4107-b579-4b1e37be6169"/>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Nuno Capelão Mendes</dc:creator>
  <cp:lastModifiedBy>Luís Filipe da Silva Pragosa</cp:lastModifiedBy>
  <dcterms:created xsi:type="dcterms:W3CDTF">2025-04-15T17:36:46Z</dcterms:created>
  <dcterms:modified xsi:type="dcterms:W3CDTF">2025-04-22T18:10:52Z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2025-04-15T18:46:03Z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99a05a41-d7a7-4db9-a491-561b47400df2</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0x0101000B6B9A5E792D2446B8986FAE34BEC557</vt:lpwstr>
  </property>
  <property fmtid="{D5CDD505-2E9C-101B-9397-08002B2CF9AE}" pid="11" name="MediaServiceImageTags">
    <vt:lpwstr/>
  </property>
</Properties>
</file>