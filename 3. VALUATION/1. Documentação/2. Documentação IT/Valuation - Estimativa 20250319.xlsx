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e858309\Santander Office 365\Reports Financeira - General\3. VALUATION\1. Documentação\2. Documentação IT\"/>
    </mc:Choice>
  </mc:AlternateContent>
  <bookViews>
    <workbookView xWindow="0" yWindow="0" windowWidth="6645" windowHeight="1875"/>
  </bookViews>
  <sheets>
    <sheet name="Estimativa" sheetId="4" r:id="rId1"/>
    <sheet name="Analise por campo" sheetId="2" r:id="rId2"/>
  </sheets>
  <definedNames>
    <definedName name="_xlnm._FilterDatabase" localSheetId="1" hidden="1">'Analise por campo'!$B$2:$F$32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I9" i="2" l="1"/>
  <c r="E3" i="4" l="1"/>
  <c r="E4" i="4"/>
  <c r="E6" i="4"/>
  <c r="E7" i="4"/>
  <c r="E8" i="4"/>
  <c r="E9" i="4"/>
  <c r="E11" i="4"/>
  <c r="E12" i="4"/>
  <c r="E13" i="4"/>
  <c r="E14" i="4"/>
  <c r="D32" i="2" l="1"/>
  <c r="D10" i="4" s="1"/>
  <c r="D15" i="4" l="1"/>
  <c r="E10" i="4"/>
  <c r="E15" i="4" s="1"/>
</calcChain>
</file>

<file path=xl/sharedStrings.xml><?xml version="1.0" encoding="utf-8"?>
<sst xmlns="http://schemas.openxmlformats.org/spreadsheetml/2006/main" count="165" uniqueCount="95">
  <si>
    <t>Grupo</t>
  </si>
  <si>
    <t>Tarefa</t>
  </si>
  <si>
    <t>Horas</t>
  </si>
  <si>
    <t>Dias</t>
  </si>
  <si>
    <t>Comentários</t>
  </si>
  <si>
    <t>Desenvolvimento</t>
  </si>
  <si>
    <t>Alterações de Ingestas SIGOM</t>
  </si>
  <si>
    <t>Alteração de 9 ingestas para incluir os novos dados (sigom_cib, sigom_fx, sigom_almrepos, sigom_mm, sigom_ppc, sigom_irl_ppc, cq_isda, sigom_pc, sigom_irl_pc)
9 ingestas x 1500 eur= 13500 eur.  13500/50=270 h</t>
  </si>
  <si>
    <t>Desenvolvimentos ALM</t>
  </si>
  <si>
    <t>Estimativa facultada por Luís Barata 282h - Necessário definir qual a distribuição deste bolo de horas pelos vários projetos envolvidos</t>
  </si>
  <si>
    <t>Desenvolvimentos dos campos em aberto no motor Loan Tape</t>
  </si>
  <si>
    <t>Desenvolvimento estrutural no motor Loan Tape - Fator de escala</t>
  </si>
  <si>
    <t>Desenvolvimento estrutural no motor Loan Tape - Possibilidade de atualizar/inserir registos nas tabelas de output</t>
  </si>
  <si>
    <t>Desenvolvimentos não previstos</t>
  </si>
  <si>
    <t>Ingestas campos não previstas</t>
  </si>
  <si>
    <t>2 ingestas x 3200 eur= 6400 eur.    6400/50=128 h</t>
  </si>
  <si>
    <t>Análise</t>
  </si>
  <si>
    <t>Definição da especificação dos campos em aberto</t>
  </si>
  <si>
    <t>Consultar sheet 'Análise por campo'</t>
  </si>
  <si>
    <t>Suporte/análise às questões levantadas pela equipa de testes</t>
  </si>
  <si>
    <t>0.5h * 2 (meses) * 22 (dias/mes) = 22 h</t>
  </si>
  <si>
    <t>Documentação</t>
  </si>
  <si>
    <t>Documento de Regras/Mapeamentos</t>
  </si>
  <si>
    <t>Melhorias DDR</t>
  </si>
  <si>
    <t>Manual de Utilizador</t>
  </si>
  <si>
    <t>Data field</t>
  </si>
  <si>
    <t>Análise IT</t>
  </si>
  <si>
    <t>Estimativa Análise</t>
  </si>
  <si>
    <t>Dificuldade de implementação</t>
  </si>
  <si>
    <t>Desenvolvimento pendente de outras equipas</t>
  </si>
  <si>
    <t>INTEREST_RATE_CAP</t>
  </si>
  <si>
    <t>Desenvolvimento Luís Barata na cd_alm.al029_cnt_core_m / Desenvolvimento SIGOM</t>
  </si>
  <si>
    <t>Fácil</t>
  </si>
  <si>
    <t>Em análise</t>
  </si>
  <si>
    <t>INTEREST_RATE_FLOOR</t>
  </si>
  <si>
    <t>TYPE_SECURITIZATION</t>
  </si>
  <si>
    <t>Desenvolvimento da nova cd_captools.ctxxx_securitis_cap</t>
  </si>
  <si>
    <t>Médio</t>
  </si>
  <si>
    <t>UNIQUE_TRADE_ID</t>
  </si>
  <si>
    <t>Desenvolvimento ALM / Desenvolvimento SIGOM</t>
  </si>
  <si>
    <t>Dificil</t>
  </si>
  <si>
    <t>BASE_PRODUCT</t>
  </si>
  <si>
    <t>GOVERNING_LAW</t>
  </si>
  <si>
    <t>CONTRACT_RECOGN_WRITE_DOWN</t>
  </si>
  <si>
    <t xml:space="preserve">Desenvolvimento Luís Barata na cd_alm.al012_cq_alm </t>
  </si>
  <si>
    <t>Grand Total</t>
  </si>
  <si>
    <t>CONTRACT_RECOGN_SUSPENSION</t>
  </si>
  <si>
    <t>CONTRACT_RECOGN_RESOLUTION</t>
  </si>
  <si>
    <t>HEDGE_ID</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</si>
  <si>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t>
  </si>
  <si>
    <t>SRCS_ENCMBRNC</t>
  </si>
  <si>
    <t>‣ Mapeamento com o campo LT002_INSTRUMENT.SRCS_ENCMBRNC, no entanto foi detetado que a regra e parametrização implementadas no âmbito do Loan Tape Estrutural não estavam corretas/completas (confirmado com Cláudia Correia e Luís Capitão-Mor na reunião de 07/02/2025).
‣ Pedro Mendes ficou de agendar uma reunião com Cláudia Correia e com os correspondentes das áreas de Riscos de Mercado e Loan Tape do lado da Coporação, para esclarecer o tema.
‣ Parametrização atual na sheet 'LT803'</t>
  </si>
  <si>
    <t>NOMINAL_INTEREST_RATE_FEE</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</si>
  <si>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17/10 conforme solicitado por Luís Capitão-Mor (email 04/10/2024 13:20)
</t>
  </si>
  <si>
    <t>COLLATERAL_PORTFOLIO</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</si>
  <si>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</si>
  <si>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COLLATERAL_POSTED</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</si>
  <si>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</si>
  <si>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COLLATERAL_POSTED_CURRENCY</t>
  </si>
  <si>
    <t>Novo campo
Ações solicitadas por Luís Capitão-Mor:
- Analisar documento 08. MODELO E WORKFLOW DL - ALM v3 em conjunto com Luís Barata</t>
  </si>
  <si>
    <t>COLLATERAL_RECEIVED</t>
  </si>
  <si>
    <t>COLLATERAL_RECEIVED_CURRENCY</t>
  </si>
  <si>
    <t>HIERARCHY</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</si>
  <si>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</si>
  <si>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SECURITY_RATING</t>
  </si>
  <si>
    <t>Campo a revisitar no futuro</t>
  </si>
  <si>
    <t>IFRS9_PROB_DEFAULT_IMPAIRMENT</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</si>
  <si>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</si>
  <si>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HEAD_OFFICE_UNDERTAKING_ID</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</si>
  <si>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</si>
  <si>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IMMEDIATE_PARENT_UNDERTAKING_ID</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</si>
  <si>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</si>
  <si>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ULTIMATE_PARENT_UNDERTAKING_ID</t>
  </si>
  <si>
    <t>LEGAL_FORM</t>
  </si>
  <si>
    <t>‣ Não encontrado no Loan Tape (confirmar com Nádia Ahmad e Dora Roxo);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Reunião com Luís Capitão-Mor 11/11/2024: Nesta reunião foram comentadas as análises acima, nomeadamente a falta de informação da MAT05 para uma grande parte de pessoas jurídicas, quando este campo deveria vir preenchido para todos os clientes deste tipo. Luís Capitão-Mor comentou que esta informação poderá constar também no Data Warehouse do DB Informa, ou seja tem de se explorar esta possível fonte. Para além da fonte adicional finalizou-se também a regra que se deve aplica neste campo: 1) Se o cliente for uma pessoa física este conceito não é aplicável, ou seja o campo deve vir informado com 'N/A'; 2.1) Se o cliente for uma pessoa jurídica então deve-se aplicar a lógica de ataque à tabela MAT05, de forma a recuperar o campo 'cformjur' que posteriormente será traduzido pela TAT264 (ou não dependendo se a parametrização da LT803 refletir esta mesma parametrização); 2.2) Caso o ataque à MAT05 não retornar valor para este campo, então deve-se recuperar esta informação do DB Informa (complementar esta lógica assim que se tiver explorado a documentação do DB Informa);
‣ Email enviado a Susana Moutinho a 22/11/2024 11:50, aguarda-se resposta: 
     "A tabela DWT1734_EMPRESAS_SNC não existe no Datalake on-prem, como tal, seria possível enviarem uma amostra dos dados da mesma e o respetivo modelo de dados? 
O objetivo é percebermos se esta tabela tem efetivamente o que necessitamos, e em caso afirmativo, solicitarmos a respetiva ingesta para o Datalake."
‣ Chamada Teams com Susana Moutinho a 10/12/2024 11:50: Susana Moutinho ficou de validar o Universo de NIFs da tabela DWT1734_EMPRESAS_SNC e da tabela DWT509_DADOS_NCLIE, no sentido de se perceber se a tabela DWT1734_EMPRESAS_SNC (que não está no DL) tem um Universo superior à DWT509_DADOS_NCLIE (que está no DL), isto porque a  DWT509_DADOS_NCLIE apenas complementou  o legal form de uma quantidade reduzida de Clientes (daí ter de se avaliar se se justifica solicitar a ingesta da  DWT1734_EMPRESAS_SNC). Adicionalmente, ficou de confirmar se o campo GNATUREZA_JURI comum às 2 tabelas representa o mesmo conceito.  -&gt; Pressionado via Teams a 19/12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lt003 -- 792516
LEFT JOIN
(
    SELECT
        zcliente,
        itip_cli,
        ccli_grupo as ccli_grupo
    FROM cd_captools.ct003_univ_cli
    WHERE ref_date = '2024-11-30'
) as ct003
ON lt003.entty_id = ct003.zcliente -- 792516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-- 792516
LEFT JOIN
(
    SELECT
        tayd91c0_celemtab,
        tayd91c0_gelemtab
    FROM cd_estruturais.tat91_tabelas 
    WHERE data_date_part = (SELECT MAX(data_date_part) FROM cd_estruturais.tat91_tabelas)
    AND tayd91c0_ctabela = '264'
) as tat
ON mat05.cformjur = tat.tayd91c0_celemtab -- 792516
WHERE ct003.itip_cli = 'J' -- 53192
AND mat05.zcligrupo IS NOT NULL -- 50372
AND TRIM(mat05.cformjur) &lt;&gt; '' -- 47888
-- De 792516 cliente de Off-Balance apenas 53192 são clientes Juridicos (53192/792516 ~= 6.7%)
-- Destes 53192 clientes Juridicos, 2820 não têm o seu ccligrupo refletido no campo zcligrupo da tabela mat05, ou seja ficamos com 50372 clientes 
-- Destes 50372 clientes Juridicos, 2484 não têm o campo cformjur preenchido (está a vazio), ou seja ficamos com 47888 clientes Juridicos para os quais foi possivel identificar o Legal Form (47888/53192 ~= 90%)</t>
  </si>
  <si>
    <t>DET_TYPE_SHIP_COLLATERAL</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</si>
  <si>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</si>
  <si>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LEG_1_REFERENCE_RATE</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</si>
  <si>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t>
  </si>
  <si>
    <t>LEG_2_REFERENCE_RATE</t>
  </si>
  <si>
    <t>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t>
  </si>
  <si>
    <t>LEG_1_REFERENCE_PERIOD</t>
  </si>
  <si>
    <t>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Query de apoio para recuperar as reference rates e periods das opções apresentadas nos campos de leg1/2_reference_rate: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IMPORTANTE:
Se a fonte forem os campos cod_freq_tx_fixa_1/2 então a seguinte query permite recuperar esta informação sem necessidade de parametrizações adicionais:
SELECT
    al011.cod_freq_tx_fixa_1,
    tat_1.leg_reference_period as leg_reference_period_1,
    al011.cod_freq_tx_fixa_2,
    tat_2.leg_reference_period as leg_reference_period_2
FROM
(
    SELECT
        --taxa_var_1, taxa_var_2,
        cod_freq_tx_fixa_1, cod_freq_tx_fixa_2
    FROM cd_alm.al011_derivados -- COUNT() -&gt; 115261
) as al011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tat_1
ON al011.cod_freq_tx_fixa_1 = tat_1.cod_freq_tx_fixa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tat_2
ON al011.cod_freq_tx_fixa_2 = tat_2.cod_freq_tx_fixa</t>
  </si>
  <si>
    <t>LEG_2_REFERENCE_PERIOD</t>
  </si>
  <si>
    <t>Aplica-se  o mesmo comentário do campo acima</t>
  </si>
  <si>
    <t>Estado Implementação</t>
  </si>
  <si>
    <t>Em desenvolvimento</t>
  </si>
  <si>
    <t>Concluído</t>
  </si>
  <si>
    <t>Count</t>
  </si>
  <si>
    <t>Por especificar</t>
  </si>
  <si>
    <t>Médio (não considerar)</t>
  </si>
  <si>
    <t>Dificil (não considerar)</t>
  </si>
  <si>
    <t>20 (não considerar)</t>
  </si>
  <si>
    <t>8 (não considerar)</t>
  </si>
  <si>
    <t>Considerada não prioritário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</si>
</sst>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9"/>
      <color rgb="FFFFFFFF"/>
      <name val="Calibri"/>
      <family val="2"/>
      <scheme val="minor"/>
    </font>
    <font>
      <sz val="9"/>
      <color rgb="FF000000"/>
      <name val="Calibri"/>
      <family val="2"/>
      <scheme val="minor"/>
    </font>
    <font>
      <sz val="10.5"/>
      <color theme="1"/>
      <name val="Calibri"/>
      <family val="2"/>
      <scheme val="minor"/>
    </font>
  </fonts>
  <fills count="7">
    <fill>
      <patternFill patternType="none"/>
    </fill>
    <fill>
      <patternFill patternType="gray125"/>
    </fill>
    <fill>
      <patternFill patternType="solid">
        <fgColor rgb="FFFF0000"/>
        <bgColor rgb="FF000000"/>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4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86">
    <xf numFmtId="0" fontId="0" fillId="0" borderId="0" xfId="0"/>
    <xf numFmtId="0" fontId="0" fillId="3" borderId="0" xfId="0" applyFill="1"/>
    <xf numFmtId="0" fontId="0" fillId="5" borderId="0" xfId="0" applyFill="1"/>
    <xf numFmtId="0" fontId="0" fillId="4" borderId="0" xfId="0" applyFill="1"/>
    <xf numFmtId="0" fontId="0" fillId="3" borderId="0" xfId="0" applyFill="1" applyAlignment="1">
      <alignment vertical="top"/>
    </xf>
    <xf numFmtId="0" fontId="0" fillId="3"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horizontal="left" vertical="center" wrapText="1"/>
    </xf>
    <xf numFmtId="0" fontId="1" fillId="0" borderId="14" xfId="0" applyFont="1" applyBorder="1" applyAlignment="1">
      <alignment horizontal="left" vertical="center" wrapText="1"/>
    </xf>
    <xf numFmtId="0" fontId="0" fillId="3" borderId="16" xfId="0" applyFill="1" applyBorder="1" applyAlignment="1">
      <alignment horizontal="left" vertical="center" wrapText="1"/>
    </xf>
    <xf numFmtId="0" fontId="0" fillId="3" borderId="17" xfId="0" applyFill="1" applyBorder="1" applyAlignment="1">
      <alignment horizontal="left" vertical="center" wrapText="1"/>
    </xf>
    <xf numFmtId="0" fontId="0" fillId="0" borderId="18" xfId="0" applyBorder="1" applyAlignment="1">
      <alignment horizontal="left" vertical="center" wrapText="1"/>
    </xf>
    <xf numFmtId="0" fontId="0" fillId="0" borderId="17"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 fillId="0" borderId="13" xfId="0" applyFont="1" applyBorder="1" applyAlignment="1">
      <alignment horizontal="center" vertical="center" wrapText="1"/>
    </xf>
    <xf numFmtId="0" fontId="0" fillId="0" borderId="22" xfId="0" applyBorder="1" applyAlignment="1">
      <alignment horizontal="left" vertical="center" wrapText="1"/>
    </xf>
    <xf numFmtId="0" fontId="0" fillId="0" borderId="21"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vertical="center" wrapText="1"/>
    </xf>
    <xf numFmtId="0" fontId="3" fillId="5" borderId="28" xfId="0" applyFont="1" applyFill="1" applyBorder="1" applyAlignment="1">
      <alignment horizontal="center" vertical="center"/>
    </xf>
    <xf numFmtId="0" fontId="3" fillId="5" borderId="28" xfId="0" applyFont="1" applyFill="1" applyBorder="1" applyAlignment="1">
      <alignment vertical="top"/>
    </xf>
    <xf numFmtId="0" fontId="3" fillId="4" borderId="28" xfId="0" applyFont="1" applyFill="1" applyBorder="1" applyAlignment="1">
      <alignment horizontal="center" vertical="center"/>
    </xf>
    <xf numFmtId="0" fontId="3" fillId="4" borderId="28" xfId="0" applyFont="1" applyFill="1" applyBorder="1" applyAlignment="1">
      <alignment vertical="top" wrapText="1"/>
    </xf>
    <xf numFmtId="0" fontId="3" fillId="4" borderId="28" xfId="0" applyFont="1" applyFill="1" applyBorder="1" applyAlignment="1">
      <alignment horizontal="center" vertical="center" wrapText="1"/>
    </xf>
    <xf numFmtId="0" fontId="3" fillId="4" borderId="28" xfId="0" quotePrefix="1" applyFont="1" applyFill="1" applyBorder="1" applyAlignment="1">
      <alignment vertical="top" wrapText="1"/>
    </xf>
    <xf numFmtId="0" fontId="3" fillId="4" borderId="28" xfId="0" quotePrefix="1" applyFont="1" applyFill="1" applyBorder="1" applyAlignment="1">
      <alignment horizontal="center" vertical="center" wrapText="1"/>
    </xf>
    <xf numFmtId="0" fontId="3" fillId="4" borderId="28" xfId="0" applyFont="1" applyFill="1" applyBorder="1" applyAlignment="1">
      <alignment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3" fillId="5" borderId="31" xfId="0" applyFont="1" applyFill="1" applyBorder="1" applyAlignment="1">
      <alignment horizontal="center" vertical="center"/>
    </xf>
    <xf numFmtId="0" fontId="3" fillId="4" borderId="31" xfId="0" applyFont="1" applyFill="1" applyBorder="1" applyAlignment="1">
      <alignment horizontal="center" vertical="center"/>
    </xf>
    <xf numFmtId="0" fontId="3" fillId="4" borderId="32" xfId="0" applyFont="1" applyFill="1" applyBorder="1" applyAlignment="1">
      <alignment horizontal="center" vertical="center"/>
    </xf>
    <xf numFmtId="0" fontId="3" fillId="4" borderId="33" xfId="0" applyFont="1" applyFill="1" applyBorder="1" applyAlignment="1">
      <alignment vertical="center"/>
    </xf>
    <xf numFmtId="0" fontId="0" fillId="3" borderId="34" xfId="0" applyFill="1" applyBorder="1" applyAlignment="1">
      <alignment horizontal="center" vertical="center"/>
    </xf>
    <xf numFmtId="0" fontId="3" fillId="4" borderId="35" xfId="0" applyFont="1" applyFill="1" applyBorder="1" applyAlignment="1">
      <alignment horizontal="center" vertical="center" wrapText="1"/>
    </xf>
    <xf numFmtId="0" fontId="2" fillId="2" borderId="37" xfId="0" applyFont="1" applyFill="1" applyBorder="1" applyAlignment="1">
      <alignment horizontal="center" vertical="center"/>
    </xf>
    <xf numFmtId="0" fontId="3" fillId="5" borderId="38" xfId="0" applyFont="1" applyFill="1" applyBorder="1" applyAlignment="1">
      <alignment horizontal="center" vertical="center"/>
    </xf>
    <xf numFmtId="0" fontId="3" fillId="4" borderId="38" xfId="0" applyFont="1" applyFill="1" applyBorder="1" applyAlignment="1">
      <alignment horizontal="center" vertical="center" wrapText="1"/>
    </xf>
    <xf numFmtId="0" fontId="3" fillId="4" borderId="39" xfId="0" applyFont="1" applyFill="1" applyBorder="1" applyAlignment="1">
      <alignment horizontal="center" vertical="center" wrapText="1"/>
    </xf>
    <xf numFmtId="0" fontId="2" fillId="2" borderId="36" xfId="0" applyFont="1" applyFill="1" applyBorder="1" applyAlignment="1">
      <alignment horizontal="center" vertical="center"/>
    </xf>
    <xf numFmtId="0" fontId="3" fillId="5" borderId="36" xfId="0" applyFont="1" applyFill="1" applyBorder="1" applyAlignment="1">
      <alignment horizontal="center" vertical="center"/>
    </xf>
    <xf numFmtId="0" fontId="3" fillId="4" borderId="36" xfId="0" applyFont="1" applyFill="1" applyBorder="1" applyAlignment="1">
      <alignment horizontal="center" vertical="center" wrapText="1"/>
    </xf>
    <xf numFmtId="0" fontId="0" fillId="3" borderId="36" xfId="0" applyFill="1" applyBorder="1"/>
    <xf numFmtId="0" fontId="1" fillId="3" borderId="36" xfId="0" applyFont="1" applyFill="1" applyBorder="1"/>
    <xf numFmtId="0" fontId="1" fillId="3" borderId="36" xfId="0" applyFont="1" applyFill="1" applyBorder="1" applyAlignment="1">
      <alignment horizontal="center"/>
    </xf>
    <xf numFmtId="0" fontId="0" fillId="3" borderId="36" xfId="0" applyFill="1" applyBorder="1" applyAlignment="1">
      <alignment horizontal="center"/>
    </xf>
    <xf numFmtId="0" fontId="0" fillId="3" borderId="0" xfId="0" applyFill="1" applyBorder="1" applyAlignment="1">
      <alignment horizontal="center" vertical="center"/>
    </xf>
    <xf numFmtId="0" fontId="1" fillId="0" borderId="23" xfId="0" applyFont="1" applyBorder="1" applyAlignment="1">
      <alignment horizontal="center" vertical="center" wrapText="1"/>
    </xf>
    <xf numFmtId="0" fontId="0" fillId="3" borderId="0" xfId="0" applyFill="1" applyAlignment="1">
      <alignment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6" borderId="19" xfId="0" applyFill="1" applyBorder="1" applyAlignment="1">
      <alignment vertical="center" wrapText="1"/>
    </xf>
    <xf numFmtId="0" fontId="0" fillId="0" borderId="2" xfId="0" applyBorder="1" applyAlignment="1">
      <alignment horizontal="center" vertical="center" wrapText="1"/>
    </xf>
    <xf numFmtId="0" fontId="0" fillId="6" borderId="20" xfId="0" applyFill="1" applyBorder="1" applyAlignment="1">
      <alignment vertical="center" wrapText="1"/>
    </xf>
    <xf numFmtId="0" fontId="0" fillId="3" borderId="3" xfId="0" applyFill="1" applyBorder="1" applyAlignment="1">
      <alignment horizontal="center" vertical="center" wrapText="1"/>
    </xf>
    <xf numFmtId="0" fontId="0" fillId="0" borderId="4" xfId="0" applyBorder="1" applyAlignment="1">
      <alignment horizontal="center" vertical="center" wrapText="1"/>
    </xf>
    <xf numFmtId="0" fontId="0" fillId="0" borderId="20" xfId="0" applyFill="1" applyBorder="1" applyAlignment="1">
      <alignment wrapText="1"/>
    </xf>
    <xf numFmtId="0" fontId="0" fillId="0" borderId="21" xfId="0" applyFill="1" applyBorder="1" applyAlignment="1">
      <alignment wrapText="1"/>
    </xf>
    <xf numFmtId="0" fontId="0" fillId="3" borderId="5"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3" borderId="0" xfId="0" applyFill="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6" borderId="1" xfId="0" applyFill="1" applyBorder="1" applyAlignment="1">
      <alignment horizontal="center" vertical="center" wrapText="1"/>
    </xf>
    <xf numFmtId="0" fontId="0" fillId="6" borderId="2" xfId="0" applyFill="1" applyBorder="1" applyAlignment="1">
      <alignment horizontal="center" vertical="center" wrapText="1"/>
    </xf>
    <xf numFmtId="0" fontId="0" fillId="6" borderId="15" xfId="0" applyFill="1" applyBorder="1" applyAlignment="1">
      <alignment horizontal="left"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16" xfId="0" applyFill="1" applyBorder="1" applyAlignment="1">
      <alignment horizontal="left"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6" xfId="0" applyFill="1" applyBorder="1" applyAlignment="1">
      <alignment horizontal="left" vertical="center" wrapText="1"/>
    </xf>
  </cellXfs>
  <cellStyles count="1">
    <cellStyle name="Normal" xfId="0" builtinId="0"/>
  </cellStyles>
  <dxfs count="1">
    <dxf>
      <fill>
        <patternFill patternType="solid">
          <fgColor rgb="FFFFF2CC"/>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7"/>
  <sheetViews>
    <sheetView tabSelected="1" zoomScaleNormal="100" workbookViewId="0">
      <selection activeCell="C3" sqref="C3"/>
    </sheetView>
  </sheetViews>
  <sheetFormatPr defaultColWidth="8.7109375" defaultRowHeight="15" x14ac:dyDescent="0.25"/>
  <cols>
    <col min="1" max="1" width="1.7109375" style="50" customWidth="1"/>
    <col min="2" max="2" width="16.7109375" style="50" customWidth="1"/>
    <col min="3" max="3" width="60.5703125" style="50" customWidth="1"/>
    <col min="4" max="5" width="6" style="50" bestFit="1" customWidth="1"/>
    <col min="6" max="6" width="94.42578125" style="50" customWidth="1"/>
    <col min="7" max="16384" width="8.7109375" style="50"/>
  </cols>
  <sheetData>
    <row r="1" spans="2:7" ht="7.5" customHeight="1" thickBot="1" x14ac:dyDescent="0.3"/>
    <row r="2" spans="2:7" ht="15.75" thickBot="1" x14ac:dyDescent="0.3">
      <c r="B2" s="49" t="s">
        <v>0</v>
      </c>
      <c r="C2" s="15" t="s">
        <v>1</v>
      </c>
      <c r="D2" s="51" t="s">
        <v>2</v>
      </c>
      <c r="E2" s="52" t="s">
        <v>3</v>
      </c>
      <c r="F2" s="8" t="s">
        <v>4</v>
      </c>
      <c r="G2" s="6"/>
    </row>
    <row r="3" spans="2:7" ht="45" x14ac:dyDescent="0.25">
      <c r="B3" s="76" t="s">
        <v>5</v>
      </c>
      <c r="C3" s="53" t="s">
        <v>6</v>
      </c>
      <c r="D3" s="70">
        <v>270</v>
      </c>
      <c r="E3" s="71">
        <f t="shared" ref="E3:E8" si="0">D3/8</f>
        <v>33.75</v>
      </c>
      <c r="F3" s="72" t="s">
        <v>7</v>
      </c>
      <c r="G3" s="6"/>
    </row>
    <row r="4" spans="2:7" ht="30" x14ac:dyDescent="0.25">
      <c r="B4" s="77"/>
      <c r="C4" s="55" t="s">
        <v>8</v>
      </c>
      <c r="D4" s="73">
        <v>282</v>
      </c>
      <c r="E4" s="74">
        <f t="shared" si="0"/>
        <v>35.25</v>
      </c>
      <c r="F4" s="75" t="s">
        <v>9</v>
      </c>
      <c r="G4" s="6"/>
    </row>
    <row r="5" spans="2:7" x14ac:dyDescent="0.25">
      <c r="B5" s="77"/>
      <c r="C5" s="58" t="s">
        <v>10</v>
      </c>
      <c r="D5" s="83">
        <v>255</v>
      </c>
      <c r="E5" s="84">
        <f t="shared" si="0"/>
        <v>31.875</v>
      </c>
      <c r="F5" s="85"/>
      <c r="G5" s="6"/>
    </row>
    <row r="6" spans="2:7" x14ac:dyDescent="0.25">
      <c r="B6" s="77"/>
      <c r="C6" s="58" t="s">
        <v>11</v>
      </c>
      <c r="D6" s="56">
        <v>46</v>
      </c>
      <c r="E6" s="57">
        <f t="shared" si="0"/>
        <v>5.75</v>
      </c>
      <c r="F6" s="9"/>
      <c r="G6" s="6"/>
    </row>
    <row r="7" spans="2:7" ht="30" x14ac:dyDescent="0.25">
      <c r="B7" s="77"/>
      <c r="C7" s="58" t="s">
        <v>12</v>
      </c>
      <c r="D7" s="56"/>
      <c r="E7" s="57">
        <f t="shared" si="0"/>
        <v>0</v>
      </c>
      <c r="F7" s="9" t="s">
        <v>94</v>
      </c>
      <c r="G7" s="6"/>
    </row>
    <row r="8" spans="2:7" x14ac:dyDescent="0.25">
      <c r="B8" s="77"/>
      <c r="C8" s="58" t="s">
        <v>13</v>
      </c>
      <c r="D8" s="56">
        <v>60</v>
      </c>
      <c r="E8" s="57">
        <f t="shared" si="0"/>
        <v>7.5</v>
      </c>
      <c r="F8" s="9"/>
      <c r="G8" s="6"/>
    </row>
    <row r="9" spans="2:7" ht="15.75" thickBot="1" x14ac:dyDescent="0.3">
      <c r="B9" s="78"/>
      <c r="C9" s="59" t="s">
        <v>14</v>
      </c>
      <c r="D9" s="60">
        <v>128</v>
      </c>
      <c r="E9" s="61">
        <f t="shared" ref="E9:E14" si="1">D9/8</f>
        <v>16</v>
      </c>
      <c r="F9" s="10" t="s">
        <v>15</v>
      </c>
      <c r="G9" s="6"/>
    </row>
    <row r="10" spans="2:7" x14ac:dyDescent="0.25">
      <c r="B10" s="79" t="s">
        <v>16</v>
      </c>
      <c r="C10" s="16" t="s">
        <v>17</v>
      </c>
      <c r="D10" s="62">
        <f>'Analise por campo'!D32</f>
        <v>276</v>
      </c>
      <c r="E10" s="63">
        <f t="shared" si="1"/>
        <v>34.5</v>
      </c>
      <c r="F10" s="11" t="s">
        <v>18</v>
      </c>
      <c r="G10" s="6"/>
    </row>
    <row r="11" spans="2:7" ht="15.75" thickBot="1" x14ac:dyDescent="0.3">
      <c r="B11" s="78"/>
      <c r="C11" s="17" t="s">
        <v>19</v>
      </c>
      <c r="D11" s="64">
        <v>22</v>
      </c>
      <c r="E11" s="61">
        <f t="shared" si="1"/>
        <v>2.75</v>
      </c>
      <c r="F11" s="12" t="s">
        <v>20</v>
      </c>
      <c r="G11" s="6"/>
    </row>
    <row r="12" spans="2:7" x14ac:dyDescent="0.25">
      <c r="B12" s="80" t="s">
        <v>21</v>
      </c>
      <c r="C12" s="18" t="s">
        <v>22</v>
      </c>
      <c r="D12" s="65">
        <v>16</v>
      </c>
      <c r="E12" s="54">
        <f t="shared" si="1"/>
        <v>2</v>
      </c>
      <c r="F12" s="13"/>
      <c r="G12" s="6"/>
    </row>
    <row r="13" spans="2:7" x14ac:dyDescent="0.25">
      <c r="B13" s="81"/>
      <c r="C13" s="19" t="s">
        <v>23</v>
      </c>
      <c r="D13" s="66">
        <v>8</v>
      </c>
      <c r="E13" s="57">
        <f t="shared" si="1"/>
        <v>1</v>
      </c>
      <c r="F13" s="14"/>
      <c r="G13" s="6"/>
    </row>
    <row r="14" spans="2:7" ht="15.75" thickBot="1" x14ac:dyDescent="0.3">
      <c r="B14" s="82"/>
      <c r="C14" s="20" t="s">
        <v>24</v>
      </c>
      <c r="D14" s="64">
        <v>16</v>
      </c>
      <c r="E14" s="61">
        <f t="shared" si="1"/>
        <v>2</v>
      </c>
      <c r="F14" s="12"/>
      <c r="G14" s="6"/>
    </row>
    <row r="15" spans="2:7" ht="15.75" thickBot="1" x14ac:dyDescent="0.3">
      <c r="B15" s="67"/>
      <c r="C15" s="6"/>
      <c r="D15" s="68">
        <f>SUM(D3:D14)</f>
        <v>1379</v>
      </c>
      <c r="E15" s="69">
        <f>SUM(E3:E14)</f>
        <v>172.375</v>
      </c>
      <c r="F15" s="7"/>
      <c r="G15" s="6"/>
    </row>
    <row r="16" spans="2:7" x14ac:dyDescent="0.25">
      <c r="B16" s="67"/>
      <c r="C16" s="6"/>
      <c r="D16" s="67"/>
      <c r="E16" s="67"/>
      <c r="F16" s="7"/>
      <c r="G16" s="6"/>
    </row>
    <row r="17" spans="2:7" x14ac:dyDescent="0.25">
      <c r="B17" s="67"/>
      <c r="C17" s="6"/>
      <c r="D17" s="67"/>
      <c r="E17" s="67"/>
      <c r="F17" s="7"/>
      <c r="G17" s="6"/>
    </row>
  </sheetData>
  <mergeCells count="3">
    <mergeCell ref="B3:B9"/>
    <mergeCell ref="B10:B11"/>
    <mergeCell ref="B12:B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2"/>
  <sheetViews>
    <sheetView topLeftCell="B1" zoomScale="80" zoomScaleNormal="80" workbookViewId="0">
      <selection activeCell="B1" sqref="B1"/>
    </sheetView>
  </sheetViews>
  <sheetFormatPr defaultColWidth="8.7109375" defaultRowHeight="15" x14ac:dyDescent="0.25"/>
  <cols>
    <col min="1" max="1" width="3" style="1" customWidth="1"/>
    <col min="2" max="2" width="33.85546875" style="1" bestFit="1" customWidth="1"/>
    <col min="3" max="3" width="89.5703125" style="4" customWidth="1"/>
    <col min="4" max="6" width="36.5703125" style="5" customWidth="1"/>
    <col min="7" max="7" width="8.140625" style="5" customWidth="1"/>
    <col min="8" max="8" width="48" style="1" bestFit="1" customWidth="1"/>
    <col min="9" max="9" width="6.28515625" style="1" bestFit="1" customWidth="1"/>
    <col min="10" max="16384" width="8.7109375" style="1"/>
  </cols>
  <sheetData>
    <row r="1" spans="2:9" ht="15.75" thickBot="1" x14ac:dyDescent="0.3">
      <c r="C1" s="1"/>
      <c r="D1" s="1"/>
      <c r="E1" s="1"/>
      <c r="F1" s="1"/>
    </row>
    <row r="2" spans="2:9" x14ac:dyDescent="0.25">
      <c r="B2" s="29" t="s">
        <v>25</v>
      </c>
      <c r="C2" s="30" t="s">
        <v>26</v>
      </c>
      <c r="D2" s="30" t="s">
        <v>27</v>
      </c>
      <c r="E2" s="37" t="s">
        <v>28</v>
      </c>
      <c r="F2" s="41" t="s">
        <v>85</v>
      </c>
      <c r="H2" s="2" t="s">
        <v>29</v>
      </c>
    </row>
    <row r="3" spans="2:9" x14ac:dyDescent="0.25">
      <c r="B3" s="31" t="s">
        <v>30</v>
      </c>
      <c r="C3" s="22" t="s">
        <v>31</v>
      </c>
      <c r="D3" s="21">
        <v>8</v>
      </c>
      <c r="E3" s="38" t="s">
        <v>32</v>
      </c>
      <c r="F3" s="42" t="s">
        <v>89</v>
      </c>
      <c r="G3" s="48"/>
      <c r="H3" s="3" t="s">
        <v>33</v>
      </c>
    </row>
    <row r="4" spans="2:9" x14ac:dyDescent="0.25">
      <c r="B4" s="31" t="s">
        <v>34</v>
      </c>
      <c r="C4" s="22" t="s">
        <v>31</v>
      </c>
      <c r="D4" s="21">
        <v>8</v>
      </c>
      <c r="E4" s="38" t="s">
        <v>32</v>
      </c>
      <c r="F4" s="42" t="s">
        <v>89</v>
      </c>
      <c r="G4" s="48"/>
    </row>
    <row r="5" spans="2:9" x14ac:dyDescent="0.25">
      <c r="B5" s="31" t="s">
        <v>35</v>
      </c>
      <c r="C5" s="22" t="s">
        <v>36</v>
      </c>
      <c r="D5" s="21" t="s">
        <v>87</v>
      </c>
      <c r="E5" s="38" t="s">
        <v>37</v>
      </c>
      <c r="F5" s="42" t="s">
        <v>86</v>
      </c>
      <c r="G5" s="1"/>
      <c r="H5" s="46" t="s">
        <v>28</v>
      </c>
      <c r="I5" s="46" t="s">
        <v>88</v>
      </c>
    </row>
    <row r="6" spans="2:9" x14ac:dyDescent="0.25">
      <c r="B6" s="31" t="s">
        <v>38</v>
      </c>
      <c r="C6" s="22" t="s">
        <v>39</v>
      </c>
      <c r="D6" s="21">
        <v>8</v>
      </c>
      <c r="E6" s="38" t="s">
        <v>32</v>
      </c>
      <c r="F6" s="42" t="s">
        <v>89</v>
      </c>
      <c r="G6" s="1"/>
      <c r="H6" s="47" t="s">
        <v>40</v>
      </c>
      <c r="I6" s="44">
        <v>7</v>
      </c>
    </row>
    <row r="7" spans="2:9" x14ac:dyDescent="0.25">
      <c r="B7" s="31" t="s">
        <v>41</v>
      </c>
      <c r="C7" s="22" t="s">
        <v>39</v>
      </c>
      <c r="D7" s="21">
        <v>16</v>
      </c>
      <c r="E7" s="38" t="s">
        <v>37</v>
      </c>
      <c r="F7" s="42" t="s">
        <v>89</v>
      </c>
      <c r="G7" s="1"/>
      <c r="H7" s="47" t="s">
        <v>32</v>
      </c>
      <c r="I7" s="44">
        <v>8</v>
      </c>
    </row>
    <row r="8" spans="2:9" x14ac:dyDescent="0.25">
      <c r="B8" s="31" t="s">
        <v>42</v>
      </c>
      <c r="C8" s="22" t="s">
        <v>39</v>
      </c>
      <c r="D8" s="21">
        <v>12</v>
      </c>
      <c r="E8" s="38" t="s">
        <v>37</v>
      </c>
      <c r="F8" s="42" t="s">
        <v>89</v>
      </c>
      <c r="G8" s="1"/>
      <c r="H8" s="47" t="s">
        <v>37</v>
      </c>
      <c r="I8" s="44">
        <v>14</v>
      </c>
    </row>
    <row r="9" spans="2:9" x14ac:dyDescent="0.25">
      <c r="B9" s="31" t="s">
        <v>43</v>
      </c>
      <c r="C9" s="22" t="s">
        <v>44</v>
      </c>
      <c r="D9" s="21" t="s">
        <v>87</v>
      </c>
      <c r="E9" s="38" t="s">
        <v>32</v>
      </c>
      <c r="F9" s="42" t="s">
        <v>89</v>
      </c>
      <c r="G9" s="1"/>
      <c r="H9" s="46" t="s">
        <v>45</v>
      </c>
      <c r="I9" s="45">
        <f>SUM(I6:I8)</f>
        <v>29</v>
      </c>
    </row>
    <row r="10" spans="2:9" x14ac:dyDescent="0.25">
      <c r="B10" s="31" t="s">
        <v>46</v>
      </c>
      <c r="C10" s="22" t="s">
        <v>44</v>
      </c>
      <c r="D10" s="21" t="s">
        <v>87</v>
      </c>
      <c r="E10" s="38" t="s">
        <v>32</v>
      </c>
      <c r="F10" s="42" t="s">
        <v>89</v>
      </c>
      <c r="G10" s="48"/>
    </row>
    <row r="11" spans="2:9" x14ac:dyDescent="0.25">
      <c r="B11" s="31" t="s">
        <v>47</v>
      </c>
      <c r="C11" s="22" t="s">
        <v>44</v>
      </c>
      <c r="D11" s="21" t="s">
        <v>87</v>
      </c>
      <c r="E11" s="38" t="s">
        <v>32</v>
      </c>
      <c r="F11" s="42" t="s">
        <v>89</v>
      </c>
      <c r="G11" s="48"/>
    </row>
    <row r="12" spans="2:9" ht="49.5" customHeight="1" x14ac:dyDescent="0.25">
      <c r="B12" s="32" t="s">
        <v>48</v>
      </c>
      <c r="C12" s="24" t="s">
        <v>49</v>
      </c>
      <c r="D12" s="25" t="s">
        <v>87</v>
      </c>
      <c r="E12" s="39" t="s">
        <v>37</v>
      </c>
      <c r="F12" s="43" t="s">
        <v>86</v>
      </c>
      <c r="G12" s="48"/>
    </row>
    <row r="13" spans="2:9" ht="49.5" customHeight="1" x14ac:dyDescent="0.25">
      <c r="B13" s="32" t="s">
        <v>50</v>
      </c>
      <c r="C13" s="24" t="s">
        <v>51</v>
      </c>
      <c r="D13" s="25">
        <v>16</v>
      </c>
      <c r="E13" s="39" t="s">
        <v>37</v>
      </c>
      <c r="F13" s="43" t="s">
        <v>89</v>
      </c>
      <c r="G13" s="48"/>
    </row>
    <row r="14" spans="2:9" ht="49.5" customHeight="1" x14ac:dyDescent="0.25">
      <c r="B14" s="32" t="s">
        <v>52</v>
      </c>
      <c r="C14" s="24" t="s">
        <v>53</v>
      </c>
      <c r="D14" s="25">
        <v>16</v>
      </c>
      <c r="E14" s="39" t="s">
        <v>40</v>
      </c>
      <c r="F14" s="43" t="s">
        <v>89</v>
      </c>
      <c r="G14" s="48"/>
    </row>
    <row r="15" spans="2:9" ht="49.5" customHeight="1" x14ac:dyDescent="0.25">
      <c r="B15" s="32" t="s">
        <v>54</v>
      </c>
      <c r="C15" s="24" t="s">
        <v>55</v>
      </c>
      <c r="D15" s="25">
        <v>16</v>
      </c>
      <c r="E15" s="39" t="s">
        <v>40</v>
      </c>
      <c r="F15" s="43" t="s">
        <v>89</v>
      </c>
      <c r="G15" s="48"/>
    </row>
    <row r="16" spans="2:9" ht="49.5" customHeight="1" x14ac:dyDescent="0.25">
      <c r="B16" s="32" t="s">
        <v>56</v>
      </c>
      <c r="C16" s="24" t="s">
        <v>57</v>
      </c>
      <c r="D16" s="25">
        <v>16</v>
      </c>
      <c r="E16" s="39" t="s">
        <v>40</v>
      </c>
      <c r="F16" s="43" t="s">
        <v>89</v>
      </c>
      <c r="G16" s="48"/>
    </row>
    <row r="17" spans="2:7" ht="49.5" customHeight="1" x14ac:dyDescent="0.25">
      <c r="B17" s="32" t="s">
        <v>58</v>
      </c>
      <c r="C17" s="24" t="s">
        <v>59</v>
      </c>
      <c r="D17" s="25">
        <v>16</v>
      </c>
      <c r="E17" s="39" t="s">
        <v>37</v>
      </c>
      <c r="F17" s="43" t="s">
        <v>89</v>
      </c>
      <c r="G17" s="48"/>
    </row>
    <row r="18" spans="2:7" ht="49.5" customHeight="1" x14ac:dyDescent="0.25">
      <c r="B18" s="32" t="s">
        <v>60</v>
      </c>
      <c r="C18" s="24" t="s">
        <v>59</v>
      </c>
      <c r="D18" s="25">
        <v>16</v>
      </c>
      <c r="E18" s="39" t="s">
        <v>40</v>
      </c>
      <c r="F18" s="43" t="s">
        <v>89</v>
      </c>
      <c r="G18" s="48"/>
    </row>
    <row r="19" spans="2:7" ht="49.5" customHeight="1" x14ac:dyDescent="0.25">
      <c r="B19" s="32" t="s">
        <v>61</v>
      </c>
      <c r="C19" s="24" t="s">
        <v>57</v>
      </c>
      <c r="D19" s="25">
        <v>16</v>
      </c>
      <c r="E19" s="39" t="s">
        <v>37</v>
      </c>
      <c r="F19" s="43" t="s">
        <v>89</v>
      </c>
      <c r="G19" s="48"/>
    </row>
    <row r="20" spans="2:7" ht="49.5" customHeight="1" x14ac:dyDescent="0.25">
      <c r="B20" s="32" t="s">
        <v>62</v>
      </c>
      <c r="C20" s="26" t="s">
        <v>63</v>
      </c>
      <c r="D20" s="27">
        <v>20</v>
      </c>
      <c r="E20" s="39" t="s">
        <v>40</v>
      </c>
      <c r="F20" s="43" t="s">
        <v>89</v>
      </c>
      <c r="G20" s="48"/>
    </row>
    <row r="21" spans="2:7" ht="49.5" customHeight="1" x14ac:dyDescent="0.25">
      <c r="B21" s="32" t="s">
        <v>64</v>
      </c>
      <c r="C21" s="28" t="s">
        <v>65</v>
      </c>
      <c r="D21" s="23">
        <v>20</v>
      </c>
      <c r="E21" s="39" t="s">
        <v>40</v>
      </c>
      <c r="F21" s="43" t="s">
        <v>89</v>
      </c>
      <c r="G21" s="48"/>
    </row>
    <row r="22" spans="2:7" ht="49.5" customHeight="1" x14ac:dyDescent="0.25">
      <c r="B22" s="32" t="s">
        <v>66</v>
      </c>
      <c r="C22" s="24" t="s">
        <v>67</v>
      </c>
      <c r="D22" s="25">
        <v>8</v>
      </c>
      <c r="E22" s="39" t="s">
        <v>37</v>
      </c>
      <c r="F22" s="43" t="s">
        <v>89</v>
      </c>
      <c r="G22" s="48"/>
    </row>
    <row r="23" spans="2:7" ht="49.5" customHeight="1" x14ac:dyDescent="0.25">
      <c r="B23" s="32" t="s">
        <v>68</v>
      </c>
      <c r="C23" s="24" t="s">
        <v>69</v>
      </c>
      <c r="D23" s="23" t="s">
        <v>92</v>
      </c>
      <c r="E23" s="39" t="s">
        <v>90</v>
      </c>
      <c r="F23" s="43" t="s">
        <v>89</v>
      </c>
      <c r="G23" s="48"/>
    </row>
    <row r="24" spans="2:7" ht="49.5" customHeight="1" x14ac:dyDescent="0.25">
      <c r="B24" s="32" t="s">
        <v>70</v>
      </c>
      <c r="C24" s="24" t="s">
        <v>71</v>
      </c>
      <c r="D24" s="23" t="s">
        <v>92</v>
      </c>
      <c r="E24" s="39" t="s">
        <v>90</v>
      </c>
      <c r="F24" s="43" t="s">
        <v>89</v>
      </c>
      <c r="G24" s="48"/>
    </row>
    <row r="25" spans="2:7" ht="49.5" customHeight="1" x14ac:dyDescent="0.25">
      <c r="B25" s="32" t="s">
        <v>72</v>
      </c>
      <c r="C25" s="24" t="s">
        <v>71</v>
      </c>
      <c r="D25" s="23" t="s">
        <v>92</v>
      </c>
      <c r="E25" s="39" t="s">
        <v>90</v>
      </c>
      <c r="F25" s="43" t="s">
        <v>89</v>
      </c>
      <c r="G25" s="48"/>
    </row>
    <row r="26" spans="2:7" ht="49.5" customHeight="1" x14ac:dyDescent="0.25">
      <c r="B26" s="32" t="s">
        <v>73</v>
      </c>
      <c r="C26" s="24" t="s">
        <v>74</v>
      </c>
      <c r="D26" s="25" t="s">
        <v>93</v>
      </c>
      <c r="E26" s="39" t="s">
        <v>91</v>
      </c>
      <c r="F26" s="43" t="s">
        <v>89</v>
      </c>
      <c r="G26" s="48"/>
    </row>
    <row r="27" spans="2:7" ht="49.5" customHeight="1" x14ac:dyDescent="0.25">
      <c r="B27" s="32" t="s">
        <v>75</v>
      </c>
      <c r="C27" s="24" t="s">
        <v>76</v>
      </c>
      <c r="D27" s="23" t="s">
        <v>92</v>
      </c>
      <c r="E27" s="39" t="s">
        <v>90</v>
      </c>
      <c r="F27" s="43" t="s">
        <v>89</v>
      </c>
      <c r="G27" s="48"/>
    </row>
    <row r="28" spans="2:7" ht="49.5" customHeight="1" x14ac:dyDescent="0.25">
      <c r="B28" s="32" t="s">
        <v>77</v>
      </c>
      <c r="C28" s="24" t="s">
        <v>78</v>
      </c>
      <c r="D28" s="25">
        <v>16</v>
      </c>
      <c r="E28" s="39" t="s">
        <v>32</v>
      </c>
      <c r="F28" s="43" t="s">
        <v>89</v>
      </c>
      <c r="G28" s="48"/>
    </row>
    <row r="29" spans="2:7" ht="49.5" customHeight="1" x14ac:dyDescent="0.25">
      <c r="B29" s="32" t="s">
        <v>79</v>
      </c>
      <c r="C29" s="24" t="s">
        <v>80</v>
      </c>
      <c r="D29" s="25">
        <v>16</v>
      </c>
      <c r="E29" s="39" t="s">
        <v>32</v>
      </c>
      <c r="F29" s="43" t="s">
        <v>89</v>
      </c>
      <c r="G29" s="48"/>
    </row>
    <row r="30" spans="2:7" ht="49.5" customHeight="1" x14ac:dyDescent="0.25">
      <c r="B30" s="32" t="s">
        <v>81</v>
      </c>
      <c r="C30" s="24" t="s">
        <v>82</v>
      </c>
      <c r="D30" s="25">
        <v>16</v>
      </c>
      <c r="E30" s="39" t="s">
        <v>37</v>
      </c>
      <c r="F30" s="43" t="s">
        <v>89</v>
      </c>
      <c r="G30" s="48"/>
    </row>
    <row r="31" spans="2:7" ht="49.5" customHeight="1" thickBot="1" x14ac:dyDescent="0.3">
      <c r="B31" s="33" t="s">
        <v>83</v>
      </c>
      <c r="C31" s="34" t="s">
        <v>84</v>
      </c>
      <c r="D31" s="36">
        <v>16</v>
      </c>
      <c r="E31" s="40" t="s">
        <v>37</v>
      </c>
      <c r="F31" s="43" t="s">
        <v>89</v>
      </c>
      <c r="G31" s="48"/>
    </row>
    <row r="32" spans="2:7" ht="15.75" thickBot="1" x14ac:dyDescent="0.3">
      <c r="D32" s="35">
        <f>SUM(D3:D31)</f>
        <v>276</v>
      </c>
    </row>
  </sheetData>
  <autoFilter ref="B2:F32"/>
  <sortState ref="B3:B36">
    <sortCondition sortBy="cellColor" ref="B3:B36" dxfId="0"/>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94B703-61F6-4A39-9150-90886F0075B9}">
  <ds:schemaRefs>
    <ds:schemaRef ds:uri="http://schemas.microsoft.com/sharepoint/v3/contenttype/forms"/>
  </ds:schemaRefs>
</ds:datastoreItem>
</file>

<file path=customXml/itemProps2.xml><?xml version="1.0" encoding="utf-8"?>
<ds:datastoreItem xmlns:ds="http://schemas.openxmlformats.org/officeDocument/2006/customXml" ds:itemID="{D321F2B6-A975-4915-B1D5-133E68D55002}">
  <ds:schemaRefs>
    <ds:schemaRef ds:uri="http://purl.org/dc/terms/"/>
    <ds:schemaRef ds:uri="5ad20f8b-9281-4829-a9aa-2b5a878ba2cc"/>
    <ds:schemaRef ds:uri="http://schemas.microsoft.com/office/2006/documentManagement/types"/>
    <ds:schemaRef ds:uri="http://schemas.microsoft.com/office/infopath/2007/PartnerControls"/>
    <ds:schemaRef ds:uri="http://purl.org/dc/elements/1.1/"/>
    <ds:schemaRef ds:uri="http://schemas.microsoft.com/office/2006/metadata/properties"/>
    <ds:schemaRef ds:uri="09d3dac3-f296-4107-b579-4b1e37be6169"/>
    <ds:schemaRef ds:uri="http://schemas.microsoft.com/sharepoint/v3"/>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5BA7859F-7EAC-4680-A1D5-BDED563278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Estimativa</vt:lpstr>
      <vt:lpstr>Analise por campo</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2025-02-12T10:35:26Z</dcterms:created>
  <dcterms:modified xsi:type="dcterms:W3CDTF">2025-03-19T18:00:45Z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2025-02-12T19:01:35Z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3bbe6262-d8b9-49b9-aaa1-54932632b8b8</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