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ttps://santandernet.sharepoint.com/sites/ReportsFinanceira/Shared Documents/General/3. VALUATION/1. Documentação/2. Documentação IT/"/>
    </mc:Choice>
  </mc:AlternateContent>
  <bookViews>
    <workbookView xWindow="0" yWindow="0" windowWidth="14390" windowHeight="3920"/>
  </bookViews>
  <sheets>
    <sheet name="Parametrização LT803" sheetId="5" r:id="rId1"/>
    <sheet name="Opções de Mapeamento SRB" sheetId="2" r:id="rId2"/>
    <sheet name="Análise de Mapeamento" sheetId="1" r:id="rId3"/>
    <sheet name="sector BdP" sheetId="4" r:id="rId4"/>
    <sheet name="Mapeamento LT" sheetId="3" state="hidden" r:id="rId5"/>
  </sheets>
  <definedNames>
    <definedName name="_xlnm._FilterDatabase" localSheetId="2" hidden="1">'Análise de Mapeamento'!$A$2:$H$134</definedName>
  </definedNames>
  <calcPr calcId="162913"/>
</workbook>
</file>

<file path=xl/calcChain.xml><?xml version="1.0" encoding="utf-8"?>
<calcChain xmlns="http://schemas.openxmlformats.org/spreadsheetml/2006/main">
  <c r="H4" i="1" l="1"/>
  <c r="H5" i="1"/>
  <c r="H6" i="1"/>
  <c r="H7" i="1"/>
  <c r="H8" i="1"/>
  <c r="H9" i="1"/>
  <c r="H10" i="1"/>
  <c r="H11" i="1"/>
  <c r="H12" i="1"/>
  <c r="H13" i="1"/>
  <c r="H14" i="1"/>
  <c r="H15" i="1"/>
  <c r="H16" i="1"/>
  <c r="H17" i="1"/>
  <c r="H18" i="1"/>
  <c r="H19" i="1"/>
  <c r="H20" i="1"/>
  <c r="H21" i="1"/>
  <c r="H22" i="1"/>
  <c r="H23" i="1"/>
  <c r="H24" i="1"/>
  <c r="H25" i="1"/>
  <c r="H26" i="1"/>
  <c r="H27" i="1"/>
  <c r="H28" i="1"/>
  <c r="H29" i="1"/>
  <c r="H30"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70" i="1"/>
  <c r="H71" i="1"/>
  <c r="H72" i="1"/>
  <c r="H73" i="1"/>
  <c r="H80" i="1"/>
  <c r="H81" i="1"/>
  <c r="H89" i="1"/>
  <c r="H90" i="1"/>
  <c r="H3" i="1"/>
</calcChain>
</file>

<file path=xl/comments1.xml><?xml version="1.0" encoding="utf-8"?>
<comments xmlns="http://schemas.openxmlformats.org/spreadsheetml/2006/main">
  <authors>
    <author>Miguel Duarte Cardoso Rodrigues</author>
  </authors>
  <commentList>
    <comment ref="G81" authorId="0" shapeId="0">
      <text>
        <r>
          <rPr>
            <b/>
            <sz val="9"/>
            <color indexed="81"/>
            <rFont val="Tahoma"/>
            <family val="2"/>
          </rPr>
          <t xml:space="preserve">É N/A pois o SRB não fornece nenhuma opção de particulares / households </t>
        </r>
        <r>
          <rPr>
            <sz val="9"/>
            <color indexed="81"/>
            <rFont val="Tahoma"/>
            <family val="2"/>
          </rPr>
          <t xml:space="preserve">
</t>
        </r>
      </text>
    </comment>
    <comment ref="G82" authorId="0" shapeId="0">
      <text>
        <r>
          <rPr>
            <b/>
            <sz val="9"/>
            <color indexed="81"/>
            <rFont val="Tahoma"/>
            <family val="2"/>
          </rPr>
          <t xml:space="preserve">É N/A pois o SRB não fornece nenhuma opção de particulares / households </t>
        </r>
      </text>
    </comment>
    <comment ref="G83" authorId="0" shapeId="0">
      <text>
        <r>
          <rPr>
            <b/>
            <sz val="9"/>
            <color indexed="81"/>
            <rFont val="Tahoma"/>
            <family val="2"/>
          </rPr>
          <t xml:space="preserve">É N/A pois o SRB não fornece nenhuma opção de particulares / households </t>
        </r>
      </text>
    </comment>
    <comment ref="G84" authorId="0" shapeId="0">
      <text>
        <r>
          <rPr>
            <b/>
            <sz val="9"/>
            <color indexed="81"/>
            <rFont val="Tahoma"/>
            <family val="2"/>
          </rPr>
          <t xml:space="preserve">É N/A pois o SRB não fornece nenhuma opção de particulares / households </t>
        </r>
      </text>
    </comment>
    <comment ref="G85" authorId="0" shapeId="0">
      <text>
        <r>
          <rPr>
            <b/>
            <sz val="9"/>
            <color indexed="81"/>
            <rFont val="Tahoma"/>
            <family val="2"/>
          </rPr>
          <t xml:space="preserve">É N/A pois o SRB não fornece nenhuma opção de particulares / households </t>
        </r>
      </text>
    </comment>
    <comment ref="G86" authorId="0" shapeId="0">
      <text>
        <r>
          <rPr>
            <b/>
            <sz val="9"/>
            <color indexed="81"/>
            <rFont val="Tahoma"/>
            <family val="2"/>
          </rPr>
          <t xml:space="preserve">É N/A pois o SRB não fornece nenhuma opção de particulares / households </t>
        </r>
      </text>
    </comment>
    <comment ref="G87" authorId="0" shapeId="0">
      <text>
        <r>
          <rPr>
            <b/>
            <sz val="9"/>
            <color indexed="81"/>
            <rFont val="Tahoma"/>
            <family val="2"/>
          </rPr>
          <t xml:space="preserve">É N/A pois o SRB não fornece nenhuma opção de particulares / households 
</t>
        </r>
      </text>
    </comment>
    <comment ref="G88" authorId="0" shapeId="0">
      <text>
        <r>
          <rPr>
            <b/>
            <sz val="9"/>
            <color indexed="81"/>
            <rFont val="Tahoma"/>
            <family val="2"/>
          </rPr>
          <t xml:space="preserve">É N/A pois o SRB não fornece nenhuma opção de particulares / households </t>
        </r>
      </text>
    </comment>
    <comment ref="G90" authorId="0" shapeId="0">
      <text>
        <r>
          <rPr>
            <b/>
            <sz val="9"/>
            <color indexed="81"/>
            <rFont val="Tahoma"/>
            <family val="2"/>
          </rPr>
          <t xml:space="preserve">É N/A pois o SRB não fornece nenhuma opção de particulares / households </t>
        </r>
      </text>
    </comment>
    <comment ref="G117" authorId="0" shapeId="0">
      <text>
        <r>
          <rPr>
            <b/>
            <sz val="9"/>
            <color indexed="81"/>
            <rFont val="Tahoma"/>
            <family val="2"/>
          </rPr>
          <t xml:space="preserve">É N/A pois o SRB não fornece nenhuma opção de particulares / households </t>
        </r>
      </text>
    </comment>
    <comment ref="G118" authorId="0" shapeId="0">
      <text>
        <r>
          <rPr>
            <b/>
            <sz val="9"/>
            <color indexed="81"/>
            <rFont val="Tahoma"/>
            <family val="2"/>
          </rPr>
          <t xml:space="preserve">É N/A pois o SRB não fornece nenhuma opção de particulares / households </t>
        </r>
      </text>
    </comment>
    <comment ref="G119" authorId="0" shapeId="0">
      <text>
        <r>
          <rPr>
            <b/>
            <sz val="9"/>
            <color indexed="81"/>
            <rFont val="Tahoma"/>
            <family val="2"/>
          </rPr>
          <t xml:space="preserve">É N/A pois o SRB não fornece nenhuma opção de particulares / households </t>
        </r>
      </text>
    </comment>
    <comment ref="G121" authorId="0" shapeId="0">
      <text>
        <r>
          <rPr>
            <b/>
            <sz val="9"/>
            <color indexed="81"/>
            <rFont val="Tahoma"/>
            <family val="2"/>
          </rPr>
          <t xml:space="preserve">É N/A pois o SRB não fornece nenhuma opção de particulares / households </t>
        </r>
      </text>
    </comment>
    <comment ref="G122" authorId="0" shapeId="0">
      <text>
        <r>
          <rPr>
            <b/>
            <sz val="9"/>
            <color indexed="81"/>
            <rFont val="Tahoma"/>
            <family val="2"/>
          </rPr>
          <t xml:space="preserve">É N/A pois o SRB não fornece nenhuma opção de particulares / households </t>
        </r>
      </text>
    </comment>
    <comment ref="G123" authorId="0" shapeId="0">
      <text>
        <r>
          <rPr>
            <b/>
            <sz val="9"/>
            <color indexed="81"/>
            <rFont val="Tahoma"/>
            <family val="2"/>
          </rPr>
          <t xml:space="preserve">É N/A pois o SRB não fornece nenhuma opção de particulares / households </t>
        </r>
      </text>
    </comment>
    <comment ref="G126" authorId="0" shapeId="0">
      <text>
        <r>
          <rPr>
            <b/>
            <sz val="9"/>
            <color indexed="81"/>
            <rFont val="Tahoma"/>
            <family val="2"/>
          </rPr>
          <t xml:space="preserve">É N/A pois o SRB não fornece nenhuma opção de particulares / households </t>
        </r>
      </text>
    </comment>
    <comment ref="G133" authorId="0" shapeId="0">
      <text>
        <r>
          <rPr>
            <b/>
            <sz val="9"/>
            <color indexed="81"/>
            <rFont val="Tahoma"/>
            <family val="2"/>
          </rPr>
          <t xml:space="preserve">É N/A pois o SRB não fornece nenhuma opção de particulares / households </t>
        </r>
      </text>
    </comment>
    <comment ref="G134" authorId="0" shapeId="0">
      <text>
        <r>
          <rPr>
            <b/>
            <sz val="9"/>
            <color indexed="81"/>
            <rFont val="Tahoma"/>
            <family val="2"/>
          </rPr>
          <t xml:space="preserve">É N/A pois o SRB não fornece nenhuma opção de particulares / households </t>
        </r>
      </text>
    </comment>
  </commentList>
</comments>
</file>

<file path=xl/sharedStrings.xml><?xml version="1.0" encoding="utf-8"?>
<sst xmlns="http://schemas.openxmlformats.org/spreadsheetml/2006/main" count="1814" uniqueCount="541">
  <si>
    <t>tayd91c0_celemtab_t</t>
  </si>
  <si>
    <t>S11</t>
  </si>
  <si>
    <t>SOCIEDADES NAO FINANCEIRAS - R</t>
  </si>
  <si>
    <t>Sociedades não financeiras</t>
  </si>
  <si>
    <t>S12</t>
  </si>
  <si>
    <t>NULL</t>
  </si>
  <si>
    <t>Sociedades financeiras</t>
  </si>
  <si>
    <t>S121</t>
  </si>
  <si>
    <t>BANCO CENTRAL - R</t>
  </si>
  <si>
    <t>Banco central</t>
  </si>
  <si>
    <t>S122</t>
  </si>
  <si>
    <t>ENTIDADES DEPOSITARIAS EXCETO BCO CENTRAL - R</t>
  </si>
  <si>
    <t>Entidades depositárias exceto o banco central</t>
  </si>
  <si>
    <t>S1220001</t>
  </si>
  <si>
    <t>Bancos</t>
  </si>
  <si>
    <t>S1220002</t>
  </si>
  <si>
    <t>Caixas de crédito agrícola mútuo</t>
  </si>
  <si>
    <t>S1220003</t>
  </si>
  <si>
    <t>Caixas económicas</t>
  </si>
  <si>
    <t>S1220004</t>
  </si>
  <si>
    <t>Instituições de moeda electrónica</t>
  </si>
  <si>
    <t>S123</t>
  </si>
  <si>
    <t>FUNDOS DO MERCADO MONETARIO (FMM) - R</t>
  </si>
  <si>
    <t>Fundos do mercado monetário (FMM)</t>
  </si>
  <si>
    <t>S124</t>
  </si>
  <si>
    <t>FUNDOS DE INVESTIMENTO  EXCETO FMM - R</t>
  </si>
  <si>
    <t>Fundos de investimento exceto FMM</t>
  </si>
  <si>
    <t>S1240001</t>
  </si>
  <si>
    <t>Fundos de investimento mobiliários</t>
  </si>
  <si>
    <t>S1240002</t>
  </si>
  <si>
    <t>Fundos de investimento imobiliários</t>
  </si>
  <si>
    <t>S1240003</t>
  </si>
  <si>
    <t>Fundos de investimento capital de risco</t>
  </si>
  <si>
    <t>S125</t>
  </si>
  <si>
    <t>Outros intermediários financeiros exceto sociedades de seguros e fundos de pensõ</t>
  </si>
  <si>
    <t>S1250001</t>
  </si>
  <si>
    <t>CONTRAPARTES CENTRAIS - R</t>
  </si>
  <si>
    <t>Contrapartes centrais</t>
  </si>
  <si>
    <t>S1250002</t>
  </si>
  <si>
    <t>SOCIEDADES DE CAPITAL DE RISCO - R</t>
  </si>
  <si>
    <t>Sociedades de capital de risco</t>
  </si>
  <si>
    <t>S1250003</t>
  </si>
  <si>
    <t>SOCIEDADES DE FACTORING - R</t>
  </si>
  <si>
    <t>Sociedades de factoring</t>
  </si>
  <si>
    <t>S1250004</t>
  </si>
  <si>
    <t>SOCIEDADES DE LOCACAO FINANCEIRA - R</t>
  </si>
  <si>
    <t>Sociedades de locação financeira</t>
  </si>
  <si>
    <t>S1250005</t>
  </si>
  <si>
    <t>SOCIEDADES FINANCEIRAS DE CORRETAGEM - R</t>
  </si>
  <si>
    <t>Sociedades financeiras de corretagem</t>
  </si>
  <si>
    <t>S1250006</t>
  </si>
  <si>
    <t>SOCIEDADES FINANCEIRAS PARA AQUISICOES A CREDITO - R</t>
  </si>
  <si>
    <t>Sociedades financeiras para aquisições a Crédito</t>
  </si>
  <si>
    <t>S1250007</t>
  </si>
  <si>
    <t>SOCIEDADES DE DESENVOLVIMENTO REGIONAL - R</t>
  </si>
  <si>
    <t>Sociedades de desenvolvimento regional</t>
  </si>
  <si>
    <t>S1250008</t>
  </si>
  <si>
    <t>SOCIEDADES DE FOMENTO EMPRESARIAL - R</t>
  </si>
  <si>
    <t>Sociedades de fomento empresarial</t>
  </si>
  <si>
    <t>S1250009</t>
  </si>
  <si>
    <t>SOCIEDADES DE INVESTIMENTO - R</t>
  </si>
  <si>
    <t>Sociedades de investimento</t>
  </si>
  <si>
    <t>S1250010</t>
  </si>
  <si>
    <t>SOC. EMITENTES OU GESTORAS DE CART. CRED - R</t>
  </si>
  <si>
    <t>Sociedades emitentes ou gestoras de cartões de crédito</t>
  </si>
  <si>
    <t>S1250011</t>
  </si>
  <si>
    <t>SOCIEDADES DE TITULARIZACAO DE CREDITOS - R</t>
  </si>
  <si>
    <t>Sociedades de titularização de créditos</t>
  </si>
  <si>
    <t>S1250012</t>
  </si>
  <si>
    <t>SOCIEDADES DE GARANTIA MUTUA - R</t>
  </si>
  <si>
    <t>Sociedades de garantia mútua</t>
  </si>
  <si>
    <t>S1250013</t>
  </si>
  <si>
    <t>INSTITUICOES FINANCEIRAS DE CREDITO - R</t>
  </si>
  <si>
    <t>Instituições financeiras de crédito</t>
  </si>
  <si>
    <t>S1250014</t>
  </si>
  <si>
    <t>FUNDOS TITULARIZACAO DE CREDITOS - R</t>
  </si>
  <si>
    <t>Fundos de titularização de créditos</t>
  </si>
  <si>
    <t>S1250015</t>
  </si>
  <si>
    <t>OUTROS INTERMEDIARIOS FINANCEIROS - OUTROS - R</t>
  </si>
  <si>
    <t>S1250019</t>
  </si>
  <si>
    <t>OUTROS INTERMEDIARIOS FINANCEIROS-OUTROS - R</t>
  </si>
  <si>
    <t>Outros intermediários financeiros</t>
  </si>
  <si>
    <t>S126</t>
  </si>
  <si>
    <t>AUXILIARES FINANCEIROS - R</t>
  </si>
  <si>
    <t>Auxiliares Financeiros</t>
  </si>
  <si>
    <t>S1260001</t>
  </si>
  <si>
    <t>Auxiliares de seguros</t>
  </si>
  <si>
    <t>S1260002</t>
  </si>
  <si>
    <t>Agencias de câmbios</t>
  </si>
  <si>
    <t>S1260003</t>
  </si>
  <si>
    <t>Sociedades corretoras</t>
  </si>
  <si>
    <t>S1260004</t>
  </si>
  <si>
    <t>Sociedades gestoras de fundos de investimento</t>
  </si>
  <si>
    <t>S1260005</t>
  </si>
  <si>
    <t>Sociedades gestoras de fundos de titularização de créditos</t>
  </si>
  <si>
    <t>S1260006</t>
  </si>
  <si>
    <t>Sociedades gestoras de fundos de pensões</t>
  </si>
  <si>
    <t>S1260007</t>
  </si>
  <si>
    <t>Sociedades gestoras de patrimónios</t>
  </si>
  <si>
    <t>S1260008</t>
  </si>
  <si>
    <t>Sociedades administradoras de compras em grupo</t>
  </si>
  <si>
    <t>S1260009</t>
  </si>
  <si>
    <t>Sociedades mediadoras do mercado monetário e do mercado de câmbios</t>
  </si>
  <si>
    <t>S1260010</t>
  </si>
  <si>
    <t>Sedes sociais de sociedades financeiras</t>
  </si>
  <si>
    <t>S1260011</t>
  </si>
  <si>
    <t>Instituições de pagamentos</t>
  </si>
  <si>
    <t>S1260012</t>
  </si>
  <si>
    <t>Outros auxiliares financeiros</t>
  </si>
  <si>
    <t>S127</t>
  </si>
  <si>
    <t>INSTITUICOES FINANCEIRAS CATIVAS E PRESTAMISTAS - R</t>
  </si>
  <si>
    <t>Instituições financeiras cativas e prestamistas</t>
  </si>
  <si>
    <t>S1270001</t>
  </si>
  <si>
    <t>Holdings financeiras</t>
  </si>
  <si>
    <t>S1270002</t>
  </si>
  <si>
    <t>Holdings não financeiras</t>
  </si>
  <si>
    <t>S1270003</t>
  </si>
  <si>
    <t>Prestamistas</t>
  </si>
  <si>
    <t>S1270004</t>
  </si>
  <si>
    <t>Trusts e outras atividades similares</t>
  </si>
  <si>
    <t>S1270005</t>
  </si>
  <si>
    <t>Sociedades de finalidade especial que obtêm financiamento para empresas-mãe</t>
  </si>
  <si>
    <t>S1270006</t>
  </si>
  <si>
    <t>Outras Intituições financeiras cativas e prestamistas</t>
  </si>
  <si>
    <t>S128</t>
  </si>
  <si>
    <t>SOCIEDADES DE SEGUROS - R</t>
  </si>
  <si>
    <t>Sociedades de seguros</t>
  </si>
  <si>
    <t>S1280001</t>
  </si>
  <si>
    <t>Companhias de seguros</t>
  </si>
  <si>
    <t>S1280002</t>
  </si>
  <si>
    <t>Associações de socorros mútuos</t>
  </si>
  <si>
    <t>S129</t>
  </si>
  <si>
    <t>FUNDOS DE PENSõES - R</t>
  </si>
  <si>
    <t>Fundos de Pensões</t>
  </si>
  <si>
    <t>S13</t>
  </si>
  <si>
    <t>Administrações públicas</t>
  </si>
  <si>
    <t>S1311</t>
  </si>
  <si>
    <t>Administração Central (exceto fundos de segurança social)</t>
  </si>
  <si>
    <t>S1311201</t>
  </si>
  <si>
    <t>ESTADO - R</t>
  </si>
  <si>
    <t>Estado</t>
  </si>
  <si>
    <t>S1311202</t>
  </si>
  <si>
    <t>SERV. E FUNDOS AUTONOMOS DA ADM. CENTRAL - R</t>
  </si>
  <si>
    <t>Serviços e fundos autónomos da administração central</t>
  </si>
  <si>
    <t>S1311203</t>
  </si>
  <si>
    <t>EMPRESAS PUBLICAS DA ADMINISTRACAO CENTRAL - R</t>
  </si>
  <si>
    <t>Empresas públicas da administração central</t>
  </si>
  <si>
    <t>S1311204</t>
  </si>
  <si>
    <t>INST. SEM FINS LUCRATIVOS DA ADM. CENTRAL - R</t>
  </si>
  <si>
    <t>Instituições sem fim lucrativo da administração central</t>
  </si>
  <si>
    <t>S1312</t>
  </si>
  <si>
    <t>Administração regional</t>
  </si>
  <si>
    <t>S1312121000</t>
  </si>
  <si>
    <t>ADM. REGIONAL ACORES - R</t>
  </si>
  <si>
    <t>S1312122000</t>
  </si>
  <si>
    <t>ADM. REGIONAL MADEIRA - R</t>
  </si>
  <si>
    <t>S1312201</t>
  </si>
  <si>
    <t>Orgãos do governo regional</t>
  </si>
  <si>
    <t>S1312202</t>
  </si>
  <si>
    <t>Serviços e fundos autónomos da administração regional</t>
  </si>
  <si>
    <t>S1312203</t>
  </si>
  <si>
    <t>Empresas públicas da administração regional</t>
  </si>
  <si>
    <t>S1312204</t>
  </si>
  <si>
    <t>Instituições sem fim lucrativo da administração regional</t>
  </si>
  <si>
    <t>S1313</t>
  </si>
  <si>
    <t>Administracão local</t>
  </si>
  <si>
    <t>S1313131000</t>
  </si>
  <si>
    <t>ADM. LOCAL CONTINENTE - R</t>
  </si>
  <si>
    <t>S1313132000</t>
  </si>
  <si>
    <t>ADM. LOCAL ACORES - R</t>
  </si>
  <si>
    <t>S1313133000</t>
  </si>
  <si>
    <t>ADM. LOCAL MADEIRA - R</t>
  </si>
  <si>
    <t>S1313201</t>
  </si>
  <si>
    <t>Distritos</t>
  </si>
  <si>
    <t>S1313202</t>
  </si>
  <si>
    <t>Municipios</t>
  </si>
  <si>
    <t>S1313203</t>
  </si>
  <si>
    <t>Freguesias</t>
  </si>
  <si>
    <t>S1313204</t>
  </si>
  <si>
    <t>Serviços autónomos da Administração local</t>
  </si>
  <si>
    <t>S1313205</t>
  </si>
  <si>
    <t>Empresas públicas da Administração local</t>
  </si>
  <si>
    <t>S1313206</t>
  </si>
  <si>
    <t>Instituições sem fim lucrativo da Administração local</t>
  </si>
  <si>
    <t>S1314</t>
  </si>
  <si>
    <t>FUNDOS DE SEGURANçA SOCIAL - R</t>
  </si>
  <si>
    <t>Fundos da Segurança Social</t>
  </si>
  <si>
    <t>S14</t>
  </si>
  <si>
    <t>FAMíLIAS - R</t>
  </si>
  <si>
    <t>Famílias</t>
  </si>
  <si>
    <t>S141</t>
  </si>
  <si>
    <t>Empregadores</t>
  </si>
  <si>
    <t>S142</t>
  </si>
  <si>
    <t>Trabalhadores por conta própria</t>
  </si>
  <si>
    <t>S143</t>
  </si>
  <si>
    <t>Empregados</t>
  </si>
  <si>
    <t>S144</t>
  </si>
  <si>
    <t>Famílias com recursos provenientes de rendimentos de propriedade e transferência</t>
  </si>
  <si>
    <t>S1441</t>
  </si>
  <si>
    <t>Famílias com recursos provenientes de rendimentos de propriedade</t>
  </si>
  <si>
    <t>S1442</t>
  </si>
  <si>
    <t>Famílias com recursos provenientes de pensões</t>
  </si>
  <si>
    <t>S1443</t>
  </si>
  <si>
    <t>Famílias com recursos provenientes de outras transferencias</t>
  </si>
  <si>
    <t>S15</t>
  </si>
  <si>
    <t>INST SEM FINS LUCRATIVOS AO SERV DAS FAMILIAS - R</t>
  </si>
  <si>
    <t>Instituições sem fim lucrativo ao servico das famílias</t>
  </si>
  <si>
    <t>S16</t>
  </si>
  <si>
    <t>EMIGRANTES</t>
  </si>
  <si>
    <t>S201</t>
  </si>
  <si>
    <t>SOCIEDADES NAO FINANCEIRAS - NR</t>
  </si>
  <si>
    <t>Sociedades não financeiras não residentes</t>
  </si>
  <si>
    <t>S202</t>
  </si>
  <si>
    <t>Sociedades financeiras  não residentes</t>
  </si>
  <si>
    <t>S2021</t>
  </si>
  <si>
    <t>BANCO CENTRAL - NR</t>
  </si>
  <si>
    <t>Bancos centrais não residentes</t>
  </si>
  <si>
    <t>S2022</t>
  </si>
  <si>
    <t>Entidades depositárias  não residentes, excepto bancos centrais</t>
  </si>
  <si>
    <t>S20221</t>
  </si>
  <si>
    <t>SEDE E SUCURS DA PROPRIA INSTITUICAO - NR</t>
  </si>
  <si>
    <t>S202221</t>
  </si>
  <si>
    <t>IFM-OUTRAS INST COM RELACAO DE DOMINIO - NR</t>
  </si>
  <si>
    <t>S202222</t>
  </si>
  <si>
    <t>IFM-OUTRAS - NR</t>
  </si>
  <si>
    <t>S2023</t>
  </si>
  <si>
    <t>Fundos do mercado monetário (FMM) não residentes</t>
  </si>
  <si>
    <t>S20231</t>
  </si>
  <si>
    <t>FMM-OUTRAS INST COM RELACAO DE DOMINIO - NR</t>
  </si>
  <si>
    <t>S20232</t>
  </si>
  <si>
    <t>FMM-OUTRAS - NR</t>
  </si>
  <si>
    <t>S2024</t>
  </si>
  <si>
    <t>FUNDOS DE INVESTIMENTO EXCETO FMM - NR</t>
  </si>
  <si>
    <t>Fundos de investimento, exceto FMM, não residentes</t>
  </si>
  <si>
    <t>S2025</t>
  </si>
  <si>
    <t>Outros intermediários financeiros , excepto SSFP, não residentes</t>
  </si>
  <si>
    <t>S2025001</t>
  </si>
  <si>
    <t>CONTRAPARTES CENTRAIS - NR</t>
  </si>
  <si>
    <t>S2025002</t>
  </si>
  <si>
    <t>SOC DE TITUL DE CREDITOS - NR</t>
  </si>
  <si>
    <t>S2025003</t>
  </si>
  <si>
    <t>FUNDOS DE TITUL DE CREDITOS - NR</t>
  </si>
  <si>
    <t>S2025004</t>
  </si>
  <si>
    <t>OUTROS INTERMEDIARIOS FINANCEIROS - OUTROS - NR</t>
  </si>
  <si>
    <t>S2025009</t>
  </si>
  <si>
    <t>OUTROS INTERMEDIARIOS FINANCEIROS-OUTROS - NR</t>
  </si>
  <si>
    <t>S2026</t>
  </si>
  <si>
    <t>AUXILIARES FINANCEIROS - NR</t>
  </si>
  <si>
    <t>Auxiliares Financeiros não residentes</t>
  </si>
  <si>
    <t>S2027</t>
  </si>
  <si>
    <t>INST FINANC CATIVAS E PRESTAMISTAS - NR</t>
  </si>
  <si>
    <t>Instituições financeiras cativas e prestamistas não residentes</t>
  </si>
  <si>
    <t>S2028</t>
  </si>
  <si>
    <t>SOCIEDADES DE SEGUROS - NR</t>
  </si>
  <si>
    <t>Sociedades de seguros não residentes</t>
  </si>
  <si>
    <t>S2029</t>
  </si>
  <si>
    <t>FUNDOS DE PENSõES - NR</t>
  </si>
  <si>
    <t>Fundos de Pensões não residentes</t>
  </si>
  <si>
    <t>S203</t>
  </si>
  <si>
    <t>Administrações públicas não residentes</t>
  </si>
  <si>
    <t>S20311</t>
  </si>
  <si>
    <t>ADMIN CENTRAL (EXCETO FUNDOS DE SEG SOC) - NR</t>
  </si>
  <si>
    <t>S20312</t>
  </si>
  <si>
    <t>ADMINISTRACAO REGIONAL - NR</t>
  </si>
  <si>
    <t>S20313</t>
  </si>
  <si>
    <t>ADMINISTRACAO LOCAL - NR</t>
  </si>
  <si>
    <t>S20314</t>
  </si>
  <si>
    <t>FUNDOS DE SEGURANCA SOCIAL - NR</t>
  </si>
  <si>
    <t>S204</t>
  </si>
  <si>
    <t>FAMILIAS - NR</t>
  </si>
  <si>
    <t>Famílias não residentes</t>
  </si>
  <si>
    <t>S2041</t>
  </si>
  <si>
    <t>Emigrantes</t>
  </si>
  <si>
    <t>S2042</t>
  </si>
  <si>
    <t>Famílias  não residentes - Outros</t>
  </si>
  <si>
    <t>S205</t>
  </si>
  <si>
    <t>INST SEM FINS LUCRATIVOS AO SERV DAS FAMILIAS - NR</t>
  </si>
  <si>
    <t>Instituições sem fim lucrativo ao servico das famílias, não residentes</t>
  </si>
  <si>
    <t>S206</t>
  </si>
  <si>
    <t>Organizações internacionais</t>
  </si>
  <si>
    <t>S2061</t>
  </si>
  <si>
    <t>Organizações internacionais não financeiras</t>
  </si>
  <si>
    <t>S2062</t>
  </si>
  <si>
    <t>Organizações internacionais financeiras</t>
  </si>
  <si>
    <t>S20621</t>
  </si>
  <si>
    <t>Banco central europeu</t>
  </si>
  <si>
    <t>S20622</t>
  </si>
  <si>
    <t>Outras organizações internacionais financeiras</t>
  </si>
  <si>
    <t>S3</t>
  </si>
  <si>
    <t>NAO SETORIZADO</t>
  </si>
  <si>
    <t>S401100</t>
  </si>
  <si>
    <t>SOCIEDADES NAO FINANCEIRAS SECTOR PUBLICO - RESIDENTES</t>
  </si>
  <si>
    <t>S401201</t>
  </si>
  <si>
    <t>INSTITUICOES FINANCEIRAS MONETARIAS - SECTOR PUBLICO RESIDENTE</t>
  </si>
  <si>
    <t>S401311</t>
  </si>
  <si>
    <t>OUTROS INT FIN AUX FIN INST FIN CAT PREST - SECTOR PUBLICO RESIDENTE</t>
  </si>
  <si>
    <t>S401341</t>
  </si>
  <si>
    <t>FUNDOS INVESTIMENTO EXCEPTO FUNDOS MERCADO MONETARIO - SECTOR PUBLICO RESIDENTE</t>
  </si>
  <si>
    <t>S4013511</t>
  </si>
  <si>
    <t>SOCIEDADES SEGUROS - SECTOR PUBLICO RESIDENTE</t>
  </si>
  <si>
    <t>S4013512</t>
  </si>
  <si>
    <t>FUNDOS PENSOES - SECTOR PUBLICO RESIDENTE</t>
  </si>
  <si>
    <t>S401510</t>
  </si>
  <si>
    <t>EMPRESARIOS EM NOME INDIVIDUAL - R</t>
  </si>
  <si>
    <t>S402510</t>
  </si>
  <si>
    <t>EMPRESARIOS EM NOME INDIVIDUAL - NR</t>
  </si>
  <si>
    <t>Codigos de sector institucional</t>
  </si>
  <si>
    <t>PARAM 1</t>
  </si>
  <si>
    <t>PARAM 2</t>
  </si>
  <si>
    <t>Conciliando ambas as Parametrizações</t>
  </si>
  <si>
    <t>Flag in ct003_univ_cli</t>
  </si>
  <si>
    <t>Y - Está na ct003; 
N - Não está</t>
  </si>
  <si>
    <t>Descrições tat91 ("H01","Y86")</t>
  </si>
  <si>
    <t>Aplicar o Mapeamento de Loan Tapes a estes sectores institucionais</t>
  </si>
  <si>
    <t>‣ Non-financial corporations</t>
  </si>
  <si>
    <t>‣ Central Bank</t>
  </si>
  <si>
    <t>‣ Credit institutions</t>
  </si>
  <si>
    <t>‣ Deposit-taking corporations other than credit institutions</t>
  </si>
  <si>
    <t>‣ Money market funds (MMF)</t>
  </si>
  <si>
    <t>‣ Non-MMF Investment funds</t>
  </si>
  <si>
    <t>‣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t>
  </si>
  <si>
    <t>‣ Financial auxiliaries</t>
  </si>
  <si>
    <t>‣ Insurance corporations</t>
  </si>
  <si>
    <t>‣ Pension funds</t>
  </si>
  <si>
    <t>‣ Central government</t>
  </si>
  <si>
    <t>‣ State government</t>
  </si>
  <si>
    <t>‣ Local government</t>
  </si>
  <si>
    <t>‣ Social security funds</t>
  </si>
  <si>
    <t>‣ Non-profit institutions serving households</t>
  </si>
  <si>
    <t>‣ Captive financial institutions and money lenders</t>
  </si>
  <si>
    <t>Non-financial corporations</t>
  </si>
  <si>
    <t>Central Bank</t>
  </si>
  <si>
    <t>Credit institutions</t>
  </si>
  <si>
    <t>Deposit-taking corporations other than credit institutions</t>
  </si>
  <si>
    <t>Money market funds (MMF)</t>
  </si>
  <si>
    <t>Non-MMF Investment funds</t>
  </si>
  <si>
    <t>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t>
  </si>
  <si>
    <t>Financial auxiliaries</t>
  </si>
  <si>
    <t>Captive financial institutions and money lenders</t>
  </si>
  <si>
    <t>Insurance corporations</t>
  </si>
  <si>
    <t>Pension funds</t>
  </si>
  <si>
    <t>Central government</t>
  </si>
  <si>
    <t>State government</t>
  </si>
  <si>
    <t>Local government</t>
  </si>
  <si>
    <t>Social security funds</t>
  </si>
  <si>
    <t>Non-profit institutions serving households</t>
  </si>
  <si>
    <t>Opções SRB</t>
  </si>
  <si>
    <t>Tentativa Inicial de mapear os sectores institucionais com as opções dadas pelo SRB</t>
  </si>
  <si>
    <t>Mapeamento proposto</t>
  </si>
  <si>
    <t xml:space="preserve">tayd91c0_gelemtab_y86
</t>
  </si>
  <si>
    <t>tayd91c0_gelemtab_h01
CRC5G- SETOR INSTITUCIONAL (ID STI)</t>
  </si>
  <si>
    <t>Y</t>
  </si>
  <si>
    <t>N</t>
  </si>
  <si>
    <t>The central bank</t>
  </si>
  <si>
    <t>Deposit-taking corporations except the central bank</t>
  </si>
  <si>
    <t>Money market funds (MMFs)</t>
  </si>
  <si>
    <t>Non-MMF investment funds</t>
  </si>
  <si>
    <t>Other financial intermediaries, except ICPFs</t>
  </si>
  <si>
    <t>Insurance corporations (ICs)</t>
  </si>
  <si>
    <t>Pension funds (PFs)</t>
  </si>
  <si>
    <t>General government</t>
  </si>
  <si>
    <t>Households</t>
  </si>
  <si>
    <t>Non-profit insitutions serving households</t>
  </si>
  <si>
    <t>?</t>
  </si>
  <si>
    <t>ISSR_ESA_2010_CD</t>
  </si>
  <si>
    <t>Code</t>
  </si>
  <si>
    <t>S_11</t>
  </si>
  <si>
    <t>S_11001</t>
  </si>
  <si>
    <t>S_11002</t>
  </si>
  <si>
    <t>S_11003</t>
  </si>
  <si>
    <t>S_121</t>
  </si>
  <si>
    <t>S_122</t>
  </si>
  <si>
    <t>S_12201</t>
  </si>
  <si>
    <t>S_12202</t>
  </si>
  <si>
    <t>S_12203</t>
  </si>
  <si>
    <t>S_123</t>
  </si>
  <si>
    <t>S_12301</t>
  </si>
  <si>
    <t>S_12302</t>
  </si>
  <si>
    <t>S_12303</t>
  </si>
  <si>
    <t>S_124</t>
  </si>
  <si>
    <t>S_12401</t>
  </si>
  <si>
    <t>S_12402</t>
  </si>
  <si>
    <t>S_12403</t>
  </si>
  <si>
    <t>S_125</t>
  </si>
  <si>
    <t>S_12501</t>
  </si>
  <si>
    <t>S_12502</t>
  </si>
  <si>
    <t>S_12503</t>
  </si>
  <si>
    <t>S_126</t>
  </si>
  <si>
    <t>S_12601</t>
  </si>
  <si>
    <t>S_12602</t>
  </si>
  <si>
    <t>S_12603</t>
  </si>
  <si>
    <t>S_127</t>
  </si>
  <si>
    <t>S_12701</t>
  </si>
  <si>
    <t>S_12702</t>
  </si>
  <si>
    <t>S_12703</t>
  </si>
  <si>
    <t>S_128</t>
  </si>
  <si>
    <t>S_12801</t>
  </si>
  <si>
    <t>S_12802</t>
  </si>
  <si>
    <t>S_12803</t>
  </si>
  <si>
    <t>S_129</t>
  </si>
  <si>
    <t>S_12901</t>
  </si>
  <si>
    <t>S_12902</t>
  </si>
  <si>
    <t>S_12903</t>
  </si>
  <si>
    <t>S_13</t>
  </si>
  <si>
    <t>S_1311</t>
  </si>
  <si>
    <t>S_1312</t>
  </si>
  <si>
    <t>S_1313</t>
  </si>
  <si>
    <t>S_1314</t>
  </si>
  <si>
    <t>S_14</t>
  </si>
  <si>
    <t>S_15</t>
  </si>
  <si>
    <t>ISSR_ESA_2010_NM</t>
  </si>
  <si>
    <t>Description</t>
  </si>
  <si>
    <t>Non-financial corporations - public</t>
  </si>
  <si>
    <t>Non-financial corporations - national private</t>
  </si>
  <si>
    <t>Non-financial corporations - foreign controlled</t>
  </si>
  <si>
    <t>Deposit-taking corporations except the central bank - public</t>
  </si>
  <si>
    <t>Deposit-taking corporations except the central bank - national private</t>
  </si>
  <si>
    <t>Deposit-taking corporations except the central bank - foreign controlled</t>
  </si>
  <si>
    <t>Money market funds (MMFs) - public</t>
  </si>
  <si>
    <t>Money market funds (MMFs) - national private</t>
  </si>
  <si>
    <t>Money market funds (MMFs) - foreign controlled</t>
  </si>
  <si>
    <t>Non-MMF investment funds - public</t>
  </si>
  <si>
    <t>Non-MMF investment funds - national private</t>
  </si>
  <si>
    <t>Non-MMF investment funds - foreign controlled</t>
  </si>
  <si>
    <t>Other financial intermediaries, except ICPFs - public</t>
  </si>
  <si>
    <t>Other financial intermediaries, except ICPFs - national private</t>
  </si>
  <si>
    <t>Other financial intermediaries, except ICPFs - foreign controlled</t>
  </si>
  <si>
    <t>Financial auxiliaries - public</t>
  </si>
  <si>
    <t>Financial auxiliaries - national private</t>
  </si>
  <si>
    <t>Financial auxiliaries - foreign controlled</t>
  </si>
  <si>
    <t>Captive financial institutions and money lenders - public</t>
  </si>
  <si>
    <t>Captive financial institutions and money lenders - national private</t>
  </si>
  <si>
    <t>Captive financial institutions and money lenders - foreign controlled</t>
  </si>
  <si>
    <t>Insurance corporations (ICs) - public</t>
  </si>
  <si>
    <t>Insurance corporations (ICs) - national private</t>
  </si>
  <si>
    <t>Insurance corporations (ICs) - foreign controlled</t>
  </si>
  <si>
    <t>Pension funds (PFs) - public</t>
  </si>
  <si>
    <t>Pension funds (PFs) - national private</t>
  </si>
  <si>
    <t>Pension funds (PFs) - foreign controlled</t>
  </si>
  <si>
    <t xml:space="preserve">SRB </t>
  </si>
  <si>
    <t>Mapeamento realizado no Loan Tape</t>
  </si>
  <si>
    <t>Identificação BdP</t>
  </si>
  <si>
    <t>Subsetor SEC2010 / Subsector ESA2010</t>
  </si>
  <si>
    <t xml:space="preserve">DESIGNAÇÃO SETOR / SUBSETOR SEC2010 
</t>
  </si>
  <si>
    <t>ESA2010 SECTOR / SUBSECTOR NAME</t>
  </si>
  <si>
    <t>Financial corporations</t>
  </si>
  <si>
    <t>Central bank</t>
  </si>
  <si>
    <t>Deposit taking corporations, except the Central bank</t>
  </si>
  <si>
    <t>Banks</t>
  </si>
  <si>
    <t>Mutual agriculture credit banks</t>
  </si>
  <si>
    <t>Savings banks</t>
  </si>
  <si>
    <t>Electronic money institutions</t>
  </si>
  <si>
    <t>Fundos do mercado monetario (FMM)</t>
  </si>
  <si>
    <t xml:space="preserve">Non-money market funds investment funds </t>
  </si>
  <si>
    <t>Fundos de investimento mobiliários (exceto fundos do mercado monetário)</t>
  </si>
  <si>
    <t>Securities investment funds (except money market funds)</t>
  </si>
  <si>
    <t>Real estate investment funds</t>
  </si>
  <si>
    <t>Fundos de capital de risco</t>
  </si>
  <si>
    <t>Venture capital funds</t>
  </si>
  <si>
    <t>Outros intermediários financeiros exceto sociedades de seguros e fundos de pensões</t>
  </si>
  <si>
    <t>Other financial intermediaries except insurance corporations and pension funds</t>
  </si>
  <si>
    <t>Central counterparty clearing houses</t>
  </si>
  <si>
    <t>Venture capital corporations</t>
  </si>
  <si>
    <t>Factoring corporations</t>
  </si>
  <si>
    <t>Financial leasing corporations</t>
  </si>
  <si>
    <t>Financial dealers</t>
  </si>
  <si>
    <t>Sociedades financeiras para aquisições a crédito</t>
  </si>
  <si>
    <t>Credit-purchase financing corporations</t>
  </si>
  <si>
    <t>Regional development corporations</t>
  </si>
  <si>
    <t>Business development corporations</t>
  </si>
  <si>
    <t>Investment corporations</t>
  </si>
  <si>
    <t>Credit card issuing and managing corporations</t>
  </si>
  <si>
    <t>Securitization corporations</t>
  </si>
  <si>
    <t>Mutual garantee corporations</t>
  </si>
  <si>
    <t>Credit financial institutions</t>
  </si>
  <si>
    <t>Securitization funds</t>
  </si>
  <si>
    <t>Outros</t>
  </si>
  <si>
    <t>Other</t>
  </si>
  <si>
    <t>Auxiliares financeiros</t>
  </si>
  <si>
    <t>Insurance auxiliaries</t>
  </si>
  <si>
    <t>Agências de câmbios</t>
  </si>
  <si>
    <t>Exchange offices</t>
  </si>
  <si>
    <t>Brokers</t>
  </si>
  <si>
    <t>Investment funds managing corporations</t>
  </si>
  <si>
    <t>Securitization funds managing corporations</t>
  </si>
  <si>
    <t>Pension funds  managing corporations</t>
  </si>
  <si>
    <t>Wealth managing corporations</t>
  </si>
  <si>
    <t>Group-purchase managing corporations</t>
  </si>
  <si>
    <t>Foreign exchange and money market mediating corporations</t>
  </si>
  <si>
    <t>Financial head offices</t>
  </si>
  <si>
    <t>Payment institutions</t>
  </si>
  <si>
    <t>Other financial auxiliaries</t>
  </si>
  <si>
    <t>Financial holding corporations</t>
  </si>
  <si>
    <t>Non-financial holding corporations</t>
  </si>
  <si>
    <t>Money lenders</t>
  </si>
  <si>
    <t>Trusts e atividades similares</t>
  </si>
  <si>
    <t>Trusts and other similar activities</t>
  </si>
  <si>
    <t>Sociedades de finalidade especial que obtêm fundos para utilização da casa mãe</t>
  </si>
  <si>
    <t>Special purpose entities obtaining financing for parent company</t>
  </si>
  <si>
    <t>Outras instituições financeiras cativas e prestamistas</t>
  </si>
  <si>
    <t>Other captive financial institutions and money lenders</t>
  </si>
  <si>
    <t>Mutual entities</t>
  </si>
  <si>
    <t>Administracoes publicas</t>
  </si>
  <si>
    <t>Administracao Central (exceto fundos de seguranca social)</t>
  </si>
  <si>
    <t>Central government (excluding social security funds)</t>
  </si>
  <si>
    <t>State</t>
  </si>
  <si>
    <t>Serviços e Fundos Autónomos da Administração Central</t>
  </si>
  <si>
    <t>Autonomous Services and Funds of Central Government</t>
  </si>
  <si>
    <t>Empresas públicas da Administração Central</t>
  </si>
  <si>
    <t>Public Corporations of Central Government</t>
  </si>
  <si>
    <t>Instituições Sem Fim Lucrativos da Administração Central</t>
  </si>
  <si>
    <t>Non Profit Institutions of Central Government</t>
  </si>
  <si>
    <t>Administracao regional</t>
  </si>
  <si>
    <t>Regional government</t>
  </si>
  <si>
    <t>Região Autónoma dos Açores</t>
  </si>
  <si>
    <t>Autonomous Region of Azores</t>
  </si>
  <si>
    <t>Região Autónoma da Madeira</t>
  </si>
  <si>
    <t>Autonomous Region of Madeira</t>
  </si>
  <si>
    <t>Administracao local</t>
  </si>
  <si>
    <t>Administração Local - Continente</t>
  </si>
  <si>
    <t>Local Government - Mainland</t>
  </si>
  <si>
    <t>Administração Local - Açores</t>
  </si>
  <si>
    <t>Local Government - Azores</t>
  </si>
  <si>
    <t>Administração Local - Madeira</t>
  </si>
  <si>
    <t>Local Government - Madeira</t>
  </si>
  <si>
    <t>Fundos de Segurança Social</t>
  </si>
  <si>
    <t>Social Security Funds</t>
  </si>
  <si>
    <t>Instituições sem fins lucrativos ao serviço das famílias</t>
  </si>
  <si>
    <t>Non Profit Institutions serving households</t>
  </si>
  <si>
    <t>Emigrants</t>
  </si>
  <si>
    <t>S2</t>
  </si>
  <si>
    <t>Setor não residente</t>
  </si>
  <si>
    <t>Rest of the world</t>
  </si>
  <si>
    <t>Não sectorizado</t>
  </si>
  <si>
    <t>N/A</t>
  </si>
  <si>
    <t/>
  </si>
  <si>
    <t>campo_lt</t>
  </si>
  <si>
    <t>valor_origem</t>
  </si>
  <si>
    <t>valor_lt</t>
  </si>
  <si>
    <t>descritivo_lt</t>
  </si>
  <si>
    <t>SECTOR_INST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</si>
</sst>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sz val="11"/>
      <color theme="0"/>
      <name val="Calibri"/>
      <family val="2"/>
      <scheme val="minor"/>
    </font>
    <font>
      <sz val="10"/>
      <color theme="0"/>
      <name val="MS Shell Dlg 2"/>
    </font>
    <font>
      <sz val="10"/>
      <name val="MS Shell Dlg 2"/>
    </font>
    <font>
      <sz val="11"/>
      <name val="Calibri"/>
      <family val="2"/>
      <scheme val="minor"/>
    </font>
    <font>
      <sz val="10"/>
      <name val="Arial"/>
      <family val="2"/>
    </font>
    <font>
      <sz val="11"/>
      <color rgb="FFFF0000"/>
      <name val="Calibri"/>
      <family val="2"/>
      <scheme val="minor"/>
    </font>
    <font>
      <b/>
      <sz val="11"/>
      <color theme="0"/>
      <name val="Calibri"/>
      <family val="2"/>
      <scheme val="minor"/>
    </font>
    <font>
      <sz val="9"/>
      <color indexed="81"/>
      <name val="Tahoma"/>
      <family val="2"/>
    </font>
    <font>
      <b/>
      <sz val="9"/>
      <color indexed="81"/>
      <name val="Tahoma"/>
      <family val="2"/>
    </font>
  </fonts>
  <fills count="7">
    <fill>
      <patternFill patternType="none"/>
    </fill>
    <fill>
      <patternFill patternType="gray125"/>
    </fill>
    <fill>
      <patternFill patternType="solid">
        <fgColor theme="3"/>
        <bgColor indexed="64"/>
      </patternFill>
    </fill>
    <fill>
      <patternFill patternType="solid">
        <fgColor theme="4" tint="-0.49998474074526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0"/>
        <bgColor indexed="64"/>
      </patternFill>
    </fill>
  </fills>
  <borders count="20">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right/>
      <top/>
      <bottom style="thin">
        <color indexed="64"/>
      </bottom>
      <diagonal/>
    </border>
  </borders>
  <cellStyleXfs count="1">
    <xf numFmtId="0" fontId="0" fillId="0" borderId="0"/>
  </cellStyleXfs>
  <cellXfs count="64">
    <xf numFmtId="0" fontId="0" fillId="0" borderId="0" xfId="0"/>
    <xf numFmtId="0" fontId="2" fillId="3" borderId="1" xfId="0" applyFont="1" applyFill="1" applyBorder="1" applyAlignment="1">
      <alignment horizontal="center" wrapText="1"/>
    </xf>
    <xf numFmtId="0" fontId="0" fillId="0" borderId="2" xfId="0" applyBorder="1"/>
    <xf numFmtId="0" fontId="1" fillId="2" borderId="4" xfId="0" applyFont="1" applyFill="1" applyBorder="1" applyAlignment="1">
      <alignment horizontal="center" vertical="center" wrapText="1"/>
    </xf>
    <xf numFmtId="0" fontId="0" fillId="0" borderId="7" xfId="0" applyBorder="1"/>
    <xf numFmtId="0" fontId="0" fillId="0" borderId="8" xfId="0" applyBorder="1"/>
    <xf numFmtId="0" fontId="0" fillId="0" borderId="9" xfId="0" applyBorder="1"/>
    <xf numFmtId="0" fontId="0" fillId="0" borderId="10" xfId="0" applyBorder="1"/>
    <xf numFmtId="0" fontId="0" fillId="0" borderId="15" xfId="0" applyBorder="1"/>
    <xf numFmtId="0" fontId="0" fillId="0" borderId="16" xfId="0" applyBorder="1"/>
    <xf numFmtId="0" fontId="0" fillId="0" borderId="17" xfId="0" applyBorder="1"/>
    <xf numFmtId="0" fontId="2" fillId="3" borderId="18" xfId="0" applyFont="1" applyFill="1" applyBorder="1" applyAlignment="1">
      <alignment horizontal="center" wrapText="1"/>
    </xf>
    <xf numFmtId="0" fontId="2" fillId="3" borderId="3" xfId="0" applyFont="1" applyFill="1" applyBorder="1" applyAlignment="1">
      <alignment horizontal="center" wrapText="1"/>
    </xf>
    <xf numFmtId="0" fontId="3" fillId="0" borderId="12" xfId="0" applyFont="1" applyBorder="1" applyAlignment="1">
      <alignment horizontal="center" vertical="center" wrapText="1"/>
    </xf>
    <xf numFmtId="0" fontId="2" fillId="2" borderId="1" xfId="0" applyFont="1" applyFill="1" applyBorder="1" applyAlignment="1">
      <alignment horizontal="center" wrapText="1"/>
    </xf>
    <xf numFmtId="0" fontId="4" fillId="5" borderId="15" xfId="0" applyFont="1" applyFill="1" applyBorder="1" applyAlignment="1">
      <alignment horizontal="center" wrapText="1"/>
    </xf>
    <xf numFmtId="0" fontId="4" fillId="5" borderId="7" xfId="0" applyFont="1" applyFill="1" applyBorder="1" applyAlignment="1">
      <alignment horizontal="center" wrapText="1"/>
    </xf>
    <xf numFmtId="0" fontId="0" fillId="5" borderId="7" xfId="0" applyFill="1" applyBorder="1" applyAlignment="1">
      <alignment horizontal="center" wrapText="1"/>
    </xf>
    <xf numFmtId="0" fontId="0" fillId="0" borderId="7" xfId="0" applyBorder="1" applyAlignment="1">
      <alignment horizontal="center" wrapText="1"/>
    </xf>
    <xf numFmtId="0" fontId="5" fillId="5" borderId="7" xfId="0" applyFont="1" applyFill="1" applyBorder="1" applyAlignment="1">
      <alignment horizontal="center" wrapText="1"/>
    </xf>
    <xf numFmtId="0" fontId="5" fillId="0" borderId="7" xfId="0" applyFont="1" applyBorder="1" applyAlignment="1">
      <alignment horizontal="center" wrapText="1"/>
    </xf>
    <xf numFmtId="0" fontId="0" fillId="5" borderId="9" xfId="0" applyFill="1" applyBorder="1" applyAlignment="1">
      <alignment horizontal="center" wrapText="1"/>
    </xf>
    <xf numFmtId="0" fontId="3" fillId="0" borderId="13" xfId="0" applyFont="1" applyBorder="1" applyAlignment="1">
      <alignment horizontal="center" vertical="center" wrapText="1"/>
    </xf>
    <xf numFmtId="0" fontId="2" fillId="2" borderId="18" xfId="0" applyFont="1" applyFill="1" applyBorder="1" applyAlignment="1">
      <alignment horizontal="center" wrapText="1"/>
    </xf>
    <xf numFmtId="0" fontId="4" fillId="5" borderId="16" xfId="0" applyFont="1" applyFill="1" applyBorder="1" applyAlignment="1">
      <alignment horizontal="center" wrapText="1"/>
    </xf>
    <xf numFmtId="0" fontId="4" fillId="5" borderId="2" xfId="0" applyFont="1" applyFill="1" applyBorder="1" applyAlignment="1">
      <alignment horizontal="center" wrapText="1"/>
    </xf>
    <xf numFmtId="0" fontId="0" fillId="5" borderId="2" xfId="0" applyFill="1" applyBorder="1" applyAlignment="1">
      <alignment horizontal="center" wrapText="1"/>
    </xf>
    <xf numFmtId="0" fontId="0" fillId="0" borderId="2" xfId="0" applyBorder="1" applyAlignment="1">
      <alignment horizontal="center" wrapText="1"/>
    </xf>
    <xf numFmtId="0" fontId="0" fillId="5" borderId="10" xfId="0" applyFill="1" applyBorder="1" applyAlignment="1">
      <alignment horizontal="center" wrapText="1"/>
    </xf>
    <xf numFmtId="0" fontId="0" fillId="0" borderId="14" xfId="0" applyBorder="1" applyAlignment="1">
      <alignment horizontal="center" wrapText="1"/>
    </xf>
    <xf numFmtId="0" fontId="1" fillId="2" borderId="3" xfId="0" applyFont="1" applyFill="1" applyBorder="1" applyAlignment="1">
      <alignment horizontal="center" wrapText="1"/>
    </xf>
    <xf numFmtId="0" fontId="0" fillId="5" borderId="17" xfId="0" applyFill="1" applyBorder="1" applyAlignment="1">
      <alignment horizontal="center" wrapText="1"/>
    </xf>
    <xf numFmtId="0" fontId="0" fillId="5" borderId="8" xfId="0" applyFill="1" applyBorder="1" applyAlignment="1">
      <alignment horizontal="center" wrapText="1"/>
    </xf>
    <xf numFmtId="0" fontId="0" fillId="0" borderId="8" xfId="0" applyBorder="1" applyAlignment="1">
      <alignment horizontal="center" wrapText="1"/>
    </xf>
    <xf numFmtId="0" fontId="4" fillId="5" borderId="8" xfId="0" applyFont="1" applyFill="1" applyBorder="1" applyAlignment="1">
      <alignment horizontal="center" wrapText="1"/>
    </xf>
    <xf numFmtId="0" fontId="0" fillId="5" borderId="11" xfId="0" applyFill="1" applyBorder="1" applyAlignment="1">
      <alignment horizontal="center" wrapText="1"/>
    </xf>
    <xf numFmtId="0" fontId="0" fillId="0" borderId="5" xfId="0" applyFill="1" applyBorder="1" applyAlignment="1">
      <alignment wrapText="1"/>
    </xf>
    <xf numFmtId="0" fontId="0" fillId="0" borderId="6" xfId="0" applyFill="1" applyBorder="1" applyAlignment="1">
      <alignment wrapText="1"/>
    </xf>
    <xf numFmtId="0" fontId="4" fillId="0" borderId="19" xfId="0" applyFont="1" applyBorder="1" applyAlignment="1">
      <alignment vertical="top" wrapText="1"/>
    </xf>
    <xf numFmtId="49" fontId="0" fillId="0" borderId="0" xfId="0" applyNumberFormat="1"/>
    <xf numFmtId="0" fontId="0" fillId="6" borderId="7" xfId="0" applyFill="1" applyBorder="1"/>
    <xf numFmtId="0" fontId="0" fillId="6" borderId="2" xfId="0" applyFill="1" applyBorder="1"/>
    <xf numFmtId="0" fontId="4" fillId="6" borderId="2" xfId="0" applyFont="1" applyFill="1" applyBorder="1"/>
    <xf numFmtId="0" fontId="6" fillId="4" borderId="2" xfId="0" applyFont="1" applyFill="1" applyBorder="1"/>
    <xf numFmtId="0" fontId="0" fillId="0" borderId="8" xfId="0" applyFill="1" applyBorder="1"/>
    <xf numFmtId="0" fontId="6" fillId="4" borderId="10" xfId="0" applyFont="1" applyFill="1" applyBorder="1"/>
    <xf numFmtId="0" fontId="0" fillId="0" borderId="11" xfId="0" applyBorder="1"/>
    <xf numFmtId="0" fontId="1" fillId="2" borderId="12"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0" fillId="0" borderId="14" xfId="0" applyBorder="1"/>
    <xf numFmtId="0" fontId="0" fillId="6" borderId="16" xfId="0" applyFill="1" applyBorder="1"/>
    <xf numFmtId="0" fontId="0" fillId="0" borderId="8" xfId="0" quotePrefix="1" applyBorder="1"/>
    <xf numFmtId="0" fontId="7" fillId="2" borderId="1" xfId="0" applyFont="1" applyFill="1" applyBorder="1" applyAlignment="1">
      <alignment horizontal="center" vertical="center" wrapText="1"/>
    </xf>
    <xf numFmtId="0" fontId="7" fillId="2" borderId="18"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4" fillId="6" borderId="8" xfId="0" applyFont="1" applyFill="1" applyBorder="1" applyAlignment="1">
      <alignment horizontal="center" vertical="center" wrapText="1"/>
    </xf>
    <xf numFmtId="0" fontId="4" fillId="6" borderId="15" xfId="0" applyFont="1" applyFill="1" applyBorder="1" applyAlignment="1">
      <alignment horizontal="center" vertical="center" wrapText="1"/>
    </xf>
    <xf numFmtId="0" fontId="4" fillId="6" borderId="16" xfId="0" applyFont="1" applyFill="1" applyBorder="1" applyAlignment="1">
      <alignment horizontal="center" vertical="center" wrapText="1"/>
    </xf>
    <xf numFmtId="0" fontId="4" fillId="6" borderId="17" xfId="0" applyFont="1" applyFill="1" applyBorder="1" applyAlignment="1">
      <alignment horizontal="center" vertical="center" wrapText="1"/>
    </xf>
    <xf numFmtId="0" fontId="4" fillId="6" borderId="7"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4" fillId="6" borderId="9" xfId="0" applyFont="1" applyFill="1" applyBorder="1" applyAlignment="1">
      <alignment horizontal="center" vertical="center" wrapText="1"/>
    </xf>
    <xf numFmtId="0" fontId="4" fillId="6" borderId="10" xfId="0" applyFont="1" applyFill="1" applyBorder="1" applyAlignment="1">
      <alignment horizontal="center" vertical="center" wrapText="1"/>
    </xf>
    <xf numFmtId="0" fontId="4" fillId="6" borderId="1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3"/>
  <sheetViews>
    <sheetView tabSelected="1" workbookViewId="0">
      <selection activeCell="F5" sqref="F5"/>
    </sheetView>
  </sheetViews>
  <sheetFormatPr defaultColWidth="15.1796875" defaultRowHeight="14.5" x14ac:dyDescent="0.35"/>
  <cols>
    <col min="3" max="4" width="63.7265625" customWidth="1"/>
  </cols>
  <sheetData>
    <row r="1" spans="1:4" ht="15" thickBot="1" x14ac:dyDescent="0.4">
      <c r="A1" s="52" t="s">
        <v>536</v>
      </c>
      <c r="B1" s="53" t="s">
        <v>537</v>
      </c>
      <c r="C1" s="53" t="s">
        <v>538</v>
      </c>
      <c r="D1" s="54" t="s">
        <v>539</v>
      </c>
    </row>
    <row r="2" spans="1:4" ht="14" customHeight="1" x14ac:dyDescent="0.35">
      <c r="A2" s="56" t="s">
        <v>540</v>
      </c>
      <c r="B2" s="57" t="s">
        <v>1</v>
      </c>
      <c r="C2" s="57" t="s">
        <v>330</v>
      </c>
      <c r="D2" s="58" t="s">
        <v>330</v>
      </c>
    </row>
    <row r="3" spans="1:4" ht="14" customHeight="1" x14ac:dyDescent="0.35">
      <c r="A3" s="59" t="s">
        <v>540</v>
      </c>
      <c r="B3" s="60" t="s">
        <v>4</v>
      </c>
      <c r="C3" s="60" t="s">
        <v>332</v>
      </c>
      <c r="D3" s="55" t="s">
        <v>332</v>
      </c>
    </row>
    <row r="4" spans="1:4" ht="14" customHeight="1" x14ac:dyDescent="0.35">
      <c r="A4" s="59" t="s">
        <v>540</v>
      </c>
      <c r="B4" s="60" t="s">
        <v>7</v>
      </c>
      <c r="C4" s="60" t="s">
        <v>331</v>
      </c>
      <c r="D4" s="55" t="s">
        <v>331</v>
      </c>
    </row>
    <row r="5" spans="1:4" ht="14" customHeight="1" x14ac:dyDescent="0.35">
      <c r="A5" s="59" t="s">
        <v>540</v>
      </c>
      <c r="B5" s="60" t="s">
        <v>10</v>
      </c>
      <c r="C5" s="60" t="s">
        <v>333</v>
      </c>
      <c r="D5" s="55" t="s">
        <v>333</v>
      </c>
    </row>
    <row r="6" spans="1:4" ht="14" customHeight="1" x14ac:dyDescent="0.35">
      <c r="A6" s="59" t="s">
        <v>540</v>
      </c>
      <c r="B6" s="60" t="s">
        <v>13</v>
      </c>
      <c r="C6" s="60" t="s">
        <v>333</v>
      </c>
      <c r="D6" s="55" t="s">
        <v>333</v>
      </c>
    </row>
    <row r="7" spans="1:4" ht="14" customHeight="1" x14ac:dyDescent="0.35">
      <c r="A7" s="59" t="s">
        <v>540</v>
      </c>
      <c r="B7" s="60" t="s">
        <v>15</v>
      </c>
      <c r="C7" s="60" t="s">
        <v>333</v>
      </c>
      <c r="D7" s="55" t="s">
        <v>333</v>
      </c>
    </row>
    <row r="8" spans="1:4" ht="14" customHeight="1" x14ac:dyDescent="0.35">
      <c r="A8" s="59" t="s">
        <v>540</v>
      </c>
      <c r="B8" s="60" t="s">
        <v>17</v>
      </c>
      <c r="C8" s="60" t="s">
        <v>333</v>
      </c>
      <c r="D8" s="55" t="s">
        <v>333</v>
      </c>
    </row>
    <row r="9" spans="1:4" ht="14" customHeight="1" x14ac:dyDescent="0.35">
      <c r="A9" s="59" t="s">
        <v>540</v>
      </c>
      <c r="B9" s="60" t="s">
        <v>19</v>
      </c>
      <c r="C9" s="60" t="s">
        <v>333</v>
      </c>
      <c r="D9" s="55" t="s">
        <v>333</v>
      </c>
    </row>
    <row r="10" spans="1:4" ht="14" customHeight="1" x14ac:dyDescent="0.35">
      <c r="A10" s="59" t="s">
        <v>540</v>
      </c>
      <c r="B10" s="60" t="s">
        <v>21</v>
      </c>
      <c r="C10" s="60" t="s">
        <v>334</v>
      </c>
      <c r="D10" s="55" t="s">
        <v>334</v>
      </c>
    </row>
    <row r="11" spans="1:4" ht="14" customHeight="1" x14ac:dyDescent="0.35">
      <c r="A11" s="59" t="s">
        <v>540</v>
      </c>
      <c r="B11" s="60" t="s">
        <v>24</v>
      </c>
      <c r="C11" s="60" t="s">
        <v>335</v>
      </c>
      <c r="D11" s="55" t="s">
        <v>335</v>
      </c>
    </row>
    <row r="12" spans="1:4" ht="14" customHeight="1" x14ac:dyDescent="0.35">
      <c r="A12" s="59" t="s">
        <v>540</v>
      </c>
      <c r="B12" s="60" t="s">
        <v>27</v>
      </c>
      <c r="C12" s="60" t="s">
        <v>335</v>
      </c>
      <c r="D12" s="55" t="s">
        <v>335</v>
      </c>
    </row>
    <row r="13" spans="1:4" ht="14" customHeight="1" x14ac:dyDescent="0.35">
      <c r="A13" s="59" t="s">
        <v>540</v>
      </c>
      <c r="B13" s="60" t="s">
        <v>29</v>
      </c>
      <c r="C13" s="60" t="s">
        <v>335</v>
      </c>
      <c r="D13" s="55" t="s">
        <v>335</v>
      </c>
    </row>
    <row r="14" spans="1:4" ht="14" customHeight="1" x14ac:dyDescent="0.35">
      <c r="A14" s="59" t="s">
        <v>540</v>
      </c>
      <c r="B14" s="60" t="s">
        <v>31</v>
      </c>
      <c r="C14" s="60" t="s">
        <v>335</v>
      </c>
      <c r="D14" s="55" t="s">
        <v>335</v>
      </c>
    </row>
    <row r="15" spans="1:4" ht="14" customHeight="1" x14ac:dyDescent="0.35">
      <c r="A15" s="59" t="s">
        <v>540</v>
      </c>
      <c r="B15" s="60" t="s">
        <v>33</v>
      </c>
      <c r="C15" s="60" t="s">
        <v>336</v>
      </c>
      <c r="D15" s="55" t="s">
        <v>336</v>
      </c>
    </row>
    <row r="16" spans="1:4" ht="14" customHeight="1" x14ac:dyDescent="0.35">
      <c r="A16" s="59" t="s">
        <v>540</v>
      </c>
      <c r="B16" s="60" t="s">
        <v>35</v>
      </c>
      <c r="C16" s="60" t="s">
        <v>336</v>
      </c>
      <c r="D16" s="55" t="s">
        <v>336</v>
      </c>
    </row>
    <row r="17" spans="1:4" ht="14" customHeight="1" x14ac:dyDescent="0.35">
      <c r="A17" s="59" t="s">
        <v>540</v>
      </c>
      <c r="B17" s="60" t="s">
        <v>38</v>
      </c>
      <c r="C17" s="60" t="s">
        <v>336</v>
      </c>
      <c r="D17" s="55" t="s">
        <v>336</v>
      </c>
    </row>
    <row r="18" spans="1:4" ht="14" customHeight="1" x14ac:dyDescent="0.35">
      <c r="A18" s="59" t="s">
        <v>540</v>
      </c>
      <c r="B18" s="60" t="s">
        <v>41</v>
      </c>
      <c r="C18" s="60" t="s">
        <v>336</v>
      </c>
      <c r="D18" s="55" t="s">
        <v>336</v>
      </c>
    </row>
    <row r="19" spans="1:4" ht="14" customHeight="1" x14ac:dyDescent="0.35">
      <c r="A19" s="59" t="s">
        <v>540</v>
      </c>
      <c r="B19" s="60" t="s">
        <v>44</v>
      </c>
      <c r="C19" s="60" t="s">
        <v>336</v>
      </c>
      <c r="D19" s="55" t="s">
        <v>336</v>
      </c>
    </row>
    <row r="20" spans="1:4" ht="14" customHeight="1" x14ac:dyDescent="0.35">
      <c r="A20" s="59" t="s">
        <v>540</v>
      </c>
      <c r="B20" s="60" t="s">
        <v>47</v>
      </c>
      <c r="C20" s="60" t="s">
        <v>336</v>
      </c>
      <c r="D20" s="55" t="s">
        <v>336</v>
      </c>
    </row>
    <row r="21" spans="1:4" ht="14" customHeight="1" x14ac:dyDescent="0.35">
      <c r="A21" s="59" t="s">
        <v>540</v>
      </c>
      <c r="B21" s="60" t="s">
        <v>50</v>
      </c>
      <c r="C21" s="60" t="s">
        <v>336</v>
      </c>
      <c r="D21" s="55" t="s">
        <v>336</v>
      </c>
    </row>
    <row r="22" spans="1:4" ht="14" customHeight="1" x14ac:dyDescent="0.35">
      <c r="A22" s="59" t="s">
        <v>540</v>
      </c>
      <c r="B22" s="60" t="s">
        <v>53</v>
      </c>
      <c r="C22" s="60" t="s">
        <v>336</v>
      </c>
      <c r="D22" s="55" t="s">
        <v>336</v>
      </c>
    </row>
    <row r="23" spans="1:4" ht="14" customHeight="1" x14ac:dyDescent="0.35">
      <c r="A23" s="59" t="s">
        <v>540</v>
      </c>
      <c r="B23" s="60" t="s">
        <v>56</v>
      </c>
      <c r="C23" s="60" t="s">
        <v>336</v>
      </c>
      <c r="D23" s="55" t="s">
        <v>336</v>
      </c>
    </row>
    <row r="24" spans="1:4" ht="14" customHeight="1" x14ac:dyDescent="0.35">
      <c r="A24" s="59" t="s">
        <v>540</v>
      </c>
      <c r="B24" s="60" t="s">
        <v>59</v>
      </c>
      <c r="C24" s="60" t="s">
        <v>336</v>
      </c>
      <c r="D24" s="55" t="s">
        <v>336</v>
      </c>
    </row>
    <row r="25" spans="1:4" ht="14" customHeight="1" x14ac:dyDescent="0.35">
      <c r="A25" s="59" t="s">
        <v>540</v>
      </c>
      <c r="B25" s="60" t="s">
        <v>62</v>
      </c>
      <c r="C25" s="60" t="s">
        <v>336</v>
      </c>
      <c r="D25" s="55" t="s">
        <v>336</v>
      </c>
    </row>
    <row r="26" spans="1:4" ht="14" customHeight="1" x14ac:dyDescent="0.35">
      <c r="A26" s="59" t="s">
        <v>540</v>
      </c>
      <c r="B26" s="60" t="s">
        <v>65</v>
      </c>
      <c r="C26" s="60" t="s">
        <v>336</v>
      </c>
      <c r="D26" s="55" t="s">
        <v>336</v>
      </c>
    </row>
    <row r="27" spans="1:4" ht="14" customHeight="1" x14ac:dyDescent="0.35">
      <c r="A27" s="59" t="s">
        <v>540</v>
      </c>
      <c r="B27" s="60" t="s">
        <v>68</v>
      </c>
      <c r="C27" s="60" t="s">
        <v>336</v>
      </c>
      <c r="D27" s="55" t="s">
        <v>336</v>
      </c>
    </row>
    <row r="28" spans="1:4" ht="14" customHeight="1" x14ac:dyDescent="0.35">
      <c r="A28" s="59" t="s">
        <v>540</v>
      </c>
      <c r="B28" s="60" t="s">
        <v>71</v>
      </c>
      <c r="C28" s="60" t="s">
        <v>336</v>
      </c>
      <c r="D28" s="55" t="s">
        <v>336</v>
      </c>
    </row>
    <row r="29" spans="1:4" ht="14" customHeight="1" x14ac:dyDescent="0.35">
      <c r="A29" s="59" t="s">
        <v>540</v>
      </c>
      <c r="B29" s="60" t="s">
        <v>74</v>
      </c>
      <c r="C29" s="60" t="s">
        <v>336</v>
      </c>
      <c r="D29" s="55" t="s">
        <v>336</v>
      </c>
    </row>
    <row r="30" spans="1:4" ht="14" customHeight="1" x14ac:dyDescent="0.35">
      <c r="A30" s="59" t="s">
        <v>540</v>
      </c>
      <c r="B30" s="60" t="s">
        <v>77</v>
      </c>
      <c r="C30" s="60" t="s">
        <v>336</v>
      </c>
      <c r="D30" s="55" t="s">
        <v>336</v>
      </c>
    </row>
    <row r="31" spans="1:4" ht="14" customHeight="1" x14ac:dyDescent="0.35">
      <c r="A31" s="59" t="s">
        <v>540</v>
      </c>
      <c r="B31" s="60" t="s">
        <v>79</v>
      </c>
      <c r="C31" s="60" t="s">
        <v>336</v>
      </c>
      <c r="D31" s="55" t="s">
        <v>336</v>
      </c>
    </row>
    <row r="32" spans="1:4" ht="14" customHeight="1" x14ac:dyDescent="0.35">
      <c r="A32" s="59" t="s">
        <v>540</v>
      </c>
      <c r="B32" s="60" t="s">
        <v>82</v>
      </c>
      <c r="C32" s="60" t="s">
        <v>337</v>
      </c>
      <c r="D32" s="55" t="s">
        <v>337</v>
      </c>
    </row>
    <row r="33" spans="1:4" ht="14" customHeight="1" x14ac:dyDescent="0.35">
      <c r="A33" s="59" t="s">
        <v>540</v>
      </c>
      <c r="B33" s="60" t="s">
        <v>85</v>
      </c>
      <c r="C33" s="60" t="s">
        <v>337</v>
      </c>
      <c r="D33" s="55" t="s">
        <v>337</v>
      </c>
    </row>
    <row r="34" spans="1:4" ht="14" customHeight="1" x14ac:dyDescent="0.35">
      <c r="A34" s="59" t="s">
        <v>540</v>
      </c>
      <c r="B34" s="60" t="s">
        <v>87</v>
      </c>
      <c r="C34" s="60" t="s">
        <v>337</v>
      </c>
      <c r="D34" s="55" t="s">
        <v>337</v>
      </c>
    </row>
    <row r="35" spans="1:4" ht="14" customHeight="1" x14ac:dyDescent="0.35">
      <c r="A35" s="59" t="s">
        <v>540</v>
      </c>
      <c r="B35" s="60" t="s">
        <v>89</v>
      </c>
      <c r="C35" s="60" t="s">
        <v>337</v>
      </c>
      <c r="D35" s="55" t="s">
        <v>337</v>
      </c>
    </row>
    <row r="36" spans="1:4" ht="14" customHeight="1" x14ac:dyDescent="0.35">
      <c r="A36" s="59" t="s">
        <v>540</v>
      </c>
      <c r="B36" s="60" t="s">
        <v>91</v>
      </c>
      <c r="C36" s="60" t="s">
        <v>337</v>
      </c>
      <c r="D36" s="55" t="s">
        <v>337</v>
      </c>
    </row>
    <row r="37" spans="1:4" ht="14" customHeight="1" x14ac:dyDescent="0.35">
      <c r="A37" s="59" t="s">
        <v>540</v>
      </c>
      <c r="B37" s="60" t="s">
        <v>93</v>
      </c>
      <c r="C37" s="60" t="s">
        <v>337</v>
      </c>
      <c r="D37" s="55" t="s">
        <v>337</v>
      </c>
    </row>
    <row r="38" spans="1:4" ht="14" customHeight="1" x14ac:dyDescent="0.35">
      <c r="A38" s="59" t="s">
        <v>540</v>
      </c>
      <c r="B38" s="60" t="s">
        <v>95</v>
      </c>
      <c r="C38" s="60" t="s">
        <v>337</v>
      </c>
      <c r="D38" s="55" t="s">
        <v>337</v>
      </c>
    </row>
    <row r="39" spans="1:4" ht="14" customHeight="1" x14ac:dyDescent="0.35">
      <c r="A39" s="59" t="s">
        <v>540</v>
      </c>
      <c r="B39" s="60" t="s">
        <v>97</v>
      </c>
      <c r="C39" s="60" t="s">
        <v>337</v>
      </c>
      <c r="D39" s="55" t="s">
        <v>337</v>
      </c>
    </row>
    <row r="40" spans="1:4" ht="14" customHeight="1" x14ac:dyDescent="0.35">
      <c r="A40" s="59" t="s">
        <v>540</v>
      </c>
      <c r="B40" s="60" t="s">
        <v>99</v>
      </c>
      <c r="C40" s="60" t="s">
        <v>337</v>
      </c>
      <c r="D40" s="55" t="s">
        <v>337</v>
      </c>
    </row>
    <row r="41" spans="1:4" ht="14" customHeight="1" x14ac:dyDescent="0.35">
      <c r="A41" s="59" t="s">
        <v>540</v>
      </c>
      <c r="B41" s="60" t="s">
        <v>101</v>
      </c>
      <c r="C41" s="60" t="s">
        <v>337</v>
      </c>
      <c r="D41" s="55" t="s">
        <v>337</v>
      </c>
    </row>
    <row r="42" spans="1:4" ht="14" customHeight="1" x14ac:dyDescent="0.35">
      <c r="A42" s="59" t="s">
        <v>540</v>
      </c>
      <c r="B42" s="60" t="s">
        <v>103</v>
      </c>
      <c r="C42" s="60" t="s">
        <v>337</v>
      </c>
      <c r="D42" s="55" t="s">
        <v>337</v>
      </c>
    </row>
    <row r="43" spans="1:4" ht="14" customHeight="1" x14ac:dyDescent="0.35">
      <c r="A43" s="59" t="s">
        <v>540</v>
      </c>
      <c r="B43" s="60" t="s">
        <v>105</v>
      </c>
      <c r="C43" s="60" t="s">
        <v>337</v>
      </c>
      <c r="D43" s="55" t="s">
        <v>337</v>
      </c>
    </row>
    <row r="44" spans="1:4" ht="14" customHeight="1" x14ac:dyDescent="0.35">
      <c r="A44" s="59" t="s">
        <v>540</v>
      </c>
      <c r="B44" s="60" t="s">
        <v>107</v>
      </c>
      <c r="C44" s="60" t="s">
        <v>337</v>
      </c>
      <c r="D44" s="55" t="s">
        <v>337</v>
      </c>
    </row>
    <row r="45" spans="1:4" ht="14" customHeight="1" x14ac:dyDescent="0.35">
      <c r="A45" s="59" t="s">
        <v>540</v>
      </c>
      <c r="B45" s="60" t="s">
        <v>109</v>
      </c>
      <c r="C45" s="60" t="s">
        <v>338</v>
      </c>
      <c r="D45" s="55" t="s">
        <v>338</v>
      </c>
    </row>
    <row r="46" spans="1:4" ht="14" customHeight="1" x14ac:dyDescent="0.35">
      <c r="A46" s="59" t="s">
        <v>540</v>
      </c>
      <c r="B46" s="60" t="s">
        <v>112</v>
      </c>
      <c r="C46" s="60" t="s">
        <v>338</v>
      </c>
      <c r="D46" s="55" t="s">
        <v>338</v>
      </c>
    </row>
    <row r="47" spans="1:4" ht="14" customHeight="1" x14ac:dyDescent="0.35">
      <c r="A47" s="59" t="s">
        <v>540</v>
      </c>
      <c r="B47" s="60" t="s">
        <v>114</v>
      </c>
      <c r="C47" s="60" t="s">
        <v>338</v>
      </c>
      <c r="D47" s="55" t="s">
        <v>338</v>
      </c>
    </row>
    <row r="48" spans="1:4" ht="14" customHeight="1" x14ac:dyDescent="0.35">
      <c r="A48" s="59" t="s">
        <v>540</v>
      </c>
      <c r="B48" s="60" t="s">
        <v>116</v>
      </c>
      <c r="C48" s="60" t="s">
        <v>338</v>
      </c>
      <c r="D48" s="55" t="s">
        <v>338</v>
      </c>
    </row>
    <row r="49" spans="1:4" ht="14" customHeight="1" x14ac:dyDescent="0.35">
      <c r="A49" s="59" t="s">
        <v>540</v>
      </c>
      <c r="B49" s="60" t="s">
        <v>118</v>
      </c>
      <c r="C49" s="60" t="s">
        <v>338</v>
      </c>
      <c r="D49" s="55" t="s">
        <v>338</v>
      </c>
    </row>
    <row r="50" spans="1:4" ht="14" customHeight="1" x14ac:dyDescent="0.35">
      <c r="A50" s="59" t="s">
        <v>540</v>
      </c>
      <c r="B50" s="60" t="s">
        <v>120</v>
      </c>
      <c r="C50" s="60" t="s">
        <v>338</v>
      </c>
      <c r="D50" s="55" t="s">
        <v>338</v>
      </c>
    </row>
    <row r="51" spans="1:4" ht="14" customHeight="1" x14ac:dyDescent="0.35">
      <c r="A51" s="59" t="s">
        <v>540</v>
      </c>
      <c r="B51" s="60" t="s">
        <v>122</v>
      </c>
      <c r="C51" s="60" t="s">
        <v>338</v>
      </c>
      <c r="D51" s="55" t="s">
        <v>338</v>
      </c>
    </row>
    <row r="52" spans="1:4" ht="14" customHeight="1" x14ac:dyDescent="0.35">
      <c r="A52" s="59" t="s">
        <v>540</v>
      </c>
      <c r="B52" s="60" t="s">
        <v>124</v>
      </c>
      <c r="C52" s="60" t="s">
        <v>339</v>
      </c>
      <c r="D52" s="55" t="s">
        <v>339</v>
      </c>
    </row>
    <row r="53" spans="1:4" ht="14" customHeight="1" x14ac:dyDescent="0.35">
      <c r="A53" s="59" t="s">
        <v>540</v>
      </c>
      <c r="B53" s="60" t="s">
        <v>127</v>
      </c>
      <c r="C53" s="60" t="s">
        <v>339</v>
      </c>
      <c r="D53" s="55" t="s">
        <v>339</v>
      </c>
    </row>
    <row r="54" spans="1:4" ht="14" customHeight="1" x14ac:dyDescent="0.35">
      <c r="A54" s="59" t="s">
        <v>540</v>
      </c>
      <c r="B54" s="60" t="s">
        <v>129</v>
      </c>
      <c r="C54" s="60" t="s">
        <v>339</v>
      </c>
      <c r="D54" s="55" t="s">
        <v>339</v>
      </c>
    </row>
    <row r="55" spans="1:4" ht="14" customHeight="1" x14ac:dyDescent="0.35">
      <c r="A55" s="59" t="s">
        <v>540</v>
      </c>
      <c r="B55" s="60" t="s">
        <v>131</v>
      </c>
      <c r="C55" s="60" t="s">
        <v>340</v>
      </c>
      <c r="D55" s="55" t="s">
        <v>340</v>
      </c>
    </row>
    <row r="56" spans="1:4" ht="14" customHeight="1" x14ac:dyDescent="0.35">
      <c r="A56" s="59" t="s">
        <v>540</v>
      </c>
      <c r="B56" s="60" t="s">
        <v>134</v>
      </c>
      <c r="C56" s="60" t="s">
        <v>341</v>
      </c>
      <c r="D56" s="55" t="s">
        <v>341</v>
      </c>
    </row>
    <row r="57" spans="1:4" ht="14" customHeight="1" x14ac:dyDescent="0.35">
      <c r="A57" s="59" t="s">
        <v>540</v>
      </c>
      <c r="B57" s="60" t="s">
        <v>136</v>
      </c>
      <c r="C57" s="60" t="s">
        <v>341</v>
      </c>
      <c r="D57" s="55" t="s">
        <v>341</v>
      </c>
    </row>
    <row r="58" spans="1:4" ht="14" customHeight="1" x14ac:dyDescent="0.35">
      <c r="A58" s="59" t="s">
        <v>540</v>
      </c>
      <c r="B58" s="60" t="s">
        <v>138</v>
      </c>
      <c r="C58" s="60" t="s">
        <v>341</v>
      </c>
      <c r="D58" s="55" t="s">
        <v>341</v>
      </c>
    </row>
    <row r="59" spans="1:4" ht="14" customHeight="1" x14ac:dyDescent="0.35">
      <c r="A59" s="59" t="s">
        <v>540</v>
      </c>
      <c r="B59" s="60" t="s">
        <v>141</v>
      </c>
      <c r="C59" s="60" t="s">
        <v>341</v>
      </c>
      <c r="D59" s="55" t="s">
        <v>341</v>
      </c>
    </row>
    <row r="60" spans="1:4" ht="14" customHeight="1" x14ac:dyDescent="0.35">
      <c r="A60" s="59" t="s">
        <v>540</v>
      </c>
      <c r="B60" s="60" t="s">
        <v>144</v>
      </c>
      <c r="C60" s="60" t="s">
        <v>341</v>
      </c>
      <c r="D60" s="55" t="s">
        <v>341</v>
      </c>
    </row>
    <row r="61" spans="1:4" ht="14" customHeight="1" x14ac:dyDescent="0.35">
      <c r="A61" s="59" t="s">
        <v>540</v>
      </c>
      <c r="B61" s="60" t="s">
        <v>147</v>
      </c>
      <c r="C61" s="60" t="s">
        <v>341</v>
      </c>
      <c r="D61" s="55" t="s">
        <v>341</v>
      </c>
    </row>
    <row r="62" spans="1:4" ht="14" customHeight="1" x14ac:dyDescent="0.35">
      <c r="A62" s="59" t="s">
        <v>540</v>
      </c>
      <c r="B62" s="60" t="s">
        <v>150</v>
      </c>
      <c r="C62" s="60" t="s">
        <v>342</v>
      </c>
      <c r="D62" s="55" t="s">
        <v>342</v>
      </c>
    </row>
    <row r="63" spans="1:4" ht="14" customHeight="1" x14ac:dyDescent="0.35">
      <c r="A63" s="59" t="s">
        <v>540</v>
      </c>
      <c r="B63" s="60" t="s">
        <v>152</v>
      </c>
      <c r="C63" s="60" t="s">
        <v>342</v>
      </c>
      <c r="D63" s="55" t="s">
        <v>342</v>
      </c>
    </row>
    <row r="64" spans="1:4" ht="14" customHeight="1" x14ac:dyDescent="0.35">
      <c r="A64" s="59" t="s">
        <v>540</v>
      </c>
      <c r="B64" s="60" t="s">
        <v>154</v>
      </c>
      <c r="C64" s="60" t="s">
        <v>342</v>
      </c>
      <c r="D64" s="55" t="s">
        <v>342</v>
      </c>
    </row>
    <row r="65" spans="1:4" ht="14" customHeight="1" x14ac:dyDescent="0.35">
      <c r="A65" s="59" t="s">
        <v>540</v>
      </c>
      <c r="B65" s="60" t="s">
        <v>156</v>
      </c>
      <c r="C65" s="60" t="s">
        <v>342</v>
      </c>
      <c r="D65" s="55" t="s">
        <v>342</v>
      </c>
    </row>
    <row r="66" spans="1:4" ht="14" customHeight="1" x14ac:dyDescent="0.35">
      <c r="A66" s="59" t="s">
        <v>540</v>
      </c>
      <c r="B66" s="60" t="s">
        <v>158</v>
      </c>
      <c r="C66" s="60" t="s">
        <v>342</v>
      </c>
      <c r="D66" s="55" t="s">
        <v>342</v>
      </c>
    </row>
    <row r="67" spans="1:4" ht="14" customHeight="1" x14ac:dyDescent="0.35">
      <c r="A67" s="59" t="s">
        <v>540</v>
      </c>
      <c r="B67" s="60" t="s">
        <v>160</v>
      </c>
      <c r="C67" s="60" t="s">
        <v>342</v>
      </c>
      <c r="D67" s="55" t="s">
        <v>342</v>
      </c>
    </row>
    <row r="68" spans="1:4" ht="14" customHeight="1" x14ac:dyDescent="0.35">
      <c r="A68" s="59" t="s">
        <v>540</v>
      </c>
      <c r="B68" s="60" t="s">
        <v>162</v>
      </c>
      <c r="C68" s="60" t="s">
        <v>342</v>
      </c>
      <c r="D68" s="55" t="s">
        <v>342</v>
      </c>
    </row>
    <row r="69" spans="1:4" ht="14" customHeight="1" x14ac:dyDescent="0.35">
      <c r="A69" s="59" t="s">
        <v>540</v>
      </c>
      <c r="B69" s="60" t="s">
        <v>164</v>
      </c>
      <c r="C69" s="60" t="s">
        <v>343</v>
      </c>
      <c r="D69" s="55" t="s">
        <v>343</v>
      </c>
    </row>
    <row r="70" spans="1:4" ht="14" customHeight="1" x14ac:dyDescent="0.35">
      <c r="A70" s="59" t="s">
        <v>540</v>
      </c>
      <c r="B70" s="60" t="s">
        <v>166</v>
      </c>
      <c r="C70" s="60" t="s">
        <v>343</v>
      </c>
      <c r="D70" s="55" t="s">
        <v>343</v>
      </c>
    </row>
    <row r="71" spans="1:4" ht="14" customHeight="1" x14ac:dyDescent="0.35">
      <c r="A71" s="59" t="s">
        <v>540</v>
      </c>
      <c r="B71" s="60" t="s">
        <v>168</v>
      </c>
      <c r="C71" s="60" t="s">
        <v>343</v>
      </c>
      <c r="D71" s="55" t="s">
        <v>343</v>
      </c>
    </row>
    <row r="72" spans="1:4" ht="14" customHeight="1" x14ac:dyDescent="0.35">
      <c r="A72" s="59" t="s">
        <v>540</v>
      </c>
      <c r="B72" s="60" t="s">
        <v>170</v>
      </c>
      <c r="C72" s="60" t="s">
        <v>343</v>
      </c>
      <c r="D72" s="55" t="s">
        <v>343</v>
      </c>
    </row>
    <row r="73" spans="1:4" ht="14" customHeight="1" x14ac:dyDescent="0.35">
      <c r="A73" s="59" t="s">
        <v>540</v>
      </c>
      <c r="B73" s="60" t="s">
        <v>172</v>
      </c>
      <c r="C73" s="60" t="s">
        <v>343</v>
      </c>
      <c r="D73" s="55" t="s">
        <v>343</v>
      </c>
    </row>
    <row r="74" spans="1:4" ht="14" customHeight="1" x14ac:dyDescent="0.35">
      <c r="A74" s="59" t="s">
        <v>540</v>
      </c>
      <c r="B74" s="60" t="s">
        <v>174</v>
      </c>
      <c r="C74" s="60" t="s">
        <v>343</v>
      </c>
      <c r="D74" s="55" t="s">
        <v>343</v>
      </c>
    </row>
    <row r="75" spans="1:4" ht="14" customHeight="1" x14ac:dyDescent="0.35">
      <c r="A75" s="59" t="s">
        <v>540</v>
      </c>
      <c r="B75" s="60" t="s">
        <v>176</v>
      </c>
      <c r="C75" s="60" t="s">
        <v>343</v>
      </c>
      <c r="D75" s="55" t="s">
        <v>343</v>
      </c>
    </row>
    <row r="76" spans="1:4" ht="14" customHeight="1" x14ac:dyDescent="0.35">
      <c r="A76" s="59" t="s">
        <v>540</v>
      </c>
      <c r="B76" s="60" t="s">
        <v>178</v>
      </c>
      <c r="C76" s="60" t="s">
        <v>343</v>
      </c>
      <c r="D76" s="55" t="s">
        <v>343</v>
      </c>
    </row>
    <row r="77" spans="1:4" ht="14" customHeight="1" x14ac:dyDescent="0.35">
      <c r="A77" s="59" t="s">
        <v>540</v>
      </c>
      <c r="B77" s="60" t="s">
        <v>180</v>
      </c>
      <c r="C77" s="60" t="s">
        <v>343</v>
      </c>
      <c r="D77" s="55" t="s">
        <v>343</v>
      </c>
    </row>
    <row r="78" spans="1:4" ht="14" customHeight="1" x14ac:dyDescent="0.35">
      <c r="A78" s="59" t="s">
        <v>540</v>
      </c>
      <c r="B78" s="60" t="s">
        <v>182</v>
      </c>
      <c r="C78" s="60" t="s">
        <v>343</v>
      </c>
      <c r="D78" s="55" t="s">
        <v>343</v>
      </c>
    </row>
    <row r="79" spans="1:4" ht="14" customHeight="1" x14ac:dyDescent="0.35">
      <c r="A79" s="59" t="s">
        <v>540</v>
      </c>
      <c r="B79" s="60" t="s">
        <v>184</v>
      </c>
      <c r="C79" s="60" t="s">
        <v>344</v>
      </c>
      <c r="D79" s="55" t="s">
        <v>344</v>
      </c>
    </row>
    <row r="80" spans="1:4" ht="14" customHeight="1" x14ac:dyDescent="0.35">
      <c r="A80" s="59" t="s">
        <v>540</v>
      </c>
      <c r="B80" s="60" t="s">
        <v>187</v>
      </c>
      <c r="C80" s="60" t="s">
        <v>534</v>
      </c>
      <c r="D80" s="55" t="s">
        <v>534</v>
      </c>
    </row>
    <row r="81" spans="1:4" ht="14" customHeight="1" x14ac:dyDescent="0.35">
      <c r="A81" s="59" t="s">
        <v>540</v>
      </c>
      <c r="B81" s="60" t="s">
        <v>190</v>
      </c>
      <c r="C81" s="60" t="s">
        <v>534</v>
      </c>
      <c r="D81" s="55" t="s">
        <v>534</v>
      </c>
    </row>
    <row r="82" spans="1:4" ht="14" customHeight="1" x14ac:dyDescent="0.35">
      <c r="A82" s="59" t="s">
        <v>540</v>
      </c>
      <c r="B82" s="60" t="s">
        <v>192</v>
      </c>
      <c r="C82" s="60" t="s">
        <v>534</v>
      </c>
      <c r="D82" s="55" t="s">
        <v>534</v>
      </c>
    </row>
    <row r="83" spans="1:4" ht="14" customHeight="1" x14ac:dyDescent="0.35">
      <c r="A83" s="59" t="s">
        <v>540</v>
      </c>
      <c r="B83" s="60" t="s">
        <v>194</v>
      </c>
      <c r="C83" s="60" t="s">
        <v>534</v>
      </c>
      <c r="D83" s="55" t="s">
        <v>534</v>
      </c>
    </row>
    <row r="84" spans="1:4" ht="14" customHeight="1" x14ac:dyDescent="0.35">
      <c r="A84" s="59" t="s">
        <v>540</v>
      </c>
      <c r="B84" s="60" t="s">
        <v>196</v>
      </c>
      <c r="C84" s="60" t="s">
        <v>534</v>
      </c>
      <c r="D84" s="55" t="s">
        <v>534</v>
      </c>
    </row>
    <row r="85" spans="1:4" ht="14" customHeight="1" x14ac:dyDescent="0.35">
      <c r="A85" s="59" t="s">
        <v>540</v>
      </c>
      <c r="B85" s="60" t="s">
        <v>198</v>
      </c>
      <c r="C85" s="60" t="s">
        <v>534</v>
      </c>
      <c r="D85" s="55" t="s">
        <v>534</v>
      </c>
    </row>
    <row r="86" spans="1:4" ht="14" customHeight="1" x14ac:dyDescent="0.35">
      <c r="A86" s="59" t="s">
        <v>540</v>
      </c>
      <c r="B86" s="60" t="s">
        <v>200</v>
      </c>
      <c r="C86" s="60" t="s">
        <v>534</v>
      </c>
      <c r="D86" s="55" t="s">
        <v>534</v>
      </c>
    </row>
    <row r="87" spans="1:4" ht="14" customHeight="1" x14ac:dyDescent="0.35">
      <c r="A87" s="59" t="s">
        <v>540</v>
      </c>
      <c r="B87" s="60" t="s">
        <v>202</v>
      </c>
      <c r="C87" s="60" t="s">
        <v>534</v>
      </c>
      <c r="D87" s="55" t="s">
        <v>534</v>
      </c>
    </row>
    <row r="88" spans="1:4" ht="14" customHeight="1" x14ac:dyDescent="0.35">
      <c r="A88" s="59" t="s">
        <v>540</v>
      </c>
      <c r="B88" s="60" t="s">
        <v>204</v>
      </c>
      <c r="C88" s="60" t="s">
        <v>345</v>
      </c>
      <c r="D88" s="55" t="s">
        <v>345</v>
      </c>
    </row>
    <row r="89" spans="1:4" ht="14" customHeight="1" x14ac:dyDescent="0.35">
      <c r="A89" s="59" t="s">
        <v>540</v>
      </c>
      <c r="B89" s="60" t="s">
        <v>207</v>
      </c>
      <c r="C89" s="60" t="s">
        <v>534</v>
      </c>
      <c r="D89" s="55" t="s">
        <v>534</v>
      </c>
    </row>
    <row r="90" spans="1:4" ht="14" customHeight="1" x14ac:dyDescent="0.35">
      <c r="A90" s="59" t="s">
        <v>540</v>
      </c>
      <c r="B90" s="60" t="s">
        <v>209</v>
      </c>
      <c r="C90" s="60" t="s">
        <v>330</v>
      </c>
      <c r="D90" s="55" t="s">
        <v>330</v>
      </c>
    </row>
    <row r="91" spans="1:4" ht="14" customHeight="1" x14ac:dyDescent="0.35">
      <c r="A91" s="59" t="s">
        <v>540</v>
      </c>
      <c r="B91" s="60" t="s">
        <v>212</v>
      </c>
      <c r="C91" s="60" t="s">
        <v>332</v>
      </c>
      <c r="D91" s="55" t="s">
        <v>332</v>
      </c>
    </row>
    <row r="92" spans="1:4" ht="14" customHeight="1" x14ac:dyDescent="0.35">
      <c r="A92" s="59" t="s">
        <v>540</v>
      </c>
      <c r="B92" s="60" t="s">
        <v>214</v>
      </c>
      <c r="C92" s="60" t="s">
        <v>331</v>
      </c>
      <c r="D92" s="55" t="s">
        <v>331</v>
      </c>
    </row>
    <row r="93" spans="1:4" ht="14" customHeight="1" x14ac:dyDescent="0.35">
      <c r="A93" s="59" t="s">
        <v>540</v>
      </c>
      <c r="B93" s="60" t="s">
        <v>217</v>
      </c>
      <c r="C93" s="60" t="s">
        <v>333</v>
      </c>
      <c r="D93" s="55" t="s">
        <v>333</v>
      </c>
    </row>
    <row r="94" spans="1:4" ht="14" customHeight="1" x14ac:dyDescent="0.35">
      <c r="A94" s="59" t="s">
        <v>540</v>
      </c>
      <c r="B94" s="60" t="s">
        <v>219</v>
      </c>
      <c r="C94" s="60" t="s">
        <v>333</v>
      </c>
      <c r="D94" s="55" t="s">
        <v>333</v>
      </c>
    </row>
    <row r="95" spans="1:4" ht="14" customHeight="1" x14ac:dyDescent="0.35">
      <c r="A95" s="59" t="s">
        <v>540</v>
      </c>
      <c r="B95" s="60" t="s">
        <v>221</v>
      </c>
      <c r="C95" s="60" t="s">
        <v>333</v>
      </c>
      <c r="D95" s="55" t="s">
        <v>333</v>
      </c>
    </row>
    <row r="96" spans="1:4" ht="14" customHeight="1" x14ac:dyDescent="0.35">
      <c r="A96" s="59" t="s">
        <v>540</v>
      </c>
      <c r="B96" s="60" t="s">
        <v>223</v>
      </c>
      <c r="C96" s="60" t="s">
        <v>333</v>
      </c>
      <c r="D96" s="55" t="s">
        <v>333</v>
      </c>
    </row>
    <row r="97" spans="1:4" ht="14" customHeight="1" x14ac:dyDescent="0.35">
      <c r="A97" s="59" t="s">
        <v>540</v>
      </c>
      <c r="B97" s="60" t="s">
        <v>225</v>
      </c>
      <c r="C97" s="60" t="s">
        <v>334</v>
      </c>
      <c r="D97" s="55" t="s">
        <v>334</v>
      </c>
    </row>
    <row r="98" spans="1:4" ht="14" customHeight="1" x14ac:dyDescent="0.35">
      <c r="A98" s="59" t="s">
        <v>540</v>
      </c>
      <c r="B98" s="60" t="s">
        <v>227</v>
      </c>
      <c r="C98" s="60" t="s">
        <v>334</v>
      </c>
      <c r="D98" s="55" t="s">
        <v>334</v>
      </c>
    </row>
    <row r="99" spans="1:4" ht="14" customHeight="1" x14ac:dyDescent="0.35">
      <c r="A99" s="59" t="s">
        <v>540</v>
      </c>
      <c r="B99" s="60" t="s">
        <v>229</v>
      </c>
      <c r="C99" s="60" t="s">
        <v>334</v>
      </c>
      <c r="D99" s="55" t="s">
        <v>334</v>
      </c>
    </row>
    <row r="100" spans="1:4" ht="14" customHeight="1" x14ac:dyDescent="0.35">
      <c r="A100" s="59" t="s">
        <v>540</v>
      </c>
      <c r="B100" s="60" t="s">
        <v>231</v>
      </c>
      <c r="C100" s="60" t="s">
        <v>335</v>
      </c>
      <c r="D100" s="55" t="s">
        <v>335</v>
      </c>
    </row>
    <row r="101" spans="1:4" ht="14" customHeight="1" x14ac:dyDescent="0.35">
      <c r="A101" s="59" t="s">
        <v>540</v>
      </c>
      <c r="B101" s="60" t="s">
        <v>234</v>
      </c>
      <c r="C101" s="60" t="s">
        <v>336</v>
      </c>
      <c r="D101" s="55" t="s">
        <v>336</v>
      </c>
    </row>
    <row r="102" spans="1:4" ht="14" customHeight="1" x14ac:dyDescent="0.35">
      <c r="A102" s="59" t="s">
        <v>540</v>
      </c>
      <c r="B102" s="60" t="s">
        <v>236</v>
      </c>
      <c r="C102" s="60" t="s">
        <v>336</v>
      </c>
      <c r="D102" s="55" t="s">
        <v>336</v>
      </c>
    </row>
    <row r="103" spans="1:4" ht="14" customHeight="1" x14ac:dyDescent="0.35">
      <c r="A103" s="59" t="s">
        <v>540</v>
      </c>
      <c r="B103" s="60" t="s">
        <v>238</v>
      </c>
      <c r="C103" s="60" t="s">
        <v>336</v>
      </c>
      <c r="D103" s="55" t="s">
        <v>336</v>
      </c>
    </row>
    <row r="104" spans="1:4" ht="14" customHeight="1" x14ac:dyDescent="0.35">
      <c r="A104" s="59" t="s">
        <v>540</v>
      </c>
      <c r="B104" s="60" t="s">
        <v>240</v>
      </c>
      <c r="C104" s="60" t="s">
        <v>336</v>
      </c>
      <c r="D104" s="55" t="s">
        <v>336</v>
      </c>
    </row>
    <row r="105" spans="1:4" ht="14" customHeight="1" x14ac:dyDescent="0.35">
      <c r="A105" s="59" t="s">
        <v>540</v>
      </c>
      <c r="B105" s="60" t="s">
        <v>242</v>
      </c>
      <c r="C105" s="60" t="s">
        <v>336</v>
      </c>
      <c r="D105" s="55" t="s">
        <v>336</v>
      </c>
    </row>
    <row r="106" spans="1:4" ht="14" customHeight="1" x14ac:dyDescent="0.35">
      <c r="A106" s="59" t="s">
        <v>540</v>
      </c>
      <c r="B106" s="60" t="s">
        <v>244</v>
      </c>
      <c r="C106" s="60" t="s">
        <v>336</v>
      </c>
      <c r="D106" s="55" t="s">
        <v>336</v>
      </c>
    </row>
    <row r="107" spans="1:4" ht="14" customHeight="1" x14ac:dyDescent="0.35">
      <c r="A107" s="59" t="s">
        <v>540</v>
      </c>
      <c r="B107" s="60" t="s">
        <v>246</v>
      </c>
      <c r="C107" s="60" t="s">
        <v>337</v>
      </c>
      <c r="D107" s="55" t="s">
        <v>337</v>
      </c>
    </row>
    <row r="108" spans="1:4" ht="14" customHeight="1" x14ac:dyDescent="0.35">
      <c r="A108" s="59" t="s">
        <v>540</v>
      </c>
      <c r="B108" s="60" t="s">
        <v>249</v>
      </c>
      <c r="C108" s="60" t="s">
        <v>338</v>
      </c>
      <c r="D108" s="55" t="s">
        <v>338</v>
      </c>
    </row>
    <row r="109" spans="1:4" ht="14" customHeight="1" x14ac:dyDescent="0.35">
      <c r="A109" s="59" t="s">
        <v>540</v>
      </c>
      <c r="B109" s="60" t="s">
        <v>252</v>
      </c>
      <c r="C109" s="60" t="s">
        <v>339</v>
      </c>
      <c r="D109" s="55" t="s">
        <v>339</v>
      </c>
    </row>
    <row r="110" spans="1:4" ht="14" customHeight="1" x14ac:dyDescent="0.35">
      <c r="A110" s="59" t="s">
        <v>540</v>
      </c>
      <c r="B110" s="60" t="s">
        <v>255</v>
      </c>
      <c r="C110" s="60" t="s">
        <v>340</v>
      </c>
      <c r="D110" s="55" t="s">
        <v>340</v>
      </c>
    </row>
    <row r="111" spans="1:4" ht="14" customHeight="1" x14ac:dyDescent="0.35">
      <c r="A111" s="59" t="s">
        <v>540</v>
      </c>
      <c r="B111" s="60" t="s">
        <v>258</v>
      </c>
      <c r="C111" s="60" t="s">
        <v>341</v>
      </c>
      <c r="D111" s="55" t="s">
        <v>341</v>
      </c>
    </row>
    <row r="112" spans="1:4" ht="14" customHeight="1" x14ac:dyDescent="0.35">
      <c r="A112" s="59" t="s">
        <v>540</v>
      </c>
      <c r="B112" s="60" t="s">
        <v>260</v>
      </c>
      <c r="C112" s="60" t="s">
        <v>341</v>
      </c>
      <c r="D112" s="55" t="s">
        <v>341</v>
      </c>
    </row>
    <row r="113" spans="1:4" ht="14" customHeight="1" x14ac:dyDescent="0.35">
      <c r="A113" s="59" t="s">
        <v>540</v>
      </c>
      <c r="B113" s="60" t="s">
        <v>262</v>
      </c>
      <c r="C113" s="60" t="s">
        <v>342</v>
      </c>
      <c r="D113" s="55" t="s">
        <v>342</v>
      </c>
    </row>
    <row r="114" spans="1:4" ht="14" customHeight="1" x14ac:dyDescent="0.35">
      <c r="A114" s="59" t="s">
        <v>540</v>
      </c>
      <c r="B114" s="60" t="s">
        <v>264</v>
      </c>
      <c r="C114" s="60" t="s">
        <v>343</v>
      </c>
      <c r="D114" s="55" t="s">
        <v>343</v>
      </c>
    </row>
    <row r="115" spans="1:4" ht="14" customHeight="1" x14ac:dyDescent="0.35">
      <c r="A115" s="59" t="s">
        <v>540</v>
      </c>
      <c r="B115" s="60" t="s">
        <v>266</v>
      </c>
      <c r="C115" s="60" t="s">
        <v>344</v>
      </c>
      <c r="D115" s="55" t="s">
        <v>344</v>
      </c>
    </row>
    <row r="116" spans="1:4" ht="14" customHeight="1" x14ac:dyDescent="0.35">
      <c r="A116" s="59" t="s">
        <v>540</v>
      </c>
      <c r="B116" s="60" t="s">
        <v>268</v>
      </c>
      <c r="C116" s="60" t="s">
        <v>534</v>
      </c>
      <c r="D116" s="55" t="s">
        <v>534</v>
      </c>
    </row>
    <row r="117" spans="1:4" ht="14" customHeight="1" x14ac:dyDescent="0.35">
      <c r="A117" s="59" t="s">
        <v>540</v>
      </c>
      <c r="B117" s="60" t="s">
        <v>271</v>
      </c>
      <c r="C117" s="60" t="s">
        <v>534</v>
      </c>
      <c r="D117" s="55" t="s">
        <v>534</v>
      </c>
    </row>
    <row r="118" spans="1:4" ht="14" customHeight="1" x14ac:dyDescent="0.35">
      <c r="A118" s="59" t="s">
        <v>540</v>
      </c>
      <c r="B118" s="60" t="s">
        <v>273</v>
      </c>
      <c r="C118" s="60" t="s">
        <v>534</v>
      </c>
      <c r="D118" s="55" t="s">
        <v>534</v>
      </c>
    </row>
    <row r="119" spans="1:4" ht="14" customHeight="1" x14ac:dyDescent="0.35">
      <c r="A119" s="59" t="s">
        <v>540</v>
      </c>
      <c r="B119" s="60" t="s">
        <v>275</v>
      </c>
      <c r="C119" s="60" t="s">
        <v>345</v>
      </c>
      <c r="D119" s="55" t="s">
        <v>345</v>
      </c>
    </row>
    <row r="120" spans="1:4" ht="14" customHeight="1" x14ac:dyDescent="0.35">
      <c r="A120" s="59" t="s">
        <v>540</v>
      </c>
      <c r="B120" s="60" t="s">
        <v>278</v>
      </c>
      <c r="C120" s="60" t="s">
        <v>534</v>
      </c>
      <c r="D120" s="55" t="s">
        <v>534</v>
      </c>
    </row>
    <row r="121" spans="1:4" ht="14" customHeight="1" x14ac:dyDescent="0.35">
      <c r="A121" s="59" t="s">
        <v>540</v>
      </c>
      <c r="B121" s="60" t="s">
        <v>280</v>
      </c>
      <c r="C121" s="60" t="s">
        <v>534</v>
      </c>
      <c r="D121" s="55" t="s">
        <v>534</v>
      </c>
    </row>
    <row r="122" spans="1:4" ht="14" customHeight="1" x14ac:dyDescent="0.35">
      <c r="A122" s="59" t="s">
        <v>540</v>
      </c>
      <c r="B122" s="60" t="s">
        <v>282</v>
      </c>
      <c r="C122" s="60" t="s">
        <v>534</v>
      </c>
      <c r="D122" s="55" t="s">
        <v>534</v>
      </c>
    </row>
    <row r="123" spans="1:4" ht="14" customHeight="1" x14ac:dyDescent="0.35">
      <c r="A123" s="59" t="s">
        <v>540</v>
      </c>
      <c r="B123" s="60" t="s">
        <v>284</v>
      </c>
      <c r="C123" s="60" t="s">
        <v>331</v>
      </c>
      <c r="D123" s="55" t="s">
        <v>331</v>
      </c>
    </row>
    <row r="124" spans="1:4" ht="14" customHeight="1" x14ac:dyDescent="0.35">
      <c r="A124" s="59" t="s">
        <v>540</v>
      </c>
      <c r="B124" s="60" t="s">
        <v>286</v>
      </c>
      <c r="C124" s="60" t="s">
        <v>332</v>
      </c>
      <c r="D124" s="55" t="s">
        <v>332</v>
      </c>
    </row>
    <row r="125" spans="1:4" ht="14" customHeight="1" x14ac:dyDescent="0.35">
      <c r="A125" s="59" t="s">
        <v>540</v>
      </c>
      <c r="B125" s="60" t="s">
        <v>288</v>
      </c>
      <c r="C125" s="60" t="s">
        <v>534</v>
      </c>
      <c r="D125" s="55" t="s">
        <v>534</v>
      </c>
    </row>
    <row r="126" spans="1:4" ht="14" customHeight="1" x14ac:dyDescent="0.35">
      <c r="A126" s="59" t="s">
        <v>540</v>
      </c>
      <c r="B126" s="60" t="s">
        <v>290</v>
      </c>
      <c r="C126" s="60" t="s">
        <v>330</v>
      </c>
      <c r="D126" s="55" t="s">
        <v>330</v>
      </c>
    </row>
    <row r="127" spans="1:4" ht="14" customHeight="1" x14ac:dyDescent="0.35">
      <c r="A127" s="59" t="s">
        <v>540</v>
      </c>
      <c r="B127" s="60" t="s">
        <v>292</v>
      </c>
      <c r="C127" s="60" t="s">
        <v>332</v>
      </c>
      <c r="D127" s="55" t="s">
        <v>332</v>
      </c>
    </row>
    <row r="128" spans="1:4" ht="14" customHeight="1" x14ac:dyDescent="0.35">
      <c r="A128" s="59" t="s">
        <v>540</v>
      </c>
      <c r="B128" s="60" t="s">
        <v>294</v>
      </c>
      <c r="C128" s="60" t="s">
        <v>336</v>
      </c>
      <c r="D128" s="55" t="s">
        <v>336</v>
      </c>
    </row>
    <row r="129" spans="1:4" ht="14" customHeight="1" x14ac:dyDescent="0.35">
      <c r="A129" s="59" t="s">
        <v>540</v>
      </c>
      <c r="B129" s="60" t="s">
        <v>296</v>
      </c>
      <c r="C129" s="60" t="s">
        <v>335</v>
      </c>
      <c r="D129" s="55" t="s">
        <v>335</v>
      </c>
    </row>
    <row r="130" spans="1:4" ht="14" customHeight="1" x14ac:dyDescent="0.35">
      <c r="A130" s="59" t="s">
        <v>540</v>
      </c>
      <c r="B130" s="60" t="s">
        <v>298</v>
      </c>
      <c r="C130" s="60" t="s">
        <v>339</v>
      </c>
      <c r="D130" s="55" t="s">
        <v>339</v>
      </c>
    </row>
    <row r="131" spans="1:4" ht="14" customHeight="1" x14ac:dyDescent="0.35">
      <c r="A131" s="59" t="s">
        <v>540</v>
      </c>
      <c r="B131" s="60" t="s">
        <v>300</v>
      </c>
      <c r="C131" s="60" t="s">
        <v>340</v>
      </c>
      <c r="D131" s="55" t="s">
        <v>340</v>
      </c>
    </row>
    <row r="132" spans="1:4" ht="14" customHeight="1" x14ac:dyDescent="0.35">
      <c r="A132" s="59" t="s">
        <v>540</v>
      </c>
      <c r="B132" s="60" t="s">
        <v>302</v>
      </c>
      <c r="C132" s="60" t="s">
        <v>534</v>
      </c>
      <c r="D132" s="55" t="s">
        <v>534</v>
      </c>
    </row>
    <row r="133" spans="1:4" ht="14" customHeight="1" thickBot="1" x14ac:dyDescent="0.4">
      <c r="A133" s="61" t="s">
        <v>540</v>
      </c>
      <c r="B133" s="62" t="s">
        <v>304</v>
      </c>
      <c r="C133" s="62" t="s">
        <v>534</v>
      </c>
      <c r="D133" s="63" t="s">
        <v>534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7"/>
  <sheetViews>
    <sheetView workbookViewId="0">
      <selection activeCell="A3" sqref="A3"/>
    </sheetView>
  </sheetViews>
  <sheetFormatPr defaultRowHeight="14.5" x14ac:dyDescent="0.35"/>
  <cols>
    <col min="1" max="1" width="177.1796875" customWidth="1"/>
  </cols>
  <sheetData>
    <row r="1" spans="1:1" x14ac:dyDescent="0.35">
      <c r="A1" s="3" t="s">
        <v>346</v>
      </c>
    </row>
    <row r="2" spans="1:1" x14ac:dyDescent="0.35">
      <c r="A2" s="36" t="s">
        <v>330</v>
      </c>
    </row>
    <row r="3" spans="1:1" x14ac:dyDescent="0.35">
      <c r="A3" s="36" t="s">
        <v>331</v>
      </c>
    </row>
    <row r="4" spans="1:1" x14ac:dyDescent="0.35">
      <c r="A4" s="36" t="s">
        <v>332</v>
      </c>
    </row>
    <row r="5" spans="1:1" x14ac:dyDescent="0.35">
      <c r="A5" s="36" t="s">
        <v>333</v>
      </c>
    </row>
    <row r="6" spans="1:1" x14ac:dyDescent="0.35">
      <c r="A6" s="36" t="s">
        <v>334</v>
      </c>
    </row>
    <row r="7" spans="1:1" x14ac:dyDescent="0.35">
      <c r="A7" s="36" t="s">
        <v>335</v>
      </c>
    </row>
    <row r="8" spans="1:1" ht="29" x14ac:dyDescent="0.35">
      <c r="A8" s="36" t="s">
        <v>336</v>
      </c>
    </row>
    <row r="9" spans="1:1" x14ac:dyDescent="0.35">
      <c r="A9" s="36" t="s">
        <v>337</v>
      </c>
    </row>
    <row r="10" spans="1:1" x14ac:dyDescent="0.35">
      <c r="A10" s="36" t="s">
        <v>338</v>
      </c>
    </row>
    <row r="11" spans="1:1" x14ac:dyDescent="0.35">
      <c r="A11" s="36" t="s">
        <v>339</v>
      </c>
    </row>
    <row r="12" spans="1:1" x14ac:dyDescent="0.35">
      <c r="A12" s="36" t="s">
        <v>340</v>
      </c>
    </row>
    <row r="13" spans="1:1" x14ac:dyDescent="0.35">
      <c r="A13" s="36" t="s">
        <v>341</v>
      </c>
    </row>
    <row r="14" spans="1:1" x14ac:dyDescent="0.35">
      <c r="A14" s="36" t="s">
        <v>342</v>
      </c>
    </row>
    <row r="15" spans="1:1" x14ac:dyDescent="0.35">
      <c r="A15" s="36" t="s">
        <v>343</v>
      </c>
    </row>
    <row r="16" spans="1:1" x14ac:dyDescent="0.35">
      <c r="A16" s="36" t="s">
        <v>344</v>
      </c>
    </row>
    <row r="17" spans="1:1" ht="15" thickBot="1" x14ac:dyDescent="0.4">
      <c r="A17" s="37" t="s">
        <v>345</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34"/>
  <sheetViews>
    <sheetView zoomScale="85" zoomScaleNormal="85" workbookViewId="0">
      <pane xSplit="1" ySplit="2" topLeftCell="B3" activePane="bottomRight" state="frozen"/>
      <selection pane="topRight" activeCell="B1" sqref="B1"/>
      <selection pane="bottomLeft" activeCell="A3" sqref="A3"/>
      <selection pane="bottomRight" activeCell="G21" sqref="G21"/>
    </sheetView>
  </sheetViews>
  <sheetFormatPr defaultColWidth="10.81640625" defaultRowHeight="14.5" x14ac:dyDescent="0.35"/>
  <cols>
    <col min="1" max="1" width="13.81640625" customWidth="1"/>
    <col min="2" max="2" width="83.453125" customWidth="1"/>
    <col min="3" max="3" width="71.7265625" customWidth="1"/>
    <col min="4" max="4" width="52.54296875" customWidth="1"/>
    <col min="5" max="5" width="14" customWidth="1"/>
    <col min="6" max="6" width="48.453125" customWidth="1"/>
    <col min="7" max="7" width="80.453125" customWidth="1"/>
    <col min="8" max="8" width="66" customWidth="1"/>
  </cols>
  <sheetData>
    <row r="1" spans="1:8" ht="43.5" hidden="1" x14ac:dyDescent="0.35">
      <c r="A1" s="47" t="s">
        <v>0</v>
      </c>
      <c r="B1" s="48" t="s">
        <v>349</v>
      </c>
      <c r="C1" s="48" t="s">
        <v>350</v>
      </c>
      <c r="D1" s="48" t="s">
        <v>309</v>
      </c>
      <c r="E1" s="48" t="s">
        <v>311</v>
      </c>
      <c r="F1" s="48" t="s">
        <v>313</v>
      </c>
      <c r="G1" s="48" t="s">
        <v>347</v>
      </c>
      <c r="H1" s="49"/>
    </row>
    <row r="2" spans="1:8" ht="21" customHeight="1" thickBot="1" x14ac:dyDescent="0.4">
      <c r="A2" s="1" t="s">
        <v>306</v>
      </c>
      <c r="B2" s="11" t="s">
        <v>307</v>
      </c>
      <c r="C2" s="11" t="s">
        <v>308</v>
      </c>
      <c r="D2" s="11" t="s">
        <v>312</v>
      </c>
      <c r="E2" s="11" t="s">
        <v>310</v>
      </c>
      <c r="F2" s="11" t="s">
        <v>440</v>
      </c>
      <c r="G2" s="11" t="s">
        <v>348</v>
      </c>
      <c r="H2" s="12" t="s">
        <v>441</v>
      </c>
    </row>
    <row r="3" spans="1:8" x14ac:dyDescent="0.35">
      <c r="A3" s="8" t="s">
        <v>1</v>
      </c>
      <c r="B3" s="9" t="s">
        <v>2</v>
      </c>
      <c r="C3" s="9" t="s">
        <v>3</v>
      </c>
      <c r="D3" s="9" t="s">
        <v>3</v>
      </c>
      <c r="E3" s="9" t="s">
        <v>351</v>
      </c>
      <c r="F3" s="9" t="s">
        <v>330</v>
      </c>
      <c r="G3" s="50" t="s">
        <v>330</v>
      </c>
      <c r="H3" s="10" t="str">
        <f>VLOOKUP(A3,'sector BdP'!$A$2:$C$72,3,0)</f>
        <v>Non-financial corporations</v>
      </c>
    </row>
    <row r="4" spans="1:8" x14ac:dyDescent="0.35">
      <c r="A4" s="4" t="s">
        <v>4</v>
      </c>
      <c r="B4" s="2" t="s">
        <v>5</v>
      </c>
      <c r="C4" s="2" t="s">
        <v>6</v>
      </c>
      <c r="D4" s="2" t="s">
        <v>6</v>
      </c>
      <c r="E4" s="2" t="s">
        <v>352</v>
      </c>
      <c r="F4" s="2" t="e">
        <v>#N/A</v>
      </c>
      <c r="G4" s="41" t="s">
        <v>332</v>
      </c>
      <c r="H4" s="5" t="str">
        <f>VLOOKUP(A4,'sector BdP'!$A$2:$C$72,3,0)</f>
        <v>Financial corporations</v>
      </c>
    </row>
    <row r="5" spans="1:8" x14ac:dyDescent="0.35">
      <c r="A5" s="4" t="s">
        <v>7</v>
      </c>
      <c r="B5" s="2" t="s">
        <v>8</v>
      </c>
      <c r="C5" s="2" t="s">
        <v>9</v>
      </c>
      <c r="D5" s="2" t="s">
        <v>9</v>
      </c>
      <c r="E5" s="2" t="s">
        <v>351</v>
      </c>
      <c r="F5" s="2" t="s">
        <v>353</v>
      </c>
      <c r="G5" s="41" t="s">
        <v>331</v>
      </c>
      <c r="H5" s="5" t="str">
        <f>VLOOKUP(A5,'sector BdP'!$A$2:$C$72,3,0)</f>
        <v>Central bank</v>
      </c>
    </row>
    <row r="6" spans="1:8" x14ac:dyDescent="0.35">
      <c r="A6" s="4" t="s">
        <v>10</v>
      </c>
      <c r="B6" s="2" t="s">
        <v>11</v>
      </c>
      <c r="C6" s="2" t="s">
        <v>12</v>
      </c>
      <c r="D6" s="2" t="s">
        <v>12</v>
      </c>
      <c r="E6" s="2" t="s">
        <v>351</v>
      </c>
      <c r="F6" s="2" t="s">
        <v>354</v>
      </c>
      <c r="G6" s="41" t="s">
        <v>333</v>
      </c>
      <c r="H6" s="5" t="str">
        <f>VLOOKUP(A6,'sector BdP'!$A$2:$C$72,3,0)</f>
        <v>Deposit taking corporations, except the Central bank</v>
      </c>
    </row>
    <row r="7" spans="1:8" x14ac:dyDescent="0.35">
      <c r="A7" s="4" t="s">
        <v>13</v>
      </c>
      <c r="B7" s="2" t="s">
        <v>5</v>
      </c>
      <c r="C7" s="2" t="s">
        <v>14</v>
      </c>
      <c r="D7" s="2" t="s">
        <v>14</v>
      </c>
      <c r="E7" s="2" t="s">
        <v>351</v>
      </c>
      <c r="F7" s="2" t="s">
        <v>354</v>
      </c>
      <c r="G7" s="41" t="s">
        <v>333</v>
      </c>
      <c r="H7" s="5" t="str">
        <f>VLOOKUP(A7,'sector BdP'!$A$2:$C$72,3,0)</f>
        <v>Banks</v>
      </c>
    </row>
    <row r="8" spans="1:8" x14ac:dyDescent="0.35">
      <c r="A8" s="4" t="s">
        <v>15</v>
      </c>
      <c r="B8" s="2" t="s">
        <v>5</v>
      </c>
      <c r="C8" s="2" t="s">
        <v>16</v>
      </c>
      <c r="D8" s="2" t="s">
        <v>16</v>
      </c>
      <c r="E8" s="2" t="s">
        <v>352</v>
      </c>
      <c r="F8" s="2" t="s">
        <v>354</v>
      </c>
      <c r="G8" s="41" t="s">
        <v>333</v>
      </c>
      <c r="H8" s="5" t="str">
        <f>VLOOKUP(A8,'sector BdP'!$A$2:$C$72,3,0)</f>
        <v>Mutual agriculture credit banks</v>
      </c>
    </row>
    <row r="9" spans="1:8" x14ac:dyDescent="0.35">
      <c r="A9" s="4" t="s">
        <v>17</v>
      </c>
      <c r="B9" s="2" t="s">
        <v>5</v>
      </c>
      <c r="C9" s="2" t="s">
        <v>18</v>
      </c>
      <c r="D9" s="2" t="s">
        <v>18</v>
      </c>
      <c r="E9" s="2" t="s">
        <v>352</v>
      </c>
      <c r="F9" s="2" t="s">
        <v>354</v>
      </c>
      <c r="G9" s="41" t="s">
        <v>333</v>
      </c>
      <c r="H9" s="5" t="str">
        <f>VLOOKUP(A9,'sector BdP'!$A$2:$C$72,3,0)</f>
        <v>Savings banks</v>
      </c>
    </row>
    <row r="10" spans="1:8" x14ac:dyDescent="0.35">
      <c r="A10" s="4" t="s">
        <v>19</v>
      </c>
      <c r="B10" s="2" t="s">
        <v>5</v>
      </c>
      <c r="C10" s="2" t="s">
        <v>20</v>
      </c>
      <c r="D10" s="2" t="s">
        <v>20</v>
      </c>
      <c r="E10" s="2" t="s">
        <v>352</v>
      </c>
      <c r="F10" s="2" t="s">
        <v>354</v>
      </c>
      <c r="G10" s="41" t="s">
        <v>333</v>
      </c>
      <c r="H10" s="5" t="str">
        <f>VLOOKUP(A10,'sector BdP'!$A$2:$C$72,3,0)</f>
        <v>Electronic money institutions</v>
      </c>
    </row>
    <row r="11" spans="1:8" x14ac:dyDescent="0.35">
      <c r="A11" s="4" t="s">
        <v>21</v>
      </c>
      <c r="B11" s="2" t="s">
        <v>22</v>
      </c>
      <c r="C11" s="2" t="s">
        <v>23</v>
      </c>
      <c r="D11" s="2" t="s">
        <v>23</v>
      </c>
      <c r="E11" s="2" t="s">
        <v>351</v>
      </c>
      <c r="F11" s="2" t="s">
        <v>355</v>
      </c>
      <c r="G11" s="41" t="s">
        <v>334</v>
      </c>
      <c r="H11" s="5" t="str">
        <f>VLOOKUP(A11,'sector BdP'!$A$2:$C$72,3,0)</f>
        <v>Money market funds (MMF)</v>
      </c>
    </row>
    <row r="12" spans="1:8" x14ac:dyDescent="0.35">
      <c r="A12" s="4" t="s">
        <v>24</v>
      </c>
      <c r="B12" s="2" t="s">
        <v>25</v>
      </c>
      <c r="C12" s="2" t="s">
        <v>26</v>
      </c>
      <c r="D12" s="2" t="s">
        <v>26</v>
      </c>
      <c r="E12" s="2" t="s">
        <v>351</v>
      </c>
      <c r="F12" s="2" t="s">
        <v>356</v>
      </c>
      <c r="G12" s="41" t="s">
        <v>335</v>
      </c>
      <c r="H12" s="5" t="str">
        <f>VLOOKUP(A12,'sector BdP'!$A$2:$C$72,3,0)</f>
        <v xml:space="preserve">Non-money market funds investment funds </v>
      </c>
    </row>
    <row r="13" spans="1:8" x14ac:dyDescent="0.35">
      <c r="A13" s="4" t="s">
        <v>27</v>
      </c>
      <c r="B13" s="2" t="s">
        <v>5</v>
      </c>
      <c r="C13" s="2" t="s">
        <v>28</v>
      </c>
      <c r="D13" s="2" t="s">
        <v>28</v>
      </c>
      <c r="E13" s="2" t="s">
        <v>352</v>
      </c>
      <c r="F13" s="2" t="s">
        <v>356</v>
      </c>
      <c r="G13" s="41" t="s">
        <v>335</v>
      </c>
      <c r="H13" s="5" t="str">
        <f>VLOOKUP(A13,'sector BdP'!$A$2:$C$72,3,0)</f>
        <v>Securities investment funds (except money market funds)</v>
      </c>
    </row>
    <row r="14" spans="1:8" x14ac:dyDescent="0.35">
      <c r="A14" s="4" t="s">
        <v>29</v>
      </c>
      <c r="B14" s="2" t="s">
        <v>5</v>
      </c>
      <c r="C14" s="2" t="s">
        <v>30</v>
      </c>
      <c r="D14" s="2" t="s">
        <v>30</v>
      </c>
      <c r="E14" s="2" t="s">
        <v>352</v>
      </c>
      <c r="F14" s="2" t="s">
        <v>356</v>
      </c>
      <c r="G14" s="41" t="s">
        <v>335</v>
      </c>
      <c r="H14" s="5" t="str">
        <f>VLOOKUP(A14,'sector BdP'!$A$2:$C$72,3,0)</f>
        <v>Real estate investment funds</v>
      </c>
    </row>
    <row r="15" spans="1:8" x14ac:dyDescent="0.35">
      <c r="A15" s="4" t="s">
        <v>31</v>
      </c>
      <c r="B15" s="2" t="s">
        <v>5</v>
      </c>
      <c r="C15" s="2" t="s">
        <v>32</v>
      </c>
      <c r="D15" s="2" t="s">
        <v>32</v>
      </c>
      <c r="E15" s="2" t="s">
        <v>352</v>
      </c>
      <c r="F15" s="2" t="s">
        <v>356</v>
      </c>
      <c r="G15" s="41" t="s">
        <v>335</v>
      </c>
      <c r="H15" s="5" t="str">
        <f>VLOOKUP(A15,'sector BdP'!$A$2:$C$72,3,0)</f>
        <v>Venture capital funds</v>
      </c>
    </row>
    <row r="16" spans="1:8" x14ac:dyDescent="0.35">
      <c r="A16" s="4" t="s">
        <v>33</v>
      </c>
      <c r="B16" s="2" t="s">
        <v>5</v>
      </c>
      <c r="C16" s="2" t="s">
        <v>34</v>
      </c>
      <c r="D16" s="2" t="s">
        <v>34</v>
      </c>
      <c r="E16" s="2" t="s">
        <v>352</v>
      </c>
      <c r="F16" s="2" t="s">
        <v>357</v>
      </c>
      <c r="G16" s="41" t="s">
        <v>336</v>
      </c>
      <c r="H16" s="5" t="str">
        <f>VLOOKUP(A16,'sector BdP'!$A$2:$C$72,3,0)</f>
        <v>Other financial intermediaries except insurance corporations and pension funds</v>
      </c>
    </row>
    <row r="17" spans="1:8" x14ac:dyDescent="0.35">
      <c r="A17" s="4" t="s">
        <v>35</v>
      </c>
      <c r="B17" s="2" t="s">
        <v>36</v>
      </c>
      <c r="C17" s="2" t="s">
        <v>37</v>
      </c>
      <c r="D17" s="2" t="s">
        <v>37</v>
      </c>
      <c r="E17" s="2" t="s">
        <v>352</v>
      </c>
      <c r="F17" s="2" t="s">
        <v>357</v>
      </c>
      <c r="G17" s="41" t="s">
        <v>336</v>
      </c>
      <c r="H17" s="5" t="str">
        <f>VLOOKUP(A17,'sector BdP'!$A$2:$C$72,3,0)</f>
        <v>Central counterparty clearing houses</v>
      </c>
    </row>
    <row r="18" spans="1:8" x14ac:dyDescent="0.35">
      <c r="A18" s="4" t="s">
        <v>38</v>
      </c>
      <c r="B18" s="2" t="s">
        <v>39</v>
      </c>
      <c r="C18" s="2" t="s">
        <v>40</v>
      </c>
      <c r="D18" s="2" t="s">
        <v>40</v>
      </c>
      <c r="E18" s="2" t="s">
        <v>351</v>
      </c>
      <c r="F18" s="2" t="s">
        <v>357</v>
      </c>
      <c r="G18" s="41" t="s">
        <v>336</v>
      </c>
      <c r="H18" s="5" t="str">
        <f>VLOOKUP(A18,'sector BdP'!$A$2:$C$72,3,0)</f>
        <v>Venture capital corporations</v>
      </c>
    </row>
    <row r="19" spans="1:8" x14ac:dyDescent="0.35">
      <c r="A19" s="4" t="s">
        <v>41</v>
      </c>
      <c r="B19" s="2" t="s">
        <v>42</v>
      </c>
      <c r="C19" s="2" t="s">
        <v>43</v>
      </c>
      <c r="D19" s="2" t="s">
        <v>43</v>
      </c>
      <c r="E19" s="2" t="s">
        <v>351</v>
      </c>
      <c r="F19" s="2" t="s">
        <v>357</v>
      </c>
      <c r="G19" s="41" t="s">
        <v>336</v>
      </c>
      <c r="H19" s="5" t="str">
        <f>VLOOKUP(A19,'sector BdP'!$A$2:$C$72,3,0)</f>
        <v>Factoring corporations</v>
      </c>
    </row>
    <row r="20" spans="1:8" x14ac:dyDescent="0.35">
      <c r="A20" s="4" t="s">
        <v>44</v>
      </c>
      <c r="B20" s="2" t="s">
        <v>45</v>
      </c>
      <c r="C20" s="2" t="s">
        <v>46</v>
      </c>
      <c r="D20" s="2" t="s">
        <v>46</v>
      </c>
      <c r="E20" s="2" t="s">
        <v>351</v>
      </c>
      <c r="F20" s="2" t="s">
        <v>357</v>
      </c>
      <c r="G20" s="41" t="s">
        <v>336</v>
      </c>
      <c r="H20" s="5" t="str">
        <f>VLOOKUP(A20,'sector BdP'!$A$2:$C$72,3,0)</f>
        <v>Financial leasing corporations</v>
      </c>
    </row>
    <row r="21" spans="1:8" x14ac:dyDescent="0.35">
      <c r="A21" s="4" t="s">
        <v>47</v>
      </c>
      <c r="B21" s="2" t="s">
        <v>48</v>
      </c>
      <c r="C21" s="2" t="s">
        <v>49</v>
      </c>
      <c r="D21" s="2" t="s">
        <v>49</v>
      </c>
      <c r="E21" s="2" t="s">
        <v>351</v>
      </c>
      <c r="F21" s="2" t="s">
        <v>357</v>
      </c>
      <c r="G21" s="41" t="s">
        <v>336</v>
      </c>
      <c r="H21" s="5" t="str">
        <f>VLOOKUP(A21,'sector BdP'!$A$2:$C$72,3,0)</f>
        <v>Financial dealers</v>
      </c>
    </row>
    <row r="22" spans="1:8" x14ac:dyDescent="0.35">
      <c r="A22" s="4" t="s">
        <v>50</v>
      </c>
      <c r="B22" s="2" t="s">
        <v>51</v>
      </c>
      <c r="C22" s="2" t="s">
        <v>52</v>
      </c>
      <c r="D22" s="2" t="s">
        <v>52</v>
      </c>
      <c r="E22" s="2" t="s">
        <v>351</v>
      </c>
      <c r="F22" s="2" t="s">
        <v>357</v>
      </c>
      <c r="G22" s="41" t="s">
        <v>336</v>
      </c>
      <c r="H22" s="5" t="str">
        <f>VLOOKUP(A22,'sector BdP'!$A$2:$C$72,3,0)</f>
        <v>Credit-purchase financing corporations</v>
      </c>
    </row>
    <row r="23" spans="1:8" x14ac:dyDescent="0.35">
      <c r="A23" s="4" t="s">
        <v>53</v>
      </c>
      <c r="B23" s="2" t="s">
        <v>54</v>
      </c>
      <c r="C23" s="2" t="s">
        <v>55</v>
      </c>
      <c r="D23" s="2" t="s">
        <v>55</v>
      </c>
      <c r="E23" s="2" t="s">
        <v>351</v>
      </c>
      <c r="F23" s="2" t="s">
        <v>357</v>
      </c>
      <c r="G23" s="41" t="s">
        <v>336</v>
      </c>
      <c r="H23" s="5" t="str">
        <f>VLOOKUP(A23,'sector BdP'!$A$2:$C$72,3,0)</f>
        <v>Regional development corporations</v>
      </c>
    </row>
    <row r="24" spans="1:8" x14ac:dyDescent="0.35">
      <c r="A24" s="4" t="s">
        <v>56</v>
      </c>
      <c r="B24" s="2" t="s">
        <v>57</v>
      </c>
      <c r="C24" s="2" t="s">
        <v>58</v>
      </c>
      <c r="D24" s="2" t="s">
        <v>58</v>
      </c>
      <c r="E24" s="2" t="s">
        <v>352</v>
      </c>
      <c r="F24" s="2" t="s">
        <v>357</v>
      </c>
      <c r="G24" s="41" t="s">
        <v>336</v>
      </c>
      <c r="H24" s="5" t="str">
        <f>VLOOKUP(A24,'sector BdP'!$A$2:$C$72,3,0)</f>
        <v>Business development corporations</v>
      </c>
    </row>
    <row r="25" spans="1:8" x14ac:dyDescent="0.35">
      <c r="A25" s="4" t="s">
        <v>59</v>
      </c>
      <c r="B25" s="2" t="s">
        <v>60</v>
      </c>
      <c r="C25" s="2" t="s">
        <v>61</v>
      </c>
      <c r="D25" s="2" t="s">
        <v>61</v>
      </c>
      <c r="E25" s="2" t="s">
        <v>351</v>
      </c>
      <c r="F25" s="2" t="s">
        <v>357</v>
      </c>
      <c r="G25" s="41" t="s">
        <v>336</v>
      </c>
      <c r="H25" s="5" t="str">
        <f>VLOOKUP(A25,'sector BdP'!$A$2:$C$72,3,0)</f>
        <v>Investment corporations</v>
      </c>
    </row>
    <row r="26" spans="1:8" x14ac:dyDescent="0.35">
      <c r="A26" s="4" t="s">
        <v>62</v>
      </c>
      <c r="B26" s="2" t="s">
        <v>63</v>
      </c>
      <c r="C26" s="2" t="s">
        <v>64</v>
      </c>
      <c r="D26" s="2" t="s">
        <v>64</v>
      </c>
      <c r="E26" s="2" t="s">
        <v>351</v>
      </c>
      <c r="F26" s="2" t="s">
        <v>357</v>
      </c>
      <c r="G26" s="41" t="s">
        <v>336</v>
      </c>
      <c r="H26" s="5" t="str">
        <f>VLOOKUP(A26,'sector BdP'!$A$2:$C$72,3,0)</f>
        <v>Credit card issuing and managing corporations</v>
      </c>
    </row>
    <row r="27" spans="1:8" x14ac:dyDescent="0.35">
      <c r="A27" s="4" t="s">
        <v>65</v>
      </c>
      <c r="B27" s="2" t="s">
        <v>66</v>
      </c>
      <c r="C27" s="2" t="s">
        <v>67</v>
      </c>
      <c r="D27" s="2" t="s">
        <v>67</v>
      </c>
      <c r="E27" s="2" t="s">
        <v>351</v>
      </c>
      <c r="F27" s="2" t="s">
        <v>357</v>
      </c>
      <c r="G27" s="41" t="s">
        <v>336</v>
      </c>
      <c r="H27" s="5" t="str">
        <f>VLOOKUP(A27,'sector BdP'!$A$2:$C$72,3,0)</f>
        <v>Securitization corporations</v>
      </c>
    </row>
    <row r="28" spans="1:8" x14ac:dyDescent="0.35">
      <c r="A28" s="4" t="s">
        <v>68</v>
      </c>
      <c r="B28" s="2" t="s">
        <v>69</v>
      </c>
      <c r="C28" s="2" t="s">
        <v>70</v>
      </c>
      <c r="D28" s="2" t="s">
        <v>70</v>
      </c>
      <c r="E28" s="2" t="s">
        <v>351</v>
      </c>
      <c r="F28" s="2" t="s">
        <v>357</v>
      </c>
      <c r="G28" s="41" t="s">
        <v>336</v>
      </c>
      <c r="H28" s="5" t="str">
        <f>VLOOKUP(A28,'sector BdP'!$A$2:$C$72,3,0)</f>
        <v>Mutual garantee corporations</v>
      </c>
    </row>
    <row r="29" spans="1:8" x14ac:dyDescent="0.35">
      <c r="A29" s="4" t="s">
        <v>71</v>
      </c>
      <c r="B29" s="2" t="s">
        <v>72</v>
      </c>
      <c r="C29" s="2" t="s">
        <v>73</v>
      </c>
      <c r="D29" s="2" t="s">
        <v>73</v>
      </c>
      <c r="E29" s="2" t="s">
        <v>351</v>
      </c>
      <c r="F29" s="2" t="s">
        <v>357</v>
      </c>
      <c r="G29" s="41" t="s">
        <v>336</v>
      </c>
      <c r="H29" s="5" t="str">
        <f>VLOOKUP(A29,'sector BdP'!$A$2:$C$72,3,0)</f>
        <v>Credit financial institutions</v>
      </c>
    </row>
    <row r="30" spans="1:8" x14ac:dyDescent="0.35">
      <c r="A30" s="4" t="s">
        <v>74</v>
      </c>
      <c r="B30" s="2" t="s">
        <v>75</v>
      </c>
      <c r="C30" s="2" t="s">
        <v>76</v>
      </c>
      <c r="D30" s="2" t="s">
        <v>76</v>
      </c>
      <c r="E30" s="2" t="s">
        <v>352</v>
      </c>
      <c r="F30" s="2" t="s">
        <v>357</v>
      </c>
      <c r="G30" s="41" t="s">
        <v>336</v>
      </c>
      <c r="H30" s="5" t="str">
        <f>VLOOKUP(A30,'sector BdP'!$A$2:$C$72,3,0)</f>
        <v>Securitization funds</v>
      </c>
    </row>
    <row r="31" spans="1:8" x14ac:dyDescent="0.35">
      <c r="A31" s="4" t="s">
        <v>77</v>
      </c>
      <c r="B31" s="2" t="s">
        <v>78</v>
      </c>
      <c r="C31" s="2" t="s">
        <v>5</v>
      </c>
      <c r="D31" s="2" t="s">
        <v>78</v>
      </c>
      <c r="E31" s="2" t="s">
        <v>351</v>
      </c>
      <c r="F31" s="2" t="s">
        <v>357</v>
      </c>
      <c r="G31" s="41" t="s">
        <v>336</v>
      </c>
      <c r="H31" s="5" t="s">
        <v>477</v>
      </c>
    </row>
    <row r="32" spans="1:8" x14ac:dyDescent="0.35">
      <c r="A32" s="4" t="s">
        <v>79</v>
      </c>
      <c r="B32" s="2" t="s">
        <v>80</v>
      </c>
      <c r="C32" s="2" t="s">
        <v>81</v>
      </c>
      <c r="D32" s="2" t="s">
        <v>81</v>
      </c>
      <c r="E32" s="2" t="s">
        <v>351</v>
      </c>
      <c r="F32" s="2" t="s">
        <v>357</v>
      </c>
      <c r="G32" s="41" t="s">
        <v>336</v>
      </c>
      <c r="H32" s="5" t="str">
        <f>VLOOKUP(A32,'sector BdP'!$A$2:$C$72,3,0)</f>
        <v>Other</v>
      </c>
    </row>
    <row r="33" spans="1:8" x14ac:dyDescent="0.35">
      <c r="A33" s="4" t="s">
        <v>82</v>
      </c>
      <c r="B33" s="2" t="s">
        <v>83</v>
      </c>
      <c r="C33" s="2" t="s">
        <v>84</v>
      </c>
      <c r="D33" s="2" t="s">
        <v>84</v>
      </c>
      <c r="E33" s="2" t="s">
        <v>351</v>
      </c>
      <c r="F33" s="2" t="s">
        <v>337</v>
      </c>
      <c r="G33" s="41" t="s">
        <v>337</v>
      </c>
      <c r="H33" s="5" t="str">
        <f>VLOOKUP(A33,'sector BdP'!$A$2:$C$72,3,0)</f>
        <v>Financial auxiliaries</v>
      </c>
    </row>
    <row r="34" spans="1:8" x14ac:dyDescent="0.35">
      <c r="A34" s="4" t="s">
        <v>85</v>
      </c>
      <c r="B34" s="2" t="s">
        <v>5</v>
      </c>
      <c r="C34" s="2" t="s">
        <v>86</v>
      </c>
      <c r="D34" s="2" t="s">
        <v>86</v>
      </c>
      <c r="E34" s="2" t="s">
        <v>352</v>
      </c>
      <c r="F34" s="2" t="s">
        <v>337</v>
      </c>
      <c r="G34" s="41" t="s">
        <v>337</v>
      </c>
      <c r="H34" s="5" t="str">
        <f>VLOOKUP(A34,'sector BdP'!$A$2:$C$72,3,0)</f>
        <v>Insurance auxiliaries</v>
      </c>
    </row>
    <row r="35" spans="1:8" x14ac:dyDescent="0.35">
      <c r="A35" s="4" t="s">
        <v>87</v>
      </c>
      <c r="B35" s="2" t="s">
        <v>5</v>
      </c>
      <c r="C35" s="2" t="s">
        <v>88</v>
      </c>
      <c r="D35" s="2" t="s">
        <v>88</v>
      </c>
      <c r="E35" s="2" t="s">
        <v>352</v>
      </c>
      <c r="F35" s="2" t="s">
        <v>337</v>
      </c>
      <c r="G35" s="41" t="s">
        <v>337</v>
      </c>
      <c r="H35" s="5" t="str">
        <f>VLOOKUP(A35,'sector BdP'!$A$2:$C$72,3,0)</f>
        <v>Exchange offices</v>
      </c>
    </row>
    <row r="36" spans="1:8" x14ac:dyDescent="0.35">
      <c r="A36" s="4" t="s">
        <v>89</v>
      </c>
      <c r="B36" s="2" t="s">
        <v>5</v>
      </c>
      <c r="C36" s="2" t="s">
        <v>90</v>
      </c>
      <c r="D36" s="2" t="s">
        <v>90</v>
      </c>
      <c r="E36" s="2" t="s">
        <v>352</v>
      </c>
      <c r="F36" s="2" t="s">
        <v>337</v>
      </c>
      <c r="G36" s="2" t="s">
        <v>337</v>
      </c>
      <c r="H36" s="5" t="str">
        <f>VLOOKUP(A36,'sector BdP'!$A$2:$C$72,3,0)</f>
        <v>Brokers</v>
      </c>
    </row>
    <row r="37" spans="1:8" x14ac:dyDescent="0.35">
      <c r="A37" s="4" t="s">
        <v>91</v>
      </c>
      <c r="B37" s="2" t="s">
        <v>5</v>
      </c>
      <c r="C37" s="2" t="s">
        <v>92</v>
      </c>
      <c r="D37" s="2" t="s">
        <v>92</v>
      </c>
      <c r="E37" s="2" t="s">
        <v>352</v>
      </c>
      <c r="F37" s="2" t="s">
        <v>337</v>
      </c>
      <c r="G37" s="2" t="s">
        <v>337</v>
      </c>
      <c r="H37" s="5" t="str">
        <f>VLOOKUP(A37,'sector BdP'!$A$2:$C$72,3,0)</f>
        <v>Investment funds managing corporations</v>
      </c>
    </row>
    <row r="38" spans="1:8" x14ac:dyDescent="0.35">
      <c r="A38" s="4" t="s">
        <v>93</v>
      </c>
      <c r="B38" s="2" t="s">
        <v>5</v>
      </c>
      <c r="C38" s="2" t="s">
        <v>94</v>
      </c>
      <c r="D38" s="2" t="s">
        <v>94</v>
      </c>
      <c r="E38" s="2" t="s">
        <v>352</v>
      </c>
      <c r="F38" s="2" t="s">
        <v>337</v>
      </c>
      <c r="G38" s="2" t="s">
        <v>337</v>
      </c>
      <c r="H38" s="5" t="str">
        <f>VLOOKUP(A38,'sector BdP'!$A$2:$C$72,3,0)</f>
        <v>Securitization funds managing corporations</v>
      </c>
    </row>
    <row r="39" spans="1:8" x14ac:dyDescent="0.35">
      <c r="A39" s="4" t="s">
        <v>95</v>
      </c>
      <c r="B39" s="2" t="s">
        <v>5</v>
      </c>
      <c r="C39" s="2" t="s">
        <v>96</v>
      </c>
      <c r="D39" s="2" t="s">
        <v>96</v>
      </c>
      <c r="E39" s="2" t="s">
        <v>352</v>
      </c>
      <c r="F39" s="2" t="s">
        <v>337</v>
      </c>
      <c r="G39" s="2" t="s">
        <v>337</v>
      </c>
      <c r="H39" s="5" t="str">
        <f>VLOOKUP(A39,'sector BdP'!$A$2:$C$72,3,0)</f>
        <v>Pension funds  managing corporations</v>
      </c>
    </row>
    <row r="40" spans="1:8" x14ac:dyDescent="0.35">
      <c r="A40" s="4" t="s">
        <v>97</v>
      </c>
      <c r="B40" s="2" t="s">
        <v>5</v>
      </c>
      <c r="C40" s="2" t="s">
        <v>98</v>
      </c>
      <c r="D40" s="2" t="s">
        <v>98</v>
      </c>
      <c r="E40" s="2" t="s">
        <v>352</v>
      </c>
      <c r="F40" s="2" t="s">
        <v>337</v>
      </c>
      <c r="G40" s="2" t="s">
        <v>337</v>
      </c>
      <c r="H40" s="5" t="str">
        <f>VLOOKUP(A40,'sector BdP'!$A$2:$C$72,3,0)</f>
        <v>Wealth managing corporations</v>
      </c>
    </row>
    <row r="41" spans="1:8" x14ac:dyDescent="0.35">
      <c r="A41" s="4" t="s">
        <v>99</v>
      </c>
      <c r="B41" s="2" t="s">
        <v>5</v>
      </c>
      <c r="C41" s="2" t="s">
        <v>100</v>
      </c>
      <c r="D41" s="2" t="s">
        <v>100</v>
      </c>
      <c r="E41" s="2" t="s">
        <v>352</v>
      </c>
      <c r="F41" s="2" t="s">
        <v>337</v>
      </c>
      <c r="G41" s="2" t="s">
        <v>337</v>
      </c>
      <c r="H41" s="5" t="str">
        <f>VLOOKUP(A41,'sector BdP'!$A$2:$C$72,3,0)</f>
        <v>Group-purchase managing corporations</v>
      </c>
    </row>
    <row r="42" spans="1:8" x14ac:dyDescent="0.35">
      <c r="A42" s="4" t="s">
        <v>101</v>
      </c>
      <c r="B42" s="2" t="s">
        <v>5</v>
      </c>
      <c r="C42" s="2" t="s">
        <v>102</v>
      </c>
      <c r="D42" s="2" t="s">
        <v>102</v>
      </c>
      <c r="E42" s="2" t="s">
        <v>352</v>
      </c>
      <c r="F42" s="2" t="s">
        <v>337</v>
      </c>
      <c r="G42" s="2" t="s">
        <v>337</v>
      </c>
      <c r="H42" s="5" t="str">
        <f>VLOOKUP(A42,'sector BdP'!$A$2:$C$72,3,0)</f>
        <v>Foreign exchange and money market mediating corporations</v>
      </c>
    </row>
    <row r="43" spans="1:8" x14ac:dyDescent="0.35">
      <c r="A43" s="4" t="s">
        <v>103</v>
      </c>
      <c r="B43" s="2" t="s">
        <v>5</v>
      </c>
      <c r="C43" s="2" t="s">
        <v>104</v>
      </c>
      <c r="D43" s="2" t="s">
        <v>104</v>
      </c>
      <c r="E43" s="2" t="s">
        <v>352</v>
      </c>
      <c r="F43" s="2" t="s">
        <v>337</v>
      </c>
      <c r="G43" s="2" t="s">
        <v>337</v>
      </c>
      <c r="H43" s="5" t="str">
        <f>VLOOKUP(A43,'sector BdP'!$A$2:$C$72,3,0)</f>
        <v>Financial head offices</v>
      </c>
    </row>
    <row r="44" spans="1:8" x14ac:dyDescent="0.35">
      <c r="A44" s="4" t="s">
        <v>105</v>
      </c>
      <c r="B44" s="2" t="s">
        <v>5</v>
      </c>
      <c r="C44" s="2" t="s">
        <v>106</v>
      </c>
      <c r="D44" s="2" t="s">
        <v>106</v>
      </c>
      <c r="E44" s="2" t="s">
        <v>352</v>
      </c>
      <c r="F44" s="2" t="s">
        <v>337</v>
      </c>
      <c r="G44" s="2" t="s">
        <v>337</v>
      </c>
      <c r="H44" s="5" t="str">
        <f>VLOOKUP(A44,'sector BdP'!$A$2:$C$72,3,0)</f>
        <v>Payment institutions</v>
      </c>
    </row>
    <row r="45" spans="1:8" x14ac:dyDescent="0.35">
      <c r="A45" s="4" t="s">
        <v>107</v>
      </c>
      <c r="B45" s="2" t="s">
        <v>5</v>
      </c>
      <c r="C45" s="2" t="s">
        <v>108</v>
      </c>
      <c r="D45" s="2" t="s">
        <v>108</v>
      </c>
      <c r="E45" s="2" t="s">
        <v>352</v>
      </c>
      <c r="F45" s="2" t="s">
        <v>337</v>
      </c>
      <c r="G45" s="2" t="s">
        <v>337</v>
      </c>
      <c r="H45" s="5" t="str">
        <f>VLOOKUP(A45,'sector BdP'!$A$2:$C$72,3,0)</f>
        <v>Other financial auxiliaries</v>
      </c>
    </row>
    <row r="46" spans="1:8" x14ac:dyDescent="0.35">
      <c r="A46" s="4" t="s">
        <v>109</v>
      </c>
      <c r="B46" s="2" t="s">
        <v>110</v>
      </c>
      <c r="C46" s="2" t="s">
        <v>111</v>
      </c>
      <c r="D46" s="2" t="s">
        <v>111</v>
      </c>
      <c r="E46" s="2" t="s">
        <v>351</v>
      </c>
      <c r="F46" s="2" t="s">
        <v>338</v>
      </c>
      <c r="G46" s="2" t="s">
        <v>338</v>
      </c>
      <c r="H46" s="5" t="str">
        <f>VLOOKUP(A46,'sector BdP'!$A$2:$C$72,3,0)</f>
        <v>Captive financial institutions and money lenders</v>
      </c>
    </row>
    <row r="47" spans="1:8" x14ac:dyDescent="0.35">
      <c r="A47" s="4" t="s">
        <v>112</v>
      </c>
      <c r="B47" s="2" t="s">
        <v>5</v>
      </c>
      <c r="C47" s="2" t="s">
        <v>113</v>
      </c>
      <c r="D47" s="2" t="s">
        <v>113</v>
      </c>
      <c r="E47" s="2" t="s">
        <v>352</v>
      </c>
      <c r="F47" s="2" t="s">
        <v>338</v>
      </c>
      <c r="G47" s="2" t="s">
        <v>338</v>
      </c>
      <c r="H47" s="5" t="str">
        <f>VLOOKUP(A47,'sector BdP'!$A$2:$C$72,3,0)</f>
        <v>Financial holding corporations</v>
      </c>
    </row>
    <row r="48" spans="1:8" x14ac:dyDescent="0.35">
      <c r="A48" s="4" t="s">
        <v>114</v>
      </c>
      <c r="B48" s="2" t="s">
        <v>5</v>
      </c>
      <c r="C48" s="2" t="s">
        <v>115</v>
      </c>
      <c r="D48" s="2" t="s">
        <v>115</v>
      </c>
      <c r="E48" s="2" t="s">
        <v>352</v>
      </c>
      <c r="F48" s="2" t="s">
        <v>338</v>
      </c>
      <c r="G48" s="2" t="s">
        <v>338</v>
      </c>
      <c r="H48" s="5" t="str">
        <f>VLOOKUP(A48,'sector BdP'!$A$2:$C$72,3,0)</f>
        <v>Non-financial holding corporations</v>
      </c>
    </row>
    <row r="49" spans="1:8" x14ac:dyDescent="0.35">
      <c r="A49" s="4" t="s">
        <v>116</v>
      </c>
      <c r="B49" s="2" t="s">
        <v>5</v>
      </c>
      <c r="C49" s="2" t="s">
        <v>117</v>
      </c>
      <c r="D49" s="2" t="s">
        <v>117</v>
      </c>
      <c r="E49" s="2" t="s">
        <v>352</v>
      </c>
      <c r="F49" s="2" t="s">
        <v>338</v>
      </c>
      <c r="G49" s="2" t="s">
        <v>338</v>
      </c>
      <c r="H49" s="5" t="str">
        <f>VLOOKUP(A49,'sector BdP'!$A$2:$C$72,3,0)</f>
        <v>Money lenders</v>
      </c>
    </row>
    <row r="50" spans="1:8" x14ac:dyDescent="0.35">
      <c r="A50" s="4" t="s">
        <v>118</v>
      </c>
      <c r="B50" s="2" t="s">
        <v>5</v>
      </c>
      <c r="C50" s="2" t="s">
        <v>119</v>
      </c>
      <c r="D50" s="2" t="s">
        <v>119</v>
      </c>
      <c r="E50" s="2" t="s">
        <v>352</v>
      </c>
      <c r="F50" s="2" t="s">
        <v>338</v>
      </c>
      <c r="G50" s="42" t="s">
        <v>338</v>
      </c>
      <c r="H50" s="5" t="str">
        <f>VLOOKUP(A50,'sector BdP'!$A$2:$C$72,3,0)</f>
        <v>Trusts and other similar activities</v>
      </c>
    </row>
    <row r="51" spans="1:8" x14ac:dyDescent="0.35">
      <c r="A51" s="4" t="s">
        <v>120</v>
      </c>
      <c r="B51" s="2" t="s">
        <v>5</v>
      </c>
      <c r="C51" s="2" t="s">
        <v>121</v>
      </c>
      <c r="D51" s="2" t="s">
        <v>121</v>
      </c>
      <c r="E51" s="2" t="s">
        <v>352</v>
      </c>
      <c r="F51" s="2" t="s">
        <v>338</v>
      </c>
      <c r="G51" s="42" t="s">
        <v>338</v>
      </c>
      <c r="H51" s="5" t="str">
        <f>VLOOKUP(A51,'sector BdP'!$A$2:$C$72,3,0)</f>
        <v>Special purpose entities obtaining financing for parent company</v>
      </c>
    </row>
    <row r="52" spans="1:8" x14ac:dyDescent="0.35">
      <c r="A52" s="4" t="s">
        <v>122</v>
      </c>
      <c r="B52" s="2" t="s">
        <v>5</v>
      </c>
      <c r="C52" s="2" t="s">
        <v>123</v>
      </c>
      <c r="D52" s="2" t="s">
        <v>123</v>
      </c>
      <c r="E52" s="2" t="s">
        <v>352</v>
      </c>
      <c r="F52" s="2" t="s">
        <v>338</v>
      </c>
      <c r="G52" s="42" t="s">
        <v>338</v>
      </c>
      <c r="H52" s="5" t="str">
        <f>VLOOKUP(A52,'sector BdP'!$A$2:$C$72,3,0)</f>
        <v>Other captive financial institutions and money lenders</v>
      </c>
    </row>
    <row r="53" spans="1:8" x14ac:dyDescent="0.35">
      <c r="A53" s="4" t="s">
        <v>124</v>
      </c>
      <c r="B53" s="2" t="s">
        <v>125</v>
      </c>
      <c r="C53" s="2" t="s">
        <v>126</v>
      </c>
      <c r="D53" s="2" t="s">
        <v>126</v>
      </c>
      <c r="E53" s="2" t="s">
        <v>351</v>
      </c>
      <c r="F53" s="2" t="s">
        <v>358</v>
      </c>
      <c r="G53" s="42" t="s">
        <v>339</v>
      </c>
      <c r="H53" s="5" t="str">
        <f>VLOOKUP(A53,'sector BdP'!$A$2:$C$72,3,0)</f>
        <v>Insurance corporations</v>
      </c>
    </row>
    <row r="54" spans="1:8" x14ac:dyDescent="0.35">
      <c r="A54" s="4" t="s">
        <v>127</v>
      </c>
      <c r="B54" s="2" t="s">
        <v>5</v>
      </c>
      <c r="C54" s="2" t="s">
        <v>128</v>
      </c>
      <c r="D54" s="2" t="s">
        <v>128</v>
      </c>
      <c r="E54" s="2" t="s">
        <v>352</v>
      </c>
      <c r="F54" s="2" t="s">
        <v>358</v>
      </c>
      <c r="G54" s="42" t="s">
        <v>339</v>
      </c>
      <c r="H54" s="5" t="str">
        <f>VLOOKUP(A54,'sector BdP'!$A$2:$C$72,3,0)</f>
        <v>Insurance corporations</v>
      </c>
    </row>
    <row r="55" spans="1:8" x14ac:dyDescent="0.35">
      <c r="A55" s="4" t="s">
        <v>129</v>
      </c>
      <c r="B55" s="2" t="s">
        <v>5</v>
      </c>
      <c r="C55" s="2" t="s">
        <v>130</v>
      </c>
      <c r="D55" s="2" t="s">
        <v>130</v>
      </c>
      <c r="E55" s="2" t="s">
        <v>352</v>
      </c>
      <c r="F55" s="2" t="s">
        <v>358</v>
      </c>
      <c r="G55" s="42" t="s">
        <v>339</v>
      </c>
      <c r="H55" s="5" t="str">
        <f>VLOOKUP(A55,'sector BdP'!$A$2:$C$72,3,0)</f>
        <v>Mutual entities</v>
      </c>
    </row>
    <row r="56" spans="1:8" x14ac:dyDescent="0.35">
      <c r="A56" s="4" t="s">
        <v>131</v>
      </c>
      <c r="B56" s="2" t="s">
        <v>132</v>
      </c>
      <c r="C56" s="2" t="s">
        <v>133</v>
      </c>
      <c r="D56" s="2" t="s">
        <v>133</v>
      </c>
      <c r="E56" s="2" t="s">
        <v>351</v>
      </c>
      <c r="F56" s="2" t="s">
        <v>359</v>
      </c>
      <c r="G56" s="42" t="s">
        <v>340</v>
      </c>
      <c r="H56" s="5" t="str">
        <f>VLOOKUP(A56,'sector BdP'!$A$2:$C$72,3,0)</f>
        <v>Pension funds</v>
      </c>
    </row>
    <row r="57" spans="1:8" x14ac:dyDescent="0.35">
      <c r="A57" s="4" t="s">
        <v>134</v>
      </c>
      <c r="B57" s="2" t="s">
        <v>5</v>
      </c>
      <c r="C57" s="2" t="s">
        <v>135</v>
      </c>
      <c r="D57" s="2" t="s">
        <v>135</v>
      </c>
      <c r="E57" s="2" t="s">
        <v>352</v>
      </c>
      <c r="F57" s="2" t="s">
        <v>360</v>
      </c>
      <c r="G57" s="42" t="s">
        <v>341</v>
      </c>
      <c r="H57" s="5" t="str">
        <f>VLOOKUP(A57,'sector BdP'!$A$2:$C$72,3,0)</f>
        <v>General government</v>
      </c>
    </row>
    <row r="58" spans="1:8" x14ac:dyDescent="0.35">
      <c r="A58" s="4" t="s">
        <v>136</v>
      </c>
      <c r="B58" s="2" t="s">
        <v>5</v>
      </c>
      <c r="C58" s="2" t="s">
        <v>137</v>
      </c>
      <c r="D58" s="2" t="s">
        <v>137</v>
      </c>
      <c r="E58" s="2" t="s">
        <v>352</v>
      </c>
      <c r="F58" s="2" t="s">
        <v>341</v>
      </c>
      <c r="G58" s="42" t="s">
        <v>341</v>
      </c>
      <c r="H58" s="5" t="str">
        <f>VLOOKUP(A58,'sector BdP'!$A$2:$C$72,3,0)</f>
        <v>Central government (excluding social security funds)</v>
      </c>
    </row>
    <row r="59" spans="1:8" x14ac:dyDescent="0.35">
      <c r="A59" s="4" t="s">
        <v>138</v>
      </c>
      <c r="B59" s="2" t="s">
        <v>139</v>
      </c>
      <c r="C59" s="2" t="s">
        <v>140</v>
      </c>
      <c r="D59" s="2" t="s">
        <v>140</v>
      </c>
      <c r="E59" s="2" t="s">
        <v>351</v>
      </c>
      <c r="F59" s="2" t="s">
        <v>341</v>
      </c>
      <c r="G59" s="42" t="s">
        <v>341</v>
      </c>
      <c r="H59" s="5" t="str">
        <f>VLOOKUP(A59,'sector BdP'!$A$2:$C$72,3,0)</f>
        <v>State</v>
      </c>
    </row>
    <row r="60" spans="1:8" x14ac:dyDescent="0.35">
      <c r="A60" s="4" t="s">
        <v>141</v>
      </c>
      <c r="B60" s="2" t="s">
        <v>142</v>
      </c>
      <c r="C60" s="2" t="s">
        <v>143</v>
      </c>
      <c r="D60" s="2" t="s">
        <v>143</v>
      </c>
      <c r="E60" s="2" t="s">
        <v>351</v>
      </c>
      <c r="F60" s="2" t="s">
        <v>341</v>
      </c>
      <c r="G60" s="42" t="s">
        <v>341</v>
      </c>
      <c r="H60" s="5" t="str">
        <f>VLOOKUP(A60,'sector BdP'!$A$2:$C$72,3,0)</f>
        <v>Autonomous Services and Funds of Central Government</v>
      </c>
    </row>
    <row r="61" spans="1:8" x14ac:dyDescent="0.35">
      <c r="A61" s="4" t="s">
        <v>144</v>
      </c>
      <c r="B61" s="2" t="s">
        <v>145</v>
      </c>
      <c r="C61" s="2" t="s">
        <v>146</v>
      </c>
      <c r="D61" s="2" t="s">
        <v>146</v>
      </c>
      <c r="E61" s="2" t="s">
        <v>351</v>
      </c>
      <c r="F61" s="2" t="s">
        <v>341</v>
      </c>
      <c r="G61" s="2" t="s">
        <v>341</v>
      </c>
      <c r="H61" s="5" t="str">
        <f>VLOOKUP(A61,'sector BdP'!$A$2:$C$72,3,0)</f>
        <v>Public Corporations of Central Government</v>
      </c>
    </row>
    <row r="62" spans="1:8" x14ac:dyDescent="0.35">
      <c r="A62" s="4" t="s">
        <v>147</v>
      </c>
      <c r="B62" s="2" t="s">
        <v>148</v>
      </c>
      <c r="C62" s="2" t="s">
        <v>149</v>
      </c>
      <c r="D62" s="2" t="s">
        <v>149</v>
      </c>
      <c r="E62" s="2" t="s">
        <v>351</v>
      </c>
      <c r="F62" s="2" t="s">
        <v>341</v>
      </c>
      <c r="G62" s="2" t="s">
        <v>341</v>
      </c>
      <c r="H62" s="5" t="str">
        <f>VLOOKUP(A62,'sector BdP'!$A$2:$C$72,3,0)</f>
        <v>Non Profit Institutions of Central Government</v>
      </c>
    </row>
    <row r="63" spans="1:8" x14ac:dyDescent="0.35">
      <c r="A63" s="4" t="s">
        <v>150</v>
      </c>
      <c r="B63" s="2" t="s">
        <v>5</v>
      </c>
      <c r="C63" s="2" t="s">
        <v>151</v>
      </c>
      <c r="D63" s="2" t="s">
        <v>151</v>
      </c>
      <c r="E63" s="2" t="s">
        <v>352</v>
      </c>
      <c r="F63" s="2" t="s">
        <v>342</v>
      </c>
      <c r="G63" s="2" t="s">
        <v>342</v>
      </c>
      <c r="H63" s="5" t="str">
        <f>VLOOKUP(A63,'sector BdP'!$A$2:$C$72,3,0)</f>
        <v>Regional government</v>
      </c>
    </row>
    <row r="64" spans="1:8" x14ac:dyDescent="0.35">
      <c r="A64" s="4" t="s">
        <v>152</v>
      </c>
      <c r="B64" s="2" t="s">
        <v>153</v>
      </c>
      <c r="C64" s="2" t="s">
        <v>5</v>
      </c>
      <c r="D64" s="2" t="s">
        <v>153</v>
      </c>
      <c r="E64" s="2" t="s">
        <v>351</v>
      </c>
      <c r="F64" s="2" t="s">
        <v>342</v>
      </c>
      <c r="G64" s="2" t="s">
        <v>342</v>
      </c>
      <c r="H64" s="5" t="str">
        <f>VLOOKUP(A64,'sector BdP'!$A$2:$C$72,3,0)</f>
        <v>Autonomous Region of Azores</v>
      </c>
    </row>
    <row r="65" spans="1:8" x14ac:dyDescent="0.35">
      <c r="A65" s="4" t="s">
        <v>154</v>
      </c>
      <c r="B65" s="2" t="s">
        <v>155</v>
      </c>
      <c r="C65" s="2" t="s">
        <v>5</v>
      </c>
      <c r="D65" s="2" t="s">
        <v>155</v>
      </c>
      <c r="E65" s="2" t="s">
        <v>351</v>
      </c>
      <c r="F65" s="2" t="s">
        <v>342</v>
      </c>
      <c r="G65" s="2" t="s">
        <v>342</v>
      </c>
      <c r="H65" s="5" t="str">
        <f>VLOOKUP(A65,'sector BdP'!$A$2:$C$72,3,0)</f>
        <v>Autonomous Region of Madeira</v>
      </c>
    </row>
    <row r="66" spans="1:8" x14ac:dyDescent="0.35">
      <c r="A66" s="4" t="s">
        <v>156</v>
      </c>
      <c r="B66" s="2" t="s">
        <v>5</v>
      </c>
      <c r="C66" s="2" t="s">
        <v>157</v>
      </c>
      <c r="D66" s="2" t="s">
        <v>157</v>
      </c>
      <c r="E66" s="2" t="s">
        <v>352</v>
      </c>
      <c r="F66" s="2" t="s">
        <v>342</v>
      </c>
      <c r="G66" s="2" t="s">
        <v>342</v>
      </c>
      <c r="H66" s="5"/>
    </row>
    <row r="67" spans="1:8" x14ac:dyDescent="0.35">
      <c r="A67" s="4" t="s">
        <v>158</v>
      </c>
      <c r="B67" s="2" t="s">
        <v>5</v>
      </c>
      <c r="C67" s="2" t="s">
        <v>159</v>
      </c>
      <c r="D67" s="2" t="s">
        <v>159</v>
      </c>
      <c r="E67" s="2" t="s">
        <v>352</v>
      </c>
      <c r="F67" s="2" t="s">
        <v>342</v>
      </c>
      <c r="G67" s="2" t="s">
        <v>342</v>
      </c>
      <c r="H67" s="5"/>
    </row>
    <row r="68" spans="1:8" x14ac:dyDescent="0.35">
      <c r="A68" s="4" t="s">
        <v>160</v>
      </c>
      <c r="B68" s="2" t="s">
        <v>5</v>
      </c>
      <c r="C68" s="2" t="s">
        <v>161</v>
      </c>
      <c r="D68" s="2" t="s">
        <v>161</v>
      </c>
      <c r="E68" s="2" t="s">
        <v>352</v>
      </c>
      <c r="F68" s="2" t="s">
        <v>342</v>
      </c>
      <c r="G68" s="2" t="s">
        <v>342</v>
      </c>
      <c r="H68" s="5"/>
    </row>
    <row r="69" spans="1:8" x14ac:dyDescent="0.35">
      <c r="A69" s="4" t="s">
        <v>162</v>
      </c>
      <c r="B69" s="2" t="s">
        <v>5</v>
      </c>
      <c r="C69" s="2" t="s">
        <v>163</v>
      </c>
      <c r="D69" s="2" t="s">
        <v>163</v>
      </c>
      <c r="E69" s="2" t="s">
        <v>352</v>
      </c>
      <c r="F69" s="2" t="s">
        <v>342</v>
      </c>
      <c r="G69" s="2" t="s">
        <v>342</v>
      </c>
      <c r="H69" s="5"/>
    </row>
    <row r="70" spans="1:8" x14ac:dyDescent="0.35">
      <c r="A70" s="4" t="s">
        <v>164</v>
      </c>
      <c r="B70" s="2" t="s">
        <v>5</v>
      </c>
      <c r="C70" s="2" t="s">
        <v>165</v>
      </c>
      <c r="D70" s="2" t="s">
        <v>165</v>
      </c>
      <c r="E70" s="2" t="s">
        <v>352</v>
      </c>
      <c r="F70" s="2" t="s">
        <v>343</v>
      </c>
      <c r="G70" s="2" t="s">
        <v>343</v>
      </c>
      <c r="H70" s="5" t="str">
        <f>VLOOKUP(A70,'sector BdP'!$A$2:$C$72,3,0)</f>
        <v>Local government</v>
      </c>
    </row>
    <row r="71" spans="1:8" x14ac:dyDescent="0.35">
      <c r="A71" s="4" t="s">
        <v>166</v>
      </c>
      <c r="B71" s="2" t="s">
        <v>167</v>
      </c>
      <c r="C71" s="2" t="s">
        <v>5</v>
      </c>
      <c r="D71" s="2" t="s">
        <v>167</v>
      </c>
      <c r="E71" s="2" t="s">
        <v>351</v>
      </c>
      <c r="F71" s="2" t="e">
        <v>#N/A</v>
      </c>
      <c r="G71" s="2" t="s">
        <v>343</v>
      </c>
      <c r="H71" s="5" t="str">
        <f>VLOOKUP(A71,'sector BdP'!$A$2:$C$72,3,0)</f>
        <v>Local Government - Mainland</v>
      </c>
    </row>
    <row r="72" spans="1:8" x14ac:dyDescent="0.35">
      <c r="A72" s="4" t="s">
        <v>168</v>
      </c>
      <c r="B72" s="2" t="s">
        <v>169</v>
      </c>
      <c r="C72" s="2" t="s">
        <v>5</v>
      </c>
      <c r="D72" s="2" t="s">
        <v>169</v>
      </c>
      <c r="E72" s="2" t="s">
        <v>351</v>
      </c>
      <c r="F72" s="2" t="e">
        <v>#N/A</v>
      </c>
      <c r="G72" s="2" t="s">
        <v>343</v>
      </c>
      <c r="H72" s="5" t="str">
        <f>VLOOKUP(A72,'sector BdP'!$A$2:$C$72,3,0)</f>
        <v>Local Government - Azores</v>
      </c>
    </row>
    <row r="73" spans="1:8" x14ac:dyDescent="0.35">
      <c r="A73" s="4" t="s">
        <v>170</v>
      </c>
      <c r="B73" s="2" t="s">
        <v>171</v>
      </c>
      <c r="C73" s="2" t="s">
        <v>5</v>
      </c>
      <c r="D73" s="2" t="s">
        <v>171</v>
      </c>
      <c r="E73" s="2" t="s">
        <v>351</v>
      </c>
      <c r="F73" s="2" t="e">
        <v>#N/A</v>
      </c>
      <c r="G73" s="2" t="s">
        <v>343</v>
      </c>
      <c r="H73" s="5" t="str">
        <f>VLOOKUP(A73,'sector BdP'!$A$2:$C$72,3,0)</f>
        <v>Local Government - Madeira</v>
      </c>
    </row>
    <row r="74" spans="1:8" x14ac:dyDescent="0.35">
      <c r="A74" s="4" t="s">
        <v>172</v>
      </c>
      <c r="B74" s="2" t="s">
        <v>5</v>
      </c>
      <c r="C74" s="2" t="s">
        <v>173</v>
      </c>
      <c r="D74" s="2" t="s">
        <v>173</v>
      </c>
      <c r="E74" s="2" t="s">
        <v>352</v>
      </c>
      <c r="F74" s="2" t="s">
        <v>343</v>
      </c>
      <c r="G74" s="2" t="s">
        <v>343</v>
      </c>
      <c r="H74" s="5"/>
    </row>
    <row r="75" spans="1:8" x14ac:dyDescent="0.35">
      <c r="A75" s="4" t="s">
        <v>174</v>
      </c>
      <c r="B75" s="2" t="s">
        <v>5</v>
      </c>
      <c r="C75" s="2" t="s">
        <v>175</v>
      </c>
      <c r="D75" s="2" t="s">
        <v>175</v>
      </c>
      <c r="E75" s="2" t="s">
        <v>352</v>
      </c>
      <c r="F75" s="2" t="s">
        <v>343</v>
      </c>
      <c r="G75" s="2" t="s">
        <v>343</v>
      </c>
      <c r="H75" s="5"/>
    </row>
    <row r="76" spans="1:8" x14ac:dyDescent="0.35">
      <c r="A76" s="4" t="s">
        <v>176</v>
      </c>
      <c r="B76" s="2" t="s">
        <v>5</v>
      </c>
      <c r="C76" s="2" t="s">
        <v>177</v>
      </c>
      <c r="D76" s="2" t="s">
        <v>177</v>
      </c>
      <c r="E76" s="2" t="s">
        <v>352</v>
      </c>
      <c r="F76" s="2" t="s">
        <v>343</v>
      </c>
      <c r="G76" s="2" t="s">
        <v>343</v>
      </c>
      <c r="H76" s="5"/>
    </row>
    <row r="77" spans="1:8" x14ac:dyDescent="0.35">
      <c r="A77" s="4" t="s">
        <v>178</v>
      </c>
      <c r="B77" s="2" t="s">
        <v>5</v>
      </c>
      <c r="C77" s="2" t="s">
        <v>179</v>
      </c>
      <c r="D77" s="2" t="s">
        <v>179</v>
      </c>
      <c r="E77" s="2" t="s">
        <v>352</v>
      </c>
      <c r="F77" s="2" t="s">
        <v>343</v>
      </c>
      <c r="G77" s="2" t="s">
        <v>343</v>
      </c>
      <c r="H77" s="5"/>
    </row>
    <row r="78" spans="1:8" x14ac:dyDescent="0.35">
      <c r="A78" s="4" t="s">
        <v>180</v>
      </c>
      <c r="B78" s="2" t="s">
        <v>5</v>
      </c>
      <c r="C78" s="2" t="s">
        <v>181</v>
      </c>
      <c r="D78" s="2" t="s">
        <v>181</v>
      </c>
      <c r="E78" s="2" t="s">
        <v>352</v>
      </c>
      <c r="F78" s="2" t="s">
        <v>343</v>
      </c>
      <c r="G78" s="2" t="s">
        <v>343</v>
      </c>
      <c r="H78" s="5"/>
    </row>
    <row r="79" spans="1:8" x14ac:dyDescent="0.35">
      <c r="A79" s="4" t="s">
        <v>182</v>
      </c>
      <c r="B79" s="2" t="s">
        <v>5</v>
      </c>
      <c r="C79" s="2" t="s">
        <v>183</v>
      </c>
      <c r="D79" s="2" t="s">
        <v>183</v>
      </c>
      <c r="E79" s="2" t="s">
        <v>352</v>
      </c>
      <c r="F79" s="2" t="s">
        <v>343</v>
      </c>
      <c r="G79" s="2" t="s">
        <v>343</v>
      </c>
      <c r="H79" s="5"/>
    </row>
    <row r="80" spans="1:8" x14ac:dyDescent="0.35">
      <c r="A80" s="4" t="s">
        <v>184</v>
      </c>
      <c r="B80" s="2" t="s">
        <v>185</v>
      </c>
      <c r="C80" s="2" t="s">
        <v>186</v>
      </c>
      <c r="D80" s="2" t="s">
        <v>186</v>
      </c>
      <c r="E80" s="2" t="s">
        <v>351</v>
      </c>
      <c r="F80" s="2" t="s">
        <v>344</v>
      </c>
      <c r="G80" s="2" t="s">
        <v>344</v>
      </c>
      <c r="H80" s="5" t="str">
        <f>VLOOKUP(A80,'sector BdP'!$A$2:$C$72,3,0)</f>
        <v>Social Security Funds</v>
      </c>
    </row>
    <row r="81" spans="1:8" x14ac:dyDescent="0.35">
      <c r="A81" s="4" t="s">
        <v>187</v>
      </c>
      <c r="B81" s="2" t="s">
        <v>188</v>
      </c>
      <c r="C81" s="2" t="s">
        <v>189</v>
      </c>
      <c r="D81" s="2" t="s">
        <v>189</v>
      </c>
      <c r="E81" s="2" t="s">
        <v>351</v>
      </c>
      <c r="F81" s="2" t="s">
        <v>361</v>
      </c>
      <c r="G81" s="43" t="s">
        <v>534</v>
      </c>
      <c r="H81" s="5" t="str">
        <f>VLOOKUP(A81,'sector BdP'!$A$2:$C$72,3,0)</f>
        <v>Households</v>
      </c>
    </row>
    <row r="82" spans="1:8" x14ac:dyDescent="0.35">
      <c r="A82" s="4" t="s">
        <v>190</v>
      </c>
      <c r="B82" s="2" t="s">
        <v>5</v>
      </c>
      <c r="C82" s="2" t="s">
        <v>191</v>
      </c>
      <c r="D82" s="2" t="s">
        <v>191</v>
      </c>
      <c r="E82" s="2" t="s">
        <v>352</v>
      </c>
      <c r="F82" s="2" t="s">
        <v>361</v>
      </c>
      <c r="G82" s="43" t="s">
        <v>534</v>
      </c>
      <c r="H82" s="5"/>
    </row>
    <row r="83" spans="1:8" x14ac:dyDescent="0.35">
      <c r="A83" s="4" t="s">
        <v>192</v>
      </c>
      <c r="B83" s="2" t="s">
        <v>5</v>
      </c>
      <c r="C83" s="2" t="s">
        <v>193</v>
      </c>
      <c r="D83" s="2" t="s">
        <v>193</v>
      </c>
      <c r="E83" s="2" t="s">
        <v>352</v>
      </c>
      <c r="F83" s="2" t="s">
        <v>361</v>
      </c>
      <c r="G83" s="43" t="s">
        <v>534</v>
      </c>
      <c r="H83" s="5"/>
    </row>
    <row r="84" spans="1:8" x14ac:dyDescent="0.35">
      <c r="A84" s="4" t="s">
        <v>194</v>
      </c>
      <c r="B84" s="2" t="s">
        <v>5</v>
      </c>
      <c r="C84" s="2" t="s">
        <v>195</v>
      </c>
      <c r="D84" s="2" t="s">
        <v>195</v>
      </c>
      <c r="E84" s="2" t="s">
        <v>352</v>
      </c>
      <c r="F84" s="2" t="s">
        <v>361</v>
      </c>
      <c r="G84" s="43" t="s">
        <v>534</v>
      </c>
      <c r="H84" s="5"/>
    </row>
    <row r="85" spans="1:8" x14ac:dyDescent="0.35">
      <c r="A85" s="4" t="s">
        <v>196</v>
      </c>
      <c r="B85" s="2" t="s">
        <v>5</v>
      </c>
      <c r="C85" s="2" t="s">
        <v>197</v>
      </c>
      <c r="D85" s="2" t="s">
        <v>197</v>
      </c>
      <c r="E85" s="2" t="s">
        <v>352</v>
      </c>
      <c r="F85" s="2" t="s">
        <v>361</v>
      </c>
      <c r="G85" s="43" t="s">
        <v>534</v>
      </c>
      <c r="H85" s="5"/>
    </row>
    <row r="86" spans="1:8" x14ac:dyDescent="0.35">
      <c r="A86" s="4" t="s">
        <v>198</v>
      </c>
      <c r="B86" s="2" t="s">
        <v>5</v>
      </c>
      <c r="C86" s="2" t="s">
        <v>199</v>
      </c>
      <c r="D86" s="2" t="s">
        <v>199</v>
      </c>
      <c r="E86" s="2" t="s">
        <v>352</v>
      </c>
      <c r="F86" s="2" t="s">
        <v>361</v>
      </c>
      <c r="G86" s="43" t="s">
        <v>534</v>
      </c>
      <c r="H86" s="5"/>
    </row>
    <row r="87" spans="1:8" x14ac:dyDescent="0.35">
      <c r="A87" s="4" t="s">
        <v>200</v>
      </c>
      <c r="B87" s="2" t="s">
        <v>5</v>
      </c>
      <c r="C87" s="2" t="s">
        <v>201</v>
      </c>
      <c r="D87" s="2" t="s">
        <v>201</v>
      </c>
      <c r="E87" s="2" t="s">
        <v>352</v>
      </c>
      <c r="F87" s="2" t="s">
        <v>361</v>
      </c>
      <c r="G87" s="43" t="s">
        <v>534</v>
      </c>
      <c r="H87" s="5"/>
    </row>
    <row r="88" spans="1:8" x14ac:dyDescent="0.35">
      <c r="A88" s="4" t="s">
        <v>202</v>
      </c>
      <c r="B88" s="2" t="s">
        <v>5</v>
      </c>
      <c r="C88" s="2" t="s">
        <v>203</v>
      </c>
      <c r="D88" s="2" t="s">
        <v>203</v>
      </c>
      <c r="E88" s="2" t="s">
        <v>352</v>
      </c>
      <c r="F88" s="2" t="s">
        <v>361</v>
      </c>
      <c r="G88" s="43" t="s">
        <v>534</v>
      </c>
      <c r="H88" s="5"/>
    </row>
    <row r="89" spans="1:8" x14ac:dyDescent="0.35">
      <c r="A89" s="4" t="s">
        <v>204</v>
      </c>
      <c r="B89" s="2" t="s">
        <v>205</v>
      </c>
      <c r="C89" s="2" t="s">
        <v>206</v>
      </c>
      <c r="D89" s="2" t="s">
        <v>206</v>
      </c>
      <c r="E89" s="2" t="s">
        <v>351</v>
      </c>
      <c r="F89" s="2" t="s">
        <v>362</v>
      </c>
      <c r="G89" s="2" t="s">
        <v>345</v>
      </c>
      <c r="H89" s="5" t="str">
        <f>VLOOKUP(A89,'sector BdP'!$A$2:$C$72,3,0)</f>
        <v>Non Profit Institutions serving households</v>
      </c>
    </row>
    <row r="90" spans="1:8" x14ac:dyDescent="0.35">
      <c r="A90" s="4" t="s">
        <v>207</v>
      </c>
      <c r="B90" s="2" t="s">
        <v>208</v>
      </c>
      <c r="C90" s="2" t="s">
        <v>5</v>
      </c>
      <c r="D90" s="2" t="s">
        <v>208</v>
      </c>
      <c r="E90" s="2" t="s">
        <v>351</v>
      </c>
      <c r="F90" s="2" t="e">
        <v>#N/A</v>
      </c>
      <c r="G90" s="43" t="s">
        <v>534</v>
      </c>
      <c r="H90" s="5" t="str">
        <f>VLOOKUP(A90,'sector BdP'!$A$2:$C$72,3,0)</f>
        <v>Emigrants</v>
      </c>
    </row>
    <row r="91" spans="1:8" x14ac:dyDescent="0.35">
      <c r="A91" s="4" t="s">
        <v>209</v>
      </c>
      <c r="B91" s="2" t="s">
        <v>210</v>
      </c>
      <c r="C91" s="2" t="s">
        <v>211</v>
      </c>
      <c r="D91" s="2" t="s">
        <v>211</v>
      </c>
      <c r="E91" s="2" t="s">
        <v>351</v>
      </c>
      <c r="F91" s="2" t="s">
        <v>210</v>
      </c>
      <c r="G91" s="42" t="s">
        <v>330</v>
      </c>
      <c r="H91" s="5"/>
    </row>
    <row r="92" spans="1:8" x14ac:dyDescent="0.35">
      <c r="A92" s="4" t="s">
        <v>212</v>
      </c>
      <c r="B92" s="2" t="s">
        <v>5</v>
      </c>
      <c r="C92" s="2" t="s">
        <v>213</v>
      </c>
      <c r="D92" s="2" t="s">
        <v>213</v>
      </c>
      <c r="E92" s="2" t="s">
        <v>352</v>
      </c>
      <c r="F92" s="2" t="e">
        <v>#N/A</v>
      </c>
      <c r="G92" s="42" t="s">
        <v>332</v>
      </c>
      <c r="H92" s="5"/>
    </row>
    <row r="93" spans="1:8" x14ac:dyDescent="0.35">
      <c r="A93" s="4" t="s">
        <v>214</v>
      </c>
      <c r="B93" s="2" t="s">
        <v>215</v>
      </c>
      <c r="C93" s="2" t="s">
        <v>216</v>
      </c>
      <c r="D93" s="2" t="s">
        <v>216</v>
      </c>
      <c r="E93" s="2" t="s">
        <v>351</v>
      </c>
      <c r="F93" s="2" t="e">
        <v>#N/A</v>
      </c>
      <c r="G93" s="42" t="s">
        <v>331</v>
      </c>
      <c r="H93" s="5"/>
    </row>
    <row r="94" spans="1:8" x14ac:dyDescent="0.35">
      <c r="A94" s="4" t="s">
        <v>217</v>
      </c>
      <c r="B94" s="2" t="s">
        <v>5</v>
      </c>
      <c r="C94" s="2" t="s">
        <v>218</v>
      </c>
      <c r="D94" s="2" t="s">
        <v>218</v>
      </c>
      <c r="E94" s="2" t="s">
        <v>352</v>
      </c>
      <c r="F94" s="2" t="e">
        <v>#N/A</v>
      </c>
      <c r="G94" s="42" t="s">
        <v>333</v>
      </c>
      <c r="H94" s="5"/>
    </row>
    <row r="95" spans="1:8" x14ac:dyDescent="0.35">
      <c r="A95" s="4" t="s">
        <v>219</v>
      </c>
      <c r="B95" s="2" t="s">
        <v>220</v>
      </c>
      <c r="C95" s="2" t="s">
        <v>5</v>
      </c>
      <c r="D95" s="2" t="s">
        <v>220</v>
      </c>
      <c r="E95" s="2" t="s">
        <v>351</v>
      </c>
      <c r="F95" s="2" t="e">
        <v>#N/A</v>
      </c>
      <c r="G95" s="42" t="s">
        <v>333</v>
      </c>
      <c r="H95" s="5"/>
    </row>
    <row r="96" spans="1:8" x14ac:dyDescent="0.35">
      <c r="A96" s="4" t="s">
        <v>221</v>
      </c>
      <c r="B96" s="2" t="s">
        <v>222</v>
      </c>
      <c r="C96" s="2" t="s">
        <v>5</v>
      </c>
      <c r="D96" s="2" t="s">
        <v>222</v>
      </c>
      <c r="E96" s="2" t="s">
        <v>351</v>
      </c>
      <c r="F96" s="2" t="e">
        <v>#N/A</v>
      </c>
      <c r="G96" s="42" t="s">
        <v>333</v>
      </c>
      <c r="H96" s="5"/>
    </row>
    <row r="97" spans="1:8" x14ac:dyDescent="0.35">
      <c r="A97" s="4" t="s">
        <v>223</v>
      </c>
      <c r="B97" s="2" t="s">
        <v>224</v>
      </c>
      <c r="C97" s="2" t="s">
        <v>5</v>
      </c>
      <c r="D97" s="2" t="s">
        <v>224</v>
      </c>
      <c r="E97" s="2" t="s">
        <v>351</v>
      </c>
      <c r="F97" s="2" t="e">
        <v>#N/A</v>
      </c>
      <c r="G97" s="42" t="s">
        <v>333</v>
      </c>
      <c r="H97" s="5"/>
    </row>
    <row r="98" spans="1:8" x14ac:dyDescent="0.35">
      <c r="A98" s="4" t="s">
        <v>225</v>
      </c>
      <c r="B98" s="2" t="s">
        <v>5</v>
      </c>
      <c r="C98" s="2" t="s">
        <v>226</v>
      </c>
      <c r="D98" s="2" t="s">
        <v>226</v>
      </c>
      <c r="E98" s="2" t="s">
        <v>352</v>
      </c>
      <c r="F98" s="2" t="e">
        <v>#N/A</v>
      </c>
      <c r="G98" s="42" t="s">
        <v>334</v>
      </c>
      <c r="H98" s="5"/>
    </row>
    <row r="99" spans="1:8" x14ac:dyDescent="0.35">
      <c r="A99" s="4" t="s">
        <v>227</v>
      </c>
      <c r="B99" s="2" t="s">
        <v>228</v>
      </c>
      <c r="C99" s="2" t="s">
        <v>5</v>
      </c>
      <c r="D99" s="2" t="s">
        <v>228</v>
      </c>
      <c r="E99" s="2" t="s">
        <v>352</v>
      </c>
      <c r="F99" s="2" t="e">
        <v>#N/A</v>
      </c>
      <c r="G99" s="42" t="s">
        <v>334</v>
      </c>
      <c r="H99" s="5"/>
    </row>
    <row r="100" spans="1:8" x14ac:dyDescent="0.35">
      <c r="A100" s="4" t="s">
        <v>229</v>
      </c>
      <c r="B100" s="2" t="s">
        <v>230</v>
      </c>
      <c r="C100" s="2" t="s">
        <v>5</v>
      </c>
      <c r="D100" s="2" t="s">
        <v>230</v>
      </c>
      <c r="E100" s="2" t="s">
        <v>352</v>
      </c>
      <c r="F100" s="2" t="e">
        <v>#N/A</v>
      </c>
      <c r="G100" s="42" t="s">
        <v>334</v>
      </c>
      <c r="H100" s="5"/>
    </row>
    <row r="101" spans="1:8" x14ac:dyDescent="0.35">
      <c r="A101" s="4" t="s">
        <v>231</v>
      </c>
      <c r="B101" s="2" t="s">
        <v>232</v>
      </c>
      <c r="C101" s="2" t="s">
        <v>233</v>
      </c>
      <c r="D101" s="2" t="s">
        <v>233</v>
      </c>
      <c r="E101" s="2" t="s">
        <v>351</v>
      </c>
      <c r="F101" s="2" t="e">
        <v>#N/A</v>
      </c>
      <c r="G101" s="42" t="s">
        <v>335</v>
      </c>
      <c r="H101" s="5"/>
    </row>
    <row r="102" spans="1:8" x14ac:dyDescent="0.35">
      <c r="A102" s="4" t="s">
        <v>234</v>
      </c>
      <c r="B102" s="2" t="s">
        <v>5</v>
      </c>
      <c r="C102" s="2" t="s">
        <v>235</v>
      </c>
      <c r="D102" s="2" t="s">
        <v>235</v>
      </c>
      <c r="E102" s="2" t="s">
        <v>352</v>
      </c>
      <c r="F102" s="2" t="e">
        <v>#N/A</v>
      </c>
      <c r="G102" s="42" t="s">
        <v>336</v>
      </c>
      <c r="H102" s="51" t="s">
        <v>535</v>
      </c>
    </row>
    <row r="103" spans="1:8" x14ac:dyDescent="0.35">
      <c r="A103" s="4" t="s">
        <v>236</v>
      </c>
      <c r="B103" s="2" t="s">
        <v>237</v>
      </c>
      <c r="C103" s="2" t="s">
        <v>5</v>
      </c>
      <c r="D103" s="2" t="s">
        <v>237</v>
      </c>
      <c r="E103" s="2" t="s">
        <v>351</v>
      </c>
      <c r="F103" s="2" t="e">
        <v>#N/A</v>
      </c>
      <c r="G103" s="42" t="s">
        <v>336</v>
      </c>
      <c r="H103" s="51" t="s">
        <v>535</v>
      </c>
    </row>
    <row r="104" spans="1:8" x14ac:dyDescent="0.35">
      <c r="A104" s="4" t="s">
        <v>238</v>
      </c>
      <c r="B104" s="2" t="s">
        <v>239</v>
      </c>
      <c r="C104" s="2" t="s">
        <v>5</v>
      </c>
      <c r="D104" s="2" t="s">
        <v>239</v>
      </c>
      <c r="E104" s="2" t="s">
        <v>351</v>
      </c>
      <c r="F104" s="2" t="e">
        <v>#N/A</v>
      </c>
      <c r="G104" s="42" t="s">
        <v>336</v>
      </c>
      <c r="H104" s="51" t="s">
        <v>535</v>
      </c>
    </row>
    <row r="105" spans="1:8" x14ac:dyDescent="0.35">
      <c r="A105" s="4" t="s">
        <v>240</v>
      </c>
      <c r="B105" s="2" t="s">
        <v>241</v>
      </c>
      <c r="C105" s="2" t="s">
        <v>5</v>
      </c>
      <c r="D105" s="2" t="s">
        <v>241</v>
      </c>
      <c r="E105" s="2" t="s">
        <v>352</v>
      </c>
      <c r="F105" s="2" t="e">
        <v>#N/A</v>
      </c>
      <c r="G105" s="42" t="s">
        <v>336</v>
      </c>
      <c r="H105" s="51" t="s">
        <v>535</v>
      </c>
    </row>
    <row r="106" spans="1:8" x14ac:dyDescent="0.35">
      <c r="A106" s="4" t="s">
        <v>242</v>
      </c>
      <c r="B106" s="2" t="s">
        <v>243</v>
      </c>
      <c r="C106" s="2" t="s">
        <v>5</v>
      </c>
      <c r="D106" s="2" t="s">
        <v>243</v>
      </c>
      <c r="E106" s="2" t="s">
        <v>351</v>
      </c>
      <c r="F106" s="2" t="s">
        <v>243</v>
      </c>
      <c r="G106" s="42" t="s">
        <v>336</v>
      </c>
      <c r="H106" s="51" t="s">
        <v>535</v>
      </c>
    </row>
    <row r="107" spans="1:8" x14ac:dyDescent="0.35">
      <c r="A107" s="4" t="s">
        <v>244</v>
      </c>
      <c r="B107" s="2" t="s">
        <v>245</v>
      </c>
      <c r="C107" s="2" t="s">
        <v>5</v>
      </c>
      <c r="D107" s="2" t="s">
        <v>245</v>
      </c>
      <c r="E107" s="2" t="s">
        <v>351</v>
      </c>
      <c r="F107" s="2" t="e">
        <v>#N/A</v>
      </c>
      <c r="G107" s="42" t="s">
        <v>336</v>
      </c>
      <c r="H107" s="51" t="s">
        <v>535</v>
      </c>
    </row>
    <row r="108" spans="1:8" x14ac:dyDescent="0.35">
      <c r="A108" s="4" t="s">
        <v>246</v>
      </c>
      <c r="B108" s="2" t="s">
        <v>247</v>
      </c>
      <c r="C108" s="2" t="s">
        <v>248</v>
      </c>
      <c r="D108" s="2" t="s">
        <v>248</v>
      </c>
      <c r="E108" s="2" t="s">
        <v>351</v>
      </c>
      <c r="F108" s="2" t="e">
        <v>#N/A</v>
      </c>
      <c r="G108" s="42" t="s">
        <v>337</v>
      </c>
      <c r="H108" s="5"/>
    </row>
    <row r="109" spans="1:8" x14ac:dyDescent="0.35">
      <c r="A109" s="4" t="s">
        <v>249</v>
      </c>
      <c r="B109" s="2" t="s">
        <v>250</v>
      </c>
      <c r="C109" s="2" t="s">
        <v>251</v>
      </c>
      <c r="D109" s="2" t="s">
        <v>251</v>
      </c>
      <c r="E109" s="2" t="s">
        <v>351</v>
      </c>
      <c r="F109" s="2" t="e">
        <v>#N/A</v>
      </c>
      <c r="G109" s="42" t="s">
        <v>338</v>
      </c>
      <c r="H109" s="5"/>
    </row>
    <row r="110" spans="1:8" x14ac:dyDescent="0.35">
      <c r="A110" s="4" t="s">
        <v>252</v>
      </c>
      <c r="B110" s="2" t="s">
        <v>253</v>
      </c>
      <c r="C110" s="2" t="s">
        <v>254</v>
      </c>
      <c r="D110" s="2" t="s">
        <v>254</v>
      </c>
      <c r="E110" s="2" t="s">
        <v>351</v>
      </c>
      <c r="F110" s="2" t="e">
        <v>#N/A</v>
      </c>
      <c r="G110" s="42" t="s">
        <v>339</v>
      </c>
      <c r="H110" s="5"/>
    </row>
    <row r="111" spans="1:8" x14ac:dyDescent="0.35">
      <c r="A111" s="4" t="s">
        <v>255</v>
      </c>
      <c r="B111" s="2" t="s">
        <v>256</v>
      </c>
      <c r="C111" s="2" t="s">
        <v>257</v>
      </c>
      <c r="D111" s="2" t="s">
        <v>257</v>
      </c>
      <c r="E111" s="2" t="s">
        <v>351</v>
      </c>
      <c r="F111" s="2" t="e">
        <v>#N/A</v>
      </c>
      <c r="G111" s="42" t="s">
        <v>340</v>
      </c>
      <c r="H111" s="5"/>
    </row>
    <row r="112" spans="1:8" x14ac:dyDescent="0.35">
      <c r="A112" s="4" t="s">
        <v>258</v>
      </c>
      <c r="B112" s="2" t="s">
        <v>5</v>
      </c>
      <c r="C112" s="2" t="s">
        <v>259</v>
      </c>
      <c r="D112" s="2" t="s">
        <v>259</v>
      </c>
      <c r="E112" s="2" t="s">
        <v>352</v>
      </c>
      <c r="F112" s="2" t="e">
        <v>#N/A</v>
      </c>
      <c r="G112" s="42" t="s">
        <v>341</v>
      </c>
      <c r="H112" s="5"/>
    </row>
    <row r="113" spans="1:8" x14ac:dyDescent="0.35">
      <c r="A113" s="4" t="s">
        <v>260</v>
      </c>
      <c r="B113" s="2" t="s">
        <v>261</v>
      </c>
      <c r="C113" s="2" t="s">
        <v>5</v>
      </c>
      <c r="D113" s="2" t="s">
        <v>261</v>
      </c>
      <c r="E113" s="2" t="s">
        <v>351</v>
      </c>
      <c r="F113" s="2" t="s">
        <v>261</v>
      </c>
      <c r="G113" s="42" t="s">
        <v>341</v>
      </c>
      <c r="H113" s="5"/>
    </row>
    <row r="114" spans="1:8" x14ac:dyDescent="0.35">
      <c r="A114" s="4" t="s">
        <v>262</v>
      </c>
      <c r="B114" s="2" t="s">
        <v>263</v>
      </c>
      <c r="C114" s="2" t="s">
        <v>5</v>
      </c>
      <c r="D114" s="2" t="s">
        <v>263</v>
      </c>
      <c r="E114" s="2" t="s">
        <v>351</v>
      </c>
      <c r="F114" s="2" t="e">
        <v>#N/A</v>
      </c>
      <c r="G114" s="42" t="s">
        <v>342</v>
      </c>
      <c r="H114" s="5"/>
    </row>
    <row r="115" spans="1:8" x14ac:dyDescent="0.35">
      <c r="A115" s="4" t="s">
        <v>264</v>
      </c>
      <c r="B115" s="2" t="s">
        <v>265</v>
      </c>
      <c r="C115" s="2" t="s">
        <v>5</v>
      </c>
      <c r="D115" s="2" t="s">
        <v>265</v>
      </c>
      <c r="E115" s="2" t="s">
        <v>351</v>
      </c>
      <c r="F115" s="2" t="e">
        <v>#N/A</v>
      </c>
      <c r="G115" s="42" t="s">
        <v>343</v>
      </c>
      <c r="H115" s="5"/>
    </row>
    <row r="116" spans="1:8" x14ac:dyDescent="0.35">
      <c r="A116" s="4" t="s">
        <v>266</v>
      </c>
      <c r="B116" s="2" t="s">
        <v>267</v>
      </c>
      <c r="C116" s="2" t="s">
        <v>5</v>
      </c>
      <c r="D116" s="2" t="s">
        <v>267</v>
      </c>
      <c r="E116" s="2" t="s">
        <v>351</v>
      </c>
      <c r="F116" s="2" t="e">
        <v>#N/A</v>
      </c>
      <c r="G116" s="2" t="s">
        <v>344</v>
      </c>
      <c r="H116" s="5"/>
    </row>
    <row r="117" spans="1:8" x14ac:dyDescent="0.35">
      <c r="A117" s="4" t="s">
        <v>268</v>
      </c>
      <c r="B117" s="2" t="s">
        <v>269</v>
      </c>
      <c r="C117" s="2" t="s">
        <v>270</v>
      </c>
      <c r="D117" s="2" t="s">
        <v>270</v>
      </c>
      <c r="E117" s="2" t="s">
        <v>351</v>
      </c>
      <c r="F117" s="2" t="e">
        <v>#N/A</v>
      </c>
      <c r="G117" s="43" t="s">
        <v>534</v>
      </c>
      <c r="H117" s="5"/>
    </row>
    <row r="118" spans="1:8" x14ac:dyDescent="0.35">
      <c r="A118" s="4" t="s">
        <v>271</v>
      </c>
      <c r="B118" s="2" t="s">
        <v>5</v>
      </c>
      <c r="C118" s="2" t="s">
        <v>272</v>
      </c>
      <c r="D118" s="2" t="s">
        <v>272</v>
      </c>
      <c r="E118" s="2" t="s">
        <v>352</v>
      </c>
      <c r="F118" s="2" t="e">
        <v>#N/A</v>
      </c>
      <c r="G118" s="43" t="s">
        <v>534</v>
      </c>
      <c r="H118" s="5"/>
    </row>
    <row r="119" spans="1:8" x14ac:dyDescent="0.35">
      <c r="A119" s="4" t="s">
        <v>273</v>
      </c>
      <c r="B119" s="2" t="s">
        <v>5</v>
      </c>
      <c r="C119" s="2" t="s">
        <v>274</v>
      </c>
      <c r="D119" s="2" t="s">
        <v>274</v>
      </c>
      <c r="E119" s="2" t="s">
        <v>352</v>
      </c>
      <c r="F119" s="2" t="e">
        <v>#N/A</v>
      </c>
      <c r="G119" s="43" t="s">
        <v>534</v>
      </c>
      <c r="H119" s="5"/>
    </row>
    <row r="120" spans="1:8" x14ac:dyDescent="0.35">
      <c r="A120" s="40" t="s">
        <v>275</v>
      </c>
      <c r="B120" s="2" t="s">
        <v>276</v>
      </c>
      <c r="C120" s="2" t="s">
        <v>277</v>
      </c>
      <c r="D120" s="2" t="s">
        <v>277</v>
      </c>
      <c r="E120" s="2" t="s">
        <v>351</v>
      </c>
      <c r="F120" s="2" t="e">
        <v>#N/A</v>
      </c>
      <c r="G120" s="2" t="s">
        <v>345</v>
      </c>
      <c r="H120" s="5"/>
    </row>
    <row r="121" spans="1:8" x14ac:dyDescent="0.35">
      <c r="A121" s="40" t="s">
        <v>278</v>
      </c>
      <c r="B121" s="2" t="s">
        <v>5</v>
      </c>
      <c r="C121" s="2" t="s">
        <v>279</v>
      </c>
      <c r="D121" s="2" t="s">
        <v>279</v>
      </c>
      <c r="E121" s="2" t="s">
        <v>352</v>
      </c>
      <c r="F121" s="2" t="e">
        <v>#N/A</v>
      </c>
      <c r="G121" s="43" t="s">
        <v>534</v>
      </c>
      <c r="H121" s="5"/>
    </row>
    <row r="122" spans="1:8" x14ac:dyDescent="0.35">
      <c r="A122" s="40" t="s">
        <v>280</v>
      </c>
      <c r="B122" s="2" t="s">
        <v>5</v>
      </c>
      <c r="C122" s="2" t="s">
        <v>281</v>
      </c>
      <c r="D122" s="2" t="s">
        <v>281</v>
      </c>
      <c r="E122" s="2" t="s">
        <v>352</v>
      </c>
      <c r="F122" s="2" t="e">
        <v>#N/A</v>
      </c>
      <c r="G122" s="43" t="s">
        <v>534</v>
      </c>
      <c r="H122" s="5"/>
    </row>
    <row r="123" spans="1:8" x14ac:dyDescent="0.35">
      <c r="A123" s="40" t="s">
        <v>282</v>
      </c>
      <c r="B123" s="2" t="s">
        <v>5</v>
      </c>
      <c r="C123" s="2" t="s">
        <v>283</v>
      </c>
      <c r="D123" s="2" t="s">
        <v>283</v>
      </c>
      <c r="E123" s="2" t="s">
        <v>352</v>
      </c>
      <c r="F123" s="2" t="e">
        <v>#N/A</v>
      </c>
      <c r="G123" s="43" t="s">
        <v>534</v>
      </c>
      <c r="H123" s="5"/>
    </row>
    <row r="124" spans="1:8" x14ac:dyDescent="0.35">
      <c r="A124" s="40" t="s">
        <v>284</v>
      </c>
      <c r="B124" s="2" t="s">
        <v>5</v>
      </c>
      <c r="C124" s="2" t="s">
        <v>285</v>
      </c>
      <c r="D124" s="2" t="s">
        <v>285</v>
      </c>
      <c r="E124" s="2" t="s">
        <v>352</v>
      </c>
      <c r="F124" s="2" t="e">
        <v>#N/A</v>
      </c>
      <c r="G124" s="42" t="s">
        <v>331</v>
      </c>
      <c r="H124" s="5"/>
    </row>
    <row r="125" spans="1:8" x14ac:dyDescent="0.35">
      <c r="A125" s="40" t="s">
        <v>286</v>
      </c>
      <c r="B125" s="2" t="s">
        <v>5</v>
      </c>
      <c r="C125" s="2" t="s">
        <v>287</v>
      </c>
      <c r="D125" s="2" t="s">
        <v>287</v>
      </c>
      <c r="E125" s="2" t="s">
        <v>352</v>
      </c>
      <c r="F125" s="2" t="e">
        <v>#N/A</v>
      </c>
      <c r="G125" s="42" t="s">
        <v>332</v>
      </c>
      <c r="H125" s="5"/>
    </row>
    <row r="126" spans="1:8" x14ac:dyDescent="0.35">
      <c r="A126" s="40" t="s">
        <v>288</v>
      </c>
      <c r="B126" s="2" t="s">
        <v>289</v>
      </c>
      <c r="C126" s="2" t="s">
        <v>5</v>
      </c>
      <c r="D126" s="2" t="s">
        <v>289</v>
      </c>
      <c r="E126" s="2" t="s">
        <v>351</v>
      </c>
      <c r="F126" s="2" t="e">
        <v>#N/A</v>
      </c>
      <c r="G126" s="43" t="s">
        <v>534</v>
      </c>
      <c r="H126" s="44" t="s">
        <v>533</v>
      </c>
    </row>
    <row r="127" spans="1:8" x14ac:dyDescent="0.35">
      <c r="A127" s="40" t="s">
        <v>290</v>
      </c>
      <c r="B127" s="2" t="s">
        <v>291</v>
      </c>
      <c r="C127" s="2" t="s">
        <v>5</v>
      </c>
      <c r="D127" s="2" t="s">
        <v>291</v>
      </c>
      <c r="E127" s="2" t="s">
        <v>351</v>
      </c>
      <c r="F127" s="2" t="e">
        <v>#N/A</v>
      </c>
      <c r="G127" s="42" t="s">
        <v>330</v>
      </c>
      <c r="H127" s="5"/>
    </row>
    <row r="128" spans="1:8" x14ac:dyDescent="0.35">
      <c r="A128" s="4" t="s">
        <v>292</v>
      </c>
      <c r="B128" s="2" t="s">
        <v>293</v>
      </c>
      <c r="C128" s="2" t="s">
        <v>5</v>
      </c>
      <c r="D128" s="2" t="s">
        <v>293</v>
      </c>
      <c r="E128" s="2" t="s">
        <v>351</v>
      </c>
      <c r="F128" s="2" t="e">
        <v>#N/A</v>
      </c>
      <c r="G128" s="42" t="s">
        <v>332</v>
      </c>
      <c r="H128" s="5"/>
    </row>
    <row r="129" spans="1:8" x14ac:dyDescent="0.35">
      <c r="A129" s="4" t="s">
        <v>294</v>
      </c>
      <c r="B129" s="2" t="s">
        <v>295</v>
      </c>
      <c r="C129" s="2" t="s">
        <v>5</v>
      </c>
      <c r="D129" s="2" t="s">
        <v>295</v>
      </c>
      <c r="E129" s="2" t="s">
        <v>351</v>
      </c>
      <c r="F129" s="2" t="e">
        <v>#N/A</v>
      </c>
      <c r="G129" s="42" t="s">
        <v>336</v>
      </c>
      <c r="H129" s="51" t="s">
        <v>535</v>
      </c>
    </row>
    <row r="130" spans="1:8" x14ac:dyDescent="0.35">
      <c r="A130" s="4" t="s">
        <v>296</v>
      </c>
      <c r="B130" s="2" t="s">
        <v>297</v>
      </c>
      <c r="C130" s="2" t="s">
        <v>5</v>
      </c>
      <c r="D130" s="2" t="s">
        <v>297</v>
      </c>
      <c r="E130" s="2" t="s">
        <v>351</v>
      </c>
      <c r="F130" s="2" t="e">
        <v>#N/A</v>
      </c>
      <c r="G130" s="42" t="s">
        <v>335</v>
      </c>
      <c r="H130" s="5"/>
    </row>
    <row r="131" spans="1:8" x14ac:dyDescent="0.35">
      <c r="A131" s="4" t="s">
        <v>298</v>
      </c>
      <c r="B131" s="2" t="s">
        <v>299</v>
      </c>
      <c r="C131" s="2" t="s">
        <v>5</v>
      </c>
      <c r="D131" s="2" t="s">
        <v>299</v>
      </c>
      <c r="E131" s="2" t="s">
        <v>352</v>
      </c>
      <c r="F131" s="2" t="e">
        <v>#N/A</v>
      </c>
      <c r="G131" s="2" t="s">
        <v>339</v>
      </c>
      <c r="H131" s="5"/>
    </row>
    <row r="132" spans="1:8" x14ac:dyDescent="0.35">
      <c r="A132" s="4" t="s">
        <v>300</v>
      </c>
      <c r="B132" s="2" t="s">
        <v>301</v>
      </c>
      <c r="C132" s="2" t="s">
        <v>5</v>
      </c>
      <c r="D132" s="2" t="s">
        <v>301</v>
      </c>
      <c r="E132" s="2" t="s">
        <v>351</v>
      </c>
      <c r="F132" s="2" t="e">
        <v>#N/A</v>
      </c>
      <c r="G132" s="2" t="s">
        <v>340</v>
      </c>
      <c r="H132" s="5"/>
    </row>
    <row r="133" spans="1:8" x14ac:dyDescent="0.35">
      <c r="A133" s="4" t="s">
        <v>302</v>
      </c>
      <c r="B133" s="2" t="s">
        <v>303</v>
      </c>
      <c r="C133" s="2" t="s">
        <v>5</v>
      </c>
      <c r="D133" s="2" t="s">
        <v>303</v>
      </c>
      <c r="E133" s="2" t="s">
        <v>351</v>
      </c>
      <c r="F133" s="2" t="e">
        <v>#N/A</v>
      </c>
      <c r="G133" s="43" t="s">
        <v>534</v>
      </c>
      <c r="H133" s="5"/>
    </row>
    <row r="134" spans="1:8" ht="15" thickBot="1" x14ac:dyDescent="0.4">
      <c r="A134" s="6" t="s">
        <v>304</v>
      </c>
      <c r="B134" s="7" t="s">
        <v>305</v>
      </c>
      <c r="C134" s="7" t="s">
        <v>5</v>
      </c>
      <c r="D134" s="7" t="s">
        <v>305</v>
      </c>
      <c r="E134" s="7" t="s">
        <v>351</v>
      </c>
      <c r="F134" s="7" t="e">
        <v>#N/A</v>
      </c>
      <c r="G134" s="45" t="s">
        <v>534</v>
      </c>
      <c r="H134" s="46"/>
    </row>
  </sheetData>
  <autoFilter ref="A2:H134"/>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2"/>
  <sheetViews>
    <sheetView workbookViewId="0">
      <selection activeCell="A2" sqref="A2:A72"/>
    </sheetView>
  </sheetViews>
  <sheetFormatPr defaultRowHeight="14.5" x14ac:dyDescent="0.35"/>
  <cols>
    <col min="1" max="1" width="24.7265625" customWidth="1"/>
    <col min="2" max="2" width="78.54296875" bestFit="1" customWidth="1"/>
    <col min="3" max="3" width="93.1796875" customWidth="1"/>
  </cols>
  <sheetData>
    <row r="1" spans="1:3" ht="29" x14ac:dyDescent="0.35">
      <c r="A1" s="38" t="s">
        <v>442</v>
      </c>
      <c r="B1" s="38" t="s">
        <v>443</v>
      </c>
      <c r="C1" s="38" t="s">
        <v>444</v>
      </c>
    </row>
    <row r="2" spans="1:3" x14ac:dyDescent="0.35">
      <c r="A2" s="39" t="s">
        <v>1</v>
      </c>
      <c r="B2" s="39" t="s">
        <v>3</v>
      </c>
      <c r="C2" s="39" t="s">
        <v>330</v>
      </c>
    </row>
    <row r="3" spans="1:3" x14ac:dyDescent="0.35">
      <c r="A3" s="39" t="s">
        <v>4</v>
      </c>
      <c r="B3" s="39" t="s">
        <v>6</v>
      </c>
      <c r="C3" s="39" t="s">
        <v>445</v>
      </c>
    </row>
    <row r="4" spans="1:3" x14ac:dyDescent="0.35">
      <c r="A4" s="39" t="s">
        <v>7</v>
      </c>
      <c r="B4" s="39" t="s">
        <v>9</v>
      </c>
      <c r="C4" s="39" t="s">
        <v>446</v>
      </c>
    </row>
    <row r="5" spans="1:3" x14ac:dyDescent="0.35">
      <c r="A5" s="39" t="s">
        <v>10</v>
      </c>
      <c r="B5" s="39" t="s">
        <v>12</v>
      </c>
      <c r="C5" s="39" t="s">
        <v>447</v>
      </c>
    </row>
    <row r="6" spans="1:3" x14ac:dyDescent="0.35">
      <c r="A6" s="39" t="s">
        <v>13</v>
      </c>
      <c r="B6" s="39" t="s">
        <v>14</v>
      </c>
      <c r="C6" s="39" t="s">
        <v>448</v>
      </c>
    </row>
    <row r="7" spans="1:3" x14ac:dyDescent="0.35">
      <c r="A7" s="39" t="s">
        <v>15</v>
      </c>
      <c r="B7" s="39" t="s">
        <v>16</v>
      </c>
      <c r="C7" s="39" t="s">
        <v>449</v>
      </c>
    </row>
    <row r="8" spans="1:3" x14ac:dyDescent="0.35">
      <c r="A8" s="39" t="s">
        <v>17</v>
      </c>
      <c r="B8" s="39" t="s">
        <v>18</v>
      </c>
      <c r="C8" s="39" t="s">
        <v>450</v>
      </c>
    </row>
    <row r="9" spans="1:3" x14ac:dyDescent="0.35">
      <c r="A9" s="39" t="s">
        <v>19</v>
      </c>
      <c r="B9" s="39" t="s">
        <v>20</v>
      </c>
      <c r="C9" s="39" t="s">
        <v>451</v>
      </c>
    </row>
    <row r="10" spans="1:3" x14ac:dyDescent="0.35">
      <c r="A10" s="39" t="s">
        <v>21</v>
      </c>
      <c r="B10" s="39" t="s">
        <v>452</v>
      </c>
      <c r="C10" s="39" t="s">
        <v>334</v>
      </c>
    </row>
    <row r="11" spans="1:3" x14ac:dyDescent="0.35">
      <c r="A11" s="39" t="s">
        <v>24</v>
      </c>
      <c r="B11" s="39" t="s">
        <v>26</v>
      </c>
      <c r="C11" s="39" t="s">
        <v>453</v>
      </c>
    </row>
    <row r="12" spans="1:3" x14ac:dyDescent="0.35">
      <c r="A12" s="39" t="s">
        <v>27</v>
      </c>
      <c r="B12" s="39" t="s">
        <v>454</v>
      </c>
      <c r="C12" s="39" t="s">
        <v>455</v>
      </c>
    </row>
    <row r="13" spans="1:3" x14ac:dyDescent="0.35">
      <c r="A13" s="39" t="s">
        <v>29</v>
      </c>
      <c r="B13" s="39" t="s">
        <v>30</v>
      </c>
      <c r="C13" s="39" t="s">
        <v>456</v>
      </c>
    </row>
    <row r="14" spans="1:3" x14ac:dyDescent="0.35">
      <c r="A14" s="39" t="s">
        <v>31</v>
      </c>
      <c r="B14" s="39" t="s">
        <v>457</v>
      </c>
      <c r="C14" s="39" t="s">
        <v>458</v>
      </c>
    </row>
    <row r="15" spans="1:3" x14ac:dyDescent="0.35">
      <c r="A15" s="39" t="s">
        <v>33</v>
      </c>
      <c r="B15" s="39" t="s">
        <v>459</v>
      </c>
      <c r="C15" s="39" t="s">
        <v>460</v>
      </c>
    </row>
    <row r="16" spans="1:3" x14ac:dyDescent="0.35">
      <c r="A16" s="39" t="s">
        <v>35</v>
      </c>
      <c r="B16" s="39" t="s">
        <v>37</v>
      </c>
      <c r="C16" s="39" t="s">
        <v>461</v>
      </c>
    </row>
    <row r="17" spans="1:3" x14ac:dyDescent="0.35">
      <c r="A17" s="39" t="s">
        <v>38</v>
      </c>
      <c r="B17" s="39" t="s">
        <v>40</v>
      </c>
      <c r="C17" s="39" t="s">
        <v>462</v>
      </c>
    </row>
    <row r="18" spans="1:3" x14ac:dyDescent="0.35">
      <c r="A18" s="39" t="s">
        <v>41</v>
      </c>
      <c r="B18" s="39" t="s">
        <v>43</v>
      </c>
      <c r="C18" s="39" t="s">
        <v>463</v>
      </c>
    </row>
    <row r="19" spans="1:3" x14ac:dyDescent="0.35">
      <c r="A19" s="39" t="s">
        <v>44</v>
      </c>
      <c r="B19" s="39" t="s">
        <v>46</v>
      </c>
      <c r="C19" s="39" t="s">
        <v>464</v>
      </c>
    </row>
    <row r="20" spans="1:3" x14ac:dyDescent="0.35">
      <c r="A20" s="39" t="s">
        <v>47</v>
      </c>
      <c r="B20" s="39" t="s">
        <v>49</v>
      </c>
      <c r="C20" s="39" t="s">
        <v>465</v>
      </c>
    </row>
    <row r="21" spans="1:3" x14ac:dyDescent="0.35">
      <c r="A21" s="39" t="s">
        <v>50</v>
      </c>
      <c r="B21" s="39" t="s">
        <v>466</v>
      </c>
      <c r="C21" s="39" t="s">
        <v>467</v>
      </c>
    </row>
    <row r="22" spans="1:3" x14ac:dyDescent="0.35">
      <c r="A22" s="39" t="s">
        <v>53</v>
      </c>
      <c r="B22" s="39" t="s">
        <v>55</v>
      </c>
      <c r="C22" s="39" t="s">
        <v>468</v>
      </c>
    </row>
    <row r="23" spans="1:3" x14ac:dyDescent="0.35">
      <c r="A23" s="39" t="s">
        <v>56</v>
      </c>
      <c r="B23" s="39" t="s">
        <v>58</v>
      </c>
      <c r="C23" s="39" t="s">
        <v>469</v>
      </c>
    </row>
    <row r="24" spans="1:3" x14ac:dyDescent="0.35">
      <c r="A24" s="39" t="s">
        <v>59</v>
      </c>
      <c r="B24" s="39" t="s">
        <v>61</v>
      </c>
      <c r="C24" s="39" t="s">
        <v>470</v>
      </c>
    </row>
    <row r="25" spans="1:3" x14ac:dyDescent="0.35">
      <c r="A25" s="39" t="s">
        <v>62</v>
      </c>
      <c r="B25" s="39" t="s">
        <v>64</v>
      </c>
      <c r="C25" s="39" t="s">
        <v>471</v>
      </c>
    </row>
    <row r="26" spans="1:3" x14ac:dyDescent="0.35">
      <c r="A26" s="39" t="s">
        <v>65</v>
      </c>
      <c r="B26" s="39" t="s">
        <v>67</v>
      </c>
      <c r="C26" s="39" t="s">
        <v>472</v>
      </c>
    </row>
    <row r="27" spans="1:3" x14ac:dyDescent="0.35">
      <c r="A27" s="39" t="s">
        <v>68</v>
      </c>
      <c r="B27" s="39" t="s">
        <v>70</v>
      </c>
      <c r="C27" s="39" t="s">
        <v>473</v>
      </c>
    </row>
    <row r="28" spans="1:3" x14ac:dyDescent="0.35">
      <c r="A28" s="39" t="s">
        <v>71</v>
      </c>
      <c r="B28" s="39" t="s">
        <v>73</v>
      </c>
      <c r="C28" s="39" t="s">
        <v>474</v>
      </c>
    </row>
    <row r="29" spans="1:3" x14ac:dyDescent="0.35">
      <c r="A29" s="39" t="s">
        <v>74</v>
      </c>
      <c r="B29" s="39" t="s">
        <v>76</v>
      </c>
      <c r="C29" s="39" t="s">
        <v>475</v>
      </c>
    </row>
    <row r="30" spans="1:3" x14ac:dyDescent="0.35">
      <c r="A30" s="39" t="s">
        <v>79</v>
      </c>
      <c r="B30" s="39" t="s">
        <v>476</v>
      </c>
      <c r="C30" s="39" t="s">
        <v>477</v>
      </c>
    </row>
    <row r="31" spans="1:3" x14ac:dyDescent="0.35">
      <c r="A31" s="39" t="s">
        <v>82</v>
      </c>
      <c r="B31" s="39" t="s">
        <v>478</v>
      </c>
      <c r="C31" s="39" t="s">
        <v>337</v>
      </c>
    </row>
    <row r="32" spans="1:3" x14ac:dyDescent="0.35">
      <c r="A32" s="39" t="s">
        <v>85</v>
      </c>
      <c r="B32" s="39" t="s">
        <v>86</v>
      </c>
      <c r="C32" s="39" t="s">
        <v>479</v>
      </c>
    </row>
    <row r="33" spans="1:3" x14ac:dyDescent="0.35">
      <c r="A33" s="39" t="s">
        <v>87</v>
      </c>
      <c r="B33" s="39" t="s">
        <v>480</v>
      </c>
      <c r="C33" s="39" t="s">
        <v>481</v>
      </c>
    </row>
    <row r="34" spans="1:3" x14ac:dyDescent="0.35">
      <c r="A34" s="39" t="s">
        <v>89</v>
      </c>
      <c r="B34" s="39" t="s">
        <v>90</v>
      </c>
      <c r="C34" s="39" t="s">
        <v>482</v>
      </c>
    </row>
    <row r="35" spans="1:3" x14ac:dyDescent="0.35">
      <c r="A35" s="39" t="s">
        <v>91</v>
      </c>
      <c r="B35" s="39" t="s">
        <v>92</v>
      </c>
      <c r="C35" s="39" t="s">
        <v>483</v>
      </c>
    </row>
    <row r="36" spans="1:3" x14ac:dyDescent="0.35">
      <c r="A36" s="39" t="s">
        <v>93</v>
      </c>
      <c r="B36" s="39" t="s">
        <v>94</v>
      </c>
      <c r="C36" s="39" t="s">
        <v>484</v>
      </c>
    </row>
    <row r="37" spans="1:3" x14ac:dyDescent="0.35">
      <c r="A37" s="39" t="s">
        <v>95</v>
      </c>
      <c r="B37" s="39" t="s">
        <v>96</v>
      </c>
      <c r="C37" s="39" t="s">
        <v>485</v>
      </c>
    </row>
    <row r="38" spans="1:3" x14ac:dyDescent="0.35">
      <c r="A38" s="39" t="s">
        <v>97</v>
      </c>
      <c r="B38" s="39" t="s">
        <v>98</v>
      </c>
      <c r="C38" s="39" t="s">
        <v>486</v>
      </c>
    </row>
    <row r="39" spans="1:3" x14ac:dyDescent="0.35">
      <c r="A39" s="39" t="s">
        <v>99</v>
      </c>
      <c r="B39" s="39" t="s">
        <v>100</v>
      </c>
      <c r="C39" s="39" t="s">
        <v>487</v>
      </c>
    </row>
    <row r="40" spans="1:3" x14ac:dyDescent="0.35">
      <c r="A40" s="39" t="s">
        <v>101</v>
      </c>
      <c r="B40" s="39" t="s">
        <v>102</v>
      </c>
      <c r="C40" s="39" t="s">
        <v>488</v>
      </c>
    </row>
    <row r="41" spans="1:3" x14ac:dyDescent="0.35">
      <c r="A41" s="39" t="s">
        <v>103</v>
      </c>
      <c r="B41" s="39" t="s">
        <v>104</v>
      </c>
      <c r="C41" s="39" t="s">
        <v>489</v>
      </c>
    </row>
    <row r="42" spans="1:3" x14ac:dyDescent="0.35">
      <c r="A42" s="39" t="s">
        <v>105</v>
      </c>
      <c r="B42" s="39" t="s">
        <v>106</v>
      </c>
      <c r="C42" s="39" t="s">
        <v>490</v>
      </c>
    </row>
    <row r="43" spans="1:3" x14ac:dyDescent="0.35">
      <c r="A43" s="39" t="s">
        <v>107</v>
      </c>
      <c r="B43" s="39" t="s">
        <v>108</v>
      </c>
      <c r="C43" s="39" t="s">
        <v>491</v>
      </c>
    </row>
    <row r="44" spans="1:3" x14ac:dyDescent="0.35">
      <c r="A44" s="39" t="s">
        <v>109</v>
      </c>
      <c r="B44" s="39" t="s">
        <v>111</v>
      </c>
      <c r="C44" s="39" t="s">
        <v>338</v>
      </c>
    </row>
    <row r="45" spans="1:3" x14ac:dyDescent="0.35">
      <c r="A45" s="39" t="s">
        <v>112</v>
      </c>
      <c r="B45" s="39" t="s">
        <v>113</v>
      </c>
      <c r="C45" s="39" t="s">
        <v>492</v>
      </c>
    </row>
    <row r="46" spans="1:3" x14ac:dyDescent="0.35">
      <c r="A46" s="39" t="s">
        <v>114</v>
      </c>
      <c r="B46" s="39" t="s">
        <v>115</v>
      </c>
      <c r="C46" s="39" t="s">
        <v>493</v>
      </c>
    </row>
    <row r="47" spans="1:3" x14ac:dyDescent="0.35">
      <c r="A47" s="39" t="s">
        <v>116</v>
      </c>
      <c r="B47" s="39" t="s">
        <v>117</v>
      </c>
      <c r="C47" s="39" t="s">
        <v>494</v>
      </c>
    </row>
    <row r="48" spans="1:3" x14ac:dyDescent="0.35">
      <c r="A48" s="39" t="s">
        <v>118</v>
      </c>
      <c r="B48" s="39" t="s">
        <v>495</v>
      </c>
      <c r="C48" s="39" t="s">
        <v>496</v>
      </c>
    </row>
    <row r="49" spans="1:3" x14ac:dyDescent="0.35">
      <c r="A49" s="39" t="s">
        <v>120</v>
      </c>
      <c r="B49" s="39" t="s">
        <v>497</v>
      </c>
      <c r="C49" s="39" t="s">
        <v>498</v>
      </c>
    </row>
    <row r="50" spans="1:3" x14ac:dyDescent="0.35">
      <c r="A50" s="39" t="s">
        <v>122</v>
      </c>
      <c r="B50" s="39" t="s">
        <v>499</v>
      </c>
      <c r="C50" s="39" t="s">
        <v>500</v>
      </c>
    </row>
    <row r="51" spans="1:3" x14ac:dyDescent="0.35">
      <c r="A51" s="39" t="s">
        <v>124</v>
      </c>
      <c r="B51" s="39" t="s">
        <v>126</v>
      </c>
      <c r="C51" s="39" t="s">
        <v>339</v>
      </c>
    </row>
    <row r="52" spans="1:3" x14ac:dyDescent="0.35">
      <c r="A52" s="39" t="s">
        <v>127</v>
      </c>
      <c r="B52" s="39" t="s">
        <v>126</v>
      </c>
      <c r="C52" s="39" t="s">
        <v>339</v>
      </c>
    </row>
    <row r="53" spans="1:3" x14ac:dyDescent="0.35">
      <c r="A53" s="39" t="s">
        <v>129</v>
      </c>
      <c r="B53" s="39" t="s">
        <v>130</v>
      </c>
      <c r="C53" s="39" t="s">
        <v>501</v>
      </c>
    </row>
    <row r="54" spans="1:3" x14ac:dyDescent="0.35">
      <c r="A54" s="39" t="s">
        <v>131</v>
      </c>
      <c r="B54" s="39" t="s">
        <v>133</v>
      </c>
      <c r="C54" s="39" t="s">
        <v>340</v>
      </c>
    </row>
    <row r="55" spans="1:3" x14ac:dyDescent="0.35">
      <c r="A55" s="39" t="s">
        <v>134</v>
      </c>
      <c r="B55" s="39" t="s">
        <v>502</v>
      </c>
      <c r="C55" s="39" t="s">
        <v>360</v>
      </c>
    </row>
    <row r="56" spans="1:3" x14ac:dyDescent="0.35">
      <c r="A56" s="39" t="s">
        <v>136</v>
      </c>
      <c r="B56" s="39" t="s">
        <v>503</v>
      </c>
      <c r="C56" s="39" t="s">
        <v>504</v>
      </c>
    </row>
    <row r="57" spans="1:3" x14ac:dyDescent="0.35">
      <c r="A57" s="39" t="s">
        <v>138</v>
      </c>
      <c r="B57" s="39" t="s">
        <v>140</v>
      </c>
      <c r="C57" s="39" t="s">
        <v>505</v>
      </c>
    </row>
    <row r="58" spans="1:3" x14ac:dyDescent="0.35">
      <c r="A58" s="39" t="s">
        <v>141</v>
      </c>
      <c r="B58" s="39" t="s">
        <v>506</v>
      </c>
      <c r="C58" s="39" t="s">
        <v>507</v>
      </c>
    </row>
    <row r="59" spans="1:3" x14ac:dyDescent="0.35">
      <c r="A59" s="39" t="s">
        <v>144</v>
      </c>
      <c r="B59" s="39" t="s">
        <v>508</v>
      </c>
      <c r="C59" s="39" t="s">
        <v>509</v>
      </c>
    </row>
    <row r="60" spans="1:3" x14ac:dyDescent="0.35">
      <c r="A60" s="39" t="s">
        <v>147</v>
      </c>
      <c r="B60" s="39" t="s">
        <v>510</v>
      </c>
      <c r="C60" s="39" t="s">
        <v>511</v>
      </c>
    </row>
    <row r="61" spans="1:3" x14ac:dyDescent="0.35">
      <c r="A61" s="39" t="s">
        <v>150</v>
      </c>
      <c r="B61" s="39" t="s">
        <v>512</v>
      </c>
      <c r="C61" s="39" t="s">
        <v>513</v>
      </c>
    </row>
    <row r="62" spans="1:3" x14ac:dyDescent="0.35">
      <c r="A62" s="39" t="s">
        <v>152</v>
      </c>
      <c r="B62" s="39" t="s">
        <v>514</v>
      </c>
      <c r="C62" s="39" t="s">
        <v>515</v>
      </c>
    </row>
    <row r="63" spans="1:3" x14ac:dyDescent="0.35">
      <c r="A63" s="39" t="s">
        <v>154</v>
      </c>
      <c r="B63" s="39" t="s">
        <v>516</v>
      </c>
      <c r="C63" s="39" t="s">
        <v>517</v>
      </c>
    </row>
    <row r="64" spans="1:3" x14ac:dyDescent="0.35">
      <c r="A64" s="39" t="s">
        <v>164</v>
      </c>
      <c r="B64" s="39" t="s">
        <v>518</v>
      </c>
      <c r="C64" s="39" t="s">
        <v>343</v>
      </c>
    </row>
    <row r="65" spans="1:3" x14ac:dyDescent="0.35">
      <c r="A65" s="39" t="s">
        <v>166</v>
      </c>
      <c r="B65" s="39" t="s">
        <v>519</v>
      </c>
      <c r="C65" s="39" t="s">
        <v>520</v>
      </c>
    </row>
    <row r="66" spans="1:3" x14ac:dyDescent="0.35">
      <c r="A66" s="39" t="s">
        <v>168</v>
      </c>
      <c r="B66" s="39" t="s">
        <v>521</v>
      </c>
      <c r="C66" s="39" t="s">
        <v>522</v>
      </c>
    </row>
    <row r="67" spans="1:3" x14ac:dyDescent="0.35">
      <c r="A67" s="39" t="s">
        <v>170</v>
      </c>
      <c r="B67" s="39" t="s">
        <v>523</v>
      </c>
      <c r="C67" s="39" t="s">
        <v>524</v>
      </c>
    </row>
    <row r="68" spans="1:3" x14ac:dyDescent="0.35">
      <c r="A68" s="39" t="s">
        <v>184</v>
      </c>
      <c r="B68" s="39" t="s">
        <v>525</v>
      </c>
      <c r="C68" s="39" t="s">
        <v>526</v>
      </c>
    </row>
    <row r="69" spans="1:3" x14ac:dyDescent="0.35">
      <c r="A69" s="39" t="s">
        <v>187</v>
      </c>
      <c r="B69" s="39" t="s">
        <v>189</v>
      </c>
      <c r="C69" s="39" t="s">
        <v>361</v>
      </c>
    </row>
    <row r="70" spans="1:3" x14ac:dyDescent="0.35">
      <c r="A70" s="39" t="s">
        <v>204</v>
      </c>
      <c r="B70" s="39" t="s">
        <v>527</v>
      </c>
      <c r="C70" s="39" t="s">
        <v>528</v>
      </c>
    </row>
    <row r="71" spans="1:3" x14ac:dyDescent="0.35">
      <c r="A71" s="39" t="s">
        <v>207</v>
      </c>
      <c r="B71" s="39" t="s">
        <v>272</v>
      </c>
      <c r="C71" s="39" t="s">
        <v>529</v>
      </c>
    </row>
    <row r="72" spans="1:3" x14ac:dyDescent="0.35">
      <c r="A72" s="39" t="s">
        <v>530</v>
      </c>
      <c r="B72" s="39" t="s">
        <v>531</v>
      </c>
      <c r="C72" s="39" t="s">
        <v>532</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6"/>
  <sheetViews>
    <sheetView workbookViewId="0">
      <selection activeCell="B1" sqref="B1"/>
    </sheetView>
  </sheetViews>
  <sheetFormatPr defaultRowHeight="14.5" x14ac:dyDescent="0.35"/>
  <cols>
    <col min="1" max="1" width="17.1796875" customWidth="1"/>
    <col min="2" max="2" width="61.1796875" customWidth="1"/>
    <col min="3" max="3" width="50.453125" customWidth="1"/>
    <col min="4" max="4" width="8.7265625" customWidth="1"/>
  </cols>
  <sheetData>
    <row r="1" spans="1:4" ht="15" thickBot="1" x14ac:dyDescent="0.4">
      <c r="A1" s="13" t="s">
        <v>364</v>
      </c>
      <c r="B1" s="22" t="s">
        <v>410</v>
      </c>
      <c r="C1" s="29"/>
    </row>
    <row r="2" spans="1:4" ht="15" thickBot="1" x14ac:dyDescent="0.4">
      <c r="A2" s="14" t="s">
        <v>365</v>
      </c>
      <c r="B2" s="23" t="s">
        <v>411</v>
      </c>
      <c r="C2" s="30" t="s">
        <v>439</v>
      </c>
    </row>
    <row r="3" spans="1:4" x14ac:dyDescent="0.35">
      <c r="A3" s="15" t="s">
        <v>366</v>
      </c>
      <c r="B3" s="24" t="s">
        <v>330</v>
      </c>
      <c r="C3" s="31" t="s">
        <v>314</v>
      </c>
    </row>
    <row r="4" spans="1:4" x14ac:dyDescent="0.35">
      <c r="A4" s="16" t="s">
        <v>367</v>
      </c>
      <c r="B4" s="25" t="s">
        <v>412</v>
      </c>
      <c r="C4" s="32" t="s">
        <v>314</v>
      </c>
    </row>
    <row r="5" spans="1:4" x14ac:dyDescent="0.35">
      <c r="A5" s="16" t="s">
        <v>368</v>
      </c>
      <c r="B5" s="25" t="s">
        <v>413</v>
      </c>
      <c r="C5" s="32" t="s">
        <v>314</v>
      </c>
    </row>
    <row r="6" spans="1:4" x14ac:dyDescent="0.35">
      <c r="A6" s="17" t="s">
        <v>369</v>
      </c>
      <c r="B6" s="26" t="s">
        <v>414</v>
      </c>
      <c r="C6" s="32" t="s">
        <v>314</v>
      </c>
    </row>
    <row r="7" spans="1:4" x14ac:dyDescent="0.35">
      <c r="A7" s="17" t="s">
        <v>370</v>
      </c>
      <c r="B7" s="26" t="s">
        <v>353</v>
      </c>
      <c r="C7" s="32" t="s">
        <v>315</v>
      </c>
    </row>
    <row r="8" spans="1:4" x14ac:dyDescent="0.35">
      <c r="A8" s="18" t="s">
        <v>371</v>
      </c>
      <c r="B8" s="27" t="s">
        <v>354</v>
      </c>
      <c r="C8" s="33" t="s">
        <v>363</v>
      </c>
      <c r="D8" t="s">
        <v>317</v>
      </c>
    </row>
    <row r="9" spans="1:4" x14ac:dyDescent="0.35">
      <c r="A9" s="18" t="s">
        <v>372</v>
      </c>
      <c r="B9" s="27" t="s">
        <v>415</v>
      </c>
      <c r="C9" s="33" t="s">
        <v>363</v>
      </c>
      <c r="D9" t="s">
        <v>317</v>
      </c>
    </row>
    <row r="10" spans="1:4" x14ac:dyDescent="0.35">
      <c r="A10" s="18" t="s">
        <v>373</v>
      </c>
      <c r="B10" s="27" t="s">
        <v>416</v>
      </c>
      <c r="C10" s="33" t="s">
        <v>363</v>
      </c>
      <c r="D10" t="s">
        <v>317</v>
      </c>
    </row>
    <row r="11" spans="1:4" x14ac:dyDescent="0.35">
      <c r="A11" s="18" t="s">
        <v>374</v>
      </c>
      <c r="B11" s="27" t="s">
        <v>417</v>
      </c>
      <c r="C11" s="33" t="s">
        <v>363</v>
      </c>
      <c r="D11" t="s">
        <v>317</v>
      </c>
    </row>
    <row r="12" spans="1:4" x14ac:dyDescent="0.35">
      <c r="A12" s="16" t="s">
        <v>375</v>
      </c>
      <c r="B12" s="25" t="s">
        <v>355</v>
      </c>
      <c r="C12" s="34" t="s">
        <v>318</v>
      </c>
    </row>
    <row r="13" spans="1:4" x14ac:dyDescent="0.35">
      <c r="A13" s="16" t="s">
        <v>376</v>
      </c>
      <c r="B13" s="25" t="s">
        <v>418</v>
      </c>
      <c r="C13" s="34" t="s">
        <v>318</v>
      </c>
    </row>
    <row r="14" spans="1:4" x14ac:dyDescent="0.35">
      <c r="A14" s="16" t="s">
        <v>377</v>
      </c>
      <c r="B14" s="25" t="s">
        <v>419</v>
      </c>
      <c r="C14" s="34" t="s">
        <v>318</v>
      </c>
    </row>
    <row r="15" spans="1:4" x14ac:dyDescent="0.35">
      <c r="A15" s="16" t="s">
        <v>378</v>
      </c>
      <c r="B15" s="25" t="s">
        <v>420</v>
      </c>
      <c r="C15" s="34" t="s">
        <v>318</v>
      </c>
    </row>
    <row r="16" spans="1:4" x14ac:dyDescent="0.35">
      <c r="A16" s="16" t="s">
        <v>379</v>
      </c>
      <c r="B16" s="25" t="s">
        <v>356</v>
      </c>
      <c r="C16" s="34" t="s">
        <v>319</v>
      </c>
    </row>
    <row r="17" spans="1:4" x14ac:dyDescent="0.35">
      <c r="A17" s="16" t="s">
        <v>380</v>
      </c>
      <c r="B17" s="25" t="s">
        <v>421</v>
      </c>
      <c r="C17" s="34" t="s">
        <v>319</v>
      </c>
    </row>
    <row r="18" spans="1:4" x14ac:dyDescent="0.35">
      <c r="A18" s="16" t="s">
        <v>381</v>
      </c>
      <c r="B18" s="25" t="s">
        <v>422</v>
      </c>
      <c r="C18" s="34" t="s">
        <v>319</v>
      </c>
    </row>
    <row r="19" spans="1:4" x14ac:dyDescent="0.35">
      <c r="A19" s="19" t="s">
        <v>382</v>
      </c>
      <c r="B19" s="25" t="s">
        <v>423</v>
      </c>
      <c r="C19" s="34" t="s">
        <v>319</v>
      </c>
    </row>
    <row r="20" spans="1:4" x14ac:dyDescent="0.35">
      <c r="A20" s="20" t="s">
        <v>383</v>
      </c>
      <c r="B20" s="27" t="s">
        <v>357</v>
      </c>
      <c r="C20" s="33" t="s">
        <v>363</v>
      </c>
      <c r="D20" t="s">
        <v>320</v>
      </c>
    </row>
    <row r="21" spans="1:4" x14ac:dyDescent="0.35">
      <c r="A21" s="18" t="s">
        <v>384</v>
      </c>
      <c r="B21" s="27" t="s">
        <v>424</v>
      </c>
      <c r="C21" s="33" t="s">
        <v>363</v>
      </c>
      <c r="D21" t="s">
        <v>320</v>
      </c>
    </row>
    <row r="22" spans="1:4" x14ac:dyDescent="0.35">
      <c r="A22" s="18" t="s">
        <v>385</v>
      </c>
      <c r="B22" s="27" t="s">
        <v>425</v>
      </c>
      <c r="C22" s="33" t="s">
        <v>363</v>
      </c>
      <c r="D22" t="s">
        <v>320</v>
      </c>
    </row>
    <row r="23" spans="1:4" x14ac:dyDescent="0.35">
      <c r="A23" s="18" t="s">
        <v>386</v>
      </c>
      <c r="B23" s="27" t="s">
        <v>426</v>
      </c>
      <c r="C23" s="33" t="s">
        <v>363</v>
      </c>
      <c r="D23" t="s">
        <v>320</v>
      </c>
    </row>
    <row r="24" spans="1:4" x14ac:dyDescent="0.35">
      <c r="A24" s="17" t="s">
        <v>387</v>
      </c>
      <c r="B24" s="26" t="s">
        <v>337</v>
      </c>
      <c r="C24" s="32" t="s">
        <v>321</v>
      </c>
    </row>
    <row r="25" spans="1:4" x14ac:dyDescent="0.35">
      <c r="A25" s="17" t="s">
        <v>388</v>
      </c>
      <c r="B25" s="26" t="s">
        <v>427</v>
      </c>
      <c r="C25" s="32" t="s">
        <v>321</v>
      </c>
    </row>
    <row r="26" spans="1:4" x14ac:dyDescent="0.35">
      <c r="A26" s="17" t="s">
        <v>389</v>
      </c>
      <c r="B26" s="26" t="s">
        <v>428</v>
      </c>
      <c r="C26" s="32" t="s">
        <v>321</v>
      </c>
    </row>
    <row r="27" spans="1:4" x14ac:dyDescent="0.35">
      <c r="A27" s="17" t="s">
        <v>390</v>
      </c>
      <c r="B27" s="26" t="s">
        <v>429</v>
      </c>
      <c r="C27" s="32" t="s">
        <v>321</v>
      </c>
    </row>
    <row r="28" spans="1:4" x14ac:dyDescent="0.35">
      <c r="A28" s="17" t="s">
        <v>391</v>
      </c>
      <c r="B28" s="26" t="s">
        <v>338</v>
      </c>
      <c r="C28" s="32" t="s">
        <v>329</v>
      </c>
    </row>
    <row r="29" spans="1:4" x14ac:dyDescent="0.35">
      <c r="A29" s="17" t="s">
        <v>392</v>
      </c>
      <c r="B29" s="26" t="s">
        <v>430</v>
      </c>
      <c r="C29" s="32" t="s">
        <v>329</v>
      </c>
    </row>
    <row r="30" spans="1:4" x14ac:dyDescent="0.35">
      <c r="A30" s="17" t="s">
        <v>393</v>
      </c>
      <c r="B30" s="26" t="s">
        <v>431</v>
      </c>
      <c r="C30" s="32" t="s">
        <v>329</v>
      </c>
    </row>
    <row r="31" spans="1:4" x14ac:dyDescent="0.35">
      <c r="A31" s="17" t="s">
        <v>394</v>
      </c>
      <c r="B31" s="26" t="s">
        <v>432</v>
      </c>
      <c r="C31" s="32" t="s">
        <v>329</v>
      </c>
    </row>
    <row r="32" spans="1:4" x14ac:dyDescent="0.35">
      <c r="A32" s="17" t="s">
        <v>395</v>
      </c>
      <c r="B32" s="26" t="s">
        <v>358</v>
      </c>
      <c r="C32" s="32" t="s">
        <v>322</v>
      </c>
    </row>
    <row r="33" spans="1:4" x14ac:dyDescent="0.35">
      <c r="A33" s="17" t="s">
        <v>396</v>
      </c>
      <c r="B33" s="26" t="s">
        <v>433</v>
      </c>
      <c r="C33" s="32" t="s">
        <v>322</v>
      </c>
    </row>
    <row r="34" spans="1:4" x14ac:dyDescent="0.35">
      <c r="A34" s="17" t="s">
        <v>397</v>
      </c>
      <c r="B34" s="26" t="s">
        <v>434</v>
      </c>
      <c r="C34" s="32" t="s">
        <v>322</v>
      </c>
    </row>
    <row r="35" spans="1:4" x14ac:dyDescent="0.35">
      <c r="A35" s="17" t="s">
        <v>398</v>
      </c>
      <c r="B35" s="26" t="s">
        <v>435</v>
      </c>
      <c r="C35" s="32" t="s">
        <v>322</v>
      </c>
    </row>
    <row r="36" spans="1:4" x14ac:dyDescent="0.35">
      <c r="A36" s="17" t="s">
        <v>399</v>
      </c>
      <c r="B36" s="26" t="s">
        <v>359</v>
      </c>
      <c r="C36" s="32" t="s">
        <v>323</v>
      </c>
    </row>
    <row r="37" spans="1:4" x14ac:dyDescent="0.35">
      <c r="A37" s="17" t="s">
        <v>400</v>
      </c>
      <c r="B37" s="26" t="s">
        <v>436</v>
      </c>
      <c r="C37" s="32" t="s">
        <v>323</v>
      </c>
    </row>
    <row r="38" spans="1:4" x14ac:dyDescent="0.35">
      <c r="A38" s="17" t="s">
        <v>401</v>
      </c>
      <c r="B38" s="26" t="s">
        <v>437</v>
      </c>
      <c r="C38" s="32" t="s">
        <v>323</v>
      </c>
    </row>
    <row r="39" spans="1:4" x14ac:dyDescent="0.35">
      <c r="A39" s="17" t="s">
        <v>402</v>
      </c>
      <c r="B39" s="26" t="s">
        <v>438</v>
      </c>
      <c r="C39" s="32" t="s">
        <v>323</v>
      </c>
    </row>
    <row r="40" spans="1:4" x14ac:dyDescent="0.35">
      <c r="A40" s="18" t="s">
        <v>403</v>
      </c>
      <c r="B40" s="27" t="s">
        <v>360</v>
      </c>
      <c r="C40" s="33" t="s">
        <v>363</v>
      </c>
      <c r="D40" t="s">
        <v>316</v>
      </c>
    </row>
    <row r="41" spans="1:4" x14ac:dyDescent="0.35">
      <c r="A41" s="17" t="s">
        <v>404</v>
      </c>
      <c r="B41" s="26" t="s">
        <v>341</v>
      </c>
      <c r="C41" s="32" t="s">
        <v>324</v>
      </c>
    </row>
    <row r="42" spans="1:4" x14ac:dyDescent="0.35">
      <c r="A42" s="17" t="s">
        <v>405</v>
      </c>
      <c r="B42" s="26" t="s">
        <v>342</v>
      </c>
      <c r="C42" s="32" t="s">
        <v>325</v>
      </c>
    </row>
    <row r="43" spans="1:4" x14ac:dyDescent="0.35">
      <c r="A43" s="17" t="s">
        <v>406</v>
      </c>
      <c r="B43" s="26" t="s">
        <v>343</v>
      </c>
      <c r="C43" s="32" t="s">
        <v>326</v>
      </c>
    </row>
    <row r="44" spans="1:4" x14ac:dyDescent="0.35">
      <c r="A44" s="17" t="s">
        <v>407</v>
      </c>
      <c r="B44" s="26" t="s">
        <v>344</v>
      </c>
      <c r="C44" s="32" t="s">
        <v>327</v>
      </c>
    </row>
    <row r="45" spans="1:4" x14ac:dyDescent="0.35">
      <c r="A45" s="18" t="s">
        <v>408</v>
      </c>
      <c r="B45" s="27" t="s">
        <v>361</v>
      </c>
      <c r="C45" s="33" t="s">
        <v>363</v>
      </c>
      <c r="D45" t="s">
        <v>316</v>
      </c>
    </row>
    <row r="46" spans="1:4" ht="15" thickBot="1" x14ac:dyDescent="0.4">
      <c r="A46" s="21" t="s">
        <v>409</v>
      </c>
      <c r="B46" s="28" t="s">
        <v>362</v>
      </c>
      <c r="C46" s="35" t="s">
        <v>328</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6B9A5E792D2446B8986FAE34BEC557" ma:contentTypeVersion="12" ma:contentTypeDescription="Criar um novo documento." ma:contentTypeScope="" ma:versionID="a7a7c7330211281f7243a22470ce2e53">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0c28e91176c9b4921ea9a3bbad06dd6c"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3ABE6CD-B0B5-42FB-B6A5-839F406BBE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ad20f8b-9281-4829-a9aa-2b5a878ba2cc"/>
    <ds:schemaRef ds:uri="09d3dac3-f296-4107-b579-4b1e37be61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8225942-2606-496D-92BF-504EAF439E74}">
  <ds:schemaRefs>
    <ds:schemaRef ds:uri="http://schemas.microsoft.com/office/infopath/2007/PartnerControls"/>
    <ds:schemaRef ds:uri="http://purl.org/dc/elements/1.1/"/>
    <ds:schemaRef ds:uri="5ad20f8b-9281-4829-a9aa-2b5a878ba2cc"/>
    <ds:schemaRef ds:uri="http://schemas.microsoft.com/office/2006/documentManagement/types"/>
    <ds:schemaRef ds:uri="http://www.w3.org/XML/1998/namespace"/>
    <ds:schemaRef ds:uri="http://purl.org/dc/dcmitype/"/>
    <ds:schemaRef ds:uri="http://schemas.openxmlformats.org/package/2006/metadata/core-properties"/>
    <ds:schemaRef ds:uri="09d3dac3-f296-4107-b579-4b1e37be6169"/>
    <ds:schemaRef ds:uri="http://purl.org/dc/terms/"/>
    <ds:schemaRef ds:uri="http://schemas.microsoft.com/sharepoint/v3"/>
    <ds:schemaRef ds:uri="http://schemas.microsoft.com/office/2006/metadata/properties"/>
  </ds:schemaRefs>
</ds:datastoreItem>
</file>

<file path=customXml/itemProps3.xml><?xml version="1.0" encoding="utf-8"?>
<ds:datastoreItem xmlns:ds="http://schemas.openxmlformats.org/officeDocument/2006/customXml" ds:itemID="{E40D663A-802B-469D-92C3-1FE1EFF38BB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Parametrização LT803</vt:lpstr>
      <vt:lpstr>Opções de Mapeamento SRB</vt:lpstr>
      <vt:lpstr>Análise de Mapeamento</vt:lpstr>
      <vt:lpstr>sector BdP</vt:lpstr>
      <vt:lpstr>Mapeamento 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Miguel Duarte Cardoso Rodrigues</cp:lastModifiedBy>
  <cp:revision/>
  <dcterms:created xsi:type="dcterms:W3CDTF">2024-02-02T19:53:00Z</dcterms:created>
  <dcterms:modified xsi:type="dcterms:W3CDTF">2024-04-09T10:39:13Z</dcterms:modified>
  <cp:category/>
  <dc:identifier/>
  <cp:contentStatus/>
  <dc:language/>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2024-03-21T17:03:33Z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3b8f73da-36d5-4734-947d-066d0425ca8b</vt:lpwstr>
  </property>
  <property fmtid="{D5CDD505-2E9C-101B-9397-08002B2CF9AE}" pid="8" name="MSIP_Label_0c2abd79-57a9-4473-8700-c843f76a1e37_ContentBits">
    <vt:lpwstr>0</vt:lpwstr>
  </property>
  <property fmtid="{D5CDD505-2E9C-101B-9397-08002B2CF9AE}" pid="9" name="ContentTypeId">
    <vt:lpwstr>0x0101000B6B9A5E792D2446B8986FAE34BEC557</vt:lpwstr>
  </property>
  <property fmtid="{D5CDD505-2E9C-101B-9397-08002B2CF9AE}" pid="10" name="MediaServiceImageTags">
    <vt:lpwstr/>
  </property>
</Properties>
</file>