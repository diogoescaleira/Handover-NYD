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120" yWindow="-120" windowWidth="29040" windowHeight="15720" tabRatio="483"/>
  </bookViews>
  <sheets>
    <sheet name="Sheet1" sheetId="1" r:id="rId1"/>
    <sheet name="Sheet3" sheetId="3" r:id="rId2"/>
  </sheets>
  <externalReferences>
    <externalReference r:id="rId3"/>
  </externalReferences>
  <definedNames>
    <definedName name="_xlnm._FilterDatabase" localSheetId="0" hidden="1">Sheet1!$A$1:$N$120</definedName>
  </definedNames>
  <calcPr calcId="162913"/>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L3" i="1" s="1"/>
  <c r="K4" i="1"/>
  <c r="L4" i="1" s="1"/>
  <c r="K5" i="1"/>
  <c r="M5" i="1" s="1"/>
  <c r="K6" i="1"/>
  <c r="K7" i="1"/>
  <c r="L7" i="1" s="1"/>
  <c r="K8" i="1"/>
  <c r="L8" i="1" s="1"/>
  <c r="K9" i="1"/>
  <c r="L9" i="1" s="1"/>
  <c r="K10" i="1"/>
  <c r="K11" i="1"/>
  <c r="L11" i="1" s="1"/>
  <c r="K12" i="1"/>
  <c r="L12" i="1" s="1"/>
  <c r="K13" i="1"/>
  <c r="M13" i="1" s="1"/>
  <c r="K14" i="1"/>
  <c r="K15" i="1"/>
  <c r="L15" i="1" s="1"/>
  <c r="K16" i="1"/>
  <c r="L16" i="1" s="1"/>
  <c r="K17" i="1"/>
  <c r="L17" i="1" s="1"/>
  <c r="K18" i="1"/>
  <c r="K19" i="1"/>
  <c r="L19" i="1" s="1"/>
  <c r="K20" i="1"/>
  <c r="L20" i="1" s="1"/>
  <c r="K21" i="1"/>
  <c r="M21" i="1" s="1"/>
  <c r="K22" i="1"/>
  <c r="M22" i="1" s="1"/>
  <c r="K23" i="1"/>
  <c r="L23" i="1" s="1"/>
  <c r="K24" i="1"/>
  <c r="L24" i="1" s="1"/>
  <c r="K25" i="1"/>
  <c r="L25" i="1" s="1"/>
  <c r="K26" i="1"/>
  <c r="K27" i="1"/>
  <c r="L27" i="1" s="1"/>
  <c r="K28" i="1"/>
  <c r="L28" i="1" s="1"/>
  <c r="K29" i="1"/>
  <c r="M29" i="1" s="1"/>
  <c r="K30" i="1"/>
  <c r="M30" i="1" s="1"/>
  <c r="K31" i="1"/>
  <c r="L31" i="1" s="1"/>
  <c r="K32" i="1"/>
  <c r="L32" i="1" s="1"/>
  <c r="K33" i="1"/>
  <c r="L33" i="1" s="1"/>
  <c r="K34" i="1"/>
  <c r="K35" i="1"/>
  <c r="L35" i="1" s="1"/>
  <c r="K36" i="1"/>
  <c r="L36" i="1" s="1"/>
  <c r="K37" i="1"/>
  <c r="M37" i="1" s="1"/>
  <c r="K38" i="1"/>
  <c r="M38" i="1" s="1"/>
  <c r="K39" i="1"/>
  <c r="L39" i="1" s="1"/>
  <c r="K40" i="1"/>
  <c r="L40" i="1" s="1"/>
  <c r="K41" i="1"/>
  <c r="L41" i="1" s="1"/>
  <c r="K42" i="1"/>
  <c r="K43" i="1"/>
  <c r="K44" i="1"/>
  <c r="K45" i="1"/>
  <c r="M45" i="1" s="1"/>
  <c r="K46" i="1"/>
  <c r="M46" i="1" s="1"/>
  <c r="K47" i="1"/>
  <c r="K48" i="1"/>
  <c r="K49" i="1"/>
  <c r="L49" i="1" s="1"/>
  <c r="K50" i="1"/>
  <c r="K51" i="1"/>
  <c r="K52" i="1"/>
  <c r="K53" i="1"/>
  <c r="M53" i="1" s="1"/>
  <c r="K54" i="1"/>
  <c r="M54" i="1" s="1"/>
  <c r="K55" i="1"/>
  <c r="K56" i="1"/>
  <c r="K57" i="1"/>
  <c r="L57" i="1" s="1"/>
  <c r="K58" i="1"/>
  <c r="K59" i="1"/>
  <c r="K60" i="1"/>
  <c r="K61" i="1"/>
  <c r="M61" i="1" s="1"/>
  <c r="K62" i="1"/>
  <c r="M62" i="1" s="1"/>
  <c r="K63" i="1"/>
  <c r="K64" i="1"/>
  <c r="K65" i="1"/>
  <c r="L65" i="1" s="1"/>
  <c r="K66" i="1"/>
  <c r="K67" i="1"/>
  <c r="K68" i="1"/>
  <c r="K69" i="1"/>
  <c r="M69" i="1" s="1"/>
  <c r="K70" i="1"/>
  <c r="M70" i="1" s="1"/>
  <c r="K71" i="1"/>
  <c r="K72" i="1"/>
  <c r="K73" i="1"/>
  <c r="L73" i="1" s="1"/>
  <c r="K74" i="1"/>
  <c r="K75" i="1"/>
  <c r="K76" i="1"/>
  <c r="K77" i="1"/>
  <c r="M77" i="1" s="1"/>
  <c r="K78" i="1"/>
  <c r="M78" i="1" s="1"/>
  <c r="K79" i="1"/>
  <c r="K80" i="1"/>
  <c r="K81" i="1"/>
  <c r="L81" i="1" s="1"/>
  <c r="K82" i="1"/>
  <c r="K83" i="1"/>
  <c r="K84" i="1"/>
  <c r="K85" i="1"/>
  <c r="K86" i="1"/>
  <c r="M86" i="1" s="1"/>
  <c r="K87" i="1"/>
  <c r="K88" i="1"/>
  <c r="K89" i="1"/>
  <c r="L89" i="1" s="1"/>
  <c r="K90" i="1"/>
  <c r="K91" i="1"/>
  <c r="K92" i="1"/>
  <c r="K93" i="1"/>
  <c r="M93" i="1" s="1"/>
  <c r="K94" i="1"/>
  <c r="M94" i="1" s="1"/>
  <c r="K95" i="1"/>
  <c r="K96" i="1"/>
  <c r="K97" i="1"/>
  <c r="L97" i="1" s="1"/>
  <c r="K98" i="1"/>
  <c r="K99" i="1"/>
  <c r="K100" i="1"/>
  <c r="K101" i="1"/>
  <c r="M101" i="1" s="1"/>
  <c r="K102" i="1"/>
  <c r="M102" i="1" s="1"/>
  <c r="K103" i="1"/>
  <c r="K104" i="1"/>
  <c r="K105" i="1"/>
  <c r="L105" i="1" s="1"/>
  <c r="K106" i="1"/>
  <c r="K107" i="1"/>
  <c r="K108" i="1"/>
  <c r="K109" i="1"/>
  <c r="M109" i="1" s="1"/>
  <c r="K110" i="1"/>
  <c r="K111" i="1"/>
  <c r="L111" i="1" s="1"/>
  <c r="K112" i="1"/>
  <c r="K113" i="1"/>
  <c r="K114" i="1"/>
  <c r="K115" i="1"/>
  <c r="K116" i="1"/>
  <c r="K117" i="1"/>
  <c r="K118" i="1"/>
  <c r="K119" i="1"/>
  <c r="K120" i="1"/>
  <c r="K2" i="1"/>
  <c r="L110" i="1" l="1"/>
  <c r="L78" i="1"/>
  <c r="L46" i="1"/>
  <c r="L112" i="1"/>
  <c r="L107" i="1"/>
  <c r="M107" i="1"/>
  <c r="L103" i="1"/>
  <c r="M103" i="1"/>
  <c r="L95" i="1"/>
  <c r="M95" i="1"/>
  <c r="L87" i="1"/>
  <c r="M87" i="1"/>
  <c r="L83" i="1"/>
  <c r="M83" i="1"/>
  <c r="L75" i="1"/>
  <c r="M75" i="1"/>
  <c r="L67" i="1"/>
  <c r="M67" i="1"/>
  <c r="L59" i="1"/>
  <c r="M59" i="1"/>
  <c r="L55" i="1"/>
  <c r="M55" i="1"/>
  <c r="L47" i="1"/>
  <c r="L43" i="1"/>
  <c r="M43" i="1"/>
  <c r="L119" i="1"/>
  <c r="L106" i="1"/>
  <c r="M106" i="1"/>
  <c r="L98" i="1"/>
  <c r="M98" i="1"/>
  <c r="L90" i="1"/>
  <c r="M90" i="1"/>
  <c r="L74" i="1"/>
  <c r="M74" i="1"/>
  <c r="L58" i="1"/>
  <c r="M58" i="1"/>
  <c r="L34" i="1"/>
  <c r="M34" i="1"/>
  <c r="M14" i="1"/>
  <c r="L14" i="1"/>
  <c r="L10" i="1"/>
  <c r="M10" i="1"/>
  <c r="M6" i="1"/>
  <c r="L6" i="1"/>
  <c r="L102" i="1"/>
  <c r="L70" i="1"/>
  <c r="L38" i="1"/>
  <c r="L118" i="1"/>
  <c r="L94" i="1"/>
  <c r="L62" i="1"/>
  <c r="L30" i="1"/>
  <c r="L120" i="1"/>
  <c r="L116" i="1"/>
  <c r="L99" i="1"/>
  <c r="M99" i="1"/>
  <c r="L91" i="1"/>
  <c r="M91" i="1"/>
  <c r="L79" i="1"/>
  <c r="M79" i="1"/>
  <c r="L71" i="1"/>
  <c r="M71" i="1"/>
  <c r="L63" i="1"/>
  <c r="M63" i="1"/>
  <c r="L51" i="1"/>
  <c r="M51" i="1"/>
  <c r="L82" i="1"/>
  <c r="M82" i="1"/>
  <c r="L66" i="1"/>
  <c r="M66" i="1"/>
  <c r="L50" i="1"/>
  <c r="M50" i="1"/>
  <c r="L42" i="1"/>
  <c r="M42" i="1"/>
  <c r="L26" i="1"/>
  <c r="M26" i="1"/>
  <c r="L18" i="1"/>
  <c r="M18" i="1"/>
  <c r="L2" i="1"/>
  <c r="M2" i="1"/>
  <c r="L117" i="1"/>
  <c r="M117" i="1"/>
  <c r="L113" i="1"/>
  <c r="L108" i="1"/>
  <c r="M108" i="1"/>
  <c r="L104" i="1"/>
  <c r="M104" i="1"/>
  <c r="L100" i="1"/>
  <c r="M100" i="1"/>
  <c r="L96" i="1"/>
  <c r="M96" i="1"/>
  <c r="L92" i="1"/>
  <c r="M92" i="1"/>
  <c r="L88" i="1"/>
  <c r="M88" i="1"/>
  <c r="L84" i="1"/>
  <c r="M84" i="1"/>
  <c r="L80" i="1"/>
  <c r="M80" i="1"/>
  <c r="L76" i="1"/>
  <c r="M76" i="1"/>
  <c r="L72" i="1"/>
  <c r="M72" i="1"/>
  <c r="L68" i="1"/>
  <c r="M68" i="1"/>
  <c r="L64" i="1"/>
  <c r="M64" i="1"/>
  <c r="L60" i="1"/>
  <c r="M60" i="1"/>
  <c r="L56" i="1"/>
  <c r="M56" i="1"/>
  <c r="L52" i="1"/>
  <c r="M52" i="1"/>
  <c r="L48" i="1"/>
  <c r="M48" i="1"/>
  <c r="L44" i="1"/>
  <c r="M44" i="1"/>
  <c r="L115" i="1"/>
  <c r="L86" i="1"/>
  <c r="L54" i="1"/>
  <c r="L22" i="1"/>
  <c r="L114" i="1"/>
  <c r="L109" i="1"/>
  <c r="L101" i="1"/>
  <c r="L93" i="1"/>
  <c r="L85" i="1"/>
  <c r="L77" i="1"/>
  <c r="L69" i="1"/>
  <c r="L61" i="1"/>
  <c r="L53" i="1"/>
  <c r="L45" i="1"/>
  <c r="L37" i="1"/>
  <c r="L29" i="1"/>
  <c r="L21" i="1"/>
  <c r="L13" i="1"/>
  <c r="L5" i="1"/>
  <c r="M105" i="1"/>
  <c r="M97" i="1"/>
  <c r="M89" i="1"/>
  <c r="M81" i="1"/>
  <c r="M73" i="1"/>
  <c r="M65" i="1"/>
  <c r="M57" i="1"/>
  <c r="M49" i="1"/>
  <c r="M41" i="1"/>
  <c r="M25" i="1"/>
  <c r="M17" i="1"/>
  <c r="M40" i="1"/>
  <c r="M36" i="1"/>
  <c r="M32" i="1"/>
  <c r="M24" i="1"/>
  <c r="M20" i="1"/>
  <c r="M16" i="1"/>
  <c r="M12" i="1"/>
  <c r="M8" i="1"/>
  <c r="M4" i="1"/>
  <c r="M39" i="1"/>
  <c r="M35" i="1"/>
  <c r="M31" i="1"/>
  <c r="M27" i="1"/>
  <c r="M23" i="1"/>
  <c r="M19" i="1"/>
  <c r="M15" i="1"/>
  <c r="M11" i="1"/>
  <c r="M7" i="1"/>
  <c r="M3" i="1"/>
</calcChain>
</file>

<file path=xl/sharedStrings.xml><?xml version="1.0" encoding="utf-8"?>
<sst xmlns="http://schemas.openxmlformats.org/spreadsheetml/2006/main" count="911" uniqueCount="223">
  <si>
    <t xml:space="preserve">Módulo </t>
  </si>
  <si>
    <t>Submódulo</t>
  </si>
  <si>
    <t>Exposures to legal persons</t>
  </si>
  <si>
    <t>Instruments</t>
  </si>
  <si>
    <t>Counterparties</t>
  </si>
  <si>
    <t>Protections</t>
  </si>
  <si>
    <t>Instrument-Counterparty relation</t>
  </si>
  <si>
    <t>Instrument-Protection relation</t>
  </si>
  <si>
    <t>Exposures to natural persons</t>
  </si>
  <si>
    <t>Off-balance sheet exposures</t>
  </si>
  <si>
    <t>Derivatives</t>
  </si>
  <si>
    <t>Debt securities</t>
  </si>
  <si>
    <t>Equity</t>
  </si>
  <si>
    <t>CRR_LOSS_GIVEN_DEFAULT</t>
  </si>
  <si>
    <t>DATE_STATUS_FORBEARANCE_RENEG</t>
  </si>
  <si>
    <t>% Incidência</t>
  </si>
  <si>
    <t>Comentários unidade</t>
  </si>
  <si>
    <t>Comentários DAI</t>
  </si>
  <si>
    <t>Poderá não ser incidência. Ver se não existe de facto renegociação que justifique os blanks.</t>
  </si>
  <si>
    <t>Campo</t>
  </si>
  <si>
    <t>IFRS9_PROB_DEFAULT_IMPAIRMENT</t>
  </si>
  <si>
    <t>PROBABILITY_DEFAULT_OTHERS</t>
  </si>
  <si>
    <t>DET_TYPE_SHIP_COLLATERAL</t>
  </si>
  <si>
    <t>Segundo as especificações, será um conceito a revisitar no futuro, pelo que a incidência é de 100%</t>
  </si>
  <si>
    <t>CRR_EXPOSURE_CLASS</t>
  </si>
  <si>
    <t>FINREP_EXPOSURE_CLASS</t>
  </si>
  <si>
    <t>TOTAL_RISK_EXPOSURE_AMOUNT</t>
  </si>
  <si>
    <t>TYPE_INSTRUMENT</t>
  </si>
  <si>
    <t>AMORTIZATION_TYPE</t>
  </si>
  <si>
    <t>END_DATE_INTEREST_ONLY_PERIOD</t>
  </si>
  <si>
    <t>INTEREST_RATE_CAP</t>
  </si>
  <si>
    <t>INTEREST_RATE_FLOOR</t>
  </si>
  <si>
    <t>INTEREST_RATE_RESET_FREQ</t>
  </si>
  <si>
    <t>INTEREST_RATE_SPREAD_MARGIN</t>
  </si>
  <si>
    <t>COMMITMENT_AMOUNT_INCEPTION</t>
  </si>
  <si>
    <t>INTEREST_RATE</t>
  </si>
  <si>
    <t>DEFAULT_STATUS_INSTRUMENT</t>
  </si>
  <si>
    <t>DATE_DEFAULT_STATUS_INSTRUMENT</t>
  </si>
  <si>
    <t>TRANSFERRED_AMOUNT</t>
  </si>
  <si>
    <t>ARREARS_INSTRUMENT</t>
  </si>
  <si>
    <t>DATE_PAST_DUE_INSTRUMENT</t>
  </si>
  <si>
    <t>TYPE_SECURITIZATION</t>
  </si>
  <si>
    <t>OUTSTANDING_NOMINAL_AMOUNT</t>
  </si>
  <si>
    <t>ACCRUED_INTEREST</t>
  </si>
  <si>
    <t>OFF_BALANCE_SHEET_AMOUNT</t>
  </si>
  <si>
    <t>ACCUM_WRITE_OFFS</t>
  </si>
  <si>
    <t>ACCUM_IMPAIRMENT_AMOUNT</t>
  </si>
  <si>
    <t>SOURCES_ENCUMBRANCE</t>
  </si>
  <si>
    <t>PROVIS_ASSOC_OFFBALANCE</t>
  </si>
  <si>
    <t>CUMULATIVE_RECOV_SINCE_DEFAULT</t>
  </si>
  <si>
    <t>CARRYING_AMOUNT</t>
  </si>
  <si>
    <t>PRUDENTIAL_PORTFOLIO</t>
  </si>
  <si>
    <t>ACCUM_CHANGES_FV_DUE_CR</t>
  </si>
  <si>
    <t>(3) O controlo de Not Applicable não faz sentido aplicar ao conceito, uma vez que existem operações pela referência de risco totalmente titularizadas que não consomem capital. Identifica as operações com incidência, referindo "Resolução: Trata-se de operações totalmente titularizadas que não consomem capital. Pela especificação devem ser classificados como NA e não como missing values, pelo que já foi solicitado a tecnologia a sua correção."</t>
  </si>
  <si>
    <t>Sem comentários</t>
  </si>
  <si>
    <t>Controlo não realizado</t>
  </si>
  <si>
    <t>Root Cause: Operações em que a LT Estrutural estava e continua a definir o campo para aplicar apenas a Debt Securities.
Resolução: Para passar a incluir o conceito nos restantes segmentos, trata-se de uma alteração estrutural da LT e implica uma análise a fundo com a Contabilidade e alteração de parametrizações / desenvolvimento tecnológico.</t>
  </si>
  <si>
    <t>Identificado pela unidade e em resolução. No entanto, se assim é, o campo "TYPE_Securitization" deveria estar preenchido, e está totalmente com MISS</t>
  </si>
  <si>
    <t>Está tudo preenchido com "Household", mesmo nos casos de corporates. Esclarecer.</t>
  </si>
  <si>
    <t>Deverá estar influenciado pelo CRR_EXPOSURE_CLASS</t>
  </si>
  <si>
    <t>Poderá estar influênciado pelo tipo de operações</t>
  </si>
  <si>
    <t>Poderá estar influênciado pelo tipo de operações. Perceber conceito.</t>
  </si>
  <si>
    <t>Pode estar influenciado pelas titularizações referidas na "CRR EXPOSURE CLASS"</t>
  </si>
  <si>
    <t>Retirando os Default da coluna anterior, a incidência é de 76590, correspondentes, na maioria, aos 99999999999 da coluna anterior. A incidência passa a ser de 5,6%.</t>
  </si>
  <si>
    <t>Pode estar correto, não sendo incidência.</t>
  </si>
  <si>
    <t>Não existe um padrão, atingindo também créditos em Default. Esclarecer se pode ter incidências que não se devem considerar.</t>
  </si>
  <si>
    <t>Incidência identificada pela unidade.</t>
  </si>
  <si>
    <t>PROBABILITY_DEFAULT</t>
  </si>
  <si>
    <t>COUNTERPARTY_ROLE</t>
  </si>
  <si>
    <t>DEFAULT_STATUS_COUNTERPARTY</t>
  </si>
  <si>
    <t>DATE_DEFAULT_STATUS_COUNTERPARTY</t>
  </si>
  <si>
    <t>Pode estar influenciado por não ser 1º titular. Esclarecer.</t>
  </si>
  <si>
    <t>Pode não ser incidência. Esclarecer.</t>
  </si>
  <si>
    <t>Contaminado pelo "Probability of default". Esclarecer</t>
  </si>
  <si>
    <t>DATE_PROTECTION_VALUE</t>
  </si>
  <si>
    <t>ORIGINAL_PROTECTION_VALUE</t>
  </si>
  <si>
    <t>DATE_ORIGINAL_PROTECTION_VALUE</t>
  </si>
  <si>
    <t>TYPE_PROTECTION_VALUE</t>
  </si>
  <si>
    <t>JOINT_LIABILITIES_AMOUNT</t>
  </si>
  <si>
    <t>11111111111.000000</t>
  </si>
  <si>
    <t>blanks</t>
  </si>
  <si>
    <t>99999999999.000000</t>
  </si>
  <si>
    <t>MISS</t>
  </si>
  <si>
    <t>Resultado Incidencia</t>
  </si>
  <si>
    <t>N/A</t>
  </si>
  <si>
    <t>11111111111.00</t>
  </si>
  <si>
    <t>99999999999 / 11111111111</t>
  </si>
  <si>
    <t>11/11/1111</t>
  </si>
  <si>
    <t>11/11/1111 / blanks</t>
  </si>
  <si>
    <t>'99999999999.000000</t>
  </si>
  <si>
    <t>99999999999</t>
  </si>
  <si>
    <t>0.00</t>
  </si>
  <si>
    <t>11111111111</t>
  </si>
  <si>
    <t>99999999999 /  11111111111</t>
  </si>
  <si>
    <t>11/11/1111 / 31/12/9999</t>
  </si>
  <si>
    <t>NOMINAL_AMOUNT</t>
  </si>
  <si>
    <t>NOMINAL_INTEREST_RATE_FEE</t>
  </si>
  <si>
    <t>Todos os 903589 campos a 0, implicando uma incidência de 100%.</t>
  </si>
  <si>
    <t>Todos os 903589 campos com 9999999999, implicando uma incidência de 100%. As especificações referem que o conceito do campo não está claro.</t>
  </si>
  <si>
    <t>Existem 48157 registos com 999999999, implicando no total uma incidência de 5,3%.</t>
  </si>
  <si>
    <t>Considera-se a mesma incidência do campo anterior.Existem 48157 registos com 999999999, implicando no total uma incidência de 5,3%.</t>
  </si>
  <si>
    <t>Todos os 903589 campos com 0, implicando uma incidência de 100%.</t>
  </si>
  <si>
    <t>LEGAL_ENTITY_ID</t>
  </si>
  <si>
    <t>HEAD_OFFICE_UNDERTAKING_ID</t>
  </si>
  <si>
    <t>IMMEDIATE_PARENT_UNDERTAKING_ID</t>
  </si>
  <si>
    <t>ULTIMATE_PARENT_UNDERTAKING_ID</t>
  </si>
  <si>
    <t>Todos os 903589 campos com 0, implicando uma incidência de 100%. As especificações referem ser necessário validar a necessidade de criar um novo campo ("PD misto" ) na LT002_INSTRUMENT dado que se solicita um "misto" entre a PD 12m (PD12M_IFRS9) e a PD lifetime (PD_LT_IFRS9), campos já existentes nessa tabela.</t>
  </si>
  <si>
    <t>Contaminado pelo "Probability of default". Perceber porquê?</t>
  </si>
  <si>
    <t>As especificações referem Informação não parece existir no datalake, necessário avaliar fontes alternativas, implicando uma incidência de 100%.</t>
  </si>
  <si>
    <t>'11/11/1111 / 31/12/9999</t>
  </si>
  <si>
    <t>PROTECTION_PROVIDER_ID</t>
  </si>
  <si>
    <t>MATURITY_DATE_PROTECTION</t>
  </si>
  <si>
    <t>Todos os resultados em N/A, implicando 100% incidência.</t>
  </si>
  <si>
    <t>Incidência em 28890 registos (data 11/11/1111). A maioria dos casos sem data refere-se ao TYPE COLATERAL "Other Protection Value". Perceber porquê.</t>
  </si>
  <si>
    <t>Incidência em 28890 registos (registos 11111111111). A maioria dos casos sem data refere-se ao TYPE COLATERAL "Other Protection Value". Perceber porquê.</t>
  </si>
  <si>
    <t>Incidência em 28890 registos (registos N/A). A maioria dos casos sem data refere-se ao TYPE COLATERAL "Other Protection Value". Perceber porquê.</t>
  </si>
  <si>
    <t>11111111111.00 / -11111111111.00</t>
  </si>
  <si>
    <t>Totalidade dos 1076726 registos sem informação (=11111111111). Incidência de 100%.</t>
  </si>
  <si>
    <t>Totalidade dos 52075 registos sem informação (=11111111111). Incidência de 100%.</t>
  </si>
  <si>
    <t>11111111111.00 / 0.00</t>
  </si>
  <si>
    <t>UNIQUE_TRADE_ID</t>
  </si>
  <si>
    <t>COUNTERPARTY_ID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</si>
  <si>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</si>
  <si>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</si>
  <si>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</si>
  <si>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</si>
  <si>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</si>
  <si>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</si>
  <si>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</si>
  <si>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</si>
  <si>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</si>
  <si>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</si>
  <si>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</si>
  <si>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</si>
  <si>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</si>
  <si>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</si>
  <si>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</si>
  <si>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</si>
  <si>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</si>
  <si>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ACCOUNTING_STANDARD</t>
  </si>
  <si>
    <t>ACCOUNTING_CLASSIFICATION</t>
  </si>
  <si>
    <t>HIERARCHY</t>
  </si>
  <si>
    <t>HEDGE_ID</t>
  </si>
  <si>
    <t>Root Cause: 496 operações preenchidas na LT001 com a carteira contabilística “derivados de cobertura” e “passivos financeiros detidos para negociacao”. Esta opção não se encontra ao dia de hoje parametrizada na tabela LT803.
Resolução: Já foi solicitado a Tecnologia a parametrização das carteiras contabilísticas em falta.</t>
  </si>
  <si>
    <t>São considerados 27 registos que não têm informação carregada em nenhum campo. Caso não sejam aplicáveis, devem ser retirados.</t>
  </si>
  <si>
    <t>ISIN</t>
  </si>
  <si>
    <t>ISSUER_RATINGS</t>
  </si>
  <si>
    <t>ISSUER_RATINGS_SOURCES</t>
  </si>
  <si>
    <t>CURRENCY_VALUE</t>
  </si>
  <si>
    <t>VAL_TIMESTAMP</t>
  </si>
  <si>
    <t>VAL_TYPE</t>
  </si>
  <si>
    <t>SECURITY_RATING</t>
  </si>
  <si>
    <t>PURCHASED_RESALE_AGR</t>
  </si>
  <si>
    <t>PART_LCR_BUFFER</t>
  </si>
  <si>
    <t>LCR_BUFFER_CATEGORY</t>
  </si>
  <si>
    <t>Root Cause: 3 operações com ISIN duplicado.
Resolução: 2 dos ISIN sobre Papel Comercial vêm duplicadas da origem e já foi comunicada a Tecnologia para resolução. O 3ª ISIN encontra-se corretamente duplicado, uma vez que se trata de um título de dívida pública que tem uma parte numa carteira SIGOM e outra parte noutra, gerando assim 2 chaves distintas.</t>
  </si>
  <si>
    <t>FINANCIAL_CONTRACT_ID</t>
  </si>
  <si>
    <t>DIVIDEND_YIELD</t>
  </si>
  <si>
    <t xml:space="preserve">Resolução: A LT terá de ser aprovisionada com esta informação que no presente é somente utilizada para um fim específico do reporte trimestral. </t>
  </si>
  <si>
    <t>O controlo de duplicados é desnecessário (inclusivamente está como N/A, pois podem existir ISINs duplicados, se forem de diferentes ISSUERs). Todos os campos do ficheiro CSV estão como N/A, implicando uma incidência de 100%. No entanto, não foram feitos testes aos N/A. A maioria dos ISINs estarão identificados no campo relativo ao "instrmnt_id", mas em conjunto com outros dados.</t>
  </si>
  <si>
    <t>Além dos 6 N/A, temos o resto (36) com "Miss", o que implica 100% de incidência.</t>
  </si>
  <si>
    <t>Campos por preencher, conforme identificado pela unidade.</t>
  </si>
  <si>
    <t>Possível Resposta</t>
  </si>
  <si>
    <t>Não temos operativa, não registamos este informação nos sistemas será sempre N/A</t>
  </si>
  <si>
    <t>Não temos registamos este informação nos sistemas será sempre N/A e não MISS?</t>
  </si>
  <si>
    <t>Se são natural persons, é natural que sejam households. Agora se aparecem corporates pode ser uma questão de mapeamento antes da LT</t>
  </si>
  <si>
    <t>verificar parametrização do not aplicable</t>
  </si>
  <si>
    <t>Problema identificado</t>
  </si>
  <si>
    <t>verificar isto mesmo</t>
  </si>
  <si>
    <t>É mesmo assim porque somos um Banco IRB. Preenche-se o outro campo da PD IFRS9</t>
  </si>
  <si>
    <t>Campo do novo projeto, mostrar evidencia</t>
  </si>
  <si>
    <t>Campo encontra-se de acordo com a especificação</t>
  </si>
  <si>
    <t>Campo a revisitar no âmbito da nova iniciativa do Valuation</t>
  </si>
  <si>
    <t>Tema já identificado</t>
  </si>
  <si>
    <t>DT_FRBRNC_STTS</t>
  </si>
  <si>
    <t>RWA</t>
  </si>
  <si>
    <t>Campo já existente no Loan Tape, necessária análise</t>
  </si>
  <si>
    <t>Os registos mencionados (SNC%) tratam-se de registos manuais</t>
  </si>
  <si>
    <t>campo_lt / Query</t>
  </si>
  <si>
    <t>Campo será alterado para reportar N/A em vez de MISS (Operativa inexistente)</t>
  </si>
  <si>
    <t>com incidencia muito maior</t>
  </si>
  <si>
    <t>Poderá não ser incidência. Esclarecer uma vez que se referem a "Other protection".</t>
  </si>
  <si>
    <t>PROTECTION_ALLOCATED_VALUE</t>
  </si>
  <si>
    <t>THIRDPARTY_CLAIMS_PROTECTION</t>
  </si>
  <si>
    <t>OBSERVED_AGENT_ID</t>
  </si>
  <si>
    <t>Existem 32 registos, que se iniciam com SNC, que não têm informação carregada em nenhum campo (exceção para TYPE). Caso não sejam aplicáveis, devem ser retirados.</t>
  </si>
  <si>
    <t>Ajustes manuais?</t>
  </si>
  <si>
    <t>Percentagem elevada de registos com MISS</t>
  </si>
  <si>
    <t>Maioria dos campos em blank</t>
  </si>
  <si>
    <t>As especificações referem que o campo está parcialmente definido, ainda está a ser avaliada a necessidade de aplicar uma regra complementar à regra definida.</t>
  </si>
  <si>
    <t>LEGAL_FORM</t>
  </si>
  <si>
    <t>Todos os 870 registos com "Miss" (100% incidência). De acordo com as especificações, esta informação não existia no datalake, foi endereçado um desenvolvimento às areas de ALM e SIGOM de forma a passar a aprovisionar esta informação nas tabelas al005_det_swapc e al011_derivados.</t>
  </si>
  <si>
    <t>Todos os 870 registos com "Miss" (100% incidência). De acordo com as especificações, regra quase finalizada, falta confirmar a forma correta de verificar se um contrato Finrep está ao abrigo de um contrato ISDA</t>
  </si>
  <si>
    <t>Todos os 870 registos com "Miss" (100% incidência). De acordo com as especificações, será um conceito a revisitar no futuro.</t>
  </si>
  <si>
    <t>Todos os 870 registos com "Miss" (100% incidência). De acordo com as especificações, será para reportar sempre N/A.</t>
  </si>
  <si>
    <t>Existem outros registos, além dos referidos no campo ISIN, com alertas MISS ou N/A que implicam uma incidência superior a 5%. Esta incidência foi identificada pela unidade.</t>
  </si>
  <si>
    <t>Todos os 870 registos com "Miss" (100% incidência). De acordo com as especificações, os pontos estão a ser analisados.</t>
  </si>
  <si>
    <t>Todos os 870 registos com "N/A" (100% incidência).</t>
  </si>
  <si>
    <t xml:space="preserve">Existem outros registos, além dos referidos no campo ISIN, com alertas MISS ou N/A que implicam uma incidência superior a 5%. </t>
  </si>
  <si>
    <t>São considerados 20 registos (na maioria que se iniciam com SNC), que não têm informação carregada em nenhum campo. Caso não sejam aplicáveis, devem ser retirados.</t>
  </si>
  <si>
    <t>Para além da questão do PPC que entretanto foi resolvida, é possível ter ISIN duplicados se o Banco tiver o mesmo títulos em carteiras contabilisticas distintas (i.e AFS e HTC) não sendo um erro
Questõ dos ajustes manuais</t>
  </si>
  <si>
    <t>ISSUER_ESA_2010</t>
  </si>
  <si>
    <t>ISSUER_NACE_SECTOR</t>
  </si>
  <si>
    <t xml:space="preserve">Existem outros registos, além dos referidos no primeiro comentário, com alertas MISS ou N/A que implicam uma incidência superior a 5%. </t>
  </si>
  <si>
    <t>Não existem controlos de qualidade. Verificámos ainda assim, no ficheiro CSV, que todos os campos estão preenchidos, sem duplicados. São considerados 3 registos, que se iniciam com SNC, que não têm informação carregada em nenhum campo. Caso não sejam aplicáveis, devem ser retirados.</t>
  </si>
  <si>
    <t>Comentário IT 2025-04-22</t>
  </si>
  <si>
    <t>select typ_instrmnt, count(*) from bu_loantape_work.lt002_instrument_srb where 
ambito='SRB_VALUATION' and ref_date='2025-02-28'
and segmento='Exposures to natural persons'
group by 1
order by count(*) desc
;
select typ_instrmnt, count(*) from cd_loan_tapes_bce.lt002_instrument where 
ambito='SRB_VALUATION' and ref_date='2024-12-31'
and segmento='Exposures to natural persons'
group by 1
order by count(*) desc
;</t>
  </si>
  <si>
    <t>select ACCMLTD_IMPRMNT_INSTRMNT, count(*) from bu_loantape_work.lt002_instrument_srb where 
ambito='SRB_VALUATION' and ref_date='2025-02-28' and segmento='Exposures to natural persons'
group by 1
order by count(*) desc;
select ACCMLTD_IMPRMNT_INSTRMNT, count(*) from cd_loan_tapes_bce.lt002_instrument where 
ambito='SRB_VALUATION' and ref_date='2024-12-31' and segmento='Exposures to natural persons'
group by 1
order by count(*) desc;</t>
  </si>
  <si>
    <t>select CRRYNG_AMNT_INSTRMNT, count(*) from bu_loantape_work.lt002_instrument_srb where 
ambito='SRB_VALUATION' and ref_date='2025-02-28' and segmento='Exposures to natural persons'
group by 1
order by count(*) desc
;
select CRRYNG_AMNT_INSTRMNT, count(*) from cd_loan_tapes_bce.lt002_instrument where 
ambito='SRB_VALUATION' and ref_date='2024-12-31' and segmento='Exposures to natural persons'
group by 1
order by count(*) desc
;</t>
  </si>
  <si>
    <t>select GRSS_CRRYNG_AMNT_INSTRMNT, count(*) from bu_loantape_work.lt002_instrument_srb where 
ambito='SRB_VALUATION' and ref_date='2025-02-28' and segmento='Derivatives'
group by 1
order by count(*) desc
;
select GRSS_CRRYNG_AMNT_INSTRMNT, count(*) from cd_loan_tapes_bce.lt002_instrument where 
ambito='SRB_VALUATION' and ref_date='2024-12-31' and segmento='Derivatives'
group by 1
order by count(*) desc
;</t>
  </si>
  <si>
    <t>select OFF_BLNC_SHT_AMNT_INSTRMNT, count(*) 
from bu_loantape_work.lt002_instrument_srb where 
ambito='SRB_VALUATION' and ref_date='2025-02-28' and segmento='Off-balance sheet exposures'
group by 1
order by count(*) desc
;
select OFF_BLNC_SHT_AMNT_INSTRMNT, count(*) 
from cd_loan_tapes_bce.lt002_instrument where 
ambito='SRB_VALUATION' and ref_date='2024-12-31' and segmento='Off-balance sheet exposures'
group by 1
order by count(*) desc
;</t>
  </si>
  <si>
    <t>select crr_exposure_class, count(*) from bu_loantape_work.lt002_instrument_srb where 
ambito='SRB_VALUATION' and ref_date='2025-02-28' and segmento='Exposures to legal persons'
group by 1
order by count(*) desc
;
select crr_exposure_class, count(*) from cd_loan_tapes_bce.lt002_instrument where 
ambito='SRB_VALUATION' and ref_date='2024-12-31' and segmento='Exposures to legal persons'
group by 1
order by count(*) desc
;</t>
  </si>
  <si>
    <t>select CRR_EXPOSURE_CLASS, count(*) from bu_loantape_work.lt002_instrument_srb where 
ambito='SRB_VALUATION' and ref_date='2025-02-28' and segmento='Off-balance sheet exposures'
group by 1
order by count(*) desc
;
select CRR_EXPOSURE_CLASS, count(*) from cd_loan_tapes_bce.lt002_instrument where 
ambito='SRB_VALUATION' and ref_date='2024-12-31' and segmento='Off-balance sheet exposures'
group by 1
order by count(*) desc
;</t>
  </si>
  <si>
    <t xml:space="preserve">select PRTCTN_ALLCTD_VL, count(*) from bu_loantape_work.lt006_instr_prot_srb where 
ambito='SRB_VALUATION' and ref_date='2025-02-28' and segmento='Exposures to natural persons'
group by 1
order by count(*) desc
;
select PRTCTN_ALLCTD_VL, count(*) from cd_loan_tapes_bce.lt006_instr_prot where 
ambito='SRB_VALUATION' and ref_date='2024-12-31' and segmento='Exposures to natural persons'
group by 1
order by count(*) desc
;
</t>
  </si>
  <si>
    <t>THRD_PRTY_PRRTY_CLMS</t>
  </si>
  <si>
    <t>OBSRVD_AGNT_ID</t>
  </si>
  <si>
    <t>select ISSR_ESA_2010, count(*) from bu_loantape_work.lt002_instrument_srb where 
ambito='SRB_VALUATION' and ref_date='2025-02-28' and segmento='Equity'
group by 1
order by count(*) desc
;
select ISSR_ESA_2010, count(*) from cd_loan_tapes_bce.lt002_instrument where 
ambito='SRB_VALUATION' and ref_date='2024-12-31' and segmento='Equity'
group by 1
order by count(*) desc
;</t>
  </si>
  <si>
    <t>select ISSR_NACE_SCTR, count(*) from bu_loantape_work.lt002_instrument_srb where 
ambito='SRB_VALUATION' and ref_date='2025-02-28' and segmento='Equity'
group by 1
order by count(*) desc
;
select ISSR_NACE_SCTR, count(*) from cd_loan_tapes_bce.lt002_instrument where 
ambito='SRB_VALUATION' and ref_date='2024-12-31' and segmento='Equity'
group by 1
order by count(*) desc
;</t>
  </si>
  <si>
    <t>Row Labels</t>
  </si>
  <si>
    <t>Grand Total</t>
  </si>
  <si>
    <t>Count of Comentário IT 2025-04-22</t>
  </si>
  <si>
    <t>Campo encontra-se preenchido na cd_loan_tapes_bce (2024-12-31) mas não se encontra igualmente preenchido na bu_loantape_work (2025-02-28), necessária análise de 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</si>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</sst>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theme="1"/>
      <name val="Santander Text"/>
      <family val="2"/>
    </font>
    <font>
      <sz val="11"/>
      <color theme="1"/>
      <name val="Aptos Narrow"/>
      <family val="2"/>
      <scheme val="minor"/>
    </font>
    <font>
      <sz val="10"/>
      <color theme="1"/>
      <name val="Santander Text"/>
      <family val="2"/>
    </font>
    <font>
      <b/>
      <sz val="11"/>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92D050"/>
        <bgColor indexed="64"/>
      </patternFill>
    </fill>
  </fills>
  <borders count="9">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0" fontId="3" fillId="2" borderId="4" xfId="1" applyNumberFormat="1" applyFont="1" applyFill="1" applyBorder="1" applyAlignment="1">
      <alignment horizontal="center" vertical="center" wrapText="1"/>
    </xf>
    <xf numFmtId="0" fontId="0" fillId="0" borderId="0" xfId="0" applyAlignment="1">
      <alignment vertical="center" wrapText="1"/>
    </xf>
    <xf numFmtId="10" fontId="0" fillId="0" borderId="0" xfId="1" applyNumberFormat="1" applyFont="1" applyAlignment="1">
      <alignment vertical="center" wrapText="1"/>
    </xf>
    <xf numFmtId="10" fontId="0" fillId="0" borderId="0" xfId="1" applyNumberFormat="1" applyFont="1" applyAlignment="1">
      <alignment horizontal="center" vertical="center" wrapText="1"/>
    </xf>
    <xf numFmtId="0" fontId="0" fillId="0" borderId="0" xfId="0" applyFill="1"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10" fontId="0" fillId="3" borderId="2" xfId="1" applyNumberFormat="1" applyFont="1" applyFill="1" applyBorder="1" applyAlignment="1">
      <alignment horizontal="center" vertical="center" wrapText="1"/>
    </xf>
    <xf numFmtId="10" fontId="0" fillId="3" borderId="2" xfId="1" applyNumberFormat="1" applyFont="1" applyFill="1" applyBorder="1" applyAlignment="1">
      <alignment vertical="center" wrapText="1"/>
    </xf>
    <xf numFmtId="0" fontId="0" fillId="4" borderId="6" xfId="0" applyFill="1" applyBorder="1" applyAlignment="1">
      <alignment vertical="center" wrapText="1"/>
    </xf>
    <xf numFmtId="0" fontId="0" fillId="4" borderId="7" xfId="0" applyFill="1" applyBorder="1" applyAlignment="1">
      <alignment vertical="center" wrapText="1"/>
    </xf>
    <xf numFmtId="10" fontId="0" fillId="4" borderId="7" xfId="1" applyNumberFormat="1" applyFont="1" applyFill="1" applyBorder="1" applyAlignment="1">
      <alignment horizontal="center" vertical="center" wrapText="1"/>
    </xf>
    <xf numFmtId="10" fontId="0" fillId="4" borderId="7" xfId="1" applyNumberFormat="1" applyFont="1" applyFill="1" applyBorder="1" applyAlignment="1">
      <alignment vertical="center" wrapText="1"/>
    </xf>
    <xf numFmtId="0" fontId="0" fillId="4" borderId="1" xfId="0" applyFill="1" applyBorder="1" applyAlignment="1">
      <alignment vertical="center" wrapText="1"/>
    </xf>
    <xf numFmtId="0" fontId="0" fillId="4" borderId="2" xfId="0" applyFill="1" applyBorder="1" applyAlignment="1">
      <alignment vertical="center" wrapText="1"/>
    </xf>
    <xf numFmtId="10" fontId="0" fillId="4" borderId="2" xfId="1" applyNumberFormat="1" applyFont="1" applyFill="1" applyBorder="1" applyAlignment="1">
      <alignment horizontal="center" vertical="center" wrapText="1"/>
    </xf>
    <xf numFmtId="10" fontId="0" fillId="4" borderId="2" xfId="1" applyNumberFormat="1" applyFont="1" applyFill="1" applyBorder="1" applyAlignment="1">
      <alignment vertical="center" wrapText="1"/>
    </xf>
    <xf numFmtId="10" fontId="0" fillId="4" borderId="2" xfId="1" quotePrefix="1" applyNumberFormat="1" applyFont="1" applyFill="1" applyBorder="1" applyAlignment="1">
      <alignment vertical="center" wrapText="1"/>
    </xf>
    <xf numFmtId="14" fontId="0" fillId="4" borderId="2" xfId="1" applyNumberFormat="1" applyFont="1" applyFill="1" applyBorder="1" applyAlignment="1">
      <alignment vertical="center" wrapText="1"/>
    </xf>
    <xf numFmtId="0" fontId="0" fillId="4" borderId="2" xfId="0" quotePrefix="1" applyFill="1" applyBorder="1" applyAlignment="1">
      <alignment vertical="center" wrapText="1"/>
    </xf>
    <xf numFmtId="0" fontId="0" fillId="4" borderId="1" xfId="0" applyFill="1" applyBorder="1" applyAlignment="1">
      <alignment horizontal="left" vertical="center" wrapText="1"/>
    </xf>
    <xf numFmtId="0" fontId="0" fillId="0" borderId="0" xfId="0" applyAlignment="1">
      <alignment horizontal="center" vertical="center" wrapText="1"/>
    </xf>
    <xf numFmtId="0" fontId="1" fillId="0" borderId="4" xfId="0" applyFont="1" applyFill="1" applyBorder="1" applyAlignment="1">
      <alignment horizontal="center" vertical="center" wrapText="1"/>
    </xf>
    <xf numFmtId="0" fontId="0" fillId="0" borderId="8" xfId="0" applyFont="1" applyFill="1" applyBorder="1" applyAlignment="1">
      <alignment vertical="center" wrapText="1"/>
    </xf>
    <xf numFmtId="0" fontId="0" fillId="0" borderId="5" xfId="0" applyFont="1" applyFill="1" applyBorder="1" applyAlignment="1">
      <alignment vertical="center" wrapText="1"/>
    </xf>
    <xf numFmtId="0" fontId="0" fillId="0" borderId="0" xfId="0" applyFont="1" applyFill="1" applyAlignment="1">
      <alignment vertical="center" wrapText="1"/>
    </xf>
    <xf numFmtId="0" fontId="0" fillId="0" borderId="0" xfId="0" applyFont="1" applyFill="1" applyAlignment="1">
      <alignment horizontal="left" vertical="center" wrapText="1"/>
    </xf>
    <xf numFmtId="0" fontId="0" fillId="0" borderId="0" xfId="0" applyFont="1" applyAlignment="1">
      <alignment horizontal="center" vertical="center" wrapText="1"/>
    </xf>
    <xf numFmtId="0" fontId="0" fillId="0" borderId="2" xfId="0" applyFont="1" applyFill="1" applyBorder="1" applyAlignment="1">
      <alignment horizontal="left" vertical="center" wrapText="1"/>
    </xf>
    <xf numFmtId="0" fontId="0" fillId="5" borderId="2"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Quest&#245;es%20DA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L1"/>
          <cell r="N1" t="str">
            <v>campo_lt / Query</v>
          </cell>
        </row>
        <row r="2">
          <cell r="L2" t="str">
            <v>Exposures to legal personsInstrumentsCRR_LOSS_GIVEN_DEFAULT</v>
          </cell>
          <cell r="M2" t="str">
            <v>Campo já existente no Loan Tape, necessária análise</v>
          </cell>
          <cell r="N2" t="str">
            <v>LGD</v>
          </cell>
        </row>
        <row r="3">
          <cell r="L3" t="str">
            <v>Exposures to legal personsInstrumentsDATE_STATUS_FORBEARANCE_RENEG</v>
          </cell>
          <cell r="M3" t="str">
            <v>Campo já existente no Loan Tape, necessária análise</v>
          </cell>
          <cell r="N3" t="str">
            <v>DT_FRBRNC_STTS</v>
          </cell>
        </row>
        <row r="4">
          <cell r="L4" t="str">
            <v>Exposures to legal personsCounterpartiesIFRS9_PROB_DEFAULT_IMPAIRMENT</v>
          </cell>
          <cell r="M4" t="str">
            <v>Campo a revisitar no âmbito da nova iniciativa do Valuation</v>
          </cell>
        </row>
        <row r="5">
          <cell r="L5" t="str">
            <v>Exposures to legal personsCounterpartiesPROBABILITY_DEFAULT_OTHERS</v>
          </cell>
          <cell r="M5" t="str">
            <v>Campo encontra-se de acordo com a especificação</v>
          </cell>
        </row>
        <row r="6">
          <cell r="L6" t="str">
            <v>Exposures to legal personsProtectionsDET_TYPE_SHIP_COLLATERAL</v>
          </cell>
          <cell r="M6" t="str">
            <v>Campo será alterado para reportar N/A em vez de MISS (Operativa inexistente)</v>
          </cell>
        </row>
        <row r="7">
          <cell r="L7" t="str">
            <v>Exposures to natural personsInstrumentsCRR_EXPOSURE_CLASS</v>
          </cell>
          <cell r="M7" t="str">
            <v>Tema já identificado</v>
          </cell>
        </row>
        <row r="8">
          <cell r="L8" t="str">
            <v>Exposures to natural personsInstrumentsFINREP_EXPOSURE_CLASS</v>
          </cell>
          <cell r="M8" t="str">
            <v>Campo já existente no Loan Tape, necessária análise</v>
          </cell>
          <cell r="N8" t="str">
            <v xml:space="preserve">
INTRNL_SGMNT</v>
          </cell>
        </row>
        <row r="9">
          <cell r="L9" t="str">
            <v>Exposures to natural personsInstrumentsTOTAL_RISK_EXPOSURE_AMOUNT</v>
          </cell>
          <cell r="M9" t="str">
            <v>Campo já existente no Loan Tape, necessária análise</v>
          </cell>
          <cell r="N9" t="str">
            <v>RWA</v>
          </cell>
        </row>
        <row r="10">
          <cell r="L10" t="str">
            <v>Exposures to natural personsInstrumentsCRR_LOSS_GIVEN_DEFAULT</v>
          </cell>
          <cell r="M10" t="str">
            <v>Campo já existente no Loan Tape, necessária análise</v>
          </cell>
          <cell r="N10" t="str">
            <v>LGD</v>
          </cell>
        </row>
        <row r="11">
          <cell r="L11" t="str">
            <v>Exposures to natural personsInstrumentsTYPE_INSTRUMENT</v>
          </cell>
          <cell r="M11" t="str">
            <v>Campo encontra-se preenchido, não existindo a % de incidência indicada</v>
          </cell>
          <cell r="N11" t="str">
            <v>select typ_instrmnt, count(*) from cd_loan_tapes_bce.lt002_instrument where 
ambito='SRB_VALUATION' and ref_date='2024-12-31'
and segmento='Exposures to natural persons'
group by 1
order by count(*) desc</v>
          </cell>
        </row>
        <row r="12">
          <cell r="L12" t="str">
            <v>Exposures to natural personsInstrumentsAMORTIZATION_TYPE</v>
          </cell>
          <cell r="M12" t="str">
            <v>Campo já existente no Loan Tape, necessária análise</v>
          </cell>
          <cell r="N12" t="str">
            <v>TYP_AMRTSTN</v>
          </cell>
        </row>
        <row r="13">
          <cell r="L13" t="str">
            <v>Exposures to natural personsInstrumentsEND_DATE_INTEREST_ONLY_PERIOD</v>
          </cell>
          <cell r="M13" t="str">
            <v>Campo já existente no Loan Tape, necessária análise</v>
          </cell>
          <cell r="N13" t="str">
            <v>DT_END_INTRST_ONLY</v>
          </cell>
        </row>
        <row r="14">
          <cell r="L14" t="str">
            <v>Exposures to natural personsInstrumentsINTEREST_RATE_CAP</v>
          </cell>
          <cell r="M14" t="str">
            <v>Campo a revisitar no âmbito da nova iniciativa do Valuation</v>
          </cell>
        </row>
        <row r="15">
          <cell r="L15" t="str">
            <v>Exposures to natural personsInstrumentsINTEREST_RATE_FLOOR</v>
          </cell>
          <cell r="M15" t="str">
            <v>Campo a revisitar no âmbito da nova iniciativa do Valuation</v>
          </cell>
        </row>
        <row r="16">
          <cell r="L16" t="str">
            <v>Exposures to natural personsInstrumentsINTEREST_RATE_RESET_FREQ</v>
          </cell>
          <cell r="M16" t="str">
            <v>Campo já existente no Loan Tape, necessária análise</v>
          </cell>
          <cell r="N16" t="str">
            <v>INTRST_RT_RST_FRQNCY</v>
          </cell>
        </row>
        <row r="17">
          <cell r="L17" t="str">
            <v>Exposures to natural personsInstrumentsINTEREST_RATE_SPREAD_MARGIN</v>
          </cell>
          <cell r="M17" t="str">
            <v>Campo já existente no Loan Tape, necessária análise</v>
          </cell>
          <cell r="N17" t="str">
            <v>SPRD</v>
          </cell>
        </row>
        <row r="18">
          <cell r="L18" t="str">
            <v>Exposures to natural personsInstrumentsCOMMITMENT_AMOUNT_INCEPTION</v>
          </cell>
          <cell r="M18" t="str">
            <v>Campo já existente no Loan Tape, necessária análise</v>
          </cell>
          <cell r="N18" t="str">
            <v>CMMTMNT_INCPTN_INSTRMNT</v>
          </cell>
        </row>
        <row r="19">
          <cell r="L19" t="str">
            <v>Exposures to natural personsInstrumentsINTEREST_RATE</v>
          </cell>
          <cell r="M19" t="str">
            <v>Campo já existente no Loan Tape, necessária análise</v>
          </cell>
          <cell r="N19" t="str">
            <v>ANNLSD_AGRD_RT</v>
          </cell>
        </row>
        <row r="20">
          <cell r="L20" t="str">
            <v>Exposures to natural personsInstrumentsDEFAULT_STATUS_INSTRUMENT</v>
          </cell>
          <cell r="M20" t="str">
            <v>Campo já existente no Loan Tape, necessária análise</v>
          </cell>
          <cell r="N20" t="str">
            <v>DFLT_STTS_INSTRMNT</v>
          </cell>
        </row>
        <row r="21">
          <cell r="L21" t="str">
            <v>Exposures to natural personsInstrumentsDATE_DEFAULT_STATUS_INSTRUMENT</v>
          </cell>
          <cell r="M21" t="str">
            <v>Campo já existente no Loan Tape, necessária análise</v>
          </cell>
          <cell r="N21" t="str">
            <v>DT_DFLT_STTS_INSTRMNT</v>
          </cell>
        </row>
        <row r="22">
          <cell r="L22" t="str">
            <v>Exposures to natural personsInstrumentsTRANSFERRED_AMOUNT</v>
          </cell>
          <cell r="M22" t="str">
            <v>Campo encontra-se de acordo com a especificação</v>
          </cell>
        </row>
        <row r="23">
          <cell r="L23" t="str">
            <v>Exposures to natural personsInstrumentsARREARS_INSTRUMENT</v>
          </cell>
          <cell r="M23" t="str">
            <v>Campo já existente no Loan Tape, necessária análise</v>
          </cell>
          <cell r="N23" t="str">
            <v>ARRRS_INSTRMNT</v>
          </cell>
        </row>
        <row r="24">
          <cell r="L24" t="str">
            <v>Exposures to natural personsInstrumentsDATE_PAST_DUE_INSTRUMENT</v>
          </cell>
          <cell r="M24" t="str">
            <v>Campo já existente no Loan Tape, necessária análise</v>
          </cell>
          <cell r="N24" t="str">
            <v>DT_PST_D</v>
          </cell>
        </row>
        <row r="25">
          <cell r="L25" t="str">
            <v>Exposures to natural personsInstrumentsTYPE_SECURITIZATION</v>
          </cell>
          <cell r="M25" t="str">
            <v>Campo a revisitar no âmbito da nova iniciativa do Valuation</v>
          </cell>
        </row>
        <row r="26">
          <cell r="L26" t="str">
            <v>Exposures to natural personsInstrumentsOUTSTANDING_NOMINAL_AMOUNT</v>
          </cell>
          <cell r="M26" t="str">
            <v>Campo já existente no Loan Tape, necessária análise</v>
          </cell>
          <cell r="N26" t="str">
            <v>OTSTNDNG_NMNL_AMNT_INSTRMNT</v>
          </cell>
        </row>
        <row r="27">
          <cell r="L27" t="str">
            <v>Exposures to natural personsInstrumentsACCRUED_INTEREST</v>
          </cell>
          <cell r="M27" t="str">
            <v>Campo já existente no Loan Tape, necessária análise</v>
          </cell>
          <cell r="N27" t="str">
            <v>ACCRD_INTRST_INSTRMNT</v>
          </cell>
        </row>
        <row r="28">
          <cell r="L28" t="str">
            <v>Exposures to natural personsInstrumentsOFF_BALANCE_SHEET_AMOUNT</v>
          </cell>
          <cell r="M28" t="str">
            <v>Campo já existente no Loan Tape, necessária análise</v>
          </cell>
          <cell r="N28" t="str">
            <v>OFF_BLNC_SHT_AMNT_INSTRMNT</v>
          </cell>
        </row>
        <row r="29">
          <cell r="L29" t="str">
            <v>Exposures to natural personsInstrumentsACCUM_WRITE_OFFS</v>
          </cell>
          <cell r="M29" t="str">
            <v>Campo já existente no Loan Tape, necessária análise</v>
          </cell>
          <cell r="N29" t="str">
            <v>ACCMLTD_WRTFFS_INSTRMNT</v>
          </cell>
        </row>
        <row r="30">
          <cell r="L30" t="str">
            <v>Exposures to natural personsInstrumentsACCUM_IMPAIRMENT_AMOUNT</v>
          </cell>
          <cell r="M30" t="str">
            <v>Campo encontra-se preenchido, não existindo a % de incidência indicada</v>
          </cell>
          <cell r="N30" t="str">
            <v>select ACCMLTD_IMPRMNT_INSTRMNT, count(*) from cd_loan_tapes_bce.lt002_instrument where 
ambito='SRB_VALUATION' and ref_date='2024-12-31' and segmento='Exposures to natural persons'
--ambito='PM' and segmento='ESTR'
group by 1
order by count(*) desc</v>
          </cell>
        </row>
        <row r="31">
          <cell r="L31" t="str">
            <v>Exposures to natural personsInstrumentsSOURCES_ENCUMBRANCE</v>
          </cell>
          <cell r="M31" t="str">
            <v>Campo a revisitar no âmbito da nova iniciativa do Valuation</v>
          </cell>
        </row>
        <row r="32">
          <cell r="L32" t="str">
            <v>Exposures to natural personsInstrumentsPROVIS_ASSOC_OFFBALANCE</v>
          </cell>
          <cell r="M32" t="str">
            <v>Campo já existente no Loan Tape, necessária análise</v>
          </cell>
          <cell r="N32" t="str">
            <v>PRVSNS_OFF_BLNC_SHT</v>
          </cell>
        </row>
        <row r="33">
          <cell r="L33" t="str">
            <v>Exposures to natural personsInstrumentsDATE_STATUS_FORBEARANCE_RENEG</v>
          </cell>
          <cell r="M33" t="str">
            <v>Campo já existente no Loan Tape, necessária análise</v>
          </cell>
          <cell r="N33" t="str">
            <v>DT_FRBRNC_STTS</v>
          </cell>
        </row>
        <row r="34">
          <cell r="L34" t="str">
            <v>Exposures to natural personsInstrumentsCUMULATIVE_RECOV_SINCE_DEFAULT</v>
          </cell>
          <cell r="M34" t="str">
            <v>Campo já existente no Loan Tape, necessária análise</v>
          </cell>
          <cell r="N34" t="str">
            <v>CMLTV_RCVRS_SNC_DFLT_INSTRMNT</v>
          </cell>
        </row>
        <row r="35">
          <cell r="L35" t="str">
            <v>Exposures to natural personsInstrumentsCARRYING_AMOUNT</v>
          </cell>
          <cell r="M35" t="str">
            <v>Campo encontra-se preenchido, não existindo a % de incidência indicada</v>
          </cell>
          <cell r="N35" t="str">
            <v>select CRRYNG_AMNT_INSTRMNT, count(*) from cd_loan_tapes_bce.lt002_instrument where 
ambito='SRB_VALUATION' and ref_date='2024-12-31' and segmento='Exposures to natural persons'
--ambito='PM' and segmento='ESTR'
group by 1
order by count(*) desc</v>
          </cell>
        </row>
        <row r="36">
          <cell r="L36" t="str">
            <v>Exposures to natural personsInstrumentsPRUDENTIAL_PORTFOLIO</v>
          </cell>
          <cell r="M36" t="str">
            <v>Tema já identificado</v>
          </cell>
        </row>
        <row r="37">
          <cell r="L37" t="str">
            <v>Exposures to natural personsInstrumentsACCUM_CHANGES_FV_DUE_CR</v>
          </cell>
          <cell r="M37" t="str">
            <v>Campo já existente no Loan Tape, necessária análise</v>
          </cell>
          <cell r="N37" t="str">
            <v>ACCMLTD_CHNGS_FV_CR_INSTRMNT</v>
          </cell>
        </row>
        <row r="38">
          <cell r="L38" t="str">
            <v>Exposures to natural personsCounterpartiesPROBABILITY_DEFAULT</v>
          </cell>
          <cell r="M38" t="str">
            <v>Campo já existente no Loan Tape, necessária análise</v>
          </cell>
          <cell r="N38" t="str">
            <v>PD_CRR_RD</v>
          </cell>
        </row>
        <row r="39">
          <cell r="L39" t="str">
            <v>Exposures to natural personsCounterpartiesINTERNAL_CREDIT_RATING</v>
          </cell>
          <cell r="M39" t="str">
            <v>Campo já existente no Loan Tape, necessária análise</v>
          </cell>
          <cell r="N39" t="str">
            <v>INTRNL_RTNG</v>
          </cell>
        </row>
        <row r="40">
          <cell r="L40" t="str">
            <v>Exposures to natural personsCounterpartiesIFRS9_PROB_DEFAULT_IMPAIRMENT</v>
          </cell>
          <cell r="M40" t="str">
            <v>Campo a revisitar no âmbito da nova iniciativa do Valuation</v>
          </cell>
        </row>
        <row r="41">
          <cell r="L41" t="str">
            <v>Exposures to natural personsCounterpartiesPROBABILITY_DEFAULT_OTHERS</v>
          </cell>
          <cell r="M41" t="str">
            <v>Campo encontra-se de acordo com a especificação</v>
          </cell>
        </row>
        <row r="42">
          <cell r="L42" t="str">
            <v>Exposures to natural personsCounterpartiesCOUNTERPARTY_ROLE</v>
          </cell>
          <cell r="M42" t="str">
            <v>Campo encontra-se de acordo com a especificação</v>
          </cell>
        </row>
        <row r="43">
          <cell r="L43" t="str">
            <v>Exposures to natural personsCounterpartiesDEFAULT_STATUS_COUNTERPARTY</v>
          </cell>
          <cell r="M43" t="str">
            <v>Campo já existente no Loan Tape, necessária análise</v>
          </cell>
          <cell r="N43" t="str">
            <v>DFLT_STTS</v>
          </cell>
        </row>
        <row r="44">
          <cell r="L44" t="str">
            <v>Exposures to natural personsCounterpartiesDATE_DEFAULT_STATUS_COUNTERPARTY</v>
          </cell>
          <cell r="M44" t="str">
            <v>Campo já existente no Loan Tape, necessária análise</v>
          </cell>
          <cell r="N44" t="str">
            <v>DT_DFLT_STTS</v>
          </cell>
        </row>
        <row r="45">
          <cell r="L45" t="str">
            <v>Exposures to natural personsProtectionsINSTRUMENT_ID</v>
          </cell>
          <cell r="M45" t="str">
            <v>Campo encontra-se de acordo com a especificação</v>
          </cell>
        </row>
        <row r="46">
          <cell r="L46" t="str">
            <v>Exposures to natural personsProtectionsDATE_PROTECTION_VALUE</v>
          </cell>
          <cell r="M46" t="str">
            <v>Campo já existente no Loan Tape, necessária análise</v>
          </cell>
          <cell r="N46" t="str">
            <v>DT_PRTCTN_VL</v>
          </cell>
        </row>
        <row r="47">
          <cell r="L47" t="str">
            <v>Exposures to natural personsProtectionsORIGINAL_PROTECTION_VALUE</v>
          </cell>
          <cell r="M47" t="str">
            <v>Campo já existente no Loan Tape, necessária análise</v>
          </cell>
          <cell r="N47" t="str">
            <v>ORGNL_PRTCTN_VL</v>
          </cell>
        </row>
        <row r="48">
          <cell r="L48" t="str">
            <v>Exposures to natural personsProtectionsDATE_ORIGINAL_PROTECTION_VALUE</v>
          </cell>
          <cell r="M48" t="str">
            <v>Campo já existente no Loan Tape, necessária análise</v>
          </cell>
          <cell r="N48" t="str">
            <v>DT_ORGNL_PRTCTN_VL</v>
          </cell>
        </row>
        <row r="49">
          <cell r="L49" t="str">
            <v>Exposures to natural personsProtectionsTYPE_PROTECTION_VALUE</v>
          </cell>
          <cell r="M49" t="str">
            <v>Campo já existente no Loan Tape, necessária análise</v>
          </cell>
          <cell r="N49" t="str">
            <v>TYP_PRTCTN_VL</v>
          </cell>
        </row>
        <row r="50">
          <cell r="L50" t="str">
            <v>Exposures to natural personsInstrument-Counterparty relationJOINT_LIABILITIES_AMOUNT</v>
          </cell>
          <cell r="M50" t="str">
            <v>Campo já existente no Loan Tape, necessária análise</v>
          </cell>
          <cell r="N50" t="str">
            <v>JNT_LBLTY_AMNT</v>
          </cell>
        </row>
        <row r="51">
          <cell r="L51" t="str">
            <v>Off-balance sheet exposuresInstrumentsNOMINAL_AMOUNT</v>
          </cell>
          <cell r="M51" t="str">
            <v>Campo encontra-se preenchido, não existindo a % de incidência indicada</v>
          </cell>
          <cell r="N51" t="str">
            <v>select OFF_BLNC_SHT_AMNT_INSTRMNT, count(*) 
from cd_loan_tapes_bce.lt002_instrument where 
ambito='SRB_VALUATION' and ref_date='2024-12-31' and segmento='Off-balance sheet exposures'
--ambito='PM' and segmento='ESTR'
group by 1
order by count(*) desc</v>
          </cell>
        </row>
        <row r="52">
          <cell r="L52" t="str">
            <v>Off-balance sheet exposuresInstrumentsNOMINAL_INTEREST_RATE_FEE</v>
          </cell>
          <cell r="M52" t="str">
            <v>Campo a revisitar no âmbito da nova iniciativa do Valuation</v>
          </cell>
        </row>
        <row r="53">
          <cell r="L53" t="str">
            <v>Off-balance sheet exposuresInstrumentsDEFAULT_STATUS_INSTRUMENT</v>
          </cell>
          <cell r="M53" t="str">
            <v>Campo já existente no Loan Tape, necessária análise</v>
          </cell>
          <cell r="N53" t="str">
            <v>DFLT_STTS_INSTRMNT</v>
          </cell>
        </row>
        <row r="54">
          <cell r="L54" t="str">
            <v>Off-balance sheet exposuresInstrumentsDATE_DEFAULT_STATUS_INSTRUMENT</v>
          </cell>
          <cell r="M54" t="str">
            <v>Campo já existente no Loan Tape, necessária análise</v>
          </cell>
          <cell r="N54" t="str">
            <v>DT_DFLT_STTS_INSTRMNT</v>
          </cell>
        </row>
        <row r="55">
          <cell r="L55" t="str">
            <v>Off-balance sheet exposuresInstrumentsACCUM_IMPAIRMENT_AMOUNT</v>
          </cell>
          <cell r="M55" t="str">
            <v>Campo já existente no Loan Tape, necessária análise</v>
          </cell>
          <cell r="N55" t="str">
            <v>ACCMLTD_IMPRMNT_INSTRMNT</v>
          </cell>
        </row>
        <row r="56">
          <cell r="L56" t="str">
            <v>Off-balance sheet exposuresCounterpartiesPROBABILITY_DEFAULT</v>
          </cell>
          <cell r="M56" t="str">
            <v>Campo já existente no Loan Tape, necessária análise</v>
          </cell>
          <cell r="N56" t="str">
            <v>PD_CRR_RD</v>
          </cell>
        </row>
        <row r="57">
          <cell r="L57" t="str">
            <v>Off-balance sheet exposuresCounterpartiesINTERNAL_CREDIT_RATING</v>
          </cell>
          <cell r="M57" t="str">
            <v>Campo já existente no Loan Tape, necessária análise</v>
          </cell>
          <cell r="N57" t="str">
            <v>INTRNL_RTNG</v>
          </cell>
        </row>
        <row r="58">
          <cell r="L58" t="str">
            <v>Off-balance sheet exposuresCounterpartiesIFRS9_PROB_DEFAULT_IMPAIRMENT</v>
          </cell>
          <cell r="M58" t="str">
            <v>Campo a revisitar no âmbito da nova iniciativa do Valuation</v>
          </cell>
        </row>
        <row r="59">
          <cell r="L59" t="str">
            <v>Off-balance sheet exposuresCounterpartiesDEFAULT_STATUS_COUNTERPARTY</v>
          </cell>
          <cell r="M59" t="str">
            <v>Campo já existente no Loan Tape, necessária análise</v>
          </cell>
          <cell r="N59" t="str">
            <v>DFLT_STTS</v>
          </cell>
        </row>
        <row r="60">
          <cell r="L60" t="str">
            <v>Off-balance sheet exposuresCounterpartiesDATE_DEFAULT_STATUS_COUNTERPARTY</v>
          </cell>
          <cell r="M60" t="str">
            <v>Campo já existente no Loan Tape, necessária análise</v>
          </cell>
          <cell r="N60" t="str">
            <v>DT_DFLT_STTS</v>
          </cell>
        </row>
        <row r="61">
          <cell r="L61" t="str">
            <v>Off-balance sheet exposuresCounterpartiesLEGAL_ENTITY_ID</v>
          </cell>
          <cell r="M61" t="str">
            <v>Campo já existente no Loan Tape, necessária análise</v>
          </cell>
          <cell r="N61" t="str">
            <v>LEI</v>
          </cell>
        </row>
        <row r="62">
          <cell r="L62" t="str">
            <v>Off-balance sheet exposuresCounterpartiesHEAD_OFFICE_UNDERTAKING_ID</v>
          </cell>
          <cell r="M62" t="str">
            <v>Campo a revisitar no âmbito da nova iniciativa do Valuation</v>
          </cell>
        </row>
        <row r="63">
          <cell r="L63" t="str">
            <v>Off-balance sheet exposuresCounterpartiesIMMEDIATE_PARENT_UNDERTAKING_ID</v>
          </cell>
          <cell r="M63" t="str">
            <v>Campo a revisitar no âmbito da nova iniciativa do Valuation</v>
          </cell>
        </row>
        <row r="64">
          <cell r="L64" t="str">
            <v>Off-balance sheet exposuresCounterpartiesULTIMATE_PARENT_UNDERTAKING_ID</v>
          </cell>
          <cell r="M64" t="str">
            <v>Campo a revisitar no âmbito da nova iniciativa do Valuation</v>
          </cell>
        </row>
        <row r="65">
          <cell r="L65" t="str">
            <v>Off-balance sheet exposuresCounterpartiesADDRESS_STREET</v>
          </cell>
          <cell r="M65" t="str">
            <v>Tema já identificado</v>
          </cell>
        </row>
        <row r="66">
          <cell r="L66" t="str">
            <v>Off-balance sheet exposuresCounterpartiesADDRESS_CITY_TOWN_VILLAGE</v>
          </cell>
          <cell r="M66" t="str">
            <v>Tema já identificado</v>
          </cell>
        </row>
        <row r="67">
          <cell r="L67" t="str">
            <v>Off-balance sheet exposuresCounterpartiesADDRESS_COUNTY_ADM_DIV</v>
          </cell>
          <cell r="M67" t="str">
            <v>Tema já identificado</v>
          </cell>
        </row>
        <row r="68">
          <cell r="L68" t="str">
            <v>Off-balance sheet exposuresProtectionsPROTECTION_PROVIDER_ID</v>
          </cell>
          <cell r="M68" t="str">
            <v>Campo já existente no Loan Tape, necessária análise</v>
          </cell>
          <cell r="N68" t="str">
            <v>PRTCTN_PRVDR_ID</v>
          </cell>
        </row>
        <row r="69">
          <cell r="L69" t="str">
            <v>Off-balance sheet exposuresProtectionsDATE_PROTECTION_VALUE</v>
          </cell>
          <cell r="M69" t="str">
            <v>Campo já existente no Loan Tape, necessária análise</v>
          </cell>
          <cell r="N69" t="str">
            <v>DT_PRTCTN_VL</v>
          </cell>
        </row>
        <row r="70">
          <cell r="L70" t="str">
            <v>Off-balance sheet exposuresProtectionsMATURITY_DATE_PROTECTION</v>
          </cell>
          <cell r="M70" t="str">
            <v>Campo já existente no Loan Tape, necessária análise</v>
          </cell>
          <cell r="N70" t="str">
            <v>DT_MTRTY_PRTCTN</v>
          </cell>
        </row>
        <row r="71">
          <cell r="L71" t="str">
            <v>Off-balance sheet exposuresProtectionsORIGINAL_PROTECTION_VALUE</v>
          </cell>
          <cell r="M71" t="str">
            <v>Campo já existente no Loan Tape, necessária análise</v>
          </cell>
          <cell r="N71" t="str">
            <v>ORGNL_PRTCTN_VL</v>
          </cell>
        </row>
        <row r="72">
          <cell r="L72" t="str">
            <v>Off-balance sheet exposuresProtectionsTYPE_PROTECTION_VALUE</v>
          </cell>
          <cell r="M72" t="str">
            <v>Campo já existente no Loan Tape, necessária análise</v>
          </cell>
          <cell r="N72" t="str">
            <v>TYP_PRTCTN_VL</v>
          </cell>
        </row>
        <row r="73">
          <cell r="L73" t="str">
            <v>Off-balance sheet exposuresInstrument-Counterparty relationJOINT_LIABILITIES_AMOUNT</v>
          </cell>
          <cell r="M73" t="str">
            <v>Campo já existente no Loan Tape, necessária análise</v>
          </cell>
          <cell r="N73" t="str">
            <v>JNT_LBLTY_AMNT</v>
          </cell>
        </row>
        <row r="74">
          <cell r="L74" t="str">
            <v>Off-balance sheet exposuresInstrument-Protection relationEXTERNAL_CREDIT_RATING</v>
          </cell>
          <cell r="M74" t="str">
            <v>Campo não encontrado no Módulo/Submódulo indicado</v>
          </cell>
        </row>
        <row r="75">
          <cell r="L75" t="str">
            <v>DerivativesInstrumentsUNIQUE_TRADE_ID</v>
          </cell>
          <cell r="M75" t="str">
            <v>Campo a revisitar no âmbito da nova iniciativa do Valuation</v>
          </cell>
        </row>
        <row r="76">
          <cell r="L76" t="str">
            <v>DerivativesInstrumentsCOUNTERPARTY_ID</v>
          </cell>
          <cell r="M76" t="str">
            <v>Os registos mencionados (SNC%) tratam-se de registos manuais</v>
          </cell>
        </row>
        <row r="77">
          <cell r="L77" t="str">
            <v>DerivativesInstrumentsBASE_PRODUCT</v>
          </cell>
          <cell r="M77" t="str">
            <v>Campo a revisitar no âmbito da nova iniciativa do Valuation</v>
          </cell>
        </row>
        <row r="78">
          <cell r="L78" t="str">
            <v>DerivativesInstrumentsGOVERNING_LAW</v>
          </cell>
          <cell r="M78" t="str">
            <v>Campo a revisitar no âmbito da nova iniciativa do Valuation</v>
          </cell>
        </row>
        <row r="79">
          <cell r="L79" t="str">
            <v>DerivativesInstrumentsCONTRACT_RECOGN_WRITE_DOWN</v>
          </cell>
          <cell r="M79" t="str">
            <v>Campo a revisitar no âmbito da nova iniciativa do Valuation</v>
          </cell>
        </row>
        <row r="80">
          <cell r="L80" t="str">
            <v>DerivativesInstrumentsCONTRACT_RECOGN_SUSPENSION</v>
          </cell>
          <cell r="M80" t="str">
            <v>Campo a revisitar no âmbito da nova iniciativa do Valuation</v>
          </cell>
        </row>
        <row r="81">
          <cell r="L81" t="str">
            <v>DerivativesInstrumentsCONTRACT_RECOGN_RESOLUTION</v>
          </cell>
          <cell r="M81" t="str">
            <v>Campo a revisitar no âmbito da nova iniciativa do Valuation</v>
          </cell>
        </row>
        <row r="82">
          <cell r="L82" t="str">
            <v>DerivativesInstrumentsCOLLATERAL_PORTFOLIO</v>
          </cell>
          <cell r="M82" t="str">
            <v>Campo a revisitar no âmbito da nova iniciativa do Valuation</v>
          </cell>
        </row>
        <row r="83">
          <cell r="L83" t="str">
            <v>DerivativesInstrumentsCOLLATERAL_POSTED</v>
          </cell>
          <cell r="M83" t="str">
            <v>Campo a revisitar no âmbito da nova iniciativa do Valuation</v>
          </cell>
        </row>
        <row r="84">
          <cell r="L84" t="str">
            <v>DerivativesInstrumentsCOLLATERAL_POSTED_CURRENCY</v>
          </cell>
          <cell r="M84" t="str">
            <v>Campo a revisitar no âmbito da nova iniciativa do Valuation</v>
          </cell>
        </row>
        <row r="85">
          <cell r="L85" t="str">
            <v>DerivativesInstrumentsCOLLATERAL_RECEIVED</v>
          </cell>
          <cell r="M85" t="str">
            <v>Campo a revisitar no âmbito da nova iniciativa do Valuation</v>
          </cell>
        </row>
        <row r="86">
          <cell r="L86" t="str">
            <v>DerivativesInstrumentsCOLLATERAL_RECEIVED_CURRENCY</v>
          </cell>
          <cell r="M86" t="str">
            <v>Campo a revisitar no âmbito da nova iniciativa do Valuation</v>
          </cell>
        </row>
        <row r="87">
          <cell r="L87" t="str">
            <v>DerivativesInstrumentsLEG_1_CASH_FLOW</v>
          </cell>
          <cell r="M87" t="str">
            <v>Campo encontra-se de acordo com a especificação</v>
          </cell>
        </row>
        <row r="88">
          <cell r="L88" t="str">
            <v>DerivativesInstrumentsLEG_2_CASH_FLOW</v>
          </cell>
          <cell r="M88" t="str">
            <v>Campo encontra-se de acordo com a especificação</v>
          </cell>
        </row>
        <row r="89">
          <cell r="L89" t="str">
            <v>DerivativesInstrumentsLEG_1_REFERENCE_RATE</v>
          </cell>
          <cell r="M89" t="str">
            <v>Campo a revisitar no âmbito da nova iniciativa do Valuation</v>
          </cell>
        </row>
        <row r="90">
          <cell r="L90" t="str">
            <v>DerivativesInstrumentsLEG_2_REFERENCE_RATE</v>
          </cell>
          <cell r="M90" t="str">
            <v>Campo a revisitar no âmbito da nova iniciativa do Valuation</v>
          </cell>
        </row>
        <row r="91">
          <cell r="L91" t="str">
            <v>DerivativesInstrumentsLEG_1_REFERENCE_PERIOD</v>
          </cell>
          <cell r="M91" t="str">
            <v>Campo a revisitar no âmbito da nova iniciativa do Valuation</v>
          </cell>
        </row>
        <row r="92">
          <cell r="L92" t="str">
            <v>DerivativesInstrumentsLEG_2_REFERENCE_PERIOD</v>
          </cell>
          <cell r="M92" t="str">
            <v>Campo a revisitar no âmbito da nova iniciativa do Valuation</v>
          </cell>
        </row>
        <row r="93">
          <cell r="L93" t="str">
            <v>DerivativesInstrumentsPREMIUM</v>
          </cell>
          <cell r="M93" t="str">
            <v>Campo encontra-se de acordo com a especificação</v>
          </cell>
        </row>
        <row r="94">
          <cell r="L94" t="str">
            <v>DerivativesInstrumentsNETTING_AGREEMENT</v>
          </cell>
          <cell r="M94" t="str">
            <v>Campo novo, necessária análise</v>
          </cell>
        </row>
        <row r="95">
          <cell r="L95" t="str">
            <v>DerivativesInstrumentsCARRYING_AMOUNT</v>
          </cell>
          <cell r="M95" t="str">
            <v>Campo encontra-se preenchido, não existindo a % de incidência indicada</v>
          </cell>
          <cell r="N95" t="str">
            <v>select GRSS_CRRYNG_AMNT_INSTRMNT, count(*) from cd_loan_tapes_bce.lt002_instrument where 
ambito='SRB_VALUATION' and ref_date='2024-12-31' and segmento='Derivatives'
--ambito='PM' and segmento='ESTR'
group by 1
order by count(*) desc
;</v>
          </cell>
        </row>
        <row r="96">
          <cell r="L96" t="str">
            <v>DerivativesInstrumentsACCOUNTING_STANDARD</v>
          </cell>
          <cell r="M96" t="str">
            <v>Tema já identificado</v>
          </cell>
          <cell r="N96" t="str">
            <v>ACCNTNG_CLSSFCTN</v>
          </cell>
        </row>
        <row r="97">
          <cell r="L97" t="str">
            <v>DerivativesInstrumentsACCOUNTING_CLASSIFICATION</v>
          </cell>
          <cell r="M97" t="str">
            <v>Tema já identificado</v>
          </cell>
          <cell r="N97" t="str">
            <v>PRDNTL_PRTFL</v>
          </cell>
        </row>
        <row r="98">
          <cell r="L98" t="str">
            <v>DerivativesInstrumentsHIERARCHY</v>
          </cell>
          <cell r="M98" t="str">
            <v>Campo a revisitar no âmbito da nova iniciativa do Valuation</v>
          </cell>
        </row>
        <row r="99">
          <cell r="L99" t="str">
            <v>DerivativesInstrumentsHEDGE_ID</v>
          </cell>
          <cell r="M99" t="str">
            <v>Campo a revisitar no âmbito da nova iniciativa do Valuation</v>
          </cell>
        </row>
        <row r="100">
          <cell r="L100" t="str">
            <v>Debt securitiesInstrumentsISIN</v>
          </cell>
          <cell r="M100" t="str">
            <v>Tema já identificado</v>
          </cell>
        </row>
        <row r="101">
          <cell r="L101" t="str">
            <v>Debt securitiesInstrumentsISSUER_RATINGS</v>
          </cell>
          <cell r="M101" t="str">
            <v>Campo já existente no Loan Tape, necessária análise</v>
          </cell>
          <cell r="N101" t="str">
            <v>ISSR_RTNG</v>
          </cell>
        </row>
        <row r="102">
          <cell r="L102" t="str">
            <v>Debt securitiesInstrumentsISSUER_RATINGS_SOURCES</v>
          </cell>
          <cell r="M102" t="str">
            <v>Campo já existente no Loan Tape, necessária análise</v>
          </cell>
          <cell r="N102" t="str">
            <v>ISSR_RTNG_SRC</v>
          </cell>
        </row>
        <row r="103">
          <cell r="L103" t="str">
            <v>Debt securitiesInstrumentsCURRENCY_VALUE</v>
          </cell>
          <cell r="M103" t="str">
            <v>Campo já existente no Loan Tape, necessária análise</v>
          </cell>
          <cell r="N103" t="str">
            <v>VLTN_CRRNCY</v>
          </cell>
        </row>
        <row r="104">
          <cell r="L104" t="str">
            <v>Debt securitiesInstrumentsVAL_TIMESTAMP</v>
          </cell>
          <cell r="M104" t="str">
            <v>Campo já existente no Loan Tape, necessária análise</v>
          </cell>
          <cell r="N104" t="str">
            <v>DT_VLTN</v>
          </cell>
        </row>
        <row r="105">
          <cell r="L105" t="str">
            <v>Debt securitiesInstrumentsVAL_TYPE</v>
          </cell>
          <cell r="M105" t="str">
            <v>Campo já existente no Loan Tape, necessária análise</v>
          </cell>
          <cell r="N105" t="str">
            <v>VLTN_TYP</v>
          </cell>
        </row>
        <row r="106">
          <cell r="L106" t="str">
            <v>Debt securitiesInstrumentsGUARANTOR_ID</v>
          </cell>
          <cell r="M106" t="str">
            <v>Campo encontra-se preenchido, não existindo a % de incidência indicada</v>
          </cell>
          <cell r="N106" t="str">
            <v>select GRNTR_ID, count(*) 
from cd_loan_tapes_bce.lt002_instrument where 
ambito='SRB_VALUATION' and ref_date='2024-12-31' and segmento='Debt securities'
--ambito='PM' and segmento='ESTR'
group by 1
order by count(*) desc</v>
          </cell>
        </row>
        <row r="107">
          <cell r="L107" t="str">
            <v>Debt securitiesInstrumentsGUARANTOR_ID_TYPE</v>
          </cell>
          <cell r="M107" t="str">
            <v>Campo encontra-se preenchido, não existindo a % de incidência indicada</v>
          </cell>
          <cell r="N107" t="str">
            <v>select GRNTR_ID_TYP, count(*) 
from cd_loan_tapes_bce.lt002_instrument where 
ambito='SRB_VALUATION' and ref_date='2024-12-31' and segmento='Debt securities'
--ambito='PM' and segmento='ESTR'
group by 1
order by count(*) desc</v>
          </cell>
        </row>
        <row r="108">
          <cell r="L108" t="str">
            <v>Debt securitiesInstrumentsSECURITY_RATING</v>
          </cell>
          <cell r="M108" t="str">
            <v>Campo a revisitar no âmbito da nova iniciativa do Valuation</v>
          </cell>
        </row>
        <row r="109">
          <cell r="L109" t="str">
            <v>Debt securitiesInstrumentsPURCHASED_RESALE_AGR</v>
          </cell>
          <cell r="M109" t="str">
            <v>Campo já existente no Loan Tape, necessária análise</v>
          </cell>
          <cell r="N109" t="str">
            <v>PRCH_UNDR_RSL_AGR</v>
          </cell>
        </row>
        <row r="110">
          <cell r="L110" t="str">
            <v>Debt securitiesInstrumentsPART_LCR_BUFFER</v>
          </cell>
          <cell r="M110" t="str">
            <v>Campo já existente no Loan Tape, necessária análise</v>
          </cell>
          <cell r="N110" t="str">
            <v>PRT_LCR_BFFR</v>
          </cell>
        </row>
        <row r="111">
          <cell r="L111" t="str">
            <v>Debt securitiesInstrumentsLCR_BUFFER_CATEGORY</v>
          </cell>
          <cell r="M111" t="str">
            <v>Campo já existente no Loan Tape, necessária análise</v>
          </cell>
          <cell r="N111" t="str">
            <v>LCR_BFFR_CTGRY</v>
          </cell>
        </row>
        <row r="112">
          <cell r="L112" t="str">
            <v>Debt securitiesInstrumentsHEDGE_ID</v>
          </cell>
          <cell r="M112" t="str">
            <v>Campo já existente no Loan Tape, necessária análise</v>
          </cell>
          <cell r="N112" t="str">
            <v>HEDGE_ID</v>
          </cell>
        </row>
        <row r="113">
          <cell r="L113" t="str">
            <v>EquityInstrumentsFINANCIAL_CONTRACT_ID</v>
          </cell>
          <cell r="M113" t="str">
            <v>Os registos mencionados (SNC%) tratam-se de registos manuais</v>
          </cell>
        </row>
        <row r="114">
          <cell r="L114" t="str">
            <v>EquityInstrumentsISIN</v>
          </cell>
          <cell r="M114" t="str">
            <v>Campo já existente no Loan Tape, necessária análise</v>
          </cell>
          <cell r="N114" t="str">
            <v>ISIN</v>
          </cell>
        </row>
        <row r="115">
          <cell r="L115" t="str">
            <v>EquityInstrumentsISSUER_RATINGS</v>
          </cell>
          <cell r="M115" t="str">
            <v>Campo já existente no Loan Tape, necessária análise</v>
          </cell>
          <cell r="N115" t="str">
            <v>ISSR_RTNG</v>
          </cell>
        </row>
        <row r="116">
          <cell r="L116" t="str">
            <v>EquityInstrumentsISSUER_RATINGS_SOURCES</v>
          </cell>
          <cell r="M116" t="str">
            <v>Campo já existente no Loan Tape, necessária análise</v>
          </cell>
          <cell r="N116" t="str">
            <v>ISSR_RTNG_SRC</v>
          </cell>
        </row>
        <row r="117">
          <cell r="L117" t="str">
            <v>EquityInstrumentsCURRENCY_VALUE</v>
          </cell>
          <cell r="M117" t="str">
            <v>Campo já existente no Loan Tape, necessária análise</v>
          </cell>
          <cell r="N117" t="str">
            <v>VLTN_CRRNCY</v>
          </cell>
        </row>
        <row r="118">
          <cell r="L118" t="str">
            <v>EquityInstrumentsVAL_TIMESTAMP</v>
          </cell>
          <cell r="M118" t="str">
            <v>Campo já existente no Loan Tape, necessária análise</v>
          </cell>
          <cell r="N118" t="str">
            <v>DT_VLTN</v>
          </cell>
        </row>
        <row r="119">
          <cell r="L119" t="str">
            <v>EquityInstrumentsVAL_TYPE</v>
          </cell>
          <cell r="M119" t="str">
            <v>Campo já existente no Loan Tape, necessária análise</v>
          </cell>
          <cell r="N119" t="str">
            <v>VLTN_TYP</v>
          </cell>
        </row>
        <row r="120">
          <cell r="L120" t="str">
            <v>EquityInstrumentsDIVIDEND_YIELD</v>
          </cell>
          <cell r="M120" t="str">
            <v>Campo encontra-se de acordo com a especificação</v>
          </cell>
        </row>
        <row r="121">
          <cell r="L121" t="str">
            <v>EquityInstrumentsPART_LCR_BUFFER</v>
          </cell>
          <cell r="M121" t="str">
            <v>Campo já existente no Loan Tape, necessária análise</v>
          </cell>
          <cell r="N121" t="str">
            <v>PRT_LCR_BFFR</v>
          </cell>
        </row>
        <row r="122">
          <cell r="L122" t="str">
            <v>EquityInstrumentsACCOUNTING_CLASSIFICATION</v>
          </cell>
          <cell r="M122" t="str">
            <v>Tema já identificado</v>
          </cell>
        </row>
        <row r="123">
          <cell r="L123" t="str">
            <v>EquityInstrumentsPRUDENTIAL_PORTFOLIO</v>
          </cell>
          <cell r="M123" t="str">
            <v>Tema já identificado</v>
          </cell>
        </row>
        <row r="124">
          <cell r="L124" t="str">
            <v>EquityInstrumentsTOTAL_RISK_EXPOSURE_AMOUNT</v>
          </cell>
          <cell r="M124" t="str">
            <v>Campo já existente no Loan Tape, necessária análise</v>
          </cell>
          <cell r="N124" t="str">
            <v>RWA</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ís Filipe da Silva Pragosa" refreshedDate="45769.80384212963" createdVersion="6" refreshedVersion="6" minRefreshableVersion="3" recordCount="119">
  <cacheSource type="worksheet">
    <worksheetSource ref="A1:I120" sheet="Sheet1"/>
  </cacheSource>
  <cacheFields count="9">
    <cacheField name="Módulo " numFmtId="0">
      <sharedItems/>
    </cacheField>
    <cacheField name="Submódulo" numFmtId="0">
      <sharedItems/>
    </cacheField>
    <cacheField name="Campo" numFmtId="0">
      <sharedItems/>
    </cacheField>
    <cacheField name="% Incidência" numFmtId="10">
      <sharedItems containsSemiMixedTypes="0" containsString="0" containsNumber="1" minValue="0" maxValue="1.0007226863474543"/>
    </cacheField>
    <cacheField name="Resultado Incidencia" numFmtId="0">
      <sharedItems containsDate="1" containsBlank="1" containsMixedTypes="1" minDate="9999-12-31T00:00:00" maxDate="9999-12-31T00:00:00"/>
    </cacheField>
    <cacheField name="Comentários unidade" numFmtId="0">
      <sharedItems containsBlank="1" longText="1"/>
    </cacheField>
    <cacheField name="Comentários DAI" numFmtId="0">
      <sharedItems containsBlank="1" longText="1"/>
    </cacheField>
    <cacheField name="Possível Resposta" numFmtId="0">
      <sharedItems containsBlank="1"/>
    </cacheField>
    <cacheField name="Comentário IT 2025-04-22" numFmtId="0">
      <sharedItems count="10">
        <s v="Campo já existente no Loan Tape, necessária análise"/>
        <s v="Campo a revisitar no âmbito da nova iniciativa do Valuation"/>
        <s v="Campo encontra-se de acordo com a especificação"/>
        <s v="Campo será alterado para reportar N/A em vez de MISS (Operativa inexistente)"/>
        <s v="Tema já identificado"/>
        <s v="Campo encontra-se preenchido na cd_loan_tapes_bce (2024-12-31) mas não se encontra igualmente preenchido na bu_loantape_work (2025-02-28), necessária análise de IT"/>
        <s v="Os registos mencionados (SNC%) tratam-se de registos manuais"/>
        <s v="Campo encontra-se preenchido, não existindo a % de incidência indicada" u="1"/>
        <s v="Campo encontra-se preenchido na cd_loan_tapes_bce (2024-12-31), contudo na bu_loantape_work não se encontra igualmente preenchido (2025-02-28), necessária análise de IT." u="1"/>
        <s v="Campo encontra-se preenchido na cd_loan_tapes_bce (2024-12-31) contudo na bu_loantape_work não se encontra igualmente preenchido (2025-02-28), Necessária análise de IT."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9">
  <r>
    <s v="Exposures to legal persons"/>
    <s v="Instruments"/>
    <s v="DATE_STATUS_FORBEARANCE_RENEG"/>
    <n v="0.9993150928627339"/>
    <s v="blanks"/>
    <m/>
    <s v="Poderá não ser incidência. Ver se não existe de facto renegociação que justifique os blanks."/>
    <m/>
    <x v="0"/>
  </r>
  <r>
    <s v="Exposures to legal persons"/>
    <s v="Counterparties"/>
    <s v="IFRS9_PROB_DEFAULT_IMPAIRMENT"/>
    <n v="1"/>
    <s v="99999999999.000000"/>
    <m/>
    <m/>
    <s v="Campo do novo projeto, mostrar evidencia"/>
    <x v="1"/>
  </r>
  <r>
    <s v="Exposures to legal persons"/>
    <s v="Counterparties"/>
    <s v="PROBABILITY_DEFAULT_OTHERS"/>
    <n v="1"/>
    <s v="11111111111.000000"/>
    <m/>
    <m/>
    <s v="É mesmo assim porque somos um Banco IRB. Preenche-se o outro campo da PD IFRS9"/>
    <x v="2"/>
  </r>
  <r>
    <s v="Exposures to legal persons"/>
    <s v="Protections"/>
    <s v="DET_TYPE_SHIP_COLLATERAL"/>
    <n v="1"/>
    <s v="MISS"/>
    <m/>
    <s v="Segundo as especificações, será um conceito a revisitar no futuro, pelo que a incidência é de 100%"/>
    <s v="Não temos operativa, não registamos este informação nos sistemas será sempre N/A"/>
    <x v="3"/>
  </r>
  <r>
    <s v="Exposures to natural persons"/>
    <s v="Instruments"/>
    <s v="CRR_EXPOSURE_CLASS"/>
    <n v="0.99219498744749401"/>
    <s v="MISS"/>
    <s v="(3) O controlo de Not Applicable não faz sentido aplicar ao conceito, uma vez que existem operações pela referência de risco totalmente titularizadas que não consomem capital. Identifica as operações com incidência, referindo &quot;Resolução: Trata-se de operações totalmente titularizadas que não consomem capital. Pela especificação devem ser classificados como NA e não como missing values, pelo que já foi solicitado a tecnologia a sua correção.&quot;"/>
    <s v="Identificado pela unidade e em resolução. No entanto, se assim é, o campo &quot;TYPE_Securitization&quot; deveria estar preenchido, e está totalmente com MISS"/>
    <s v="verificar parametrização do not aplicable"/>
    <x v="4"/>
  </r>
  <r>
    <s v="Exposures to natural persons"/>
    <s v="Instruments"/>
    <s v="FINREP_EXPOSURE_CLASS"/>
    <n v="3.2084736471675663E-5"/>
    <s v="N/A"/>
    <s v="Sem comentários"/>
    <s v="Está tudo preenchido com &quot;Household&quot;, mesmo nos casos de corporates. Esclarecer."/>
    <s v="Se são natural persons, é natural que sejam households. Agora se aparecem corporates pode ser uma questão de mapeamento antes da LT"/>
    <x v="0"/>
  </r>
  <r>
    <s v="Exposures to natural persons"/>
    <s v="Instruments"/>
    <s v="CRR_LOSS_GIVEN_DEFAULT"/>
    <n v="1.0000044473005998"/>
    <s v="11111111111.000000"/>
    <s v="Controlo não realizado"/>
    <s v="Deverá estar influenciado pelo CRR_EXPOSURE_CLASS"/>
    <m/>
    <x v="0"/>
  </r>
  <r>
    <s v="Exposures to natural persons"/>
    <s v="Instruments"/>
    <s v="TYPE_INSTRUMENT"/>
    <n v="1"/>
    <s v="99999999999 / 11111111111"/>
    <s v="Controlo não realizado"/>
    <m/>
    <s v="verificar parametrização do not aplicable"/>
    <x v="5"/>
  </r>
  <r>
    <s v="Exposures to natural persons"/>
    <s v="Instruments"/>
    <s v="AMORTIZATION_TYPE"/>
    <n v="0.5114573581700248"/>
    <s v="99999999999 / 11111111111"/>
    <s v="Controlo não realizado"/>
    <m/>
    <m/>
    <x v="0"/>
  </r>
  <r>
    <s v="Exposures to natural persons"/>
    <s v="Instruments"/>
    <s v="END_DATE_INTEREST_ONLY_PERIOD"/>
    <n v="0.93545632639628562"/>
    <s v="11/11/1111 / blanks"/>
    <s v="Controlo não realizado"/>
    <s v="Poderá estar influênciado pelo tipo de operações"/>
    <m/>
    <x v="0"/>
  </r>
  <r>
    <s v="Exposures to natural persons"/>
    <s v="Instruments"/>
    <s v="INTEREST_RATE_CAP"/>
    <n v="1.0007226863474543"/>
    <s v="'99999999999.000000"/>
    <s v="Controlo não realizado"/>
    <m/>
    <s v="Campo do novo projeto, mostrar evidencia"/>
    <x v="1"/>
  </r>
  <r>
    <s v="Exposures to natural persons"/>
    <s v="Instruments"/>
    <s v="INTEREST_RATE_FLOOR"/>
    <n v="1"/>
    <s v="'99999999999.000000"/>
    <s v="Controlo não realizado"/>
    <m/>
    <s v="Campo do novo projeto, mostrar evidencia"/>
    <x v="1"/>
  </r>
  <r>
    <s v="Exposures to natural persons"/>
    <s v="Instruments"/>
    <s v="INTEREST_RATE_RESET_FREQ"/>
    <n v="0.75830477795739926"/>
    <s v="99999999999"/>
    <s v="Controlo não realizado"/>
    <m/>
    <m/>
    <x v="0"/>
  </r>
  <r>
    <s v="Exposures to natural persons"/>
    <s v="Instruments"/>
    <s v="INTEREST_RATE_SPREAD_MARGIN"/>
    <n v="1"/>
    <s v="11111111111.000000"/>
    <s v="Controlo não realizado"/>
    <m/>
    <s v="verificar parametrização do not aplicable"/>
    <x v="0"/>
  </r>
  <r>
    <s v="Exposures to natural persons"/>
    <s v="Instruments"/>
    <s v="COMMITMENT_AMOUNT_INCEPTION"/>
    <n v="0.52369632942044997"/>
    <s v="0.00"/>
    <s v="Controlo não realizado"/>
    <s v="Poderá estar influênciado pelo tipo de operações. Perceber conceito."/>
    <m/>
    <x v="0"/>
  </r>
  <r>
    <s v="Exposures to natural persons"/>
    <s v="Instruments"/>
    <s v="INTEREST_RATE"/>
    <n v="6.9079920215427235E-2"/>
    <s v="'99999999999.000000"/>
    <s v="Controlo não realizado"/>
    <m/>
    <m/>
    <x v="0"/>
  </r>
  <r>
    <s v="Exposures to natural persons"/>
    <s v="Instruments"/>
    <s v="DEFAULT_STATUS_INSTRUMENT"/>
    <n v="0.11427783621036622"/>
    <s v="99999999999 / 11111111111"/>
    <s v="Controlo não realizado"/>
    <s v="Pode estar influenciado pelas titularizações referidas na &quot;CRR EXPOSURE CLASS&quot;"/>
    <m/>
    <x v="0"/>
  </r>
  <r>
    <s v="Exposures to natural persons"/>
    <s v="Instruments"/>
    <s v="DATE_DEFAULT_STATUS_INSTRUMENT"/>
    <n v="0.50624067456655497"/>
    <d v="9999-12-31T00:00:00"/>
    <s v="Controlo não realizado"/>
    <s v="Retirando os Default da coluna anterior, a incidência é de 76590, correspondentes, na maioria, aos 99999999999 da coluna anterior. A incidência passa a ser de 5,6%."/>
    <s v="verificar parametrização do not aplicable"/>
    <x v="0"/>
  </r>
  <r>
    <s v="Exposures to natural persons"/>
    <s v="Instruments"/>
    <s v="TRANSFERRED_AMOUNT"/>
    <n v="1.0000088946011993"/>
    <s v="11111111111.000000"/>
    <s v="Controlo não realizado"/>
    <m/>
    <s v="verificar parametrização do not aplicable"/>
    <x v="2"/>
  </r>
  <r>
    <s v="Exposures to natural persons"/>
    <s v="Instruments"/>
    <s v="ARREARS_INSTRUMENT"/>
    <n v="0.91672651992057119"/>
    <s v="0.00"/>
    <s v="Controlo não realizado"/>
    <s v="Pode estar correto, não sendo incidência."/>
    <s v="verificar isto mesmo"/>
    <x v="0"/>
  </r>
  <r>
    <s v="Exposures to natural persons"/>
    <s v="Instruments"/>
    <s v="DATE_PAST_DUE_INSTRUMENT"/>
    <n v="0.91673096722117098"/>
    <s v="11/11/1111"/>
    <s v="Controlo não realizado"/>
    <s v="Não existe um padrão, atingindo também créditos em Default. Esclarecer se pode ter incidências que não se devem considerar."/>
    <m/>
    <x v="0"/>
  </r>
  <r>
    <s v="Exposures to natural persons"/>
    <s v="Instruments"/>
    <s v="TYPE_SECURITIZATION"/>
    <n v="0.8810436035587299"/>
    <s v="MISS"/>
    <s v="Controlo não realizado"/>
    <m/>
    <s v="verificar parametrização do not aplicable"/>
    <x v="1"/>
  </r>
  <r>
    <s v="Exposures to natural persons"/>
    <s v="Instruments"/>
    <s v="OUTSTANDING_NOMINAL_AMOUNT"/>
    <n v="0.51796820624801265"/>
    <s v="0.00"/>
    <s v="Controlo não realizado"/>
    <s v="Pode estar correto, não sendo incidência."/>
    <s v="verificar isto mesmo"/>
    <x v="0"/>
  </r>
  <r>
    <s v="Exposures to natural persons"/>
    <s v="Instruments"/>
    <s v="ACCRUED_INTEREST"/>
    <n v="0.51797265354861233"/>
    <s v="0.00"/>
    <s v="Controlo não realizado"/>
    <s v="Pode estar correto, não sendo incidência."/>
    <s v="verificar isto mesmo"/>
    <x v="0"/>
  </r>
  <r>
    <s v="Exposures to natural persons"/>
    <s v="Instruments"/>
    <s v="OFF_BALANCE_SHEET_AMOUNT"/>
    <n v="1.0000355784047978"/>
    <s v="0.00"/>
    <s v="Controlo não realizado"/>
    <s v="Pode estar correto, não sendo incidência."/>
    <s v="verificar isto mesmo"/>
    <x v="0"/>
  </r>
  <r>
    <s v="Exposures to natural persons"/>
    <s v="Instruments"/>
    <s v="ACCUM_WRITE_OFFS"/>
    <n v="1.0000177892023989"/>
    <s v="0.00"/>
    <s v="Controlo não realizado"/>
    <s v="Pode estar correto, não sendo incidência."/>
    <s v="verificar isto mesmo"/>
    <x v="0"/>
  </r>
  <r>
    <s v="Exposures to natural persons"/>
    <s v="Instruments"/>
    <s v="ACCUM_IMPAIRMENT_AMOUNT"/>
    <n v="1.0000578149077963"/>
    <s v="0.00"/>
    <s v="Controlo não realizado"/>
    <s v="Pode estar correto, não sendo incidência."/>
    <s v="verificar isto mesmo"/>
    <x v="5"/>
  </r>
  <r>
    <s v="Exposures to natural persons"/>
    <s v="Instruments"/>
    <s v="SOURCES_ENCUMBRANCE"/>
    <n v="1.0000711568095955"/>
    <s v="11111111111"/>
    <s v="Controlo não realizado"/>
    <m/>
    <s v="Campo do novo projeto, mostrar evidencia"/>
    <x v="1"/>
  </r>
  <r>
    <s v="Exposures to natural persons"/>
    <s v="Instruments"/>
    <s v="PROVIS_ASSOC_OFFBALANCE"/>
    <n v="1.0000844987113946"/>
    <s v="0.00"/>
    <s v="Controlo não realizado"/>
    <s v="Pode estar correto, não sendo incidência."/>
    <s v="verificar isto mesmo"/>
    <x v="0"/>
  </r>
  <r>
    <s v="Exposures to natural persons"/>
    <s v="Instruments"/>
    <s v="DATE_STATUS_FORBEARANCE_RENEG"/>
    <n v="0.98607105452168176"/>
    <s v="blanks"/>
    <s v="Controlo não realizado"/>
    <s v="Pode estar correto, não sendo incidência."/>
    <s v="verificar isto mesmo"/>
    <x v="0"/>
  </r>
  <r>
    <s v="Exposures to natural persons"/>
    <s v="Instruments"/>
    <s v="CUMULATIVE_RECOV_SINCE_DEFAULT"/>
    <n v="0.8346249035491683"/>
    <s v="11111111111.000000"/>
    <s v="Controlo não realizado"/>
    <s v="Pode estar correto, não sendo incidência."/>
    <s v="verificar isto mesmo"/>
    <x v="0"/>
  </r>
  <r>
    <s v="Exposures to natural persons"/>
    <s v="Instruments"/>
    <s v="CARRYING_AMOUNT"/>
    <n v="1.0001022879137935"/>
    <s v="0.00"/>
    <s v="Controlo não realizado"/>
    <m/>
    <s v="verificar parametrização do not aplicable"/>
    <x v="5"/>
  </r>
  <r>
    <s v="Exposures to natural persons"/>
    <s v="Instruments"/>
    <s v="PRUDENTIAL_PORTFOLIO"/>
    <n v="1.0001067352143933"/>
    <s v="11111111111"/>
    <s v="Root Cause: Operações em que a LT Estrutural estava e continua a definir o campo para aplicar apenas a Debt Securities._x000a_Resolução: Para passar a incluir o conceito nos restantes segmentos, trata-se de uma alteração estrutural da LT e implica uma análise a fundo com a Contabilidade e alteração de parametrizações / desenvolvimento tecnológico."/>
    <s v="Incidência identificada pela unidade."/>
    <s v="Problema identificado"/>
    <x v="4"/>
  </r>
  <r>
    <s v="Exposures to natural persons"/>
    <s v="Instruments"/>
    <s v="ACCUM_CHANGES_FV_DUE_CR"/>
    <n v="1.0001111825149929"/>
    <s v="11111111111.00"/>
    <s v="Controlo não realizado"/>
    <m/>
    <s v="verificar parametrização do not aplicable"/>
    <x v="0"/>
  </r>
  <r>
    <s v="Exposures to natural persons"/>
    <s v="Counterparties"/>
    <s v="PROBABILITY_DEFAULT"/>
    <n v="0.99903451657721964"/>
    <s v="11111111111.000000"/>
    <s v="Controlo não realizado"/>
    <s v="Pode estar influenciado por não ser 1º titular. Esclarecer."/>
    <m/>
    <x v="0"/>
  </r>
  <r>
    <s v="Exposures to natural persons"/>
    <s v="Counterparties"/>
    <s v="IFRS9_PROB_DEFAULT_IMPAIRMENT"/>
    <n v="1"/>
    <s v="'99999999999.000000"/>
    <s v="Controlo não realizado"/>
    <m/>
    <s v="Campo do novo projeto, mostrar evidencia"/>
    <x v="1"/>
  </r>
  <r>
    <s v="Exposures to natural persons"/>
    <s v="Counterparties"/>
    <s v="PROBABILITY_DEFAULT_OTHERS"/>
    <n v="1"/>
    <s v="11111111111.000000"/>
    <s v="Sem comentários"/>
    <s v="Pode não ser incidência. Esclarecer."/>
    <s v="verificar isto mesmo"/>
    <x v="2"/>
  </r>
  <r>
    <s v="Exposures to natural persons"/>
    <s v="Counterparties"/>
    <s v="COUNTERPARTY_ROLE"/>
    <n v="1"/>
    <s v="N/A"/>
    <s v="Controlo não realizado"/>
    <s v="Pode não ser incidência. Esclarecer."/>
    <s v="verificar isto mesmo"/>
    <x v="2"/>
  </r>
  <r>
    <s v="Exposures to natural persons"/>
    <s v="Counterparties"/>
    <s v="DEFAULT_STATUS_COUNTERPARTY"/>
    <n v="0.24956438826381888"/>
    <s v="99999999999 /  11111111111"/>
    <s v="Controlo não realizado"/>
    <s v="Contaminado pelo &quot;Probability of default&quot;. Esclarecer"/>
    <m/>
    <x v="0"/>
  </r>
  <r>
    <s v="Exposures to natural persons"/>
    <s v="Counterparties"/>
    <s v="DATE_DEFAULT_STATUS_COUNTERPARTY"/>
    <n v="0.54901680878306591"/>
    <s v="11/11/1111 / 31/12/9999"/>
    <s v="Controlo não realizado"/>
    <s v="Contaminado pelo &quot;Probability of default&quot;. Esclarecer"/>
    <m/>
    <x v="0"/>
  </r>
  <r>
    <s v="Exposures to natural persons"/>
    <s v="Protections"/>
    <s v="DATE_PROTECTION_VALUE"/>
    <n v="0.27450927260706043"/>
    <s v="11/11/1111"/>
    <s v="Controlo não realizado"/>
    <s v="Poderá não ser incidência. Esclarecer uma vez que se referem a &quot;Other protection&quot;."/>
    <s v="verificar isto mesmo"/>
    <x v="0"/>
  </r>
  <r>
    <s v="Exposures to natural persons"/>
    <s v="Protections"/>
    <s v="ORIGINAL_PROTECTION_VALUE"/>
    <n v="0.27459327343081041"/>
    <s v="11111111111.000000"/>
    <s v="Controlo não realizado"/>
    <s v="Poderá não ser incidência. Esclarecer uma vez que se referem a &quot;Other protection&quot;."/>
    <s v="verificar isto mesmo"/>
    <x v="0"/>
  </r>
  <r>
    <s v="Exposures to natural persons"/>
    <s v="Protections"/>
    <s v="DATE_ORIGINAL_PROTECTION_VALUE"/>
    <n v="0.27452011142302812"/>
    <s v="11/11/1111"/>
    <s v="Controlo não realizado"/>
    <s v="Poderá não ser incidência. Esclarecer uma vez que se referem a &quot;Other protection&quot;."/>
    <s v="verificar isto mesmo"/>
    <x v="0"/>
  </r>
  <r>
    <s v="Exposures to natural persons"/>
    <s v="Protections"/>
    <s v="TYPE_PROTECTION_VALUE"/>
    <n v="0.27452282112702009"/>
    <s v="N/A"/>
    <s v="Controlo não realizado"/>
    <s v="Poderá não ser incidência. Esclarecer uma vez que se referem a &quot;Other protection&quot;."/>
    <s v="verificar isto mesmo"/>
    <x v="0"/>
  </r>
  <r>
    <s v="Exposures to natural persons"/>
    <s v="Instrument-Counterparty relation"/>
    <s v="JOINT_LIABILITIES_AMOUNT"/>
    <n v="0.62333792840868907"/>
    <s v="11111111111.00"/>
    <m/>
    <m/>
    <m/>
    <x v="0"/>
  </r>
  <r>
    <s v="Off-balance sheet exposures"/>
    <s v="Instruments"/>
    <s v="NOMINAL_AMOUNT"/>
    <n v="1"/>
    <s v="0.00"/>
    <s v="Controlo não realizado"/>
    <s v="Todos os 903589 campos a 0, implicando uma incidência de 100%."/>
    <s v="verificar parametrização do not aplicable"/>
    <x v="5"/>
  </r>
  <r>
    <s v="Off-balance sheet exposures"/>
    <s v="Instruments"/>
    <s v="NOMINAL_INTEREST_RATE_FEE"/>
    <n v="1"/>
    <s v="99999999999.000000"/>
    <s v="Controlo não realizado"/>
    <s v="Todos os 903589 campos com 9999999999, implicando uma incidência de 100%. As especificações referem que o conceito do campo não está claro."/>
    <s v="Campo do novo projeto, mostrar evidencia"/>
    <x v="1"/>
  </r>
  <r>
    <s v="Off-balance sheet exposures"/>
    <s v="Instruments"/>
    <s v="DEFAULT_STATUS_INSTRUMENT"/>
    <n v="5.3295248171458483E-2"/>
    <s v="99999999999"/>
    <s v="Controlo não realizado"/>
    <s v="Existem 48157 registos com 999999999, implicando no total uma incidência de 5,3%."/>
    <m/>
    <x v="0"/>
  </r>
  <r>
    <s v="Off-balance sheet exposures"/>
    <s v="Instruments"/>
    <s v="DATE_DEFAULT_STATUS_INSTRUMENT"/>
    <n v="0.45427843853787508"/>
    <d v="9999-12-31T00:00:00"/>
    <s v="Controlo não realizado"/>
    <s v="Considera-se a mesma incidência do campo anterior.Existem 48157 registos com 999999999, implicando no total uma incidência de 5,3%."/>
    <s v="verificar parametrização do not aplicable"/>
    <x v="0"/>
  </r>
  <r>
    <s v="Off-balance sheet exposures"/>
    <s v="Instruments"/>
    <s v="ACCUM_IMPAIRMENT_AMOUNT"/>
    <n v="1"/>
    <s v="MISS"/>
    <s v="Controlo não realizado"/>
    <s v="Todos os 903589 campos com 0, implicando uma incidência de 100%."/>
    <s v="verificar parametrização do not aplicable"/>
    <x v="0"/>
  </r>
  <r>
    <s v="Off-balance sheet exposures"/>
    <s v="Counterparties"/>
    <s v="PROBABILITY_DEFAULT"/>
    <n v="0.99997734997187626"/>
    <s v="11111111111.000000"/>
    <s v="Controlo não realizado"/>
    <m/>
    <m/>
    <x v="0"/>
  </r>
  <r>
    <s v="Off-balance sheet exposures"/>
    <s v="Counterparties"/>
    <s v="IFRS9_PROB_DEFAULT_IMPAIRMENT"/>
    <n v="0.99999874344865547"/>
    <s v="99999999999.000000"/>
    <s v="Controlo não realizado"/>
    <s v="Todos os 903589 campos com 0, implicando uma incidência de 100%. As especificações referem ser necessário validar a necessidade de criar um novo campo (&quot;PD misto&quot; ) na LT002_INSTRUMENT dado que se solicita um &quot;misto&quot; entre a PD 12m (PD12M_IFRS9) e a PD lifetime (PD_LT_IFRS9), campos já existentes nessa tabela."/>
    <s v="Campo do novo projeto, mostrar evidencia"/>
    <x v="1"/>
  </r>
  <r>
    <s v="Off-balance sheet exposures"/>
    <s v="Counterparties"/>
    <s v="DEFAULT_STATUS_COUNTERPARTY"/>
    <n v="0.24560180495557449"/>
    <s v="11111111111"/>
    <s v="Controlo não realizado"/>
    <s v="Contaminado pelo &quot;Probability of default&quot;. Perceber porquê?"/>
    <m/>
    <x v="0"/>
  </r>
  <r>
    <s v="Off-balance sheet exposures"/>
    <s v="Counterparties"/>
    <s v="DATE_DEFAULT_STATUS_COUNTERPARTY"/>
    <n v="0.55366735413696477"/>
    <s v="'11/11/1111 / 31/12/9999"/>
    <s v="Controlo não realizado"/>
    <s v="Contaminado pelo &quot;Probability of default&quot;. Perceber porquê?"/>
    <m/>
    <x v="0"/>
  </r>
  <r>
    <s v="Off-balance sheet exposures"/>
    <s v="Counterparties"/>
    <s v="LEGAL_ENTITY_ID"/>
    <n v="0.99921479902504218"/>
    <s v="N/A"/>
    <s v="Controlo não realizado"/>
    <m/>
    <m/>
    <x v="0"/>
  </r>
  <r>
    <s v="Off-balance sheet exposures"/>
    <s v="Counterparties"/>
    <s v="HEAD_OFFICE_UNDERTAKING_ID"/>
    <n v="0.99999748689731083"/>
    <s v="MISS"/>
    <s v="Controlo não realizado"/>
    <s v="As especificações referem Informação não parece existir no datalake, necessário avaliar fontes alternativas, implicando uma incidência de 100%."/>
    <s v="Não temos registamos este informação nos sistemas será sempre N/A e não MISS?"/>
    <x v="1"/>
  </r>
  <r>
    <s v="Off-balance sheet exposures"/>
    <s v="Counterparties"/>
    <s v="IMMEDIATE_PARENT_UNDERTAKING_ID"/>
    <n v="0.99999748689731083"/>
    <s v="MISS"/>
    <s v="Controlo não realizado"/>
    <s v="As especificações referem Informação não parece existir no datalake, necessário avaliar fontes alternativas, implicando uma incidência de 100%."/>
    <s v="Não temos registamos este informação nos sistemas será sempre N/A e não MISS?"/>
    <x v="1"/>
  </r>
  <r>
    <s v="Off-balance sheet exposures"/>
    <s v="Counterparties"/>
    <s v="ULTIMATE_PARENT_UNDERTAKING_ID"/>
    <n v="0.99999748689731083"/>
    <s v="MISS"/>
    <s v="Controlo não realizado"/>
    <s v="As especificações referem Informação não parece existir no datalake, necessário avaliar fontes alternativas, implicando uma incidência de 100%."/>
    <s v="Não temos registamos este informação nos sistemas será sempre N/A e não MISS?"/>
    <x v="1"/>
  </r>
  <r>
    <s v="Off-balance sheet exposures"/>
    <s v="Protections"/>
    <s v="PROTECTION_PROVIDER_ID"/>
    <n v="0.15798586472141013"/>
    <s v="N/A"/>
    <s v="Controlo não realizado"/>
    <s v="Todos os resultados em N/A, implicando 100% incidência."/>
    <m/>
    <x v="0"/>
  </r>
  <r>
    <s v="Off-balance sheet exposures"/>
    <s v="Protections"/>
    <s v="DATE_PROTECTION_VALUE"/>
    <n v="0.80156680196417929"/>
    <s v="11/11/1111"/>
    <s v="Controlo não realizado"/>
    <s v="Incidência em 28890 registos (data 11/11/1111). A maioria dos casos sem data refere-se ao TYPE COLATERAL &quot;Other Protection Value&quot;. Perceber porquê."/>
    <m/>
    <x v="0"/>
  </r>
  <r>
    <s v="Off-balance sheet exposures"/>
    <s v="Protections"/>
    <s v="MATURITY_DATE_PROTECTION"/>
    <n v="0.80159518605773328"/>
    <s v="11/11/1111"/>
    <s v="Controlo não realizado"/>
    <s v="Incidência em 28890 registos (data 11/11/1111). A maioria dos casos sem data refere-se ao TYPE COLATERAL &quot;Other Protection Value&quot;. Perceber porquê."/>
    <m/>
    <x v="0"/>
  </r>
  <r>
    <s v="Off-balance sheet exposures"/>
    <s v="Protections"/>
    <s v="ORIGINAL_PROTECTION_VALUE"/>
    <n v="0.80159518605773328"/>
    <s v="11111111111.000000"/>
    <s v="Controlo não realizado"/>
    <s v="Incidência em 28890 registos (registos 11111111111). A maioria dos casos sem data refere-se ao TYPE COLATERAL &quot;Other Protection Value&quot;. Perceber porquê."/>
    <m/>
    <x v="0"/>
  </r>
  <r>
    <s v="Off-balance sheet exposures"/>
    <s v="Protections"/>
    <s v="TYPE_PROTECTION_VALUE"/>
    <n v="0.80156680196417929"/>
    <s v="11111111111.000000"/>
    <s v="Controlo não realizado"/>
    <s v="Incidência em 28890 registos (registos N/A). A maioria dos casos sem data refere-se ao TYPE COLATERAL &quot;Other Protection Value&quot;. Perceber porquê."/>
    <m/>
    <x v="0"/>
  </r>
  <r>
    <s v="Off-balance sheet exposures"/>
    <s v="Instrument-Counterparty relation"/>
    <s v="JOINT_LIABILITIES_AMOUNT"/>
    <n v="0.99999907125861176"/>
    <s v="11111111111.00 / -11111111111.00"/>
    <s v="Controlo não realizado"/>
    <s v="Totalidade dos 1076726 registos sem informação (=11111111111). Incidência de 100%."/>
    <s v="verificar parametrização do not aplicable"/>
    <x v="0"/>
  </r>
  <r>
    <s v="Derivatives"/>
    <s v="Instruments"/>
    <s v="UNIQUE_TRADE_ID"/>
    <n v="1"/>
    <s v="MISS"/>
    <s v="Controlo não realizado"/>
    <s v="Todos os 870 registos com &quot;Miss&quot; (100% incidência). De acordo com as especificações, esta informação não existia no datalake, foi endereçado um desenvolvimento às areas de ALM e SIGOM de forma a passar a aprovisionar esta informação nas tabelas al005_det_swapc e al011_derivados."/>
    <s v="Campo do novo projeto, mostrar evidencia"/>
    <x v="1"/>
  </r>
  <r>
    <s v="Derivatives"/>
    <s v="Instruments"/>
    <s v="COUNTERPARTY_ID"/>
    <n v="3.1034482758620689E-2"/>
    <s v="MISS"/>
    <s v="Controlo não realizado"/>
    <s v="São considerados 27 registos que não têm informação carregada em nenhum campo. Caso não sejam aplicáveis, devem ser retirados."/>
    <m/>
    <x v="6"/>
  </r>
  <r>
    <s v="Derivatives"/>
    <s v="Instruments"/>
    <s v="BASE_PRODUCT"/>
    <n v="1"/>
    <s v="MISS"/>
    <s v="Controlo não realizado"/>
    <s v="Todos os 870 registos com &quot;Miss&quot; (100% incidência). De acordo com as especificações, esta informação não existia no datalake, foi endereçado um desenvolvimento às areas de ALM e SIGOM de forma a passar a aprovisionar esta informação nas tabelas al005_det_swapc e al011_derivados."/>
    <s v="Campo do novo projeto, mostrar evidencia"/>
    <x v="1"/>
  </r>
  <r>
    <s v="Derivatives"/>
    <s v="Instruments"/>
    <s v="GOVERNING_LAW"/>
    <n v="1"/>
    <s v="MISS"/>
    <s v="Controlo não realizado"/>
    <s v="Todos os 870 registos com &quot;Miss&quot; (100% incidência). De acordo com as especificações, esta informação não existia no datalake, foi endereçado um desenvolvimento às areas de ALM e SIGOM de forma a passar a aprovisionar esta informação nas tabelas al005_det_swapc e al011_derivados."/>
    <s v="Campo do novo projeto, mostrar evidencia"/>
    <x v="1"/>
  </r>
  <r>
    <s v="Derivatives"/>
    <s v="Instruments"/>
    <s v="CONTRACT_RECOGN_WRITE_DOWN"/>
    <n v="1"/>
    <s v="MISS"/>
    <s v="Controlo não realizado"/>
    <s v="Todos os 870 registos com &quot;Miss&quot; (100% incidência). De acordo com as especificações, regra quase finalizada, falta confirmar a forma correta de verificar se um contrato Finrep está ao abrigo de um contrato ISDA"/>
    <s v="Campo do novo projeto, mostrar evidencia"/>
    <x v="1"/>
  </r>
  <r>
    <s v="Derivatives"/>
    <s v="Instruments"/>
    <s v="CONTRACT_RECOGN_SUSPENSION"/>
    <n v="1"/>
    <s v="MISS"/>
    <s v="Controlo não realizado"/>
    <s v="Todos os 870 registos com &quot;Miss&quot; (100% incidência). De acordo com as especificações, regra quase finalizada, falta confirmar a forma correta de verificar se um contrato Finrep está ao abrigo de um contrato ISDA"/>
    <s v="Campo do novo projeto, mostrar evidencia"/>
    <x v="1"/>
  </r>
  <r>
    <s v="Derivatives"/>
    <s v="Instruments"/>
    <s v="CONTRACT_RECOGN_RESOLUTION"/>
    <n v="1"/>
    <s v="MISS"/>
    <s v="Controlo não realizado"/>
    <s v="Todos os 870 registos com &quot;Miss&quot; (100% incidência). De acordo com as especificações, regra quase finalizada, falta confirmar a forma correta de verificar se um contrato Finrep está ao abrigo de um contrato ISDA"/>
    <s v="Campo do novo projeto, mostrar evidencia"/>
    <x v="1"/>
  </r>
  <r>
    <s v="Derivatives"/>
    <s v="Instruments"/>
    <s v="COLLATERAL_PORTFOLIO"/>
    <n v="1"/>
    <s v="MISS"/>
    <s v="Controlo não realizado"/>
    <s v="Todos os 870 registos com &quot;Miss&quot; (100% incidência). De acordo com as especificações, será um conceito a revisitar no futuro."/>
    <s v="Campo do novo projeto, mostrar evidencia"/>
    <x v="1"/>
  </r>
  <r>
    <s v="Derivatives"/>
    <s v="Instruments"/>
    <s v="COLLATERAL_POSTED"/>
    <n v="1"/>
    <s v="99999999999.000000"/>
    <s v="Controlo não realizado"/>
    <s v="Todos os 870 registos com &quot;Miss&quot; (100% incidência). De acordo com as especificações, será um conceito a revisitar no futuro."/>
    <s v="Campo do novo projeto, mostrar evidencia"/>
    <x v="1"/>
  </r>
  <r>
    <s v="Derivatives"/>
    <s v="Instruments"/>
    <s v="COLLATERAL_POSTED_CURRENCY"/>
    <n v="1"/>
    <s v="MISS"/>
    <s v="Controlo não realizado"/>
    <s v="Todos os 870 registos com &quot;Miss&quot; (100% incidência). De acordo com as especificações, será um conceito a revisitar no futuro."/>
    <s v="Campo do novo projeto, mostrar evidencia"/>
    <x v="1"/>
  </r>
  <r>
    <s v="Derivatives"/>
    <s v="Instruments"/>
    <s v="COLLATERAL_RECEIVED"/>
    <n v="1"/>
    <s v="99999999999.000000"/>
    <s v="Controlo não realizado"/>
    <s v="Todos os 870 registos com &quot;Miss&quot; (100% incidência). De acordo com as especificações, será um conceito a revisitar no futuro."/>
    <s v="Campo do novo projeto, mostrar evidencia"/>
    <x v="1"/>
  </r>
  <r>
    <s v="Derivatives"/>
    <s v="Instruments"/>
    <s v="COLLATERAL_RECEIVED_CURRENCY"/>
    <n v="1"/>
    <s v="MISS"/>
    <s v="Controlo não realizado"/>
    <s v="Todos os 870 registos com &quot;Miss&quot; (100% incidência). De acordo com as especificações, será um conceito a revisitar no futuro."/>
    <s v="Campo do novo projeto, mostrar evidencia"/>
    <x v="1"/>
  </r>
  <r>
    <s v="Derivatives"/>
    <s v="Instruments"/>
    <s v="LEG_1_CASH_FLOW"/>
    <n v="1"/>
    <s v="MISS"/>
    <s v="Controlo não realizado"/>
    <s v="Todos os 870 registos com &quot;Miss&quot; (100% incidência). De acordo com as especificações, será um conceito a revisitar no futuro."/>
    <s v="Campo do novo projeto, mostrar evidencia"/>
    <x v="2"/>
  </r>
  <r>
    <s v="Derivatives"/>
    <s v="Instruments"/>
    <s v="LEG_2_CASH_FLOW"/>
    <n v="1"/>
    <s v="MISS"/>
    <s v="Controlo não realizado"/>
    <s v="Todos os 870 registos com &quot;Miss&quot; (100% incidência). De acordo com as especificações, será um conceito a revisitar no futuro."/>
    <s v="Campo do novo projeto, mostrar evidencia"/>
    <x v="2"/>
  </r>
  <r>
    <s v="Derivatives"/>
    <s v="Instruments"/>
    <s v="LEG_1_REFERENCE_RATE"/>
    <n v="1"/>
    <s v="MISS"/>
    <s v="Controlo não realizado"/>
    <s v="Todos os 870 registos com &quot;Miss&quot; (100% incidência). De acordo com as especificações, será um conceito a revisitar no futuro."/>
    <s v="Campo do novo projeto, mostrar evidencia"/>
    <x v="1"/>
  </r>
  <r>
    <s v="Derivatives"/>
    <s v="Instruments"/>
    <s v="LEG_2_REFERENCE_RATE"/>
    <n v="1"/>
    <s v="MISS"/>
    <s v="Controlo não realizado"/>
    <s v="Todos os 870 registos com &quot;Miss&quot; (100% incidência). De acordo com as especificações, será um conceito a revisitar no futuro."/>
    <s v="Campo do novo projeto, mostrar evidencia"/>
    <x v="1"/>
  </r>
  <r>
    <s v="Derivatives"/>
    <s v="Instruments"/>
    <s v="LEG_1_REFERENCE_PERIOD"/>
    <n v="1"/>
    <s v="MISS"/>
    <s v="Controlo não realizado"/>
    <s v="Todos os 870 registos com &quot;Miss&quot; (100% incidência). De acordo com as especificações, esta informação não existia no datalake, foi endereçado um desenvolvimento às areas de ALM e SIGOM de forma a passar a aprovisionar esta informação nas tabelas al005_det_swapc e al011_derivados."/>
    <s v="Campo do novo projeto, mostrar evidencia"/>
    <x v="1"/>
  </r>
  <r>
    <s v="Derivatives"/>
    <s v="Instruments"/>
    <s v="LEG_2_REFERENCE_PERIOD"/>
    <n v="1"/>
    <s v="MISS"/>
    <s v="Controlo não realizado"/>
    <s v="Todos os 870 registos com &quot;Miss&quot; (100% incidência). De acordo com as especificações, esta informação não existia no datalake, foi endereçado um desenvolvimento às areas de ALM e SIGOM de forma a passar a aprovisionar esta informação nas tabelas al005_det_swapc e al011_derivados."/>
    <s v="Campo do novo projeto, mostrar evidencia"/>
    <x v="1"/>
  </r>
  <r>
    <s v="Derivatives"/>
    <s v="Instruments"/>
    <s v="PREMIUM"/>
    <n v="1"/>
    <s v="11111111111.000000"/>
    <s v="Controlo não realizado"/>
    <s v="Todos os 870 registos com &quot;Miss&quot; (100% incidência). De acordo com as especificações, será para reportar sempre N/A."/>
    <s v="verificar parametrização do not aplicable"/>
    <x v="2"/>
  </r>
  <r>
    <s v="Derivatives"/>
    <s v="Instruments"/>
    <s v="CARRYING_AMOUNT"/>
    <n v="1"/>
    <s v="0.00"/>
    <s v="Controlo não realizado"/>
    <s v="Todos os 870 registos com &quot;Miss&quot; (100% incidência). De acordo com as especificações, será para reportar sempre N/A."/>
    <s v="verificar parametrização do not aplicable"/>
    <x v="5"/>
  </r>
  <r>
    <s v="Derivatives"/>
    <s v="Instruments"/>
    <s v="ACCOUNTING_STANDARD"/>
    <n v="0.60689655172413792"/>
    <s v="99999999999"/>
    <s v="Root Cause: 496 operações preenchidas na LT001 com a carteira contabilística “derivados de cobertura” e “passivos financeiros detidos para negociacao”. Esta opção não se encontra ao dia de hoje parametrizada na tabela LT803._x000a_Resolução: Já foi solicitado a Tecnologia a parametrização das carteiras contabilísticas em falta."/>
    <s v="Existem outros registos, além dos referidos no campo ISIN, com alertas MISS ou N/A que implicam uma incidência superior a 5%. Esta incidência foi identificada pela unidade."/>
    <m/>
    <x v="4"/>
  </r>
  <r>
    <s v="Derivatives"/>
    <s v="Instruments"/>
    <s v="ACCOUNTING_CLASSIFICATION"/>
    <n v="1"/>
    <s v="11111111111"/>
    <s v="Root Cause: Operações em que a LT Estrutural estava e continua a definir o campo para aplicar apenas a Debt Securities._x000a_Resolução: Para passar a incluir o conceito nos restantes segmentos, trata-se de uma alteração estrutural da LT e implica uma análise a fundo com a Contabilidade e alteração de parametrizações / desenvolvimento tecnológico."/>
    <s v="Existem outros registos, além dos referidos no campo ISIN, com alertas MISS ou N/A que implicam uma incidência superior a 5%. Esta incidência foi identificada pela unidade."/>
    <s v="verificar parametrização do not aplicable"/>
    <x v="4"/>
  </r>
  <r>
    <s v="Derivatives"/>
    <s v="Instruments"/>
    <s v="HIERARCHY"/>
    <n v="1"/>
    <s v="MISS"/>
    <s v="Controlo não realizado"/>
    <s v="Todos os 870 registos com &quot;Miss&quot; (100% incidência). De acordo com as especificações, os pontos estão a ser analisados."/>
    <s v="Campo do novo projeto, mostrar evidencia"/>
    <x v="1"/>
  </r>
  <r>
    <s v="Derivatives"/>
    <s v="Instruments"/>
    <s v="HEDGE_ID"/>
    <n v="1"/>
    <s v="N/A"/>
    <s v="Controlo não realizado"/>
    <s v="Todos os 870 registos com &quot;N/A&quot; (100% incidência)."/>
    <s v="verificar parametrização do not aplicable"/>
    <x v="1"/>
  </r>
  <r>
    <s v="Debt securities"/>
    <s v="Instruments"/>
    <s v="ISIN"/>
    <n v="1"/>
    <s v="N/A"/>
    <s v="Root Cause: 3 operações com ISIN duplicado._x000a_Resolução: 2 dos ISIN sobre Papel Comercial vêm duplicadas da origem e já foi comunicada a Tecnologia para resolução. O 3ª ISIN encontra-se corretamente duplicado, uma vez que se trata de um título de dívida pública que tem uma parte numa carteira SIGOM e outra parte noutra, gerando assim 2 chaves distintas."/>
    <s v="São considerados 20 registos (na maioria que se iniciam com SNC), que não têm informação carregada em nenhum campo. Caso não sejam aplicáveis, devem ser retirados."/>
    <s v="Para além da questão do PPC que entretanto foi resolvida, é possível ter ISIN duplicados se o Banco tiver o mesmo títulos em carteiras contabilisticas distintas (i.e AFS e HTC) não sendo um erro_x000a__x000a_Questõ dos ajustes manuais"/>
    <x v="4"/>
  </r>
  <r>
    <s v="Debt securities"/>
    <s v="Instruments"/>
    <s v="ISSUER_RATINGS"/>
    <n v="1"/>
    <s v="MISS"/>
    <s v="Controlo não realizado"/>
    <s v="Existem outros registos, além dos referidos no campo ISIN, com alertas MISS ou N/A que implicam uma incidência superior a 5%. "/>
    <s v="verificar parametrização do not aplicable"/>
    <x v="0"/>
  </r>
  <r>
    <s v="Debt securities"/>
    <s v="Instruments"/>
    <s v="ISSUER_RATINGS_SOURCES"/>
    <n v="0.95092024539877296"/>
    <s v="MISS"/>
    <s v="Controlo não realizado"/>
    <s v="Existem outros registos, além dos referidos no campo ISIN, com alertas MISS ou N/A que implicam uma incidência superior a 5%. "/>
    <s v="verificar parametrização do not aplicable"/>
    <x v="0"/>
  </r>
  <r>
    <s v="Debt securities"/>
    <s v="Instruments"/>
    <s v="CURRENCY_VALUE"/>
    <n v="1"/>
    <s v="N/A"/>
    <s v="Controlo não realizado"/>
    <s v="Existem outros registos, além dos referidos no campo ISIN, com alertas MISS ou N/A que implicam uma incidência superior a 5%. "/>
    <s v="verificar parametrização do not aplicable"/>
    <x v="0"/>
  </r>
  <r>
    <s v="Debt securities"/>
    <s v="Instruments"/>
    <s v="VAL_TIMESTAMP"/>
    <n v="0.83640081799591004"/>
    <s v="11/11/1111"/>
    <s v="Controlo não realizado"/>
    <s v="Existem outros registos, além dos referidos no campo ISIN, com alertas MISS ou N/A que implicam uma incidência superior a 5%. "/>
    <s v="verificar parametrização do not aplicable"/>
    <x v="0"/>
  </r>
  <r>
    <s v="Debt securities"/>
    <s v="Instruments"/>
    <s v="VAL_TYPE"/>
    <n v="1"/>
    <s v="11111111111"/>
    <s v="Resolução: A LT terá de ser aprovisionada com esta informação que no presente é somente utilizada para um fim específico do reporte trimestral. "/>
    <s v="Existem outros registos, além dos referidos no campo ISIN, com alertas MISS ou N/A que implicam uma incidência superior a 5%. "/>
    <s v="verificar parametrização do not aplicable"/>
    <x v="0"/>
  </r>
  <r>
    <s v="Debt securities"/>
    <s v="Instruments"/>
    <s v="SECURITY_RATING"/>
    <n v="1"/>
    <s v="MISS"/>
    <s v="Controlo não realizado"/>
    <s v="Existem outros registos, além dos referidos no campo ISIN, com alertas MISS ou N/A que implicam uma incidência superior a 5%. "/>
    <s v="Campo do novo projeto, mostrar evidencia"/>
    <x v="1"/>
  </r>
  <r>
    <s v="Debt securities"/>
    <s v="Instruments"/>
    <s v="PURCHASED_RESALE_AGR"/>
    <n v="0.83640081799591004"/>
    <s v="N/A"/>
    <s v="Controlo não realizado"/>
    <s v="Existem outros registos, além dos referidos no campo ISIN, com alertas MISS ou N/A que implicam uma incidência superior a 5%. "/>
    <s v="verificar parametrização do not aplicable"/>
    <x v="0"/>
  </r>
  <r>
    <s v="Debt securities"/>
    <s v="Instruments"/>
    <s v="PART_LCR_BUFFER"/>
    <n v="0.83640081799591004"/>
    <s v="N/A"/>
    <s v="Controlo não realizado"/>
    <s v="Existem outros registos, além dos referidos no campo ISIN, com alertas MISS ou N/A que implicam uma incidência superior a 5%. "/>
    <s v="verificar parametrização do not aplicable"/>
    <x v="0"/>
  </r>
  <r>
    <s v="Debt securities"/>
    <s v="Instruments"/>
    <s v="LCR_BUFFER_CATEGORY"/>
    <n v="0.96932515337423308"/>
    <s v="N/A"/>
    <s v="Controlo não realizado"/>
    <s v="Existem outros registos, além dos referidos no campo ISIN, com alertas MISS ou N/A que implicam uma incidência superior a 5%. "/>
    <s v="verificar parametrização do not aplicable"/>
    <x v="0"/>
  </r>
  <r>
    <s v="Debt securities"/>
    <s v="Instruments"/>
    <s v="HEDGE_ID"/>
    <n v="0.99182004089979547"/>
    <s v="N/A"/>
    <s v="Controlo não realizado"/>
    <s v="Existem outros registos, além dos referidos no campo ISIN, com alertas MISS ou N/A que implicam uma incidência superior a 5%. "/>
    <s v="verificar parametrização do not aplicable"/>
    <x v="1"/>
  </r>
  <r>
    <s v="Equity"/>
    <s v="Instruments"/>
    <s v="FINANCIAL_CONTRACT_ID"/>
    <n v="1"/>
    <m/>
    <s v="Sem comentários"/>
    <s v="Não existem controlos de qualidade. Verificámos ainda assim, no ficheiro CSV, que todos os campos estão preenchidos, sem duplicados. São considerados 3 registos, que se iniciam com SNC, que não têm informação carregada em nenhum campo. Caso não sejam aplicáveis, devem ser retirados."/>
    <m/>
    <x v="6"/>
  </r>
  <r>
    <s v="Equity"/>
    <s v="Instruments"/>
    <s v="ISIN"/>
    <n v="0.23333333333333334"/>
    <s v="N/A"/>
    <s v="Sem comentários"/>
    <s v="O controlo de duplicados é desnecessário (inclusivamente está como N/A, pois podem existir ISINs duplicados, se forem de diferentes ISSUERs). Todos os campos do ficheiro CSV estão como N/A, implicando uma incidência de 100%. No entanto, não foram feitos testes aos N/A. A maioria dos ISINs estarão identificados no campo relativo ao &quot;instrmnt_id&quot;, mas em conjunto com outros dados."/>
    <s v="verificar parametrização do not aplicable"/>
    <x v="0"/>
  </r>
  <r>
    <s v="Equity"/>
    <s v="Instruments"/>
    <s v="ISSUER_RATINGS"/>
    <n v="1"/>
    <s v="MISS"/>
    <s v="Controlo não realizado"/>
    <s v="Existem outros registos, além dos referidos no primeiro comentário, com alertas MISS ou N/A que implicam uma incidência superior a 5%. "/>
    <s v="verificar parametrização do not aplicable"/>
    <x v="0"/>
  </r>
  <r>
    <s v="Equity"/>
    <s v="Instruments"/>
    <s v="ISSUER_RATINGS_SOURCES"/>
    <n v="1"/>
    <s v="MISS"/>
    <s v="Controlo não realizado"/>
    <s v="Existem outros registos, além dos referidos no primeiro comentário, com alertas MISS ou N/A que implicam uma incidência superior a 5%. "/>
    <s v="verificar parametrização do not aplicable"/>
    <x v="0"/>
  </r>
  <r>
    <s v="Equity"/>
    <s v="Instruments"/>
    <s v="CURRENCY_VALUE"/>
    <n v="1"/>
    <s v="N/A"/>
    <s v="Controlo não realizado"/>
    <s v="Existem outros registos, além dos referidos no primeiro comentário, com alertas MISS ou N/A que implicam uma incidência superior a 5%. "/>
    <s v="verificar parametrização do not aplicable"/>
    <x v="0"/>
  </r>
  <r>
    <s v="Equity"/>
    <s v="Instruments"/>
    <s v="VAL_TYPE"/>
    <n v="1"/>
    <s v="99999999999"/>
    <s v="Resolução: A LT terá de ser aprovisionada com esta informação que no presente é somente utilizada para um fim específico do reporte trimestral. "/>
    <s v="Campos por preencher, conforme identificado pela unidade."/>
    <s v="verificar parametrização do not aplicable"/>
    <x v="0"/>
  </r>
  <r>
    <s v="Equity"/>
    <s v="Instruments"/>
    <s v="DIVIDEND_YIELD"/>
    <n v="1"/>
    <s v="MISS"/>
    <s v="Controlo não realizado"/>
    <s v="Além dos 6 N/A, temos o resto (36) com &quot;Miss&quot;, o que implica 100% de incidência."/>
    <s v="verificar parametrização do not aplicable"/>
    <x v="2"/>
  </r>
  <r>
    <s v="Equity"/>
    <s v="Instruments"/>
    <s v="TOTAL_RISK_EXPOSURE_AMOUNT"/>
    <n v="0.36666666666666664"/>
    <m/>
    <s v="Controlo não realizado"/>
    <s v="Existem outros registos, além dos referidos no primeiro comentário, com alertas MISS ou N/A que implicam uma incidência superior a 5%. "/>
    <m/>
    <x v="0"/>
  </r>
  <r>
    <s v="Exposures to legal persons"/>
    <s v="Instruments"/>
    <s v="CRR_LOSS_GIVEN_DEFAULT"/>
    <n v="0.93509096515571999"/>
    <s v="11111111111.000000"/>
    <m/>
    <m/>
    <m/>
    <x v="0"/>
  </r>
  <r>
    <s v="Exposures to legal persons"/>
    <s v="Instruments"/>
    <s v="CRR_EXPOSURE_CLASS"/>
    <n v="0.66056476671647812"/>
    <s v="MISS"/>
    <m/>
    <m/>
    <m/>
    <x v="5"/>
  </r>
  <r>
    <s v="Exposures to legal persons"/>
    <s v="Instruments"/>
    <s v="TOTAL_RISK_EXPOSURE_AMOUNT"/>
    <n v="0.10025142911359378"/>
    <s v="0.00"/>
    <m/>
    <m/>
    <m/>
    <x v="0"/>
  </r>
  <r>
    <s v="Exposures to natural persons"/>
    <s v="Instrument-Protection relation"/>
    <s v="PROTECTION_ALLOCATED_VALUE"/>
    <n v="0.70566683338493663"/>
    <s v="11111111111.00"/>
    <s v="Controlo não realizado"/>
    <m/>
    <m/>
    <x v="5"/>
  </r>
  <r>
    <s v="Exposures to natural persons"/>
    <s v="Instrument-Protection relation"/>
    <s v="THIRDPARTY_CLAIMS_PROTECTION"/>
    <n v="0.28771802383277362"/>
    <s v="blanks"/>
    <s v="Controlo não realizado"/>
    <m/>
    <m/>
    <x v="0"/>
  </r>
  <r>
    <s v="Off-balance sheet exposures"/>
    <s v="Instruments"/>
    <s v="OBSERVED_AGENT_ID"/>
    <n v="0"/>
    <m/>
    <m/>
    <s v="Existem 32 registos, que se iniciam com SNC, que não têm informação carregada em nenhum campo (exceção para TYPE). Caso não sejam aplicáveis, devem ser retirados."/>
    <s v="Ajustes manuais?"/>
    <x v="6"/>
  </r>
  <r>
    <s v="Off-balance sheet exposures"/>
    <s v="Instruments"/>
    <s v="CRR_EXPOSURE_CLASS"/>
    <n v="0.99288740819329735"/>
    <m/>
    <m/>
    <s v="Percentagem elevada de registos com MISS"/>
    <m/>
    <x v="5"/>
  </r>
  <r>
    <s v="Off-balance sheet exposures"/>
    <s v="Instruments"/>
    <s v="DATE_STATUS_FORBEARANCE_RENEG"/>
    <n v="0.99938851020666353"/>
    <s v="blanks"/>
    <s v="Controlo não realizado"/>
    <s v="Maioria dos campos em blank"/>
    <m/>
    <x v="0"/>
  </r>
  <r>
    <s v="Off-balance sheet exposures"/>
    <s v="Counterparties"/>
    <s v="LEGAL_FORM"/>
    <n v="0.99999748333020844"/>
    <s v="MISS"/>
    <m/>
    <s v="As especificações referem que o campo está parcialmente definido, ainda está a ser avaliada a necessidade de aplicar uma regra complementar à regra definida."/>
    <m/>
    <x v="1"/>
  </r>
  <r>
    <s v="Off-balance sheet exposures"/>
    <s v="Instrument-Protection relation"/>
    <s v="THIRDPARTY_CLAIMS_PROTECTION"/>
    <n v="1"/>
    <s v="11111111111.00 / 0.00"/>
    <s v="Controlo não realizado"/>
    <s v="Totalidade dos 52075 registos sem informação (=11111111111). Incidência de 100%."/>
    <s v="verificar parametrização do not aplicable"/>
    <x v="0"/>
  </r>
  <r>
    <s v="Equity"/>
    <s v="Instruments"/>
    <s v="ISSUER_ESA_2010"/>
    <n v="0.26666666666666666"/>
    <m/>
    <m/>
    <s v="Existem outros registos, além dos referidos no primeiro comentário, com alertas MISS ou N/A que implicam uma incidência superior a 5%. "/>
    <m/>
    <x v="0"/>
  </r>
  <r>
    <s v="Equity"/>
    <s v="Instruments"/>
    <s v="ISSUER_NACE_SECTOR"/>
    <n v="1"/>
    <m/>
    <m/>
    <s v="Existem outros registos, além dos referidos no primeiro comentário, com alertas MISS ou N/A que implicam uma incidência superior a 5%. "/>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9">
    <pivotField showAll="0"/>
    <pivotField showAll="0"/>
    <pivotField showAll="0"/>
    <pivotField numFmtId="10" showAll="0"/>
    <pivotField showAll="0"/>
    <pivotField showAll="0"/>
    <pivotField showAll="0"/>
    <pivotField showAll="0"/>
    <pivotField axis="axisRow" dataField="1" showAll="0" sortType="descending">
      <items count="11">
        <item x="1"/>
        <item x="2"/>
        <item m="1" x="9"/>
        <item m="1" x="7"/>
        <item x="0"/>
        <item x="3"/>
        <item x="6"/>
        <item x="4"/>
        <item m="1" x="8"/>
        <item x="5"/>
        <item t="default"/>
      </items>
      <autoSortScope>
        <pivotArea dataOnly="0" outline="0" fieldPosition="0">
          <references count="1">
            <reference field="4294967294" count="1" selected="0">
              <x v="0"/>
            </reference>
          </references>
        </pivotArea>
      </autoSortScope>
    </pivotField>
  </pivotFields>
  <rowFields count="1">
    <field x="8"/>
  </rowFields>
  <rowItems count="8">
    <i>
      <x v="4"/>
    </i>
    <i>
      <x/>
    </i>
    <i>
      <x v="9"/>
    </i>
    <i>
      <x v="1"/>
    </i>
    <i>
      <x v="7"/>
    </i>
    <i>
      <x v="6"/>
    </i>
    <i>
      <x v="5"/>
    </i>
    <i t="grand">
      <x/>
    </i>
  </rowItems>
  <colItems count="1">
    <i/>
  </colItems>
  <dataFields count="1">
    <dataField name="Count of Comentário IT 2025-04-22"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
  <sheetViews>
    <sheetView tabSelected="1" zoomScale="70" zoomScaleNormal="70" workbookViewId="0"/>
  </sheetViews>
  <sheetFormatPr defaultColWidth="33.5703125" defaultRowHeight="16.5" x14ac:dyDescent="0.35"/>
  <cols>
    <col min="1" max="1" width="33.5703125" style="4"/>
    <col min="2" max="2" width="17.28515625" style="4" customWidth="1"/>
    <col min="3" max="3" width="40" style="4" customWidth="1"/>
    <col min="4" max="4" width="19.28515625" style="6" customWidth="1"/>
    <col min="5" max="5" width="21.140625" style="5" customWidth="1"/>
    <col min="6" max="8" width="33.5703125" style="4"/>
    <col min="9" max="9" width="65.7109375" style="28" customWidth="1"/>
    <col min="10" max="10" width="12.140625" style="24" customWidth="1"/>
    <col min="11" max="11" width="90" style="29" hidden="1" customWidth="1"/>
    <col min="12" max="12" width="70.140625" style="29" hidden="1" customWidth="1"/>
    <col min="13" max="13" width="92.42578125" style="29" hidden="1" customWidth="1"/>
    <col min="14" max="14" width="38" style="7" customWidth="1"/>
    <col min="15" max="16384" width="33.5703125" style="7"/>
  </cols>
  <sheetData>
    <row r="1" spans="1:14" ht="30.75" thickBot="1" x14ac:dyDescent="0.4">
      <c r="A1" s="1" t="s">
        <v>0</v>
      </c>
      <c r="B1" s="2" t="s">
        <v>1</v>
      </c>
      <c r="C1" s="2" t="s">
        <v>19</v>
      </c>
      <c r="D1" s="3" t="s">
        <v>15</v>
      </c>
      <c r="E1" s="3" t="s">
        <v>83</v>
      </c>
      <c r="F1" s="2" t="s">
        <v>16</v>
      </c>
      <c r="G1" s="2" t="s">
        <v>17</v>
      </c>
      <c r="H1" s="2" t="s">
        <v>162</v>
      </c>
      <c r="I1" s="25" t="s">
        <v>205</v>
      </c>
      <c r="M1" s="30" t="s">
        <v>178</v>
      </c>
      <c r="N1" s="7" t="s">
        <v>222</v>
      </c>
    </row>
    <row r="2" spans="1:14" ht="49.5" x14ac:dyDescent="0.35">
      <c r="A2" s="12" t="s">
        <v>2</v>
      </c>
      <c r="B2" s="13" t="s">
        <v>3</v>
      </c>
      <c r="C2" s="13" t="s">
        <v>14</v>
      </c>
      <c r="D2" s="14">
        <v>0.9993150928627339</v>
      </c>
      <c r="E2" s="15" t="s">
        <v>80</v>
      </c>
      <c r="F2" s="13"/>
      <c r="G2" s="13" t="s">
        <v>18</v>
      </c>
      <c r="H2" s="13"/>
      <c r="I2" s="26" t="s">
        <v>176</v>
      </c>
      <c r="K2" s="31" t="str">
        <f>CONCATENATE(A2,B2,C2)</f>
        <v>Exposures to legal personsInstrumentsDATE_STATUS_FORBEARANCE_RENEG</v>
      </c>
      <c r="L2" s="32" t="str">
        <f>VLOOKUP(K2,[1]Sheet1!L:M,2,FALSE)</f>
        <v>Campo já existente no Loan Tape, necessária análise</v>
      </c>
      <c r="M2" s="31" t="str">
        <f>VLOOKUP(K2,[1]Sheet1!L:N,3,FALSE)</f>
        <v>DT_FRBRNC_STTS</v>
      </c>
    </row>
    <row r="3" spans="1:14" ht="33" x14ac:dyDescent="0.35">
      <c r="A3" s="16" t="s">
        <v>2</v>
      </c>
      <c r="B3" s="17" t="s">
        <v>4</v>
      </c>
      <c r="C3" s="17" t="s">
        <v>20</v>
      </c>
      <c r="D3" s="18">
        <v>1</v>
      </c>
      <c r="E3" s="19" t="s">
        <v>81</v>
      </c>
      <c r="F3" s="17"/>
      <c r="G3" s="17"/>
      <c r="H3" s="17" t="s">
        <v>170</v>
      </c>
      <c r="I3" s="27" t="s">
        <v>172</v>
      </c>
      <c r="K3" s="31" t="str">
        <f t="shared" ref="K3:K66" si="0">CONCATENATE(A3,B3,C3)</f>
        <v>Exposures to legal personsCounterpartiesIFRS9_PROB_DEFAULT_IMPAIRMENT</v>
      </c>
      <c r="L3" s="32" t="str">
        <f>VLOOKUP(K3,[1]Sheet1!L:M,2,FALSE)</f>
        <v>Campo a revisitar no âmbito da nova iniciativa do Valuation</v>
      </c>
      <c r="M3" s="31">
        <f>VLOOKUP(K3,[1]Sheet1!L:N,3,FALSE)</f>
        <v>0</v>
      </c>
      <c r="N3" s="7" t="s">
        <v>180</v>
      </c>
    </row>
    <row r="4" spans="1:14" ht="49.5" x14ac:dyDescent="0.35">
      <c r="A4" s="16" t="s">
        <v>2</v>
      </c>
      <c r="B4" s="17" t="s">
        <v>4</v>
      </c>
      <c r="C4" s="17" t="s">
        <v>21</v>
      </c>
      <c r="D4" s="18">
        <v>1</v>
      </c>
      <c r="E4" s="19" t="s">
        <v>79</v>
      </c>
      <c r="F4" s="17"/>
      <c r="G4" s="17"/>
      <c r="H4" s="17" t="s">
        <v>169</v>
      </c>
      <c r="I4" s="27" t="s">
        <v>171</v>
      </c>
      <c r="K4" s="31" t="str">
        <f t="shared" si="0"/>
        <v>Exposures to legal personsCounterpartiesPROBABILITY_DEFAULT_OTHERS</v>
      </c>
      <c r="L4" s="32" t="str">
        <f>VLOOKUP(K4,[1]Sheet1!L:M,2,FALSE)</f>
        <v>Campo encontra-se de acordo com a especificação</v>
      </c>
      <c r="M4" s="31">
        <f>VLOOKUP(K4,[1]Sheet1!L:N,3,FALSE)</f>
        <v>0</v>
      </c>
    </row>
    <row r="5" spans="1:14" ht="49.5" x14ac:dyDescent="0.35">
      <c r="A5" s="16" t="s">
        <v>2</v>
      </c>
      <c r="B5" s="17" t="s">
        <v>5</v>
      </c>
      <c r="C5" s="17" t="s">
        <v>22</v>
      </c>
      <c r="D5" s="18">
        <v>1</v>
      </c>
      <c r="E5" s="19" t="s">
        <v>82</v>
      </c>
      <c r="F5" s="17"/>
      <c r="G5" s="17" t="s">
        <v>23</v>
      </c>
      <c r="H5" s="17" t="s">
        <v>163</v>
      </c>
      <c r="I5" s="27" t="s">
        <v>179</v>
      </c>
      <c r="K5" s="31" t="str">
        <f t="shared" si="0"/>
        <v>Exposures to legal personsProtectionsDET_TYPE_SHIP_COLLATERAL</v>
      </c>
      <c r="L5" s="32" t="str">
        <f>VLOOKUP(K5,[1]Sheet1!L:M,2,FALSE)</f>
        <v>Campo será alterado para reportar N/A em vez de MISS (Operativa inexistente)</v>
      </c>
      <c r="M5" s="31">
        <f>VLOOKUP(K5,[1]Sheet1!L:N,3,FALSE)</f>
        <v>0</v>
      </c>
    </row>
    <row r="6" spans="1:14" ht="198" x14ac:dyDescent="0.35">
      <c r="A6" s="16" t="s">
        <v>8</v>
      </c>
      <c r="B6" s="17" t="s">
        <v>3</v>
      </c>
      <c r="C6" s="17" t="s">
        <v>24</v>
      </c>
      <c r="D6" s="18">
        <v>0.99219498744749401</v>
      </c>
      <c r="E6" s="19" t="s">
        <v>82</v>
      </c>
      <c r="F6" s="17" t="s">
        <v>53</v>
      </c>
      <c r="G6" s="17" t="s">
        <v>57</v>
      </c>
      <c r="H6" s="17" t="s">
        <v>166</v>
      </c>
      <c r="I6" s="27" t="s">
        <v>173</v>
      </c>
      <c r="K6" s="31" t="str">
        <f t="shared" si="0"/>
        <v>Exposures to natural personsInstrumentsCRR_EXPOSURE_CLASS</v>
      </c>
      <c r="L6" s="32" t="str">
        <f>VLOOKUP(K6,[1]Sheet1!L:M,2,FALSE)</f>
        <v>Tema já identificado</v>
      </c>
      <c r="M6" s="31">
        <f>VLOOKUP(K6,[1]Sheet1!L:N,3,FALSE)</f>
        <v>0</v>
      </c>
    </row>
    <row r="7" spans="1:14" ht="66" x14ac:dyDescent="0.35">
      <c r="A7" s="16" t="s">
        <v>8</v>
      </c>
      <c r="B7" s="17" t="s">
        <v>3</v>
      </c>
      <c r="C7" s="17" t="s">
        <v>25</v>
      </c>
      <c r="D7" s="18">
        <v>3.2084736471675663E-5</v>
      </c>
      <c r="E7" s="19" t="s">
        <v>84</v>
      </c>
      <c r="F7" s="17" t="s">
        <v>54</v>
      </c>
      <c r="G7" s="17" t="s">
        <v>58</v>
      </c>
      <c r="H7" s="17" t="s">
        <v>165</v>
      </c>
      <c r="I7" s="27" t="s">
        <v>176</v>
      </c>
      <c r="K7" s="31" t="str">
        <f t="shared" si="0"/>
        <v>Exposures to natural personsInstrumentsFINREP_EXPOSURE_CLASS</v>
      </c>
      <c r="L7" s="32" t="str">
        <f>VLOOKUP(K7,[1]Sheet1!L:M,2,FALSE)</f>
        <v>Campo já existente no Loan Tape, necessária análise</v>
      </c>
      <c r="M7" s="31" t="str">
        <f>VLOOKUP(K7,[1]Sheet1!L:N,3,FALSE)</f>
        <v xml:space="preserve">
INTRNL_SGMNT</v>
      </c>
    </row>
    <row r="8" spans="1:14" ht="33" x14ac:dyDescent="0.35">
      <c r="A8" s="16" t="s">
        <v>8</v>
      </c>
      <c r="B8" s="17" t="s">
        <v>3</v>
      </c>
      <c r="C8" s="17" t="s">
        <v>13</v>
      </c>
      <c r="D8" s="18">
        <v>1.0000044473005998</v>
      </c>
      <c r="E8" s="19" t="s">
        <v>79</v>
      </c>
      <c r="F8" s="17" t="s">
        <v>55</v>
      </c>
      <c r="G8" s="17" t="s">
        <v>59</v>
      </c>
      <c r="H8" s="17"/>
      <c r="I8" s="27" t="s">
        <v>176</v>
      </c>
      <c r="K8" s="31" t="str">
        <f t="shared" si="0"/>
        <v>Exposures to natural personsInstrumentsCRR_LOSS_GIVEN_DEFAULT</v>
      </c>
      <c r="L8" s="32" t="str">
        <f>VLOOKUP(K8,[1]Sheet1!L:M,2,FALSE)</f>
        <v>Campo já existente no Loan Tape, necessária análise</v>
      </c>
      <c r="M8" s="31" t="str">
        <f>VLOOKUP(K8,[1]Sheet1!L:N,3,FALSE)</f>
        <v>LGD</v>
      </c>
    </row>
    <row r="9" spans="1:14" ht="198" x14ac:dyDescent="0.35">
      <c r="A9" s="16" t="s">
        <v>8</v>
      </c>
      <c r="B9" s="17" t="s">
        <v>3</v>
      </c>
      <c r="C9" s="17" t="s">
        <v>27</v>
      </c>
      <c r="D9" s="18">
        <v>1</v>
      </c>
      <c r="E9" s="19" t="s">
        <v>86</v>
      </c>
      <c r="F9" s="17" t="s">
        <v>55</v>
      </c>
      <c r="G9" s="17"/>
      <c r="H9" s="17" t="s">
        <v>166</v>
      </c>
      <c r="I9" s="27" t="s">
        <v>221</v>
      </c>
      <c r="K9" s="31" t="str">
        <f t="shared" si="0"/>
        <v>Exposures to natural personsInstrumentsTYPE_INSTRUMENT</v>
      </c>
      <c r="L9" s="32" t="str">
        <f>VLOOKUP(K9,[1]Sheet1!L:M,2,FALSE)</f>
        <v>Campo encontra-se preenchido, não existindo a % de incidência indicada</v>
      </c>
      <c r="M9" s="31" t="s">
        <v>206</v>
      </c>
    </row>
    <row r="10" spans="1:14" ht="33" x14ac:dyDescent="0.35">
      <c r="A10" s="16" t="s">
        <v>8</v>
      </c>
      <c r="B10" s="17" t="s">
        <v>3</v>
      </c>
      <c r="C10" s="17" t="s">
        <v>28</v>
      </c>
      <c r="D10" s="18">
        <v>0.5114573581700248</v>
      </c>
      <c r="E10" s="19" t="s">
        <v>86</v>
      </c>
      <c r="F10" s="17" t="s">
        <v>55</v>
      </c>
      <c r="G10" s="17"/>
      <c r="H10" s="17"/>
      <c r="I10" s="27" t="s">
        <v>176</v>
      </c>
      <c r="K10" s="31" t="str">
        <f t="shared" si="0"/>
        <v>Exposures to natural personsInstrumentsAMORTIZATION_TYPE</v>
      </c>
      <c r="L10" s="32" t="str">
        <f>VLOOKUP(K10,[1]Sheet1!L:M,2,FALSE)</f>
        <v>Campo já existente no Loan Tape, necessária análise</v>
      </c>
      <c r="M10" s="31" t="str">
        <f>VLOOKUP(K10,[1]Sheet1!L:N,3,FALSE)</f>
        <v>TYP_AMRTSTN</v>
      </c>
    </row>
    <row r="11" spans="1:14" ht="33" x14ac:dyDescent="0.35">
      <c r="A11" s="16" t="s">
        <v>8</v>
      </c>
      <c r="B11" s="17" t="s">
        <v>3</v>
      </c>
      <c r="C11" s="17" t="s">
        <v>29</v>
      </c>
      <c r="D11" s="18">
        <v>0.93545632639628562</v>
      </c>
      <c r="E11" s="19" t="s">
        <v>88</v>
      </c>
      <c r="F11" s="17" t="s">
        <v>55</v>
      </c>
      <c r="G11" s="17" t="s">
        <v>60</v>
      </c>
      <c r="H11" s="17"/>
      <c r="I11" s="27" t="s">
        <v>176</v>
      </c>
      <c r="K11" s="31" t="str">
        <f t="shared" si="0"/>
        <v>Exposures to natural personsInstrumentsEND_DATE_INTEREST_ONLY_PERIOD</v>
      </c>
      <c r="L11" s="32" t="str">
        <f>VLOOKUP(K11,[1]Sheet1!L:M,2,FALSE)</f>
        <v>Campo já existente no Loan Tape, necessária análise</v>
      </c>
      <c r="M11" s="31" t="str">
        <f>VLOOKUP(K11,[1]Sheet1!L:N,3,FALSE)</f>
        <v>DT_END_INTRST_ONLY</v>
      </c>
      <c r="N11" s="7" t="s">
        <v>180</v>
      </c>
    </row>
    <row r="12" spans="1:14" ht="33" x14ac:dyDescent="0.35">
      <c r="A12" s="16" t="s">
        <v>8</v>
      </c>
      <c r="B12" s="17" t="s">
        <v>3</v>
      </c>
      <c r="C12" s="17" t="s">
        <v>30</v>
      </c>
      <c r="D12" s="18">
        <v>1.0007226863474543</v>
      </c>
      <c r="E12" s="20" t="s">
        <v>89</v>
      </c>
      <c r="F12" s="17" t="s">
        <v>55</v>
      </c>
      <c r="G12" s="17"/>
      <c r="H12" s="17" t="s">
        <v>170</v>
      </c>
      <c r="I12" s="27" t="s">
        <v>172</v>
      </c>
      <c r="K12" s="31" t="str">
        <f t="shared" si="0"/>
        <v>Exposures to natural personsInstrumentsINTEREST_RATE_CAP</v>
      </c>
      <c r="L12" s="32" t="str">
        <f>VLOOKUP(K12,[1]Sheet1!L:M,2,FALSE)</f>
        <v>Campo a revisitar no âmbito da nova iniciativa do Valuation</v>
      </c>
      <c r="M12" s="31">
        <f>VLOOKUP(K12,[1]Sheet1!L:N,3,FALSE)</f>
        <v>0</v>
      </c>
    </row>
    <row r="13" spans="1:14" ht="33" x14ac:dyDescent="0.35">
      <c r="A13" s="16" t="s">
        <v>8</v>
      </c>
      <c r="B13" s="17" t="s">
        <v>3</v>
      </c>
      <c r="C13" s="17" t="s">
        <v>31</v>
      </c>
      <c r="D13" s="18">
        <v>1</v>
      </c>
      <c r="E13" s="20" t="s">
        <v>89</v>
      </c>
      <c r="F13" s="17" t="s">
        <v>55</v>
      </c>
      <c r="G13" s="17"/>
      <c r="H13" s="17" t="s">
        <v>170</v>
      </c>
      <c r="I13" s="27" t="s">
        <v>172</v>
      </c>
      <c r="K13" s="31" t="str">
        <f t="shared" si="0"/>
        <v>Exposures to natural personsInstrumentsINTEREST_RATE_FLOOR</v>
      </c>
      <c r="L13" s="32" t="str">
        <f>VLOOKUP(K13,[1]Sheet1!L:M,2,FALSE)</f>
        <v>Campo a revisitar no âmbito da nova iniciativa do Valuation</v>
      </c>
      <c r="M13" s="31">
        <f>VLOOKUP(K13,[1]Sheet1!L:N,3,FALSE)</f>
        <v>0</v>
      </c>
    </row>
    <row r="14" spans="1:14" x14ac:dyDescent="0.35">
      <c r="A14" s="16" t="s">
        <v>8</v>
      </c>
      <c r="B14" s="17" t="s">
        <v>3</v>
      </c>
      <c r="C14" s="17" t="s">
        <v>32</v>
      </c>
      <c r="D14" s="18">
        <v>0.75830477795739926</v>
      </c>
      <c r="E14" s="20" t="s">
        <v>90</v>
      </c>
      <c r="F14" s="17" t="s">
        <v>55</v>
      </c>
      <c r="G14" s="17"/>
      <c r="H14" s="17"/>
      <c r="I14" s="27" t="s">
        <v>176</v>
      </c>
      <c r="K14" s="31" t="str">
        <f t="shared" si="0"/>
        <v>Exposures to natural personsInstrumentsINTEREST_RATE_RESET_FREQ</v>
      </c>
      <c r="L14" s="32" t="str">
        <f>VLOOKUP(K14,[1]Sheet1!L:M,2,FALSE)</f>
        <v>Campo já existente no Loan Tape, necessária análise</v>
      </c>
      <c r="M14" s="31" t="str">
        <f>VLOOKUP(K14,[1]Sheet1!L:N,3,FALSE)</f>
        <v>INTRST_RT_RST_FRQNCY</v>
      </c>
    </row>
    <row r="15" spans="1:14" ht="33" x14ac:dyDescent="0.35">
      <c r="A15" s="16" t="s">
        <v>8</v>
      </c>
      <c r="B15" s="17" t="s">
        <v>3</v>
      </c>
      <c r="C15" s="17" t="s">
        <v>33</v>
      </c>
      <c r="D15" s="18">
        <v>1</v>
      </c>
      <c r="E15" s="20" t="s">
        <v>79</v>
      </c>
      <c r="F15" s="17" t="s">
        <v>55</v>
      </c>
      <c r="G15" s="17"/>
      <c r="H15" s="17" t="s">
        <v>166</v>
      </c>
      <c r="I15" s="27" t="s">
        <v>176</v>
      </c>
      <c r="K15" s="31" t="str">
        <f t="shared" si="0"/>
        <v>Exposures to natural personsInstrumentsINTEREST_RATE_SPREAD_MARGIN</v>
      </c>
      <c r="L15" s="32" t="str">
        <f>VLOOKUP(K15,[1]Sheet1!L:M,2,FALSE)</f>
        <v>Campo já existente no Loan Tape, necessária análise</v>
      </c>
      <c r="M15" s="31" t="str">
        <f>VLOOKUP(K15,[1]Sheet1!L:N,3,FALSE)</f>
        <v>SPRD</v>
      </c>
    </row>
    <row r="16" spans="1:14" ht="33" x14ac:dyDescent="0.35">
      <c r="A16" s="16" t="s">
        <v>8</v>
      </c>
      <c r="B16" s="17" t="s">
        <v>3</v>
      </c>
      <c r="C16" s="17" t="s">
        <v>34</v>
      </c>
      <c r="D16" s="18">
        <v>0.52369632942044997</v>
      </c>
      <c r="E16" s="20" t="s">
        <v>91</v>
      </c>
      <c r="F16" s="17" t="s">
        <v>55</v>
      </c>
      <c r="G16" s="17" t="s">
        <v>61</v>
      </c>
      <c r="H16" s="17"/>
      <c r="I16" s="27" t="s">
        <v>176</v>
      </c>
      <c r="K16" s="31" t="str">
        <f t="shared" si="0"/>
        <v>Exposures to natural personsInstrumentsCOMMITMENT_AMOUNT_INCEPTION</v>
      </c>
      <c r="L16" s="32" t="str">
        <f>VLOOKUP(K16,[1]Sheet1!L:M,2,FALSE)</f>
        <v>Campo já existente no Loan Tape, necessária análise</v>
      </c>
      <c r="M16" s="31" t="str">
        <f>VLOOKUP(K16,[1]Sheet1!L:N,3,FALSE)</f>
        <v>CMMTMNT_INCPTN_INSTRMNT</v>
      </c>
    </row>
    <row r="17" spans="1:13" x14ac:dyDescent="0.35">
      <c r="A17" s="16" t="s">
        <v>8</v>
      </c>
      <c r="B17" s="17" t="s">
        <v>3</v>
      </c>
      <c r="C17" s="17" t="s">
        <v>35</v>
      </c>
      <c r="D17" s="18">
        <v>6.9079920215427235E-2</v>
      </c>
      <c r="E17" s="20" t="s">
        <v>89</v>
      </c>
      <c r="F17" s="17" t="s">
        <v>55</v>
      </c>
      <c r="G17" s="17"/>
      <c r="H17" s="17"/>
      <c r="I17" s="27" t="s">
        <v>176</v>
      </c>
      <c r="K17" s="31" t="str">
        <f t="shared" si="0"/>
        <v>Exposures to natural personsInstrumentsINTEREST_RATE</v>
      </c>
      <c r="L17" s="32" t="str">
        <f>VLOOKUP(K17,[1]Sheet1!L:M,2,FALSE)</f>
        <v>Campo já existente no Loan Tape, necessária análise</v>
      </c>
      <c r="M17" s="31" t="str">
        <f>VLOOKUP(K17,[1]Sheet1!L:N,3,FALSE)</f>
        <v>ANNLSD_AGRD_RT</v>
      </c>
    </row>
    <row r="18" spans="1:13" ht="49.5" x14ac:dyDescent="0.35">
      <c r="A18" s="16" t="s">
        <v>8</v>
      </c>
      <c r="B18" s="17" t="s">
        <v>3</v>
      </c>
      <c r="C18" s="17" t="s">
        <v>36</v>
      </c>
      <c r="D18" s="18">
        <v>0.11427783621036622</v>
      </c>
      <c r="E18" s="19" t="s">
        <v>86</v>
      </c>
      <c r="F18" s="17" t="s">
        <v>55</v>
      </c>
      <c r="G18" s="17" t="s">
        <v>62</v>
      </c>
      <c r="H18" s="17"/>
      <c r="I18" s="27" t="s">
        <v>176</v>
      </c>
      <c r="K18" s="31" t="str">
        <f t="shared" si="0"/>
        <v>Exposures to natural personsInstrumentsDEFAULT_STATUS_INSTRUMENT</v>
      </c>
      <c r="L18" s="32" t="str">
        <f>VLOOKUP(K18,[1]Sheet1!L:M,2,FALSE)</f>
        <v>Campo já existente no Loan Tape, necessária análise</v>
      </c>
      <c r="M18" s="31" t="str">
        <f>VLOOKUP(K18,[1]Sheet1!L:N,3,FALSE)</f>
        <v>DFLT_STTS_INSTRMNT</v>
      </c>
    </row>
    <row r="19" spans="1:13" ht="82.5" x14ac:dyDescent="0.35">
      <c r="A19" s="16" t="s">
        <v>8</v>
      </c>
      <c r="B19" s="17" t="s">
        <v>3</v>
      </c>
      <c r="C19" s="17" t="s">
        <v>37</v>
      </c>
      <c r="D19" s="18">
        <v>0.50624067456655497</v>
      </c>
      <c r="E19" s="21">
        <v>2958465</v>
      </c>
      <c r="F19" s="17" t="s">
        <v>55</v>
      </c>
      <c r="G19" s="17" t="s">
        <v>63</v>
      </c>
      <c r="H19" s="17" t="s">
        <v>166</v>
      </c>
      <c r="I19" s="27" t="s">
        <v>176</v>
      </c>
      <c r="K19" s="31" t="str">
        <f t="shared" si="0"/>
        <v>Exposures to natural personsInstrumentsDATE_DEFAULT_STATUS_INSTRUMENT</v>
      </c>
      <c r="L19" s="32" t="str">
        <f>VLOOKUP(K19,[1]Sheet1!L:M,2,FALSE)</f>
        <v>Campo já existente no Loan Tape, necessária análise</v>
      </c>
      <c r="M19" s="31" t="str">
        <f>VLOOKUP(K19,[1]Sheet1!L:N,3,FALSE)</f>
        <v>DT_DFLT_STTS_INSTRMNT</v>
      </c>
    </row>
    <row r="20" spans="1:13" ht="33" x14ac:dyDescent="0.35">
      <c r="A20" s="16" t="s">
        <v>8</v>
      </c>
      <c r="B20" s="17" t="s">
        <v>3</v>
      </c>
      <c r="C20" s="17" t="s">
        <v>38</v>
      </c>
      <c r="D20" s="18">
        <v>1.0000088946011993</v>
      </c>
      <c r="E20" s="20" t="s">
        <v>79</v>
      </c>
      <c r="F20" s="17" t="s">
        <v>55</v>
      </c>
      <c r="G20" s="17"/>
      <c r="H20" s="17" t="s">
        <v>166</v>
      </c>
      <c r="I20" s="27" t="s">
        <v>171</v>
      </c>
      <c r="K20" s="31" t="str">
        <f t="shared" si="0"/>
        <v>Exposures to natural personsInstrumentsTRANSFERRED_AMOUNT</v>
      </c>
      <c r="L20" s="32" t="str">
        <f>VLOOKUP(K20,[1]Sheet1!L:M,2,FALSE)</f>
        <v>Campo encontra-se de acordo com a especificação</v>
      </c>
      <c r="M20" s="31">
        <f>VLOOKUP(K20,[1]Sheet1!L:N,3,FALSE)</f>
        <v>0</v>
      </c>
    </row>
    <row r="21" spans="1:13" ht="33" x14ac:dyDescent="0.35">
      <c r="A21" s="16" t="s">
        <v>8</v>
      </c>
      <c r="B21" s="17" t="s">
        <v>3</v>
      </c>
      <c r="C21" s="17" t="s">
        <v>39</v>
      </c>
      <c r="D21" s="18">
        <v>0.91672651992057119</v>
      </c>
      <c r="E21" s="20" t="s">
        <v>91</v>
      </c>
      <c r="F21" s="17" t="s">
        <v>55</v>
      </c>
      <c r="G21" s="17" t="s">
        <v>64</v>
      </c>
      <c r="H21" s="17" t="s">
        <v>168</v>
      </c>
      <c r="I21" s="27" t="s">
        <v>176</v>
      </c>
      <c r="K21" s="31" t="str">
        <f t="shared" si="0"/>
        <v>Exposures to natural personsInstrumentsARREARS_INSTRUMENT</v>
      </c>
      <c r="L21" s="32" t="str">
        <f>VLOOKUP(K21,[1]Sheet1!L:M,2,FALSE)</f>
        <v>Campo já existente no Loan Tape, necessária análise</v>
      </c>
      <c r="M21" s="31" t="str">
        <f>VLOOKUP(K21,[1]Sheet1!L:N,3,FALSE)</f>
        <v>ARRRS_INSTRMNT</v>
      </c>
    </row>
    <row r="22" spans="1:13" ht="66" x14ac:dyDescent="0.35">
      <c r="A22" s="16" t="s">
        <v>8</v>
      </c>
      <c r="B22" s="17" t="s">
        <v>3</v>
      </c>
      <c r="C22" s="17" t="s">
        <v>40</v>
      </c>
      <c r="D22" s="18">
        <v>0.91673096722117098</v>
      </c>
      <c r="E22" s="22" t="s">
        <v>87</v>
      </c>
      <c r="F22" s="17" t="s">
        <v>55</v>
      </c>
      <c r="G22" s="17" t="s">
        <v>65</v>
      </c>
      <c r="H22" s="17"/>
      <c r="I22" s="27" t="s">
        <v>176</v>
      </c>
      <c r="K22" s="31" t="str">
        <f t="shared" si="0"/>
        <v>Exposures to natural personsInstrumentsDATE_PAST_DUE_INSTRUMENT</v>
      </c>
      <c r="L22" s="32" t="str">
        <f>VLOOKUP(K22,[1]Sheet1!L:M,2,FALSE)</f>
        <v>Campo já existente no Loan Tape, necessária análise</v>
      </c>
      <c r="M22" s="31" t="str">
        <f>VLOOKUP(K22,[1]Sheet1!L:N,3,FALSE)</f>
        <v>DT_PST_D</v>
      </c>
    </row>
    <row r="23" spans="1:13" ht="33" x14ac:dyDescent="0.35">
      <c r="A23" s="16" t="s">
        <v>8</v>
      </c>
      <c r="B23" s="17" t="s">
        <v>3</v>
      </c>
      <c r="C23" s="17" t="s">
        <v>41</v>
      </c>
      <c r="D23" s="18">
        <v>0.8810436035587299</v>
      </c>
      <c r="E23" s="17" t="s">
        <v>82</v>
      </c>
      <c r="F23" s="17" t="s">
        <v>55</v>
      </c>
      <c r="G23" s="17"/>
      <c r="H23" s="17" t="s">
        <v>166</v>
      </c>
      <c r="I23" s="27" t="s">
        <v>172</v>
      </c>
      <c r="K23" s="31" t="str">
        <f t="shared" si="0"/>
        <v>Exposures to natural personsInstrumentsTYPE_SECURITIZATION</v>
      </c>
      <c r="L23" s="32" t="str">
        <f>VLOOKUP(K23,[1]Sheet1!L:M,2,FALSE)</f>
        <v>Campo a revisitar no âmbito da nova iniciativa do Valuation</v>
      </c>
      <c r="M23" s="31">
        <f>VLOOKUP(K23,[1]Sheet1!L:N,3,FALSE)</f>
        <v>0</v>
      </c>
    </row>
    <row r="24" spans="1:13" ht="33" x14ac:dyDescent="0.35">
      <c r="A24" s="16" t="s">
        <v>8</v>
      </c>
      <c r="B24" s="17" t="s">
        <v>3</v>
      </c>
      <c r="C24" s="17" t="s">
        <v>42</v>
      </c>
      <c r="D24" s="18">
        <v>0.51796820624801265</v>
      </c>
      <c r="E24" s="20" t="s">
        <v>91</v>
      </c>
      <c r="F24" s="17" t="s">
        <v>55</v>
      </c>
      <c r="G24" s="17" t="s">
        <v>64</v>
      </c>
      <c r="H24" s="17" t="s">
        <v>168</v>
      </c>
      <c r="I24" s="27" t="s">
        <v>176</v>
      </c>
      <c r="K24" s="31" t="str">
        <f t="shared" si="0"/>
        <v>Exposures to natural personsInstrumentsOUTSTANDING_NOMINAL_AMOUNT</v>
      </c>
      <c r="L24" s="32" t="str">
        <f>VLOOKUP(K24,[1]Sheet1!L:M,2,FALSE)</f>
        <v>Campo já existente no Loan Tape, necessária análise</v>
      </c>
      <c r="M24" s="31" t="str">
        <f>VLOOKUP(K24,[1]Sheet1!L:N,3,FALSE)</f>
        <v>OTSTNDNG_NMNL_AMNT_INSTRMNT</v>
      </c>
    </row>
    <row r="25" spans="1:13" ht="33" x14ac:dyDescent="0.35">
      <c r="A25" s="16" t="s">
        <v>8</v>
      </c>
      <c r="B25" s="17" t="s">
        <v>3</v>
      </c>
      <c r="C25" s="17" t="s">
        <v>43</v>
      </c>
      <c r="D25" s="18">
        <v>0.51797265354861233</v>
      </c>
      <c r="E25" s="20" t="s">
        <v>91</v>
      </c>
      <c r="F25" s="17" t="s">
        <v>55</v>
      </c>
      <c r="G25" s="17" t="s">
        <v>64</v>
      </c>
      <c r="H25" s="17" t="s">
        <v>168</v>
      </c>
      <c r="I25" s="27" t="s">
        <v>176</v>
      </c>
      <c r="K25" s="31" t="str">
        <f t="shared" si="0"/>
        <v>Exposures to natural personsInstrumentsACCRUED_INTEREST</v>
      </c>
      <c r="L25" s="32" t="str">
        <f>VLOOKUP(K25,[1]Sheet1!L:M,2,FALSE)</f>
        <v>Campo já existente no Loan Tape, necessária análise</v>
      </c>
      <c r="M25" s="31" t="str">
        <f>VLOOKUP(K25,[1]Sheet1!L:N,3,FALSE)</f>
        <v>ACCRD_INTRST_INSTRMNT</v>
      </c>
    </row>
    <row r="26" spans="1:13" ht="33" x14ac:dyDescent="0.35">
      <c r="A26" s="16" t="s">
        <v>8</v>
      </c>
      <c r="B26" s="17" t="s">
        <v>3</v>
      </c>
      <c r="C26" s="17" t="s">
        <v>44</v>
      </c>
      <c r="D26" s="18">
        <v>1.0000355784047978</v>
      </c>
      <c r="E26" s="20" t="s">
        <v>91</v>
      </c>
      <c r="F26" s="17" t="s">
        <v>55</v>
      </c>
      <c r="G26" s="17" t="s">
        <v>64</v>
      </c>
      <c r="H26" s="17" t="s">
        <v>168</v>
      </c>
      <c r="I26" s="27" t="s">
        <v>176</v>
      </c>
      <c r="K26" s="31" t="str">
        <f t="shared" si="0"/>
        <v>Exposures to natural personsInstrumentsOFF_BALANCE_SHEET_AMOUNT</v>
      </c>
      <c r="L26" s="32" t="str">
        <f>VLOOKUP(K26,[1]Sheet1!L:M,2,FALSE)</f>
        <v>Campo já existente no Loan Tape, necessária análise</v>
      </c>
      <c r="M26" s="31" t="str">
        <f>VLOOKUP(K26,[1]Sheet1!L:N,3,FALSE)</f>
        <v>OFF_BLNC_SHT_AMNT_INSTRMNT</v>
      </c>
    </row>
    <row r="27" spans="1:13" ht="33" x14ac:dyDescent="0.35">
      <c r="A27" s="16" t="s">
        <v>8</v>
      </c>
      <c r="B27" s="17" t="s">
        <v>3</v>
      </c>
      <c r="C27" s="17" t="s">
        <v>45</v>
      </c>
      <c r="D27" s="18">
        <v>1.0000177892023989</v>
      </c>
      <c r="E27" s="17" t="s">
        <v>91</v>
      </c>
      <c r="F27" s="17" t="s">
        <v>55</v>
      </c>
      <c r="G27" s="17" t="s">
        <v>64</v>
      </c>
      <c r="H27" s="17" t="s">
        <v>168</v>
      </c>
      <c r="I27" s="27" t="s">
        <v>176</v>
      </c>
      <c r="K27" s="31" t="str">
        <f t="shared" si="0"/>
        <v>Exposures to natural personsInstrumentsACCUM_WRITE_OFFS</v>
      </c>
      <c r="L27" s="32" t="str">
        <f>VLOOKUP(K27,[1]Sheet1!L:M,2,FALSE)</f>
        <v>Campo já existente no Loan Tape, necessária análise</v>
      </c>
      <c r="M27" s="31" t="str">
        <f>VLOOKUP(K27,[1]Sheet1!L:N,3,FALSE)</f>
        <v>ACCMLTD_WRTFFS_INSTRMNT</v>
      </c>
    </row>
    <row r="28" spans="1:13" ht="132" x14ac:dyDescent="0.35">
      <c r="A28" s="16" t="s">
        <v>8</v>
      </c>
      <c r="B28" s="17" t="s">
        <v>3</v>
      </c>
      <c r="C28" s="17" t="s">
        <v>46</v>
      </c>
      <c r="D28" s="18">
        <v>1.0000578149077963</v>
      </c>
      <c r="E28" s="17" t="s">
        <v>91</v>
      </c>
      <c r="F28" s="17" t="s">
        <v>55</v>
      </c>
      <c r="G28" s="17" t="s">
        <v>64</v>
      </c>
      <c r="H28" s="17" t="s">
        <v>168</v>
      </c>
      <c r="I28" s="27" t="s">
        <v>221</v>
      </c>
      <c r="K28" s="31" t="str">
        <f t="shared" si="0"/>
        <v>Exposures to natural personsInstrumentsACCUM_IMPAIRMENT_AMOUNT</v>
      </c>
      <c r="L28" s="32" t="str">
        <f>VLOOKUP(K28,[1]Sheet1!L:M,2,FALSE)</f>
        <v>Campo encontra-se preenchido, não existindo a % de incidência indicada</v>
      </c>
      <c r="M28" s="31" t="s">
        <v>207</v>
      </c>
    </row>
    <row r="29" spans="1:13" ht="33" x14ac:dyDescent="0.35">
      <c r="A29" s="16" t="s">
        <v>8</v>
      </c>
      <c r="B29" s="17" t="s">
        <v>3</v>
      </c>
      <c r="C29" s="17" t="s">
        <v>47</v>
      </c>
      <c r="D29" s="18">
        <v>1.0000711568095955</v>
      </c>
      <c r="E29" s="20" t="s">
        <v>92</v>
      </c>
      <c r="F29" s="17" t="s">
        <v>55</v>
      </c>
      <c r="G29" s="17"/>
      <c r="H29" s="17" t="s">
        <v>170</v>
      </c>
      <c r="I29" s="27" t="s">
        <v>172</v>
      </c>
      <c r="K29" s="31" t="str">
        <f t="shared" si="0"/>
        <v>Exposures to natural personsInstrumentsSOURCES_ENCUMBRANCE</v>
      </c>
      <c r="L29" s="32" t="str">
        <f>VLOOKUP(K29,[1]Sheet1!L:M,2,FALSE)</f>
        <v>Campo a revisitar no âmbito da nova iniciativa do Valuation</v>
      </c>
      <c r="M29" s="31">
        <f>VLOOKUP(K29,[1]Sheet1!L:N,3,FALSE)</f>
        <v>0</v>
      </c>
    </row>
    <row r="30" spans="1:13" ht="33" x14ac:dyDescent="0.35">
      <c r="A30" s="16" t="s">
        <v>8</v>
      </c>
      <c r="B30" s="17" t="s">
        <v>3</v>
      </c>
      <c r="C30" s="17" t="s">
        <v>48</v>
      </c>
      <c r="D30" s="18">
        <v>1.0000844987113946</v>
      </c>
      <c r="E30" s="17" t="s">
        <v>91</v>
      </c>
      <c r="F30" s="17" t="s">
        <v>55</v>
      </c>
      <c r="G30" s="17" t="s">
        <v>64</v>
      </c>
      <c r="H30" s="17" t="s">
        <v>168</v>
      </c>
      <c r="I30" s="27" t="s">
        <v>176</v>
      </c>
      <c r="K30" s="31" t="str">
        <f t="shared" si="0"/>
        <v>Exposures to natural personsInstrumentsPROVIS_ASSOC_OFFBALANCE</v>
      </c>
      <c r="L30" s="32" t="str">
        <f>VLOOKUP(K30,[1]Sheet1!L:M,2,FALSE)</f>
        <v>Campo já existente no Loan Tape, necessária análise</v>
      </c>
      <c r="M30" s="31" t="str">
        <f>VLOOKUP(K30,[1]Sheet1!L:N,3,FALSE)</f>
        <v>PRVSNS_OFF_BLNC_SHT</v>
      </c>
    </row>
    <row r="31" spans="1:13" ht="33" x14ac:dyDescent="0.35">
      <c r="A31" s="16" t="s">
        <v>8</v>
      </c>
      <c r="B31" s="17" t="s">
        <v>3</v>
      </c>
      <c r="C31" s="17" t="s">
        <v>14</v>
      </c>
      <c r="D31" s="18">
        <v>0.98607105452168176</v>
      </c>
      <c r="E31" s="17" t="s">
        <v>80</v>
      </c>
      <c r="F31" s="17" t="s">
        <v>55</v>
      </c>
      <c r="G31" s="17" t="s">
        <v>64</v>
      </c>
      <c r="H31" s="17" t="s">
        <v>168</v>
      </c>
      <c r="I31" s="27" t="s">
        <v>176</v>
      </c>
      <c r="K31" s="31" t="str">
        <f t="shared" si="0"/>
        <v>Exposures to natural personsInstrumentsDATE_STATUS_FORBEARANCE_RENEG</v>
      </c>
      <c r="L31" s="32" t="str">
        <f>VLOOKUP(K31,[1]Sheet1!L:M,2,FALSE)</f>
        <v>Campo já existente no Loan Tape, necessária análise</v>
      </c>
      <c r="M31" s="31" t="str">
        <f>VLOOKUP(K31,[1]Sheet1!L:N,3,FALSE)</f>
        <v>DT_FRBRNC_STTS</v>
      </c>
    </row>
    <row r="32" spans="1:13" ht="33" x14ac:dyDescent="0.35">
      <c r="A32" s="16" t="s">
        <v>8</v>
      </c>
      <c r="B32" s="17" t="s">
        <v>3</v>
      </c>
      <c r="C32" s="17" t="s">
        <v>49</v>
      </c>
      <c r="D32" s="18">
        <v>0.8346249035491683</v>
      </c>
      <c r="E32" s="20" t="s">
        <v>79</v>
      </c>
      <c r="F32" s="17" t="s">
        <v>55</v>
      </c>
      <c r="G32" s="17" t="s">
        <v>64</v>
      </c>
      <c r="H32" s="17" t="s">
        <v>168</v>
      </c>
      <c r="I32" s="27" t="s">
        <v>176</v>
      </c>
      <c r="K32" s="31" t="str">
        <f t="shared" si="0"/>
        <v>Exposures to natural personsInstrumentsCUMULATIVE_RECOV_SINCE_DEFAULT</v>
      </c>
      <c r="L32" s="32" t="str">
        <f>VLOOKUP(K32,[1]Sheet1!L:M,2,FALSE)</f>
        <v>Campo já existente no Loan Tape, necessária análise</v>
      </c>
      <c r="M32" s="31" t="str">
        <f>VLOOKUP(K32,[1]Sheet1!L:N,3,FALSE)</f>
        <v>CMLTV_RCVRS_SNC_DFLT_INSTRMNT</v>
      </c>
    </row>
    <row r="33" spans="1:14" ht="165" x14ac:dyDescent="0.35">
      <c r="A33" s="16" t="s">
        <v>8</v>
      </c>
      <c r="B33" s="17" t="s">
        <v>3</v>
      </c>
      <c r="C33" s="17" t="s">
        <v>50</v>
      </c>
      <c r="D33" s="18">
        <v>1.0001022879137935</v>
      </c>
      <c r="E33" s="17" t="s">
        <v>91</v>
      </c>
      <c r="F33" s="17" t="s">
        <v>55</v>
      </c>
      <c r="G33" s="17"/>
      <c r="H33" s="17" t="s">
        <v>166</v>
      </c>
      <c r="I33" s="27" t="s">
        <v>221</v>
      </c>
      <c r="K33" s="31" t="str">
        <f t="shared" si="0"/>
        <v>Exposures to natural personsInstrumentsCARRYING_AMOUNT</v>
      </c>
      <c r="L33" s="32" t="str">
        <f>VLOOKUP(K33,[1]Sheet1!L:M,2,FALSE)</f>
        <v>Campo encontra-se preenchido, não existindo a % de incidência indicada</v>
      </c>
      <c r="M33" s="31" t="s">
        <v>208</v>
      </c>
    </row>
    <row r="34" spans="1:14" ht="181.5" x14ac:dyDescent="0.35">
      <c r="A34" s="16" t="s">
        <v>8</v>
      </c>
      <c r="B34" s="17" t="s">
        <v>3</v>
      </c>
      <c r="C34" s="17" t="s">
        <v>51</v>
      </c>
      <c r="D34" s="18">
        <v>1.0001067352143933</v>
      </c>
      <c r="E34" s="20" t="s">
        <v>92</v>
      </c>
      <c r="F34" s="17" t="s">
        <v>56</v>
      </c>
      <c r="G34" s="17" t="s">
        <v>66</v>
      </c>
      <c r="H34" s="17" t="s">
        <v>167</v>
      </c>
      <c r="I34" s="27" t="s">
        <v>173</v>
      </c>
      <c r="K34" s="31" t="str">
        <f t="shared" si="0"/>
        <v>Exposures to natural personsInstrumentsPRUDENTIAL_PORTFOLIO</v>
      </c>
      <c r="L34" s="32" t="str">
        <f>VLOOKUP(K34,[1]Sheet1!L:M,2,FALSE)</f>
        <v>Tema já identificado</v>
      </c>
      <c r="M34" s="31">
        <f>VLOOKUP(K34,[1]Sheet1!L:N,3,FALSE)</f>
        <v>0</v>
      </c>
    </row>
    <row r="35" spans="1:14" ht="33" x14ac:dyDescent="0.35">
      <c r="A35" s="16" t="s">
        <v>8</v>
      </c>
      <c r="B35" s="17" t="s">
        <v>3</v>
      </c>
      <c r="C35" s="17" t="s">
        <v>52</v>
      </c>
      <c r="D35" s="18">
        <v>1.0001111825149929</v>
      </c>
      <c r="E35" s="20" t="s">
        <v>85</v>
      </c>
      <c r="F35" s="17" t="s">
        <v>55</v>
      </c>
      <c r="G35" s="17"/>
      <c r="H35" s="17" t="s">
        <v>166</v>
      </c>
      <c r="I35" s="27" t="s">
        <v>176</v>
      </c>
      <c r="K35" s="31" t="str">
        <f t="shared" si="0"/>
        <v>Exposures to natural personsInstrumentsACCUM_CHANGES_FV_DUE_CR</v>
      </c>
      <c r="L35" s="32" t="str">
        <f>VLOOKUP(K35,[1]Sheet1!L:M,2,FALSE)</f>
        <v>Campo já existente no Loan Tape, necessária análise</v>
      </c>
      <c r="M35" s="31" t="str">
        <f>VLOOKUP(K35,[1]Sheet1!L:N,3,FALSE)</f>
        <v>ACCMLTD_CHNGS_FV_CR_INSTRMNT</v>
      </c>
    </row>
    <row r="36" spans="1:14" ht="33" x14ac:dyDescent="0.35">
      <c r="A36" s="16" t="s">
        <v>8</v>
      </c>
      <c r="B36" s="17" t="s">
        <v>4</v>
      </c>
      <c r="C36" s="17" t="s">
        <v>67</v>
      </c>
      <c r="D36" s="18">
        <v>0.99903451657721964</v>
      </c>
      <c r="E36" s="20" t="s">
        <v>79</v>
      </c>
      <c r="F36" s="17" t="s">
        <v>55</v>
      </c>
      <c r="G36" s="17" t="s">
        <v>71</v>
      </c>
      <c r="H36" s="17"/>
      <c r="I36" s="27" t="s">
        <v>176</v>
      </c>
      <c r="K36" s="31" t="str">
        <f t="shared" si="0"/>
        <v>Exposures to natural personsCounterpartiesPROBABILITY_DEFAULT</v>
      </c>
      <c r="L36" s="32" t="str">
        <f>VLOOKUP(K36,[1]Sheet1!L:M,2,FALSE)</f>
        <v>Campo já existente no Loan Tape, necessária análise</v>
      </c>
      <c r="M36" s="31" t="str">
        <f>VLOOKUP(K36,[1]Sheet1!L:N,3,FALSE)</f>
        <v>PD_CRR_RD</v>
      </c>
    </row>
    <row r="37" spans="1:14" ht="33" x14ac:dyDescent="0.35">
      <c r="A37" s="16" t="s">
        <v>8</v>
      </c>
      <c r="B37" s="17" t="s">
        <v>4</v>
      </c>
      <c r="C37" s="17" t="s">
        <v>20</v>
      </c>
      <c r="D37" s="18">
        <v>1</v>
      </c>
      <c r="E37" s="20" t="s">
        <v>89</v>
      </c>
      <c r="F37" s="17" t="s">
        <v>55</v>
      </c>
      <c r="G37" s="17"/>
      <c r="H37" s="17" t="s">
        <v>170</v>
      </c>
      <c r="I37" s="27" t="s">
        <v>172</v>
      </c>
      <c r="K37" s="31" t="str">
        <f t="shared" si="0"/>
        <v>Exposures to natural personsCounterpartiesIFRS9_PROB_DEFAULT_IMPAIRMENT</v>
      </c>
      <c r="L37" s="32" t="str">
        <f>VLOOKUP(K37,[1]Sheet1!L:M,2,FALSE)</f>
        <v>Campo a revisitar no âmbito da nova iniciativa do Valuation</v>
      </c>
      <c r="M37" s="31">
        <f>VLOOKUP(K37,[1]Sheet1!L:N,3,FALSE)</f>
        <v>0</v>
      </c>
    </row>
    <row r="38" spans="1:14" x14ac:dyDescent="0.35">
      <c r="A38" s="16" t="s">
        <v>8</v>
      </c>
      <c r="B38" s="17" t="s">
        <v>4</v>
      </c>
      <c r="C38" s="17" t="s">
        <v>21</v>
      </c>
      <c r="D38" s="18">
        <v>1</v>
      </c>
      <c r="E38" s="17" t="s">
        <v>79</v>
      </c>
      <c r="F38" s="17" t="s">
        <v>54</v>
      </c>
      <c r="G38" s="17" t="s">
        <v>72</v>
      </c>
      <c r="H38" s="17" t="s">
        <v>168</v>
      </c>
      <c r="I38" s="27" t="s">
        <v>171</v>
      </c>
      <c r="K38" s="31" t="str">
        <f t="shared" si="0"/>
        <v>Exposures to natural personsCounterpartiesPROBABILITY_DEFAULT_OTHERS</v>
      </c>
      <c r="L38" s="32" t="str">
        <f>VLOOKUP(K38,[1]Sheet1!L:M,2,FALSE)</f>
        <v>Campo encontra-se de acordo com a especificação</v>
      </c>
      <c r="M38" s="31">
        <f>VLOOKUP(K38,[1]Sheet1!L:N,3,FALSE)</f>
        <v>0</v>
      </c>
    </row>
    <row r="39" spans="1:14" x14ac:dyDescent="0.35">
      <c r="A39" s="16" t="s">
        <v>8</v>
      </c>
      <c r="B39" s="17" t="s">
        <v>4</v>
      </c>
      <c r="C39" s="17" t="s">
        <v>68</v>
      </c>
      <c r="D39" s="18">
        <v>1</v>
      </c>
      <c r="E39" s="17" t="s">
        <v>84</v>
      </c>
      <c r="F39" s="17" t="s">
        <v>55</v>
      </c>
      <c r="G39" s="17" t="s">
        <v>72</v>
      </c>
      <c r="H39" s="17" t="s">
        <v>168</v>
      </c>
      <c r="I39" s="27" t="s">
        <v>171</v>
      </c>
      <c r="K39" s="31" t="str">
        <f t="shared" si="0"/>
        <v>Exposures to natural personsCounterpartiesCOUNTERPARTY_ROLE</v>
      </c>
      <c r="L39" s="32" t="str">
        <f>VLOOKUP(K39,[1]Sheet1!L:M,2,FALSE)</f>
        <v>Campo encontra-se de acordo com a especificação</v>
      </c>
      <c r="M39" s="31">
        <f>VLOOKUP(K39,[1]Sheet1!L:N,3,FALSE)</f>
        <v>0</v>
      </c>
      <c r="N39" s="7" t="s">
        <v>180</v>
      </c>
    </row>
    <row r="40" spans="1:14" ht="33" x14ac:dyDescent="0.35">
      <c r="A40" s="16" t="s">
        <v>8</v>
      </c>
      <c r="B40" s="17" t="s">
        <v>4</v>
      </c>
      <c r="C40" s="17" t="s">
        <v>69</v>
      </c>
      <c r="D40" s="18">
        <v>0.24956438826381888</v>
      </c>
      <c r="E40" s="20" t="s">
        <v>93</v>
      </c>
      <c r="F40" s="17" t="s">
        <v>55</v>
      </c>
      <c r="G40" s="17" t="s">
        <v>73</v>
      </c>
      <c r="H40" s="17"/>
      <c r="I40" s="27" t="s">
        <v>176</v>
      </c>
      <c r="K40" s="31" t="str">
        <f t="shared" si="0"/>
        <v>Exposures to natural personsCounterpartiesDEFAULT_STATUS_COUNTERPARTY</v>
      </c>
      <c r="L40" s="32" t="str">
        <f>VLOOKUP(K40,[1]Sheet1!L:M,2,FALSE)</f>
        <v>Campo já existente no Loan Tape, necessária análise</v>
      </c>
      <c r="M40" s="31" t="str">
        <f>VLOOKUP(K40,[1]Sheet1!L:N,3,FALSE)</f>
        <v>DFLT_STTS</v>
      </c>
    </row>
    <row r="41" spans="1:14" ht="33" x14ac:dyDescent="0.35">
      <c r="A41" s="16" t="s">
        <v>8</v>
      </c>
      <c r="B41" s="17" t="s">
        <v>4</v>
      </c>
      <c r="C41" s="17" t="s">
        <v>70</v>
      </c>
      <c r="D41" s="18">
        <v>0.54901680878306591</v>
      </c>
      <c r="E41" s="22" t="s">
        <v>94</v>
      </c>
      <c r="F41" s="17" t="s">
        <v>55</v>
      </c>
      <c r="G41" s="17" t="s">
        <v>73</v>
      </c>
      <c r="H41" s="17"/>
      <c r="I41" s="27" t="s">
        <v>176</v>
      </c>
      <c r="K41" s="31" t="str">
        <f t="shared" si="0"/>
        <v>Exposures to natural personsCounterpartiesDATE_DEFAULT_STATUS_COUNTERPARTY</v>
      </c>
      <c r="L41" s="32" t="str">
        <f>VLOOKUP(K41,[1]Sheet1!L:M,2,FALSE)</f>
        <v>Campo já existente no Loan Tape, necessária análise</v>
      </c>
      <c r="M41" s="31" t="str">
        <f>VLOOKUP(K41,[1]Sheet1!L:N,3,FALSE)</f>
        <v>DT_DFLT_STTS</v>
      </c>
    </row>
    <row r="42" spans="1:14" ht="49.5" x14ac:dyDescent="0.35">
      <c r="A42" s="16" t="s">
        <v>8</v>
      </c>
      <c r="B42" s="17" t="s">
        <v>5</v>
      </c>
      <c r="C42" s="17" t="s">
        <v>74</v>
      </c>
      <c r="D42" s="18">
        <v>0.27450927260706043</v>
      </c>
      <c r="E42" s="22" t="s">
        <v>87</v>
      </c>
      <c r="F42" s="17" t="s">
        <v>55</v>
      </c>
      <c r="G42" s="17" t="s">
        <v>181</v>
      </c>
      <c r="H42" s="17" t="s">
        <v>168</v>
      </c>
      <c r="I42" s="27" t="s">
        <v>176</v>
      </c>
      <c r="K42" s="31" t="str">
        <f t="shared" si="0"/>
        <v>Exposures to natural personsProtectionsDATE_PROTECTION_VALUE</v>
      </c>
      <c r="L42" s="32" t="str">
        <f>VLOOKUP(K42,[1]Sheet1!L:M,2,FALSE)</f>
        <v>Campo já existente no Loan Tape, necessária análise</v>
      </c>
      <c r="M42" s="31" t="str">
        <f>VLOOKUP(K42,[1]Sheet1!L:N,3,FALSE)</f>
        <v>DT_PRTCTN_VL</v>
      </c>
    </row>
    <row r="43" spans="1:14" ht="49.5" x14ac:dyDescent="0.35">
      <c r="A43" s="16" t="s">
        <v>8</v>
      </c>
      <c r="B43" s="17" t="s">
        <v>5</v>
      </c>
      <c r="C43" s="17" t="s">
        <v>75</v>
      </c>
      <c r="D43" s="18">
        <v>0.27459327343081041</v>
      </c>
      <c r="E43" s="20" t="s">
        <v>79</v>
      </c>
      <c r="F43" s="17" t="s">
        <v>55</v>
      </c>
      <c r="G43" s="17" t="s">
        <v>181</v>
      </c>
      <c r="H43" s="17" t="s">
        <v>168</v>
      </c>
      <c r="I43" s="27" t="s">
        <v>176</v>
      </c>
      <c r="K43" s="31" t="str">
        <f t="shared" si="0"/>
        <v>Exposures to natural personsProtectionsORIGINAL_PROTECTION_VALUE</v>
      </c>
      <c r="L43" s="32" t="str">
        <f>VLOOKUP(K43,[1]Sheet1!L:M,2,FALSE)</f>
        <v>Campo já existente no Loan Tape, necessária análise</v>
      </c>
      <c r="M43" s="31" t="str">
        <f>VLOOKUP(K43,[1]Sheet1!L:N,3,FALSE)</f>
        <v>ORGNL_PRTCTN_VL</v>
      </c>
    </row>
    <row r="44" spans="1:14" ht="49.5" x14ac:dyDescent="0.35">
      <c r="A44" s="16" t="s">
        <v>8</v>
      </c>
      <c r="B44" s="17" t="s">
        <v>5</v>
      </c>
      <c r="C44" s="17" t="s">
        <v>76</v>
      </c>
      <c r="D44" s="18">
        <v>0.27452011142302812</v>
      </c>
      <c r="E44" s="22" t="s">
        <v>87</v>
      </c>
      <c r="F44" s="17" t="s">
        <v>55</v>
      </c>
      <c r="G44" s="17" t="s">
        <v>181</v>
      </c>
      <c r="H44" s="17" t="s">
        <v>168</v>
      </c>
      <c r="I44" s="27" t="s">
        <v>176</v>
      </c>
      <c r="K44" s="31" t="str">
        <f t="shared" si="0"/>
        <v>Exposures to natural personsProtectionsDATE_ORIGINAL_PROTECTION_VALUE</v>
      </c>
      <c r="L44" s="32" t="str">
        <f>VLOOKUP(K44,[1]Sheet1!L:M,2,FALSE)</f>
        <v>Campo já existente no Loan Tape, necessária análise</v>
      </c>
      <c r="M44" s="31" t="str">
        <f>VLOOKUP(K44,[1]Sheet1!L:N,3,FALSE)</f>
        <v>DT_ORGNL_PRTCTN_VL</v>
      </c>
    </row>
    <row r="45" spans="1:14" ht="49.5" x14ac:dyDescent="0.35">
      <c r="A45" s="16" t="s">
        <v>8</v>
      </c>
      <c r="B45" s="17" t="s">
        <v>5</v>
      </c>
      <c r="C45" s="17" t="s">
        <v>77</v>
      </c>
      <c r="D45" s="18">
        <v>0.27452282112702009</v>
      </c>
      <c r="E45" s="17" t="s">
        <v>84</v>
      </c>
      <c r="F45" s="17" t="s">
        <v>55</v>
      </c>
      <c r="G45" s="17" t="s">
        <v>181</v>
      </c>
      <c r="H45" s="17" t="s">
        <v>168</v>
      </c>
      <c r="I45" s="27" t="s">
        <v>176</v>
      </c>
      <c r="K45" s="31" t="str">
        <f t="shared" si="0"/>
        <v>Exposures to natural personsProtectionsTYPE_PROTECTION_VALUE</v>
      </c>
      <c r="L45" s="32" t="str">
        <f>VLOOKUP(K45,[1]Sheet1!L:M,2,FALSE)</f>
        <v>Campo já existente no Loan Tape, necessária análise</v>
      </c>
      <c r="M45" s="31" t="str">
        <f>VLOOKUP(K45,[1]Sheet1!L:N,3,FALSE)</f>
        <v>TYP_PRTCTN_VL</v>
      </c>
    </row>
    <row r="46" spans="1:14" ht="49.5" x14ac:dyDescent="0.35">
      <c r="A46" s="16" t="s">
        <v>8</v>
      </c>
      <c r="B46" s="17" t="s">
        <v>6</v>
      </c>
      <c r="C46" s="17" t="s">
        <v>78</v>
      </c>
      <c r="D46" s="18">
        <v>0.62333792840868907</v>
      </c>
      <c r="E46" s="20" t="s">
        <v>85</v>
      </c>
      <c r="F46" s="17"/>
      <c r="G46" s="17"/>
      <c r="H46" s="17"/>
      <c r="I46" s="27" t="s">
        <v>176</v>
      </c>
      <c r="K46" s="31" t="str">
        <f t="shared" si="0"/>
        <v>Exposures to natural personsInstrument-Counterparty relationJOINT_LIABILITIES_AMOUNT</v>
      </c>
      <c r="L46" s="32" t="str">
        <f>VLOOKUP(K46,[1]Sheet1!L:M,2,FALSE)</f>
        <v>Campo já existente no Loan Tape, necessária análise</v>
      </c>
      <c r="M46" s="31" t="str">
        <f>VLOOKUP(K46,[1]Sheet1!L:N,3,FALSE)</f>
        <v>JNT_LBLTY_AMNT</v>
      </c>
    </row>
    <row r="47" spans="1:14" ht="198" x14ac:dyDescent="0.35">
      <c r="A47" s="16" t="s">
        <v>9</v>
      </c>
      <c r="B47" s="17" t="s">
        <v>3</v>
      </c>
      <c r="C47" s="17" t="s">
        <v>95</v>
      </c>
      <c r="D47" s="18">
        <v>1</v>
      </c>
      <c r="E47" s="19" t="s">
        <v>91</v>
      </c>
      <c r="F47" s="17" t="s">
        <v>55</v>
      </c>
      <c r="G47" s="17" t="s">
        <v>97</v>
      </c>
      <c r="H47" s="17" t="s">
        <v>166</v>
      </c>
      <c r="I47" s="36" t="s">
        <v>221</v>
      </c>
      <c r="K47" s="31" t="str">
        <f t="shared" si="0"/>
        <v>Off-balance sheet exposuresInstrumentsNOMINAL_AMOUNT</v>
      </c>
      <c r="L47" s="32" t="str">
        <f>VLOOKUP(K47,[1]Sheet1!L:M,2,FALSE)</f>
        <v>Campo encontra-se preenchido, não existindo a % de incidência indicada</v>
      </c>
      <c r="M47" s="31" t="s">
        <v>210</v>
      </c>
    </row>
    <row r="48" spans="1:14" ht="82.5" x14ac:dyDescent="0.35">
      <c r="A48" s="16" t="s">
        <v>9</v>
      </c>
      <c r="B48" s="17" t="s">
        <v>3</v>
      </c>
      <c r="C48" s="17" t="s">
        <v>96</v>
      </c>
      <c r="D48" s="18">
        <v>1</v>
      </c>
      <c r="E48" s="20" t="s">
        <v>81</v>
      </c>
      <c r="F48" s="17" t="s">
        <v>55</v>
      </c>
      <c r="G48" s="17" t="s">
        <v>98</v>
      </c>
      <c r="H48" s="17" t="s">
        <v>170</v>
      </c>
      <c r="I48" s="27" t="s">
        <v>172</v>
      </c>
      <c r="K48" s="31" t="str">
        <f t="shared" si="0"/>
        <v>Off-balance sheet exposuresInstrumentsNOMINAL_INTEREST_RATE_FEE</v>
      </c>
      <c r="L48" s="32" t="str">
        <f>VLOOKUP(K48,[1]Sheet1!L:M,2,FALSE)</f>
        <v>Campo a revisitar no âmbito da nova iniciativa do Valuation</v>
      </c>
      <c r="M48" s="31">
        <f>VLOOKUP(K48,[1]Sheet1!L:N,3,FALSE)</f>
        <v>0</v>
      </c>
    </row>
    <row r="49" spans="1:14" ht="49.5" x14ac:dyDescent="0.35">
      <c r="A49" s="16" t="s">
        <v>9</v>
      </c>
      <c r="B49" s="17" t="s">
        <v>3</v>
      </c>
      <c r="C49" s="17" t="s">
        <v>36</v>
      </c>
      <c r="D49" s="18">
        <v>5.3295248171458483E-2</v>
      </c>
      <c r="E49" s="20" t="s">
        <v>90</v>
      </c>
      <c r="F49" s="17" t="s">
        <v>55</v>
      </c>
      <c r="G49" s="17" t="s">
        <v>99</v>
      </c>
      <c r="H49" s="17"/>
      <c r="I49" s="27" t="s">
        <v>176</v>
      </c>
      <c r="K49" s="31" t="str">
        <f t="shared" si="0"/>
        <v>Off-balance sheet exposuresInstrumentsDEFAULT_STATUS_INSTRUMENT</v>
      </c>
      <c r="L49" s="32" t="str">
        <f>VLOOKUP(K49,[1]Sheet1!L:M,2,FALSE)</f>
        <v>Campo já existente no Loan Tape, necessária análise</v>
      </c>
      <c r="M49" s="31" t="str">
        <f>VLOOKUP(K49,[1]Sheet1!L:N,3,FALSE)</f>
        <v>DFLT_STTS_INSTRMNT</v>
      </c>
    </row>
    <row r="50" spans="1:14" ht="66" x14ac:dyDescent="0.35">
      <c r="A50" s="16" t="s">
        <v>9</v>
      </c>
      <c r="B50" s="17" t="s">
        <v>3</v>
      </c>
      <c r="C50" s="17" t="s">
        <v>37</v>
      </c>
      <c r="D50" s="18">
        <v>0.45427843853787508</v>
      </c>
      <c r="E50" s="21">
        <v>2958465</v>
      </c>
      <c r="F50" s="17" t="s">
        <v>55</v>
      </c>
      <c r="G50" s="17" t="s">
        <v>100</v>
      </c>
      <c r="H50" s="17" t="s">
        <v>166</v>
      </c>
      <c r="I50" s="27" t="s">
        <v>176</v>
      </c>
      <c r="K50" s="31" t="str">
        <f t="shared" si="0"/>
        <v>Off-balance sheet exposuresInstrumentsDATE_DEFAULT_STATUS_INSTRUMENT</v>
      </c>
      <c r="L50" s="32" t="str">
        <f>VLOOKUP(K50,[1]Sheet1!L:M,2,FALSE)</f>
        <v>Campo já existente no Loan Tape, necessária análise</v>
      </c>
      <c r="M50" s="31" t="str">
        <f>VLOOKUP(K50,[1]Sheet1!L:N,3,FALSE)</f>
        <v>DT_DFLT_STTS_INSTRMNT</v>
      </c>
    </row>
    <row r="51" spans="1:14" ht="33" x14ac:dyDescent="0.35">
      <c r="A51" s="16" t="s">
        <v>9</v>
      </c>
      <c r="B51" s="17" t="s">
        <v>3</v>
      </c>
      <c r="C51" s="17" t="s">
        <v>46</v>
      </c>
      <c r="D51" s="18">
        <v>1</v>
      </c>
      <c r="E51" s="17" t="s">
        <v>82</v>
      </c>
      <c r="F51" s="17" t="s">
        <v>55</v>
      </c>
      <c r="G51" s="17" t="s">
        <v>101</v>
      </c>
      <c r="H51" s="17" t="s">
        <v>166</v>
      </c>
      <c r="I51" s="27" t="s">
        <v>176</v>
      </c>
      <c r="K51" s="31" t="str">
        <f t="shared" si="0"/>
        <v>Off-balance sheet exposuresInstrumentsACCUM_IMPAIRMENT_AMOUNT</v>
      </c>
      <c r="L51" s="32" t="str">
        <f>VLOOKUP(K51,[1]Sheet1!L:M,2,FALSE)</f>
        <v>Campo já existente no Loan Tape, necessária análise</v>
      </c>
      <c r="M51" s="31" t="str">
        <f>VLOOKUP(K51,[1]Sheet1!L:N,3,FALSE)</f>
        <v>ACCMLTD_IMPRMNT_INSTRMNT</v>
      </c>
    </row>
    <row r="52" spans="1:14" x14ac:dyDescent="0.35">
      <c r="A52" s="16" t="s">
        <v>9</v>
      </c>
      <c r="B52" s="17" t="s">
        <v>4</v>
      </c>
      <c r="C52" s="17" t="s">
        <v>67</v>
      </c>
      <c r="D52" s="18">
        <v>0.99997734997187626</v>
      </c>
      <c r="E52" s="20" t="s">
        <v>79</v>
      </c>
      <c r="F52" s="20" t="s">
        <v>55</v>
      </c>
      <c r="G52" s="17"/>
      <c r="H52" s="20"/>
      <c r="I52" s="27" t="s">
        <v>176</v>
      </c>
      <c r="K52" s="31" t="str">
        <f t="shared" si="0"/>
        <v>Off-balance sheet exposuresCounterpartiesPROBABILITY_DEFAULT</v>
      </c>
      <c r="L52" s="32" t="str">
        <f>VLOOKUP(K52,[1]Sheet1!L:M,2,FALSE)</f>
        <v>Campo já existente no Loan Tape, necessária análise</v>
      </c>
      <c r="M52" s="31" t="str">
        <f>VLOOKUP(K52,[1]Sheet1!L:N,3,FALSE)</f>
        <v>PD_CRR_RD</v>
      </c>
    </row>
    <row r="53" spans="1:14" ht="165" x14ac:dyDescent="0.35">
      <c r="A53" s="16" t="s">
        <v>9</v>
      </c>
      <c r="B53" s="17" t="s">
        <v>4</v>
      </c>
      <c r="C53" s="17" t="s">
        <v>20</v>
      </c>
      <c r="D53" s="18">
        <v>0.99999874344865547</v>
      </c>
      <c r="E53" s="20" t="s">
        <v>81</v>
      </c>
      <c r="F53" s="20" t="s">
        <v>55</v>
      </c>
      <c r="G53" s="17" t="s">
        <v>106</v>
      </c>
      <c r="H53" s="20" t="s">
        <v>170</v>
      </c>
      <c r="I53" s="27" t="s">
        <v>172</v>
      </c>
      <c r="K53" s="31" t="str">
        <f t="shared" si="0"/>
        <v>Off-balance sheet exposuresCounterpartiesIFRS9_PROB_DEFAULT_IMPAIRMENT</v>
      </c>
      <c r="L53" s="32" t="str">
        <f>VLOOKUP(K53,[1]Sheet1!L:M,2,FALSE)</f>
        <v>Campo a revisitar no âmbito da nova iniciativa do Valuation</v>
      </c>
      <c r="M53" s="31">
        <f>VLOOKUP(K53,[1]Sheet1!L:N,3,FALSE)</f>
        <v>0</v>
      </c>
    </row>
    <row r="54" spans="1:14" ht="33" x14ac:dyDescent="0.35">
      <c r="A54" s="16" t="s">
        <v>9</v>
      </c>
      <c r="B54" s="17" t="s">
        <v>4</v>
      </c>
      <c r="C54" s="17" t="s">
        <v>69</v>
      </c>
      <c r="D54" s="18">
        <v>0.24560180495557449</v>
      </c>
      <c r="E54" s="20" t="s">
        <v>92</v>
      </c>
      <c r="F54" s="20" t="s">
        <v>55</v>
      </c>
      <c r="G54" s="17" t="s">
        <v>107</v>
      </c>
      <c r="H54" s="20"/>
      <c r="I54" s="27" t="s">
        <v>176</v>
      </c>
      <c r="K54" s="31" t="str">
        <f t="shared" si="0"/>
        <v>Off-balance sheet exposuresCounterpartiesDEFAULT_STATUS_COUNTERPARTY</v>
      </c>
      <c r="L54" s="32" t="str">
        <f>VLOOKUP(K54,[1]Sheet1!L:M,2,FALSE)</f>
        <v>Campo já existente no Loan Tape, necessária análise</v>
      </c>
      <c r="M54" s="31" t="str">
        <f>VLOOKUP(K54,[1]Sheet1!L:N,3,FALSE)</f>
        <v>DFLT_STTS</v>
      </c>
    </row>
    <row r="55" spans="1:14" ht="33" x14ac:dyDescent="0.35">
      <c r="A55" s="16" t="s">
        <v>9</v>
      </c>
      <c r="B55" s="17" t="s">
        <v>4</v>
      </c>
      <c r="C55" s="17" t="s">
        <v>70</v>
      </c>
      <c r="D55" s="18">
        <v>0.55366735413696477</v>
      </c>
      <c r="E55" s="20" t="s">
        <v>109</v>
      </c>
      <c r="F55" s="20" t="s">
        <v>55</v>
      </c>
      <c r="G55" s="17" t="s">
        <v>107</v>
      </c>
      <c r="H55" s="20"/>
      <c r="I55" s="27" t="s">
        <v>176</v>
      </c>
      <c r="K55" s="31" t="str">
        <f t="shared" si="0"/>
        <v>Off-balance sheet exposuresCounterpartiesDATE_DEFAULT_STATUS_COUNTERPARTY</v>
      </c>
      <c r="L55" s="32" t="str">
        <f>VLOOKUP(K55,[1]Sheet1!L:M,2,FALSE)</f>
        <v>Campo já existente no Loan Tape, necessária análise</v>
      </c>
      <c r="M55" s="31" t="str">
        <f>VLOOKUP(K55,[1]Sheet1!L:N,3,FALSE)</f>
        <v>DT_DFLT_STTS</v>
      </c>
    </row>
    <row r="56" spans="1:14" x14ac:dyDescent="0.35">
      <c r="A56" s="16" t="s">
        <v>9</v>
      </c>
      <c r="B56" s="17" t="s">
        <v>4</v>
      </c>
      <c r="C56" s="17" t="s">
        <v>102</v>
      </c>
      <c r="D56" s="18">
        <v>0.99921479902504218</v>
      </c>
      <c r="E56" s="17" t="s">
        <v>84</v>
      </c>
      <c r="F56" s="20" t="s">
        <v>55</v>
      </c>
      <c r="G56" s="17"/>
      <c r="H56" s="20"/>
      <c r="I56" s="27" t="s">
        <v>176</v>
      </c>
      <c r="K56" s="31" t="str">
        <f t="shared" si="0"/>
        <v>Off-balance sheet exposuresCounterpartiesLEGAL_ENTITY_ID</v>
      </c>
      <c r="L56" s="32" t="str">
        <f>VLOOKUP(K56,[1]Sheet1!L:M,2,FALSE)</f>
        <v>Campo já existente no Loan Tape, necessária análise</v>
      </c>
      <c r="M56" s="31" t="str">
        <f>VLOOKUP(K56,[1]Sheet1!L:N,3,FALSE)</f>
        <v>LEI</v>
      </c>
    </row>
    <row r="57" spans="1:14" ht="66" x14ac:dyDescent="0.35">
      <c r="A57" s="16" t="s">
        <v>9</v>
      </c>
      <c r="B57" s="17" t="s">
        <v>4</v>
      </c>
      <c r="C57" s="17" t="s">
        <v>103</v>
      </c>
      <c r="D57" s="18">
        <v>0.99999748689731083</v>
      </c>
      <c r="E57" s="17" t="s">
        <v>82</v>
      </c>
      <c r="F57" s="20" t="s">
        <v>55</v>
      </c>
      <c r="G57" s="17" t="s">
        <v>108</v>
      </c>
      <c r="H57" s="20" t="s">
        <v>164</v>
      </c>
      <c r="I57" s="27" t="s">
        <v>172</v>
      </c>
      <c r="K57" s="31" t="str">
        <f t="shared" si="0"/>
        <v>Off-balance sheet exposuresCounterpartiesHEAD_OFFICE_UNDERTAKING_ID</v>
      </c>
      <c r="L57" s="32" t="str">
        <f>VLOOKUP(K57,[1]Sheet1!L:M,2,FALSE)</f>
        <v>Campo a revisitar no âmbito da nova iniciativa do Valuation</v>
      </c>
      <c r="M57" s="31">
        <f>VLOOKUP(K57,[1]Sheet1!L:N,3,FALSE)</f>
        <v>0</v>
      </c>
    </row>
    <row r="58" spans="1:14" ht="66" x14ac:dyDescent="0.35">
      <c r="A58" s="16" t="s">
        <v>9</v>
      </c>
      <c r="B58" s="17" t="s">
        <v>4</v>
      </c>
      <c r="C58" s="17" t="s">
        <v>104</v>
      </c>
      <c r="D58" s="18">
        <v>0.99999748689731083</v>
      </c>
      <c r="E58" s="17" t="s">
        <v>82</v>
      </c>
      <c r="F58" s="20" t="s">
        <v>55</v>
      </c>
      <c r="G58" s="17" t="s">
        <v>108</v>
      </c>
      <c r="H58" s="20" t="s">
        <v>164</v>
      </c>
      <c r="I58" s="27" t="s">
        <v>172</v>
      </c>
      <c r="K58" s="31" t="str">
        <f t="shared" si="0"/>
        <v>Off-balance sheet exposuresCounterpartiesIMMEDIATE_PARENT_UNDERTAKING_ID</v>
      </c>
      <c r="L58" s="32" t="str">
        <f>VLOOKUP(K58,[1]Sheet1!L:M,2,FALSE)</f>
        <v>Campo a revisitar no âmbito da nova iniciativa do Valuation</v>
      </c>
      <c r="M58" s="31">
        <f>VLOOKUP(K58,[1]Sheet1!L:N,3,FALSE)</f>
        <v>0</v>
      </c>
    </row>
    <row r="59" spans="1:14" ht="66" x14ac:dyDescent="0.35">
      <c r="A59" s="16" t="s">
        <v>9</v>
      </c>
      <c r="B59" s="17" t="s">
        <v>4</v>
      </c>
      <c r="C59" s="17" t="s">
        <v>105</v>
      </c>
      <c r="D59" s="18">
        <v>0.99999748689731083</v>
      </c>
      <c r="E59" s="17" t="s">
        <v>82</v>
      </c>
      <c r="F59" s="20" t="s">
        <v>55</v>
      </c>
      <c r="G59" s="17" t="s">
        <v>108</v>
      </c>
      <c r="H59" s="20" t="s">
        <v>164</v>
      </c>
      <c r="I59" s="27" t="s">
        <v>172</v>
      </c>
      <c r="K59" s="31" t="str">
        <f t="shared" si="0"/>
        <v>Off-balance sheet exposuresCounterpartiesULTIMATE_PARENT_UNDERTAKING_ID</v>
      </c>
      <c r="L59" s="32" t="str">
        <f>VLOOKUP(K59,[1]Sheet1!L:M,2,FALSE)</f>
        <v>Campo a revisitar no âmbito da nova iniciativa do Valuation</v>
      </c>
      <c r="M59" s="31">
        <f>VLOOKUP(K59,[1]Sheet1!L:N,3,FALSE)</f>
        <v>0</v>
      </c>
    </row>
    <row r="60" spans="1:14" ht="33" x14ac:dyDescent="0.35">
      <c r="A60" s="16" t="s">
        <v>9</v>
      </c>
      <c r="B60" s="17" t="s">
        <v>5</v>
      </c>
      <c r="C60" s="17" t="s">
        <v>110</v>
      </c>
      <c r="D60" s="18">
        <v>0.15798586472141013</v>
      </c>
      <c r="E60" s="17" t="s">
        <v>84</v>
      </c>
      <c r="F60" s="17" t="s">
        <v>55</v>
      </c>
      <c r="G60" s="17" t="s">
        <v>112</v>
      </c>
      <c r="H60" s="17"/>
      <c r="I60" s="27" t="s">
        <v>176</v>
      </c>
      <c r="K60" s="31" t="str">
        <f t="shared" si="0"/>
        <v>Off-balance sheet exposuresProtectionsPROTECTION_PROVIDER_ID</v>
      </c>
      <c r="L60" s="32" t="str">
        <f>VLOOKUP(K60,[1]Sheet1!L:M,2,FALSE)</f>
        <v>Campo já existente no Loan Tape, necessária análise</v>
      </c>
      <c r="M60" s="31" t="str">
        <f>VLOOKUP(K60,[1]Sheet1!L:N,3,FALSE)</f>
        <v>PRTCTN_PRVDR_ID</v>
      </c>
    </row>
    <row r="61" spans="1:14" ht="82.5" x14ac:dyDescent="0.35">
      <c r="A61" s="16" t="s">
        <v>9</v>
      </c>
      <c r="B61" s="17" t="s">
        <v>5</v>
      </c>
      <c r="C61" s="17" t="s">
        <v>74</v>
      </c>
      <c r="D61" s="18">
        <v>0.80156680196417929</v>
      </c>
      <c r="E61" s="22" t="s">
        <v>87</v>
      </c>
      <c r="F61" s="17" t="s">
        <v>55</v>
      </c>
      <c r="G61" s="17" t="s">
        <v>113</v>
      </c>
      <c r="H61" s="17"/>
      <c r="I61" s="27" t="s">
        <v>176</v>
      </c>
      <c r="K61" s="31" t="str">
        <f t="shared" si="0"/>
        <v>Off-balance sheet exposuresProtectionsDATE_PROTECTION_VALUE</v>
      </c>
      <c r="L61" s="32" t="str">
        <f>VLOOKUP(K61,[1]Sheet1!L:M,2,FALSE)</f>
        <v>Campo já existente no Loan Tape, necessária análise</v>
      </c>
      <c r="M61" s="31" t="str">
        <f>VLOOKUP(K61,[1]Sheet1!L:N,3,FALSE)</f>
        <v>DT_PRTCTN_VL</v>
      </c>
    </row>
    <row r="62" spans="1:14" ht="82.5" x14ac:dyDescent="0.35">
      <c r="A62" s="16" t="s">
        <v>9</v>
      </c>
      <c r="B62" s="17" t="s">
        <v>5</v>
      </c>
      <c r="C62" s="17" t="s">
        <v>111</v>
      </c>
      <c r="D62" s="18">
        <v>0.80159518605773328</v>
      </c>
      <c r="E62" s="22" t="s">
        <v>87</v>
      </c>
      <c r="F62" s="17" t="s">
        <v>55</v>
      </c>
      <c r="G62" s="17" t="s">
        <v>113</v>
      </c>
      <c r="H62" s="17"/>
      <c r="I62" s="27" t="s">
        <v>176</v>
      </c>
      <c r="K62" s="31" t="str">
        <f t="shared" si="0"/>
        <v>Off-balance sheet exposuresProtectionsMATURITY_DATE_PROTECTION</v>
      </c>
      <c r="L62" s="32" t="str">
        <f>VLOOKUP(K62,[1]Sheet1!L:M,2,FALSE)</f>
        <v>Campo já existente no Loan Tape, necessária análise</v>
      </c>
      <c r="M62" s="31" t="str">
        <f>VLOOKUP(K62,[1]Sheet1!L:N,3,FALSE)</f>
        <v>DT_MTRTY_PRTCTN</v>
      </c>
      <c r="N62" s="7" t="s">
        <v>180</v>
      </c>
    </row>
    <row r="63" spans="1:14" ht="82.5" x14ac:dyDescent="0.35">
      <c r="A63" s="16" t="s">
        <v>9</v>
      </c>
      <c r="B63" s="17" t="s">
        <v>5</v>
      </c>
      <c r="C63" s="17" t="s">
        <v>75</v>
      </c>
      <c r="D63" s="18">
        <v>0.80159518605773328</v>
      </c>
      <c r="E63" s="19" t="s">
        <v>79</v>
      </c>
      <c r="F63" s="17" t="s">
        <v>55</v>
      </c>
      <c r="G63" s="17" t="s">
        <v>114</v>
      </c>
      <c r="H63" s="17"/>
      <c r="I63" s="27" t="s">
        <v>176</v>
      </c>
      <c r="K63" s="31" t="str">
        <f t="shared" si="0"/>
        <v>Off-balance sheet exposuresProtectionsORIGINAL_PROTECTION_VALUE</v>
      </c>
      <c r="L63" s="32" t="str">
        <f>VLOOKUP(K63,[1]Sheet1!L:M,2,FALSE)</f>
        <v>Campo já existente no Loan Tape, necessária análise</v>
      </c>
      <c r="M63" s="31" t="str">
        <f>VLOOKUP(K63,[1]Sheet1!L:N,3,FALSE)</f>
        <v>ORGNL_PRTCTN_VL</v>
      </c>
    </row>
    <row r="64" spans="1:14" ht="66" x14ac:dyDescent="0.35">
      <c r="A64" s="16" t="s">
        <v>9</v>
      </c>
      <c r="B64" s="17" t="s">
        <v>5</v>
      </c>
      <c r="C64" s="17" t="s">
        <v>77</v>
      </c>
      <c r="D64" s="18">
        <v>0.80156680196417929</v>
      </c>
      <c r="E64" s="19" t="s">
        <v>79</v>
      </c>
      <c r="F64" s="17" t="s">
        <v>55</v>
      </c>
      <c r="G64" s="17" t="s">
        <v>115</v>
      </c>
      <c r="H64" s="17"/>
      <c r="I64" s="27" t="s">
        <v>176</v>
      </c>
      <c r="K64" s="31" t="str">
        <f t="shared" si="0"/>
        <v>Off-balance sheet exposuresProtectionsTYPE_PROTECTION_VALUE</v>
      </c>
      <c r="L64" s="32" t="str">
        <f>VLOOKUP(K64,[1]Sheet1!L:M,2,FALSE)</f>
        <v>Campo já existente no Loan Tape, necessária análise</v>
      </c>
      <c r="M64" s="31" t="str">
        <f>VLOOKUP(K64,[1]Sheet1!L:N,3,FALSE)</f>
        <v>TYP_PRTCTN_VL</v>
      </c>
    </row>
    <row r="65" spans="1:13" ht="49.5" x14ac:dyDescent="0.35">
      <c r="A65" s="16" t="s">
        <v>9</v>
      </c>
      <c r="B65" s="17" t="s">
        <v>6</v>
      </c>
      <c r="C65" s="17" t="s">
        <v>78</v>
      </c>
      <c r="D65" s="18">
        <v>0.99999907125861176</v>
      </c>
      <c r="E65" s="19" t="s">
        <v>116</v>
      </c>
      <c r="F65" s="17" t="s">
        <v>55</v>
      </c>
      <c r="G65" s="17" t="s">
        <v>117</v>
      </c>
      <c r="H65" s="17" t="s">
        <v>166</v>
      </c>
      <c r="I65" s="27" t="s">
        <v>176</v>
      </c>
      <c r="K65" s="31" t="str">
        <f t="shared" si="0"/>
        <v>Off-balance sheet exposuresInstrument-Counterparty relationJOINT_LIABILITIES_AMOUNT</v>
      </c>
      <c r="L65" s="32" t="str">
        <f>VLOOKUP(K65,[1]Sheet1!L:M,2,FALSE)</f>
        <v>Campo já existente no Loan Tape, necessária análise</v>
      </c>
      <c r="M65" s="31" t="str">
        <f>VLOOKUP(K65,[1]Sheet1!L:N,3,FALSE)</f>
        <v>JNT_LBLTY_AMNT</v>
      </c>
    </row>
    <row r="66" spans="1:13" ht="148.5" x14ac:dyDescent="0.35">
      <c r="A66" s="23" t="s">
        <v>10</v>
      </c>
      <c r="B66" s="17" t="s">
        <v>3</v>
      </c>
      <c r="C66" s="17" t="s">
        <v>120</v>
      </c>
      <c r="D66" s="18">
        <v>1</v>
      </c>
      <c r="E66" s="17" t="s">
        <v>82</v>
      </c>
      <c r="F66" s="17" t="s">
        <v>55</v>
      </c>
      <c r="G66" s="17" t="s">
        <v>191</v>
      </c>
      <c r="H66" s="17" t="s">
        <v>170</v>
      </c>
      <c r="I66" s="27" t="s">
        <v>172</v>
      </c>
      <c r="K66" s="31" t="str">
        <f t="shared" si="0"/>
        <v>DerivativesInstrumentsUNIQUE_TRADE_ID</v>
      </c>
      <c r="L66" s="32" t="str">
        <f>VLOOKUP(K66,[1]Sheet1!L:M,2,FALSE)</f>
        <v>Campo a revisitar no âmbito da nova iniciativa do Valuation</v>
      </c>
      <c r="M66" s="31">
        <f>VLOOKUP(K66,[1]Sheet1!L:N,3,FALSE)</f>
        <v>0</v>
      </c>
    </row>
    <row r="67" spans="1:13" ht="66" x14ac:dyDescent="0.35">
      <c r="A67" s="23" t="s">
        <v>10</v>
      </c>
      <c r="B67" s="17" t="s">
        <v>3</v>
      </c>
      <c r="C67" s="17" t="s">
        <v>121</v>
      </c>
      <c r="D67" s="18">
        <v>3.1034482758620689E-2</v>
      </c>
      <c r="E67" s="17" t="s">
        <v>82</v>
      </c>
      <c r="F67" s="17" t="s">
        <v>55</v>
      </c>
      <c r="G67" s="17" t="s">
        <v>144</v>
      </c>
      <c r="H67" s="17"/>
      <c r="I67" s="27" t="s">
        <v>177</v>
      </c>
      <c r="K67" s="31" t="str">
        <f t="shared" ref="K67:K119" si="1">CONCATENATE(A67,B67,C67)</f>
        <v>DerivativesInstrumentsCOUNTERPARTY_ID</v>
      </c>
      <c r="L67" s="32" t="str">
        <f>VLOOKUP(K67,[1]Sheet1!L:M,2,FALSE)</f>
        <v>Os registos mencionados (SNC%) tratam-se de registos manuais</v>
      </c>
      <c r="M67" s="31">
        <f>VLOOKUP(K67,[1]Sheet1!L:N,3,FALSE)</f>
        <v>0</v>
      </c>
    </row>
    <row r="68" spans="1:13" ht="148.5" x14ac:dyDescent="0.35">
      <c r="A68" s="23" t="s">
        <v>10</v>
      </c>
      <c r="B68" s="17" t="s">
        <v>3</v>
      </c>
      <c r="C68" s="17" t="s">
        <v>122</v>
      </c>
      <c r="D68" s="18">
        <v>1</v>
      </c>
      <c r="E68" s="17" t="s">
        <v>82</v>
      </c>
      <c r="F68" s="17" t="s">
        <v>55</v>
      </c>
      <c r="G68" s="17" t="s">
        <v>191</v>
      </c>
      <c r="H68" s="17" t="s">
        <v>170</v>
      </c>
      <c r="I68" s="27" t="s">
        <v>172</v>
      </c>
      <c r="K68" s="31" t="str">
        <f t="shared" si="1"/>
        <v>DerivativesInstrumentsBASE_PRODUCT</v>
      </c>
      <c r="L68" s="32" t="str">
        <f>VLOOKUP(K68,[1]Sheet1!L:M,2,FALSE)</f>
        <v>Campo a revisitar no âmbito da nova iniciativa do Valuation</v>
      </c>
      <c r="M68" s="31">
        <f>VLOOKUP(K68,[1]Sheet1!L:N,3,FALSE)</f>
        <v>0</v>
      </c>
    </row>
    <row r="69" spans="1:13" ht="148.5" x14ac:dyDescent="0.35">
      <c r="A69" s="23" t="s">
        <v>10</v>
      </c>
      <c r="B69" s="17" t="s">
        <v>3</v>
      </c>
      <c r="C69" s="17" t="s">
        <v>123</v>
      </c>
      <c r="D69" s="18">
        <v>1</v>
      </c>
      <c r="E69" s="17" t="s">
        <v>82</v>
      </c>
      <c r="F69" s="17" t="s">
        <v>55</v>
      </c>
      <c r="G69" s="17" t="s">
        <v>191</v>
      </c>
      <c r="H69" s="17" t="s">
        <v>170</v>
      </c>
      <c r="I69" s="27" t="s">
        <v>172</v>
      </c>
      <c r="K69" s="31" t="str">
        <f t="shared" si="1"/>
        <v>DerivativesInstrumentsGOVERNING_LAW</v>
      </c>
      <c r="L69" s="32" t="str">
        <f>VLOOKUP(K69,[1]Sheet1!L:M,2,FALSE)</f>
        <v>Campo a revisitar no âmbito da nova iniciativa do Valuation</v>
      </c>
      <c r="M69" s="31">
        <f>VLOOKUP(K69,[1]Sheet1!L:N,3,FALSE)</f>
        <v>0</v>
      </c>
    </row>
    <row r="70" spans="1:13" ht="99" x14ac:dyDescent="0.35">
      <c r="A70" s="23" t="s">
        <v>10</v>
      </c>
      <c r="B70" s="17" t="s">
        <v>3</v>
      </c>
      <c r="C70" s="17" t="s">
        <v>124</v>
      </c>
      <c r="D70" s="18">
        <v>1</v>
      </c>
      <c r="E70" s="19" t="s">
        <v>82</v>
      </c>
      <c r="F70" s="17" t="s">
        <v>55</v>
      </c>
      <c r="G70" s="17" t="s">
        <v>192</v>
      </c>
      <c r="H70" s="17" t="s">
        <v>170</v>
      </c>
      <c r="I70" s="27" t="s">
        <v>172</v>
      </c>
      <c r="K70" s="31" t="str">
        <f t="shared" si="1"/>
        <v>DerivativesInstrumentsCONTRACT_RECOGN_WRITE_DOWN</v>
      </c>
      <c r="L70" s="32" t="str">
        <f>VLOOKUP(K70,[1]Sheet1!L:M,2,FALSE)</f>
        <v>Campo a revisitar no âmbito da nova iniciativa do Valuation</v>
      </c>
      <c r="M70" s="31">
        <f>VLOOKUP(K70,[1]Sheet1!L:N,3,FALSE)</f>
        <v>0</v>
      </c>
    </row>
    <row r="71" spans="1:13" ht="99" x14ac:dyDescent="0.35">
      <c r="A71" s="23" t="s">
        <v>10</v>
      </c>
      <c r="B71" s="17" t="s">
        <v>3</v>
      </c>
      <c r="C71" s="17" t="s">
        <v>125</v>
      </c>
      <c r="D71" s="18">
        <v>1</v>
      </c>
      <c r="E71" s="19" t="s">
        <v>82</v>
      </c>
      <c r="F71" s="17" t="s">
        <v>55</v>
      </c>
      <c r="G71" s="17" t="s">
        <v>192</v>
      </c>
      <c r="H71" s="17" t="s">
        <v>170</v>
      </c>
      <c r="I71" s="27" t="s">
        <v>172</v>
      </c>
      <c r="K71" s="31" t="str">
        <f t="shared" si="1"/>
        <v>DerivativesInstrumentsCONTRACT_RECOGN_SUSPENSION</v>
      </c>
      <c r="L71" s="32" t="str">
        <f>VLOOKUP(K71,[1]Sheet1!L:M,2,FALSE)</f>
        <v>Campo a revisitar no âmbito da nova iniciativa do Valuation</v>
      </c>
      <c r="M71" s="31">
        <f>VLOOKUP(K71,[1]Sheet1!L:N,3,FALSE)</f>
        <v>0</v>
      </c>
    </row>
    <row r="72" spans="1:13" ht="99" x14ac:dyDescent="0.35">
      <c r="A72" s="23" t="s">
        <v>10</v>
      </c>
      <c r="B72" s="17" t="s">
        <v>3</v>
      </c>
      <c r="C72" s="17" t="s">
        <v>126</v>
      </c>
      <c r="D72" s="18">
        <v>1</v>
      </c>
      <c r="E72" s="19" t="s">
        <v>82</v>
      </c>
      <c r="F72" s="17" t="s">
        <v>55</v>
      </c>
      <c r="G72" s="17" t="s">
        <v>192</v>
      </c>
      <c r="H72" s="17" t="s">
        <v>170</v>
      </c>
      <c r="I72" s="27" t="s">
        <v>172</v>
      </c>
      <c r="K72" s="31" t="str">
        <f t="shared" si="1"/>
        <v>DerivativesInstrumentsCONTRACT_RECOGN_RESOLUTION</v>
      </c>
      <c r="L72" s="32" t="str">
        <f>VLOOKUP(K72,[1]Sheet1!L:M,2,FALSE)</f>
        <v>Campo a revisitar no âmbito da nova iniciativa do Valuation</v>
      </c>
      <c r="M72" s="31">
        <f>VLOOKUP(K72,[1]Sheet1!L:N,3,FALSE)</f>
        <v>0</v>
      </c>
    </row>
    <row r="73" spans="1:13" ht="66" x14ac:dyDescent="0.35">
      <c r="A73" s="23" t="s">
        <v>10</v>
      </c>
      <c r="B73" s="17" t="s">
        <v>3</v>
      </c>
      <c r="C73" s="17" t="s">
        <v>127</v>
      </c>
      <c r="D73" s="18">
        <v>1</v>
      </c>
      <c r="E73" s="19" t="s">
        <v>82</v>
      </c>
      <c r="F73" s="17" t="s">
        <v>55</v>
      </c>
      <c r="G73" s="17" t="s">
        <v>193</v>
      </c>
      <c r="H73" s="17" t="s">
        <v>170</v>
      </c>
      <c r="I73" s="27" t="s">
        <v>172</v>
      </c>
      <c r="K73" s="31" t="str">
        <f t="shared" si="1"/>
        <v>DerivativesInstrumentsCOLLATERAL_PORTFOLIO</v>
      </c>
      <c r="L73" s="32" t="str">
        <f>VLOOKUP(K73,[1]Sheet1!L:M,2,FALSE)</f>
        <v>Campo a revisitar no âmbito da nova iniciativa do Valuation</v>
      </c>
      <c r="M73" s="31">
        <f>VLOOKUP(K73,[1]Sheet1!L:N,3,FALSE)</f>
        <v>0</v>
      </c>
    </row>
    <row r="74" spans="1:13" ht="66" x14ac:dyDescent="0.35">
      <c r="A74" s="23" t="s">
        <v>10</v>
      </c>
      <c r="B74" s="17" t="s">
        <v>3</v>
      </c>
      <c r="C74" s="17" t="s">
        <v>128</v>
      </c>
      <c r="D74" s="18">
        <v>1</v>
      </c>
      <c r="E74" s="20" t="s">
        <v>81</v>
      </c>
      <c r="F74" s="17" t="s">
        <v>55</v>
      </c>
      <c r="G74" s="17" t="s">
        <v>193</v>
      </c>
      <c r="H74" s="17" t="s">
        <v>170</v>
      </c>
      <c r="I74" s="27" t="s">
        <v>172</v>
      </c>
      <c r="K74" s="31" t="str">
        <f t="shared" si="1"/>
        <v>DerivativesInstrumentsCOLLATERAL_POSTED</v>
      </c>
      <c r="L74" s="32" t="str">
        <f>VLOOKUP(K74,[1]Sheet1!L:M,2,FALSE)</f>
        <v>Campo a revisitar no âmbito da nova iniciativa do Valuation</v>
      </c>
      <c r="M74" s="31">
        <f>VLOOKUP(K74,[1]Sheet1!L:N,3,FALSE)</f>
        <v>0</v>
      </c>
    </row>
    <row r="75" spans="1:13" ht="66" x14ac:dyDescent="0.35">
      <c r="A75" s="23" t="s">
        <v>10</v>
      </c>
      <c r="B75" s="17" t="s">
        <v>3</v>
      </c>
      <c r="C75" s="17" t="s">
        <v>129</v>
      </c>
      <c r="D75" s="18">
        <v>1</v>
      </c>
      <c r="E75" s="19" t="s">
        <v>82</v>
      </c>
      <c r="F75" s="17" t="s">
        <v>55</v>
      </c>
      <c r="G75" s="17" t="s">
        <v>193</v>
      </c>
      <c r="H75" s="17" t="s">
        <v>170</v>
      </c>
      <c r="I75" s="27" t="s">
        <v>172</v>
      </c>
      <c r="K75" s="31" t="str">
        <f t="shared" si="1"/>
        <v>DerivativesInstrumentsCOLLATERAL_POSTED_CURRENCY</v>
      </c>
      <c r="L75" s="32" t="str">
        <f>VLOOKUP(K75,[1]Sheet1!L:M,2,FALSE)</f>
        <v>Campo a revisitar no âmbito da nova iniciativa do Valuation</v>
      </c>
      <c r="M75" s="31">
        <f>VLOOKUP(K75,[1]Sheet1!L:N,3,FALSE)</f>
        <v>0</v>
      </c>
    </row>
    <row r="76" spans="1:13" ht="66" x14ac:dyDescent="0.35">
      <c r="A76" s="23" t="s">
        <v>10</v>
      </c>
      <c r="B76" s="17" t="s">
        <v>3</v>
      </c>
      <c r="C76" s="17" t="s">
        <v>130</v>
      </c>
      <c r="D76" s="18">
        <v>1</v>
      </c>
      <c r="E76" s="20" t="s">
        <v>81</v>
      </c>
      <c r="F76" s="17" t="s">
        <v>55</v>
      </c>
      <c r="G76" s="17" t="s">
        <v>193</v>
      </c>
      <c r="H76" s="17" t="s">
        <v>170</v>
      </c>
      <c r="I76" s="27" t="s">
        <v>172</v>
      </c>
      <c r="K76" s="31" t="str">
        <f t="shared" si="1"/>
        <v>DerivativesInstrumentsCOLLATERAL_RECEIVED</v>
      </c>
      <c r="L76" s="32" t="str">
        <f>VLOOKUP(K76,[1]Sheet1!L:M,2,FALSE)</f>
        <v>Campo a revisitar no âmbito da nova iniciativa do Valuation</v>
      </c>
      <c r="M76" s="31">
        <f>VLOOKUP(K76,[1]Sheet1!L:N,3,FALSE)</f>
        <v>0</v>
      </c>
    </row>
    <row r="77" spans="1:13" ht="66" x14ac:dyDescent="0.35">
      <c r="A77" s="23" t="s">
        <v>10</v>
      </c>
      <c r="B77" s="17" t="s">
        <v>3</v>
      </c>
      <c r="C77" s="17" t="s">
        <v>131</v>
      </c>
      <c r="D77" s="18">
        <v>1</v>
      </c>
      <c r="E77" s="19" t="s">
        <v>82</v>
      </c>
      <c r="F77" s="17" t="s">
        <v>55</v>
      </c>
      <c r="G77" s="17" t="s">
        <v>193</v>
      </c>
      <c r="H77" s="17" t="s">
        <v>170</v>
      </c>
      <c r="I77" s="27" t="s">
        <v>172</v>
      </c>
      <c r="K77" s="31" t="str">
        <f t="shared" si="1"/>
        <v>DerivativesInstrumentsCOLLATERAL_RECEIVED_CURRENCY</v>
      </c>
      <c r="L77" s="32" t="str">
        <f>VLOOKUP(K77,[1]Sheet1!L:M,2,FALSE)</f>
        <v>Campo a revisitar no âmbito da nova iniciativa do Valuation</v>
      </c>
      <c r="M77" s="31">
        <f>VLOOKUP(K77,[1]Sheet1!L:N,3,FALSE)</f>
        <v>0</v>
      </c>
    </row>
    <row r="78" spans="1:13" ht="66" x14ac:dyDescent="0.35">
      <c r="A78" s="23" t="s">
        <v>10</v>
      </c>
      <c r="B78" s="17" t="s">
        <v>3</v>
      </c>
      <c r="C78" s="17" t="s">
        <v>132</v>
      </c>
      <c r="D78" s="18">
        <v>1</v>
      </c>
      <c r="E78" s="17" t="s">
        <v>82</v>
      </c>
      <c r="F78" s="17" t="s">
        <v>55</v>
      </c>
      <c r="G78" s="17" t="s">
        <v>193</v>
      </c>
      <c r="H78" s="17" t="s">
        <v>170</v>
      </c>
      <c r="I78" s="27" t="s">
        <v>171</v>
      </c>
      <c r="K78" s="31" t="str">
        <f t="shared" si="1"/>
        <v>DerivativesInstrumentsLEG_1_CASH_FLOW</v>
      </c>
      <c r="L78" s="32" t="str">
        <f>VLOOKUP(K78,[1]Sheet1!L:M,2,FALSE)</f>
        <v>Campo encontra-se de acordo com a especificação</v>
      </c>
      <c r="M78" s="31">
        <f>VLOOKUP(K78,[1]Sheet1!L:N,3,FALSE)</f>
        <v>0</v>
      </c>
    </row>
    <row r="79" spans="1:13" ht="66" x14ac:dyDescent="0.35">
      <c r="A79" s="23" t="s">
        <v>10</v>
      </c>
      <c r="B79" s="17" t="s">
        <v>3</v>
      </c>
      <c r="C79" s="17" t="s">
        <v>133</v>
      </c>
      <c r="D79" s="18">
        <v>1</v>
      </c>
      <c r="E79" s="17" t="s">
        <v>82</v>
      </c>
      <c r="F79" s="17" t="s">
        <v>55</v>
      </c>
      <c r="G79" s="17" t="s">
        <v>193</v>
      </c>
      <c r="H79" s="17" t="s">
        <v>170</v>
      </c>
      <c r="I79" s="27" t="s">
        <v>171</v>
      </c>
      <c r="K79" s="31" t="str">
        <f t="shared" si="1"/>
        <v>DerivativesInstrumentsLEG_2_CASH_FLOW</v>
      </c>
      <c r="L79" s="32" t="str">
        <f>VLOOKUP(K79,[1]Sheet1!L:M,2,FALSE)</f>
        <v>Campo encontra-se de acordo com a especificação</v>
      </c>
      <c r="M79" s="31">
        <f>VLOOKUP(K79,[1]Sheet1!L:N,3,FALSE)</f>
        <v>0</v>
      </c>
    </row>
    <row r="80" spans="1:13" ht="66" x14ac:dyDescent="0.35">
      <c r="A80" s="23" t="s">
        <v>10</v>
      </c>
      <c r="B80" s="17" t="s">
        <v>3</v>
      </c>
      <c r="C80" s="17" t="s">
        <v>134</v>
      </c>
      <c r="D80" s="18">
        <v>1</v>
      </c>
      <c r="E80" s="19" t="s">
        <v>82</v>
      </c>
      <c r="F80" s="17" t="s">
        <v>55</v>
      </c>
      <c r="G80" s="17" t="s">
        <v>193</v>
      </c>
      <c r="H80" s="17" t="s">
        <v>170</v>
      </c>
      <c r="I80" s="27" t="s">
        <v>172</v>
      </c>
      <c r="K80" s="31" t="str">
        <f t="shared" si="1"/>
        <v>DerivativesInstrumentsLEG_1_REFERENCE_RATE</v>
      </c>
      <c r="L80" s="32" t="str">
        <f>VLOOKUP(K80,[1]Sheet1!L:M,2,FALSE)</f>
        <v>Campo a revisitar no âmbito da nova iniciativa do Valuation</v>
      </c>
      <c r="M80" s="31">
        <f>VLOOKUP(K80,[1]Sheet1!L:N,3,FALSE)</f>
        <v>0</v>
      </c>
    </row>
    <row r="81" spans="1:13" ht="66" x14ac:dyDescent="0.35">
      <c r="A81" s="23" t="s">
        <v>10</v>
      </c>
      <c r="B81" s="17" t="s">
        <v>3</v>
      </c>
      <c r="C81" s="17" t="s">
        <v>135</v>
      </c>
      <c r="D81" s="18">
        <v>1</v>
      </c>
      <c r="E81" s="19" t="s">
        <v>82</v>
      </c>
      <c r="F81" s="17" t="s">
        <v>55</v>
      </c>
      <c r="G81" s="17" t="s">
        <v>193</v>
      </c>
      <c r="H81" s="17" t="s">
        <v>170</v>
      </c>
      <c r="I81" s="27" t="s">
        <v>172</v>
      </c>
      <c r="K81" s="31" t="str">
        <f t="shared" si="1"/>
        <v>DerivativesInstrumentsLEG_2_REFERENCE_RATE</v>
      </c>
      <c r="L81" s="32" t="str">
        <f>VLOOKUP(K81,[1]Sheet1!L:M,2,FALSE)</f>
        <v>Campo a revisitar no âmbito da nova iniciativa do Valuation</v>
      </c>
      <c r="M81" s="31">
        <f>VLOOKUP(K81,[1]Sheet1!L:N,3,FALSE)</f>
        <v>0</v>
      </c>
    </row>
    <row r="82" spans="1:13" ht="148.5" x14ac:dyDescent="0.35">
      <c r="A82" s="23" t="s">
        <v>10</v>
      </c>
      <c r="B82" s="17" t="s">
        <v>3</v>
      </c>
      <c r="C82" s="17" t="s">
        <v>136</v>
      </c>
      <c r="D82" s="18">
        <v>1</v>
      </c>
      <c r="E82" s="19" t="s">
        <v>82</v>
      </c>
      <c r="F82" s="17" t="s">
        <v>55</v>
      </c>
      <c r="G82" s="17" t="s">
        <v>191</v>
      </c>
      <c r="H82" s="17" t="s">
        <v>170</v>
      </c>
      <c r="I82" s="27" t="s">
        <v>172</v>
      </c>
      <c r="K82" s="31" t="str">
        <f t="shared" si="1"/>
        <v>DerivativesInstrumentsLEG_1_REFERENCE_PERIOD</v>
      </c>
      <c r="L82" s="32" t="str">
        <f>VLOOKUP(K82,[1]Sheet1!L:M,2,FALSE)</f>
        <v>Campo a revisitar no âmbito da nova iniciativa do Valuation</v>
      </c>
      <c r="M82" s="31">
        <f>VLOOKUP(K82,[1]Sheet1!L:N,3,FALSE)</f>
        <v>0</v>
      </c>
    </row>
    <row r="83" spans="1:13" ht="148.5" x14ac:dyDescent="0.35">
      <c r="A83" s="23" t="s">
        <v>10</v>
      </c>
      <c r="B83" s="17" t="s">
        <v>3</v>
      </c>
      <c r="C83" s="17" t="s">
        <v>137</v>
      </c>
      <c r="D83" s="18">
        <v>1</v>
      </c>
      <c r="E83" s="19" t="s">
        <v>82</v>
      </c>
      <c r="F83" s="17" t="s">
        <v>55</v>
      </c>
      <c r="G83" s="17" t="s">
        <v>191</v>
      </c>
      <c r="H83" s="17" t="s">
        <v>170</v>
      </c>
      <c r="I83" s="27" t="s">
        <v>172</v>
      </c>
      <c r="K83" s="31" t="str">
        <f t="shared" si="1"/>
        <v>DerivativesInstrumentsLEG_2_REFERENCE_PERIOD</v>
      </c>
      <c r="L83" s="32" t="str">
        <f>VLOOKUP(K83,[1]Sheet1!L:M,2,FALSE)</f>
        <v>Campo a revisitar no âmbito da nova iniciativa do Valuation</v>
      </c>
      <c r="M83" s="31">
        <f>VLOOKUP(K83,[1]Sheet1!L:N,3,FALSE)</f>
        <v>0</v>
      </c>
    </row>
    <row r="84" spans="1:13" ht="66" x14ac:dyDescent="0.35">
      <c r="A84" s="23" t="s">
        <v>10</v>
      </c>
      <c r="B84" s="17" t="s">
        <v>3</v>
      </c>
      <c r="C84" s="17" t="s">
        <v>138</v>
      </c>
      <c r="D84" s="18">
        <v>1</v>
      </c>
      <c r="E84" s="20" t="s">
        <v>79</v>
      </c>
      <c r="F84" s="17" t="s">
        <v>55</v>
      </c>
      <c r="G84" s="17" t="s">
        <v>194</v>
      </c>
      <c r="H84" s="17" t="s">
        <v>166</v>
      </c>
      <c r="I84" s="27" t="s">
        <v>171</v>
      </c>
      <c r="K84" s="31" t="str">
        <f t="shared" si="1"/>
        <v>DerivativesInstrumentsPREMIUM</v>
      </c>
      <c r="L84" s="32" t="str">
        <f>VLOOKUP(K84,[1]Sheet1!L:M,2,FALSE)</f>
        <v>Campo encontra-se de acordo com a especificação</v>
      </c>
      <c r="M84" s="31">
        <f>VLOOKUP(K84,[1]Sheet1!L:N,3,FALSE)</f>
        <v>0</v>
      </c>
    </row>
    <row r="85" spans="1:13" ht="165" x14ac:dyDescent="0.35">
      <c r="A85" s="23" t="s">
        <v>10</v>
      </c>
      <c r="B85" s="17" t="s">
        <v>3</v>
      </c>
      <c r="C85" s="17" t="s">
        <v>50</v>
      </c>
      <c r="D85" s="18">
        <v>1</v>
      </c>
      <c r="E85" s="17" t="s">
        <v>91</v>
      </c>
      <c r="F85" s="17" t="s">
        <v>55</v>
      </c>
      <c r="G85" s="17" t="s">
        <v>194</v>
      </c>
      <c r="H85" s="17" t="s">
        <v>166</v>
      </c>
      <c r="I85" s="36" t="s">
        <v>221</v>
      </c>
      <c r="K85" s="31" t="str">
        <f t="shared" si="1"/>
        <v>DerivativesInstrumentsCARRYING_AMOUNT</v>
      </c>
      <c r="L85" s="32" t="str">
        <f>VLOOKUP(K85,[1]Sheet1!L:M,2,FALSE)</f>
        <v>Campo encontra-se preenchido, não existindo a % de incidência indicada</v>
      </c>
      <c r="M85" s="31" t="s">
        <v>209</v>
      </c>
    </row>
    <row r="86" spans="1:13" ht="148.5" x14ac:dyDescent="0.35">
      <c r="A86" s="23" t="s">
        <v>10</v>
      </c>
      <c r="B86" s="17" t="s">
        <v>3</v>
      </c>
      <c r="C86" s="17" t="s">
        <v>139</v>
      </c>
      <c r="D86" s="18">
        <v>0.60689655172413792</v>
      </c>
      <c r="E86" s="20" t="s">
        <v>90</v>
      </c>
      <c r="F86" s="17" t="s">
        <v>143</v>
      </c>
      <c r="G86" s="17" t="s">
        <v>195</v>
      </c>
      <c r="H86" s="17"/>
      <c r="I86" s="27" t="s">
        <v>173</v>
      </c>
      <c r="K86" s="31" t="str">
        <f t="shared" si="1"/>
        <v>DerivativesInstrumentsACCOUNTING_STANDARD</v>
      </c>
      <c r="L86" s="32" t="str">
        <f>VLOOKUP(K86,[1]Sheet1!L:M,2,FALSE)</f>
        <v>Tema já identificado</v>
      </c>
      <c r="M86" s="31" t="str">
        <f>VLOOKUP(K86,[1]Sheet1!L:N,3,FALSE)</f>
        <v>ACCNTNG_CLSSFCTN</v>
      </c>
    </row>
    <row r="87" spans="1:13" ht="181.5" x14ac:dyDescent="0.35">
      <c r="A87" s="23" t="s">
        <v>10</v>
      </c>
      <c r="B87" s="17" t="s">
        <v>3</v>
      </c>
      <c r="C87" s="17" t="s">
        <v>140</v>
      </c>
      <c r="D87" s="18">
        <v>1</v>
      </c>
      <c r="E87" s="20" t="s">
        <v>92</v>
      </c>
      <c r="F87" s="17" t="s">
        <v>56</v>
      </c>
      <c r="G87" s="17" t="s">
        <v>195</v>
      </c>
      <c r="H87" s="17" t="s">
        <v>166</v>
      </c>
      <c r="I87" s="27" t="s">
        <v>173</v>
      </c>
      <c r="K87" s="31" t="str">
        <f t="shared" si="1"/>
        <v>DerivativesInstrumentsACCOUNTING_CLASSIFICATION</v>
      </c>
      <c r="L87" s="32" t="str">
        <f>VLOOKUP(K87,[1]Sheet1!L:M,2,FALSE)</f>
        <v>Tema já identificado</v>
      </c>
      <c r="M87" s="31" t="str">
        <f>VLOOKUP(K87,[1]Sheet1!L:N,3,FALSE)</f>
        <v>PRDNTL_PRTFL</v>
      </c>
    </row>
    <row r="88" spans="1:13" ht="66" x14ac:dyDescent="0.35">
      <c r="A88" s="23" t="s">
        <v>10</v>
      </c>
      <c r="B88" s="17" t="s">
        <v>3</v>
      </c>
      <c r="C88" s="17" t="s">
        <v>141</v>
      </c>
      <c r="D88" s="18">
        <v>1</v>
      </c>
      <c r="E88" s="17" t="s">
        <v>82</v>
      </c>
      <c r="F88" s="17" t="s">
        <v>55</v>
      </c>
      <c r="G88" s="17" t="s">
        <v>196</v>
      </c>
      <c r="H88" s="17" t="s">
        <v>170</v>
      </c>
      <c r="I88" s="27" t="s">
        <v>172</v>
      </c>
      <c r="K88" s="31" t="str">
        <f t="shared" si="1"/>
        <v>DerivativesInstrumentsHIERARCHY</v>
      </c>
      <c r="L88" s="32" t="str">
        <f>VLOOKUP(K88,[1]Sheet1!L:M,2,FALSE)</f>
        <v>Campo a revisitar no âmbito da nova iniciativa do Valuation</v>
      </c>
      <c r="M88" s="31">
        <f>VLOOKUP(K88,[1]Sheet1!L:N,3,FALSE)</f>
        <v>0</v>
      </c>
    </row>
    <row r="89" spans="1:13" ht="33" x14ac:dyDescent="0.35">
      <c r="A89" s="23" t="s">
        <v>10</v>
      </c>
      <c r="B89" s="17" t="s">
        <v>3</v>
      </c>
      <c r="C89" s="17" t="s">
        <v>142</v>
      </c>
      <c r="D89" s="18">
        <v>1</v>
      </c>
      <c r="E89" s="17" t="s">
        <v>84</v>
      </c>
      <c r="F89" s="17" t="s">
        <v>55</v>
      </c>
      <c r="G89" s="17" t="s">
        <v>197</v>
      </c>
      <c r="H89" s="17" t="s">
        <v>166</v>
      </c>
      <c r="I89" s="27" t="s">
        <v>172</v>
      </c>
      <c r="K89" s="31" t="str">
        <f t="shared" si="1"/>
        <v>DerivativesInstrumentsHEDGE_ID</v>
      </c>
      <c r="L89" s="32" t="str">
        <f>VLOOKUP(K89,[1]Sheet1!L:M,2,FALSE)</f>
        <v>Campo a revisitar no âmbito da nova iniciativa do Valuation</v>
      </c>
      <c r="M89" s="31">
        <f>VLOOKUP(K89,[1]Sheet1!L:N,3,FALSE)</f>
        <v>0</v>
      </c>
    </row>
    <row r="90" spans="1:13" ht="181.5" x14ac:dyDescent="0.35">
      <c r="A90" s="23" t="s">
        <v>11</v>
      </c>
      <c r="B90" s="17" t="s">
        <v>3</v>
      </c>
      <c r="C90" s="17" t="s">
        <v>145</v>
      </c>
      <c r="D90" s="18">
        <v>1</v>
      </c>
      <c r="E90" s="17" t="s">
        <v>84</v>
      </c>
      <c r="F90" s="17" t="s">
        <v>155</v>
      </c>
      <c r="G90" s="17" t="s">
        <v>199</v>
      </c>
      <c r="H90" s="17" t="s">
        <v>200</v>
      </c>
      <c r="I90" s="27" t="s">
        <v>173</v>
      </c>
      <c r="K90" s="31" t="str">
        <f t="shared" si="1"/>
        <v>Debt securitiesInstrumentsISIN</v>
      </c>
      <c r="L90" s="32" t="str">
        <f>VLOOKUP(K90,[1]Sheet1!L:M,2,FALSE)</f>
        <v>Tema já identificado</v>
      </c>
      <c r="M90" s="31">
        <f>VLOOKUP(K90,[1]Sheet1!L:N,3,FALSE)</f>
        <v>0</v>
      </c>
    </row>
    <row r="91" spans="1:13" ht="66" x14ac:dyDescent="0.35">
      <c r="A91" s="23" t="s">
        <v>11</v>
      </c>
      <c r="B91" s="17" t="s">
        <v>3</v>
      </c>
      <c r="C91" s="17" t="s">
        <v>146</v>
      </c>
      <c r="D91" s="18">
        <v>1</v>
      </c>
      <c r="E91" s="17" t="s">
        <v>82</v>
      </c>
      <c r="F91" s="17" t="s">
        <v>55</v>
      </c>
      <c r="G91" s="17" t="s">
        <v>198</v>
      </c>
      <c r="H91" s="17" t="s">
        <v>166</v>
      </c>
      <c r="I91" s="27" t="s">
        <v>176</v>
      </c>
      <c r="K91" s="31" t="str">
        <f t="shared" si="1"/>
        <v>Debt securitiesInstrumentsISSUER_RATINGS</v>
      </c>
      <c r="L91" s="32" t="str">
        <f>VLOOKUP(K91,[1]Sheet1!L:M,2,FALSE)</f>
        <v>Campo já existente no Loan Tape, necessária análise</v>
      </c>
      <c r="M91" s="31" t="str">
        <f>VLOOKUP(K91,[1]Sheet1!L:N,3,FALSE)</f>
        <v>ISSR_RTNG</v>
      </c>
    </row>
    <row r="92" spans="1:13" ht="66" x14ac:dyDescent="0.35">
      <c r="A92" s="23" t="s">
        <v>11</v>
      </c>
      <c r="B92" s="17" t="s">
        <v>3</v>
      </c>
      <c r="C92" s="17" t="s">
        <v>147</v>
      </c>
      <c r="D92" s="18">
        <v>0.95092024539877296</v>
      </c>
      <c r="E92" s="17" t="s">
        <v>82</v>
      </c>
      <c r="F92" s="17" t="s">
        <v>55</v>
      </c>
      <c r="G92" s="17" t="s">
        <v>198</v>
      </c>
      <c r="H92" s="17" t="s">
        <v>166</v>
      </c>
      <c r="I92" s="27" t="s">
        <v>176</v>
      </c>
      <c r="K92" s="31" t="str">
        <f t="shared" si="1"/>
        <v>Debt securitiesInstrumentsISSUER_RATINGS_SOURCES</v>
      </c>
      <c r="L92" s="32" t="str">
        <f>VLOOKUP(K92,[1]Sheet1!L:M,2,FALSE)</f>
        <v>Campo já existente no Loan Tape, necessária análise</v>
      </c>
      <c r="M92" s="31" t="str">
        <f>VLOOKUP(K92,[1]Sheet1!L:N,3,FALSE)</f>
        <v>ISSR_RTNG_SRC</v>
      </c>
    </row>
    <row r="93" spans="1:13" ht="66" x14ac:dyDescent="0.35">
      <c r="A93" s="23" t="s">
        <v>11</v>
      </c>
      <c r="B93" s="17" t="s">
        <v>3</v>
      </c>
      <c r="C93" s="17" t="s">
        <v>148</v>
      </c>
      <c r="D93" s="18">
        <v>1</v>
      </c>
      <c r="E93" s="17" t="s">
        <v>84</v>
      </c>
      <c r="F93" s="17" t="s">
        <v>55</v>
      </c>
      <c r="G93" s="17" t="s">
        <v>198</v>
      </c>
      <c r="H93" s="17" t="s">
        <v>166</v>
      </c>
      <c r="I93" s="27" t="s">
        <v>176</v>
      </c>
      <c r="K93" s="31" t="str">
        <f t="shared" si="1"/>
        <v>Debt securitiesInstrumentsCURRENCY_VALUE</v>
      </c>
      <c r="L93" s="32" t="str">
        <f>VLOOKUP(K93,[1]Sheet1!L:M,2,FALSE)</f>
        <v>Campo já existente no Loan Tape, necessária análise</v>
      </c>
      <c r="M93" s="31" t="str">
        <f>VLOOKUP(K93,[1]Sheet1!L:N,3,FALSE)</f>
        <v>VLTN_CRRNCY</v>
      </c>
    </row>
    <row r="94" spans="1:13" ht="66" x14ac:dyDescent="0.35">
      <c r="A94" s="23" t="s">
        <v>11</v>
      </c>
      <c r="B94" s="17" t="s">
        <v>3</v>
      </c>
      <c r="C94" s="17" t="s">
        <v>149</v>
      </c>
      <c r="D94" s="18">
        <v>0.83640081799591004</v>
      </c>
      <c r="E94" s="22" t="s">
        <v>87</v>
      </c>
      <c r="F94" s="17" t="s">
        <v>55</v>
      </c>
      <c r="G94" s="17" t="s">
        <v>198</v>
      </c>
      <c r="H94" s="17" t="s">
        <v>166</v>
      </c>
      <c r="I94" s="27" t="s">
        <v>176</v>
      </c>
      <c r="K94" s="31" t="str">
        <f t="shared" si="1"/>
        <v>Debt securitiesInstrumentsVAL_TIMESTAMP</v>
      </c>
      <c r="L94" s="32" t="str">
        <f>VLOOKUP(K94,[1]Sheet1!L:M,2,FALSE)</f>
        <v>Campo já existente no Loan Tape, necessária análise</v>
      </c>
      <c r="M94" s="31" t="str">
        <f>VLOOKUP(K94,[1]Sheet1!L:N,3,FALSE)</f>
        <v>DT_VLTN</v>
      </c>
    </row>
    <row r="95" spans="1:13" ht="82.5" x14ac:dyDescent="0.35">
      <c r="A95" s="23" t="s">
        <v>11</v>
      </c>
      <c r="B95" s="17" t="s">
        <v>3</v>
      </c>
      <c r="C95" s="17" t="s">
        <v>150</v>
      </c>
      <c r="D95" s="18">
        <v>1</v>
      </c>
      <c r="E95" s="20" t="s">
        <v>92</v>
      </c>
      <c r="F95" s="22" t="s">
        <v>158</v>
      </c>
      <c r="G95" s="17" t="s">
        <v>198</v>
      </c>
      <c r="H95" s="17" t="s">
        <v>166</v>
      </c>
      <c r="I95" s="27" t="s">
        <v>176</v>
      </c>
      <c r="K95" s="31" t="str">
        <f t="shared" si="1"/>
        <v>Debt securitiesInstrumentsVAL_TYPE</v>
      </c>
      <c r="L95" s="32" t="str">
        <f>VLOOKUP(K95,[1]Sheet1!L:M,2,FALSE)</f>
        <v>Campo já existente no Loan Tape, necessária análise</v>
      </c>
      <c r="M95" s="31" t="str">
        <f>VLOOKUP(K95,[1]Sheet1!L:N,3,FALSE)</f>
        <v>VLTN_TYP</v>
      </c>
    </row>
    <row r="96" spans="1:13" ht="66" x14ac:dyDescent="0.35">
      <c r="A96" s="23" t="s">
        <v>11</v>
      </c>
      <c r="B96" s="17" t="s">
        <v>3</v>
      </c>
      <c r="C96" s="17" t="s">
        <v>151</v>
      </c>
      <c r="D96" s="18">
        <v>1</v>
      </c>
      <c r="E96" s="19" t="s">
        <v>82</v>
      </c>
      <c r="F96" s="17" t="s">
        <v>55</v>
      </c>
      <c r="G96" s="17" t="s">
        <v>198</v>
      </c>
      <c r="H96" s="17" t="s">
        <v>170</v>
      </c>
      <c r="I96" s="27" t="s">
        <v>172</v>
      </c>
      <c r="K96" s="31" t="str">
        <f t="shared" si="1"/>
        <v>Debt securitiesInstrumentsSECURITY_RATING</v>
      </c>
      <c r="L96" s="32" t="str">
        <f>VLOOKUP(K96,[1]Sheet1!L:M,2,FALSE)</f>
        <v>Campo a revisitar no âmbito da nova iniciativa do Valuation</v>
      </c>
      <c r="M96" s="31">
        <f>VLOOKUP(K96,[1]Sheet1!L:N,3,FALSE)</f>
        <v>0</v>
      </c>
    </row>
    <row r="97" spans="1:13" ht="66" x14ac:dyDescent="0.35">
      <c r="A97" s="23" t="s">
        <v>11</v>
      </c>
      <c r="B97" s="17" t="s">
        <v>3</v>
      </c>
      <c r="C97" s="17" t="s">
        <v>152</v>
      </c>
      <c r="D97" s="18">
        <v>0.83640081799591004</v>
      </c>
      <c r="E97" s="17" t="s">
        <v>84</v>
      </c>
      <c r="F97" s="17" t="s">
        <v>55</v>
      </c>
      <c r="G97" s="17" t="s">
        <v>198</v>
      </c>
      <c r="H97" s="17" t="s">
        <v>166</v>
      </c>
      <c r="I97" s="27" t="s">
        <v>176</v>
      </c>
      <c r="K97" s="31" t="str">
        <f t="shared" si="1"/>
        <v>Debt securitiesInstrumentsPURCHASED_RESALE_AGR</v>
      </c>
      <c r="L97" s="32" t="str">
        <f>VLOOKUP(K97,[1]Sheet1!L:M,2,FALSE)</f>
        <v>Campo já existente no Loan Tape, necessária análise</v>
      </c>
      <c r="M97" s="31" t="str">
        <f>VLOOKUP(K97,[1]Sheet1!L:N,3,FALSE)</f>
        <v>PRCH_UNDR_RSL_AGR</v>
      </c>
    </row>
    <row r="98" spans="1:13" ht="66" x14ac:dyDescent="0.35">
      <c r="A98" s="23" t="s">
        <v>11</v>
      </c>
      <c r="B98" s="17" t="s">
        <v>3</v>
      </c>
      <c r="C98" s="17" t="s">
        <v>153</v>
      </c>
      <c r="D98" s="18">
        <v>0.83640081799591004</v>
      </c>
      <c r="E98" s="17" t="s">
        <v>84</v>
      </c>
      <c r="F98" s="17" t="s">
        <v>55</v>
      </c>
      <c r="G98" s="17" t="s">
        <v>198</v>
      </c>
      <c r="H98" s="17" t="s">
        <v>166</v>
      </c>
      <c r="I98" s="27" t="s">
        <v>176</v>
      </c>
      <c r="K98" s="31" t="str">
        <f t="shared" si="1"/>
        <v>Debt securitiesInstrumentsPART_LCR_BUFFER</v>
      </c>
      <c r="L98" s="32" t="str">
        <f>VLOOKUP(K98,[1]Sheet1!L:M,2,FALSE)</f>
        <v>Campo já existente no Loan Tape, necessária análise</v>
      </c>
      <c r="M98" s="31" t="str">
        <f>VLOOKUP(K98,[1]Sheet1!L:N,3,FALSE)</f>
        <v>PRT_LCR_BFFR</v>
      </c>
    </row>
    <row r="99" spans="1:13" ht="66" x14ac:dyDescent="0.35">
      <c r="A99" s="23" t="s">
        <v>11</v>
      </c>
      <c r="B99" s="17" t="s">
        <v>3</v>
      </c>
      <c r="C99" s="17" t="s">
        <v>154</v>
      </c>
      <c r="D99" s="18">
        <v>0.96932515337423308</v>
      </c>
      <c r="E99" s="17" t="s">
        <v>84</v>
      </c>
      <c r="F99" s="17" t="s">
        <v>55</v>
      </c>
      <c r="G99" s="17" t="s">
        <v>198</v>
      </c>
      <c r="H99" s="17" t="s">
        <v>166</v>
      </c>
      <c r="I99" s="27" t="s">
        <v>176</v>
      </c>
      <c r="K99" s="31" t="str">
        <f t="shared" si="1"/>
        <v>Debt securitiesInstrumentsLCR_BUFFER_CATEGORY</v>
      </c>
      <c r="L99" s="32" t="str">
        <f>VLOOKUP(K99,[1]Sheet1!L:M,2,FALSE)</f>
        <v>Campo já existente no Loan Tape, necessária análise</v>
      </c>
      <c r="M99" s="31" t="str">
        <f>VLOOKUP(K99,[1]Sheet1!L:N,3,FALSE)</f>
        <v>LCR_BFFR_CTGRY</v>
      </c>
    </row>
    <row r="100" spans="1:13" ht="66" x14ac:dyDescent="0.35">
      <c r="A100" s="23" t="s">
        <v>11</v>
      </c>
      <c r="B100" s="17" t="s">
        <v>3</v>
      </c>
      <c r="C100" s="17" t="s">
        <v>142</v>
      </c>
      <c r="D100" s="18">
        <v>0.99182004089979547</v>
      </c>
      <c r="E100" s="17" t="s">
        <v>84</v>
      </c>
      <c r="F100" s="17" t="s">
        <v>55</v>
      </c>
      <c r="G100" s="17" t="s">
        <v>198</v>
      </c>
      <c r="H100" s="17" t="s">
        <v>166</v>
      </c>
      <c r="I100" s="27" t="s">
        <v>172</v>
      </c>
      <c r="K100" s="31" t="str">
        <f t="shared" si="1"/>
        <v>Debt securitiesInstrumentsHEDGE_ID</v>
      </c>
      <c r="L100" s="32" t="str">
        <f>VLOOKUP(K100,[1]Sheet1!L:M,2,FALSE)</f>
        <v>Campo já existente no Loan Tape, necessária análise</v>
      </c>
      <c r="M100" s="31" t="str">
        <f>VLOOKUP(K100,[1]Sheet1!L:N,3,FALSE)</f>
        <v>HEDGE_ID</v>
      </c>
    </row>
    <row r="101" spans="1:13" ht="148.5" x14ac:dyDescent="0.35">
      <c r="A101" s="23" t="s">
        <v>12</v>
      </c>
      <c r="B101" s="17" t="s">
        <v>3</v>
      </c>
      <c r="C101" s="17" t="s">
        <v>156</v>
      </c>
      <c r="D101" s="18">
        <v>1</v>
      </c>
      <c r="E101" s="17"/>
      <c r="F101" s="17" t="s">
        <v>54</v>
      </c>
      <c r="G101" s="17" t="s">
        <v>204</v>
      </c>
      <c r="H101" s="17"/>
      <c r="I101" s="27" t="s">
        <v>177</v>
      </c>
      <c r="K101" s="31" t="str">
        <f t="shared" si="1"/>
        <v>EquityInstrumentsFINANCIAL_CONTRACT_ID</v>
      </c>
      <c r="L101" s="32" t="str">
        <f>VLOOKUP(K101,[1]Sheet1!L:M,2,FALSE)</f>
        <v>Os registos mencionados (SNC%) tratam-se de registos manuais</v>
      </c>
      <c r="M101" s="31">
        <f>VLOOKUP(K101,[1]Sheet1!L:N,3,FALSE)</f>
        <v>0</v>
      </c>
    </row>
    <row r="102" spans="1:13" ht="181.5" x14ac:dyDescent="0.35">
      <c r="A102" s="23" t="s">
        <v>12</v>
      </c>
      <c r="B102" s="17" t="s">
        <v>3</v>
      </c>
      <c r="C102" s="17" t="s">
        <v>145</v>
      </c>
      <c r="D102" s="18">
        <v>0.23333333333333334</v>
      </c>
      <c r="E102" s="17" t="s">
        <v>84</v>
      </c>
      <c r="F102" s="17" t="s">
        <v>54</v>
      </c>
      <c r="G102" s="17" t="s">
        <v>159</v>
      </c>
      <c r="H102" s="17" t="s">
        <v>166</v>
      </c>
      <c r="I102" s="27" t="s">
        <v>176</v>
      </c>
      <c r="K102" s="31" t="str">
        <f t="shared" si="1"/>
        <v>EquityInstrumentsISIN</v>
      </c>
      <c r="L102" s="32" t="str">
        <f>VLOOKUP(K102,[1]Sheet1!L:M,2,FALSE)</f>
        <v>Campo já existente no Loan Tape, necessária análise</v>
      </c>
      <c r="M102" s="31" t="str">
        <f>VLOOKUP(K102,[1]Sheet1!L:N,3,FALSE)</f>
        <v>ISIN</v>
      </c>
    </row>
    <row r="103" spans="1:13" ht="66" x14ac:dyDescent="0.35">
      <c r="A103" s="23" t="s">
        <v>12</v>
      </c>
      <c r="B103" s="17" t="s">
        <v>3</v>
      </c>
      <c r="C103" s="17" t="s">
        <v>146</v>
      </c>
      <c r="D103" s="18">
        <v>1</v>
      </c>
      <c r="E103" s="17" t="s">
        <v>82</v>
      </c>
      <c r="F103" s="17" t="s">
        <v>55</v>
      </c>
      <c r="G103" s="17" t="s">
        <v>203</v>
      </c>
      <c r="H103" s="17" t="s">
        <v>166</v>
      </c>
      <c r="I103" s="27" t="s">
        <v>176</v>
      </c>
      <c r="K103" s="31" t="str">
        <f t="shared" si="1"/>
        <v>EquityInstrumentsISSUER_RATINGS</v>
      </c>
      <c r="L103" s="32" t="str">
        <f>VLOOKUP(K103,[1]Sheet1!L:M,2,FALSE)</f>
        <v>Campo já existente no Loan Tape, necessária análise</v>
      </c>
      <c r="M103" s="31" t="str">
        <f>VLOOKUP(K103,[1]Sheet1!L:N,3,FALSE)</f>
        <v>ISSR_RTNG</v>
      </c>
    </row>
    <row r="104" spans="1:13" ht="66" x14ac:dyDescent="0.35">
      <c r="A104" s="23" t="s">
        <v>12</v>
      </c>
      <c r="B104" s="17" t="s">
        <v>3</v>
      </c>
      <c r="C104" s="17" t="s">
        <v>147</v>
      </c>
      <c r="D104" s="18">
        <v>1</v>
      </c>
      <c r="E104" s="17" t="s">
        <v>82</v>
      </c>
      <c r="F104" s="17" t="s">
        <v>55</v>
      </c>
      <c r="G104" s="17" t="s">
        <v>203</v>
      </c>
      <c r="H104" s="17" t="s">
        <v>166</v>
      </c>
      <c r="I104" s="27" t="s">
        <v>176</v>
      </c>
      <c r="K104" s="31" t="str">
        <f t="shared" si="1"/>
        <v>EquityInstrumentsISSUER_RATINGS_SOURCES</v>
      </c>
      <c r="L104" s="32" t="str">
        <f>VLOOKUP(K104,[1]Sheet1!L:M,2,FALSE)</f>
        <v>Campo já existente no Loan Tape, necessária análise</v>
      </c>
      <c r="M104" s="31" t="str">
        <f>VLOOKUP(K104,[1]Sheet1!L:N,3,FALSE)</f>
        <v>ISSR_RTNG_SRC</v>
      </c>
    </row>
    <row r="105" spans="1:13" ht="66" x14ac:dyDescent="0.35">
      <c r="A105" s="23" t="s">
        <v>12</v>
      </c>
      <c r="B105" s="17" t="s">
        <v>3</v>
      </c>
      <c r="C105" s="17" t="s">
        <v>148</v>
      </c>
      <c r="D105" s="18">
        <v>1</v>
      </c>
      <c r="E105" s="17" t="s">
        <v>84</v>
      </c>
      <c r="F105" s="17" t="s">
        <v>55</v>
      </c>
      <c r="G105" s="17" t="s">
        <v>203</v>
      </c>
      <c r="H105" s="17" t="s">
        <v>166</v>
      </c>
      <c r="I105" s="27" t="s">
        <v>176</v>
      </c>
      <c r="K105" s="31" t="str">
        <f t="shared" si="1"/>
        <v>EquityInstrumentsCURRENCY_VALUE</v>
      </c>
      <c r="L105" s="32" t="str">
        <f>VLOOKUP(K105,[1]Sheet1!L:M,2,FALSE)</f>
        <v>Campo já existente no Loan Tape, necessária análise</v>
      </c>
      <c r="M105" s="31" t="str">
        <f>VLOOKUP(K105,[1]Sheet1!L:N,3,FALSE)</f>
        <v>VLTN_CRRNCY</v>
      </c>
    </row>
    <row r="106" spans="1:13" ht="82.5" x14ac:dyDescent="0.35">
      <c r="A106" s="23" t="s">
        <v>12</v>
      </c>
      <c r="B106" s="17" t="s">
        <v>3</v>
      </c>
      <c r="C106" s="17" t="s">
        <v>150</v>
      </c>
      <c r="D106" s="18">
        <v>1</v>
      </c>
      <c r="E106" s="22" t="s">
        <v>90</v>
      </c>
      <c r="F106" s="17" t="s">
        <v>158</v>
      </c>
      <c r="G106" s="17" t="s">
        <v>161</v>
      </c>
      <c r="H106" s="17" t="s">
        <v>166</v>
      </c>
      <c r="I106" s="27" t="s">
        <v>176</v>
      </c>
      <c r="K106" s="31" t="str">
        <f t="shared" si="1"/>
        <v>EquityInstrumentsVAL_TYPE</v>
      </c>
      <c r="L106" s="32" t="str">
        <f>VLOOKUP(K106,[1]Sheet1!L:M,2,FALSE)</f>
        <v>Campo já existente no Loan Tape, necessária análise</v>
      </c>
      <c r="M106" s="31" t="str">
        <f>VLOOKUP(K106,[1]Sheet1!L:N,3,FALSE)</f>
        <v>VLTN_TYP</v>
      </c>
    </row>
    <row r="107" spans="1:13" ht="49.5" x14ac:dyDescent="0.35">
      <c r="A107" s="23" t="s">
        <v>12</v>
      </c>
      <c r="B107" s="17" t="s">
        <v>3</v>
      </c>
      <c r="C107" s="17" t="s">
        <v>157</v>
      </c>
      <c r="D107" s="18">
        <v>1</v>
      </c>
      <c r="E107" s="17" t="s">
        <v>82</v>
      </c>
      <c r="F107" s="17" t="s">
        <v>55</v>
      </c>
      <c r="G107" s="17" t="s">
        <v>160</v>
      </c>
      <c r="H107" s="17" t="s">
        <v>166</v>
      </c>
      <c r="I107" s="27" t="s">
        <v>171</v>
      </c>
      <c r="K107" s="31" t="str">
        <f t="shared" si="1"/>
        <v>EquityInstrumentsDIVIDEND_YIELD</v>
      </c>
      <c r="L107" s="32" t="str">
        <f>VLOOKUP(K107,[1]Sheet1!L:M,2,FALSE)</f>
        <v>Campo encontra-se de acordo com a especificação</v>
      </c>
      <c r="M107" s="31">
        <f>VLOOKUP(K107,[1]Sheet1!L:N,3,FALSE)</f>
        <v>0</v>
      </c>
    </row>
    <row r="108" spans="1:13" ht="66" x14ac:dyDescent="0.35">
      <c r="A108" s="23" t="s">
        <v>12</v>
      </c>
      <c r="B108" s="17" t="s">
        <v>3</v>
      </c>
      <c r="C108" s="17" t="s">
        <v>26</v>
      </c>
      <c r="D108" s="18">
        <v>0.36666666666666664</v>
      </c>
      <c r="E108" s="17"/>
      <c r="F108" s="17" t="s">
        <v>55</v>
      </c>
      <c r="G108" s="17" t="s">
        <v>203</v>
      </c>
      <c r="H108" s="17"/>
      <c r="I108" s="27" t="s">
        <v>176</v>
      </c>
      <c r="K108" s="31" t="str">
        <f t="shared" si="1"/>
        <v>EquityInstrumentsTOTAL_RISK_EXPOSURE_AMOUNT</v>
      </c>
      <c r="L108" s="32" t="str">
        <f>VLOOKUP(K108,[1]Sheet1!L:M,2,FALSE)</f>
        <v>Campo já existente no Loan Tape, necessária análise</v>
      </c>
      <c r="M108" s="31" t="str">
        <f>VLOOKUP(K108,[1]Sheet1!L:N,3,FALSE)</f>
        <v>RWA</v>
      </c>
    </row>
    <row r="109" spans="1:13" x14ac:dyDescent="0.35">
      <c r="A109" s="16" t="s">
        <v>2</v>
      </c>
      <c r="B109" s="17" t="s">
        <v>3</v>
      </c>
      <c r="C109" s="17" t="s">
        <v>13</v>
      </c>
      <c r="D109" s="18">
        <v>0.93509096515571999</v>
      </c>
      <c r="E109" s="19" t="s">
        <v>79</v>
      </c>
      <c r="F109" s="17"/>
      <c r="G109" s="17"/>
      <c r="H109" s="17"/>
      <c r="I109" s="27" t="s">
        <v>176</v>
      </c>
      <c r="K109" s="31" t="str">
        <f t="shared" si="1"/>
        <v>Exposures to legal personsInstrumentsCRR_LOSS_GIVEN_DEFAULT</v>
      </c>
      <c r="L109" s="32" t="str">
        <f>VLOOKUP(K109,[1]Sheet1!L:M,2,FALSE)</f>
        <v>Campo já existente no Loan Tape, necessária análise</v>
      </c>
      <c r="M109" s="31" t="str">
        <f>VLOOKUP(K109,[1]Sheet1!L:N,3,FALSE)</f>
        <v>LGD</v>
      </c>
    </row>
    <row r="110" spans="1:13" ht="165" x14ac:dyDescent="0.35">
      <c r="A110" s="8" t="s">
        <v>2</v>
      </c>
      <c r="B110" s="9" t="s">
        <v>3</v>
      </c>
      <c r="C110" s="9" t="s">
        <v>24</v>
      </c>
      <c r="D110" s="10">
        <v>0.66056476671647812</v>
      </c>
      <c r="E110" s="11" t="s">
        <v>82</v>
      </c>
      <c r="F110" s="9"/>
      <c r="G110" s="9"/>
      <c r="H110" s="9"/>
      <c r="I110" s="27" t="s">
        <v>221</v>
      </c>
      <c r="K110" s="31" t="str">
        <f t="shared" si="1"/>
        <v>Exposures to legal personsInstrumentsCRR_EXPOSURE_CLASS</v>
      </c>
      <c r="L110" s="32" t="e">
        <f>VLOOKUP(K110,[1]Sheet1!L:M,2,FALSE)</f>
        <v>#N/A</v>
      </c>
      <c r="M110" s="32" t="s">
        <v>211</v>
      </c>
    </row>
    <row r="111" spans="1:13" x14ac:dyDescent="0.35">
      <c r="A111" s="8" t="s">
        <v>2</v>
      </c>
      <c r="B111" s="9" t="s">
        <v>3</v>
      </c>
      <c r="C111" s="9" t="s">
        <v>26</v>
      </c>
      <c r="D111" s="10">
        <v>0.10025142911359378</v>
      </c>
      <c r="E111" s="11" t="s">
        <v>91</v>
      </c>
      <c r="F111" s="9"/>
      <c r="G111" s="9"/>
      <c r="H111" s="9"/>
      <c r="I111" s="27" t="s">
        <v>176</v>
      </c>
      <c r="K111" s="31" t="str">
        <f t="shared" si="1"/>
        <v>Exposures to legal personsInstrumentsTOTAL_RISK_EXPOSURE_AMOUNT</v>
      </c>
      <c r="L111" s="32" t="e">
        <f>VLOOKUP(K111,[1]Sheet1!L:M,2,FALSE)</f>
        <v>#N/A</v>
      </c>
      <c r="M111" s="32" t="s">
        <v>175</v>
      </c>
    </row>
    <row r="112" spans="1:13" ht="181.5" x14ac:dyDescent="0.35">
      <c r="A112" s="8" t="s">
        <v>8</v>
      </c>
      <c r="B112" s="9" t="s">
        <v>7</v>
      </c>
      <c r="C112" s="9" t="s">
        <v>182</v>
      </c>
      <c r="D112" s="10">
        <v>0.70566683338493663</v>
      </c>
      <c r="E112" s="11" t="s">
        <v>85</v>
      </c>
      <c r="F112" s="9" t="s">
        <v>55</v>
      </c>
      <c r="G112" s="9"/>
      <c r="H112" s="9"/>
      <c r="I112" s="27" t="s">
        <v>221</v>
      </c>
      <c r="K112" s="31" t="str">
        <f t="shared" si="1"/>
        <v>Exposures to natural personsInstrument-Protection relationPROTECTION_ALLOCATED_VALUE</v>
      </c>
      <c r="L112" s="32" t="e">
        <f>VLOOKUP(K112,[1]Sheet1!L:M,2,FALSE)</f>
        <v>#N/A</v>
      </c>
      <c r="M112" s="32" t="s">
        <v>213</v>
      </c>
    </row>
    <row r="113" spans="1:13" ht="33" x14ac:dyDescent="0.35">
      <c r="A113" s="8" t="s">
        <v>8</v>
      </c>
      <c r="B113" s="9" t="s">
        <v>7</v>
      </c>
      <c r="C113" s="9" t="s">
        <v>183</v>
      </c>
      <c r="D113" s="10">
        <v>0.28771802383277362</v>
      </c>
      <c r="E113" s="11" t="s">
        <v>80</v>
      </c>
      <c r="F113" s="9" t="s">
        <v>55</v>
      </c>
      <c r="G113" s="9"/>
      <c r="H113" s="9"/>
      <c r="I113" s="27" t="s">
        <v>176</v>
      </c>
      <c r="K113" s="31" t="str">
        <f t="shared" si="1"/>
        <v>Exposures to natural personsInstrument-Protection relationTHIRDPARTY_CLAIMS_PROTECTION</v>
      </c>
      <c r="L113" s="32" t="e">
        <f>VLOOKUP(K113,[1]Sheet1!L:M,2,FALSE)</f>
        <v>#N/A</v>
      </c>
      <c r="M113" s="32" t="s">
        <v>214</v>
      </c>
    </row>
    <row r="114" spans="1:13" ht="82.5" x14ac:dyDescent="0.35">
      <c r="A114" s="8" t="s">
        <v>9</v>
      </c>
      <c r="B114" s="9" t="s">
        <v>3</v>
      </c>
      <c r="C114" s="9" t="s">
        <v>184</v>
      </c>
      <c r="D114" s="10">
        <v>0</v>
      </c>
      <c r="E114" s="11"/>
      <c r="F114" s="9"/>
      <c r="G114" s="9" t="s">
        <v>185</v>
      </c>
      <c r="H114" s="9" t="s">
        <v>186</v>
      </c>
      <c r="I114" s="27" t="s">
        <v>177</v>
      </c>
      <c r="K114" s="31" t="str">
        <f t="shared" si="1"/>
        <v>Off-balance sheet exposuresInstrumentsOBSERVED_AGENT_ID</v>
      </c>
      <c r="L114" s="32" t="e">
        <f>VLOOKUP(K114,[1]Sheet1!L:M,2,FALSE)</f>
        <v>#N/A</v>
      </c>
      <c r="M114" s="32" t="s">
        <v>215</v>
      </c>
    </row>
    <row r="115" spans="1:13" ht="165" x14ac:dyDescent="0.35">
      <c r="A115" s="8" t="s">
        <v>9</v>
      </c>
      <c r="B115" s="9" t="s">
        <v>3</v>
      </c>
      <c r="C115" s="9" t="s">
        <v>24</v>
      </c>
      <c r="D115" s="10">
        <v>0.99288740819329735</v>
      </c>
      <c r="E115" s="11"/>
      <c r="F115" s="9"/>
      <c r="G115" s="9" t="s">
        <v>187</v>
      </c>
      <c r="H115" s="9"/>
      <c r="I115" s="27" t="s">
        <v>221</v>
      </c>
      <c r="K115" s="31" t="str">
        <f t="shared" si="1"/>
        <v>Off-balance sheet exposuresInstrumentsCRR_EXPOSURE_CLASS</v>
      </c>
      <c r="L115" s="32" t="e">
        <f>VLOOKUP(K115,[1]Sheet1!L:M,2,FALSE)</f>
        <v>#N/A</v>
      </c>
      <c r="M115" s="32" t="s">
        <v>212</v>
      </c>
    </row>
    <row r="116" spans="1:13" x14ac:dyDescent="0.35">
      <c r="A116" s="8" t="s">
        <v>9</v>
      </c>
      <c r="B116" s="9" t="s">
        <v>3</v>
      </c>
      <c r="C116" s="9" t="s">
        <v>14</v>
      </c>
      <c r="D116" s="10">
        <v>0.99938851020666353</v>
      </c>
      <c r="E116" s="11" t="s">
        <v>80</v>
      </c>
      <c r="F116" s="9" t="s">
        <v>55</v>
      </c>
      <c r="G116" s="9" t="s">
        <v>188</v>
      </c>
      <c r="H116" s="9"/>
      <c r="I116" s="27" t="s">
        <v>176</v>
      </c>
      <c r="K116" s="31" t="str">
        <f t="shared" si="1"/>
        <v>Off-balance sheet exposuresInstrumentsDATE_STATUS_FORBEARANCE_RENEG</v>
      </c>
      <c r="L116" s="32" t="e">
        <f>VLOOKUP(K116,[1]Sheet1!L:M,2,FALSE)</f>
        <v>#N/A</v>
      </c>
      <c r="M116" s="32" t="s">
        <v>174</v>
      </c>
    </row>
    <row r="117" spans="1:13" ht="82.5" x14ac:dyDescent="0.35">
      <c r="A117" s="8" t="s">
        <v>9</v>
      </c>
      <c r="B117" s="9" t="s">
        <v>4</v>
      </c>
      <c r="C117" s="9" t="s">
        <v>190</v>
      </c>
      <c r="D117" s="10">
        <v>0.99999748333020844</v>
      </c>
      <c r="E117" s="11" t="s">
        <v>82</v>
      </c>
      <c r="F117" s="9"/>
      <c r="G117" s="9" t="s">
        <v>189</v>
      </c>
      <c r="H117" s="9"/>
      <c r="I117" s="27" t="s">
        <v>172</v>
      </c>
      <c r="K117" s="31" t="str">
        <f t="shared" si="1"/>
        <v>Off-balance sheet exposuresCounterpartiesLEGAL_FORM</v>
      </c>
      <c r="L117" s="32" t="e">
        <f>VLOOKUP(K117,[1]Sheet1!L:M,2,FALSE)</f>
        <v>#N/A</v>
      </c>
      <c r="M117" s="32" t="e">
        <f>VLOOKUP(K117,[1]Sheet1!L:N,3,FALSE)</f>
        <v>#N/A</v>
      </c>
    </row>
    <row r="118" spans="1:13" ht="49.5" x14ac:dyDescent="0.35">
      <c r="A118" s="8" t="s">
        <v>9</v>
      </c>
      <c r="B118" s="9" t="s">
        <v>7</v>
      </c>
      <c r="C118" s="9" t="s">
        <v>183</v>
      </c>
      <c r="D118" s="10">
        <v>1</v>
      </c>
      <c r="E118" s="11" t="s">
        <v>119</v>
      </c>
      <c r="F118" s="9" t="s">
        <v>55</v>
      </c>
      <c r="G118" s="9" t="s">
        <v>118</v>
      </c>
      <c r="H118" s="9" t="s">
        <v>166</v>
      </c>
      <c r="I118" s="27" t="s">
        <v>176</v>
      </c>
      <c r="K118" s="31" t="str">
        <f t="shared" si="1"/>
        <v>Off-balance sheet exposuresInstrument-Protection relationTHIRDPARTY_CLAIMS_PROTECTION</v>
      </c>
      <c r="L118" s="32" t="e">
        <f>VLOOKUP(K118,[1]Sheet1!L:M,2,FALSE)</f>
        <v>#N/A</v>
      </c>
      <c r="M118" s="32" t="s">
        <v>214</v>
      </c>
    </row>
    <row r="119" spans="1:13" ht="165" x14ac:dyDescent="0.35">
      <c r="A119" s="8" t="s">
        <v>12</v>
      </c>
      <c r="B119" s="9" t="s">
        <v>3</v>
      </c>
      <c r="C119" s="9" t="s">
        <v>201</v>
      </c>
      <c r="D119" s="10">
        <v>0.26666666666666666</v>
      </c>
      <c r="E119" s="11"/>
      <c r="F119" s="9"/>
      <c r="G119" s="9" t="s">
        <v>203</v>
      </c>
      <c r="H119" s="9"/>
      <c r="I119" s="27" t="s">
        <v>176</v>
      </c>
      <c r="K119" s="31" t="str">
        <f t="shared" si="1"/>
        <v>EquityInstrumentsISSUER_ESA_2010</v>
      </c>
      <c r="L119" s="32" t="e">
        <f>VLOOKUP(K119,[1]Sheet1!L:M,2,FALSE)</f>
        <v>#N/A</v>
      </c>
      <c r="M119" s="32" t="s">
        <v>216</v>
      </c>
    </row>
    <row r="120" spans="1:13" ht="165" x14ac:dyDescent="0.35">
      <c r="A120" s="8" t="s">
        <v>12</v>
      </c>
      <c r="B120" s="9" t="s">
        <v>3</v>
      </c>
      <c r="C120" s="9" t="s">
        <v>202</v>
      </c>
      <c r="D120" s="10">
        <v>1</v>
      </c>
      <c r="E120" s="11"/>
      <c r="F120" s="9"/>
      <c r="G120" s="9" t="s">
        <v>203</v>
      </c>
      <c r="H120" s="9"/>
      <c r="I120" s="27" t="s">
        <v>176</v>
      </c>
      <c r="K120" s="31" t="str">
        <f t="shared" ref="K120" si="2">CONCATENATE(A120,B120,C120)</f>
        <v>EquityInstrumentsISSUER_NACE_SECTOR</v>
      </c>
      <c r="L120" s="31" t="e">
        <f>VLOOKUP(K120,[1]Sheet1!L:M,2,FALSE)</f>
        <v>#N/A</v>
      </c>
      <c r="M120" s="31" t="s">
        <v>217</v>
      </c>
    </row>
  </sheetData>
  <autoFilter ref="A1:N12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heetViews>
  <sheetFormatPr defaultRowHeight="16.5" x14ac:dyDescent="0.35"/>
  <cols>
    <col min="1" max="1" width="65.7109375" customWidth="1"/>
    <col min="2" max="2" width="30.28515625" bestFit="1" customWidth="1"/>
  </cols>
  <sheetData>
    <row r="3" spans="1:2" x14ac:dyDescent="0.35">
      <c r="A3" s="33" t="s">
        <v>218</v>
      </c>
      <c r="B3" t="s">
        <v>220</v>
      </c>
    </row>
    <row r="4" spans="1:2" x14ac:dyDescent="0.35">
      <c r="A4" s="34" t="s">
        <v>176</v>
      </c>
      <c r="B4" s="35">
        <v>63</v>
      </c>
    </row>
    <row r="5" spans="1:2" x14ac:dyDescent="0.35">
      <c r="A5" s="34" t="s">
        <v>172</v>
      </c>
      <c r="B5" s="35">
        <v>31</v>
      </c>
    </row>
    <row r="6" spans="1:2" x14ac:dyDescent="0.35">
      <c r="A6" s="34" t="s">
        <v>221</v>
      </c>
      <c r="B6" s="35">
        <v>8</v>
      </c>
    </row>
    <row r="7" spans="1:2" x14ac:dyDescent="0.35">
      <c r="A7" s="34" t="s">
        <v>171</v>
      </c>
      <c r="B7" s="35">
        <v>8</v>
      </c>
    </row>
    <row r="8" spans="1:2" x14ac:dyDescent="0.35">
      <c r="A8" s="34" t="s">
        <v>173</v>
      </c>
      <c r="B8" s="35">
        <v>5</v>
      </c>
    </row>
    <row r="9" spans="1:2" x14ac:dyDescent="0.35">
      <c r="A9" s="34" t="s">
        <v>177</v>
      </c>
      <c r="B9" s="35">
        <v>3</v>
      </c>
    </row>
    <row r="10" spans="1:2" x14ac:dyDescent="0.35">
      <c r="A10" s="34" t="s">
        <v>179</v>
      </c>
      <c r="B10" s="35">
        <v>1</v>
      </c>
    </row>
    <row r="11" spans="1:2" x14ac:dyDescent="0.35">
      <c r="A11" s="34" t="s">
        <v>219</v>
      </c>
      <c r="B11" s="35">
        <v>119</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FF7B6F-9E49-41CF-AA5B-F182CB8F849D}">
  <ds:schemaRefs>
    <ds:schemaRef ds:uri="http://purl.org/dc/terms/"/>
    <ds:schemaRef ds:uri="http://schemas.microsoft.com/sharepoint/v3"/>
    <ds:schemaRef ds:uri="http://schemas.openxmlformats.org/package/2006/metadata/core-properties"/>
    <ds:schemaRef ds:uri="5ad20f8b-9281-4829-a9aa-2b5a878ba2cc"/>
    <ds:schemaRef ds:uri="http://schemas.microsoft.com/office/2006/documentManagement/types"/>
    <ds:schemaRef ds:uri="http://schemas.microsoft.com/office/infopath/2007/PartnerControls"/>
    <ds:schemaRef ds:uri="09d3dac3-f296-4107-b579-4b1e37be6169"/>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B9D6EB0D-CFBF-44CD-870B-E733D301BC55}">
  <ds:schemaRefs>
    <ds:schemaRef ds:uri="http://schemas.microsoft.com/sharepoint/v3/contenttype/forms"/>
  </ds:schemaRefs>
</ds:datastoreItem>
</file>

<file path=customXml/itemProps3.xml><?xml version="1.0" encoding="utf-8"?>
<ds:datastoreItem xmlns:ds="http://schemas.openxmlformats.org/officeDocument/2006/customXml" ds:itemID="{6605A237-E85A-4B39-9E62-F1A29AE29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Nuno Capelão Mendes</dc:creator>
  <cp:lastModifiedBy>Luís Filipe da Silva Pragosa</cp:lastModifiedBy>
  <dcterms:created xsi:type="dcterms:W3CDTF">2025-04-15T17:36:46Z</dcterms:created>
  <dcterms:modified xsi:type="dcterms:W3CDTF">2025-04-22T18:33:16Z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2025-04-15T18:46:03Z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99a05a41-d7a7-4db9-a491-561b47400df2</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0x0101000B6B9A5E792D2446B8986FAE34BEC557</vt:lpwstr>
  </property>
  <property fmtid="{D5CDD505-2E9C-101B-9397-08002B2CF9AE}" pid="11" name="MediaServiceImageTags">
    <vt:lpwstr/>
  </property>
</Properties>
</file>