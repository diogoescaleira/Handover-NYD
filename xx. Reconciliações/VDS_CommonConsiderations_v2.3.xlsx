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859503\Santander Office 365\BS Valuation Data Set - Geral\xx. Reconciliações\"/>
    </mc:Choice>
  </mc:AlternateContent>
  <bookViews>
    <workbookView xWindow="0" yWindow="0" windowWidth="19200" windowHeight="11430" activeTab="3"/>
  </bookViews>
  <sheets>
    <sheet name="General Cons." sheetId="22" r:id="rId1"/>
    <sheet name="VDS Files" sheetId="31" r:id="rId2"/>
    <sheet name="VDS Data Points" sheetId="40" r:id="rId3"/>
    <sheet name="FINREPmapping" sheetId="29" r:id="rId4"/>
  </sheets>
  <externalReferences>
    <externalReference r:id="rId5"/>
    <externalReference r:id="rId6"/>
    <externalReference r:id="rId7"/>
    <externalReference r:id="rId8"/>
    <externalReference r:id="rId9"/>
    <externalReference r:id="rId10"/>
    <externalReference r:id="rId11"/>
    <externalReference r:id="rId12"/>
  </externalReferences>
  <definedNames>
    <definedName name="_AMO_UniqueIdentifier" hidden="1">"'98fdfd1e-8a18-42d0-9169-4592737fd980'"</definedName>
    <definedName name="_xlnm._FilterDatabase" localSheetId="2" hidden="1">'VDS Data Points'!$A$1:$M$318</definedName>
    <definedName name="_ftnref1_50" localSheetId="3">'[1]Table 39_'!#REF!</definedName>
    <definedName name="_ftnref1_50" localSheetId="0">'[1]Table 39_'!#REF!</definedName>
    <definedName name="_ftnref1_50" localSheetId="2">'[1]Table 39_'!#REF!</definedName>
    <definedName name="_ftnref1_50">'[1]Table 39_'!#REF!</definedName>
    <definedName name="_ftnref1_50_10" localSheetId="3">'[2]Table 39_'!#REF!</definedName>
    <definedName name="_ftnref1_50_10" localSheetId="0">'[2]Table 39_'!#REF!</definedName>
    <definedName name="_ftnref1_50_10" localSheetId="2">'[2]Table 39_'!#REF!</definedName>
    <definedName name="_ftnref1_50_10">'[2]Table 39_'!#REF!</definedName>
    <definedName name="_ftnref1_50_15" localSheetId="3">'[2]Table 39_'!#REF!</definedName>
    <definedName name="_ftnref1_50_15" localSheetId="0">'[2]Table 39_'!#REF!</definedName>
    <definedName name="_ftnref1_50_15" localSheetId="2">'[2]Table 39_'!#REF!</definedName>
    <definedName name="_ftnref1_50_15">'[2]Table 39_'!#REF!</definedName>
    <definedName name="_ftnref1_50_18" localSheetId="3">'[2]Table 39_'!#REF!</definedName>
    <definedName name="_ftnref1_50_18" localSheetId="0">'[2]Table 39_'!#REF!</definedName>
    <definedName name="_ftnref1_50_18" localSheetId="2">'[2]Table 39_'!#REF!</definedName>
    <definedName name="_ftnref1_50_18">'[2]Table 39_'!#REF!</definedName>
    <definedName name="_ftnref1_50_19" localSheetId="3">'[2]Table 39_'!#REF!</definedName>
    <definedName name="_ftnref1_50_19" localSheetId="0">'[2]Table 39_'!#REF!</definedName>
    <definedName name="_ftnref1_50_19" localSheetId="2">'[2]Table 39_'!#REF!</definedName>
    <definedName name="_ftnref1_50_19">'[2]Table 39_'!#REF!</definedName>
    <definedName name="_ftnref1_50_20" localSheetId="3">'[2]Table 39_'!#REF!</definedName>
    <definedName name="_ftnref1_50_20" localSheetId="0">'[2]Table 39_'!#REF!</definedName>
    <definedName name="_ftnref1_50_20" localSheetId="2">'[2]Table 39_'!#REF!</definedName>
    <definedName name="_ftnref1_50_20">'[2]Table 39_'!#REF!</definedName>
    <definedName name="_ftnref1_50_21" localSheetId="3">'[2]Table 39_'!#REF!</definedName>
    <definedName name="_ftnref1_50_21" localSheetId="0">'[2]Table 39_'!#REF!</definedName>
    <definedName name="_ftnref1_50_21" localSheetId="2">'[2]Table 39_'!#REF!</definedName>
    <definedName name="_ftnref1_50_21">'[2]Table 39_'!#REF!</definedName>
    <definedName name="_ftnref1_50_23" localSheetId="3">'[2]Table 39_'!#REF!</definedName>
    <definedName name="_ftnref1_50_23" localSheetId="0">'[2]Table 39_'!#REF!</definedName>
    <definedName name="_ftnref1_50_23" localSheetId="2">'[2]Table 39_'!#REF!</definedName>
    <definedName name="_ftnref1_50_23">'[2]Table 39_'!#REF!</definedName>
    <definedName name="_ftnref1_50_24" localSheetId="3">'[2]Table 39_'!#REF!</definedName>
    <definedName name="_ftnref1_50_24" localSheetId="0">'[2]Table 39_'!#REF!</definedName>
    <definedName name="_ftnref1_50_24" localSheetId="2">'[2]Table 39_'!#REF!</definedName>
    <definedName name="_ftnref1_50_24">'[2]Table 39_'!#REF!</definedName>
    <definedName name="_ftnref1_50_27" localSheetId="3">'[3]Table 39_'!#REF!</definedName>
    <definedName name="_ftnref1_50_27" localSheetId="0">'[3]Table 39_'!#REF!</definedName>
    <definedName name="_ftnref1_50_27" localSheetId="2">'[3]Table 39_'!#REF!</definedName>
    <definedName name="_ftnref1_50_27">'[3]Table 39_'!#REF!</definedName>
    <definedName name="_ftnref1_50_28" localSheetId="3">'[3]Table 39_'!#REF!</definedName>
    <definedName name="_ftnref1_50_28" localSheetId="0">'[3]Table 39_'!#REF!</definedName>
    <definedName name="_ftnref1_50_28" localSheetId="2">'[3]Table 39_'!#REF!</definedName>
    <definedName name="_ftnref1_50_28">'[3]Table 39_'!#REF!</definedName>
    <definedName name="_ftnref1_50_4" localSheetId="3">'[2]Table 39_'!#REF!</definedName>
    <definedName name="_ftnref1_50_4" localSheetId="0">'[2]Table 39_'!#REF!</definedName>
    <definedName name="_ftnref1_50_4" localSheetId="2">'[2]Table 39_'!#REF!</definedName>
    <definedName name="_ftnref1_50_4">'[2]Table 39_'!#REF!</definedName>
    <definedName name="_ftnref1_50_5" localSheetId="3">'[2]Table 39_'!#REF!</definedName>
    <definedName name="_ftnref1_50_5" localSheetId="0">'[2]Table 39_'!#REF!</definedName>
    <definedName name="_ftnref1_50_5" localSheetId="2">'[2]Table 39_'!#REF!</definedName>
    <definedName name="_ftnref1_50_5">'[2]Table 39_'!#REF!</definedName>
    <definedName name="_ftnref1_50_9" localSheetId="3">'[3]Table 39_'!#REF!</definedName>
    <definedName name="_ftnref1_50_9" localSheetId="0">'[3]Table 39_'!#REF!</definedName>
    <definedName name="_ftnref1_50_9" localSheetId="2">'[3]Table 39_'!#REF!</definedName>
    <definedName name="_ftnref1_50_9">'[3]Table 39_'!#REF!</definedName>
    <definedName name="_ftnref1_51" localSheetId="3">'[1]Table 39_'!#REF!</definedName>
    <definedName name="_ftnref1_51" localSheetId="0">'[1]Table 39_'!#REF!</definedName>
    <definedName name="_ftnref1_51" localSheetId="2">'[1]Table 39_'!#REF!</definedName>
    <definedName name="_ftnref1_51">'[1]Table 39_'!#REF!</definedName>
    <definedName name="_ftnref1_51_10" localSheetId="3">'[2]Table 39_'!#REF!</definedName>
    <definedName name="_ftnref1_51_10" localSheetId="0">'[2]Table 39_'!#REF!</definedName>
    <definedName name="_ftnref1_51_10" localSheetId="2">'[2]Table 39_'!#REF!</definedName>
    <definedName name="_ftnref1_51_10">'[2]Table 39_'!#REF!</definedName>
    <definedName name="_ftnref1_51_15" localSheetId="3">'[2]Table 39_'!#REF!</definedName>
    <definedName name="_ftnref1_51_15" localSheetId="0">'[2]Table 39_'!#REF!</definedName>
    <definedName name="_ftnref1_51_15" localSheetId="2">'[2]Table 39_'!#REF!</definedName>
    <definedName name="_ftnref1_51_15">'[2]Table 39_'!#REF!</definedName>
    <definedName name="_ftnref1_51_18" localSheetId="3">'[2]Table 39_'!#REF!</definedName>
    <definedName name="_ftnref1_51_18" localSheetId="0">'[2]Table 39_'!#REF!</definedName>
    <definedName name="_ftnref1_51_18" localSheetId="2">'[2]Table 39_'!#REF!</definedName>
    <definedName name="_ftnref1_51_18">'[2]Table 39_'!#REF!</definedName>
    <definedName name="_ftnref1_51_19" localSheetId="3">'[2]Table 39_'!#REF!</definedName>
    <definedName name="_ftnref1_51_19" localSheetId="0">'[2]Table 39_'!#REF!</definedName>
    <definedName name="_ftnref1_51_19" localSheetId="2">'[2]Table 39_'!#REF!</definedName>
    <definedName name="_ftnref1_51_19">'[2]Table 39_'!#REF!</definedName>
    <definedName name="_ftnref1_51_20" localSheetId="3">'[2]Table 39_'!#REF!</definedName>
    <definedName name="_ftnref1_51_20" localSheetId="0">'[2]Table 39_'!#REF!</definedName>
    <definedName name="_ftnref1_51_20" localSheetId="2">'[2]Table 39_'!#REF!</definedName>
    <definedName name="_ftnref1_51_20">'[2]Table 39_'!#REF!</definedName>
    <definedName name="_ftnref1_51_21" localSheetId="3">'[2]Table 39_'!#REF!</definedName>
    <definedName name="_ftnref1_51_21" localSheetId="0">'[2]Table 39_'!#REF!</definedName>
    <definedName name="_ftnref1_51_21" localSheetId="2">'[2]Table 39_'!#REF!</definedName>
    <definedName name="_ftnref1_51_21">'[2]Table 39_'!#REF!</definedName>
    <definedName name="_ftnref1_51_23" localSheetId="3">'[2]Table 39_'!#REF!</definedName>
    <definedName name="_ftnref1_51_23" localSheetId="0">'[2]Table 39_'!#REF!</definedName>
    <definedName name="_ftnref1_51_23" localSheetId="2">'[2]Table 39_'!#REF!</definedName>
    <definedName name="_ftnref1_51_23">'[2]Table 39_'!#REF!</definedName>
    <definedName name="_ftnref1_51_24" localSheetId="3">'[2]Table 39_'!#REF!</definedName>
    <definedName name="_ftnref1_51_24" localSheetId="0">'[2]Table 39_'!#REF!</definedName>
    <definedName name="_ftnref1_51_24" localSheetId="2">'[2]Table 39_'!#REF!</definedName>
    <definedName name="_ftnref1_51_24">'[2]Table 39_'!#REF!</definedName>
    <definedName name="_ftnref1_51_4" localSheetId="3">'[2]Table 39_'!#REF!</definedName>
    <definedName name="_ftnref1_51_4" localSheetId="0">'[2]Table 39_'!#REF!</definedName>
    <definedName name="_ftnref1_51_4" localSheetId="2">'[2]Table 39_'!#REF!</definedName>
    <definedName name="_ftnref1_51_4">'[2]Table 39_'!#REF!</definedName>
    <definedName name="_ftnref1_51_5" localSheetId="3">'[2]Table 39_'!#REF!</definedName>
    <definedName name="_ftnref1_51_5" localSheetId="0">'[2]Table 39_'!#REF!</definedName>
    <definedName name="_ftnref1_51_5" localSheetId="2">'[2]Table 39_'!#REF!</definedName>
    <definedName name="_ftnref1_51_5">'[2]Table 39_'!#REF!</definedName>
    <definedName name="_ftref1_50" localSheetId="3">'[1]Table 39_'!#REF!</definedName>
    <definedName name="_ftref1_50" localSheetId="0">'[1]Table 39_'!#REF!</definedName>
    <definedName name="_ftref1_50" localSheetId="2">'[1]Table 39_'!#REF!</definedName>
    <definedName name="_ftref1_50">'[1]Table 39_'!#REF!</definedName>
    <definedName name="_h" localSheetId="3">'[2]Table 39_'!#REF!</definedName>
    <definedName name="_h" localSheetId="0">'[2]Table 39_'!#REF!</definedName>
    <definedName name="_h" localSheetId="2">'[2]Table 39_'!#REF!</definedName>
    <definedName name="_h">'[2]Table 39_'!#REF!</definedName>
    <definedName name="_Key1" localSheetId="3" hidden="1">#REF!</definedName>
    <definedName name="_Key1" localSheetId="0" hidden="1">#REF!</definedName>
    <definedName name="_Key1" localSheetId="2" hidden="1">#REF!</definedName>
    <definedName name="_Key1" hidden="1">#REF!</definedName>
    <definedName name="_Order1" hidden="1">255</definedName>
    <definedName name="_Sort" localSheetId="3" hidden="1">#REF!</definedName>
    <definedName name="_Sort" localSheetId="0" hidden="1">#REF!</definedName>
    <definedName name="_Sort" localSheetId="2" hidden="1">#REF!</definedName>
    <definedName name="_Sort" hidden="1">#REF!</definedName>
    <definedName name="A" localSheetId="3">#REF!</definedName>
    <definedName name="A" localSheetId="0">#REF!</definedName>
    <definedName name="A" localSheetId="2">#REF!</definedName>
    <definedName name="A">#REF!</definedName>
    <definedName name="a.1" localSheetId="3">#REF!</definedName>
    <definedName name="a.1" localSheetId="0">#REF!</definedName>
    <definedName name="a.1" localSheetId="2">#REF!</definedName>
    <definedName name="a.1">#REF!</definedName>
    <definedName name="Aircraft_Model">'[4]Lookup tables'!$BH$6:$BH$122</definedName>
    <definedName name="aPP">[5]Lists!$A$39:$A$41</definedName>
    <definedName name="AS2DocOpenMode" hidden="1">"AS2DocumentBrowse"</definedName>
    <definedName name="asefadf" localSheetId="3">#REF!</definedName>
    <definedName name="asefadf" localSheetId="0">#REF!</definedName>
    <definedName name="asefadf" localSheetId="2">#REF!</definedName>
    <definedName name="asefadf">#REF!</definedName>
    <definedName name="Asset" localSheetId="3">#REF!</definedName>
    <definedName name="Asset" localSheetId="2">#REF!</definedName>
    <definedName name="Asset">#REF!</definedName>
    <definedName name="b" localSheetId="3">#REF!</definedName>
    <definedName name="b" localSheetId="0">#REF!</definedName>
    <definedName name="b" localSheetId="2">#REF!</definedName>
    <definedName name="b">#REF!</definedName>
    <definedName name="bn" localSheetId="3">'[6]Code List'!#REF!</definedName>
    <definedName name="bn" localSheetId="0">'[6]Code List'!#REF!</definedName>
    <definedName name="bn" localSheetId="2">'[6]Code List'!#REF!</definedName>
    <definedName name="bn">'[6]Code List'!#REF!</definedName>
    <definedName name="Carlos" localSheetId="3">#REF!</definedName>
    <definedName name="Carlos" localSheetId="0">#REF!</definedName>
    <definedName name="Carlos" localSheetId="2">#REF!</definedName>
    <definedName name="Carlos">#REF!</definedName>
    <definedName name="CLAVE998_UEM1" localSheetId="3">#REF!</definedName>
    <definedName name="CLAVE998_UEM1" localSheetId="0">#REF!</definedName>
    <definedName name="CLAVE998_UEM1" localSheetId="2">#REF!</definedName>
    <definedName name="CLAVE998_UEM1">#REF!</definedName>
    <definedName name="COMBO" localSheetId="3">#REF!</definedName>
    <definedName name="COMBO" localSheetId="2">#REF!</definedName>
    <definedName name="COMBO">#REF!</definedName>
    <definedName name="dfdgbfdg" localSheetId="3">'[2]Table 39_'!#REF!</definedName>
    <definedName name="dfdgbfdg" localSheetId="0">'[2]Table 39_'!#REF!</definedName>
    <definedName name="dfdgbfdg" localSheetId="2">'[2]Table 39_'!#REF!</definedName>
    <definedName name="dfdgbfdg">'[2]Table 39_'!#REF!</definedName>
    <definedName name="DOCUM_2" localSheetId="3">#REF!</definedName>
    <definedName name="DOCUM_2" localSheetId="0">#REF!</definedName>
    <definedName name="DOCUM_2" localSheetId="2">#REF!</definedName>
    <definedName name="DOCUM_2">#REF!</definedName>
    <definedName name="dsa" localSheetId="3">#REF!</definedName>
    <definedName name="dsa" localSheetId="0">#REF!</definedName>
    <definedName name="dsa" localSheetId="2">#REF!</definedName>
    <definedName name="dsa">#REF!</definedName>
    <definedName name="Estado">'[7]TIPO DE CAMBIO'!$IS$2:$IV$5</definedName>
    <definedName name="Estado_01_1" localSheetId="3">#REF!</definedName>
    <definedName name="Estado_01_1" localSheetId="0">#REF!</definedName>
    <definedName name="Estado_01_1" localSheetId="2">#REF!</definedName>
    <definedName name="Estado_01_1">#REF!</definedName>
    <definedName name="Estado_01_1_ESP" localSheetId="3">#REF!</definedName>
    <definedName name="Estado_01_1_ESP" localSheetId="0">#REF!</definedName>
    <definedName name="Estado_01_1_ESP" localSheetId="2">#REF!</definedName>
    <definedName name="Estado_01_1_ESP">#REF!</definedName>
    <definedName name="Estado_01_1_EXT" localSheetId="3">#REF!</definedName>
    <definedName name="Estado_01_1_EXT" localSheetId="0">#REF!</definedName>
    <definedName name="Estado_01_1_EXT" localSheetId="2">#REF!</definedName>
    <definedName name="Estado_01_1_EXT">#REF!</definedName>
    <definedName name="Estado_100_1" localSheetId="3">#REF!</definedName>
    <definedName name="Estado_100_1" localSheetId="0">#REF!</definedName>
    <definedName name="Estado_100_1" localSheetId="2">#REF!</definedName>
    <definedName name="Estado_100_1">#REF!</definedName>
    <definedName name="Estado_100_1_NACL_NRE" localSheetId="3">#REF!</definedName>
    <definedName name="Estado_100_1_NACL_NRE" localSheetId="0">#REF!</definedName>
    <definedName name="Estado_100_1_NACL_NRE" localSheetId="2">#REF!</definedName>
    <definedName name="Estado_100_1_NACL_NRE">#REF!</definedName>
    <definedName name="Estado_100_1_NACL_RE" localSheetId="3">#REF!</definedName>
    <definedName name="Estado_100_1_NACL_RE" localSheetId="0">#REF!</definedName>
    <definedName name="Estado_100_1_NACL_RE" localSheetId="2">#REF!</definedName>
    <definedName name="Estado_100_1_NACL_RE">#REF!</definedName>
    <definedName name="Estado_100_1_Neg_Esp_N_R_E" localSheetId="3">#REF!</definedName>
    <definedName name="Estado_100_1_Neg_Esp_N_R_E" localSheetId="0">#REF!</definedName>
    <definedName name="Estado_100_1_Neg_Esp_N_R_E" localSheetId="2">#REF!</definedName>
    <definedName name="Estado_100_1_Neg_Esp_N_R_E">#REF!</definedName>
    <definedName name="Estado_100_1_Neg_Esp_R_E" localSheetId="3">#REF!</definedName>
    <definedName name="Estado_100_1_Neg_Esp_R_E" localSheetId="0">#REF!</definedName>
    <definedName name="Estado_100_1_Neg_Esp_R_E" localSheetId="2">#REF!</definedName>
    <definedName name="Estado_100_1_Neg_Esp_R_E">#REF!</definedName>
    <definedName name="Estado_100_1_No_Res_Esp" localSheetId="3">#REF!</definedName>
    <definedName name="Estado_100_1_No_Res_Esp" localSheetId="0">#REF!</definedName>
    <definedName name="Estado_100_1_No_Res_Esp" localSheetId="2">#REF!</definedName>
    <definedName name="Estado_100_1_No_Res_Esp">#REF!</definedName>
    <definedName name="Estado_100_1_Res_Esp" localSheetId="3">#REF!</definedName>
    <definedName name="Estado_100_1_Res_Esp" localSheetId="0">#REF!</definedName>
    <definedName name="Estado_100_1_Res_Esp" localSheetId="2">#REF!</definedName>
    <definedName name="Estado_100_1_Res_Esp">#REF!</definedName>
    <definedName name="Estado_100_1_Resi_Esp" localSheetId="3">#REF!</definedName>
    <definedName name="Estado_100_1_Resi_Esp" localSheetId="0">#REF!</definedName>
    <definedName name="Estado_100_1_Resi_Esp" localSheetId="2">#REF!</definedName>
    <definedName name="Estado_100_1_Resi_Esp">#REF!</definedName>
    <definedName name="Estado_100_1_Sucu" localSheetId="3">#REF!</definedName>
    <definedName name="Estado_100_1_Sucu" localSheetId="0">#REF!</definedName>
    <definedName name="Estado_100_1_Sucu" localSheetId="2">#REF!</definedName>
    <definedName name="Estado_100_1_Sucu">#REF!</definedName>
    <definedName name="Estado_100_1_TOT" localSheetId="3">#REF!</definedName>
    <definedName name="Estado_100_1_TOT" localSheetId="0">#REF!</definedName>
    <definedName name="Estado_100_1_TOT" localSheetId="2">#REF!</definedName>
    <definedName name="Estado_100_1_TOT">#REF!</definedName>
    <definedName name="Estado_100_1_TOT_NRE" localSheetId="3">#REF!</definedName>
    <definedName name="Estado_100_1_TOT_NRE" localSheetId="0">#REF!</definedName>
    <definedName name="Estado_100_1_TOT_NRE" localSheetId="2">#REF!</definedName>
    <definedName name="Estado_100_1_TOT_NRE">#REF!</definedName>
    <definedName name="Estado_100_1_TOT_RE" localSheetId="3">#REF!</definedName>
    <definedName name="Estado_100_1_TOT_RE" localSheetId="0">#REF!</definedName>
    <definedName name="Estado_100_1_TOT_RE" localSheetId="2">#REF!</definedName>
    <definedName name="Estado_100_1_TOT_RE">#REF!</definedName>
    <definedName name="Estado_100_2_NACL_NRE" localSheetId="3">#REF!</definedName>
    <definedName name="Estado_100_2_NACL_NRE" localSheetId="0">#REF!</definedName>
    <definedName name="Estado_100_2_NACL_NRE" localSheetId="2">#REF!</definedName>
    <definedName name="Estado_100_2_NACL_NRE">#REF!</definedName>
    <definedName name="Estado_100_2_NACL_RE" localSheetId="3">#REF!</definedName>
    <definedName name="Estado_100_2_NACL_RE" localSheetId="0">#REF!</definedName>
    <definedName name="Estado_100_2_NACL_RE" localSheetId="2">#REF!</definedName>
    <definedName name="Estado_100_2_NACL_RE">#REF!</definedName>
    <definedName name="Estado_100_2_TOT" localSheetId="3">#REF!</definedName>
    <definedName name="Estado_100_2_TOT" localSheetId="0">#REF!</definedName>
    <definedName name="Estado_100_2_TOT" localSheetId="2">#REF!</definedName>
    <definedName name="Estado_100_2_TOT">#REF!</definedName>
    <definedName name="Estado_100_2_TOT_NRE" localSheetId="3">#REF!</definedName>
    <definedName name="Estado_100_2_TOT_NRE" localSheetId="0">#REF!</definedName>
    <definedName name="Estado_100_2_TOT_NRE" localSheetId="2">#REF!</definedName>
    <definedName name="Estado_100_2_TOT_NRE">#REF!</definedName>
    <definedName name="Estado_100_2_TOT_RE" localSheetId="3">#REF!</definedName>
    <definedName name="Estado_100_2_TOT_RE" localSheetId="0">#REF!</definedName>
    <definedName name="Estado_100_2_TOT_RE" localSheetId="2">#REF!</definedName>
    <definedName name="Estado_100_2_TOT_RE">#REF!</definedName>
    <definedName name="Estado_100_3_Sucu" localSheetId="3">#REF!</definedName>
    <definedName name="Estado_100_3_Sucu" localSheetId="0">#REF!</definedName>
    <definedName name="Estado_100_3_Sucu" localSheetId="2">#REF!</definedName>
    <definedName name="Estado_100_3_Sucu">#REF!</definedName>
    <definedName name="ESTADO_16_7" localSheetId="3">#REF!</definedName>
    <definedName name="ESTADO_16_7" localSheetId="0">#REF!</definedName>
    <definedName name="ESTADO_16_7" localSheetId="2">#REF!</definedName>
    <definedName name="ESTADO_16_7">#REF!</definedName>
    <definedName name="Estado_16_7_ESP" localSheetId="3">#REF!</definedName>
    <definedName name="Estado_16_7_ESP" localSheetId="0">#REF!</definedName>
    <definedName name="Estado_16_7_ESP" localSheetId="2">#REF!</definedName>
    <definedName name="Estado_16_7_ESP">#REF!</definedName>
    <definedName name="ESTADO_16_7_ESP_NUEVO" localSheetId="3">#REF!</definedName>
    <definedName name="ESTADO_16_7_ESP_NUEVO" localSheetId="0">#REF!</definedName>
    <definedName name="ESTADO_16_7_ESP_NUEVO" localSheetId="2">#REF!</definedName>
    <definedName name="ESTADO_16_7_ESP_NUEVO">#REF!</definedName>
    <definedName name="Estado_16_7_EXT" localSheetId="3">#REF!</definedName>
    <definedName name="Estado_16_7_EXT" localSheetId="0">#REF!</definedName>
    <definedName name="Estado_16_7_EXT" localSheetId="2">#REF!</definedName>
    <definedName name="Estado_16_7_EXT">#REF!</definedName>
    <definedName name="ESTADO_16_7_NUEVO" localSheetId="3">#REF!</definedName>
    <definedName name="ESTADO_16_7_NUEVO" localSheetId="0">#REF!</definedName>
    <definedName name="ESTADO_16_7_NUEVO" localSheetId="2">#REF!</definedName>
    <definedName name="ESTADO_16_7_NUEVO">#REF!</definedName>
    <definedName name="Estado_FI_100_02" localSheetId="3">#REF!</definedName>
    <definedName name="Estado_FI_100_02" localSheetId="0">#REF!</definedName>
    <definedName name="Estado_FI_100_02" localSheetId="2">#REF!</definedName>
    <definedName name="Estado_FI_100_02">#REF!</definedName>
    <definedName name="ESTADO_UEM_1_Act" localSheetId="3">#REF!</definedName>
    <definedName name="ESTADO_UEM_1_Act" localSheetId="0">#REF!</definedName>
    <definedName name="ESTADO_UEM_1_Act" localSheetId="2">#REF!</definedName>
    <definedName name="ESTADO_UEM_1_Act">#REF!</definedName>
    <definedName name="Estado_UEM_11_Nov" localSheetId="3">#REF!</definedName>
    <definedName name="Estado_UEM_11_Nov" localSheetId="0">#REF!</definedName>
    <definedName name="Estado_UEM_11_Nov" localSheetId="2">#REF!</definedName>
    <definedName name="Estado_UEM_11_Nov">#REF!</definedName>
    <definedName name="Estado_UEM_11_Oct" localSheetId="3">#REF!</definedName>
    <definedName name="Estado_UEM_11_Oct" localSheetId="0">#REF!</definedName>
    <definedName name="Estado_UEM_11_Oct" localSheetId="2">#REF!</definedName>
    <definedName name="Estado_UEM_11_Oct">#REF!</definedName>
    <definedName name="Estado_UEM_13" localSheetId="3">#REF!</definedName>
    <definedName name="Estado_UEM_13" localSheetId="0">#REF!</definedName>
    <definedName name="Estado_UEM_13" localSheetId="2">#REF!</definedName>
    <definedName name="Estado_UEM_13">#REF!</definedName>
    <definedName name="Estado_UEM_2_1" localSheetId="3">#REF!</definedName>
    <definedName name="Estado_UEM_2_1" localSheetId="0">#REF!</definedName>
    <definedName name="Estado_UEM_2_1" localSheetId="2">#REF!</definedName>
    <definedName name="Estado_UEM_2_1">#REF!</definedName>
    <definedName name="Estado_UEM_2_2" localSheetId="3">#REF!</definedName>
    <definedName name="Estado_UEM_2_2" localSheetId="0">#REF!</definedName>
    <definedName name="Estado_UEM_2_2" localSheetId="2">#REF!</definedName>
    <definedName name="Estado_UEM_2_2">#REF!</definedName>
    <definedName name="Estado_UEM_2_3_1" localSheetId="3">#REF!</definedName>
    <definedName name="Estado_UEM_2_3_1" localSheetId="0">#REF!</definedName>
    <definedName name="Estado_UEM_2_3_1" localSheetId="2">#REF!</definedName>
    <definedName name="Estado_UEM_2_3_1">#REF!</definedName>
    <definedName name="Estado_UEM_2_3_2" localSheetId="3">#REF!</definedName>
    <definedName name="Estado_UEM_2_3_2" localSheetId="0">#REF!</definedName>
    <definedName name="Estado_UEM_2_3_2" localSheetId="2">#REF!</definedName>
    <definedName name="Estado_UEM_2_3_2">#REF!</definedName>
    <definedName name="Estado_UEM_2_4_1" localSheetId="3">#REF!</definedName>
    <definedName name="Estado_UEM_2_4_1" localSheetId="0">#REF!</definedName>
    <definedName name="Estado_UEM_2_4_1" localSheetId="2">#REF!</definedName>
    <definedName name="Estado_UEM_2_4_1">#REF!</definedName>
    <definedName name="Estado_UEM_2_4_2" localSheetId="3">#REF!</definedName>
    <definedName name="Estado_UEM_2_4_2" localSheetId="0">#REF!</definedName>
    <definedName name="Estado_UEM_2_4_2" localSheetId="2">#REF!</definedName>
    <definedName name="Estado_UEM_2_4_2">#REF!</definedName>
    <definedName name="fdsg" localSheetId="3">'[1]Table 39_'!#REF!</definedName>
    <definedName name="fdsg" localSheetId="0">'[1]Table 39_'!#REF!</definedName>
    <definedName name="fdsg" localSheetId="2">'[1]Table 39_'!#REF!</definedName>
    <definedName name="fdsg">'[1]Table 39_'!#REF!</definedName>
    <definedName name="fgf" localSheetId="3">'[3]Table 39_'!#REF!</definedName>
    <definedName name="fgf" localSheetId="0">'[3]Table 39_'!#REF!</definedName>
    <definedName name="fgf" localSheetId="2">'[3]Table 39_'!#REF!</definedName>
    <definedName name="fgf">'[3]Table 39_'!#REF!</definedName>
    <definedName name="FILA99_PAS_INCORRECTA" localSheetId="3">#REF!</definedName>
    <definedName name="FILA99_PAS_INCORRECTA" localSheetId="0">#REF!</definedName>
    <definedName name="FILA99_PAS_INCORRECTA" localSheetId="2">#REF!</definedName>
    <definedName name="FILA99_PAS_INCORRECTA">#REF!</definedName>
    <definedName name="Frequency">[5]Lists!$A$21:$A$25</definedName>
    <definedName name="ho" localSheetId="3">#REF!</definedName>
    <definedName name="ho" localSheetId="0">#REF!</definedName>
    <definedName name="ho" localSheetId="2">#REF!</definedName>
    <definedName name="ho">#REF!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"09/17/2018 11:39:24"</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JedenRadekPodSestavou" localSheetId="3">#REF!</definedName>
    <definedName name="JedenRadekPodSestavou" localSheetId="0">#REF!</definedName>
    <definedName name="JedenRadekPodSestavou" localSheetId="2">#REF!</definedName>
    <definedName name="JedenRadekPodSestavou">#REF!</definedName>
    <definedName name="JedenRadekPodSestavou_11" localSheetId="3">#REF!</definedName>
    <definedName name="JedenRadekPodSestavou_11" localSheetId="0">#REF!</definedName>
    <definedName name="JedenRadekPodSestavou_11" localSheetId="2">#REF!</definedName>
    <definedName name="JedenRadekPodSestavou_11">#REF!</definedName>
    <definedName name="JedenRadekPodSestavou_2" localSheetId="3">#REF!</definedName>
    <definedName name="JedenRadekPodSestavou_2" localSheetId="0">#REF!</definedName>
    <definedName name="JedenRadekPodSestavou_2" localSheetId="2">#REF!</definedName>
    <definedName name="JedenRadekPodSestavou_2">#REF!</definedName>
    <definedName name="JedenRadekPodSestavou_28" localSheetId="3">#REF!</definedName>
    <definedName name="JedenRadekPodSestavou_28" localSheetId="0">#REF!</definedName>
    <definedName name="JedenRadekPodSestavou_28" localSheetId="2">#REF!</definedName>
    <definedName name="JedenRadekPodSestavou_28">#REF!</definedName>
    <definedName name="JedenRadekVedleSestavy" localSheetId="3">#REF!</definedName>
    <definedName name="JedenRadekVedleSestavy" localSheetId="0">#REF!</definedName>
    <definedName name="JedenRadekVedleSestavy" localSheetId="2">#REF!</definedName>
    <definedName name="JedenRadekVedleSestavy">#REF!</definedName>
    <definedName name="JedenRadekVedleSestavy_11" localSheetId="3">#REF!</definedName>
    <definedName name="JedenRadekVedleSestavy_11" localSheetId="0">#REF!</definedName>
    <definedName name="JedenRadekVedleSestavy_11" localSheetId="2">#REF!</definedName>
    <definedName name="JedenRadekVedleSestavy_11">#REF!</definedName>
    <definedName name="JedenRadekVedleSestavy_2" localSheetId="3">#REF!</definedName>
    <definedName name="JedenRadekVedleSestavy_2" localSheetId="0">#REF!</definedName>
    <definedName name="JedenRadekVedleSestavy_2" localSheetId="2">#REF!</definedName>
    <definedName name="JedenRadekVedleSestavy_2">#REF!</definedName>
    <definedName name="JedenRadekVedleSestavy_28" localSheetId="3">#REF!</definedName>
    <definedName name="JedenRadekVedleSestavy_28" localSheetId="0">#REF!</definedName>
    <definedName name="JedenRadekVedleSestavy_28" localSheetId="2">#REF!</definedName>
    <definedName name="JedenRadekVedleSestavy_28">#REF!</definedName>
    <definedName name="L" localSheetId="3">#REF!</definedName>
    <definedName name="L" localSheetId="2">#REF!</definedName>
    <definedName name="L">#REF!</definedName>
    <definedName name="MaxOblastTabulky" localSheetId="3">#REF!</definedName>
    <definedName name="MaxOblastTabulky" localSheetId="0">#REF!</definedName>
    <definedName name="MaxOblastTabulky" localSheetId="2">#REF!</definedName>
    <definedName name="MaxOblastTabulky">#REF!</definedName>
    <definedName name="MaxOblastTabulky_11" localSheetId="3">#REF!</definedName>
    <definedName name="MaxOblastTabulky_11" localSheetId="0">#REF!</definedName>
    <definedName name="MaxOblastTabulky_11" localSheetId="2">#REF!</definedName>
    <definedName name="MaxOblastTabulky_11">#REF!</definedName>
    <definedName name="MaxOblastTabulky_2" localSheetId="3">#REF!</definedName>
    <definedName name="MaxOblastTabulky_2" localSheetId="0">#REF!</definedName>
    <definedName name="MaxOblastTabulky_2" localSheetId="2">#REF!</definedName>
    <definedName name="MaxOblastTabulky_2">#REF!</definedName>
    <definedName name="MaxOblastTabulky_28" localSheetId="3">#REF!</definedName>
    <definedName name="MaxOblastTabulky_28" localSheetId="0">#REF!</definedName>
    <definedName name="MaxOblastTabulky_28" localSheetId="2">#REF!</definedName>
    <definedName name="MaxOblastTabulky_28">#REF!</definedName>
    <definedName name="OblastDat2" localSheetId="3">#REF!</definedName>
    <definedName name="OblastDat2" localSheetId="0">#REF!</definedName>
    <definedName name="OblastDat2" localSheetId="2">#REF!</definedName>
    <definedName name="OblastDat2">#REF!</definedName>
    <definedName name="OblastDat2_11" localSheetId="3">#REF!</definedName>
    <definedName name="OblastDat2_11" localSheetId="0">#REF!</definedName>
    <definedName name="OblastDat2_11" localSheetId="2">#REF!</definedName>
    <definedName name="OblastDat2_11">#REF!</definedName>
    <definedName name="OblastDat2_2" localSheetId="3">#REF!</definedName>
    <definedName name="OblastDat2_2" localSheetId="0">#REF!</definedName>
    <definedName name="OblastDat2_2" localSheetId="2">#REF!</definedName>
    <definedName name="OblastDat2_2">#REF!</definedName>
    <definedName name="OblastDat2_28" localSheetId="3">#REF!</definedName>
    <definedName name="OblastDat2_28" localSheetId="0">#REF!</definedName>
    <definedName name="OblastDat2_28" localSheetId="2">#REF!</definedName>
    <definedName name="OblastDat2_28">#REF!</definedName>
    <definedName name="OblastNadpisuRadku" localSheetId="3">#REF!</definedName>
    <definedName name="OblastNadpisuRadku" localSheetId="0">#REF!</definedName>
    <definedName name="OblastNadpisuRadku" localSheetId="2">#REF!</definedName>
    <definedName name="OblastNadpisuRadku">#REF!</definedName>
    <definedName name="OblastNadpisuRadku_11" localSheetId="3">#REF!</definedName>
    <definedName name="OblastNadpisuRadku_11" localSheetId="0">#REF!</definedName>
    <definedName name="OblastNadpisuRadku_11" localSheetId="2">#REF!</definedName>
    <definedName name="OblastNadpisuRadku_11">#REF!</definedName>
    <definedName name="OblastNadpisuRadku_2" localSheetId="3">#REF!</definedName>
    <definedName name="OblastNadpisuRadku_2" localSheetId="0">#REF!</definedName>
    <definedName name="OblastNadpisuRadku_2" localSheetId="2">#REF!</definedName>
    <definedName name="OblastNadpisuRadku_2">#REF!</definedName>
    <definedName name="OblastNadpisuRadku_28" localSheetId="3">#REF!</definedName>
    <definedName name="OblastNadpisuRadku_28" localSheetId="0">#REF!</definedName>
    <definedName name="OblastNadpisuRadku_28" localSheetId="2">#REF!</definedName>
    <definedName name="OblastNadpisuRadku_28">#REF!</definedName>
    <definedName name="OblastNadpisuSloupcu" localSheetId="3">#REF!</definedName>
    <definedName name="OblastNadpisuSloupcu" localSheetId="0">#REF!</definedName>
    <definedName name="OblastNadpisuSloupcu" localSheetId="2">#REF!</definedName>
    <definedName name="OblastNadpisuSloupcu">#REF!</definedName>
    <definedName name="OblastNadpisuSloupcu_11" localSheetId="3">#REF!</definedName>
    <definedName name="OblastNadpisuSloupcu_11" localSheetId="0">#REF!</definedName>
    <definedName name="OblastNadpisuSloupcu_11" localSheetId="2">#REF!</definedName>
    <definedName name="OblastNadpisuSloupcu_11">#REF!</definedName>
    <definedName name="OblastNadpisuSloupcu_2" localSheetId="3">#REF!</definedName>
    <definedName name="OblastNadpisuSloupcu_2" localSheetId="0">#REF!</definedName>
    <definedName name="OblastNadpisuSloupcu_2" localSheetId="2">#REF!</definedName>
    <definedName name="OblastNadpisuSloupcu_2">#REF!</definedName>
    <definedName name="OblastNadpisuSloupcu_28" localSheetId="3">#REF!</definedName>
    <definedName name="OblastNadpisuSloupcu_28" localSheetId="0">#REF!</definedName>
    <definedName name="OblastNadpisuSloupcu_28" localSheetId="2">#REF!</definedName>
    <definedName name="OblastNadpisuSloupcu_28">#REF!</definedName>
    <definedName name="P090103_UEM_1_ACTIVO" localSheetId="3">#REF!</definedName>
    <definedName name="P090103_UEM_1_ACTIVO" localSheetId="0">#REF!</definedName>
    <definedName name="P090103_UEM_1_ACTIVO" localSheetId="2">#REF!</definedName>
    <definedName name="P090103_UEM_1_ACTIVO">#REF!</definedName>
    <definedName name="POS_CORTAS_UEM_2_1_AGO19_V2" localSheetId="3">#REF!</definedName>
    <definedName name="POS_CORTAS_UEM_2_1_AGO19_V2" localSheetId="0">#REF!</definedName>
    <definedName name="POS_CORTAS_UEM_2_1_AGO19_V2" localSheetId="2">#REF!</definedName>
    <definedName name="POS_CORTAS_UEM_2_1_AGO19_V2">#REF!</definedName>
    <definedName name="Print_Area_MI" localSheetId="3">#REF!</definedName>
    <definedName name="Print_Area_MI" localSheetId="0">#REF!</definedName>
    <definedName name="Print_Area_MI" localSheetId="2">#REF!</definedName>
    <definedName name="Print_Area_MI">#REF!</definedName>
    <definedName name="Print_Area_MI_11" localSheetId="3">#REF!</definedName>
    <definedName name="Print_Area_MI_11" localSheetId="0">#REF!</definedName>
    <definedName name="Print_Area_MI_11" localSheetId="2">#REF!</definedName>
    <definedName name="Print_Area_MI_11">#REF!</definedName>
    <definedName name="Print_Area_MI_2" localSheetId="3">#REF!</definedName>
    <definedName name="Print_Area_MI_2" localSheetId="0">#REF!</definedName>
    <definedName name="Print_Area_MI_2" localSheetId="2">#REF!</definedName>
    <definedName name="Print_Area_MI_2">#REF!</definedName>
    <definedName name="Print_Area_MI_28" localSheetId="3">#REF!</definedName>
    <definedName name="Print_Area_MI_28" localSheetId="0">#REF!</definedName>
    <definedName name="Print_Area_MI_28" localSheetId="2">#REF!</definedName>
    <definedName name="Print_Area_MI_28">#REF!</definedName>
    <definedName name="Print_Titles_MI" localSheetId="3">#REF!</definedName>
    <definedName name="Print_Titles_MI" localSheetId="0">#REF!</definedName>
    <definedName name="Print_Titles_MI" localSheetId="2">#REF!</definedName>
    <definedName name="Print_Titles_MI">#REF!</definedName>
    <definedName name="Print_Titles_MI_11" localSheetId="3">#REF!</definedName>
    <definedName name="Print_Titles_MI_11" localSheetId="0">#REF!</definedName>
    <definedName name="Print_Titles_MI_11" localSheetId="2">#REF!</definedName>
    <definedName name="Print_Titles_MI_11">#REF!</definedName>
    <definedName name="Print_Titles_MI_2" localSheetId="3">#REF!</definedName>
    <definedName name="Print_Titles_MI_2" localSheetId="0">#REF!</definedName>
    <definedName name="Print_Titles_MI_2" localSheetId="2">#REF!</definedName>
    <definedName name="Print_Titles_MI_2">#REF!</definedName>
    <definedName name="Print_Titles_MI_28" localSheetId="3">#REF!</definedName>
    <definedName name="Print_Titles_MI_28" localSheetId="0">#REF!</definedName>
    <definedName name="Print_Titles_MI_28" localSheetId="2">#REF!</definedName>
    <definedName name="Print_Titles_MI_28">#REF!</definedName>
    <definedName name="RangoCompleto" localSheetId="3">#REF!</definedName>
    <definedName name="RangoCompleto" localSheetId="0">#REF!</definedName>
    <definedName name="RangoCompleto" localSheetId="2">#REF!</definedName>
    <definedName name="RangoCompleto">#REF!</definedName>
    <definedName name="RangoPrimeraColumna" localSheetId="3">#REF!</definedName>
    <definedName name="RangoPrimeraColumna" localSheetId="0">#REF!</definedName>
    <definedName name="RangoPrimeraColumna" localSheetId="2">#REF!</definedName>
    <definedName name="RangoPrimeraColumna">#REF!</definedName>
    <definedName name="RangoPrimeraFila" localSheetId="3">#REF!</definedName>
    <definedName name="RangoPrimeraFila" localSheetId="0">#REF!</definedName>
    <definedName name="RangoPrimeraFila" localSheetId="2">#REF!</definedName>
    <definedName name="RangoPrimeraFila">#REF!</definedName>
    <definedName name="RED_MILES_UEM_2_1_sum" localSheetId="3">#REF!</definedName>
    <definedName name="RED_MILES_UEM_2_1_sum" localSheetId="0">#REF!</definedName>
    <definedName name="RED_MILES_UEM_2_1_sum" localSheetId="2">#REF!</definedName>
    <definedName name="RED_MILES_UEM_2_1_sum">#REF!</definedName>
    <definedName name="RED_MILES_UEM_2_2_sum" localSheetId="3">#REF!</definedName>
    <definedName name="RED_MILES_UEM_2_2_sum" localSheetId="0">#REF!</definedName>
    <definedName name="RED_MILES_UEM_2_2_sum" localSheetId="2">#REF!</definedName>
    <definedName name="RED_MILES_UEM_2_2_sum">#REF!</definedName>
    <definedName name="RED_MILES_UEM_2_3_sum" localSheetId="3">#REF!</definedName>
    <definedName name="RED_MILES_UEM_2_3_sum" localSheetId="0">#REF!</definedName>
    <definedName name="RED_MILES_UEM_2_3_sum" localSheetId="2">#REF!</definedName>
    <definedName name="RED_MILES_UEM_2_3_sum">#REF!</definedName>
    <definedName name="rfgf" localSheetId="3">'[1]Table 39_'!#REF!</definedName>
    <definedName name="rfgf" localSheetId="0">'[1]Table 39_'!#REF!</definedName>
    <definedName name="rfgf" localSheetId="2">'[1]Table 39_'!#REF!</definedName>
    <definedName name="rfgf">'[1]Table 39_'!#REF!</definedName>
    <definedName name="s">[8]Lists!$A$21:$A$25</definedName>
    <definedName name="Single_Name" localSheetId="3">#REF!</definedName>
    <definedName name="Single_Name" localSheetId="2">#REF!</definedName>
    <definedName name="Single_Name">#REF!</definedName>
    <definedName name="SUM_COL99" localSheetId="3">#REF!</definedName>
    <definedName name="SUM_COL99" localSheetId="0">#REF!</definedName>
    <definedName name="SUM_COL99" localSheetId="2">#REF!</definedName>
    <definedName name="SUM_COL99">#REF!</definedName>
    <definedName name="Tabla_Mapeo_Estado_FI_08_1" localSheetId="3">#REF!</definedName>
    <definedName name="Tabla_Mapeo_Estado_FI_08_1" localSheetId="0">#REF!</definedName>
    <definedName name="Tabla_Mapeo_Estado_FI_08_1" localSheetId="2">#REF!</definedName>
    <definedName name="Tabla_Mapeo_Estado_FI_08_1">#REF!</definedName>
    <definedName name="Tipologia">'[7]TIPO DE CAMBIO'!$IR$2:$IR$7</definedName>
    <definedName name="TOT_UEM_2_1_sum" localSheetId="3">#REF!</definedName>
    <definedName name="TOT_UEM_2_1_sum" localSheetId="0">#REF!</definedName>
    <definedName name="TOT_UEM_2_1_sum" localSheetId="2">#REF!</definedName>
    <definedName name="TOT_UEM_2_1_sum">#REF!</definedName>
    <definedName name="TOT_UEM_2_2_sum" localSheetId="3">#REF!</definedName>
    <definedName name="TOT_UEM_2_2_sum" localSheetId="0">#REF!</definedName>
    <definedName name="TOT_UEM_2_2_sum" localSheetId="2">#REF!</definedName>
    <definedName name="TOT_UEM_2_2_sum">#REF!</definedName>
    <definedName name="TOT_UEM_2_3_sum" localSheetId="3">#REF!</definedName>
    <definedName name="TOT_UEM_2_3_sum" localSheetId="0">#REF!</definedName>
    <definedName name="TOT_UEM_2_3_sum" localSheetId="2">#REF!</definedName>
    <definedName name="TOT_UEM_2_3_sum">#REF!</definedName>
    <definedName name="XBRL">[5]Lists!$A$17:$A$19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7" i="29" l="1"/>
  <c r="B66" i="29"/>
  <c r="B65" i="29"/>
  <c r="B62" i="29"/>
  <c r="B63" i="29" s="1"/>
  <c r="B64" i="29" s="1"/>
  <c r="B55" i="29"/>
  <c r="B56" i="29" s="1"/>
  <c r="B57" i="29" s="1"/>
  <c r="B58" i="29" s="1"/>
  <c r="B59" i="29" s="1"/>
  <c r="B60" i="29" s="1"/>
  <c r="B61" i="29" s="1"/>
  <c r="B54" i="29"/>
  <c r="B53" i="29"/>
  <c r="B49" i="29"/>
  <c r="B50" i="29" s="1"/>
  <c r="B51" i="29" s="1"/>
  <c r="B52" i="29" s="1"/>
  <c r="B46" i="29"/>
  <c r="B47" i="29" s="1"/>
  <c r="B48" i="29" s="1"/>
  <c r="B45" i="29"/>
  <c r="B39" i="29"/>
  <c r="B40" i="29" s="1"/>
  <c r="B41" i="29" s="1"/>
  <c r="B42" i="29" s="1"/>
  <c r="B43" i="29" s="1"/>
  <c r="B44" i="29" s="1"/>
  <c r="B38" i="29"/>
  <c r="B37" i="29"/>
  <c r="B34" i="29"/>
  <c r="B35" i="29" s="1"/>
  <c r="B36" i="29" s="1"/>
  <c r="B31" i="29"/>
  <c r="B32" i="29" s="1"/>
  <c r="B33" i="29" s="1"/>
  <c r="B28" i="29"/>
  <c r="B29" i="29" s="1"/>
  <c r="B30" i="29" s="1"/>
  <c r="B27" i="29"/>
  <c r="B26" i="29"/>
  <c r="B25" i="29"/>
  <c r="B22" i="29"/>
  <c r="B23" i="29" s="1"/>
  <c r="B24" i="29" s="1"/>
  <c r="B18" i="29"/>
  <c r="B19" i="29" s="1"/>
  <c r="B20" i="29" s="1"/>
  <c r="B21" i="29" s="1"/>
  <c r="B15" i="29"/>
  <c r="B16" i="29" s="1"/>
  <c r="B17" i="29" s="1"/>
  <c r="B11" i="29"/>
  <c r="B12" i="29" s="1"/>
  <c r="B13" i="29" s="1"/>
  <c r="B14" i="29" s="1"/>
  <c r="B6" i="29"/>
  <c r="B7" i="29" s="1"/>
  <c r="B8" i="29" s="1"/>
  <c r="B9" i="29" s="1"/>
  <c r="B10" i="29" s="1"/>
  <c r="B2" i="29"/>
  <c r="B3" i="29" s="1"/>
  <c r="B4" i="29" s="1"/>
  <c r="B5" i="29" s="1"/>
</calcChain>
</file>

<file path=xl/sharedStrings.xml><?xml version="1.0" encoding="utf-8"?>
<sst xmlns="http://schemas.openxmlformats.org/spreadsheetml/2006/main" count="4089" uniqueCount="1569">
  <si>
    <t>counterparty_id</t>
  </si>
  <si>
    <t>counterparty_type_id</t>
  </si>
  <si>
    <t>counterparty_country</t>
  </si>
  <si>
    <t>base_product</t>
  </si>
  <si>
    <t>product_id</t>
  </si>
  <si>
    <t>governing_law</t>
  </si>
  <si>
    <t>collateral_portfolio</t>
  </si>
  <si>
    <t>leg_1_reference_rate</t>
  </si>
  <si>
    <t>leg_2_reference_rate</t>
  </si>
  <si>
    <t>leg_1_reference_period</t>
  </si>
  <si>
    <t>leg_2_reference_period</t>
  </si>
  <si>
    <t>premium</t>
  </si>
  <si>
    <t>netting_agreement</t>
  </si>
  <si>
    <t>carrying_amount</t>
  </si>
  <si>
    <t>accounting_classification</t>
  </si>
  <si>
    <t>hierarchy</t>
  </si>
  <si>
    <t>hedge_id</t>
  </si>
  <si>
    <t>total_risk_exposure_amount</t>
  </si>
  <si>
    <t>collateral_posted</t>
  </si>
  <si>
    <t>collateral_posted_currency</t>
  </si>
  <si>
    <t>collateral_received</t>
  </si>
  <si>
    <t>collateral_received_currency</t>
  </si>
  <si>
    <t>1. Exposures to legal persons</t>
  </si>
  <si>
    <t>2. Exposures to natural persons</t>
  </si>
  <si>
    <t>3. Off-balance sheet exposures</t>
  </si>
  <si>
    <t>4. Derivatives</t>
  </si>
  <si>
    <t>5. Debt securities</t>
  </si>
  <si>
    <t>instrument_id</t>
  </si>
  <si>
    <t>Currency</t>
  </si>
  <si>
    <t>protection_allocated_value</t>
  </si>
  <si>
    <t>joint_liabilities_amount</t>
  </si>
  <si>
    <t>Type</t>
  </si>
  <si>
    <t>Name</t>
  </si>
  <si>
    <t>financial_contract_id</t>
  </si>
  <si>
    <t>isin</t>
  </si>
  <si>
    <t>issuer_id</t>
  </si>
  <si>
    <t>issuer_id_type</t>
  </si>
  <si>
    <t>issuer_country</t>
  </si>
  <si>
    <t>issuer_esa_2010</t>
  </si>
  <si>
    <t>issuer_nace_sector</t>
  </si>
  <si>
    <t>issuer_ratings</t>
  </si>
  <si>
    <t>issuer_type</t>
  </si>
  <si>
    <t>val_timestamp</t>
  </si>
  <si>
    <t>val_type</t>
  </si>
  <si>
    <t>instrument_class</t>
  </si>
  <si>
    <t>asset_scrty_class</t>
  </si>
  <si>
    <t>placement_type</t>
  </si>
  <si>
    <t>issuance_date</t>
  </si>
  <si>
    <t>maturity_date</t>
  </si>
  <si>
    <t>guarantor_id</t>
  </si>
  <si>
    <t>guarantor_id_type</t>
  </si>
  <si>
    <t>security_rating</t>
  </si>
  <si>
    <t>coupon_type</t>
  </si>
  <si>
    <t>coupon_frequency</t>
  </si>
  <si>
    <t>coupon_currency</t>
  </si>
  <si>
    <t>coupon_rate</t>
  </si>
  <si>
    <t>reference_rate</t>
  </si>
  <si>
    <t>spread</t>
  </si>
  <si>
    <t>nominal_amount_currency</t>
  </si>
  <si>
    <t>purchased_resale_agr</t>
  </si>
  <si>
    <t>eligibility_ecb</t>
  </si>
  <si>
    <t>part_lcr_buffer</t>
  </si>
  <si>
    <t>lcr_buffer_category</t>
  </si>
  <si>
    <t>prudential_portfolio</t>
  </si>
  <si>
    <t>6. Equity</t>
  </si>
  <si>
    <t>7. DTAs/DTCs</t>
  </si>
  <si>
    <t>8. Intangible assets</t>
  </si>
  <si>
    <t>9. Goodwill</t>
  </si>
  <si>
    <t>Module</t>
  </si>
  <si>
    <t>SRB Field ID</t>
  </si>
  <si>
    <t>Category</t>
  </si>
  <si>
    <t>Data field</t>
  </si>
  <si>
    <t>Type of data</t>
  </si>
  <si>
    <t>Static/Dynamic</t>
  </si>
  <si>
    <t>Instructions</t>
  </si>
  <si>
    <t xml:space="preserve">Identification information </t>
  </si>
  <si>
    <t>Instrument Identifier</t>
  </si>
  <si>
    <t>Alphanumeric</t>
  </si>
  <si>
    <t>Static</t>
  </si>
  <si>
    <t>An identifier applied to uniquely identify each instrument. Each instrument must have one instrument identifier</t>
  </si>
  <si>
    <t>Identification information</t>
  </si>
  <si>
    <t>Counterparty Identifier</t>
  </si>
  <si>
    <t xml:space="preserve">Identifier applied to uniquely identify each counterparty. </t>
  </si>
  <si>
    <t>V_3</t>
  </si>
  <si>
    <t>Exposure class</t>
  </si>
  <si>
    <t>CRR Exposure class</t>
  </si>
  <si>
    <t xml:space="preserve">
Drop-down based on classification of the facility using exposure class as described in Article 112 of Regulation (EU) No 575/2013 (for banks using the standardised approach) and Article 147 (for banks using the internal ratings based (IRB) approach)</t>
  </si>
  <si>
    <r>
      <t>The exposures classes for the calculation of risk-weighted assets (RWAs) for credit risks are as follows (not applicable when exposures are classified in the CRR trading book as defined in Article 4(1)(86) of Regulation (EU) No 575/2013):
Where a bank uses the</t>
    </r>
    <r>
      <rPr>
        <b/>
        <sz val="10"/>
        <rFont val="Calibri"/>
        <family val="2"/>
        <scheme val="minor"/>
      </rPr>
      <t xml:space="preserve"> standardised approach: </t>
    </r>
    <r>
      <rPr>
        <sz val="10"/>
        <rFont val="Calibri"/>
        <family val="2"/>
        <scheme val="minor"/>
      </rPr>
      <t xml:space="preserve">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securitisation positions
- Institutions and corporates with a short term credit assessment (SSHOTER) 
- Collective investment undertakings (SCOLINV) 
- Equity (SEQUITY) 
- Other (SOTHERI) 
Where a bank uses the </t>
    </r>
    <r>
      <rPr>
        <b/>
        <sz val="10"/>
        <rFont val="Calibri"/>
        <family val="2"/>
        <scheme val="minor"/>
      </rPr>
      <t>IRB approach</t>
    </r>
    <r>
      <rPr>
        <sz val="10"/>
        <rFont val="Calibri"/>
        <family val="2"/>
        <scheme val="minor"/>
      </rPr>
      <t xml:space="preserve">: 
- Central governments and central banks (ICENGOV)
- Institutions (IINSTIT)
- Corporates (ICORPOR)
- Retail (IRETAIL) 
- Equity (IEQUITY) 
- Items representing securitisation positions
- Other non credit-obligation assets (IOTHERC) </t>
    </r>
  </si>
  <si>
    <t>crr_exposure_class</t>
  </si>
  <si>
    <t>finrep_exposure_class</t>
  </si>
  <si>
    <t>crr_loss_given_default</t>
  </si>
  <si>
    <t>FINREP</t>
  </si>
  <si>
    <t>1.1</t>
  </si>
  <si>
    <t>Cash, cash balances at central banks and other demand deposits</t>
  </si>
  <si>
    <t>N/A</t>
  </si>
  <si>
    <t xml:space="preserve">      Cash on hand</t>
  </si>
  <si>
    <t>N/A to Data Set</t>
  </si>
  <si>
    <t xml:space="preserve">      Cash balances at central banks</t>
  </si>
  <si>
    <t>1/2. Exposures (Legal and Natural persons)</t>
  </si>
  <si>
    <t xml:space="preserve">      Other demand deposits</t>
  </si>
  <si>
    <t>Financial assets held for trading</t>
  </si>
  <si>
    <t xml:space="preserve">      Derivatives</t>
  </si>
  <si>
    <t xml:space="preserve">      Equity instruments</t>
  </si>
  <si>
    <t>6. Financial assets - Equity</t>
  </si>
  <si>
    <t xml:space="preserve">      Debt securities</t>
  </si>
  <si>
    <t>5. Financial assets - Debt securities</t>
  </si>
  <si>
    <t xml:space="preserve">      Loans and advances</t>
  </si>
  <si>
    <t>Non-trading financial assets mandatorily at fair value through profit or loss</t>
  </si>
  <si>
    <t>Financial assets designated at fair value through profit or loss</t>
  </si>
  <si>
    <t>Financial assets at fair value through other comprehensive income</t>
  </si>
  <si>
    <t>Financial assets at amortised cost</t>
  </si>
  <si>
    <t>Derivatives - Hedge accounting</t>
  </si>
  <si>
    <t>Fair value changes of the hedged items in portfolio hedge of interest rate risk</t>
  </si>
  <si>
    <t>Investments in subsidiaries, joint ventures and associates</t>
  </si>
  <si>
    <t>Tangible assets</t>
  </si>
  <si>
    <t xml:space="preserve">      Property, plant and equipment</t>
  </si>
  <si>
    <t xml:space="preserve">      Investment property</t>
  </si>
  <si>
    <t>Intangible assets</t>
  </si>
  <si>
    <t xml:space="preserve">      Goodwill</t>
  </si>
  <si>
    <t xml:space="preserve">      Other intangible assets</t>
  </si>
  <si>
    <t>Tax assets</t>
  </si>
  <si>
    <t xml:space="preserve">      Current tax assets</t>
  </si>
  <si>
    <t xml:space="preserve">      Deferred tax assets</t>
  </si>
  <si>
    <t>7. Deferred tax assets/credits</t>
  </si>
  <si>
    <t>Other assets</t>
  </si>
  <si>
    <t>Non-current assets and disposal groups classified as held for sale</t>
  </si>
  <si>
    <t>1.2</t>
  </si>
  <si>
    <t>Financial liabilities held for trading</t>
  </si>
  <si>
    <t xml:space="preserve">      Short positions</t>
  </si>
  <si>
    <t xml:space="preserve">      Deposits</t>
  </si>
  <si>
    <t xml:space="preserve">      Debt securities issued</t>
  </si>
  <si>
    <t xml:space="preserve">      Other financial liabilities</t>
  </si>
  <si>
    <t>Financial liabilities designated at fair value through profit or loss</t>
  </si>
  <si>
    <t>Financial liabilities measured at amortised cost</t>
  </si>
  <si>
    <t>Provisions</t>
  </si>
  <si>
    <t xml:space="preserve">      Pension and other post employment defined benefit obligations</t>
  </si>
  <si>
    <t xml:space="preserve">      Other long term employee benefits</t>
  </si>
  <si>
    <t xml:space="preserve">      Restructuring</t>
  </si>
  <si>
    <t xml:space="preserve">      Pending legal issues and tax litigation</t>
  </si>
  <si>
    <t xml:space="preserve">      Commitments and guarantees given</t>
  </si>
  <si>
    <t xml:space="preserve">      Other provisions</t>
  </si>
  <si>
    <t>Tax liabilities</t>
  </si>
  <si>
    <t xml:space="preserve">      Current tax liabilities</t>
  </si>
  <si>
    <t xml:space="preserve">      Deferred tax liabilities</t>
  </si>
  <si>
    <t>Share capital repayable on demand</t>
  </si>
  <si>
    <t>Other liabilities</t>
  </si>
  <si>
    <t>Liabilities included in disposal groups classified as held for sale</t>
  </si>
  <si>
    <t>9.1</t>
  </si>
  <si>
    <t>-</t>
  </si>
  <si>
    <t>Epigraph 2</t>
  </si>
  <si>
    <t>Epigraph 1</t>
  </si>
  <si>
    <t>SRB Data Set Module</t>
  </si>
  <si>
    <t>CSV</t>
  </si>
  <si>
    <t>Delimiter</t>
  </si>
  <si>
    <t>Header</t>
  </si>
  <si>
    <t>Yes</t>
  </si>
  <si>
    <t>General considerations</t>
  </si>
  <si>
    <t>Data Type</t>
  </si>
  <si>
    <t>Default value for missing data</t>
  </si>
  <si>
    <t>Default value for not applicable fields</t>
  </si>
  <si>
    <t>Date</t>
  </si>
  <si>
    <t>Varchar (includes Varchar Code List)</t>
  </si>
  <si>
    <t>MISS</t>
  </si>
  <si>
    <t>Numeric (includes numeric Code List)</t>
  </si>
  <si>
    <t>V_4</t>
  </si>
  <si>
    <t>FINREP Exposure class</t>
  </si>
  <si>
    <t>Drop-down:
- Central banks
- Central governments
- Credit institutions
- Other financial corporations
- Non-financial corporations
- Households</t>
  </si>
  <si>
    <t>Classification of the facility (exposure class) as defined in ITS 680/2014  Annex V Instructions FINREP (Counterparty breakdown)</t>
  </si>
  <si>
    <t>V_5</t>
  </si>
  <si>
    <t>Risk parameters</t>
  </si>
  <si>
    <t>Total Risk Exposure Amount</t>
  </si>
  <si>
    <t>Numeric (euro)</t>
  </si>
  <si>
    <t>Dynamic</t>
  </si>
  <si>
    <t>The total risk exposure amount of the instrument, calculated according to Articles 92(3) and 92(4) of Regulation (EU) No 575/2013 (CRR), where applicable</t>
  </si>
  <si>
    <t>V_6</t>
  </si>
  <si>
    <t>CRR Loss given default</t>
  </si>
  <si>
    <t xml:space="preserve">Numeric. Basis points </t>
  </si>
  <si>
    <t>Current level of the 'Loss given default' of the loan, determined in accordance with Articles 161, 164, 179 and 181 of Regulation (EU) No 575/2013</t>
  </si>
  <si>
    <t>V_7</t>
  </si>
  <si>
    <t>IFRS 9 Loss given default</t>
  </si>
  <si>
    <t xml:space="preserve">Current level of the ‘Loss given default’ of the loan determined for accounting purposes. </t>
  </si>
  <si>
    <t>V_8</t>
  </si>
  <si>
    <t>Current Internal Credit Rating/Scoring</t>
  </si>
  <si>
    <t>Numeric / Alphanumeric</t>
  </si>
  <si>
    <t>Internal credit rating/scoring issued to the counterparty.</t>
  </si>
  <si>
    <t>internal_credit_rating</t>
  </si>
  <si>
    <t>V_9</t>
  </si>
  <si>
    <t>External Credit Rating</t>
  </si>
  <si>
    <t>External credit rating issued to the counterparty at cut-off date. In case several ratings are assigned, the approach described in Art. 138 of the CRR applies.</t>
  </si>
  <si>
    <t>external_credit_rating</t>
  </si>
  <si>
    <t>V_10</t>
  </si>
  <si>
    <t>IFRS 9 Probability of default/impairment</t>
  </si>
  <si>
    <t>The probability of default/impairment is calculated in accordance with the requirements specific to probability of default (PD) estimation as laid down in the accounting framework. If PDs are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 which is to be reported</t>
  </si>
  <si>
    <t>ifrs9_prob_default_impairment</t>
  </si>
  <si>
    <t>V_11</t>
  </si>
  <si>
    <t>Probability of default (others)</t>
  </si>
  <si>
    <t xml:space="preserve">Applicable only to institutions not using CRR IRB models. These institutions should maintain records of probabilities of default or scores provided by scoring/rating models. In the case of PDs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PDs which is to be reported. </t>
  </si>
  <si>
    <t>V_2</t>
  </si>
  <si>
    <t>Unique Field ID</t>
  </si>
  <si>
    <t>1-V_1_I</t>
  </si>
  <si>
    <t>INSTRUMENT-INSTRMNT_ID</t>
  </si>
  <si>
    <t>1-V_2_I</t>
  </si>
  <si>
    <t>1-V_3</t>
  </si>
  <si>
    <t>1-V_4</t>
  </si>
  <si>
    <t>1-V_5</t>
  </si>
  <si>
    <t>INSTRUMENT-EAD</t>
  </si>
  <si>
    <t>1-V_6</t>
  </si>
  <si>
    <t>INSTRUMENT-LGD</t>
  </si>
  <si>
    <t>1-V_7</t>
  </si>
  <si>
    <t>INSTRUMENT-IFRS9_LGD</t>
  </si>
  <si>
    <t>Submodule</t>
  </si>
  <si>
    <t>ENTITY-ENTTY_ID</t>
  </si>
  <si>
    <t>ENTITY-INTRNL_RTNG</t>
  </si>
  <si>
    <t>ENTITY-EXTRNL_RTNG</t>
  </si>
  <si>
    <t>ENTITY-PD_IFRS9_12M_RD</t>
  </si>
  <si>
    <t>V_1</t>
  </si>
  <si>
    <t>1-V_8</t>
  </si>
  <si>
    <t>1-V_9</t>
  </si>
  <si>
    <t>1-V_10</t>
  </si>
  <si>
    <t>1-V_11</t>
  </si>
  <si>
    <t>1-V_2_C</t>
  </si>
  <si>
    <r>
      <rPr>
        <b/>
        <sz val="11"/>
        <color theme="1"/>
        <rFont val="Calibri"/>
        <family val="2"/>
        <scheme val="minor"/>
      </rPr>
      <t>YYYYMMDD:</t>
    </r>
    <r>
      <rPr>
        <sz val="11"/>
        <color theme="1"/>
        <rFont val="Calibri"/>
        <family val="2"/>
        <scheme val="minor"/>
      </rPr>
      <t xml:space="preserve"> Data date</t>
    </r>
  </si>
  <si>
    <r>
      <t xml:space="preserve">Unique file per unit </t>
    </r>
    <r>
      <rPr>
        <b/>
        <vertAlign val="superscript"/>
        <sz val="11"/>
        <color theme="0"/>
        <rFont val="Calibri"/>
        <family val="2"/>
        <scheme val="minor"/>
      </rPr>
      <t>(1)</t>
    </r>
  </si>
  <si>
    <r>
      <rPr>
        <vertAlign val="superscript"/>
        <sz val="11"/>
        <color theme="1"/>
        <rFont val="Calibri"/>
        <family val="2"/>
        <scheme val="minor"/>
      </rPr>
      <t>(1)</t>
    </r>
    <r>
      <rPr>
        <sz val="11"/>
        <color theme="1"/>
        <rFont val="Calibri"/>
        <family val="2"/>
        <scheme val="minor"/>
      </rPr>
      <t xml:space="preserve"> SRB states that they expect to receive just one file from each unit</t>
    </r>
  </si>
  <si>
    <t>ZIP contaning all the files: XXXXX_YYYYMMDD.zip</t>
  </si>
  <si>
    <t>;</t>
  </si>
  <si>
    <r>
      <t xml:space="preserve">Files included in the ZIP </t>
    </r>
    <r>
      <rPr>
        <b/>
        <vertAlign val="superscript"/>
        <sz val="11"/>
        <color theme="0"/>
        <rFont val="Calibri"/>
        <family val="2"/>
        <scheme val="minor"/>
      </rPr>
      <t>(2)</t>
    </r>
  </si>
  <si>
    <r>
      <rPr>
        <b/>
        <sz val="11"/>
        <color theme="1"/>
        <rFont val="Calibri"/>
        <family val="2"/>
        <scheme val="minor"/>
      </rPr>
      <t>XXXXX:</t>
    </r>
    <r>
      <rPr>
        <sz val="11"/>
        <color theme="1"/>
        <rFont val="Calibri"/>
        <family val="2"/>
        <scheme val="minor"/>
      </rPr>
      <t xml:space="preserve"> Cargabal Informing society</t>
    </r>
  </si>
  <si>
    <r>
      <rPr>
        <b/>
        <sz val="11"/>
        <color theme="1"/>
        <rFont val="Calibri"/>
        <family val="2"/>
        <scheme val="minor"/>
      </rPr>
      <t>Default values</t>
    </r>
    <r>
      <rPr>
        <sz val="11"/>
        <color theme="1"/>
        <rFont val="Calibri"/>
        <family val="2"/>
        <scheme val="minor"/>
      </rPr>
      <t xml:space="preserve">: Valuation Data Set instructions do not set default values for each data point. A few months ago it was shared with the units the proposal: to follow the same logic as the ECB indicates in the case of Structural Loan Tape:
</t>
    </r>
  </si>
  <si>
    <r>
      <rPr>
        <b/>
        <sz val="11"/>
        <color theme="1"/>
        <rFont val="Calibri"/>
        <family val="2"/>
        <scheme val="minor"/>
      </rPr>
      <t>XXXXX:</t>
    </r>
    <r>
      <rPr>
        <sz val="11"/>
        <color theme="1"/>
        <rFont val="Calibri"/>
        <family val="2"/>
        <scheme val="minor"/>
      </rPr>
      <t xml:space="preserve"> Cargabal informing society</t>
    </r>
  </si>
  <si>
    <t>V_12</t>
  </si>
  <si>
    <t>1-V_12</t>
  </si>
  <si>
    <t>Protection identifier</t>
  </si>
  <si>
    <t>An identifier applied to uniquely identify each protection/collateral used to secure the instrument.</t>
  </si>
  <si>
    <t>1-V_1_P</t>
  </si>
  <si>
    <t>V_187</t>
  </si>
  <si>
    <t>1-V_187</t>
  </si>
  <si>
    <t>Type of collateral</t>
  </si>
  <si>
    <t>- Drop-down: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</si>
  <si>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The AnaCredit item “type of protection” (9.4.3. of the Anacredit Reporting Manual part II - Dataset and data attributes) provides a breakdown of collateral eligible in accordance with the CRR. The proposed breakdown adds several categories.</t>
  </si>
  <si>
    <t>V_14</t>
  </si>
  <si>
    <t>1-V_14</t>
  </si>
  <si>
    <t>Size collateral</t>
  </si>
  <si>
    <t>Building Area (M2)</t>
  </si>
  <si>
    <t xml:space="preserve">Numeric </t>
  </si>
  <si>
    <t xml:space="preserve">Building area of the building in square metres. Only applicable to Residential real estate colalteral, Offices and commercial premises, Commercial real estate collateral, Hotels &amp; entertainement, Factories – warehouses. </t>
  </si>
  <si>
    <t>building_area_m2</t>
  </si>
  <si>
    <t>V_15</t>
  </si>
  <si>
    <t>1-V_15</t>
  </si>
  <si>
    <t>Land Area (M2)</t>
  </si>
  <si>
    <t xml:space="preserve">Land area of the property in square metres, including any land surrounding the building(s) on the property that is part of the property. </t>
  </si>
  <si>
    <t>land_area_m2</t>
  </si>
  <si>
    <t>V_16</t>
  </si>
  <si>
    <t>1-V_16</t>
  </si>
  <si>
    <t>Location</t>
  </si>
  <si>
    <t>Property postcode</t>
  </si>
  <si>
    <t xml:space="preserve">Postcode where the property is located. Only applicable to Residential real estate collateral, Offices and commercial premises, Commercial real estate collateral, Hotels &amp; entertainment, Factories – warehouses. </t>
  </si>
  <si>
    <t>property_postcode</t>
  </si>
  <si>
    <t>V_17</t>
  </si>
  <si>
    <t>1-V_17</t>
  </si>
  <si>
    <t>Lien</t>
  </si>
  <si>
    <t>Lien position</t>
  </si>
  <si>
    <t xml:space="preserve">The highest ranking position(s) in relation to the collateral held by the counterparty to secure the facility. If the facility has several liens on one collateral, the highest claim is reported in this data field. </t>
  </si>
  <si>
    <t>lien_position</t>
  </si>
  <si>
    <t>V_18</t>
  </si>
  <si>
    <t>1-V_18</t>
  </si>
  <si>
    <t>Collateral characteristics</t>
  </si>
  <si>
    <t>Detailed type of Shipping collateral</t>
  </si>
  <si>
    <t>Drop-down:
Bulker (1)
Container (2)
Crude Oil Tanker (3)
Product Tanker (4)
Chemical Tanker (5)
Cruise Ship (6)
Ferry (7)
LPG Carrier (8)
Offshore (9)
Other (10)</t>
  </si>
  <si>
    <t xml:space="preserve">Detailed type of collateral received. Applicable only to shipping portfolios. </t>
  </si>
  <si>
    <t>det_type_ship_collateral</t>
  </si>
  <si>
    <t>PROTECTION-PRTCTN_ID</t>
  </si>
  <si>
    <t>PROTECTION-TYP_PRTCTN</t>
  </si>
  <si>
    <t>PROTECTION-RL_ESTT_PST_CD</t>
  </si>
  <si>
    <t>1-V_1_RC</t>
  </si>
  <si>
    <t>1-V_2_RC</t>
  </si>
  <si>
    <t>INSTR_ENTITY-INSTRMNT_ID</t>
  </si>
  <si>
    <t>INSTR_ENTITY-ENTTY_ID</t>
  </si>
  <si>
    <t>1-V_1_RP</t>
  </si>
  <si>
    <t>1-V_12_RP</t>
  </si>
  <si>
    <t>INSTR_PROTECTION-INSTRMNT_ID</t>
  </si>
  <si>
    <t>INSTR_PROTECTION-PRTCTN_ID</t>
  </si>
  <si>
    <t>protection_id</t>
  </si>
  <si>
    <t>2-V_1_I</t>
  </si>
  <si>
    <t>2-V_2_I</t>
  </si>
  <si>
    <t>2-V_139_A</t>
  </si>
  <si>
    <t>Reporting data identifier</t>
  </si>
  <si>
    <t>The counterparty identifier of the reporting agent which reports the data.</t>
  </si>
  <si>
    <t>V_140</t>
  </si>
  <si>
    <t>2-V_140</t>
  </si>
  <si>
    <t>Observed agent identifier</t>
  </si>
  <si>
    <t>The counterparty identifier of the observed agent (i.e. an institutional unit of the reporting agent) whose data are reported by the reporting agent.</t>
  </si>
  <si>
    <t>V_141</t>
  </si>
  <si>
    <t>2-V_141</t>
  </si>
  <si>
    <t>Contract identifier</t>
  </si>
  <si>
    <t>2-V_3</t>
  </si>
  <si>
    <t>Drop-down based on classification of the facility using exposure class as described in Article 112 of Regulation (EU) No 575/2013 (for banks using the standardised approach) and Article 147 of
Regulation (EU) No 575/2013 (for banks using the IRB approach)</t>
  </si>
  <si>
    <t>2-V_4</t>
  </si>
  <si>
    <t xml:space="preserve">Drop-down:
- Central banks
- Central governments
- Credit institutions
- Other financial corporations
- Non-financial corporations
- Households
</t>
  </si>
  <si>
    <t>Classification of the facility (exposure class) as defined in ITS 680/2014 Annex V Instructions FINREP (Counterparty breakdown)</t>
  </si>
  <si>
    <t>2-V_5</t>
  </si>
  <si>
    <t>2-V_6</t>
  </si>
  <si>
    <t>2-V_7</t>
  </si>
  <si>
    <t>V_35</t>
  </si>
  <si>
    <t>2-V_35</t>
  </si>
  <si>
    <t>Instrument characteristics</t>
  </si>
  <si>
    <t>Type of instrument</t>
  </si>
  <si>
    <t>Drop-down:
- Overdraft
- Credit card debt
- Revolving credit card other than overdrafts and credti card debt
- Credit lines other than revolving credit
- Financial lease
- Loan
- Other</t>
  </si>
  <si>
    <t xml:space="preserve">Classification of the instrument according to the type of contractual terms agreed between the parties.  </t>
  </si>
  <si>
    <t>V_142</t>
  </si>
  <si>
    <t>2-V_142</t>
  </si>
  <si>
    <t>Amortization type</t>
  </si>
  <si>
    <t>Drop-down:
- French
- German
- Fixed amortisation schedule
- Bullet
- Other</t>
  </si>
  <si>
    <t>Type of amortisation of the instrument including principal and interest at the reporting reference date.</t>
  </si>
  <si>
    <t>V_143</t>
  </si>
  <si>
    <t>2-V_143</t>
  </si>
  <si>
    <t>Drop-down</t>
  </si>
  <si>
    <t>Currency denomination of instruments, in accordance with the ISO 4217 standard.</t>
  </si>
  <si>
    <t>V_144</t>
  </si>
  <si>
    <t>2-V_144</t>
  </si>
  <si>
    <t>Inception date</t>
  </si>
  <si>
    <t>The date on which the contractual relationship originated, i.e. the date on which the contract agreement becomes binding for all parties.</t>
  </si>
  <si>
    <t>V_145</t>
  </si>
  <si>
    <t>2-V_145</t>
  </si>
  <si>
    <t>Interest rate information</t>
  </si>
  <si>
    <t>End date of interest-only period</t>
  </si>
  <si>
    <t>The date on which the interest-only period ends.</t>
  </si>
  <si>
    <t>V_146</t>
  </si>
  <si>
    <t>2-V_146</t>
  </si>
  <si>
    <t>Interest rate cap</t>
  </si>
  <si>
    <t>Numeric. Reported in basis points with the same convention as for the attribute “interest rate spread/margin”.</t>
  </si>
  <si>
    <t>The maximum interest rate per annum that can be charged on the outstanding nominal amount (or parts thereof).</t>
  </si>
  <si>
    <t>V_147</t>
  </si>
  <si>
    <t>2-V_147</t>
  </si>
  <si>
    <t>Interest rate floor</t>
  </si>
  <si>
    <t>The minimum interest rate per annum that can be charged on the outstanding nominal amount (or parts thereof).</t>
  </si>
  <si>
    <t>V_148</t>
  </si>
  <si>
    <t>2-V_148</t>
  </si>
  <si>
    <t>Interest rate reset frequency</t>
  </si>
  <si>
    <t xml:space="preserve">Drop-down:
- Overnight
- Monthly/quarterly/semi-annual/annual
- At creditor discretion
- Other frequency
</t>
  </si>
  <si>
    <t>Frequency at which the interest rate is reset after the initial fixed-rate period, if any.</t>
  </si>
  <si>
    <t>V_149</t>
  </si>
  <si>
    <t>2-V_149</t>
  </si>
  <si>
    <t>Interest rate spread/margin</t>
  </si>
  <si>
    <t>Numeric (percentage)</t>
  </si>
  <si>
    <t>Margin or spread to add to the reference rate that is used for the calculation of the interest rate in basis points. This applies to interest rates charged for variable interest loans.</t>
  </si>
  <si>
    <t>V_150</t>
  </si>
  <si>
    <t>2-V_150</t>
  </si>
  <si>
    <t>Interest rate type</t>
  </si>
  <si>
    <t>Drop-down:
- Fixed
- Variable
- Mixed</t>
  </si>
  <si>
    <t xml:space="preserve">Classification of credit exposures based on the base rate for establishing the interest rate for each payment period. </t>
  </si>
  <si>
    <t>V_151</t>
  </si>
  <si>
    <t>2-V_151</t>
  </si>
  <si>
    <t>Legal final maturity date</t>
  </si>
  <si>
    <t>The contractual maturity date of the instrument, taking into account any agreements amending initial contracts.</t>
  </si>
  <si>
    <t>V_152</t>
  </si>
  <si>
    <t>2-V_152</t>
  </si>
  <si>
    <t>Commitment amount at inception</t>
  </si>
  <si>
    <t>Observed agent’s maximum exposure to credit risk on the inception date of the instrument, without taking into account any protection held or other credit enhancements.</t>
  </si>
  <si>
    <t>V_153</t>
  </si>
  <si>
    <t>2-V_153</t>
  </si>
  <si>
    <t>Payment frequency</t>
  </si>
  <si>
    <t>Drop-down:
- Monthly/quarterly/semi-annual/annual
- Bullet
- Zero coupon
- Other</t>
  </si>
  <si>
    <t>Frequency of payments due, either of principal or interest, i.e. number of months between payments at the reporting reference date.</t>
  </si>
  <si>
    <t>V_154</t>
  </si>
  <si>
    <t>2-V_154</t>
  </si>
  <si>
    <t>Reference rate</t>
  </si>
  <si>
    <t>Drop-down: EURIBOR, USD LIBOR, GBP LIBOR, EUR LIBOR, JPY LIBOR, CHF LIBOR, MIBOR, OTHER SINGLE REFERENCE RATES, other multiple reference rates</t>
  </si>
  <si>
    <t>Reference rate used for the calculation of the actual interest rate. The reference rate code is a combination of the reference rate value and maturity value.</t>
  </si>
  <si>
    <t>V_155</t>
  </si>
  <si>
    <t>2-V_155</t>
  </si>
  <si>
    <t>Settlement date</t>
  </si>
  <si>
    <t>The date on which the conditions specified in the contract are or can be executed for the first time, i.e. the date on which financial instruments are initially exchanged or created</t>
  </si>
  <si>
    <t>V_156</t>
  </si>
  <si>
    <t>2-V_156</t>
  </si>
  <si>
    <t>Interest rate</t>
  </si>
  <si>
    <t>Numeric (percentage with two decimals, both positive and negative values).</t>
  </si>
  <si>
    <t>Annualised agreed rate or narrowly defined interest rate in accordance with Part 1 of Annex I to Regulation (EU) No 1072/2013 of the European Central Bank (ECB/2013/34)</t>
  </si>
  <si>
    <t>V_157</t>
  </si>
  <si>
    <t>2-V_157</t>
  </si>
  <si>
    <t>Next interest rate reset date</t>
  </si>
  <si>
    <t xml:space="preserve">The date when the next interest rate reset, as defined in Part 3 of Annex I to Regulation (EU) No 1071/2013 (ECB/2013/33), takes place. </t>
  </si>
  <si>
    <t>V_158</t>
  </si>
  <si>
    <t>2-V_158</t>
  </si>
  <si>
    <t>Financial information</t>
  </si>
  <si>
    <t>Default status of the instrument</t>
  </si>
  <si>
    <t>Drop down: 
- Not in default
- Default because unlikely to pay (not more than 90/180 days past due) 
- Default because more than 90/180 days past due
- Default because both unlikely to pay and more than 90/180 days past due.</t>
  </si>
  <si>
    <t>Identification of the default status of the instrument in accordance with Article 178 of Regulation (EU) No 575/2013.</t>
  </si>
  <si>
    <t>V_159</t>
  </si>
  <si>
    <t>2-V_159</t>
  </si>
  <si>
    <t>Date of the default status of the instrument</t>
  </si>
  <si>
    <t>The date on which the default status, as reported in the data attribute “default status of the instrument”, is considered to have occurred.</t>
  </si>
  <si>
    <t>V_160</t>
  </si>
  <si>
    <t>2-V_160</t>
  </si>
  <si>
    <t>Transferred amount</t>
  </si>
  <si>
    <t xml:space="preserve">Transferred amount of the economic ownership of the financial asset to third parties. This data attribute captures the part of the outstanding nominal amount that has been transferred to another creditor. </t>
  </si>
  <si>
    <t>V_161</t>
  </si>
  <si>
    <t>2-V_161</t>
  </si>
  <si>
    <t>Arrears for the instrument</t>
  </si>
  <si>
    <t>Aggregated amount of the principal, interest and any fee payment outstanding at the reporting date, which is contractually due and has not been paid (past due).</t>
  </si>
  <si>
    <t>V_162</t>
  </si>
  <si>
    <t>2-V_162</t>
  </si>
  <si>
    <t>Date of past due for the instrument</t>
  </si>
  <si>
    <t>The date on which the instrument became past due in accordance with Part 2.96 of Annex V to the amended Implementing Regulation (EU) No 680/2014.</t>
  </si>
  <si>
    <t>V_163</t>
  </si>
  <si>
    <t>2-V_163</t>
  </si>
  <si>
    <t>Financial information/Instrument characteristics</t>
  </si>
  <si>
    <t>Type of securitization</t>
  </si>
  <si>
    <t xml:space="preserve">Drop-down: 
- Traditional securitisation
- Synthetic securitisation
- Not securitised
</t>
  </si>
  <si>
    <t>Captures the type of securitisation, if any, to which the instrument has been subject, in accordance with Article 242(10), (11), 243 and 244 of Regulation (EU) No 575/2013.</t>
  </si>
  <si>
    <t>V_164</t>
  </si>
  <si>
    <t>2-V_164</t>
  </si>
  <si>
    <t>Outstanding nominal amount</t>
  </si>
  <si>
    <t>Principal amount outstanding at the end of the reporting reference date, including unpaid past due interest but excluding accrued interest, net of write-offs and write-downs as determined by the relevant accounting practices.</t>
  </si>
  <si>
    <t>V_165</t>
  </si>
  <si>
    <t>2-V_165</t>
  </si>
  <si>
    <t>Accrued interest</t>
  </si>
  <si>
    <t>The amount of accrued interest on loans at the reporting reference date as defined in Regulation (EU) No 1071/2013 (ECB/2013/33).</t>
  </si>
  <si>
    <t>V_166</t>
  </si>
  <si>
    <t>2-V_166</t>
  </si>
  <si>
    <t>Off-balance-sheet amount</t>
  </si>
  <si>
    <t xml:space="preserve">Total nominal amount of off-balance-sheet exposures. </t>
  </si>
  <si>
    <t>V_167</t>
  </si>
  <si>
    <t>2-V_167</t>
  </si>
  <si>
    <t>Joint liabilities amount</t>
  </si>
  <si>
    <t>Outstanding nominal amount for which each debtor is liable in relation to a single instrument where there are two or more debtors.</t>
  </si>
  <si>
    <t>V_168</t>
  </si>
  <si>
    <t>2-V_168</t>
  </si>
  <si>
    <t>Accounting classification of instruments</t>
  </si>
  <si>
    <t xml:space="preserve">Drop-down:
- Values for IFRS and accounting portfolios under national GAAPs consistent with IFRS:
• Cash balances at central banks and other demand deposits (IFRS)
• Financial assets held for trading (IFRS)
• Non-trading financial assets mandatorily at fair value through profit or loss (IFRS)
• Financial assets designated at fair value through profit or loss (IFRS)
• Financial assets at fair value through other comprehensive income (IFRS)
• Financial assets at amortised cost (IFRS)
- Values for accounting portfolios under national GAAPs not consistent with IFRS 9/IAS39:
• Cash balances at central banks and other demand deposits (GAAP)
• Trading Financial assets (GAAP)
• Non-trading non-derivative financial assets measured at fair value through profit or loss (GAAP)
• Non-trading non-derivative financial assets measured at fair value to equity (GAAP)
• Non-trading debt instruments measured at a cost-based method (GAAP)
• Other non-trading non-derivative financial assets (GAAP)
- Values for accounting portfolios under national GAAPs consistent with IAS 39:
• Cash balances at central banks and other demand deposits (GAAP)
• Financial assets held for trading (GAAP)
• Financial assets designated at fair value through profit or loss (GAAP)
• Available-for-sale financial assets (GAAP)
• Loans and receivables (GAAP)
• Held-to-maturity investments (GAAP)
</t>
  </si>
  <si>
    <t>Accounting portfolio where the instrument is recorded in accordance with the accounting standard – IFRS or national GAAP – under Regulation (EU) 2015/534 (ECB/2015/13) applied by the observed agent’s legal entity.</t>
  </si>
  <si>
    <t>V_169</t>
  </si>
  <si>
    <t>2-V_169</t>
  </si>
  <si>
    <t>Balance sheet recognition</t>
  </si>
  <si>
    <t xml:space="preserve">Drop-down:
- Entirely recognised
- Recognised to the extent of the institution’s continuing involvement
- Entirely derecognised
</t>
  </si>
  <si>
    <t>Balance sheet recognition of the financial asset. This data attribute classifies the reported instruments pursuant to their balance sheet recognition in accordance with Annex III and Template 15 in Annex IV to the ITS.</t>
  </si>
  <si>
    <t>V_170</t>
  </si>
  <si>
    <t>2-V_170</t>
  </si>
  <si>
    <t>Accumulated write-offs</t>
  </si>
  <si>
    <t>Cumulative amount of principal and past due interest of any debt instrument that the institution is no longer recognising because they are considered uncollectible, independently of the portfolio in which they were included.</t>
  </si>
  <si>
    <t>V_171</t>
  </si>
  <si>
    <t>2-V_171</t>
  </si>
  <si>
    <t>Accumulated impairment amount</t>
  </si>
  <si>
    <t xml:space="preserve">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(i)loss allowance at an amount equal to 12-month expected credit losses;
(ii) loss allowance at an amount equal to lifetime expected credit losses.
Under GAAP, the accumulated impairment relates to the following amounts:
(i)loss allowance at an amount equal to general allowances;
(ii) loss allowance at an amount equal to specific allowances.
</t>
  </si>
  <si>
    <t>V_172</t>
  </si>
  <si>
    <t>2-V_172</t>
  </si>
  <si>
    <t>Type of impairment</t>
  </si>
  <si>
    <t xml:space="preserve">Drop-down:
- Stage 1 (IFRS)
- Stage 2 (IFRS)
- Stage 3 (IFRS)
- General allowances (GAAP)
- Specific allowances (GAAP)
</t>
  </si>
  <si>
    <t>V_173</t>
  </si>
  <si>
    <t>2-V_173</t>
  </si>
  <si>
    <t>Impairment assessment method</t>
  </si>
  <si>
    <t>Drop-down:
- Individually assessed
- Collectively assessed</t>
  </si>
  <si>
    <t>The method by which the impairment is assessed, if the instrument is subject to impairment in accordance with applied accounting standards.</t>
  </si>
  <si>
    <t>V_174</t>
  </si>
  <si>
    <t>2-V_174</t>
  </si>
  <si>
    <t>Sources of encumbrance</t>
  </si>
  <si>
    <t xml:space="preserve">Drop-down:
- Central bank funding 
- Exchange traded derivatives
- Over-the-counter derivatives
- Deposits – repurchase agreements other than to central banks 
- Deposits other than repurchase agreements
- Debt securities issued – covered bonds securities
- Debt securities issued – asset-backed securities
- Debt securities issued – other than covered bonds and ABSs
- Other sources of encumbrance
- No encumbrance
</t>
  </si>
  <si>
    <t>Type of transaction in which the exposure is encumbered in accordance with Implementing Regulation (EU) No 680/2014. An asset will be treated as encumbered if it has been pledged or if it is subject to any form of arrangement to secure, collateralise or credit enhance any instrument from which it cannot be freely withdrawn.</t>
  </si>
  <si>
    <t>V_175</t>
  </si>
  <si>
    <t>2-V_175</t>
  </si>
  <si>
    <t>Performing status of the instrument</t>
  </si>
  <si>
    <t xml:space="preserve">Drop-down:
- Non-performing
- Performing
</t>
  </si>
  <si>
    <t>The instrument is to be classified on the reporting reference date, in accordance with Implementing Regulation (EU) No 680/2014.</t>
  </si>
  <si>
    <t>V_176</t>
  </si>
  <si>
    <t>2-V_176</t>
  </si>
  <si>
    <t>Date of the performing status of the instrument</t>
  </si>
  <si>
    <t>DD/MM/YYYY</t>
  </si>
  <si>
    <t>The date on which the performing status as reported in “performing status of the instrument” is considered to have been established or changed.</t>
  </si>
  <si>
    <t>V_177</t>
  </si>
  <si>
    <t>2-V_177</t>
  </si>
  <si>
    <t>Provisions associated with off-balance-sheet exposures</t>
  </si>
  <si>
    <t>This data attribute provides information on the amount of provisions (if any) associated with off-balance-sheet amounts (of instruments for which there is an off-balance-sheet amount) that can be converted to assets in the balance sheet.</t>
  </si>
  <si>
    <t>V_178</t>
  </si>
  <si>
    <t>2-V_178</t>
  </si>
  <si>
    <t>Forbearance information</t>
  </si>
  <si>
    <t>Status of forbearance and renegotiation</t>
  </si>
  <si>
    <t xml:space="preserve">Drop-down:
- Forborne: instruments with modified interest rate below market conditions
- Forborne: instruments with other modified terms and conditions
- Forborne: totally or partially refinanced debt
- Renegotiated instrument without forbearance measures 
- Not forborne or renegotiated
</t>
  </si>
  <si>
    <t>Identification of forborne and renegotiated instruments.</t>
  </si>
  <si>
    <t>V_179</t>
  </si>
  <si>
    <t>2-V_179</t>
  </si>
  <si>
    <t>Date of the forbearance and renegotiation status</t>
  </si>
  <si>
    <t>The date on which a forbearance or renegotiation status as reported under “status of forbearance and renegotiation” is considered to have occurred.</t>
  </si>
  <si>
    <t>V_180</t>
  </si>
  <si>
    <t>2-V_180</t>
  </si>
  <si>
    <t>Default information</t>
  </si>
  <si>
    <t>Cumulative recoveries since default</t>
  </si>
  <si>
    <t>The total amount recovered since the date of default received in relation to a defaulted instrument during the latest default period and only during that period.</t>
  </si>
  <si>
    <t>V_181</t>
  </si>
  <si>
    <t>2-V_181</t>
  </si>
  <si>
    <t>Carrying amount</t>
  </si>
  <si>
    <t>The carrying amount in accordance with Annex V to Implementing Regulation (EU) No 680/2014.</t>
  </si>
  <si>
    <t>V_182</t>
  </si>
  <si>
    <t>2-V_182</t>
  </si>
  <si>
    <t>Prudential portfolio</t>
  </si>
  <si>
    <t xml:space="preserve">Drop-down:
- Trading book
- Non- trading book
</t>
  </si>
  <si>
    <t>Classification of exposures in the trading book as defined in Article 4(1)(86) of Regulation (EU) No 575/2013.</t>
  </si>
  <si>
    <t>V_183</t>
  </si>
  <si>
    <t>2-V_183</t>
  </si>
  <si>
    <t>Valuation</t>
  </si>
  <si>
    <t>Accumulated changes in fair value due to credit risk</t>
  </si>
  <si>
    <t>Accumulated changes in fair value due to credit risk in accordance with Part 2.46 of Annex V to Implementing Regulation (EU) No 680/2014.</t>
  </si>
  <si>
    <t>File name</t>
  </si>
  <si>
    <t>XXXXX_YYYYMMDD_01_01_leg_instr.csv</t>
  </si>
  <si>
    <t>XXXXX_YYYYMMDD_01_02_leg_count.csv</t>
  </si>
  <si>
    <t>XXXXX_YYYYMMDD_01_03_leg_prote.csv</t>
  </si>
  <si>
    <t>XXXXX_YYYYMMDD_01_04_leg_instr_count.csv</t>
  </si>
  <si>
    <t>XXXXX_YYYYMMDD_01_05_leg_instr_prot.csv</t>
  </si>
  <si>
    <t>XXXXX_YYYYMMDD_02_01_nat_instr.csv</t>
  </si>
  <si>
    <t>XXXXX_YYYYMMDD_02_02_nat_count.csv</t>
  </si>
  <si>
    <t>XXXXX_YYYYMMDD_02_03_nat_prot.csv</t>
  </si>
  <si>
    <t>XXXXX_YYYYMMDD_02_04_nat_instr_count.csv</t>
  </si>
  <si>
    <t>XXXXX_YYYYMMDD_02_05_nat_instr_prot.csv</t>
  </si>
  <si>
    <t>XXXXX_YYYYMMDD_03_01_off_instr.csv</t>
  </si>
  <si>
    <t>XXXXX_YYYYMMDD_03_02_off_count.csv</t>
  </si>
  <si>
    <t>XXXXX_YYYYMMDD_03_03_off_prot.csv</t>
  </si>
  <si>
    <t>XXXXX_YYYYMMDD_03_04_off_instr_count.csv</t>
  </si>
  <si>
    <t>XXXXX_YYYYMMDD_03_05_off_instr_prot.csv</t>
  </si>
  <si>
    <t>XXXXX_YYYYMMDD_04_01_derivatives.csv</t>
  </si>
  <si>
    <t>XXXXX_YYYYMMDD_05_01_debtsecurities.csv</t>
  </si>
  <si>
    <t>XXXXX_YYYYMMDD_06_01_equity.csv</t>
  </si>
  <si>
    <t>XXXXX_YYYYMMDD_07_01_dtasdtcs.csv</t>
  </si>
  <si>
    <t>XXXXX_YYYYMMDD_08_01_intangible.csv</t>
  </si>
  <si>
    <t>XXXXX_YYYYMMDD_09_01_goodwill.csv</t>
  </si>
  <si>
    <r>
      <t xml:space="preserve">An identifier applied by the reporting agent to uniquely identify </t>
    </r>
    <r>
      <rPr>
        <b/>
        <sz val="10"/>
        <rFont val="Calibri"/>
        <family val="2"/>
        <scheme val="minor"/>
      </rPr>
      <t>each contract</t>
    </r>
    <r>
      <rPr>
        <sz val="10"/>
        <rFont val="Calibri"/>
        <family val="2"/>
        <scheme val="minor"/>
      </rPr>
      <t>. The contract identifier refers to the credit agreement between two or more parties under which the instrument is created.</t>
    </r>
  </si>
  <si>
    <r>
      <t xml:space="preserve">The exposures classes for the calculation of RWAs for credit risks are as follows (not applicable when exposures are classified in the CRR trading book as defined in Article 4(1)(86) of Regulation (EU) No 575/2013):
</t>
    </r>
    <r>
      <rPr>
        <b/>
        <sz val="10"/>
        <rFont val="Calibri"/>
        <family val="2"/>
        <scheme val="minor"/>
      </rPr>
      <t xml:space="preserve">Where a bank uses the standardised approach: </t>
    </r>
    <r>
      <rPr>
        <sz val="10"/>
        <rFont val="Calibri"/>
        <family val="2"/>
        <scheme val="minor"/>
      </rPr>
      <t xml:space="preserve">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securitisation positions
- Institutions and corporates with a short term credit assessment (SSHOTER) 
- Collective investment undertakings (SCOLINV) 
- Equity (SEQUITY) 
- Other (SOTHERI) 
</t>
    </r>
    <r>
      <rPr>
        <b/>
        <sz val="10"/>
        <rFont val="Calibri"/>
        <family val="2"/>
        <scheme val="minor"/>
      </rPr>
      <t xml:space="preserve">Where a bank uses the IRB approach: </t>
    </r>
    <r>
      <rPr>
        <sz val="10"/>
        <rFont val="Calibri"/>
        <family val="2"/>
        <scheme val="minor"/>
      </rPr>
      <t xml:space="preserve">
- Central governments and central banks (ICENGOV)
- Institutions (IINSTIT)
- Corporates (ICORPOR)
- Retail (IRETAIL) 
- Equity (IEQUITY) 
- Items representing securitisation positions
- Other non-credit-obligation assets (IOTHERC)</t>
    </r>
  </si>
  <si>
    <r>
      <t>This data attribute indicates the type of impairment to which the instrument is subject</t>
    </r>
    <r>
      <rPr>
        <strike/>
        <sz val="10"/>
        <rFont val="Calibri"/>
        <family val="2"/>
        <scheme val="minor"/>
      </rPr>
      <t>.</t>
    </r>
  </si>
  <si>
    <t>Probability of default</t>
  </si>
  <si>
    <t>Numeric. Basis points</t>
  </si>
  <si>
    <t>The counterparty’s probability of default over one year, determined in accordance with Articles 160, 163, 179 and 180 of Regulation (EU) No 575/2013. The probability of default (PD) is in accordance with the requirements specific to PD estimation as laid down in the CRR. In the case of PDs produced at the instrument level only (the so-called product PD), the counterparty PD is reported as the exposure weighted average PD of all instruments of the counterparty. If, for a given counterparty, a PD is estimated for both the counterparty and (some of) the products of the counterparty, the counterparty’s PD is to be reported.</t>
  </si>
  <si>
    <t>Numeric/Alphanumeric</t>
  </si>
  <si>
    <t>Internal credit rating/scoring issued to the Counterparty.</t>
  </si>
  <si>
    <t xml:space="preserve">Applicable only to institutions neither using models for estimating IFRS 9 impairments nor CRR IRB models. These institutions should maintain records of probabilities of default or scores provided by scoring/rating models. In the case of PDs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PDs which is to be reported. </t>
  </si>
  <si>
    <t>V_184</t>
  </si>
  <si>
    <t>Counterparty characteristics</t>
  </si>
  <si>
    <t>Counterparty role</t>
  </si>
  <si>
    <t>Drop-down:
- Creditor
- Debtor
- Servicer
- Originator</t>
  </si>
  <si>
    <t>The roles that counterparties assume in relation to an instrument recorded in the instrument dataset are recorded in the counterparty-instrument dataset.</t>
  </si>
  <si>
    <t>V_185</t>
  </si>
  <si>
    <t>Default status of the counterparty</t>
  </si>
  <si>
    <t>Drop-down:
- Not in default
- Default because unlikely to pay
- Default because more than 90/180 days past due
- Default because both unlikely to pay and more than 90/180 days past due</t>
  </si>
  <si>
    <t>Identification of the default status of the counterparty. Categories describing the motives for which the counterparty can be in default in accordance with Article 178
of Regulation (EU) No 575/2013.</t>
  </si>
  <si>
    <t>V_186</t>
  </si>
  <si>
    <t>Date of the default status of the counterparty</t>
  </si>
  <si>
    <t>The date on which the default status, as reported in the data attribute “Default status of the counterparty”, is considered to have arisen.</t>
  </si>
  <si>
    <t>V_219</t>
  </si>
  <si>
    <t>Protection provider identifier</t>
  </si>
  <si>
    <t>The protection provider identifier is the counterparty identifier of the counterparty that grants protection against a contractually agreed negative credit event and that is obliged to make payments to the creditor if the debtor fails to meet the obligation to make repayments arising under the instrument secured by the protection item.</t>
  </si>
  <si>
    <t>Type of  collateral</t>
  </si>
  <si>
    <t>Drop-down: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</si>
  <si>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 xml:space="preserve">The highest ranking position(s) in relation to the collateral held by the counterparty to secure the facility. In case the facility has several liens on one collateral, the highest claim is reported in this data field. </t>
  </si>
  <si>
    <t>V_188</t>
  </si>
  <si>
    <t>Date of protection value</t>
  </si>
  <si>
    <t>The date on which the latest appraisal or valuation of the protection was carried out prior to the reporting reference date, i.e. the date on which the amount reported in the attribute “protection value” of the value type reported in the attribute “type of protection value” was established under the valuation method reported in the attribute protection valuation approach.</t>
  </si>
  <si>
    <t>V_220</t>
  </si>
  <si>
    <t>Protection value</t>
  </si>
  <si>
    <t xml:space="preserve">The amount of the protection value is the monetary value of the protection that was established at the latest valuation date </t>
  </si>
  <si>
    <t>V_189</t>
  </si>
  <si>
    <t>Protection characteristics</t>
  </si>
  <si>
    <t>Maturity date of the protection</t>
  </si>
  <si>
    <t>The contractual maturity date of the protection, which is the earliest date at which the protection may terminate or be terminated, taking into account any agreements amending initial contracts.</t>
  </si>
  <si>
    <t>V_190</t>
  </si>
  <si>
    <t>Original protection value</t>
  </si>
  <si>
    <t>The monetary value of the protection item that was established at the date when the protection item was originally received as a credit protection.</t>
  </si>
  <si>
    <t>V_191</t>
  </si>
  <si>
    <t>Date of original protection value</t>
  </si>
  <si>
    <t>The date on which the latest appraisal or valuation of the protection was carried out prior to its initial receipt as credit protection.</t>
  </si>
  <si>
    <t>V_192</t>
  </si>
  <si>
    <t>Type of protection value</t>
  </si>
  <si>
    <t>Drop-down:
- Notional amount
- Fair value
- Market value
- Long-term sustainable value
- Other protection value</t>
  </si>
  <si>
    <t xml:space="preserve">The type of the reported value of the protection item as reported in the data attribute “protection value”.
</t>
  </si>
  <si>
    <t>V_221</t>
  </si>
  <si>
    <t>Protection valuation approach</t>
  </si>
  <si>
    <t>Drop-down:
- Mark-to-to-market valuation
- Counterparty estimation
- Creditor valuation
- Third party valuation</t>
  </si>
  <si>
    <t>Method used to determine the protection value.</t>
  </si>
  <si>
    <t>V_193</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</si>
  <si>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</si>
  <si>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</si>
  <si>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V_194</t>
  </si>
  <si>
    <t>Third-party priority claims against the protection</t>
  </si>
  <si>
    <t>The maximum amount of any existing higher ranked liens with respect to third parties other than the observed agent against the protection.</t>
  </si>
  <si>
    <t>The reporting agent identifier is the counterparty identifier of the reporting agent which reports the data.</t>
  </si>
  <si>
    <t>The observed agent identifier is the counterparty identifier of the observed agent (i.e. an institutional unit of the reporting agent) whose data are reported by the reporting agent.</t>
  </si>
  <si>
    <t>V_222</t>
  </si>
  <si>
    <t>Drop-down:
- Loan commitments given
- Financial guarantees given
- Other commitments given</t>
  </si>
  <si>
    <t>Type of commitment or guarantee as per FINREP classification</t>
  </si>
  <si>
    <t>V_23</t>
  </si>
  <si>
    <t>Credit conversion factor</t>
  </si>
  <si>
    <t>Credit conversion factor as defined by the CRR</t>
  </si>
  <si>
    <t>Numeric (euros)</t>
  </si>
  <si>
    <t>V_223</t>
  </si>
  <si>
    <t>Nominal amount</t>
  </si>
  <si>
    <t xml:space="preserve">Total nominal amount of off-balance-sheet exposure under IFRS 9. </t>
  </si>
  <si>
    <t>V_224</t>
  </si>
  <si>
    <t>Maturity / expiry date</t>
  </si>
  <si>
    <t>Expiry date</t>
  </si>
  <si>
    <t>V_225</t>
  </si>
  <si>
    <t>Nominal interest rate or fee</t>
  </si>
  <si>
    <t>Notional interest rate or fee as agreed and payable</t>
  </si>
  <si>
    <t>Drop down: 
- Not in default
- Default because unlikely to pay (not more than 90/180 days past due) 
- Default because more than 90/180 days past due 
- Default because both unlikely to pay and more than 90/180 days past due.</t>
  </si>
  <si>
    <t>Identification of the default status of the instrument. Categories describing the situations in which an instrument can be described as being at default in accordance with Article 178 of Regulation (EU) No 575/2013.</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</si>
  <si>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(i)loss allowance at an amount equal to 12-month expected credit losses;
(ii) loss allowance at an amount equal to lifetime expected credit losses.
Under GAAP, the accumulated impairment relates to the following amounts:
(i)loss allowance at an amount equal to general allowances;
(ii) loss allowance at an amount equal to specific allowances.</t>
  </si>
  <si>
    <t>This data attribute indicates the type of impairment to which the instrument is subject</t>
  </si>
  <si>
    <t>The instrument is to be classified on the reporting reference date under one of the following categories: performing or non-performing, in accordance with Implementing Regulation (EU) No 680/2014.</t>
  </si>
  <si>
    <t>External credit rating issued to the Counterparty (if any)</t>
  </si>
  <si>
    <t>Identification of the default status of the counterparty. Categories describing
the motives for which the counterparty can be in default in accordance with Article 178
of Regulation (EU) No 575/2013.</t>
  </si>
  <si>
    <t>V_195</t>
  </si>
  <si>
    <t>Legal entity identifier (LEI)</t>
  </si>
  <si>
    <t>The legal entity identifier (LEI) is the counterparty identifier assigned in accordance with the International Organization for Standardization (ISO) 17442 standard.</t>
  </si>
  <si>
    <t>V_196</t>
  </si>
  <si>
    <t>National identifier</t>
  </si>
  <si>
    <t>A national identifier is a commonly used identification code which enables the unambiguous identification of a counterparty or of the legal entity of which the counterparty forms part within its country of residency.</t>
  </si>
  <si>
    <t>V_197</t>
  </si>
  <si>
    <t>Head office undertaking identifier</t>
  </si>
  <si>
    <t>The head office undertaking identifier is the counterparty identifier of the domestic part of the legal entity of which the institutional unit is a legally dependent part.</t>
  </si>
  <si>
    <t>V_198</t>
  </si>
  <si>
    <t>Immediate parent undertaking identifier</t>
  </si>
  <si>
    <t>The immediate parent undertaking identifier is the counterparty identifier for the domestic part of the legal entity which is the immediate parent undertaking of the counterparty.</t>
  </si>
  <si>
    <t>V_199</t>
  </si>
  <si>
    <t>Ultimate parent undertaking identifier</t>
  </si>
  <si>
    <t>The ultimate parent undertaking identifier is the counterparty identifier for the domestic part of the legal entity which is the ultimate parent undertaking of the counterparty.</t>
  </si>
  <si>
    <t>V_200</t>
  </si>
  <si>
    <t>The full legal name of the counterparty.</t>
  </si>
  <si>
    <t>V_201</t>
  </si>
  <si>
    <t>Location information</t>
  </si>
  <si>
    <t>Address: street</t>
  </si>
  <si>
    <t xml:space="preserve">Alphanumeric </t>
  </si>
  <si>
    <t>The counterparty’s street address, including the street number.</t>
  </si>
  <si>
    <t>V_202</t>
  </si>
  <si>
    <t>Address: city/town/village</t>
  </si>
  <si>
    <t>The counterparty’s city, town or village.</t>
  </si>
  <si>
    <t>V_203</t>
  </si>
  <si>
    <t>Address: postal code</t>
  </si>
  <si>
    <t>The counterparty’s postal code.</t>
  </si>
  <si>
    <t>V_204</t>
  </si>
  <si>
    <t>Address: county/administrative division</t>
  </si>
  <si>
    <t>The county or similar administrative division of counterparties resident in European Union Member States as per NUTS 3 classification.</t>
  </si>
  <si>
    <t>V_205</t>
  </si>
  <si>
    <t>Address: country</t>
  </si>
  <si>
    <t>Drop-down (ISO 3166-1 alpha-2 codes: ISO 3166-1 alpha-2 code of the country).</t>
  </si>
  <si>
    <t>The counterparty’s country.</t>
  </si>
  <si>
    <t>V_206</t>
  </si>
  <si>
    <t>Legal form</t>
  </si>
  <si>
    <t xml:space="preserve">The type of business entity as defined in the national legal system. </t>
  </si>
  <si>
    <t>V_207</t>
  </si>
  <si>
    <t>Institutional sector</t>
  </si>
  <si>
    <t xml:space="preserve">Drop-down:
- Non-financial corporations,
- Central Bank,
- Credit institutions,
- Deposit-taking corporations other than credit institutions,
- Money market funds (MMF),
- Non-MMF Investment funds, 
-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 Financial auxilliaries,
- Captive  financial institutions and money lenders, 
- Insurance corporations,
- Pension funds,
- Central government,
- State government,
- Local government,
- Social security funds,
- Non-profit institutions serving households </t>
  </si>
  <si>
    <t>Institutional sectors in accordance with Regulation (EU) No 549/2013, Regulation (EU) No 575/2013 and Regulation (EU) No 1075/2013 of the European Central Bank (ECB/2013/40).</t>
  </si>
  <si>
    <t>V_208</t>
  </si>
  <si>
    <t>Economic activity</t>
  </si>
  <si>
    <t>Drop-down: NACE code: a level two, three or four NACE code in accordance with Regulation (EC) No 1893/2006.</t>
  </si>
  <si>
    <t>Economic activity is a classification of counterparties according to their economic activities, in accordance with the NACE revision 2 statistical classification as laid down in Regulation (EC) No 1893/2006 of the European Parliament and of the Council.</t>
  </si>
  <si>
    <t>V_209</t>
  </si>
  <si>
    <t>Status of legal proceedings</t>
  </si>
  <si>
    <t>Drop-down:
- No legal actions taken
- Under judicial administration, receivership or similar measures
- Bankruptcy/insolvency
- Other legal measures</t>
  </si>
  <si>
    <t>The status of legal proceedings covers the categories describing a counterparty’s legal status in relation to its solvency based on the national legal framework. The NCB should transpose these values (listed below) into the national legal framework.</t>
  </si>
  <si>
    <t>V_210</t>
  </si>
  <si>
    <t>Date of initiation of legal proceedings</t>
  </si>
  <si>
    <t>The date on which the legal proceedings, as reported under the attribute “status of legal proceedings”, were initiated. This date should be the most recent relevant date prior to the reporting date.</t>
  </si>
  <si>
    <t>V_211</t>
  </si>
  <si>
    <t>Enterprise size</t>
  </si>
  <si>
    <t>Drop-down:
- Large enterprise
- Medium enterprise
- Small enterprise
- Microenterprise</t>
  </si>
  <si>
    <t>The classification of enterprises by size, in accordance with the Annex to Commission Recommendation 2003/361/EC.</t>
  </si>
  <si>
    <t>V_212</t>
  </si>
  <si>
    <t>Date of enterprise size</t>
  </si>
  <si>
    <t>The date to which the value provided in the “enterprise size” refers. This is the date of the latest data used to classify or review the classification of the enterprise.</t>
  </si>
  <si>
    <t>V_213</t>
  </si>
  <si>
    <t>Number of employees</t>
  </si>
  <si>
    <t>Numeric</t>
  </si>
  <si>
    <t>Number of employees working for the counterparty, in accordance with Article 5 of the Annex to Recommendation 2003/361/EC.</t>
  </si>
  <si>
    <t>V_214</t>
  </si>
  <si>
    <t>Balance sheet total</t>
  </si>
  <si>
    <t>Numeric (the carrying value of the counterparty's total assets referring to the latest approved accounting period of the legal entity)</t>
  </si>
  <si>
    <t>The carrying value of the counterparty’s total assets in accordance with Regulation (EU) No 549/2013.</t>
  </si>
  <si>
    <t>V_215</t>
  </si>
  <si>
    <t>Annual turnover</t>
  </si>
  <si>
    <t>Numeric in euro</t>
  </si>
  <si>
    <t xml:space="preserve">The annual sales volume net of all discounts and sales taxes of the counterparty in accordance with Recommendation 2003/361/EC. </t>
  </si>
  <si>
    <t>V_216</t>
  </si>
  <si>
    <t>Accounting standard</t>
  </si>
  <si>
    <t>Drop-down:
- IFRS
- National GAAP consistent with IFRS
- National GAAP not consistent with IFRS</t>
  </si>
  <si>
    <t>Accounting standard used by the observed agent’s legal entity.</t>
  </si>
  <si>
    <t xml:space="preserve">Land area of the property in square meters, including any land surrounding the building(s) on the property that is part of the property. Only applicable to land. </t>
  </si>
  <si>
    <t>The date on which the latest appraisal or valuation of the protection was carried out prior to the reporting reference date.</t>
  </si>
  <si>
    <t>V_217</t>
  </si>
  <si>
    <t>V_218</t>
  </si>
  <si>
    <t>Parties to the financial contract</t>
  </si>
  <si>
    <t>Unique trade identifier</t>
  </si>
  <si>
    <t>Until global UTI is available, up to 52 alphanumerical character code including four special characters : "". - _."". Special characters are not allowed at the beginning and at the end of the code. No space allowed.</t>
  </si>
  <si>
    <t xml:space="preserve">As per EMIR revised ITS Article 4a. </t>
  </si>
  <si>
    <t>Counterparty ID</t>
  </si>
  <si>
    <t>Code used to identify the reporting counterparty. Where a contract is concluding in a trading venue and cleared by a CCP such that a counterparty is not aware of the identity of the other counterparty, the entity must identify that CCP as its counterparty.</t>
  </si>
  <si>
    <t>V_24</t>
  </si>
  <si>
    <t xml:space="preserve">Type of ID of the counterparty of the reporting entity </t>
  </si>
  <si>
    <t>Drop-down based on ECB's Securities Holding Statistics (field CL_SHS_ID_Type)</t>
  </si>
  <si>
    <t>Type of code used to identify the reporting counterparty.</t>
  </si>
  <si>
    <t>V_25</t>
  </si>
  <si>
    <t>Country of the counterparty</t>
  </si>
  <si>
    <t>Drop-down based on ECB's Securities Holding Statistics (field CL_SHS_ISSUER_AREA)</t>
  </si>
  <si>
    <t>The country code of the country where the registered office of the counterparty is located.</t>
  </si>
  <si>
    <t>V_26</t>
  </si>
  <si>
    <t>Base product</t>
  </si>
  <si>
    <t>Drop-down based on base product from ISDA OTC Derivatives Taxonomy v1.0:
- For Credit (1): Single Name (1.1); Index Tranche (1.2); Index (1.3); Total Return Swap (1.4); Total Return Swap Index (1.5); Exotic(1.6)
- For Interest Rate (2): IR Swap (2.1); FRA (2.2); CapFloor (2.3); Cross Currency (2.4); Forward (2.5); Option (2.6); Exotic (2.7); Swaptions (2.8)
- For Commodity (3): Metals (3.1); Energy (3.2); Index (3.3); Agricultural (3.4); Environmental (3.5); Freight (3.6); Multi Commodity Exotic (3.7)
- For Foreign Exchange (4): Spot (4.1); NDF (4.2); NDO (4.3); Forward (4.4); Vanilla Option (4.5); Simple Exotic (4.6); Complex Exotic (4.7)
- For Equity (5): Swap (5.1); Portfolio Swap (5.2); Contract for difference (5.3); Option (5.4); Forward (5.5); Other (5.6)</t>
  </si>
  <si>
    <t>V_27</t>
  </si>
  <si>
    <t>Specific information</t>
  </si>
  <si>
    <t>Product ID</t>
  </si>
  <si>
    <t>V_28</t>
  </si>
  <si>
    <t>Governing law</t>
  </si>
  <si>
    <t>Drop down based on ECB’s Securities Holding Statistics (field CL_SHS_ISSUER_AREA)</t>
  </si>
  <si>
    <t>Identify the law governing the financial contract</t>
  </si>
  <si>
    <t>V_29</t>
  </si>
  <si>
    <t>Contractual recognition – Write down and conversion powers  (only for contracts governed by third-country laws subject to the requirement of the contractual terms under the first subparagraph of Article 55(1) of BRRD)</t>
  </si>
  <si>
    <t xml:space="preserve">Drop-down:
- YES (1)
- NO (2)
</t>
  </si>
  <si>
    <t>The contractual term required under Article 55(1) of the BRRD. When such a contractual term is included in a master agreement and applies to all trades governed by this agreement, it can be recorded at the master agreement level.</t>
  </si>
  <si>
    <t>V_30</t>
  </si>
  <si>
    <t>Contractual recognition – Suspension of termination rights (only for contracts governed by third-country laws) under Article 7 BRRD</t>
  </si>
  <si>
    <t>The contractual term by which the creditor or party to the agreement creating the liability recognises the power of the resolution authority of a Member State to suspend termination rights. When such a contractual term is included in a master agreement and applies to all trades governed by this agreement, it can be recorded at the master agreement level.</t>
  </si>
  <si>
    <t>V_31</t>
  </si>
  <si>
    <t>Contractual recognition – Resolution powers (only for contracts governed by third-country laws)</t>
  </si>
  <si>
    <t>The contractual term, if any, by which the creditor or party to the agreement creating the liability recognises the power of the resolution authority of a Member State to apply resolution powers other than write down and conversion / suspension. When such a contractual term is included in a master agreement and applies to all trades governed by this agreement, it can be recorded at the master agreement level.</t>
  </si>
  <si>
    <t>V_32</t>
  </si>
  <si>
    <t>Collateral information</t>
  </si>
  <si>
    <t>Collateral portfolio</t>
  </si>
  <si>
    <t>State whether the collateralisation was performed on a portfolio basis. Portfolio means the collateral calculated on the basis of net positions resulting from a set of contracts, rather than per trade.</t>
  </si>
  <si>
    <t>V_33</t>
  </si>
  <si>
    <t>Collateral posted</t>
  </si>
  <si>
    <t xml:space="preserve">Numeric (euro) </t>
  </si>
  <si>
    <t>Value of the collateral posted by the reporting counterparty to the other counterparty. Portfolio means the net collateral posted calculated on the basis of net positions resulting from a set of contracts.</t>
  </si>
  <si>
    <t>V_34</t>
  </si>
  <si>
    <t>Currency of the collateral posted</t>
  </si>
  <si>
    <t>Drop-down: ISO 4217 Currency Codes</t>
  </si>
  <si>
    <t>Specify the currency of the collateral posted.</t>
  </si>
  <si>
    <t>V_37</t>
  </si>
  <si>
    <t>Collateral received</t>
  </si>
  <si>
    <t>Value of the collateral received by the reporting counterparty to the other counterparty. Portfolio means the net collateral received calculated on the basis of net positions resulting from a set of contracts.</t>
  </si>
  <si>
    <t>V_38</t>
  </si>
  <si>
    <t>Currency of the collateral received</t>
  </si>
  <si>
    <t>Specify the currency of the collateral received.</t>
  </si>
  <si>
    <t>V_41</t>
  </si>
  <si>
    <t>Specific information derivatives</t>
  </si>
  <si>
    <t>Leg 1 cash flow</t>
  </si>
  <si>
    <t xml:space="preserve">Series of leg 1 cash flows (estimated) corresponding to settlement dates, including exchange of notional, if applicable. This should be reported as multidimensional i.e. one field containing a small data set (an array). </t>
  </si>
  <si>
    <t>V_42</t>
  </si>
  <si>
    <t>Leg 2 cash flow</t>
  </si>
  <si>
    <t>Series of leg 2 cash flows (estimated) corresponding to settlement dates, including exchange of notional, if applicable. This should be reported as multidimensional i.e. one field containing a small data set (an array).</t>
  </si>
  <si>
    <t>V_43</t>
  </si>
  <si>
    <t>Specific information: interest rate derivatives</t>
  </si>
  <si>
    <t>Leg 1 reference rate</t>
  </si>
  <si>
    <t>Alphanumeric. Drop-down: EUR, LIBOR UK, LIBOR USD, etc</t>
  </si>
  <si>
    <t>Rate to which the leg 1 payment is attached, e.g. 3M LIBOR USD, EUR, etc.</t>
  </si>
  <si>
    <t>V_44</t>
  </si>
  <si>
    <t>Leg 2 reference rate</t>
  </si>
  <si>
    <t>Rate to which the leg 2 payment is attached, e.g. 3M LIBOR USD, EUR, etc.</t>
  </si>
  <si>
    <t>V_45</t>
  </si>
  <si>
    <t xml:space="preserve">Specific information: interest rate derivatives
</t>
  </si>
  <si>
    <t>Leg 1 reference period</t>
  </si>
  <si>
    <t xml:space="preserve">Drop-down: 1d, 1w, 1M, 3M, 6M, 12M, 2Y, 3Y, etc </t>
  </si>
  <si>
    <t>Reference period.</t>
  </si>
  <si>
    <t>V_46</t>
  </si>
  <si>
    <t>Leg 2 reference period</t>
  </si>
  <si>
    <t>Drop-down: 1d, 1w, 1M, 3M, 6M, 12M, 2Y, 3Y, etc</t>
  </si>
  <si>
    <t>V_49</t>
  </si>
  <si>
    <t>Specific information: credit derivatives</t>
  </si>
  <si>
    <t>Premium</t>
  </si>
  <si>
    <t>Premium paid on credit default swap (CDS) contract.</t>
  </si>
  <si>
    <t>V_51</t>
  </si>
  <si>
    <t>Details on the transaction</t>
  </si>
  <si>
    <t>Netting agreement</t>
  </si>
  <si>
    <t>If the financial contract is a part of a netting arrangement as defined in Article 2(1)(98) of Directive 2014/59/EU, a unique reference of the arrangement.</t>
  </si>
  <si>
    <t>V_52</t>
  </si>
  <si>
    <t>Accounting information</t>
  </si>
  <si>
    <t>Carrying amount of the derivative as reported in the last reported financial statements.</t>
  </si>
  <si>
    <t>V_53</t>
  </si>
  <si>
    <t>Accounting standards</t>
  </si>
  <si>
    <t>Drop-down: 
(1) IRFS
(2) National GAAP</t>
  </si>
  <si>
    <t>Applied accounting standard.</t>
  </si>
  <si>
    <t>V_54</t>
  </si>
  <si>
    <t>Accounting classification</t>
  </si>
  <si>
    <t>Drop-down:
(1) Trading book
(2) Non-trading book</t>
  </si>
  <si>
    <t>The accounting portfolio where the derivative is recorded in accordance with the accounting standard applied by the reporting counterparty.</t>
  </si>
  <si>
    <t>V_55</t>
  </si>
  <si>
    <t>Hierarchy</t>
  </si>
  <si>
    <t xml:space="preserve">Drop-down:
(1) Level 1
(2) Level 2
(3) Level 3
</t>
  </si>
  <si>
    <t>Classification into the levels of IFRS 13 fair value hierarchy, where level 3 exposures are those for which valuation is based on unobservable model input parameters.</t>
  </si>
  <si>
    <t>V_56</t>
  </si>
  <si>
    <t>Hedge ID</t>
  </si>
  <si>
    <t>Hedge ID if the position is part of an economic/accounting hedge.</t>
  </si>
  <si>
    <t xml:space="preserve">The risk weighted assets allocated to the instrument, according to Articles 92(3) and 92(4) of Regulation (EU) No 575/2013 (CRR), where applicable. </t>
  </si>
  <si>
    <t>V_58</t>
  </si>
  <si>
    <t xml:space="preserve">Financial contract type </t>
  </si>
  <si>
    <t>Financial contract ID</t>
  </si>
  <si>
    <t>Unique identifier for the debt security</t>
  </si>
  <si>
    <t>V_59</t>
  </si>
  <si>
    <t>Issuer identification</t>
  </si>
  <si>
    <t>ISIN</t>
  </si>
  <si>
    <t>International Securities Identification Number (ISIN)</t>
  </si>
  <si>
    <t>V_60</t>
  </si>
  <si>
    <t>ID of the issuer</t>
  </si>
  <si>
    <t>Unique code (Legal Entity Identifier (LEI) where available) identifying the reporting counterparty (legal entity).</t>
  </si>
  <si>
    <t>V_61</t>
  </si>
  <si>
    <t>Type of ID of the issuer</t>
  </si>
  <si>
    <t>Type of code used to identify the issuer (Legal entity)</t>
  </si>
  <si>
    <t>V_62</t>
  </si>
  <si>
    <t>Country of the issuer</t>
  </si>
  <si>
    <t>The country code of the country where the registered office of the issuer is located. To be completed only where no ISIN has been provided</t>
  </si>
  <si>
    <t>V_63</t>
  </si>
  <si>
    <t>Issuer ESA 2010</t>
  </si>
  <si>
    <t>Drop-down based on ECB's Securities Holding Statistics (field CL_SHS_ISSUER_ESA_2010)</t>
  </si>
  <si>
    <t>European System of National and Regional Accounts (ESA) 2010 sector of the issuer.</t>
  </si>
  <si>
    <t>V_64</t>
  </si>
  <si>
    <t>Issuer NACE sector</t>
  </si>
  <si>
    <t>Drop-down based on ECB's Securities Holding Statistics (field CL_SHS_NACE)</t>
  </si>
  <si>
    <t>Sector according to NACE classification</t>
  </si>
  <si>
    <t>V_65</t>
  </si>
  <si>
    <t>Issuer data</t>
  </si>
  <si>
    <t>Issuer Rating(s)</t>
  </si>
  <si>
    <t>Rating of the counterparty as of cut-off date.In the event of multiple ratings, these should be separated by comma, and the order should be the same that relating to the rating thresholds that are reported in field XYZ. If not rated, enter 'NR'.</t>
  </si>
  <si>
    <t>V_66</t>
  </si>
  <si>
    <t>Issuer Rating(s) Source(s)</t>
  </si>
  <si>
    <t>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t>
  </si>
  <si>
    <t>V_67</t>
  </si>
  <si>
    <t>Type of Issuer</t>
  </si>
  <si>
    <t>Drop-down:
- Other group entity (1)
- Third party (2)</t>
  </si>
  <si>
    <t>Other group entity refers to entities that are part of the same group as the bank (inter-affiliate exposures). Third party refers to external parties.</t>
  </si>
  <si>
    <t>V_68</t>
  </si>
  <si>
    <t>Currency of the value</t>
  </si>
  <si>
    <t>Drop-down based on ECB’s Securities Holding Statistics (field CL_SHS_CURRENCY)</t>
  </si>
  <si>
    <t>The currency used for the valuation of the security.</t>
  </si>
  <si>
    <t>V_69</t>
  </si>
  <si>
    <t>Valuation timestamp</t>
  </si>
  <si>
    <t>Date and time of the last valuation.</t>
  </si>
  <si>
    <t>V_70</t>
  </si>
  <si>
    <t>Valuation type</t>
  </si>
  <si>
    <t xml:space="preserve">Drop-down:
-Mark-to-market (1)
-Mark-to-model (2)
</t>
  </si>
  <si>
    <t>Indicate whether valuation was performed mark-to-market or mark-to-model.</t>
  </si>
  <si>
    <t>V_71</t>
  </si>
  <si>
    <t>Security characteristics</t>
  </si>
  <si>
    <t>Instrument class</t>
  </si>
  <si>
    <t>Drop-down based on ECB’s Securities Holding Statistics (field CL_SHS_INSTR_ESA2010)</t>
  </si>
  <si>
    <t xml:space="preserve">The class of the instrument according to ESA 2010. </t>
  </si>
  <si>
    <t>V_72</t>
  </si>
  <si>
    <t>Primary asset classification</t>
  </si>
  <si>
    <t>Drop-down based on ECB’s Securities Holding Statistics (field CL_SHS_PRIMARY_ASSET_CLASS)</t>
  </si>
  <si>
    <t>Type of instrument.</t>
  </si>
  <si>
    <t>V_73</t>
  </si>
  <si>
    <t>Asset securitisation class</t>
  </si>
  <si>
    <t>Drop-down based on ECB’s Securities Holding Statistics (field CL_SHS_ ASSET_SECURITISATION_TYPE)</t>
  </si>
  <si>
    <t>To be reported if the instrument is a securitisation or covered bond.</t>
  </si>
  <si>
    <t>V_74</t>
  </si>
  <si>
    <t>Type of placement</t>
  </si>
  <si>
    <t xml:space="preserve">Drop-down: 
-Public (1)
-Private (2)
</t>
  </si>
  <si>
    <t xml:space="preserve">Public or private. Public refers to issuances in capital markets that have been allocated an ISIN. Private refers to securities structured for clients or other third parties that were sold bilaterally </t>
  </si>
  <si>
    <t>V_75</t>
  </si>
  <si>
    <t>Issuance date</t>
  </si>
  <si>
    <t>Issuance date.</t>
  </si>
  <si>
    <t>V_76</t>
  </si>
  <si>
    <t xml:space="preserve">Maturity date </t>
  </si>
  <si>
    <t>Maturity date. Not applicable for perpetual instruments.</t>
  </si>
  <si>
    <t>V_77</t>
  </si>
  <si>
    <t>Guarantor ID</t>
  </si>
  <si>
    <t>Guarantor identifier if a guarantee has been provided.</t>
  </si>
  <si>
    <t>V_78</t>
  </si>
  <si>
    <t>Guarantor ID type</t>
  </si>
  <si>
    <t>Drop-down based on ECB’s Securities Holding Statistics (field CL_ID_TYPE)</t>
  </si>
  <si>
    <t>V_79</t>
  </si>
  <si>
    <t>Rating of the security</t>
  </si>
  <si>
    <t>Credit rating of security. Rating of the security as of the cut-off date. In the event of multiple ratings, these should be separated by commas and the order should be the same as that relating to the rating thresholds that are reported in field XYZ. If not rated, enter ‘NR’.</t>
  </si>
  <si>
    <t>V_80</t>
  </si>
  <si>
    <t>Instrument seniority type</t>
  </si>
  <si>
    <t>Drop-down based on ECB’s Securities Holding Statistics (field CL_SENIORITY_TYPE)</t>
  </si>
  <si>
    <t>Instrument type according to its seniority.</t>
  </si>
  <si>
    <t>V_81</t>
  </si>
  <si>
    <t xml:space="preserve">Coupon type </t>
  </si>
  <si>
    <t xml:space="preserve">Drop-down:
-Fixed (1)
-Floating (2)
-Zero coupon (3)
-Other (4)
</t>
  </si>
  <si>
    <t>Type of coupon.</t>
  </si>
  <si>
    <t>V_82</t>
  </si>
  <si>
    <t>Coupon frequency</t>
  </si>
  <si>
    <t xml:space="preserve">Drop-down:
-Monthly (1)
-Semi-annual (2)
-Annual (3)
-Other (4)
</t>
  </si>
  <si>
    <t>Frequency of coupon payment.</t>
  </si>
  <si>
    <t>V_83</t>
  </si>
  <si>
    <t xml:space="preserve">Coupon currency </t>
  </si>
  <si>
    <t>Drop-down based on ISO 4217 Currency Codes</t>
  </si>
  <si>
    <t>Currency in which the coupon is paid.</t>
  </si>
  <si>
    <t>V_84</t>
  </si>
  <si>
    <t xml:space="preserve">Coupon rate </t>
  </si>
  <si>
    <t>Coupon rate (if fixed).</t>
  </si>
  <si>
    <t>V_85</t>
  </si>
  <si>
    <t xml:space="preserve">Reference rate </t>
  </si>
  <si>
    <t>Coupon rate (if floating).</t>
  </si>
  <si>
    <t>V_86</t>
  </si>
  <si>
    <t xml:space="preserve">Spread </t>
  </si>
  <si>
    <t>Spread over the reference rate (if floating).</t>
  </si>
  <si>
    <t>V_87</t>
  </si>
  <si>
    <t>Currency of the nominal amount</t>
  </si>
  <si>
    <t>Currency for expressing the nominal of the security.</t>
  </si>
  <si>
    <t>V_88</t>
  </si>
  <si>
    <t>Use of security</t>
  </si>
  <si>
    <t>Purchased under resale agreement</t>
  </si>
  <si>
    <t xml:space="preserve">Drop-down:
-Yes (1)
-No (2)
</t>
  </si>
  <si>
    <t>Indicate weather the security was purchased with an agreement to resell it at a later stage (e.g. reverse repo, collateral swap, etc.).</t>
  </si>
  <si>
    <t>V_89</t>
  </si>
  <si>
    <t>Drop-down based on ECB’s Securities Holding Statistics (field CL_SHS_SRC_ENCMBRNC)</t>
  </si>
  <si>
    <t>Indicate the source of encumbrance for the security.</t>
  </si>
  <si>
    <t>V_90</t>
  </si>
  <si>
    <t>Eligibility for standard central bank (ECB) operations</t>
  </si>
  <si>
    <t>Indicate whether the security meets the eligibility criteria for standard central bank (ECB) operations.</t>
  </si>
  <si>
    <t>V_91</t>
  </si>
  <si>
    <t>Part of LCR buffer</t>
  </si>
  <si>
    <t>Indicate whether the security meets the eligibility criteria for standard central bank operations.</t>
  </si>
  <si>
    <t>V_92</t>
  </si>
  <si>
    <t>Category of LCR buffer</t>
  </si>
  <si>
    <t xml:space="preserve">Drop down: 
- L1 (1)
- L2A (2)
- L2B (3)
</t>
  </si>
  <si>
    <t>Indicate which part of the LCR buffer the security was part of.</t>
  </si>
  <si>
    <t>V_93</t>
  </si>
  <si>
    <t>Accounting classification of the instrument</t>
  </si>
  <si>
    <t>Drop-down based on ECB’s Securities Holding Statistics (field CL_SHS_ACCNTNG_CLSSFCTN)</t>
  </si>
  <si>
    <t>Accounting classification of the instrument according to the IFRS or national general accepted accounting principles (GAAP).</t>
  </si>
  <si>
    <t>V_94</t>
  </si>
  <si>
    <t>Drop-down based on ECB’s Securities Holding Statistics (field CL_SHS_PRFRMNG_STTS)</t>
  </si>
  <si>
    <t>Performing status of the instrument: performing vs non-performing.</t>
  </si>
  <si>
    <t>V_95</t>
  </si>
  <si>
    <t>Prudential portfolio of the instrument</t>
  </si>
  <si>
    <t>Drop-down based on ECB’s Securities Holding Statistics (field CL_SHS_PRDNTL_PRTFL)</t>
  </si>
  <si>
    <t xml:space="preserve">Indicate if the instrument is classified in the trading book or in the banking book for prudential purposes. </t>
  </si>
  <si>
    <t>V_96</t>
  </si>
  <si>
    <t>The risk weight allocated to the instrument defined in line with Articles 92(3) and 92(4) of Regulation (EU) No 575/2013 (CRR), where applicable.</t>
  </si>
  <si>
    <t xml:space="preserve">Financial contract ID </t>
  </si>
  <si>
    <t>Unique identifier for the equity investment security.</t>
  </si>
  <si>
    <t>ISIN code.</t>
  </si>
  <si>
    <t>Unique code (LEI where available) identifying the reporting counterparty (legal entity).</t>
  </si>
  <si>
    <t>Drop-down based on ECB’s Securities Holding Statistics (field CL_SHS_ID_TYPE)</t>
  </si>
  <si>
    <t>Type of code used to identify the issuer (legal entity).</t>
  </si>
  <si>
    <t>The country code of the country where the registered office of the issuer is located. To be completed only when no ISIN has been provided.</t>
  </si>
  <si>
    <t>Drop down based on ECB’s Securities Holding Statistics (field CL_SHS_ISSUER_ESA_2010)</t>
  </si>
  <si>
    <t>ESA 2010 sector of the issuer.</t>
  </si>
  <si>
    <t>Drop down based on ECB’s Securities Holding Statistics (field CL_SHS_NACE)</t>
  </si>
  <si>
    <t>Sector according to the NACE classification.</t>
  </si>
  <si>
    <t xml:space="preserve">Issuer characteristics </t>
  </si>
  <si>
    <t>Rating of counterparty as of the cut-off date. In the event of multiple ratings, these should be separated by commas and the order should be the same as that relating to the rating thresholds reported in field XYZ. If not rated, enter ‘NR’.</t>
  </si>
  <si>
    <t>Issuer characteristics</t>
  </si>
  <si>
    <t xml:space="preserve">The name of the agency providing the rating. In the event of multiple ratings, the sources should be separated by commas and their order should be the same as the thresholds and ratings provided in other fields. </t>
  </si>
  <si>
    <t xml:space="preserve">Drop-down:
-Other group entity (1)
-Third party (2)
</t>
  </si>
  <si>
    <t>Other group entity refers to entities which form part of the same group as the bank (inter-affiliate exposures). Third party refers to external parties.</t>
  </si>
  <si>
    <t>Indicate whether the valuation was performed mark-to-market or mark-to-model.</t>
  </si>
  <si>
    <t>V_97</t>
  </si>
  <si>
    <t>Dividend yield</t>
  </si>
  <si>
    <t>Average expected yearly dividends over the next three years.</t>
  </si>
  <si>
    <t xml:space="preserve">Drop-down:
- Yes (1)
- No (2)
</t>
  </si>
  <si>
    <t>Accounting classification of the instrument according to the IFRS or National GAAP.</t>
  </si>
  <si>
    <t>V_98</t>
  </si>
  <si>
    <t>DTA</t>
  </si>
  <si>
    <t xml:space="preserve">Tax group </t>
  </si>
  <si>
    <t>Group or tax group where the DTA/DTC is recognised.</t>
  </si>
  <si>
    <t>V_99</t>
  </si>
  <si>
    <t xml:space="preserve">Jurisdiction </t>
  </si>
  <si>
    <t>The tax jurisdiction in which the DTA/DTC is recognised.</t>
  </si>
  <si>
    <t>V_100</t>
  </si>
  <si>
    <t>Tax rate</t>
  </si>
  <si>
    <t>Current relevant tax rate.</t>
  </si>
  <si>
    <t>V_101</t>
  </si>
  <si>
    <t>Profit of relevant tax group</t>
  </si>
  <si>
    <t xml:space="preserve">Profit of relevant tax group as per last account reported. </t>
  </si>
  <si>
    <t>V_102</t>
  </si>
  <si>
    <t>Existence of a cap on DTA/DTC recognition</t>
  </si>
  <si>
    <t>Is tax group subject to a cap or limit (established in tax regulations) on the total value of DTA/DTC that it can recognise?</t>
  </si>
  <si>
    <t>V_103</t>
  </si>
  <si>
    <t>Origin</t>
  </si>
  <si>
    <t>DTA/DTC due to losses</t>
  </si>
  <si>
    <t>Value of recognised DTA/DTC due to losses.</t>
  </si>
  <si>
    <t>V_104</t>
  </si>
  <si>
    <t>DTA/DTC due to temporary differences</t>
  </si>
  <si>
    <t>Value of recognised DTA/DTC due to temporary differences.</t>
  </si>
  <si>
    <t>V_105</t>
  </si>
  <si>
    <t>Conditions</t>
  </si>
  <si>
    <t>DTA/DTC conditional on future profitability</t>
  </si>
  <si>
    <t>Value of recognised DTA/DTC with a conditionality on future profitability of the tax group.</t>
  </si>
  <si>
    <t>V_106</t>
  </si>
  <si>
    <t>DTA/DTC not conditional on future profitability</t>
  </si>
  <si>
    <t>Value of recognised DTA/DTC without conditionality on future profitability of the tax group.</t>
  </si>
  <si>
    <t>V_107</t>
  </si>
  <si>
    <t>DTA/DTC subject to other conditions</t>
  </si>
  <si>
    <t>Value of recognised DTA/DTC subject to conditions other than future profitability of the tax group.</t>
  </si>
  <si>
    <t>V_108</t>
  </si>
  <si>
    <t>Expiry date of DTA</t>
  </si>
  <si>
    <t>DTA/DTC without an expiry date</t>
  </si>
  <si>
    <t>Value of recognised DTA/DTC without an expiry date.</t>
  </si>
  <si>
    <t>V_109</t>
  </si>
  <si>
    <t>DTA/DTC expiring within a year</t>
  </si>
  <si>
    <t>Value of recognised DTA/DTC with an expiry date of less than one year.</t>
  </si>
  <si>
    <t>V_110</t>
  </si>
  <si>
    <t>DTA/DTC expiring within one to two years</t>
  </si>
  <si>
    <t>Value of recognised DTA/DTC with an expiry date of more than one but less than two years.</t>
  </si>
  <si>
    <t>V_111</t>
  </si>
  <si>
    <t>DTA/DTC expiring within two to three years</t>
  </si>
  <si>
    <t>Value of recognised DTA/DTC with an expiry date of more than two but less than three years.</t>
  </si>
  <si>
    <t>V_112</t>
  </si>
  <si>
    <t>DTA/DTC expiring within three to four years</t>
  </si>
  <si>
    <t>Value of recognised DTA/DTC with an expiry date of more than three but less than four years.</t>
  </si>
  <si>
    <t>V_113</t>
  </si>
  <si>
    <t>DTA/DTC expiring within four to five years</t>
  </si>
  <si>
    <t>Value of recognised DTA/DTC with an expiry date of more than four but less than five years.</t>
  </si>
  <si>
    <t>V_114</t>
  </si>
  <si>
    <t>DTA/DTC expiring in more than five years</t>
  </si>
  <si>
    <t>Value of recognised DTA/DTC with an expiry date of more than five years.</t>
  </si>
  <si>
    <t>V_115</t>
  </si>
  <si>
    <t xml:space="preserve">Asset identifier ID </t>
  </si>
  <si>
    <t>Unique identifier for the asset.</t>
  </si>
  <si>
    <t>V_116</t>
  </si>
  <si>
    <t>Asset characteristics</t>
  </si>
  <si>
    <t>Intangible asset class</t>
  </si>
  <si>
    <t xml:space="preserve">Drop-down:
- Brands (1)
- Tradenames (2)
- Internet domain names (3)
- Contracts (4)
- Customer contracts and related relationships (5)
- Customer lists (6)
- Investment management agreements (7)
- Internally developed software (8)
- Patented software and technology (9)
- Unpatented software and technology (10)
- Databases / developed information (11)
- Non-compete agreements (12)
- Other (please identify) (13)
</t>
  </si>
  <si>
    <t>V_117</t>
  </si>
  <si>
    <t>Acquisition/capitalisation date</t>
  </si>
  <si>
    <t>Date on which the asset was originally acquired/capitalised.</t>
  </si>
  <si>
    <t>V_118</t>
  </si>
  <si>
    <t>Initial fair value</t>
  </si>
  <si>
    <t>Fair value estimated on acquisition/capitalisation date.</t>
  </si>
  <si>
    <t>V_119</t>
  </si>
  <si>
    <t>Cumulative amortisation</t>
  </si>
  <si>
    <t>Cumulative amortisation since acquisition/capitalisation date, where the asset is amortised.</t>
  </si>
  <si>
    <t>V_120</t>
  </si>
  <si>
    <t>Impairment amount</t>
  </si>
  <si>
    <t xml:space="preserve">Accumulated impairment where the asset is subject to an impairment test. 
The amount of loss allowances that are held against or are allocated to financial assets or off balance sheet items on the cut off date. This data field applies to financial assets subject to impairment under the applied accounting standards (IFRS or national GAAP). If the instrument is not subject to impairment, put 'not applicable'. If the impairment is 'collectively assessed', the accumulated impairment amount that is determined for the total pool is allocated to each financial asset of the pool in proportion to its gross carrying amount in line with the applied accounting standard. The accumulated impairment amount must be defined in line with paragraph 11, 69, 71 and 110 of Part 2 of Annex V to Council Implementing Regulation (EU) No 680/2014 (FINREP). </t>
  </si>
  <si>
    <t>V_121</t>
  </si>
  <si>
    <t>Current carrying amount</t>
  </si>
  <si>
    <t>The carrying amount of the asset as of the cut-off date.</t>
  </si>
  <si>
    <t>V_122</t>
  </si>
  <si>
    <t xml:space="preserve">The currency in which the acquisition, costs, impairment and carrying amount are estimated. </t>
  </si>
  <si>
    <t>V_123</t>
  </si>
  <si>
    <t>Original accounting life</t>
  </si>
  <si>
    <t>The accounting life used for amortisation purposes (as of the acquisition date).</t>
  </si>
  <si>
    <t>V_125</t>
  </si>
  <si>
    <t>Remaining economic life</t>
  </si>
  <si>
    <t>The remaining useful economic life (until the asset is considered economically obsolete).</t>
  </si>
  <si>
    <t>V_126</t>
  </si>
  <si>
    <t>Approach to determining carrying amount</t>
  </si>
  <si>
    <t>Drop-down:
- Full appraisal (1)
- Drive-by (2)
- Automated Valuation model (3)
- Indexed (4)
- Desktop (5)
- Managing or Estate agent (6)
- Purchase price (7)
- Hair cut (8)
- Mark to market (9)
- Counterparties valuation (10)
- Cost model (i.e. value equals cost minus depreciation) (11)
- Other (12)</t>
  </si>
  <si>
    <t>The valuation approach or method used to determine the carrying amount of the asset.</t>
  </si>
  <si>
    <t>Valuation information</t>
  </si>
  <si>
    <t>V_127</t>
  </si>
  <si>
    <t>Internal/External Latest Valuation</t>
  </si>
  <si>
    <t xml:space="preserve">Drop-down:
(1) Internal
(2) External
</t>
  </si>
  <si>
    <t>Indicate as to whether the latest valuation was performed internally or by an external appraiser.</t>
  </si>
  <si>
    <t>V_128</t>
  </si>
  <si>
    <t>Intangibles: goodwill</t>
  </si>
  <si>
    <t xml:space="preserve">Asset ID </t>
  </si>
  <si>
    <t>Unique identifier for the asset</t>
  </si>
  <si>
    <t>V_129</t>
  </si>
  <si>
    <t>Source of goodwill</t>
  </si>
  <si>
    <t xml:space="preserve">Drop down:
-Merger
-Acquisition
-Cash generating units
-Others
</t>
  </si>
  <si>
    <t xml:space="preserve">Description of the origin of goodwill </t>
  </si>
  <si>
    <t>V_130</t>
  </si>
  <si>
    <t>Legal entity ID</t>
  </si>
  <si>
    <t xml:space="preserve">Unique code of the legal entity generating the goodwill. If the goodwill arises from cash generating units, please identify the ID code identifying the set of assets/liabilities.  </t>
  </si>
  <si>
    <t>V_131</t>
  </si>
  <si>
    <t>Type of ID of the legal entity</t>
  </si>
  <si>
    <t xml:space="preserve">The type of code used to identify the legal entity generating goodwill.  </t>
  </si>
  <si>
    <t>V_132</t>
  </si>
  <si>
    <t>Year created</t>
  </si>
  <si>
    <t>The year in which goodwill was created</t>
  </si>
  <si>
    <t>V_133</t>
  </si>
  <si>
    <t>Total value recognised in accounting.</t>
  </si>
  <si>
    <t>V_134</t>
  </si>
  <si>
    <t xml:space="preserve">Intangibles: goodwill </t>
  </si>
  <si>
    <t>Opinion of audit</t>
  </si>
  <si>
    <t>Opinion expressed by accounting/internal audit/external audit (if applicable).</t>
  </si>
  <si>
    <t>V_137</t>
  </si>
  <si>
    <t>Result impairment test</t>
  </si>
  <si>
    <t>Total accumulated amount of goodwill impaired after the latest impairement test.</t>
  </si>
  <si>
    <t>V_138</t>
  </si>
  <si>
    <t>Date of latest impairment test</t>
  </si>
  <si>
    <t>INSTRUMENT-COD_SOC</t>
  </si>
  <si>
    <t>INSTRUMENT-OBSRVD_AGNT_ID</t>
  </si>
  <si>
    <t>INSTRUMENT-CNTRCT_ID</t>
  </si>
  <si>
    <t>INSTRUMENT-TYP_INSTRMNT</t>
  </si>
  <si>
    <t>INSTRUMENT-TYP_AMRTSTN</t>
  </si>
  <si>
    <t>INSTRUMENT-CRRNCY_DNMNTN</t>
  </si>
  <si>
    <t>INSTRUMENT-DT_INCPTN</t>
  </si>
  <si>
    <t>INSTRUMENT-DT_END_INTRST_ONLY</t>
  </si>
  <si>
    <t>INSTRUMENT-INTRST_RT_RST_FRQNCY</t>
  </si>
  <si>
    <t>INSTRUMENT-TYP_INTRST_RT</t>
  </si>
  <si>
    <t>INSTRUMENT-DT_LGL_FNL_MTRTY</t>
  </si>
  <si>
    <t>INSTRUMENT-CMMTMNT_INCPTN_INSTRMNT</t>
  </si>
  <si>
    <t>INSTRUMENT-PYMNT_FRQNCY</t>
  </si>
  <si>
    <t>INSTRUMENT-ANNLSD_AGRD_RT</t>
  </si>
  <si>
    <t>INSTRUMENT-DT_NXT_INTRST_RT_RST</t>
  </si>
  <si>
    <t>INSTRUMENT-DFLT_STTS_INSTRMNT</t>
  </si>
  <si>
    <t>INSTRUMENT-DT_DFLT_STTS_INSTRMNT</t>
  </si>
  <si>
    <t>INSTRUMENT-ARRRS_INSTRMNT</t>
  </si>
  <si>
    <t>INSTRUMENT-DT_PST_D</t>
  </si>
  <si>
    <t>INSTRUMENT-OTSTNDNG_NMNL_AMNT_INSTRMNT</t>
  </si>
  <si>
    <t>INSTRUMENT-ACCRD_INTRST_INSTRMNT</t>
  </si>
  <si>
    <t>INSTRUMENT-OFF_BLNC_SHT_AMNT_INSTRMNT</t>
  </si>
  <si>
    <t>INSTR_ENTITY-JNT_LBLTY_AMNT</t>
  </si>
  <si>
    <t>INSTRUMENT-ACCNTNG_CLSSFCTN</t>
  </si>
  <si>
    <t>INSTRUMENT-ACCMLTD_WRTFFS_INSTRMNT</t>
  </si>
  <si>
    <t>INSTRUMENT-ACCMLTD_IMPRMNT_INSTRMNT</t>
  </si>
  <si>
    <t>INSTRUMENT-IMPRMNT_STTS</t>
  </si>
  <si>
    <t>INSTRUMENT-IMPRMNT_ASSSSMNT_MTHD</t>
  </si>
  <si>
    <t>INSTRUMENT-PRFRMNG_STTS</t>
  </si>
  <si>
    <t>INSTRUMENT-DT_PRFRMNG_STTS</t>
  </si>
  <si>
    <t>INSTRUMENT-PRVSNS_OFF_BLNC_SHT</t>
  </si>
  <si>
    <t>INSTRUMENT-FRBRNC_STTS_INSTRMNT</t>
  </si>
  <si>
    <t>INSTRUMENT-DT_FRBRNC_STTS</t>
  </si>
  <si>
    <t>INSTRUMENT-CMLTV_RCVRS_SNC_DFLT_INSTRMNT</t>
  </si>
  <si>
    <t>INSTRUMENT-CRRYNG_AMNT_INSTRMNT</t>
  </si>
  <si>
    <t>INSTRUMENT-ACCMLTD_CHNGS_FV_CR_INSTRMNT</t>
  </si>
  <si>
    <t>ENTITY-PD_CRR_RD</t>
  </si>
  <si>
    <t>ENTITY-DFLT_STTS</t>
  </si>
  <si>
    <t>ENTITY-DT_DFLT_STTS</t>
  </si>
  <si>
    <t>PROTECTION-PRTCTN_PRVDR_ID</t>
  </si>
  <si>
    <t>PROTECTION-DT_PRTCTN_VL</t>
  </si>
  <si>
    <t>PROTECTION-PRTCTN_VL</t>
  </si>
  <si>
    <t>PROTECTION-DT_MTRTY_PRTCTN</t>
  </si>
  <si>
    <t>PROTECTION-ORGNL_PRTCTN_VL</t>
  </si>
  <si>
    <t>PROTECTION-DT_ORGNL_PRTCTN_VL</t>
  </si>
  <si>
    <t>PROTECTION-TYP_PRTCTN_VL</t>
  </si>
  <si>
    <t>PROTECTION-PRTCTN_VLTN_APPRCH</t>
  </si>
  <si>
    <t>INSTR_PROTECTION-PRTCTN_ALLCTD_VL</t>
  </si>
  <si>
    <t>INSTR_PROTECTION-THRD_PRTY_PRRTY_CLMS</t>
  </si>
  <si>
    <t>INSTRUMENT-CCF</t>
  </si>
  <si>
    <t>ENTITY-LEI</t>
  </si>
  <si>
    <t>ENTITY-TAX_ID</t>
  </si>
  <si>
    <t>ENTITY-ENTTY_NM</t>
  </si>
  <si>
    <t>ENTITY-CNTRY</t>
  </si>
  <si>
    <t>ENTITY-ECNMC_ACTVTY</t>
  </si>
  <si>
    <t>ENTITY-LGL_PRCDNG_STTS_LE</t>
  </si>
  <si>
    <t>ENTITY-DT_INTTN_LGL_PRCDNGS_LE</t>
  </si>
  <si>
    <t>ENTITY-ENTRPRS_SZ_LE</t>
  </si>
  <si>
    <t>ENTITY-ANNL_TRNVR_LE</t>
  </si>
  <si>
    <t>ENTITY-ACCNTNG_FRMWRK_SL</t>
  </si>
  <si>
    <t>INSTRUMENT-ISIN</t>
  </si>
  <si>
    <t>INSTRUMENT-ISSR_ID</t>
  </si>
  <si>
    <t>INSTRUMENT-ISSR_ID_TYP</t>
  </si>
  <si>
    <t>INSTRUMENT-ISSR_CNTRY</t>
  </si>
  <si>
    <t>INSTRUMENT-ISSR_ESA_2010</t>
  </si>
  <si>
    <t>INSTRUMENT-ISSR_NACE_SCTR</t>
  </si>
  <si>
    <t>INSTRUMENT-ISSR_RTNG</t>
  </si>
  <si>
    <t>INSTRUMENT-ISSR_RTNG_SRC</t>
  </si>
  <si>
    <t>INSTRUMENT-ISSR_TYP</t>
  </si>
  <si>
    <t>INSTRUMENT-VLTN_CRRNCY</t>
  </si>
  <si>
    <t>INSTRUMENT-DT_VLTN</t>
  </si>
  <si>
    <t>INSTRUMENT-VLTN_TYP</t>
  </si>
  <si>
    <t>INSTRUMENT-INSTRMNT_CLSS</t>
  </si>
  <si>
    <t>INSTRUMENT-PRMRY_ASST_CLSSF</t>
  </si>
  <si>
    <t>INSTRUMENT-ASST_SCRT_CLSS</t>
  </si>
  <si>
    <t>INSTRUMENT-TYPE_OF_PLCMNT</t>
  </si>
  <si>
    <t>INSTRUMENT-GRNTR_ID</t>
  </si>
  <si>
    <t>INSTRUMENT-GRNTR_ID_TYP</t>
  </si>
  <si>
    <t>INSTRUMENT-INTRNL_RTNG</t>
  </si>
  <si>
    <t>INSTRUMENT-INSTR_SNRTY_CLSS</t>
  </si>
  <si>
    <t>INSTRUMENT-CPN_CRRNCY</t>
  </si>
  <si>
    <t>INSTRUMENT-CPN_RT</t>
  </si>
  <si>
    <t>INSTRUMENT-RFRNC_RT</t>
  </si>
  <si>
    <t>INSTRUMENT-SPRD</t>
  </si>
  <si>
    <t>INSTRUMENT-PRCH_UNDR_RSL_AGR</t>
  </si>
  <si>
    <t>INSTRUMENT-SRCS_ENCMBRNC</t>
  </si>
  <si>
    <t>INSTRUMENT-ELGBLTY_ECB</t>
  </si>
  <si>
    <t>INSTRUMENT-PRT_LCR_BFFR</t>
  </si>
  <si>
    <t>INSTRUMENT-LCR_BFFR_CTGRY</t>
  </si>
  <si>
    <t>INSTRUMENT-PRDNTL_PRTFL</t>
  </si>
  <si>
    <t>INSTRUMENT-HEDGE_ID</t>
  </si>
  <si>
    <t>Data point technical name</t>
  </si>
  <si>
    <t>Data point order</t>
  </si>
  <si>
    <t>2-V_167_RC</t>
  </si>
  <si>
    <t>2-V_2_C</t>
  </si>
  <si>
    <t>2-V_139_B</t>
  </si>
  <si>
    <t>2-V_8</t>
  </si>
  <si>
    <t>2-V_10</t>
  </si>
  <si>
    <t>2-V_11</t>
  </si>
  <si>
    <t>2-V_184</t>
  </si>
  <si>
    <t>2-V_185</t>
  </si>
  <si>
    <t>2-V_186</t>
  </si>
  <si>
    <t>2-V_12</t>
  </si>
  <si>
    <t>2-V_219</t>
  </si>
  <si>
    <t>2-V_1_P</t>
  </si>
  <si>
    <t>2-V_187</t>
  </si>
  <si>
    <t>2-V_14</t>
  </si>
  <si>
    <t>2-V_15</t>
  </si>
  <si>
    <t>2-V_16</t>
  </si>
  <si>
    <t>2-V_17</t>
  </si>
  <si>
    <t>2-V_188</t>
  </si>
  <si>
    <t>2-V_220</t>
  </si>
  <si>
    <t>2-V_189</t>
  </si>
  <si>
    <t>2-V_190</t>
  </si>
  <si>
    <t>2-V_191</t>
  </si>
  <si>
    <t>2-V_192</t>
  </si>
  <si>
    <t>2-V_221</t>
  </si>
  <si>
    <t>2-V_193</t>
  </si>
  <si>
    <t>2-V_194</t>
  </si>
  <si>
    <t>2-V_1_RC</t>
  </si>
  <si>
    <t>2-V_2_RC</t>
  </si>
  <si>
    <t>2-V_1_RP</t>
  </si>
  <si>
    <t>2-V_12_RP</t>
  </si>
  <si>
    <t>3-V_1_I</t>
  </si>
  <si>
    <t>3-V_2_I</t>
  </si>
  <si>
    <t>3-V_139_A</t>
  </si>
  <si>
    <t>3-V_140</t>
  </si>
  <si>
    <t>3-V_141</t>
  </si>
  <si>
    <t>3-V_222</t>
  </si>
  <si>
    <t>3-V_3</t>
  </si>
  <si>
    <t>3-V_4</t>
  </si>
  <si>
    <t>3-V_23</t>
  </si>
  <si>
    <t>3-V_5</t>
  </si>
  <si>
    <t>3-V_6</t>
  </si>
  <si>
    <t>3-V_7</t>
  </si>
  <si>
    <t>3-V_223</t>
  </si>
  <si>
    <t>3-V_224</t>
  </si>
  <si>
    <t>3-V_225</t>
  </si>
  <si>
    <t>3-V_158</t>
  </si>
  <si>
    <t>3-V_159</t>
  </si>
  <si>
    <t>3-V_161</t>
  </si>
  <si>
    <t>3-V_162</t>
  </si>
  <si>
    <t>3-V_167</t>
  </si>
  <si>
    <t>3-V_167_RC</t>
  </si>
  <si>
    <t>3-V_171</t>
  </si>
  <si>
    <t>3-V_172</t>
  </si>
  <si>
    <t>3-V_173</t>
  </si>
  <si>
    <t>3-V_175</t>
  </si>
  <si>
    <t>3-V_176</t>
  </si>
  <si>
    <t>3-V_178</t>
  </si>
  <si>
    <t>3-V_179</t>
  </si>
  <si>
    <t>3-V_2_C</t>
  </si>
  <si>
    <t>3-V_139_B</t>
  </si>
  <si>
    <t>3-V_8</t>
  </si>
  <si>
    <t>3-V_9</t>
  </si>
  <si>
    <t>3-V_10</t>
  </si>
  <si>
    <t>3-V_11</t>
  </si>
  <si>
    <t>3-V_185</t>
  </si>
  <si>
    <t>3-V_186</t>
  </si>
  <si>
    <t>3-V_195</t>
  </si>
  <si>
    <t>3-V_196</t>
  </si>
  <si>
    <t>3-V_197</t>
  </si>
  <si>
    <t>3-V_198</t>
  </si>
  <si>
    <t>3-V_199</t>
  </si>
  <si>
    <t>3-V_200</t>
  </si>
  <si>
    <t>3-V_201</t>
  </si>
  <si>
    <t>3-V_202</t>
  </si>
  <si>
    <t>3-V_203</t>
  </si>
  <si>
    <t>3-V_204</t>
  </si>
  <si>
    <t>3-V_205</t>
  </si>
  <si>
    <t>3-V_206</t>
  </si>
  <si>
    <t>3-V_207</t>
  </si>
  <si>
    <t>3-V_208</t>
  </si>
  <si>
    <t>3-V_209</t>
  </si>
  <si>
    <t>3-V_210</t>
  </si>
  <si>
    <t>3-V_211</t>
  </si>
  <si>
    <t>3-V_212</t>
  </si>
  <si>
    <t>3-V_213</t>
  </si>
  <si>
    <t>3-V_214</t>
  </si>
  <si>
    <t>3-V_215</t>
  </si>
  <si>
    <t>3-V_216</t>
  </si>
  <si>
    <t>3-V_12</t>
  </si>
  <si>
    <t>3-V_1_P</t>
  </si>
  <si>
    <t>3-V_219</t>
  </si>
  <si>
    <t>3-V_187</t>
  </si>
  <si>
    <t>3-V_14</t>
  </si>
  <si>
    <t>3-V_15</t>
  </si>
  <si>
    <t>3-V_16</t>
  </si>
  <si>
    <t>3-V_17</t>
  </si>
  <si>
    <t>3-V_188</t>
  </si>
  <si>
    <t>3-V_220</t>
  </si>
  <si>
    <t>3-V_189</t>
  </si>
  <si>
    <t>3-V_190</t>
  </si>
  <si>
    <t>3-V_191</t>
  </si>
  <si>
    <t>3-V_192</t>
  </si>
  <si>
    <t>3-V_221</t>
  </si>
  <si>
    <t>3-V_217</t>
  </si>
  <si>
    <t>3-V_218</t>
  </si>
  <si>
    <t>3-V_1_RC</t>
  </si>
  <si>
    <t>3-V_2_RC</t>
  </si>
  <si>
    <t>3-V_1_RP</t>
  </si>
  <si>
    <t>3-V_12_RP</t>
  </si>
  <si>
    <t>3-V_217_RP</t>
  </si>
  <si>
    <t>3-V_218_RP</t>
  </si>
  <si>
    <t>4-V_140</t>
  </si>
  <si>
    <t>4-V_2</t>
  </si>
  <si>
    <t>4-V_24</t>
  </si>
  <si>
    <t>4-V_25</t>
  </si>
  <si>
    <t>4-V_26</t>
  </si>
  <si>
    <t>4-V_27</t>
  </si>
  <si>
    <t>4-V_28</t>
  </si>
  <si>
    <t>4-V_29</t>
  </si>
  <si>
    <t>4-V_30</t>
  </si>
  <si>
    <t>4-V_31</t>
  </si>
  <si>
    <t>4-V_32</t>
  </si>
  <si>
    <t>4-V_33</t>
  </si>
  <si>
    <t>4-V_34</t>
  </si>
  <si>
    <t>4-V_37</t>
  </si>
  <si>
    <t>4-V_38</t>
  </si>
  <si>
    <t>4-V_41</t>
  </si>
  <si>
    <t>4-V_42</t>
  </si>
  <si>
    <t>4-V_43</t>
  </si>
  <si>
    <t>4-V_44</t>
  </si>
  <si>
    <t>4-V_45</t>
  </si>
  <si>
    <t>4-V_46</t>
  </si>
  <si>
    <t>4-V_49</t>
  </si>
  <si>
    <t>4-V_51</t>
  </si>
  <si>
    <t>4-V_52</t>
  </si>
  <si>
    <t>4-V_53</t>
  </si>
  <si>
    <t>4-V_54</t>
  </si>
  <si>
    <t>4-V_55</t>
  </si>
  <si>
    <t>4-V_56</t>
  </si>
  <si>
    <t>4-V_5</t>
  </si>
  <si>
    <t>5-V_58</t>
  </si>
  <si>
    <t>5-V_59</t>
  </si>
  <si>
    <t>5-V_60</t>
  </si>
  <si>
    <t>5-V_61</t>
  </si>
  <si>
    <t>5-V_62</t>
  </si>
  <si>
    <t>5-V_63</t>
  </si>
  <si>
    <t>5-V_64</t>
  </si>
  <si>
    <t>5-V_65</t>
  </si>
  <si>
    <t>5-V_66</t>
  </si>
  <si>
    <t>5-V_67</t>
  </si>
  <si>
    <t>5-V_68</t>
  </si>
  <si>
    <t>5-V_69</t>
  </si>
  <si>
    <t>5-V_70</t>
  </si>
  <si>
    <t>5-V_71</t>
  </si>
  <si>
    <t>5-V_72</t>
  </si>
  <si>
    <t>5-V_73</t>
  </si>
  <si>
    <t>5-V_74</t>
  </si>
  <si>
    <t>5-V_75</t>
  </si>
  <si>
    <t>5-V_76</t>
  </si>
  <si>
    <t>5-V_77</t>
  </si>
  <si>
    <t>5-V_78</t>
  </si>
  <si>
    <t>5-V_79</t>
  </si>
  <si>
    <t>5-V_80</t>
  </si>
  <si>
    <t>5-V_81</t>
  </si>
  <si>
    <t>5-V_82</t>
  </si>
  <si>
    <t>5-V_83</t>
  </si>
  <si>
    <t>5-V_84</t>
  </si>
  <si>
    <t>5-V_85</t>
  </si>
  <si>
    <t>5-V_86</t>
  </si>
  <si>
    <t>5-V_87</t>
  </si>
  <si>
    <t>5-V_88</t>
  </si>
  <si>
    <t>5-V_89</t>
  </si>
  <si>
    <t>5-V_90</t>
  </si>
  <si>
    <t>5-V_91</t>
  </si>
  <si>
    <t>5-V_92</t>
  </si>
  <si>
    <t>5-V_93</t>
  </si>
  <si>
    <t>5-V_94</t>
  </si>
  <si>
    <t>5-V_95</t>
  </si>
  <si>
    <t>5-V_96</t>
  </si>
  <si>
    <t>5-V_5</t>
  </si>
  <si>
    <t>6-V_58</t>
  </si>
  <si>
    <t>6-V_59</t>
  </si>
  <si>
    <t>6-V_60</t>
  </si>
  <si>
    <t>6-V_61</t>
  </si>
  <si>
    <t>6-V_62</t>
  </si>
  <si>
    <t>6-V_63</t>
  </si>
  <si>
    <t>6-V_64</t>
  </si>
  <si>
    <t>6-V_65</t>
  </si>
  <si>
    <t>6-V_66</t>
  </si>
  <si>
    <t>6-V_67</t>
  </si>
  <si>
    <t>6-V_68</t>
  </si>
  <si>
    <t>6-V_69</t>
  </si>
  <si>
    <t>6-V_70</t>
  </si>
  <si>
    <t>6-V_97</t>
  </si>
  <si>
    <t>6-V_91</t>
  </si>
  <si>
    <t>6-V_93</t>
  </si>
  <si>
    <t>6-V_95</t>
  </si>
  <si>
    <t>6-V_5</t>
  </si>
  <si>
    <t>7-V_98</t>
  </si>
  <si>
    <t>7-V_99</t>
  </si>
  <si>
    <t>7-V_100</t>
  </si>
  <si>
    <t>7-V_101</t>
  </si>
  <si>
    <t>7-V_102</t>
  </si>
  <si>
    <t>7-V_103</t>
  </si>
  <si>
    <t>7-V_104</t>
  </si>
  <si>
    <t>7-V_105</t>
  </si>
  <si>
    <t>7-V_106</t>
  </si>
  <si>
    <t>7-V_107</t>
  </si>
  <si>
    <t>7-V_108</t>
  </si>
  <si>
    <t>7-V_109</t>
  </si>
  <si>
    <t>7-V_110</t>
  </si>
  <si>
    <t>7-V_111</t>
  </si>
  <si>
    <t>7-V_112</t>
  </si>
  <si>
    <t>7-V_113</t>
  </si>
  <si>
    <t>7-V_114</t>
  </si>
  <si>
    <t>8-V_115</t>
  </si>
  <si>
    <t>8-V_116</t>
  </si>
  <si>
    <t>8-V_117</t>
  </si>
  <si>
    <t>8-V_118</t>
  </si>
  <si>
    <t>8-V_119</t>
  </si>
  <si>
    <t>8-V_120</t>
  </si>
  <si>
    <t>8-V_121</t>
  </si>
  <si>
    <t>8-V_122</t>
  </si>
  <si>
    <t>8-V_123</t>
  </si>
  <si>
    <t>8-V_125</t>
  </si>
  <si>
    <t>8-V_126</t>
  </si>
  <si>
    <t>8-V_69</t>
  </si>
  <si>
    <t>8-V_127</t>
  </si>
  <si>
    <t>9-V_128</t>
  </si>
  <si>
    <t>9-V_129</t>
  </si>
  <si>
    <t>9-V_130</t>
  </si>
  <si>
    <t>9-V_131</t>
  </si>
  <si>
    <t>9-V_132</t>
  </si>
  <si>
    <t>9-V_133</t>
  </si>
  <si>
    <t>9-V_134</t>
  </si>
  <si>
    <t>9-V_137</t>
  </si>
  <si>
    <t>9-V_138</t>
  </si>
  <si>
    <t>reporting_data_id</t>
  </si>
  <si>
    <t>observed_agent_id</t>
  </si>
  <si>
    <t>contract_id</t>
  </si>
  <si>
    <t>ifrs9_loss_given_default</t>
  </si>
  <si>
    <t>amortization_type</t>
  </si>
  <si>
    <t>currency</t>
  </si>
  <si>
    <t>inception_date</t>
  </si>
  <si>
    <t>end_date_interest_only_period</t>
  </si>
  <si>
    <t>interest_rate_cap</t>
  </si>
  <si>
    <t>interest_rate_floor</t>
  </si>
  <si>
    <t>interest_rate_reset_freq</t>
  </si>
  <si>
    <t>interest_rate_spread_margin</t>
  </si>
  <si>
    <t>interest_rate_type</t>
  </si>
  <si>
    <t>payment_freq</t>
  </si>
  <si>
    <t>settlement_date</t>
  </si>
  <si>
    <t>interest_rate</t>
  </si>
  <si>
    <t>next_interest_rate_reset_date</t>
  </si>
  <si>
    <t>transferred_amount</t>
  </si>
  <si>
    <t>outstanding_nominal_amount</t>
  </si>
  <si>
    <t>accrued_interest</t>
  </si>
  <si>
    <t>off_balance_sheet_amount</t>
  </si>
  <si>
    <t>impairment_assessment_method</t>
  </si>
  <si>
    <t>counterparty_role</t>
  </si>
  <si>
    <t>protection_provider_id</t>
  </si>
  <si>
    <t>protection_value</t>
  </si>
  <si>
    <t>original_protection_value</t>
  </si>
  <si>
    <t>date_original_protection_value</t>
  </si>
  <si>
    <t>type</t>
  </si>
  <si>
    <t>credit_conversion_factor</t>
  </si>
  <si>
    <t>nominal_amount</t>
  </si>
  <si>
    <t>national_id</t>
  </si>
  <si>
    <t>head_office_undertaking_id</t>
  </si>
  <si>
    <t>immediate_parent_undertaking_id</t>
  </si>
  <si>
    <t>ultimate_parent_undertaking_id</t>
  </si>
  <si>
    <t>name</t>
  </si>
  <si>
    <t>address_street</t>
  </si>
  <si>
    <t>address_city_town_village</t>
  </si>
  <si>
    <t>address_postal_code</t>
  </si>
  <si>
    <t>address_country</t>
  </si>
  <si>
    <t>legal_form</t>
  </si>
  <si>
    <t>institutional_sector</t>
  </si>
  <si>
    <t>economic_activity</t>
  </si>
  <si>
    <t>enterprise_size</t>
  </si>
  <si>
    <t>balance_sheet_total</t>
  </si>
  <si>
    <t>annual_turnover</t>
  </si>
  <si>
    <t>accounting_standard</t>
  </si>
  <si>
    <t>V_139</t>
  </si>
  <si>
    <t>7. DTAs &amp; DTCs</t>
  </si>
  <si>
    <t>1.1. Legal - Instruments</t>
  </si>
  <si>
    <t>3.1. Off-balance - Instruments</t>
  </si>
  <si>
    <t>1.2. Legal - Counterparties</t>
  </si>
  <si>
    <t>2.2. Natural - Counterparties</t>
  </si>
  <si>
    <t>3.2. Off-balance - Counterparties</t>
  </si>
  <si>
    <t>2.3. Natural - Protections</t>
  </si>
  <si>
    <t>3.3. Off-balance - Protections</t>
  </si>
  <si>
    <t>1.4. Legal - Instrument/Counterparty</t>
  </si>
  <si>
    <t>3.5. Off-balance - Instrument/Protection</t>
  </si>
  <si>
    <t>2.5. Natural - Instrument/Protection</t>
  </si>
  <si>
    <t>2.4. Natural - Instrument/Counterparty</t>
  </si>
  <si>
    <t>3.4. Off-balance - Instrument/Counterparty</t>
  </si>
  <si>
    <t>1.5. Legal - Instrument/Protection</t>
  </si>
  <si>
    <t>1.3. Legal - Protections</t>
  </si>
  <si>
    <t>2.1. Natural - Instruments</t>
  </si>
  <si>
    <t>Not applicable: To be reported as "N/A". 
This information will be availabe in "01_05_leg_instr_prot" table</t>
  </si>
  <si>
    <t>Not applicable: To be reported as "N/A". 
This information will be availabe in "02_05_nat_instr_prot" table</t>
  </si>
  <si>
    <t>Not applicable: To be reported as "N/A". 
This information will be availabe in "03_05_off_instr_prot" table</t>
  </si>
  <si>
    <t>Not applicable: To be reported as "N/A". 
This information will be availabe in "01_04_leg_instr_count" table</t>
  </si>
  <si>
    <t>2-V_193_RP</t>
  </si>
  <si>
    <t>2-V_194_RP</t>
  </si>
  <si>
    <t>Not applicable: To be reported as "11111111111". 
This information will be availabe in "02_05_nat_instr_prot" table</t>
  </si>
  <si>
    <t>Not applicable: To be reported as "11111111111". 
This information will be availabe in "03_05_off_instr_prot" table</t>
  </si>
  <si>
    <t>Not applicable: To be reported as "11111111111". 
This information will be availabe in "02_04_nat_instr_count" table</t>
  </si>
  <si>
    <t>Not applicable: To be reported as "11111111111". 
This information will be availabe in "03_04_off_instr_count" table</t>
  </si>
  <si>
    <t>Not applicable: To be reported as "N/A". 
This information will be availabe in "02_04_nat_instr_count" table</t>
  </si>
  <si>
    <t>Not applicable: To be reported as "N/A". 
This information will be availabe in "03_04_off_instr_count" table</t>
  </si>
  <si>
    <t>leg_1_cash_flow</t>
  </si>
  <si>
    <t>leg_2_cash_flow</t>
  </si>
  <si>
    <t>issuer_ratings_sources</t>
  </si>
  <si>
    <t>dividend_yield</t>
  </si>
  <si>
    <t>tax_group</t>
  </si>
  <si>
    <t>jurisdiction</t>
  </si>
  <si>
    <t>tax_rate</t>
  </si>
  <si>
    <t>profit_relevant_tax_group</t>
  </si>
  <si>
    <t>asset_id</t>
  </si>
  <si>
    <t>intangible_asset_class</t>
  </si>
  <si>
    <t>acquisition_capitalisation_date</t>
  </si>
  <si>
    <t>initial_fair_value</t>
  </si>
  <si>
    <t>cumulative_amortisation</t>
  </si>
  <si>
    <t>impairment_amount</t>
  </si>
  <si>
    <t>current_carrying_amount</t>
  </si>
  <si>
    <t>original_accounting_life</t>
  </si>
  <si>
    <t>remaining_economic_life</t>
  </si>
  <si>
    <t>internal_external_latest_val</t>
  </si>
  <si>
    <t>approach_det_carrying_amount</t>
  </si>
  <si>
    <t>legal_entity_id</t>
  </si>
  <si>
    <t>year_created</t>
  </si>
  <si>
    <t>opinion_audit</t>
  </si>
  <si>
    <t>result_impairment_test</t>
  </si>
  <si>
    <t>date_latest_impairment_test</t>
  </si>
  <si>
    <t>accum_impairment_amount</t>
  </si>
  <si>
    <t>accum_write_offs</t>
  </si>
  <si>
    <t>accum_changes_fv_due_cr</t>
  </si>
  <si>
    <t>address_county_adm_div</t>
  </si>
  <si>
    <t>contract_recogn_write_down</t>
  </si>
  <si>
    <t>contract_recogn_suspension</t>
  </si>
  <si>
    <t>contract_recogn_resolution</t>
  </si>
  <si>
    <t>balance_sheet_recogn</t>
  </si>
  <si>
    <t>cumulative_recov_since_default</t>
  </si>
  <si>
    <t>probability_default_others</t>
  </si>
  <si>
    <t>type_collateral</t>
  </si>
  <si>
    <t>type_instrument</t>
  </si>
  <si>
    <t>default_status_instrument</t>
  </si>
  <si>
    <t>date_default_status_instrument</t>
  </si>
  <si>
    <t>type_securitization</t>
  </si>
  <si>
    <t>type_impairment</t>
  </si>
  <si>
    <t>sources_encumbrance</t>
  </si>
  <si>
    <t>probability_default</t>
  </si>
  <si>
    <t>default_status_counterparty</t>
  </si>
  <si>
    <t>date_default_status_counterparty</t>
  </si>
  <si>
    <t>date_protection_value</t>
  </si>
  <si>
    <t>maturity_date_protection</t>
  </si>
  <si>
    <t>type_protection_value</t>
  </si>
  <si>
    <t>status_legal_proceedings</t>
  </si>
  <si>
    <t>date_init_legal_proceedings</t>
  </si>
  <si>
    <t>date_enterprise_size</t>
  </si>
  <si>
    <t>number_employees</t>
  </si>
  <si>
    <t>type_issuer</t>
  </si>
  <si>
    <t>sources_goodwill</t>
  </si>
  <si>
    <t>commitment_amount_inception</t>
  </si>
  <si>
    <t>arrears_instrument</t>
  </si>
  <si>
    <t>date_past_due_instrument</t>
  </si>
  <si>
    <t>instrument_seniority_type</t>
  </si>
  <si>
    <t>legal_entity_type</t>
  </si>
  <si>
    <t>nominal_interest_rate_fee</t>
  </si>
  <si>
    <t>primary_asset_classification</t>
  </si>
  <si>
    <t>currency_value</t>
  </si>
  <si>
    <t>protection_val_approach</t>
  </si>
  <si>
    <t>provis_assoc_offbalance</t>
  </si>
  <si>
    <t>thirdparty_claims_protection</t>
  </si>
  <si>
    <t>status_forbearance_reneg</t>
  </si>
  <si>
    <t>date_status_forbearance_reneg</t>
  </si>
  <si>
    <t>type_issuer_id</t>
  </si>
  <si>
    <t>country_issuer</t>
  </si>
  <si>
    <t>existence_cap_recogn</t>
  </si>
  <si>
    <t>due_losses</t>
  </si>
  <si>
    <t>due_temporary_diff</t>
  </si>
  <si>
    <t>condfuture_prof</t>
  </si>
  <si>
    <t>not_condfuture_prof</t>
  </si>
  <si>
    <t>subject_other_cond</t>
  </si>
  <si>
    <t>without_expiry_date</t>
  </si>
  <si>
    <t>expiring_year</t>
  </si>
  <si>
    <t>expiring_one_two_years</t>
  </si>
  <si>
    <t>expiring_two_three_years</t>
  </si>
  <si>
    <t>expiring_three_four_years</t>
  </si>
  <si>
    <t>expiring_four_five_years</t>
  </si>
  <si>
    <t>expiring_more_five_years</t>
  </si>
  <si>
    <t>perform_status_instrument</t>
  </si>
  <si>
    <t>date_perform_status_instrument</t>
  </si>
  <si>
    <t>perform_status</t>
  </si>
  <si>
    <t>unique_trade_id</t>
  </si>
  <si>
    <t>In case that a unique trade identifier had more than one collateral posted, the equivalent values in euro will be summed</t>
  </si>
  <si>
    <t>In case that a unique trade identifier had more than one collateral received, the equivalent values in euro will be summed</t>
  </si>
  <si>
    <t>It will be computed by reporting the cash flow corresponding to each of the settlement periods from the data date, as follows: 
a|b|c|d|e
    a: &lt;=30 days
    b: (30,90] days
    c: (90,365] days
    d: (365,1825] days
    e: &gt;1825 days</t>
  </si>
  <si>
    <t>(2) One CSV file for each of the tables in VDS Data Model</t>
  </si>
  <si>
    <t>Additional Information 
(e.g. mapping with Structural Loan Tape)</t>
  </si>
  <si>
    <t>00/00/0000</t>
  </si>
  <si>
    <t>11/11/1111</t>
  </si>
  <si>
    <t>2-V_184_RC</t>
  </si>
  <si>
    <t>A ser reportado por Espanha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</si>
</sst>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b/>
      <sz val="11"/>
      <color theme="0"/>
      <name val="Calibri"/>
      <family val="2"/>
      <scheme val="minor"/>
    </font>
    <font>
      <u/>
      <sz val="11"/>
      <color theme="10"/>
      <name val="Calibri"/>
      <family val="2"/>
      <scheme val="minor"/>
    </font>
    <font>
      <b/>
      <sz val="11"/>
      <color theme="1"/>
      <name val="Calibri"/>
      <family val="2"/>
      <scheme val="minor"/>
    </font>
    <font>
      <sz val="10"/>
      <name val="Arial"/>
      <family val="2"/>
    </font>
    <font>
      <b/>
      <sz val="10"/>
      <name val="Calibri"/>
      <family val="2"/>
      <scheme val="minor"/>
    </font>
    <font>
      <sz val="10"/>
      <name val="Calibri"/>
      <family val="2"/>
      <scheme val="minor"/>
    </font>
    <font>
      <b/>
      <sz val="10"/>
      <color rgb="FFFFFFFF"/>
      <name val="Calibri"/>
      <family val="2"/>
    </font>
    <font>
      <b/>
      <sz val="10"/>
      <color rgb="FF000000"/>
      <name val="Calibri"/>
      <family val="2"/>
    </font>
    <font>
      <sz val="11"/>
      <name val="Calibri"/>
      <family val="2"/>
    </font>
    <font>
      <b/>
      <sz val="11"/>
      <color rgb="FFFFFFFF"/>
      <name val="Calibri"/>
      <family val="2"/>
      <scheme val="minor"/>
    </font>
    <font>
      <sz val="11"/>
      <color rgb="FF000000"/>
      <name val="Calibri"/>
      <family val="2"/>
      <scheme val="minor"/>
    </font>
    <font>
      <b/>
      <sz val="16"/>
      <color theme="1"/>
      <name val="Calibri"/>
      <family val="2"/>
      <scheme val="minor"/>
    </font>
    <font>
      <u/>
      <sz val="10"/>
      <color theme="10"/>
      <name val="Arial"/>
      <family val="2"/>
    </font>
    <font>
      <b/>
      <vertAlign val="superscript"/>
      <sz val="11"/>
      <color theme="0"/>
      <name val="Calibri"/>
      <family val="2"/>
      <scheme val="minor"/>
    </font>
    <font>
      <vertAlign val="superscript"/>
      <sz val="11"/>
      <color theme="1"/>
      <name val="Calibri"/>
      <family val="2"/>
      <scheme val="minor"/>
    </font>
    <font>
      <b/>
      <sz val="10"/>
      <color theme="0"/>
      <name val="Calibri"/>
      <family val="2"/>
      <scheme val="minor"/>
    </font>
    <font>
      <strike/>
      <sz val="10"/>
      <name val="Calibri"/>
      <family val="2"/>
      <scheme val="minor"/>
    </font>
    <font>
      <strike/>
      <sz val="11"/>
      <color theme="1"/>
      <name val="Calibri"/>
      <family val="2"/>
      <scheme val="minor"/>
    </font>
  </fonts>
  <fills count="9">
    <fill>
      <patternFill patternType="none"/>
    </fill>
    <fill>
      <patternFill patternType="gray125"/>
    </fill>
    <fill>
      <patternFill patternType="solid">
        <fgColor rgb="FFFF0000"/>
        <bgColor indexed="64"/>
      </patternFill>
    </fill>
    <fill>
      <patternFill patternType="solid">
        <fgColor rgb="FF595959"/>
        <bgColor indexed="64"/>
      </patternFill>
    </fill>
    <fill>
      <patternFill patternType="solid">
        <fgColor rgb="FFD8D8D8"/>
        <bgColor indexed="64"/>
      </patternFill>
    </fill>
    <fill>
      <patternFill patternType="solid">
        <fgColor rgb="FFD9D9D9"/>
        <bgColor indexed="64"/>
      </patternFill>
    </fill>
    <fill>
      <patternFill patternType="solid">
        <fgColor rgb="FFFFFFFF"/>
        <bgColor indexed="64"/>
      </patternFill>
    </fill>
    <fill>
      <patternFill patternType="solid">
        <fgColor theme="0"/>
        <bgColor indexed="64"/>
      </patternFill>
    </fill>
    <fill>
      <patternFill patternType="solid">
        <fgColor rgb="FFFF5050"/>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6">
    <xf numFmtId="0" fontId="0" fillId="0" borderId="0"/>
    <xf numFmtId="0" fontId="2" fillId="0" borderId="0" applyNumberFormat="0" applyFill="0" applyBorder="0" applyAlignment="0" applyProtection="0"/>
    <xf numFmtId="0" fontId="4" fillId="0" borderId="0"/>
    <xf numFmtId="0" fontId="9" fillId="0" borderId="0"/>
    <xf numFmtId="0" fontId="4" fillId="0" borderId="0"/>
    <xf numFmtId="0" fontId="13" fillId="0" borderId="0" applyNumberFormat="0" applyFill="0" applyBorder="0" applyAlignment="0" applyProtection="0"/>
  </cellStyleXfs>
  <cellXfs count="45">
    <xf numFmtId="0" fontId="0" fillId="0" borderId="0" xfId="0"/>
    <xf numFmtId="0" fontId="1" fillId="2" borderId="1" xfId="0" applyFont="1" applyFill="1" applyBorder="1"/>
    <xf numFmtId="0" fontId="0" fillId="0" borderId="1" xfId="0" applyBorder="1"/>
    <xf numFmtId="0" fontId="6" fillId="0" borderId="2" xfId="2" applyFont="1" applyFill="1" applyBorder="1" applyAlignment="1">
      <alignment horizontal="left" vertical="center" wrapText="1"/>
    </xf>
    <xf numFmtId="0" fontId="6" fillId="0" borderId="2" xfId="2" applyFont="1" applyFill="1" applyBorder="1" applyAlignment="1">
      <alignment vertical="center" wrapText="1"/>
    </xf>
    <xf numFmtId="0" fontId="0" fillId="7" borderId="0" xfId="0" applyFill="1"/>
    <xf numFmtId="0" fontId="0" fillId="7" borderId="0" xfId="0" applyFont="1" applyFill="1" applyAlignment="1">
      <alignment horizontal="center" vertical="center"/>
    </xf>
    <xf numFmtId="0" fontId="0" fillId="7" borderId="0" xfId="0" applyFont="1" applyFill="1" applyAlignment="1">
      <alignment vertical="center"/>
    </xf>
    <xf numFmtId="0" fontId="0" fillId="7" borderId="4" xfId="0" applyFont="1" applyFill="1" applyBorder="1" applyAlignment="1">
      <alignment horizontal="center" vertical="center"/>
    </xf>
    <xf numFmtId="0" fontId="0" fillId="7" borderId="6" xfId="0" applyFont="1" applyFill="1" applyBorder="1" applyAlignment="1">
      <alignment horizontal="center" vertical="center"/>
    </xf>
    <xf numFmtId="0" fontId="0" fillId="7" borderId="5" xfId="0" applyFont="1" applyFill="1" applyBorder="1" applyAlignment="1">
      <alignment horizontal="center" vertical="center"/>
    </xf>
    <xf numFmtId="0" fontId="10" fillId="2" borderId="7" xfId="0" applyFont="1" applyFill="1" applyBorder="1" applyAlignment="1">
      <alignment horizontal="center" vertical="center" wrapText="1" readingOrder="1"/>
    </xf>
    <xf numFmtId="0" fontId="10" fillId="2" borderId="4" xfId="0" applyFont="1" applyFill="1" applyBorder="1" applyAlignment="1">
      <alignment horizontal="center" vertical="center" wrapText="1" readingOrder="1"/>
    </xf>
    <xf numFmtId="0" fontId="11" fillId="0" borderId="3" xfId="0" applyFont="1" applyBorder="1" applyAlignment="1">
      <alignment horizontal="left" vertical="center" wrapText="1" readingOrder="1"/>
    </xf>
    <xf numFmtId="0" fontId="11" fillId="0" borderId="3" xfId="0" applyFont="1" applyBorder="1" applyAlignment="1">
      <alignment horizontal="center" vertical="center" wrapText="1" readingOrder="1"/>
    </xf>
    <xf numFmtId="0" fontId="11" fillId="0" borderId="6" xfId="0" applyFont="1" applyBorder="1" applyAlignment="1">
      <alignment horizontal="center" vertical="center" wrapText="1" readingOrder="1"/>
    </xf>
    <xf numFmtId="0" fontId="11" fillId="0" borderId="8" xfId="0" applyFont="1" applyBorder="1" applyAlignment="1">
      <alignment horizontal="left" vertical="center" wrapText="1" readingOrder="1"/>
    </xf>
    <xf numFmtId="0" fontId="11" fillId="0" borderId="8" xfId="0" applyFont="1" applyBorder="1" applyAlignment="1">
      <alignment horizontal="center" vertical="center" wrapText="1" readingOrder="1"/>
    </xf>
    <xf numFmtId="0" fontId="11" fillId="0" borderId="5" xfId="0" applyFont="1" applyBorder="1" applyAlignment="1">
      <alignment horizontal="center" vertical="center" wrapText="1" readingOrder="1"/>
    </xf>
    <xf numFmtId="0" fontId="12" fillId="7" borderId="0" xfId="0" applyFont="1" applyFill="1" applyAlignment="1">
      <alignment vertical="center"/>
    </xf>
    <xf numFmtId="0" fontId="0" fillId="7" borderId="1" xfId="0" applyFill="1" applyBorder="1"/>
    <xf numFmtId="0" fontId="7" fillId="3" borderId="1" xfId="0" applyFont="1" applyFill="1" applyBorder="1" applyAlignment="1">
      <alignment horizontal="center" wrapText="1" readingOrder="1"/>
    </xf>
    <xf numFmtId="0" fontId="8" fillId="4" borderId="1" xfId="0" applyFont="1" applyFill="1" applyBorder="1" applyAlignment="1">
      <alignment horizontal="center" vertical="center" wrapText="1" readingOrder="1"/>
    </xf>
    <xf numFmtId="0" fontId="8" fillId="4" borderId="1" xfId="0" applyFont="1" applyFill="1" applyBorder="1" applyAlignment="1">
      <alignment horizontal="left" vertical="center" wrapText="1" readingOrder="1"/>
    </xf>
    <xf numFmtId="0" fontId="8" fillId="0" borderId="1" xfId="0" applyFont="1" applyBorder="1" applyAlignment="1">
      <alignment horizontal="left" vertical="center" wrapText="1" readingOrder="1"/>
    </xf>
    <xf numFmtId="0" fontId="8" fillId="2" borderId="1" xfId="0" applyFont="1" applyFill="1" applyBorder="1" applyAlignment="1">
      <alignment horizontal="center" vertical="center" wrapText="1" readingOrder="1"/>
    </xf>
    <xf numFmtId="0" fontId="8" fillId="2" borderId="1" xfId="0" applyFont="1" applyFill="1" applyBorder="1" applyAlignment="1">
      <alignment horizontal="left" vertical="center" wrapText="1" readingOrder="1"/>
    </xf>
    <xf numFmtId="0" fontId="8" fillId="5" borderId="1" xfId="0" applyFont="1" applyFill="1" applyBorder="1" applyAlignment="1">
      <alignment horizontal="center" vertical="center" wrapText="1" readingOrder="1"/>
    </xf>
    <xf numFmtId="0" fontId="8" fillId="5" borderId="1" xfId="0" applyFont="1" applyFill="1" applyBorder="1" applyAlignment="1">
      <alignment horizontal="left" vertical="center" wrapText="1" readingOrder="1"/>
    </xf>
    <xf numFmtId="0" fontId="8" fillId="6" borderId="1" xfId="0" applyFont="1" applyFill="1" applyBorder="1" applyAlignment="1">
      <alignment horizontal="left" vertical="center" wrapText="1" readingOrder="1"/>
    </xf>
    <xf numFmtId="0" fontId="2" fillId="7" borderId="0" xfId="1" applyFill="1" applyAlignment="1">
      <alignment vertical="center"/>
    </xf>
    <xf numFmtId="0" fontId="0" fillId="7" borderId="0" xfId="0" applyFill="1" applyAlignment="1">
      <alignment horizontal="left" indent="3"/>
    </xf>
    <xf numFmtId="0" fontId="16" fillId="2" borderId="1" xfId="2" applyFont="1" applyFill="1" applyBorder="1" applyAlignment="1">
      <alignment horizontal="left" vertical="center" wrapText="1"/>
    </xf>
    <xf numFmtId="0" fontId="16" fillId="8" borderId="1" xfId="2" applyFont="1" applyFill="1" applyBorder="1" applyAlignment="1">
      <alignment horizontal="left" vertical="center" wrapText="1"/>
    </xf>
    <xf numFmtId="0" fontId="0" fillId="7" borderId="0" xfId="0" applyFill="1" applyAlignment="1">
      <alignment horizontal="left"/>
    </xf>
    <xf numFmtId="0" fontId="1" fillId="2" borderId="7" xfId="0" applyFont="1" applyFill="1" applyBorder="1" applyAlignment="1">
      <alignment horizontal="left" vertical="center"/>
    </xf>
    <xf numFmtId="0" fontId="1" fillId="2" borderId="3" xfId="0" applyFont="1" applyFill="1" applyBorder="1" applyAlignment="1">
      <alignment horizontal="left" vertical="center"/>
    </xf>
    <xf numFmtId="0" fontId="1" fillId="2" borderId="8" xfId="0" applyFont="1" applyFill="1" applyBorder="1" applyAlignment="1">
      <alignment horizontal="left" vertical="center"/>
    </xf>
    <xf numFmtId="0" fontId="18" fillId="7" borderId="1" xfId="0" applyFont="1" applyFill="1" applyBorder="1"/>
    <xf numFmtId="0" fontId="17" fillId="0" borderId="2" xfId="2" applyFont="1" applyFill="1" applyBorder="1" applyAlignment="1">
      <alignment horizontal="left" vertical="center" wrapText="1"/>
    </xf>
    <xf numFmtId="0" fontId="17" fillId="0" borderId="2" xfId="2" applyFont="1" applyFill="1" applyBorder="1" applyAlignment="1">
      <alignment vertical="center" wrapText="1"/>
    </xf>
    <xf numFmtId="0" fontId="11" fillId="0" borderId="3" xfId="0" quotePrefix="1" applyFont="1" applyBorder="1" applyAlignment="1">
      <alignment horizontal="center" vertical="center" wrapText="1" readingOrder="1"/>
    </xf>
    <xf numFmtId="0" fontId="6" fillId="0" borderId="2" xfId="2" applyFont="1" applyBorder="1" applyAlignment="1">
      <alignment vertical="center" wrapText="1"/>
    </xf>
    <xf numFmtId="0" fontId="0" fillId="7" borderId="0" xfId="0" applyFill="1" applyAlignment="1">
      <alignment vertical="center"/>
    </xf>
    <xf numFmtId="0" fontId="3" fillId="7" borderId="0" xfId="0" applyFont="1" applyFill="1" applyAlignment="1">
      <alignment vertical="center"/>
    </xf>
  </cellXfs>
  <cellStyles count="6">
    <cellStyle name="Hyperlink" xfId="1" builtinId="8"/>
    <cellStyle name="Hyperlink 2" xfId="5"/>
    <cellStyle name="Normal" xfId="0" builtinId="0"/>
    <cellStyle name="Normal 2" xfId="2"/>
    <cellStyle name="Normal 2 2 2" xfId="4"/>
    <cellStyle name="Normal 3" xfId="3"/>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0"/>
      </font>
      <fill>
        <patternFill>
          <bgColor rgb="FFFF0000"/>
        </patternFill>
      </fill>
    </dxf>
    <dxf>
      <border diagonalUp="0" diagonalDown="0">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Estilo de tabla 1" pivot="0" count="2">
      <tableStyleElement type="wholeTable" dxfId="8"/>
      <tableStyleElement type="headerRow" dxfId="7"/>
    </tableStyle>
  </tableStyles>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sharedStrings" Target="sharedStrings.xml"/><Relationship Id="rId10" Type="http://schemas.openxmlformats.org/officeDocument/2006/relationships/externalLink" Target="externalLinks/externalLink6.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ntdat07\begrp\CP06revAnnex1_workinprogres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AD0E9A5\CP06revAnnex1_workinprogres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ossiers.dgt.cec.eu.int\dossiers\Expert%20Groups\Accounting%20and%20Auditing\Other%20folders\EGFI%20Workstream%20Reporting\Circulated%20papers\2009\CP06revAnnex1_workinprogres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bvpr-fs02\userdata\Users\meike.kaasenbrood\Documents\Documents\1.%20Projectwerk\14.%20DVV21911\3.%20Input\2.%20Regulations\2.%20AQR%20templates\AQR%20T5%20Collateral%20Valuation%20template.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328E42F\EGFI%202006%2010%20Rev5%20-%20Annex%202%20(Disclosure%20%20of%20FINREP%20Implementatio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n60277.SGT\OneDrive%20-%20Santander%20Office%20365\Escritorio\Proyectos\Loan%20Tape%20Estructural\BDR\Loan%20Tapes%20vs%20BDR_v11_MAPEO_BDR_SCIB_vbar2.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antandernet.sharepoint.com/Users/n039927/AppData/Local/Microsoft/Windows/Temporary%20Internet%20Files/Content.Outlook/TOBWE3AH/Agrego%20IG%208%20envio.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My%20Documents\work\egfi%20november%202006\EGFI%202006%2010%20Rev5%20-%20Annex%202%20(Disclosure%20%20of%20FINREP%20Implementati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39_"/>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 val="2 Balance sheet"/>
      <sheetName val="Valores"/>
      <sheetName val="Lista"/>
      <sheetName val="Table_39_1"/>
      <sheetName val="Table_1_11"/>
      <sheetName val="Table_1_21"/>
      <sheetName val="Table_1_31"/>
      <sheetName val="Table_2_1"/>
      <sheetName val="Table_3_1"/>
      <sheetName val="Table_4_1"/>
      <sheetName val="Table_5_1"/>
      <sheetName val="Table_6_1"/>
      <sheetName val="Table_7_1"/>
      <sheetName val="Table_8_1"/>
      <sheetName val="Table_9_new1"/>
      <sheetName val="Table_9_1"/>
      <sheetName val="Table_10_1"/>
      <sheetName val="Table_11_1"/>
      <sheetName val="Table_12_1"/>
      <sheetName val="Table_13_1"/>
      <sheetName val="Table_14_1"/>
      <sheetName val="Table_15_1"/>
      <sheetName val="Table_16_1"/>
      <sheetName val="Table_17_1"/>
      <sheetName val="Table_18_1"/>
      <sheetName val="Table_19_1"/>
      <sheetName val="Table_20_1"/>
      <sheetName val="Table_21_1"/>
      <sheetName val="Table_22_1"/>
      <sheetName val="Table_23_1"/>
      <sheetName val="Table_24_1"/>
      <sheetName val="Table_25_1"/>
      <sheetName val="Table_26_1"/>
      <sheetName val="Table_27_1"/>
      <sheetName val="Table_28_1"/>
      <sheetName val="Table_29_1"/>
      <sheetName val="Table_30_1"/>
      <sheetName val="Table_31_1"/>
      <sheetName val="Table_32_1"/>
      <sheetName val="Table_33_1"/>
      <sheetName val="Table_34_1"/>
      <sheetName val="Table_34_LUX11"/>
      <sheetName val="Table_34_LUX21"/>
      <sheetName val="Table_35_1"/>
      <sheetName val="Table_36_1"/>
      <sheetName val="Table_37_1"/>
      <sheetName val="Table_37_BE_ES1"/>
      <sheetName val="Table_38A_1"/>
      <sheetName val="Table_38B___38C_1"/>
      <sheetName val="Table_38_BE_ES1"/>
      <sheetName val="Table_38_clean1"/>
      <sheetName val="2_Balance_sheet1"/>
      <sheetName val="Table_39_"/>
      <sheetName val="Table_1_1"/>
      <sheetName val="Table_1_2"/>
      <sheetName val="Table_1_3"/>
      <sheetName val="Table_2_"/>
      <sheetName val="Table_3_"/>
      <sheetName val="Table_4_"/>
      <sheetName val="Table_5_"/>
      <sheetName val="Table_6_"/>
      <sheetName val="Table_7_"/>
      <sheetName val="Table_8_"/>
      <sheetName val="Table_9_new"/>
      <sheetName val="Table_9_"/>
      <sheetName val="Table_10_"/>
      <sheetName val="Table_11_"/>
      <sheetName val="Table_12_"/>
      <sheetName val="Table_13_"/>
      <sheetName val="Table_14_"/>
      <sheetName val="Table_15_"/>
      <sheetName val="Table_16_"/>
      <sheetName val="Table_17_"/>
      <sheetName val="Table_18_"/>
      <sheetName val="Table_19_"/>
      <sheetName val="Table_20_"/>
      <sheetName val="Table_21_"/>
      <sheetName val="Table_22_"/>
      <sheetName val="Table_23_"/>
      <sheetName val="Table_24_"/>
      <sheetName val="Table_25_"/>
      <sheetName val="Table_26_"/>
      <sheetName val="Table_27_"/>
      <sheetName val="Table_28_"/>
      <sheetName val="Table_29_"/>
      <sheetName val="Table_30_"/>
      <sheetName val="Table_31_"/>
      <sheetName val="Table_32_"/>
      <sheetName val="Table_33_"/>
      <sheetName val="Table_34_"/>
      <sheetName val="Table_34_LUX1"/>
      <sheetName val="Table_34_LUX2"/>
      <sheetName val="Table_35_"/>
      <sheetName val="Table_36_"/>
      <sheetName val="Table_37_"/>
      <sheetName val="Table_37_BE_ES"/>
      <sheetName val="Table_38A_"/>
      <sheetName val="Table_38B___38C_"/>
      <sheetName val="Table_38_BE_ES"/>
      <sheetName val="Table_38_clean"/>
      <sheetName val="2_Balance_sheet"/>
      <sheetName val="Table_39_2"/>
      <sheetName val="Table_1_12"/>
      <sheetName val="Table_1_22"/>
      <sheetName val="Table_1_32"/>
      <sheetName val="Table_2_2"/>
      <sheetName val="Table_3_2"/>
      <sheetName val="Table_4_2"/>
      <sheetName val="Table_5_2"/>
      <sheetName val="Table_6_2"/>
      <sheetName val="Table_7_2"/>
      <sheetName val="Table_8_2"/>
      <sheetName val="Table_9_new2"/>
      <sheetName val="Table_9_2"/>
      <sheetName val="Table_10_2"/>
      <sheetName val="Table_11_2"/>
      <sheetName val="Table_12_2"/>
      <sheetName val="Table_13_2"/>
      <sheetName val="Table_14_2"/>
      <sheetName val="Table_15_2"/>
      <sheetName val="Table_16_2"/>
      <sheetName val="Table_17_2"/>
      <sheetName val="Table_18_2"/>
      <sheetName val="Table_19_2"/>
      <sheetName val="Table_20_2"/>
      <sheetName val="Table_21_2"/>
      <sheetName val="Table_22_2"/>
      <sheetName val="Table_23_2"/>
      <sheetName val="Table_24_2"/>
      <sheetName val="Table_25_2"/>
      <sheetName val="Table_26_2"/>
      <sheetName val="Table_27_2"/>
      <sheetName val="Table_28_2"/>
      <sheetName val="Table_29_2"/>
      <sheetName val="Table_30_2"/>
      <sheetName val="Table_31_2"/>
      <sheetName val="Table_32_2"/>
      <sheetName val="Table_33_2"/>
      <sheetName val="Table_34_2"/>
      <sheetName val="Table_34_LUX12"/>
      <sheetName val="Table_34_LUX22"/>
      <sheetName val="Table_35_2"/>
      <sheetName val="Table_36_2"/>
      <sheetName val="Table_37_2"/>
      <sheetName val="Table_37_BE_ES2"/>
      <sheetName val="Table_38A_2"/>
      <sheetName val="Table_38B___38C_2"/>
      <sheetName val="Table_38_BE_ES2"/>
      <sheetName val="Table_38_clean2"/>
      <sheetName val="2_Balance_sheet2"/>
      <sheetName val="Table_39_3"/>
      <sheetName val="Table_1_13"/>
      <sheetName val="Table_1_23"/>
      <sheetName val="Table_1_33"/>
      <sheetName val="Table_2_3"/>
      <sheetName val="Table_3_3"/>
      <sheetName val="Table_4_3"/>
      <sheetName val="Table_5_3"/>
      <sheetName val="Table_6_3"/>
      <sheetName val="Table_7_3"/>
      <sheetName val="Table_8_3"/>
      <sheetName val="Table_9_new3"/>
      <sheetName val="Table_9_3"/>
      <sheetName val="Table_10_3"/>
      <sheetName val="Table_11_3"/>
      <sheetName val="Table_12_3"/>
      <sheetName val="Table_13_3"/>
      <sheetName val="Table_14_3"/>
      <sheetName val="Table_15_3"/>
      <sheetName val="Table_16_3"/>
      <sheetName val="Table_17_3"/>
      <sheetName val="Table_18_3"/>
      <sheetName val="Table_19_3"/>
      <sheetName val="Table_20_3"/>
      <sheetName val="Table_21_3"/>
      <sheetName val="Table_22_3"/>
      <sheetName val="Table_23_3"/>
      <sheetName val="Table_24_3"/>
      <sheetName val="Table_25_3"/>
      <sheetName val="Table_26_3"/>
      <sheetName val="Table_27_3"/>
      <sheetName val="Table_28_3"/>
      <sheetName val="Table_29_3"/>
      <sheetName val="Table_30_3"/>
      <sheetName val="Table_31_3"/>
      <sheetName val="Table_32_3"/>
      <sheetName val="Table_33_3"/>
      <sheetName val="Table_34_3"/>
      <sheetName val="Table_34_LUX13"/>
      <sheetName val="Table_34_LUX23"/>
      <sheetName val="Table_35_3"/>
      <sheetName val="Table_36_3"/>
      <sheetName val="Table_37_3"/>
      <sheetName val="Table_37_BE_ES3"/>
      <sheetName val="Table_38A_3"/>
      <sheetName val="Table_38B___38C_3"/>
      <sheetName val="Table_38_BE_ES3"/>
      <sheetName val="Table_38_clean3"/>
      <sheetName val="2_Balance_sheet3"/>
      <sheetName val="Table_39_4"/>
      <sheetName val="Table_1_14"/>
      <sheetName val="Table_1_24"/>
      <sheetName val="Table_1_34"/>
      <sheetName val="Table_2_4"/>
      <sheetName val="Table_3_4"/>
      <sheetName val="Table_4_4"/>
      <sheetName val="Table_5_4"/>
      <sheetName val="Table_6_4"/>
      <sheetName val="Table_7_4"/>
      <sheetName val="Table_8_4"/>
      <sheetName val="Table_9_new4"/>
      <sheetName val="Table_9_4"/>
      <sheetName val="Table_10_4"/>
      <sheetName val="Table_11_4"/>
      <sheetName val="Table_12_4"/>
      <sheetName val="Table_13_4"/>
      <sheetName val="Table_14_4"/>
      <sheetName val="Table_15_4"/>
      <sheetName val="Table_16_4"/>
      <sheetName val="Table_17_4"/>
      <sheetName val="Table_18_4"/>
      <sheetName val="Table_19_4"/>
      <sheetName val="Table_20_4"/>
      <sheetName val="Table_21_4"/>
      <sheetName val="Table_22_4"/>
      <sheetName val="Table_23_4"/>
      <sheetName val="Table_24_4"/>
      <sheetName val="Table_25_4"/>
      <sheetName val="Table_26_4"/>
      <sheetName val="Table_27_4"/>
      <sheetName val="Table_28_4"/>
      <sheetName val="Table_29_4"/>
      <sheetName val="Table_30_4"/>
      <sheetName val="Table_31_4"/>
      <sheetName val="Table_32_4"/>
      <sheetName val="Table_33_4"/>
      <sheetName val="Table_34_4"/>
      <sheetName val="Table_34_LUX14"/>
      <sheetName val="Table_34_LUX24"/>
      <sheetName val="Table_35_4"/>
      <sheetName val="Table_36_4"/>
      <sheetName val="Table_37_4"/>
      <sheetName val="Table_37_BE_ES4"/>
      <sheetName val="Table_38A_4"/>
      <sheetName val="Table_38B___38C_4"/>
      <sheetName val="Table_38_BE_ES4"/>
      <sheetName val="Table_38_clean4"/>
      <sheetName val="2_Balance_sheet4"/>
      <sheetName val="Table_39_5"/>
      <sheetName val="Table_1_15"/>
      <sheetName val="Table_1_25"/>
      <sheetName val="Table_1_35"/>
      <sheetName val="Table_2_5"/>
      <sheetName val="Table_3_5"/>
      <sheetName val="Table_4_5"/>
      <sheetName val="Table_5_5"/>
      <sheetName val="Table_6_5"/>
      <sheetName val="Table_7_5"/>
      <sheetName val="Table_8_5"/>
      <sheetName val="Table_9_new5"/>
      <sheetName val="Table_9_5"/>
      <sheetName val="Table_10_5"/>
      <sheetName val="Table_11_5"/>
      <sheetName val="Table_12_5"/>
      <sheetName val="Table_13_5"/>
      <sheetName val="Table_14_5"/>
      <sheetName val="Table_15_5"/>
      <sheetName val="Table_16_5"/>
      <sheetName val="Table_17_5"/>
      <sheetName val="Table_18_5"/>
      <sheetName val="Table_19_5"/>
      <sheetName val="Table_20_5"/>
      <sheetName val="Table_21_5"/>
      <sheetName val="Table_22_5"/>
      <sheetName val="Table_23_5"/>
      <sheetName val="Table_24_5"/>
      <sheetName val="Table_25_5"/>
      <sheetName val="Table_26_5"/>
      <sheetName val="Table_27_5"/>
      <sheetName val="Table_28_5"/>
      <sheetName val="Table_29_5"/>
      <sheetName val="Table_30_5"/>
      <sheetName val="Table_31_5"/>
      <sheetName val="Table_32_5"/>
      <sheetName val="Table_33_5"/>
      <sheetName val="Table_34_5"/>
      <sheetName val="Table_34_LUX15"/>
      <sheetName val="Table_34_LUX25"/>
      <sheetName val="Table_35_5"/>
      <sheetName val="Table_36_5"/>
      <sheetName val="Table_37_5"/>
      <sheetName val="Table_37_BE_ES5"/>
      <sheetName val="Table_38A_5"/>
      <sheetName val="Table_38B___38C_5"/>
      <sheetName val="Table_38_BE_ES5"/>
      <sheetName val="Table_38_clean5"/>
      <sheetName val="2_Balance_sheet5"/>
      <sheetName val="Table_39_6"/>
      <sheetName val="Table_1_16"/>
      <sheetName val="Table_1_26"/>
      <sheetName val="Table_1_36"/>
      <sheetName val="Table_2_6"/>
      <sheetName val="Table_3_6"/>
      <sheetName val="Table_4_6"/>
      <sheetName val="Table_5_6"/>
      <sheetName val="Table_6_6"/>
      <sheetName val="Table_7_6"/>
      <sheetName val="Table_8_6"/>
      <sheetName val="Table_9_new6"/>
      <sheetName val="Table_9_6"/>
      <sheetName val="Table_10_6"/>
      <sheetName val="Table_11_6"/>
      <sheetName val="Table_12_6"/>
      <sheetName val="Table_13_6"/>
      <sheetName val="Table_14_6"/>
      <sheetName val="Table_15_6"/>
      <sheetName val="Table_16_6"/>
      <sheetName val="Table_17_6"/>
      <sheetName val="Table_18_6"/>
      <sheetName val="Table_19_6"/>
      <sheetName val="Table_20_6"/>
      <sheetName val="Table_21_6"/>
      <sheetName val="Table_22_6"/>
      <sheetName val="Table_23_6"/>
      <sheetName val="Table_24_6"/>
      <sheetName val="Table_25_6"/>
      <sheetName val="Table_26_6"/>
      <sheetName val="Table_27_6"/>
      <sheetName val="Table_28_6"/>
      <sheetName val="Table_29_6"/>
      <sheetName val="Table_30_6"/>
      <sheetName val="Table_31_6"/>
      <sheetName val="Table_32_6"/>
      <sheetName val="Table_33_6"/>
      <sheetName val="Table_34_6"/>
      <sheetName val="Table_34_LUX16"/>
      <sheetName val="Table_34_LUX26"/>
      <sheetName val="Table_35_6"/>
      <sheetName val="Table_36_6"/>
      <sheetName val="Table_37_6"/>
      <sheetName val="Table_37_BE_ES6"/>
      <sheetName val="Table_38A_6"/>
      <sheetName val="Table_38B___38C_6"/>
      <sheetName val="Table_38_BE_ES6"/>
      <sheetName val="Table_38_clean6"/>
      <sheetName val="2_Balance_sheet6"/>
      <sheetName val="Table_39_7"/>
      <sheetName val="Table_1_17"/>
      <sheetName val="Table_1_27"/>
      <sheetName val="Table_1_37"/>
      <sheetName val="Table_2_7"/>
      <sheetName val="Table_3_7"/>
      <sheetName val="Table_4_7"/>
      <sheetName val="Table_5_7"/>
      <sheetName val="Table_6_7"/>
      <sheetName val="Table_7_7"/>
      <sheetName val="Table_8_7"/>
      <sheetName val="Table_9_new7"/>
      <sheetName val="Table_9_7"/>
      <sheetName val="Table_10_7"/>
      <sheetName val="Table_11_7"/>
      <sheetName val="Table_12_7"/>
      <sheetName val="Table_13_7"/>
      <sheetName val="Table_14_7"/>
      <sheetName val="Table_15_7"/>
      <sheetName val="Table_16_7"/>
      <sheetName val="Table_17_7"/>
      <sheetName val="Table_18_7"/>
      <sheetName val="Table_19_7"/>
      <sheetName val="Table_20_7"/>
      <sheetName val="Table_21_7"/>
      <sheetName val="Table_22_7"/>
      <sheetName val="Table_23_7"/>
      <sheetName val="Table_24_7"/>
      <sheetName val="Table_25_7"/>
      <sheetName val="Table_26_7"/>
      <sheetName val="Table_27_7"/>
      <sheetName val="Table_28_7"/>
      <sheetName val="Table_29_7"/>
      <sheetName val="Table_30_7"/>
      <sheetName val="Table_31_7"/>
      <sheetName val="Table_32_7"/>
      <sheetName val="Table_33_7"/>
      <sheetName val="Table_34_7"/>
      <sheetName val="Table_34_LUX17"/>
      <sheetName val="Table_34_LUX27"/>
      <sheetName val="Table_35_7"/>
      <sheetName val="Table_36_7"/>
      <sheetName val="Table_37_7"/>
      <sheetName val="Table_37_BE_ES7"/>
      <sheetName val="Table_38A_7"/>
      <sheetName val="Table_38B___38C_7"/>
      <sheetName val="Table_38_BE_ES7"/>
      <sheetName val="Table_38_clean7"/>
      <sheetName val="2_Balance_sheet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39_"/>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 val="Table 39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page"/>
      <sheetName val="Overview"/>
      <sheetName val="Guidelines &gt;&gt;"/>
      <sheetName val="A. DEF Real Estate"/>
      <sheetName val="B. DEF Shipping"/>
      <sheetName val="C. DEF Aviation"/>
      <sheetName val="D. DEF Other Non Property"/>
      <sheetName val="Templates &gt;&gt;"/>
      <sheetName val="A. Real Estate"/>
      <sheetName val="B. Shipping"/>
      <sheetName val="C. Aviation"/>
      <sheetName val="D. Other Non Property"/>
      <sheetName val="Lookup tables"/>
      <sheetName val="Template checker"/>
      <sheetName val="Lists"/>
      <sheetName val="SA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6">
          <cell r="BH6" t="str">
            <v>(Please select)</v>
          </cell>
        </row>
        <row r="7">
          <cell r="BH7" t="str">
            <v>A300B4-200</v>
          </cell>
        </row>
        <row r="8">
          <cell r="BH8" t="str">
            <v>A300B4-200 Freighter</v>
          </cell>
        </row>
        <row r="9">
          <cell r="BH9" t="str">
            <v>A300-600</v>
          </cell>
        </row>
        <row r="10">
          <cell r="BH10" t="str">
            <v>A300-600R</v>
          </cell>
        </row>
        <row r="11">
          <cell r="BH11" t="str">
            <v>A300-600R Freighter</v>
          </cell>
        </row>
        <row r="12">
          <cell r="BH12" t="str">
            <v>A310-300</v>
          </cell>
        </row>
        <row r="13">
          <cell r="BH13" t="str">
            <v>A318-100</v>
          </cell>
        </row>
        <row r="14">
          <cell r="BH14" t="str">
            <v>A319-100</v>
          </cell>
        </row>
        <row r="15">
          <cell r="BH15" t="str">
            <v>A320-200 (V2500-A1, CFM56-5A)</v>
          </cell>
        </row>
        <row r="16">
          <cell r="BH16" t="str">
            <v>A320-200 (V2500-A5, CFM56-5B)</v>
          </cell>
        </row>
        <row r="17">
          <cell r="BH17" t="str">
            <v>A321-100</v>
          </cell>
        </row>
        <row r="18">
          <cell r="BH18" t="str">
            <v>A321-200</v>
          </cell>
        </row>
        <row r="19">
          <cell r="BH19" t="str">
            <v>A330-200</v>
          </cell>
        </row>
        <row r="20">
          <cell r="BH20" t="str">
            <v>A330-200 Freighter</v>
          </cell>
        </row>
        <row r="21">
          <cell r="BH21" t="str">
            <v>A330-300 @ 467,379 lbs (212 tonnes) MTOW</v>
          </cell>
        </row>
        <row r="22">
          <cell r="BH22" t="str">
            <v>A330-300 @ 507,100 lbs (230 tonnes) MTOW</v>
          </cell>
        </row>
        <row r="23">
          <cell r="BH23" t="str">
            <v>A340-200</v>
          </cell>
        </row>
        <row r="24">
          <cell r="BH24" t="str">
            <v>A340-300</v>
          </cell>
        </row>
        <row r="25">
          <cell r="BH25" t="str">
            <v>A340-500</v>
          </cell>
        </row>
        <row r="26">
          <cell r="BH26" t="str">
            <v>A340-600</v>
          </cell>
        </row>
        <row r="27">
          <cell r="BH27" t="str">
            <v>A380-800</v>
          </cell>
        </row>
        <row r="28">
          <cell r="BH28" t="str">
            <v>B717-200</v>
          </cell>
        </row>
        <row r="29">
          <cell r="BH29" t="str">
            <v>B727-200 Advanced (JT8D-15/-17) Stage 3</v>
          </cell>
        </row>
        <row r="30">
          <cell r="BH30" t="str">
            <v>B727-200 Advanced Freighter Stage 3</v>
          </cell>
        </row>
        <row r="31">
          <cell r="BH31" t="str">
            <v>B737-200 Advanced (JT8D-15/-17) Stage 3</v>
          </cell>
        </row>
        <row r="32">
          <cell r="BH32" t="str">
            <v>B737-300</v>
          </cell>
        </row>
        <row r="33">
          <cell r="BH33" t="str">
            <v>B737-300SF</v>
          </cell>
        </row>
        <row r="34">
          <cell r="BH34" t="str">
            <v>B737-400</v>
          </cell>
        </row>
        <row r="35">
          <cell r="BH35" t="str">
            <v>B737-500</v>
          </cell>
        </row>
        <row r="36">
          <cell r="BH36" t="str">
            <v>B737-600</v>
          </cell>
        </row>
        <row r="37">
          <cell r="BH37" t="str">
            <v>B737-700 Winglets</v>
          </cell>
        </row>
        <row r="38">
          <cell r="BH38" t="str">
            <v>B737-800 Winglets</v>
          </cell>
        </row>
        <row r="39">
          <cell r="BH39" t="str">
            <v>B737-900</v>
          </cell>
        </row>
        <row r="40">
          <cell r="BH40" t="str">
            <v>B737-900ER Winglets</v>
          </cell>
        </row>
        <row r="41">
          <cell r="BH41" t="str">
            <v>B747-200 Freighter</v>
          </cell>
        </row>
        <row r="42">
          <cell r="BH42" t="str">
            <v>B747-200B +78  JT9D-7Q</v>
          </cell>
        </row>
        <row r="43">
          <cell r="BH43" t="str">
            <v>B747-300</v>
          </cell>
        </row>
        <row r="44">
          <cell r="BH44" t="str">
            <v>B747-400</v>
          </cell>
        </row>
        <row r="45">
          <cell r="BH45" t="str">
            <v>B747-400 Combi</v>
          </cell>
        </row>
        <row r="46">
          <cell r="BH46" t="str">
            <v>B747-400 Freighter</v>
          </cell>
        </row>
        <row r="47">
          <cell r="BH47" t="str">
            <v>B747-400BCF</v>
          </cell>
        </row>
        <row r="48">
          <cell r="BH48" t="str">
            <v>B747-400ER</v>
          </cell>
        </row>
        <row r="49">
          <cell r="BH49" t="str">
            <v>B747-400ER Freighter</v>
          </cell>
        </row>
        <row r="50">
          <cell r="BH50" t="str">
            <v>B747-400ISF</v>
          </cell>
        </row>
        <row r="51">
          <cell r="BH51" t="str">
            <v>B747-8 (GEnx PrePIP)</v>
          </cell>
        </row>
        <row r="52">
          <cell r="BH52" t="str">
            <v>B747-8 Freighter (GEnx PrePIP)</v>
          </cell>
        </row>
        <row r="53">
          <cell r="BH53" t="str">
            <v>B757-200 ETOPS</v>
          </cell>
        </row>
        <row r="54">
          <cell r="BH54" t="str">
            <v>B757-200 Non-ETOPS</v>
          </cell>
        </row>
        <row r="55">
          <cell r="BH55" t="str">
            <v>B757-200 P2F - Precision Conversion 15 pallet STC</v>
          </cell>
        </row>
        <row r="56">
          <cell r="BH56" t="str">
            <v>B757-200 P2F - ST Aerospace (Boeing STC)</v>
          </cell>
        </row>
        <row r="57">
          <cell r="BH57" t="str">
            <v>B757-200 Production Freighter</v>
          </cell>
        </row>
        <row r="58">
          <cell r="BH58" t="str">
            <v>B757-300</v>
          </cell>
        </row>
        <row r="59">
          <cell r="BH59" t="str">
            <v>B767-200</v>
          </cell>
        </row>
        <row r="60">
          <cell r="BH60" t="str">
            <v>B767-200ER</v>
          </cell>
        </row>
        <row r="61">
          <cell r="BH61" t="str">
            <v>B767-300</v>
          </cell>
        </row>
        <row r="62">
          <cell r="BH62" t="str">
            <v>B767-300ER</v>
          </cell>
        </row>
        <row r="63">
          <cell r="BH63" t="str">
            <v>B767-400ER</v>
          </cell>
        </row>
        <row r="64">
          <cell r="BH64" t="str">
            <v>B777 Freighter</v>
          </cell>
        </row>
        <row r="65">
          <cell r="BH65" t="str">
            <v>B777-200</v>
          </cell>
        </row>
        <row r="66">
          <cell r="BH66" t="str">
            <v>B777-200ER</v>
          </cell>
        </row>
        <row r="67">
          <cell r="BH67" t="str">
            <v>B777-200LR</v>
          </cell>
        </row>
        <row r="68">
          <cell r="BH68" t="str">
            <v>B777-300</v>
          </cell>
        </row>
        <row r="69">
          <cell r="BH69" t="str">
            <v>B777-300ER</v>
          </cell>
        </row>
        <row r="70">
          <cell r="BH70" t="str">
            <v>B787-8 (Line No. 20-130)</v>
          </cell>
        </row>
        <row r="71">
          <cell r="BH71" t="str">
            <v>BAE 146-100</v>
          </cell>
        </row>
        <row r="72">
          <cell r="BH72" t="str">
            <v>BAE 146-200</v>
          </cell>
        </row>
        <row r="73">
          <cell r="BH73" t="str">
            <v>BAE 146-300</v>
          </cell>
        </row>
        <row r="74">
          <cell r="BH74" t="str">
            <v>AVRO RJ100</v>
          </cell>
        </row>
        <row r="75">
          <cell r="BH75" t="str">
            <v>AVRO RJ70</v>
          </cell>
        </row>
        <row r="76">
          <cell r="BH76" t="str">
            <v>AVRO RJ85</v>
          </cell>
        </row>
        <row r="77">
          <cell r="BH77" t="str">
            <v>CRJ100ER</v>
          </cell>
        </row>
        <row r="78">
          <cell r="BH78" t="str">
            <v>CRJ100LR</v>
          </cell>
        </row>
        <row r="79">
          <cell r="BH79" t="str">
            <v>CRJ200ER</v>
          </cell>
        </row>
        <row r="80">
          <cell r="BH80" t="str">
            <v>CRJ200LR</v>
          </cell>
        </row>
        <row r="81">
          <cell r="BH81" t="str">
            <v>CRJ700</v>
          </cell>
        </row>
        <row r="82">
          <cell r="BH82" t="str">
            <v>CRJ700ER</v>
          </cell>
        </row>
        <row r="83">
          <cell r="BH83" t="str">
            <v>CRJ900ER</v>
          </cell>
        </row>
        <row r="84">
          <cell r="BH84" t="str">
            <v>CRJ900LR</v>
          </cell>
        </row>
        <row r="85">
          <cell r="BH85" t="str">
            <v>CRJ1000ER</v>
          </cell>
        </row>
        <row r="86">
          <cell r="BH86" t="str">
            <v>DC-9-30 Stage 3</v>
          </cell>
        </row>
        <row r="87">
          <cell r="BH87" t="str">
            <v>DC-9-51 Stage 3</v>
          </cell>
        </row>
        <row r="88">
          <cell r="BH88" t="str">
            <v>DC-10-30</v>
          </cell>
        </row>
        <row r="89">
          <cell r="BH89" t="str">
            <v>DC-10-30 Freighter</v>
          </cell>
        </row>
        <row r="90">
          <cell r="BH90" t="str">
            <v>MD-11</v>
          </cell>
        </row>
        <row r="91">
          <cell r="BH91" t="str">
            <v>MD-11 Freighter</v>
          </cell>
        </row>
        <row r="92">
          <cell r="BH92" t="str">
            <v>MD-82 (JT8D-217/-217A)</v>
          </cell>
        </row>
        <row r="93">
          <cell r="BH93" t="str">
            <v>MD-82 (JT8D-217C)</v>
          </cell>
        </row>
        <row r="94">
          <cell r="BH94" t="str">
            <v>MD-83</v>
          </cell>
        </row>
        <row r="95">
          <cell r="BH95" t="str">
            <v>MD-87</v>
          </cell>
        </row>
        <row r="96">
          <cell r="BH96" t="str">
            <v>MD-88</v>
          </cell>
        </row>
        <row r="97">
          <cell r="BH97" t="str">
            <v>MD-90-30</v>
          </cell>
        </row>
        <row r="98">
          <cell r="BH98" t="str">
            <v>ERJ-135ER</v>
          </cell>
        </row>
        <row r="99">
          <cell r="BH99" t="str">
            <v>ERJ-135LR</v>
          </cell>
        </row>
        <row r="100">
          <cell r="BH100" t="str">
            <v>ERJ-140LR</v>
          </cell>
        </row>
        <row r="101">
          <cell r="BH101" t="str">
            <v>ERJ-145ER</v>
          </cell>
        </row>
        <row r="102">
          <cell r="BH102" t="str">
            <v>ERJ-145LR</v>
          </cell>
        </row>
        <row r="103">
          <cell r="BH103" t="str">
            <v>ERJ-145XR</v>
          </cell>
        </row>
        <row r="104">
          <cell r="BH104" t="str">
            <v>Embraer 170</v>
          </cell>
        </row>
        <row r="105">
          <cell r="BH105" t="str">
            <v>Embraer 170AR</v>
          </cell>
        </row>
        <row r="106">
          <cell r="BH106" t="str">
            <v>Embraer 170LR</v>
          </cell>
        </row>
        <row r="107">
          <cell r="BH107" t="str">
            <v>Embraer 175</v>
          </cell>
        </row>
        <row r="108">
          <cell r="BH108" t="str">
            <v>Embraer 175AR</v>
          </cell>
        </row>
        <row r="109">
          <cell r="BH109" t="str">
            <v>Embraer 175LR</v>
          </cell>
        </row>
        <row r="110">
          <cell r="BH110" t="str">
            <v>Embraer 190</v>
          </cell>
        </row>
        <row r="111">
          <cell r="BH111" t="str">
            <v>Embraer 190AR</v>
          </cell>
        </row>
        <row r="112">
          <cell r="BH112" t="str">
            <v>Embraer 190LR</v>
          </cell>
        </row>
        <row r="113">
          <cell r="BH113" t="str">
            <v>Embraer 195</v>
          </cell>
        </row>
        <row r="114">
          <cell r="BH114" t="str">
            <v>Embraer 195AR</v>
          </cell>
        </row>
        <row r="115">
          <cell r="BH115" t="str">
            <v>Embraer 195LR</v>
          </cell>
        </row>
        <row r="116">
          <cell r="BH116" t="str">
            <v>Fairchild 328JET</v>
          </cell>
        </row>
        <row r="117">
          <cell r="BH117" t="str">
            <v>F28 Mk4000</v>
          </cell>
        </row>
        <row r="118">
          <cell r="BH118" t="str">
            <v>Fokker 100</v>
          </cell>
        </row>
        <row r="119">
          <cell r="BH119" t="str">
            <v>Fokker 70</v>
          </cell>
        </row>
        <row r="120">
          <cell r="BH120" t="str">
            <v>SuperJet 100/95B</v>
          </cell>
        </row>
        <row r="121">
          <cell r="BH121" t="str">
            <v>Other</v>
          </cell>
        </row>
        <row r="122">
          <cell r="BH122" t="str">
            <v>Not known</v>
          </cell>
        </row>
      </sheetData>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REP Implementation"/>
      <sheetName val="Table 21"/>
      <sheetName val="Lists"/>
    </sheetNames>
    <sheetDataSet>
      <sheetData sheetId="0" refreshError="1"/>
      <sheetData sheetId="1" refreshError="1"/>
      <sheetData sheetId="2">
        <row r="17">
          <cell r="A17" t="str">
            <v>Yes, compulsory</v>
          </cell>
        </row>
        <row r="18">
          <cell r="A18" t="str">
            <v>Yes, optional</v>
          </cell>
        </row>
        <row r="19">
          <cell r="A19" t="str">
            <v>No</v>
          </cell>
        </row>
        <row r="21">
          <cell r="A21" t="str">
            <v>Monthly</v>
          </cell>
        </row>
        <row r="22">
          <cell r="A22" t="str">
            <v>Quarterly</v>
          </cell>
        </row>
        <row r="23">
          <cell r="A23" t="str">
            <v>Semi-annually</v>
          </cell>
        </row>
        <row r="24">
          <cell r="A24" t="str">
            <v>Annnually</v>
          </cell>
        </row>
        <row r="25">
          <cell r="A25" t="str">
            <v>Other, please specify</v>
          </cell>
        </row>
        <row r="39">
          <cell r="A39" t="str">
            <v>Fully</v>
          </cell>
        </row>
        <row r="40">
          <cell r="A40" t="str">
            <v>Partially</v>
          </cell>
        </row>
        <row r="41">
          <cell r="A41" t="str">
            <v>Not applied</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GREGO"/>
      <sheetName val="PGC"/>
      <sheetName val="TIPO DE CAMBIO"/>
      <sheetName val="Agrego 8 "/>
    </sheetNames>
    <sheetDataSet>
      <sheetData sheetId="0"/>
      <sheetData sheetId="1"/>
      <sheetData sheetId="2">
        <row r="2">
          <cell r="IR2" t="str">
            <v>Limitación Sistemas</v>
          </cell>
          <cell r="IS2" t="str">
            <v>Sin iniciar</v>
          </cell>
        </row>
        <row r="3">
          <cell r="IR3" t="str">
            <v>Error Tecnológico</v>
          </cell>
          <cell r="IS3" t="str">
            <v>En curso</v>
          </cell>
        </row>
        <row r="4">
          <cell r="IR4" t="str">
            <v>Operación Especial</v>
          </cell>
          <cell r="IS4" t="str">
            <v>Cerrado</v>
          </cell>
        </row>
        <row r="5">
          <cell r="IR5" t="str">
            <v>Error Usuario</v>
          </cell>
          <cell r="IS5" t="str">
            <v>Sin Desarrollo</v>
          </cell>
        </row>
        <row r="6">
          <cell r="IR6" t="str">
            <v>Diferencia Criterio</v>
          </cell>
        </row>
        <row r="7">
          <cell r="IR7" t="str">
            <v>Operación Singular</v>
          </cell>
        </row>
      </sheetData>
      <sheetData sheetId="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REP Implementation"/>
      <sheetName val="Table 21"/>
      <sheetName val="Lists"/>
      <sheetName val="Pegado"/>
      <sheetName val="base datos"/>
      <sheetName val="Conciliación"/>
      <sheetName val="Ancev"/>
      <sheetName val="Ajuste Altas"/>
      <sheetName val="CUENTAS FGD VS KNI"/>
      <sheetName val="CALCULOS 1007"/>
      <sheetName val="COPIAR 1007_CONTROL _D"/>
      <sheetName val="CALCULOS 1010"/>
      <sheetName val="COPIAR 1010_CONTROL_D"/>
      <sheetName val="CALCULOS KNIM1SEC"/>
      <sheetName val="COPIAR KNIM1SEC_CONTROL_D"/>
      <sheetName val="Hoja1"/>
      <sheetName val="FINREP_Implementation"/>
      <sheetName val="Table_21"/>
      <sheetName val="Ajuste_Altas"/>
      <sheetName val="CUENTAS_FGD_VS_KNI"/>
      <sheetName val="CALCULOS_1007"/>
      <sheetName val="COPIAR_1007_CONTROL__D"/>
      <sheetName val="CALCULOS_1010"/>
      <sheetName val="COPIAR_1010_CONTROL_D"/>
      <sheetName val="CALCULOS_KNIM1SEC"/>
      <sheetName val="COPIAR_KNIM1SEC_CONTROL_D"/>
      <sheetName val="base_datos"/>
      <sheetName val="ES-PCR - PLACO"/>
      <sheetName val="FINREP_Implementation1"/>
      <sheetName val="Table_211"/>
      <sheetName val="base_datos1"/>
      <sheetName val="FINREP_Implementation2"/>
      <sheetName val="Table_212"/>
      <sheetName val="Ajuste_Altas1"/>
      <sheetName val="CUENTAS_FGD_VS_KNI1"/>
      <sheetName val="CALCULOS_10071"/>
      <sheetName val="COPIAR_1007_CONTROL__D1"/>
      <sheetName val="CALCULOS_10101"/>
      <sheetName val="COPIAR_1010_CONTROL_D1"/>
      <sheetName val="CALCULOS_KNIM1SEC1"/>
      <sheetName val="COPIAR_KNIM1SEC_CONTROL_D1"/>
      <sheetName val="base_datos2"/>
      <sheetName val="ES-PCR_-_PLACO"/>
      <sheetName val="PtoBV"/>
      <sheetName val="Plantilla"/>
      <sheetName val="Resumen"/>
      <sheetName val="Cons pl"/>
      <sheetName val="DLL Dep 1999"/>
      <sheetName val="1.1"/>
      <sheetName val="Traspasos Mensuales"/>
      <sheetName val="Sobrantes"/>
      <sheetName val="Plantillas"/>
      <sheetName val="FINREP_Implementation9"/>
      <sheetName val="Table_219"/>
      <sheetName val="base_datos9"/>
      <sheetName val="Ajuste_Altas7"/>
      <sheetName val="CUENTAS_FGD_VS_KNI7"/>
      <sheetName val="CALCULOS_10077"/>
      <sheetName val="COPIAR_1007_CONTROL__D7"/>
      <sheetName val="CALCULOS_10107"/>
      <sheetName val="COPIAR_1010_CONTROL_D7"/>
      <sheetName val="CALCULOS_KNIM1SEC7"/>
      <sheetName val="COPIAR_KNIM1SEC_CONTROL_D7"/>
      <sheetName val="FINREP_Implementation3"/>
      <sheetName val="Table_213"/>
      <sheetName val="base_datos3"/>
      <sheetName val="FINREP_Implementation4"/>
      <sheetName val="Table_214"/>
      <sheetName val="base_datos4"/>
      <sheetName val="Ajuste_Altas2"/>
      <sheetName val="CUENTAS_FGD_VS_KNI2"/>
      <sheetName val="CALCULOS_10072"/>
      <sheetName val="COPIAR_1007_CONTROL__D2"/>
      <sheetName val="CALCULOS_10102"/>
      <sheetName val="COPIAR_1010_CONTROL_D2"/>
      <sheetName val="CALCULOS_KNIM1SEC2"/>
      <sheetName val="COPIAR_KNIM1SEC_CONTROL_D2"/>
      <sheetName val="FINREP_Implementation7"/>
      <sheetName val="Table_217"/>
      <sheetName val="base_datos7"/>
      <sheetName val="Ajuste_Altas5"/>
      <sheetName val="CUENTAS_FGD_VS_KNI5"/>
      <sheetName val="CALCULOS_10075"/>
      <sheetName val="COPIAR_1007_CONTROL__D5"/>
      <sheetName val="CALCULOS_10105"/>
      <sheetName val="COPIAR_1010_CONTROL_D5"/>
      <sheetName val="CALCULOS_KNIM1SEC5"/>
      <sheetName val="COPIAR_KNIM1SEC_CONTROL_D5"/>
      <sheetName val="FINREP_Implementation5"/>
      <sheetName val="Table_215"/>
      <sheetName val="base_datos5"/>
      <sheetName val="Ajuste_Altas3"/>
      <sheetName val="CUENTAS_FGD_VS_KNI3"/>
      <sheetName val="CALCULOS_10073"/>
      <sheetName val="COPIAR_1007_CONTROL__D3"/>
      <sheetName val="CALCULOS_10103"/>
      <sheetName val="COPIAR_1010_CONTROL_D3"/>
      <sheetName val="CALCULOS_KNIM1SEC3"/>
      <sheetName val="COPIAR_KNIM1SEC_CONTROL_D3"/>
      <sheetName val="FINREP_Implementation6"/>
      <sheetName val="Table_216"/>
      <sheetName val="base_datos6"/>
      <sheetName val="Ajuste_Altas4"/>
      <sheetName val="CUENTAS_FGD_VS_KNI4"/>
      <sheetName val="CALCULOS_10074"/>
      <sheetName val="COPIAR_1007_CONTROL__D4"/>
      <sheetName val="CALCULOS_10104"/>
      <sheetName val="COPIAR_1010_CONTROL_D4"/>
      <sheetName val="CALCULOS_KNIM1SEC4"/>
      <sheetName val="COPIAR_KNIM1SEC_CONTROL_D4"/>
      <sheetName val="FINREP_Implementation8"/>
      <sheetName val="Table_218"/>
      <sheetName val="base_datos8"/>
      <sheetName val="Ajuste_Altas6"/>
      <sheetName val="CUENTAS_FGD_VS_KNI6"/>
      <sheetName val="CALCULOS_10076"/>
      <sheetName val="COPIAR_1007_CONTROL__D6"/>
      <sheetName val="CALCULOS_10106"/>
      <sheetName val="COPIAR_1010_CONTROL_D6"/>
      <sheetName val="CALCULOS_KNIM1SEC6"/>
      <sheetName val="COPIAR_KNIM1SEC_CONTROL_D6"/>
      <sheetName val="FINREP_Implementation10"/>
      <sheetName val="Table_2110"/>
      <sheetName val="base_datos10"/>
      <sheetName val="Ajuste_Altas8"/>
      <sheetName val="CUENTAS_FGD_VS_KNI8"/>
      <sheetName val="CALCULOS_10078"/>
      <sheetName val="COPIAR_1007_CONTROL__D8"/>
      <sheetName val="CALCULOS_10108"/>
      <sheetName val="COPIAR_1010_CONTROL_D8"/>
      <sheetName val="CALCULOS_KNIM1SEC8"/>
      <sheetName val="COPIAR_KNIM1SEC_CONTROL_D8"/>
      <sheetName val="FINREP_Implementation11"/>
      <sheetName val="Table_2111"/>
      <sheetName val="base_datos11"/>
      <sheetName val="Ajuste_Altas9"/>
      <sheetName val="CUENTAS_FGD_VS_KNI9"/>
      <sheetName val="CALCULOS_10079"/>
      <sheetName val="COPIAR_1007_CONTROL__D9"/>
      <sheetName val="CALCULOS_10109"/>
      <sheetName val="COPIAR_1010_CONTROL_D9"/>
      <sheetName val="CALCULOS_KNIM1SEC9"/>
      <sheetName val="COPIAR_KNIM1SEC_CONTROL_D9"/>
      <sheetName val="FINREP_Implementation12"/>
      <sheetName val="Table_2112"/>
      <sheetName val="base_datos12"/>
      <sheetName val="Ajuste_Altas10"/>
      <sheetName val="CUENTAS_FGD_VS_KNI10"/>
      <sheetName val="CALCULOS_100710"/>
      <sheetName val="COPIAR_1007_CONTROL__D10"/>
      <sheetName val="CALCULOS_101010"/>
      <sheetName val="COPIAR_1010_CONTROL_D10"/>
      <sheetName val="CALCULOS_KNIM1SEC10"/>
      <sheetName val="COPIAR_KNIM1SEC_CONTROL_D10"/>
      <sheetName val="FINREP_Implementation13"/>
      <sheetName val="Table_2113"/>
      <sheetName val="base_datos13"/>
      <sheetName val="Ajuste_Altas11"/>
      <sheetName val="CUENTAS_FGD_VS_KNI11"/>
      <sheetName val="CALCULOS_100711"/>
      <sheetName val="COPIAR_1007_CONTROL__D11"/>
      <sheetName val="CALCULOS_101011"/>
      <sheetName val="COPIAR_1010_CONTROL_D11"/>
      <sheetName val="CALCULOS_KNIM1SEC11"/>
      <sheetName val="COPIAR_KNIM1SEC_CONTROL_D11"/>
      <sheetName val="FINREP_Implementation14"/>
      <sheetName val="Table_2114"/>
      <sheetName val="base_datos14"/>
      <sheetName val="Ajuste_Altas12"/>
      <sheetName val="CUENTAS_FGD_VS_KNI12"/>
      <sheetName val="CALCULOS_100712"/>
      <sheetName val="COPIAR_1007_CONTROL__D12"/>
      <sheetName val="CALCULOS_101012"/>
      <sheetName val="COPIAR_1010_CONTROL_D12"/>
      <sheetName val="CALCULOS_KNIM1SEC12"/>
      <sheetName val="COPIAR_KNIM1SEC_CONTROL_D12"/>
      <sheetName val="FINREP_Implementation15"/>
      <sheetName val="Table_2115"/>
      <sheetName val="base_datos15"/>
      <sheetName val="Ajuste_Altas13"/>
      <sheetName val="CUENTAS_FGD_VS_KNI13"/>
      <sheetName val="CALCULOS_100713"/>
      <sheetName val="COPIAR_1007_CONTROL__D13"/>
      <sheetName val="CALCULOS_101013"/>
      <sheetName val="COPIAR_1010_CONTROL_D13"/>
      <sheetName val="CALCULOS_KNIM1SEC13"/>
      <sheetName val="COPIAR_KNIM1SEC_CONTROL_D13"/>
      <sheetName val="FINREP_Implementation18"/>
      <sheetName val="Table_2118"/>
      <sheetName val="base_datos18"/>
      <sheetName val="Ajuste_Altas16"/>
      <sheetName val="CUENTAS_FGD_VS_KNI16"/>
      <sheetName val="CALCULOS_100716"/>
      <sheetName val="COPIAR_1007_CONTROL__D16"/>
      <sheetName val="CALCULOS_101016"/>
      <sheetName val="COPIAR_1010_CONTROL_D16"/>
      <sheetName val="CALCULOS_KNIM1SEC16"/>
      <sheetName val="COPIAR_KNIM1SEC_CONTROL_D16"/>
      <sheetName val="FINREP_Implementation16"/>
      <sheetName val="Table_2116"/>
      <sheetName val="base_datos16"/>
      <sheetName val="Ajuste_Altas14"/>
      <sheetName val="CUENTAS_FGD_VS_KNI14"/>
      <sheetName val="CALCULOS_100714"/>
      <sheetName val="COPIAR_1007_CONTROL__D14"/>
      <sheetName val="CALCULOS_101014"/>
      <sheetName val="COPIAR_1010_CONTROL_D14"/>
      <sheetName val="CALCULOS_KNIM1SEC14"/>
      <sheetName val="COPIAR_KNIM1SEC_CONTROL_D14"/>
      <sheetName val="FINREP_Implementation17"/>
      <sheetName val="Table_2117"/>
      <sheetName val="base_datos17"/>
      <sheetName val="Ajuste_Altas15"/>
      <sheetName val="CUENTAS_FGD_VS_KNI15"/>
      <sheetName val="CALCULOS_100715"/>
      <sheetName val="COPIAR_1007_CONTROL__D15"/>
      <sheetName val="CALCULOS_101015"/>
      <sheetName val="COPIAR_1010_CONTROL_D15"/>
      <sheetName val="CALCULOS_KNIM1SEC15"/>
      <sheetName val="COPIAR_KNIM1SEC_CONTROL_D15"/>
      <sheetName val="FINREP_Implementation19"/>
      <sheetName val="Table_2119"/>
      <sheetName val="base_datos19"/>
      <sheetName val="Ajuste_Altas17"/>
      <sheetName val="CUENTAS_FGD_VS_KNI17"/>
      <sheetName val="CALCULOS_100717"/>
      <sheetName val="COPIAR_1007_CONTROL__D17"/>
      <sheetName val="CALCULOS_101017"/>
      <sheetName val="COPIAR_1010_CONTROL_D17"/>
      <sheetName val="CALCULOS_KNIM1SEC17"/>
      <sheetName val="COPIAR_KNIM1SEC_CONTROL_D17"/>
      <sheetName val="FINREP_Implementation20"/>
      <sheetName val="Table_2120"/>
      <sheetName val="base_datos20"/>
      <sheetName val="Ajuste_Altas18"/>
      <sheetName val="CUENTAS_FGD_VS_KNI18"/>
      <sheetName val="CALCULOS_100718"/>
      <sheetName val="COPIAR_1007_CONTROL__D18"/>
      <sheetName val="CALCULOS_101018"/>
      <sheetName val="COPIAR_1010_CONTROL_D18"/>
      <sheetName val="CALCULOS_KNIM1SEC18"/>
      <sheetName val="COPIAR_KNIM1SEC_CONTROL_D18"/>
    </sheetNames>
    <sheetDataSet>
      <sheetData sheetId="0" refreshError="1"/>
      <sheetData sheetId="1" refreshError="1"/>
      <sheetData sheetId="2">
        <row r="17">
          <cell r="A17" t="str">
            <v>Yes, compulsory</v>
          </cell>
        </row>
        <row r="21">
          <cell r="A21" t="str">
            <v>Monthly</v>
          </cell>
        </row>
        <row r="22">
          <cell r="A22" t="str">
            <v>Quarterly</v>
          </cell>
        </row>
        <row r="23">
          <cell r="A23" t="str">
            <v>Semi-annually</v>
          </cell>
        </row>
        <row r="24">
          <cell r="A24" t="str">
            <v>Annnually</v>
          </cell>
        </row>
        <row r="25">
          <cell r="A25" t="str">
            <v>Other, please specify</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18"/>
  <sheetViews>
    <sheetView workbookViewId="0"/>
  </sheetViews>
  <sheetFormatPr defaultColWidth="11.5703125" defaultRowHeight="20.45" customHeight="1" x14ac:dyDescent="0.25"/>
  <cols>
    <col min="1" max="1" width="5.28515625" style="7" customWidth="1"/>
    <col min="2" max="2" width="23.28515625" style="7" customWidth="1"/>
    <col min="3" max="3" width="43.140625" style="6" bestFit="1" customWidth="1"/>
    <col min="4" max="4" width="40.7109375" style="7" customWidth="1"/>
    <col min="5" max="5" width="11.5703125" style="7" customWidth="1"/>
    <col min="6" max="16384" width="11.5703125" style="7"/>
  </cols>
  <sheetData>
    <row r="1" spans="2:4" ht="15" x14ac:dyDescent="0.25"/>
    <row r="2" spans="2:4" ht="20.45" customHeight="1" x14ac:dyDescent="0.25">
      <c r="B2" s="19" t="s">
        <v>156</v>
      </c>
    </row>
    <row r="3" spans="2:4" ht="20.45" customHeight="1" thickBot="1" x14ac:dyDescent="0.3"/>
    <row r="4" spans="2:4" ht="20.45" customHeight="1" thickBot="1" x14ac:dyDescent="0.3">
      <c r="B4" s="35" t="s">
        <v>222</v>
      </c>
      <c r="C4" s="8" t="s">
        <v>224</v>
      </c>
    </row>
    <row r="5" spans="2:4" ht="20.45" customHeight="1" thickBot="1" x14ac:dyDescent="0.3">
      <c r="B5" s="35" t="s">
        <v>226</v>
      </c>
      <c r="C5" s="8" t="s">
        <v>152</v>
      </c>
    </row>
    <row r="6" spans="2:4" ht="20.45" customHeight="1" thickBot="1" x14ac:dyDescent="0.3">
      <c r="B6" s="36" t="s">
        <v>153</v>
      </c>
      <c r="C6" s="9" t="s">
        <v>225</v>
      </c>
    </row>
    <row r="7" spans="2:4" ht="20.45" customHeight="1" thickBot="1" x14ac:dyDescent="0.3">
      <c r="B7" s="37" t="s">
        <v>154</v>
      </c>
      <c r="C7" s="10" t="s">
        <v>155</v>
      </c>
    </row>
    <row r="9" spans="2:4" ht="20.45" customHeight="1" thickBot="1" x14ac:dyDescent="0.3">
      <c r="B9" s="7" t="s">
        <v>228</v>
      </c>
    </row>
    <row r="10" spans="2:4" ht="27" customHeight="1" thickBot="1" x14ac:dyDescent="0.3">
      <c r="B10" s="11" t="s">
        <v>157</v>
      </c>
      <c r="C10" s="11" t="s">
        <v>158</v>
      </c>
      <c r="D10" s="12" t="s">
        <v>159</v>
      </c>
    </row>
    <row r="11" spans="2:4" ht="27" customHeight="1" thickBot="1" x14ac:dyDescent="0.3">
      <c r="B11" s="13" t="s">
        <v>160</v>
      </c>
      <c r="C11" s="41" t="s">
        <v>1565</v>
      </c>
      <c r="D11" s="41" t="s">
        <v>1566</v>
      </c>
    </row>
    <row r="12" spans="2:4" ht="27" customHeight="1" thickBot="1" x14ac:dyDescent="0.3">
      <c r="B12" s="13" t="s">
        <v>161</v>
      </c>
      <c r="C12" s="14" t="s">
        <v>162</v>
      </c>
      <c r="D12" s="15" t="s">
        <v>94</v>
      </c>
    </row>
    <row r="13" spans="2:4" ht="27" customHeight="1" thickBot="1" x14ac:dyDescent="0.3">
      <c r="B13" s="16" t="s">
        <v>163</v>
      </c>
      <c r="C13" s="17">
        <v>99999999999</v>
      </c>
      <c r="D13" s="18">
        <v>11111111111</v>
      </c>
    </row>
    <row r="14" spans="2:4" ht="27" customHeight="1" x14ac:dyDescent="0.25"/>
    <row r="15" spans="2:4" ht="17.25" x14ac:dyDescent="0.25">
      <c r="B15" s="7" t="s">
        <v>223</v>
      </c>
    </row>
    <row r="16" spans="2:4" ht="15" x14ac:dyDescent="0.25">
      <c r="B16" s="31" t="s">
        <v>227</v>
      </c>
    </row>
    <row r="17" spans="2:2" ht="15" x14ac:dyDescent="0.25">
      <c r="B17" s="31" t="s">
        <v>221</v>
      </c>
    </row>
    <row r="18" spans="2:2" ht="20.45" customHeight="1" x14ac:dyDescent="0.25">
      <c r="B18" s="30" t="s">
        <v>1563</v>
      </c>
    </row>
  </sheetData>
  <hyperlinks>
    <hyperlink ref="B18" location="'VDS Files'!A1" display="(2) One CSV file for each of the tables in VDS Data Model"/>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4"/>
  <sheetViews>
    <sheetView zoomScale="90" zoomScaleNormal="90" workbookViewId="0">
      <selection activeCell="F24" sqref="A1:F24"/>
    </sheetView>
  </sheetViews>
  <sheetFormatPr defaultColWidth="8.85546875" defaultRowHeight="15" x14ac:dyDescent="0.25"/>
  <cols>
    <col min="1" max="1" width="1.5703125" style="5" customWidth="1"/>
    <col min="2" max="2" width="29.28515625" style="5" bestFit="1" customWidth="1"/>
    <col min="3" max="3" width="43" style="5" bestFit="1" customWidth="1"/>
    <col min="4" max="4" width="1.5703125" style="5" customWidth="1"/>
    <col min="5" max="5" width="32" style="43" bestFit="1" customWidth="1"/>
    <col min="6" max="6" width="1.5703125" style="5" customWidth="1"/>
    <col min="7" max="16384" width="8.85546875" style="5"/>
  </cols>
  <sheetData>
    <row r="1" spans="2:5" ht="7.5" customHeight="1" x14ac:dyDescent="0.25"/>
    <row r="2" spans="2:5" x14ac:dyDescent="0.25">
      <c r="B2" s="1" t="s">
        <v>68</v>
      </c>
      <c r="C2" s="1" t="s">
        <v>501</v>
      </c>
    </row>
    <row r="3" spans="2:5" x14ac:dyDescent="0.25">
      <c r="B3" s="20" t="s">
        <v>22</v>
      </c>
      <c r="C3" s="2" t="s">
        <v>502</v>
      </c>
      <c r="E3" s="43" t="s">
        <v>229</v>
      </c>
    </row>
    <row r="4" spans="2:5" x14ac:dyDescent="0.25">
      <c r="B4" s="20" t="s">
        <v>22</v>
      </c>
      <c r="C4" s="2" t="s">
        <v>503</v>
      </c>
      <c r="E4" s="43" t="s">
        <v>221</v>
      </c>
    </row>
    <row r="5" spans="2:5" x14ac:dyDescent="0.25">
      <c r="B5" s="20" t="s">
        <v>22</v>
      </c>
      <c r="C5" s="2" t="s">
        <v>504</v>
      </c>
    </row>
    <row r="6" spans="2:5" x14ac:dyDescent="0.25">
      <c r="B6" s="20" t="s">
        <v>22</v>
      </c>
      <c r="C6" s="2" t="s">
        <v>505</v>
      </c>
    </row>
    <row r="7" spans="2:5" x14ac:dyDescent="0.25">
      <c r="B7" s="20" t="s">
        <v>22</v>
      </c>
      <c r="C7" s="2" t="s">
        <v>506</v>
      </c>
    </row>
    <row r="8" spans="2:5" x14ac:dyDescent="0.25">
      <c r="B8" s="20" t="s">
        <v>23</v>
      </c>
      <c r="C8" s="20" t="s">
        <v>507</v>
      </c>
    </row>
    <row r="9" spans="2:5" x14ac:dyDescent="0.25">
      <c r="B9" s="20" t="s">
        <v>23</v>
      </c>
      <c r="C9" s="20" t="s">
        <v>508</v>
      </c>
    </row>
    <row r="10" spans="2:5" x14ac:dyDescent="0.25">
      <c r="B10" s="20" t="s">
        <v>23</v>
      </c>
      <c r="C10" s="20" t="s">
        <v>509</v>
      </c>
    </row>
    <row r="11" spans="2:5" x14ac:dyDescent="0.25">
      <c r="B11" s="20" t="s">
        <v>23</v>
      </c>
      <c r="C11" s="20" t="s">
        <v>510</v>
      </c>
    </row>
    <row r="12" spans="2:5" x14ac:dyDescent="0.25">
      <c r="B12" s="20" t="s">
        <v>23</v>
      </c>
      <c r="C12" s="20" t="s">
        <v>511</v>
      </c>
    </row>
    <row r="13" spans="2:5" x14ac:dyDescent="0.25">
      <c r="B13" s="20" t="s">
        <v>24</v>
      </c>
      <c r="C13" s="20" t="s">
        <v>512</v>
      </c>
    </row>
    <row r="14" spans="2:5" x14ac:dyDescent="0.25">
      <c r="B14" s="20" t="s">
        <v>24</v>
      </c>
      <c r="C14" s="20" t="s">
        <v>513</v>
      </c>
    </row>
    <row r="15" spans="2:5" x14ac:dyDescent="0.25">
      <c r="B15" s="20" t="s">
        <v>24</v>
      </c>
      <c r="C15" s="20" t="s">
        <v>514</v>
      </c>
    </row>
    <row r="16" spans="2:5" x14ac:dyDescent="0.25">
      <c r="B16" s="20" t="s">
        <v>24</v>
      </c>
      <c r="C16" s="20" t="s">
        <v>515</v>
      </c>
    </row>
    <row r="17" spans="2:5" x14ac:dyDescent="0.25">
      <c r="B17" s="20" t="s">
        <v>24</v>
      </c>
      <c r="C17" s="20" t="s">
        <v>516</v>
      </c>
    </row>
    <row r="18" spans="2:5" x14ac:dyDescent="0.25">
      <c r="B18" s="20" t="s">
        <v>25</v>
      </c>
      <c r="C18" s="20" t="s">
        <v>517</v>
      </c>
    </row>
    <row r="19" spans="2:5" x14ac:dyDescent="0.25">
      <c r="B19" s="20" t="s">
        <v>26</v>
      </c>
      <c r="C19" s="20" t="s">
        <v>518</v>
      </c>
    </row>
    <row r="20" spans="2:5" x14ac:dyDescent="0.25">
      <c r="B20" s="20" t="s">
        <v>64</v>
      </c>
      <c r="C20" s="20" t="s">
        <v>519</v>
      </c>
    </row>
    <row r="21" spans="2:5" x14ac:dyDescent="0.25">
      <c r="B21" s="20" t="s">
        <v>65</v>
      </c>
      <c r="C21" s="20" t="s">
        <v>520</v>
      </c>
    </row>
    <row r="22" spans="2:5" x14ac:dyDescent="0.25">
      <c r="B22" s="20" t="s">
        <v>66</v>
      </c>
      <c r="C22" s="20" t="s">
        <v>521</v>
      </c>
    </row>
    <row r="23" spans="2:5" x14ac:dyDescent="0.25">
      <c r="B23" s="38" t="s">
        <v>67</v>
      </c>
      <c r="C23" s="38" t="s">
        <v>522</v>
      </c>
      <c r="E23" s="44" t="s">
        <v>1568</v>
      </c>
    </row>
    <row r="24" spans="2:5" ht="7.5" customHeight="1" x14ac:dyDescent="0.25"/>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M318"/>
  <sheetViews>
    <sheetView zoomScale="90" zoomScaleNormal="90" workbookViewId="0">
      <pane xSplit="6" ySplit="1" topLeftCell="G308" activePane="bottomRight" state="frozen"/>
      <selection pane="topRight"/>
      <selection pane="bottomLeft"/>
      <selection pane="bottomRight" activeCell="C2" sqref="C2:C318"/>
    </sheetView>
  </sheetViews>
  <sheetFormatPr defaultColWidth="38.85546875" defaultRowHeight="15" outlineLevelCol="1" x14ac:dyDescent="0.25"/>
  <cols>
    <col min="1" max="1" width="23.7109375" style="5" bestFit="1" customWidth="1"/>
    <col min="2" max="2" width="25.85546875" style="5" customWidth="1"/>
    <col min="3" max="3" width="12.7109375" style="5" bestFit="1" customWidth="1"/>
    <col min="4" max="4" width="17.7109375" style="5" bestFit="1" customWidth="1"/>
    <col min="5" max="5" width="21.140625" style="5" bestFit="1" customWidth="1"/>
    <col min="6" max="6" width="32.85546875" style="5" bestFit="1" customWidth="1"/>
    <col min="7" max="7" width="40.85546875" style="5" customWidth="1" outlineLevel="1"/>
    <col min="8" max="8" width="17.28515625" style="5" customWidth="1" outlineLevel="1"/>
    <col min="9" max="9" width="65.140625" style="5" customWidth="1" outlineLevel="1"/>
    <col min="10" max="10" width="36.7109375" style="5" bestFit="1" customWidth="1"/>
    <col min="11" max="11" width="9.5703125" style="5" bestFit="1" customWidth="1"/>
    <col min="12" max="12" width="25.7109375" style="5" bestFit="1" customWidth="1"/>
    <col min="13" max="13" width="33.7109375" style="5" customWidth="1"/>
    <col min="14" max="16384" width="38.85546875" style="5"/>
  </cols>
  <sheetData>
    <row r="1" spans="1:13" s="34" customFormat="1" ht="36" customHeight="1" x14ac:dyDescent="0.25">
      <c r="A1" s="33" t="s">
        <v>68</v>
      </c>
      <c r="B1" s="33" t="s">
        <v>210</v>
      </c>
      <c r="C1" s="32" t="s">
        <v>69</v>
      </c>
      <c r="D1" s="33" t="s">
        <v>198</v>
      </c>
      <c r="E1" s="32" t="s">
        <v>70</v>
      </c>
      <c r="F1" s="32" t="s">
        <v>71</v>
      </c>
      <c r="G1" s="32" t="s">
        <v>72</v>
      </c>
      <c r="H1" s="32" t="s">
        <v>73</v>
      </c>
      <c r="I1" s="32" t="s">
        <v>74</v>
      </c>
      <c r="J1" s="33" t="s">
        <v>501</v>
      </c>
      <c r="K1" s="33" t="s">
        <v>1162</v>
      </c>
      <c r="L1" s="33" t="s">
        <v>1161</v>
      </c>
      <c r="M1" s="33" t="s">
        <v>1564</v>
      </c>
    </row>
    <row r="2" spans="1:13" ht="27.6" customHeight="1" x14ac:dyDescent="0.25">
      <c r="A2" s="3" t="s">
        <v>22</v>
      </c>
      <c r="B2" s="3" t="s">
        <v>1448</v>
      </c>
      <c r="C2" s="3" t="s">
        <v>215</v>
      </c>
      <c r="D2" s="4" t="s">
        <v>199</v>
      </c>
      <c r="E2" s="3" t="s">
        <v>75</v>
      </c>
      <c r="F2" s="3" t="s">
        <v>76</v>
      </c>
      <c r="G2" s="4" t="s">
        <v>77</v>
      </c>
      <c r="H2" s="4" t="s">
        <v>78</v>
      </c>
      <c r="I2" s="4" t="s">
        <v>79</v>
      </c>
      <c r="J2" s="4" t="s">
        <v>502</v>
      </c>
      <c r="K2" s="4">
        <v>1</v>
      </c>
      <c r="L2" s="4" t="s">
        <v>27</v>
      </c>
      <c r="M2" s="4" t="s">
        <v>200</v>
      </c>
    </row>
    <row r="3" spans="1:13" ht="41.45" customHeight="1" x14ac:dyDescent="0.25">
      <c r="A3" s="3" t="s">
        <v>22</v>
      </c>
      <c r="B3" s="3" t="s">
        <v>1448</v>
      </c>
      <c r="C3" s="3" t="s">
        <v>197</v>
      </c>
      <c r="D3" s="4" t="s">
        <v>201</v>
      </c>
      <c r="E3" s="3" t="s">
        <v>80</v>
      </c>
      <c r="F3" s="3" t="s">
        <v>81</v>
      </c>
      <c r="G3" s="4" t="s">
        <v>77</v>
      </c>
      <c r="H3" s="4" t="s">
        <v>78</v>
      </c>
      <c r="I3" s="4" t="s">
        <v>82</v>
      </c>
      <c r="J3" s="4" t="s">
        <v>502</v>
      </c>
      <c r="K3" s="4">
        <v>2</v>
      </c>
      <c r="L3" s="4" t="s">
        <v>0</v>
      </c>
      <c r="M3" s="4" t="s">
        <v>1466</v>
      </c>
    </row>
    <row r="4" spans="1:13" ht="400.15" customHeight="1" x14ac:dyDescent="0.25">
      <c r="A4" s="3" t="s">
        <v>22</v>
      </c>
      <c r="B4" s="3" t="s">
        <v>1448</v>
      </c>
      <c r="C4" s="3" t="s">
        <v>83</v>
      </c>
      <c r="D4" s="4" t="s">
        <v>202</v>
      </c>
      <c r="E4" s="3" t="s">
        <v>84</v>
      </c>
      <c r="F4" s="3" t="s">
        <v>85</v>
      </c>
      <c r="G4" s="4" t="s">
        <v>86</v>
      </c>
      <c r="H4" s="4" t="s">
        <v>78</v>
      </c>
      <c r="I4" s="4" t="s">
        <v>87</v>
      </c>
      <c r="J4" s="4" t="s">
        <v>502</v>
      </c>
      <c r="K4" s="4">
        <v>3</v>
      </c>
      <c r="L4" s="4" t="s">
        <v>88</v>
      </c>
      <c r="M4" s="4" t="s">
        <v>148</v>
      </c>
    </row>
    <row r="5" spans="1:13" ht="96.6" customHeight="1" x14ac:dyDescent="0.25">
      <c r="A5" s="3" t="s">
        <v>22</v>
      </c>
      <c r="B5" s="3" t="s">
        <v>1448</v>
      </c>
      <c r="C5" s="3" t="s">
        <v>164</v>
      </c>
      <c r="D5" s="4" t="s">
        <v>203</v>
      </c>
      <c r="E5" s="3" t="s">
        <v>84</v>
      </c>
      <c r="F5" s="3" t="s">
        <v>165</v>
      </c>
      <c r="G5" s="4" t="s">
        <v>166</v>
      </c>
      <c r="H5" s="4" t="s">
        <v>78</v>
      </c>
      <c r="I5" s="4" t="s">
        <v>167</v>
      </c>
      <c r="J5" s="4" t="s">
        <v>502</v>
      </c>
      <c r="K5" s="4">
        <v>4</v>
      </c>
      <c r="L5" s="4" t="s">
        <v>89</v>
      </c>
      <c r="M5" s="4" t="s">
        <v>148</v>
      </c>
    </row>
    <row r="6" spans="1:13" ht="27.6" customHeight="1" x14ac:dyDescent="0.25">
      <c r="A6" s="3" t="s">
        <v>22</v>
      </c>
      <c r="B6" s="3" t="s">
        <v>1448</v>
      </c>
      <c r="C6" s="3" t="s">
        <v>168</v>
      </c>
      <c r="D6" s="4" t="s">
        <v>204</v>
      </c>
      <c r="E6" s="3" t="s">
        <v>169</v>
      </c>
      <c r="F6" s="3" t="s">
        <v>170</v>
      </c>
      <c r="G6" s="4" t="s">
        <v>171</v>
      </c>
      <c r="H6" s="4" t="s">
        <v>172</v>
      </c>
      <c r="I6" s="4" t="s">
        <v>173</v>
      </c>
      <c r="J6" s="4" t="s">
        <v>502</v>
      </c>
      <c r="K6" s="4">
        <v>5</v>
      </c>
      <c r="L6" s="4" t="s">
        <v>17</v>
      </c>
      <c r="M6" s="4" t="s">
        <v>205</v>
      </c>
    </row>
    <row r="7" spans="1:13" ht="27.6" customHeight="1" x14ac:dyDescent="0.25">
      <c r="A7" s="3" t="s">
        <v>22</v>
      </c>
      <c r="B7" s="3" t="s">
        <v>1448</v>
      </c>
      <c r="C7" s="3" t="s">
        <v>174</v>
      </c>
      <c r="D7" s="4" t="s">
        <v>206</v>
      </c>
      <c r="E7" s="3" t="s">
        <v>169</v>
      </c>
      <c r="F7" s="3" t="s">
        <v>175</v>
      </c>
      <c r="G7" s="4" t="s">
        <v>176</v>
      </c>
      <c r="H7" s="4" t="s">
        <v>172</v>
      </c>
      <c r="I7" s="4" t="s">
        <v>177</v>
      </c>
      <c r="J7" s="4" t="s">
        <v>502</v>
      </c>
      <c r="K7" s="4">
        <v>6</v>
      </c>
      <c r="L7" s="4" t="s">
        <v>90</v>
      </c>
      <c r="M7" s="4" t="s">
        <v>207</v>
      </c>
    </row>
    <row r="8" spans="1:13" ht="41.45" customHeight="1" x14ac:dyDescent="0.25">
      <c r="A8" s="3" t="s">
        <v>22</v>
      </c>
      <c r="B8" s="3" t="s">
        <v>1448</v>
      </c>
      <c r="C8" s="3" t="s">
        <v>178</v>
      </c>
      <c r="D8" s="4" t="s">
        <v>208</v>
      </c>
      <c r="E8" s="3" t="s">
        <v>169</v>
      </c>
      <c r="F8" s="3" t="s">
        <v>179</v>
      </c>
      <c r="G8" s="4" t="s">
        <v>176</v>
      </c>
      <c r="H8" s="4" t="s">
        <v>172</v>
      </c>
      <c r="I8" s="4" t="s">
        <v>180</v>
      </c>
      <c r="J8" s="4" t="s">
        <v>502</v>
      </c>
      <c r="K8" s="4">
        <v>7</v>
      </c>
      <c r="L8" s="4" t="s">
        <v>1403</v>
      </c>
      <c r="M8" s="4" t="s">
        <v>209</v>
      </c>
    </row>
    <row r="9" spans="1:13" ht="14.45" customHeight="1" x14ac:dyDescent="0.25">
      <c r="A9" s="3" t="s">
        <v>22</v>
      </c>
      <c r="B9" s="3" t="s">
        <v>1450</v>
      </c>
      <c r="C9" s="3" t="s">
        <v>197</v>
      </c>
      <c r="D9" s="4" t="s">
        <v>220</v>
      </c>
      <c r="E9" s="3" t="s">
        <v>80</v>
      </c>
      <c r="F9" s="3" t="s">
        <v>81</v>
      </c>
      <c r="G9" s="4" t="s">
        <v>77</v>
      </c>
      <c r="H9" s="4" t="s">
        <v>78</v>
      </c>
      <c r="I9" s="4" t="s">
        <v>82</v>
      </c>
      <c r="J9" s="4" t="s">
        <v>503</v>
      </c>
      <c r="K9" s="4">
        <v>1</v>
      </c>
      <c r="L9" s="4" t="s">
        <v>0</v>
      </c>
      <c r="M9" s="4" t="s">
        <v>211</v>
      </c>
    </row>
    <row r="10" spans="1:13" ht="14.45" customHeight="1" x14ac:dyDescent="0.25">
      <c r="A10" s="3" t="s">
        <v>22</v>
      </c>
      <c r="B10" s="3" t="s">
        <v>1450</v>
      </c>
      <c r="C10" s="3" t="s">
        <v>181</v>
      </c>
      <c r="D10" s="4" t="s">
        <v>216</v>
      </c>
      <c r="E10" s="3" t="s">
        <v>169</v>
      </c>
      <c r="F10" s="3" t="s">
        <v>182</v>
      </c>
      <c r="G10" s="4" t="s">
        <v>183</v>
      </c>
      <c r="H10" s="4" t="s">
        <v>172</v>
      </c>
      <c r="I10" s="4" t="s">
        <v>184</v>
      </c>
      <c r="J10" s="4" t="s">
        <v>503</v>
      </c>
      <c r="K10" s="4">
        <v>2</v>
      </c>
      <c r="L10" s="4" t="s">
        <v>185</v>
      </c>
      <c r="M10" s="4" t="s">
        <v>212</v>
      </c>
    </row>
    <row r="11" spans="1:13" ht="27.6" customHeight="1" x14ac:dyDescent="0.25">
      <c r="A11" s="3" t="s">
        <v>22</v>
      </c>
      <c r="B11" s="3" t="s">
        <v>1450</v>
      </c>
      <c r="C11" s="3" t="s">
        <v>186</v>
      </c>
      <c r="D11" s="4" t="s">
        <v>217</v>
      </c>
      <c r="E11" s="3" t="s">
        <v>169</v>
      </c>
      <c r="F11" s="3" t="s">
        <v>187</v>
      </c>
      <c r="G11" s="4" t="s">
        <v>77</v>
      </c>
      <c r="H11" s="4" t="s">
        <v>172</v>
      </c>
      <c r="I11" s="4" t="s">
        <v>188</v>
      </c>
      <c r="J11" s="4" t="s">
        <v>503</v>
      </c>
      <c r="K11" s="4">
        <v>3</v>
      </c>
      <c r="L11" s="4" t="s">
        <v>189</v>
      </c>
      <c r="M11" s="4" t="s">
        <v>213</v>
      </c>
    </row>
    <row r="12" spans="1:13" ht="96.6" customHeight="1" x14ac:dyDescent="0.25">
      <c r="A12" s="3" t="s">
        <v>22</v>
      </c>
      <c r="B12" s="3" t="s">
        <v>1450</v>
      </c>
      <c r="C12" s="3" t="s">
        <v>190</v>
      </c>
      <c r="D12" s="4" t="s">
        <v>218</v>
      </c>
      <c r="E12" s="3" t="s">
        <v>169</v>
      </c>
      <c r="F12" s="3" t="s">
        <v>191</v>
      </c>
      <c r="G12" s="4" t="s">
        <v>176</v>
      </c>
      <c r="H12" s="4" t="s">
        <v>172</v>
      </c>
      <c r="I12" s="4" t="s">
        <v>192</v>
      </c>
      <c r="J12" s="4" t="s">
        <v>503</v>
      </c>
      <c r="K12" s="4">
        <v>4</v>
      </c>
      <c r="L12" s="4" t="s">
        <v>193</v>
      </c>
      <c r="M12" s="4" t="s">
        <v>214</v>
      </c>
    </row>
    <row r="13" spans="1:13" ht="110.45" customHeight="1" x14ac:dyDescent="0.25">
      <c r="A13" s="3" t="s">
        <v>22</v>
      </c>
      <c r="B13" s="3" t="s">
        <v>1450</v>
      </c>
      <c r="C13" s="3" t="s">
        <v>194</v>
      </c>
      <c r="D13" s="4" t="s">
        <v>219</v>
      </c>
      <c r="E13" s="3" t="s">
        <v>169</v>
      </c>
      <c r="F13" s="3" t="s">
        <v>195</v>
      </c>
      <c r="G13" s="4" t="s">
        <v>176</v>
      </c>
      <c r="H13" s="4" t="s">
        <v>172</v>
      </c>
      <c r="I13" s="4" t="s">
        <v>196</v>
      </c>
      <c r="J13" s="4" t="s">
        <v>503</v>
      </c>
      <c r="K13" s="4">
        <v>5</v>
      </c>
      <c r="L13" s="4" t="s">
        <v>1508</v>
      </c>
      <c r="M13" s="4" t="s">
        <v>148</v>
      </c>
    </row>
    <row r="14" spans="1:13" ht="27.6" customHeight="1" x14ac:dyDescent="0.25">
      <c r="A14" s="3" t="s">
        <v>22</v>
      </c>
      <c r="B14" s="3" t="s">
        <v>1461</v>
      </c>
      <c r="C14" s="3" t="s">
        <v>230</v>
      </c>
      <c r="D14" s="4" t="s">
        <v>231</v>
      </c>
      <c r="E14" s="3" t="s">
        <v>80</v>
      </c>
      <c r="F14" s="3" t="s">
        <v>232</v>
      </c>
      <c r="G14" s="4" t="s">
        <v>77</v>
      </c>
      <c r="H14" s="4" t="s">
        <v>78</v>
      </c>
      <c r="I14" s="4" t="s">
        <v>233</v>
      </c>
      <c r="J14" s="4" t="s">
        <v>504</v>
      </c>
      <c r="K14" s="4">
        <v>1</v>
      </c>
      <c r="L14" s="4" t="s">
        <v>282</v>
      </c>
      <c r="M14" s="4" t="s">
        <v>271</v>
      </c>
    </row>
    <row r="15" spans="1:13" ht="41.45" customHeight="1" x14ac:dyDescent="0.25">
      <c r="A15" s="3" t="s">
        <v>22</v>
      </c>
      <c r="B15" s="3" t="s">
        <v>1461</v>
      </c>
      <c r="C15" s="3" t="s">
        <v>215</v>
      </c>
      <c r="D15" s="4" t="s">
        <v>234</v>
      </c>
      <c r="E15" s="3" t="s">
        <v>75</v>
      </c>
      <c r="F15" s="3" t="s">
        <v>76</v>
      </c>
      <c r="G15" s="4" t="s">
        <v>77</v>
      </c>
      <c r="H15" s="4" t="s">
        <v>78</v>
      </c>
      <c r="I15" s="4" t="s">
        <v>79</v>
      </c>
      <c r="J15" s="4" t="s">
        <v>504</v>
      </c>
      <c r="K15" s="4">
        <v>2</v>
      </c>
      <c r="L15" s="4" t="s">
        <v>27</v>
      </c>
      <c r="M15" s="4" t="s">
        <v>1463</v>
      </c>
    </row>
    <row r="16" spans="1:13" ht="317.45" customHeight="1" x14ac:dyDescent="0.25">
      <c r="A16" s="3" t="s">
        <v>22</v>
      </c>
      <c r="B16" s="3" t="s">
        <v>1461</v>
      </c>
      <c r="C16" s="3" t="s">
        <v>235</v>
      </c>
      <c r="D16" s="4" t="s">
        <v>236</v>
      </c>
      <c r="E16" s="3" t="s">
        <v>75</v>
      </c>
      <c r="F16" s="3" t="s">
        <v>237</v>
      </c>
      <c r="G16" s="4" t="s">
        <v>238</v>
      </c>
      <c r="H16" s="4" t="s">
        <v>78</v>
      </c>
      <c r="I16" s="4" t="s">
        <v>239</v>
      </c>
      <c r="J16" s="4" t="s">
        <v>504</v>
      </c>
      <c r="K16" s="4">
        <v>3</v>
      </c>
      <c r="L16" s="4" t="s">
        <v>1509</v>
      </c>
      <c r="M16" s="4" t="s">
        <v>272</v>
      </c>
    </row>
    <row r="17" spans="1:13" ht="41.45" customHeight="1" x14ac:dyDescent="0.25">
      <c r="A17" s="3" t="s">
        <v>22</v>
      </c>
      <c r="B17" s="3" t="s">
        <v>1461</v>
      </c>
      <c r="C17" s="3" t="s">
        <v>240</v>
      </c>
      <c r="D17" s="4" t="s">
        <v>241</v>
      </c>
      <c r="E17" s="3" t="s">
        <v>242</v>
      </c>
      <c r="F17" s="3" t="s">
        <v>243</v>
      </c>
      <c r="G17" s="4" t="s">
        <v>244</v>
      </c>
      <c r="H17" s="4" t="s">
        <v>78</v>
      </c>
      <c r="I17" s="4" t="s">
        <v>245</v>
      </c>
      <c r="J17" s="4" t="s">
        <v>504</v>
      </c>
      <c r="K17" s="4">
        <v>4</v>
      </c>
      <c r="L17" s="4" t="s">
        <v>246</v>
      </c>
      <c r="M17" s="4" t="s">
        <v>148</v>
      </c>
    </row>
    <row r="18" spans="1:13" ht="27.6" customHeight="1" x14ac:dyDescent="0.25">
      <c r="A18" s="3" t="s">
        <v>22</v>
      </c>
      <c r="B18" s="3" t="s">
        <v>1461</v>
      </c>
      <c r="C18" s="3" t="s">
        <v>247</v>
      </c>
      <c r="D18" s="4" t="s">
        <v>248</v>
      </c>
      <c r="E18" s="3" t="s">
        <v>242</v>
      </c>
      <c r="F18" s="3" t="s">
        <v>249</v>
      </c>
      <c r="G18" s="4" t="s">
        <v>244</v>
      </c>
      <c r="H18" s="4" t="s">
        <v>78</v>
      </c>
      <c r="I18" s="4" t="s">
        <v>250</v>
      </c>
      <c r="J18" s="4" t="s">
        <v>504</v>
      </c>
      <c r="K18" s="4">
        <v>5</v>
      </c>
      <c r="L18" s="4" t="s">
        <v>251</v>
      </c>
      <c r="M18" s="4" t="s">
        <v>148</v>
      </c>
    </row>
    <row r="19" spans="1:13" ht="41.45" customHeight="1" x14ac:dyDescent="0.25">
      <c r="A19" s="3" t="s">
        <v>22</v>
      </c>
      <c r="B19" s="3" t="s">
        <v>1461</v>
      </c>
      <c r="C19" s="3" t="s">
        <v>252</v>
      </c>
      <c r="D19" s="4" t="s">
        <v>253</v>
      </c>
      <c r="E19" s="3" t="s">
        <v>254</v>
      </c>
      <c r="F19" s="3" t="s">
        <v>255</v>
      </c>
      <c r="G19" s="4" t="s">
        <v>244</v>
      </c>
      <c r="H19" s="4" t="s">
        <v>78</v>
      </c>
      <c r="I19" s="4" t="s">
        <v>256</v>
      </c>
      <c r="J19" s="4" t="s">
        <v>504</v>
      </c>
      <c r="K19" s="4">
        <v>6</v>
      </c>
      <c r="L19" s="4" t="s">
        <v>257</v>
      </c>
      <c r="M19" s="4" t="s">
        <v>273</v>
      </c>
    </row>
    <row r="20" spans="1:13" ht="41.45" customHeight="1" x14ac:dyDescent="0.25">
      <c r="A20" s="3" t="s">
        <v>22</v>
      </c>
      <c r="B20" s="3" t="s">
        <v>1461</v>
      </c>
      <c r="C20" s="3" t="s">
        <v>258</v>
      </c>
      <c r="D20" s="4" t="s">
        <v>259</v>
      </c>
      <c r="E20" s="3" t="s">
        <v>260</v>
      </c>
      <c r="F20" s="3" t="s">
        <v>261</v>
      </c>
      <c r="G20" s="4" t="s">
        <v>244</v>
      </c>
      <c r="H20" s="4" t="s">
        <v>78</v>
      </c>
      <c r="I20" s="4" t="s">
        <v>262</v>
      </c>
      <c r="J20" s="4" t="s">
        <v>504</v>
      </c>
      <c r="K20" s="4">
        <v>7</v>
      </c>
      <c r="L20" s="4" t="s">
        <v>263</v>
      </c>
      <c r="M20" s="4" t="s">
        <v>148</v>
      </c>
    </row>
    <row r="21" spans="1:13" ht="151.9" customHeight="1" x14ac:dyDescent="0.25">
      <c r="A21" s="3" t="s">
        <v>22</v>
      </c>
      <c r="B21" s="3" t="s">
        <v>1461</v>
      </c>
      <c r="C21" s="3" t="s">
        <v>264</v>
      </c>
      <c r="D21" s="4" t="s">
        <v>265</v>
      </c>
      <c r="E21" s="3" t="s">
        <v>266</v>
      </c>
      <c r="F21" s="3" t="s">
        <v>267</v>
      </c>
      <c r="G21" s="4" t="s">
        <v>268</v>
      </c>
      <c r="H21" s="4" t="s">
        <v>78</v>
      </c>
      <c r="I21" s="4" t="s">
        <v>269</v>
      </c>
      <c r="J21" s="4" t="s">
        <v>504</v>
      </c>
      <c r="K21" s="4">
        <v>8</v>
      </c>
      <c r="L21" s="4" t="s">
        <v>270</v>
      </c>
      <c r="M21" s="4" t="s">
        <v>148</v>
      </c>
    </row>
    <row r="22" spans="1:13" ht="27.6" hidden="1" customHeight="1" x14ac:dyDescent="0.25">
      <c r="A22" s="3" t="s">
        <v>22</v>
      </c>
      <c r="B22" s="3" t="s">
        <v>1455</v>
      </c>
      <c r="C22" s="3" t="s">
        <v>215</v>
      </c>
      <c r="D22" s="4" t="s">
        <v>274</v>
      </c>
      <c r="E22" s="3" t="s">
        <v>75</v>
      </c>
      <c r="F22" s="3" t="s">
        <v>76</v>
      </c>
      <c r="G22" s="4" t="s">
        <v>77</v>
      </c>
      <c r="H22" s="4" t="s">
        <v>78</v>
      </c>
      <c r="I22" s="4" t="s">
        <v>79</v>
      </c>
      <c r="J22" s="4" t="s">
        <v>505</v>
      </c>
      <c r="K22" s="4">
        <v>1</v>
      </c>
      <c r="L22" s="4" t="s">
        <v>27</v>
      </c>
      <c r="M22" s="4" t="s">
        <v>276</v>
      </c>
    </row>
    <row r="23" spans="1:13" ht="27.6" hidden="1" customHeight="1" x14ac:dyDescent="0.25">
      <c r="A23" s="3" t="s">
        <v>22</v>
      </c>
      <c r="B23" s="3" t="s">
        <v>1455</v>
      </c>
      <c r="C23" s="3" t="s">
        <v>197</v>
      </c>
      <c r="D23" s="4" t="s">
        <v>275</v>
      </c>
      <c r="E23" s="3" t="s">
        <v>80</v>
      </c>
      <c r="F23" s="3" t="s">
        <v>81</v>
      </c>
      <c r="G23" s="4" t="s">
        <v>77</v>
      </c>
      <c r="H23" s="4" t="s">
        <v>78</v>
      </c>
      <c r="I23" s="4" t="s">
        <v>82</v>
      </c>
      <c r="J23" s="4" t="s">
        <v>505</v>
      </c>
      <c r="K23" s="4">
        <v>2</v>
      </c>
      <c r="L23" s="4" t="s">
        <v>0</v>
      </c>
      <c r="M23" s="4" t="s">
        <v>277</v>
      </c>
    </row>
    <row r="24" spans="1:13" ht="27.6" hidden="1" customHeight="1" x14ac:dyDescent="0.25">
      <c r="A24" s="3" t="s">
        <v>22</v>
      </c>
      <c r="B24" s="3" t="s">
        <v>1460</v>
      </c>
      <c r="C24" s="3" t="s">
        <v>215</v>
      </c>
      <c r="D24" s="4" t="s">
        <v>278</v>
      </c>
      <c r="E24" s="3" t="s">
        <v>75</v>
      </c>
      <c r="F24" s="3" t="s">
        <v>76</v>
      </c>
      <c r="G24" s="4" t="s">
        <v>77</v>
      </c>
      <c r="H24" s="4" t="s">
        <v>78</v>
      </c>
      <c r="I24" s="4" t="s">
        <v>79</v>
      </c>
      <c r="J24" s="4" t="s">
        <v>506</v>
      </c>
      <c r="K24" s="4">
        <v>1</v>
      </c>
      <c r="L24" s="4" t="s">
        <v>27</v>
      </c>
      <c r="M24" s="4" t="s">
        <v>280</v>
      </c>
    </row>
    <row r="25" spans="1:13" ht="27.6" hidden="1" customHeight="1" x14ac:dyDescent="0.25">
      <c r="A25" s="3" t="s">
        <v>22</v>
      </c>
      <c r="B25" s="3" t="s">
        <v>1460</v>
      </c>
      <c r="C25" s="3" t="s">
        <v>230</v>
      </c>
      <c r="D25" s="4" t="s">
        <v>279</v>
      </c>
      <c r="E25" s="3" t="s">
        <v>80</v>
      </c>
      <c r="F25" s="3" t="s">
        <v>232</v>
      </c>
      <c r="G25" s="4" t="s">
        <v>77</v>
      </c>
      <c r="H25" s="4" t="s">
        <v>78</v>
      </c>
      <c r="I25" s="4" t="s">
        <v>233</v>
      </c>
      <c r="J25" s="4" t="s">
        <v>506</v>
      </c>
      <c r="K25" s="4">
        <v>2</v>
      </c>
      <c r="L25" s="4" t="s">
        <v>282</v>
      </c>
      <c r="M25" s="4" t="s">
        <v>281</v>
      </c>
    </row>
    <row r="26" spans="1:13" ht="27.6" customHeight="1" x14ac:dyDescent="0.25">
      <c r="A26" s="3" t="s">
        <v>23</v>
      </c>
      <c r="B26" s="3" t="s">
        <v>1462</v>
      </c>
      <c r="C26" s="3" t="s">
        <v>215</v>
      </c>
      <c r="D26" s="4" t="s">
        <v>283</v>
      </c>
      <c r="E26" s="3" t="s">
        <v>75</v>
      </c>
      <c r="F26" s="3" t="s">
        <v>76</v>
      </c>
      <c r="G26" s="4" t="s">
        <v>77</v>
      </c>
      <c r="H26" s="4" t="s">
        <v>78</v>
      </c>
      <c r="I26" s="4" t="s">
        <v>79</v>
      </c>
      <c r="J26" s="4" t="s">
        <v>507</v>
      </c>
      <c r="K26" s="4">
        <v>1</v>
      </c>
      <c r="L26" s="4" t="s">
        <v>27</v>
      </c>
      <c r="M26" s="4" t="s">
        <v>200</v>
      </c>
    </row>
    <row r="27" spans="1:13" ht="41.45" customHeight="1" x14ac:dyDescent="0.25">
      <c r="A27" s="3" t="s">
        <v>23</v>
      </c>
      <c r="B27" s="3" t="s">
        <v>1462</v>
      </c>
      <c r="C27" s="3" t="s">
        <v>197</v>
      </c>
      <c r="D27" s="4" t="s">
        <v>284</v>
      </c>
      <c r="E27" s="3" t="s">
        <v>80</v>
      </c>
      <c r="F27" s="3" t="s">
        <v>81</v>
      </c>
      <c r="G27" s="4" t="s">
        <v>77</v>
      </c>
      <c r="H27" s="4" t="s">
        <v>78</v>
      </c>
      <c r="I27" s="4" t="s">
        <v>82</v>
      </c>
      <c r="J27" s="4" t="s">
        <v>507</v>
      </c>
      <c r="K27" s="4">
        <v>2</v>
      </c>
      <c r="L27" s="4" t="s">
        <v>0</v>
      </c>
      <c r="M27" s="4" t="s">
        <v>1473</v>
      </c>
    </row>
    <row r="28" spans="1:13" ht="27.6" customHeight="1" x14ac:dyDescent="0.25">
      <c r="A28" s="3" t="s">
        <v>23</v>
      </c>
      <c r="B28" s="3" t="s">
        <v>1462</v>
      </c>
      <c r="C28" s="3" t="s">
        <v>1446</v>
      </c>
      <c r="D28" s="4" t="s">
        <v>285</v>
      </c>
      <c r="E28" s="3" t="s">
        <v>80</v>
      </c>
      <c r="F28" s="3" t="s">
        <v>286</v>
      </c>
      <c r="G28" s="4" t="s">
        <v>77</v>
      </c>
      <c r="H28" s="4" t="s">
        <v>78</v>
      </c>
      <c r="I28" s="4" t="s">
        <v>287</v>
      </c>
      <c r="J28" s="4" t="s">
        <v>507</v>
      </c>
      <c r="K28" s="4">
        <v>3</v>
      </c>
      <c r="L28" s="4" t="s">
        <v>1400</v>
      </c>
      <c r="M28" s="4" t="s">
        <v>1070</v>
      </c>
    </row>
    <row r="29" spans="1:13" ht="27.6" customHeight="1" x14ac:dyDescent="0.25">
      <c r="A29" s="3" t="s">
        <v>23</v>
      </c>
      <c r="B29" s="3" t="s">
        <v>1462</v>
      </c>
      <c r="C29" s="3" t="s">
        <v>288</v>
      </c>
      <c r="D29" s="4" t="s">
        <v>289</v>
      </c>
      <c r="E29" s="3" t="s">
        <v>80</v>
      </c>
      <c r="F29" s="3" t="s">
        <v>290</v>
      </c>
      <c r="G29" s="4" t="s">
        <v>77</v>
      </c>
      <c r="H29" s="4" t="s">
        <v>78</v>
      </c>
      <c r="I29" s="4" t="s">
        <v>291</v>
      </c>
      <c r="J29" s="4" t="s">
        <v>507</v>
      </c>
      <c r="K29" s="4">
        <v>4</v>
      </c>
      <c r="L29" s="4" t="s">
        <v>1401</v>
      </c>
      <c r="M29" s="4" t="s">
        <v>1071</v>
      </c>
    </row>
    <row r="30" spans="1:13" ht="41.45" customHeight="1" x14ac:dyDescent="0.25">
      <c r="A30" s="3" t="s">
        <v>23</v>
      </c>
      <c r="B30" s="3" t="s">
        <v>1462</v>
      </c>
      <c r="C30" s="3" t="s">
        <v>292</v>
      </c>
      <c r="D30" s="4" t="s">
        <v>293</v>
      </c>
      <c r="E30" s="3" t="s">
        <v>80</v>
      </c>
      <c r="F30" s="3" t="s">
        <v>294</v>
      </c>
      <c r="G30" s="4" t="s">
        <v>77</v>
      </c>
      <c r="H30" s="4" t="s">
        <v>78</v>
      </c>
      <c r="I30" s="4" t="s">
        <v>523</v>
      </c>
      <c r="J30" s="4" t="s">
        <v>507</v>
      </c>
      <c r="K30" s="4">
        <v>5</v>
      </c>
      <c r="L30" s="4" t="s">
        <v>1402</v>
      </c>
      <c r="M30" s="4" t="s">
        <v>1072</v>
      </c>
    </row>
    <row r="31" spans="1:13" ht="400.15" customHeight="1" x14ac:dyDescent="0.25">
      <c r="A31" s="3" t="s">
        <v>23</v>
      </c>
      <c r="B31" s="3" t="s">
        <v>1462</v>
      </c>
      <c r="C31" s="3" t="s">
        <v>83</v>
      </c>
      <c r="D31" s="4" t="s">
        <v>295</v>
      </c>
      <c r="E31" s="3" t="s">
        <v>84</v>
      </c>
      <c r="F31" s="3" t="s">
        <v>85</v>
      </c>
      <c r="G31" s="4" t="s">
        <v>296</v>
      </c>
      <c r="H31" s="4" t="s">
        <v>78</v>
      </c>
      <c r="I31" s="4" t="s">
        <v>524</v>
      </c>
      <c r="J31" s="4" t="s">
        <v>507</v>
      </c>
      <c r="K31" s="4">
        <v>6</v>
      </c>
      <c r="L31" s="4" t="s">
        <v>88</v>
      </c>
      <c r="M31" s="4" t="s">
        <v>148</v>
      </c>
    </row>
    <row r="32" spans="1:13" ht="110.45" customHeight="1" x14ac:dyDescent="0.25">
      <c r="A32" s="3" t="s">
        <v>23</v>
      </c>
      <c r="B32" s="3" t="s">
        <v>1462</v>
      </c>
      <c r="C32" s="3" t="s">
        <v>164</v>
      </c>
      <c r="D32" s="4" t="s">
        <v>297</v>
      </c>
      <c r="E32" s="3" t="s">
        <v>84</v>
      </c>
      <c r="F32" s="3" t="s">
        <v>165</v>
      </c>
      <c r="G32" s="4" t="s">
        <v>298</v>
      </c>
      <c r="H32" s="4" t="s">
        <v>78</v>
      </c>
      <c r="I32" s="4" t="s">
        <v>299</v>
      </c>
      <c r="J32" s="4" t="s">
        <v>507</v>
      </c>
      <c r="K32" s="4">
        <v>7</v>
      </c>
      <c r="L32" s="4" t="s">
        <v>89</v>
      </c>
      <c r="M32" s="4" t="s">
        <v>148</v>
      </c>
    </row>
    <row r="33" spans="1:13" ht="27.6" customHeight="1" x14ac:dyDescent="0.25">
      <c r="A33" s="3" t="s">
        <v>23</v>
      </c>
      <c r="B33" s="3" t="s">
        <v>1462</v>
      </c>
      <c r="C33" s="3" t="s">
        <v>168</v>
      </c>
      <c r="D33" s="4" t="s">
        <v>300</v>
      </c>
      <c r="E33" s="3" t="s">
        <v>169</v>
      </c>
      <c r="F33" s="3" t="s">
        <v>170</v>
      </c>
      <c r="G33" s="4" t="s">
        <v>171</v>
      </c>
      <c r="H33" s="4" t="s">
        <v>172</v>
      </c>
      <c r="I33" s="4" t="s">
        <v>173</v>
      </c>
      <c r="J33" s="4" t="s">
        <v>507</v>
      </c>
      <c r="K33" s="4">
        <v>8</v>
      </c>
      <c r="L33" s="4" t="s">
        <v>17</v>
      </c>
      <c r="M33" s="4" t="s">
        <v>205</v>
      </c>
    </row>
    <row r="34" spans="1:13" ht="27.6" customHeight="1" x14ac:dyDescent="0.25">
      <c r="A34" s="3" t="s">
        <v>23</v>
      </c>
      <c r="B34" s="3" t="s">
        <v>1462</v>
      </c>
      <c r="C34" s="3" t="s">
        <v>174</v>
      </c>
      <c r="D34" s="4" t="s">
        <v>301</v>
      </c>
      <c r="E34" s="3" t="s">
        <v>169</v>
      </c>
      <c r="F34" s="3" t="s">
        <v>175</v>
      </c>
      <c r="G34" s="4" t="s">
        <v>176</v>
      </c>
      <c r="H34" s="4" t="s">
        <v>172</v>
      </c>
      <c r="I34" s="4" t="s">
        <v>177</v>
      </c>
      <c r="J34" s="4" t="s">
        <v>507</v>
      </c>
      <c r="K34" s="4">
        <v>9</v>
      </c>
      <c r="L34" s="4" t="s">
        <v>90</v>
      </c>
      <c r="M34" s="4" t="s">
        <v>207</v>
      </c>
    </row>
    <row r="35" spans="1:13" ht="41.45" customHeight="1" x14ac:dyDescent="0.25">
      <c r="A35" s="3" t="s">
        <v>23</v>
      </c>
      <c r="B35" s="3" t="s">
        <v>1462</v>
      </c>
      <c r="C35" s="3" t="s">
        <v>178</v>
      </c>
      <c r="D35" s="4" t="s">
        <v>302</v>
      </c>
      <c r="E35" s="3" t="s">
        <v>169</v>
      </c>
      <c r="F35" s="3" t="s">
        <v>179</v>
      </c>
      <c r="G35" s="4" t="s">
        <v>176</v>
      </c>
      <c r="H35" s="4" t="s">
        <v>172</v>
      </c>
      <c r="I35" s="4" t="s">
        <v>180</v>
      </c>
      <c r="J35" s="4" t="s">
        <v>507</v>
      </c>
      <c r="K35" s="4">
        <v>10</v>
      </c>
      <c r="L35" s="4" t="s">
        <v>1403</v>
      </c>
      <c r="M35" s="4" t="s">
        <v>209</v>
      </c>
    </row>
    <row r="36" spans="1:13" ht="124.15" customHeight="1" x14ac:dyDescent="0.25">
      <c r="A36" s="3" t="s">
        <v>23</v>
      </c>
      <c r="B36" s="3" t="s">
        <v>1462</v>
      </c>
      <c r="C36" s="3" t="s">
        <v>303</v>
      </c>
      <c r="D36" s="4" t="s">
        <v>304</v>
      </c>
      <c r="E36" s="3" t="s">
        <v>305</v>
      </c>
      <c r="F36" s="3" t="s">
        <v>306</v>
      </c>
      <c r="G36" s="4" t="s">
        <v>307</v>
      </c>
      <c r="H36" s="4" t="s">
        <v>78</v>
      </c>
      <c r="I36" s="4" t="s">
        <v>308</v>
      </c>
      <c r="J36" s="4" t="s">
        <v>507</v>
      </c>
      <c r="K36" s="4">
        <v>11</v>
      </c>
      <c r="L36" s="4" t="s">
        <v>1510</v>
      </c>
      <c r="M36" s="4" t="s">
        <v>1073</v>
      </c>
    </row>
    <row r="37" spans="1:13" ht="82.9" customHeight="1" x14ac:dyDescent="0.25">
      <c r="A37" s="3" t="s">
        <v>23</v>
      </c>
      <c r="B37" s="3" t="s">
        <v>1462</v>
      </c>
      <c r="C37" s="3" t="s">
        <v>309</v>
      </c>
      <c r="D37" s="4" t="s">
        <v>310</v>
      </c>
      <c r="E37" s="3" t="s">
        <v>305</v>
      </c>
      <c r="F37" s="3" t="s">
        <v>311</v>
      </c>
      <c r="G37" s="4" t="s">
        <v>312</v>
      </c>
      <c r="H37" s="4" t="s">
        <v>78</v>
      </c>
      <c r="I37" s="4" t="s">
        <v>313</v>
      </c>
      <c r="J37" s="4" t="s">
        <v>507</v>
      </c>
      <c r="K37" s="4">
        <v>12</v>
      </c>
      <c r="L37" s="4" t="s">
        <v>1404</v>
      </c>
      <c r="M37" s="4" t="s">
        <v>1074</v>
      </c>
    </row>
    <row r="38" spans="1:13" ht="27.6" customHeight="1" x14ac:dyDescent="0.25">
      <c r="A38" s="3" t="s">
        <v>23</v>
      </c>
      <c r="B38" s="3" t="s">
        <v>1462</v>
      </c>
      <c r="C38" s="3" t="s">
        <v>314</v>
      </c>
      <c r="D38" s="4" t="s">
        <v>315</v>
      </c>
      <c r="E38" s="3" t="s">
        <v>305</v>
      </c>
      <c r="F38" s="3" t="s">
        <v>28</v>
      </c>
      <c r="G38" s="4" t="s">
        <v>316</v>
      </c>
      <c r="H38" s="4" t="s">
        <v>78</v>
      </c>
      <c r="I38" s="4" t="s">
        <v>317</v>
      </c>
      <c r="J38" s="4" t="s">
        <v>507</v>
      </c>
      <c r="K38" s="4">
        <v>13</v>
      </c>
      <c r="L38" s="4" t="s">
        <v>1405</v>
      </c>
      <c r="M38" s="4" t="s">
        <v>1075</v>
      </c>
    </row>
    <row r="39" spans="1:13" ht="27.6" customHeight="1" x14ac:dyDescent="0.25">
      <c r="A39" s="3" t="s">
        <v>23</v>
      </c>
      <c r="B39" s="3" t="s">
        <v>1462</v>
      </c>
      <c r="C39" s="3" t="s">
        <v>318</v>
      </c>
      <c r="D39" s="4" t="s">
        <v>319</v>
      </c>
      <c r="E39" s="3" t="s">
        <v>305</v>
      </c>
      <c r="F39" s="3" t="s">
        <v>320</v>
      </c>
      <c r="G39" s="4" t="s">
        <v>466</v>
      </c>
      <c r="H39" s="4" t="s">
        <v>78</v>
      </c>
      <c r="I39" s="4" t="s">
        <v>321</v>
      </c>
      <c r="J39" s="4" t="s">
        <v>507</v>
      </c>
      <c r="K39" s="4">
        <v>14</v>
      </c>
      <c r="L39" s="4" t="s">
        <v>1406</v>
      </c>
      <c r="M39" s="4" t="s">
        <v>1076</v>
      </c>
    </row>
    <row r="40" spans="1:13" ht="27.6" customHeight="1" x14ac:dyDescent="0.25">
      <c r="A40" s="3" t="s">
        <v>23</v>
      </c>
      <c r="B40" s="3" t="s">
        <v>1462</v>
      </c>
      <c r="C40" s="3" t="s">
        <v>322</v>
      </c>
      <c r="D40" s="4" t="s">
        <v>323</v>
      </c>
      <c r="E40" s="3" t="s">
        <v>324</v>
      </c>
      <c r="F40" s="3" t="s">
        <v>325</v>
      </c>
      <c r="G40" s="4" t="s">
        <v>466</v>
      </c>
      <c r="H40" s="4" t="s">
        <v>78</v>
      </c>
      <c r="I40" s="4" t="s">
        <v>326</v>
      </c>
      <c r="J40" s="4" t="s">
        <v>507</v>
      </c>
      <c r="K40" s="4">
        <v>15</v>
      </c>
      <c r="L40" s="4" t="s">
        <v>1407</v>
      </c>
      <c r="M40" s="4" t="s">
        <v>1077</v>
      </c>
    </row>
    <row r="41" spans="1:13" ht="41.45" customHeight="1" x14ac:dyDescent="0.25">
      <c r="A41" s="3" t="s">
        <v>23</v>
      </c>
      <c r="B41" s="3" t="s">
        <v>1462</v>
      </c>
      <c r="C41" s="3" t="s">
        <v>327</v>
      </c>
      <c r="D41" s="4" t="s">
        <v>328</v>
      </c>
      <c r="E41" s="3" t="s">
        <v>324</v>
      </c>
      <c r="F41" s="3" t="s">
        <v>329</v>
      </c>
      <c r="G41" s="4" t="s">
        <v>330</v>
      </c>
      <c r="H41" s="4" t="s">
        <v>172</v>
      </c>
      <c r="I41" s="4" t="s">
        <v>331</v>
      </c>
      <c r="J41" s="4" t="s">
        <v>507</v>
      </c>
      <c r="K41" s="4">
        <v>16</v>
      </c>
      <c r="L41" s="4" t="s">
        <v>1408</v>
      </c>
      <c r="M41" s="4" t="s">
        <v>148</v>
      </c>
    </row>
    <row r="42" spans="1:13" ht="41.45" customHeight="1" x14ac:dyDescent="0.25">
      <c r="A42" s="3" t="s">
        <v>23</v>
      </c>
      <c r="B42" s="3" t="s">
        <v>1462</v>
      </c>
      <c r="C42" s="3" t="s">
        <v>332</v>
      </c>
      <c r="D42" s="4" t="s">
        <v>333</v>
      </c>
      <c r="E42" s="3" t="s">
        <v>324</v>
      </c>
      <c r="F42" s="3" t="s">
        <v>334</v>
      </c>
      <c r="G42" s="4" t="s">
        <v>330</v>
      </c>
      <c r="H42" s="4" t="s">
        <v>172</v>
      </c>
      <c r="I42" s="4" t="s">
        <v>335</v>
      </c>
      <c r="J42" s="4" t="s">
        <v>507</v>
      </c>
      <c r="K42" s="4">
        <v>17</v>
      </c>
      <c r="L42" s="4" t="s">
        <v>1409</v>
      </c>
      <c r="M42" s="4" t="s">
        <v>148</v>
      </c>
    </row>
    <row r="43" spans="1:13" ht="82.9" customHeight="1" x14ac:dyDescent="0.25">
      <c r="A43" s="3" t="s">
        <v>23</v>
      </c>
      <c r="B43" s="3" t="s">
        <v>1462</v>
      </c>
      <c r="C43" s="3" t="s">
        <v>336</v>
      </c>
      <c r="D43" s="4" t="s">
        <v>337</v>
      </c>
      <c r="E43" s="3" t="s">
        <v>324</v>
      </c>
      <c r="F43" s="3" t="s">
        <v>338</v>
      </c>
      <c r="G43" s="4" t="s">
        <v>339</v>
      </c>
      <c r="H43" s="4" t="s">
        <v>172</v>
      </c>
      <c r="I43" s="4" t="s">
        <v>340</v>
      </c>
      <c r="J43" s="4" t="s">
        <v>507</v>
      </c>
      <c r="K43" s="4">
        <v>18</v>
      </c>
      <c r="L43" s="4" t="s">
        <v>1410</v>
      </c>
      <c r="M43" s="4" t="s">
        <v>1078</v>
      </c>
    </row>
    <row r="44" spans="1:13" ht="41.45" customHeight="1" x14ac:dyDescent="0.25">
      <c r="A44" s="3" t="s">
        <v>23</v>
      </c>
      <c r="B44" s="3" t="s">
        <v>1462</v>
      </c>
      <c r="C44" s="3" t="s">
        <v>341</v>
      </c>
      <c r="D44" s="4" t="s">
        <v>342</v>
      </c>
      <c r="E44" s="3" t="s">
        <v>324</v>
      </c>
      <c r="F44" s="3" t="s">
        <v>343</v>
      </c>
      <c r="G44" s="4" t="s">
        <v>344</v>
      </c>
      <c r="H44" s="4" t="s">
        <v>172</v>
      </c>
      <c r="I44" s="4" t="s">
        <v>345</v>
      </c>
      <c r="J44" s="4" t="s">
        <v>507</v>
      </c>
      <c r="K44" s="4">
        <v>19</v>
      </c>
      <c r="L44" s="4" t="s">
        <v>1411</v>
      </c>
      <c r="M44" s="4" t="s">
        <v>148</v>
      </c>
    </row>
    <row r="45" spans="1:13" ht="55.15" customHeight="1" x14ac:dyDescent="0.25">
      <c r="A45" s="3" t="s">
        <v>23</v>
      </c>
      <c r="B45" s="3" t="s">
        <v>1462</v>
      </c>
      <c r="C45" s="3" t="s">
        <v>346</v>
      </c>
      <c r="D45" s="4" t="s">
        <v>347</v>
      </c>
      <c r="E45" s="3" t="s">
        <v>324</v>
      </c>
      <c r="F45" s="3" t="s">
        <v>348</v>
      </c>
      <c r="G45" s="4" t="s">
        <v>349</v>
      </c>
      <c r="H45" s="4" t="s">
        <v>78</v>
      </c>
      <c r="I45" s="4" t="s">
        <v>350</v>
      </c>
      <c r="J45" s="4" t="s">
        <v>507</v>
      </c>
      <c r="K45" s="4">
        <v>20</v>
      </c>
      <c r="L45" s="4" t="s">
        <v>1412</v>
      </c>
      <c r="M45" s="4" t="s">
        <v>1079</v>
      </c>
    </row>
    <row r="46" spans="1:13" ht="27.6" customHeight="1" x14ac:dyDescent="0.25">
      <c r="A46" s="3" t="s">
        <v>23</v>
      </c>
      <c r="B46" s="3" t="s">
        <v>1462</v>
      </c>
      <c r="C46" s="3" t="s">
        <v>351</v>
      </c>
      <c r="D46" s="4" t="s">
        <v>352</v>
      </c>
      <c r="E46" s="3" t="s">
        <v>305</v>
      </c>
      <c r="F46" s="3" t="s">
        <v>353</v>
      </c>
      <c r="G46" s="4" t="s">
        <v>466</v>
      </c>
      <c r="H46" s="4" t="s">
        <v>78</v>
      </c>
      <c r="I46" s="4" t="s">
        <v>354</v>
      </c>
      <c r="J46" s="4" t="s">
        <v>507</v>
      </c>
      <c r="K46" s="4">
        <v>21</v>
      </c>
      <c r="L46" s="4" t="s">
        <v>48</v>
      </c>
      <c r="M46" s="4" t="s">
        <v>1080</v>
      </c>
    </row>
    <row r="47" spans="1:13" ht="41.45" customHeight="1" x14ac:dyDescent="0.25">
      <c r="A47" s="3" t="s">
        <v>23</v>
      </c>
      <c r="B47" s="3" t="s">
        <v>1462</v>
      </c>
      <c r="C47" s="3" t="s">
        <v>355</v>
      </c>
      <c r="D47" s="4" t="s">
        <v>356</v>
      </c>
      <c r="E47" s="3" t="s">
        <v>305</v>
      </c>
      <c r="F47" s="3" t="s">
        <v>357</v>
      </c>
      <c r="G47" s="4" t="s">
        <v>171</v>
      </c>
      <c r="H47" s="4" t="s">
        <v>172</v>
      </c>
      <c r="I47" s="4" t="s">
        <v>358</v>
      </c>
      <c r="J47" s="4" t="s">
        <v>507</v>
      </c>
      <c r="K47" s="4">
        <v>22</v>
      </c>
      <c r="L47" s="4" t="s">
        <v>1528</v>
      </c>
      <c r="M47" s="4" t="s">
        <v>1081</v>
      </c>
    </row>
    <row r="48" spans="1:13" ht="69" customHeight="1" x14ac:dyDescent="0.25">
      <c r="A48" s="3" t="s">
        <v>23</v>
      </c>
      <c r="B48" s="3" t="s">
        <v>1462</v>
      </c>
      <c r="C48" s="3" t="s">
        <v>359</v>
      </c>
      <c r="D48" s="4" t="s">
        <v>360</v>
      </c>
      <c r="E48" s="3" t="s">
        <v>305</v>
      </c>
      <c r="F48" s="3" t="s">
        <v>361</v>
      </c>
      <c r="G48" s="4" t="s">
        <v>362</v>
      </c>
      <c r="H48" s="4" t="s">
        <v>172</v>
      </c>
      <c r="I48" s="4" t="s">
        <v>363</v>
      </c>
      <c r="J48" s="4" t="s">
        <v>507</v>
      </c>
      <c r="K48" s="4">
        <v>23</v>
      </c>
      <c r="L48" s="4" t="s">
        <v>1413</v>
      </c>
      <c r="M48" s="4" t="s">
        <v>1082</v>
      </c>
    </row>
    <row r="49" spans="1:13" ht="55.15" customHeight="1" x14ac:dyDescent="0.25">
      <c r="A49" s="3" t="s">
        <v>23</v>
      </c>
      <c r="B49" s="3" t="s">
        <v>1462</v>
      </c>
      <c r="C49" s="3" t="s">
        <v>364</v>
      </c>
      <c r="D49" s="4" t="s">
        <v>365</v>
      </c>
      <c r="E49" s="3" t="s">
        <v>305</v>
      </c>
      <c r="F49" s="3" t="s">
        <v>366</v>
      </c>
      <c r="G49" s="4" t="s">
        <v>367</v>
      </c>
      <c r="H49" s="4" t="s">
        <v>78</v>
      </c>
      <c r="I49" s="4" t="s">
        <v>368</v>
      </c>
      <c r="J49" s="4" t="s">
        <v>507</v>
      </c>
      <c r="K49" s="4">
        <v>24</v>
      </c>
      <c r="L49" s="4" t="s">
        <v>56</v>
      </c>
      <c r="M49" s="4" t="s">
        <v>148</v>
      </c>
    </row>
    <row r="50" spans="1:13" ht="41.45" customHeight="1" x14ac:dyDescent="0.25">
      <c r="A50" s="3" t="s">
        <v>23</v>
      </c>
      <c r="B50" s="3" t="s">
        <v>1462</v>
      </c>
      <c r="C50" s="3" t="s">
        <v>369</v>
      </c>
      <c r="D50" s="4" t="s">
        <v>370</v>
      </c>
      <c r="E50" s="3" t="s">
        <v>305</v>
      </c>
      <c r="F50" s="3" t="s">
        <v>371</v>
      </c>
      <c r="G50" s="4" t="s">
        <v>466</v>
      </c>
      <c r="H50" s="4" t="s">
        <v>78</v>
      </c>
      <c r="I50" s="4" t="s">
        <v>372</v>
      </c>
      <c r="J50" s="4" t="s">
        <v>507</v>
      </c>
      <c r="K50" s="4">
        <v>25</v>
      </c>
      <c r="L50" s="4" t="s">
        <v>1414</v>
      </c>
      <c r="M50" s="4" t="s">
        <v>148</v>
      </c>
    </row>
    <row r="51" spans="1:13" ht="41.45" customHeight="1" x14ac:dyDescent="0.25">
      <c r="A51" s="3" t="s">
        <v>23</v>
      </c>
      <c r="B51" s="3" t="s">
        <v>1462</v>
      </c>
      <c r="C51" s="3" t="s">
        <v>373</v>
      </c>
      <c r="D51" s="4" t="s">
        <v>374</v>
      </c>
      <c r="E51" s="3" t="s">
        <v>324</v>
      </c>
      <c r="F51" s="3" t="s">
        <v>375</v>
      </c>
      <c r="G51" s="4" t="s">
        <v>376</v>
      </c>
      <c r="H51" s="4" t="s">
        <v>172</v>
      </c>
      <c r="I51" s="4" t="s">
        <v>377</v>
      </c>
      <c r="J51" s="4" t="s">
        <v>507</v>
      </c>
      <c r="K51" s="4">
        <v>26</v>
      </c>
      <c r="L51" s="4" t="s">
        <v>1415</v>
      </c>
      <c r="M51" s="4" t="s">
        <v>1083</v>
      </c>
    </row>
    <row r="52" spans="1:13" ht="27.6" customHeight="1" x14ac:dyDescent="0.25">
      <c r="A52" s="3" t="s">
        <v>23</v>
      </c>
      <c r="B52" s="3" t="s">
        <v>1462</v>
      </c>
      <c r="C52" s="3" t="s">
        <v>378</v>
      </c>
      <c r="D52" s="4" t="s">
        <v>379</v>
      </c>
      <c r="E52" s="3" t="s">
        <v>324</v>
      </c>
      <c r="F52" s="3" t="s">
        <v>380</v>
      </c>
      <c r="G52" s="4" t="s">
        <v>466</v>
      </c>
      <c r="H52" s="4" t="s">
        <v>172</v>
      </c>
      <c r="I52" s="4" t="s">
        <v>381</v>
      </c>
      <c r="J52" s="4" t="s">
        <v>507</v>
      </c>
      <c r="K52" s="4">
        <v>27</v>
      </c>
      <c r="L52" s="4" t="s">
        <v>1416</v>
      </c>
      <c r="M52" s="4" t="s">
        <v>1084</v>
      </c>
    </row>
    <row r="53" spans="1:13" ht="96.6" customHeight="1" x14ac:dyDescent="0.25">
      <c r="A53" s="3" t="s">
        <v>23</v>
      </c>
      <c r="B53" s="3" t="s">
        <v>1462</v>
      </c>
      <c r="C53" s="3" t="s">
        <v>382</v>
      </c>
      <c r="D53" s="4" t="s">
        <v>383</v>
      </c>
      <c r="E53" s="3" t="s">
        <v>384</v>
      </c>
      <c r="F53" s="3" t="s">
        <v>385</v>
      </c>
      <c r="G53" s="4" t="s">
        <v>386</v>
      </c>
      <c r="H53" s="4" t="s">
        <v>172</v>
      </c>
      <c r="I53" s="4" t="s">
        <v>387</v>
      </c>
      <c r="J53" s="4" t="s">
        <v>507</v>
      </c>
      <c r="K53" s="4">
        <v>28</v>
      </c>
      <c r="L53" s="4" t="s">
        <v>1511</v>
      </c>
      <c r="M53" s="4" t="s">
        <v>1085</v>
      </c>
    </row>
    <row r="54" spans="1:13" ht="27.6" customHeight="1" x14ac:dyDescent="0.25">
      <c r="A54" s="3" t="s">
        <v>23</v>
      </c>
      <c r="B54" s="3" t="s">
        <v>1462</v>
      </c>
      <c r="C54" s="3" t="s">
        <v>388</v>
      </c>
      <c r="D54" s="4" t="s">
        <v>389</v>
      </c>
      <c r="E54" s="3" t="s">
        <v>384</v>
      </c>
      <c r="F54" s="3" t="s">
        <v>390</v>
      </c>
      <c r="G54" s="4" t="s">
        <v>466</v>
      </c>
      <c r="H54" s="4" t="s">
        <v>172</v>
      </c>
      <c r="I54" s="4" t="s">
        <v>391</v>
      </c>
      <c r="J54" s="4" t="s">
        <v>507</v>
      </c>
      <c r="K54" s="4">
        <v>29</v>
      </c>
      <c r="L54" s="4" t="s">
        <v>1512</v>
      </c>
      <c r="M54" s="4" t="s">
        <v>1086</v>
      </c>
    </row>
    <row r="55" spans="1:13" ht="41.45" customHeight="1" x14ac:dyDescent="0.25">
      <c r="A55" s="3" t="s">
        <v>23</v>
      </c>
      <c r="B55" s="3" t="s">
        <v>1462</v>
      </c>
      <c r="C55" s="3" t="s">
        <v>392</v>
      </c>
      <c r="D55" s="4" t="s">
        <v>393</v>
      </c>
      <c r="E55" s="3" t="s">
        <v>384</v>
      </c>
      <c r="F55" s="3" t="s">
        <v>394</v>
      </c>
      <c r="G55" s="4" t="s">
        <v>171</v>
      </c>
      <c r="H55" s="4" t="s">
        <v>78</v>
      </c>
      <c r="I55" s="4" t="s">
        <v>395</v>
      </c>
      <c r="J55" s="4" t="s">
        <v>507</v>
      </c>
      <c r="K55" s="4">
        <v>30</v>
      </c>
      <c r="L55" s="4" t="s">
        <v>1417</v>
      </c>
      <c r="M55" s="4" t="s">
        <v>148</v>
      </c>
    </row>
    <row r="56" spans="1:13" ht="82.9" customHeight="1" x14ac:dyDescent="0.25">
      <c r="A56" s="3" t="s">
        <v>23</v>
      </c>
      <c r="B56" s="3" t="s">
        <v>1462</v>
      </c>
      <c r="C56" s="3" t="s">
        <v>396</v>
      </c>
      <c r="D56" s="4" t="s">
        <v>397</v>
      </c>
      <c r="E56" s="3" t="s">
        <v>384</v>
      </c>
      <c r="F56" s="3" t="s">
        <v>398</v>
      </c>
      <c r="G56" s="4" t="s">
        <v>171</v>
      </c>
      <c r="H56" s="4" t="s">
        <v>172</v>
      </c>
      <c r="I56" s="4" t="s">
        <v>399</v>
      </c>
      <c r="J56" s="4" t="s">
        <v>507</v>
      </c>
      <c r="K56" s="4">
        <v>31</v>
      </c>
      <c r="L56" s="4" t="s">
        <v>1529</v>
      </c>
      <c r="M56" s="4" t="s">
        <v>1087</v>
      </c>
    </row>
    <row r="57" spans="1:13" ht="27.6" customHeight="1" x14ac:dyDescent="0.25">
      <c r="A57" s="3" t="s">
        <v>23</v>
      </c>
      <c r="B57" s="3" t="s">
        <v>1462</v>
      </c>
      <c r="C57" s="3" t="s">
        <v>400</v>
      </c>
      <c r="D57" s="4" t="s">
        <v>401</v>
      </c>
      <c r="E57" s="3" t="s">
        <v>384</v>
      </c>
      <c r="F57" s="3" t="s">
        <v>402</v>
      </c>
      <c r="G57" s="4" t="s">
        <v>466</v>
      </c>
      <c r="H57" s="4" t="s">
        <v>172</v>
      </c>
      <c r="I57" s="4" t="s">
        <v>403</v>
      </c>
      <c r="J57" s="4" t="s">
        <v>507</v>
      </c>
      <c r="K57" s="4">
        <v>32</v>
      </c>
      <c r="L57" s="4" t="s">
        <v>1530</v>
      </c>
      <c r="M57" s="4" t="s">
        <v>1088</v>
      </c>
    </row>
    <row r="58" spans="1:13" ht="69" customHeight="1" x14ac:dyDescent="0.25">
      <c r="A58" s="3" t="s">
        <v>23</v>
      </c>
      <c r="B58" s="3" t="s">
        <v>1462</v>
      </c>
      <c r="C58" s="3" t="s">
        <v>404</v>
      </c>
      <c r="D58" s="4" t="s">
        <v>405</v>
      </c>
      <c r="E58" s="3" t="s">
        <v>406</v>
      </c>
      <c r="F58" s="3" t="s">
        <v>407</v>
      </c>
      <c r="G58" s="4" t="s">
        <v>408</v>
      </c>
      <c r="H58" s="4" t="s">
        <v>78</v>
      </c>
      <c r="I58" s="4" t="s">
        <v>409</v>
      </c>
      <c r="J58" s="4" t="s">
        <v>507</v>
      </c>
      <c r="K58" s="4">
        <v>33</v>
      </c>
      <c r="L58" s="4" t="s">
        <v>1513</v>
      </c>
      <c r="M58" s="4" t="s">
        <v>148</v>
      </c>
    </row>
    <row r="59" spans="1:13" ht="41.45" customHeight="1" x14ac:dyDescent="0.25">
      <c r="A59" s="3" t="s">
        <v>23</v>
      </c>
      <c r="B59" s="3" t="s">
        <v>1462</v>
      </c>
      <c r="C59" s="3" t="s">
        <v>410</v>
      </c>
      <c r="D59" s="4" t="s">
        <v>411</v>
      </c>
      <c r="E59" s="3" t="s">
        <v>305</v>
      </c>
      <c r="F59" s="3" t="s">
        <v>412</v>
      </c>
      <c r="G59" s="4" t="s">
        <v>171</v>
      </c>
      <c r="H59" s="4" t="s">
        <v>172</v>
      </c>
      <c r="I59" s="4" t="s">
        <v>413</v>
      </c>
      <c r="J59" s="4" t="s">
        <v>507</v>
      </c>
      <c r="K59" s="4">
        <v>34</v>
      </c>
      <c r="L59" s="4" t="s">
        <v>1418</v>
      </c>
      <c r="M59" s="4" t="s">
        <v>1089</v>
      </c>
    </row>
    <row r="60" spans="1:13" ht="27.6" customHeight="1" x14ac:dyDescent="0.25">
      <c r="A60" s="3" t="s">
        <v>23</v>
      </c>
      <c r="B60" s="3" t="s">
        <v>1462</v>
      </c>
      <c r="C60" s="3" t="s">
        <v>414</v>
      </c>
      <c r="D60" s="4" t="s">
        <v>415</v>
      </c>
      <c r="E60" s="3" t="s">
        <v>305</v>
      </c>
      <c r="F60" s="3" t="s">
        <v>416</v>
      </c>
      <c r="G60" s="4" t="s">
        <v>171</v>
      </c>
      <c r="H60" s="4" t="s">
        <v>172</v>
      </c>
      <c r="I60" s="4" t="s">
        <v>417</v>
      </c>
      <c r="J60" s="4" t="s">
        <v>507</v>
      </c>
      <c r="K60" s="4">
        <v>35</v>
      </c>
      <c r="L60" s="4" t="s">
        <v>1419</v>
      </c>
      <c r="M60" s="4" t="s">
        <v>1090</v>
      </c>
    </row>
    <row r="61" spans="1:13" ht="27.6" customHeight="1" x14ac:dyDescent="0.25">
      <c r="A61" s="3" t="s">
        <v>23</v>
      </c>
      <c r="B61" s="3" t="s">
        <v>1462</v>
      </c>
      <c r="C61" s="3" t="s">
        <v>418</v>
      </c>
      <c r="D61" s="4" t="s">
        <v>419</v>
      </c>
      <c r="E61" s="3" t="s">
        <v>384</v>
      </c>
      <c r="F61" s="3" t="s">
        <v>420</v>
      </c>
      <c r="G61" s="4" t="s">
        <v>171</v>
      </c>
      <c r="H61" s="4" t="s">
        <v>172</v>
      </c>
      <c r="I61" s="4" t="s">
        <v>421</v>
      </c>
      <c r="J61" s="4" t="s">
        <v>507</v>
      </c>
      <c r="K61" s="4">
        <v>36</v>
      </c>
      <c r="L61" s="4" t="s">
        <v>1420</v>
      </c>
      <c r="M61" s="4" t="s">
        <v>1091</v>
      </c>
    </row>
    <row r="62" spans="1:13" ht="27.6" customHeight="1" x14ac:dyDescent="0.25">
      <c r="A62" s="3" t="s">
        <v>23</v>
      </c>
      <c r="B62" s="3" t="s">
        <v>1462</v>
      </c>
      <c r="C62" s="3" t="s">
        <v>422</v>
      </c>
      <c r="D62" s="4" t="s">
        <v>423</v>
      </c>
      <c r="E62" s="3" t="s">
        <v>384</v>
      </c>
      <c r="F62" s="3" t="s">
        <v>424</v>
      </c>
      <c r="G62" s="4" t="s">
        <v>171</v>
      </c>
      <c r="H62" s="4" t="s">
        <v>172</v>
      </c>
      <c r="I62" s="4" t="s">
        <v>425</v>
      </c>
      <c r="J62" s="4" t="s">
        <v>507</v>
      </c>
      <c r="K62" s="4">
        <v>37</v>
      </c>
      <c r="L62" s="4" t="s">
        <v>30</v>
      </c>
      <c r="M62" s="4" t="s">
        <v>1471</v>
      </c>
    </row>
    <row r="63" spans="1:13" ht="409.6" customHeight="1" x14ac:dyDescent="0.25">
      <c r="A63" s="3" t="s">
        <v>23</v>
      </c>
      <c r="B63" s="3" t="s">
        <v>1462</v>
      </c>
      <c r="C63" s="3" t="s">
        <v>426</v>
      </c>
      <c r="D63" s="4" t="s">
        <v>427</v>
      </c>
      <c r="E63" s="3" t="s">
        <v>384</v>
      </c>
      <c r="F63" s="3" t="s">
        <v>428</v>
      </c>
      <c r="G63" s="4" t="s">
        <v>429</v>
      </c>
      <c r="H63" s="4" t="s">
        <v>78</v>
      </c>
      <c r="I63" s="4" t="s">
        <v>430</v>
      </c>
      <c r="J63" s="4" t="s">
        <v>507</v>
      </c>
      <c r="K63" s="4">
        <v>38</v>
      </c>
      <c r="L63" s="4" t="s">
        <v>14</v>
      </c>
      <c r="M63" s="4" t="s">
        <v>1093</v>
      </c>
    </row>
    <row r="64" spans="1:13" ht="82.9" customHeight="1" x14ac:dyDescent="0.25">
      <c r="A64" s="3" t="s">
        <v>23</v>
      </c>
      <c r="B64" s="3" t="s">
        <v>1462</v>
      </c>
      <c r="C64" s="3" t="s">
        <v>431</v>
      </c>
      <c r="D64" s="4" t="s">
        <v>432</v>
      </c>
      <c r="E64" s="3" t="s">
        <v>384</v>
      </c>
      <c r="F64" s="3" t="s">
        <v>433</v>
      </c>
      <c r="G64" s="4" t="s">
        <v>434</v>
      </c>
      <c r="H64" s="4" t="s">
        <v>78</v>
      </c>
      <c r="I64" s="4" t="s">
        <v>435</v>
      </c>
      <c r="J64" s="4" t="s">
        <v>507</v>
      </c>
      <c r="K64" s="4">
        <v>39</v>
      </c>
      <c r="L64" s="4" t="s">
        <v>1506</v>
      </c>
      <c r="M64" s="4" t="s">
        <v>148</v>
      </c>
    </row>
    <row r="65" spans="1:13" ht="41.45" customHeight="1" x14ac:dyDescent="0.25">
      <c r="A65" s="3" t="s">
        <v>23</v>
      </c>
      <c r="B65" s="3" t="s">
        <v>1462</v>
      </c>
      <c r="C65" s="3" t="s">
        <v>436</v>
      </c>
      <c r="D65" s="4" t="s">
        <v>437</v>
      </c>
      <c r="E65" s="3" t="s">
        <v>384</v>
      </c>
      <c r="F65" s="3" t="s">
        <v>438</v>
      </c>
      <c r="G65" s="4" t="s">
        <v>171</v>
      </c>
      <c r="H65" s="4" t="s">
        <v>172</v>
      </c>
      <c r="I65" s="4" t="s">
        <v>439</v>
      </c>
      <c r="J65" s="4" t="s">
        <v>507</v>
      </c>
      <c r="K65" s="4">
        <v>40</v>
      </c>
      <c r="L65" s="4" t="s">
        <v>1500</v>
      </c>
      <c r="M65" s="4" t="s">
        <v>1094</v>
      </c>
    </row>
    <row r="66" spans="1:13" ht="138" customHeight="1" x14ac:dyDescent="0.25">
      <c r="A66" s="3" t="s">
        <v>23</v>
      </c>
      <c r="B66" s="3" t="s">
        <v>1462</v>
      </c>
      <c r="C66" s="3" t="s">
        <v>440</v>
      </c>
      <c r="D66" s="4" t="s">
        <v>441</v>
      </c>
      <c r="E66" s="3" t="s">
        <v>384</v>
      </c>
      <c r="F66" s="3" t="s">
        <v>442</v>
      </c>
      <c r="G66" s="4" t="s">
        <v>171</v>
      </c>
      <c r="H66" s="4" t="s">
        <v>172</v>
      </c>
      <c r="I66" s="4" t="s">
        <v>443</v>
      </c>
      <c r="J66" s="4" t="s">
        <v>507</v>
      </c>
      <c r="K66" s="4">
        <v>41</v>
      </c>
      <c r="L66" s="4" t="s">
        <v>1499</v>
      </c>
      <c r="M66" s="4" t="s">
        <v>1095</v>
      </c>
    </row>
    <row r="67" spans="1:13" ht="96.6" customHeight="1" x14ac:dyDescent="0.25">
      <c r="A67" s="3" t="s">
        <v>23</v>
      </c>
      <c r="B67" s="3" t="s">
        <v>1462</v>
      </c>
      <c r="C67" s="3" t="s">
        <v>444</v>
      </c>
      <c r="D67" s="4" t="s">
        <v>445</v>
      </c>
      <c r="E67" s="3" t="s">
        <v>384</v>
      </c>
      <c r="F67" s="3" t="s">
        <v>446</v>
      </c>
      <c r="G67" s="4" t="s">
        <v>447</v>
      </c>
      <c r="H67" s="4" t="s">
        <v>172</v>
      </c>
      <c r="I67" s="4" t="s">
        <v>525</v>
      </c>
      <c r="J67" s="4" t="s">
        <v>507</v>
      </c>
      <c r="K67" s="4">
        <v>42</v>
      </c>
      <c r="L67" s="4" t="s">
        <v>1514</v>
      </c>
      <c r="M67" s="4" t="s">
        <v>1096</v>
      </c>
    </row>
    <row r="68" spans="1:13" ht="41.45" customHeight="1" x14ac:dyDescent="0.25">
      <c r="A68" s="3" t="s">
        <v>23</v>
      </c>
      <c r="B68" s="3" t="s">
        <v>1462</v>
      </c>
      <c r="C68" s="3" t="s">
        <v>448</v>
      </c>
      <c r="D68" s="4" t="s">
        <v>449</v>
      </c>
      <c r="E68" s="3" t="s">
        <v>384</v>
      </c>
      <c r="F68" s="3" t="s">
        <v>450</v>
      </c>
      <c r="G68" s="4" t="s">
        <v>451</v>
      </c>
      <c r="H68" s="4" t="s">
        <v>172</v>
      </c>
      <c r="I68" s="4" t="s">
        <v>452</v>
      </c>
      <c r="J68" s="4" t="s">
        <v>507</v>
      </c>
      <c r="K68" s="4">
        <v>43</v>
      </c>
      <c r="L68" s="4" t="s">
        <v>1421</v>
      </c>
      <c r="M68" s="4" t="s">
        <v>1097</v>
      </c>
    </row>
    <row r="69" spans="1:13" ht="193.15" customHeight="1" x14ac:dyDescent="0.25">
      <c r="A69" s="3" t="s">
        <v>23</v>
      </c>
      <c r="B69" s="3" t="s">
        <v>1462</v>
      </c>
      <c r="C69" s="3" t="s">
        <v>453</v>
      </c>
      <c r="D69" s="4" t="s">
        <v>454</v>
      </c>
      <c r="E69" s="3" t="s">
        <v>305</v>
      </c>
      <c r="F69" s="3" t="s">
        <v>455</v>
      </c>
      <c r="G69" s="4" t="s">
        <v>456</v>
      </c>
      <c r="H69" s="4" t="s">
        <v>78</v>
      </c>
      <c r="I69" s="4" t="s">
        <v>457</v>
      </c>
      <c r="J69" s="4" t="s">
        <v>507</v>
      </c>
      <c r="K69" s="4">
        <v>44</v>
      </c>
      <c r="L69" s="4" t="s">
        <v>1515</v>
      </c>
      <c r="M69" s="4" t="s">
        <v>148</v>
      </c>
    </row>
    <row r="70" spans="1:13" ht="55.15" customHeight="1" x14ac:dyDescent="0.25">
      <c r="A70" s="3" t="s">
        <v>23</v>
      </c>
      <c r="B70" s="3" t="s">
        <v>1462</v>
      </c>
      <c r="C70" s="3" t="s">
        <v>458</v>
      </c>
      <c r="D70" s="4" t="s">
        <v>459</v>
      </c>
      <c r="E70" s="3" t="s">
        <v>384</v>
      </c>
      <c r="F70" s="3" t="s">
        <v>460</v>
      </c>
      <c r="G70" s="4" t="s">
        <v>461</v>
      </c>
      <c r="H70" s="4" t="s">
        <v>172</v>
      </c>
      <c r="I70" s="4" t="s">
        <v>462</v>
      </c>
      <c r="J70" s="4" t="s">
        <v>507</v>
      </c>
      <c r="K70" s="4">
        <v>45</v>
      </c>
      <c r="L70" s="4" t="s">
        <v>1556</v>
      </c>
      <c r="M70" s="4" t="s">
        <v>1098</v>
      </c>
    </row>
    <row r="71" spans="1:13" ht="27.6" customHeight="1" x14ac:dyDescent="0.25">
      <c r="A71" s="3" t="s">
        <v>23</v>
      </c>
      <c r="B71" s="3" t="s">
        <v>1462</v>
      </c>
      <c r="C71" s="3" t="s">
        <v>463</v>
      </c>
      <c r="D71" s="4" t="s">
        <v>464</v>
      </c>
      <c r="E71" s="3" t="s">
        <v>384</v>
      </c>
      <c r="F71" s="3" t="s">
        <v>465</v>
      </c>
      <c r="G71" s="4" t="s">
        <v>466</v>
      </c>
      <c r="H71" s="4" t="s">
        <v>172</v>
      </c>
      <c r="I71" s="4" t="s">
        <v>467</v>
      </c>
      <c r="J71" s="4" t="s">
        <v>507</v>
      </c>
      <c r="K71" s="4">
        <v>46</v>
      </c>
      <c r="L71" s="4" t="s">
        <v>1557</v>
      </c>
      <c r="M71" s="4" t="s">
        <v>1099</v>
      </c>
    </row>
    <row r="72" spans="1:13" ht="41.45" customHeight="1" x14ac:dyDescent="0.25">
      <c r="A72" s="3" t="s">
        <v>23</v>
      </c>
      <c r="B72" s="3" t="s">
        <v>1462</v>
      </c>
      <c r="C72" s="3" t="s">
        <v>468</v>
      </c>
      <c r="D72" s="4" t="s">
        <v>469</v>
      </c>
      <c r="E72" s="3" t="s">
        <v>384</v>
      </c>
      <c r="F72" s="3" t="s">
        <v>470</v>
      </c>
      <c r="G72" s="4" t="s">
        <v>171</v>
      </c>
      <c r="H72" s="4" t="s">
        <v>172</v>
      </c>
      <c r="I72" s="4" t="s">
        <v>471</v>
      </c>
      <c r="J72" s="4" t="s">
        <v>507</v>
      </c>
      <c r="K72" s="4">
        <v>47</v>
      </c>
      <c r="L72" s="4" t="s">
        <v>1537</v>
      </c>
      <c r="M72" s="4" t="s">
        <v>1100</v>
      </c>
    </row>
    <row r="73" spans="1:13" ht="138" customHeight="1" x14ac:dyDescent="0.25">
      <c r="A73" s="3" t="s">
        <v>23</v>
      </c>
      <c r="B73" s="3" t="s">
        <v>1462</v>
      </c>
      <c r="C73" s="3" t="s">
        <v>472</v>
      </c>
      <c r="D73" s="4" t="s">
        <v>473</v>
      </c>
      <c r="E73" s="3" t="s">
        <v>474</v>
      </c>
      <c r="F73" s="3" t="s">
        <v>475</v>
      </c>
      <c r="G73" s="4" t="s">
        <v>476</v>
      </c>
      <c r="H73" s="4" t="s">
        <v>172</v>
      </c>
      <c r="I73" s="4" t="s">
        <v>477</v>
      </c>
      <c r="J73" s="4" t="s">
        <v>507</v>
      </c>
      <c r="K73" s="4">
        <v>48</v>
      </c>
      <c r="L73" s="4" t="s">
        <v>1539</v>
      </c>
      <c r="M73" s="4" t="s">
        <v>1101</v>
      </c>
    </row>
    <row r="74" spans="1:13" ht="27.6" customHeight="1" x14ac:dyDescent="0.25">
      <c r="A74" s="3" t="s">
        <v>23</v>
      </c>
      <c r="B74" s="3" t="s">
        <v>1462</v>
      </c>
      <c r="C74" s="3" t="s">
        <v>478</v>
      </c>
      <c r="D74" s="4" t="s">
        <v>479</v>
      </c>
      <c r="E74" s="3" t="s">
        <v>474</v>
      </c>
      <c r="F74" s="3" t="s">
        <v>480</v>
      </c>
      <c r="G74" s="4" t="s">
        <v>466</v>
      </c>
      <c r="H74" s="4" t="s">
        <v>78</v>
      </c>
      <c r="I74" s="4" t="s">
        <v>481</v>
      </c>
      <c r="J74" s="4" t="s">
        <v>507</v>
      </c>
      <c r="K74" s="4">
        <v>49</v>
      </c>
      <c r="L74" s="4" t="s">
        <v>1540</v>
      </c>
      <c r="M74" s="4" t="s">
        <v>1102</v>
      </c>
    </row>
    <row r="75" spans="1:13" ht="41.45" customHeight="1" x14ac:dyDescent="0.25">
      <c r="A75" s="3" t="s">
        <v>23</v>
      </c>
      <c r="B75" s="3" t="s">
        <v>1462</v>
      </c>
      <c r="C75" s="3" t="s">
        <v>482</v>
      </c>
      <c r="D75" s="4" t="s">
        <v>483</v>
      </c>
      <c r="E75" s="3" t="s">
        <v>484</v>
      </c>
      <c r="F75" s="3" t="s">
        <v>485</v>
      </c>
      <c r="G75" s="4" t="s">
        <v>171</v>
      </c>
      <c r="H75" s="4" t="s">
        <v>172</v>
      </c>
      <c r="I75" s="4" t="s">
        <v>486</v>
      </c>
      <c r="J75" s="4" t="s">
        <v>507</v>
      </c>
      <c r="K75" s="4">
        <v>50</v>
      </c>
      <c r="L75" s="4" t="s">
        <v>1507</v>
      </c>
      <c r="M75" s="4" t="s">
        <v>1103</v>
      </c>
    </row>
    <row r="76" spans="1:13" ht="27.6" customHeight="1" x14ac:dyDescent="0.25">
      <c r="A76" s="3" t="s">
        <v>23</v>
      </c>
      <c r="B76" s="3" t="s">
        <v>1462</v>
      </c>
      <c r="C76" s="3" t="s">
        <v>487</v>
      </c>
      <c r="D76" s="4" t="s">
        <v>488</v>
      </c>
      <c r="E76" s="3" t="s">
        <v>384</v>
      </c>
      <c r="F76" s="3" t="s">
        <v>489</v>
      </c>
      <c r="G76" s="4" t="s">
        <v>171</v>
      </c>
      <c r="H76" s="4" t="s">
        <v>172</v>
      </c>
      <c r="I76" s="4" t="s">
        <v>490</v>
      </c>
      <c r="J76" s="4" t="s">
        <v>507</v>
      </c>
      <c r="K76" s="4">
        <v>51</v>
      </c>
      <c r="L76" s="4" t="s">
        <v>13</v>
      </c>
      <c r="M76" s="4" t="s">
        <v>1104</v>
      </c>
    </row>
    <row r="77" spans="1:13" ht="55.15" customHeight="1" x14ac:dyDescent="0.25">
      <c r="A77" s="3" t="s">
        <v>23</v>
      </c>
      <c r="B77" s="3" t="s">
        <v>1462</v>
      </c>
      <c r="C77" s="3" t="s">
        <v>491</v>
      </c>
      <c r="D77" s="4" t="s">
        <v>492</v>
      </c>
      <c r="E77" s="3" t="s">
        <v>384</v>
      </c>
      <c r="F77" s="3" t="s">
        <v>493</v>
      </c>
      <c r="G77" s="4" t="s">
        <v>494</v>
      </c>
      <c r="H77" s="4" t="s">
        <v>78</v>
      </c>
      <c r="I77" s="4" t="s">
        <v>495</v>
      </c>
      <c r="J77" s="4" t="s">
        <v>507</v>
      </c>
      <c r="K77" s="4">
        <v>52</v>
      </c>
      <c r="L77" s="4" t="s">
        <v>63</v>
      </c>
      <c r="M77" s="4" t="s">
        <v>148</v>
      </c>
    </row>
    <row r="78" spans="1:13" ht="27.6" customHeight="1" x14ac:dyDescent="0.25">
      <c r="A78" s="3" t="s">
        <v>23</v>
      </c>
      <c r="B78" s="3" t="s">
        <v>1462</v>
      </c>
      <c r="C78" s="3" t="s">
        <v>496</v>
      </c>
      <c r="D78" s="4" t="s">
        <v>497</v>
      </c>
      <c r="E78" s="3" t="s">
        <v>498</v>
      </c>
      <c r="F78" s="3" t="s">
        <v>499</v>
      </c>
      <c r="G78" s="4" t="s">
        <v>171</v>
      </c>
      <c r="H78" s="4" t="s">
        <v>172</v>
      </c>
      <c r="I78" s="4" t="s">
        <v>500</v>
      </c>
      <c r="J78" s="4" t="s">
        <v>507</v>
      </c>
      <c r="K78" s="4">
        <v>53</v>
      </c>
      <c r="L78" s="4" t="s">
        <v>1501</v>
      </c>
      <c r="M78" s="4" t="s">
        <v>1105</v>
      </c>
    </row>
    <row r="79" spans="1:13" ht="27.6" customHeight="1" x14ac:dyDescent="0.25">
      <c r="A79" s="3" t="s">
        <v>23</v>
      </c>
      <c r="B79" s="3" t="s">
        <v>1451</v>
      </c>
      <c r="C79" s="3" t="s">
        <v>197</v>
      </c>
      <c r="D79" s="4" t="s">
        <v>1164</v>
      </c>
      <c r="E79" s="3" t="s">
        <v>80</v>
      </c>
      <c r="F79" s="3" t="s">
        <v>81</v>
      </c>
      <c r="G79" s="4" t="s">
        <v>77</v>
      </c>
      <c r="H79" s="4" t="s">
        <v>78</v>
      </c>
      <c r="I79" s="4" t="s">
        <v>82</v>
      </c>
      <c r="J79" s="4" t="s">
        <v>508</v>
      </c>
      <c r="K79" s="4">
        <v>1</v>
      </c>
      <c r="L79" s="4" t="s">
        <v>0</v>
      </c>
      <c r="M79" s="4" t="s">
        <v>211</v>
      </c>
    </row>
    <row r="80" spans="1:13" ht="110.45" customHeight="1" x14ac:dyDescent="0.25">
      <c r="A80" s="3" t="s">
        <v>23</v>
      </c>
      <c r="B80" s="3" t="s">
        <v>1451</v>
      </c>
      <c r="C80" s="3" t="s">
        <v>1446</v>
      </c>
      <c r="D80" s="4" t="s">
        <v>1165</v>
      </c>
      <c r="E80" s="3" t="s">
        <v>169</v>
      </c>
      <c r="F80" s="3" t="s">
        <v>526</v>
      </c>
      <c r="G80" s="4" t="s">
        <v>527</v>
      </c>
      <c r="H80" s="4" t="s">
        <v>172</v>
      </c>
      <c r="I80" s="4" t="s">
        <v>528</v>
      </c>
      <c r="J80" s="4" t="s">
        <v>508</v>
      </c>
      <c r="K80" s="4">
        <v>2</v>
      </c>
      <c r="L80" s="4" t="s">
        <v>1516</v>
      </c>
      <c r="M80" s="4" t="s">
        <v>1106</v>
      </c>
    </row>
    <row r="81" spans="1:13" ht="27.6" customHeight="1" x14ac:dyDescent="0.25">
      <c r="A81" s="3" t="s">
        <v>23</v>
      </c>
      <c r="B81" s="3" t="s">
        <v>1451</v>
      </c>
      <c r="C81" s="3" t="s">
        <v>181</v>
      </c>
      <c r="D81" s="4" t="s">
        <v>1166</v>
      </c>
      <c r="E81" s="3" t="s">
        <v>169</v>
      </c>
      <c r="F81" s="3" t="s">
        <v>182</v>
      </c>
      <c r="G81" s="4" t="s">
        <v>529</v>
      </c>
      <c r="H81" s="4" t="s">
        <v>172</v>
      </c>
      <c r="I81" s="4" t="s">
        <v>530</v>
      </c>
      <c r="J81" s="4" t="s">
        <v>508</v>
      </c>
      <c r="K81" s="4">
        <v>3</v>
      </c>
      <c r="L81" s="4" t="s">
        <v>185</v>
      </c>
      <c r="M81" s="4" t="s">
        <v>212</v>
      </c>
    </row>
    <row r="82" spans="1:13" ht="96.6" customHeight="1" x14ac:dyDescent="0.25">
      <c r="A82" s="3" t="s">
        <v>23</v>
      </c>
      <c r="B82" s="3" t="s">
        <v>1451</v>
      </c>
      <c r="C82" s="3" t="s">
        <v>190</v>
      </c>
      <c r="D82" s="4" t="s">
        <v>1167</v>
      </c>
      <c r="E82" s="3" t="s">
        <v>169</v>
      </c>
      <c r="F82" s="3" t="s">
        <v>191</v>
      </c>
      <c r="G82" s="4" t="s">
        <v>176</v>
      </c>
      <c r="H82" s="4" t="s">
        <v>172</v>
      </c>
      <c r="I82" s="4" t="s">
        <v>192</v>
      </c>
      <c r="J82" s="4" t="s">
        <v>508</v>
      </c>
      <c r="K82" s="4">
        <v>4</v>
      </c>
      <c r="L82" s="4" t="s">
        <v>193</v>
      </c>
      <c r="M82" s="4" t="s">
        <v>214</v>
      </c>
    </row>
    <row r="83" spans="1:13" ht="110.45" customHeight="1" x14ac:dyDescent="0.25">
      <c r="A83" s="3" t="s">
        <v>23</v>
      </c>
      <c r="B83" s="3" t="s">
        <v>1451</v>
      </c>
      <c r="C83" s="3" t="s">
        <v>194</v>
      </c>
      <c r="D83" s="4" t="s">
        <v>1168</v>
      </c>
      <c r="E83" s="3" t="s">
        <v>169</v>
      </c>
      <c r="F83" s="3" t="s">
        <v>195</v>
      </c>
      <c r="G83" s="4" t="s">
        <v>176</v>
      </c>
      <c r="H83" s="4" t="s">
        <v>172</v>
      </c>
      <c r="I83" s="4" t="s">
        <v>531</v>
      </c>
      <c r="J83" s="4" t="s">
        <v>508</v>
      </c>
      <c r="K83" s="4">
        <v>5</v>
      </c>
      <c r="L83" s="4" t="s">
        <v>1508</v>
      </c>
      <c r="M83" s="4" t="s">
        <v>148</v>
      </c>
    </row>
    <row r="84" spans="1:13" ht="69" customHeight="1" x14ac:dyDescent="0.25">
      <c r="A84" s="3" t="s">
        <v>23</v>
      </c>
      <c r="B84" s="3" t="s">
        <v>1451</v>
      </c>
      <c r="C84" s="3" t="s">
        <v>532</v>
      </c>
      <c r="D84" s="4" t="s">
        <v>1169</v>
      </c>
      <c r="E84" s="3" t="s">
        <v>533</v>
      </c>
      <c r="F84" s="3" t="s">
        <v>534</v>
      </c>
      <c r="G84" s="4" t="s">
        <v>535</v>
      </c>
      <c r="H84" s="4" t="s">
        <v>78</v>
      </c>
      <c r="I84" s="4" t="s">
        <v>536</v>
      </c>
      <c r="J84" s="4" t="s">
        <v>508</v>
      </c>
      <c r="K84" s="4">
        <v>6</v>
      </c>
      <c r="L84" s="4" t="s">
        <v>1422</v>
      </c>
      <c r="M84" s="4" t="s">
        <v>1473</v>
      </c>
    </row>
    <row r="85" spans="1:13" ht="82.9" customHeight="1" x14ac:dyDescent="0.25">
      <c r="A85" s="3" t="s">
        <v>23</v>
      </c>
      <c r="B85" s="3" t="s">
        <v>1451</v>
      </c>
      <c r="C85" s="3" t="s">
        <v>537</v>
      </c>
      <c r="D85" s="4" t="s">
        <v>1170</v>
      </c>
      <c r="E85" s="3" t="s">
        <v>384</v>
      </c>
      <c r="F85" s="3" t="s">
        <v>538</v>
      </c>
      <c r="G85" s="4" t="s">
        <v>539</v>
      </c>
      <c r="H85" s="4" t="s">
        <v>172</v>
      </c>
      <c r="I85" s="4" t="s">
        <v>540</v>
      </c>
      <c r="J85" s="4" t="s">
        <v>508</v>
      </c>
      <c r="K85" s="4">
        <v>7</v>
      </c>
      <c r="L85" s="4" t="s">
        <v>1517</v>
      </c>
      <c r="M85" s="4" t="s">
        <v>1107</v>
      </c>
    </row>
    <row r="86" spans="1:13" ht="27.6" customHeight="1" x14ac:dyDescent="0.25">
      <c r="A86" s="3" t="s">
        <v>23</v>
      </c>
      <c r="B86" s="3" t="s">
        <v>1451</v>
      </c>
      <c r="C86" s="3" t="s">
        <v>541</v>
      </c>
      <c r="D86" s="4" t="s">
        <v>1171</v>
      </c>
      <c r="E86" s="3" t="s">
        <v>384</v>
      </c>
      <c r="F86" s="3" t="s">
        <v>542</v>
      </c>
      <c r="G86" s="4" t="s">
        <v>466</v>
      </c>
      <c r="H86" s="4" t="s">
        <v>172</v>
      </c>
      <c r="I86" s="4" t="s">
        <v>543</v>
      </c>
      <c r="J86" s="4" t="s">
        <v>508</v>
      </c>
      <c r="K86" s="4">
        <v>8</v>
      </c>
      <c r="L86" s="4" t="s">
        <v>1518</v>
      </c>
      <c r="M86" s="4" t="s">
        <v>1108</v>
      </c>
    </row>
    <row r="87" spans="1:13" ht="27.6" customHeight="1" x14ac:dyDescent="0.25">
      <c r="A87" s="3" t="s">
        <v>23</v>
      </c>
      <c r="B87" s="3" t="s">
        <v>1453</v>
      </c>
      <c r="C87" s="3" t="s">
        <v>230</v>
      </c>
      <c r="D87" s="4" t="s">
        <v>1172</v>
      </c>
      <c r="E87" s="3" t="s">
        <v>80</v>
      </c>
      <c r="F87" s="3" t="s">
        <v>232</v>
      </c>
      <c r="G87" s="4" t="s">
        <v>77</v>
      </c>
      <c r="H87" s="4" t="s">
        <v>78</v>
      </c>
      <c r="I87" s="4" t="s">
        <v>233</v>
      </c>
      <c r="J87" s="4" t="s">
        <v>509</v>
      </c>
      <c r="K87" s="4">
        <v>1</v>
      </c>
      <c r="L87" s="4" t="s">
        <v>282</v>
      </c>
      <c r="M87" s="4" t="s">
        <v>271</v>
      </c>
    </row>
    <row r="88" spans="1:13" ht="69" customHeight="1" x14ac:dyDescent="0.25">
      <c r="A88" s="3" t="s">
        <v>23</v>
      </c>
      <c r="B88" s="3" t="s">
        <v>1453</v>
      </c>
      <c r="C88" s="3" t="s">
        <v>544</v>
      </c>
      <c r="D88" s="4" t="s">
        <v>1173</v>
      </c>
      <c r="E88" s="3" t="s">
        <v>80</v>
      </c>
      <c r="F88" s="3" t="s">
        <v>545</v>
      </c>
      <c r="G88" s="4" t="s">
        <v>77</v>
      </c>
      <c r="H88" s="4" t="s">
        <v>78</v>
      </c>
      <c r="I88" s="4" t="s">
        <v>546</v>
      </c>
      <c r="J88" s="4" t="s">
        <v>509</v>
      </c>
      <c r="K88" s="4">
        <v>2</v>
      </c>
      <c r="L88" s="4" t="s">
        <v>1423</v>
      </c>
      <c r="M88" s="4" t="s">
        <v>1109</v>
      </c>
    </row>
    <row r="89" spans="1:13" ht="41.45" customHeight="1" x14ac:dyDescent="0.25">
      <c r="A89" s="3" t="s">
        <v>23</v>
      </c>
      <c r="B89" s="3" t="s">
        <v>1453</v>
      </c>
      <c r="C89" s="3" t="s">
        <v>215</v>
      </c>
      <c r="D89" s="4" t="s">
        <v>1174</v>
      </c>
      <c r="E89" s="3" t="s">
        <v>75</v>
      </c>
      <c r="F89" s="3" t="s">
        <v>76</v>
      </c>
      <c r="G89" s="4" t="s">
        <v>77</v>
      </c>
      <c r="H89" s="4" t="s">
        <v>78</v>
      </c>
      <c r="I89" s="4" t="s">
        <v>79</v>
      </c>
      <c r="J89" s="4" t="s">
        <v>509</v>
      </c>
      <c r="K89" s="4">
        <v>3</v>
      </c>
      <c r="L89" s="4" t="s">
        <v>27</v>
      </c>
      <c r="M89" s="4" t="s">
        <v>1464</v>
      </c>
    </row>
    <row r="90" spans="1:13" ht="317.45" customHeight="1" x14ac:dyDescent="0.25">
      <c r="A90" s="3" t="s">
        <v>23</v>
      </c>
      <c r="B90" s="3" t="s">
        <v>1453</v>
      </c>
      <c r="C90" s="3" t="s">
        <v>235</v>
      </c>
      <c r="D90" s="4" t="s">
        <v>1175</v>
      </c>
      <c r="E90" s="3" t="s">
        <v>75</v>
      </c>
      <c r="F90" s="3" t="s">
        <v>547</v>
      </c>
      <c r="G90" s="4" t="s">
        <v>548</v>
      </c>
      <c r="H90" s="4" t="s">
        <v>78</v>
      </c>
      <c r="I90" s="4" t="s">
        <v>239</v>
      </c>
      <c r="J90" s="4" t="s">
        <v>509</v>
      </c>
      <c r="K90" s="4">
        <v>4</v>
      </c>
      <c r="L90" s="4" t="s">
        <v>1509</v>
      </c>
      <c r="M90" s="4" t="s">
        <v>272</v>
      </c>
    </row>
    <row r="91" spans="1:13" ht="41.45" customHeight="1" x14ac:dyDescent="0.25">
      <c r="A91" s="3" t="s">
        <v>23</v>
      </c>
      <c r="B91" s="3" t="s">
        <v>1453</v>
      </c>
      <c r="C91" s="3" t="s">
        <v>240</v>
      </c>
      <c r="D91" s="4" t="s">
        <v>1176</v>
      </c>
      <c r="E91" s="3" t="s">
        <v>242</v>
      </c>
      <c r="F91" s="3" t="s">
        <v>243</v>
      </c>
      <c r="G91" s="4" t="s">
        <v>244</v>
      </c>
      <c r="H91" s="4" t="s">
        <v>78</v>
      </c>
      <c r="I91" s="4" t="s">
        <v>245</v>
      </c>
      <c r="J91" s="4" t="s">
        <v>509</v>
      </c>
      <c r="K91" s="4">
        <v>5</v>
      </c>
      <c r="L91" s="4" t="s">
        <v>246</v>
      </c>
      <c r="M91" s="4" t="s">
        <v>148</v>
      </c>
    </row>
    <row r="92" spans="1:13" ht="27.6" customHeight="1" x14ac:dyDescent="0.25">
      <c r="A92" s="3" t="s">
        <v>23</v>
      </c>
      <c r="B92" s="3" t="s">
        <v>1453</v>
      </c>
      <c r="C92" s="3" t="s">
        <v>247</v>
      </c>
      <c r="D92" s="4" t="s">
        <v>1177</v>
      </c>
      <c r="E92" s="3" t="s">
        <v>242</v>
      </c>
      <c r="F92" s="3" t="s">
        <v>249</v>
      </c>
      <c r="G92" s="4" t="s">
        <v>244</v>
      </c>
      <c r="H92" s="4" t="s">
        <v>78</v>
      </c>
      <c r="I92" s="4" t="s">
        <v>250</v>
      </c>
      <c r="J92" s="4" t="s">
        <v>509</v>
      </c>
      <c r="K92" s="4">
        <v>6</v>
      </c>
      <c r="L92" s="4" t="s">
        <v>251</v>
      </c>
      <c r="M92" s="4" t="s">
        <v>148</v>
      </c>
    </row>
    <row r="93" spans="1:13" ht="41.45" customHeight="1" x14ac:dyDescent="0.25">
      <c r="A93" s="3" t="s">
        <v>23</v>
      </c>
      <c r="B93" s="3" t="s">
        <v>1453</v>
      </c>
      <c r="C93" s="3" t="s">
        <v>252</v>
      </c>
      <c r="D93" s="4" t="s">
        <v>1178</v>
      </c>
      <c r="E93" s="3" t="s">
        <v>254</v>
      </c>
      <c r="F93" s="3" t="s">
        <v>255</v>
      </c>
      <c r="G93" s="4" t="s">
        <v>244</v>
      </c>
      <c r="H93" s="4" t="s">
        <v>78</v>
      </c>
      <c r="I93" s="4" t="s">
        <v>256</v>
      </c>
      <c r="J93" s="4" t="s">
        <v>509</v>
      </c>
      <c r="K93" s="4">
        <v>7</v>
      </c>
      <c r="L93" s="4" t="s">
        <v>257</v>
      </c>
      <c r="M93" s="4" t="s">
        <v>273</v>
      </c>
    </row>
    <row r="94" spans="1:13" ht="41.45" customHeight="1" x14ac:dyDescent="0.25">
      <c r="A94" s="3" t="s">
        <v>23</v>
      </c>
      <c r="B94" s="3" t="s">
        <v>1453</v>
      </c>
      <c r="C94" s="3" t="s">
        <v>258</v>
      </c>
      <c r="D94" s="4" t="s">
        <v>1179</v>
      </c>
      <c r="E94" s="3" t="s">
        <v>260</v>
      </c>
      <c r="F94" s="3" t="s">
        <v>261</v>
      </c>
      <c r="G94" s="4" t="s">
        <v>244</v>
      </c>
      <c r="H94" s="4" t="s">
        <v>78</v>
      </c>
      <c r="I94" s="4" t="s">
        <v>549</v>
      </c>
      <c r="J94" s="4" t="s">
        <v>509</v>
      </c>
      <c r="K94" s="4">
        <v>8</v>
      </c>
      <c r="L94" s="4" t="s">
        <v>263</v>
      </c>
      <c r="M94" s="4" t="s">
        <v>148</v>
      </c>
    </row>
    <row r="95" spans="1:13" ht="69" customHeight="1" x14ac:dyDescent="0.25">
      <c r="A95" s="3" t="s">
        <v>23</v>
      </c>
      <c r="B95" s="3" t="s">
        <v>1453</v>
      </c>
      <c r="C95" s="3" t="s">
        <v>550</v>
      </c>
      <c r="D95" s="4" t="s">
        <v>1180</v>
      </c>
      <c r="E95" s="3" t="s">
        <v>498</v>
      </c>
      <c r="F95" s="3" t="s">
        <v>551</v>
      </c>
      <c r="G95" s="4" t="s">
        <v>466</v>
      </c>
      <c r="H95" s="4" t="s">
        <v>172</v>
      </c>
      <c r="I95" s="4" t="s">
        <v>552</v>
      </c>
      <c r="J95" s="4" t="s">
        <v>509</v>
      </c>
      <c r="K95" s="4">
        <v>9</v>
      </c>
      <c r="L95" s="4" t="s">
        <v>1519</v>
      </c>
      <c r="M95" s="4" t="s">
        <v>1110</v>
      </c>
    </row>
    <row r="96" spans="1:13" ht="27.6" customHeight="1" x14ac:dyDescent="0.25">
      <c r="A96" s="3" t="s">
        <v>23</v>
      </c>
      <c r="B96" s="3" t="s">
        <v>1453</v>
      </c>
      <c r="C96" s="3" t="s">
        <v>553</v>
      </c>
      <c r="D96" s="4" t="s">
        <v>1181</v>
      </c>
      <c r="E96" s="3" t="s">
        <v>498</v>
      </c>
      <c r="F96" s="3" t="s">
        <v>554</v>
      </c>
      <c r="G96" s="4" t="s">
        <v>171</v>
      </c>
      <c r="H96" s="4" t="s">
        <v>172</v>
      </c>
      <c r="I96" s="4" t="s">
        <v>555</v>
      </c>
      <c r="J96" s="4" t="s">
        <v>509</v>
      </c>
      <c r="K96" s="4">
        <v>10</v>
      </c>
      <c r="L96" s="4" t="s">
        <v>1424</v>
      </c>
      <c r="M96" s="4" t="s">
        <v>1111</v>
      </c>
    </row>
    <row r="97" spans="1:13" ht="41.45" customHeight="1" x14ac:dyDescent="0.25">
      <c r="A97" s="3" t="s">
        <v>23</v>
      </c>
      <c r="B97" s="3" t="s">
        <v>1453</v>
      </c>
      <c r="C97" s="3" t="s">
        <v>556</v>
      </c>
      <c r="D97" s="4" t="s">
        <v>1182</v>
      </c>
      <c r="E97" s="3" t="s">
        <v>557</v>
      </c>
      <c r="F97" s="3" t="s">
        <v>558</v>
      </c>
      <c r="G97" s="4" t="s">
        <v>466</v>
      </c>
      <c r="H97" s="4" t="s">
        <v>78</v>
      </c>
      <c r="I97" s="4" t="s">
        <v>559</v>
      </c>
      <c r="J97" s="4" t="s">
        <v>509</v>
      </c>
      <c r="K97" s="4">
        <v>11</v>
      </c>
      <c r="L97" s="4" t="s">
        <v>1520</v>
      </c>
      <c r="M97" s="4" t="s">
        <v>1112</v>
      </c>
    </row>
    <row r="98" spans="1:13" ht="27.6" customHeight="1" x14ac:dyDescent="0.25">
      <c r="A98" s="3" t="s">
        <v>23</v>
      </c>
      <c r="B98" s="3" t="s">
        <v>1453</v>
      </c>
      <c r="C98" s="3" t="s">
        <v>560</v>
      </c>
      <c r="D98" s="4" t="s">
        <v>1183</v>
      </c>
      <c r="E98" s="3" t="s">
        <v>498</v>
      </c>
      <c r="F98" s="3" t="s">
        <v>561</v>
      </c>
      <c r="G98" s="4" t="s">
        <v>171</v>
      </c>
      <c r="H98" s="4" t="s">
        <v>78</v>
      </c>
      <c r="I98" s="4" t="s">
        <v>562</v>
      </c>
      <c r="J98" s="4" t="s">
        <v>509</v>
      </c>
      <c r="K98" s="4">
        <v>12</v>
      </c>
      <c r="L98" s="4" t="s">
        <v>1425</v>
      </c>
      <c r="M98" s="4" t="s">
        <v>1113</v>
      </c>
    </row>
    <row r="99" spans="1:13" ht="27.6" customHeight="1" x14ac:dyDescent="0.25">
      <c r="A99" s="3" t="s">
        <v>23</v>
      </c>
      <c r="B99" s="3" t="s">
        <v>1453</v>
      </c>
      <c r="C99" s="3" t="s">
        <v>563</v>
      </c>
      <c r="D99" s="4" t="s">
        <v>1184</v>
      </c>
      <c r="E99" s="3" t="s">
        <v>498</v>
      </c>
      <c r="F99" s="3" t="s">
        <v>564</v>
      </c>
      <c r="G99" s="4" t="s">
        <v>466</v>
      </c>
      <c r="H99" s="4" t="s">
        <v>78</v>
      </c>
      <c r="I99" s="4" t="s">
        <v>565</v>
      </c>
      <c r="J99" s="4" t="s">
        <v>509</v>
      </c>
      <c r="K99" s="4">
        <v>13</v>
      </c>
      <c r="L99" s="4" t="s">
        <v>1426</v>
      </c>
      <c r="M99" s="4" t="s">
        <v>1114</v>
      </c>
    </row>
    <row r="100" spans="1:13" ht="82.9" customHeight="1" x14ac:dyDescent="0.25">
      <c r="A100" s="3" t="s">
        <v>23</v>
      </c>
      <c r="B100" s="3" t="s">
        <v>1453</v>
      </c>
      <c r="C100" s="3" t="s">
        <v>566</v>
      </c>
      <c r="D100" s="4" t="s">
        <v>1185</v>
      </c>
      <c r="E100" s="3" t="s">
        <v>498</v>
      </c>
      <c r="F100" s="3" t="s">
        <v>567</v>
      </c>
      <c r="G100" s="4" t="s">
        <v>568</v>
      </c>
      <c r="H100" s="4" t="s">
        <v>172</v>
      </c>
      <c r="I100" s="4" t="s">
        <v>569</v>
      </c>
      <c r="J100" s="4" t="s">
        <v>509</v>
      </c>
      <c r="K100" s="4">
        <v>14</v>
      </c>
      <c r="L100" s="4" t="s">
        <v>1521</v>
      </c>
      <c r="M100" s="4" t="s">
        <v>1115</v>
      </c>
    </row>
    <row r="101" spans="1:13" ht="69" customHeight="1" x14ac:dyDescent="0.25">
      <c r="A101" s="3" t="s">
        <v>23</v>
      </c>
      <c r="B101" s="3" t="s">
        <v>1453</v>
      </c>
      <c r="C101" s="3" t="s">
        <v>570</v>
      </c>
      <c r="D101" s="4" t="s">
        <v>1186</v>
      </c>
      <c r="E101" s="3" t="s">
        <v>498</v>
      </c>
      <c r="F101" s="3" t="s">
        <v>571</v>
      </c>
      <c r="G101" s="4" t="s">
        <v>572</v>
      </c>
      <c r="H101" s="4" t="s">
        <v>172</v>
      </c>
      <c r="I101" s="4" t="s">
        <v>573</v>
      </c>
      <c r="J101" s="4" t="s">
        <v>509</v>
      </c>
      <c r="K101" s="4">
        <v>15</v>
      </c>
      <c r="L101" s="4" t="s">
        <v>1536</v>
      </c>
      <c r="M101" s="4" t="s">
        <v>1116</v>
      </c>
    </row>
    <row r="102" spans="1:13" ht="55.15" customHeight="1" x14ac:dyDescent="0.25">
      <c r="A102" s="3" t="s">
        <v>23</v>
      </c>
      <c r="B102" s="3" t="s">
        <v>1453</v>
      </c>
      <c r="C102" s="3" t="s">
        <v>574</v>
      </c>
      <c r="D102" s="4" t="s">
        <v>1187</v>
      </c>
      <c r="E102" s="3" t="s">
        <v>498</v>
      </c>
      <c r="F102" s="3" t="s">
        <v>575</v>
      </c>
      <c r="G102" s="4" t="s">
        <v>171</v>
      </c>
      <c r="H102" s="4" t="s">
        <v>172</v>
      </c>
      <c r="I102" s="4" t="s">
        <v>576</v>
      </c>
      <c r="J102" s="4" t="s">
        <v>509</v>
      </c>
      <c r="K102" s="4">
        <v>16</v>
      </c>
      <c r="L102" s="4" t="s">
        <v>29</v>
      </c>
      <c r="M102" s="4" t="s">
        <v>1469</v>
      </c>
    </row>
    <row r="103" spans="1:13" ht="27.6" customHeight="1" x14ac:dyDescent="0.25">
      <c r="A103" s="3" t="s">
        <v>23</v>
      </c>
      <c r="B103" s="3" t="s">
        <v>1453</v>
      </c>
      <c r="C103" s="3" t="s">
        <v>577</v>
      </c>
      <c r="D103" s="4" t="s">
        <v>1188</v>
      </c>
      <c r="E103" s="3" t="s">
        <v>260</v>
      </c>
      <c r="F103" s="3" t="s">
        <v>578</v>
      </c>
      <c r="G103" s="4" t="s">
        <v>171</v>
      </c>
      <c r="H103" s="4" t="s">
        <v>78</v>
      </c>
      <c r="I103" s="4" t="s">
        <v>579</v>
      </c>
      <c r="J103" s="4" t="s">
        <v>509</v>
      </c>
      <c r="K103" s="4">
        <v>17</v>
      </c>
      <c r="L103" s="4" t="s">
        <v>1538</v>
      </c>
      <c r="M103" s="4" t="s">
        <v>1469</v>
      </c>
    </row>
    <row r="104" spans="1:13" ht="27.6" hidden="1" customHeight="1" x14ac:dyDescent="0.25">
      <c r="A104" s="3" t="s">
        <v>23</v>
      </c>
      <c r="B104" s="3" t="s">
        <v>1458</v>
      </c>
      <c r="C104" s="3" t="s">
        <v>215</v>
      </c>
      <c r="D104" s="4" t="s">
        <v>1189</v>
      </c>
      <c r="E104" s="3" t="s">
        <v>75</v>
      </c>
      <c r="F104" s="3" t="s">
        <v>76</v>
      </c>
      <c r="G104" s="4" t="s">
        <v>77</v>
      </c>
      <c r="H104" s="4" t="s">
        <v>78</v>
      </c>
      <c r="I104" s="4" t="s">
        <v>79</v>
      </c>
      <c r="J104" s="4" t="s">
        <v>510</v>
      </c>
      <c r="K104" s="4">
        <v>1</v>
      </c>
      <c r="L104" s="4" t="s">
        <v>27</v>
      </c>
      <c r="M104" s="4" t="s">
        <v>276</v>
      </c>
    </row>
    <row r="105" spans="1:13" ht="27.6" hidden="1" customHeight="1" x14ac:dyDescent="0.25">
      <c r="A105" s="3" t="s">
        <v>23</v>
      </c>
      <c r="B105" s="3" t="s">
        <v>1458</v>
      </c>
      <c r="C105" s="3" t="s">
        <v>197</v>
      </c>
      <c r="D105" s="4" t="s">
        <v>1190</v>
      </c>
      <c r="E105" s="3" t="s">
        <v>80</v>
      </c>
      <c r="F105" s="3" t="s">
        <v>81</v>
      </c>
      <c r="G105" s="4" t="s">
        <v>77</v>
      </c>
      <c r="H105" s="4" t="s">
        <v>78</v>
      </c>
      <c r="I105" s="4" t="s">
        <v>82</v>
      </c>
      <c r="J105" s="4" t="s">
        <v>510</v>
      </c>
      <c r="K105" s="4">
        <v>2</v>
      </c>
      <c r="L105" s="4" t="s">
        <v>0</v>
      </c>
      <c r="M105" s="4" t="s">
        <v>277</v>
      </c>
    </row>
    <row r="106" spans="1:13" ht="27.6" hidden="1" customHeight="1" x14ac:dyDescent="0.25">
      <c r="A106" s="3" t="s">
        <v>23</v>
      </c>
      <c r="B106" s="3" t="s">
        <v>1458</v>
      </c>
      <c r="C106" s="3" t="s">
        <v>422</v>
      </c>
      <c r="D106" s="4" t="s">
        <v>1163</v>
      </c>
      <c r="E106" s="3" t="s">
        <v>384</v>
      </c>
      <c r="F106" s="3" t="s">
        <v>424</v>
      </c>
      <c r="G106" s="4" t="s">
        <v>171</v>
      </c>
      <c r="H106" s="4" t="s">
        <v>172</v>
      </c>
      <c r="I106" s="4" t="s">
        <v>425</v>
      </c>
      <c r="J106" s="4" t="s">
        <v>510</v>
      </c>
      <c r="K106" s="4">
        <v>3</v>
      </c>
      <c r="L106" s="4" t="s">
        <v>30</v>
      </c>
      <c r="M106" s="4" t="s">
        <v>1092</v>
      </c>
    </row>
    <row r="107" spans="1:13" ht="63.75" hidden="1" x14ac:dyDescent="0.25">
      <c r="A107" s="3" t="s">
        <v>23</v>
      </c>
      <c r="B107" s="3" t="s">
        <v>1458</v>
      </c>
      <c r="C107" s="3" t="s">
        <v>532</v>
      </c>
      <c r="D107" s="42" t="s">
        <v>1567</v>
      </c>
      <c r="E107" s="3" t="s">
        <v>533</v>
      </c>
      <c r="F107" s="3" t="s">
        <v>534</v>
      </c>
      <c r="G107" s="4" t="s">
        <v>535</v>
      </c>
      <c r="H107" s="4" t="s">
        <v>78</v>
      </c>
      <c r="I107" s="4" t="s">
        <v>536</v>
      </c>
      <c r="J107" s="42" t="s">
        <v>510</v>
      </c>
      <c r="K107" s="4">
        <v>4</v>
      </c>
      <c r="L107" s="4" t="s">
        <v>1422</v>
      </c>
      <c r="M107" s="4" t="s">
        <v>148</v>
      </c>
    </row>
    <row r="108" spans="1:13" ht="27.6" hidden="1" customHeight="1" x14ac:dyDescent="0.25">
      <c r="A108" s="3" t="s">
        <v>23</v>
      </c>
      <c r="B108" s="3" t="s">
        <v>1457</v>
      </c>
      <c r="C108" s="3" t="s">
        <v>215</v>
      </c>
      <c r="D108" s="4" t="s">
        <v>1191</v>
      </c>
      <c r="E108" s="3" t="s">
        <v>75</v>
      </c>
      <c r="F108" s="3" t="s">
        <v>76</v>
      </c>
      <c r="G108" s="4" t="s">
        <v>77</v>
      </c>
      <c r="H108" s="4" t="s">
        <v>78</v>
      </c>
      <c r="I108" s="4" t="s">
        <v>79</v>
      </c>
      <c r="J108" s="4" t="s">
        <v>511</v>
      </c>
      <c r="K108" s="4">
        <v>1</v>
      </c>
      <c r="L108" s="4" t="s">
        <v>27</v>
      </c>
      <c r="M108" s="4" t="s">
        <v>280</v>
      </c>
    </row>
    <row r="109" spans="1:13" ht="27.6" hidden="1" customHeight="1" x14ac:dyDescent="0.25">
      <c r="A109" s="3" t="s">
        <v>23</v>
      </c>
      <c r="B109" s="3" t="s">
        <v>1457</v>
      </c>
      <c r="C109" s="3" t="s">
        <v>230</v>
      </c>
      <c r="D109" s="4" t="s">
        <v>1192</v>
      </c>
      <c r="E109" s="3" t="s">
        <v>80</v>
      </c>
      <c r="F109" s="3" t="s">
        <v>232</v>
      </c>
      <c r="G109" s="4" t="s">
        <v>77</v>
      </c>
      <c r="H109" s="4" t="s">
        <v>78</v>
      </c>
      <c r="I109" s="4" t="s">
        <v>233</v>
      </c>
      <c r="J109" s="4" t="s">
        <v>511</v>
      </c>
      <c r="K109" s="4">
        <v>2</v>
      </c>
      <c r="L109" s="4" t="s">
        <v>282</v>
      </c>
      <c r="M109" s="4" t="s">
        <v>281</v>
      </c>
    </row>
    <row r="110" spans="1:13" ht="55.15" hidden="1" customHeight="1" x14ac:dyDescent="0.25">
      <c r="A110" s="3" t="s">
        <v>23</v>
      </c>
      <c r="B110" s="3" t="s">
        <v>1457</v>
      </c>
      <c r="C110" s="3" t="s">
        <v>574</v>
      </c>
      <c r="D110" s="4" t="s">
        <v>1467</v>
      </c>
      <c r="E110" s="3" t="s">
        <v>498</v>
      </c>
      <c r="F110" s="3" t="s">
        <v>575</v>
      </c>
      <c r="G110" s="4" t="s">
        <v>171</v>
      </c>
      <c r="H110" s="4" t="s">
        <v>172</v>
      </c>
      <c r="I110" s="4" t="s">
        <v>576</v>
      </c>
      <c r="J110" s="4" t="s">
        <v>511</v>
      </c>
      <c r="K110" s="4">
        <v>3</v>
      </c>
      <c r="L110" s="4" t="s">
        <v>29</v>
      </c>
      <c r="M110" s="4" t="s">
        <v>1117</v>
      </c>
    </row>
    <row r="111" spans="1:13" ht="27.6" hidden="1" customHeight="1" x14ac:dyDescent="0.25">
      <c r="A111" s="3" t="s">
        <v>23</v>
      </c>
      <c r="B111" s="3" t="s">
        <v>1457</v>
      </c>
      <c r="C111" s="3" t="s">
        <v>577</v>
      </c>
      <c r="D111" s="4" t="s">
        <v>1468</v>
      </c>
      <c r="E111" s="3" t="s">
        <v>260</v>
      </c>
      <c r="F111" s="3" t="s">
        <v>578</v>
      </c>
      <c r="G111" s="4" t="s">
        <v>171</v>
      </c>
      <c r="H111" s="4" t="s">
        <v>78</v>
      </c>
      <c r="I111" s="4" t="s">
        <v>579</v>
      </c>
      <c r="J111" s="4" t="s">
        <v>511</v>
      </c>
      <c r="K111" s="4">
        <v>4</v>
      </c>
      <c r="L111" s="4" t="s">
        <v>1538</v>
      </c>
      <c r="M111" s="4" t="s">
        <v>1118</v>
      </c>
    </row>
    <row r="112" spans="1:13" ht="27.6" customHeight="1" x14ac:dyDescent="0.25">
      <c r="A112" s="3" t="s">
        <v>24</v>
      </c>
      <c r="B112" s="3" t="s">
        <v>1449</v>
      </c>
      <c r="C112" s="3" t="s">
        <v>215</v>
      </c>
      <c r="D112" s="4" t="s">
        <v>1193</v>
      </c>
      <c r="E112" s="3" t="s">
        <v>75</v>
      </c>
      <c r="F112" s="3" t="s">
        <v>76</v>
      </c>
      <c r="G112" s="4" t="s">
        <v>77</v>
      </c>
      <c r="H112" s="4" t="s">
        <v>78</v>
      </c>
      <c r="I112" s="4" t="s">
        <v>79</v>
      </c>
      <c r="J112" s="4" t="s">
        <v>512</v>
      </c>
      <c r="K112" s="4">
        <v>1</v>
      </c>
      <c r="L112" s="4" t="s">
        <v>27</v>
      </c>
      <c r="M112" s="4" t="s">
        <v>200</v>
      </c>
    </row>
    <row r="113" spans="1:13" ht="41.45" customHeight="1" x14ac:dyDescent="0.25">
      <c r="A113" s="3" t="s">
        <v>24</v>
      </c>
      <c r="B113" s="3" t="s">
        <v>1449</v>
      </c>
      <c r="C113" s="3" t="s">
        <v>197</v>
      </c>
      <c r="D113" s="4" t="s">
        <v>1194</v>
      </c>
      <c r="E113" s="3" t="s">
        <v>80</v>
      </c>
      <c r="F113" s="3" t="s">
        <v>81</v>
      </c>
      <c r="G113" s="4" t="s">
        <v>77</v>
      </c>
      <c r="H113" s="4" t="s">
        <v>78</v>
      </c>
      <c r="I113" s="4" t="s">
        <v>82</v>
      </c>
      <c r="J113" s="4" t="s">
        <v>512</v>
      </c>
      <c r="K113" s="4">
        <v>2</v>
      </c>
      <c r="L113" s="4" t="s">
        <v>0</v>
      </c>
      <c r="M113" s="4" t="s">
        <v>1474</v>
      </c>
    </row>
    <row r="114" spans="1:13" ht="27.6" customHeight="1" x14ac:dyDescent="0.25">
      <c r="A114" s="3" t="s">
        <v>24</v>
      </c>
      <c r="B114" s="3" t="s">
        <v>1449</v>
      </c>
      <c r="C114" s="3" t="s">
        <v>1446</v>
      </c>
      <c r="D114" s="4" t="s">
        <v>1195</v>
      </c>
      <c r="E114" s="3" t="s">
        <v>80</v>
      </c>
      <c r="F114" s="3" t="s">
        <v>286</v>
      </c>
      <c r="G114" s="4" t="s">
        <v>77</v>
      </c>
      <c r="H114" s="4" t="s">
        <v>78</v>
      </c>
      <c r="I114" s="4" t="s">
        <v>580</v>
      </c>
      <c r="J114" s="4" t="s">
        <v>512</v>
      </c>
      <c r="K114" s="4">
        <v>3</v>
      </c>
      <c r="L114" s="4" t="s">
        <v>1400</v>
      </c>
      <c r="M114" s="4" t="s">
        <v>1070</v>
      </c>
    </row>
    <row r="115" spans="1:13" ht="41.45" customHeight="1" x14ac:dyDescent="0.25">
      <c r="A115" s="3" t="s">
        <v>24</v>
      </c>
      <c r="B115" s="3" t="s">
        <v>1449</v>
      </c>
      <c r="C115" s="3" t="s">
        <v>288</v>
      </c>
      <c r="D115" s="4" t="s">
        <v>1196</v>
      </c>
      <c r="E115" s="3" t="s">
        <v>80</v>
      </c>
      <c r="F115" s="3" t="s">
        <v>290</v>
      </c>
      <c r="G115" s="4" t="s">
        <v>77</v>
      </c>
      <c r="H115" s="4" t="s">
        <v>78</v>
      </c>
      <c r="I115" s="4" t="s">
        <v>581</v>
      </c>
      <c r="J115" s="4" t="s">
        <v>512</v>
      </c>
      <c r="K115" s="4">
        <v>4</v>
      </c>
      <c r="L115" s="4" t="s">
        <v>1401</v>
      </c>
      <c r="M115" s="4" t="s">
        <v>1071</v>
      </c>
    </row>
    <row r="116" spans="1:13" ht="41.45" customHeight="1" x14ac:dyDescent="0.25">
      <c r="A116" s="3" t="s">
        <v>24</v>
      </c>
      <c r="B116" s="3" t="s">
        <v>1449</v>
      </c>
      <c r="C116" s="3" t="s">
        <v>292</v>
      </c>
      <c r="D116" s="4" t="s">
        <v>1197</v>
      </c>
      <c r="E116" s="3" t="s">
        <v>80</v>
      </c>
      <c r="F116" s="3" t="s">
        <v>294</v>
      </c>
      <c r="G116" s="4" t="s">
        <v>77</v>
      </c>
      <c r="H116" s="4" t="s">
        <v>78</v>
      </c>
      <c r="I116" s="4" t="s">
        <v>523</v>
      </c>
      <c r="J116" s="4" t="s">
        <v>512</v>
      </c>
      <c r="K116" s="4">
        <v>5</v>
      </c>
      <c r="L116" s="4" t="s">
        <v>1402</v>
      </c>
      <c r="M116" s="4" t="s">
        <v>1072</v>
      </c>
    </row>
    <row r="117" spans="1:13" ht="55.15" customHeight="1" x14ac:dyDescent="0.25">
      <c r="A117" s="3" t="s">
        <v>24</v>
      </c>
      <c r="B117" s="3" t="s">
        <v>1449</v>
      </c>
      <c r="C117" s="3" t="s">
        <v>582</v>
      </c>
      <c r="D117" s="4" t="s">
        <v>1198</v>
      </c>
      <c r="E117" s="3" t="s">
        <v>84</v>
      </c>
      <c r="F117" s="3" t="s">
        <v>31</v>
      </c>
      <c r="G117" s="4" t="s">
        <v>583</v>
      </c>
      <c r="H117" s="4" t="s">
        <v>78</v>
      </c>
      <c r="I117" s="4" t="s">
        <v>584</v>
      </c>
      <c r="J117" s="4" t="s">
        <v>512</v>
      </c>
      <c r="K117" s="4">
        <v>6</v>
      </c>
      <c r="L117" s="4" t="s">
        <v>1427</v>
      </c>
      <c r="M117" s="4" t="s">
        <v>148</v>
      </c>
    </row>
    <row r="118" spans="1:13" ht="400.15" customHeight="1" x14ac:dyDescent="0.25">
      <c r="A118" s="3" t="s">
        <v>24</v>
      </c>
      <c r="B118" s="3" t="s">
        <v>1449</v>
      </c>
      <c r="C118" s="3" t="s">
        <v>83</v>
      </c>
      <c r="D118" s="4" t="s">
        <v>1199</v>
      </c>
      <c r="E118" s="3" t="s">
        <v>84</v>
      </c>
      <c r="F118" s="3" t="s">
        <v>85</v>
      </c>
      <c r="G118" s="4" t="s">
        <v>296</v>
      </c>
      <c r="H118" s="4" t="s">
        <v>78</v>
      </c>
      <c r="I118" s="4" t="s">
        <v>524</v>
      </c>
      <c r="J118" s="4" t="s">
        <v>512</v>
      </c>
      <c r="K118" s="4">
        <v>7</v>
      </c>
      <c r="L118" s="4" t="s">
        <v>88</v>
      </c>
      <c r="M118" s="4" t="s">
        <v>148</v>
      </c>
    </row>
    <row r="119" spans="1:13" ht="96.6" customHeight="1" x14ac:dyDescent="0.25">
      <c r="A119" s="3" t="s">
        <v>24</v>
      </c>
      <c r="B119" s="3" t="s">
        <v>1449</v>
      </c>
      <c r="C119" s="3" t="s">
        <v>164</v>
      </c>
      <c r="D119" s="4" t="s">
        <v>1200</v>
      </c>
      <c r="E119" s="3" t="s">
        <v>84</v>
      </c>
      <c r="F119" s="3" t="s">
        <v>165</v>
      </c>
      <c r="G119" s="4" t="s">
        <v>166</v>
      </c>
      <c r="H119" s="4" t="s">
        <v>78</v>
      </c>
      <c r="I119" s="4" t="s">
        <v>167</v>
      </c>
      <c r="J119" s="4" t="s">
        <v>512</v>
      </c>
      <c r="K119" s="4">
        <v>8</v>
      </c>
      <c r="L119" s="4" t="s">
        <v>89</v>
      </c>
      <c r="M119" s="4" t="s">
        <v>148</v>
      </c>
    </row>
    <row r="120" spans="1:13" ht="27.6" customHeight="1" x14ac:dyDescent="0.25">
      <c r="A120" s="3" t="s">
        <v>24</v>
      </c>
      <c r="B120" s="3" t="s">
        <v>1449</v>
      </c>
      <c r="C120" s="3" t="s">
        <v>585</v>
      </c>
      <c r="D120" s="4" t="s">
        <v>1201</v>
      </c>
      <c r="E120" s="3" t="s">
        <v>169</v>
      </c>
      <c r="F120" s="3" t="s">
        <v>586</v>
      </c>
      <c r="G120" s="4" t="s">
        <v>527</v>
      </c>
      <c r="H120" s="4" t="s">
        <v>78</v>
      </c>
      <c r="I120" s="4" t="s">
        <v>587</v>
      </c>
      <c r="J120" s="4" t="s">
        <v>512</v>
      </c>
      <c r="K120" s="4">
        <v>9</v>
      </c>
      <c r="L120" s="4" t="s">
        <v>1428</v>
      </c>
      <c r="M120" s="4" t="s">
        <v>1119</v>
      </c>
    </row>
    <row r="121" spans="1:13" ht="27.6" customHeight="1" x14ac:dyDescent="0.25">
      <c r="A121" s="3" t="s">
        <v>24</v>
      </c>
      <c r="B121" s="3" t="s">
        <v>1449</v>
      </c>
      <c r="C121" s="3" t="s">
        <v>168</v>
      </c>
      <c r="D121" s="4" t="s">
        <v>1202</v>
      </c>
      <c r="E121" s="3" t="s">
        <v>169</v>
      </c>
      <c r="F121" s="3" t="s">
        <v>170</v>
      </c>
      <c r="G121" s="4" t="s">
        <v>588</v>
      </c>
      <c r="H121" s="4" t="s">
        <v>172</v>
      </c>
      <c r="I121" s="4" t="s">
        <v>173</v>
      </c>
      <c r="J121" s="4" t="s">
        <v>512</v>
      </c>
      <c r="K121" s="4">
        <v>10</v>
      </c>
      <c r="L121" s="4" t="s">
        <v>17</v>
      </c>
      <c r="M121" s="4" t="s">
        <v>205</v>
      </c>
    </row>
    <row r="122" spans="1:13" ht="27.6" customHeight="1" x14ac:dyDescent="0.25">
      <c r="A122" s="3" t="s">
        <v>24</v>
      </c>
      <c r="B122" s="3" t="s">
        <v>1449</v>
      </c>
      <c r="C122" s="3" t="s">
        <v>174</v>
      </c>
      <c r="D122" s="4" t="s">
        <v>1203</v>
      </c>
      <c r="E122" s="3" t="s">
        <v>169</v>
      </c>
      <c r="F122" s="3" t="s">
        <v>175</v>
      </c>
      <c r="G122" s="4" t="s">
        <v>176</v>
      </c>
      <c r="H122" s="4" t="s">
        <v>172</v>
      </c>
      <c r="I122" s="4" t="s">
        <v>177</v>
      </c>
      <c r="J122" s="4" t="s">
        <v>512</v>
      </c>
      <c r="K122" s="4">
        <v>11</v>
      </c>
      <c r="L122" s="4" t="s">
        <v>90</v>
      </c>
      <c r="M122" s="4" t="s">
        <v>207</v>
      </c>
    </row>
    <row r="123" spans="1:13" ht="41.45" customHeight="1" x14ac:dyDescent="0.25">
      <c r="A123" s="3" t="s">
        <v>24</v>
      </c>
      <c r="B123" s="3" t="s">
        <v>1449</v>
      </c>
      <c r="C123" s="3" t="s">
        <v>178</v>
      </c>
      <c r="D123" s="4" t="s">
        <v>1204</v>
      </c>
      <c r="E123" s="3" t="s">
        <v>169</v>
      </c>
      <c r="F123" s="3" t="s">
        <v>179</v>
      </c>
      <c r="G123" s="4" t="s">
        <v>176</v>
      </c>
      <c r="H123" s="4" t="s">
        <v>172</v>
      </c>
      <c r="I123" s="4" t="s">
        <v>180</v>
      </c>
      <c r="J123" s="4" t="s">
        <v>512</v>
      </c>
      <c r="K123" s="4">
        <v>12</v>
      </c>
      <c r="L123" s="4" t="s">
        <v>1403</v>
      </c>
      <c r="M123" s="4" t="s">
        <v>209</v>
      </c>
    </row>
    <row r="124" spans="1:13" ht="27.6" customHeight="1" x14ac:dyDescent="0.25">
      <c r="A124" s="3" t="s">
        <v>24</v>
      </c>
      <c r="B124" s="3" t="s">
        <v>1449</v>
      </c>
      <c r="C124" s="3" t="s">
        <v>589</v>
      </c>
      <c r="D124" s="4" t="s">
        <v>1205</v>
      </c>
      <c r="E124" s="3" t="s">
        <v>384</v>
      </c>
      <c r="F124" s="3" t="s">
        <v>590</v>
      </c>
      <c r="G124" s="4" t="s">
        <v>171</v>
      </c>
      <c r="H124" s="4" t="s">
        <v>172</v>
      </c>
      <c r="I124" s="4" t="s">
        <v>591</v>
      </c>
      <c r="J124" s="4" t="s">
        <v>512</v>
      </c>
      <c r="K124" s="4">
        <v>13</v>
      </c>
      <c r="L124" s="4" t="s">
        <v>1429</v>
      </c>
      <c r="M124" s="4" t="s">
        <v>1091</v>
      </c>
    </row>
    <row r="125" spans="1:13" ht="27.6" customHeight="1" x14ac:dyDescent="0.25">
      <c r="A125" s="3" t="s">
        <v>24</v>
      </c>
      <c r="B125" s="3" t="s">
        <v>1449</v>
      </c>
      <c r="C125" s="3" t="s">
        <v>592</v>
      </c>
      <c r="D125" s="4" t="s">
        <v>1206</v>
      </c>
      <c r="E125" s="3" t="s">
        <v>384</v>
      </c>
      <c r="F125" s="3" t="s">
        <v>593</v>
      </c>
      <c r="G125" s="4" t="s">
        <v>466</v>
      </c>
      <c r="H125" s="4" t="s">
        <v>172</v>
      </c>
      <c r="I125" s="4" t="s">
        <v>594</v>
      </c>
      <c r="J125" s="4" t="s">
        <v>512</v>
      </c>
      <c r="K125" s="4">
        <v>14</v>
      </c>
      <c r="L125" s="4" t="s">
        <v>48</v>
      </c>
      <c r="M125" s="4" t="s">
        <v>1080</v>
      </c>
    </row>
    <row r="126" spans="1:13" ht="27.6" customHeight="1" x14ac:dyDescent="0.25">
      <c r="A126" s="3" t="s">
        <v>24</v>
      </c>
      <c r="B126" s="3" t="s">
        <v>1449</v>
      </c>
      <c r="C126" s="3" t="s">
        <v>595</v>
      </c>
      <c r="D126" s="4" t="s">
        <v>1207</v>
      </c>
      <c r="E126" s="3" t="s">
        <v>384</v>
      </c>
      <c r="F126" s="3" t="s">
        <v>596</v>
      </c>
      <c r="G126" s="4" t="s">
        <v>527</v>
      </c>
      <c r="H126" s="4" t="s">
        <v>78</v>
      </c>
      <c r="I126" s="4" t="s">
        <v>597</v>
      </c>
      <c r="J126" s="4" t="s">
        <v>512</v>
      </c>
      <c r="K126" s="4">
        <v>15</v>
      </c>
      <c r="L126" s="4" t="s">
        <v>1533</v>
      </c>
      <c r="M126" s="4" t="s">
        <v>148</v>
      </c>
    </row>
    <row r="127" spans="1:13" ht="96.6" customHeight="1" x14ac:dyDescent="0.25">
      <c r="A127" s="3" t="s">
        <v>24</v>
      </c>
      <c r="B127" s="3" t="s">
        <v>1449</v>
      </c>
      <c r="C127" s="3" t="s">
        <v>382</v>
      </c>
      <c r="D127" s="4" t="s">
        <v>1208</v>
      </c>
      <c r="E127" s="3" t="s">
        <v>384</v>
      </c>
      <c r="F127" s="3" t="s">
        <v>385</v>
      </c>
      <c r="G127" s="4" t="s">
        <v>598</v>
      </c>
      <c r="H127" s="4" t="s">
        <v>172</v>
      </c>
      <c r="I127" s="4" t="s">
        <v>599</v>
      </c>
      <c r="J127" s="4" t="s">
        <v>512</v>
      </c>
      <c r="K127" s="4">
        <v>16</v>
      </c>
      <c r="L127" s="4" t="s">
        <v>1511</v>
      </c>
      <c r="M127" s="4" t="s">
        <v>1085</v>
      </c>
    </row>
    <row r="128" spans="1:13" ht="27.6" customHeight="1" x14ac:dyDescent="0.25">
      <c r="A128" s="3" t="s">
        <v>24</v>
      </c>
      <c r="B128" s="3" t="s">
        <v>1449</v>
      </c>
      <c r="C128" s="3" t="s">
        <v>388</v>
      </c>
      <c r="D128" s="4" t="s">
        <v>1209</v>
      </c>
      <c r="E128" s="3" t="s">
        <v>384</v>
      </c>
      <c r="F128" s="3" t="s">
        <v>390</v>
      </c>
      <c r="G128" s="4" t="s">
        <v>466</v>
      </c>
      <c r="H128" s="4" t="s">
        <v>172</v>
      </c>
      <c r="I128" s="4" t="s">
        <v>391</v>
      </c>
      <c r="J128" s="4" t="s">
        <v>512</v>
      </c>
      <c r="K128" s="4">
        <v>17</v>
      </c>
      <c r="L128" s="4" t="s">
        <v>1512</v>
      </c>
      <c r="M128" s="4" t="s">
        <v>1086</v>
      </c>
    </row>
    <row r="129" spans="1:13" ht="82.9" customHeight="1" x14ac:dyDescent="0.25">
      <c r="A129" s="3" t="s">
        <v>24</v>
      </c>
      <c r="B129" s="3" t="s">
        <v>1449</v>
      </c>
      <c r="C129" s="3" t="s">
        <v>396</v>
      </c>
      <c r="D129" s="4" t="s">
        <v>1210</v>
      </c>
      <c r="E129" s="3" t="s">
        <v>384</v>
      </c>
      <c r="F129" s="3" t="s">
        <v>398</v>
      </c>
      <c r="G129" s="4" t="s">
        <v>171</v>
      </c>
      <c r="H129" s="4" t="s">
        <v>172</v>
      </c>
      <c r="I129" s="4" t="s">
        <v>399</v>
      </c>
      <c r="J129" s="4" t="s">
        <v>512</v>
      </c>
      <c r="K129" s="4">
        <v>18</v>
      </c>
      <c r="L129" s="4" t="s">
        <v>1529</v>
      </c>
      <c r="M129" s="4" t="s">
        <v>1087</v>
      </c>
    </row>
    <row r="130" spans="1:13" ht="27.6" customHeight="1" x14ac:dyDescent="0.25">
      <c r="A130" s="3" t="s">
        <v>24</v>
      </c>
      <c r="B130" s="3" t="s">
        <v>1449</v>
      </c>
      <c r="C130" s="3" t="s">
        <v>400</v>
      </c>
      <c r="D130" s="4" t="s">
        <v>1211</v>
      </c>
      <c r="E130" s="3" t="s">
        <v>384</v>
      </c>
      <c r="F130" s="3" t="s">
        <v>402</v>
      </c>
      <c r="G130" s="4" t="s">
        <v>466</v>
      </c>
      <c r="H130" s="4" t="s">
        <v>172</v>
      </c>
      <c r="I130" s="4" t="s">
        <v>403</v>
      </c>
      <c r="J130" s="4" t="s">
        <v>512</v>
      </c>
      <c r="K130" s="4">
        <v>19</v>
      </c>
      <c r="L130" s="4" t="s">
        <v>1530</v>
      </c>
      <c r="M130" s="4" t="s">
        <v>1088</v>
      </c>
    </row>
    <row r="131" spans="1:13" ht="27.6" customHeight="1" x14ac:dyDescent="0.25">
      <c r="A131" s="3" t="s">
        <v>24</v>
      </c>
      <c r="B131" s="3" t="s">
        <v>1449</v>
      </c>
      <c r="C131" s="3" t="s">
        <v>422</v>
      </c>
      <c r="D131" s="4" t="s">
        <v>1212</v>
      </c>
      <c r="E131" s="3" t="s">
        <v>384</v>
      </c>
      <c r="F131" s="3" t="s">
        <v>424</v>
      </c>
      <c r="G131" s="4" t="s">
        <v>171</v>
      </c>
      <c r="H131" s="4" t="s">
        <v>172</v>
      </c>
      <c r="I131" s="4" t="s">
        <v>425</v>
      </c>
      <c r="J131" s="4" t="s">
        <v>512</v>
      </c>
      <c r="K131" s="4">
        <v>20</v>
      </c>
      <c r="L131" s="4" t="s">
        <v>30</v>
      </c>
      <c r="M131" s="4" t="s">
        <v>1472</v>
      </c>
    </row>
    <row r="132" spans="1:13" ht="124.15" customHeight="1" x14ac:dyDescent="0.25">
      <c r="A132" s="3" t="s">
        <v>24</v>
      </c>
      <c r="B132" s="3" t="s">
        <v>1449</v>
      </c>
      <c r="C132" s="3" t="s">
        <v>440</v>
      </c>
      <c r="D132" s="4" t="s">
        <v>1214</v>
      </c>
      <c r="E132" s="3" t="s">
        <v>384</v>
      </c>
      <c r="F132" s="3" t="s">
        <v>442</v>
      </c>
      <c r="G132" s="4" t="s">
        <v>171</v>
      </c>
      <c r="H132" s="4" t="s">
        <v>172</v>
      </c>
      <c r="I132" s="4" t="s">
        <v>600</v>
      </c>
      <c r="J132" s="4" t="s">
        <v>512</v>
      </c>
      <c r="K132" s="4">
        <v>21</v>
      </c>
      <c r="L132" s="4" t="s">
        <v>1499</v>
      </c>
      <c r="M132" s="4" t="s">
        <v>1095</v>
      </c>
    </row>
    <row r="133" spans="1:13" ht="96.6" customHeight="1" x14ac:dyDescent="0.25">
      <c r="A133" s="3" t="s">
        <v>24</v>
      </c>
      <c r="B133" s="3" t="s">
        <v>1449</v>
      </c>
      <c r="C133" s="3" t="s">
        <v>444</v>
      </c>
      <c r="D133" s="4" t="s">
        <v>1215</v>
      </c>
      <c r="E133" s="3" t="s">
        <v>384</v>
      </c>
      <c r="F133" s="3" t="s">
        <v>446</v>
      </c>
      <c r="G133" s="4" t="s">
        <v>447</v>
      </c>
      <c r="H133" s="4" t="s">
        <v>172</v>
      </c>
      <c r="I133" s="4" t="s">
        <v>601</v>
      </c>
      <c r="J133" s="4" t="s">
        <v>512</v>
      </c>
      <c r="K133" s="4">
        <v>22</v>
      </c>
      <c r="L133" s="4" t="s">
        <v>1514</v>
      </c>
      <c r="M133" s="4" t="s">
        <v>1096</v>
      </c>
    </row>
    <row r="134" spans="1:13" ht="41.45" customHeight="1" x14ac:dyDescent="0.25">
      <c r="A134" s="3" t="s">
        <v>24</v>
      </c>
      <c r="B134" s="3" t="s">
        <v>1449</v>
      </c>
      <c r="C134" s="3" t="s">
        <v>448</v>
      </c>
      <c r="D134" s="4" t="s">
        <v>1216</v>
      </c>
      <c r="E134" s="3" t="s">
        <v>384</v>
      </c>
      <c r="F134" s="3" t="s">
        <v>450</v>
      </c>
      <c r="G134" s="4" t="s">
        <v>451</v>
      </c>
      <c r="H134" s="4" t="s">
        <v>172</v>
      </c>
      <c r="I134" s="4" t="s">
        <v>452</v>
      </c>
      <c r="J134" s="4" t="s">
        <v>512</v>
      </c>
      <c r="K134" s="4">
        <v>23</v>
      </c>
      <c r="L134" s="4" t="s">
        <v>1421</v>
      </c>
      <c r="M134" s="4" t="s">
        <v>1097</v>
      </c>
    </row>
    <row r="135" spans="1:13" ht="55.15" customHeight="1" x14ac:dyDescent="0.25">
      <c r="A135" s="3" t="s">
        <v>24</v>
      </c>
      <c r="B135" s="3" t="s">
        <v>1449</v>
      </c>
      <c r="C135" s="3" t="s">
        <v>458</v>
      </c>
      <c r="D135" s="4" t="s">
        <v>1217</v>
      </c>
      <c r="E135" s="3" t="s">
        <v>384</v>
      </c>
      <c r="F135" s="3" t="s">
        <v>460</v>
      </c>
      <c r="G135" s="4" t="s">
        <v>461</v>
      </c>
      <c r="H135" s="4" t="s">
        <v>172</v>
      </c>
      <c r="I135" s="4" t="s">
        <v>602</v>
      </c>
      <c r="J135" s="4" t="s">
        <v>512</v>
      </c>
      <c r="K135" s="4">
        <v>24</v>
      </c>
      <c r="L135" s="4" t="s">
        <v>1556</v>
      </c>
      <c r="M135" s="4" t="s">
        <v>1098</v>
      </c>
    </row>
    <row r="136" spans="1:13" ht="27.6" customHeight="1" x14ac:dyDescent="0.25">
      <c r="A136" s="3" t="s">
        <v>24</v>
      </c>
      <c r="B136" s="3" t="s">
        <v>1449</v>
      </c>
      <c r="C136" s="3" t="s">
        <v>463</v>
      </c>
      <c r="D136" s="4" t="s">
        <v>1218</v>
      </c>
      <c r="E136" s="3" t="s">
        <v>384</v>
      </c>
      <c r="F136" s="3" t="s">
        <v>465</v>
      </c>
      <c r="G136" s="4" t="s">
        <v>466</v>
      </c>
      <c r="H136" s="4" t="s">
        <v>172</v>
      </c>
      <c r="I136" s="4" t="s">
        <v>467</v>
      </c>
      <c r="J136" s="4" t="s">
        <v>512</v>
      </c>
      <c r="K136" s="4">
        <v>25</v>
      </c>
      <c r="L136" s="4" t="s">
        <v>1557</v>
      </c>
      <c r="M136" s="4" t="s">
        <v>1099</v>
      </c>
    </row>
    <row r="137" spans="1:13" ht="138" customHeight="1" x14ac:dyDescent="0.25">
      <c r="A137" s="3" t="s">
        <v>24</v>
      </c>
      <c r="B137" s="3" t="s">
        <v>1449</v>
      </c>
      <c r="C137" s="3" t="s">
        <v>472</v>
      </c>
      <c r="D137" s="4" t="s">
        <v>1219</v>
      </c>
      <c r="E137" s="3" t="s">
        <v>474</v>
      </c>
      <c r="F137" s="3" t="s">
        <v>475</v>
      </c>
      <c r="G137" s="4" t="s">
        <v>476</v>
      </c>
      <c r="H137" s="4" t="s">
        <v>172</v>
      </c>
      <c r="I137" s="4" t="s">
        <v>477</v>
      </c>
      <c r="J137" s="4" t="s">
        <v>512</v>
      </c>
      <c r="K137" s="4">
        <v>26</v>
      </c>
      <c r="L137" s="4" t="s">
        <v>1539</v>
      </c>
      <c r="M137" s="4" t="s">
        <v>1101</v>
      </c>
    </row>
    <row r="138" spans="1:13" ht="27.6" customHeight="1" x14ac:dyDescent="0.25">
      <c r="A138" s="3" t="s">
        <v>24</v>
      </c>
      <c r="B138" s="3" t="s">
        <v>1449</v>
      </c>
      <c r="C138" s="3" t="s">
        <v>478</v>
      </c>
      <c r="D138" s="4" t="s">
        <v>1220</v>
      </c>
      <c r="E138" s="3" t="s">
        <v>474</v>
      </c>
      <c r="F138" s="3" t="s">
        <v>480</v>
      </c>
      <c r="G138" s="4" t="s">
        <v>466</v>
      </c>
      <c r="H138" s="4" t="s">
        <v>78</v>
      </c>
      <c r="I138" s="4" t="s">
        <v>481</v>
      </c>
      <c r="J138" s="4" t="s">
        <v>512</v>
      </c>
      <c r="K138" s="4">
        <v>27</v>
      </c>
      <c r="L138" s="4" t="s">
        <v>1540</v>
      </c>
      <c r="M138" s="4" t="s">
        <v>1102</v>
      </c>
    </row>
    <row r="139" spans="1:13" ht="27.6" customHeight="1" x14ac:dyDescent="0.25">
      <c r="A139" s="3" t="s">
        <v>24</v>
      </c>
      <c r="B139" s="3" t="s">
        <v>1452</v>
      </c>
      <c r="C139" s="3" t="s">
        <v>197</v>
      </c>
      <c r="D139" s="4" t="s">
        <v>1221</v>
      </c>
      <c r="E139" s="3" t="s">
        <v>80</v>
      </c>
      <c r="F139" s="3" t="s">
        <v>81</v>
      </c>
      <c r="G139" s="4" t="s">
        <v>77</v>
      </c>
      <c r="H139" s="4" t="s">
        <v>78</v>
      </c>
      <c r="I139" s="4" t="s">
        <v>82</v>
      </c>
      <c r="J139" s="4" t="s">
        <v>513</v>
      </c>
      <c r="K139" s="4">
        <v>1</v>
      </c>
      <c r="L139" s="4" t="s">
        <v>0</v>
      </c>
      <c r="M139" s="4" t="s">
        <v>211</v>
      </c>
    </row>
    <row r="140" spans="1:13" ht="110.45" customHeight="1" x14ac:dyDescent="0.25">
      <c r="A140" s="3" t="s">
        <v>24</v>
      </c>
      <c r="B140" s="3" t="s">
        <v>1452</v>
      </c>
      <c r="C140" s="3" t="s">
        <v>1446</v>
      </c>
      <c r="D140" s="4" t="s">
        <v>1222</v>
      </c>
      <c r="E140" s="3" t="s">
        <v>169</v>
      </c>
      <c r="F140" s="3" t="s">
        <v>526</v>
      </c>
      <c r="G140" s="4" t="s">
        <v>527</v>
      </c>
      <c r="H140" s="4" t="s">
        <v>172</v>
      </c>
      <c r="I140" s="4" t="s">
        <v>528</v>
      </c>
      <c r="J140" s="4" t="s">
        <v>513</v>
      </c>
      <c r="K140" s="4">
        <v>2</v>
      </c>
      <c r="L140" s="4" t="s">
        <v>1516</v>
      </c>
      <c r="M140" s="4" t="s">
        <v>1106</v>
      </c>
    </row>
    <row r="141" spans="1:13" ht="27.6" customHeight="1" x14ac:dyDescent="0.25">
      <c r="A141" s="3" t="s">
        <v>24</v>
      </c>
      <c r="B141" s="3" t="s">
        <v>1452</v>
      </c>
      <c r="C141" s="3" t="s">
        <v>181</v>
      </c>
      <c r="D141" s="4" t="s">
        <v>1223</v>
      </c>
      <c r="E141" s="3" t="s">
        <v>169</v>
      </c>
      <c r="F141" s="3" t="s">
        <v>182</v>
      </c>
      <c r="G141" s="4" t="s">
        <v>529</v>
      </c>
      <c r="H141" s="4" t="s">
        <v>172</v>
      </c>
      <c r="I141" s="4" t="s">
        <v>530</v>
      </c>
      <c r="J141" s="4" t="s">
        <v>513</v>
      </c>
      <c r="K141" s="4">
        <v>3</v>
      </c>
      <c r="L141" s="4" t="s">
        <v>185</v>
      </c>
      <c r="M141" s="4" t="s">
        <v>212</v>
      </c>
    </row>
    <row r="142" spans="1:13" ht="27.6" customHeight="1" x14ac:dyDescent="0.25">
      <c r="A142" s="3" t="s">
        <v>24</v>
      </c>
      <c r="B142" s="3" t="s">
        <v>1452</v>
      </c>
      <c r="C142" s="3" t="s">
        <v>186</v>
      </c>
      <c r="D142" s="4" t="s">
        <v>1224</v>
      </c>
      <c r="E142" s="3" t="s">
        <v>169</v>
      </c>
      <c r="F142" s="3" t="s">
        <v>187</v>
      </c>
      <c r="G142" s="4" t="s">
        <v>77</v>
      </c>
      <c r="H142" s="4" t="s">
        <v>172</v>
      </c>
      <c r="I142" s="4" t="s">
        <v>603</v>
      </c>
      <c r="J142" s="4" t="s">
        <v>513</v>
      </c>
      <c r="K142" s="4">
        <v>4</v>
      </c>
      <c r="L142" s="4" t="s">
        <v>189</v>
      </c>
      <c r="M142" s="4" t="s">
        <v>213</v>
      </c>
    </row>
    <row r="143" spans="1:13" ht="96.6" customHeight="1" x14ac:dyDescent="0.25">
      <c r="A143" s="3" t="s">
        <v>24</v>
      </c>
      <c r="B143" s="3" t="s">
        <v>1452</v>
      </c>
      <c r="C143" s="3" t="s">
        <v>190</v>
      </c>
      <c r="D143" s="4" t="s">
        <v>1225</v>
      </c>
      <c r="E143" s="3" t="s">
        <v>169</v>
      </c>
      <c r="F143" s="3" t="s">
        <v>191</v>
      </c>
      <c r="G143" s="4" t="s">
        <v>176</v>
      </c>
      <c r="H143" s="4" t="s">
        <v>172</v>
      </c>
      <c r="I143" s="4" t="s">
        <v>192</v>
      </c>
      <c r="J143" s="4" t="s">
        <v>513</v>
      </c>
      <c r="K143" s="4">
        <v>5</v>
      </c>
      <c r="L143" s="4" t="s">
        <v>193</v>
      </c>
      <c r="M143" s="4" t="s">
        <v>214</v>
      </c>
    </row>
    <row r="144" spans="1:13" ht="110.45" customHeight="1" x14ac:dyDescent="0.25">
      <c r="A144" s="3" t="s">
        <v>24</v>
      </c>
      <c r="B144" s="3" t="s">
        <v>1452</v>
      </c>
      <c r="C144" s="3" t="s">
        <v>194</v>
      </c>
      <c r="D144" s="4" t="s">
        <v>1226</v>
      </c>
      <c r="E144" s="3" t="s">
        <v>169</v>
      </c>
      <c r="F144" s="3" t="s">
        <v>195</v>
      </c>
      <c r="G144" s="4" t="s">
        <v>176</v>
      </c>
      <c r="H144" s="4" t="s">
        <v>172</v>
      </c>
      <c r="I144" s="4" t="s">
        <v>531</v>
      </c>
      <c r="J144" s="4" t="s">
        <v>513</v>
      </c>
      <c r="K144" s="4">
        <v>6</v>
      </c>
      <c r="L144" s="4" t="s">
        <v>1508</v>
      </c>
      <c r="M144" s="4" t="s">
        <v>148</v>
      </c>
    </row>
    <row r="145" spans="1:13" ht="82.9" customHeight="1" x14ac:dyDescent="0.25">
      <c r="A145" s="3" t="s">
        <v>24</v>
      </c>
      <c r="B145" s="3" t="s">
        <v>1452</v>
      </c>
      <c r="C145" s="3" t="s">
        <v>537</v>
      </c>
      <c r="D145" s="4" t="s">
        <v>1227</v>
      </c>
      <c r="E145" s="3" t="s">
        <v>384</v>
      </c>
      <c r="F145" s="3" t="s">
        <v>538</v>
      </c>
      <c r="G145" s="4" t="s">
        <v>539</v>
      </c>
      <c r="H145" s="4" t="s">
        <v>172</v>
      </c>
      <c r="I145" s="4" t="s">
        <v>604</v>
      </c>
      <c r="J145" s="4" t="s">
        <v>513</v>
      </c>
      <c r="K145" s="4">
        <v>7</v>
      </c>
      <c r="L145" s="4" t="s">
        <v>1517</v>
      </c>
      <c r="M145" s="4" t="s">
        <v>1107</v>
      </c>
    </row>
    <row r="146" spans="1:13" ht="27.6" customHeight="1" x14ac:dyDescent="0.25">
      <c r="A146" s="3" t="s">
        <v>24</v>
      </c>
      <c r="B146" s="3" t="s">
        <v>1452</v>
      </c>
      <c r="C146" s="3" t="s">
        <v>541</v>
      </c>
      <c r="D146" s="4" t="s">
        <v>1228</v>
      </c>
      <c r="E146" s="3" t="s">
        <v>384</v>
      </c>
      <c r="F146" s="3" t="s">
        <v>542</v>
      </c>
      <c r="G146" s="4" t="s">
        <v>466</v>
      </c>
      <c r="H146" s="4" t="s">
        <v>172</v>
      </c>
      <c r="I146" s="4" t="s">
        <v>543</v>
      </c>
      <c r="J146" s="4" t="s">
        <v>513</v>
      </c>
      <c r="K146" s="4">
        <v>8</v>
      </c>
      <c r="L146" s="4" t="s">
        <v>1518</v>
      </c>
      <c r="M146" s="4" t="s">
        <v>1108</v>
      </c>
    </row>
    <row r="147" spans="1:13" ht="41.45" customHeight="1" x14ac:dyDescent="0.25">
      <c r="A147" s="3" t="s">
        <v>24</v>
      </c>
      <c r="B147" s="3" t="s">
        <v>1452</v>
      </c>
      <c r="C147" s="3" t="s">
        <v>605</v>
      </c>
      <c r="D147" s="4" t="s">
        <v>1229</v>
      </c>
      <c r="E147" s="3" t="s">
        <v>80</v>
      </c>
      <c r="F147" s="3" t="s">
        <v>606</v>
      </c>
      <c r="G147" s="4" t="s">
        <v>77</v>
      </c>
      <c r="H147" s="4" t="s">
        <v>78</v>
      </c>
      <c r="I147" s="4" t="s">
        <v>607</v>
      </c>
      <c r="J147" s="4" t="s">
        <v>513</v>
      </c>
      <c r="K147" s="4">
        <v>9</v>
      </c>
      <c r="L147" s="4" t="s">
        <v>1494</v>
      </c>
      <c r="M147" s="4" t="s">
        <v>1120</v>
      </c>
    </row>
    <row r="148" spans="1:13" ht="41.45" customHeight="1" x14ac:dyDescent="0.25">
      <c r="A148" s="3" t="s">
        <v>24</v>
      </c>
      <c r="B148" s="3" t="s">
        <v>1452</v>
      </c>
      <c r="C148" s="3" t="s">
        <v>608</v>
      </c>
      <c r="D148" s="4" t="s">
        <v>1230</v>
      </c>
      <c r="E148" s="3" t="s">
        <v>80</v>
      </c>
      <c r="F148" s="3" t="s">
        <v>609</v>
      </c>
      <c r="G148" s="4" t="s">
        <v>77</v>
      </c>
      <c r="H148" s="4" t="s">
        <v>78</v>
      </c>
      <c r="I148" s="4" t="s">
        <v>610</v>
      </c>
      <c r="J148" s="4" t="s">
        <v>513</v>
      </c>
      <c r="K148" s="4">
        <v>10</v>
      </c>
      <c r="L148" s="4" t="s">
        <v>1430</v>
      </c>
      <c r="M148" s="4" t="s">
        <v>1121</v>
      </c>
    </row>
    <row r="149" spans="1:13" ht="41.45" customHeight="1" x14ac:dyDescent="0.25">
      <c r="A149" s="3" t="s">
        <v>24</v>
      </c>
      <c r="B149" s="3" t="s">
        <v>1452</v>
      </c>
      <c r="C149" s="3" t="s">
        <v>611</v>
      </c>
      <c r="D149" s="4" t="s">
        <v>1231</v>
      </c>
      <c r="E149" s="3" t="s">
        <v>80</v>
      </c>
      <c r="F149" s="3" t="s">
        <v>612</v>
      </c>
      <c r="G149" s="4" t="s">
        <v>77</v>
      </c>
      <c r="H149" s="4" t="s">
        <v>78</v>
      </c>
      <c r="I149" s="4" t="s">
        <v>613</v>
      </c>
      <c r="J149" s="4" t="s">
        <v>513</v>
      </c>
      <c r="K149" s="4">
        <v>11</v>
      </c>
      <c r="L149" s="4" t="s">
        <v>1431</v>
      </c>
      <c r="M149" s="4" t="s">
        <v>148</v>
      </c>
    </row>
    <row r="150" spans="1:13" ht="41.45" customHeight="1" x14ac:dyDescent="0.25">
      <c r="A150" s="3" t="s">
        <v>24</v>
      </c>
      <c r="B150" s="3" t="s">
        <v>1452</v>
      </c>
      <c r="C150" s="3" t="s">
        <v>614</v>
      </c>
      <c r="D150" s="4" t="s">
        <v>1232</v>
      </c>
      <c r="E150" s="3" t="s">
        <v>80</v>
      </c>
      <c r="F150" s="3" t="s">
        <v>615</v>
      </c>
      <c r="G150" s="4" t="s">
        <v>77</v>
      </c>
      <c r="H150" s="4" t="s">
        <v>78</v>
      </c>
      <c r="I150" s="4" t="s">
        <v>616</v>
      </c>
      <c r="J150" s="4" t="s">
        <v>513</v>
      </c>
      <c r="K150" s="4">
        <v>12</v>
      </c>
      <c r="L150" s="4" t="s">
        <v>1432</v>
      </c>
      <c r="M150" s="4" t="s">
        <v>148</v>
      </c>
    </row>
    <row r="151" spans="1:13" ht="41.45" customHeight="1" x14ac:dyDescent="0.25">
      <c r="A151" s="3" t="s">
        <v>24</v>
      </c>
      <c r="B151" s="3" t="s">
        <v>1452</v>
      </c>
      <c r="C151" s="3" t="s">
        <v>617</v>
      </c>
      <c r="D151" s="4" t="s">
        <v>1233</v>
      </c>
      <c r="E151" s="3" t="s">
        <v>80</v>
      </c>
      <c r="F151" s="3" t="s">
        <v>618</v>
      </c>
      <c r="G151" s="4" t="s">
        <v>77</v>
      </c>
      <c r="H151" s="4" t="s">
        <v>78</v>
      </c>
      <c r="I151" s="4" t="s">
        <v>619</v>
      </c>
      <c r="J151" s="4" t="s">
        <v>513</v>
      </c>
      <c r="K151" s="4">
        <v>13</v>
      </c>
      <c r="L151" s="4" t="s">
        <v>1433</v>
      </c>
      <c r="M151" s="4" t="s">
        <v>148</v>
      </c>
    </row>
    <row r="152" spans="1:13" ht="27.6" customHeight="1" x14ac:dyDescent="0.25">
      <c r="A152" s="3" t="s">
        <v>24</v>
      </c>
      <c r="B152" s="3" t="s">
        <v>1452</v>
      </c>
      <c r="C152" s="3" t="s">
        <v>620</v>
      </c>
      <c r="D152" s="4" t="s">
        <v>1234</v>
      </c>
      <c r="E152" s="3" t="s">
        <v>80</v>
      </c>
      <c r="F152" s="3" t="s">
        <v>32</v>
      </c>
      <c r="G152" s="4" t="s">
        <v>77</v>
      </c>
      <c r="H152" s="4" t="s">
        <v>78</v>
      </c>
      <c r="I152" s="4" t="s">
        <v>621</v>
      </c>
      <c r="J152" s="4" t="s">
        <v>513</v>
      </c>
      <c r="K152" s="4">
        <v>14</v>
      </c>
      <c r="L152" s="4" t="s">
        <v>1434</v>
      </c>
      <c r="M152" s="4" t="s">
        <v>1122</v>
      </c>
    </row>
    <row r="153" spans="1:13" ht="27.6" customHeight="1" x14ac:dyDescent="0.25">
      <c r="A153" s="3" t="s">
        <v>24</v>
      </c>
      <c r="B153" s="3" t="s">
        <v>1452</v>
      </c>
      <c r="C153" s="3" t="s">
        <v>622</v>
      </c>
      <c r="D153" s="4" t="s">
        <v>1235</v>
      </c>
      <c r="E153" s="3" t="s">
        <v>623</v>
      </c>
      <c r="F153" s="3" t="s">
        <v>624</v>
      </c>
      <c r="G153" s="4" t="s">
        <v>625</v>
      </c>
      <c r="H153" s="4" t="s">
        <v>78</v>
      </c>
      <c r="I153" s="4" t="s">
        <v>626</v>
      </c>
      <c r="J153" s="4" t="s">
        <v>513</v>
      </c>
      <c r="K153" s="4">
        <v>15</v>
      </c>
      <c r="L153" s="4" t="s">
        <v>1435</v>
      </c>
      <c r="M153" s="4" t="s">
        <v>148</v>
      </c>
    </row>
    <row r="154" spans="1:13" ht="27.6" customHeight="1" x14ac:dyDescent="0.25">
      <c r="A154" s="3" t="s">
        <v>24</v>
      </c>
      <c r="B154" s="3" t="s">
        <v>1452</v>
      </c>
      <c r="C154" s="3" t="s">
        <v>627</v>
      </c>
      <c r="D154" s="4" t="s">
        <v>1236</v>
      </c>
      <c r="E154" s="3" t="s">
        <v>623</v>
      </c>
      <c r="F154" s="3" t="s">
        <v>628</v>
      </c>
      <c r="G154" s="4" t="s">
        <v>625</v>
      </c>
      <c r="H154" s="4" t="s">
        <v>78</v>
      </c>
      <c r="I154" s="4" t="s">
        <v>629</v>
      </c>
      <c r="J154" s="4" t="s">
        <v>513</v>
      </c>
      <c r="K154" s="4">
        <v>16</v>
      </c>
      <c r="L154" s="4" t="s">
        <v>1436</v>
      </c>
      <c r="M154" s="4" t="s">
        <v>148</v>
      </c>
    </row>
    <row r="155" spans="1:13" ht="27.6" customHeight="1" x14ac:dyDescent="0.25">
      <c r="A155" s="3" t="s">
        <v>24</v>
      </c>
      <c r="B155" s="3" t="s">
        <v>1452</v>
      </c>
      <c r="C155" s="3" t="s">
        <v>630</v>
      </c>
      <c r="D155" s="4" t="s">
        <v>1237</v>
      </c>
      <c r="E155" s="3" t="s">
        <v>623</v>
      </c>
      <c r="F155" s="3" t="s">
        <v>631</v>
      </c>
      <c r="G155" s="4" t="s">
        <v>77</v>
      </c>
      <c r="H155" s="4" t="s">
        <v>78</v>
      </c>
      <c r="I155" s="4" t="s">
        <v>632</v>
      </c>
      <c r="J155" s="4" t="s">
        <v>513</v>
      </c>
      <c r="K155" s="4">
        <v>17</v>
      </c>
      <c r="L155" s="4" t="s">
        <v>1437</v>
      </c>
      <c r="M155" s="4" t="s">
        <v>148</v>
      </c>
    </row>
    <row r="156" spans="1:13" ht="27.6" customHeight="1" x14ac:dyDescent="0.25">
      <c r="A156" s="3" t="s">
        <v>24</v>
      </c>
      <c r="B156" s="3" t="s">
        <v>1452</v>
      </c>
      <c r="C156" s="3" t="s">
        <v>633</v>
      </c>
      <c r="D156" s="4" t="s">
        <v>1238</v>
      </c>
      <c r="E156" s="3" t="s">
        <v>623</v>
      </c>
      <c r="F156" s="3" t="s">
        <v>634</v>
      </c>
      <c r="G156" s="4" t="s">
        <v>77</v>
      </c>
      <c r="H156" s="4" t="s">
        <v>78</v>
      </c>
      <c r="I156" s="4" t="s">
        <v>635</v>
      </c>
      <c r="J156" s="4" t="s">
        <v>513</v>
      </c>
      <c r="K156" s="4">
        <v>18</v>
      </c>
      <c r="L156" s="4" t="s">
        <v>1502</v>
      </c>
      <c r="M156" s="4" t="s">
        <v>148</v>
      </c>
    </row>
    <row r="157" spans="1:13" ht="27.6" customHeight="1" x14ac:dyDescent="0.25">
      <c r="A157" s="3" t="s">
        <v>24</v>
      </c>
      <c r="B157" s="3" t="s">
        <v>1452</v>
      </c>
      <c r="C157" s="3" t="s">
        <v>636</v>
      </c>
      <c r="D157" s="4" t="s">
        <v>1239</v>
      </c>
      <c r="E157" s="3" t="s">
        <v>623</v>
      </c>
      <c r="F157" s="3" t="s">
        <v>637</v>
      </c>
      <c r="G157" s="4" t="s">
        <v>638</v>
      </c>
      <c r="H157" s="4" t="s">
        <v>172</v>
      </c>
      <c r="I157" s="4" t="s">
        <v>639</v>
      </c>
      <c r="J157" s="4" t="s">
        <v>513</v>
      </c>
      <c r="K157" s="4">
        <v>19</v>
      </c>
      <c r="L157" s="4" t="s">
        <v>1438</v>
      </c>
      <c r="M157" s="4" t="s">
        <v>1123</v>
      </c>
    </row>
    <row r="158" spans="1:13" ht="27.6" customHeight="1" x14ac:dyDescent="0.25">
      <c r="A158" s="3" t="s">
        <v>24</v>
      </c>
      <c r="B158" s="3" t="s">
        <v>1452</v>
      </c>
      <c r="C158" s="3" t="s">
        <v>640</v>
      </c>
      <c r="D158" s="4" t="s">
        <v>1240</v>
      </c>
      <c r="E158" s="3" t="s">
        <v>533</v>
      </c>
      <c r="F158" s="3" t="s">
        <v>641</v>
      </c>
      <c r="G158" s="4" t="s">
        <v>316</v>
      </c>
      <c r="H158" s="4" t="s">
        <v>78</v>
      </c>
      <c r="I158" s="4" t="s">
        <v>642</v>
      </c>
      <c r="J158" s="4" t="s">
        <v>513</v>
      </c>
      <c r="K158" s="4">
        <v>20</v>
      </c>
      <c r="L158" s="4" t="s">
        <v>1439</v>
      </c>
      <c r="M158" s="4" t="s">
        <v>148</v>
      </c>
    </row>
    <row r="159" spans="1:13" ht="331.15" customHeight="1" x14ac:dyDescent="0.25">
      <c r="A159" s="3" t="s">
        <v>24</v>
      </c>
      <c r="B159" s="3" t="s">
        <v>1452</v>
      </c>
      <c r="C159" s="3" t="s">
        <v>643</v>
      </c>
      <c r="D159" s="4" t="s">
        <v>1241</v>
      </c>
      <c r="E159" s="3" t="s">
        <v>533</v>
      </c>
      <c r="F159" s="3" t="s">
        <v>644</v>
      </c>
      <c r="G159" s="4" t="s">
        <v>645</v>
      </c>
      <c r="H159" s="4" t="s">
        <v>78</v>
      </c>
      <c r="I159" s="4" t="s">
        <v>646</v>
      </c>
      <c r="J159" s="4" t="s">
        <v>513</v>
      </c>
      <c r="K159" s="4">
        <v>21</v>
      </c>
      <c r="L159" s="4" t="s">
        <v>1440</v>
      </c>
      <c r="M159" s="4" t="s">
        <v>148</v>
      </c>
    </row>
    <row r="160" spans="1:13" ht="55.15" customHeight="1" x14ac:dyDescent="0.25">
      <c r="A160" s="3" t="s">
        <v>24</v>
      </c>
      <c r="B160" s="3" t="s">
        <v>1452</v>
      </c>
      <c r="C160" s="3" t="s">
        <v>647</v>
      </c>
      <c r="D160" s="4" t="s">
        <v>1242</v>
      </c>
      <c r="E160" s="3" t="s">
        <v>533</v>
      </c>
      <c r="F160" s="3" t="s">
        <v>648</v>
      </c>
      <c r="G160" s="4" t="s">
        <v>649</v>
      </c>
      <c r="H160" s="4" t="s">
        <v>78</v>
      </c>
      <c r="I160" s="4" t="s">
        <v>650</v>
      </c>
      <c r="J160" s="4" t="s">
        <v>513</v>
      </c>
      <c r="K160" s="4">
        <v>22</v>
      </c>
      <c r="L160" s="4" t="s">
        <v>1441</v>
      </c>
      <c r="M160" s="4" t="s">
        <v>1124</v>
      </c>
    </row>
    <row r="161" spans="1:13" ht="82.9" customHeight="1" x14ac:dyDescent="0.25">
      <c r="A161" s="3" t="s">
        <v>24</v>
      </c>
      <c r="B161" s="3" t="s">
        <v>1452</v>
      </c>
      <c r="C161" s="3" t="s">
        <v>651</v>
      </c>
      <c r="D161" s="4" t="s">
        <v>1243</v>
      </c>
      <c r="E161" s="3" t="s">
        <v>484</v>
      </c>
      <c r="F161" s="3" t="s">
        <v>652</v>
      </c>
      <c r="G161" s="4" t="s">
        <v>653</v>
      </c>
      <c r="H161" s="4" t="s">
        <v>172</v>
      </c>
      <c r="I161" s="4" t="s">
        <v>654</v>
      </c>
      <c r="J161" s="4" t="s">
        <v>513</v>
      </c>
      <c r="K161" s="4">
        <v>23</v>
      </c>
      <c r="L161" s="4" t="s">
        <v>1522</v>
      </c>
      <c r="M161" s="4" t="s">
        <v>1125</v>
      </c>
    </row>
    <row r="162" spans="1:13" ht="41.45" customHeight="1" x14ac:dyDescent="0.25">
      <c r="A162" s="3" t="s">
        <v>24</v>
      </c>
      <c r="B162" s="3" t="s">
        <v>1452</v>
      </c>
      <c r="C162" s="3" t="s">
        <v>655</v>
      </c>
      <c r="D162" s="4" t="s">
        <v>1244</v>
      </c>
      <c r="E162" s="3" t="s">
        <v>484</v>
      </c>
      <c r="F162" s="3" t="s">
        <v>656</v>
      </c>
      <c r="G162" s="4" t="s">
        <v>466</v>
      </c>
      <c r="H162" s="4" t="s">
        <v>172</v>
      </c>
      <c r="I162" s="4" t="s">
        <v>657</v>
      </c>
      <c r="J162" s="4" t="s">
        <v>513</v>
      </c>
      <c r="K162" s="4">
        <v>24</v>
      </c>
      <c r="L162" s="4" t="s">
        <v>1523</v>
      </c>
      <c r="M162" s="4" t="s">
        <v>1126</v>
      </c>
    </row>
    <row r="163" spans="1:13" ht="69" customHeight="1" x14ac:dyDescent="0.25">
      <c r="A163" s="3" t="s">
        <v>24</v>
      </c>
      <c r="B163" s="3" t="s">
        <v>1452</v>
      </c>
      <c r="C163" s="3" t="s">
        <v>658</v>
      </c>
      <c r="D163" s="4" t="s">
        <v>1245</v>
      </c>
      <c r="E163" s="3" t="s">
        <v>533</v>
      </c>
      <c r="F163" s="3" t="s">
        <v>659</v>
      </c>
      <c r="G163" s="4" t="s">
        <v>660</v>
      </c>
      <c r="H163" s="4" t="s">
        <v>172</v>
      </c>
      <c r="I163" s="4" t="s">
        <v>661</v>
      </c>
      <c r="J163" s="4" t="s">
        <v>513</v>
      </c>
      <c r="K163" s="4">
        <v>25</v>
      </c>
      <c r="L163" s="4" t="s">
        <v>1442</v>
      </c>
      <c r="M163" s="4" t="s">
        <v>1127</v>
      </c>
    </row>
    <row r="164" spans="1:13" ht="41.45" customHeight="1" x14ac:dyDescent="0.25">
      <c r="A164" s="3" t="s">
        <v>24</v>
      </c>
      <c r="B164" s="3" t="s">
        <v>1452</v>
      </c>
      <c r="C164" s="3" t="s">
        <v>662</v>
      </c>
      <c r="D164" s="4" t="s">
        <v>1246</v>
      </c>
      <c r="E164" s="3" t="s">
        <v>533</v>
      </c>
      <c r="F164" s="3" t="s">
        <v>663</v>
      </c>
      <c r="G164" s="4" t="s">
        <v>466</v>
      </c>
      <c r="H164" s="4" t="s">
        <v>172</v>
      </c>
      <c r="I164" s="4" t="s">
        <v>664</v>
      </c>
      <c r="J164" s="4" t="s">
        <v>513</v>
      </c>
      <c r="K164" s="4">
        <v>26</v>
      </c>
      <c r="L164" s="4" t="s">
        <v>1524</v>
      </c>
      <c r="M164" s="4" t="s">
        <v>148</v>
      </c>
    </row>
    <row r="165" spans="1:13" ht="27.6" customHeight="1" x14ac:dyDescent="0.25">
      <c r="A165" s="3" t="s">
        <v>24</v>
      </c>
      <c r="B165" s="3" t="s">
        <v>1452</v>
      </c>
      <c r="C165" s="3" t="s">
        <v>665</v>
      </c>
      <c r="D165" s="4" t="s">
        <v>1247</v>
      </c>
      <c r="E165" s="3" t="s">
        <v>533</v>
      </c>
      <c r="F165" s="3" t="s">
        <v>666</v>
      </c>
      <c r="G165" s="4" t="s">
        <v>667</v>
      </c>
      <c r="H165" s="4" t="s">
        <v>172</v>
      </c>
      <c r="I165" s="4" t="s">
        <v>668</v>
      </c>
      <c r="J165" s="4" t="s">
        <v>513</v>
      </c>
      <c r="K165" s="4">
        <v>27</v>
      </c>
      <c r="L165" s="4" t="s">
        <v>1525</v>
      </c>
      <c r="M165" s="4" t="s">
        <v>148</v>
      </c>
    </row>
    <row r="166" spans="1:13" ht="41.45" customHeight="1" x14ac:dyDescent="0.25">
      <c r="A166" s="3" t="s">
        <v>24</v>
      </c>
      <c r="B166" s="3" t="s">
        <v>1452</v>
      </c>
      <c r="C166" s="3" t="s">
        <v>669</v>
      </c>
      <c r="D166" s="4" t="s">
        <v>1248</v>
      </c>
      <c r="E166" s="3" t="s">
        <v>384</v>
      </c>
      <c r="F166" s="3" t="s">
        <v>670</v>
      </c>
      <c r="G166" s="4" t="s">
        <v>671</v>
      </c>
      <c r="H166" s="4" t="s">
        <v>172</v>
      </c>
      <c r="I166" s="4" t="s">
        <v>672</v>
      </c>
      <c r="J166" s="4" t="s">
        <v>513</v>
      </c>
      <c r="K166" s="4">
        <v>28</v>
      </c>
      <c r="L166" s="4" t="s">
        <v>1443</v>
      </c>
      <c r="M166" s="4" t="s">
        <v>148</v>
      </c>
    </row>
    <row r="167" spans="1:13" ht="27.6" customHeight="1" x14ac:dyDescent="0.25">
      <c r="A167" s="3" t="s">
        <v>24</v>
      </c>
      <c r="B167" s="3" t="s">
        <v>1452</v>
      </c>
      <c r="C167" s="3" t="s">
        <v>673</v>
      </c>
      <c r="D167" s="4" t="s">
        <v>1249</v>
      </c>
      <c r="E167" s="3" t="s">
        <v>384</v>
      </c>
      <c r="F167" s="3" t="s">
        <v>674</v>
      </c>
      <c r="G167" s="4" t="s">
        <v>675</v>
      </c>
      <c r="H167" s="4" t="s">
        <v>172</v>
      </c>
      <c r="I167" s="4" t="s">
        <v>676</v>
      </c>
      <c r="J167" s="4" t="s">
        <v>513</v>
      </c>
      <c r="K167" s="4">
        <v>29</v>
      </c>
      <c r="L167" s="4" t="s">
        <v>1444</v>
      </c>
      <c r="M167" s="4" t="s">
        <v>1128</v>
      </c>
    </row>
    <row r="168" spans="1:13" ht="55.15" customHeight="1" x14ac:dyDescent="0.25">
      <c r="A168" s="3" t="s">
        <v>24</v>
      </c>
      <c r="B168" s="3" t="s">
        <v>1452</v>
      </c>
      <c r="C168" s="3" t="s">
        <v>677</v>
      </c>
      <c r="D168" s="4" t="s">
        <v>1250</v>
      </c>
      <c r="E168" s="3" t="s">
        <v>384</v>
      </c>
      <c r="F168" s="3" t="s">
        <v>678</v>
      </c>
      <c r="G168" s="4" t="s">
        <v>679</v>
      </c>
      <c r="H168" s="4" t="s">
        <v>172</v>
      </c>
      <c r="I168" s="4" t="s">
        <v>680</v>
      </c>
      <c r="J168" s="4" t="s">
        <v>513</v>
      </c>
      <c r="K168" s="4">
        <v>30</v>
      </c>
      <c r="L168" s="4" t="s">
        <v>1445</v>
      </c>
      <c r="M168" s="4" t="s">
        <v>1129</v>
      </c>
    </row>
    <row r="169" spans="1:13" ht="27.6" customHeight="1" x14ac:dyDescent="0.25">
      <c r="A169" s="3" t="s">
        <v>24</v>
      </c>
      <c r="B169" s="3" t="s">
        <v>1454</v>
      </c>
      <c r="C169" s="3" t="s">
        <v>230</v>
      </c>
      <c r="D169" s="4" t="s">
        <v>1251</v>
      </c>
      <c r="E169" s="3" t="s">
        <v>80</v>
      </c>
      <c r="F169" s="3" t="s">
        <v>232</v>
      </c>
      <c r="G169" s="4" t="s">
        <v>77</v>
      </c>
      <c r="H169" s="4" t="s">
        <v>78</v>
      </c>
      <c r="I169" s="4" t="s">
        <v>233</v>
      </c>
      <c r="J169" s="4" t="s">
        <v>514</v>
      </c>
      <c r="K169" s="4">
        <v>1</v>
      </c>
      <c r="L169" s="4" t="s">
        <v>282</v>
      </c>
      <c r="M169" s="4" t="s">
        <v>271</v>
      </c>
    </row>
    <row r="170" spans="1:13" ht="41.45" customHeight="1" x14ac:dyDescent="0.25">
      <c r="A170" s="3" t="s">
        <v>24</v>
      </c>
      <c r="B170" s="3" t="s">
        <v>1454</v>
      </c>
      <c r="C170" s="3" t="s">
        <v>215</v>
      </c>
      <c r="D170" s="4" t="s">
        <v>1252</v>
      </c>
      <c r="E170" s="3" t="s">
        <v>75</v>
      </c>
      <c r="F170" s="3" t="s">
        <v>76</v>
      </c>
      <c r="G170" s="4" t="s">
        <v>77</v>
      </c>
      <c r="H170" s="4" t="s">
        <v>78</v>
      </c>
      <c r="I170" s="4" t="s">
        <v>79</v>
      </c>
      <c r="J170" s="4" t="s">
        <v>514</v>
      </c>
      <c r="K170" s="4">
        <v>2</v>
      </c>
      <c r="L170" s="4" t="s">
        <v>27</v>
      </c>
      <c r="M170" s="4" t="s">
        <v>1465</v>
      </c>
    </row>
    <row r="171" spans="1:13" ht="69" customHeight="1" x14ac:dyDescent="0.25">
      <c r="A171" s="3" t="s">
        <v>24</v>
      </c>
      <c r="B171" s="3" t="s">
        <v>1454</v>
      </c>
      <c r="C171" s="3" t="s">
        <v>544</v>
      </c>
      <c r="D171" s="4" t="s">
        <v>1253</v>
      </c>
      <c r="E171" s="3" t="s">
        <v>80</v>
      </c>
      <c r="F171" s="3" t="s">
        <v>545</v>
      </c>
      <c r="G171" s="4" t="s">
        <v>77</v>
      </c>
      <c r="H171" s="4" t="s">
        <v>78</v>
      </c>
      <c r="I171" s="4" t="s">
        <v>546</v>
      </c>
      <c r="J171" s="4" t="s">
        <v>514</v>
      </c>
      <c r="K171" s="4">
        <v>3</v>
      </c>
      <c r="L171" s="4" t="s">
        <v>1423</v>
      </c>
      <c r="M171" s="4" t="s">
        <v>1109</v>
      </c>
    </row>
    <row r="172" spans="1:13" ht="317.45" customHeight="1" x14ac:dyDescent="0.25">
      <c r="A172" s="3" t="s">
        <v>24</v>
      </c>
      <c r="B172" s="3" t="s">
        <v>1454</v>
      </c>
      <c r="C172" s="3" t="s">
        <v>235</v>
      </c>
      <c r="D172" s="4" t="s">
        <v>1254</v>
      </c>
      <c r="E172" s="3" t="s">
        <v>75</v>
      </c>
      <c r="F172" s="3" t="s">
        <v>547</v>
      </c>
      <c r="G172" s="4" t="s">
        <v>548</v>
      </c>
      <c r="H172" s="4" t="s">
        <v>78</v>
      </c>
      <c r="I172" s="4" t="s">
        <v>239</v>
      </c>
      <c r="J172" s="4" t="s">
        <v>514</v>
      </c>
      <c r="K172" s="4">
        <v>4</v>
      </c>
      <c r="L172" s="4" t="s">
        <v>1509</v>
      </c>
      <c r="M172" s="4" t="s">
        <v>272</v>
      </c>
    </row>
    <row r="173" spans="1:13" ht="41.45" customHeight="1" x14ac:dyDescent="0.25">
      <c r="A173" s="3" t="s">
        <v>24</v>
      </c>
      <c r="B173" s="3" t="s">
        <v>1454</v>
      </c>
      <c r="C173" s="3" t="s">
        <v>240</v>
      </c>
      <c r="D173" s="4" t="s">
        <v>1255</v>
      </c>
      <c r="E173" s="3" t="s">
        <v>242</v>
      </c>
      <c r="F173" s="3" t="s">
        <v>243</v>
      </c>
      <c r="G173" s="4" t="s">
        <v>244</v>
      </c>
      <c r="H173" s="4" t="s">
        <v>78</v>
      </c>
      <c r="I173" s="4" t="s">
        <v>245</v>
      </c>
      <c r="J173" s="4" t="s">
        <v>514</v>
      </c>
      <c r="K173" s="4">
        <v>5</v>
      </c>
      <c r="L173" s="4" t="s">
        <v>246</v>
      </c>
      <c r="M173" s="4" t="s">
        <v>148</v>
      </c>
    </row>
    <row r="174" spans="1:13" ht="27.6" customHeight="1" x14ac:dyDescent="0.25">
      <c r="A174" s="3" t="s">
        <v>24</v>
      </c>
      <c r="B174" s="3" t="s">
        <v>1454</v>
      </c>
      <c r="C174" s="3" t="s">
        <v>247</v>
      </c>
      <c r="D174" s="4" t="s">
        <v>1256</v>
      </c>
      <c r="E174" s="3" t="s">
        <v>242</v>
      </c>
      <c r="F174" s="3" t="s">
        <v>249</v>
      </c>
      <c r="G174" s="4" t="s">
        <v>244</v>
      </c>
      <c r="H174" s="4" t="s">
        <v>78</v>
      </c>
      <c r="I174" s="4" t="s">
        <v>681</v>
      </c>
      <c r="J174" s="4" t="s">
        <v>514</v>
      </c>
      <c r="K174" s="4">
        <v>6</v>
      </c>
      <c r="L174" s="4" t="s">
        <v>251</v>
      </c>
      <c r="M174" s="4" t="s">
        <v>148</v>
      </c>
    </row>
    <row r="175" spans="1:13" ht="41.45" customHeight="1" x14ac:dyDescent="0.25">
      <c r="A175" s="3" t="s">
        <v>24</v>
      </c>
      <c r="B175" s="3" t="s">
        <v>1454</v>
      </c>
      <c r="C175" s="3" t="s">
        <v>252</v>
      </c>
      <c r="D175" s="4" t="s">
        <v>1257</v>
      </c>
      <c r="E175" s="3" t="s">
        <v>254</v>
      </c>
      <c r="F175" s="3" t="s">
        <v>255</v>
      </c>
      <c r="G175" s="4" t="s">
        <v>244</v>
      </c>
      <c r="H175" s="4" t="s">
        <v>78</v>
      </c>
      <c r="I175" s="4" t="s">
        <v>256</v>
      </c>
      <c r="J175" s="4" t="s">
        <v>514</v>
      </c>
      <c r="K175" s="4">
        <v>7</v>
      </c>
      <c r="L175" s="4" t="s">
        <v>257</v>
      </c>
      <c r="M175" s="4" t="s">
        <v>273</v>
      </c>
    </row>
    <row r="176" spans="1:13" ht="41.45" customHeight="1" x14ac:dyDescent="0.25">
      <c r="A176" s="3" t="s">
        <v>24</v>
      </c>
      <c r="B176" s="3" t="s">
        <v>1454</v>
      </c>
      <c r="C176" s="3" t="s">
        <v>258</v>
      </c>
      <c r="D176" s="4" t="s">
        <v>1258</v>
      </c>
      <c r="E176" s="3" t="s">
        <v>260</v>
      </c>
      <c r="F176" s="3" t="s">
        <v>261</v>
      </c>
      <c r="G176" s="4" t="s">
        <v>244</v>
      </c>
      <c r="H176" s="4" t="s">
        <v>78</v>
      </c>
      <c r="I176" s="4" t="s">
        <v>549</v>
      </c>
      <c r="J176" s="4" t="s">
        <v>514</v>
      </c>
      <c r="K176" s="4">
        <v>8</v>
      </c>
      <c r="L176" s="4" t="s">
        <v>263</v>
      </c>
      <c r="M176" s="4" t="s">
        <v>148</v>
      </c>
    </row>
    <row r="177" spans="1:13" ht="27.6" customHeight="1" x14ac:dyDescent="0.25">
      <c r="A177" s="3" t="s">
        <v>24</v>
      </c>
      <c r="B177" s="3" t="s">
        <v>1454</v>
      </c>
      <c r="C177" s="3" t="s">
        <v>550</v>
      </c>
      <c r="D177" s="4" t="s">
        <v>1259</v>
      </c>
      <c r="E177" s="3" t="s">
        <v>498</v>
      </c>
      <c r="F177" s="3" t="s">
        <v>551</v>
      </c>
      <c r="G177" s="4" t="s">
        <v>466</v>
      </c>
      <c r="H177" s="4" t="s">
        <v>172</v>
      </c>
      <c r="I177" s="4" t="s">
        <v>682</v>
      </c>
      <c r="J177" s="4" t="s">
        <v>514</v>
      </c>
      <c r="K177" s="4">
        <v>9</v>
      </c>
      <c r="L177" s="4" t="s">
        <v>1519</v>
      </c>
      <c r="M177" s="4" t="s">
        <v>1110</v>
      </c>
    </row>
    <row r="178" spans="1:13" ht="27.6" customHeight="1" x14ac:dyDescent="0.25">
      <c r="A178" s="3" t="s">
        <v>24</v>
      </c>
      <c r="B178" s="3" t="s">
        <v>1454</v>
      </c>
      <c r="C178" s="3" t="s">
        <v>553</v>
      </c>
      <c r="D178" s="4" t="s">
        <v>1260</v>
      </c>
      <c r="E178" s="3" t="s">
        <v>498</v>
      </c>
      <c r="F178" s="3" t="s">
        <v>554</v>
      </c>
      <c r="G178" s="4" t="s">
        <v>171</v>
      </c>
      <c r="H178" s="4" t="s">
        <v>172</v>
      </c>
      <c r="I178" s="4" t="s">
        <v>555</v>
      </c>
      <c r="J178" s="4" t="s">
        <v>514</v>
      </c>
      <c r="K178" s="4">
        <v>10</v>
      </c>
      <c r="L178" s="4" t="s">
        <v>1424</v>
      </c>
      <c r="M178" s="4" t="s">
        <v>1111</v>
      </c>
    </row>
    <row r="179" spans="1:13" ht="41.45" customHeight="1" x14ac:dyDescent="0.25">
      <c r="A179" s="3" t="s">
        <v>24</v>
      </c>
      <c r="B179" s="3" t="s">
        <v>1454</v>
      </c>
      <c r="C179" s="3" t="s">
        <v>556</v>
      </c>
      <c r="D179" s="4" t="s">
        <v>1261</v>
      </c>
      <c r="E179" s="3" t="s">
        <v>557</v>
      </c>
      <c r="F179" s="3" t="s">
        <v>558</v>
      </c>
      <c r="G179" s="4" t="s">
        <v>466</v>
      </c>
      <c r="H179" s="4" t="s">
        <v>78</v>
      </c>
      <c r="I179" s="4" t="s">
        <v>559</v>
      </c>
      <c r="J179" s="4" t="s">
        <v>514</v>
      </c>
      <c r="K179" s="4">
        <v>11</v>
      </c>
      <c r="L179" s="4" t="s">
        <v>1520</v>
      </c>
      <c r="M179" s="4" t="s">
        <v>1112</v>
      </c>
    </row>
    <row r="180" spans="1:13" ht="27.6" customHeight="1" x14ac:dyDescent="0.25">
      <c r="A180" s="3" t="s">
        <v>24</v>
      </c>
      <c r="B180" s="3" t="s">
        <v>1454</v>
      </c>
      <c r="C180" s="3" t="s">
        <v>560</v>
      </c>
      <c r="D180" s="4" t="s">
        <v>1262</v>
      </c>
      <c r="E180" s="3" t="s">
        <v>498</v>
      </c>
      <c r="F180" s="3" t="s">
        <v>561</v>
      </c>
      <c r="G180" s="4" t="s">
        <v>171</v>
      </c>
      <c r="H180" s="4" t="s">
        <v>78</v>
      </c>
      <c r="I180" s="4" t="s">
        <v>562</v>
      </c>
      <c r="J180" s="4" t="s">
        <v>514</v>
      </c>
      <c r="K180" s="4">
        <v>12</v>
      </c>
      <c r="L180" s="4" t="s">
        <v>1425</v>
      </c>
      <c r="M180" s="4" t="s">
        <v>1113</v>
      </c>
    </row>
    <row r="181" spans="1:13" ht="27.6" customHeight="1" x14ac:dyDescent="0.25">
      <c r="A181" s="3" t="s">
        <v>24</v>
      </c>
      <c r="B181" s="3" t="s">
        <v>1454</v>
      </c>
      <c r="C181" s="3" t="s">
        <v>563</v>
      </c>
      <c r="D181" s="4" t="s">
        <v>1263</v>
      </c>
      <c r="E181" s="3" t="s">
        <v>498</v>
      </c>
      <c r="F181" s="3" t="s">
        <v>564</v>
      </c>
      <c r="G181" s="4" t="s">
        <v>466</v>
      </c>
      <c r="H181" s="4" t="s">
        <v>78</v>
      </c>
      <c r="I181" s="4" t="s">
        <v>565</v>
      </c>
      <c r="J181" s="4" t="s">
        <v>514</v>
      </c>
      <c r="K181" s="4">
        <v>13</v>
      </c>
      <c r="L181" s="4" t="s">
        <v>1426</v>
      </c>
      <c r="M181" s="4" t="s">
        <v>1114</v>
      </c>
    </row>
    <row r="182" spans="1:13" ht="82.9" customHeight="1" x14ac:dyDescent="0.25">
      <c r="A182" s="3" t="s">
        <v>24</v>
      </c>
      <c r="B182" s="3" t="s">
        <v>1454</v>
      </c>
      <c r="C182" s="3" t="s">
        <v>566</v>
      </c>
      <c r="D182" s="4" t="s">
        <v>1264</v>
      </c>
      <c r="E182" s="3" t="s">
        <v>498</v>
      </c>
      <c r="F182" s="3" t="s">
        <v>567</v>
      </c>
      <c r="G182" s="4" t="s">
        <v>568</v>
      </c>
      <c r="H182" s="4" t="s">
        <v>172</v>
      </c>
      <c r="I182" s="4" t="s">
        <v>569</v>
      </c>
      <c r="J182" s="4" t="s">
        <v>514</v>
      </c>
      <c r="K182" s="4">
        <v>14</v>
      </c>
      <c r="L182" s="4" t="s">
        <v>1521</v>
      </c>
      <c r="M182" s="4" t="s">
        <v>1115</v>
      </c>
    </row>
    <row r="183" spans="1:13" ht="69" customHeight="1" x14ac:dyDescent="0.25">
      <c r="A183" s="3" t="s">
        <v>24</v>
      </c>
      <c r="B183" s="3" t="s">
        <v>1454</v>
      </c>
      <c r="C183" s="3" t="s">
        <v>570</v>
      </c>
      <c r="D183" s="4" t="s">
        <v>1265</v>
      </c>
      <c r="E183" s="3" t="s">
        <v>498</v>
      </c>
      <c r="F183" s="3" t="s">
        <v>571</v>
      </c>
      <c r="G183" s="4" t="s">
        <v>572</v>
      </c>
      <c r="H183" s="4" t="s">
        <v>172</v>
      </c>
      <c r="I183" s="4" t="s">
        <v>573</v>
      </c>
      <c r="J183" s="4" t="s">
        <v>514</v>
      </c>
      <c r="K183" s="4">
        <v>15</v>
      </c>
      <c r="L183" s="4" t="s">
        <v>1536</v>
      </c>
      <c r="M183" s="4" t="s">
        <v>1116</v>
      </c>
    </row>
    <row r="184" spans="1:13" ht="55.15" customHeight="1" x14ac:dyDescent="0.25">
      <c r="A184" s="3" t="s">
        <v>24</v>
      </c>
      <c r="B184" s="3" t="s">
        <v>1454</v>
      </c>
      <c r="C184" s="3" t="s">
        <v>683</v>
      </c>
      <c r="D184" s="4" t="s">
        <v>1266</v>
      </c>
      <c r="E184" s="3" t="s">
        <v>498</v>
      </c>
      <c r="F184" s="3" t="s">
        <v>575</v>
      </c>
      <c r="G184" s="4" t="s">
        <v>171</v>
      </c>
      <c r="H184" s="4" t="s">
        <v>172</v>
      </c>
      <c r="I184" s="4" t="s">
        <v>576</v>
      </c>
      <c r="J184" s="4" t="s">
        <v>514</v>
      </c>
      <c r="K184" s="4">
        <v>16</v>
      </c>
      <c r="L184" s="4" t="s">
        <v>29</v>
      </c>
      <c r="M184" s="4" t="s">
        <v>1470</v>
      </c>
    </row>
    <row r="185" spans="1:13" ht="27.6" customHeight="1" x14ac:dyDescent="0.25">
      <c r="A185" s="3" t="s">
        <v>24</v>
      </c>
      <c r="B185" s="3" t="s">
        <v>1454</v>
      </c>
      <c r="C185" s="3" t="s">
        <v>684</v>
      </c>
      <c r="D185" s="4" t="s">
        <v>1267</v>
      </c>
      <c r="E185" s="3" t="s">
        <v>260</v>
      </c>
      <c r="F185" s="3" t="s">
        <v>578</v>
      </c>
      <c r="G185" s="4" t="s">
        <v>171</v>
      </c>
      <c r="H185" s="4" t="s">
        <v>78</v>
      </c>
      <c r="I185" s="4" t="s">
        <v>579</v>
      </c>
      <c r="J185" s="4" t="s">
        <v>514</v>
      </c>
      <c r="K185" s="4">
        <v>17</v>
      </c>
      <c r="L185" s="4" t="s">
        <v>1538</v>
      </c>
      <c r="M185" s="4" t="s">
        <v>1470</v>
      </c>
    </row>
    <row r="186" spans="1:13" ht="27.6" hidden="1" customHeight="1" x14ac:dyDescent="0.25">
      <c r="A186" s="3" t="s">
        <v>24</v>
      </c>
      <c r="B186" s="3" t="s">
        <v>1459</v>
      </c>
      <c r="C186" s="3" t="s">
        <v>215</v>
      </c>
      <c r="D186" s="4" t="s">
        <v>1268</v>
      </c>
      <c r="E186" s="3" t="s">
        <v>75</v>
      </c>
      <c r="F186" s="3" t="s">
        <v>76</v>
      </c>
      <c r="G186" s="4" t="s">
        <v>77</v>
      </c>
      <c r="H186" s="4" t="s">
        <v>78</v>
      </c>
      <c r="I186" s="4" t="s">
        <v>79</v>
      </c>
      <c r="J186" s="4" t="s">
        <v>515</v>
      </c>
      <c r="K186" s="4">
        <v>1</v>
      </c>
      <c r="L186" s="4" t="s">
        <v>27</v>
      </c>
      <c r="M186" s="4" t="s">
        <v>276</v>
      </c>
    </row>
    <row r="187" spans="1:13" ht="27.6" hidden="1" customHeight="1" x14ac:dyDescent="0.25">
      <c r="A187" s="3" t="s">
        <v>24</v>
      </c>
      <c r="B187" s="3" t="s">
        <v>1459</v>
      </c>
      <c r="C187" s="3" t="s">
        <v>197</v>
      </c>
      <c r="D187" s="4" t="s">
        <v>1269</v>
      </c>
      <c r="E187" s="3" t="s">
        <v>80</v>
      </c>
      <c r="F187" s="3" t="s">
        <v>81</v>
      </c>
      <c r="G187" s="4" t="s">
        <v>77</v>
      </c>
      <c r="H187" s="4" t="s">
        <v>78</v>
      </c>
      <c r="I187" s="4" t="s">
        <v>82</v>
      </c>
      <c r="J187" s="4" t="s">
        <v>515</v>
      </c>
      <c r="K187" s="4">
        <v>2</v>
      </c>
      <c r="L187" s="4" t="s">
        <v>0</v>
      </c>
      <c r="M187" s="4" t="s">
        <v>277</v>
      </c>
    </row>
    <row r="188" spans="1:13" ht="27.6" hidden="1" customHeight="1" x14ac:dyDescent="0.25">
      <c r="A188" s="3" t="s">
        <v>24</v>
      </c>
      <c r="B188" s="3" t="s">
        <v>1459</v>
      </c>
      <c r="C188" s="3" t="s">
        <v>422</v>
      </c>
      <c r="D188" s="4" t="s">
        <v>1213</v>
      </c>
      <c r="E188" s="3" t="s">
        <v>384</v>
      </c>
      <c r="F188" s="3" t="s">
        <v>424</v>
      </c>
      <c r="G188" s="4" t="s">
        <v>171</v>
      </c>
      <c r="H188" s="4" t="s">
        <v>172</v>
      </c>
      <c r="I188" s="4" t="s">
        <v>425</v>
      </c>
      <c r="J188" s="4" t="s">
        <v>515</v>
      </c>
      <c r="K188" s="4">
        <v>3</v>
      </c>
      <c r="L188" s="4" t="s">
        <v>30</v>
      </c>
      <c r="M188" s="4" t="s">
        <v>1092</v>
      </c>
    </row>
    <row r="189" spans="1:13" ht="27.6" hidden="1" customHeight="1" x14ac:dyDescent="0.25">
      <c r="A189" s="3" t="s">
        <v>24</v>
      </c>
      <c r="B189" s="3" t="s">
        <v>1456</v>
      </c>
      <c r="C189" s="3" t="s">
        <v>215</v>
      </c>
      <c r="D189" s="4" t="s">
        <v>1270</v>
      </c>
      <c r="E189" s="3" t="s">
        <v>75</v>
      </c>
      <c r="F189" s="3" t="s">
        <v>76</v>
      </c>
      <c r="G189" s="4" t="s">
        <v>77</v>
      </c>
      <c r="H189" s="4" t="s">
        <v>78</v>
      </c>
      <c r="I189" s="4" t="s">
        <v>79</v>
      </c>
      <c r="J189" s="4" t="s">
        <v>516</v>
      </c>
      <c r="K189" s="4">
        <v>1</v>
      </c>
      <c r="L189" s="4" t="s">
        <v>27</v>
      </c>
      <c r="M189" s="4" t="s">
        <v>280</v>
      </c>
    </row>
    <row r="190" spans="1:13" ht="27.6" hidden="1" customHeight="1" x14ac:dyDescent="0.25">
      <c r="A190" s="3" t="s">
        <v>24</v>
      </c>
      <c r="B190" s="3" t="s">
        <v>1456</v>
      </c>
      <c r="C190" s="3" t="s">
        <v>230</v>
      </c>
      <c r="D190" s="4" t="s">
        <v>1271</v>
      </c>
      <c r="E190" s="3" t="s">
        <v>80</v>
      </c>
      <c r="F190" s="3" t="s">
        <v>232</v>
      </c>
      <c r="G190" s="4" t="s">
        <v>77</v>
      </c>
      <c r="H190" s="4" t="s">
        <v>78</v>
      </c>
      <c r="I190" s="4" t="s">
        <v>233</v>
      </c>
      <c r="J190" s="4" t="s">
        <v>516</v>
      </c>
      <c r="K190" s="4">
        <v>2</v>
      </c>
      <c r="L190" s="4" t="s">
        <v>282</v>
      </c>
      <c r="M190" s="4" t="s">
        <v>281</v>
      </c>
    </row>
    <row r="191" spans="1:13" ht="55.15" hidden="1" customHeight="1" x14ac:dyDescent="0.25">
      <c r="A191" s="3" t="s">
        <v>24</v>
      </c>
      <c r="B191" s="3" t="s">
        <v>1456</v>
      </c>
      <c r="C191" s="3" t="s">
        <v>683</v>
      </c>
      <c r="D191" s="4" t="s">
        <v>1272</v>
      </c>
      <c r="E191" s="3" t="s">
        <v>498</v>
      </c>
      <c r="F191" s="3" t="s">
        <v>575</v>
      </c>
      <c r="G191" s="4" t="s">
        <v>171</v>
      </c>
      <c r="H191" s="4" t="s">
        <v>172</v>
      </c>
      <c r="I191" s="4" t="s">
        <v>576</v>
      </c>
      <c r="J191" s="4" t="s">
        <v>516</v>
      </c>
      <c r="K191" s="4">
        <v>3</v>
      </c>
      <c r="L191" s="4" t="s">
        <v>29</v>
      </c>
      <c r="M191" s="4" t="s">
        <v>1117</v>
      </c>
    </row>
    <row r="192" spans="1:13" ht="27.6" hidden="1" customHeight="1" x14ac:dyDescent="0.25">
      <c r="A192" s="3" t="s">
        <v>24</v>
      </c>
      <c r="B192" s="3" t="s">
        <v>1456</v>
      </c>
      <c r="C192" s="3" t="s">
        <v>684</v>
      </c>
      <c r="D192" s="4" t="s">
        <v>1273</v>
      </c>
      <c r="E192" s="3" t="s">
        <v>260</v>
      </c>
      <c r="F192" s="3" t="s">
        <v>578</v>
      </c>
      <c r="G192" s="4" t="s">
        <v>171</v>
      </c>
      <c r="H192" s="4" t="s">
        <v>78</v>
      </c>
      <c r="I192" s="4" t="s">
        <v>579</v>
      </c>
      <c r="J192" s="4" t="s">
        <v>516</v>
      </c>
      <c r="K192" s="4">
        <v>4</v>
      </c>
      <c r="L192" s="4" t="s">
        <v>1538</v>
      </c>
      <c r="M192" s="4" t="s">
        <v>1118</v>
      </c>
    </row>
    <row r="193" spans="1:13" ht="69" customHeight="1" x14ac:dyDescent="0.25">
      <c r="A193" s="3" t="s">
        <v>25</v>
      </c>
      <c r="B193" s="3" t="s">
        <v>25</v>
      </c>
      <c r="C193" s="3" t="s">
        <v>288</v>
      </c>
      <c r="D193" s="4" t="s">
        <v>1274</v>
      </c>
      <c r="E193" s="3" t="s">
        <v>685</v>
      </c>
      <c r="F193" s="3" t="s">
        <v>686</v>
      </c>
      <c r="G193" s="4" t="s">
        <v>687</v>
      </c>
      <c r="H193" s="4" t="s">
        <v>172</v>
      </c>
      <c r="I193" s="4" t="s">
        <v>688</v>
      </c>
      <c r="J193" s="4" t="s">
        <v>517</v>
      </c>
      <c r="K193" s="4">
        <v>1</v>
      </c>
      <c r="L193" s="4" t="s">
        <v>1559</v>
      </c>
      <c r="M193" s="4" t="s">
        <v>148</v>
      </c>
    </row>
    <row r="194" spans="1:13" ht="55.15" customHeight="1" x14ac:dyDescent="0.25">
      <c r="A194" s="3" t="s">
        <v>25</v>
      </c>
      <c r="B194" s="3" t="s">
        <v>25</v>
      </c>
      <c r="C194" s="3" t="s">
        <v>197</v>
      </c>
      <c r="D194" s="4" t="s">
        <v>1275</v>
      </c>
      <c r="E194" s="3" t="s">
        <v>685</v>
      </c>
      <c r="F194" s="3" t="s">
        <v>689</v>
      </c>
      <c r="G194" s="4" t="s">
        <v>77</v>
      </c>
      <c r="H194" s="4" t="s">
        <v>78</v>
      </c>
      <c r="I194" s="4" t="s">
        <v>690</v>
      </c>
      <c r="J194" s="4" t="s">
        <v>517</v>
      </c>
      <c r="K194" s="4">
        <v>2</v>
      </c>
      <c r="L194" s="4" t="s">
        <v>0</v>
      </c>
      <c r="M194" s="4" t="s">
        <v>148</v>
      </c>
    </row>
    <row r="195" spans="1:13" ht="27.6" customHeight="1" x14ac:dyDescent="0.25">
      <c r="A195" s="3" t="s">
        <v>25</v>
      </c>
      <c r="B195" s="3" t="s">
        <v>25</v>
      </c>
      <c r="C195" s="3" t="s">
        <v>691</v>
      </c>
      <c r="D195" s="4" t="s">
        <v>1276</v>
      </c>
      <c r="E195" s="3" t="s">
        <v>685</v>
      </c>
      <c r="F195" s="3" t="s">
        <v>692</v>
      </c>
      <c r="G195" s="4" t="s">
        <v>693</v>
      </c>
      <c r="H195" s="4" t="s">
        <v>78</v>
      </c>
      <c r="I195" s="4" t="s">
        <v>694</v>
      </c>
      <c r="J195" s="4" t="s">
        <v>517</v>
      </c>
      <c r="K195" s="4">
        <v>3</v>
      </c>
      <c r="L195" s="4" t="s">
        <v>1</v>
      </c>
      <c r="M195" s="4" t="s">
        <v>148</v>
      </c>
    </row>
    <row r="196" spans="1:13" ht="27.6" customHeight="1" x14ac:dyDescent="0.25">
      <c r="A196" s="3" t="s">
        <v>25</v>
      </c>
      <c r="B196" s="3" t="s">
        <v>25</v>
      </c>
      <c r="C196" s="3" t="s">
        <v>695</v>
      </c>
      <c r="D196" s="4" t="s">
        <v>1277</v>
      </c>
      <c r="E196" s="3" t="s">
        <v>685</v>
      </c>
      <c r="F196" s="3" t="s">
        <v>696</v>
      </c>
      <c r="G196" s="4" t="s">
        <v>697</v>
      </c>
      <c r="H196" s="4" t="s">
        <v>78</v>
      </c>
      <c r="I196" s="4" t="s">
        <v>698</v>
      </c>
      <c r="J196" s="4" t="s">
        <v>517</v>
      </c>
      <c r="K196" s="4">
        <v>4</v>
      </c>
      <c r="L196" s="4" t="s">
        <v>2</v>
      </c>
      <c r="M196" s="4" t="s">
        <v>148</v>
      </c>
    </row>
    <row r="197" spans="1:13" ht="234.6" customHeight="1" x14ac:dyDescent="0.25">
      <c r="A197" s="3" t="s">
        <v>25</v>
      </c>
      <c r="B197" s="3" t="s">
        <v>25</v>
      </c>
      <c r="C197" s="3" t="s">
        <v>699</v>
      </c>
      <c r="D197" s="4" t="s">
        <v>1278</v>
      </c>
      <c r="E197" s="3" t="s">
        <v>84</v>
      </c>
      <c r="F197" s="3" t="s">
        <v>700</v>
      </c>
      <c r="G197" s="4" t="s">
        <v>701</v>
      </c>
      <c r="H197" s="4" t="s">
        <v>78</v>
      </c>
      <c r="I197" s="4"/>
      <c r="J197" s="4" t="s">
        <v>517</v>
      </c>
      <c r="K197" s="4">
        <v>5</v>
      </c>
      <c r="L197" s="4" t="s">
        <v>3</v>
      </c>
      <c r="M197" s="4" t="s">
        <v>148</v>
      </c>
    </row>
    <row r="198" spans="1:13" ht="14.45" customHeight="1" x14ac:dyDescent="0.25">
      <c r="A198" s="3" t="s">
        <v>25</v>
      </c>
      <c r="B198" s="3" t="s">
        <v>25</v>
      </c>
      <c r="C198" s="3" t="s">
        <v>702</v>
      </c>
      <c r="D198" s="4" t="s">
        <v>1279</v>
      </c>
      <c r="E198" s="3" t="s">
        <v>703</v>
      </c>
      <c r="F198" s="3" t="s">
        <v>704</v>
      </c>
      <c r="G198" s="4" t="s">
        <v>77</v>
      </c>
      <c r="H198" s="4" t="s">
        <v>78</v>
      </c>
      <c r="I198" s="4"/>
      <c r="J198" s="4" t="s">
        <v>517</v>
      </c>
      <c r="K198" s="4">
        <v>6</v>
      </c>
      <c r="L198" s="4" t="s">
        <v>4</v>
      </c>
      <c r="M198" s="4" t="s">
        <v>148</v>
      </c>
    </row>
    <row r="199" spans="1:13" ht="27.6" customHeight="1" x14ac:dyDescent="0.25">
      <c r="A199" s="3" t="s">
        <v>25</v>
      </c>
      <c r="B199" s="3" t="s">
        <v>25</v>
      </c>
      <c r="C199" s="3" t="s">
        <v>705</v>
      </c>
      <c r="D199" s="4" t="s">
        <v>1280</v>
      </c>
      <c r="E199" s="3" t="s">
        <v>703</v>
      </c>
      <c r="F199" s="3" t="s">
        <v>706</v>
      </c>
      <c r="G199" s="4" t="s">
        <v>707</v>
      </c>
      <c r="H199" s="4" t="s">
        <v>78</v>
      </c>
      <c r="I199" s="4" t="s">
        <v>708</v>
      </c>
      <c r="J199" s="4" t="s">
        <v>517</v>
      </c>
      <c r="K199" s="4">
        <v>7</v>
      </c>
      <c r="L199" s="4" t="s">
        <v>5</v>
      </c>
      <c r="M199" s="4" t="s">
        <v>148</v>
      </c>
    </row>
    <row r="200" spans="1:13" ht="82.9" customHeight="1" x14ac:dyDescent="0.25">
      <c r="A200" s="3" t="s">
        <v>25</v>
      </c>
      <c r="B200" s="3" t="s">
        <v>25</v>
      </c>
      <c r="C200" s="3" t="s">
        <v>709</v>
      </c>
      <c r="D200" s="4" t="s">
        <v>1281</v>
      </c>
      <c r="E200" s="3" t="s">
        <v>703</v>
      </c>
      <c r="F200" s="3" t="s">
        <v>710</v>
      </c>
      <c r="G200" s="4" t="s">
        <v>711</v>
      </c>
      <c r="H200" s="4" t="s">
        <v>172</v>
      </c>
      <c r="I200" s="4" t="s">
        <v>712</v>
      </c>
      <c r="J200" s="4" t="s">
        <v>517</v>
      </c>
      <c r="K200" s="4">
        <v>8</v>
      </c>
      <c r="L200" s="4" t="s">
        <v>1503</v>
      </c>
      <c r="M200" s="4" t="s">
        <v>148</v>
      </c>
    </row>
    <row r="201" spans="1:13" ht="69" customHeight="1" x14ac:dyDescent="0.25">
      <c r="A201" s="3" t="s">
        <v>25</v>
      </c>
      <c r="B201" s="3" t="s">
        <v>25</v>
      </c>
      <c r="C201" s="3" t="s">
        <v>713</v>
      </c>
      <c r="D201" s="4" t="s">
        <v>1282</v>
      </c>
      <c r="E201" s="3" t="s">
        <v>703</v>
      </c>
      <c r="F201" s="3" t="s">
        <v>714</v>
      </c>
      <c r="G201" s="4" t="s">
        <v>711</v>
      </c>
      <c r="H201" s="4"/>
      <c r="I201" s="4" t="s">
        <v>715</v>
      </c>
      <c r="J201" s="4" t="s">
        <v>517</v>
      </c>
      <c r="K201" s="4">
        <v>9</v>
      </c>
      <c r="L201" s="4" t="s">
        <v>1504</v>
      </c>
      <c r="M201" s="4" t="s">
        <v>148</v>
      </c>
    </row>
    <row r="202" spans="1:13" ht="82.9" customHeight="1" x14ac:dyDescent="0.25">
      <c r="A202" s="3" t="s">
        <v>25</v>
      </c>
      <c r="B202" s="3" t="s">
        <v>25</v>
      </c>
      <c r="C202" s="3" t="s">
        <v>716</v>
      </c>
      <c r="D202" s="4" t="s">
        <v>1283</v>
      </c>
      <c r="E202" s="3" t="s">
        <v>703</v>
      </c>
      <c r="F202" s="3" t="s">
        <v>717</v>
      </c>
      <c r="G202" s="4" t="s">
        <v>711</v>
      </c>
      <c r="H202" s="4" t="s">
        <v>78</v>
      </c>
      <c r="I202" s="4" t="s">
        <v>718</v>
      </c>
      <c r="J202" s="4" t="s">
        <v>517</v>
      </c>
      <c r="K202" s="4">
        <v>10</v>
      </c>
      <c r="L202" s="4" t="s">
        <v>1505</v>
      </c>
      <c r="M202" s="4" t="s">
        <v>148</v>
      </c>
    </row>
    <row r="203" spans="1:13" ht="55.15" customHeight="1" x14ac:dyDescent="0.25">
      <c r="A203" s="3" t="s">
        <v>25</v>
      </c>
      <c r="B203" s="3" t="s">
        <v>25</v>
      </c>
      <c r="C203" s="3" t="s">
        <v>719</v>
      </c>
      <c r="D203" s="4" t="s">
        <v>1284</v>
      </c>
      <c r="E203" s="3" t="s">
        <v>720</v>
      </c>
      <c r="F203" s="3" t="s">
        <v>721</v>
      </c>
      <c r="G203" s="4" t="s">
        <v>711</v>
      </c>
      <c r="H203" s="4" t="s">
        <v>78</v>
      </c>
      <c r="I203" s="4" t="s">
        <v>722</v>
      </c>
      <c r="J203" s="4" t="s">
        <v>517</v>
      </c>
      <c r="K203" s="4">
        <v>11</v>
      </c>
      <c r="L203" s="4" t="s">
        <v>6</v>
      </c>
      <c r="M203" s="4" t="s">
        <v>148</v>
      </c>
    </row>
    <row r="204" spans="1:13" ht="41.45" customHeight="1" x14ac:dyDescent="0.25">
      <c r="A204" s="3" t="s">
        <v>25</v>
      </c>
      <c r="B204" s="3" t="s">
        <v>25</v>
      </c>
      <c r="C204" s="3" t="s">
        <v>723</v>
      </c>
      <c r="D204" s="4" t="s">
        <v>1285</v>
      </c>
      <c r="E204" s="3" t="s">
        <v>720</v>
      </c>
      <c r="F204" s="3" t="s">
        <v>724</v>
      </c>
      <c r="G204" s="4" t="s">
        <v>725</v>
      </c>
      <c r="H204" s="4" t="s">
        <v>78</v>
      </c>
      <c r="I204" s="4" t="s">
        <v>726</v>
      </c>
      <c r="J204" s="4" t="s">
        <v>517</v>
      </c>
      <c r="K204" s="4">
        <v>12</v>
      </c>
      <c r="L204" s="4" t="s">
        <v>18</v>
      </c>
      <c r="M204" s="4" t="s">
        <v>1560</v>
      </c>
    </row>
    <row r="205" spans="1:13" ht="14.45" customHeight="1" x14ac:dyDescent="0.25">
      <c r="A205" s="3" t="s">
        <v>25</v>
      </c>
      <c r="B205" s="3" t="s">
        <v>25</v>
      </c>
      <c r="C205" s="3" t="s">
        <v>727</v>
      </c>
      <c r="D205" s="4" t="s">
        <v>1286</v>
      </c>
      <c r="E205" s="3" t="s">
        <v>720</v>
      </c>
      <c r="F205" s="3" t="s">
        <v>728</v>
      </c>
      <c r="G205" s="4" t="s">
        <v>729</v>
      </c>
      <c r="H205" s="4" t="s">
        <v>78</v>
      </c>
      <c r="I205" s="4" t="s">
        <v>730</v>
      </c>
      <c r="J205" s="4" t="s">
        <v>517</v>
      </c>
      <c r="K205" s="4">
        <v>13</v>
      </c>
      <c r="L205" s="4" t="s">
        <v>19</v>
      </c>
      <c r="M205" s="4" t="s">
        <v>148</v>
      </c>
    </row>
    <row r="206" spans="1:13" ht="41.45" customHeight="1" x14ac:dyDescent="0.25">
      <c r="A206" s="3" t="s">
        <v>25</v>
      </c>
      <c r="B206" s="3" t="s">
        <v>25</v>
      </c>
      <c r="C206" s="3" t="s">
        <v>731</v>
      </c>
      <c r="D206" s="4" t="s">
        <v>1287</v>
      </c>
      <c r="E206" s="3" t="s">
        <v>720</v>
      </c>
      <c r="F206" s="3" t="s">
        <v>732</v>
      </c>
      <c r="G206" s="4" t="s">
        <v>725</v>
      </c>
      <c r="H206" s="4" t="s">
        <v>78</v>
      </c>
      <c r="I206" s="4" t="s">
        <v>733</v>
      </c>
      <c r="J206" s="4" t="s">
        <v>517</v>
      </c>
      <c r="K206" s="4">
        <v>14</v>
      </c>
      <c r="L206" s="4" t="s">
        <v>20</v>
      </c>
      <c r="M206" s="4" t="s">
        <v>1561</v>
      </c>
    </row>
    <row r="207" spans="1:13" ht="14.45" customHeight="1" x14ac:dyDescent="0.25">
      <c r="A207" s="3" t="s">
        <v>25</v>
      </c>
      <c r="B207" s="3" t="s">
        <v>25</v>
      </c>
      <c r="C207" s="3" t="s">
        <v>734</v>
      </c>
      <c r="D207" s="4" t="s">
        <v>1288</v>
      </c>
      <c r="E207" s="3" t="s">
        <v>720</v>
      </c>
      <c r="F207" s="3" t="s">
        <v>735</v>
      </c>
      <c r="G207" s="4" t="s">
        <v>729</v>
      </c>
      <c r="H207" s="4" t="s">
        <v>78</v>
      </c>
      <c r="I207" s="4" t="s">
        <v>736</v>
      </c>
      <c r="J207" s="4" t="s">
        <v>517</v>
      </c>
      <c r="K207" s="4">
        <v>15</v>
      </c>
      <c r="L207" s="4" t="s">
        <v>21</v>
      </c>
      <c r="M207" s="4" t="s">
        <v>148</v>
      </c>
    </row>
    <row r="208" spans="1:13" ht="151.9" customHeight="1" x14ac:dyDescent="0.25">
      <c r="A208" s="3" t="s">
        <v>25</v>
      </c>
      <c r="B208" s="3" t="s">
        <v>25</v>
      </c>
      <c r="C208" s="3" t="s">
        <v>737</v>
      </c>
      <c r="D208" s="4" t="s">
        <v>1289</v>
      </c>
      <c r="E208" s="3" t="s">
        <v>738</v>
      </c>
      <c r="F208" s="3" t="s">
        <v>739</v>
      </c>
      <c r="G208" s="4" t="s">
        <v>667</v>
      </c>
      <c r="H208" s="4" t="s">
        <v>172</v>
      </c>
      <c r="I208" s="4" t="s">
        <v>740</v>
      </c>
      <c r="J208" s="4" t="s">
        <v>517</v>
      </c>
      <c r="K208" s="4">
        <v>16</v>
      </c>
      <c r="L208" s="4" t="s">
        <v>1475</v>
      </c>
      <c r="M208" s="4" t="s">
        <v>1562</v>
      </c>
    </row>
    <row r="209" spans="1:13" ht="151.9" customHeight="1" x14ac:dyDescent="0.25">
      <c r="A209" s="3" t="s">
        <v>25</v>
      </c>
      <c r="B209" s="3" t="s">
        <v>25</v>
      </c>
      <c r="C209" s="3" t="s">
        <v>741</v>
      </c>
      <c r="D209" s="4" t="s">
        <v>1290</v>
      </c>
      <c r="E209" s="3" t="s">
        <v>738</v>
      </c>
      <c r="F209" s="3" t="s">
        <v>742</v>
      </c>
      <c r="G209" s="4" t="s">
        <v>667</v>
      </c>
      <c r="H209" s="4" t="s">
        <v>172</v>
      </c>
      <c r="I209" s="4" t="s">
        <v>743</v>
      </c>
      <c r="J209" s="4" t="s">
        <v>517</v>
      </c>
      <c r="K209" s="4">
        <v>17</v>
      </c>
      <c r="L209" s="4" t="s">
        <v>1476</v>
      </c>
      <c r="M209" s="4" t="s">
        <v>1562</v>
      </c>
    </row>
    <row r="210" spans="1:13" ht="27.6" customHeight="1" x14ac:dyDescent="0.25">
      <c r="A210" s="3" t="s">
        <v>25</v>
      </c>
      <c r="B210" s="3" t="s">
        <v>25</v>
      </c>
      <c r="C210" s="3" t="s">
        <v>744</v>
      </c>
      <c r="D210" s="4" t="s">
        <v>1291</v>
      </c>
      <c r="E210" s="3" t="s">
        <v>745</v>
      </c>
      <c r="F210" s="3" t="s">
        <v>746</v>
      </c>
      <c r="G210" s="4" t="s">
        <v>747</v>
      </c>
      <c r="H210" s="4" t="s">
        <v>172</v>
      </c>
      <c r="I210" s="4" t="s">
        <v>748</v>
      </c>
      <c r="J210" s="4" t="s">
        <v>517</v>
      </c>
      <c r="K210" s="4">
        <v>18</v>
      </c>
      <c r="L210" s="4" t="s">
        <v>7</v>
      </c>
      <c r="M210" s="4" t="s">
        <v>148</v>
      </c>
    </row>
    <row r="211" spans="1:13" ht="27.6" customHeight="1" x14ac:dyDescent="0.25">
      <c r="A211" s="3" t="s">
        <v>25</v>
      </c>
      <c r="B211" s="3" t="s">
        <v>25</v>
      </c>
      <c r="C211" s="3" t="s">
        <v>749</v>
      </c>
      <c r="D211" s="4" t="s">
        <v>1292</v>
      </c>
      <c r="E211" s="3" t="s">
        <v>745</v>
      </c>
      <c r="F211" s="3" t="s">
        <v>750</v>
      </c>
      <c r="G211" s="4" t="s">
        <v>77</v>
      </c>
      <c r="H211" s="4" t="s">
        <v>172</v>
      </c>
      <c r="I211" s="4" t="s">
        <v>751</v>
      </c>
      <c r="J211" s="4" t="s">
        <v>517</v>
      </c>
      <c r="K211" s="4">
        <v>19</v>
      </c>
      <c r="L211" s="4" t="s">
        <v>8</v>
      </c>
      <c r="M211" s="4" t="s">
        <v>148</v>
      </c>
    </row>
    <row r="212" spans="1:13" ht="41.45" customHeight="1" x14ac:dyDescent="0.25">
      <c r="A212" s="3" t="s">
        <v>25</v>
      </c>
      <c r="B212" s="3" t="s">
        <v>25</v>
      </c>
      <c r="C212" s="3" t="s">
        <v>752</v>
      </c>
      <c r="D212" s="4" t="s">
        <v>1293</v>
      </c>
      <c r="E212" s="3" t="s">
        <v>753</v>
      </c>
      <c r="F212" s="3" t="s">
        <v>754</v>
      </c>
      <c r="G212" s="4" t="s">
        <v>755</v>
      </c>
      <c r="H212" s="4" t="s">
        <v>172</v>
      </c>
      <c r="I212" s="4" t="s">
        <v>756</v>
      </c>
      <c r="J212" s="4" t="s">
        <v>517</v>
      </c>
      <c r="K212" s="4">
        <v>20</v>
      </c>
      <c r="L212" s="4" t="s">
        <v>9</v>
      </c>
      <c r="M212" s="4" t="s">
        <v>148</v>
      </c>
    </row>
    <row r="213" spans="1:13" ht="41.45" customHeight="1" x14ac:dyDescent="0.25">
      <c r="A213" s="3" t="s">
        <v>25</v>
      </c>
      <c r="B213" s="3" t="s">
        <v>25</v>
      </c>
      <c r="C213" s="3" t="s">
        <v>757</v>
      </c>
      <c r="D213" s="4" t="s">
        <v>1294</v>
      </c>
      <c r="E213" s="3" t="s">
        <v>753</v>
      </c>
      <c r="F213" s="3" t="s">
        <v>758</v>
      </c>
      <c r="G213" s="4" t="s">
        <v>759</v>
      </c>
      <c r="H213" s="4" t="s">
        <v>172</v>
      </c>
      <c r="I213" s="4" t="s">
        <v>756</v>
      </c>
      <c r="J213" s="4" t="s">
        <v>517</v>
      </c>
      <c r="K213" s="4">
        <v>21</v>
      </c>
      <c r="L213" s="4" t="s">
        <v>10</v>
      </c>
      <c r="M213" s="4" t="s">
        <v>148</v>
      </c>
    </row>
    <row r="214" spans="1:13" ht="27.6" customHeight="1" x14ac:dyDescent="0.25">
      <c r="A214" s="3" t="s">
        <v>25</v>
      </c>
      <c r="B214" s="3" t="s">
        <v>25</v>
      </c>
      <c r="C214" s="3" t="s">
        <v>760</v>
      </c>
      <c r="D214" s="4" t="s">
        <v>1295</v>
      </c>
      <c r="E214" s="3" t="s">
        <v>761</v>
      </c>
      <c r="F214" s="3" t="s">
        <v>762</v>
      </c>
      <c r="G214" s="4" t="s">
        <v>176</v>
      </c>
      <c r="H214" s="4" t="s">
        <v>172</v>
      </c>
      <c r="I214" s="4" t="s">
        <v>763</v>
      </c>
      <c r="J214" s="4" t="s">
        <v>517</v>
      </c>
      <c r="K214" s="4">
        <v>22</v>
      </c>
      <c r="L214" s="4" t="s">
        <v>11</v>
      </c>
      <c r="M214" s="4" t="s">
        <v>148</v>
      </c>
    </row>
    <row r="215" spans="1:13" ht="27.6" customHeight="1" x14ac:dyDescent="0.25">
      <c r="A215" s="3" t="s">
        <v>25</v>
      </c>
      <c r="B215" s="3" t="s">
        <v>25</v>
      </c>
      <c r="C215" s="3" t="s">
        <v>764</v>
      </c>
      <c r="D215" s="4" t="s">
        <v>1296</v>
      </c>
      <c r="E215" s="3" t="s">
        <v>765</v>
      </c>
      <c r="F215" s="3" t="s">
        <v>766</v>
      </c>
      <c r="G215" s="4" t="s">
        <v>77</v>
      </c>
      <c r="H215" s="4" t="s">
        <v>78</v>
      </c>
      <c r="I215" s="4" t="s">
        <v>767</v>
      </c>
      <c r="J215" s="4" t="s">
        <v>517</v>
      </c>
      <c r="K215" s="4">
        <v>23</v>
      </c>
      <c r="L215" s="4" t="s">
        <v>12</v>
      </c>
      <c r="M215" s="4" t="s">
        <v>148</v>
      </c>
    </row>
    <row r="216" spans="1:13" ht="27.6" customHeight="1" x14ac:dyDescent="0.25">
      <c r="A216" s="3" t="s">
        <v>25</v>
      </c>
      <c r="B216" s="3" t="s">
        <v>25</v>
      </c>
      <c r="C216" s="3" t="s">
        <v>768</v>
      </c>
      <c r="D216" s="4" t="s">
        <v>1297</v>
      </c>
      <c r="E216" s="3" t="s">
        <v>769</v>
      </c>
      <c r="F216" s="3" t="s">
        <v>489</v>
      </c>
      <c r="G216" s="4" t="s">
        <v>667</v>
      </c>
      <c r="H216" s="4" t="s">
        <v>172</v>
      </c>
      <c r="I216" s="4" t="s">
        <v>770</v>
      </c>
      <c r="J216" s="4" t="s">
        <v>517</v>
      </c>
      <c r="K216" s="4">
        <v>24</v>
      </c>
      <c r="L216" s="4" t="s">
        <v>13</v>
      </c>
      <c r="M216" s="4" t="s">
        <v>148</v>
      </c>
    </row>
    <row r="217" spans="1:13" ht="41.45" customHeight="1" x14ac:dyDescent="0.25">
      <c r="A217" s="3" t="s">
        <v>25</v>
      </c>
      <c r="B217" s="3" t="s">
        <v>25</v>
      </c>
      <c r="C217" s="3" t="s">
        <v>771</v>
      </c>
      <c r="D217" s="4" t="s">
        <v>1298</v>
      </c>
      <c r="E217" s="3" t="s">
        <v>769</v>
      </c>
      <c r="F217" s="3" t="s">
        <v>772</v>
      </c>
      <c r="G217" s="4" t="s">
        <v>773</v>
      </c>
      <c r="H217" s="4" t="s">
        <v>78</v>
      </c>
      <c r="I217" s="4" t="s">
        <v>774</v>
      </c>
      <c r="J217" s="4" t="s">
        <v>517</v>
      </c>
      <c r="K217" s="4">
        <v>25</v>
      </c>
      <c r="L217" s="4" t="s">
        <v>1445</v>
      </c>
      <c r="M217" s="4" t="s">
        <v>148</v>
      </c>
    </row>
    <row r="218" spans="1:13" ht="41.45" customHeight="1" x14ac:dyDescent="0.25">
      <c r="A218" s="3" t="s">
        <v>25</v>
      </c>
      <c r="B218" s="3" t="s">
        <v>25</v>
      </c>
      <c r="C218" s="3" t="s">
        <v>775</v>
      </c>
      <c r="D218" s="4" t="s">
        <v>1299</v>
      </c>
      <c r="E218" s="3" t="s">
        <v>769</v>
      </c>
      <c r="F218" s="3" t="s">
        <v>776</v>
      </c>
      <c r="G218" s="4" t="s">
        <v>777</v>
      </c>
      <c r="H218" s="4" t="s">
        <v>78</v>
      </c>
      <c r="I218" s="4" t="s">
        <v>778</v>
      </c>
      <c r="J218" s="4" t="s">
        <v>517</v>
      </c>
      <c r="K218" s="4">
        <v>26</v>
      </c>
      <c r="L218" s="4" t="s">
        <v>14</v>
      </c>
      <c r="M218" s="4" t="s">
        <v>148</v>
      </c>
    </row>
    <row r="219" spans="1:13" ht="69" customHeight="1" x14ac:dyDescent="0.25">
      <c r="A219" s="3" t="s">
        <v>25</v>
      </c>
      <c r="B219" s="3" t="s">
        <v>25</v>
      </c>
      <c r="C219" s="3" t="s">
        <v>779</v>
      </c>
      <c r="D219" s="4" t="s">
        <v>1300</v>
      </c>
      <c r="E219" s="3" t="s">
        <v>769</v>
      </c>
      <c r="F219" s="3" t="s">
        <v>780</v>
      </c>
      <c r="G219" s="4" t="s">
        <v>781</v>
      </c>
      <c r="H219" s="4" t="s">
        <v>78</v>
      </c>
      <c r="I219" s="4" t="s">
        <v>782</v>
      </c>
      <c r="J219" s="4" t="s">
        <v>517</v>
      </c>
      <c r="K219" s="4">
        <v>27</v>
      </c>
      <c r="L219" s="4" t="s">
        <v>15</v>
      </c>
      <c r="M219" s="4" t="s">
        <v>148</v>
      </c>
    </row>
    <row r="220" spans="1:13" ht="27.6" customHeight="1" x14ac:dyDescent="0.25">
      <c r="A220" s="3" t="s">
        <v>25</v>
      </c>
      <c r="B220" s="3" t="s">
        <v>25</v>
      </c>
      <c r="C220" s="3" t="s">
        <v>783</v>
      </c>
      <c r="D220" s="4" t="s">
        <v>1301</v>
      </c>
      <c r="E220" s="3" t="s">
        <v>169</v>
      </c>
      <c r="F220" s="3" t="s">
        <v>784</v>
      </c>
      <c r="G220" s="4" t="s">
        <v>77</v>
      </c>
      <c r="H220" s="4" t="s">
        <v>172</v>
      </c>
      <c r="I220" s="4" t="s">
        <v>785</v>
      </c>
      <c r="J220" s="4" t="s">
        <v>517</v>
      </c>
      <c r="K220" s="4">
        <v>28</v>
      </c>
      <c r="L220" s="4" t="s">
        <v>16</v>
      </c>
      <c r="M220" s="4" t="s">
        <v>148</v>
      </c>
    </row>
    <row r="221" spans="1:13" ht="27.6" customHeight="1" x14ac:dyDescent="0.25">
      <c r="A221" s="3" t="s">
        <v>25</v>
      </c>
      <c r="B221" s="3" t="s">
        <v>25</v>
      </c>
      <c r="C221" s="3" t="s">
        <v>168</v>
      </c>
      <c r="D221" s="4" t="s">
        <v>1302</v>
      </c>
      <c r="E221" s="3" t="s">
        <v>169</v>
      </c>
      <c r="F221" s="3" t="s">
        <v>170</v>
      </c>
      <c r="G221" s="4" t="s">
        <v>667</v>
      </c>
      <c r="H221" s="4" t="s">
        <v>172</v>
      </c>
      <c r="I221" s="4" t="s">
        <v>786</v>
      </c>
      <c r="J221" s="4" t="s">
        <v>517</v>
      </c>
      <c r="K221" s="4">
        <v>29</v>
      </c>
      <c r="L221" s="4" t="s">
        <v>17</v>
      </c>
      <c r="M221" s="4" t="s">
        <v>148</v>
      </c>
    </row>
    <row r="222" spans="1:13" ht="27.6" customHeight="1" x14ac:dyDescent="0.25">
      <c r="A222" s="3" t="s">
        <v>26</v>
      </c>
      <c r="B222" s="3" t="s">
        <v>26</v>
      </c>
      <c r="C222" s="3" t="s">
        <v>787</v>
      </c>
      <c r="D222" s="4" t="s">
        <v>1303</v>
      </c>
      <c r="E222" s="3" t="s">
        <v>788</v>
      </c>
      <c r="F222" s="3" t="s">
        <v>789</v>
      </c>
      <c r="G222" s="4" t="s">
        <v>667</v>
      </c>
      <c r="H222" s="4" t="s">
        <v>78</v>
      </c>
      <c r="I222" s="4" t="s">
        <v>790</v>
      </c>
      <c r="J222" s="4" t="s">
        <v>518</v>
      </c>
      <c r="K222" s="4">
        <v>1</v>
      </c>
      <c r="L222" s="4" t="s">
        <v>33</v>
      </c>
      <c r="M222" s="4" t="s">
        <v>200</v>
      </c>
    </row>
    <row r="223" spans="1:13" ht="27.6" customHeight="1" x14ac:dyDescent="0.25">
      <c r="A223" s="3" t="s">
        <v>26</v>
      </c>
      <c r="B223" s="3" t="s">
        <v>26</v>
      </c>
      <c r="C223" s="3" t="s">
        <v>791</v>
      </c>
      <c r="D223" s="4" t="s">
        <v>1304</v>
      </c>
      <c r="E223" s="3" t="s">
        <v>792</v>
      </c>
      <c r="F223" s="3" t="s">
        <v>793</v>
      </c>
      <c r="G223" s="4" t="s">
        <v>77</v>
      </c>
      <c r="H223" s="4" t="s">
        <v>78</v>
      </c>
      <c r="I223" s="4" t="s">
        <v>794</v>
      </c>
      <c r="J223" s="4" t="s">
        <v>518</v>
      </c>
      <c r="K223" s="4">
        <v>2</v>
      </c>
      <c r="L223" s="4" t="s">
        <v>34</v>
      </c>
      <c r="M223" s="4" t="s">
        <v>1130</v>
      </c>
    </row>
    <row r="224" spans="1:13" ht="27.6" customHeight="1" x14ac:dyDescent="0.25">
      <c r="A224" s="3" t="s">
        <v>26</v>
      </c>
      <c r="B224" s="3" t="s">
        <v>26</v>
      </c>
      <c r="C224" s="3" t="s">
        <v>795</v>
      </c>
      <c r="D224" s="4" t="s">
        <v>1305</v>
      </c>
      <c r="E224" s="3" t="s">
        <v>792</v>
      </c>
      <c r="F224" s="3" t="s">
        <v>796</v>
      </c>
      <c r="G224" s="4" t="s">
        <v>77</v>
      </c>
      <c r="H224" s="4" t="s">
        <v>78</v>
      </c>
      <c r="I224" s="4" t="s">
        <v>797</v>
      </c>
      <c r="J224" s="4" t="s">
        <v>518</v>
      </c>
      <c r="K224" s="4">
        <v>3</v>
      </c>
      <c r="L224" s="4" t="s">
        <v>35</v>
      </c>
      <c r="M224" s="4" t="s">
        <v>1131</v>
      </c>
    </row>
    <row r="225" spans="1:13" ht="27.6" customHeight="1" x14ac:dyDescent="0.25">
      <c r="A225" s="3" t="s">
        <v>26</v>
      </c>
      <c r="B225" s="3" t="s">
        <v>26</v>
      </c>
      <c r="C225" s="3" t="s">
        <v>798</v>
      </c>
      <c r="D225" s="4" t="s">
        <v>1306</v>
      </c>
      <c r="E225" s="3" t="s">
        <v>792</v>
      </c>
      <c r="F225" s="3" t="s">
        <v>799</v>
      </c>
      <c r="G225" s="4" t="s">
        <v>693</v>
      </c>
      <c r="H225" s="4" t="s">
        <v>78</v>
      </c>
      <c r="I225" s="4" t="s">
        <v>800</v>
      </c>
      <c r="J225" s="4" t="s">
        <v>518</v>
      </c>
      <c r="K225" s="4">
        <v>4</v>
      </c>
      <c r="L225" s="4" t="s">
        <v>36</v>
      </c>
      <c r="M225" s="4" t="s">
        <v>1132</v>
      </c>
    </row>
    <row r="226" spans="1:13" ht="27.6" customHeight="1" x14ac:dyDescent="0.25">
      <c r="A226" s="3" t="s">
        <v>26</v>
      </c>
      <c r="B226" s="3" t="s">
        <v>26</v>
      </c>
      <c r="C226" s="3" t="s">
        <v>801</v>
      </c>
      <c r="D226" s="4" t="s">
        <v>1307</v>
      </c>
      <c r="E226" s="3" t="s">
        <v>792</v>
      </c>
      <c r="F226" s="3" t="s">
        <v>802</v>
      </c>
      <c r="G226" s="4" t="s">
        <v>697</v>
      </c>
      <c r="H226" s="4" t="s">
        <v>78</v>
      </c>
      <c r="I226" s="4" t="s">
        <v>803</v>
      </c>
      <c r="J226" s="4" t="s">
        <v>518</v>
      </c>
      <c r="K226" s="4">
        <v>5</v>
      </c>
      <c r="L226" s="4" t="s">
        <v>37</v>
      </c>
      <c r="M226" s="4" t="s">
        <v>1133</v>
      </c>
    </row>
    <row r="227" spans="1:13" ht="27.6" customHeight="1" x14ac:dyDescent="0.25">
      <c r="A227" s="3" t="s">
        <v>26</v>
      </c>
      <c r="B227" s="3" t="s">
        <v>26</v>
      </c>
      <c r="C227" s="3" t="s">
        <v>804</v>
      </c>
      <c r="D227" s="4" t="s">
        <v>1308</v>
      </c>
      <c r="E227" s="3" t="s">
        <v>792</v>
      </c>
      <c r="F227" s="3" t="s">
        <v>805</v>
      </c>
      <c r="G227" s="4" t="s">
        <v>806</v>
      </c>
      <c r="H227" s="4" t="s">
        <v>78</v>
      </c>
      <c r="I227" s="4" t="s">
        <v>807</v>
      </c>
      <c r="J227" s="4" t="s">
        <v>518</v>
      </c>
      <c r="K227" s="4">
        <v>6</v>
      </c>
      <c r="L227" s="4" t="s">
        <v>38</v>
      </c>
      <c r="M227" s="4" t="s">
        <v>1134</v>
      </c>
    </row>
    <row r="228" spans="1:13" ht="27.6" customHeight="1" x14ac:dyDescent="0.25">
      <c r="A228" s="3" t="s">
        <v>26</v>
      </c>
      <c r="B228" s="3" t="s">
        <v>26</v>
      </c>
      <c r="C228" s="3" t="s">
        <v>808</v>
      </c>
      <c r="D228" s="4" t="s">
        <v>1309</v>
      </c>
      <c r="E228" s="3" t="s">
        <v>792</v>
      </c>
      <c r="F228" s="3" t="s">
        <v>809</v>
      </c>
      <c r="G228" s="4" t="s">
        <v>810</v>
      </c>
      <c r="H228" s="4" t="s">
        <v>78</v>
      </c>
      <c r="I228" s="4" t="s">
        <v>811</v>
      </c>
      <c r="J228" s="4" t="s">
        <v>518</v>
      </c>
      <c r="K228" s="4">
        <v>7</v>
      </c>
      <c r="L228" s="4" t="s">
        <v>39</v>
      </c>
      <c r="M228" s="4" t="s">
        <v>1135</v>
      </c>
    </row>
    <row r="229" spans="1:13" ht="55.15" customHeight="1" x14ac:dyDescent="0.25">
      <c r="A229" s="3" t="s">
        <v>26</v>
      </c>
      <c r="B229" s="3" t="s">
        <v>26</v>
      </c>
      <c r="C229" s="3" t="s">
        <v>812</v>
      </c>
      <c r="D229" s="4" t="s">
        <v>1310</v>
      </c>
      <c r="E229" s="3" t="s">
        <v>813</v>
      </c>
      <c r="F229" s="3" t="s">
        <v>814</v>
      </c>
      <c r="G229" s="4" t="s">
        <v>77</v>
      </c>
      <c r="H229" s="4" t="s">
        <v>172</v>
      </c>
      <c r="I229" s="4" t="s">
        <v>815</v>
      </c>
      <c r="J229" s="4" t="s">
        <v>518</v>
      </c>
      <c r="K229" s="4">
        <v>8</v>
      </c>
      <c r="L229" s="4" t="s">
        <v>40</v>
      </c>
      <c r="M229" s="4" t="s">
        <v>1136</v>
      </c>
    </row>
    <row r="230" spans="1:13" ht="55.15" customHeight="1" x14ac:dyDescent="0.25">
      <c r="A230" s="3" t="s">
        <v>26</v>
      </c>
      <c r="B230" s="3" t="s">
        <v>26</v>
      </c>
      <c r="C230" s="3" t="s">
        <v>816</v>
      </c>
      <c r="D230" s="4" t="s">
        <v>1311</v>
      </c>
      <c r="E230" s="3" t="s">
        <v>813</v>
      </c>
      <c r="F230" s="3" t="s">
        <v>817</v>
      </c>
      <c r="G230" s="4" t="s">
        <v>77</v>
      </c>
      <c r="H230" s="4" t="s">
        <v>172</v>
      </c>
      <c r="I230" s="4" t="s">
        <v>818</v>
      </c>
      <c r="J230" s="4" t="s">
        <v>518</v>
      </c>
      <c r="K230" s="4">
        <v>9</v>
      </c>
      <c r="L230" s="4" t="s">
        <v>1477</v>
      </c>
      <c r="M230" s="4" t="s">
        <v>1137</v>
      </c>
    </row>
    <row r="231" spans="1:13" ht="41.45" customHeight="1" x14ac:dyDescent="0.25">
      <c r="A231" s="3" t="s">
        <v>26</v>
      </c>
      <c r="B231" s="3" t="s">
        <v>26</v>
      </c>
      <c r="C231" s="3" t="s">
        <v>819</v>
      </c>
      <c r="D231" s="4" t="s">
        <v>1312</v>
      </c>
      <c r="E231" s="3" t="s">
        <v>685</v>
      </c>
      <c r="F231" s="3" t="s">
        <v>820</v>
      </c>
      <c r="G231" s="4" t="s">
        <v>821</v>
      </c>
      <c r="H231" s="4" t="s">
        <v>78</v>
      </c>
      <c r="I231" s="4" t="s">
        <v>822</v>
      </c>
      <c r="J231" s="4" t="s">
        <v>518</v>
      </c>
      <c r="K231" s="4">
        <v>10</v>
      </c>
      <c r="L231" s="4" t="s">
        <v>41</v>
      </c>
      <c r="M231" s="4" t="s">
        <v>1138</v>
      </c>
    </row>
    <row r="232" spans="1:13" ht="27.6" customHeight="1" x14ac:dyDescent="0.25">
      <c r="A232" s="3" t="s">
        <v>26</v>
      </c>
      <c r="B232" s="3" t="s">
        <v>26</v>
      </c>
      <c r="C232" s="3" t="s">
        <v>823</v>
      </c>
      <c r="D232" s="4" t="s">
        <v>1313</v>
      </c>
      <c r="E232" s="3" t="s">
        <v>498</v>
      </c>
      <c r="F232" s="3" t="s">
        <v>824</v>
      </c>
      <c r="G232" s="4" t="s">
        <v>825</v>
      </c>
      <c r="H232" s="4" t="s">
        <v>78</v>
      </c>
      <c r="I232" s="4" t="s">
        <v>826</v>
      </c>
      <c r="J232" s="4" t="s">
        <v>518</v>
      </c>
      <c r="K232" s="4">
        <v>11</v>
      </c>
      <c r="L232" s="4" t="s">
        <v>1535</v>
      </c>
      <c r="M232" s="4" t="s">
        <v>1139</v>
      </c>
    </row>
    <row r="233" spans="1:13" ht="27.6" customHeight="1" x14ac:dyDescent="0.25">
      <c r="A233" s="3" t="s">
        <v>26</v>
      </c>
      <c r="B233" s="3" t="s">
        <v>26</v>
      </c>
      <c r="C233" s="3" t="s">
        <v>827</v>
      </c>
      <c r="D233" s="4" t="s">
        <v>1314</v>
      </c>
      <c r="E233" s="3" t="s">
        <v>498</v>
      </c>
      <c r="F233" s="3" t="s">
        <v>828</v>
      </c>
      <c r="G233" s="4" t="s">
        <v>466</v>
      </c>
      <c r="H233" s="4" t="s">
        <v>172</v>
      </c>
      <c r="I233" s="4" t="s">
        <v>829</v>
      </c>
      <c r="J233" s="4" t="s">
        <v>518</v>
      </c>
      <c r="K233" s="4">
        <v>12</v>
      </c>
      <c r="L233" s="4" t="s">
        <v>42</v>
      </c>
      <c r="M233" s="4" t="s">
        <v>1140</v>
      </c>
    </row>
    <row r="234" spans="1:13" ht="55.15" customHeight="1" x14ac:dyDescent="0.25">
      <c r="A234" s="3" t="s">
        <v>26</v>
      </c>
      <c r="B234" s="3" t="s">
        <v>26</v>
      </c>
      <c r="C234" s="3" t="s">
        <v>830</v>
      </c>
      <c r="D234" s="4" t="s">
        <v>1315</v>
      </c>
      <c r="E234" s="3" t="s">
        <v>498</v>
      </c>
      <c r="F234" s="3" t="s">
        <v>831</v>
      </c>
      <c r="G234" s="4" t="s">
        <v>832</v>
      </c>
      <c r="H234" s="4" t="s">
        <v>78</v>
      </c>
      <c r="I234" s="4" t="s">
        <v>833</v>
      </c>
      <c r="J234" s="4" t="s">
        <v>518</v>
      </c>
      <c r="K234" s="4">
        <v>13</v>
      </c>
      <c r="L234" s="4" t="s">
        <v>43</v>
      </c>
      <c r="M234" s="4" t="s">
        <v>1141</v>
      </c>
    </row>
    <row r="235" spans="1:13" ht="27.6" customHeight="1" x14ac:dyDescent="0.25">
      <c r="A235" s="3" t="s">
        <v>26</v>
      </c>
      <c r="B235" s="3" t="s">
        <v>26</v>
      </c>
      <c r="C235" s="3" t="s">
        <v>834</v>
      </c>
      <c r="D235" s="4" t="s">
        <v>1316</v>
      </c>
      <c r="E235" s="3" t="s">
        <v>835</v>
      </c>
      <c r="F235" s="3" t="s">
        <v>836</v>
      </c>
      <c r="G235" s="4" t="s">
        <v>837</v>
      </c>
      <c r="H235" s="4" t="s">
        <v>78</v>
      </c>
      <c r="I235" s="4" t="s">
        <v>838</v>
      </c>
      <c r="J235" s="4" t="s">
        <v>518</v>
      </c>
      <c r="K235" s="4">
        <v>14</v>
      </c>
      <c r="L235" s="4" t="s">
        <v>44</v>
      </c>
      <c r="M235" s="4" t="s">
        <v>1142</v>
      </c>
    </row>
    <row r="236" spans="1:13" ht="27.6" customHeight="1" x14ac:dyDescent="0.25">
      <c r="A236" s="3" t="s">
        <v>26</v>
      </c>
      <c r="B236" s="3" t="s">
        <v>26</v>
      </c>
      <c r="C236" s="3" t="s">
        <v>839</v>
      </c>
      <c r="D236" s="4" t="s">
        <v>1317</v>
      </c>
      <c r="E236" s="3" t="s">
        <v>835</v>
      </c>
      <c r="F236" s="3" t="s">
        <v>840</v>
      </c>
      <c r="G236" s="4" t="s">
        <v>841</v>
      </c>
      <c r="H236" s="4" t="s">
        <v>78</v>
      </c>
      <c r="I236" s="4" t="s">
        <v>842</v>
      </c>
      <c r="J236" s="4" t="s">
        <v>518</v>
      </c>
      <c r="K236" s="4">
        <v>15</v>
      </c>
      <c r="L236" s="4" t="s">
        <v>1534</v>
      </c>
      <c r="M236" s="4" t="s">
        <v>1143</v>
      </c>
    </row>
    <row r="237" spans="1:13" ht="41.45" customHeight="1" x14ac:dyDescent="0.25">
      <c r="A237" s="3" t="s">
        <v>26</v>
      </c>
      <c r="B237" s="3" t="s">
        <v>26</v>
      </c>
      <c r="C237" s="3" t="s">
        <v>843</v>
      </c>
      <c r="D237" s="4" t="s">
        <v>1318</v>
      </c>
      <c r="E237" s="3" t="s">
        <v>835</v>
      </c>
      <c r="F237" s="3" t="s">
        <v>844</v>
      </c>
      <c r="G237" s="4" t="s">
        <v>845</v>
      </c>
      <c r="H237" s="4" t="s">
        <v>78</v>
      </c>
      <c r="I237" s="4" t="s">
        <v>846</v>
      </c>
      <c r="J237" s="4" t="s">
        <v>518</v>
      </c>
      <c r="K237" s="4">
        <v>16</v>
      </c>
      <c r="L237" s="4" t="s">
        <v>45</v>
      </c>
      <c r="M237" s="4" t="s">
        <v>1144</v>
      </c>
    </row>
    <row r="238" spans="1:13" ht="55.15" customHeight="1" x14ac:dyDescent="0.25">
      <c r="A238" s="3" t="s">
        <v>26</v>
      </c>
      <c r="B238" s="3" t="s">
        <v>26</v>
      </c>
      <c r="C238" s="3" t="s">
        <v>847</v>
      </c>
      <c r="D238" s="4" t="s">
        <v>1319</v>
      </c>
      <c r="E238" s="3" t="s">
        <v>835</v>
      </c>
      <c r="F238" s="3" t="s">
        <v>848</v>
      </c>
      <c r="G238" s="4" t="s">
        <v>849</v>
      </c>
      <c r="H238" s="4" t="s">
        <v>78</v>
      </c>
      <c r="I238" s="4" t="s">
        <v>850</v>
      </c>
      <c r="J238" s="4" t="s">
        <v>518</v>
      </c>
      <c r="K238" s="4">
        <v>17</v>
      </c>
      <c r="L238" s="4" t="s">
        <v>46</v>
      </c>
      <c r="M238" s="4" t="s">
        <v>1145</v>
      </c>
    </row>
    <row r="239" spans="1:13" ht="27.6" customHeight="1" x14ac:dyDescent="0.25">
      <c r="A239" s="3" t="s">
        <v>26</v>
      </c>
      <c r="B239" s="3" t="s">
        <v>26</v>
      </c>
      <c r="C239" s="3" t="s">
        <v>851</v>
      </c>
      <c r="D239" s="4" t="s">
        <v>1320</v>
      </c>
      <c r="E239" s="3" t="s">
        <v>835</v>
      </c>
      <c r="F239" s="3" t="s">
        <v>852</v>
      </c>
      <c r="G239" s="4" t="s">
        <v>466</v>
      </c>
      <c r="H239" s="4" t="s">
        <v>78</v>
      </c>
      <c r="I239" s="4" t="s">
        <v>853</v>
      </c>
      <c r="J239" s="4" t="s">
        <v>518</v>
      </c>
      <c r="K239" s="4">
        <v>18</v>
      </c>
      <c r="L239" s="4" t="s">
        <v>47</v>
      </c>
      <c r="M239" s="4" t="s">
        <v>1076</v>
      </c>
    </row>
    <row r="240" spans="1:13" ht="27.6" customHeight="1" x14ac:dyDescent="0.25">
      <c r="A240" s="3" t="s">
        <v>26</v>
      </c>
      <c r="B240" s="3" t="s">
        <v>26</v>
      </c>
      <c r="C240" s="3" t="s">
        <v>854</v>
      </c>
      <c r="D240" s="4" t="s">
        <v>1321</v>
      </c>
      <c r="E240" s="3" t="s">
        <v>835</v>
      </c>
      <c r="F240" s="3" t="s">
        <v>855</v>
      </c>
      <c r="G240" s="4" t="s">
        <v>466</v>
      </c>
      <c r="H240" s="4" t="s">
        <v>78</v>
      </c>
      <c r="I240" s="4" t="s">
        <v>856</v>
      </c>
      <c r="J240" s="4" t="s">
        <v>518</v>
      </c>
      <c r="K240" s="4">
        <v>19</v>
      </c>
      <c r="L240" s="4" t="s">
        <v>48</v>
      </c>
      <c r="M240" s="4" t="s">
        <v>1080</v>
      </c>
    </row>
    <row r="241" spans="1:13" ht="27.6" customHeight="1" x14ac:dyDescent="0.25">
      <c r="A241" s="3" t="s">
        <v>26</v>
      </c>
      <c r="B241" s="3" t="s">
        <v>26</v>
      </c>
      <c r="C241" s="3" t="s">
        <v>857</v>
      </c>
      <c r="D241" s="4" t="s">
        <v>1322</v>
      </c>
      <c r="E241" s="3" t="s">
        <v>835</v>
      </c>
      <c r="F241" s="3" t="s">
        <v>858</v>
      </c>
      <c r="G241" s="4" t="s">
        <v>77</v>
      </c>
      <c r="H241" s="4" t="s">
        <v>78</v>
      </c>
      <c r="I241" s="4" t="s">
        <v>859</v>
      </c>
      <c r="J241" s="4" t="s">
        <v>518</v>
      </c>
      <c r="K241" s="4">
        <v>20</v>
      </c>
      <c r="L241" s="4" t="s">
        <v>49</v>
      </c>
      <c r="M241" s="4" t="s">
        <v>1146</v>
      </c>
    </row>
    <row r="242" spans="1:13" ht="27.6" customHeight="1" x14ac:dyDescent="0.25">
      <c r="A242" s="3" t="s">
        <v>26</v>
      </c>
      <c r="B242" s="3" t="s">
        <v>26</v>
      </c>
      <c r="C242" s="3" t="s">
        <v>860</v>
      </c>
      <c r="D242" s="4" t="s">
        <v>1323</v>
      </c>
      <c r="E242" s="3" t="s">
        <v>835</v>
      </c>
      <c r="F242" s="3" t="s">
        <v>861</v>
      </c>
      <c r="G242" s="4" t="s">
        <v>862</v>
      </c>
      <c r="H242" s="4" t="s">
        <v>78</v>
      </c>
      <c r="I242" s="4"/>
      <c r="J242" s="4" t="s">
        <v>518</v>
      </c>
      <c r="K242" s="4">
        <v>21</v>
      </c>
      <c r="L242" s="4" t="s">
        <v>50</v>
      </c>
      <c r="M242" s="4" t="s">
        <v>1147</v>
      </c>
    </row>
    <row r="243" spans="1:13" ht="55.15" customHeight="1" x14ac:dyDescent="0.25">
      <c r="A243" s="3" t="s">
        <v>26</v>
      </c>
      <c r="B243" s="3" t="s">
        <v>26</v>
      </c>
      <c r="C243" s="3" t="s">
        <v>863</v>
      </c>
      <c r="D243" s="4" t="s">
        <v>1324</v>
      </c>
      <c r="E243" s="3" t="s">
        <v>835</v>
      </c>
      <c r="F243" s="3" t="s">
        <v>864</v>
      </c>
      <c r="G243" s="4" t="s">
        <v>77</v>
      </c>
      <c r="H243" s="4" t="s">
        <v>172</v>
      </c>
      <c r="I243" s="4" t="s">
        <v>865</v>
      </c>
      <c r="J243" s="4" t="s">
        <v>518</v>
      </c>
      <c r="K243" s="4">
        <v>22</v>
      </c>
      <c r="L243" s="4" t="s">
        <v>51</v>
      </c>
      <c r="M243" s="4" t="s">
        <v>1148</v>
      </c>
    </row>
    <row r="244" spans="1:13" ht="27.6" customHeight="1" x14ac:dyDescent="0.25">
      <c r="A244" s="3" t="s">
        <v>26</v>
      </c>
      <c r="B244" s="3" t="s">
        <v>26</v>
      </c>
      <c r="C244" s="3" t="s">
        <v>866</v>
      </c>
      <c r="D244" s="4" t="s">
        <v>1325</v>
      </c>
      <c r="E244" s="3" t="s">
        <v>835</v>
      </c>
      <c r="F244" s="3" t="s">
        <v>867</v>
      </c>
      <c r="G244" s="4" t="s">
        <v>868</v>
      </c>
      <c r="H244" s="4" t="s">
        <v>78</v>
      </c>
      <c r="I244" s="4" t="s">
        <v>869</v>
      </c>
      <c r="J244" s="4" t="s">
        <v>518</v>
      </c>
      <c r="K244" s="4">
        <v>23</v>
      </c>
      <c r="L244" s="4" t="s">
        <v>1531</v>
      </c>
      <c r="M244" s="4" t="s">
        <v>1149</v>
      </c>
    </row>
    <row r="245" spans="1:13" ht="82.9" customHeight="1" x14ac:dyDescent="0.25">
      <c r="A245" s="3" t="s">
        <v>26</v>
      </c>
      <c r="B245" s="3" t="s">
        <v>26</v>
      </c>
      <c r="C245" s="3" t="s">
        <v>870</v>
      </c>
      <c r="D245" s="4" t="s">
        <v>1326</v>
      </c>
      <c r="E245" s="3" t="s">
        <v>835</v>
      </c>
      <c r="F245" s="3" t="s">
        <v>871</v>
      </c>
      <c r="G245" s="4" t="s">
        <v>872</v>
      </c>
      <c r="H245" s="4" t="s">
        <v>78</v>
      </c>
      <c r="I245" s="4" t="s">
        <v>873</v>
      </c>
      <c r="J245" s="4" t="s">
        <v>518</v>
      </c>
      <c r="K245" s="4">
        <v>24</v>
      </c>
      <c r="L245" s="4" t="s">
        <v>52</v>
      </c>
      <c r="M245" s="4" t="s">
        <v>1079</v>
      </c>
    </row>
    <row r="246" spans="1:13" ht="82.9" customHeight="1" x14ac:dyDescent="0.25">
      <c r="A246" s="3" t="s">
        <v>26</v>
      </c>
      <c r="B246" s="3" t="s">
        <v>26</v>
      </c>
      <c r="C246" s="3" t="s">
        <v>874</v>
      </c>
      <c r="D246" s="4" t="s">
        <v>1327</v>
      </c>
      <c r="E246" s="3" t="s">
        <v>835</v>
      </c>
      <c r="F246" s="3" t="s">
        <v>875</v>
      </c>
      <c r="G246" s="4" t="s">
        <v>876</v>
      </c>
      <c r="H246" s="4" t="s">
        <v>78</v>
      </c>
      <c r="I246" s="4" t="s">
        <v>877</v>
      </c>
      <c r="J246" s="4" t="s">
        <v>518</v>
      </c>
      <c r="K246" s="4">
        <v>25</v>
      </c>
      <c r="L246" s="4" t="s">
        <v>53</v>
      </c>
      <c r="M246" s="4" t="s">
        <v>1082</v>
      </c>
    </row>
    <row r="247" spans="1:13" ht="27.6" customHeight="1" x14ac:dyDescent="0.25">
      <c r="A247" s="3" t="s">
        <v>26</v>
      </c>
      <c r="B247" s="3" t="s">
        <v>26</v>
      </c>
      <c r="C247" s="3" t="s">
        <v>878</v>
      </c>
      <c r="D247" s="4" t="s">
        <v>1328</v>
      </c>
      <c r="E247" s="3" t="s">
        <v>835</v>
      </c>
      <c r="F247" s="3" t="s">
        <v>879</v>
      </c>
      <c r="G247" s="4" t="s">
        <v>880</v>
      </c>
      <c r="H247" s="4" t="s">
        <v>78</v>
      </c>
      <c r="I247" s="4" t="s">
        <v>881</v>
      </c>
      <c r="J247" s="4" t="s">
        <v>518</v>
      </c>
      <c r="K247" s="4">
        <v>26</v>
      </c>
      <c r="L247" s="4" t="s">
        <v>54</v>
      </c>
      <c r="M247" s="4" t="s">
        <v>1150</v>
      </c>
    </row>
    <row r="248" spans="1:13" ht="27.6" customHeight="1" x14ac:dyDescent="0.25">
      <c r="A248" s="3" t="s">
        <v>26</v>
      </c>
      <c r="B248" s="3" t="s">
        <v>26</v>
      </c>
      <c r="C248" s="3" t="s">
        <v>882</v>
      </c>
      <c r="D248" s="4" t="s">
        <v>1329</v>
      </c>
      <c r="E248" s="3" t="s">
        <v>835</v>
      </c>
      <c r="F248" s="3" t="s">
        <v>883</v>
      </c>
      <c r="G248" s="4" t="s">
        <v>176</v>
      </c>
      <c r="H248" s="4" t="s">
        <v>78</v>
      </c>
      <c r="I248" s="4" t="s">
        <v>884</v>
      </c>
      <c r="J248" s="4" t="s">
        <v>518</v>
      </c>
      <c r="K248" s="4">
        <v>27</v>
      </c>
      <c r="L248" s="4" t="s">
        <v>55</v>
      </c>
      <c r="M248" s="4" t="s">
        <v>1151</v>
      </c>
    </row>
    <row r="249" spans="1:13" ht="27.6" customHeight="1" x14ac:dyDescent="0.25">
      <c r="A249" s="3" t="s">
        <v>26</v>
      </c>
      <c r="B249" s="3" t="s">
        <v>26</v>
      </c>
      <c r="C249" s="3" t="s">
        <v>885</v>
      </c>
      <c r="D249" s="4" t="s">
        <v>1330</v>
      </c>
      <c r="E249" s="3" t="s">
        <v>835</v>
      </c>
      <c r="F249" s="3" t="s">
        <v>886</v>
      </c>
      <c r="G249" s="4" t="s">
        <v>176</v>
      </c>
      <c r="H249" s="4" t="s">
        <v>172</v>
      </c>
      <c r="I249" s="4" t="s">
        <v>887</v>
      </c>
      <c r="J249" s="4" t="s">
        <v>518</v>
      </c>
      <c r="K249" s="4">
        <v>28</v>
      </c>
      <c r="L249" s="4" t="s">
        <v>56</v>
      </c>
      <c r="M249" s="4" t="s">
        <v>1152</v>
      </c>
    </row>
    <row r="250" spans="1:13" ht="27.6" customHeight="1" x14ac:dyDescent="0.25">
      <c r="A250" s="3" t="s">
        <v>26</v>
      </c>
      <c r="B250" s="3" t="s">
        <v>26</v>
      </c>
      <c r="C250" s="3" t="s">
        <v>888</v>
      </c>
      <c r="D250" s="4" t="s">
        <v>1331</v>
      </c>
      <c r="E250" s="3" t="s">
        <v>835</v>
      </c>
      <c r="F250" s="3" t="s">
        <v>889</v>
      </c>
      <c r="G250" s="4" t="s">
        <v>176</v>
      </c>
      <c r="H250" s="4" t="s">
        <v>78</v>
      </c>
      <c r="I250" s="4" t="s">
        <v>890</v>
      </c>
      <c r="J250" s="4" t="s">
        <v>518</v>
      </c>
      <c r="K250" s="4">
        <v>29</v>
      </c>
      <c r="L250" s="4" t="s">
        <v>57</v>
      </c>
      <c r="M250" s="4" t="s">
        <v>1153</v>
      </c>
    </row>
    <row r="251" spans="1:13" ht="27.6" customHeight="1" x14ac:dyDescent="0.25">
      <c r="A251" s="3" t="s">
        <v>26</v>
      </c>
      <c r="B251" s="3" t="s">
        <v>26</v>
      </c>
      <c r="C251" s="3" t="s">
        <v>891</v>
      </c>
      <c r="D251" s="4" t="s">
        <v>1332</v>
      </c>
      <c r="E251" s="3" t="s">
        <v>835</v>
      </c>
      <c r="F251" s="3" t="s">
        <v>892</v>
      </c>
      <c r="G251" s="4" t="s">
        <v>880</v>
      </c>
      <c r="H251" s="4" t="s">
        <v>78</v>
      </c>
      <c r="I251" s="4" t="s">
        <v>893</v>
      </c>
      <c r="J251" s="4" t="s">
        <v>518</v>
      </c>
      <c r="K251" s="4">
        <v>30</v>
      </c>
      <c r="L251" s="4" t="s">
        <v>58</v>
      </c>
      <c r="M251" s="4" t="s">
        <v>1075</v>
      </c>
    </row>
    <row r="252" spans="1:13" ht="55.15" customHeight="1" x14ac:dyDescent="0.25">
      <c r="A252" s="3" t="s">
        <v>26</v>
      </c>
      <c r="B252" s="3" t="s">
        <v>26</v>
      </c>
      <c r="C252" s="3" t="s">
        <v>894</v>
      </c>
      <c r="D252" s="4" t="s">
        <v>1333</v>
      </c>
      <c r="E252" s="3" t="s">
        <v>895</v>
      </c>
      <c r="F252" s="3" t="s">
        <v>896</v>
      </c>
      <c r="G252" s="4" t="s">
        <v>897</v>
      </c>
      <c r="H252" s="4" t="s">
        <v>78</v>
      </c>
      <c r="I252" s="4" t="s">
        <v>898</v>
      </c>
      <c r="J252" s="4" t="s">
        <v>518</v>
      </c>
      <c r="K252" s="4">
        <v>31</v>
      </c>
      <c r="L252" s="4" t="s">
        <v>59</v>
      </c>
      <c r="M252" s="4" t="s">
        <v>1154</v>
      </c>
    </row>
    <row r="253" spans="1:13" ht="27.6" customHeight="1" x14ac:dyDescent="0.25">
      <c r="A253" s="3" t="s">
        <v>26</v>
      </c>
      <c r="B253" s="3" t="s">
        <v>26</v>
      </c>
      <c r="C253" s="3" t="s">
        <v>899</v>
      </c>
      <c r="D253" s="4" t="s">
        <v>1334</v>
      </c>
      <c r="E253" s="3" t="s">
        <v>895</v>
      </c>
      <c r="F253" s="3" t="s">
        <v>455</v>
      </c>
      <c r="G253" s="4" t="s">
        <v>900</v>
      </c>
      <c r="H253" s="4" t="s">
        <v>172</v>
      </c>
      <c r="I253" s="4" t="s">
        <v>901</v>
      </c>
      <c r="J253" s="4" t="s">
        <v>518</v>
      </c>
      <c r="K253" s="4">
        <v>32</v>
      </c>
      <c r="L253" s="4" t="s">
        <v>1515</v>
      </c>
      <c r="M253" s="4" t="s">
        <v>1155</v>
      </c>
    </row>
    <row r="254" spans="1:13" ht="55.15" customHeight="1" x14ac:dyDescent="0.25">
      <c r="A254" s="3" t="s">
        <v>26</v>
      </c>
      <c r="B254" s="3" t="s">
        <v>26</v>
      </c>
      <c r="C254" s="3" t="s">
        <v>902</v>
      </c>
      <c r="D254" s="4" t="s">
        <v>1335</v>
      </c>
      <c r="E254" s="3" t="s">
        <v>895</v>
      </c>
      <c r="F254" s="3" t="s">
        <v>903</v>
      </c>
      <c r="G254" s="4" t="s">
        <v>897</v>
      </c>
      <c r="H254" s="4" t="s">
        <v>172</v>
      </c>
      <c r="I254" s="4" t="s">
        <v>904</v>
      </c>
      <c r="J254" s="4" t="s">
        <v>518</v>
      </c>
      <c r="K254" s="4">
        <v>33</v>
      </c>
      <c r="L254" s="4" t="s">
        <v>60</v>
      </c>
      <c r="M254" s="4" t="s">
        <v>1156</v>
      </c>
    </row>
    <row r="255" spans="1:13" ht="55.15" customHeight="1" x14ac:dyDescent="0.25">
      <c r="A255" s="3" t="s">
        <v>26</v>
      </c>
      <c r="B255" s="3" t="s">
        <v>26</v>
      </c>
      <c r="C255" s="3" t="s">
        <v>905</v>
      </c>
      <c r="D255" s="4" t="s">
        <v>1336</v>
      </c>
      <c r="E255" s="3" t="s">
        <v>895</v>
      </c>
      <c r="F255" s="3" t="s">
        <v>906</v>
      </c>
      <c r="G255" s="4" t="s">
        <v>897</v>
      </c>
      <c r="H255" s="4" t="s">
        <v>172</v>
      </c>
      <c r="I255" s="4" t="s">
        <v>907</v>
      </c>
      <c r="J255" s="4" t="s">
        <v>518</v>
      </c>
      <c r="K255" s="4">
        <v>34</v>
      </c>
      <c r="L255" s="4" t="s">
        <v>61</v>
      </c>
      <c r="M255" s="4" t="s">
        <v>1157</v>
      </c>
    </row>
    <row r="256" spans="1:13" ht="69" customHeight="1" x14ac:dyDescent="0.25">
      <c r="A256" s="3" t="s">
        <v>26</v>
      </c>
      <c r="B256" s="3" t="s">
        <v>26</v>
      </c>
      <c r="C256" s="3" t="s">
        <v>908</v>
      </c>
      <c r="D256" s="4" t="s">
        <v>1337</v>
      </c>
      <c r="E256" s="3" t="s">
        <v>895</v>
      </c>
      <c r="F256" s="3" t="s">
        <v>909</v>
      </c>
      <c r="G256" s="4" t="s">
        <v>910</v>
      </c>
      <c r="H256" s="4" t="s">
        <v>172</v>
      </c>
      <c r="I256" s="4" t="s">
        <v>911</v>
      </c>
      <c r="J256" s="4" t="s">
        <v>518</v>
      </c>
      <c r="K256" s="4">
        <v>35</v>
      </c>
      <c r="L256" s="4" t="s">
        <v>62</v>
      </c>
      <c r="M256" s="4" t="s">
        <v>1158</v>
      </c>
    </row>
    <row r="257" spans="1:13" ht="27.6" customHeight="1" x14ac:dyDescent="0.25">
      <c r="A257" s="3" t="s">
        <v>26</v>
      </c>
      <c r="B257" s="3" t="s">
        <v>26</v>
      </c>
      <c r="C257" s="3" t="s">
        <v>912</v>
      </c>
      <c r="D257" s="4" t="s">
        <v>1338</v>
      </c>
      <c r="E257" s="3" t="s">
        <v>769</v>
      </c>
      <c r="F257" s="3" t="s">
        <v>913</v>
      </c>
      <c r="G257" s="4" t="s">
        <v>914</v>
      </c>
      <c r="H257" s="4" t="s">
        <v>172</v>
      </c>
      <c r="I257" s="4" t="s">
        <v>915</v>
      </c>
      <c r="J257" s="4" t="s">
        <v>518</v>
      </c>
      <c r="K257" s="4">
        <v>36</v>
      </c>
      <c r="L257" s="4" t="s">
        <v>14</v>
      </c>
      <c r="M257" s="4" t="s">
        <v>1093</v>
      </c>
    </row>
    <row r="258" spans="1:13" ht="27.6" customHeight="1" x14ac:dyDescent="0.25">
      <c r="A258" s="3" t="s">
        <v>26</v>
      </c>
      <c r="B258" s="3" t="s">
        <v>26</v>
      </c>
      <c r="C258" s="3" t="s">
        <v>916</v>
      </c>
      <c r="D258" s="4" t="s">
        <v>1339</v>
      </c>
      <c r="E258" s="3" t="s">
        <v>769</v>
      </c>
      <c r="F258" s="3" t="s">
        <v>460</v>
      </c>
      <c r="G258" s="4" t="s">
        <v>917</v>
      </c>
      <c r="H258" s="4" t="s">
        <v>172</v>
      </c>
      <c r="I258" s="4" t="s">
        <v>918</v>
      </c>
      <c r="J258" s="4" t="s">
        <v>518</v>
      </c>
      <c r="K258" s="4">
        <v>37</v>
      </c>
      <c r="L258" s="4" t="s">
        <v>1558</v>
      </c>
      <c r="M258" s="4" t="s">
        <v>1098</v>
      </c>
    </row>
    <row r="259" spans="1:13" ht="27.6" customHeight="1" x14ac:dyDescent="0.25">
      <c r="A259" s="3" t="s">
        <v>26</v>
      </c>
      <c r="B259" s="3" t="s">
        <v>26</v>
      </c>
      <c r="C259" s="3" t="s">
        <v>919</v>
      </c>
      <c r="D259" s="4" t="s">
        <v>1340</v>
      </c>
      <c r="E259" s="3" t="s">
        <v>769</v>
      </c>
      <c r="F259" s="3" t="s">
        <v>920</v>
      </c>
      <c r="G259" s="4" t="s">
        <v>921</v>
      </c>
      <c r="H259" s="4" t="s">
        <v>172</v>
      </c>
      <c r="I259" s="4" t="s">
        <v>922</v>
      </c>
      <c r="J259" s="4" t="s">
        <v>518</v>
      </c>
      <c r="K259" s="4">
        <v>38</v>
      </c>
      <c r="L259" s="4" t="s">
        <v>63</v>
      </c>
      <c r="M259" s="4" t="s">
        <v>1159</v>
      </c>
    </row>
    <row r="260" spans="1:13" ht="27.6" customHeight="1" x14ac:dyDescent="0.25">
      <c r="A260" s="3" t="s">
        <v>26</v>
      </c>
      <c r="B260" s="3" t="s">
        <v>26</v>
      </c>
      <c r="C260" s="3" t="s">
        <v>923</v>
      </c>
      <c r="D260" s="4" t="s">
        <v>1341</v>
      </c>
      <c r="E260" s="3" t="s">
        <v>169</v>
      </c>
      <c r="F260" s="3" t="s">
        <v>784</v>
      </c>
      <c r="G260" s="4" t="s">
        <v>77</v>
      </c>
      <c r="H260" s="4" t="s">
        <v>172</v>
      </c>
      <c r="I260" s="4" t="s">
        <v>785</v>
      </c>
      <c r="J260" s="4" t="s">
        <v>518</v>
      </c>
      <c r="K260" s="4">
        <v>39</v>
      </c>
      <c r="L260" s="4" t="s">
        <v>16</v>
      </c>
      <c r="M260" s="4" t="s">
        <v>1160</v>
      </c>
    </row>
    <row r="261" spans="1:13" ht="27.6" customHeight="1" x14ac:dyDescent="0.25">
      <c r="A261" s="3" t="s">
        <v>26</v>
      </c>
      <c r="B261" s="3" t="s">
        <v>26</v>
      </c>
      <c r="C261" s="3" t="s">
        <v>168</v>
      </c>
      <c r="D261" s="4" t="s">
        <v>1342</v>
      </c>
      <c r="E261" s="3" t="s">
        <v>169</v>
      </c>
      <c r="F261" s="3" t="s">
        <v>170</v>
      </c>
      <c r="G261" s="4" t="s">
        <v>667</v>
      </c>
      <c r="H261" s="4" t="s">
        <v>172</v>
      </c>
      <c r="I261" s="4" t="s">
        <v>924</v>
      </c>
      <c r="J261" s="4" t="s">
        <v>518</v>
      </c>
      <c r="K261" s="4">
        <v>40</v>
      </c>
      <c r="L261" s="4" t="s">
        <v>17</v>
      </c>
      <c r="M261" s="4" t="s">
        <v>205</v>
      </c>
    </row>
    <row r="262" spans="1:13" ht="14.45" customHeight="1" x14ac:dyDescent="0.25">
      <c r="A262" s="3" t="s">
        <v>64</v>
      </c>
      <c r="B262" s="3" t="s">
        <v>64</v>
      </c>
      <c r="C262" s="3" t="s">
        <v>787</v>
      </c>
      <c r="D262" s="4" t="s">
        <v>1343</v>
      </c>
      <c r="E262" s="3" t="s">
        <v>835</v>
      </c>
      <c r="F262" s="3" t="s">
        <v>925</v>
      </c>
      <c r="G262" s="4" t="s">
        <v>667</v>
      </c>
      <c r="H262" s="4" t="s">
        <v>78</v>
      </c>
      <c r="I262" s="4" t="s">
        <v>926</v>
      </c>
      <c r="J262" s="4" t="s">
        <v>519</v>
      </c>
      <c r="K262" s="4">
        <v>1</v>
      </c>
      <c r="L262" s="4" t="s">
        <v>33</v>
      </c>
      <c r="M262" s="4" t="s">
        <v>148</v>
      </c>
    </row>
    <row r="263" spans="1:13" ht="14.45" customHeight="1" x14ac:dyDescent="0.25">
      <c r="A263" s="3" t="s">
        <v>64</v>
      </c>
      <c r="B263" s="3" t="s">
        <v>64</v>
      </c>
      <c r="C263" s="3" t="s">
        <v>791</v>
      </c>
      <c r="D263" s="4" t="s">
        <v>1344</v>
      </c>
      <c r="E263" s="3" t="s">
        <v>792</v>
      </c>
      <c r="F263" s="3" t="s">
        <v>793</v>
      </c>
      <c r="G263" s="4" t="s">
        <v>77</v>
      </c>
      <c r="H263" s="4" t="s">
        <v>78</v>
      </c>
      <c r="I263" s="4" t="s">
        <v>927</v>
      </c>
      <c r="J263" s="4" t="s">
        <v>519</v>
      </c>
      <c r="K263" s="4">
        <v>2</v>
      </c>
      <c r="L263" s="4" t="s">
        <v>34</v>
      </c>
      <c r="M263" s="4" t="s">
        <v>148</v>
      </c>
    </row>
    <row r="264" spans="1:13" ht="27.6" customHeight="1" x14ac:dyDescent="0.25">
      <c r="A264" s="3" t="s">
        <v>64</v>
      </c>
      <c r="B264" s="3" t="s">
        <v>64</v>
      </c>
      <c r="C264" s="3" t="s">
        <v>795</v>
      </c>
      <c r="D264" s="4" t="s">
        <v>1345</v>
      </c>
      <c r="E264" s="3" t="s">
        <v>792</v>
      </c>
      <c r="F264" s="3" t="s">
        <v>796</v>
      </c>
      <c r="G264" s="4" t="s">
        <v>625</v>
      </c>
      <c r="H264" s="4" t="s">
        <v>78</v>
      </c>
      <c r="I264" s="4" t="s">
        <v>928</v>
      </c>
      <c r="J264" s="4" t="s">
        <v>519</v>
      </c>
      <c r="K264" s="4">
        <v>3</v>
      </c>
      <c r="L264" s="4" t="s">
        <v>35</v>
      </c>
      <c r="M264" s="4" t="s">
        <v>148</v>
      </c>
    </row>
    <row r="265" spans="1:13" ht="27.6" customHeight="1" x14ac:dyDescent="0.25">
      <c r="A265" s="3" t="s">
        <v>64</v>
      </c>
      <c r="B265" s="3" t="s">
        <v>64</v>
      </c>
      <c r="C265" s="3" t="s">
        <v>798</v>
      </c>
      <c r="D265" s="4" t="s">
        <v>1346</v>
      </c>
      <c r="E265" s="3" t="s">
        <v>792</v>
      </c>
      <c r="F265" s="3" t="s">
        <v>799</v>
      </c>
      <c r="G265" s="4" t="s">
        <v>929</v>
      </c>
      <c r="H265" s="4" t="s">
        <v>78</v>
      </c>
      <c r="I265" s="4" t="s">
        <v>930</v>
      </c>
      <c r="J265" s="4" t="s">
        <v>519</v>
      </c>
      <c r="K265" s="4">
        <v>4</v>
      </c>
      <c r="L265" s="4" t="s">
        <v>1541</v>
      </c>
      <c r="M265" s="4" t="s">
        <v>148</v>
      </c>
    </row>
    <row r="266" spans="1:13" ht="27.6" customHeight="1" x14ac:dyDescent="0.25">
      <c r="A266" s="3" t="s">
        <v>64</v>
      </c>
      <c r="B266" s="3" t="s">
        <v>64</v>
      </c>
      <c r="C266" s="3" t="s">
        <v>801</v>
      </c>
      <c r="D266" s="4" t="s">
        <v>1347</v>
      </c>
      <c r="E266" s="3" t="s">
        <v>792</v>
      </c>
      <c r="F266" s="3" t="s">
        <v>802</v>
      </c>
      <c r="G266" s="4" t="s">
        <v>707</v>
      </c>
      <c r="H266" s="4" t="s">
        <v>78</v>
      </c>
      <c r="I266" s="4" t="s">
        <v>931</v>
      </c>
      <c r="J266" s="4" t="s">
        <v>519</v>
      </c>
      <c r="K266" s="4">
        <v>5</v>
      </c>
      <c r="L266" s="4" t="s">
        <v>1542</v>
      </c>
      <c r="M266" s="4" t="s">
        <v>148</v>
      </c>
    </row>
    <row r="267" spans="1:13" ht="27.6" customHeight="1" x14ac:dyDescent="0.25">
      <c r="A267" s="3" t="s">
        <v>64</v>
      </c>
      <c r="B267" s="3" t="s">
        <v>64</v>
      </c>
      <c r="C267" s="3" t="s">
        <v>804</v>
      </c>
      <c r="D267" s="4" t="s">
        <v>1348</v>
      </c>
      <c r="E267" s="3" t="s">
        <v>792</v>
      </c>
      <c r="F267" s="3" t="s">
        <v>805</v>
      </c>
      <c r="G267" s="4" t="s">
        <v>932</v>
      </c>
      <c r="H267" s="4" t="s">
        <v>78</v>
      </c>
      <c r="I267" s="4" t="s">
        <v>933</v>
      </c>
      <c r="J267" s="4" t="s">
        <v>519</v>
      </c>
      <c r="K267" s="4">
        <v>6</v>
      </c>
      <c r="L267" s="4" t="s">
        <v>38</v>
      </c>
      <c r="M267" s="4" t="s">
        <v>148</v>
      </c>
    </row>
    <row r="268" spans="1:13" ht="27.6" customHeight="1" x14ac:dyDescent="0.25">
      <c r="A268" s="3" t="s">
        <v>64</v>
      </c>
      <c r="B268" s="3" t="s">
        <v>64</v>
      </c>
      <c r="C268" s="3" t="s">
        <v>808</v>
      </c>
      <c r="D268" s="4" t="s">
        <v>1349</v>
      </c>
      <c r="E268" s="3" t="s">
        <v>792</v>
      </c>
      <c r="F268" s="3" t="s">
        <v>809</v>
      </c>
      <c r="G268" s="4" t="s">
        <v>934</v>
      </c>
      <c r="H268" s="4" t="s">
        <v>78</v>
      </c>
      <c r="I268" s="4" t="s">
        <v>935</v>
      </c>
      <c r="J268" s="4" t="s">
        <v>519</v>
      </c>
      <c r="K268" s="4">
        <v>7</v>
      </c>
      <c r="L268" s="4" t="s">
        <v>39</v>
      </c>
      <c r="M268" s="4" t="s">
        <v>148</v>
      </c>
    </row>
    <row r="269" spans="1:13" ht="41.45" customHeight="1" x14ac:dyDescent="0.25">
      <c r="A269" s="3" t="s">
        <v>64</v>
      </c>
      <c r="B269" s="3" t="s">
        <v>64</v>
      </c>
      <c r="C269" s="3" t="s">
        <v>812</v>
      </c>
      <c r="D269" s="4" t="s">
        <v>1350</v>
      </c>
      <c r="E269" s="3" t="s">
        <v>936</v>
      </c>
      <c r="F269" s="3" t="s">
        <v>814</v>
      </c>
      <c r="G269" s="4" t="s">
        <v>77</v>
      </c>
      <c r="H269" s="4" t="s">
        <v>172</v>
      </c>
      <c r="I269" s="4" t="s">
        <v>937</v>
      </c>
      <c r="J269" s="4" t="s">
        <v>519</v>
      </c>
      <c r="K269" s="4">
        <v>8</v>
      </c>
      <c r="L269" s="4" t="s">
        <v>40</v>
      </c>
      <c r="M269" s="4" t="s">
        <v>148</v>
      </c>
    </row>
    <row r="270" spans="1:13" ht="41.45" customHeight="1" x14ac:dyDescent="0.25">
      <c r="A270" s="3" t="s">
        <v>64</v>
      </c>
      <c r="B270" s="3" t="s">
        <v>64</v>
      </c>
      <c r="C270" s="3" t="s">
        <v>816</v>
      </c>
      <c r="D270" s="4" t="s">
        <v>1351</v>
      </c>
      <c r="E270" s="3" t="s">
        <v>938</v>
      </c>
      <c r="F270" s="3" t="s">
        <v>817</v>
      </c>
      <c r="G270" s="4" t="s">
        <v>77</v>
      </c>
      <c r="H270" s="4" t="s">
        <v>172</v>
      </c>
      <c r="I270" s="4" t="s">
        <v>939</v>
      </c>
      <c r="J270" s="4" t="s">
        <v>519</v>
      </c>
      <c r="K270" s="4">
        <v>9</v>
      </c>
      <c r="L270" s="4" t="s">
        <v>1477</v>
      </c>
      <c r="M270" s="4" t="s">
        <v>148</v>
      </c>
    </row>
    <row r="271" spans="1:13" ht="55.15" customHeight="1" x14ac:dyDescent="0.25">
      <c r="A271" s="3" t="s">
        <v>64</v>
      </c>
      <c r="B271" s="3" t="s">
        <v>64</v>
      </c>
      <c r="C271" s="3" t="s">
        <v>819</v>
      </c>
      <c r="D271" s="4" t="s">
        <v>1352</v>
      </c>
      <c r="E271" s="3" t="s">
        <v>685</v>
      </c>
      <c r="F271" s="3" t="s">
        <v>820</v>
      </c>
      <c r="G271" s="4" t="s">
        <v>940</v>
      </c>
      <c r="H271" s="4" t="s">
        <v>78</v>
      </c>
      <c r="I271" s="4" t="s">
        <v>941</v>
      </c>
      <c r="J271" s="4" t="s">
        <v>519</v>
      </c>
      <c r="K271" s="4">
        <v>10</v>
      </c>
      <c r="L271" s="4" t="s">
        <v>1526</v>
      </c>
      <c r="M271" s="4" t="s">
        <v>148</v>
      </c>
    </row>
    <row r="272" spans="1:13" ht="27.6" customHeight="1" x14ac:dyDescent="0.25">
      <c r="A272" s="3" t="s">
        <v>64</v>
      </c>
      <c r="B272" s="3" t="s">
        <v>64</v>
      </c>
      <c r="C272" s="3" t="s">
        <v>823</v>
      </c>
      <c r="D272" s="4" t="s">
        <v>1353</v>
      </c>
      <c r="E272" s="3" t="s">
        <v>498</v>
      </c>
      <c r="F272" s="3" t="s">
        <v>824</v>
      </c>
      <c r="G272" s="4" t="s">
        <v>825</v>
      </c>
      <c r="H272" s="4" t="s">
        <v>78</v>
      </c>
      <c r="I272" s="4" t="s">
        <v>826</v>
      </c>
      <c r="J272" s="4" t="s">
        <v>519</v>
      </c>
      <c r="K272" s="4">
        <v>11</v>
      </c>
      <c r="L272" s="4" t="s">
        <v>1535</v>
      </c>
      <c r="M272" s="4" t="s">
        <v>148</v>
      </c>
    </row>
    <row r="273" spans="1:13" ht="14.45" customHeight="1" x14ac:dyDescent="0.25">
      <c r="A273" s="3" t="s">
        <v>64</v>
      </c>
      <c r="B273" s="3" t="s">
        <v>64</v>
      </c>
      <c r="C273" s="3" t="s">
        <v>827</v>
      </c>
      <c r="D273" s="4" t="s">
        <v>1354</v>
      </c>
      <c r="E273" s="3" t="s">
        <v>498</v>
      </c>
      <c r="F273" s="3" t="s">
        <v>828</v>
      </c>
      <c r="G273" s="4" t="s">
        <v>466</v>
      </c>
      <c r="H273" s="4" t="s">
        <v>172</v>
      </c>
      <c r="I273" s="4" t="s">
        <v>829</v>
      </c>
      <c r="J273" s="4" t="s">
        <v>519</v>
      </c>
      <c r="K273" s="4">
        <v>12</v>
      </c>
      <c r="L273" s="4" t="s">
        <v>42</v>
      </c>
      <c r="M273" s="4" t="s">
        <v>148</v>
      </c>
    </row>
    <row r="274" spans="1:13" ht="55.15" customHeight="1" x14ac:dyDescent="0.25">
      <c r="A274" s="3" t="s">
        <v>64</v>
      </c>
      <c r="B274" s="3" t="s">
        <v>64</v>
      </c>
      <c r="C274" s="3" t="s">
        <v>830</v>
      </c>
      <c r="D274" s="4" t="s">
        <v>1355</v>
      </c>
      <c r="E274" s="3" t="s">
        <v>498</v>
      </c>
      <c r="F274" s="3" t="s">
        <v>831</v>
      </c>
      <c r="G274" s="4" t="s">
        <v>832</v>
      </c>
      <c r="H274" s="4" t="s">
        <v>78</v>
      </c>
      <c r="I274" s="4" t="s">
        <v>942</v>
      </c>
      <c r="J274" s="4" t="s">
        <v>519</v>
      </c>
      <c r="K274" s="4">
        <v>13</v>
      </c>
      <c r="L274" s="4" t="s">
        <v>43</v>
      </c>
      <c r="M274" s="4" t="s">
        <v>148</v>
      </c>
    </row>
    <row r="275" spans="1:13" ht="14.45" customHeight="1" x14ac:dyDescent="0.25">
      <c r="A275" s="3" t="s">
        <v>64</v>
      </c>
      <c r="B275" s="3" t="s">
        <v>64</v>
      </c>
      <c r="C275" s="3" t="s">
        <v>943</v>
      </c>
      <c r="D275" s="4" t="s">
        <v>1356</v>
      </c>
      <c r="E275" s="3" t="s">
        <v>498</v>
      </c>
      <c r="F275" s="3" t="s">
        <v>944</v>
      </c>
      <c r="G275" s="4" t="s">
        <v>176</v>
      </c>
      <c r="H275" s="4" t="s">
        <v>172</v>
      </c>
      <c r="I275" s="4" t="s">
        <v>945</v>
      </c>
      <c r="J275" s="4" t="s">
        <v>519</v>
      </c>
      <c r="K275" s="4">
        <v>14</v>
      </c>
      <c r="L275" s="4" t="s">
        <v>1478</v>
      </c>
      <c r="M275" s="4" t="s">
        <v>148</v>
      </c>
    </row>
    <row r="276" spans="1:13" ht="55.15" customHeight="1" x14ac:dyDescent="0.25">
      <c r="A276" s="3" t="s">
        <v>64</v>
      </c>
      <c r="B276" s="3" t="s">
        <v>64</v>
      </c>
      <c r="C276" s="3" t="s">
        <v>905</v>
      </c>
      <c r="D276" s="4" t="s">
        <v>1357</v>
      </c>
      <c r="E276" s="3" t="s">
        <v>895</v>
      </c>
      <c r="F276" s="3" t="s">
        <v>906</v>
      </c>
      <c r="G276" s="4" t="s">
        <v>946</v>
      </c>
      <c r="H276" s="4" t="s">
        <v>172</v>
      </c>
      <c r="I276" s="4" t="s">
        <v>907</v>
      </c>
      <c r="J276" s="4" t="s">
        <v>519</v>
      </c>
      <c r="K276" s="4">
        <v>15</v>
      </c>
      <c r="L276" s="4" t="s">
        <v>61</v>
      </c>
      <c r="M276" s="4" t="s">
        <v>148</v>
      </c>
    </row>
    <row r="277" spans="1:13" ht="27.6" customHeight="1" x14ac:dyDescent="0.25">
      <c r="A277" s="3" t="s">
        <v>64</v>
      </c>
      <c r="B277" s="3" t="s">
        <v>64</v>
      </c>
      <c r="C277" s="3" t="s">
        <v>912</v>
      </c>
      <c r="D277" s="4" t="s">
        <v>1358</v>
      </c>
      <c r="E277" s="3" t="s">
        <v>769</v>
      </c>
      <c r="F277" s="3" t="s">
        <v>913</v>
      </c>
      <c r="G277" s="4" t="s">
        <v>914</v>
      </c>
      <c r="H277" s="4" t="s">
        <v>172</v>
      </c>
      <c r="I277" s="4" t="s">
        <v>947</v>
      </c>
      <c r="J277" s="4" t="s">
        <v>519</v>
      </c>
      <c r="K277" s="4">
        <v>16</v>
      </c>
      <c r="L277" s="4" t="s">
        <v>14</v>
      </c>
      <c r="M277" s="4" t="s">
        <v>148</v>
      </c>
    </row>
    <row r="278" spans="1:13" ht="27.6" customHeight="1" x14ac:dyDescent="0.25">
      <c r="A278" s="3" t="s">
        <v>64</v>
      </c>
      <c r="B278" s="3" t="s">
        <v>64</v>
      </c>
      <c r="C278" s="3" t="s">
        <v>919</v>
      </c>
      <c r="D278" s="4" t="s">
        <v>1359</v>
      </c>
      <c r="E278" s="3" t="s">
        <v>769</v>
      </c>
      <c r="F278" s="3" t="s">
        <v>920</v>
      </c>
      <c r="G278" s="4" t="s">
        <v>921</v>
      </c>
      <c r="H278" s="4" t="s">
        <v>172</v>
      </c>
      <c r="I278" s="4" t="s">
        <v>922</v>
      </c>
      <c r="J278" s="4" t="s">
        <v>519</v>
      </c>
      <c r="K278" s="4">
        <v>17</v>
      </c>
      <c r="L278" s="4" t="s">
        <v>63</v>
      </c>
      <c r="M278" s="4" t="s">
        <v>148</v>
      </c>
    </row>
    <row r="279" spans="1:13" ht="27.6" customHeight="1" x14ac:dyDescent="0.25">
      <c r="A279" s="3" t="s">
        <v>64</v>
      </c>
      <c r="B279" s="3" t="s">
        <v>64</v>
      </c>
      <c r="C279" s="3" t="s">
        <v>168</v>
      </c>
      <c r="D279" s="4" t="s">
        <v>1360</v>
      </c>
      <c r="E279" s="3" t="s">
        <v>169</v>
      </c>
      <c r="F279" s="3" t="s">
        <v>170</v>
      </c>
      <c r="G279" s="4" t="s">
        <v>667</v>
      </c>
      <c r="H279" s="4" t="s">
        <v>172</v>
      </c>
      <c r="I279" s="4" t="s">
        <v>924</v>
      </c>
      <c r="J279" s="4" t="s">
        <v>519</v>
      </c>
      <c r="K279" s="4">
        <v>18</v>
      </c>
      <c r="L279" s="4" t="s">
        <v>17</v>
      </c>
      <c r="M279" s="4" t="s">
        <v>148</v>
      </c>
    </row>
    <row r="280" spans="1:13" ht="14.45" customHeight="1" x14ac:dyDescent="0.25">
      <c r="A280" s="3" t="s">
        <v>1447</v>
      </c>
      <c r="B280" s="3" t="s">
        <v>1447</v>
      </c>
      <c r="C280" s="3" t="s">
        <v>948</v>
      </c>
      <c r="D280" s="4" t="s">
        <v>1361</v>
      </c>
      <c r="E280" s="3" t="s">
        <v>949</v>
      </c>
      <c r="F280" s="3" t="s">
        <v>950</v>
      </c>
      <c r="G280" s="4" t="s">
        <v>77</v>
      </c>
      <c r="H280" s="4" t="s">
        <v>78</v>
      </c>
      <c r="I280" s="4" t="s">
        <v>951</v>
      </c>
      <c r="J280" s="4" t="s">
        <v>520</v>
      </c>
      <c r="K280" s="4">
        <v>1</v>
      </c>
      <c r="L280" s="4" t="s">
        <v>1479</v>
      </c>
      <c r="M280" s="4" t="s">
        <v>148</v>
      </c>
    </row>
    <row r="281" spans="1:13" ht="14.45" customHeight="1" x14ac:dyDescent="0.25">
      <c r="A281" s="3" t="s">
        <v>1447</v>
      </c>
      <c r="B281" s="3" t="s">
        <v>1447</v>
      </c>
      <c r="C281" s="3" t="s">
        <v>952</v>
      </c>
      <c r="D281" s="4" t="s">
        <v>1362</v>
      </c>
      <c r="E281" s="3" t="s">
        <v>949</v>
      </c>
      <c r="F281" s="3" t="s">
        <v>953</v>
      </c>
      <c r="G281" s="4" t="s">
        <v>77</v>
      </c>
      <c r="H281" s="4" t="s">
        <v>78</v>
      </c>
      <c r="I281" s="4" t="s">
        <v>954</v>
      </c>
      <c r="J281" s="4" t="s">
        <v>520</v>
      </c>
      <c r="K281" s="4">
        <v>2</v>
      </c>
      <c r="L281" s="4" t="s">
        <v>1480</v>
      </c>
      <c r="M281" s="4" t="s">
        <v>148</v>
      </c>
    </row>
    <row r="282" spans="1:13" ht="27.6" customHeight="1" x14ac:dyDescent="0.25">
      <c r="A282" s="3" t="s">
        <v>1447</v>
      </c>
      <c r="B282" s="3" t="s">
        <v>1447</v>
      </c>
      <c r="C282" s="3" t="s">
        <v>955</v>
      </c>
      <c r="D282" s="4" t="s">
        <v>1363</v>
      </c>
      <c r="E282" s="3" t="s">
        <v>949</v>
      </c>
      <c r="F282" s="3" t="s">
        <v>956</v>
      </c>
      <c r="G282" s="4" t="s">
        <v>667</v>
      </c>
      <c r="H282" s="4" t="s">
        <v>78</v>
      </c>
      <c r="I282" s="4" t="s">
        <v>957</v>
      </c>
      <c r="J282" s="4" t="s">
        <v>520</v>
      </c>
      <c r="K282" s="4">
        <v>3</v>
      </c>
      <c r="L282" s="4" t="s">
        <v>1481</v>
      </c>
      <c r="M282" s="4" t="s">
        <v>148</v>
      </c>
    </row>
    <row r="283" spans="1:13" ht="41.45" customHeight="1" x14ac:dyDescent="0.25">
      <c r="A283" s="3" t="s">
        <v>1447</v>
      </c>
      <c r="B283" s="3" t="s">
        <v>1447</v>
      </c>
      <c r="C283" s="3" t="s">
        <v>958</v>
      </c>
      <c r="D283" s="4" t="s">
        <v>1364</v>
      </c>
      <c r="E283" s="3" t="s">
        <v>949</v>
      </c>
      <c r="F283" s="3" t="s">
        <v>959</v>
      </c>
      <c r="G283" s="4" t="s">
        <v>667</v>
      </c>
      <c r="H283" s="4" t="s">
        <v>172</v>
      </c>
      <c r="I283" s="4" t="s">
        <v>960</v>
      </c>
      <c r="J283" s="4" t="s">
        <v>520</v>
      </c>
      <c r="K283" s="4">
        <v>4</v>
      </c>
      <c r="L283" s="4" t="s">
        <v>1482</v>
      </c>
      <c r="M283" s="4" t="s">
        <v>148</v>
      </c>
    </row>
    <row r="284" spans="1:13" ht="55.15" customHeight="1" x14ac:dyDescent="0.25">
      <c r="A284" s="3" t="s">
        <v>1447</v>
      </c>
      <c r="B284" s="3" t="s">
        <v>1447</v>
      </c>
      <c r="C284" s="3" t="s">
        <v>961</v>
      </c>
      <c r="D284" s="4" t="s">
        <v>1365</v>
      </c>
      <c r="E284" s="3" t="s">
        <v>949</v>
      </c>
      <c r="F284" s="3" t="s">
        <v>962</v>
      </c>
      <c r="G284" s="4" t="s">
        <v>897</v>
      </c>
      <c r="H284" s="4" t="s">
        <v>78</v>
      </c>
      <c r="I284" s="4" t="s">
        <v>963</v>
      </c>
      <c r="J284" s="4" t="s">
        <v>520</v>
      </c>
      <c r="K284" s="4">
        <v>5</v>
      </c>
      <c r="L284" s="4" t="s">
        <v>1543</v>
      </c>
      <c r="M284" s="4" t="s">
        <v>148</v>
      </c>
    </row>
    <row r="285" spans="1:13" ht="14.45" customHeight="1" x14ac:dyDescent="0.25">
      <c r="A285" s="3" t="s">
        <v>1447</v>
      </c>
      <c r="B285" s="3" t="s">
        <v>1447</v>
      </c>
      <c r="C285" s="3" t="s">
        <v>964</v>
      </c>
      <c r="D285" s="4" t="s">
        <v>1366</v>
      </c>
      <c r="E285" s="3" t="s">
        <v>965</v>
      </c>
      <c r="F285" s="3" t="s">
        <v>966</v>
      </c>
      <c r="G285" s="4" t="s">
        <v>667</v>
      </c>
      <c r="H285" s="4" t="s">
        <v>172</v>
      </c>
      <c r="I285" s="4" t="s">
        <v>967</v>
      </c>
      <c r="J285" s="4" t="s">
        <v>520</v>
      </c>
      <c r="K285" s="4">
        <v>6</v>
      </c>
      <c r="L285" s="4" t="s">
        <v>1544</v>
      </c>
      <c r="M285" s="4" t="s">
        <v>148</v>
      </c>
    </row>
    <row r="286" spans="1:13" ht="14.45" customHeight="1" x14ac:dyDescent="0.25">
      <c r="A286" s="3" t="s">
        <v>1447</v>
      </c>
      <c r="B286" s="3" t="s">
        <v>1447</v>
      </c>
      <c r="C286" s="3" t="s">
        <v>968</v>
      </c>
      <c r="D286" s="4" t="s">
        <v>1367</v>
      </c>
      <c r="E286" s="3" t="s">
        <v>965</v>
      </c>
      <c r="F286" s="3" t="s">
        <v>969</v>
      </c>
      <c r="G286" s="4" t="s">
        <v>667</v>
      </c>
      <c r="H286" s="4" t="s">
        <v>172</v>
      </c>
      <c r="I286" s="4" t="s">
        <v>970</v>
      </c>
      <c r="J286" s="4" t="s">
        <v>520</v>
      </c>
      <c r="K286" s="4">
        <v>7</v>
      </c>
      <c r="L286" s="4" t="s">
        <v>1545</v>
      </c>
      <c r="M286" s="4" t="s">
        <v>148</v>
      </c>
    </row>
    <row r="287" spans="1:13" ht="27.6" customHeight="1" x14ac:dyDescent="0.25">
      <c r="A287" s="3" t="s">
        <v>1447</v>
      </c>
      <c r="B287" s="3" t="s">
        <v>1447</v>
      </c>
      <c r="C287" s="3" t="s">
        <v>971</v>
      </c>
      <c r="D287" s="4" t="s">
        <v>1368</v>
      </c>
      <c r="E287" s="3" t="s">
        <v>972</v>
      </c>
      <c r="F287" s="3" t="s">
        <v>973</v>
      </c>
      <c r="G287" s="4" t="s">
        <v>667</v>
      </c>
      <c r="H287" s="4" t="s">
        <v>172</v>
      </c>
      <c r="I287" s="4" t="s">
        <v>974</v>
      </c>
      <c r="J287" s="4" t="s">
        <v>520</v>
      </c>
      <c r="K287" s="4">
        <v>8</v>
      </c>
      <c r="L287" s="4" t="s">
        <v>1546</v>
      </c>
      <c r="M287" s="4" t="s">
        <v>148</v>
      </c>
    </row>
    <row r="288" spans="1:13" ht="27.6" customHeight="1" x14ac:dyDescent="0.25">
      <c r="A288" s="3" t="s">
        <v>1447</v>
      </c>
      <c r="B288" s="3" t="s">
        <v>1447</v>
      </c>
      <c r="C288" s="3" t="s">
        <v>975</v>
      </c>
      <c r="D288" s="4" t="s">
        <v>1369</v>
      </c>
      <c r="E288" s="3" t="s">
        <v>972</v>
      </c>
      <c r="F288" s="3" t="s">
        <v>976</v>
      </c>
      <c r="G288" s="4" t="s">
        <v>667</v>
      </c>
      <c r="H288" s="4" t="s">
        <v>172</v>
      </c>
      <c r="I288" s="4" t="s">
        <v>977</v>
      </c>
      <c r="J288" s="4" t="s">
        <v>520</v>
      </c>
      <c r="K288" s="4">
        <v>9</v>
      </c>
      <c r="L288" s="4" t="s">
        <v>1547</v>
      </c>
      <c r="M288" s="4" t="s">
        <v>148</v>
      </c>
    </row>
    <row r="289" spans="1:13" ht="27.6" customHeight="1" x14ac:dyDescent="0.25">
      <c r="A289" s="3" t="s">
        <v>1447</v>
      </c>
      <c r="B289" s="3" t="s">
        <v>1447</v>
      </c>
      <c r="C289" s="3" t="s">
        <v>978</v>
      </c>
      <c r="D289" s="4" t="s">
        <v>1370</v>
      </c>
      <c r="E289" s="3" t="s">
        <v>972</v>
      </c>
      <c r="F289" s="3" t="s">
        <v>979</v>
      </c>
      <c r="G289" s="4" t="s">
        <v>667</v>
      </c>
      <c r="H289" s="4" t="s">
        <v>172</v>
      </c>
      <c r="I289" s="4" t="s">
        <v>980</v>
      </c>
      <c r="J289" s="4" t="s">
        <v>520</v>
      </c>
      <c r="K289" s="4">
        <v>10</v>
      </c>
      <c r="L289" s="4" t="s">
        <v>1548</v>
      </c>
      <c r="M289" s="4" t="s">
        <v>148</v>
      </c>
    </row>
    <row r="290" spans="1:13" ht="14.45" customHeight="1" x14ac:dyDescent="0.25">
      <c r="A290" s="3" t="s">
        <v>1447</v>
      </c>
      <c r="B290" s="3" t="s">
        <v>1447</v>
      </c>
      <c r="C290" s="3" t="s">
        <v>981</v>
      </c>
      <c r="D290" s="4" t="s">
        <v>1371</v>
      </c>
      <c r="E290" s="3" t="s">
        <v>982</v>
      </c>
      <c r="F290" s="3" t="s">
        <v>983</v>
      </c>
      <c r="G290" s="4" t="s">
        <v>667</v>
      </c>
      <c r="H290" s="4" t="s">
        <v>172</v>
      </c>
      <c r="I290" s="4" t="s">
        <v>984</v>
      </c>
      <c r="J290" s="4" t="s">
        <v>520</v>
      </c>
      <c r="K290" s="4">
        <v>11</v>
      </c>
      <c r="L290" s="4" t="s">
        <v>1549</v>
      </c>
      <c r="M290" s="4" t="s">
        <v>148</v>
      </c>
    </row>
    <row r="291" spans="1:13" ht="14.45" customHeight="1" x14ac:dyDescent="0.25">
      <c r="A291" s="3" t="s">
        <v>1447</v>
      </c>
      <c r="B291" s="3" t="s">
        <v>1447</v>
      </c>
      <c r="C291" s="3" t="s">
        <v>985</v>
      </c>
      <c r="D291" s="4" t="s">
        <v>1372</v>
      </c>
      <c r="E291" s="3" t="s">
        <v>982</v>
      </c>
      <c r="F291" s="3" t="s">
        <v>986</v>
      </c>
      <c r="G291" s="4" t="s">
        <v>667</v>
      </c>
      <c r="H291" s="4" t="s">
        <v>172</v>
      </c>
      <c r="I291" s="4" t="s">
        <v>987</v>
      </c>
      <c r="J291" s="4" t="s">
        <v>520</v>
      </c>
      <c r="K291" s="4">
        <v>12</v>
      </c>
      <c r="L291" s="4" t="s">
        <v>1550</v>
      </c>
      <c r="M291" s="4" t="s">
        <v>148</v>
      </c>
    </row>
    <row r="292" spans="1:13" ht="27.6" customHeight="1" x14ac:dyDescent="0.25">
      <c r="A292" s="3" t="s">
        <v>1447</v>
      </c>
      <c r="B292" s="3" t="s">
        <v>1447</v>
      </c>
      <c r="C292" s="3" t="s">
        <v>988</v>
      </c>
      <c r="D292" s="4" t="s">
        <v>1373</v>
      </c>
      <c r="E292" s="3" t="s">
        <v>982</v>
      </c>
      <c r="F292" s="3" t="s">
        <v>989</v>
      </c>
      <c r="G292" s="4" t="s">
        <v>667</v>
      </c>
      <c r="H292" s="4" t="s">
        <v>172</v>
      </c>
      <c r="I292" s="4" t="s">
        <v>990</v>
      </c>
      <c r="J292" s="4" t="s">
        <v>520</v>
      </c>
      <c r="K292" s="4">
        <v>13</v>
      </c>
      <c r="L292" s="4" t="s">
        <v>1551</v>
      </c>
      <c r="M292" s="4" t="s">
        <v>148</v>
      </c>
    </row>
    <row r="293" spans="1:13" ht="27.6" customHeight="1" x14ac:dyDescent="0.25">
      <c r="A293" s="3" t="s">
        <v>1447</v>
      </c>
      <c r="B293" s="3" t="s">
        <v>1447</v>
      </c>
      <c r="C293" s="3" t="s">
        <v>991</v>
      </c>
      <c r="D293" s="4" t="s">
        <v>1374</v>
      </c>
      <c r="E293" s="3" t="s">
        <v>982</v>
      </c>
      <c r="F293" s="3" t="s">
        <v>992</v>
      </c>
      <c r="G293" s="4" t="s">
        <v>667</v>
      </c>
      <c r="H293" s="4" t="s">
        <v>172</v>
      </c>
      <c r="I293" s="4" t="s">
        <v>993</v>
      </c>
      <c r="J293" s="4" t="s">
        <v>520</v>
      </c>
      <c r="K293" s="4">
        <v>14</v>
      </c>
      <c r="L293" s="4" t="s">
        <v>1552</v>
      </c>
      <c r="M293" s="4" t="s">
        <v>148</v>
      </c>
    </row>
    <row r="294" spans="1:13" ht="27.6" customHeight="1" x14ac:dyDescent="0.25">
      <c r="A294" s="3" t="s">
        <v>1447</v>
      </c>
      <c r="B294" s="3" t="s">
        <v>1447</v>
      </c>
      <c r="C294" s="3" t="s">
        <v>994</v>
      </c>
      <c r="D294" s="4" t="s">
        <v>1375</v>
      </c>
      <c r="E294" s="3" t="s">
        <v>982</v>
      </c>
      <c r="F294" s="3" t="s">
        <v>995</v>
      </c>
      <c r="G294" s="4" t="s">
        <v>667</v>
      </c>
      <c r="H294" s="4" t="s">
        <v>172</v>
      </c>
      <c r="I294" s="4" t="s">
        <v>996</v>
      </c>
      <c r="J294" s="4" t="s">
        <v>520</v>
      </c>
      <c r="K294" s="4">
        <v>15</v>
      </c>
      <c r="L294" s="4" t="s">
        <v>1553</v>
      </c>
      <c r="M294" s="4" t="s">
        <v>148</v>
      </c>
    </row>
    <row r="295" spans="1:13" ht="27.6" customHeight="1" x14ac:dyDescent="0.25">
      <c r="A295" s="3" t="s">
        <v>1447</v>
      </c>
      <c r="B295" s="3" t="s">
        <v>1447</v>
      </c>
      <c r="C295" s="3" t="s">
        <v>997</v>
      </c>
      <c r="D295" s="4" t="s">
        <v>1376</v>
      </c>
      <c r="E295" s="3" t="s">
        <v>982</v>
      </c>
      <c r="F295" s="3" t="s">
        <v>998</v>
      </c>
      <c r="G295" s="4" t="s">
        <v>667</v>
      </c>
      <c r="H295" s="4" t="s">
        <v>172</v>
      </c>
      <c r="I295" s="4" t="s">
        <v>999</v>
      </c>
      <c r="J295" s="4" t="s">
        <v>520</v>
      </c>
      <c r="K295" s="4">
        <v>16</v>
      </c>
      <c r="L295" s="4" t="s">
        <v>1554</v>
      </c>
      <c r="M295" s="4" t="s">
        <v>148</v>
      </c>
    </row>
    <row r="296" spans="1:13" ht="27.6" customHeight="1" x14ac:dyDescent="0.25">
      <c r="A296" s="3" t="s">
        <v>1447</v>
      </c>
      <c r="B296" s="3" t="s">
        <v>1447</v>
      </c>
      <c r="C296" s="3" t="s">
        <v>1000</v>
      </c>
      <c r="D296" s="4" t="s">
        <v>1377</v>
      </c>
      <c r="E296" s="3" t="s">
        <v>982</v>
      </c>
      <c r="F296" s="3" t="s">
        <v>1001</v>
      </c>
      <c r="G296" s="4" t="s">
        <v>667</v>
      </c>
      <c r="H296" s="4" t="s">
        <v>172</v>
      </c>
      <c r="I296" s="4" t="s">
        <v>1002</v>
      </c>
      <c r="J296" s="4" t="s">
        <v>520</v>
      </c>
      <c r="K296" s="4">
        <v>17</v>
      </c>
      <c r="L296" s="4" t="s">
        <v>1555</v>
      </c>
      <c r="M296" s="4" t="s">
        <v>148</v>
      </c>
    </row>
    <row r="297" spans="1:13" ht="14.45" customHeight="1" x14ac:dyDescent="0.25">
      <c r="A297" s="3" t="s">
        <v>66</v>
      </c>
      <c r="B297" s="3" t="s">
        <v>66</v>
      </c>
      <c r="C297" s="3" t="s">
        <v>1003</v>
      </c>
      <c r="D297" s="4" t="s">
        <v>1378</v>
      </c>
      <c r="E297" s="3" t="s">
        <v>80</v>
      </c>
      <c r="F297" s="3" t="s">
        <v>1004</v>
      </c>
      <c r="G297" s="4" t="s">
        <v>667</v>
      </c>
      <c r="H297" s="4" t="s">
        <v>78</v>
      </c>
      <c r="I297" s="4" t="s">
        <v>1005</v>
      </c>
      <c r="J297" s="4" t="s">
        <v>521</v>
      </c>
      <c r="K297" s="4">
        <v>1</v>
      </c>
      <c r="L297" s="4" t="s">
        <v>1483</v>
      </c>
      <c r="M297" s="4" t="s">
        <v>148</v>
      </c>
    </row>
    <row r="298" spans="1:13" ht="207" customHeight="1" x14ac:dyDescent="0.25">
      <c r="A298" s="3" t="s">
        <v>66</v>
      </c>
      <c r="B298" s="3" t="s">
        <v>66</v>
      </c>
      <c r="C298" s="3" t="s">
        <v>1006</v>
      </c>
      <c r="D298" s="4" t="s">
        <v>1379</v>
      </c>
      <c r="E298" s="3" t="s">
        <v>1007</v>
      </c>
      <c r="F298" s="3" t="s">
        <v>1008</v>
      </c>
      <c r="G298" s="4" t="s">
        <v>1009</v>
      </c>
      <c r="H298" s="4" t="s">
        <v>78</v>
      </c>
      <c r="I298" s="4"/>
      <c r="J298" s="4" t="s">
        <v>521</v>
      </c>
      <c r="K298" s="4">
        <v>2</v>
      </c>
      <c r="L298" s="4" t="s">
        <v>1484</v>
      </c>
      <c r="M298" s="4" t="s">
        <v>148</v>
      </c>
    </row>
    <row r="299" spans="1:13" ht="14.45" customHeight="1" x14ac:dyDescent="0.25">
      <c r="A299" s="3" t="s">
        <v>66</v>
      </c>
      <c r="B299" s="3" t="s">
        <v>66</v>
      </c>
      <c r="C299" s="3" t="s">
        <v>1010</v>
      </c>
      <c r="D299" s="4" t="s">
        <v>1380</v>
      </c>
      <c r="E299" s="3" t="s">
        <v>1007</v>
      </c>
      <c r="F299" s="3" t="s">
        <v>1011</v>
      </c>
      <c r="G299" s="4" t="s">
        <v>466</v>
      </c>
      <c r="H299" s="4" t="s">
        <v>172</v>
      </c>
      <c r="I299" s="4" t="s">
        <v>1012</v>
      </c>
      <c r="J299" s="4" t="s">
        <v>521</v>
      </c>
      <c r="K299" s="4">
        <v>3</v>
      </c>
      <c r="L299" s="4" t="s">
        <v>1485</v>
      </c>
      <c r="M299" s="4" t="s">
        <v>148</v>
      </c>
    </row>
    <row r="300" spans="1:13" ht="14.45" customHeight="1" x14ac:dyDescent="0.25">
      <c r="A300" s="3" t="s">
        <v>66</v>
      </c>
      <c r="B300" s="3" t="s">
        <v>66</v>
      </c>
      <c r="C300" s="3" t="s">
        <v>1013</v>
      </c>
      <c r="D300" s="4" t="s">
        <v>1381</v>
      </c>
      <c r="E300" s="3" t="s">
        <v>1007</v>
      </c>
      <c r="F300" s="3" t="s">
        <v>1014</v>
      </c>
      <c r="G300" s="4" t="s">
        <v>667</v>
      </c>
      <c r="H300" s="4" t="s">
        <v>78</v>
      </c>
      <c r="I300" s="4" t="s">
        <v>1015</v>
      </c>
      <c r="J300" s="4" t="s">
        <v>521</v>
      </c>
      <c r="K300" s="4">
        <v>4</v>
      </c>
      <c r="L300" s="4" t="s">
        <v>1486</v>
      </c>
      <c r="M300" s="4" t="s">
        <v>148</v>
      </c>
    </row>
    <row r="301" spans="1:13" ht="27.6" customHeight="1" x14ac:dyDescent="0.25">
      <c r="A301" s="3" t="s">
        <v>66</v>
      </c>
      <c r="B301" s="3" t="s">
        <v>66</v>
      </c>
      <c r="C301" s="3" t="s">
        <v>1016</v>
      </c>
      <c r="D301" s="4" t="s">
        <v>1382</v>
      </c>
      <c r="E301" s="3" t="s">
        <v>1007</v>
      </c>
      <c r="F301" s="3" t="s">
        <v>1017</v>
      </c>
      <c r="G301" s="4" t="s">
        <v>667</v>
      </c>
      <c r="H301" s="4" t="s">
        <v>172</v>
      </c>
      <c r="I301" s="4" t="s">
        <v>1018</v>
      </c>
      <c r="J301" s="4" t="s">
        <v>521</v>
      </c>
      <c r="K301" s="4">
        <v>5</v>
      </c>
      <c r="L301" s="4" t="s">
        <v>1487</v>
      </c>
      <c r="M301" s="4" t="s">
        <v>148</v>
      </c>
    </row>
    <row r="302" spans="1:13" ht="151.9" customHeight="1" x14ac:dyDescent="0.25">
      <c r="A302" s="3" t="s">
        <v>66</v>
      </c>
      <c r="B302" s="3" t="s">
        <v>66</v>
      </c>
      <c r="C302" s="3" t="s">
        <v>1019</v>
      </c>
      <c r="D302" s="4" t="s">
        <v>1383</v>
      </c>
      <c r="E302" s="3" t="s">
        <v>1007</v>
      </c>
      <c r="F302" s="3" t="s">
        <v>1020</v>
      </c>
      <c r="G302" s="4" t="s">
        <v>667</v>
      </c>
      <c r="H302" s="4" t="s">
        <v>172</v>
      </c>
      <c r="I302" s="4" t="s">
        <v>1021</v>
      </c>
      <c r="J302" s="4" t="s">
        <v>521</v>
      </c>
      <c r="K302" s="4">
        <v>6</v>
      </c>
      <c r="L302" s="4" t="s">
        <v>1488</v>
      </c>
      <c r="M302" s="4" t="s">
        <v>148</v>
      </c>
    </row>
    <row r="303" spans="1:13" ht="14.45" customHeight="1" x14ac:dyDescent="0.25">
      <c r="A303" s="3" t="s">
        <v>66</v>
      </c>
      <c r="B303" s="3" t="s">
        <v>66</v>
      </c>
      <c r="C303" s="3" t="s">
        <v>1022</v>
      </c>
      <c r="D303" s="4" t="s">
        <v>1384</v>
      </c>
      <c r="E303" s="3" t="s">
        <v>1007</v>
      </c>
      <c r="F303" s="3" t="s">
        <v>1023</v>
      </c>
      <c r="G303" s="4" t="s">
        <v>667</v>
      </c>
      <c r="H303" s="4" t="s">
        <v>78</v>
      </c>
      <c r="I303" s="4" t="s">
        <v>1024</v>
      </c>
      <c r="J303" s="4" t="s">
        <v>521</v>
      </c>
      <c r="K303" s="4">
        <v>7</v>
      </c>
      <c r="L303" s="4" t="s">
        <v>1489</v>
      </c>
      <c r="M303" s="4" t="s">
        <v>148</v>
      </c>
    </row>
    <row r="304" spans="1:13" ht="27.6" customHeight="1" x14ac:dyDescent="0.25">
      <c r="A304" s="3" t="s">
        <v>66</v>
      </c>
      <c r="B304" s="3" t="s">
        <v>66</v>
      </c>
      <c r="C304" s="3" t="s">
        <v>1025</v>
      </c>
      <c r="D304" s="4" t="s">
        <v>1385</v>
      </c>
      <c r="E304" s="3" t="s">
        <v>1007</v>
      </c>
      <c r="F304" s="3" t="s">
        <v>28</v>
      </c>
      <c r="G304" s="4" t="s">
        <v>729</v>
      </c>
      <c r="H304" s="4" t="s">
        <v>172</v>
      </c>
      <c r="I304" s="4" t="s">
        <v>1026</v>
      </c>
      <c r="J304" s="4" t="s">
        <v>521</v>
      </c>
      <c r="K304" s="4">
        <v>8</v>
      </c>
      <c r="L304" s="4" t="s">
        <v>28</v>
      </c>
      <c r="M304" s="4" t="s">
        <v>148</v>
      </c>
    </row>
    <row r="305" spans="1:13" ht="14.45" customHeight="1" x14ac:dyDescent="0.25">
      <c r="A305" s="3" t="s">
        <v>66</v>
      </c>
      <c r="B305" s="3" t="s">
        <v>66</v>
      </c>
      <c r="C305" s="3" t="s">
        <v>1027</v>
      </c>
      <c r="D305" s="4" t="s">
        <v>1386</v>
      </c>
      <c r="E305" s="3" t="s">
        <v>1007</v>
      </c>
      <c r="F305" s="3" t="s">
        <v>1028</v>
      </c>
      <c r="G305" s="4" t="s">
        <v>77</v>
      </c>
      <c r="H305" s="4" t="s">
        <v>172</v>
      </c>
      <c r="I305" s="4" t="s">
        <v>1029</v>
      </c>
      <c r="J305" s="4" t="s">
        <v>521</v>
      </c>
      <c r="K305" s="4">
        <v>9</v>
      </c>
      <c r="L305" s="4" t="s">
        <v>1490</v>
      </c>
      <c r="M305" s="4" t="s">
        <v>148</v>
      </c>
    </row>
    <row r="306" spans="1:13" ht="69" customHeight="1" x14ac:dyDescent="0.25">
      <c r="A306" s="3" t="s">
        <v>66</v>
      </c>
      <c r="B306" s="3" t="s">
        <v>66</v>
      </c>
      <c r="C306" s="3" t="s">
        <v>1030</v>
      </c>
      <c r="D306" s="4" t="s">
        <v>1387</v>
      </c>
      <c r="E306" s="3" t="s">
        <v>1007</v>
      </c>
      <c r="F306" s="3" t="s">
        <v>1031</v>
      </c>
      <c r="G306" s="4" t="s">
        <v>77</v>
      </c>
      <c r="H306" s="4" t="s">
        <v>172</v>
      </c>
      <c r="I306" s="4" t="s">
        <v>1032</v>
      </c>
      <c r="J306" s="4" t="s">
        <v>521</v>
      </c>
      <c r="K306" s="4">
        <v>10</v>
      </c>
      <c r="L306" s="4" t="s">
        <v>1491</v>
      </c>
      <c r="M306" s="4" t="s">
        <v>148</v>
      </c>
    </row>
    <row r="307" spans="1:13" ht="193.15" customHeight="1" x14ac:dyDescent="0.25">
      <c r="A307" s="3" t="s">
        <v>66</v>
      </c>
      <c r="B307" s="3" t="s">
        <v>66</v>
      </c>
      <c r="C307" s="3" t="s">
        <v>1033</v>
      </c>
      <c r="D307" s="4" t="s">
        <v>1388</v>
      </c>
      <c r="E307" s="3" t="s">
        <v>1007</v>
      </c>
      <c r="F307" s="3" t="s">
        <v>1034</v>
      </c>
      <c r="G307" s="4" t="s">
        <v>1035</v>
      </c>
      <c r="H307" s="4" t="s">
        <v>172</v>
      </c>
      <c r="I307" s="4" t="s">
        <v>1036</v>
      </c>
      <c r="J307" s="4" t="s">
        <v>521</v>
      </c>
      <c r="K307" s="4">
        <v>11</v>
      </c>
      <c r="L307" s="4" t="s">
        <v>1493</v>
      </c>
      <c r="M307" s="4" t="s">
        <v>148</v>
      </c>
    </row>
    <row r="308" spans="1:13" ht="14.45" customHeight="1" x14ac:dyDescent="0.25">
      <c r="A308" s="3" t="s">
        <v>66</v>
      </c>
      <c r="B308" s="3" t="s">
        <v>66</v>
      </c>
      <c r="C308" s="3" t="s">
        <v>827</v>
      </c>
      <c r="D308" s="4" t="s">
        <v>1389</v>
      </c>
      <c r="E308" s="3" t="s">
        <v>1037</v>
      </c>
      <c r="F308" s="3" t="s">
        <v>828</v>
      </c>
      <c r="G308" s="4" t="s">
        <v>466</v>
      </c>
      <c r="H308" s="4" t="s">
        <v>172</v>
      </c>
      <c r="I308" s="4" t="s">
        <v>829</v>
      </c>
      <c r="J308" s="4" t="s">
        <v>521</v>
      </c>
      <c r="K308" s="4">
        <v>12</v>
      </c>
      <c r="L308" s="4" t="s">
        <v>42</v>
      </c>
      <c r="M308" s="4" t="s">
        <v>148</v>
      </c>
    </row>
    <row r="309" spans="1:13" ht="55.15" customHeight="1" x14ac:dyDescent="0.25">
      <c r="A309" s="3" t="s">
        <v>66</v>
      </c>
      <c r="B309" s="3" t="s">
        <v>66</v>
      </c>
      <c r="C309" s="3" t="s">
        <v>1038</v>
      </c>
      <c r="D309" s="4" t="s">
        <v>1390</v>
      </c>
      <c r="E309" s="3" t="s">
        <v>1037</v>
      </c>
      <c r="F309" s="3" t="s">
        <v>1039</v>
      </c>
      <c r="G309" s="4" t="s">
        <v>1040</v>
      </c>
      <c r="H309" s="4" t="s">
        <v>172</v>
      </c>
      <c r="I309" s="4" t="s">
        <v>1041</v>
      </c>
      <c r="J309" s="4" t="s">
        <v>521</v>
      </c>
      <c r="K309" s="4">
        <v>13</v>
      </c>
      <c r="L309" s="4" t="s">
        <v>1492</v>
      </c>
      <c r="M309" s="4" t="s">
        <v>148</v>
      </c>
    </row>
    <row r="310" spans="1:13" ht="27.6" customHeight="1" x14ac:dyDescent="0.25">
      <c r="A310" s="39" t="s">
        <v>67</v>
      </c>
      <c r="B310" s="39" t="s">
        <v>67</v>
      </c>
      <c r="C310" s="39" t="s">
        <v>1042</v>
      </c>
      <c r="D310" s="40" t="s">
        <v>1391</v>
      </c>
      <c r="E310" s="39" t="s">
        <v>1043</v>
      </c>
      <c r="F310" s="39" t="s">
        <v>1044</v>
      </c>
      <c r="G310" s="40" t="s">
        <v>625</v>
      </c>
      <c r="H310" s="40" t="s">
        <v>78</v>
      </c>
      <c r="I310" s="40" t="s">
        <v>1045</v>
      </c>
      <c r="J310" s="40" t="s">
        <v>522</v>
      </c>
      <c r="K310" s="40">
        <v>1</v>
      </c>
      <c r="L310" s="40" t="s">
        <v>1483</v>
      </c>
      <c r="M310" s="40" t="s">
        <v>148</v>
      </c>
    </row>
    <row r="311" spans="1:13" ht="82.9" customHeight="1" x14ac:dyDescent="0.25">
      <c r="A311" s="39" t="s">
        <v>67</v>
      </c>
      <c r="B311" s="39" t="s">
        <v>67</v>
      </c>
      <c r="C311" s="39" t="s">
        <v>1046</v>
      </c>
      <c r="D311" s="40" t="s">
        <v>1392</v>
      </c>
      <c r="E311" s="39" t="s">
        <v>1043</v>
      </c>
      <c r="F311" s="39" t="s">
        <v>1047</v>
      </c>
      <c r="G311" s="40" t="s">
        <v>1048</v>
      </c>
      <c r="H311" s="40" t="s">
        <v>78</v>
      </c>
      <c r="I311" s="40" t="s">
        <v>1049</v>
      </c>
      <c r="J311" s="40" t="s">
        <v>522</v>
      </c>
      <c r="K311" s="40">
        <v>2</v>
      </c>
      <c r="L311" s="40" t="s">
        <v>1527</v>
      </c>
      <c r="M311" s="40" t="s">
        <v>148</v>
      </c>
    </row>
    <row r="312" spans="1:13" ht="41.45" customHeight="1" x14ac:dyDescent="0.25">
      <c r="A312" s="39" t="s">
        <v>67</v>
      </c>
      <c r="B312" s="39" t="s">
        <v>67</v>
      </c>
      <c r="C312" s="39" t="s">
        <v>1050</v>
      </c>
      <c r="D312" s="40" t="s">
        <v>1393</v>
      </c>
      <c r="E312" s="39" t="s">
        <v>1043</v>
      </c>
      <c r="F312" s="39" t="s">
        <v>1051</v>
      </c>
      <c r="G312" s="40" t="s">
        <v>77</v>
      </c>
      <c r="H312" s="40" t="s">
        <v>78</v>
      </c>
      <c r="I312" s="40" t="s">
        <v>1052</v>
      </c>
      <c r="J312" s="40" t="s">
        <v>522</v>
      </c>
      <c r="K312" s="40">
        <v>3</v>
      </c>
      <c r="L312" s="40" t="s">
        <v>1494</v>
      </c>
      <c r="M312" s="40" t="s">
        <v>148</v>
      </c>
    </row>
    <row r="313" spans="1:13" ht="27.6" customHeight="1" x14ac:dyDescent="0.25">
      <c r="A313" s="39" t="s">
        <v>67</v>
      </c>
      <c r="B313" s="39" t="s">
        <v>67</v>
      </c>
      <c r="C313" s="39" t="s">
        <v>1053</v>
      </c>
      <c r="D313" s="40" t="s">
        <v>1394</v>
      </c>
      <c r="E313" s="39" t="s">
        <v>1043</v>
      </c>
      <c r="F313" s="39" t="s">
        <v>1054</v>
      </c>
      <c r="G313" s="40" t="s">
        <v>929</v>
      </c>
      <c r="H313" s="40" t="s">
        <v>78</v>
      </c>
      <c r="I313" s="40" t="s">
        <v>1055</v>
      </c>
      <c r="J313" s="40" t="s">
        <v>522</v>
      </c>
      <c r="K313" s="40">
        <v>4</v>
      </c>
      <c r="L313" s="40" t="s">
        <v>1532</v>
      </c>
      <c r="M313" s="40" t="s">
        <v>148</v>
      </c>
    </row>
    <row r="314" spans="1:13" ht="14.45" customHeight="1" x14ac:dyDescent="0.25">
      <c r="A314" s="39" t="s">
        <v>67</v>
      </c>
      <c r="B314" s="39" t="s">
        <v>67</v>
      </c>
      <c r="C314" s="39" t="s">
        <v>1056</v>
      </c>
      <c r="D314" s="40" t="s">
        <v>1395</v>
      </c>
      <c r="E314" s="39" t="s">
        <v>1043</v>
      </c>
      <c r="F314" s="39" t="s">
        <v>1057</v>
      </c>
      <c r="G314" s="40" t="s">
        <v>667</v>
      </c>
      <c r="H314" s="40" t="s">
        <v>78</v>
      </c>
      <c r="I314" s="40" t="s">
        <v>1058</v>
      </c>
      <c r="J314" s="40" t="s">
        <v>522</v>
      </c>
      <c r="K314" s="40">
        <v>5</v>
      </c>
      <c r="L314" s="40" t="s">
        <v>1495</v>
      </c>
      <c r="M314" s="40" t="s">
        <v>148</v>
      </c>
    </row>
    <row r="315" spans="1:13" ht="27.6" customHeight="1" x14ac:dyDescent="0.25">
      <c r="A315" s="39" t="s">
        <v>67</v>
      </c>
      <c r="B315" s="39" t="s">
        <v>67</v>
      </c>
      <c r="C315" s="39" t="s">
        <v>1059</v>
      </c>
      <c r="D315" s="40" t="s">
        <v>1396</v>
      </c>
      <c r="E315" s="39" t="s">
        <v>1043</v>
      </c>
      <c r="F315" s="39" t="s">
        <v>489</v>
      </c>
      <c r="G315" s="40" t="s">
        <v>667</v>
      </c>
      <c r="H315" s="40" t="s">
        <v>172</v>
      </c>
      <c r="I315" s="40" t="s">
        <v>1060</v>
      </c>
      <c r="J315" s="40" t="s">
        <v>522</v>
      </c>
      <c r="K315" s="40">
        <v>6</v>
      </c>
      <c r="L315" s="40" t="s">
        <v>13</v>
      </c>
      <c r="M315" s="40" t="s">
        <v>148</v>
      </c>
    </row>
    <row r="316" spans="1:13" ht="82.9" customHeight="1" x14ac:dyDescent="0.25">
      <c r="A316" s="39" t="s">
        <v>67</v>
      </c>
      <c r="B316" s="39" t="s">
        <v>67</v>
      </c>
      <c r="C316" s="39" t="s">
        <v>1061</v>
      </c>
      <c r="D316" s="40" t="s">
        <v>1397</v>
      </c>
      <c r="E316" s="39" t="s">
        <v>1062</v>
      </c>
      <c r="F316" s="39" t="s">
        <v>1063</v>
      </c>
      <c r="G316" s="40" t="s">
        <v>77</v>
      </c>
      <c r="H316" s="40" t="s">
        <v>172</v>
      </c>
      <c r="I316" s="40" t="s">
        <v>1064</v>
      </c>
      <c r="J316" s="40" t="s">
        <v>522</v>
      </c>
      <c r="K316" s="40">
        <v>7</v>
      </c>
      <c r="L316" s="40" t="s">
        <v>1496</v>
      </c>
      <c r="M316" s="40" t="s">
        <v>148</v>
      </c>
    </row>
    <row r="317" spans="1:13" ht="27.6" customHeight="1" x14ac:dyDescent="0.25">
      <c r="A317" s="39" t="s">
        <v>67</v>
      </c>
      <c r="B317" s="39" t="s">
        <v>67</v>
      </c>
      <c r="C317" s="39" t="s">
        <v>1065</v>
      </c>
      <c r="D317" s="40" t="s">
        <v>1398</v>
      </c>
      <c r="E317" s="39" t="s">
        <v>1043</v>
      </c>
      <c r="F317" s="39" t="s">
        <v>1066</v>
      </c>
      <c r="G317" s="40" t="s">
        <v>667</v>
      </c>
      <c r="H317" s="40" t="s">
        <v>172</v>
      </c>
      <c r="I317" s="40" t="s">
        <v>1067</v>
      </c>
      <c r="J317" s="40" t="s">
        <v>522</v>
      </c>
      <c r="K317" s="40">
        <v>8</v>
      </c>
      <c r="L317" s="40" t="s">
        <v>1497</v>
      </c>
      <c r="M317" s="40" t="s">
        <v>148</v>
      </c>
    </row>
    <row r="318" spans="1:13" ht="27.6" customHeight="1" x14ac:dyDescent="0.25">
      <c r="A318" s="39" t="s">
        <v>67</v>
      </c>
      <c r="B318" s="39" t="s">
        <v>67</v>
      </c>
      <c r="C318" s="39" t="s">
        <v>1068</v>
      </c>
      <c r="D318" s="40" t="s">
        <v>1399</v>
      </c>
      <c r="E318" s="39" t="s">
        <v>1043</v>
      </c>
      <c r="F318" s="39" t="s">
        <v>1069</v>
      </c>
      <c r="G318" s="39" t="s">
        <v>466</v>
      </c>
      <c r="H318" s="40" t="s">
        <v>172</v>
      </c>
      <c r="I318" s="40"/>
      <c r="J318" s="40" t="s">
        <v>522</v>
      </c>
      <c r="K318" s="40">
        <v>9</v>
      </c>
      <c r="L318" s="40" t="s">
        <v>1498</v>
      </c>
      <c r="M318" s="40" t="s">
        <v>148</v>
      </c>
    </row>
  </sheetData>
  <autoFilter ref="A1:M318">
    <filterColumn colId="1">
      <filters>
        <filter val="1.1. Legal - Instruments"/>
        <filter val="1.2. Legal - Counterparties"/>
        <filter val="1.3. Legal - Protections"/>
        <filter val="2.1. Natural - Instruments"/>
        <filter val="2.2. Natural - Counterparties"/>
        <filter val="2.3. Natural - Protections"/>
        <filter val="3.1. Off-balance - Instruments"/>
        <filter val="3.2. Off-balance - Counterparties"/>
        <filter val="3.3. Off-balance - Protections"/>
        <filter val="4. Derivatives"/>
        <filter val="5. Debt securities"/>
        <filter val="6. Equity"/>
        <filter val="7. DTAs &amp; DTCs"/>
        <filter val="8. Intangible assets"/>
        <filter val="9. Goodwill"/>
      </filters>
    </filterColumn>
  </autoFilter>
  <conditionalFormatting sqref="D1">
    <cfRule type="duplicateValues" dxfId="6" priority="20"/>
  </conditionalFormatting>
  <conditionalFormatting sqref="D2">
    <cfRule type="duplicateValues" dxfId="5" priority="19"/>
  </conditionalFormatting>
  <conditionalFormatting sqref="J1">
    <cfRule type="duplicateValues" dxfId="4" priority="17"/>
  </conditionalFormatting>
  <conditionalFormatting sqref="H1:I1">
    <cfRule type="duplicateValues" dxfId="3" priority="16"/>
  </conditionalFormatting>
  <conditionalFormatting sqref="D3:D106 D108:D318">
    <cfRule type="duplicateValues" dxfId="2" priority="4"/>
  </conditionalFormatting>
  <conditionalFormatting sqref="K1:M1">
    <cfRule type="duplicateValues" dxfId="1" priority="21"/>
  </conditionalFormatting>
  <conditionalFormatting sqref="D107">
    <cfRule type="duplicateValues" dxfId="0" priority="1"/>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8"/>
  <sheetViews>
    <sheetView tabSelected="1" zoomScale="90" zoomScaleNormal="90" workbookViewId="0">
      <selection activeCell="F40" sqref="F40"/>
    </sheetView>
  </sheetViews>
  <sheetFormatPr defaultColWidth="107.85546875" defaultRowHeight="15" x14ac:dyDescent="0.25"/>
  <cols>
    <col min="1" max="1" width="6.7109375" style="7" bestFit="1" customWidth="1"/>
    <col min="2" max="2" width="63.140625" style="7" bestFit="1" customWidth="1"/>
    <col min="3" max="3" width="63.140625" style="6" bestFit="1" customWidth="1"/>
    <col min="4" max="4" width="4" style="7" bestFit="1" customWidth="1"/>
    <col min="5" max="5" width="35.28515625" style="7" bestFit="1" customWidth="1"/>
    <col min="6" max="16384" width="107.85546875" style="7"/>
  </cols>
  <sheetData>
    <row r="1" spans="1:5" x14ac:dyDescent="0.2">
      <c r="A1" s="21" t="s">
        <v>91</v>
      </c>
      <c r="B1" s="21" t="s">
        <v>150</v>
      </c>
      <c r="C1" s="21" t="s">
        <v>149</v>
      </c>
      <c r="D1" s="21"/>
      <c r="E1" s="21" t="s">
        <v>151</v>
      </c>
    </row>
    <row r="2" spans="1:5" hidden="1" x14ac:dyDescent="0.25">
      <c r="A2" s="22" t="s">
        <v>92</v>
      </c>
      <c r="B2" s="23" t="str">
        <f>C2</f>
        <v>Cash, cash balances at central banks and other demand deposits</v>
      </c>
      <c r="C2" s="23" t="s">
        <v>93</v>
      </c>
      <c r="D2" s="22">
        <v>10</v>
      </c>
      <c r="E2" s="24" t="s">
        <v>94</v>
      </c>
    </row>
    <row r="3" spans="1:5" hidden="1" x14ac:dyDescent="0.25">
      <c r="A3" s="25" t="s">
        <v>92</v>
      </c>
      <c r="B3" s="26" t="str">
        <f t="shared" ref="B3:B66" si="0">IF(LEFT(C3,1)=" ",B2,C3)</f>
        <v>Cash, cash balances at central banks and other demand deposits</v>
      </c>
      <c r="C3" s="26" t="s">
        <v>95</v>
      </c>
      <c r="D3" s="25">
        <v>20</v>
      </c>
      <c r="E3" s="26" t="s">
        <v>96</v>
      </c>
    </row>
    <row r="4" spans="1:5" hidden="1" x14ac:dyDescent="0.25">
      <c r="A4" s="22" t="s">
        <v>92</v>
      </c>
      <c r="B4" s="23" t="str">
        <f t="shared" si="0"/>
        <v>Cash, cash balances at central banks and other demand deposits</v>
      </c>
      <c r="C4" s="23" t="s">
        <v>97</v>
      </c>
      <c r="D4" s="22">
        <v>30</v>
      </c>
      <c r="E4" s="24" t="s">
        <v>98</v>
      </c>
    </row>
    <row r="5" spans="1:5" hidden="1" x14ac:dyDescent="0.25">
      <c r="A5" s="22" t="s">
        <v>92</v>
      </c>
      <c r="B5" s="23" t="str">
        <f t="shared" si="0"/>
        <v>Cash, cash balances at central banks and other demand deposits</v>
      </c>
      <c r="C5" s="23" t="s">
        <v>99</v>
      </c>
      <c r="D5" s="22">
        <v>40</v>
      </c>
      <c r="E5" s="24" t="s">
        <v>98</v>
      </c>
    </row>
    <row r="6" spans="1:5" hidden="1" x14ac:dyDescent="0.25">
      <c r="A6" s="22" t="s">
        <v>92</v>
      </c>
      <c r="B6" s="23" t="str">
        <f t="shared" si="0"/>
        <v>Financial assets held for trading</v>
      </c>
      <c r="C6" s="23" t="s">
        <v>100</v>
      </c>
      <c r="D6" s="22">
        <v>50</v>
      </c>
      <c r="E6" s="24" t="s">
        <v>94</v>
      </c>
    </row>
    <row r="7" spans="1:5" hidden="1" x14ac:dyDescent="0.25">
      <c r="A7" s="22" t="s">
        <v>92</v>
      </c>
      <c r="B7" s="23" t="str">
        <f t="shared" si="0"/>
        <v>Financial assets held for trading</v>
      </c>
      <c r="C7" s="23" t="s">
        <v>101</v>
      </c>
      <c r="D7" s="22">
        <v>60</v>
      </c>
      <c r="E7" s="24" t="s">
        <v>25</v>
      </c>
    </row>
    <row r="8" spans="1:5" hidden="1" x14ac:dyDescent="0.25">
      <c r="A8" s="22" t="s">
        <v>92</v>
      </c>
      <c r="B8" s="23" t="str">
        <f t="shared" si="0"/>
        <v>Financial assets held for trading</v>
      </c>
      <c r="C8" s="23" t="s">
        <v>102</v>
      </c>
      <c r="D8" s="22">
        <v>70</v>
      </c>
      <c r="E8" s="24" t="s">
        <v>103</v>
      </c>
    </row>
    <row r="9" spans="1:5" hidden="1" x14ac:dyDescent="0.25">
      <c r="A9" s="22" t="s">
        <v>92</v>
      </c>
      <c r="B9" s="23" t="str">
        <f t="shared" si="0"/>
        <v>Financial assets held for trading</v>
      </c>
      <c r="C9" s="23" t="s">
        <v>104</v>
      </c>
      <c r="D9" s="22">
        <v>80</v>
      </c>
      <c r="E9" s="24" t="s">
        <v>105</v>
      </c>
    </row>
    <row r="10" spans="1:5" hidden="1" x14ac:dyDescent="0.25">
      <c r="A10" s="22" t="s">
        <v>92</v>
      </c>
      <c r="B10" s="23" t="str">
        <f t="shared" si="0"/>
        <v>Financial assets held for trading</v>
      </c>
      <c r="C10" s="23" t="s">
        <v>106</v>
      </c>
      <c r="D10" s="22">
        <v>90</v>
      </c>
      <c r="E10" s="24" t="s">
        <v>98</v>
      </c>
    </row>
    <row r="11" spans="1:5" hidden="1" x14ac:dyDescent="0.25">
      <c r="A11" s="22" t="s">
        <v>92</v>
      </c>
      <c r="B11" s="23" t="str">
        <f t="shared" si="0"/>
        <v>Non-trading financial assets mandatorily at fair value through profit or loss</v>
      </c>
      <c r="C11" s="23" t="s">
        <v>107</v>
      </c>
      <c r="D11" s="22">
        <v>96</v>
      </c>
      <c r="E11" s="24" t="s">
        <v>94</v>
      </c>
    </row>
    <row r="12" spans="1:5" hidden="1" x14ac:dyDescent="0.25">
      <c r="A12" s="22" t="s">
        <v>92</v>
      </c>
      <c r="B12" s="23" t="str">
        <f t="shared" si="0"/>
        <v>Non-trading financial assets mandatorily at fair value through profit or loss</v>
      </c>
      <c r="C12" s="23" t="s">
        <v>102</v>
      </c>
      <c r="D12" s="22">
        <v>97</v>
      </c>
      <c r="E12" s="24" t="s">
        <v>103</v>
      </c>
    </row>
    <row r="13" spans="1:5" hidden="1" x14ac:dyDescent="0.25">
      <c r="A13" s="22" t="s">
        <v>92</v>
      </c>
      <c r="B13" s="23" t="str">
        <f t="shared" si="0"/>
        <v>Non-trading financial assets mandatorily at fair value through profit or loss</v>
      </c>
      <c r="C13" s="23" t="s">
        <v>104</v>
      </c>
      <c r="D13" s="22">
        <v>98</v>
      </c>
      <c r="E13" s="24" t="s">
        <v>105</v>
      </c>
    </row>
    <row r="14" spans="1:5" hidden="1" x14ac:dyDescent="0.25">
      <c r="A14" s="22" t="s">
        <v>92</v>
      </c>
      <c r="B14" s="23" t="str">
        <f t="shared" si="0"/>
        <v>Non-trading financial assets mandatorily at fair value through profit or loss</v>
      </c>
      <c r="C14" s="23" t="s">
        <v>106</v>
      </c>
      <c r="D14" s="22">
        <v>99</v>
      </c>
      <c r="E14" s="24" t="s">
        <v>98</v>
      </c>
    </row>
    <row r="15" spans="1:5" hidden="1" x14ac:dyDescent="0.25">
      <c r="A15" s="22" t="s">
        <v>92</v>
      </c>
      <c r="B15" s="23" t="str">
        <f t="shared" si="0"/>
        <v>Financial assets designated at fair value through profit or loss</v>
      </c>
      <c r="C15" s="23" t="s">
        <v>108</v>
      </c>
      <c r="D15" s="22">
        <v>100</v>
      </c>
      <c r="E15" s="24" t="s">
        <v>94</v>
      </c>
    </row>
    <row r="16" spans="1:5" hidden="1" x14ac:dyDescent="0.25">
      <c r="A16" s="22" t="s">
        <v>92</v>
      </c>
      <c r="B16" s="23" t="str">
        <f t="shared" si="0"/>
        <v>Financial assets designated at fair value through profit or loss</v>
      </c>
      <c r="C16" s="23" t="s">
        <v>104</v>
      </c>
      <c r="D16" s="22">
        <v>120</v>
      </c>
      <c r="E16" s="24" t="s">
        <v>105</v>
      </c>
    </row>
    <row r="17" spans="1:5" hidden="1" x14ac:dyDescent="0.25">
      <c r="A17" s="22" t="s">
        <v>92</v>
      </c>
      <c r="B17" s="23" t="str">
        <f t="shared" si="0"/>
        <v>Financial assets designated at fair value through profit or loss</v>
      </c>
      <c r="C17" s="23" t="s">
        <v>106</v>
      </c>
      <c r="D17" s="22">
        <v>130</v>
      </c>
      <c r="E17" s="24" t="s">
        <v>98</v>
      </c>
    </row>
    <row r="18" spans="1:5" hidden="1" x14ac:dyDescent="0.25">
      <c r="A18" s="22" t="s">
        <v>92</v>
      </c>
      <c r="B18" s="23" t="str">
        <f t="shared" si="0"/>
        <v>Financial assets at fair value through other comprehensive income</v>
      </c>
      <c r="C18" s="23" t="s">
        <v>109</v>
      </c>
      <c r="D18" s="22">
        <v>141</v>
      </c>
      <c r="E18" s="24" t="s">
        <v>94</v>
      </c>
    </row>
    <row r="19" spans="1:5" hidden="1" x14ac:dyDescent="0.25">
      <c r="A19" s="22" t="s">
        <v>92</v>
      </c>
      <c r="B19" s="23" t="str">
        <f t="shared" si="0"/>
        <v>Financial assets at fair value through other comprehensive income</v>
      </c>
      <c r="C19" s="23" t="s">
        <v>102</v>
      </c>
      <c r="D19" s="22">
        <v>142</v>
      </c>
      <c r="E19" s="24" t="s">
        <v>103</v>
      </c>
    </row>
    <row r="20" spans="1:5" hidden="1" x14ac:dyDescent="0.25">
      <c r="A20" s="22" t="s">
        <v>92</v>
      </c>
      <c r="B20" s="23" t="str">
        <f t="shared" si="0"/>
        <v>Financial assets at fair value through other comprehensive income</v>
      </c>
      <c r="C20" s="23" t="s">
        <v>104</v>
      </c>
      <c r="D20" s="22">
        <v>143</v>
      </c>
      <c r="E20" s="24" t="s">
        <v>105</v>
      </c>
    </row>
    <row r="21" spans="1:5" hidden="1" x14ac:dyDescent="0.25">
      <c r="A21" s="22" t="s">
        <v>92</v>
      </c>
      <c r="B21" s="23" t="str">
        <f t="shared" si="0"/>
        <v>Financial assets at fair value through other comprehensive income</v>
      </c>
      <c r="C21" s="23" t="s">
        <v>106</v>
      </c>
      <c r="D21" s="22">
        <v>144</v>
      </c>
      <c r="E21" s="24" t="s">
        <v>98</v>
      </c>
    </row>
    <row r="22" spans="1:5" hidden="1" x14ac:dyDescent="0.25">
      <c r="A22" s="22" t="s">
        <v>92</v>
      </c>
      <c r="B22" s="23" t="str">
        <f t="shared" si="0"/>
        <v>Financial assets at amortised cost</v>
      </c>
      <c r="C22" s="23" t="s">
        <v>110</v>
      </c>
      <c r="D22" s="22">
        <v>181</v>
      </c>
      <c r="E22" s="24" t="s">
        <v>94</v>
      </c>
    </row>
    <row r="23" spans="1:5" hidden="1" x14ac:dyDescent="0.25">
      <c r="A23" s="22" t="s">
        <v>92</v>
      </c>
      <c r="B23" s="23" t="str">
        <f t="shared" si="0"/>
        <v>Financial assets at amortised cost</v>
      </c>
      <c r="C23" s="23" t="s">
        <v>104</v>
      </c>
      <c r="D23" s="22">
        <v>182</v>
      </c>
      <c r="E23" s="24" t="s">
        <v>105</v>
      </c>
    </row>
    <row r="24" spans="1:5" hidden="1" x14ac:dyDescent="0.25">
      <c r="A24" s="22" t="s">
        <v>92</v>
      </c>
      <c r="B24" s="23" t="str">
        <f t="shared" si="0"/>
        <v>Financial assets at amortised cost</v>
      </c>
      <c r="C24" s="23" t="s">
        <v>106</v>
      </c>
      <c r="D24" s="22">
        <v>183</v>
      </c>
      <c r="E24" s="24" t="s">
        <v>98</v>
      </c>
    </row>
    <row r="25" spans="1:5" hidden="1" x14ac:dyDescent="0.25">
      <c r="A25" s="22" t="s">
        <v>92</v>
      </c>
      <c r="B25" s="23" t="str">
        <f t="shared" si="0"/>
        <v>Derivatives - Hedge accounting</v>
      </c>
      <c r="C25" s="23" t="s">
        <v>111</v>
      </c>
      <c r="D25" s="22">
        <v>240</v>
      </c>
      <c r="E25" s="24" t="s">
        <v>25</v>
      </c>
    </row>
    <row r="26" spans="1:5" hidden="1" x14ac:dyDescent="0.25">
      <c r="A26" s="25" t="s">
        <v>92</v>
      </c>
      <c r="B26" s="26" t="str">
        <f t="shared" si="0"/>
        <v>Fair value changes of the hedged items in portfolio hedge of interest rate risk</v>
      </c>
      <c r="C26" s="26" t="s">
        <v>112</v>
      </c>
      <c r="D26" s="25">
        <v>250</v>
      </c>
      <c r="E26" s="26" t="s">
        <v>96</v>
      </c>
    </row>
    <row r="27" spans="1:5" hidden="1" x14ac:dyDescent="0.25">
      <c r="A27" s="22" t="s">
        <v>92</v>
      </c>
      <c r="B27" s="23" t="str">
        <f t="shared" si="0"/>
        <v>Investments in subsidiaries, joint ventures and associates</v>
      </c>
      <c r="C27" s="23" t="s">
        <v>113</v>
      </c>
      <c r="D27" s="22">
        <v>260</v>
      </c>
      <c r="E27" s="24" t="s">
        <v>103</v>
      </c>
    </row>
    <row r="28" spans="1:5" hidden="1" x14ac:dyDescent="0.25">
      <c r="A28" s="25" t="s">
        <v>92</v>
      </c>
      <c r="B28" s="26" t="str">
        <f t="shared" si="0"/>
        <v>Tangible assets</v>
      </c>
      <c r="C28" s="26" t="s">
        <v>114</v>
      </c>
      <c r="D28" s="25">
        <v>270</v>
      </c>
      <c r="E28" s="26" t="s">
        <v>96</v>
      </c>
    </row>
    <row r="29" spans="1:5" hidden="1" x14ac:dyDescent="0.25">
      <c r="A29" s="25" t="s">
        <v>92</v>
      </c>
      <c r="B29" s="26" t="str">
        <f t="shared" si="0"/>
        <v>Tangible assets</v>
      </c>
      <c r="C29" s="26" t="s">
        <v>115</v>
      </c>
      <c r="D29" s="25">
        <v>280</v>
      </c>
      <c r="E29" s="26" t="s">
        <v>96</v>
      </c>
    </row>
    <row r="30" spans="1:5" hidden="1" x14ac:dyDescent="0.25">
      <c r="A30" s="25" t="s">
        <v>92</v>
      </c>
      <c r="B30" s="26" t="str">
        <f t="shared" si="0"/>
        <v>Tangible assets</v>
      </c>
      <c r="C30" s="26" t="s">
        <v>116</v>
      </c>
      <c r="D30" s="25">
        <v>290</v>
      </c>
      <c r="E30" s="26" t="s">
        <v>96</v>
      </c>
    </row>
    <row r="31" spans="1:5" hidden="1" x14ac:dyDescent="0.25">
      <c r="A31" s="22" t="s">
        <v>92</v>
      </c>
      <c r="B31" s="23" t="str">
        <f t="shared" si="0"/>
        <v>Intangible assets</v>
      </c>
      <c r="C31" s="23" t="s">
        <v>117</v>
      </c>
      <c r="D31" s="22">
        <v>300</v>
      </c>
      <c r="E31" s="24" t="s">
        <v>94</v>
      </c>
    </row>
    <row r="32" spans="1:5" hidden="1" x14ac:dyDescent="0.25">
      <c r="A32" s="22" t="s">
        <v>92</v>
      </c>
      <c r="B32" s="23" t="str">
        <f t="shared" si="0"/>
        <v>Intangible assets</v>
      </c>
      <c r="C32" s="23" t="s">
        <v>118</v>
      </c>
      <c r="D32" s="22">
        <v>310</v>
      </c>
      <c r="E32" s="24" t="s">
        <v>67</v>
      </c>
    </row>
    <row r="33" spans="1:5" hidden="1" x14ac:dyDescent="0.25">
      <c r="A33" s="22" t="s">
        <v>92</v>
      </c>
      <c r="B33" s="23" t="str">
        <f t="shared" si="0"/>
        <v>Intangible assets</v>
      </c>
      <c r="C33" s="23" t="s">
        <v>119</v>
      </c>
      <c r="D33" s="22">
        <v>320</v>
      </c>
      <c r="E33" s="24" t="s">
        <v>66</v>
      </c>
    </row>
    <row r="34" spans="1:5" x14ac:dyDescent="0.25">
      <c r="A34" s="22" t="s">
        <v>92</v>
      </c>
      <c r="B34" s="23" t="str">
        <f t="shared" si="0"/>
        <v>Tax assets</v>
      </c>
      <c r="C34" s="23" t="s">
        <v>120</v>
      </c>
      <c r="D34" s="22">
        <v>330</v>
      </c>
      <c r="E34" s="24" t="s">
        <v>94</v>
      </c>
    </row>
    <row r="35" spans="1:5" x14ac:dyDescent="0.25">
      <c r="A35" s="25" t="s">
        <v>92</v>
      </c>
      <c r="B35" s="26" t="str">
        <f t="shared" si="0"/>
        <v>Tax assets</v>
      </c>
      <c r="C35" s="26" t="s">
        <v>121</v>
      </c>
      <c r="D35" s="25">
        <v>340</v>
      </c>
      <c r="E35" s="26" t="s">
        <v>96</v>
      </c>
    </row>
    <row r="36" spans="1:5" x14ac:dyDescent="0.25">
      <c r="A36" s="22" t="s">
        <v>92</v>
      </c>
      <c r="B36" s="23" t="str">
        <f t="shared" si="0"/>
        <v>Tax assets</v>
      </c>
      <c r="C36" s="23" t="s">
        <v>122</v>
      </c>
      <c r="D36" s="22">
        <v>350</v>
      </c>
      <c r="E36" s="24" t="s">
        <v>123</v>
      </c>
    </row>
    <row r="37" spans="1:5" x14ac:dyDescent="0.25">
      <c r="A37" s="25" t="s">
        <v>92</v>
      </c>
      <c r="B37" s="26" t="str">
        <f t="shared" si="0"/>
        <v>Other assets</v>
      </c>
      <c r="C37" s="26" t="s">
        <v>124</v>
      </c>
      <c r="D37" s="25">
        <v>360</v>
      </c>
      <c r="E37" s="26" t="s">
        <v>96</v>
      </c>
    </row>
    <row r="38" spans="1:5" x14ac:dyDescent="0.25">
      <c r="A38" s="25" t="s">
        <v>92</v>
      </c>
      <c r="B38" s="26" t="str">
        <f t="shared" si="0"/>
        <v>Non-current assets and disposal groups classified as held for sale</v>
      </c>
      <c r="C38" s="26" t="s">
        <v>125</v>
      </c>
      <c r="D38" s="25">
        <v>370</v>
      </c>
      <c r="E38" s="26" t="s">
        <v>96</v>
      </c>
    </row>
    <row r="39" spans="1:5" x14ac:dyDescent="0.25">
      <c r="A39" s="27" t="s">
        <v>126</v>
      </c>
      <c r="B39" s="28" t="str">
        <f t="shared" si="0"/>
        <v>Financial liabilities held for trading</v>
      </c>
      <c r="C39" s="28" t="s">
        <v>127</v>
      </c>
      <c r="D39" s="27">
        <v>10</v>
      </c>
      <c r="E39" s="29" t="s">
        <v>94</v>
      </c>
    </row>
    <row r="40" spans="1:5" x14ac:dyDescent="0.25">
      <c r="A40" s="27" t="s">
        <v>126</v>
      </c>
      <c r="B40" s="28" t="str">
        <f t="shared" si="0"/>
        <v>Financial liabilities held for trading</v>
      </c>
      <c r="C40" s="28" t="s">
        <v>101</v>
      </c>
      <c r="D40" s="27">
        <v>20</v>
      </c>
      <c r="E40" s="24" t="s">
        <v>25</v>
      </c>
    </row>
    <row r="41" spans="1:5" x14ac:dyDescent="0.25">
      <c r="A41" s="25" t="s">
        <v>126</v>
      </c>
      <c r="B41" s="26" t="str">
        <f t="shared" si="0"/>
        <v>Financial liabilities held for trading</v>
      </c>
      <c r="C41" s="26" t="s">
        <v>128</v>
      </c>
      <c r="D41" s="25">
        <v>30</v>
      </c>
      <c r="E41" s="26" t="s">
        <v>96</v>
      </c>
    </row>
    <row r="42" spans="1:5" x14ac:dyDescent="0.25">
      <c r="A42" s="25" t="s">
        <v>126</v>
      </c>
      <c r="B42" s="26" t="str">
        <f t="shared" si="0"/>
        <v>Financial liabilities held for trading</v>
      </c>
      <c r="C42" s="26" t="s">
        <v>129</v>
      </c>
      <c r="D42" s="25">
        <v>40</v>
      </c>
      <c r="E42" s="26" t="s">
        <v>96</v>
      </c>
    </row>
    <row r="43" spans="1:5" x14ac:dyDescent="0.25">
      <c r="A43" s="25" t="s">
        <v>126</v>
      </c>
      <c r="B43" s="26" t="str">
        <f t="shared" si="0"/>
        <v>Financial liabilities held for trading</v>
      </c>
      <c r="C43" s="26" t="s">
        <v>130</v>
      </c>
      <c r="D43" s="25">
        <v>50</v>
      </c>
      <c r="E43" s="26" t="s">
        <v>96</v>
      </c>
    </row>
    <row r="44" spans="1:5" x14ac:dyDescent="0.25">
      <c r="A44" s="25" t="s">
        <v>126</v>
      </c>
      <c r="B44" s="26" t="str">
        <f t="shared" si="0"/>
        <v>Financial liabilities held for trading</v>
      </c>
      <c r="C44" s="26" t="s">
        <v>131</v>
      </c>
      <c r="D44" s="25">
        <v>60</v>
      </c>
      <c r="E44" s="26" t="s">
        <v>96</v>
      </c>
    </row>
    <row r="45" spans="1:5" x14ac:dyDescent="0.25">
      <c r="A45" s="25" t="s">
        <v>126</v>
      </c>
      <c r="B45" s="26" t="str">
        <f t="shared" si="0"/>
        <v>Financial liabilities designated at fair value through profit or loss</v>
      </c>
      <c r="C45" s="26" t="s">
        <v>132</v>
      </c>
      <c r="D45" s="25">
        <v>70</v>
      </c>
      <c r="E45" s="26" t="s">
        <v>96</v>
      </c>
    </row>
    <row r="46" spans="1:5" x14ac:dyDescent="0.25">
      <c r="A46" s="25" t="s">
        <v>126</v>
      </c>
      <c r="B46" s="26" t="str">
        <f t="shared" si="0"/>
        <v>Financial liabilities designated at fair value through profit or loss</v>
      </c>
      <c r="C46" s="26" t="s">
        <v>129</v>
      </c>
      <c r="D46" s="25">
        <v>80</v>
      </c>
      <c r="E46" s="26" t="s">
        <v>96</v>
      </c>
    </row>
    <row r="47" spans="1:5" x14ac:dyDescent="0.25">
      <c r="A47" s="25" t="s">
        <v>126</v>
      </c>
      <c r="B47" s="26" t="str">
        <f t="shared" si="0"/>
        <v>Financial liabilities designated at fair value through profit or loss</v>
      </c>
      <c r="C47" s="26" t="s">
        <v>130</v>
      </c>
      <c r="D47" s="25">
        <v>90</v>
      </c>
      <c r="E47" s="26" t="s">
        <v>96</v>
      </c>
    </row>
    <row r="48" spans="1:5" x14ac:dyDescent="0.25">
      <c r="A48" s="25" t="s">
        <v>126</v>
      </c>
      <c r="B48" s="26" t="str">
        <f t="shared" si="0"/>
        <v>Financial liabilities designated at fair value through profit or loss</v>
      </c>
      <c r="C48" s="26" t="s">
        <v>131</v>
      </c>
      <c r="D48" s="25">
        <v>100</v>
      </c>
      <c r="E48" s="26" t="s">
        <v>96</v>
      </c>
    </row>
    <row r="49" spans="1:5" x14ac:dyDescent="0.25">
      <c r="A49" s="25" t="s">
        <v>126</v>
      </c>
      <c r="B49" s="26" t="str">
        <f t="shared" si="0"/>
        <v>Financial liabilities measured at amortised cost</v>
      </c>
      <c r="C49" s="26" t="s">
        <v>133</v>
      </c>
      <c r="D49" s="25">
        <v>110</v>
      </c>
      <c r="E49" s="26" t="s">
        <v>96</v>
      </c>
    </row>
    <row r="50" spans="1:5" x14ac:dyDescent="0.25">
      <c r="A50" s="25" t="s">
        <v>126</v>
      </c>
      <c r="B50" s="26" t="str">
        <f t="shared" si="0"/>
        <v>Financial liabilities measured at amortised cost</v>
      </c>
      <c r="C50" s="26" t="s">
        <v>129</v>
      </c>
      <c r="D50" s="25">
        <v>120</v>
      </c>
      <c r="E50" s="26" t="s">
        <v>96</v>
      </c>
    </row>
    <row r="51" spans="1:5" x14ac:dyDescent="0.25">
      <c r="A51" s="25" t="s">
        <v>126</v>
      </c>
      <c r="B51" s="26" t="str">
        <f t="shared" si="0"/>
        <v>Financial liabilities measured at amortised cost</v>
      </c>
      <c r="C51" s="26" t="s">
        <v>130</v>
      </c>
      <c r="D51" s="25">
        <v>130</v>
      </c>
      <c r="E51" s="26" t="s">
        <v>96</v>
      </c>
    </row>
    <row r="52" spans="1:5" x14ac:dyDescent="0.25">
      <c r="A52" s="25" t="s">
        <v>126</v>
      </c>
      <c r="B52" s="26" t="str">
        <f t="shared" si="0"/>
        <v>Financial liabilities measured at amortised cost</v>
      </c>
      <c r="C52" s="26" t="s">
        <v>131</v>
      </c>
      <c r="D52" s="25">
        <v>140</v>
      </c>
      <c r="E52" s="26" t="s">
        <v>96</v>
      </c>
    </row>
    <row r="53" spans="1:5" x14ac:dyDescent="0.25">
      <c r="A53" s="22" t="s">
        <v>126</v>
      </c>
      <c r="B53" s="23" t="str">
        <f t="shared" si="0"/>
        <v>Derivatives - Hedge accounting</v>
      </c>
      <c r="C53" s="23" t="s">
        <v>111</v>
      </c>
      <c r="D53" s="22">
        <v>150</v>
      </c>
      <c r="E53" s="24" t="s">
        <v>25</v>
      </c>
    </row>
    <row r="54" spans="1:5" x14ac:dyDescent="0.25">
      <c r="A54" s="25" t="s">
        <v>126</v>
      </c>
      <c r="B54" s="26" t="str">
        <f t="shared" si="0"/>
        <v>Fair value changes of the hedged items in portfolio hedge of interest rate risk</v>
      </c>
      <c r="C54" s="26" t="s">
        <v>112</v>
      </c>
      <c r="D54" s="25">
        <v>160</v>
      </c>
      <c r="E54" s="26" t="s">
        <v>96</v>
      </c>
    </row>
    <row r="55" spans="1:5" x14ac:dyDescent="0.25">
      <c r="A55" s="25" t="s">
        <v>126</v>
      </c>
      <c r="B55" s="26" t="str">
        <f t="shared" si="0"/>
        <v>Provisions</v>
      </c>
      <c r="C55" s="26" t="s">
        <v>134</v>
      </c>
      <c r="D55" s="25">
        <v>170</v>
      </c>
      <c r="E55" s="26" t="s">
        <v>96</v>
      </c>
    </row>
    <row r="56" spans="1:5" x14ac:dyDescent="0.25">
      <c r="A56" s="25" t="s">
        <v>126</v>
      </c>
      <c r="B56" s="26" t="str">
        <f t="shared" si="0"/>
        <v>Provisions</v>
      </c>
      <c r="C56" s="26" t="s">
        <v>135</v>
      </c>
      <c r="D56" s="25">
        <v>180</v>
      </c>
      <c r="E56" s="26" t="s">
        <v>96</v>
      </c>
    </row>
    <row r="57" spans="1:5" x14ac:dyDescent="0.25">
      <c r="A57" s="25" t="s">
        <v>126</v>
      </c>
      <c r="B57" s="26" t="str">
        <f t="shared" si="0"/>
        <v>Provisions</v>
      </c>
      <c r="C57" s="26" t="s">
        <v>136</v>
      </c>
      <c r="D57" s="25">
        <v>190</v>
      </c>
      <c r="E57" s="26" t="s">
        <v>96</v>
      </c>
    </row>
    <row r="58" spans="1:5" x14ac:dyDescent="0.25">
      <c r="A58" s="25" t="s">
        <v>126</v>
      </c>
      <c r="B58" s="26" t="str">
        <f t="shared" si="0"/>
        <v>Provisions</v>
      </c>
      <c r="C58" s="26" t="s">
        <v>137</v>
      </c>
      <c r="D58" s="25">
        <v>200</v>
      </c>
      <c r="E58" s="26" t="s">
        <v>96</v>
      </c>
    </row>
    <row r="59" spans="1:5" x14ac:dyDescent="0.25">
      <c r="A59" s="25" t="s">
        <v>126</v>
      </c>
      <c r="B59" s="26" t="str">
        <f t="shared" si="0"/>
        <v>Provisions</v>
      </c>
      <c r="C59" s="26" t="s">
        <v>138</v>
      </c>
      <c r="D59" s="25">
        <v>210</v>
      </c>
      <c r="E59" s="26" t="s">
        <v>96</v>
      </c>
    </row>
    <row r="60" spans="1:5" x14ac:dyDescent="0.25">
      <c r="A60" s="25" t="s">
        <v>126</v>
      </c>
      <c r="B60" s="26" t="str">
        <f t="shared" si="0"/>
        <v>Provisions</v>
      </c>
      <c r="C60" s="26" t="s">
        <v>139</v>
      </c>
      <c r="D60" s="25">
        <v>220</v>
      </c>
      <c r="E60" s="26" t="s">
        <v>96</v>
      </c>
    </row>
    <row r="61" spans="1:5" x14ac:dyDescent="0.25">
      <c r="A61" s="25" t="s">
        <v>126</v>
      </c>
      <c r="B61" s="26" t="str">
        <f t="shared" si="0"/>
        <v>Provisions</v>
      </c>
      <c r="C61" s="26" t="s">
        <v>140</v>
      </c>
      <c r="D61" s="25">
        <v>230</v>
      </c>
      <c r="E61" s="26" t="s">
        <v>96</v>
      </c>
    </row>
    <row r="62" spans="1:5" x14ac:dyDescent="0.25">
      <c r="A62" s="27" t="s">
        <v>126</v>
      </c>
      <c r="B62" s="28" t="str">
        <f t="shared" si="0"/>
        <v>Tax liabilities</v>
      </c>
      <c r="C62" s="28" t="s">
        <v>141</v>
      </c>
      <c r="D62" s="27">
        <v>240</v>
      </c>
      <c r="E62" s="29" t="s">
        <v>94</v>
      </c>
    </row>
    <row r="63" spans="1:5" x14ac:dyDescent="0.25">
      <c r="A63" s="25" t="s">
        <v>126</v>
      </c>
      <c r="B63" s="26" t="str">
        <f t="shared" si="0"/>
        <v>Tax liabilities</v>
      </c>
      <c r="C63" s="26" t="s">
        <v>142</v>
      </c>
      <c r="D63" s="25">
        <v>250</v>
      </c>
      <c r="E63" s="26" t="s">
        <v>96</v>
      </c>
    </row>
    <row r="64" spans="1:5" x14ac:dyDescent="0.25">
      <c r="A64" s="22" t="s">
        <v>126</v>
      </c>
      <c r="B64" s="23" t="str">
        <f t="shared" si="0"/>
        <v>Tax liabilities</v>
      </c>
      <c r="C64" s="23" t="s">
        <v>143</v>
      </c>
      <c r="D64" s="22">
        <v>260</v>
      </c>
      <c r="E64" s="24" t="s">
        <v>123</v>
      </c>
    </row>
    <row r="65" spans="1:5" x14ac:dyDescent="0.25">
      <c r="A65" s="25" t="s">
        <v>126</v>
      </c>
      <c r="B65" s="26" t="str">
        <f t="shared" si="0"/>
        <v>Share capital repayable on demand</v>
      </c>
      <c r="C65" s="26" t="s">
        <v>144</v>
      </c>
      <c r="D65" s="25">
        <v>270</v>
      </c>
      <c r="E65" s="26" t="s">
        <v>96</v>
      </c>
    </row>
    <row r="66" spans="1:5" x14ac:dyDescent="0.25">
      <c r="A66" s="25" t="s">
        <v>126</v>
      </c>
      <c r="B66" s="26" t="str">
        <f t="shared" si="0"/>
        <v>Other liabilities</v>
      </c>
      <c r="C66" s="26" t="s">
        <v>145</v>
      </c>
      <c r="D66" s="25">
        <v>280</v>
      </c>
      <c r="E66" s="26" t="s">
        <v>96</v>
      </c>
    </row>
    <row r="67" spans="1:5" x14ac:dyDescent="0.25">
      <c r="A67" s="25" t="s">
        <v>126</v>
      </c>
      <c r="B67" s="26" t="str">
        <f>IF(LEFT(C67,1)=" ",B66,C67)</f>
        <v>Liabilities included in disposal groups classified as held for sale</v>
      </c>
      <c r="C67" s="26" t="s">
        <v>146</v>
      </c>
      <c r="D67" s="25">
        <v>290</v>
      </c>
      <c r="E67" s="26" t="s">
        <v>96</v>
      </c>
    </row>
    <row r="68" spans="1:5" x14ac:dyDescent="0.25">
      <c r="A68" s="22" t="s">
        <v>147</v>
      </c>
      <c r="B68" s="23" t="s">
        <v>148</v>
      </c>
      <c r="C68" s="23" t="s">
        <v>148</v>
      </c>
      <c r="D68" s="22" t="s">
        <v>148</v>
      </c>
      <c r="E68" s="24" t="s">
        <v>24</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84F55495B15DA49AB7A1FDC80658749" ma:contentTypeVersion="4" ma:contentTypeDescription="Criar um novo documento." ma:contentTypeScope="" ma:versionID="883ed6feb31ca15cbf0896ca22b418b8">
  <xsd:schema xmlns:xsd="http://www.w3.org/2001/XMLSchema" xmlns:xs="http://www.w3.org/2001/XMLSchema" xmlns:p="http://schemas.microsoft.com/office/2006/metadata/properties" xmlns:ns2="d864e89d-2b0f-49d5-aec9-c3d31edf43d9" targetNamespace="http://schemas.microsoft.com/office/2006/metadata/properties" ma:root="true" ma:fieldsID="a1111f0741384e42c9cb253a4b2163f2" ns2:_="">
    <xsd:import namespace="d864e89d-2b0f-49d5-aec9-c3d31edf43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64e89d-2b0f-49d5-aec9-c3d31edf43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B70C7B6-E4FE-47AA-A043-033823902FEB}">
  <ds:schemaRefs>
    <ds:schemaRef ds:uri="http://schemas.microsoft.com/sharepoint/v3/contenttype/forms"/>
  </ds:schemaRefs>
</ds:datastoreItem>
</file>

<file path=customXml/itemProps2.xml><?xml version="1.0" encoding="utf-8"?>
<ds:datastoreItem xmlns:ds="http://schemas.openxmlformats.org/officeDocument/2006/customXml" ds:itemID="{05B2C302-A487-47F9-A891-7E9A9B361A4F}"/>
</file>

<file path=customXml/itemProps3.xml><?xml version="1.0" encoding="utf-8"?>
<ds:datastoreItem xmlns:ds="http://schemas.openxmlformats.org/officeDocument/2006/customXml" ds:itemID="{DC886AF9-2785-46CB-A422-1AFE5F383DDF}">
  <ds:schemaRefs>
    <ds:schemaRef ds:uri="http://schemas.microsoft.com/office/2006/documentManagement/types"/>
    <ds:schemaRef ds:uri="http://purl.org/dc/elements/1.1/"/>
    <ds:schemaRef ds:uri="http://schemas.microsoft.com/office/2006/metadata/properties"/>
    <ds:schemaRef ds:uri="http://purl.org/dc/terms/"/>
    <ds:schemaRef ds:uri="http://schemas.openxmlformats.org/package/2006/metadata/core-properties"/>
    <ds:schemaRef ds:uri="http://purl.org/dc/dcmitype/"/>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General Cons.</vt:lpstr>
      <vt:lpstr>VDS Files</vt:lpstr>
      <vt:lpstr>VDS Data Points</vt:lpstr>
      <vt:lpstr>FINREPmapping</vt:lpstr>
    </vt:vector>
  </TitlesOfParts>
  <Company>Grupo Santander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x713955</dc:creator>
  <cp:lastModifiedBy>Hugo Alexandre Redondo Reia</cp:lastModifiedBy>
  <dcterms:created xsi:type="dcterms:W3CDTF">2023-04-18T09:06:16Z</dcterms:created>
  <dcterms:modified xsi:type="dcterms:W3CDTF">2024-12-16T17:15:19Z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0x010100A84F55495B15DA49AB7A1FDC80658749</vt:lpwstr>
  </property>
  <property fmtid="{D5CDD505-2E9C-101B-9397-08002B2CF9AE}" pid="3" name="MSIP_Label_41b88ec2-a72b-4523-9e84-0458a1764731_Enabled">
    <vt:lpwstr>true</vt:lpwstr>
  </property>
  <property fmtid="{D5CDD505-2E9C-101B-9397-08002B2CF9AE}" pid="4" name="MSIP_Label_41b88ec2-a72b-4523-9e84-0458a1764731_SetDate">
    <vt:lpwstr>2024-12-16T17:15:09Z</vt:lpwstr>
  </property>
  <property fmtid="{D5CDD505-2E9C-101B-9397-08002B2CF9AE}" pid="5" name="MSIP_Label_41b88ec2-a72b-4523-9e84-0458a1764731_Method">
    <vt:lpwstr>Privileged</vt:lpwstr>
  </property>
  <property fmtid="{D5CDD505-2E9C-101B-9397-08002B2CF9AE}" pid="6" name="MSIP_Label_41b88ec2-a72b-4523-9e84-0458a1764731_Name">
    <vt:lpwstr>Public O365</vt:lpwstr>
  </property>
  <property fmtid="{D5CDD505-2E9C-101B-9397-08002B2CF9AE}" pid="7" name="MSIP_Label_41b88ec2-a72b-4523-9e84-0458a1764731_SiteId">
    <vt:lpwstr>35595a02-4d6d-44ac-99e1-f9ab4cd872db</vt:lpwstr>
  </property>
  <property fmtid="{D5CDD505-2E9C-101B-9397-08002B2CF9AE}" pid="8" name="MSIP_Label_41b88ec2-a72b-4523-9e84-0458a1764731_ActionId">
    <vt:lpwstr>e92f4ad9-b984-45b5-a0a8-a18d2c911cf6</vt:lpwstr>
  </property>
  <property fmtid="{D5CDD505-2E9C-101B-9397-08002B2CF9AE}" pid="9" name="MSIP_Label_41b88ec2-a72b-4523-9e84-0458a1764731_ContentBits">
    <vt:lpwstr>0</vt:lpwstr>
  </property>
</Properties>
</file>