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santandernet.sharepoint.com/sites/BSValuationDataSet/Shared Documents/Geral/xx. Reconciliações/"/>
    </mc:Choice>
  </mc:AlternateContent>
  <xr:revisionPtr revIDLastSave="1" documentId="13_ncr:1_{0E87F325-A11A-45EB-9247-EF527EBC41E9}" xr6:coauthVersionLast="47" xr6:coauthVersionMax="47" xr10:uidLastSave="{454135C0-74BF-4590-9224-DC1DF0AC21D8}"/>
  <bookViews>
    <workbookView xWindow="-110" yWindow="-110" windowWidth="19420" windowHeight="10300" xr2:uid="{6B5CC020-2A4A-4A9B-900C-B226ED31205D}"/>
  </bookViews>
  <sheets>
    <sheet name="General Cons." sheetId="1" r:id="rId1"/>
    <sheet name="VDS Files" sheetId="2" r:id="rId2"/>
    <sheet name="VDS Data Points" sheetId="4" r:id="rId3"/>
    <sheet name="FINREPmapping" sheetId="3" r:id="rId4"/>
  </sheets>
  <externalReferences>
    <externalReference r:id="rId5"/>
    <externalReference r:id="rId6"/>
    <externalReference r:id="rId7"/>
    <externalReference r:id="rId8"/>
    <externalReference r:id="rId9"/>
    <externalReference r:id="rId10"/>
    <externalReference r:id="rId11"/>
    <externalReference r:id="rId12"/>
  </externalReferences>
  <definedNames>
    <definedName name="_xlnm._FilterDatabase" localSheetId="2" hidden="1">'VDS Data Points'!$A$1:$N$318</definedName>
    <definedName name="_ftnref1_50" localSheetId="3">'[1]Table 39_'!#REF!</definedName>
    <definedName name="_ftnref1_50" localSheetId="0">'[1]Table 39_'!#REF!</definedName>
    <definedName name="_ftnref1_50" localSheetId="2">'[1]Table 39_'!#REF!</definedName>
    <definedName name="_ftnref1_50">'[1]Table 39_'!#REF!</definedName>
    <definedName name="_ftnref1_50_10" localSheetId="3">'[2]Table 39_'!#REF!</definedName>
    <definedName name="_ftnref1_50_10" localSheetId="0">'[2]Table 39_'!#REF!</definedName>
    <definedName name="_ftnref1_50_10" localSheetId="2">'[2]Table 39_'!#REF!</definedName>
    <definedName name="_ftnref1_50_10">'[2]Table 39_'!#REF!</definedName>
    <definedName name="_ftnref1_50_15" localSheetId="3">'[2]Table 39_'!#REF!</definedName>
    <definedName name="_ftnref1_50_15" localSheetId="0">'[2]Table 39_'!#REF!</definedName>
    <definedName name="_ftnref1_50_15" localSheetId="2">'[2]Table 39_'!#REF!</definedName>
    <definedName name="_ftnref1_50_15">'[2]Table 39_'!#REF!</definedName>
    <definedName name="_ftnref1_50_18" localSheetId="3">'[2]Table 39_'!#REF!</definedName>
    <definedName name="_ftnref1_50_18" localSheetId="0">'[2]Table 39_'!#REF!</definedName>
    <definedName name="_ftnref1_50_18" localSheetId="2">'[2]Table 39_'!#REF!</definedName>
    <definedName name="_ftnref1_50_18">'[2]Table 39_'!#REF!</definedName>
    <definedName name="_ftnref1_50_19" localSheetId="3">'[2]Table 39_'!#REF!</definedName>
    <definedName name="_ftnref1_50_19" localSheetId="0">'[2]Table 39_'!#REF!</definedName>
    <definedName name="_ftnref1_50_19" localSheetId="2">'[2]Table 39_'!#REF!</definedName>
    <definedName name="_ftnref1_50_19">'[2]Table 39_'!#REF!</definedName>
    <definedName name="_ftnref1_50_20" localSheetId="3">'[2]Table 39_'!#REF!</definedName>
    <definedName name="_ftnref1_50_20" localSheetId="0">'[2]Table 39_'!#REF!</definedName>
    <definedName name="_ftnref1_50_20" localSheetId="2">'[2]Table 39_'!#REF!</definedName>
    <definedName name="_ftnref1_50_20">'[2]Table 39_'!#REF!</definedName>
    <definedName name="_ftnref1_50_21" localSheetId="3">'[2]Table 39_'!#REF!</definedName>
    <definedName name="_ftnref1_50_21" localSheetId="0">'[2]Table 39_'!#REF!</definedName>
    <definedName name="_ftnref1_50_21" localSheetId="2">'[2]Table 39_'!#REF!</definedName>
    <definedName name="_ftnref1_50_21">'[2]Table 39_'!#REF!</definedName>
    <definedName name="_ftnref1_50_23" localSheetId="3">'[2]Table 39_'!#REF!</definedName>
    <definedName name="_ftnref1_50_23" localSheetId="0">'[2]Table 39_'!#REF!</definedName>
    <definedName name="_ftnref1_50_23" localSheetId="2">'[2]Table 39_'!#REF!</definedName>
    <definedName name="_ftnref1_50_23">'[2]Table 39_'!#REF!</definedName>
    <definedName name="_ftnref1_50_24" localSheetId="3">'[2]Table 39_'!#REF!</definedName>
    <definedName name="_ftnref1_50_24" localSheetId="0">'[2]Table 39_'!#REF!</definedName>
    <definedName name="_ftnref1_50_24" localSheetId="2">'[2]Table 39_'!#REF!</definedName>
    <definedName name="_ftnref1_50_24">'[2]Table 39_'!#REF!</definedName>
    <definedName name="_ftnref1_50_27" localSheetId="3">'[3]Table 39_'!#REF!</definedName>
    <definedName name="_ftnref1_50_27" localSheetId="0">'[3]Table 39_'!#REF!</definedName>
    <definedName name="_ftnref1_50_27" localSheetId="2">'[3]Table 39_'!#REF!</definedName>
    <definedName name="_ftnref1_50_27">'[3]Table 39_'!#REF!</definedName>
    <definedName name="_ftnref1_50_28" localSheetId="3">'[3]Table 39_'!#REF!</definedName>
    <definedName name="_ftnref1_50_28" localSheetId="0">'[3]Table 39_'!#REF!</definedName>
    <definedName name="_ftnref1_50_28" localSheetId="2">'[3]Table 39_'!#REF!</definedName>
    <definedName name="_ftnref1_50_28">'[3]Table 39_'!#REF!</definedName>
    <definedName name="_ftnref1_50_4" localSheetId="3">'[2]Table 39_'!#REF!</definedName>
    <definedName name="_ftnref1_50_4" localSheetId="0">'[2]Table 39_'!#REF!</definedName>
    <definedName name="_ftnref1_50_4" localSheetId="2">'[2]Table 39_'!#REF!</definedName>
    <definedName name="_ftnref1_50_4">'[2]Table 39_'!#REF!</definedName>
    <definedName name="_ftnref1_50_5" localSheetId="3">'[2]Table 39_'!#REF!</definedName>
    <definedName name="_ftnref1_50_5" localSheetId="0">'[2]Table 39_'!#REF!</definedName>
    <definedName name="_ftnref1_50_5" localSheetId="2">'[2]Table 39_'!#REF!</definedName>
    <definedName name="_ftnref1_50_5">'[2]Table 39_'!#REF!</definedName>
    <definedName name="_ftnref1_50_9" localSheetId="3">'[3]Table 39_'!#REF!</definedName>
    <definedName name="_ftnref1_50_9" localSheetId="0">'[3]Table 39_'!#REF!</definedName>
    <definedName name="_ftnref1_50_9" localSheetId="2">'[3]Table 39_'!#REF!</definedName>
    <definedName name="_ftnref1_50_9">'[3]Table 39_'!#REF!</definedName>
    <definedName name="_ftnref1_51" localSheetId="3">'[1]Table 39_'!#REF!</definedName>
    <definedName name="_ftnref1_51" localSheetId="0">'[1]Table 39_'!#REF!</definedName>
    <definedName name="_ftnref1_51" localSheetId="2">'[1]Table 39_'!#REF!</definedName>
    <definedName name="_ftnref1_51">'[1]Table 39_'!#REF!</definedName>
    <definedName name="_ftnref1_51_10" localSheetId="3">'[2]Table 39_'!#REF!</definedName>
    <definedName name="_ftnref1_51_10" localSheetId="0">'[2]Table 39_'!#REF!</definedName>
    <definedName name="_ftnref1_51_10" localSheetId="2">'[2]Table 39_'!#REF!</definedName>
    <definedName name="_ftnref1_51_10">'[2]Table 39_'!#REF!</definedName>
    <definedName name="_ftnref1_51_15" localSheetId="3">'[2]Table 39_'!#REF!</definedName>
    <definedName name="_ftnref1_51_15" localSheetId="0">'[2]Table 39_'!#REF!</definedName>
    <definedName name="_ftnref1_51_15" localSheetId="2">'[2]Table 39_'!#REF!</definedName>
    <definedName name="_ftnref1_51_15">'[2]Table 39_'!#REF!</definedName>
    <definedName name="_ftnref1_51_18" localSheetId="3">'[2]Table 39_'!#REF!</definedName>
    <definedName name="_ftnref1_51_18" localSheetId="0">'[2]Table 39_'!#REF!</definedName>
    <definedName name="_ftnref1_51_18" localSheetId="2">'[2]Table 39_'!#REF!</definedName>
    <definedName name="_ftnref1_51_18">'[2]Table 39_'!#REF!</definedName>
    <definedName name="_ftnref1_51_19" localSheetId="3">'[2]Table 39_'!#REF!</definedName>
    <definedName name="_ftnref1_51_19" localSheetId="0">'[2]Table 39_'!#REF!</definedName>
    <definedName name="_ftnref1_51_19" localSheetId="2">'[2]Table 39_'!#REF!</definedName>
    <definedName name="_ftnref1_51_19">'[2]Table 39_'!#REF!</definedName>
    <definedName name="_ftnref1_51_20" localSheetId="3">'[2]Table 39_'!#REF!</definedName>
    <definedName name="_ftnref1_51_20" localSheetId="0">'[2]Table 39_'!#REF!</definedName>
    <definedName name="_ftnref1_51_20" localSheetId="2">'[2]Table 39_'!#REF!</definedName>
    <definedName name="_ftnref1_51_20">'[2]Table 39_'!#REF!</definedName>
    <definedName name="_ftnref1_51_21" localSheetId="3">'[2]Table 39_'!#REF!</definedName>
    <definedName name="_ftnref1_51_21" localSheetId="0">'[2]Table 39_'!#REF!</definedName>
    <definedName name="_ftnref1_51_21" localSheetId="2">'[2]Table 39_'!#REF!</definedName>
    <definedName name="_ftnref1_51_21">'[2]Table 39_'!#REF!</definedName>
    <definedName name="_ftnref1_51_23" localSheetId="3">'[2]Table 39_'!#REF!</definedName>
    <definedName name="_ftnref1_51_23" localSheetId="0">'[2]Table 39_'!#REF!</definedName>
    <definedName name="_ftnref1_51_23" localSheetId="2">'[2]Table 39_'!#REF!</definedName>
    <definedName name="_ftnref1_51_23">'[2]Table 39_'!#REF!</definedName>
    <definedName name="_ftnref1_51_24" localSheetId="3">'[2]Table 39_'!#REF!</definedName>
    <definedName name="_ftnref1_51_24" localSheetId="0">'[2]Table 39_'!#REF!</definedName>
    <definedName name="_ftnref1_51_24" localSheetId="2">'[2]Table 39_'!#REF!</definedName>
    <definedName name="_ftnref1_51_24">'[2]Table 39_'!#REF!</definedName>
    <definedName name="_ftnref1_51_4" localSheetId="3">'[2]Table 39_'!#REF!</definedName>
    <definedName name="_ftnref1_51_4" localSheetId="0">'[2]Table 39_'!#REF!</definedName>
    <definedName name="_ftnref1_51_4" localSheetId="2">'[2]Table 39_'!#REF!</definedName>
    <definedName name="_ftnref1_51_4">'[2]Table 39_'!#REF!</definedName>
    <definedName name="_ftnref1_51_5" localSheetId="3">'[2]Table 39_'!#REF!</definedName>
    <definedName name="_ftnref1_51_5" localSheetId="0">'[2]Table 39_'!#REF!</definedName>
    <definedName name="_ftnref1_51_5" localSheetId="2">'[2]Table 39_'!#REF!</definedName>
    <definedName name="_ftnref1_51_5">'[2]Table 39_'!#REF!</definedName>
    <definedName name="_ftref1_50" localSheetId="3">'[1]Table 39_'!#REF!</definedName>
    <definedName name="_ftref1_50" localSheetId="0">'[1]Table 39_'!#REF!</definedName>
    <definedName name="_ftref1_50" localSheetId="2">'[1]Table 39_'!#REF!</definedName>
    <definedName name="_ftref1_50">'[1]Table 39_'!#REF!</definedName>
    <definedName name="_h" localSheetId="3">'[2]Table 39_'!#REF!</definedName>
    <definedName name="_h" localSheetId="0">'[2]Table 39_'!#REF!</definedName>
    <definedName name="_h" localSheetId="2">'[2]Table 39_'!#REF!</definedName>
    <definedName name="_h">'[2]Table 39_'!#REF!</definedName>
    <definedName name="_Key1" localSheetId="3" hidden="1">#REF!</definedName>
    <definedName name="_Key1" localSheetId="0" hidden="1">#REF!</definedName>
    <definedName name="_Key1" localSheetId="2" hidden="1">#REF!</definedName>
    <definedName name="_Key1" hidden="1">#REF!</definedName>
    <definedName name="_Order1" hidden="1">255</definedName>
    <definedName name="_Sort" localSheetId="3" hidden="1">#REF!</definedName>
    <definedName name="_Sort" localSheetId="0" hidden="1">#REF!</definedName>
    <definedName name="_Sort" localSheetId="2" hidden="1">#REF!</definedName>
    <definedName name="_Sort" hidden="1">#REF!</definedName>
    <definedName name="A" localSheetId="3">#REF!</definedName>
    <definedName name="A" localSheetId="0">#REF!</definedName>
    <definedName name="A" localSheetId="2">#REF!</definedName>
    <definedName name="A">#REF!</definedName>
    <definedName name="a.1" localSheetId="3">#REF!</definedName>
    <definedName name="a.1" localSheetId="0">#REF!</definedName>
    <definedName name="a.1" localSheetId="2">#REF!</definedName>
    <definedName name="a.1">#REF!</definedName>
    <definedName name="Aircraft_Model">'[4]Lookup tables'!$BH$6:$BH$122</definedName>
    <definedName name="aPP">[5]Lists!$A$39:$A$41</definedName>
    <definedName name="AS2DocOpenMode" hidden="1">"AS2DocumentBrowse"</definedName>
    <definedName name="asefadf" localSheetId="3">#REF!</definedName>
    <definedName name="asefadf" localSheetId="0">#REF!</definedName>
    <definedName name="asefadf" localSheetId="2">#REF!</definedName>
    <definedName name="asefadf">#REF!</definedName>
    <definedName name="Asset" localSheetId="3">#REF!</definedName>
    <definedName name="Asset" localSheetId="2">#REF!</definedName>
    <definedName name="Asset">#REF!</definedName>
    <definedName name="b" localSheetId="3">#REF!</definedName>
    <definedName name="b" localSheetId="0">#REF!</definedName>
    <definedName name="b" localSheetId="2">#REF!</definedName>
    <definedName name="b">#REF!</definedName>
    <definedName name="bn" localSheetId="3">'[6]Code List'!#REF!</definedName>
    <definedName name="bn" localSheetId="0">'[6]Code List'!#REF!</definedName>
    <definedName name="bn" localSheetId="2">'[6]Code List'!#REF!</definedName>
    <definedName name="bn">'[6]Code List'!#REF!</definedName>
    <definedName name="Carlos" localSheetId="3">#REF!</definedName>
    <definedName name="Carlos" localSheetId="0">#REF!</definedName>
    <definedName name="Carlos" localSheetId="2">#REF!</definedName>
    <definedName name="Carlos">#REF!</definedName>
    <definedName name="CLAVE998_UEM1" localSheetId="3">#REF!</definedName>
    <definedName name="CLAVE998_UEM1" localSheetId="0">#REF!</definedName>
    <definedName name="CLAVE998_UEM1" localSheetId="2">#REF!</definedName>
    <definedName name="CLAVE998_UEM1">#REF!</definedName>
    <definedName name="COMBO" localSheetId="3">#REF!</definedName>
    <definedName name="COMBO" localSheetId="2">#REF!</definedName>
    <definedName name="COMBO">#REF!</definedName>
    <definedName name="dfdgbfdg" localSheetId="3">'[2]Table 39_'!#REF!</definedName>
    <definedName name="dfdgbfdg" localSheetId="0">'[2]Table 39_'!#REF!</definedName>
    <definedName name="dfdgbfdg" localSheetId="2">'[2]Table 39_'!#REF!</definedName>
    <definedName name="dfdgbfdg">'[2]Table 39_'!#REF!</definedName>
    <definedName name="DOCUM_2" localSheetId="3">#REF!</definedName>
    <definedName name="DOCUM_2" localSheetId="0">#REF!</definedName>
    <definedName name="DOCUM_2" localSheetId="2">#REF!</definedName>
    <definedName name="DOCUM_2">#REF!</definedName>
    <definedName name="dsa" localSheetId="3">#REF!</definedName>
    <definedName name="dsa" localSheetId="0">#REF!</definedName>
    <definedName name="dsa" localSheetId="2">#REF!</definedName>
    <definedName name="dsa">#REF!</definedName>
    <definedName name="Estado">'[7]TIPO DE CAMBIO'!$IS$2:$IV$5</definedName>
    <definedName name="Estado_01_1" localSheetId="3">#REF!</definedName>
    <definedName name="Estado_01_1" localSheetId="0">#REF!</definedName>
    <definedName name="Estado_01_1" localSheetId="2">#REF!</definedName>
    <definedName name="Estado_01_1">#REF!</definedName>
    <definedName name="Estado_01_1_ESP" localSheetId="3">#REF!</definedName>
    <definedName name="Estado_01_1_ESP" localSheetId="0">#REF!</definedName>
    <definedName name="Estado_01_1_ESP" localSheetId="2">#REF!</definedName>
    <definedName name="Estado_01_1_ESP">#REF!</definedName>
    <definedName name="Estado_01_1_EXT" localSheetId="3">#REF!</definedName>
    <definedName name="Estado_01_1_EXT" localSheetId="0">#REF!</definedName>
    <definedName name="Estado_01_1_EXT" localSheetId="2">#REF!</definedName>
    <definedName name="Estado_01_1_EXT">#REF!</definedName>
    <definedName name="Estado_100_1" localSheetId="3">#REF!</definedName>
    <definedName name="Estado_100_1" localSheetId="0">#REF!</definedName>
    <definedName name="Estado_100_1" localSheetId="2">#REF!</definedName>
    <definedName name="Estado_100_1">#REF!</definedName>
    <definedName name="Estado_100_1_NACL_NRE" localSheetId="3">#REF!</definedName>
    <definedName name="Estado_100_1_NACL_NRE" localSheetId="0">#REF!</definedName>
    <definedName name="Estado_100_1_NACL_NRE" localSheetId="2">#REF!</definedName>
    <definedName name="Estado_100_1_NACL_NRE">#REF!</definedName>
    <definedName name="Estado_100_1_NACL_RE" localSheetId="3">#REF!</definedName>
    <definedName name="Estado_100_1_NACL_RE" localSheetId="0">#REF!</definedName>
    <definedName name="Estado_100_1_NACL_RE" localSheetId="2">#REF!</definedName>
    <definedName name="Estado_100_1_NACL_RE">#REF!</definedName>
    <definedName name="Estado_100_1_Neg_Esp_N_R_E" localSheetId="3">#REF!</definedName>
    <definedName name="Estado_100_1_Neg_Esp_N_R_E" localSheetId="0">#REF!</definedName>
    <definedName name="Estado_100_1_Neg_Esp_N_R_E" localSheetId="2">#REF!</definedName>
    <definedName name="Estado_100_1_Neg_Esp_N_R_E">#REF!</definedName>
    <definedName name="Estado_100_1_Neg_Esp_R_E" localSheetId="3">#REF!</definedName>
    <definedName name="Estado_100_1_Neg_Esp_R_E" localSheetId="0">#REF!</definedName>
    <definedName name="Estado_100_1_Neg_Esp_R_E" localSheetId="2">#REF!</definedName>
    <definedName name="Estado_100_1_Neg_Esp_R_E">#REF!</definedName>
    <definedName name="Estado_100_1_No_Res_Esp" localSheetId="3">#REF!</definedName>
    <definedName name="Estado_100_1_No_Res_Esp" localSheetId="0">#REF!</definedName>
    <definedName name="Estado_100_1_No_Res_Esp" localSheetId="2">#REF!</definedName>
    <definedName name="Estado_100_1_No_Res_Esp">#REF!</definedName>
    <definedName name="Estado_100_1_Res_Esp" localSheetId="3">#REF!</definedName>
    <definedName name="Estado_100_1_Res_Esp" localSheetId="0">#REF!</definedName>
    <definedName name="Estado_100_1_Res_Esp" localSheetId="2">#REF!</definedName>
    <definedName name="Estado_100_1_Res_Esp">#REF!</definedName>
    <definedName name="Estado_100_1_Resi_Esp" localSheetId="3">#REF!</definedName>
    <definedName name="Estado_100_1_Resi_Esp" localSheetId="0">#REF!</definedName>
    <definedName name="Estado_100_1_Resi_Esp" localSheetId="2">#REF!</definedName>
    <definedName name="Estado_100_1_Resi_Esp">#REF!</definedName>
    <definedName name="Estado_100_1_Sucu" localSheetId="3">#REF!</definedName>
    <definedName name="Estado_100_1_Sucu" localSheetId="0">#REF!</definedName>
    <definedName name="Estado_100_1_Sucu" localSheetId="2">#REF!</definedName>
    <definedName name="Estado_100_1_Sucu">#REF!</definedName>
    <definedName name="Estado_100_1_TOT" localSheetId="3">#REF!</definedName>
    <definedName name="Estado_100_1_TOT" localSheetId="0">#REF!</definedName>
    <definedName name="Estado_100_1_TOT" localSheetId="2">#REF!</definedName>
    <definedName name="Estado_100_1_TOT">#REF!</definedName>
    <definedName name="Estado_100_1_TOT_NRE" localSheetId="3">#REF!</definedName>
    <definedName name="Estado_100_1_TOT_NRE" localSheetId="0">#REF!</definedName>
    <definedName name="Estado_100_1_TOT_NRE" localSheetId="2">#REF!</definedName>
    <definedName name="Estado_100_1_TOT_NRE">#REF!</definedName>
    <definedName name="Estado_100_1_TOT_RE" localSheetId="3">#REF!</definedName>
    <definedName name="Estado_100_1_TOT_RE" localSheetId="0">#REF!</definedName>
    <definedName name="Estado_100_1_TOT_RE" localSheetId="2">#REF!</definedName>
    <definedName name="Estado_100_1_TOT_RE">#REF!</definedName>
    <definedName name="Estado_100_2_NACL_NRE" localSheetId="3">#REF!</definedName>
    <definedName name="Estado_100_2_NACL_NRE" localSheetId="0">#REF!</definedName>
    <definedName name="Estado_100_2_NACL_NRE" localSheetId="2">#REF!</definedName>
    <definedName name="Estado_100_2_NACL_NRE">#REF!</definedName>
    <definedName name="Estado_100_2_NACL_RE" localSheetId="3">#REF!</definedName>
    <definedName name="Estado_100_2_NACL_RE" localSheetId="0">#REF!</definedName>
    <definedName name="Estado_100_2_NACL_RE" localSheetId="2">#REF!</definedName>
    <definedName name="Estado_100_2_NACL_RE">#REF!</definedName>
    <definedName name="Estado_100_2_TOT" localSheetId="3">#REF!</definedName>
    <definedName name="Estado_100_2_TOT" localSheetId="0">#REF!</definedName>
    <definedName name="Estado_100_2_TOT" localSheetId="2">#REF!</definedName>
    <definedName name="Estado_100_2_TOT">#REF!</definedName>
    <definedName name="Estado_100_2_TOT_NRE" localSheetId="3">#REF!</definedName>
    <definedName name="Estado_100_2_TOT_NRE" localSheetId="0">#REF!</definedName>
    <definedName name="Estado_100_2_TOT_NRE" localSheetId="2">#REF!</definedName>
    <definedName name="Estado_100_2_TOT_NRE">#REF!</definedName>
    <definedName name="Estado_100_2_TOT_RE" localSheetId="3">#REF!</definedName>
    <definedName name="Estado_100_2_TOT_RE" localSheetId="0">#REF!</definedName>
    <definedName name="Estado_100_2_TOT_RE" localSheetId="2">#REF!</definedName>
    <definedName name="Estado_100_2_TOT_RE">#REF!</definedName>
    <definedName name="Estado_100_3_Sucu" localSheetId="3">#REF!</definedName>
    <definedName name="Estado_100_3_Sucu" localSheetId="0">#REF!</definedName>
    <definedName name="Estado_100_3_Sucu" localSheetId="2">#REF!</definedName>
    <definedName name="Estado_100_3_Sucu">#REF!</definedName>
    <definedName name="ESTADO_16_7" localSheetId="3">#REF!</definedName>
    <definedName name="ESTADO_16_7" localSheetId="0">#REF!</definedName>
    <definedName name="ESTADO_16_7" localSheetId="2">#REF!</definedName>
    <definedName name="ESTADO_16_7">#REF!</definedName>
    <definedName name="Estado_16_7_ESP" localSheetId="3">#REF!</definedName>
    <definedName name="Estado_16_7_ESP" localSheetId="0">#REF!</definedName>
    <definedName name="Estado_16_7_ESP" localSheetId="2">#REF!</definedName>
    <definedName name="Estado_16_7_ESP">#REF!</definedName>
    <definedName name="ESTADO_16_7_ESP_NUEVO" localSheetId="3">#REF!</definedName>
    <definedName name="ESTADO_16_7_ESP_NUEVO" localSheetId="0">#REF!</definedName>
    <definedName name="ESTADO_16_7_ESP_NUEVO" localSheetId="2">#REF!</definedName>
    <definedName name="ESTADO_16_7_ESP_NUEVO">#REF!</definedName>
    <definedName name="Estado_16_7_EXT" localSheetId="3">#REF!</definedName>
    <definedName name="Estado_16_7_EXT" localSheetId="0">#REF!</definedName>
    <definedName name="Estado_16_7_EXT" localSheetId="2">#REF!</definedName>
    <definedName name="Estado_16_7_EXT">#REF!</definedName>
    <definedName name="ESTADO_16_7_NUEVO" localSheetId="3">#REF!</definedName>
    <definedName name="ESTADO_16_7_NUEVO" localSheetId="0">#REF!</definedName>
    <definedName name="ESTADO_16_7_NUEVO" localSheetId="2">#REF!</definedName>
    <definedName name="ESTADO_16_7_NUEVO">#REF!</definedName>
    <definedName name="Estado_FI_100_02" localSheetId="3">#REF!</definedName>
    <definedName name="Estado_FI_100_02" localSheetId="0">#REF!</definedName>
    <definedName name="Estado_FI_100_02" localSheetId="2">#REF!</definedName>
    <definedName name="Estado_FI_100_02">#REF!</definedName>
    <definedName name="ESTADO_UEM_1_Act" localSheetId="3">#REF!</definedName>
    <definedName name="ESTADO_UEM_1_Act" localSheetId="0">#REF!</definedName>
    <definedName name="ESTADO_UEM_1_Act" localSheetId="2">#REF!</definedName>
    <definedName name="ESTADO_UEM_1_Act">#REF!</definedName>
    <definedName name="Estado_UEM_11_Nov" localSheetId="3">#REF!</definedName>
    <definedName name="Estado_UEM_11_Nov" localSheetId="0">#REF!</definedName>
    <definedName name="Estado_UEM_11_Nov" localSheetId="2">#REF!</definedName>
    <definedName name="Estado_UEM_11_Nov">#REF!</definedName>
    <definedName name="Estado_UEM_11_Oct" localSheetId="3">#REF!</definedName>
    <definedName name="Estado_UEM_11_Oct" localSheetId="0">#REF!</definedName>
    <definedName name="Estado_UEM_11_Oct" localSheetId="2">#REF!</definedName>
    <definedName name="Estado_UEM_11_Oct">#REF!</definedName>
    <definedName name="Estado_UEM_13" localSheetId="3">#REF!</definedName>
    <definedName name="Estado_UEM_13" localSheetId="0">#REF!</definedName>
    <definedName name="Estado_UEM_13" localSheetId="2">#REF!</definedName>
    <definedName name="Estado_UEM_13">#REF!</definedName>
    <definedName name="Estado_UEM_2_1" localSheetId="3">#REF!</definedName>
    <definedName name="Estado_UEM_2_1" localSheetId="0">#REF!</definedName>
    <definedName name="Estado_UEM_2_1" localSheetId="2">#REF!</definedName>
    <definedName name="Estado_UEM_2_1">#REF!</definedName>
    <definedName name="Estado_UEM_2_2" localSheetId="3">#REF!</definedName>
    <definedName name="Estado_UEM_2_2" localSheetId="0">#REF!</definedName>
    <definedName name="Estado_UEM_2_2" localSheetId="2">#REF!</definedName>
    <definedName name="Estado_UEM_2_2">#REF!</definedName>
    <definedName name="Estado_UEM_2_3_1" localSheetId="3">#REF!</definedName>
    <definedName name="Estado_UEM_2_3_1" localSheetId="0">#REF!</definedName>
    <definedName name="Estado_UEM_2_3_1" localSheetId="2">#REF!</definedName>
    <definedName name="Estado_UEM_2_3_1">#REF!</definedName>
    <definedName name="Estado_UEM_2_3_2" localSheetId="3">#REF!</definedName>
    <definedName name="Estado_UEM_2_3_2" localSheetId="0">#REF!</definedName>
    <definedName name="Estado_UEM_2_3_2" localSheetId="2">#REF!</definedName>
    <definedName name="Estado_UEM_2_3_2">#REF!</definedName>
    <definedName name="Estado_UEM_2_4_1" localSheetId="3">#REF!</definedName>
    <definedName name="Estado_UEM_2_4_1" localSheetId="0">#REF!</definedName>
    <definedName name="Estado_UEM_2_4_1" localSheetId="2">#REF!</definedName>
    <definedName name="Estado_UEM_2_4_1">#REF!</definedName>
    <definedName name="Estado_UEM_2_4_2" localSheetId="3">#REF!</definedName>
    <definedName name="Estado_UEM_2_4_2" localSheetId="0">#REF!</definedName>
    <definedName name="Estado_UEM_2_4_2" localSheetId="2">#REF!</definedName>
    <definedName name="Estado_UEM_2_4_2">#REF!</definedName>
    <definedName name="fdsg" localSheetId="3">'[1]Table 39_'!#REF!</definedName>
    <definedName name="fdsg" localSheetId="0">'[1]Table 39_'!#REF!</definedName>
    <definedName name="fdsg" localSheetId="2">'[1]Table 39_'!#REF!</definedName>
    <definedName name="fdsg">'[1]Table 39_'!#REF!</definedName>
    <definedName name="fgf" localSheetId="3">'[3]Table 39_'!#REF!</definedName>
    <definedName name="fgf" localSheetId="0">'[3]Table 39_'!#REF!</definedName>
    <definedName name="fgf" localSheetId="2">'[3]Table 39_'!#REF!</definedName>
    <definedName name="fgf">'[3]Table 39_'!#REF!</definedName>
    <definedName name="FILA99_PAS_INCORRECTA" localSheetId="3">#REF!</definedName>
    <definedName name="FILA99_PAS_INCORRECTA" localSheetId="0">#REF!</definedName>
    <definedName name="FILA99_PAS_INCORRECTA" localSheetId="2">#REF!</definedName>
    <definedName name="FILA99_PAS_INCORRECTA">#REF!</definedName>
    <definedName name="Frequency">[5]Lists!$A$21:$A$25</definedName>
    <definedName name="ho" localSheetId="3">#REF!</definedName>
    <definedName name="ho" localSheetId="0">#REF!</definedName>
    <definedName name="ho" localSheetId="2">#REF!</definedName>
    <definedName name="ho">#REF!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"09/17/2018 11:39:24"</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JedenRadekPodSestavou" localSheetId="3">#REF!</definedName>
    <definedName name="JedenRadekPodSestavou" localSheetId="0">#REF!</definedName>
    <definedName name="JedenRadekPodSestavou" localSheetId="2">#REF!</definedName>
    <definedName name="JedenRadekPodSestavou">#REF!</definedName>
    <definedName name="JedenRadekPodSestavou_11" localSheetId="3">#REF!</definedName>
    <definedName name="JedenRadekPodSestavou_11" localSheetId="0">#REF!</definedName>
    <definedName name="JedenRadekPodSestavou_11" localSheetId="2">#REF!</definedName>
    <definedName name="JedenRadekPodSestavou_11">#REF!</definedName>
    <definedName name="JedenRadekPodSestavou_2" localSheetId="3">#REF!</definedName>
    <definedName name="JedenRadekPodSestavou_2" localSheetId="0">#REF!</definedName>
    <definedName name="JedenRadekPodSestavou_2" localSheetId="2">#REF!</definedName>
    <definedName name="JedenRadekPodSestavou_2">#REF!</definedName>
    <definedName name="JedenRadekPodSestavou_28" localSheetId="3">#REF!</definedName>
    <definedName name="JedenRadekPodSestavou_28" localSheetId="0">#REF!</definedName>
    <definedName name="JedenRadekPodSestavou_28" localSheetId="2">#REF!</definedName>
    <definedName name="JedenRadekPodSestavou_28">#REF!</definedName>
    <definedName name="JedenRadekVedleSestavy" localSheetId="3">#REF!</definedName>
    <definedName name="JedenRadekVedleSestavy" localSheetId="0">#REF!</definedName>
    <definedName name="JedenRadekVedleSestavy" localSheetId="2">#REF!</definedName>
    <definedName name="JedenRadekVedleSestavy">#REF!</definedName>
    <definedName name="JedenRadekVedleSestavy_11" localSheetId="3">#REF!</definedName>
    <definedName name="JedenRadekVedleSestavy_11" localSheetId="0">#REF!</definedName>
    <definedName name="JedenRadekVedleSestavy_11" localSheetId="2">#REF!</definedName>
    <definedName name="JedenRadekVedleSestavy_11">#REF!</definedName>
    <definedName name="JedenRadekVedleSestavy_2" localSheetId="3">#REF!</definedName>
    <definedName name="JedenRadekVedleSestavy_2" localSheetId="0">#REF!</definedName>
    <definedName name="JedenRadekVedleSestavy_2" localSheetId="2">#REF!</definedName>
    <definedName name="JedenRadekVedleSestavy_2">#REF!</definedName>
    <definedName name="JedenRadekVedleSestavy_28" localSheetId="3">#REF!</definedName>
    <definedName name="JedenRadekVedleSestavy_28" localSheetId="0">#REF!</definedName>
    <definedName name="JedenRadekVedleSestavy_28" localSheetId="2">#REF!</definedName>
    <definedName name="JedenRadekVedleSestavy_28">#REF!</definedName>
    <definedName name="L" localSheetId="3">#REF!</definedName>
    <definedName name="L" localSheetId="2">#REF!</definedName>
    <definedName name="L">#REF!</definedName>
    <definedName name="MaxOblastTabulky" localSheetId="3">#REF!</definedName>
    <definedName name="MaxOblastTabulky" localSheetId="0">#REF!</definedName>
    <definedName name="MaxOblastTabulky" localSheetId="2">#REF!</definedName>
    <definedName name="MaxOblastTabulky">#REF!</definedName>
    <definedName name="MaxOblastTabulky_11" localSheetId="3">#REF!</definedName>
    <definedName name="MaxOblastTabulky_11" localSheetId="0">#REF!</definedName>
    <definedName name="MaxOblastTabulky_11" localSheetId="2">#REF!</definedName>
    <definedName name="MaxOblastTabulky_11">#REF!</definedName>
    <definedName name="MaxOblastTabulky_2" localSheetId="3">#REF!</definedName>
    <definedName name="MaxOblastTabulky_2" localSheetId="0">#REF!</definedName>
    <definedName name="MaxOblastTabulky_2" localSheetId="2">#REF!</definedName>
    <definedName name="MaxOblastTabulky_2">#REF!</definedName>
    <definedName name="MaxOblastTabulky_28" localSheetId="3">#REF!</definedName>
    <definedName name="MaxOblastTabulky_28" localSheetId="0">#REF!</definedName>
    <definedName name="MaxOblastTabulky_28" localSheetId="2">#REF!</definedName>
    <definedName name="MaxOblastTabulky_28">#REF!</definedName>
    <definedName name="OblastDat2" localSheetId="3">#REF!</definedName>
    <definedName name="OblastDat2" localSheetId="0">#REF!</definedName>
    <definedName name="OblastDat2" localSheetId="2">#REF!</definedName>
    <definedName name="OblastDat2">#REF!</definedName>
    <definedName name="OblastDat2_11" localSheetId="3">#REF!</definedName>
    <definedName name="OblastDat2_11" localSheetId="0">#REF!</definedName>
    <definedName name="OblastDat2_11" localSheetId="2">#REF!</definedName>
    <definedName name="OblastDat2_11">#REF!</definedName>
    <definedName name="OblastDat2_2" localSheetId="3">#REF!</definedName>
    <definedName name="OblastDat2_2" localSheetId="0">#REF!</definedName>
    <definedName name="OblastDat2_2" localSheetId="2">#REF!</definedName>
    <definedName name="OblastDat2_2">#REF!</definedName>
    <definedName name="OblastDat2_28" localSheetId="3">#REF!</definedName>
    <definedName name="OblastDat2_28" localSheetId="0">#REF!</definedName>
    <definedName name="OblastDat2_28" localSheetId="2">#REF!</definedName>
    <definedName name="OblastDat2_28">#REF!</definedName>
    <definedName name="OblastNadpisuRadku" localSheetId="3">#REF!</definedName>
    <definedName name="OblastNadpisuRadku" localSheetId="0">#REF!</definedName>
    <definedName name="OblastNadpisuRadku" localSheetId="2">#REF!</definedName>
    <definedName name="OblastNadpisuRadku">#REF!</definedName>
    <definedName name="OblastNadpisuRadku_11" localSheetId="3">#REF!</definedName>
    <definedName name="OblastNadpisuRadku_11" localSheetId="0">#REF!</definedName>
    <definedName name="OblastNadpisuRadku_11" localSheetId="2">#REF!</definedName>
    <definedName name="OblastNadpisuRadku_11">#REF!</definedName>
    <definedName name="OblastNadpisuRadku_2" localSheetId="3">#REF!</definedName>
    <definedName name="OblastNadpisuRadku_2" localSheetId="0">#REF!</definedName>
    <definedName name="OblastNadpisuRadku_2" localSheetId="2">#REF!</definedName>
    <definedName name="OblastNadpisuRadku_2">#REF!</definedName>
    <definedName name="OblastNadpisuRadku_28" localSheetId="3">#REF!</definedName>
    <definedName name="OblastNadpisuRadku_28" localSheetId="0">#REF!</definedName>
    <definedName name="OblastNadpisuRadku_28" localSheetId="2">#REF!</definedName>
    <definedName name="OblastNadpisuRadku_28">#REF!</definedName>
    <definedName name="OblastNadpisuSloupcu" localSheetId="3">#REF!</definedName>
    <definedName name="OblastNadpisuSloupcu" localSheetId="0">#REF!</definedName>
    <definedName name="OblastNadpisuSloupcu" localSheetId="2">#REF!</definedName>
    <definedName name="OblastNadpisuSloupcu">#REF!</definedName>
    <definedName name="OblastNadpisuSloupcu_11" localSheetId="3">#REF!</definedName>
    <definedName name="OblastNadpisuSloupcu_11" localSheetId="0">#REF!</definedName>
    <definedName name="OblastNadpisuSloupcu_11" localSheetId="2">#REF!</definedName>
    <definedName name="OblastNadpisuSloupcu_11">#REF!</definedName>
    <definedName name="OblastNadpisuSloupcu_2" localSheetId="3">#REF!</definedName>
    <definedName name="OblastNadpisuSloupcu_2" localSheetId="0">#REF!</definedName>
    <definedName name="OblastNadpisuSloupcu_2" localSheetId="2">#REF!</definedName>
    <definedName name="OblastNadpisuSloupcu_2">#REF!</definedName>
    <definedName name="OblastNadpisuSloupcu_28" localSheetId="3">#REF!</definedName>
    <definedName name="OblastNadpisuSloupcu_28" localSheetId="0">#REF!</definedName>
    <definedName name="OblastNadpisuSloupcu_28" localSheetId="2">#REF!</definedName>
    <definedName name="OblastNadpisuSloupcu_28">#REF!</definedName>
    <definedName name="P090103_UEM_1_ACTIVO" localSheetId="3">#REF!</definedName>
    <definedName name="P090103_UEM_1_ACTIVO" localSheetId="0">#REF!</definedName>
    <definedName name="P090103_UEM_1_ACTIVO" localSheetId="2">#REF!</definedName>
    <definedName name="P090103_UEM_1_ACTIVO">#REF!</definedName>
    <definedName name="POS_CORTAS_UEM_2_1_AGO19_V2" localSheetId="3">#REF!</definedName>
    <definedName name="POS_CORTAS_UEM_2_1_AGO19_V2" localSheetId="0">#REF!</definedName>
    <definedName name="POS_CORTAS_UEM_2_1_AGO19_V2" localSheetId="2">#REF!</definedName>
    <definedName name="POS_CORTAS_UEM_2_1_AGO19_V2">#REF!</definedName>
    <definedName name="Print_Area_MI" localSheetId="3">#REF!</definedName>
    <definedName name="Print_Area_MI" localSheetId="0">#REF!</definedName>
    <definedName name="Print_Area_MI" localSheetId="2">#REF!</definedName>
    <definedName name="Print_Area_MI">#REF!</definedName>
    <definedName name="Print_Area_MI_11" localSheetId="3">#REF!</definedName>
    <definedName name="Print_Area_MI_11" localSheetId="0">#REF!</definedName>
    <definedName name="Print_Area_MI_11" localSheetId="2">#REF!</definedName>
    <definedName name="Print_Area_MI_11">#REF!</definedName>
    <definedName name="Print_Area_MI_2" localSheetId="3">#REF!</definedName>
    <definedName name="Print_Area_MI_2" localSheetId="0">#REF!</definedName>
    <definedName name="Print_Area_MI_2" localSheetId="2">#REF!</definedName>
    <definedName name="Print_Area_MI_2">#REF!</definedName>
    <definedName name="Print_Area_MI_28" localSheetId="3">#REF!</definedName>
    <definedName name="Print_Area_MI_28" localSheetId="0">#REF!</definedName>
    <definedName name="Print_Area_MI_28" localSheetId="2">#REF!</definedName>
    <definedName name="Print_Area_MI_28">#REF!</definedName>
    <definedName name="Print_Titles_MI" localSheetId="3">#REF!</definedName>
    <definedName name="Print_Titles_MI" localSheetId="0">#REF!</definedName>
    <definedName name="Print_Titles_MI" localSheetId="2">#REF!</definedName>
    <definedName name="Print_Titles_MI">#REF!</definedName>
    <definedName name="Print_Titles_MI_11" localSheetId="3">#REF!</definedName>
    <definedName name="Print_Titles_MI_11" localSheetId="0">#REF!</definedName>
    <definedName name="Print_Titles_MI_11" localSheetId="2">#REF!</definedName>
    <definedName name="Print_Titles_MI_11">#REF!</definedName>
    <definedName name="Print_Titles_MI_2" localSheetId="3">#REF!</definedName>
    <definedName name="Print_Titles_MI_2" localSheetId="0">#REF!</definedName>
    <definedName name="Print_Titles_MI_2" localSheetId="2">#REF!</definedName>
    <definedName name="Print_Titles_MI_2">#REF!</definedName>
    <definedName name="Print_Titles_MI_28" localSheetId="3">#REF!</definedName>
    <definedName name="Print_Titles_MI_28" localSheetId="0">#REF!</definedName>
    <definedName name="Print_Titles_MI_28" localSheetId="2">#REF!</definedName>
    <definedName name="Print_Titles_MI_28">#REF!</definedName>
    <definedName name="ProductoSubtipo">#REF!</definedName>
    <definedName name="RangoCompleto" localSheetId="3">#REF!</definedName>
    <definedName name="RangoCompleto" localSheetId="0">#REF!</definedName>
    <definedName name="RangoCompleto" localSheetId="2">#REF!</definedName>
    <definedName name="RangoCompleto">#REF!</definedName>
    <definedName name="RangoPrimeraColumna" localSheetId="3">#REF!</definedName>
    <definedName name="RangoPrimeraColumna" localSheetId="0">#REF!</definedName>
    <definedName name="RangoPrimeraColumna" localSheetId="2">#REF!</definedName>
    <definedName name="RangoPrimeraColumna">#REF!</definedName>
    <definedName name="RangoPrimeraFila" localSheetId="3">#REF!</definedName>
    <definedName name="RangoPrimeraFila" localSheetId="0">#REF!</definedName>
    <definedName name="RangoPrimeraFila" localSheetId="2">#REF!</definedName>
    <definedName name="RangoPrimeraFila">#REF!</definedName>
    <definedName name="RED_MILES_UEM_2_1_sum" localSheetId="3">#REF!</definedName>
    <definedName name="RED_MILES_UEM_2_1_sum" localSheetId="0">#REF!</definedName>
    <definedName name="RED_MILES_UEM_2_1_sum" localSheetId="2">#REF!</definedName>
    <definedName name="RED_MILES_UEM_2_1_sum">#REF!</definedName>
    <definedName name="RED_MILES_UEM_2_2_sum" localSheetId="3">#REF!</definedName>
    <definedName name="RED_MILES_UEM_2_2_sum" localSheetId="0">#REF!</definedName>
    <definedName name="RED_MILES_UEM_2_2_sum" localSheetId="2">#REF!</definedName>
    <definedName name="RED_MILES_UEM_2_2_sum">#REF!</definedName>
    <definedName name="RED_MILES_UEM_2_3_sum" localSheetId="3">#REF!</definedName>
    <definedName name="RED_MILES_UEM_2_3_sum" localSheetId="0">#REF!</definedName>
    <definedName name="RED_MILES_UEM_2_3_sum" localSheetId="2">#REF!</definedName>
    <definedName name="RED_MILES_UEM_2_3_sum">#REF!</definedName>
    <definedName name="rfgf" localSheetId="3">'[1]Table 39_'!#REF!</definedName>
    <definedName name="rfgf" localSheetId="0">'[1]Table 39_'!#REF!</definedName>
    <definedName name="rfgf" localSheetId="2">'[1]Table 39_'!#REF!</definedName>
    <definedName name="rfgf">'[1]Table 39_'!#REF!</definedName>
    <definedName name="s">[8]Lists!$A$21:$A$25</definedName>
    <definedName name="Single_Name" localSheetId="3">#REF!</definedName>
    <definedName name="Single_Name" localSheetId="2">#REF!</definedName>
    <definedName name="Single_Name">#REF!</definedName>
    <definedName name="SUM_COL99" localSheetId="3">#REF!</definedName>
    <definedName name="SUM_COL99" localSheetId="0">#REF!</definedName>
    <definedName name="SUM_COL99" localSheetId="2">#REF!</definedName>
    <definedName name="SUM_COL99">#REF!</definedName>
    <definedName name="Tabla_Mapeo_Estado_FI_08_1" localSheetId="3">#REF!</definedName>
    <definedName name="Tabla_Mapeo_Estado_FI_08_1" localSheetId="0">#REF!</definedName>
    <definedName name="Tabla_Mapeo_Estado_FI_08_1" localSheetId="2">#REF!</definedName>
    <definedName name="Tabla_Mapeo_Estado_FI_08_1">#REF!</definedName>
    <definedName name="Tipologia">'[7]TIPO DE CAMBIO'!$IR$2:$IR$7</definedName>
    <definedName name="TOT_UEM_2_1_sum" localSheetId="3">#REF!</definedName>
    <definedName name="TOT_UEM_2_1_sum" localSheetId="0">#REF!</definedName>
    <definedName name="TOT_UEM_2_1_sum" localSheetId="2">#REF!</definedName>
    <definedName name="TOT_UEM_2_1_sum">#REF!</definedName>
    <definedName name="TOT_UEM_2_2_sum" localSheetId="3">#REF!</definedName>
    <definedName name="TOT_UEM_2_2_sum" localSheetId="0">#REF!</definedName>
    <definedName name="TOT_UEM_2_2_sum" localSheetId="2">#REF!</definedName>
    <definedName name="TOT_UEM_2_2_sum">#REF!</definedName>
    <definedName name="TOT_UEM_2_3_sum" localSheetId="3">#REF!</definedName>
    <definedName name="TOT_UEM_2_3_sum" localSheetId="0">#REF!</definedName>
    <definedName name="TOT_UEM_2_3_sum" localSheetId="2">#REF!</definedName>
    <definedName name="TOT_UEM_2_3_sum">#REF!</definedName>
    <definedName name="XBRL">[5]Lists!$A$17:$A$19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3" l="1"/>
  <c r="B3" i="3" s="1"/>
  <c r="B4" i="3" s="1"/>
  <c r="B5" i="3" s="1"/>
  <c r="B6" i="3"/>
  <c r="B7" i="3"/>
  <c r="B8" i="3" s="1"/>
  <c r="B9" i="3" s="1"/>
  <c r="B10" i="3" s="1"/>
  <c r="B11" i="3"/>
  <c r="B12" i="3"/>
  <c r="B13" i="3"/>
  <c r="B14" i="3"/>
  <c r="B15" i="3"/>
  <c r="B16" i="3"/>
  <c r="B17" i="3"/>
  <c r="B18" i="3"/>
  <c r="B19" i="3"/>
  <c r="B20" i="3" s="1"/>
  <c r="B21" i="3" s="1"/>
  <c r="B22" i="3"/>
  <c r="B23" i="3"/>
  <c r="B24" i="3"/>
  <c r="B25" i="3"/>
  <c r="B26" i="3"/>
  <c r="B27" i="3"/>
  <c r="B28" i="3"/>
  <c r="B29" i="3"/>
  <c r="B30" i="3"/>
  <c r="B31" i="3"/>
  <c r="B32" i="3" s="1"/>
  <c r="B33" i="3" s="1"/>
  <c r="B34" i="3"/>
  <c r="B35" i="3"/>
  <c r="B36" i="3"/>
  <c r="B37" i="3"/>
  <c r="B38" i="3"/>
  <c r="B39" i="3"/>
  <c r="B40" i="3"/>
  <c r="B41" i="3"/>
  <c r="B42" i="3"/>
  <c r="B43" i="3"/>
  <c r="B44" i="3" s="1"/>
  <c r="B45" i="3"/>
  <c r="B46" i="3"/>
  <c r="B47" i="3"/>
  <c r="B48" i="3"/>
  <c r="B49" i="3"/>
  <c r="B50" i="3"/>
  <c r="B51" i="3" s="1"/>
  <c r="B52" i="3" s="1"/>
  <c r="B53" i="3"/>
  <c r="B54" i="3"/>
  <c r="B55" i="3"/>
  <c r="B56" i="3" s="1"/>
  <c r="B57" i="3" s="1"/>
  <c r="B58" i="3" s="1"/>
  <c r="B59" i="3" s="1"/>
  <c r="B60" i="3" s="1"/>
  <c r="B61" i="3" s="1"/>
  <c r="B62" i="3"/>
  <c r="B63" i="3"/>
  <c r="B64" i="3"/>
  <c r="B65" i="3"/>
  <c r="B66" i="3"/>
  <c r="B67" i="3"/>
</calcChain>
</file>

<file path=xl/sharedStrings.xml><?xml version="1.0" encoding="utf-8"?>
<sst xmlns="http://schemas.openxmlformats.org/spreadsheetml/2006/main" count="4431" uniqueCount="1599">
  <si>
    <t>(2) One CSV file for each of the tables in VDS Data Model</t>
  </si>
  <si>
    <r>
      <rPr>
        <b/>
        <sz val="11"/>
        <color theme="1"/>
        <rFont val="Calibri"/>
        <family val="2"/>
        <scheme val="minor"/>
      </rPr>
      <t>YYYYMMDD:</t>
    </r>
    <r>
      <rPr>
        <sz val="11"/>
        <color theme="1"/>
        <rFont val="Calibri"/>
        <family val="2"/>
        <scheme val="minor"/>
      </rPr>
      <t xml:space="preserve"> Data date</t>
    </r>
  </si>
  <si>
    <r>
      <rPr>
        <b/>
        <sz val="11"/>
        <color theme="1"/>
        <rFont val="Calibri"/>
        <family val="2"/>
        <scheme val="minor"/>
      </rPr>
      <t>XXXXX:</t>
    </r>
    <r>
      <rPr>
        <sz val="11"/>
        <color theme="1"/>
        <rFont val="Calibri"/>
        <family val="2"/>
        <scheme val="minor"/>
      </rPr>
      <t xml:space="preserve"> Cargabal Informing society</t>
    </r>
  </si>
  <si>
    <r>
      <rPr>
        <vertAlign val="superscript"/>
        <sz val="11"/>
        <color theme="1"/>
        <rFont val="Calibri"/>
        <family val="2"/>
        <scheme val="minor"/>
      </rPr>
      <t>(1)</t>
    </r>
    <r>
      <rPr>
        <sz val="11"/>
        <color theme="1"/>
        <rFont val="Calibri"/>
        <family val="2"/>
        <scheme val="minor"/>
      </rPr>
      <t xml:space="preserve"> SRB states that they expect to receive just one file from each unit</t>
    </r>
  </si>
  <si>
    <t>Numeric (includes numeric Code List)</t>
  </si>
  <si>
    <t>N/A</t>
  </si>
  <si>
    <t>MISS</t>
  </si>
  <si>
    <t>Varchar (includes Varchar Code List)</t>
  </si>
  <si>
    <t>11/11/1111</t>
  </si>
  <si>
    <t>00/00/0000</t>
  </si>
  <si>
    <t>Date</t>
  </si>
  <si>
    <t>Default value for not applicable fields</t>
  </si>
  <si>
    <t>Default value for missing data</t>
  </si>
  <si>
    <t>Data Type</t>
  </si>
  <si>
    <r>
      <rPr>
        <b/>
        <sz val="11"/>
        <color theme="1"/>
        <rFont val="Calibri"/>
        <family val="2"/>
        <scheme val="minor"/>
      </rPr>
      <t>Default values</t>
    </r>
    <r>
      <rPr>
        <sz val="11"/>
        <color theme="1"/>
        <rFont val="Calibri"/>
        <family val="2"/>
        <scheme val="minor"/>
      </rPr>
      <t xml:space="preserve">: Valuation Data Set instructions do not set default values for each data point. A few months ago it was shared with the units the proposal: to follow the same logic as the ECB indicates in the case of Structural Loan Tape:
</t>
    </r>
  </si>
  <si>
    <t>Yes</t>
  </si>
  <si>
    <t>Header</t>
  </si>
  <si>
    <t>;</t>
  </si>
  <si>
    <t>Delimiter</t>
  </si>
  <si>
    <t>CSV</t>
  </si>
  <si>
    <r>
      <t xml:space="preserve">Files included in the ZIP </t>
    </r>
    <r>
      <rPr>
        <b/>
        <vertAlign val="superscript"/>
        <sz val="11"/>
        <color theme="0"/>
        <rFont val="Calibri"/>
        <family val="2"/>
        <scheme val="minor"/>
      </rPr>
      <t>(2)</t>
    </r>
  </si>
  <si>
    <t>ZIP contaning all the files: XXXXX_YYYYMMDD.zip</t>
  </si>
  <si>
    <r>
      <t xml:space="preserve">Unique file per unit </t>
    </r>
    <r>
      <rPr>
        <b/>
        <vertAlign val="superscript"/>
        <sz val="11"/>
        <color theme="0"/>
        <rFont val="Calibri"/>
        <family val="2"/>
        <scheme val="minor"/>
      </rPr>
      <t>(1)</t>
    </r>
  </si>
  <si>
    <t>General considerations</t>
  </si>
  <si>
    <t>To be reported all files, even if some of them are not applicable for a unit. For not applicable files, the table will include only the header</t>
  </si>
  <si>
    <r>
      <rPr>
        <b/>
        <sz val="11"/>
        <color theme="1"/>
        <rFont val="Calibri"/>
        <family val="2"/>
        <scheme val="minor"/>
      </rPr>
      <t>XXXXX:</t>
    </r>
    <r>
      <rPr>
        <sz val="11"/>
        <color theme="1"/>
        <rFont val="Calibri"/>
        <family val="2"/>
        <scheme val="minor"/>
      </rPr>
      <t xml:space="preserve"> Cargabal informing society</t>
    </r>
  </si>
  <si>
    <t>Goodwill to be reported at consolidated basis. Spain will be in charge of reporting this module</t>
  </si>
  <si>
    <t>ws_intergs_dq.valuation_salida_goodwill_def_2_4</t>
  </si>
  <si>
    <t>CONSO_YYYYMMDD_09_01_goodwill.csv</t>
  </si>
  <si>
    <t>-</t>
  </si>
  <si>
    <t>9. Goodwill</t>
  </si>
  <si>
    <t>ws_intergs_dq.valuation_salida_intangible_assets_def_2_4</t>
  </si>
  <si>
    <t>XXXXX_YYYYMMDD_08_01_intangible.csv</t>
  </si>
  <si>
    <t>8. Intangible assets</t>
  </si>
  <si>
    <t>ws_intergs_dq.valuation_salida_dta_dtc_def_2_4</t>
  </si>
  <si>
    <t>XXXXX_YYYYMMDD_07_01_dtasdtcs.csv</t>
  </si>
  <si>
    <t>7. DTAs/DTCs</t>
  </si>
  <si>
    <t>ws_intergs_dq.valuation_salida_equity_def_2_4</t>
  </si>
  <si>
    <t>XXXXX_YYYYMMDD_06_01_equity.csv</t>
  </si>
  <si>
    <t>6. Equity</t>
  </si>
  <si>
    <t>ws_intergs_dq.valuation_salida_debt_securities_def_2_4</t>
  </si>
  <si>
    <t>XXXXX_YYYYMMDD_05_01_debtsecurities.csv</t>
  </si>
  <si>
    <t>5. Debt securities</t>
  </si>
  <si>
    <t>ws_intergs_dq.valuation_salida_derivados_def_2_4</t>
  </si>
  <si>
    <t>XXXXX_YYYYMMDD_04_01_derivatives.csv</t>
  </si>
  <si>
    <t>4. Derivatives</t>
  </si>
  <si>
    <t>ws_intergs_dq.valuation_salida_offbalance_instr_protection_def_2_4</t>
  </si>
  <si>
    <t>XXXXX_YYYYMMDD_03_05_off_instr_prot.csv</t>
  </si>
  <si>
    <t>Instrument-Protection relation</t>
  </si>
  <si>
    <t>3. Off-balance sheet exposures</t>
  </si>
  <si>
    <t>ws_intergs_dq.valuation_salida_offbalance_instr_counterparties_def_2_4</t>
  </si>
  <si>
    <t>XXXXX_YYYYMMDD_03_04_off_instr_count.csv</t>
  </si>
  <si>
    <t>Instrument-Counterparty relation</t>
  </si>
  <si>
    <t>ws_intergs_dq.valuation_salida_offbalance_protection_def_2_4</t>
  </si>
  <si>
    <t>XXXXX_YYYYMMDD_03_03_off_prot.csv</t>
  </si>
  <si>
    <t>Protections</t>
  </si>
  <si>
    <t>ws_intergs_dq.valuation_salida_offbalance_counterparties_def_2_4</t>
  </si>
  <si>
    <t>XXXXX_YYYYMMDD_03_02_off_count.csv</t>
  </si>
  <si>
    <t>Counterparties</t>
  </si>
  <si>
    <t>ws_intergs_dq.valuation_salida_offbalance_instruments_def_2_4</t>
  </si>
  <si>
    <t>XXXXX_YYYYMMDD_03_01_off_instr.csv</t>
  </si>
  <si>
    <t>Instruments</t>
  </si>
  <si>
    <t>ws_intergs_dq.valuation_salida_natural_instr_protection_def_2_4</t>
  </si>
  <si>
    <t>XXXXX_YYYYMMDD_02_05_nat_instr_prot.csv</t>
  </si>
  <si>
    <t>2. Exposures to natural persons</t>
  </si>
  <si>
    <t>ws_intergs_dq.valuation_salida_natural_instr_counterparties_def_2_4</t>
  </si>
  <si>
    <t>XXXXX_YYYYMMDD_02_04_nat_instr_count.csv</t>
  </si>
  <si>
    <t>ws_intergs_dq.valuation_salida_natural_protection_def_2_4</t>
  </si>
  <si>
    <t>XXXXX_YYYYMMDD_02_03_nat_prot.csv</t>
  </si>
  <si>
    <t>ws_intergs_dq.valuation_salida_natural_counterparties_def_2_4</t>
  </si>
  <si>
    <t>XXXXX_YYYYMMDD_02_02_nat_count.csv</t>
  </si>
  <si>
    <t>ws_intergs_dq.valuation_salida_natural_instruments_def_2_4</t>
  </si>
  <si>
    <t>XXXXX_YYYYMMDD_02_01_nat_instr.csv</t>
  </si>
  <si>
    <t>ws_intergs_dq.valuation_salida_legal_instr_protection_def_2_4</t>
  </si>
  <si>
    <t>XXXXX_YYYYMMDD_01_05_leg_instr_prot.csv</t>
  </si>
  <si>
    <t>1. Exposures to legal persons</t>
  </si>
  <si>
    <t>ws_intergs_dq.valuation_salida_legal_instr_counterparties_def_2_4</t>
  </si>
  <si>
    <t>XXXXX_YYYYMMDD_01_04_leg_instr_count.csv</t>
  </si>
  <si>
    <t>ws_intergs_dq.valuation_salida_legal_protection_def_2_4</t>
  </si>
  <si>
    <t>XXXXX_YYYYMMDD_01_03_leg_prote.csv</t>
  </si>
  <si>
    <t>ws_intergs_dq.valuation_salida_legal_counterparties_def_2_4</t>
  </si>
  <si>
    <t>XXXXX_YYYYMMDD_01_02_leg_count.csv</t>
  </si>
  <si>
    <t>ws_intergs_dq.valuation_salida_legal_instruments_def_2_4</t>
  </si>
  <si>
    <t>XXXXX_YYYYMMDD_01_01_leg_instr.csv</t>
  </si>
  <si>
    <t>File name</t>
  </si>
  <si>
    <t>Submodule</t>
  </si>
  <si>
    <t>Module</t>
  </si>
  <si>
    <t>9.1</t>
  </si>
  <si>
    <t>N/A to Data Set</t>
  </si>
  <si>
    <t>Liabilities included in disposal groups classified as held for sale</t>
  </si>
  <si>
    <t>1.2</t>
  </si>
  <si>
    <t>Other liabilities</t>
  </si>
  <si>
    <t>Share capital repayable on demand</t>
  </si>
  <si>
    <t>7. Deferred tax assets/credits</t>
  </si>
  <si>
    <t xml:space="preserve">      Deferred tax liabilities</t>
  </si>
  <si>
    <t xml:space="preserve">      Current tax liabilities</t>
  </si>
  <si>
    <t>Tax liabilities</t>
  </si>
  <si>
    <t xml:space="preserve">      Other provisions</t>
  </si>
  <si>
    <t xml:space="preserve">      Commitments and guarantees given</t>
  </si>
  <si>
    <t xml:space="preserve">      Pending legal issues and tax litigation</t>
  </si>
  <si>
    <t xml:space="preserve">      Restructuring</t>
  </si>
  <si>
    <t xml:space="preserve">      Other long term employee benefits</t>
  </si>
  <si>
    <t xml:space="preserve">      Pension and other post employment defined benefit obligations</t>
  </si>
  <si>
    <t>Provisions</t>
  </si>
  <si>
    <t>Fair value changes of the hedged items in portfolio hedge of interest rate risk</t>
  </si>
  <si>
    <t>Derivatives - Hedge accounting</t>
  </si>
  <si>
    <t xml:space="preserve">      Other financial liabilities</t>
  </si>
  <si>
    <t xml:space="preserve">      Debt securities issued</t>
  </si>
  <si>
    <t xml:space="preserve">      Deposits</t>
  </si>
  <si>
    <t>Financial liabilities measured at amortised cost</t>
  </si>
  <si>
    <t>Financial liabilities designated at fair value through profit or loss</t>
  </si>
  <si>
    <t xml:space="preserve">      Short positions</t>
  </si>
  <si>
    <t xml:space="preserve">      Derivatives</t>
  </si>
  <si>
    <t>Financial liabilities held for trading</t>
  </si>
  <si>
    <t>Non-current assets and disposal groups classified as held for sale</t>
  </si>
  <si>
    <t>1.1</t>
  </si>
  <si>
    <t>Other assets</t>
  </si>
  <si>
    <t xml:space="preserve">      Deferred tax assets</t>
  </si>
  <si>
    <t xml:space="preserve">      Current tax assets</t>
  </si>
  <si>
    <t>Tax assets</t>
  </si>
  <si>
    <t xml:space="preserve">      Other intangible assets</t>
  </si>
  <si>
    <t xml:space="preserve">      Goodwill</t>
  </si>
  <si>
    <t>Intangible assets</t>
  </si>
  <si>
    <t xml:space="preserve">      Investment property</t>
  </si>
  <si>
    <t xml:space="preserve">      Property, plant and equipment</t>
  </si>
  <si>
    <t>Tangible assets</t>
  </si>
  <si>
    <t>6. Financial assets - Equity</t>
  </si>
  <si>
    <t>Investments in subsidiaries, joint ventures and associates</t>
  </si>
  <si>
    <t>1/2. Exposures (Legal and Natural persons)</t>
  </si>
  <si>
    <t xml:space="preserve">      Loans and advances</t>
  </si>
  <si>
    <t>5. Financial assets - Debt securities</t>
  </si>
  <si>
    <t xml:space="preserve">      Debt securities</t>
  </si>
  <si>
    <t>Financial assets at amortised cost</t>
  </si>
  <si>
    <t xml:space="preserve">      Equity instruments</t>
  </si>
  <si>
    <t>Financial assets at fair value through other comprehensive income</t>
  </si>
  <si>
    <t>Financial assets designated at fair value through profit or loss</t>
  </si>
  <si>
    <t>Non-trading financial assets mandatorily at fair value through profit or loss</t>
  </si>
  <si>
    <t>Financial assets held for trading</t>
  </si>
  <si>
    <t xml:space="preserve">      Other demand deposits</t>
  </si>
  <si>
    <t xml:space="preserve">      Cash balances at central banks</t>
  </si>
  <si>
    <t xml:space="preserve">      Cash on hand</t>
  </si>
  <si>
    <t>Cash, cash balances at central banks and other demand deposits</t>
  </si>
  <si>
    <t>SRB Data Set Module</t>
  </si>
  <si>
    <t>Epigraph 2</t>
  </si>
  <si>
    <t>Epigraph 1</t>
  </si>
  <si>
    <t>FINREP</t>
  </si>
  <si>
    <t>date_latest_impairment_test</t>
  </si>
  <si>
    <t>XXXXX_YYYYMMDD_09_01_goodwill.csv</t>
  </si>
  <si>
    <t>Dynamic</t>
  </si>
  <si>
    <t>DD/MM/YYYY</t>
  </si>
  <si>
    <t>Date of latest impairment test</t>
  </si>
  <si>
    <t>Intangibles: goodwill</t>
  </si>
  <si>
    <t>9-V_138</t>
  </si>
  <si>
    <t>V_138</t>
  </si>
  <si>
    <t>result_impairment_test</t>
  </si>
  <si>
    <t>Total accumulated amount of goodwill impaired after the latest impairement test.</t>
  </si>
  <si>
    <t>Numeric</t>
  </si>
  <si>
    <t>Result impairment test</t>
  </si>
  <si>
    <t>9-V_137</t>
  </si>
  <si>
    <t>V_137</t>
  </si>
  <si>
    <t>opinion_audit</t>
  </si>
  <si>
    <t>Opinion expressed by accounting/internal audit/external audit (if applicable).</t>
  </si>
  <si>
    <t>Alphanumeric</t>
  </si>
  <si>
    <t>Opinion of audit</t>
  </si>
  <si>
    <t xml:space="preserve">Intangibles: goodwill </t>
  </si>
  <si>
    <t>9-V_134</t>
  </si>
  <si>
    <t>V_134</t>
  </si>
  <si>
    <t>carrying_amount</t>
  </si>
  <si>
    <t>Total value recognised in accounting.</t>
  </si>
  <si>
    <t>Carrying amount</t>
  </si>
  <si>
    <t>9-V_133</t>
  </si>
  <si>
    <t>V_133</t>
  </si>
  <si>
    <t>year_created</t>
  </si>
  <si>
    <t>The year in which goodwill was created</t>
  </si>
  <si>
    <t>Static</t>
  </si>
  <si>
    <t>Year created</t>
  </si>
  <si>
    <t>9-V_132</t>
  </si>
  <si>
    <t>V_132</t>
  </si>
  <si>
    <t>legal_entity_type</t>
  </si>
  <si>
    <t xml:space="preserve">The type of code used to identify the legal entity generating goodwill.  </t>
  </si>
  <si>
    <t>Drop-down based on ECB’s Securities Holding Statistics (field CL_SHS_ID_TYPE)</t>
  </si>
  <si>
    <t>Type of ID of the legal entity</t>
  </si>
  <si>
    <t>9-V_131</t>
  </si>
  <si>
    <t>V_131</t>
  </si>
  <si>
    <t>legal_entity_id</t>
  </si>
  <si>
    <t xml:space="preserve">Unique code of the legal entity generating the goodwill. If the goodwill arises from cash generating units, please identify the ID code identifying the set of assets/liabilities.  </t>
  </si>
  <si>
    <t>Legal entity ID</t>
  </si>
  <si>
    <t>9-V_130</t>
  </si>
  <si>
    <t>V_130</t>
  </si>
  <si>
    <t>sources_goodwill</t>
  </si>
  <si>
    <t xml:space="preserve">Description of the origin of goodwill </t>
  </si>
  <si>
    <t xml:space="preserve">Drop down:
-Merger
-Acquisition
-Cash generating units
-Others
</t>
  </si>
  <si>
    <t>Source of goodwill</t>
  </si>
  <si>
    <t>9-V_129</t>
  </si>
  <si>
    <t>V_129</t>
  </si>
  <si>
    <t>asset_id</t>
  </si>
  <si>
    <t>Unique identifier for the asset</t>
  </si>
  <si>
    <t xml:space="preserve">Alphanumeric </t>
  </si>
  <si>
    <t xml:space="preserve">Asset ID </t>
  </si>
  <si>
    <t>9-V_128</t>
  </si>
  <si>
    <t>V_128</t>
  </si>
  <si>
    <t>internal_external_latest_val</t>
  </si>
  <si>
    <t>Indicate as to whether the latest valuation was performed internally or by an external appraiser.</t>
  </si>
  <si>
    <t xml:space="preserve">Drop-down:
(1) Internal
(2) External
</t>
  </si>
  <si>
    <t>Internal/External Latest Valuation</t>
  </si>
  <si>
    <t>Valuation information</t>
  </si>
  <si>
    <t>8-V_127</t>
  </si>
  <si>
    <t>V_127</t>
  </si>
  <si>
    <t>val_timestamp</t>
  </si>
  <si>
    <t>Date and time of the last valuation.</t>
  </si>
  <si>
    <t>Valuation timestamp</t>
  </si>
  <si>
    <t>8-V_69</t>
  </si>
  <si>
    <t>V_69</t>
  </si>
  <si>
    <t>approach_det_carrying_amount</t>
  </si>
  <si>
    <t>The valuation approach or method used to determine the carrying amount of the asset.</t>
  </si>
  <si>
    <t>Drop-down:
- Full appraisal (1)
- Drive-by (2)
- Automated Valuation model (3)
- Indexed (4)
- Desktop (5)
- Managing or Estate agent (6)
- Purchase price (7)
- Hair cut (8)
- Mark to market (9)
- Counterparties valuation (10)
- Cost model (i.e. value equals cost minus depreciation) (11)
- Other (12)</t>
  </si>
  <si>
    <t>Approach to determining carrying amount</t>
  </si>
  <si>
    <t>Asset characteristics</t>
  </si>
  <si>
    <t>8-V_126</t>
  </si>
  <si>
    <t>V_126</t>
  </si>
  <si>
    <t>remaining_economic_life</t>
  </si>
  <si>
    <t>The remaining useful economic life (until the asset is considered economically obsolete).</t>
  </si>
  <si>
    <t>Remaining economic life</t>
  </si>
  <si>
    <t>8-V_125</t>
  </si>
  <si>
    <t>V_125</t>
  </si>
  <si>
    <t>original_accounting_life</t>
  </si>
  <si>
    <t>The accounting life used for amortisation purposes (as of the acquisition date).</t>
  </si>
  <si>
    <t>Original accounting life</t>
  </si>
  <si>
    <t>8-V_123</t>
  </si>
  <si>
    <t>V_123</t>
  </si>
  <si>
    <t>Currency</t>
  </si>
  <si>
    <t xml:space="preserve">The currency in which the acquisition, costs, impairment and carrying amount are estimated. </t>
  </si>
  <si>
    <t>Drop-down: ISO 4217 Currency Codes</t>
  </si>
  <si>
    <t>8-V_122</t>
  </si>
  <si>
    <t>V_122</t>
  </si>
  <si>
    <t>current_carrying_amount</t>
  </si>
  <si>
    <t>The carrying amount of the asset as of the cut-off date.</t>
  </si>
  <si>
    <t>Current carrying amount</t>
  </si>
  <si>
    <t>8-V_121</t>
  </si>
  <si>
    <t>V_121</t>
  </si>
  <si>
    <t>impairment_amount</t>
  </si>
  <si>
    <t xml:space="preserve">Accumulated impairment where the asset is subject to an impairment test. 
The amount of loss allowances that are held against or are allocated to financial assets or off balance sheet items on the cut off date. This data field applies to financial assets subject to impairment under the applied accounting standards (IFRS or national GAAP). If the instrument is not subject to impairment, put 'not applicable'. If the impairment is 'collectively assessed', the accumulated impairment amount that is determined for the total pool is allocated to each financial asset of the pool in proportion to its gross carrying amount in line with the applied accounting standard. The accumulated impairment amount must be defined in line with paragraph 11, 69, 71 and 110 of Part 2 of Annex V to Council Implementing Regulation (EU) No 680/2014 (FINREP). </t>
  </si>
  <si>
    <t>Impairment amount</t>
  </si>
  <si>
    <t>8-V_120</t>
  </si>
  <si>
    <t>V_120</t>
  </si>
  <si>
    <t>cumulative_amortisation</t>
  </si>
  <si>
    <t>Cumulative amortisation since acquisition/capitalisation date, where the asset is amortised.</t>
  </si>
  <si>
    <t>Cumulative amortisation</t>
  </si>
  <si>
    <t>8-V_119</t>
  </si>
  <si>
    <t>V_119</t>
  </si>
  <si>
    <t>initial_fair_value</t>
  </si>
  <si>
    <t>Fair value estimated on acquisition/capitalisation date.</t>
  </si>
  <si>
    <t>Initial fair value</t>
  </si>
  <si>
    <t>8-V_118</t>
  </si>
  <si>
    <t>V_118</t>
  </si>
  <si>
    <t>acquisition_capitalisation_date</t>
  </si>
  <si>
    <t>Date on which the asset was originally acquired/capitalised.</t>
  </si>
  <si>
    <t>Acquisition/capitalisation date</t>
  </si>
  <si>
    <t>8-V_117</t>
  </si>
  <si>
    <t>V_117</t>
  </si>
  <si>
    <t>intangible_asset_class</t>
  </si>
  <si>
    <t xml:space="preserve">Drop-down:
- Brands (1)
- Tradenames (2)
- Internet domain names (3)
- Contracts (4)
- Customer contracts and related relationships (5)
- Customer lists (6)
- Investment management agreements (7)
- Internally developed software (8)
- Patented software and technology (9)
- Unpatented software and technology (10)
- Databases / developed information (11)
- Non-compete agreements (12)
- Other (please identify) (13)
</t>
  </si>
  <si>
    <t>Intangible asset class</t>
  </si>
  <si>
    <t>8-V_116</t>
  </si>
  <si>
    <t>V_116</t>
  </si>
  <si>
    <t>Unique identifier for the asset.</t>
  </si>
  <si>
    <t xml:space="preserve">Asset identifier ID </t>
  </si>
  <si>
    <t>Identification information</t>
  </si>
  <si>
    <t>8-V_115</t>
  </si>
  <si>
    <t>V_115</t>
  </si>
  <si>
    <t>DTA/DTC expiring in more than five years</t>
  </si>
  <si>
    <t>expiring_more_five_years</t>
  </si>
  <si>
    <t>Value of recognised DTA/DTC with an expiry date of more than five years.</t>
  </si>
  <si>
    <t>Expiry date of DTA</t>
  </si>
  <si>
    <t>7-V_114</t>
  </si>
  <si>
    <t>V_114</t>
  </si>
  <si>
    <t>7. DTAs &amp; DTCs</t>
  </si>
  <si>
    <t>DTA/DTC expiring within four to five years</t>
  </si>
  <si>
    <t>expiring_four_five_years</t>
  </si>
  <si>
    <t>Value of recognised DTA/DTC with an expiry date of more than four but less than five years.</t>
  </si>
  <si>
    <t>7-V_113</t>
  </si>
  <si>
    <t>V_113</t>
  </si>
  <si>
    <t>DTA/DTC expiring within three to four years</t>
  </si>
  <si>
    <t>expiring_three_four_years</t>
  </si>
  <si>
    <t>Value of recognised DTA/DTC with an expiry date of more than three but less than four years.</t>
  </si>
  <si>
    <t>7-V_112</t>
  </si>
  <si>
    <t>V_112</t>
  </si>
  <si>
    <t>DTA/DTC expiring within two to three years</t>
  </si>
  <si>
    <t>expiring_two_three_years</t>
  </si>
  <si>
    <t>Value of recognised DTA/DTC with an expiry date of more than two but less than three years.</t>
  </si>
  <si>
    <t>7-V_111</t>
  </si>
  <si>
    <t>V_111</t>
  </si>
  <si>
    <t>DTA/DTC expiring within one to two years</t>
  </si>
  <si>
    <t>expiring_one_two_years</t>
  </si>
  <si>
    <t>Value of recognised DTA/DTC with an expiry date of more than one but less than two years.</t>
  </si>
  <si>
    <t>7-V_110</t>
  </si>
  <si>
    <t>V_110</t>
  </si>
  <si>
    <t>DTA/DTC expiring within a year</t>
  </si>
  <si>
    <t>expiring_year</t>
  </si>
  <si>
    <t>Value of recognised DTA/DTC with an expiry date of less than one year.</t>
  </si>
  <si>
    <t>7-V_109</t>
  </si>
  <si>
    <t>V_109</t>
  </si>
  <si>
    <t>DTA/DTC without an expiry date</t>
  </si>
  <si>
    <t>without_expiry_date</t>
  </si>
  <si>
    <t>Value of recognised DTA/DTC without an expiry date.</t>
  </si>
  <si>
    <t>7-V_108</t>
  </si>
  <si>
    <t>V_108</t>
  </si>
  <si>
    <t>DTA/DTC subject to other conditions</t>
  </si>
  <si>
    <t>subject_other_cond</t>
  </si>
  <si>
    <t>Value of recognised DTA/DTC subject to conditions other than future profitability of the tax group.</t>
  </si>
  <si>
    <t>Conditions</t>
  </si>
  <si>
    <t>7-V_107</t>
  </si>
  <si>
    <t>V_107</t>
  </si>
  <si>
    <t>DTA/DTC not conditional on future profitability</t>
  </si>
  <si>
    <t>not_condfuture_prof</t>
  </si>
  <si>
    <t>Value of recognised DTA/DTC without conditionality on future profitability of the tax group.</t>
  </si>
  <si>
    <t>7-V_106</t>
  </si>
  <si>
    <t>V_106</t>
  </si>
  <si>
    <t>DTA/DTC conditional on future profitability</t>
  </si>
  <si>
    <t>condfuture_prof</t>
  </si>
  <si>
    <t>Value of recognised DTA/DTC with a conditionality on future profitability of the tax group.</t>
  </si>
  <si>
    <t>7-V_105</t>
  </si>
  <si>
    <t>V_105</t>
  </si>
  <si>
    <t>DTA/DTC due to temporary differences</t>
  </si>
  <si>
    <t>due_temporary_diff</t>
  </si>
  <si>
    <t>Value of recognised DTA/DTC due to temporary differences.</t>
  </si>
  <si>
    <t>Origin</t>
  </si>
  <si>
    <t>7-V_104</t>
  </si>
  <si>
    <t>V_104</t>
  </si>
  <si>
    <t>DTA/DTC due to losses</t>
  </si>
  <si>
    <t>due_losses</t>
  </si>
  <si>
    <t>Value of recognised DTA/DTC due to losses.</t>
  </si>
  <si>
    <t>7-V_103</t>
  </si>
  <si>
    <t>V_103</t>
  </si>
  <si>
    <t>Existence of a cap on DTA/DTC recognition</t>
  </si>
  <si>
    <t>existence_cap_recogn</t>
  </si>
  <si>
    <t>Is tax group subject to a cap or limit (established in tax regulations) on the total value of DTA/DTC that it can recognise?</t>
  </si>
  <si>
    <t xml:space="preserve">Drop-down:
-Yes (1)
-No (2)
</t>
  </si>
  <si>
    <t>DTA</t>
  </si>
  <si>
    <t>7-V_102</t>
  </si>
  <si>
    <t>V_102</t>
  </si>
  <si>
    <t>Profit of relevant tax group</t>
  </si>
  <si>
    <t>profit_relevant_tax_group</t>
  </si>
  <si>
    <t xml:space="preserve">Profit of relevant tax group as per last account reported. </t>
  </si>
  <si>
    <t>7-V_101</t>
  </si>
  <si>
    <t>V_101</t>
  </si>
  <si>
    <t>Tax rate</t>
  </si>
  <si>
    <t>tax_rate</t>
  </si>
  <si>
    <t>Current relevant tax rate.</t>
  </si>
  <si>
    <t>7-V_100</t>
  </si>
  <si>
    <t>V_100</t>
  </si>
  <si>
    <t xml:space="preserve">Jurisdiction </t>
  </si>
  <si>
    <t>jurisdiction</t>
  </si>
  <si>
    <t>The tax jurisdiction in which the DTA/DTC is recognised.</t>
  </si>
  <si>
    <t>7-V_99</t>
  </si>
  <si>
    <t>V_99</t>
  </si>
  <si>
    <t xml:space="preserve">Tax group </t>
  </si>
  <si>
    <t>tax_group</t>
  </si>
  <si>
    <t>Group or tax group where the DTA/DTC is recognised.</t>
  </si>
  <si>
    <t>7-V_98</t>
  </si>
  <si>
    <t>V_98</t>
  </si>
  <si>
    <t>total_risk_exposure_amount</t>
  </si>
  <si>
    <t>The risk weight allocated to the instrument defined in line with Articles 92(3) and 92(4) of Regulation (EU) No 575/2013 (CRR), where applicable.</t>
  </si>
  <si>
    <t>Total Risk Exposure Amount</t>
  </si>
  <si>
    <t>Risk parameters</t>
  </si>
  <si>
    <t>6-V_5</t>
  </si>
  <si>
    <t>V_5</t>
  </si>
  <si>
    <t>6-V_95</t>
  </si>
  <si>
    <t>prudential_portfolio</t>
  </si>
  <si>
    <t xml:space="preserve">Indicate if the instrument is classified in the trading book or in the banking book for prudential purposes. </t>
  </si>
  <si>
    <t>Drop-down based on ECB’s Securities Holding Statistics (field CL_SHS_PRDNTL_PRTFL)</t>
  </si>
  <si>
    <t>Prudential portfolio of the instrument</t>
  </si>
  <si>
    <t>Accounting information</t>
  </si>
  <si>
    <t>V_95</t>
  </si>
  <si>
    <t>6-V_93</t>
  </si>
  <si>
    <t>accounting_classification</t>
  </si>
  <si>
    <t>Accounting classification of the instrument according to the IFRS or National GAAP.</t>
  </si>
  <si>
    <t>Drop-down based on ECB’s Securities Holding Statistics (field CL_SHS_ACCNTNG_CLSSFCTN)</t>
  </si>
  <si>
    <t>Accounting classification of the instrument</t>
  </si>
  <si>
    <t>V_93</t>
  </si>
  <si>
    <t>part_lcr_buffer</t>
  </si>
  <si>
    <t>Indicate whether the security meets the eligibility criteria for standard central bank operations.</t>
  </si>
  <si>
    <t xml:space="preserve">Drop-down:
- Yes (1)
- No (2)
</t>
  </si>
  <si>
    <t>Part of LCR buffer</t>
  </si>
  <si>
    <t>Use of security</t>
  </si>
  <si>
    <t>6-V_91</t>
  </si>
  <si>
    <t>V_91</t>
  </si>
  <si>
    <t>dividend_yield</t>
  </si>
  <si>
    <t>Average expected yearly dividends over the next three years.</t>
  </si>
  <si>
    <t xml:space="preserve">Numeric. Basis points </t>
  </si>
  <si>
    <t>Dividend yield</t>
  </si>
  <si>
    <t>Valuation</t>
  </si>
  <si>
    <t>6-V_97</t>
  </si>
  <si>
    <t>V_97</t>
  </si>
  <si>
    <t>val_type</t>
  </si>
  <si>
    <t>Indicate whether the valuation was performed mark-to-market or mark-to-model.</t>
  </si>
  <si>
    <t xml:space="preserve">Drop-down:
-Mark-to-market (1)
-Mark-to-model (2)
</t>
  </si>
  <si>
    <t>Valuation type</t>
  </si>
  <si>
    <t>6-V_70</t>
  </si>
  <si>
    <t>V_70</t>
  </si>
  <si>
    <t>6-V_69</t>
  </si>
  <si>
    <t>currency_value</t>
  </si>
  <si>
    <t>The currency used for the valuation of the security.</t>
  </si>
  <si>
    <t>Drop-down based on ECB’s Securities Holding Statistics (field CL_SHS_CURRENCY)</t>
  </si>
  <si>
    <t>Currency of the value</t>
  </si>
  <si>
    <t>6-V_68</t>
  </si>
  <si>
    <t>V_68</t>
  </si>
  <si>
    <t>type_issuer</t>
  </si>
  <si>
    <t>Other group entity refers to entities which form part of the same group as the bank (inter-affiliate exposures). Third party refers to external parties.</t>
  </si>
  <si>
    <t xml:space="preserve">Drop-down:
-Other group entity (1)
-Third party (2)
</t>
  </si>
  <si>
    <t>Type of Issuer</t>
  </si>
  <si>
    <t>Parties to the financial contract</t>
  </si>
  <si>
    <t>6-V_67</t>
  </si>
  <si>
    <t>V_67</t>
  </si>
  <si>
    <t>issuer_ratings_sources</t>
  </si>
  <si>
    <t xml:space="preserve">The name of the agency providing the rating. In the event of multiple ratings, the sources should be separated by commas and their order should be the same as the thresholds and ratings provided in other fields. </t>
  </si>
  <si>
    <t>Issuer Rating(s) Source(s)</t>
  </si>
  <si>
    <t>Issuer characteristics</t>
  </si>
  <si>
    <t>6-V_66</t>
  </si>
  <si>
    <t>V_66</t>
  </si>
  <si>
    <t>issuer_ratings</t>
  </si>
  <si>
    <t>Rating of counterparty as of the cut-off date. In the event of multiple ratings, these should be separated by commas and the order should be the same as that relating to the rating thresholds reported in field XYZ. If not rated, enter ‘NR’.</t>
  </si>
  <si>
    <t>Issuer Rating(s)</t>
  </si>
  <si>
    <t xml:space="preserve">Issuer characteristics </t>
  </si>
  <si>
    <t>6-V_65</t>
  </si>
  <si>
    <t>V_65</t>
  </si>
  <si>
    <t>6-V_64</t>
  </si>
  <si>
    <t>issuer_nace_sector</t>
  </si>
  <si>
    <t>Sector according to the NACE classification.</t>
  </si>
  <si>
    <t>Drop down based on ECB’s Securities Holding Statistics (field CL_SHS_NACE)</t>
  </si>
  <si>
    <t>Issuer NACE sector</t>
  </si>
  <si>
    <t>Issuer identification</t>
  </si>
  <si>
    <t>V_64</t>
  </si>
  <si>
    <t>6-V_63</t>
  </si>
  <si>
    <t>issuer_esa_2010</t>
  </si>
  <si>
    <t>ESA 2010 sector of the issuer.</t>
  </si>
  <si>
    <t>Drop down based on ECB’s Securities Holding Statistics (field CL_SHS_ISSUER_ESA_2010)</t>
  </si>
  <si>
    <t>Issuer ESA 2010</t>
  </si>
  <si>
    <t>V_63</t>
  </si>
  <si>
    <t>country_issuer</t>
  </si>
  <si>
    <t>The country code of the country where the registered office of the issuer is located. To be completed only when no ISIN has been provided.</t>
  </si>
  <si>
    <t>Drop down based on ECB’s Securities Holding Statistics (field CL_SHS_ISSUER_AREA)</t>
  </si>
  <si>
    <t>Country of the issuer</t>
  </si>
  <si>
    <t>6-V_62</t>
  </si>
  <si>
    <t>V_62</t>
  </si>
  <si>
    <t>type_issuer_id</t>
  </si>
  <si>
    <t>Type of code used to identify the issuer (legal entity).</t>
  </si>
  <si>
    <t>Type of ID of the issuer</t>
  </si>
  <si>
    <t>6-V_61</t>
  </si>
  <si>
    <t>V_61</t>
  </si>
  <si>
    <t>issuer_id</t>
  </si>
  <si>
    <t>Unique code (LEI where available) identifying the reporting counterparty (legal entity).</t>
  </si>
  <si>
    <t>ID of the issuer</t>
  </si>
  <si>
    <t>6-V_60</t>
  </si>
  <si>
    <t>V_60</t>
  </si>
  <si>
    <t>isin</t>
  </si>
  <si>
    <t>ISIN code.</t>
  </si>
  <si>
    <t>ISIN</t>
  </si>
  <si>
    <t>6-V_59</t>
  </si>
  <si>
    <t>V_59</t>
  </si>
  <si>
    <t>financial_contract_id</t>
  </si>
  <si>
    <t>Unique identifier for the equity investment security.</t>
  </si>
  <si>
    <t xml:space="preserve">Financial contract ID </t>
  </si>
  <si>
    <t>Security characteristics</t>
  </si>
  <si>
    <t>6-V_58</t>
  </si>
  <si>
    <t>V_58</t>
  </si>
  <si>
    <t>INSTRUMENT-RWA</t>
  </si>
  <si>
    <t>5-V_5</t>
  </si>
  <si>
    <t>INSTRUMENT-HEDGE_ID</t>
  </si>
  <si>
    <t>hedge_id</t>
  </si>
  <si>
    <t>Hedge ID if the position is part of an economic/accounting hedge.</t>
  </si>
  <si>
    <t>Hedge ID</t>
  </si>
  <si>
    <t>5-V_96</t>
  </si>
  <si>
    <t>V_96</t>
  </si>
  <si>
    <t>5-V_95</t>
  </si>
  <si>
    <t>INSTRUMENT-PRDNTL_PRTFL</t>
  </si>
  <si>
    <t>V_94</t>
  </si>
  <si>
    <t>INSTRUMENT-PRFRMNG_STTS</t>
  </si>
  <si>
    <t>perform_status</t>
  </si>
  <si>
    <t>Performing status of the instrument: performing vs non-performing.</t>
  </si>
  <si>
    <t>Drop-down based on ECB’s Securities Holding Statistics (field CL_SHS_PRFRMNG_STTS)</t>
  </si>
  <si>
    <t>Performing status of the instrument</t>
  </si>
  <si>
    <t>5-V_94</t>
  </si>
  <si>
    <t>5-V_93</t>
  </si>
  <si>
    <t>INSTRUMENT-ACCNTNG_CLSSFCTN</t>
  </si>
  <si>
    <t>Accounting classification of the instrument according to the IFRS or national general accepted accounting principles (GAAP).</t>
  </si>
  <si>
    <t>V_92</t>
  </si>
  <si>
    <t>INSTRUMENT-LCR_BFFR_CTGRY</t>
  </si>
  <si>
    <t>lcr_buffer_category</t>
  </si>
  <si>
    <t>Indicate which part of the LCR buffer the security was part of.</t>
  </si>
  <si>
    <t xml:space="preserve">Drop down: 
- L1 (1)
- L2A (2)
- L2B (3)
</t>
  </si>
  <si>
    <t>Category of LCR buffer</t>
  </si>
  <si>
    <t>5-V_92</t>
  </si>
  <si>
    <t>INSTRUMENT-PRT_LCR_BFFR</t>
  </si>
  <si>
    <t>5-V_91</t>
  </si>
  <si>
    <t>V_90</t>
  </si>
  <si>
    <t>INSTRUMENT-ELGBLTY_ECB</t>
  </si>
  <si>
    <t>eligibility_ecb</t>
  </si>
  <si>
    <t>Indicate whether the security meets the eligibility criteria for standard central bank (ECB) operations.</t>
  </si>
  <si>
    <t>Eligibility for standard central bank (ECB) operations</t>
  </si>
  <si>
    <t>5-V_90</t>
  </si>
  <si>
    <t>V_89</t>
  </si>
  <si>
    <t>INSTRUMENT-SRCS_ENCMBRNC</t>
  </si>
  <si>
    <t>sources_encumbrance</t>
  </si>
  <si>
    <t>Indicate the source of encumbrance for the security.</t>
  </si>
  <si>
    <t>Drop-down based on ECB’s Securities Holding Statistics (field CL_SHS_SRC_ENCMBRNC)</t>
  </si>
  <si>
    <t>Sources of encumbrance</t>
  </si>
  <si>
    <t>5-V_89</t>
  </si>
  <si>
    <t>V_88</t>
  </si>
  <si>
    <t>INSTRUMENT-PRCH_UNDR_RSL_AGR</t>
  </si>
  <si>
    <t>purchased_resale_agr</t>
  </si>
  <si>
    <t>Indicate weather the security was purchased with an agreement to resell it at a later stage (e.g. reverse repo, collateral swap, etc.).</t>
  </si>
  <si>
    <t>Purchased under resale agreement</t>
  </si>
  <si>
    <t>5-V_88</t>
  </si>
  <si>
    <t>INSTRUMENT-CRRNCY_DNMNTN</t>
  </si>
  <si>
    <t>nominal_amount_currency</t>
  </si>
  <si>
    <t>Currency for expressing the nominal of the security.</t>
  </si>
  <si>
    <t>Drop-down based on ISO 4217 Currency Codes</t>
  </si>
  <si>
    <t>Currency of the nominal amount</t>
  </si>
  <si>
    <t>5-V_87</t>
  </si>
  <si>
    <t>V_87</t>
  </si>
  <si>
    <t>INSTRUMENT-SPRD</t>
  </si>
  <si>
    <t>spread</t>
  </si>
  <si>
    <t>Spread over the reference rate (if floating).</t>
  </si>
  <si>
    <t xml:space="preserve">Spread </t>
  </si>
  <si>
    <t>5-V_86</t>
  </si>
  <si>
    <t>V_86</t>
  </si>
  <si>
    <t>INSTRUMENT-RFRNC_RT</t>
  </si>
  <si>
    <t>reference_rate</t>
  </si>
  <si>
    <t>Coupon rate (if floating).</t>
  </si>
  <si>
    <t xml:space="preserve">Reference rate </t>
  </si>
  <si>
    <t>5-V_85</t>
  </si>
  <si>
    <t>V_85</t>
  </si>
  <si>
    <t>INSTRUMENT-CPN_RT</t>
  </si>
  <si>
    <t>coupon_rate</t>
  </si>
  <si>
    <t>Coupon rate (if fixed).</t>
  </si>
  <si>
    <t xml:space="preserve">Coupon rate </t>
  </si>
  <si>
    <t>5-V_84</t>
  </si>
  <si>
    <t>V_84</t>
  </si>
  <si>
    <t>INSTRUMENT-CPN_CRRNCY</t>
  </si>
  <si>
    <t>coupon_currency</t>
  </si>
  <si>
    <t>Currency in which the coupon is paid.</t>
  </si>
  <si>
    <t xml:space="preserve">Coupon currency </t>
  </si>
  <si>
    <t>5-V_83</t>
  </si>
  <si>
    <t>V_83</t>
  </si>
  <si>
    <t>V_82</t>
  </si>
  <si>
    <t>INSTRUMENT-PYMNT_FRQNCY</t>
  </si>
  <si>
    <t>coupon_frequency</t>
  </si>
  <si>
    <t>Frequency of coupon payment.</t>
  </si>
  <si>
    <t xml:space="preserve">Drop-down:
-Monthly (1)
-Semi-annual (2)
-Annual (3)
-Other (4)
</t>
  </si>
  <si>
    <t>Coupon frequency</t>
  </si>
  <si>
    <t>5-V_82</t>
  </si>
  <si>
    <t>V_81</t>
  </si>
  <si>
    <t>INSTRUMENT-TYP_INTRST_RT</t>
  </si>
  <si>
    <t>coupon_type</t>
  </si>
  <si>
    <t>Type of coupon.</t>
  </si>
  <si>
    <t xml:space="preserve">Drop-down:
-Fixed (1)
-Floating (2)
-Zero coupon (3)
-Other (4)
</t>
  </si>
  <si>
    <t xml:space="preserve">Coupon type </t>
  </si>
  <si>
    <t>5-V_81</t>
  </si>
  <si>
    <t>V_80</t>
  </si>
  <si>
    <t>INSTRUMENT-INSTR_SNRTY_CLSS</t>
  </si>
  <si>
    <t>instrument_seniority_type</t>
  </si>
  <si>
    <t>Instrument type according to its seniority.</t>
  </si>
  <si>
    <t>Drop-down based on ECB’s Securities Holding Statistics (field CL_SENIORITY_TYPE)</t>
  </si>
  <si>
    <t>Instrument seniority type</t>
  </si>
  <si>
    <t>5-V_80</t>
  </si>
  <si>
    <t>INSTRUMENT-INTRNL_RTNG</t>
  </si>
  <si>
    <t>security_rating</t>
  </si>
  <si>
    <t>Credit rating of security. Rating of the security as of the cut-off date. In the event of multiple ratings, these should be separated by commas and the order should be the same as that relating to the rating thresholds that are reported in field XYZ. If not rated, enter ‘NR’.</t>
  </si>
  <si>
    <t>Rating of the security</t>
  </si>
  <si>
    <t>5-V_79</t>
  </si>
  <si>
    <t>V_79</t>
  </si>
  <si>
    <t>V_78</t>
  </si>
  <si>
    <t>INSTRUMENT-GRNTR_ID_TYP</t>
  </si>
  <si>
    <t>guarantor_id_type</t>
  </si>
  <si>
    <t>Drop-down based on ECB’s Securities Holding Statistics (field CL_ID_TYPE)</t>
  </si>
  <si>
    <t>Guarantor ID type</t>
  </si>
  <si>
    <t>5-V_78</t>
  </si>
  <si>
    <t>INSTRUMENT-GRNTR_ID</t>
  </si>
  <si>
    <t>guarantor_id</t>
  </si>
  <si>
    <t>Guarantor identifier if a guarantee has been provided.</t>
  </si>
  <si>
    <t>Guarantor ID</t>
  </si>
  <si>
    <t>5-V_77</t>
  </si>
  <si>
    <t>V_77</t>
  </si>
  <si>
    <t>INSTRUMENT-DT_LGL_FNL_MTRTY</t>
  </si>
  <si>
    <t>maturity_date</t>
  </si>
  <si>
    <t>Maturity date. Not applicable for perpetual instruments.</t>
  </si>
  <si>
    <t xml:space="preserve">Maturity date </t>
  </si>
  <si>
    <t>5-V_76</t>
  </si>
  <si>
    <t>V_76</t>
  </si>
  <si>
    <t>INSTRUMENT-DT_INCPTN</t>
  </si>
  <si>
    <t>issuance_date</t>
  </si>
  <si>
    <t>Issuance date.</t>
  </si>
  <si>
    <t>Issuance date</t>
  </si>
  <si>
    <t>5-V_75</t>
  </si>
  <si>
    <t>V_75</t>
  </si>
  <si>
    <t>V_74</t>
  </si>
  <si>
    <t>INSTRUMENT-TYPE_OF_PLCMNT</t>
  </si>
  <si>
    <t>placement_type</t>
  </si>
  <si>
    <t xml:space="preserve">Public or private. Public refers to issuances in capital markets that have been allocated an ISIN. Private refers to securities structured for clients or other third parties that were sold bilaterally </t>
  </si>
  <si>
    <t xml:space="preserve">Drop-down: 
-Public (1)
-Private (2)
</t>
  </si>
  <si>
    <t>Type of placement</t>
  </si>
  <si>
    <t>5-V_74</t>
  </si>
  <si>
    <t>V_73</t>
  </si>
  <si>
    <t>INSTRUMENT-ASST_SCRT_CLSS</t>
  </si>
  <si>
    <t>asset_scrty_class</t>
  </si>
  <si>
    <t>To be reported if the instrument is a securitisation or covered bond.</t>
  </si>
  <si>
    <t>Drop-down based on ECB’s Securities Holding Statistics (field CL_SHS_ ASSET_SECURITISATION_TYPE)</t>
  </si>
  <si>
    <t>Asset securitisation class</t>
  </si>
  <si>
    <t>5-V_73</t>
  </si>
  <si>
    <t>V_72</t>
  </si>
  <si>
    <t>INSTRUMENT-PRMRY_ASST_CLSSF</t>
  </si>
  <si>
    <t>primary_asset_classification</t>
  </si>
  <si>
    <t>Type of instrument.</t>
  </si>
  <si>
    <t>Drop-down based on ECB’s Securities Holding Statistics (field CL_SHS_PRIMARY_ASSET_CLASS)</t>
  </si>
  <si>
    <t>Primary asset classification</t>
  </si>
  <si>
    <t>5-V_72</t>
  </si>
  <si>
    <t>V_71</t>
  </si>
  <si>
    <t>INSTRUMENT-INSTRMNT_CLSS</t>
  </si>
  <si>
    <t>instrument_class</t>
  </si>
  <si>
    <t xml:space="preserve">The class of the instrument according to ESA 2010. </t>
  </si>
  <si>
    <t>Drop-down based on ECB’s Securities Holding Statistics (field CL_SHS_INSTR_ESA2010)</t>
  </si>
  <si>
    <t>Instrument class</t>
  </si>
  <si>
    <t>5-V_71</t>
  </si>
  <si>
    <t>INSTRUMENT-VLTN_TYP</t>
  </si>
  <si>
    <t>Indicate whether valuation was performed mark-to-market or mark-to-model.</t>
  </si>
  <si>
    <t>5-V_70</t>
  </si>
  <si>
    <t>INSTRUMENT-DT_VLTN</t>
  </si>
  <si>
    <t>5-V_69</t>
  </si>
  <si>
    <t>INSTRUMENT-VLTN_CRRNCY</t>
  </si>
  <si>
    <t>5-V_68</t>
  </si>
  <si>
    <t>INSTRUMENT-ISSR_TYP</t>
  </si>
  <si>
    <t>issuer_type</t>
  </si>
  <si>
    <t>Other group entity refers to entities that are part of the same group as the bank (inter-affiliate exposures). Third party refers to external parties.</t>
  </si>
  <si>
    <t>Drop-down:
- Other group entity (1)
- Third party (2)</t>
  </si>
  <si>
    <t>5-V_67</t>
  </si>
  <si>
    <t>INSTRUMENT-ISSR_RTNG_SRC</t>
  </si>
  <si>
    <t>The name of the agency providing the rating. Include only those ratings from rating agencies that are specified in the securitisation documentation. In the event of multiple ratings, the sources should be separated by commas and their order be the same as the thresholds and ratings provided in other fields.</t>
  </si>
  <si>
    <t>Issuer data</t>
  </si>
  <si>
    <t>5-V_66</t>
  </si>
  <si>
    <t>INSTRUMENT-ISSR_RTNG</t>
  </si>
  <si>
    <t>Rating of the counterparty as of cut-off date.In the event of multiple ratings, these should be separated by comma, and the order should be the same that relating to the rating thresholds that are reported in field XYZ. If not rated, enter 'NR'.</t>
  </si>
  <si>
    <t>5-V_65</t>
  </si>
  <si>
    <t>5-V_64</t>
  </si>
  <si>
    <t>INSTRUMENT-ISSR_NACE_SCTR</t>
  </si>
  <si>
    <t>Sector according to NACE classification</t>
  </si>
  <si>
    <t>Drop-down based on ECB's Securities Holding Statistics (field CL_SHS_NACE)</t>
  </si>
  <si>
    <t>5-V_63</t>
  </si>
  <si>
    <t>INSTRUMENT-ISSR_ESA_2010</t>
  </si>
  <si>
    <t>European System of National and Regional Accounts (ESA) 2010 sector of the issuer.</t>
  </si>
  <si>
    <t>Drop-down based on ECB's Securities Holding Statistics (field CL_SHS_ISSUER_ESA_2010)</t>
  </si>
  <si>
    <t>INSTRUMENT-ISSR_CNTRY</t>
  </si>
  <si>
    <t>issuer_country</t>
  </si>
  <si>
    <t>The country code of the country where the registered office of the issuer is located. To be completed only where no ISIN has been provided</t>
  </si>
  <si>
    <t>Drop-down based on ECB's Securities Holding Statistics (field CL_SHS_ISSUER_AREA)</t>
  </si>
  <si>
    <t>5-V_62</t>
  </si>
  <si>
    <t>INSTRUMENT-ISSR_ID_TYP</t>
  </si>
  <si>
    <t>issuer_id_type</t>
  </si>
  <si>
    <t>Type of code used to identify the issuer (Legal entity)</t>
  </si>
  <si>
    <t>Drop-down based on ECB's Securities Holding Statistics (field CL_SHS_ID_Type)</t>
  </si>
  <si>
    <t>5-V_61</t>
  </si>
  <si>
    <t>INSTRUMENT-ISSR_ID</t>
  </si>
  <si>
    <t>Unique code (Legal Entity Identifier (LEI) where available) identifying the reporting counterparty (legal entity).</t>
  </si>
  <si>
    <t>5-V_60</t>
  </si>
  <si>
    <t>INSTRUMENT-ISIN</t>
  </si>
  <si>
    <t>International Securities Identification Number (ISIN)</t>
  </si>
  <si>
    <t>5-V_59</t>
  </si>
  <si>
    <t>Unique identifier for the debt security</t>
  </si>
  <si>
    <t>Financial contract ID</t>
  </si>
  <si>
    <t xml:space="preserve">Financial contract type </t>
  </si>
  <si>
    <t>5-V_58</t>
  </si>
  <si>
    <t xml:space="preserve">The risk weighted assets allocated to the instrument, according to Articles 92(3) and 92(4) of Regulation (EU) No 575/2013 (CRR), where applicable. </t>
  </si>
  <si>
    <t>4-V_5</t>
  </si>
  <si>
    <t>4-V_56</t>
  </si>
  <si>
    <t>V_56</t>
  </si>
  <si>
    <t>hierarchy</t>
  </si>
  <si>
    <t>Classification into the levels of IFRS 13 fair value hierarchy, where level 3 exposures are those for which valuation is based on unobservable model input parameters.</t>
  </si>
  <si>
    <t xml:space="preserve">Drop-down:
(1) Level 1
(2) Level 2
(3) Level 3
</t>
  </si>
  <si>
    <t>Hierarchy</t>
  </si>
  <si>
    <t>4-V_55</t>
  </si>
  <si>
    <t>V_55</t>
  </si>
  <si>
    <t>The accounting portfolio where the derivative is recorded in accordance with the accounting standard applied by the reporting counterparty.</t>
  </si>
  <si>
    <t>Drop-down:
(1) Trading book
(2) Non-trading book</t>
  </si>
  <si>
    <t>Accounting classification</t>
  </si>
  <si>
    <t>4-V_54</t>
  </si>
  <si>
    <t>V_54</t>
  </si>
  <si>
    <t>accounting_standard</t>
  </si>
  <si>
    <t>Applied accounting standard.</t>
  </si>
  <si>
    <t>Drop-down: 
(1) IRFS
(2) National GAAP</t>
  </si>
  <si>
    <t>Accounting standards</t>
  </si>
  <si>
    <t>4-V_53</t>
  </si>
  <si>
    <t>V_53</t>
  </si>
  <si>
    <t>Carrying amount of the derivative as reported in the last reported financial statements.</t>
  </si>
  <si>
    <t>4-V_52</t>
  </si>
  <si>
    <t>V_52</t>
  </si>
  <si>
    <t>netting_agreement</t>
  </si>
  <si>
    <t>If the financial contract is a part of a netting arrangement as defined in Article 2(1)(98) of Directive 2014/59/EU, a unique reference of the arrangement.</t>
  </si>
  <si>
    <t>Netting agreement</t>
  </si>
  <si>
    <t>Details on the transaction</t>
  </si>
  <si>
    <t>4-V_51</t>
  </si>
  <si>
    <t>V_51</t>
  </si>
  <si>
    <t>premium</t>
  </si>
  <si>
    <t>Premium paid on credit default swap (CDS) contract.</t>
  </si>
  <si>
    <t>Premium</t>
  </si>
  <si>
    <t>Specific information: credit derivatives</t>
  </si>
  <si>
    <t>4-V_49</t>
  </si>
  <si>
    <t>V_49</t>
  </si>
  <si>
    <t>leg_2_reference_period</t>
  </si>
  <si>
    <t>Reference period.</t>
  </si>
  <si>
    <t>Drop-down: 1d, 1w, 1M, 3M, 6M, 12M, 2Y, 3Y, etc</t>
  </si>
  <si>
    <t>Leg 2 reference period</t>
  </si>
  <si>
    <t xml:space="preserve">Specific information: interest rate derivatives
</t>
  </si>
  <si>
    <t>4-V_46</t>
  </si>
  <si>
    <t>V_46</t>
  </si>
  <si>
    <t>leg_1_reference_period</t>
  </si>
  <si>
    <t xml:space="preserve">Drop-down: 1d, 1w, 1M, 3M, 6M, 12M, 2Y, 3Y, etc </t>
  </si>
  <si>
    <t>Leg 1 reference period</t>
  </si>
  <si>
    <t>4-V_45</t>
  </si>
  <si>
    <t>V_45</t>
  </si>
  <si>
    <t>leg_2_reference_rate</t>
  </si>
  <si>
    <t>Rate to which the leg 2 payment is attached, e.g. 3M LIBOR USD, EUR, etc.</t>
  </si>
  <si>
    <t>Leg 2 reference rate</t>
  </si>
  <si>
    <t>Specific information: interest rate derivatives</t>
  </si>
  <si>
    <t>4-V_44</t>
  </si>
  <si>
    <t>V_44</t>
  </si>
  <si>
    <t>leg_1_reference_rate</t>
  </si>
  <si>
    <t>Rate to which the leg 1 payment is attached, e.g. 3M LIBOR USD, EUR, etc.</t>
  </si>
  <si>
    <t>Alphanumeric. Drop-down: EUR, LIBOR UK, LIBOR USD, etc</t>
  </si>
  <si>
    <t>Leg 1 reference rate</t>
  </si>
  <si>
    <t>4-V_43</t>
  </si>
  <si>
    <t>V_43</t>
  </si>
  <si>
    <t>It will be computed by reporting the cash flow corresponding to each of the settlement periods from the data date, as follows: 
a|b|c|d|e
    a: &lt;=30 days
    b: (30,90] days
    c: (90,365] days
    d: (365,1825] days
    e: &gt;1825 days</t>
  </si>
  <si>
    <t>leg_2_cash_flow</t>
  </si>
  <si>
    <t>Series of leg 2 cash flows (estimated) corresponding to settlement dates, including exchange of notional, if applicable. This should be reported as multidimensional i.e. one field containing a small data set (an array).</t>
  </si>
  <si>
    <t>Leg 2 cash flow</t>
  </si>
  <si>
    <t>Specific information derivatives</t>
  </si>
  <si>
    <t>4-V_42</t>
  </si>
  <si>
    <t>V_42</t>
  </si>
  <si>
    <t>leg_1_cash_flow</t>
  </si>
  <si>
    <t xml:space="preserve">Series of leg 1 cash flows (estimated) corresponding to settlement dates, including exchange of notional, if applicable. This should be reported as multidimensional i.e. one field containing a small data set (an array). </t>
  </si>
  <si>
    <t>Leg 1 cash flow</t>
  </si>
  <si>
    <t>4-V_41</t>
  </si>
  <si>
    <t>V_41</t>
  </si>
  <si>
    <t>collateral_received_currency</t>
  </si>
  <si>
    <t>Specify the currency of the collateral received.</t>
  </si>
  <si>
    <t>Currency of the collateral received</t>
  </si>
  <si>
    <t>Collateral information</t>
  </si>
  <si>
    <t>4-V_38</t>
  </si>
  <si>
    <t>V_38</t>
  </si>
  <si>
    <t>In case that a unique trade identifier had more than one collateral received, the equivalent values in euro will be summed</t>
  </si>
  <si>
    <t>collateral_received</t>
  </si>
  <si>
    <t>Value of the collateral received by the reporting counterparty to the other counterparty. Portfolio means the net collateral received calculated on the basis of net positions resulting from a set of contracts.</t>
  </si>
  <si>
    <t xml:space="preserve">Numeric (euro) </t>
  </si>
  <si>
    <t>Collateral received</t>
  </si>
  <si>
    <t>4-V_37</t>
  </si>
  <si>
    <t>V_37</t>
  </si>
  <si>
    <t>collateral_posted_currency</t>
  </si>
  <si>
    <t>Specify the currency of the collateral posted.</t>
  </si>
  <si>
    <t>Currency of the collateral posted</t>
  </si>
  <si>
    <t>4-V_34</t>
  </si>
  <si>
    <t>V_34</t>
  </si>
  <si>
    <t>In case that a unique trade identifier had more than one collateral posted, the equivalent values in euro will be summed</t>
  </si>
  <si>
    <t>collateral_posted</t>
  </si>
  <si>
    <t>Value of the collateral posted by the reporting counterparty to the other counterparty. Portfolio means the net collateral posted calculated on the basis of net positions resulting from a set of contracts.</t>
  </si>
  <si>
    <t>Collateral posted</t>
  </si>
  <si>
    <t>4-V_33</t>
  </si>
  <si>
    <t>V_33</t>
  </si>
  <si>
    <t>collateral_portfolio</t>
  </si>
  <si>
    <t>State whether the collateralisation was performed on a portfolio basis. Portfolio means the collateral calculated on the basis of net positions resulting from a set of contracts, rather than per trade.</t>
  </si>
  <si>
    <t xml:space="preserve">Drop-down:
- YES (1)
- NO (2)
</t>
  </si>
  <si>
    <t>Collateral portfolio</t>
  </si>
  <si>
    <t>4-V_32</t>
  </si>
  <si>
    <t>V_32</t>
  </si>
  <si>
    <t>contract_recogn_resolution</t>
  </si>
  <si>
    <t>The contractual term, if any, by which the creditor or party to the agreement creating the liability recognises the power of the resolution authority of a Member State to apply resolution powers other than write down and conversion / suspension. When such a contractual term is included in a master agreement and applies to all trades governed by this agreement, it can be recorded at the master agreement level.</t>
  </si>
  <si>
    <t>Contractual recognition – Resolution powers (only for contracts governed by third-country laws)</t>
  </si>
  <si>
    <t>Specific information</t>
  </si>
  <si>
    <t>4-V_31</t>
  </si>
  <si>
    <t>V_31</t>
  </si>
  <si>
    <t>contract_recogn_suspension</t>
  </si>
  <si>
    <t>The contractual term by which the creditor or party to the agreement creating the liability recognises the power of the resolution authority of a Member State to suspend termination rights. When such a contractual term is included in a master agreement and applies to all trades governed by this agreement, it can be recorded at the master agreement level.</t>
  </si>
  <si>
    <t>Contractual recognition – Suspension of termination rights (only for contracts governed by third-country laws) under Article 7 BRRD</t>
  </si>
  <si>
    <t>4-V_30</t>
  </si>
  <si>
    <t>V_30</t>
  </si>
  <si>
    <t>contract_recogn_write_down</t>
  </si>
  <si>
    <t>The contractual term required under Article 55(1) of the BRRD. When such a contractual term is included in a master agreement and applies to all trades governed by this agreement, it can be recorded at the master agreement level.</t>
  </si>
  <si>
    <t>Contractual recognition – Write down and conversion powers  (only for contracts governed by third-country laws subject to the requirement of the contractual terms under the first subparagraph of Article 55(1) of BRRD)</t>
  </si>
  <si>
    <t>4-V_29</t>
  </si>
  <si>
    <t>V_29</t>
  </si>
  <si>
    <t>4-V_28</t>
  </si>
  <si>
    <t>governing_law</t>
  </si>
  <si>
    <t>Identify the law governing the financial contract</t>
  </si>
  <si>
    <t>Governing law</t>
  </si>
  <si>
    <t>V_28</t>
  </si>
  <si>
    <t>product_id</t>
  </si>
  <si>
    <t>Product ID</t>
  </si>
  <si>
    <t>4-V_27</t>
  </si>
  <si>
    <t>V_27</t>
  </si>
  <si>
    <t>base_product</t>
  </si>
  <si>
    <t>Drop-down based on base product from ISDA OTC Derivatives Taxonomy v1.0:
- For Credit (1): Single Name (1.1); Index Tranche (1.2); Index (1.3); Total Return Swap (1.4); Total Return Swap Index (1.5); Exotic(1.6)
- For Interest Rate (2): IR Swap (2.1); FRA (2.2); CapFloor (2.3); Cross Currency (2.4); Forward (2.5); Option (2.6); Exotic (2.7); Swaptions (2.8)
- For Commodity (3): Metals (3.1); Energy (3.2); Index (3.3); Agricultural (3.4); Environmental (3.5); Freight (3.6); Multi Commodity Exotic (3.7)
- For Foreign Exchange (4): Spot (4.1); NDF (4.2); NDO (4.3); Forward (4.4); Vanilla Option (4.5); Simple Exotic (4.6); Complex Exotic (4.7)
- For Equity (5): Swap (5.1); Portfolio Swap (5.2); Contract for difference (5.3); Option (5.4); Forward (5.5); Other (5.6)</t>
  </si>
  <si>
    <t>Base product</t>
  </si>
  <si>
    <t>Exposure class</t>
  </si>
  <si>
    <t>4-V_26</t>
  </si>
  <si>
    <t>V_26</t>
  </si>
  <si>
    <t>counterparty_country</t>
  </si>
  <si>
    <t>The country code of the country where the registered office of the counterparty is located.</t>
  </si>
  <si>
    <t>Country of the counterparty</t>
  </si>
  <si>
    <t>4-V_25</t>
  </si>
  <si>
    <t>V_25</t>
  </si>
  <si>
    <t>counterparty_type_id</t>
  </si>
  <si>
    <t>Type of code used to identify the reporting counterparty.</t>
  </si>
  <si>
    <t xml:space="preserve">Type of ID of the counterparty of the reporting entity </t>
  </si>
  <si>
    <t>4-V_24</t>
  </si>
  <si>
    <t>V_24</t>
  </si>
  <si>
    <t>counterparty_id</t>
  </si>
  <si>
    <t>Code used to identify the reporting counterparty. Where a contract is concluding in a trading venue and cleared by a CCP such that a counterparty is not aware of the identity of the other counterparty, the entity must identify that CCP as its counterparty.</t>
  </si>
  <si>
    <t>Counterparty ID</t>
  </si>
  <si>
    <t>4-V_2</t>
  </si>
  <si>
    <t>V_2</t>
  </si>
  <si>
    <t>unique_trade_id</t>
  </si>
  <si>
    <t xml:space="preserve">As per EMIR revised ITS Article 4a. </t>
  </si>
  <si>
    <t>Until global UTI is available, up to 52 alphanumerical character code including four special characters : "". - _."". Special characters are not allowed at the beginning and at the end of the code. No space allowed.</t>
  </si>
  <si>
    <t>Unique trade identifier</t>
  </si>
  <si>
    <t>4-V_140</t>
  </si>
  <si>
    <t>V_140</t>
  </si>
  <si>
    <t>INSTR_PROTECTION-THRD_PRTY_PRRTY_CLMS</t>
  </si>
  <si>
    <t>thirdparty_claims_protection</t>
  </si>
  <si>
    <t>The maximum amount of any existing higher ranked liens with respect to third parties other than the observed agent against the protection.</t>
  </si>
  <si>
    <t>Numeric (euro)</t>
  </si>
  <si>
    <t>Third-party priority claims against the protection</t>
  </si>
  <si>
    <t>Lien</t>
  </si>
  <si>
    <t>3-V_218_RP</t>
  </si>
  <si>
    <t>V_218</t>
  </si>
  <si>
    <t>3.5. Off-balance - Instrument/Protection</t>
  </si>
  <si>
    <t>INSTR_PROTECTION-PRTCTN_ALLCTD_VL</t>
  </si>
  <si>
    <t>protection_allocated_value</t>
  </si>
  <si>
    <t>The maximum amount of the protection value that can be considered as credit protection for the instrument. The amount of the existing third parties or observed agent priority claims against the protection must be excluded in the protection allocated value.</t>
  </si>
  <si>
    <t>Protection allocated value</t>
  </si>
  <si>
    <t>3-V_217_RP</t>
  </si>
  <si>
    <t>V_217</t>
  </si>
  <si>
    <t>INSTR_PROTECTION-PRTCTN_ID</t>
  </si>
  <si>
    <t>protection_id</t>
  </si>
  <si>
    <t>An identifier applied to uniquely identify each protection/collateral used to secure the instrument.</t>
  </si>
  <si>
    <t>Protection identifier</t>
  </si>
  <si>
    <t>3-V_12_RP</t>
  </si>
  <si>
    <t>V_12</t>
  </si>
  <si>
    <t>instrument_id</t>
  </si>
  <si>
    <t>An identifier applied to uniquely identify each instrument. Each instrument must have one instrument identifier</t>
  </si>
  <si>
    <t>Instrument Identifier</t>
  </si>
  <si>
    <t xml:space="preserve">Identification information </t>
  </si>
  <si>
    <t>3-V_1_RP</t>
  </si>
  <si>
    <t>V_1</t>
  </si>
  <si>
    <t>INSTR_ENTITY-JNT_LBLTY_AMNT</t>
  </si>
  <si>
    <t>joint_liabilities_amount</t>
  </si>
  <si>
    <t>Outstanding nominal amount for which each debtor is liable in relation to a single instrument where there are two or more debtors.</t>
  </si>
  <si>
    <t>Joint liabilities amount</t>
  </si>
  <si>
    <t>Financial information</t>
  </si>
  <si>
    <t>3-V_167_RC</t>
  </si>
  <si>
    <t>V_167</t>
  </si>
  <si>
    <t>3.4. Off-balance - Instrument/Counterparty</t>
  </si>
  <si>
    <t>INSTR_ENTITY-ENTTY_ID</t>
  </si>
  <si>
    <t xml:space="preserve">Identifier applied to uniquely identify each counterparty. </t>
  </si>
  <si>
    <t>Counterparty Identifier</t>
  </si>
  <si>
    <t>3-V_2_RC</t>
  </si>
  <si>
    <t>3-V_1_RC</t>
  </si>
  <si>
    <t>Not applicable: To be reported as "11111111111". 
This information will be availabe in "03_05_off_INSTR_prot" table</t>
  </si>
  <si>
    <t>3-V_218</t>
  </si>
  <si>
    <t>3.3. Off-balance - Protections</t>
  </si>
  <si>
    <t>3-V_217</t>
  </si>
  <si>
    <t>V_221</t>
  </si>
  <si>
    <t>PROTECTION-PRTCTN_VLTN_APPRCH</t>
  </si>
  <si>
    <t>protection_val_approach</t>
  </si>
  <si>
    <t>Method used to determine the protection value.</t>
  </si>
  <si>
    <t>Drop-down:
- Mark-to-to-market valuation
- Counterparty estimation
- Creditor valuation
- Third party valuation</t>
  </si>
  <si>
    <t>Protection valuation approach</t>
  </si>
  <si>
    <t>3-V_221</t>
  </si>
  <si>
    <t>V_192</t>
  </si>
  <si>
    <t>PROTECTION-TYP_PRTCTN_VL</t>
  </si>
  <si>
    <t>type_protection_value</t>
  </si>
  <si>
    <t xml:space="preserve">The type of the reported value of the protection item as reported in the data attribute “protection value”.
</t>
  </si>
  <si>
    <t>Drop-down:
- Notional amount
- Fair value
- Market value
- Long-term sustainable value
- Other protection value</t>
  </si>
  <si>
    <t>Type of protection value</t>
  </si>
  <si>
    <t>3-V_192</t>
  </si>
  <si>
    <t>PROTECTION-DT_ORGNL_PRTCTN_VL</t>
  </si>
  <si>
    <t>date_original_protection_value</t>
  </si>
  <si>
    <t>The date on which the latest appraisal or valuation of the protection was carried out prior to its initial receipt as credit protection.</t>
  </si>
  <si>
    <t>Date of original protection value</t>
  </si>
  <si>
    <t>3-V_191</t>
  </si>
  <si>
    <t>V_191</t>
  </si>
  <si>
    <t>PROTECTION-ORGNL_PRTCTN_VL</t>
  </si>
  <si>
    <t>original_protection_value</t>
  </si>
  <si>
    <t>The monetary value of the protection item that was established at the date when the protection item was originally received as a credit protection.</t>
  </si>
  <si>
    <t>Original protection value</t>
  </si>
  <si>
    <t>3-V_190</t>
  </si>
  <si>
    <t>V_190</t>
  </si>
  <si>
    <t>PROTECTION-DT_MTRTY_PRTCTN</t>
  </si>
  <si>
    <t>maturity_date_protection</t>
  </si>
  <si>
    <t>The contractual maturity date of the protection, which is the earliest date at which the protection may terminate or be terminated, taking into account any agreements amending initial contracts.</t>
  </si>
  <si>
    <t>Maturity date of the protection</t>
  </si>
  <si>
    <t>Protection characteristics</t>
  </si>
  <si>
    <t>3-V_189</t>
  </si>
  <si>
    <t>V_189</t>
  </si>
  <si>
    <t>PROTECTION-PRTCTN_VL</t>
  </si>
  <si>
    <t>protection_value</t>
  </si>
  <si>
    <t xml:space="preserve">The amount of the protection value is the monetary value of the protection that was established at the latest valuation date </t>
  </si>
  <si>
    <t>Protection value</t>
  </si>
  <si>
    <t>3-V_220</t>
  </si>
  <si>
    <t>V_220</t>
  </si>
  <si>
    <t>PROTECTION-DT_PRTCTN_VL</t>
  </si>
  <si>
    <t>date_protection_value</t>
  </si>
  <si>
    <t>The date on which the latest appraisal or valuation of the protection was carried out prior to the reporting reference date.</t>
  </si>
  <si>
    <t>Date of protection value</t>
  </si>
  <si>
    <t>3-V_188</t>
  </si>
  <si>
    <t>V_188</t>
  </si>
  <si>
    <t>lien_position</t>
  </si>
  <si>
    <t xml:space="preserve">The highest ranking position(s) in relation to the collateral held by the counterparty to secure the facility. In case the facility has several liens on one collateral, the highest claim is reported in this data field. </t>
  </si>
  <si>
    <t xml:space="preserve">Numeric </t>
  </si>
  <si>
    <t>Lien position</t>
  </si>
  <si>
    <t>3-V_17</t>
  </si>
  <si>
    <t>V_17</t>
  </si>
  <si>
    <t>PROTECTION-RL_ESTT_PST_CD</t>
  </si>
  <si>
    <t>property_postcode</t>
  </si>
  <si>
    <t xml:space="preserve">Postcode where the property is located. Only applicable to Residential real estate collateral, Offices and commercial premises, Commercial real estate collateral, Hotels &amp; entertainment, Factories – warehouses. </t>
  </si>
  <si>
    <t>Property postcode</t>
  </si>
  <si>
    <t>Location</t>
  </si>
  <si>
    <t>3-V_16</t>
  </si>
  <si>
    <t>V_16</t>
  </si>
  <si>
    <t>land_area_m2</t>
  </si>
  <si>
    <t xml:space="preserve">Land area of the property in square meters, including any land surrounding the building(s) on the property that is part of the property. Only applicable to land. </t>
  </si>
  <si>
    <t>Land Area (M2)</t>
  </si>
  <si>
    <t>Size collateral</t>
  </si>
  <si>
    <t>3-V_15</t>
  </si>
  <si>
    <t>V_15</t>
  </si>
  <si>
    <t>building_area_m2</t>
  </si>
  <si>
    <t xml:space="preserve">Building area of the building in square metres. Only applicable to Residential real estate colalteral, Offices and commercial premises, Commercial real estate collateral, Hotels &amp; entertainement, Factories – warehouses. </t>
  </si>
  <si>
    <t>Building Area (M2)</t>
  </si>
  <si>
    <t>3-V_14</t>
  </si>
  <si>
    <t>V_14</t>
  </si>
  <si>
    <t>V_187</t>
  </si>
  <si>
    <t>PROTECTION-TYP_PRTCTN</t>
  </si>
  <si>
    <t>type_collateral</t>
  </si>
  <si>
    <t>The AnaCredit item “type of protection” (9.4.3. of the Anacredit Reporting Manual part II - Dataset and data attributes) provides a breakdown of collateral eligible in accordance with the CRR. The proposed breakdown adds several categories.</t>
  </si>
  <si>
    <t>Drop-down: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</si>
  <si>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Type of  collateral</t>
  </si>
  <si>
    <t>3-V_187</t>
  </si>
  <si>
    <t>PROTECTION-PRTCTN_PRVDR_ID</t>
  </si>
  <si>
    <t>protection_provider_id</t>
  </si>
  <si>
    <t>The protection provider identifier is the counterparty identifier of the counterparty that grants protection against a contractually agreed negative credit event and that is obliged to make payments to the creditor if the debtor fails to meet the obligation to make repayments arising under the instrument secured by the protection item.</t>
  </si>
  <si>
    <t>Protection provider identifier</t>
  </si>
  <si>
    <t>3-V_219</t>
  </si>
  <si>
    <t>V_219</t>
  </si>
  <si>
    <t>Not applicable: To be reported as "N/A". 
This information will be availabe in "03_05_off_INSTR_prot" table</t>
  </si>
  <si>
    <t>3-V_1_P</t>
  </si>
  <si>
    <t>PROTECTION-PRTCTN_ID</t>
  </si>
  <si>
    <t>3-V_12</t>
  </si>
  <si>
    <t>V_216</t>
  </si>
  <si>
    <t>ENTITY-ACCNTNG_FRMWRK_SL</t>
  </si>
  <si>
    <t>Accounting standard used by the observed agent’s legal entity.</t>
  </si>
  <si>
    <t>Drop-down:
- IFRS
- National GAAP consistent with IFRS
- National GAAP not consistent with IFRS</t>
  </si>
  <si>
    <t>Accounting standard</t>
  </si>
  <si>
    <t>3-V_216</t>
  </si>
  <si>
    <t>3.2. Off-balance - Counterparties</t>
  </si>
  <si>
    <t>ENTITY-ANNL_TRNVR_LE</t>
  </si>
  <si>
    <t>annual_turnover</t>
  </si>
  <si>
    <t xml:space="preserve">The annual sales volume net of all discounts and sales taxes of the counterparty in accordance with Recommendation 2003/361/EC. </t>
  </si>
  <si>
    <t>Numeric in euro</t>
  </si>
  <si>
    <t>Annual turnover</t>
  </si>
  <si>
    <t>3-V_215</t>
  </si>
  <si>
    <t>V_215</t>
  </si>
  <si>
    <t>balance_sheet_total</t>
  </si>
  <si>
    <t>The carrying value of the counterparty’s total assets in accordance with Regulation (EU) No 549/2013.</t>
  </si>
  <si>
    <t>Numeric (the carrying value of the counterparty's total assets referring to the latest approved accounting period of the legal entity)</t>
  </si>
  <si>
    <t>Balance sheet total</t>
  </si>
  <si>
    <t>3-V_214</t>
  </si>
  <si>
    <t>V_214</t>
  </si>
  <si>
    <t>number_employees</t>
  </si>
  <si>
    <t>Number of employees working for the counterparty, in accordance with Article 5 of the Annex to Recommendation 2003/361/EC.</t>
  </si>
  <si>
    <t>Number of employees</t>
  </si>
  <si>
    <t>Counterparty characteristics</t>
  </si>
  <si>
    <t>3-V_213</t>
  </si>
  <si>
    <t>V_213</t>
  </si>
  <si>
    <t>date_enterprise_size</t>
  </si>
  <si>
    <t>The date to which the value provided in the “enterprise size” refers. This is the date of the latest data used to classify or review the classification of the enterprise.</t>
  </si>
  <si>
    <t>Date of enterprise size</t>
  </si>
  <si>
    <t>3-V_212</t>
  </si>
  <si>
    <t>V_212</t>
  </si>
  <si>
    <t>V_211</t>
  </si>
  <si>
    <t>ENTITY-ENTRPRS_SZ_LE</t>
  </si>
  <si>
    <t>enterprise_size</t>
  </si>
  <si>
    <t>The classification of enterprises by size, in accordance with the Annex to Commission Recommendation 2003/361/EC.</t>
  </si>
  <si>
    <t>Drop-down:
- Large enterprise
- Medium enterprise
- Small enterprise
- Microenterprise</t>
  </si>
  <si>
    <t>Enterprise size</t>
  </si>
  <si>
    <t>3-V_211</t>
  </si>
  <si>
    <t>ENTITY-DT_INTTN_LGL_PRCDNGS_LE</t>
  </si>
  <si>
    <t>date_init_legal_proceedings</t>
  </si>
  <si>
    <t>The date on which the legal proceedings, as reported under the attribute “status of legal proceedings”, were initiated. This date should be the most recent relevant date prior to the reporting date.</t>
  </si>
  <si>
    <t>Date of initiation of legal proceedings</t>
  </si>
  <si>
    <t>Default information</t>
  </si>
  <si>
    <t>3-V_210</t>
  </si>
  <si>
    <t>V_210</t>
  </si>
  <si>
    <t>V_209</t>
  </si>
  <si>
    <t>ENTITY-LGL_PRCDNG_STTS_LE</t>
  </si>
  <si>
    <t>status_legal_proceedings</t>
  </si>
  <si>
    <t>The status of legal proceedings covers the categories describing a counterparty’s legal status in relation to its solvency based on the national legal framework. The NCB should transpose these values (listed below) into the national legal framework.</t>
  </si>
  <si>
    <t>Drop-down:
- No legal actions taken
- Under judicial administration, receivership or similar measures
- Bankruptcy/insolvency
- Other legal measures</t>
  </si>
  <si>
    <t>Status of legal proceedings</t>
  </si>
  <si>
    <t>3-V_209</t>
  </si>
  <si>
    <t>V_208</t>
  </si>
  <si>
    <t>ENTITY-ECNMC_ACTVTY</t>
  </si>
  <si>
    <t>economic_activity</t>
  </si>
  <si>
    <t>Economic activity is a classification of counterparties according to their economic activities, in accordance with the NACE revision 2 statistical classification as laid down in Regulation (EC) No 1893/2006 of the European Parliament and of the Council.</t>
  </si>
  <si>
    <t>Drop-down: NACE code: a level two, three or four NACE code in accordance with Regulation (EC) No 1893/2006.</t>
  </si>
  <si>
    <t>Economic activity</t>
  </si>
  <si>
    <t>3-V_208</t>
  </si>
  <si>
    <t>V_207</t>
  </si>
  <si>
    <t>institutional_sector</t>
  </si>
  <si>
    <t>Institutional sectors in accordance with Regulation (EU) No 549/2013, Regulation (EU) No 575/2013 and Regulation (EU) No 1075/2013 of the European Central Bank (ECB/2013/40).</t>
  </si>
  <si>
    <t xml:space="preserve">Drop-down:
- Non-financial corporations,
- Central Bank,
- Credit institutions,
- Deposit-taking corporations other than credit institutions,
- Money market funds (MMF),
- Non-MMF Investment funds, 
-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
- Financial auxilliaries,
- Captive  financial institutions and money lenders, 
- Insurance corporations,
- Pension funds,
- Central government,
- State government,
- Local government,
- Social security funds,
- Non-profit institutions serving households </t>
  </si>
  <si>
    <t>Institutional sector</t>
  </si>
  <si>
    <t>3-V_207</t>
  </si>
  <si>
    <t>V_206</t>
  </si>
  <si>
    <t>legal_form</t>
  </si>
  <si>
    <t xml:space="preserve">The type of business entity as defined in the national legal system. </t>
  </si>
  <si>
    <t>Drop-down</t>
  </si>
  <si>
    <t>Legal form</t>
  </si>
  <si>
    <t>3-V_206</t>
  </si>
  <si>
    <t>ENTITY-CNTRY</t>
  </si>
  <si>
    <t>address_country</t>
  </si>
  <si>
    <t>The counterparty’s country.</t>
  </si>
  <si>
    <t>Drop-down (ISO 3166-1 alpha-2 codes: ISO 3166-1 alpha-2 code of the country).</t>
  </si>
  <si>
    <t>Address: country</t>
  </si>
  <si>
    <t>Location information</t>
  </si>
  <si>
    <t>3-V_205</t>
  </si>
  <si>
    <t>V_205</t>
  </si>
  <si>
    <t>address_county_adm_div</t>
  </si>
  <si>
    <t>The county or similar administrative division of counterparties resident in European Union Member States as per NUTS 3 classification.</t>
  </si>
  <si>
    <t>Address: county/administrative division</t>
  </si>
  <si>
    <t>3-V_204</t>
  </si>
  <si>
    <t>V_204</t>
  </si>
  <si>
    <t>address_postal_code</t>
  </si>
  <si>
    <t>The counterparty’s postal code.</t>
  </si>
  <si>
    <t>Address: postal code</t>
  </si>
  <si>
    <t>3-V_203</t>
  </si>
  <si>
    <t>V_203</t>
  </si>
  <si>
    <t>address_city_town_village</t>
  </si>
  <si>
    <t>The counterparty’s city, town or village.</t>
  </si>
  <si>
    <t>Address: city/town/village</t>
  </si>
  <si>
    <t>3-V_202</t>
  </si>
  <si>
    <t>V_202</t>
  </si>
  <si>
    <t>address_street</t>
  </si>
  <si>
    <t>The counterparty’s street address, including the street number.</t>
  </si>
  <si>
    <t>Address: street</t>
  </si>
  <si>
    <t>3-V_201</t>
  </si>
  <si>
    <t>V_201</t>
  </si>
  <si>
    <t>ENTITY-ENTTY_NM</t>
  </si>
  <si>
    <t>name</t>
  </si>
  <si>
    <t>The full legal name of the counterparty.</t>
  </si>
  <si>
    <t>Name</t>
  </si>
  <si>
    <t>3-V_200</t>
  </si>
  <si>
    <t>V_200</t>
  </si>
  <si>
    <t>ultimate_parent_undertaking_id</t>
  </si>
  <si>
    <t>The ultimate parent undertaking identifier is the counterparty identifier for the domestic part of the legal entity which is the ultimate parent undertaking of the counterparty.</t>
  </si>
  <si>
    <t>Ultimate parent undertaking identifier</t>
  </si>
  <si>
    <t>3-V_199</t>
  </si>
  <si>
    <t>V_199</t>
  </si>
  <si>
    <t>immediate_parent_undertaking_id</t>
  </si>
  <si>
    <t>The immediate parent undertaking identifier is the counterparty identifier for the domestic part of the legal entity which is the immediate parent undertaking of the counterparty.</t>
  </si>
  <si>
    <t>Immediate parent undertaking identifier</t>
  </si>
  <si>
    <t>3-V_198</t>
  </si>
  <si>
    <t>V_198</t>
  </si>
  <si>
    <t>head_office_undertaking_id</t>
  </si>
  <si>
    <t>The head office undertaking identifier is the counterparty identifier of the domestic part of the legal entity of which the institutional unit is a legally dependent part.</t>
  </si>
  <si>
    <t>Head office undertaking identifier</t>
  </si>
  <si>
    <t>3-V_197</t>
  </si>
  <si>
    <t>V_197</t>
  </si>
  <si>
    <t>ENTITY-TAX_ID</t>
  </si>
  <si>
    <t>national_id</t>
  </si>
  <si>
    <t>A national identifier is a commonly used identification code which enables the unambiguous identification of a counterparty or of the legal entity of which the counterparty forms part within its country of residency.</t>
  </si>
  <si>
    <t>National identifier</t>
  </si>
  <si>
    <t>3-V_196</t>
  </si>
  <si>
    <t>V_196</t>
  </si>
  <si>
    <t>ENTITY-LEI</t>
  </si>
  <si>
    <t>The legal entity identifier (LEI) is the counterparty identifier assigned in accordance with the International Organization for Standardization (ISO) 17442 standard.</t>
  </si>
  <si>
    <t>Legal entity identifier (LEI)</t>
  </si>
  <si>
    <t>3-V_195</t>
  </si>
  <si>
    <t>V_195</t>
  </si>
  <si>
    <t>ENTITY-DT_DFLT_STTS</t>
  </si>
  <si>
    <t>date_default_status_counterparty</t>
  </si>
  <si>
    <t>The date on which the default status, as reported in the data attribute “Default status of the counterparty”, is considered to have arisen.</t>
  </si>
  <si>
    <t>Date of the default status of the counterparty</t>
  </si>
  <si>
    <t>3-V_186</t>
  </si>
  <si>
    <t>V_186</t>
  </si>
  <si>
    <t>V_185</t>
  </si>
  <si>
    <t>ENTITY-DFLT_STTS</t>
  </si>
  <si>
    <t>default_status_counterparty</t>
  </si>
  <si>
    <t>Identification of the default status of the counterparty. Categories describing
the motives for which the counterparty can be in default in accordance with Article 178
of Regulation (EU) No 575/2013.</t>
  </si>
  <si>
    <t>Drop-down:
- Not in default
- Default because unlikely to pay
- Default because more than 90/180 days past due
- Default because both unlikely to pay and more than 90/180 days past due</t>
  </si>
  <si>
    <t>Default status of the counterparty</t>
  </si>
  <si>
    <t>3-V_185</t>
  </si>
  <si>
    <t>probability_default_others</t>
  </si>
  <si>
    <t xml:space="preserve">Applicable only to institutions neither using models for estimating IFRS 9 impairments nor CRR IRB models. These institutions should maintain records of probabilities of default or scores provided by scoring/rating models. In the case of PDs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PDs which is to be reported. </t>
  </si>
  <si>
    <t>Probability of default (others)</t>
  </si>
  <si>
    <t>3-V_11</t>
  </si>
  <si>
    <t>V_11</t>
  </si>
  <si>
    <t>ENTITY-PD_IFRS9_12M_RD</t>
  </si>
  <si>
    <t>ifrs9_prob_default_impairment</t>
  </si>
  <si>
    <t>The probability of default/impairment is calculated in accordance with the requirements specific to probability of default (PD) estimation as laid down in the accounting framework. If PDs are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 which is to be reported</t>
  </si>
  <si>
    <t>IFRS 9 Probability of default/impairment</t>
  </si>
  <si>
    <t>3-V_10</t>
  </si>
  <si>
    <t>V_10</t>
  </si>
  <si>
    <t>V_9</t>
  </si>
  <si>
    <t>ENTITY-EXTRNL_RTNG</t>
  </si>
  <si>
    <t>external_credit_rating</t>
  </si>
  <si>
    <t>External credit rating issued to the Counterparty (if any)</t>
  </si>
  <si>
    <t>External Credit Rating</t>
  </si>
  <si>
    <t>3-V_9</t>
  </si>
  <si>
    <t>ENTITY-INTRNL_RTNG</t>
  </si>
  <si>
    <t>internal_credit_rating</t>
  </si>
  <si>
    <t>Internal credit rating/scoring issued to the Counterparty.</t>
  </si>
  <si>
    <t>Numeric/Alphanumeric</t>
  </si>
  <si>
    <t>Current Internal Credit Rating/Scoring</t>
  </si>
  <si>
    <t>3-V_8</t>
  </si>
  <si>
    <t>V_8</t>
  </si>
  <si>
    <t>ENTITY-PD_CRR_RD</t>
  </si>
  <si>
    <t>probability_default</t>
  </si>
  <si>
    <t>The counterparty’s probability of default over one year, determined in accordance with Articles 160, 163, 179 and 180 of Regulation (EU) No 575/2013. The probability of default (PD) is in accordance with the requirements specific to PD estimation as laid down in the CRR. In the case of PDs produced at the instrument level only (the so-called product PD), the counterparty PD is reported as the exposure weighted average PD of all instruments of the counterparty. If, for a given counterparty, a PD is estimated for both the counterparty and (some of) the products of the counterparty, the counterparty’s PD is to be reported.</t>
  </si>
  <si>
    <t>Numeric. Basis points</t>
  </si>
  <si>
    <t>Probability of default</t>
  </si>
  <si>
    <t>3-V_139_B</t>
  </si>
  <si>
    <t>V_139</t>
  </si>
  <si>
    <t>ENTITY-ENTTY_ID</t>
  </si>
  <si>
    <t>3-V_2_C</t>
  </si>
  <si>
    <t>INSTRUMENT-DT_FRBRNC_STTS</t>
  </si>
  <si>
    <t>date_status_forbearance_reneg</t>
  </si>
  <si>
    <t>The date on which a forbearance or renegotiation status as reported under “status of forbearance and renegotiation” is considered to have occurred.</t>
  </si>
  <si>
    <t>Date of the forbearance and renegotiation status</t>
  </si>
  <si>
    <t>Forbearance information</t>
  </si>
  <si>
    <t>3-V_179</t>
  </si>
  <si>
    <t>V_179</t>
  </si>
  <si>
    <t>3.1. Off-balance - Instruments</t>
  </si>
  <si>
    <t>V_178</t>
  </si>
  <si>
    <t>INSTRUMENT-FRBRNC_STTS_INSTRMNT</t>
  </si>
  <si>
    <t>status_forbearance_reneg</t>
  </si>
  <si>
    <t>Identification of forborne and renegotiated instruments.</t>
  </si>
  <si>
    <t xml:space="preserve">Drop-down:
- Forborne: instruments with modified interest rate below market conditions
- Forborne: instruments with other modified terms and conditions
- Forborne: totally or partially refinanced debt
- Renegotiated instrument without forbearance measures 
- Not forborne or renegotiated
</t>
  </si>
  <si>
    <t>Status of forbearance and renegotiation</t>
  </si>
  <si>
    <t>3-V_178</t>
  </si>
  <si>
    <t>INSTRUMENT-DT_PRFRMNG_STTS</t>
  </si>
  <si>
    <t>date_perform_status_instrument</t>
  </si>
  <si>
    <t>The date on which the performing status as reported in “performing status of the instrument” is considered to have been established or changed.</t>
  </si>
  <si>
    <t>Date of the performing status of the instrument</t>
  </si>
  <si>
    <t>3-V_176</t>
  </si>
  <si>
    <t>V_176</t>
  </si>
  <si>
    <t>V_175</t>
  </si>
  <si>
    <t>perform_status_instrument</t>
  </si>
  <si>
    <t>The instrument is to be classified on the reporting reference date under one of the following categories: performing or non-performing, in accordance with Implementing Regulation (EU) No 680/2014.</t>
  </si>
  <si>
    <t xml:space="preserve">Drop-down:
- Non-performing
- Performing
</t>
  </si>
  <si>
    <t>3-V_175</t>
  </si>
  <si>
    <t>V_173</t>
  </si>
  <si>
    <t>INSTRUMENT-IMPRMNT_ASSSSMNT_MTHD</t>
  </si>
  <si>
    <t>impairment_assessment_method</t>
  </si>
  <si>
    <t>The method by which the impairment is assessed, if the instrument is subject to impairment in accordance with applied accounting standards.</t>
  </si>
  <si>
    <t>Drop-down:
- Individually assessed
- Collectively assessed</t>
  </si>
  <si>
    <t>Impairment assessment method</t>
  </si>
  <si>
    <t>3-V_173</t>
  </si>
  <si>
    <t>V_172</t>
  </si>
  <si>
    <t>INSTRUMENT-IMPRMNT_STTS</t>
  </si>
  <si>
    <t>type_impairment</t>
  </si>
  <si>
    <t>This data attribute indicates the type of impairment to which the instrument is subject</t>
  </si>
  <si>
    <t xml:space="preserve">Drop-down:
- Stage 1 (IFRS)
- Stage 2 (IFRS)
- Stage 3 (IFRS)
- General allowances (GAAP)
- Specific allowances (GAAP)
</t>
  </si>
  <si>
    <t>Type of impairment</t>
  </si>
  <si>
    <t>3-V_172</t>
  </si>
  <si>
    <t>INSTRUMENT-ACCMLTD_IMPRMNT_INSTRMNT</t>
  </si>
  <si>
    <t>accum_impairment_amount</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</si>
  <si>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(i)loss allowance at an amount equal to 12-month expected credit losses;
(ii) loss allowance at an amount equal to lifetime expected credit losses.
Under GAAP, the accumulated impairment relates to the following amounts:
(i)loss allowance at an amount equal to general allowances;
(ii) loss allowance at an amount equal to specific allowances.</t>
  </si>
  <si>
    <t>Accumulated impairment amount</t>
  </si>
  <si>
    <t>3-V_171</t>
  </si>
  <si>
    <t>V_171</t>
  </si>
  <si>
    <t>Not applicable: To be reported as "11111111111". 
This information will be availabe in "03_04_off_INSTR_count" table</t>
  </si>
  <si>
    <t>3-V_167</t>
  </si>
  <si>
    <t>INSTRUMENT-DT_PST_D</t>
  </si>
  <si>
    <t>date_past_due_instrument</t>
  </si>
  <si>
    <t>The date on which the instrument became past due in accordance with Part 2.96 of Annex V to the amended Implementing Regulation (EU) No 680/2014.</t>
  </si>
  <si>
    <t>Date of past due for the instrument</t>
  </si>
  <si>
    <t>3-V_162</t>
  </si>
  <si>
    <t>V_162</t>
  </si>
  <si>
    <t>INSTRUMENT-ARRRS_INSTRMNT</t>
  </si>
  <si>
    <t>arrears_instrument</t>
  </si>
  <si>
    <t>Aggregated amount of the principal, interest and any fee payment outstanding at the reporting date, which is contractually due and has not been paid (past due).</t>
  </si>
  <si>
    <t>Arrears for the instrument</t>
  </si>
  <si>
    <t>3-V_161</t>
  </si>
  <si>
    <t>V_161</t>
  </si>
  <si>
    <t>INSTRUMENT-DT_DFLT_STTS_INSTRMNT</t>
  </si>
  <si>
    <t>date_default_status_instrument</t>
  </si>
  <si>
    <t>The date on which the default status, as reported in the data attribute “default status of the instrument”, is considered to have occurred.</t>
  </si>
  <si>
    <t>Date of the default status of the instrument</t>
  </si>
  <si>
    <t>3-V_159</t>
  </si>
  <si>
    <t>V_159</t>
  </si>
  <si>
    <t>V_158</t>
  </si>
  <si>
    <t>INSTRUMENT-DFLT_STTS_INSTRMNT</t>
  </si>
  <si>
    <t>default_status_instrument</t>
  </si>
  <si>
    <t>Identification of the default status of the instrument. Categories describing the situations in which an instrument can be described as being at default in accordance with Article 178 of Regulation (EU) No 575/2013.</t>
  </si>
  <si>
    <t>Drop down: 
- Not in default
- Default because unlikely to pay (not more than 90/180 days past due) 
- Default because more than 90/180 days past due 
- Default because both unlikely to pay and more than 90/180 days past due.</t>
  </si>
  <si>
    <t>Default status of the instrument</t>
  </si>
  <si>
    <t>3-V_158</t>
  </si>
  <si>
    <t>nominal_interest_rate_fee</t>
  </si>
  <si>
    <t>Notional interest rate or fee as agreed and payable</t>
  </si>
  <si>
    <t>Nominal interest rate or fee</t>
  </si>
  <si>
    <t>3-V_225</t>
  </si>
  <si>
    <t>V_225</t>
  </si>
  <si>
    <t>Expiry date</t>
  </si>
  <si>
    <t>Maturity / expiry date</t>
  </si>
  <si>
    <t>3-V_224</t>
  </si>
  <si>
    <t>V_224</t>
  </si>
  <si>
    <t>INSTRUMENT-OFF_BLNC_SHT_AMNT_INSTRMNT</t>
  </si>
  <si>
    <t>nominal_amount</t>
  </si>
  <si>
    <t xml:space="preserve">Total nominal amount of off-balance-sheet exposure under IFRS 9. </t>
  </si>
  <si>
    <t>Nominal amount</t>
  </si>
  <si>
    <t>3-V_223</t>
  </si>
  <si>
    <t>V_223</t>
  </si>
  <si>
    <t>INSTRUMENT-IFRS9_LGD</t>
  </si>
  <si>
    <t>ifrs9_loss_given_default</t>
  </si>
  <si>
    <t xml:space="preserve">Current level of the ‘Loss given default’ of the loan determined for accounting purposes. </t>
  </si>
  <si>
    <t>IFRS 9 Loss given default</t>
  </si>
  <si>
    <t>3-V_7</t>
  </si>
  <si>
    <t>V_7</t>
  </si>
  <si>
    <t>INSTRUMENT-LGD</t>
  </si>
  <si>
    <t>crr_loss_given_default</t>
  </si>
  <si>
    <t>Current level of the 'Loss given default' of the loan, determined in accordance with Articles 161, 164, 179 and 181 of Regulation (EU) No 575/2013</t>
  </si>
  <si>
    <t>CRR Loss given default</t>
  </si>
  <si>
    <t>3-V_6</t>
  </si>
  <si>
    <t>V_6</t>
  </si>
  <si>
    <t>The total risk exposure amount of the instrument, calculated according to Articles 92(3) and 92(4) of Regulation (EU) No 575/2013 (CRR), where applicable</t>
  </si>
  <si>
    <t>Numeric (euros)</t>
  </si>
  <si>
    <t>3-V_5</t>
  </si>
  <si>
    <t>INSTRUMENT-CCF</t>
  </si>
  <si>
    <t>credit_conversion_factor</t>
  </si>
  <si>
    <t>Credit conversion factor as defined by the CRR</t>
  </si>
  <si>
    <t>Credit conversion factor</t>
  </si>
  <si>
    <t>3-V_23</t>
  </si>
  <si>
    <t>V_23</t>
  </si>
  <si>
    <t>V_4</t>
  </si>
  <si>
    <t>finrep_exposure_class</t>
  </si>
  <si>
    <t>Classification of the facility (exposure class) as defined in ITS 680/2014  Annex V Instructions FINREP (Counterparty breakdown)</t>
  </si>
  <si>
    <t>Drop-down:
- Central banks
- Central governments
- Credit institutions
- Other financial corporations
- Non-financial corporations
- Households</t>
  </si>
  <si>
    <t>FINREP Exposure class</t>
  </si>
  <si>
    <t>3-V_4</t>
  </si>
  <si>
    <t>crr_exposure_class</t>
  </si>
  <si>
    <r>
      <t xml:space="preserve">The exposures classes for the calculation of RWAs for credit risks are as follows (not applicable when exposures are classified in the CRR trading book as defined in Article 4(1)(86) of Regulation (EU) No 575/2013):
</t>
    </r>
    <r>
      <rPr>
        <b/>
        <sz val="10"/>
        <rFont val="Calibri"/>
        <family val="2"/>
        <scheme val="minor"/>
      </rPr>
      <t xml:space="preserve">Where a bank uses the standardised approach: </t>
    </r>
    <r>
      <rPr>
        <sz val="10"/>
        <rFont val="Calibri"/>
        <family val="2"/>
        <scheme val="minor"/>
      </rPr>
      <t xml:space="preserve">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securitisation positions
- Institutions and corporates with a short term credit assessment (SSHOTER) 
- Collective investment undertakings (SCOLINV) 
- Equity (SEQUITY) 
- Other (SOTHERI) 
</t>
    </r>
    <r>
      <rPr>
        <b/>
        <sz val="10"/>
        <rFont val="Calibri"/>
        <family val="2"/>
        <scheme val="minor"/>
      </rPr>
      <t xml:space="preserve">Where a bank uses the IRB approach: </t>
    </r>
    <r>
      <rPr>
        <sz val="10"/>
        <rFont val="Calibri"/>
        <family val="2"/>
        <scheme val="minor"/>
      </rPr>
      <t xml:space="preserve">
- Central governments and central banks (ICENGOV)
- Institutions (IINSTIT)
- Corporates (ICORPOR)
- Retail (IRETAIL) 
- Equity (IEQUITY) 
- Items representing securitisation positions
- Other non-credit-obligation assets (IOTHERC)</t>
    </r>
  </si>
  <si>
    <t>Drop-down based on classification of the facility using exposure class as described in Article 112 of Regulation (EU) No 575/2013 (for banks using the standardised approach) and Article 147 of
Regulation (EU) No 575/2013 (for banks using the IRB approach)</t>
  </si>
  <si>
    <t>CRR Exposure class</t>
  </si>
  <si>
    <t>3-V_3</t>
  </si>
  <si>
    <t>V_3</t>
  </si>
  <si>
    <t>V_222</t>
  </si>
  <si>
    <t>type</t>
  </si>
  <si>
    <t>Type of commitment or guarantee as per FINREP classification</t>
  </si>
  <si>
    <t>Drop-down:
- Loan commitments given
- Financial guarantees given
- Other commitments given</t>
  </si>
  <si>
    <t>Type</t>
  </si>
  <si>
    <t>3-V_222</t>
  </si>
  <si>
    <t>INSTRUMENT-CNTRCT_ID</t>
  </si>
  <si>
    <t>contract_id</t>
  </si>
  <si>
    <r>
      <t xml:space="preserve">An identifier applied by the reporting agent to uniquely identify </t>
    </r>
    <r>
      <rPr>
        <b/>
        <sz val="10"/>
        <rFont val="Calibri"/>
        <family val="2"/>
        <scheme val="minor"/>
      </rPr>
      <t>each contract</t>
    </r>
    <r>
      <rPr>
        <sz val="10"/>
        <rFont val="Calibri"/>
        <family val="2"/>
        <scheme val="minor"/>
      </rPr>
      <t>. The contract identifier refers to the credit agreement between two or more parties under which the instrument is created.</t>
    </r>
  </si>
  <si>
    <t>Contract identifier</t>
  </si>
  <si>
    <t>3-V_141</t>
  </si>
  <si>
    <t>V_141</t>
  </si>
  <si>
    <t>INSTRUMENT-OBSRVD_AGNT_ID</t>
  </si>
  <si>
    <t>observed_agent_id</t>
  </si>
  <si>
    <t>The observed agent identifier is the counterparty identifier of the observed agent (i.e. an institutional unit of the reporting agent) whose data are reported by the reporting agent.</t>
  </si>
  <si>
    <t>Observed agent identifier</t>
  </si>
  <si>
    <t>3-V_140</t>
  </si>
  <si>
    <t>INSTRUMENT-COD_SOC</t>
  </si>
  <si>
    <t>reporting_data_id</t>
  </si>
  <si>
    <t>The reporting agent identifier is the counterparty identifier of the reporting agent which reports the data.</t>
  </si>
  <si>
    <t>Reporting data identifier</t>
  </si>
  <si>
    <t>3-V_139_A</t>
  </si>
  <si>
    <t>Not applicable: To be reported as "N/A". 
This information will be availabe in "03_04_off_INSTR_count" table</t>
  </si>
  <si>
    <t>3-V_2_I</t>
  </si>
  <si>
    <t>3-V_1_I</t>
  </si>
  <si>
    <t>2-V_194_RP</t>
  </si>
  <si>
    <t>V_194</t>
  </si>
  <si>
    <t>2.5. Natural - Instrument/Protection</t>
  </si>
  <si>
    <t>2-V_193_RP</t>
  </si>
  <si>
    <t>V_193</t>
  </si>
  <si>
    <t>2-V_12_RP</t>
  </si>
  <si>
    <t>2-V_1_RP</t>
  </si>
  <si>
    <t>V_184</t>
  </si>
  <si>
    <t>counterparty_role</t>
  </si>
  <si>
    <t>The roles that counterparties assume in relation to an instrument recorded in the instrument dataset are recorded in the counterparty-instrument dataset.</t>
  </si>
  <si>
    <t>Drop-down:
- Creditor
- Debtor
- Servicer
- Originator</t>
  </si>
  <si>
    <t>Counterparty role</t>
  </si>
  <si>
    <t>2-V_184_RC</t>
  </si>
  <si>
    <t>2.4. Natural - Instrument/Counterparty</t>
  </si>
  <si>
    <t>2-V_167_RC</t>
  </si>
  <si>
    <t>2-V_2_RC</t>
  </si>
  <si>
    <t>2-V_1_RC</t>
  </si>
  <si>
    <t>Not applicable: To be reported as "11111111111". 
This information will be availabe in "02_05_nat_INSTR_prot" table</t>
  </si>
  <si>
    <t>2-V_194</t>
  </si>
  <si>
    <t>2.3. Natural - Protections</t>
  </si>
  <si>
    <t>2-V_193</t>
  </si>
  <si>
    <t>2-V_221</t>
  </si>
  <si>
    <t>2-V_192</t>
  </si>
  <si>
    <t>2-V_191</t>
  </si>
  <si>
    <t>2-V_190</t>
  </si>
  <si>
    <t>2-V_189</t>
  </si>
  <si>
    <t>2-V_220</t>
  </si>
  <si>
    <t>The date on which the latest appraisal or valuation of the protection was carried out prior to the reporting reference date, i.e. the date on which the amount reported in the attribute “protection value” of the value type reported in the attribute “type of protection value” was established under the valuation method reported in the attribute protection valuation approach.</t>
  </si>
  <si>
    <t>2-V_188</t>
  </si>
  <si>
    <t>2-V_17</t>
  </si>
  <si>
    <t>2-V_16</t>
  </si>
  <si>
    <t xml:space="preserve">Land area of the property in square metres, including any land surrounding the building(s) on the property that is part of the property. </t>
  </si>
  <si>
    <t>2-V_15</t>
  </si>
  <si>
    <t>2-V_14</t>
  </si>
  <si>
    <t>2-V_187</t>
  </si>
  <si>
    <t>Not applicable: To be reported as "N/A". 
This information will be availabe in "02_05_nat_INSTR_prot" table</t>
  </si>
  <si>
    <t>2-V_1_P</t>
  </si>
  <si>
    <t>2-V_219</t>
  </si>
  <si>
    <t>2-V_12</t>
  </si>
  <si>
    <t>2-V_186</t>
  </si>
  <si>
    <t>2.2. Natural - Counterparties</t>
  </si>
  <si>
    <t>Identification of the default status of the counterparty. Categories describing the motives for which the counterparty can be in default in accordance with Article 178
of Regulation (EU) No 575/2013.</t>
  </si>
  <si>
    <t>2-V_185</t>
  </si>
  <si>
    <t>Not applicable: To be reported as "N/A". 
This information will be availabe in "02_04_nat_INSTR_count" table</t>
  </si>
  <si>
    <t>2-V_184</t>
  </si>
  <si>
    <t>2-V_11</t>
  </si>
  <si>
    <t>2-V_10</t>
  </si>
  <si>
    <t>2-V_8</t>
  </si>
  <si>
    <t>2-V_139_B</t>
  </si>
  <si>
    <t>2-V_2_C</t>
  </si>
  <si>
    <t>INSTRUMENT-ACCMLTD_CHNGS_FV_CR_INSTRMNT</t>
  </si>
  <si>
    <t>accum_changes_fv_due_cr</t>
  </si>
  <si>
    <t>Accumulated changes in fair value due to credit risk in accordance with Part 2.46 of Annex V to Implementing Regulation (EU) No 680/2014.</t>
  </si>
  <si>
    <t>Accumulated changes in fair value due to credit risk</t>
  </si>
  <si>
    <t>2-V_183</t>
  </si>
  <si>
    <t>V_183</t>
  </si>
  <si>
    <t>2.1. Natural - Instruments</t>
  </si>
  <si>
    <t>Classification of exposures in the trading book as defined in Article 4(1)(86) of Regulation (EU) No 575/2013.</t>
  </si>
  <si>
    <t xml:space="preserve">Drop-down:
- Trading book
- Non- trading book
</t>
  </si>
  <si>
    <t>Prudential portfolio</t>
  </si>
  <si>
    <t>2-V_182</t>
  </si>
  <si>
    <t>V_182</t>
  </si>
  <si>
    <t>INSTRUMENT-CRRYNG_AMNT_INSTRMNT</t>
  </si>
  <si>
    <t>The carrying amount in accordance with Annex V to Implementing Regulation (EU) No 680/2014.</t>
  </si>
  <si>
    <t>2-V_181</t>
  </si>
  <si>
    <t>V_181</t>
  </si>
  <si>
    <t>INSTRUMENT-CMLTV_RCVRS_SNC_DFLT_INSTRMNT</t>
  </si>
  <si>
    <t>cumulative_recov_since_default</t>
  </si>
  <si>
    <t>The total amount recovered since the date of default received in relation to a defaulted instrument during the latest default period and only during that period.</t>
  </si>
  <si>
    <t>Cumulative recoveries since default</t>
  </si>
  <si>
    <t>2-V_180</t>
  </si>
  <si>
    <t>V_180</t>
  </si>
  <si>
    <t>2-V_179</t>
  </si>
  <si>
    <t>2-V_178</t>
  </si>
  <si>
    <t>INSTRUMENT-PRVSNS_OFF_BLNC_SHT</t>
  </si>
  <si>
    <t>provis_assoc_offbalance</t>
  </si>
  <si>
    <t>This data attribute provides information on the amount of provisions (if any) associated with off-balance-sheet amounts (of instruments for which there is an off-balance-sheet amount) that can be converted to assets in the balance sheet.</t>
  </si>
  <si>
    <t>Provisions associated with off-balance-sheet exposures</t>
  </si>
  <si>
    <t>2-V_177</t>
  </si>
  <si>
    <t>V_177</t>
  </si>
  <si>
    <t>2-V_176</t>
  </si>
  <si>
    <t>The instrument is to be classified on the reporting reference date, in accordance with Implementing Regulation (EU) No 680/2014.</t>
  </si>
  <si>
    <t>2-V_175</t>
  </si>
  <si>
    <t>V_174</t>
  </si>
  <si>
    <t>Type of transaction in which the exposure is encumbered in accordance with Implementing Regulation (EU) No 680/2014. An asset will be treated as encumbered if it has been pledged or if it is subject to any form of arrangement to secure, collateralise or credit enhance any instrument from which it cannot be freely withdrawn.</t>
  </si>
  <si>
    <t xml:space="preserve">Drop-down:
- Central bank funding 
- Exchange traded derivatives
- Over-the-counter derivatives
- Deposits – repurchase agreements other than to central banks 
- Deposits other than repurchase agreements
- Debt securities issued – covered bonds securities
- Debt securities issued – asset-backed securities
- Debt securities issued – other than covered bonds and ABSs
- Other sources of encumbrance
- No encumbrance
</t>
  </si>
  <si>
    <t>Instrument characteristics</t>
  </si>
  <si>
    <t>2-V_174</t>
  </si>
  <si>
    <t>2-V_173</t>
  </si>
  <si>
    <r>
      <t>This data attribute indicates the type of impairment to which the instrument is subject</t>
    </r>
    <r>
      <rPr>
        <strike/>
        <sz val="10"/>
        <rFont val="Calibri"/>
        <family val="2"/>
        <scheme val="minor"/>
      </rPr>
      <t>.</t>
    </r>
  </si>
  <si>
    <t>2-V_172</t>
  </si>
  <si>
    <t xml:space="preserve">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(i)loss allowance at an amount equal to 12-month expected credit losses;
(ii) loss allowance at an amount equal to lifetime expected credit losses.
Under GAAP, the accumulated impairment relates to the following amounts:
(i)loss allowance at an amount equal to general allowances;
(ii) loss allowance at an amount equal to specific allowances.
</t>
  </si>
  <si>
    <t>2-V_171</t>
  </si>
  <si>
    <t>INSTRUMENT-ACCMLTD_WRTFFS_INSTRMNT</t>
  </si>
  <si>
    <t>accum_write_offs</t>
  </si>
  <si>
    <t>Cumulative amount of principal and past due interest of any debt instrument that the institution is no longer recognising because they are considered uncollectible, independently of the portfolio in which they were included.</t>
  </si>
  <si>
    <t>Accumulated write-offs</t>
  </si>
  <si>
    <t>2-V_170</t>
  </si>
  <si>
    <t>V_170</t>
  </si>
  <si>
    <t>V_169</t>
  </si>
  <si>
    <t>balance_sheet_recogn</t>
  </si>
  <si>
    <t>Balance sheet recognition of the financial asset. This data attribute classifies the reported instruments pursuant to their balance sheet recognition in accordance with Annex III and Template 15 in Annex IV to the ITS.</t>
  </si>
  <si>
    <t xml:space="preserve">Drop-down:
- Entirely recognised
- Recognised to the extent of the institution’s continuing involvement
- Entirely derecognised
</t>
  </si>
  <si>
    <t>Balance sheet recognition</t>
  </si>
  <si>
    <t>2-V_169</t>
  </si>
  <si>
    <t>V_168</t>
  </si>
  <si>
    <t>Accounting portfolio where the instrument is recorded in accordance with the accounting standard – IFRS or national GAAP – under Regulation (EU) 2015/534 (ECB/2015/13) applied by the observed agent’s legal entity.</t>
  </si>
  <si>
    <t xml:space="preserve">Drop-down:
- Values for IFRS and accounting portfolios under national GAAPs consistent with IFRS:
• Cash balances at central banks and other demand deposits (IFRS)
• Financial assets held for trading (IFRS)
• Non-trading financial assets mandatorily at fair value through profit or loss (IFRS)
• Financial assets designated at fair value through profit or loss (IFRS)
• Financial assets at fair value through other comprehensive income (IFRS)
• Financial assets at amortised cost (IFRS)
- Values for accounting portfolios under national GAAPs not consistent with IFRS 9/IAS39:
• Cash balances at central banks and other demand deposits (GAAP)
• Trading Financial assets (GAAP)
• Non-trading non-derivative financial assets measured at fair value through profit or loss (GAAP)
• Non-trading non-derivative financial assets measured at fair value to equity (GAAP)
• Non-trading debt instruments measured at a cost-based method (GAAP)
• Other non-trading non-derivative financial assets (GAAP)
- Values for accounting portfolios under national GAAPs consistent with IAS 39:
• Cash balances at central banks and other demand deposits (GAAP)
• Financial assets held for trading (GAAP)
• Financial assets designated at fair value through profit or loss (GAAP)
• Available-for-sale financial assets (GAAP)
• Loans and receivables (GAAP)
• Held-to-maturity investments (GAAP)
</t>
  </si>
  <si>
    <t>Accounting classification of instruments</t>
  </si>
  <si>
    <t>2-V_168</t>
  </si>
  <si>
    <t>Not applicable: To be reported as "11111111111". 
This information will be availabe in "02_04_nat_INSTR_count" table</t>
  </si>
  <si>
    <t>2-V_167</t>
  </si>
  <si>
    <t>off_balance_sheet_amount</t>
  </si>
  <si>
    <t xml:space="preserve">Total nominal amount of off-balance-sheet exposures. </t>
  </si>
  <si>
    <t>Off-balance-sheet amount</t>
  </si>
  <si>
    <t>2-V_166</t>
  </si>
  <si>
    <t>V_166</t>
  </si>
  <si>
    <t>INSTRUMENT-ACCRD_INTRST_INSTRMNT</t>
  </si>
  <si>
    <t>accrued_interest</t>
  </si>
  <si>
    <t>The amount of accrued interest on loans at the reporting reference date as defined in Regulation (EU) No 1071/2013 (ECB/2013/33).</t>
  </si>
  <si>
    <t>Accrued interest</t>
  </si>
  <si>
    <t>2-V_165</t>
  </si>
  <si>
    <t>V_165</t>
  </si>
  <si>
    <t>INSTRUMENT-OTSTNDNG_NMNL_AMNT_INSTRMNT</t>
  </si>
  <si>
    <t>outstanding_nominal_amount</t>
  </si>
  <si>
    <t>Principal amount outstanding at the end of the reporting reference date, including unpaid past due interest but excluding accrued interest, net of write-offs and write-downs as determined by the relevant accounting practices.</t>
  </si>
  <si>
    <t>Outstanding nominal amount</t>
  </si>
  <si>
    <t>2-V_164</t>
  </si>
  <si>
    <t>V_164</t>
  </si>
  <si>
    <t>type_securitization</t>
  </si>
  <si>
    <t>Captures the type of securitisation, if any, to which the instrument has been subject, in accordance with Article 242(10), (11), 243 and 244 of Regulation (EU) No 575/2013.</t>
  </si>
  <si>
    <t xml:space="preserve">Drop-down: 
- Traditional securitisation
- Synthetic securitisation
- Not securitised
</t>
  </si>
  <si>
    <t>Type of securitization</t>
  </si>
  <si>
    <t>Financial information/Instrument characteristics</t>
  </si>
  <si>
    <t>2-V_163</t>
  </si>
  <si>
    <t>V_163</t>
  </si>
  <si>
    <t>2-V_162</t>
  </si>
  <si>
    <t>2-V_161</t>
  </si>
  <si>
    <t>transferred_amount</t>
  </si>
  <si>
    <t xml:space="preserve">Transferred amount of the economic ownership of the financial asset to third parties. This data attribute captures the part of the outstanding nominal amount that has been transferred to another creditor. </t>
  </si>
  <si>
    <t>Transferred amount</t>
  </si>
  <si>
    <t>2-V_160</t>
  </si>
  <si>
    <t>V_160</t>
  </si>
  <si>
    <t>2-V_159</t>
  </si>
  <si>
    <t>Identification of the default status of the instrument in accordance with Article 178 of Regulation (EU) No 575/2013.</t>
  </si>
  <si>
    <t>Drop down: 
- Not in default
- Default because unlikely to pay (not more than 90/180 days past due) 
- Default because more than 90/180 days past due
- Default because both unlikely to pay and more than 90/180 days past due.</t>
  </si>
  <si>
    <t>2-V_158</t>
  </si>
  <si>
    <t>INSTRUMENT-DT_NXT_INTRST_RT_RST</t>
  </si>
  <si>
    <t>next_interest_rate_reset_date</t>
  </si>
  <si>
    <t xml:space="preserve">The date when the next interest rate reset, as defined in Part 3 of Annex I to Regulation (EU) No 1071/2013 (ECB/2013/33), takes place. </t>
  </si>
  <si>
    <t>Next interest rate reset date</t>
  </si>
  <si>
    <t>Interest rate information</t>
  </si>
  <si>
    <t>2-V_157</t>
  </si>
  <si>
    <t>V_157</t>
  </si>
  <si>
    <t>INSTRUMENT-ANNLSD_AGRD_RT</t>
  </si>
  <si>
    <t>interest_rate</t>
  </si>
  <si>
    <t>Annualised agreed rate or narrowly defined interest rate in accordance with Part 1 of Annex I to Regulation (EU) No 1072/2013 of the European Central Bank (ECB/2013/34)</t>
  </si>
  <si>
    <t>Numeric (percentage with two decimals, both positive and negative values).</t>
  </si>
  <si>
    <t>Interest rate</t>
  </si>
  <si>
    <t>2-V_156</t>
  </si>
  <si>
    <t>V_156</t>
  </si>
  <si>
    <t>settlement_date</t>
  </si>
  <si>
    <t>The date on which the conditions specified in the contract are or can be executed for the first time, i.e. the date on which financial instruments are initially exchanged or created</t>
  </si>
  <si>
    <t>Settlement date</t>
  </si>
  <si>
    <t>2-V_155</t>
  </si>
  <si>
    <t>V_155</t>
  </si>
  <si>
    <t>V_154</t>
  </si>
  <si>
    <t>Reference rate used for the calculation of the actual interest rate. The reference rate code is a combination of the reference rate value and maturity value.</t>
  </si>
  <si>
    <t>Drop-down: EURIBOR, USD LIBOR, GBP LIBOR, EUR LIBOR, JPY LIBOR, CHF LIBOR, MIBOR, OTHER SINGLE REFERENCE RATES, other multiple reference rates</t>
  </si>
  <si>
    <t>Reference rate</t>
  </si>
  <si>
    <t>2-V_154</t>
  </si>
  <si>
    <t>V_153</t>
  </si>
  <si>
    <t>payment_freq</t>
  </si>
  <si>
    <t>Frequency of payments due, either of principal or interest, i.e. number of months between payments at the reporting reference date.</t>
  </si>
  <si>
    <t>Drop-down:
- Monthly/quarterly/semi-annual/annual
- Bullet
- Zero coupon
- Other</t>
  </si>
  <si>
    <t>Payment frequency</t>
  </si>
  <si>
    <t>2-V_153</t>
  </si>
  <si>
    <t>INSTRUMENT-CMMTMNT_INCPTN_INSTRMNT</t>
  </si>
  <si>
    <t>commitment_amount_inception</t>
  </si>
  <si>
    <t>Observed agent’s maximum exposure to credit risk on the inception date of the instrument, without taking into account any protection held or other credit enhancements.</t>
  </si>
  <si>
    <t>Commitment amount at inception</t>
  </si>
  <si>
    <t>2-V_152</t>
  </si>
  <si>
    <t>V_152</t>
  </si>
  <si>
    <t>The contractual maturity date of the instrument, taking into account any agreements amending initial contracts.</t>
  </si>
  <si>
    <t>Legal final maturity date</t>
  </si>
  <si>
    <t>2-V_151</t>
  </si>
  <si>
    <t>V_151</t>
  </si>
  <si>
    <t>V_150</t>
  </si>
  <si>
    <t>interest_rate_type</t>
  </si>
  <si>
    <t xml:space="preserve">Classification of credit exposures based on the base rate for establishing the interest rate for each payment period. </t>
  </si>
  <si>
    <t>Drop-down:
- Fixed
- Variable
- Mixed</t>
  </si>
  <si>
    <t>Interest rate type</t>
  </si>
  <si>
    <t>2-V_150</t>
  </si>
  <si>
    <t>interest_rate_spread_margin</t>
  </si>
  <si>
    <t>Margin or spread to add to the reference rate that is used for the calculation of the interest rate in basis points. This applies to interest rates charged for variable interest loans.</t>
  </si>
  <si>
    <t>Numeric (percentage)</t>
  </si>
  <si>
    <t>Interest rate spread/margin</t>
  </si>
  <si>
    <t>2-V_149</t>
  </si>
  <si>
    <t>V_149</t>
  </si>
  <si>
    <t>V_148</t>
  </si>
  <si>
    <t>INSTRUMENT-INTRST_RT_RST_FRQNCY</t>
  </si>
  <si>
    <t>interest_rate_reset_freq</t>
  </si>
  <si>
    <t>Frequency at which the interest rate is reset after the initial fixed-rate period, if any.</t>
  </si>
  <si>
    <t xml:space="preserve">Drop-down:
- Overnight
- Monthly/quarterly/semi-annual/annual
- At creditor discretion
- Other frequency
</t>
  </si>
  <si>
    <t>Interest rate reset frequency</t>
  </si>
  <si>
    <t>2-V_148</t>
  </si>
  <si>
    <t>interest_rate_floor</t>
  </si>
  <si>
    <t>The minimum interest rate per annum that can be charged on the outstanding nominal amount (or parts thereof).</t>
  </si>
  <si>
    <t>Numeric. Reported in basis points with the same convention as for the attribute “interest rate spread/margin”.</t>
  </si>
  <si>
    <t>Interest rate floor</t>
  </si>
  <si>
    <t>2-V_147</t>
  </si>
  <si>
    <t>V_147</t>
  </si>
  <si>
    <t>interest_rate_cap</t>
  </si>
  <si>
    <t>The maximum interest rate per annum that can be charged on the outstanding nominal amount (or parts thereof).</t>
  </si>
  <si>
    <t>Interest rate cap</t>
  </si>
  <si>
    <t>2-V_146</t>
  </si>
  <si>
    <t>V_146</t>
  </si>
  <si>
    <t>INSTRUMENT-DT_END_INTRST_ONLY</t>
  </si>
  <si>
    <t>end_date_interest_only_period</t>
  </si>
  <si>
    <t>The date on which the interest-only period ends.</t>
  </si>
  <si>
    <t>End date of interest-only period</t>
  </si>
  <si>
    <t>2-V_145</t>
  </si>
  <si>
    <t>V_145</t>
  </si>
  <si>
    <t>inception_date</t>
  </si>
  <si>
    <t>The date on which the contractual relationship originated, i.e. the date on which the contract agreement becomes binding for all parties.</t>
  </si>
  <si>
    <t>Inception date</t>
  </si>
  <si>
    <t>2-V_144</t>
  </si>
  <si>
    <t>V_144</t>
  </si>
  <si>
    <t>currency</t>
  </si>
  <si>
    <t>Currency denomination of instruments, in accordance with the ISO 4217 standard.</t>
  </si>
  <si>
    <t>2-V_143</t>
  </si>
  <si>
    <t>V_143</t>
  </si>
  <si>
    <t>V_142</t>
  </si>
  <si>
    <t>INSTRUMENT-TYP_AMRTSTN</t>
  </si>
  <si>
    <t>amortization_type</t>
  </si>
  <si>
    <t>Type of amortisation of the instrument including principal and interest at the reporting reference date.</t>
  </si>
  <si>
    <t>Drop-down:
- French
- German
- Fixed amortisation schedule
- Bullet
- Other</t>
  </si>
  <si>
    <t>Amortization type</t>
  </si>
  <si>
    <t>2-V_142</t>
  </si>
  <si>
    <t>V_35</t>
  </si>
  <si>
    <t>INSTRUMENT-TYP_INSTRMNT</t>
  </si>
  <si>
    <t>type_instrument</t>
  </si>
  <si>
    <t xml:space="preserve">Classification of the instrument according to the type of contractual terms agreed between the parties.  </t>
  </si>
  <si>
    <t>Drop-down:
- Overdraft
- Credit card debt
- Revolving credit card other than overdrafts and credti card debt
- Credit lines other than revolving credit
- Financial lease
- Loan
- Other</t>
  </si>
  <si>
    <t>Type of instrument</t>
  </si>
  <si>
    <t>2-V_35</t>
  </si>
  <si>
    <t>2-V_7</t>
  </si>
  <si>
    <t>2-V_6</t>
  </si>
  <si>
    <t>2-V_5</t>
  </si>
  <si>
    <t>Classification of the facility (exposure class) as defined in ITS 680/2014 Annex V Instructions FINREP (Counterparty breakdown)</t>
  </si>
  <si>
    <t xml:space="preserve">Drop-down:
- Central banks
- Central governments
- Credit institutions
- Other financial corporations
- Non-financial corporations
- Households
</t>
  </si>
  <si>
    <t>2-V_4</t>
  </si>
  <si>
    <t>2-V_3</t>
  </si>
  <si>
    <t>2-V_141</t>
  </si>
  <si>
    <t>The counterparty identifier of the observed agent (i.e. an institutional unit of the reporting agent) whose data are reported by the reporting agent.</t>
  </si>
  <si>
    <t>2-V_140</t>
  </si>
  <si>
    <t>The counterparty identifier of the reporting agent which reports the data.</t>
  </si>
  <si>
    <t>2-V_139_A</t>
  </si>
  <si>
    <t>2-V_2_I</t>
  </si>
  <si>
    <t>2-V_1_I</t>
  </si>
  <si>
    <t>1-V_12_RP</t>
  </si>
  <si>
    <t>1.5. Legal - Instrument/Protection</t>
  </si>
  <si>
    <t>1-V_1_RP</t>
  </si>
  <si>
    <t>1-V_2_RC</t>
  </si>
  <si>
    <t>1.4. Legal - Instrument/Counterparty</t>
  </si>
  <si>
    <t>1-V_1_RC</t>
  </si>
  <si>
    <t>det_type_ship_collateral</t>
  </si>
  <si>
    <t xml:space="preserve">Detailed type of collateral received. Applicable only to shipping portfolios. </t>
  </si>
  <si>
    <t>Drop-down:
Bulker (1)
Container (2)
Crude Oil Tanker (3)
Product Tanker (4)
Chemical Tanker (5)
Cruise Ship (6)
Ferry (7)
LPG Carrier (8)
Offshore (9)
Other (10)</t>
  </si>
  <si>
    <t>Detailed type of Shipping collateral</t>
  </si>
  <si>
    <t>Collateral characteristics</t>
  </si>
  <si>
    <t>1-V_18</t>
  </si>
  <si>
    <t>V_18</t>
  </si>
  <si>
    <t>1.3. Legal - Protections</t>
  </si>
  <si>
    <t xml:space="preserve">The highest ranking position(s) in relation to the collateral held by the counterparty to secure the facility. If the facility has several liens on one collateral, the highest claim is reported in this data field. </t>
  </si>
  <si>
    <t>1-V_17</t>
  </si>
  <si>
    <t>1-V_16</t>
  </si>
  <si>
    <t>1-V_15</t>
  </si>
  <si>
    <t>1-V_14</t>
  </si>
  <si>
    <t>- Drop-down: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</si>
  <si>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Type of collateral</t>
  </si>
  <si>
    <t>1-V_187</t>
  </si>
  <si>
    <t>Not applicable: To be reported as "N/A". 
This information will be availabe in "01_05_leg_INSTR_prot" table</t>
  </si>
  <si>
    <t>1-V_1_P</t>
  </si>
  <si>
    <t>1-V_12</t>
  </si>
  <si>
    <t xml:space="preserve">Applicable only to institutions not using CRR IRB models. These institutions should maintain records of probabilities of default or scores provided by scoring/rating models. In the case of PDs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PDs which is to be reported. </t>
  </si>
  <si>
    <t>1-V_11</t>
  </si>
  <si>
    <t>1.2. Legal - Counterparties</t>
  </si>
  <si>
    <t>1-V_10</t>
  </si>
  <si>
    <t>External credit rating issued to the counterparty at cut-off date. In case several ratings are assigned, the approach described in Art. 138 of the CRR applies.</t>
  </si>
  <si>
    <t>1-V_9</t>
  </si>
  <si>
    <t>Internal credit rating/scoring issued to the counterparty.</t>
  </si>
  <si>
    <t>Numeric / Alphanumeric</t>
  </si>
  <si>
    <t>1-V_8</t>
  </si>
  <si>
    <t>1-V_2_C</t>
  </si>
  <si>
    <t>1-V_7</t>
  </si>
  <si>
    <t>1.1. Legal - Instruments</t>
  </si>
  <si>
    <t>1-V_6</t>
  </si>
  <si>
    <t>1-V_5</t>
  </si>
  <si>
    <t>1-V_4</t>
  </si>
  <si>
    <r>
      <t>The exposures classes for the calculation of risk-weighted assets (RWAs) for credit risks are as follows (not applicable when exposures are classified in the CRR trading book as defined in Article 4(1)(86) of Regulation (EU) No 575/2013):
Where a bank uses the</t>
    </r>
    <r>
      <rPr>
        <b/>
        <sz val="10"/>
        <rFont val="Calibri"/>
        <family val="2"/>
        <scheme val="minor"/>
      </rPr>
      <t xml:space="preserve"> standardised approach: </t>
    </r>
    <r>
      <rPr>
        <sz val="10"/>
        <rFont val="Calibri"/>
        <family val="2"/>
        <scheme val="minor"/>
      </rPr>
      <t xml:space="preserve">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securitisation positions
- Institutions and corporates with a short term credit assessment (SSHOTER) 
- Collective investment undertakings (SCOLINV) 
- Equity (SEQUITY) 
- Other (SOTHERI) 
Where a bank uses the </t>
    </r>
    <r>
      <rPr>
        <b/>
        <sz val="10"/>
        <rFont val="Calibri"/>
        <family val="2"/>
        <scheme val="minor"/>
      </rPr>
      <t>IRB approach</t>
    </r>
    <r>
      <rPr>
        <sz val="10"/>
        <rFont val="Calibri"/>
        <family val="2"/>
        <scheme val="minor"/>
      </rPr>
      <t xml:space="preserve">: 
- Central governments and central banks (ICENGOV)
- Institutions (IINSTIT)
- Corporates (ICORPOR)
- Retail (IRETAIL) 
- Equity (IEQUITY) 
- Items representing securitisation positions
- Other non credit-obligation assets (IOTHERC) </t>
    </r>
  </si>
  <si>
    <t xml:space="preserve">
Drop-down based on classification of the facility using exposure class as described in Article 112 of Regulation (EU) No 575/2013 (for banks using the standardised approach) and Article 147 (for banks using the internal ratings based (IRB) approach)</t>
  </si>
  <si>
    <t>1-V_3</t>
  </si>
  <si>
    <t>Not applicable: To be reported as "N/A". 
This information will be availabe in "01_04_leg_INSTR_count" table</t>
  </si>
  <si>
    <t>1-V_2_I</t>
  </si>
  <si>
    <t>1-V_1_I</t>
  </si>
  <si>
    <t>Additional Information 
(e.g. mapping with Structural Loan Tape)</t>
  </si>
  <si>
    <t>Data point technical name</t>
  </si>
  <si>
    <t>Data point order</t>
  </si>
  <si>
    <t>Output name</t>
  </si>
  <si>
    <t>Instructions</t>
  </si>
  <si>
    <t>Static/Dynamic</t>
  </si>
  <si>
    <t>Type of data</t>
  </si>
  <si>
    <t>Data field</t>
  </si>
  <si>
    <t>Category</t>
  </si>
  <si>
    <t>Unique Field ID</t>
  </si>
  <si>
    <t>SRB Field ID</t>
  </si>
  <si>
    <t>XXXXX_YYYYMMDD_01_03_leg_prot.csv</t>
  </si>
  <si>
    <t>INSTRUMENT-INSTRMNT_ID</t>
  </si>
  <si>
    <t>INSTR_ENTITY-INSTRMNT_ID</t>
  </si>
  <si>
    <t>INSTR_PROTECTION-INSTRMNT_ID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</si>
</sst>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vertAlign val="superscript"/>
      <sz val="11"/>
      <color theme="1"/>
      <name val="Calibri"/>
      <family val="2"/>
      <scheme val="minor"/>
    </font>
    <font>
      <sz val="11"/>
      <color rgb="FF000000"/>
      <name val="Calibri"/>
      <family val="2"/>
      <scheme val="minor"/>
    </font>
    <font>
      <b/>
      <sz val="11"/>
      <color rgb="FFFFFFFF"/>
      <name val="Calibri"/>
      <family val="2"/>
      <scheme val="minor"/>
    </font>
    <font>
      <b/>
      <vertAlign val="superscript"/>
      <sz val="11"/>
      <color theme="0"/>
      <name val="Calibri"/>
      <family val="2"/>
      <scheme val="minor"/>
    </font>
    <font>
      <b/>
      <sz val="16"/>
      <color theme="1"/>
      <name val="Calibri"/>
      <family val="2"/>
      <scheme val="minor"/>
    </font>
    <font>
      <b/>
      <sz val="10"/>
      <color rgb="FF000000"/>
      <name val="Calibri"/>
      <family val="2"/>
    </font>
    <font>
      <b/>
      <sz val="10"/>
      <color rgb="FFFFFFFF"/>
      <name val="Calibri"/>
      <family val="2"/>
    </font>
    <font>
      <sz val="11"/>
      <name val="Calibri"/>
      <family val="2"/>
      <scheme val="minor"/>
    </font>
    <font>
      <sz val="10"/>
      <name val="Arial"/>
      <family val="2"/>
    </font>
    <font>
      <sz val="10"/>
      <name val="Calibri"/>
      <family val="2"/>
      <scheme val="minor"/>
    </font>
    <font>
      <b/>
      <sz val="10"/>
      <name val="Calibri"/>
      <family val="2"/>
      <scheme val="minor"/>
    </font>
    <font>
      <strike/>
      <sz val="10"/>
      <name val="Calibri"/>
      <family val="2"/>
      <scheme val="minor"/>
    </font>
    <font>
      <b/>
      <sz val="10"/>
      <color theme="0"/>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D8D8D8"/>
        <bgColor indexed="64"/>
      </patternFill>
    </fill>
    <fill>
      <patternFill patternType="solid">
        <fgColor rgb="FFFFFFFF"/>
        <bgColor indexed="64"/>
      </patternFill>
    </fill>
    <fill>
      <patternFill patternType="solid">
        <fgColor rgb="FFD9D9D9"/>
        <bgColor indexed="64"/>
      </patternFill>
    </fill>
    <fill>
      <patternFill patternType="solid">
        <fgColor rgb="FF595959"/>
        <bgColor indexed="64"/>
      </patternFill>
    </fill>
    <fill>
      <patternFill patternType="solid">
        <fgColor theme="9" tint="0.79998168889431442"/>
        <bgColor indexed="64"/>
      </patternFill>
    </fill>
    <fill>
      <patternFill patternType="solid">
        <fgColor rgb="FFFF5050"/>
        <bgColor indexed="64"/>
      </patternFill>
    </fill>
  </fills>
  <borders count="9">
    <border>
      <left/>
      <right/>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3">
    <xf numFmtId="0" fontId="0" fillId="0" borderId="0"/>
    <xf numFmtId="0" fontId="4" fillId="0" borderId="0" applyNumberFormat="0" applyFill="0" applyBorder="0" applyAlignment="0" applyProtection="0"/>
    <xf numFmtId="0" fontId="13" fillId="0" borderId="0"/>
  </cellStyleXfs>
  <cellXfs count="41">
    <xf numFmtId="0" fontId="0" fillId="0" borderId="0" xfId="0"/>
    <xf numFmtId="0" fontId="0" fillId="2" borderId="0" xfId="0" applyFill="1" applyAlignment="1">
      <alignment vertical="center"/>
    </xf>
    <xf numFmtId="0" fontId="0" fillId="2" borderId="0" xfId="0" applyFill="1" applyAlignment="1">
      <alignment horizontal="center" vertical="center"/>
    </xf>
    <xf numFmtId="0" fontId="4" fillId="2" borderId="0" xfId="1" applyFill="1" applyAlignment="1">
      <alignment vertical="center"/>
    </xf>
    <xf numFmtId="0" fontId="0" fillId="2" borderId="0" xfId="0" applyFill="1" applyAlignment="1">
      <alignment horizontal="left" indent="3"/>
    </xf>
    <xf numFmtId="0" fontId="6" fillId="0" borderId="1" xfId="0" applyFont="1" applyBorder="1" applyAlignment="1">
      <alignment horizontal="center" vertical="center" wrapText="1" readingOrder="1"/>
    </xf>
    <xf numFmtId="0" fontId="6" fillId="0" borderId="2" xfId="0" applyFont="1" applyBorder="1" applyAlignment="1">
      <alignment horizontal="center" vertical="center" wrapText="1" readingOrder="1"/>
    </xf>
    <xf numFmtId="0" fontId="6" fillId="0" borderId="2" xfId="0" applyFont="1" applyBorder="1" applyAlignment="1">
      <alignment horizontal="left" vertical="center" wrapText="1" readingOrder="1"/>
    </xf>
    <xf numFmtId="0" fontId="6" fillId="0" borderId="3" xfId="0" applyFont="1" applyBorder="1" applyAlignment="1">
      <alignment horizontal="center" vertical="center" wrapText="1" readingOrder="1"/>
    </xf>
    <xf numFmtId="0" fontId="6" fillId="0" borderId="4" xfId="0" applyFont="1" applyBorder="1" applyAlignment="1">
      <alignment horizontal="center" vertical="center" wrapText="1" readingOrder="1"/>
    </xf>
    <xf numFmtId="0" fontId="6" fillId="0" borderId="4" xfId="0" applyFont="1" applyBorder="1" applyAlignment="1">
      <alignment horizontal="left" vertical="center" wrapText="1" readingOrder="1"/>
    </xf>
    <xf numFmtId="0" fontId="6" fillId="0" borderId="4" xfId="0" quotePrefix="1" applyFont="1" applyBorder="1" applyAlignment="1">
      <alignment horizontal="center" vertical="center" wrapText="1" readingOrder="1"/>
    </xf>
    <xf numFmtId="0" fontId="7" fillId="3" borderId="5" xfId="0" applyFont="1" applyFill="1" applyBorder="1" applyAlignment="1">
      <alignment horizontal="center" vertical="center" wrapText="1" readingOrder="1"/>
    </xf>
    <xf numFmtId="0" fontId="7" fillId="3" borderId="6" xfId="0" applyFont="1" applyFill="1" applyBorder="1" applyAlignment="1">
      <alignment horizontal="center" vertical="center" wrapText="1" readingOrder="1"/>
    </xf>
    <xf numFmtId="0" fontId="0" fillId="2" borderId="1" xfId="0" applyFill="1" applyBorder="1" applyAlignment="1">
      <alignment horizontal="center" vertical="center"/>
    </xf>
    <xf numFmtId="0" fontId="1" fillId="3" borderId="2" xfId="0" applyFont="1" applyFill="1" applyBorder="1" applyAlignment="1">
      <alignment horizontal="left" vertical="center"/>
    </xf>
    <xf numFmtId="0" fontId="0" fillId="2" borderId="3" xfId="0" applyFill="1" applyBorder="1" applyAlignment="1">
      <alignment horizontal="center" vertical="center"/>
    </xf>
    <xf numFmtId="0" fontId="1" fillId="3" borderId="4" xfId="0" applyFont="1" applyFill="1" applyBorder="1" applyAlignment="1">
      <alignment horizontal="left" vertical="center"/>
    </xf>
    <xf numFmtId="0" fontId="0" fillId="2" borderId="5" xfId="0" applyFill="1" applyBorder="1" applyAlignment="1">
      <alignment horizontal="center" vertical="center"/>
    </xf>
    <xf numFmtId="0" fontId="1" fillId="3" borderId="6" xfId="0" applyFont="1" applyFill="1" applyBorder="1" applyAlignment="1">
      <alignment horizontal="left" vertical="center"/>
    </xf>
    <xf numFmtId="0" fontId="9" fillId="2" borderId="0" xfId="0" applyFont="1" applyFill="1" applyAlignment="1">
      <alignment vertical="center"/>
    </xf>
    <xf numFmtId="0" fontId="0" fillId="2" borderId="0" xfId="0" applyFill="1"/>
    <xf numFmtId="0" fontId="0" fillId="2" borderId="7" xfId="0" applyFill="1" applyBorder="1"/>
    <xf numFmtId="0" fontId="0" fillId="0" borderId="7" xfId="0" applyBorder="1"/>
    <xf numFmtId="0" fontId="1" fillId="3" borderId="7" xfId="0" applyFont="1" applyFill="1" applyBorder="1"/>
    <xf numFmtId="0" fontId="10" fillId="0" borderId="7" xfId="0" applyFont="1" applyBorder="1" applyAlignment="1">
      <alignment horizontal="left" vertical="center" wrapText="1" readingOrder="1"/>
    </xf>
    <xf numFmtId="0" fontId="10" fillId="4" borderId="7" xfId="0" applyFont="1" applyFill="1" applyBorder="1" applyAlignment="1">
      <alignment horizontal="center" vertical="center" wrapText="1" readingOrder="1"/>
    </xf>
    <xf numFmtId="0" fontId="10" fillId="4" borderId="7" xfId="0" applyFont="1" applyFill="1" applyBorder="1" applyAlignment="1">
      <alignment horizontal="left" vertical="center" wrapText="1" readingOrder="1"/>
    </xf>
    <xf numFmtId="0" fontId="10" fillId="3" borderId="7" xfId="0" applyFont="1" applyFill="1" applyBorder="1" applyAlignment="1">
      <alignment horizontal="left" vertical="center" wrapText="1" readingOrder="1"/>
    </xf>
    <xf numFmtId="0" fontId="10" fillId="3" borderId="7" xfId="0" applyFont="1" applyFill="1" applyBorder="1" applyAlignment="1">
      <alignment horizontal="center" vertical="center" wrapText="1" readingOrder="1"/>
    </xf>
    <xf numFmtId="0" fontId="10" fillId="5" borderId="7" xfId="0" applyFont="1" applyFill="1" applyBorder="1" applyAlignment="1">
      <alignment horizontal="left" vertical="center" wrapText="1" readingOrder="1"/>
    </xf>
    <xf numFmtId="0" fontId="10" fillId="6" borderId="7" xfId="0" applyFont="1" applyFill="1" applyBorder="1" applyAlignment="1">
      <alignment horizontal="center" vertical="center" wrapText="1" readingOrder="1"/>
    </xf>
    <xf numFmtId="0" fontId="10" fillId="6" borderId="7" xfId="0" applyFont="1" applyFill="1" applyBorder="1" applyAlignment="1">
      <alignment horizontal="left" vertical="center" wrapText="1" readingOrder="1"/>
    </xf>
    <xf numFmtId="0" fontId="11" fillId="7" borderId="7" xfId="0" applyFont="1" applyFill="1" applyBorder="1" applyAlignment="1">
      <alignment horizontal="center" wrapText="1" readingOrder="1"/>
    </xf>
    <xf numFmtId="0" fontId="12" fillId="2" borderId="0" xfId="0" applyFont="1" applyFill="1"/>
    <xf numFmtId="0" fontId="14" fillId="0" borderId="8" xfId="2" applyFont="1" applyBorder="1" applyAlignment="1">
      <alignment vertical="center" wrapText="1"/>
    </xf>
    <xf numFmtId="0" fontId="14" fillId="8" borderId="8" xfId="2" applyFont="1" applyFill="1" applyBorder="1" applyAlignment="1">
      <alignment vertical="center" wrapText="1"/>
    </xf>
    <xf numFmtId="0" fontId="14" fillId="0" borderId="8" xfId="2" applyFont="1" applyBorder="1" applyAlignment="1">
      <alignment horizontal="left" vertical="center" wrapText="1"/>
    </xf>
    <xf numFmtId="0" fontId="3" fillId="2" borderId="0" xfId="0" applyFont="1" applyFill="1" applyAlignment="1">
      <alignment horizontal="left"/>
    </xf>
    <xf numFmtId="0" fontId="17" fillId="9" borderId="7" xfId="2" applyFont="1" applyFill="1" applyBorder="1" applyAlignment="1">
      <alignment horizontal="left" vertical="center" wrapText="1"/>
    </xf>
    <xf numFmtId="0" fontId="17" fillId="3" borderId="7" xfId="2" applyFont="1" applyFill="1" applyBorder="1" applyAlignment="1">
      <alignment horizontal="left" vertical="center" wrapText="1"/>
    </xf>
  </cellXfs>
  <cellStyles count="3">
    <cellStyle name="Hyperlink 3" xfId="1" xr:uid="{D315D98E-9314-4F4D-B730-17F5A70B9016}"/>
    <cellStyle name="Normal" xfId="0" builtinId="0"/>
    <cellStyle name="Normal 2 2" xfId="2" xr:uid="{9F7DF7E5-5331-43D5-8CEA-1F5FF421E77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sharedStrings" Target="sharedStrings.xml"/><Relationship Id="rId10" Type="http://schemas.openxmlformats.org/officeDocument/2006/relationships/externalLink" Target="externalLinks/externalLink6.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ntdat07\begrp\CP06revAnnex1_workinprogres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AD0E9A5\CP06revAnnex1_workinprogres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ossiers.dgt.cec.eu.int\dossiers\Expert%20Groups\Accounting%20and%20Auditing\Other%20folders\EGFI%20Workstream%20Reporting\Circulated%20papers\2009\CP06revAnnex1_workinprogres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bvpr-fs02\userdata\Users\meike.kaasenbrood\Documents\Documents\1.%20Projectwerk\14.%20DVV21911\3.%20Input\2.%20Regulations\2.%20AQR%20templates\AQR%20T5%20Collateral%20Valuation%20template.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328E42F\EGFI%202006%2010%20Rev5%20-%20Annex%202%20(Disclosure%20%20of%20FINREP%20Implementatio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ites/ValuationDataSet/Shared%20Documents/General/Proyectos/Loan%20Tape%20Estructural/BDR/Loan%20Tapes%20vs%20BDR_v11_MAPEO_BDR_SCIB_vbar2.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Users\n039927\AppData\Local\Microsoft\Windows\Temporary%20Internet%20Files\Content.Outlook\TOBWE3AH\Agrego%20IG%208%20envio.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My%20Documents\work\egfi%20november%202006\EGFI%202006%2010%20Rev5%20-%20Annex%202%20(Disclosure%20%20of%20FINREP%20Implementati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39_"/>
      <sheetName val="Streamlining"/>
      <sheetName val="Table 1_1"/>
      <sheetName val="Table 1_2"/>
      <sheetName val="Table 1_3"/>
      <sheetName val="Table 2_"/>
      <sheetName val="Information___"/>
      <sheetName val="Table 3_"/>
      <sheetName val="Table 4_"/>
      <sheetName val="Table 5_"/>
      <sheetName val="Table 6_"/>
      <sheetName val="Table 7_"/>
      <sheetName val="Table 8_"/>
      <sheetName val="Table 9_new"/>
      <sheetName val="Table 9_"/>
      <sheetName val="Table 10_"/>
      <sheetName val="Table 11_"/>
      <sheetName val="Table 12_"/>
      <sheetName val="Table 13_"/>
      <sheetName val="Table 14_"/>
      <sheetName val="Table 15_"/>
      <sheetName val="Table 16_"/>
      <sheetName val="Table 17_"/>
      <sheetName val="Table 18_"/>
      <sheetName val="Table 19_"/>
      <sheetName val="Table 20_"/>
      <sheetName val="Table 21_"/>
      <sheetName val="Table 22_"/>
      <sheetName val="Table 23_"/>
      <sheetName val="Table 24_"/>
      <sheetName val="Table 25_"/>
      <sheetName val="Table 26_"/>
      <sheetName val="Table 27_"/>
      <sheetName val="Table 28_"/>
      <sheetName val="Table 29_"/>
      <sheetName val="Table 30_"/>
      <sheetName val="Table 31_"/>
      <sheetName val="Table 32_"/>
      <sheetName val="Table 33_"/>
      <sheetName val="Table 34_"/>
      <sheetName val="Table 34_LUX1"/>
      <sheetName val="Table 34_LUX2"/>
      <sheetName val="Table 35_"/>
      <sheetName val="Table 36_"/>
      <sheetName val="Table 37_"/>
      <sheetName val="Table 37_BE_ES"/>
      <sheetName val="Table 38A_"/>
      <sheetName val="Table 38B _ 38C_"/>
      <sheetName val="Table 38_BE_ES"/>
      <sheetName val="Table 38_clean"/>
      <sheetName val="2 Balance sheet"/>
      <sheetName val="Valores"/>
      <sheetName val="Lista"/>
      <sheetName val="Table_39_1"/>
      <sheetName val="Table_1_11"/>
      <sheetName val="Table_1_21"/>
      <sheetName val="Table_1_31"/>
      <sheetName val="Table_2_1"/>
      <sheetName val="Table_3_1"/>
      <sheetName val="Table_4_1"/>
      <sheetName val="Table_5_1"/>
      <sheetName val="Table_6_1"/>
      <sheetName val="Table_7_1"/>
      <sheetName val="Table_8_1"/>
      <sheetName val="Table_9_new1"/>
      <sheetName val="Table_9_1"/>
      <sheetName val="Table_10_1"/>
      <sheetName val="Table_11_1"/>
      <sheetName val="Table_12_1"/>
      <sheetName val="Table_13_1"/>
      <sheetName val="Table_14_1"/>
      <sheetName val="Table_15_1"/>
      <sheetName val="Table_16_1"/>
      <sheetName val="Table_17_1"/>
      <sheetName val="Table_18_1"/>
      <sheetName val="Table_19_1"/>
      <sheetName val="Table_20_1"/>
      <sheetName val="Table_21_1"/>
      <sheetName val="Table_22_1"/>
      <sheetName val="Table_23_1"/>
      <sheetName val="Table_24_1"/>
      <sheetName val="Table_25_1"/>
      <sheetName val="Table_26_1"/>
      <sheetName val="Table_27_1"/>
      <sheetName val="Table_28_1"/>
      <sheetName val="Table_29_1"/>
      <sheetName val="Table_30_1"/>
      <sheetName val="Table_31_1"/>
      <sheetName val="Table_32_1"/>
      <sheetName val="Table_33_1"/>
      <sheetName val="Table_34_1"/>
      <sheetName val="Table_34_LUX11"/>
      <sheetName val="Table_34_LUX21"/>
      <sheetName val="Table_35_1"/>
      <sheetName val="Table_36_1"/>
      <sheetName val="Table_37_1"/>
      <sheetName val="Table_37_BE_ES1"/>
      <sheetName val="Table_38A_1"/>
      <sheetName val="Table_38B___38C_1"/>
      <sheetName val="Table_38_BE_ES1"/>
      <sheetName val="Table_38_clean1"/>
      <sheetName val="2_Balance_sheet1"/>
      <sheetName val="Table_39_"/>
      <sheetName val="Table_1_1"/>
      <sheetName val="Table_1_2"/>
      <sheetName val="Table_1_3"/>
      <sheetName val="Table_2_"/>
      <sheetName val="Table_3_"/>
      <sheetName val="Table_4_"/>
      <sheetName val="Table_5_"/>
      <sheetName val="Table_6_"/>
      <sheetName val="Table_7_"/>
      <sheetName val="Table_8_"/>
      <sheetName val="Table_9_new"/>
      <sheetName val="Table_9_"/>
      <sheetName val="Table_10_"/>
      <sheetName val="Table_11_"/>
      <sheetName val="Table_12_"/>
      <sheetName val="Table_13_"/>
      <sheetName val="Table_14_"/>
      <sheetName val="Table_15_"/>
      <sheetName val="Table_16_"/>
      <sheetName val="Table_17_"/>
      <sheetName val="Table_18_"/>
      <sheetName val="Table_19_"/>
      <sheetName val="Table_20_"/>
      <sheetName val="Table_21_"/>
      <sheetName val="Table_22_"/>
      <sheetName val="Table_23_"/>
      <sheetName val="Table_24_"/>
      <sheetName val="Table_25_"/>
      <sheetName val="Table_26_"/>
      <sheetName val="Table_27_"/>
      <sheetName val="Table_28_"/>
      <sheetName val="Table_29_"/>
      <sheetName val="Table_30_"/>
      <sheetName val="Table_31_"/>
      <sheetName val="Table_32_"/>
      <sheetName val="Table_33_"/>
      <sheetName val="Table_34_"/>
      <sheetName val="Table_34_LUX1"/>
      <sheetName val="Table_34_LUX2"/>
      <sheetName val="Table_35_"/>
      <sheetName val="Table_36_"/>
      <sheetName val="Table_37_"/>
      <sheetName val="Table_37_BE_ES"/>
      <sheetName val="Table_38A_"/>
      <sheetName val="Table_38B___38C_"/>
      <sheetName val="Table_38_BE_ES"/>
      <sheetName val="Table_38_clean"/>
      <sheetName val="2_Balance_sheet"/>
      <sheetName val="Table_39_2"/>
      <sheetName val="Table_1_12"/>
      <sheetName val="Table_1_22"/>
      <sheetName val="Table_1_32"/>
      <sheetName val="Table_2_2"/>
      <sheetName val="Table_3_2"/>
      <sheetName val="Table_4_2"/>
      <sheetName val="Table_5_2"/>
      <sheetName val="Table_6_2"/>
      <sheetName val="Table_7_2"/>
      <sheetName val="Table_8_2"/>
      <sheetName val="Table_9_new2"/>
      <sheetName val="Table_9_2"/>
      <sheetName val="Table_10_2"/>
      <sheetName val="Table_11_2"/>
      <sheetName val="Table_12_2"/>
      <sheetName val="Table_13_2"/>
      <sheetName val="Table_14_2"/>
      <sheetName val="Table_15_2"/>
      <sheetName val="Table_16_2"/>
      <sheetName val="Table_17_2"/>
      <sheetName val="Table_18_2"/>
      <sheetName val="Table_19_2"/>
      <sheetName val="Table_20_2"/>
      <sheetName val="Table_21_2"/>
      <sheetName val="Table_22_2"/>
      <sheetName val="Table_23_2"/>
      <sheetName val="Table_24_2"/>
      <sheetName val="Table_25_2"/>
      <sheetName val="Table_26_2"/>
      <sheetName val="Table_27_2"/>
      <sheetName val="Table_28_2"/>
      <sheetName val="Table_29_2"/>
      <sheetName val="Table_30_2"/>
      <sheetName val="Table_31_2"/>
      <sheetName val="Table_32_2"/>
      <sheetName val="Table_33_2"/>
      <sheetName val="Table_34_2"/>
      <sheetName val="Table_34_LUX12"/>
      <sheetName val="Table_34_LUX22"/>
      <sheetName val="Table_35_2"/>
      <sheetName val="Table_36_2"/>
      <sheetName val="Table_37_2"/>
      <sheetName val="Table_37_BE_ES2"/>
      <sheetName val="Table_38A_2"/>
      <sheetName val="Table_38B___38C_2"/>
      <sheetName val="Table_38_BE_ES2"/>
      <sheetName val="Table_38_clean2"/>
      <sheetName val="2_Balance_sheet2"/>
      <sheetName val="Table_39_3"/>
      <sheetName val="Table_1_13"/>
      <sheetName val="Table_1_23"/>
      <sheetName val="Table_1_33"/>
      <sheetName val="Table_2_3"/>
      <sheetName val="Table_3_3"/>
      <sheetName val="Table_4_3"/>
      <sheetName val="Table_5_3"/>
      <sheetName val="Table_6_3"/>
      <sheetName val="Table_7_3"/>
      <sheetName val="Table_8_3"/>
      <sheetName val="Table_9_new3"/>
      <sheetName val="Table_9_3"/>
      <sheetName val="Table_10_3"/>
      <sheetName val="Table_11_3"/>
      <sheetName val="Table_12_3"/>
      <sheetName val="Table_13_3"/>
      <sheetName val="Table_14_3"/>
      <sheetName val="Table_15_3"/>
      <sheetName val="Table_16_3"/>
      <sheetName val="Table_17_3"/>
      <sheetName val="Table_18_3"/>
      <sheetName val="Table_19_3"/>
      <sheetName val="Table_20_3"/>
      <sheetName val="Table_21_3"/>
      <sheetName val="Table_22_3"/>
      <sheetName val="Table_23_3"/>
      <sheetName val="Table_24_3"/>
      <sheetName val="Table_25_3"/>
      <sheetName val="Table_26_3"/>
      <sheetName val="Table_27_3"/>
      <sheetName val="Table_28_3"/>
      <sheetName val="Table_29_3"/>
      <sheetName val="Table_30_3"/>
      <sheetName val="Table_31_3"/>
      <sheetName val="Table_32_3"/>
      <sheetName val="Table_33_3"/>
      <sheetName val="Table_34_3"/>
      <sheetName val="Table_34_LUX13"/>
      <sheetName val="Table_34_LUX23"/>
      <sheetName val="Table_35_3"/>
      <sheetName val="Table_36_3"/>
      <sheetName val="Table_37_3"/>
      <sheetName val="Table_37_BE_ES3"/>
      <sheetName val="Table_38A_3"/>
      <sheetName val="Table_38B___38C_3"/>
      <sheetName val="Table_38_BE_ES3"/>
      <sheetName val="Table_38_clean3"/>
      <sheetName val="2_Balance_sheet3"/>
      <sheetName val="Table_39_4"/>
      <sheetName val="Table_1_14"/>
      <sheetName val="Table_1_24"/>
      <sheetName val="Table_1_34"/>
      <sheetName val="Table_2_4"/>
      <sheetName val="Table_3_4"/>
      <sheetName val="Table_4_4"/>
      <sheetName val="Table_5_4"/>
      <sheetName val="Table_6_4"/>
      <sheetName val="Table_7_4"/>
      <sheetName val="Table_8_4"/>
      <sheetName val="Table_9_new4"/>
      <sheetName val="Table_9_4"/>
      <sheetName val="Table_10_4"/>
      <sheetName val="Table_11_4"/>
      <sheetName val="Table_12_4"/>
      <sheetName val="Table_13_4"/>
      <sheetName val="Table_14_4"/>
      <sheetName val="Table_15_4"/>
      <sheetName val="Table_16_4"/>
      <sheetName val="Table_17_4"/>
      <sheetName val="Table_18_4"/>
      <sheetName val="Table_19_4"/>
      <sheetName val="Table_20_4"/>
      <sheetName val="Table_21_4"/>
      <sheetName val="Table_22_4"/>
      <sheetName val="Table_23_4"/>
      <sheetName val="Table_24_4"/>
      <sheetName val="Table_25_4"/>
      <sheetName val="Table_26_4"/>
      <sheetName val="Table_27_4"/>
      <sheetName val="Table_28_4"/>
      <sheetName val="Table_29_4"/>
      <sheetName val="Table_30_4"/>
      <sheetName val="Table_31_4"/>
      <sheetName val="Table_32_4"/>
      <sheetName val="Table_33_4"/>
      <sheetName val="Table_34_4"/>
      <sheetName val="Table_34_LUX14"/>
      <sheetName val="Table_34_LUX24"/>
      <sheetName val="Table_35_4"/>
      <sheetName val="Table_36_4"/>
      <sheetName val="Table_37_4"/>
      <sheetName val="Table_37_BE_ES4"/>
      <sheetName val="Table_38A_4"/>
      <sheetName val="Table_38B___38C_4"/>
      <sheetName val="Table_38_BE_ES4"/>
      <sheetName val="Table_38_clean4"/>
      <sheetName val="2_Balance_sheet4"/>
      <sheetName val="Table_39_5"/>
      <sheetName val="Table_1_15"/>
      <sheetName val="Table_1_25"/>
      <sheetName val="Table_1_35"/>
      <sheetName val="Table_2_5"/>
      <sheetName val="Table_3_5"/>
      <sheetName val="Table_4_5"/>
      <sheetName val="Table_5_5"/>
      <sheetName val="Table_6_5"/>
      <sheetName val="Table_7_5"/>
      <sheetName val="Table_8_5"/>
      <sheetName val="Table_9_new5"/>
      <sheetName val="Table_9_5"/>
      <sheetName val="Table_10_5"/>
      <sheetName val="Table_11_5"/>
      <sheetName val="Table_12_5"/>
      <sheetName val="Table_13_5"/>
      <sheetName val="Table_14_5"/>
      <sheetName val="Table_15_5"/>
      <sheetName val="Table_16_5"/>
      <sheetName val="Table_17_5"/>
      <sheetName val="Table_18_5"/>
      <sheetName val="Table_19_5"/>
      <sheetName val="Table_20_5"/>
      <sheetName val="Table_21_5"/>
      <sheetName val="Table_22_5"/>
      <sheetName val="Table_23_5"/>
      <sheetName val="Table_24_5"/>
      <sheetName val="Table_25_5"/>
      <sheetName val="Table_26_5"/>
      <sheetName val="Table_27_5"/>
      <sheetName val="Table_28_5"/>
      <sheetName val="Table_29_5"/>
      <sheetName val="Table_30_5"/>
      <sheetName val="Table_31_5"/>
      <sheetName val="Table_32_5"/>
      <sheetName val="Table_33_5"/>
      <sheetName val="Table_34_5"/>
      <sheetName val="Table_34_LUX15"/>
      <sheetName val="Table_34_LUX25"/>
      <sheetName val="Table_35_5"/>
      <sheetName val="Table_36_5"/>
      <sheetName val="Table_37_5"/>
      <sheetName val="Table_37_BE_ES5"/>
      <sheetName val="Table_38A_5"/>
      <sheetName val="Table_38B___38C_5"/>
      <sheetName val="Table_38_BE_ES5"/>
      <sheetName val="Table_38_clean5"/>
      <sheetName val="2_Balance_sheet5"/>
      <sheetName val="Table_39_6"/>
      <sheetName val="Table_1_16"/>
      <sheetName val="Table_1_26"/>
      <sheetName val="Table_1_36"/>
      <sheetName val="Table_2_6"/>
      <sheetName val="Table_3_6"/>
      <sheetName val="Table_4_6"/>
      <sheetName val="Table_5_6"/>
      <sheetName val="Table_6_6"/>
      <sheetName val="Table_7_6"/>
      <sheetName val="Table_8_6"/>
      <sheetName val="Table_9_new6"/>
      <sheetName val="Table_9_6"/>
      <sheetName val="Table_10_6"/>
      <sheetName val="Table_11_6"/>
      <sheetName val="Table_12_6"/>
      <sheetName val="Table_13_6"/>
      <sheetName val="Table_14_6"/>
      <sheetName val="Table_15_6"/>
      <sheetName val="Table_16_6"/>
      <sheetName val="Table_17_6"/>
      <sheetName val="Table_18_6"/>
      <sheetName val="Table_19_6"/>
      <sheetName val="Table_20_6"/>
      <sheetName val="Table_21_6"/>
      <sheetName val="Table_22_6"/>
      <sheetName val="Table_23_6"/>
      <sheetName val="Table_24_6"/>
      <sheetName val="Table_25_6"/>
      <sheetName val="Table_26_6"/>
      <sheetName val="Table_27_6"/>
      <sheetName val="Table_28_6"/>
      <sheetName val="Table_29_6"/>
      <sheetName val="Table_30_6"/>
      <sheetName val="Table_31_6"/>
      <sheetName val="Table_32_6"/>
      <sheetName val="Table_33_6"/>
      <sheetName val="Table_34_6"/>
      <sheetName val="Table_34_LUX16"/>
      <sheetName val="Table_34_LUX26"/>
      <sheetName val="Table_35_6"/>
      <sheetName val="Table_36_6"/>
      <sheetName val="Table_37_6"/>
      <sheetName val="Table_37_BE_ES6"/>
      <sheetName val="Table_38A_6"/>
      <sheetName val="Table_38B___38C_6"/>
      <sheetName val="Table_38_BE_ES6"/>
      <sheetName val="Table_38_clean6"/>
      <sheetName val="2_Balance_sheet6"/>
      <sheetName val="Table_39_7"/>
      <sheetName val="Table_1_17"/>
      <sheetName val="Table_1_27"/>
      <sheetName val="Table_1_37"/>
      <sheetName val="Table_2_7"/>
      <sheetName val="Table_3_7"/>
      <sheetName val="Table_4_7"/>
      <sheetName val="Table_5_7"/>
      <sheetName val="Table_6_7"/>
      <sheetName val="Table_7_7"/>
      <sheetName val="Table_8_7"/>
      <sheetName val="Table_9_new7"/>
      <sheetName val="Table_9_7"/>
      <sheetName val="Table_10_7"/>
      <sheetName val="Table_11_7"/>
      <sheetName val="Table_12_7"/>
      <sheetName val="Table_13_7"/>
      <sheetName val="Table_14_7"/>
      <sheetName val="Table_15_7"/>
      <sheetName val="Table_16_7"/>
      <sheetName val="Table_17_7"/>
      <sheetName val="Table_18_7"/>
      <sheetName val="Table_19_7"/>
      <sheetName val="Table_20_7"/>
      <sheetName val="Table_21_7"/>
      <sheetName val="Table_22_7"/>
      <sheetName val="Table_23_7"/>
      <sheetName val="Table_24_7"/>
      <sheetName val="Table_25_7"/>
      <sheetName val="Table_26_7"/>
      <sheetName val="Table_27_7"/>
      <sheetName val="Table_28_7"/>
      <sheetName val="Table_29_7"/>
      <sheetName val="Table_30_7"/>
      <sheetName val="Table_31_7"/>
      <sheetName val="Table_32_7"/>
      <sheetName val="Table_33_7"/>
      <sheetName val="Table_34_7"/>
      <sheetName val="Table_34_LUX17"/>
      <sheetName val="Table_34_LUX27"/>
      <sheetName val="Table_35_7"/>
      <sheetName val="Table_36_7"/>
      <sheetName val="Table_37_7"/>
      <sheetName val="Table_37_BE_ES7"/>
      <sheetName val="Table_38A_7"/>
      <sheetName val="Table_38B___38C_7"/>
      <sheetName val="Table_38_BE_ES7"/>
      <sheetName val="Table_38_clean7"/>
      <sheetName val="2_Balance_sheet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39_"/>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eamlining"/>
      <sheetName val="Table 1_1"/>
      <sheetName val="Table 1_2"/>
      <sheetName val="Table 1_3"/>
      <sheetName val="Table 2_"/>
      <sheetName val="Information___"/>
      <sheetName val="Table 3_"/>
      <sheetName val="Table 4_"/>
      <sheetName val="Table 5_"/>
      <sheetName val="Table 6_"/>
      <sheetName val="Table 7_"/>
      <sheetName val="Table 8_"/>
      <sheetName val="Table 9_new"/>
      <sheetName val="Table 9_"/>
      <sheetName val="Table 10_"/>
      <sheetName val="Table 11_"/>
      <sheetName val="Table 12_"/>
      <sheetName val="Table 13_"/>
      <sheetName val="Table 14_"/>
      <sheetName val="Table 15_"/>
      <sheetName val="Table 16_"/>
      <sheetName val="Table 17_"/>
      <sheetName val="Table 18_"/>
      <sheetName val="Table 19_"/>
      <sheetName val="Table 20_"/>
      <sheetName val="Table 21_"/>
      <sheetName val="Table 22_"/>
      <sheetName val="Table 23_"/>
      <sheetName val="Table 24_"/>
      <sheetName val="Table 25_"/>
      <sheetName val="Table 26_"/>
      <sheetName val="Table 27_"/>
      <sheetName val="Table 28_"/>
      <sheetName val="Table 29_"/>
      <sheetName val="Table 30_"/>
      <sheetName val="Table 31_"/>
      <sheetName val="Table 32_"/>
      <sheetName val="Table 33_"/>
      <sheetName val="Table 34_"/>
      <sheetName val="Table 34_LUX1"/>
      <sheetName val="Table 34_LUX2"/>
      <sheetName val="Table 35_"/>
      <sheetName val="Table 36_"/>
      <sheetName val="Table 37_"/>
      <sheetName val="Table 37_BE_ES"/>
      <sheetName val="Table 38A_"/>
      <sheetName val="Table 38B _ 38C_"/>
      <sheetName val="Table 38_BE_ES"/>
      <sheetName val="Table 38_clean"/>
      <sheetName val="Table 39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page"/>
      <sheetName val="Overview"/>
      <sheetName val="Guidelines &gt;&gt;"/>
      <sheetName val="A. DEF Real Estate"/>
      <sheetName val="B. DEF Shipping"/>
      <sheetName val="C. DEF Aviation"/>
      <sheetName val="D. DEF Other Non Property"/>
      <sheetName val="Templates &gt;&gt;"/>
      <sheetName val="A. Real Estate"/>
      <sheetName val="B. Shipping"/>
      <sheetName val="C. Aviation"/>
      <sheetName val="D. Other Non Property"/>
      <sheetName val="Lookup tables"/>
      <sheetName val="Template checker"/>
      <sheetName val="Lists"/>
      <sheetName val="SA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6">
          <cell r="BH6" t="str">
            <v>(Please select)</v>
          </cell>
        </row>
        <row r="7">
          <cell r="BH7" t="str">
            <v>A300B4-200</v>
          </cell>
        </row>
        <row r="8">
          <cell r="BH8" t="str">
            <v>A300B4-200 Freighter</v>
          </cell>
        </row>
        <row r="9">
          <cell r="BH9" t="str">
            <v>A300-600</v>
          </cell>
        </row>
        <row r="10">
          <cell r="BH10" t="str">
            <v>A300-600R</v>
          </cell>
        </row>
        <row r="11">
          <cell r="BH11" t="str">
            <v>A300-600R Freighter</v>
          </cell>
        </row>
        <row r="12">
          <cell r="BH12" t="str">
            <v>A310-300</v>
          </cell>
        </row>
        <row r="13">
          <cell r="BH13" t="str">
            <v>A318-100</v>
          </cell>
        </row>
        <row r="14">
          <cell r="BH14" t="str">
            <v>A319-100</v>
          </cell>
        </row>
        <row r="15">
          <cell r="BH15" t="str">
            <v>A320-200 (V2500-A1, CFM56-5A)</v>
          </cell>
        </row>
        <row r="16">
          <cell r="BH16" t="str">
            <v>A320-200 (V2500-A5, CFM56-5B)</v>
          </cell>
        </row>
        <row r="17">
          <cell r="BH17" t="str">
            <v>A321-100</v>
          </cell>
        </row>
        <row r="18">
          <cell r="BH18" t="str">
            <v>A321-200</v>
          </cell>
        </row>
        <row r="19">
          <cell r="BH19" t="str">
            <v>A330-200</v>
          </cell>
        </row>
        <row r="20">
          <cell r="BH20" t="str">
            <v>A330-200 Freighter</v>
          </cell>
        </row>
        <row r="21">
          <cell r="BH21" t="str">
            <v>A330-300 @ 467,379 lbs (212 tonnes) MTOW</v>
          </cell>
        </row>
        <row r="22">
          <cell r="BH22" t="str">
            <v>A330-300 @ 507,100 lbs (230 tonnes) MTOW</v>
          </cell>
        </row>
        <row r="23">
          <cell r="BH23" t="str">
            <v>A340-200</v>
          </cell>
        </row>
        <row r="24">
          <cell r="BH24" t="str">
            <v>A340-300</v>
          </cell>
        </row>
        <row r="25">
          <cell r="BH25" t="str">
            <v>A340-500</v>
          </cell>
        </row>
        <row r="26">
          <cell r="BH26" t="str">
            <v>A340-600</v>
          </cell>
        </row>
        <row r="27">
          <cell r="BH27" t="str">
            <v>A380-800</v>
          </cell>
        </row>
        <row r="28">
          <cell r="BH28" t="str">
            <v>B717-200</v>
          </cell>
        </row>
        <row r="29">
          <cell r="BH29" t="str">
            <v>B727-200 Advanced (JT8D-15/-17) Stage 3</v>
          </cell>
        </row>
        <row r="30">
          <cell r="BH30" t="str">
            <v>B727-200 Advanced Freighter Stage 3</v>
          </cell>
        </row>
        <row r="31">
          <cell r="BH31" t="str">
            <v>B737-200 Advanced (JT8D-15/-17) Stage 3</v>
          </cell>
        </row>
        <row r="32">
          <cell r="BH32" t="str">
            <v>B737-300</v>
          </cell>
        </row>
        <row r="33">
          <cell r="BH33" t="str">
            <v>B737-300SF</v>
          </cell>
        </row>
        <row r="34">
          <cell r="BH34" t="str">
            <v>B737-400</v>
          </cell>
        </row>
        <row r="35">
          <cell r="BH35" t="str">
            <v>B737-500</v>
          </cell>
        </row>
        <row r="36">
          <cell r="BH36" t="str">
            <v>B737-600</v>
          </cell>
        </row>
        <row r="37">
          <cell r="BH37" t="str">
            <v>B737-700 Winglets</v>
          </cell>
        </row>
        <row r="38">
          <cell r="BH38" t="str">
            <v>B737-800 Winglets</v>
          </cell>
        </row>
        <row r="39">
          <cell r="BH39" t="str">
            <v>B737-900</v>
          </cell>
        </row>
        <row r="40">
          <cell r="BH40" t="str">
            <v>B737-900ER Winglets</v>
          </cell>
        </row>
        <row r="41">
          <cell r="BH41" t="str">
            <v>B747-200 Freighter</v>
          </cell>
        </row>
        <row r="42">
          <cell r="BH42" t="str">
            <v>B747-200B +78  JT9D-7Q</v>
          </cell>
        </row>
        <row r="43">
          <cell r="BH43" t="str">
            <v>B747-300</v>
          </cell>
        </row>
        <row r="44">
          <cell r="BH44" t="str">
            <v>B747-400</v>
          </cell>
        </row>
        <row r="45">
          <cell r="BH45" t="str">
            <v>B747-400 Combi</v>
          </cell>
        </row>
        <row r="46">
          <cell r="BH46" t="str">
            <v>B747-400 Freighter</v>
          </cell>
        </row>
        <row r="47">
          <cell r="BH47" t="str">
            <v>B747-400BCF</v>
          </cell>
        </row>
        <row r="48">
          <cell r="BH48" t="str">
            <v>B747-400ER</v>
          </cell>
        </row>
        <row r="49">
          <cell r="BH49" t="str">
            <v>B747-400ER Freighter</v>
          </cell>
        </row>
        <row r="50">
          <cell r="BH50" t="str">
            <v>B747-400ISF</v>
          </cell>
        </row>
        <row r="51">
          <cell r="BH51" t="str">
            <v>B747-8 (GEnx PrePIP)</v>
          </cell>
        </row>
        <row r="52">
          <cell r="BH52" t="str">
            <v>B747-8 Freighter (GEnx PrePIP)</v>
          </cell>
        </row>
        <row r="53">
          <cell r="BH53" t="str">
            <v>B757-200 ETOPS</v>
          </cell>
        </row>
        <row r="54">
          <cell r="BH54" t="str">
            <v>B757-200 Non-ETOPS</v>
          </cell>
        </row>
        <row r="55">
          <cell r="BH55" t="str">
            <v>B757-200 P2F - Precision Conversion 15 pallet STC</v>
          </cell>
        </row>
        <row r="56">
          <cell r="BH56" t="str">
            <v>B757-200 P2F - ST Aerospace (Boeing STC)</v>
          </cell>
        </row>
        <row r="57">
          <cell r="BH57" t="str">
            <v>B757-200 Production Freighter</v>
          </cell>
        </row>
        <row r="58">
          <cell r="BH58" t="str">
            <v>B757-300</v>
          </cell>
        </row>
        <row r="59">
          <cell r="BH59" t="str">
            <v>B767-200</v>
          </cell>
        </row>
        <row r="60">
          <cell r="BH60" t="str">
            <v>B767-200ER</v>
          </cell>
        </row>
        <row r="61">
          <cell r="BH61" t="str">
            <v>B767-300</v>
          </cell>
        </row>
        <row r="62">
          <cell r="BH62" t="str">
            <v>B767-300ER</v>
          </cell>
        </row>
        <row r="63">
          <cell r="BH63" t="str">
            <v>B767-400ER</v>
          </cell>
        </row>
        <row r="64">
          <cell r="BH64" t="str">
            <v>B777 Freighter</v>
          </cell>
        </row>
        <row r="65">
          <cell r="BH65" t="str">
            <v>B777-200</v>
          </cell>
        </row>
        <row r="66">
          <cell r="BH66" t="str">
            <v>B777-200ER</v>
          </cell>
        </row>
        <row r="67">
          <cell r="BH67" t="str">
            <v>B777-200LR</v>
          </cell>
        </row>
        <row r="68">
          <cell r="BH68" t="str">
            <v>B777-300</v>
          </cell>
        </row>
        <row r="69">
          <cell r="BH69" t="str">
            <v>B777-300ER</v>
          </cell>
        </row>
        <row r="70">
          <cell r="BH70" t="str">
            <v>B787-8 (Line No. 20-130)</v>
          </cell>
        </row>
        <row r="71">
          <cell r="BH71" t="str">
            <v>BAE 146-100</v>
          </cell>
        </row>
        <row r="72">
          <cell r="BH72" t="str">
            <v>BAE 146-200</v>
          </cell>
        </row>
        <row r="73">
          <cell r="BH73" t="str">
            <v>BAE 146-300</v>
          </cell>
        </row>
        <row r="74">
          <cell r="BH74" t="str">
            <v>AVRO RJ100</v>
          </cell>
        </row>
        <row r="75">
          <cell r="BH75" t="str">
            <v>AVRO RJ70</v>
          </cell>
        </row>
        <row r="76">
          <cell r="BH76" t="str">
            <v>AVRO RJ85</v>
          </cell>
        </row>
        <row r="77">
          <cell r="BH77" t="str">
            <v>CRJ100ER</v>
          </cell>
        </row>
        <row r="78">
          <cell r="BH78" t="str">
            <v>CRJ100LR</v>
          </cell>
        </row>
        <row r="79">
          <cell r="BH79" t="str">
            <v>CRJ200ER</v>
          </cell>
        </row>
        <row r="80">
          <cell r="BH80" t="str">
            <v>CRJ200LR</v>
          </cell>
        </row>
        <row r="81">
          <cell r="BH81" t="str">
            <v>CRJ700</v>
          </cell>
        </row>
        <row r="82">
          <cell r="BH82" t="str">
            <v>CRJ700ER</v>
          </cell>
        </row>
        <row r="83">
          <cell r="BH83" t="str">
            <v>CRJ900ER</v>
          </cell>
        </row>
        <row r="84">
          <cell r="BH84" t="str">
            <v>CRJ900LR</v>
          </cell>
        </row>
        <row r="85">
          <cell r="BH85" t="str">
            <v>CRJ1000ER</v>
          </cell>
        </row>
        <row r="86">
          <cell r="BH86" t="str">
            <v>DC-9-30 Stage 3</v>
          </cell>
        </row>
        <row r="87">
          <cell r="BH87" t="str">
            <v>DC-9-51 Stage 3</v>
          </cell>
        </row>
        <row r="88">
          <cell r="BH88" t="str">
            <v>DC-10-30</v>
          </cell>
        </row>
        <row r="89">
          <cell r="BH89" t="str">
            <v>DC-10-30 Freighter</v>
          </cell>
        </row>
        <row r="90">
          <cell r="BH90" t="str">
            <v>MD-11</v>
          </cell>
        </row>
        <row r="91">
          <cell r="BH91" t="str">
            <v>MD-11 Freighter</v>
          </cell>
        </row>
        <row r="92">
          <cell r="BH92" t="str">
            <v>MD-82 (JT8D-217/-217A)</v>
          </cell>
        </row>
        <row r="93">
          <cell r="BH93" t="str">
            <v>MD-82 (JT8D-217C)</v>
          </cell>
        </row>
        <row r="94">
          <cell r="BH94" t="str">
            <v>MD-83</v>
          </cell>
        </row>
        <row r="95">
          <cell r="BH95" t="str">
            <v>MD-87</v>
          </cell>
        </row>
        <row r="96">
          <cell r="BH96" t="str">
            <v>MD-88</v>
          </cell>
        </row>
        <row r="97">
          <cell r="BH97" t="str">
            <v>MD-90-30</v>
          </cell>
        </row>
        <row r="98">
          <cell r="BH98" t="str">
            <v>ERJ-135ER</v>
          </cell>
        </row>
        <row r="99">
          <cell r="BH99" t="str">
            <v>ERJ-135LR</v>
          </cell>
        </row>
        <row r="100">
          <cell r="BH100" t="str">
            <v>ERJ-140LR</v>
          </cell>
        </row>
        <row r="101">
          <cell r="BH101" t="str">
            <v>ERJ-145ER</v>
          </cell>
        </row>
        <row r="102">
          <cell r="BH102" t="str">
            <v>ERJ-145LR</v>
          </cell>
        </row>
        <row r="103">
          <cell r="BH103" t="str">
            <v>ERJ-145XR</v>
          </cell>
        </row>
        <row r="104">
          <cell r="BH104" t="str">
            <v>Embraer 170</v>
          </cell>
        </row>
        <row r="105">
          <cell r="BH105" t="str">
            <v>Embraer 170AR</v>
          </cell>
        </row>
        <row r="106">
          <cell r="BH106" t="str">
            <v>Embraer 170LR</v>
          </cell>
        </row>
        <row r="107">
          <cell r="BH107" t="str">
            <v>Embraer 175</v>
          </cell>
        </row>
        <row r="108">
          <cell r="BH108" t="str">
            <v>Embraer 175AR</v>
          </cell>
        </row>
        <row r="109">
          <cell r="BH109" t="str">
            <v>Embraer 175LR</v>
          </cell>
        </row>
        <row r="110">
          <cell r="BH110" t="str">
            <v>Embraer 190</v>
          </cell>
        </row>
        <row r="111">
          <cell r="BH111" t="str">
            <v>Embraer 190AR</v>
          </cell>
        </row>
        <row r="112">
          <cell r="BH112" t="str">
            <v>Embraer 190LR</v>
          </cell>
        </row>
        <row r="113">
          <cell r="BH113" t="str">
            <v>Embraer 195</v>
          </cell>
        </row>
        <row r="114">
          <cell r="BH114" t="str">
            <v>Embraer 195AR</v>
          </cell>
        </row>
        <row r="115">
          <cell r="BH115" t="str">
            <v>Embraer 195LR</v>
          </cell>
        </row>
        <row r="116">
          <cell r="BH116" t="str">
            <v>Fairchild 328JET</v>
          </cell>
        </row>
        <row r="117">
          <cell r="BH117" t="str">
            <v>F28 Mk4000</v>
          </cell>
        </row>
        <row r="118">
          <cell r="BH118" t="str">
            <v>Fokker 100</v>
          </cell>
        </row>
        <row r="119">
          <cell r="BH119" t="str">
            <v>Fokker 70</v>
          </cell>
        </row>
        <row r="120">
          <cell r="BH120" t="str">
            <v>SuperJet 100/95B</v>
          </cell>
        </row>
        <row r="121">
          <cell r="BH121" t="str">
            <v>Other</v>
          </cell>
        </row>
        <row r="122">
          <cell r="BH122" t="str">
            <v>Not known</v>
          </cell>
        </row>
      </sheetData>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REP Implementation"/>
      <sheetName val="Table 21"/>
      <sheetName val="Lists"/>
    </sheetNames>
    <sheetDataSet>
      <sheetData sheetId="0" refreshError="1"/>
      <sheetData sheetId="1" refreshError="1"/>
      <sheetData sheetId="2">
        <row r="17">
          <cell r="A17" t="str">
            <v>Yes, compulsory</v>
          </cell>
        </row>
        <row r="18">
          <cell r="A18" t="str">
            <v>Yes, optional</v>
          </cell>
        </row>
        <row r="19">
          <cell r="A19" t="str">
            <v>No</v>
          </cell>
        </row>
        <row r="21">
          <cell r="A21" t="str">
            <v>Monthly</v>
          </cell>
        </row>
        <row r="22">
          <cell r="A22" t="str">
            <v>Quarterly</v>
          </cell>
        </row>
        <row r="23">
          <cell r="A23" t="str">
            <v>Semi-annually</v>
          </cell>
        </row>
        <row r="24">
          <cell r="A24" t="str">
            <v>Annnually</v>
          </cell>
        </row>
        <row r="25">
          <cell r="A25" t="str">
            <v>Other, please specify</v>
          </cell>
        </row>
        <row r="39">
          <cell r="A39" t="str">
            <v>Fully</v>
          </cell>
        </row>
        <row r="40">
          <cell r="A40" t="str">
            <v>Partially</v>
          </cell>
        </row>
        <row r="41">
          <cell r="A41" t="str">
            <v>Not applied</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REGO"/>
      <sheetName val="PGC"/>
      <sheetName val="TIPO DE CAMBIO"/>
      <sheetName val="Agrego 8 "/>
    </sheetNames>
    <sheetDataSet>
      <sheetData sheetId="0"/>
      <sheetData sheetId="1"/>
      <sheetData sheetId="2">
        <row r="2">
          <cell r="IR2" t="str">
            <v>Limitación Sistemas</v>
          </cell>
          <cell r="IS2" t="str">
            <v>Sin iniciar</v>
          </cell>
        </row>
        <row r="3">
          <cell r="IR3" t="str">
            <v>Error Tecnológico</v>
          </cell>
          <cell r="IS3" t="str">
            <v>En curso</v>
          </cell>
        </row>
        <row r="4">
          <cell r="IR4" t="str">
            <v>Operación Especial</v>
          </cell>
          <cell r="IS4" t="str">
            <v>Cerrado</v>
          </cell>
        </row>
        <row r="5">
          <cell r="IR5" t="str">
            <v>Error Usuario</v>
          </cell>
          <cell r="IS5" t="str">
            <v>Sin Desarrollo</v>
          </cell>
        </row>
        <row r="6">
          <cell r="IR6" t="str">
            <v>Diferencia Criterio</v>
          </cell>
        </row>
        <row r="7">
          <cell r="IR7" t="str">
            <v>Operación Singular</v>
          </cell>
        </row>
      </sheetData>
      <sheetData sheetId="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REP Implementation"/>
      <sheetName val="Table 21"/>
      <sheetName val="Lists"/>
      <sheetName val="Pegado"/>
      <sheetName val="base datos"/>
      <sheetName val="Conciliación"/>
      <sheetName val="Ancev"/>
      <sheetName val="Ajuste Altas"/>
      <sheetName val="CUENTAS FGD VS KNI"/>
      <sheetName val="CALCULOS 1007"/>
      <sheetName val="COPIAR 1007_CONTROL _D"/>
      <sheetName val="CALCULOS 1010"/>
      <sheetName val="COPIAR 1010_CONTROL_D"/>
      <sheetName val="CALCULOS KNIM1SEC"/>
      <sheetName val="COPIAR KNIM1SEC_CONTROL_D"/>
      <sheetName val="Hoja1"/>
      <sheetName val="FINREP_Implementation"/>
      <sheetName val="Table_21"/>
      <sheetName val="Ajuste_Altas"/>
      <sheetName val="CUENTAS_FGD_VS_KNI"/>
      <sheetName val="CALCULOS_1007"/>
      <sheetName val="COPIAR_1007_CONTROL__D"/>
      <sheetName val="CALCULOS_1010"/>
      <sheetName val="COPIAR_1010_CONTROL_D"/>
      <sheetName val="CALCULOS_KNIM1SEC"/>
      <sheetName val="COPIAR_KNIM1SEC_CONTROL_D"/>
      <sheetName val="base_datos"/>
      <sheetName val="ES-PCR - PLACO"/>
      <sheetName val="FINREP_Implementation1"/>
      <sheetName val="Table_211"/>
      <sheetName val="base_datos1"/>
      <sheetName val="FINREP_Implementation2"/>
      <sheetName val="Table_212"/>
      <sheetName val="Ajuste_Altas1"/>
      <sheetName val="CUENTAS_FGD_VS_KNI1"/>
      <sheetName val="CALCULOS_10071"/>
      <sheetName val="COPIAR_1007_CONTROL__D1"/>
      <sheetName val="CALCULOS_10101"/>
      <sheetName val="COPIAR_1010_CONTROL_D1"/>
      <sheetName val="CALCULOS_KNIM1SEC1"/>
      <sheetName val="COPIAR_KNIM1SEC_CONTROL_D1"/>
      <sheetName val="base_datos2"/>
      <sheetName val="ES-PCR_-_PLACO"/>
      <sheetName val="PtoBV"/>
      <sheetName val="Plantilla"/>
      <sheetName val="Resumen"/>
      <sheetName val="Cons pl"/>
      <sheetName val="DLL Dep 1999"/>
      <sheetName val="1.1"/>
      <sheetName val="Traspasos Mensuales"/>
      <sheetName val="Sobrantes"/>
      <sheetName val="Plantillas"/>
      <sheetName val="FINREP_Implementation9"/>
      <sheetName val="Table_219"/>
      <sheetName val="base_datos9"/>
      <sheetName val="Ajuste_Altas7"/>
      <sheetName val="CUENTAS_FGD_VS_KNI7"/>
      <sheetName val="CALCULOS_10077"/>
      <sheetName val="COPIAR_1007_CONTROL__D7"/>
      <sheetName val="CALCULOS_10107"/>
      <sheetName val="COPIAR_1010_CONTROL_D7"/>
      <sheetName val="CALCULOS_KNIM1SEC7"/>
      <sheetName val="COPIAR_KNIM1SEC_CONTROL_D7"/>
      <sheetName val="FINREP_Implementation3"/>
      <sheetName val="Table_213"/>
      <sheetName val="base_datos3"/>
      <sheetName val="FINREP_Implementation4"/>
      <sheetName val="Table_214"/>
      <sheetName val="base_datos4"/>
      <sheetName val="Ajuste_Altas2"/>
      <sheetName val="CUENTAS_FGD_VS_KNI2"/>
      <sheetName val="CALCULOS_10072"/>
      <sheetName val="COPIAR_1007_CONTROL__D2"/>
      <sheetName val="CALCULOS_10102"/>
      <sheetName val="COPIAR_1010_CONTROL_D2"/>
      <sheetName val="CALCULOS_KNIM1SEC2"/>
      <sheetName val="COPIAR_KNIM1SEC_CONTROL_D2"/>
      <sheetName val="FINREP_Implementation7"/>
      <sheetName val="Table_217"/>
      <sheetName val="base_datos7"/>
      <sheetName val="Ajuste_Altas5"/>
      <sheetName val="CUENTAS_FGD_VS_KNI5"/>
      <sheetName val="CALCULOS_10075"/>
      <sheetName val="COPIAR_1007_CONTROL__D5"/>
      <sheetName val="CALCULOS_10105"/>
      <sheetName val="COPIAR_1010_CONTROL_D5"/>
      <sheetName val="CALCULOS_KNIM1SEC5"/>
      <sheetName val="COPIAR_KNIM1SEC_CONTROL_D5"/>
      <sheetName val="FINREP_Implementation5"/>
      <sheetName val="Table_215"/>
      <sheetName val="base_datos5"/>
      <sheetName val="Ajuste_Altas3"/>
      <sheetName val="CUENTAS_FGD_VS_KNI3"/>
      <sheetName val="CALCULOS_10073"/>
      <sheetName val="COPIAR_1007_CONTROL__D3"/>
      <sheetName val="CALCULOS_10103"/>
      <sheetName val="COPIAR_1010_CONTROL_D3"/>
      <sheetName val="CALCULOS_KNIM1SEC3"/>
      <sheetName val="COPIAR_KNIM1SEC_CONTROL_D3"/>
      <sheetName val="FINREP_Implementation6"/>
      <sheetName val="Table_216"/>
      <sheetName val="base_datos6"/>
      <sheetName val="Ajuste_Altas4"/>
      <sheetName val="CUENTAS_FGD_VS_KNI4"/>
      <sheetName val="CALCULOS_10074"/>
      <sheetName val="COPIAR_1007_CONTROL__D4"/>
      <sheetName val="CALCULOS_10104"/>
      <sheetName val="COPIAR_1010_CONTROL_D4"/>
      <sheetName val="CALCULOS_KNIM1SEC4"/>
      <sheetName val="COPIAR_KNIM1SEC_CONTROL_D4"/>
      <sheetName val="FINREP_Implementation8"/>
      <sheetName val="Table_218"/>
      <sheetName val="base_datos8"/>
      <sheetName val="Ajuste_Altas6"/>
      <sheetName val="CUENTAS_FGD_VS_KNI6"/>
      <sheetName val="CALCULOS_10076"/>
      <sheetName val="COPIAR_1007_CONTROL__D6"/>
      <sheetName val="CALCULOS_10106"/>
      <sheetName val="COPIAR_1010_CONTROL_D6"/>
      <sheetName val="CALCULOS_KNIM1SEC6"/>
      <sheetName val="COPIAR_KNIM1SEC_CONTROL_D6"/>
      <sheetName val="FINREP_Implementation10"/>
      <sheetName val="Table_2110"/>
      <sheetName val="base_datos10"/>
      <sheetName val="Ajuste_Altas8"/>
      <sheetName val="CUENTAS_FGD_VS_KNI8"/>
      <sheetName val="CALCULOS_10078"/>
      <sheetName val="COPIAR_1007_CONTROL__D8"/>
      <sheetName val="CALCULOS_10108"/>
      <sheetName val="COPIAR_1010_CONTROL_D8"/>
      <sheetName val="CALCULOS_KNIM1SEC8"/>
      <sheetName val="COPIAR_KNIM1SEC_CONTROL_D8"/>
      <sheetName val="FINREP_Implementation11"/>
      <sheetName val="Table_2111"/>
      <sheetName val="base_datos11"/>
      <sheetName val="Ajuste_Altas9"/>
      <sheetName val="CUENTAS_FGD_VS_KNI9"/>
      <sheetName val="CALCULOS_10079"/>
      <sheetName val="COPIAR_1007_CONTROL__D9"/>
      <sheetName val="CALCULOS_10109"/>
      <sheetName val="COPIAR_1010_CONTROL_D9"/>
      <sheetName val="CALCULOS_KNIM1SEC9"/>
      <sheetName val="COPIAR_KNIM1SEC_CONTROL_D9"/>
      <sheetName val="FINREP_Implementation12"/>
      <sheetName val="Table_2112"/>
      <sheetName val="base_datos12"/>
      <sheetName val="Ajuste_Altas10"/>
      <sheetName val="CUENTAS_FGD_VS_KNI10"/>
      <sheetName val="CALCULOS_100710"/>
      <sheetName val="COPIAR_1007_CONTROL__D10"/>
      <sheetName val="CALCULOS_101010"/>
      <sheetName val="COPIAR_1010_CONTROL_D10"/>
      <sheetName val="CALCULOS_KNIM1SEC10"/>
      <sheetName val="COPIAR_KNIM1SEC_CONTROL_D10"/>
      <sheetName val="FINREP_Implementation13"/>
      <sheetName val="Table_2113"/>
      <sheetName val="base_datos13"/>
      <sheetName val="Ajuste_Altas11"/>
      <sheetName val="CUENTAS_FGD_VS_KNI11"/>
      <sheetName val="CALCULOS_100711"/>
      <sheetName val="COPIAR_1007_CONTROL__D11"/>
      <sheetName val="CALCULOS_101011"/>
      <sheetName val="COPIAR_1010_CONTROL_D11"/>
      <sheetName val="CALCULOS_KNIM1SEC11"/>
      <sheetName val="COPIAR_KNIM1SEC_CONTROL_D11"/>
      <sheetName val="FINREP_Implementation14"/>
      <sheetName val="Table_2114"/>
      <sheetName val="base_datos14"/>
      <sheetName val="Ajuste_Altas12"/>
      <sheetName val="CUENTAS_FGD_VS_KNI12"/>
      <sheetName val="CALCULOS_100712"/>
      <sheetName val="COPIAR_1007_CONTROL__D12"/>
      <sheetName val="CALCULOS_101012"/>
      <sheetName val="COPIAR_1010_CONTROL_D12"/>
      <sheetName val="CALCULOS_KNIM1SEC12"/>
      <sheetName val="COPIAR_KNIM1SEC_CONTROL_D12"/>
      <sheetName val="FINREP_Implementation15"/>
      <sheetName val="Table_2115"/>
      <sheetName val="base_datos15"/>
      <sheetName val="Ajuste_Altas13"/>
      <sheetName val="CUENTAS_FGD_VS_KNI13"/>
      <sheetName val="CALCULOS_100713"/>
      <sheetName val="COPIAR_1007_CONTROL__D13"/>
      <sheetName val="CALCULOS_101013"/>
      <sheetName val="COPIAR_1010_CONTROL_D13"/>
      <sheetName val="CALCULOS_KNIM1SEC13"/>
      <sheetName val="COPIAR_KNIM1SEC_CONTROL_D13"/>
      <sheetName val="FINREP_Implementation18"/>
      <sheetName val="Table_2118"/>
      <sheetName val="base_datos18"/>
      <sheetName val="Ajuste_Altas16"/>
      <sheetName val="CUENTAS_FGD_VS_KNI16"/>
      <sheetName val="CALCULOS_100716"/>
      <sheetName val="COPIAR_1007_CONTROL__D16"/>
      <sheetName val="CALCULOS_101016"/>
      <sheetName val="COPIAR_1010_CONTROL_D16"/>
      <sheetName val="CALCULOS_KNIM1SEC16"/>
      <sheetName val="COPIAR_KNIM1SEC_CONTROL_D16"/>
      <sheetName val="FINREP_Implementation16"/>
      <sheetName val="Table_2116"/>
      <sheetName val="base_datos16"/>
      <sheetName val="Ajuste_Altas14"/>
      <sheetName val="CUENTAS_FGD_VS_KNI14"/>
      <sheetName val="CALCULOS_100714"/>
      <sheetName val="COPIAR_1007_CONTROL__D14"/>
      <sheetName val="CALCULOS_101014"/>
      <sheetName val="COPIAR_1010_CONTROL_D14"/>
      <sheetName val="CALCULOS_KNIM1SEC14"/>
      <sheetName val="COPIAR_KNIM1SEC_CONTROL_D14"/>
      <sheetName val="FINREP_Implementation17"/>
      <sheetName val="Table_2117"/>
      <sheetName val="base_datos17"/>
      <sheetName val="Ajuste_Altas15"/>
      <sheetName val="CUENTAS_FGD_VS_KNI15"/>
      <sheetName val="CALCULOS_100715"/>
      <sheetName val="COPIAR_1007_CONTROL__D15"/>
      <sheetName val="CALCULOS_101015"/>
      <sheetName val="COPIAR_1010_CONTROL_D15"/>
      <sheetName val="CALCULOS_KNIM1SEC15"/>
      <sheetName val="COPIAR_KNIM1SEC_CONTROL_D15"/>
      <sheetName val="FINREP_Implementation19"/>
      <sheetName val="Table_2119"/>
      <sheetName val="base_datos19"/>
      <sheetName val="Ajuste_Altas17"/>
      <sheetName val="CUENTAS_FGD_VS_KNI17"/>
      <sheetName val="CALCULOS_100717"/>
      <sheetName val="COPIAR_1007_CONTROL__D17"/>
      <sheetName val="CALCULOS_101017"/>
      <sheetName val="COPIAR_1010_CONTROL_D17"/>
      <sheetName val="CALCULOS_KNIM1SEC17"/>
      <sheetName val="COPIAR_KNIM1SEC_CONTROL_D17"/>
      <sheetName val="FINREP_Implementation20"/>
      <sheetName val="Table_2120"/>
      <sheetName val="base_datos20"/>
      <sheetName val="Ajuste_Altas18"/>
      <sheetName val="CUENTAS_FGD_VS_KNI18"/>
      <sheetName val="CALCULOS_100718"/>
      <sheetName val="COPIAR_1007_CONTROL__D18"/>
      <sheetName val="CALCULOS_101018"/>
      <sheetName val="COPIAR_1010_CONTROL_D18"/>
      <sheetName val="CALCULOS_KNIM1SEC18"/>
      <sheetName val="COPIAR_KNIM1SEC_CONTROL_D18"/>
      <sheetName val="FINREP_Implementation22"/>
      <sheetName val="Table_2122"/>
      <sheetName val="base_datos22"/>
      <sheetName val="Ajuste_Altas20"/>
      <sheetName val="CUENTAS_FGD_VS_KNI20"/>
      <sheetName val="CALCULOS_100720"/>
      <sheetName val="COPIAR_1007_CONTROL__D20"/>
      <sheetName val="CALCULOS_101020"/>
      <sheetName val="COPIAR_1010_CONTROL_D20"/>
      <sheetName val="CALCULOS_KNIM1SEC20"/>
      <sheetName val="COPIAR_KNIM1SEC_CONTROL_D20"/>
      <sheetName val="FINREP_Implementation21"/>
      <sheetName val="Table_2121"/>
      <sheetName val="base_datos21"/>
      <sheetName val="Ajuste_Altas19"/>
      <sheetName val="CUENTAS_FGD_VS_KNI19"/>
      <sheetName val="CALCULOS_100719"/>
      <sheetName val="COPIAR_1007_CONTROL__D19"/>
      <sheetName val="CALCULOS_101019"/>
      <sheetName val="COPIAR_1010_CONTROL_D19"/>
      <sheetName val="CALCULOS_KNIM1SEC19"/>
      <sheetName val="COPIAR_KNIM1SEC_CONTROL_D19"/>
      <sheetName val="FINREP_Implementation23"/>
      <sheetName val="Table_2123"/>
      <sheetName val="base_datos23"/>
      <sheetName val="Ajuste_Altas21"/>
      <sheetName val="CUENTAS_FGD_VS_KNI21"/>
      <sheetName val="CALCULOS_100721"/>
      <sheetName val="COPIAR_1007_CONTROL__D21"/>
      <sheetName val="CALCULOS_101021"/>
      <sheetName val="COPIAR_1010_CONTROL_D21"/>
      <sheetName val="CALCULOS_KNIM1SEC21"/>
      <sheetName val="COPIAR_KNIM1SEC_CONTROL_D21"/>
      <sheetName val="FINREP_Implementation24"/>
      <sheetName val="Table_2124"/>
      <sheetName val="base_datos24"/>
      <sheetName val="Ajuste_Altas22"/>
      <sheetName val="CUENTAS_FGD_VS_KNI22"/>
      <sheetName val="CALCULOS_100722"/>
      <sheetName val="COPIAR_1007_CONTROL__D22"/>
      <sheetName val="CALCULOS_101022"/>
      <sheetName val="COPIAR_1010_CONTROL_D22"/>
      <sheetName val="CALCULOS_KNIM1SEC22"/>
      <sheetName val="COPIAR_KNIM1SEC_CONTROL_D22"/>
      <sheetName val="FINREP_Implementation25"/>
      <sheetName val="Table_2125"/>
      <sheetName val="base_datos25"/>
      <sheetName val="Ajuste_Altas23"/>
      <sheetName val="CUENTAS_FGD_VS_KNI23"/>
      <sheetName val="CALCULOS_100723"/>
      <sheetName val="COPIAR_1007_CONTROL__D23"/>
      <sheetName val="CALCULOS_101023"/>
      <sheetName val="COPIAR_1010_CONTROL_D23"/>
      <sheetName val="CALCULOS_KNIM1SEC23"/>
      <sheetName val="COPIAR_KNIM1SEC_CONTROL_D23"/>
      <sheetName val="ES-PCR_-_PLACO1"/>
      <sheetName val="Cons_pl"/>
      <sheetName val="DLL_Dep_1999"/>
      <sheetName val="1_1"/>
      <sheetName val="Traspasos_Mensuales"/>
    </sheetNames>
    <sheetDataSet>
      <sheetData sheetId="0" refreshError="1"/>
      <sheetData sheetId="1" refreshError="1"/>
      <sheetData sheetId="2">
        <row r="17">
          <cell r="A17" t="str">
            <v>Yes, compulsory</v>
          </cell>
        </row>
        <row r="21">
          <cell r="A21" t="str">
            <v>Monthly</v>
          </cell>
        </row>
        <row r="22">
          <cell r="A22" t="str">
            <v>Quarterly</v>
          </cell>
        </row>
        <row r="23">
          <cell r="A23" t="str">
            <v>Semi-annually</v>
          </cell>
        </row>
        <row r="24">
          <cell r="A24" t="str">
            <v>Annnually</v>
          </cell>
        </row>
        <row r="25">
          <cell r="A25" t="str">
            <v>Other, please specify</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0F75C-F9E0-4EF9-B7AB-48EAA75E0827}">
  <dimension ref="B1:D18"/>
  <sheetViews>
    <sheetView tabSelected="1" zoomScale="90" zoomScaleNormal="90" workbookViewId="0"/>
  </sheetViews>
  <sheetFormatPr defaultColWidth="11.54296875" defaultRowHeight="20.5" customHeight="1" x14ac:dyDescent="0.35"/>
  <cols>
    <col min="1" max="1" width="5.453125" style="1" customWidth="1"/>
    <col min="2" max="2" width="23.453125" style="1" customWidth="1"/>
    <col min="3" max="3" width="43.1796875" style="2" bestFit="1" customWidth="1"/>
    <col min="4" max="4" width="40.54296875" style="1" customWidth="1"/>
    <col min="5" max="5" width="11.54296875" style="1" customWidth="1"/>
    <col min="6" max="16384" width="11.54296875" style="1"/>
  </cols>
  <sheetData>
    <row r="1" spans="2:4" ht="14.5" x14ac:dyDescent="0.35"/>
    <row r="2" spans="2:4" ht="20.5" customHeight="1" x14ac:dyDescent="0.35">
      <c r="B2" s="20" t="s">
        <v>23</v>
      </c>
    </row>
    <row r="3" spans="2:4" ht="20.5" customHeight="1" thickBot="1" x14ac:dyDescent="0.4"/>
    <row r="4" spans="2:4" ht="20.5" customHeight="1" thickBot="1" x14ac:dyDescent="0.4">
      <c r="B4" s="19" t="s">
        <v>22</v>
      </c>
      <c r="C4" s="18" t="s">
        <v>21</v>
      </c>
    </row>
    <row r="5" spans="2:4" ht="20.5" customHeight="1" thickBot="1" x14ac:dyDescent="0.4">
      <c r="B5" s="19" t="s">
        <v>20</v>
      </c>
      <c r="C5" s="18" t="s">
        <v>19</v>
      </c>
    </row>
    <row r="6" spans="2:4" ht="20.5" customHeight="1" thickBot="1" x14ac:dyDescent="0.4">
      <c r="B6" s="17" t="s">
        <v>18</v>
      </c>
      <c r="C6" s="16" t="s">
        <v>17</v>
      </c>
    </row>
    <row r="7" spans="2:4" ht="20.5" customHeight="1" thickBot="1" x14ac:dyDescent="0.4">
      <c r="B7" s="15" t="s">
        <v>16</v>
      </c>
      <c r="C7" s="14" t="s">
        <v>15</v>
      </c>
    </row>
    <row r="9" spans="2:4" ht="20.5" customHeight="1" thickBot="1" x14ac:dyDescent="0.4">
      <c r="B9" s="1" t="s">
        <v>14</v>
      </c>
    </row>
    <row r="10" spans="2:4" ht="27" customHeight="1" thickBot="1" x14ac:dyDescent="0.4">
      <c r="B10" s="13" t="s">
        <v>13</v>
      </c>
      <c r="C10" s="13" t="s">
        <v>12</v>
      </c>
      <c r="D10" s="12" t="s">
        <v>11</v>
      </c>
    </row>
    <row r="11" spans="2:4" ht="27" customHeight="1" thickBot="1" x14ac:dyDescent="0.4">
      <c r="B11" s="10" t="s">
        <v>10</v>
      </c>
      <c r="C11" s="11" t="s">
        <v>9</v>
      </c>
      <c r="D11" s="11" t="s">
        <v>8</v>
      </c>
    </row>
    <row r="12" spans="2:4" ht="27" customHeight="1" thickBot="1" x14ac:dyDescent="0.4">
      <c r="B12" s="10" t="s">
        <v>7</v>
      </c>
      <c r="C12" s="9" t="s">
        <v>6</v>
      </c>
      <c r="D12" s="8" t="s">
        <v>5</v>
      </c>
    </row>
    <row r="13" spans="2:4" ht="27" customHeight="1" thickBot="1" x14ac:dyDescent="0.4">
      <c r="B13" s="7" t="s">
        <v>4</v>
      </c>
      <c r="C13" s="6">
        <v>99999999999</v>
      </c>
      <c r="D13" s="5">
        <v>11111111111</v>
      </c>
    </row>
    <row r="14" spans="2:4" ht="27" customHeight="1" x14ac:dyDescent="0.35"/>
    <row r="15" spans="2:4" ht="16.5" x14ac:dyDescent="0.35">
      <c r="B15" s="1" t="s">
        <v>3</v>
      </c>
    </row>
    <row r="16" spans="2:4" ht="14.5" x14ac:dyDescent="0.35">
      <c r="B16" s="4" t="s">
        <v>2</v>
      </c>
    </row>
    <row r="17" spans="2:2" s="2" customFormat="1" ht="14.5" x14ac:dyDescent="0.35">
      <c r="B17" s="4" t="s">
        <v>1</v>
      </c>
    </row>
    <row r="18" spans="2:2" s="2" customFormat="1" ht="20.5" customHeight="1" x14ac:dyDescent="0.35">
      <c r="B18" s="3" t="s">
        <v>0</v>
      </c>
    </row>
  </sheetData>
  <hyperlinks>
    <hyperlink ref="B18" location="'VDS Files'!A1" display="(2) One CSV file for each of the tables in VDS Data Model" xr:uid="{6E9F53E4-BA6F-47E1-8624-1C7470D47184}"/>
  </hyperlinks>
  <pageMargins left="0.7" right="0.7" top="0.75" bottom="0.75" header="0.3" footer="0.3"/>
  <pageSetup paperSize="9" orientation="portrait" r:id="rId1"/>
  <headerFooter>
    <oddHeader>&amp;L&amp;"Calibri"&amp;10&amp;K000000Confidential&amp;1#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BD6A3-CF53-465F-8098-5B7CED9DCBE9}">
  <dimension ref="A1:C27"/>
  <sheetViews>
    <sheetView zoomScale="90" zoomScaleNormal="90" workbookViewId="0"/>
  </sheetViews>
  <sheetFormatPr defaultColWidth="8.81640625" defaultRowHeight="14.5" x14ac:dyDescent="0.35"/>
  <cols>
    <col min="1" max="1" width="26.81640625" style="21" bestFit="1" customWidth="1"/>
    <col min="2" max="2" width="29.1796875" style="21" customWidth="1"/>
    <col min="3" max="3" width="62.81640625" style="21" bestFit="1" customWidth="1"/>
    <col min="4" max="16384" width="8.81640625" style="21"/>
  </cols>
  <sheetData>
    <row r="1" spans="1:3" x14ac:dyDescent="0.35">
      <c r="A1" s="24" t="s">
        <v>86</v>
      </c>
      <c r="B1" s="24" t="s">
        <v>85</v>
      </c>
      <c r="C1" s="24" t="s">
        <v>84</v>
      </c>
    </row>
    <row r="2" spans="1:3" x14ac:dyDescent="0.35">
      <c r="A2" s="22" t="s">
        <v>75</v>
      </c>
      <c r="B2" s="23" t="s">
        <v>61</v>
      </c>
      <c r="C2" s="23" t="s">
        <v>83</v>
      </c>
    </row>
    <row r="3" spans="1:3" x14ac:dyDescent="0.35">
      <c r="A3" s="22" t="s">
        <v>75</v>
      </c>
      <c r="B3" s="23" t="s">
        <v>58</v>
      </c>
      <c r="C3" s="23" t="s">
        <v>81</v>
      </c>
    </row>
    <row r="4" spans="1:3" x14ac:dyDescent="0.35">
      <c r="A4" s="22" t="s">
        <v>75</v>
      </c>
      <c r="B4" s="23" t="s">
        <v>55</v>
      </c>
      <c r="C4" s="23" t="s">
        <v>1595</v>
      </c>
    </row>
    <row r="5" spans="1:3" x14ac:dyDescent="0.35">
      <c r="A5" s="22" t="s">
        <v>75</v>
      </c>
      <c r="B5" s="23" t="s">
        <v>52</v>
      </c>
      <c r="C5" s="23" t="s">
        <v>77</v>
      </c>
    </row>
    <row r="6" spans="1:3" x14ac:dyDescent="0.35">
      <c r="A6" s="22" t="s">
        <v>75</v>
      </c>
      <c r="B6" s="23" t="s">
        <v>48</v>
      </c>
      <c r="C6" s="23" t="s">
        <v>74</v>
      </c>
    </row>
    <row r="7" spans="1:3" x14ac:dyDescent="0.35">
      <c r="A7" s="22" t="s">
        <v>64</v>
      </c>
      <c r="B7" s="23" t="s">
        <v>61</v>
      </c>
      <c r="C7" s="22" t="s">
        <v>72</v>
      </c>
    </row>
    <row r="8" spans="1:3" x14ac:dyDescent="0.35">
      <c r="A8" s="22" t="s">
        <v>64</v>
      </c>
      <c r="B8" s="23" t="s">
        <v>58</v>
      </c>
      <c r="C8" s="22" t="s">
        <v>70</v>
      </c>
    </row>
    <row r="9" spans="1:3" x14ac:dyDescent="0.35">
      <c r="A9" s="22" t="s">
        <v>64</v>
      </c>
      <c r="B9" s="23" t="s">
        <v>55</v>
      </c>
      <c r="C9" s="22" t="s">
        <v>68</v>
      </c>
    </row>
    <row r="10" spans="1:3" x14ac:dyDescent="0.35">
      <c r="A10" s="22" t="s">
        <v>64</v>
      </c>
      <c r="B10" s="23" t="s">
        <v>52</v>
      </c>
      <c r="C10" s="22" t="s">
        <v>66</v>
      </c>
    </row>
    <row r="11" spans="1:3" x14ac:dyDescent="0.35">
      <c r="A11" s="22" t="s">
        <v>64</v>
      </c>
      <c r="B11" s="23" t="s">
        <v>48</v>
      </c>
      <c r="C11" s="22" t="s">
        <v>63</v>
      </c>
    </row>
    <row r="12" spans="1:3" x14ac:dyDescent="0.35">
      <c r="A12" s="22" t="s">
        <v>49</v>
      </c>
      <c r="B12" s="23" t="s">
        <v>61</v>
      </c>
      <c r="C12" s="22" t="s">
        <v>60</v>
      </c>
    </row>
    <row r="13" spans="1:3" x14ac:dyDescent="0.35">
      <c r="A13" s="22" t="s">
        <v>49</v>
      </c>
      <c r="B13" s="23" t="s">
        <v>58</v>
      </c>
      <c r="C13" s="22" t="s">
        <v>57</v>
      </c>
    </row>
    <row r="14" spans="1:3" x14ac:dyDescent="0.35">
      <c r="A14" s="22" t="s">
        <v>49</v>
      </c>
      <c r="B14" s="23" t="s">
        <v>55</v>
      </c>
      <c r="C14" s="22" t="s">
        <v>54</v>
      </c>
    </row>
    <row r="15" spans="1:3" x14ac:dyDescent="0.35">
      <c r="A15" s="22" t="s">
        <v>49</v>
      </c>
      <c r="B15" s="23" t="s">
        <v>52</v>
      </c>
      <c r="C15" s="22" t="s">
        <v>51</v>
      </c>
    </row>
    <row r="16" spans="1:3" x14ac:dyDescent="0.35">
      <c r="A16" s="22" t="s">
        <v>49</v>
      </c>
      <c r="B16" s="23" t="s">
        <v>48</v>
      </c>
      <c r="C16" s="22" t="s">
        <v>47</v>
      </c>
    </row>
    <row r="17" spans="1:3" x14ac:dyDescent="0.35">
      <c r="A17" s="22" t="s">
        <v>45</v>
      </c>
      <c r="B17" s="23" t="s">
        <v>29</v>
      </c>
      <c r="C17" s="22" t="s">
        <v>44</v>
      </c>
    </row>
    <row r="18" spans="1:3" x14ac:dyDescent="0.35">
      <c r="A18" s="22" t="s">
        <v>42</v>
      </c>
      <c r="B18" s="23" t="s">
        <v>29</v>
      </c>
      <c r="C18" s="22" t="s">
        <v>41</v>
      </c>
    </row>
    <row r="19" spans="1:3" x14ac:dyDescent="0.35">
      <c r="A19" s="22" t="s">
        <v>39</v>
      </c>
      <c r="B19" s="23" t="s">
        <v>29</v>
      </c>
      <c r="C19" s="22" t="s">
        <v>38</v>
      </c>
    </row>
    <row r="20" spans="1:3" x14ac:dyDescent="0.35">
      <c r="A20" s="22" t="s">
        <v>36</v>
      </c>
      <c r="B20" s="23" t="s">
        <v>29</v>
      </c>
      <c r="C20" s="22" t="s">
        <v>35</v>
      </c>
    </row>
    <row r="21" spans="1:3" x14ac:dyDescent="0.35">
      <c r="A21" s="22" t="s">
        <v>33</v>
      </c>
      <c r="B21" s="23" t="s">
        <v>29</v>
      </c>
      <c r="C21" s="22" t="s">
        <v>32</v>
      </c>
    </row>
    <row r="22" spans="1:3" x14ac:dyDescent="0.35">
      <c r="A22" s="22" t="s">
        <v>30</v>
      </c>
      <c r="B22" s="23" t="s">
        <v>29</v>
      </c>
      <c r="C22" s="22" t="s">
        <v>28</v>
      </c>
    </row>
    <row r="23" spans="1:3" x14ac:dyDescent="0.35">
      <c r="C23" s="21" t="s">
        <v>26</v>
      </c>
    </row>
    <row r="25" spans="1:3" x14ac:dyDescent="0.35">
      <c r="B25" s="21" t="s">
        <v>25</v>
      </c>
    </row>
    <row r="26" spans="1:3" x14ac:dyDescent="0.35">
      <c r="B26" s="21" t="s">
        <v>1</v>
      </c>
    </row>
    <row r="27" spans="1:3" x14ac:dyDescent="0.35">
      <c r="B27" s="21" t="s">
        <v>24</v>
      </c>
    </row>
  </sheetData>
  <pageMargins left="0.7" right="0.7" top="0.75" bottom="0.75" header="0.3" footer="0.3"/>
  <pageSetup paperSize="9" orientation="portrait"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9462F-07A9-41E9-86F4-F5FBBF0E6D30}">
  <dimension ref="A1:N318"/>
  <sheetViews>
    <sheetView zoomScale="70" zoomScaleNormal="70" workbookViewId="0">
      <pane xSplit="6" ySplit="1" topLeftCell="G2" activePane="bottomRight" state="frozen"/>
      <selection activeCell="C11" sqref="C11"/>
      <selection pane="topRight" activeCell="C11" sqref="C11"/>
      <selection pane="bottomLeft" activeCell="C11" sqref="C11"/>
      <selection pane="bottomRight"/>
    </sheetView>
  </sheetViews>
  <sheetFormatPr defaultColWidth="38.81640625" defaultRowHeight="14.5" outlineLevelCol="1" x14ac:dyDescent="0.35"/>
  <cols>
    <col min="1" max="1" width="23.54296875" style="34" bestFit="1" customWidth="1"/>
    <col min="2" max="2" width="25.81640625" style="34" customWidth="1"/>
    <col min="3" max="3" width="12.54296875" style="34" bestFit="1" customWidth="1"/>
    <col min="4" max="4" width="17.54296875" style="34" bestFit="1" customWidth="1"/>
    <col min="5" max="5" width="21.1796875" style="34" bestFit="1" customWidth="1"/>
    <col min="6" max="6" width="32.81640625" style="34" bestFit="1" customWidth="1"/>
    <col min="7" max="7" width="40.81640625" style="34" customWidth="1" outlineLevel="1"/>
    <col min="8" max="8" width="17.453125" style="34" customWidth="1" outlineLevel="1"/>
    <col min="9" max="9" width="65.1796875" style="34" customWidth="1" outlineLevel="1"/>
    <col min="10" max="10" width="36.54296875" style="34" bestFit="1" customWidth="1"/>
    <col min="11" max="11" width="36.54296875" style="34" customWidth="1"/>
    <col min="12" max="12" width="9.54296875" style="34" bestFit="1" customWidth="1"/>
    <col min="13" max="13" width="25.54296875" style="34" bestFit="1" customWidth="1"/>
    <col min="14" max="14" width="33.54296875" style="34" customWidth="1"/>
    <col min="15" max="16384" width="38.81640625" style="34"/>
  </cols>
  <sheetData>
    <row r="1" spans="1:14" s="38" customFormat="1" ht="26" x14ac:dyDescent="0.35">
      <c r="A1" s="39" t="s">
        <v>86</v>
      </c>
      <c r="B1" s="39" t="s">
        <v>85</v>
      </c>
      <c r="C1" s="40" t="s">
        <v>1594</v>
      </c>
      <c r="D1" s="39" t="s">
        <v>1593</v>
      </c>
      <c r="E1" s="40" t="s">
        <v>1592</v>
      </c>
      <c r="F1" s="40" t="s">
        <v>1591</v>
      </c>
      <c r="G1" s="40" t="s">
        <v>1590</v>
      </c>
      <c r="H1" s="40" t="s">
        <v>1589</v>
      </c>
      <c r="I1" s="40" t="s">
        <v>1588</v>
      </c>
      <c r="J1" s="39" t="s">
        <v>84</v>
      </c>
      <c r="K1" s="39" t="s">
        <v>1587</v>
      </c>
      <c r="L1" s="39" t="s">
        <v>1586</v>
      </c>
      <c r="M1" s="39" t="s">
        <v>1585</v>
      </c>
      <c r="N1" s="39" t="s">
        <v>1584</v>
      </c>
    </row>
    <row r="2" spans="1:14" ht="27.65" customHeight="1" x14ac:dyDescent="0.35">
      <c r="A2" s="37" t="s">
        <v>75</v>
      </c>
      <c r="B2" s="37" t="s">
        <v>1574</v>
      </c>
      <c r="C2" s="37" t="s">
        <v>851</v>
      </c>
      <c r="D2" s="35" t="s">
        <v>1583</v>
      </c>
      <c r="E2" s="37" t="s">
        <v>849</v>
      </c>
      <c r="F2" s="37" t="s">
        <v>848</v>
      </c>
      <c r="G2" s="35" t="s">
        <v>162</v>
      </c>
      <c r="H2" s="35" t="s">
        <v>174</v>
      </c>
      <c r="I2" s="35" t="s">
        <v>847</v>
      </c>
      <c r="J2" s="35" t="s">
        <v>83</v>
      </c>
      <c r="K2" s="35" t="s">
        <v>82</v>
      </c>
      <c r="L2" s="35">
        <v>1</v>
      </c>
      <c r="M2" s="35" t="s">
        <v>846</v>
      </c>
      <c r="N2" s="35" t="s">
        <v>1596</v>
      </c>
    </row>
    <row r="3" spans="1:14" ht="41.5" customHeight="1" x14ac:dyDescent="0.35">
      <c r="A3" s="37" t="s">
        <v>75</v>
      </c>
      <c r="B3" s="37" t="s">
        <v>1574</v>
      </c>
      <c r="C3" s="37" t="s">
        <v>818</v>
      </c>
      <c r="D3" s="35" t="s">
        <v>1582</v>
      </c>
      <c r="E3" s="37" t="s">
        <v>267</v>
      </c>
      <c r="F3" s="37" t="s">
        <v>862</v>
      </c>
      <c r="G3" s="35" t="s">
        <v>162</v>
      </c>
      <c r="H3" s="35" t="s">
        <v>174</v>
      </c>
      <c r="I3" s="35" t="s">
        <v>861</v>
      </c>
      <c r="J3" s="35" t="s">
        <v>83</v>
      </c>
      <c r="K3" s="35" t="s">
        <v>82</v>
      </c>
      <c r="L3" s="35">
        <v>2</v>
      </c>
      <c r="M3" s="35" t="s">
        <v>814</v>
      </c>
      <c r="N3" s="35" t="s">
        <v>1581</v>
      </c>
    </row>
    <row r="4" spans="1:14" ht="400.4" customHeight="1" x14ac:dyDescent="0.35">
      <c r="A4" s="37" t="s">
        <v>75</v>
      </c>
      <c r="B4" s="37" t="s">
        <v>1574</v>
      </c>
      <c r="C4" s="37" t="s">
        <v>1252</v>
      </c>
      <c r="D4" s="35" t="s">
        <v>1580</v>
      </c>
      <c r="E4" s="37" t="s">
        <v>801</v>
      </c>
      <c r="F4" s="37" t="s">
        <v>1250</v>
      </c>
      <c r="G4" s="35" t="s">
        <v>1579</v>
      </c>
      <c r="H4" s="35" t="s">
        <v>174</v>
      </c>
      <c r="I4" s="35" t="s">
        <v>1578</v>
      </c>
      <c r="J4" s="35" t="s">
        <v>83</v>
      </c>
      <c r="K4" s="35" t="s">
        <v>82</v>
      </c>
      <c r="L4" s="35">
        <v>3</v>
      </c>
      <c r="M4" s="35" t="s">
        <v>1247</v>
      </c>
      <c r="N4" s="35" t="s">
        <v>29</v>
      </c>
    </row>
    <row r="5" spans="1:14" ht="96.65" customHeight="1" x14ac:dyDescent="0.35">
      <c r="A5" s="37" t="s">
        <v>75</v>
      </c>
      <c r="B5" s="37" t="s">
        <v>1574</v>
      </c>
      <c r="C5" s="37" t="s">
        <v>1241</v>
      </c>
      <c r="D5" s="35" t="s">
        <v>1577</v>
      </c>
      <c r="E5" s="37" t="s">
        <v>801</v>
      </c>
      <c r="F5" s="37" t="s">
        <v>1245</v>
      </c>
      <c r="G5" s="35" t="s">
        <v>1244</v>
      </c>
      <c r="H5" s="35" t="s">
        <v>174</v>
      </c>
      <c r="I5" s="35" t="s">
        <v>1243</v>
      </c>
      <c r="J5" s="35" t="s">
        <v>83</v>
      </c>
      <c r="K5" s="35" t="s">
        <v>82</v>
      </c>
      <c r="L5" s="35">
        <v>4</v>
      </c>
      <c r="M5" s="35" t="s">
        <v>1242</v>
      </c>
      <c r="N5" s="35" t="s">
        <v>29</v>
      </c>
    </row>
    <row r="6" spans="1:14" ht="27.65" customHeight="1" x14ac:dyDescent="0.35">
      <c r="A6" s="37" t="s">
        <v>75</v>
      </c>
      <c r="B6" s="37" t="s">
        <v>1574</v>
      </c>
      <c r="C6" s="37" t="s">
        <v>366</v>
      </c>
      <c r="D6" s="35" t="s">
        <v>1576</v>
      </c>
      <c r="E6" s="37" t="s">
        <v>364</v>
      </c>
      <c r="F6" s="37" t="s">
        <v>363</v>
      </c>
      <c r="G6" s="35" t="s">
        <v>828</v>
      </c>
      <c r="H6" s="35" t="s">
        <v>148</v>
      </c>
      <c r="I6" s="35" t="s">
        <v>1232</v>
      </c>
      <c r="J6" s="35" t="s">
        <v>83</v>
      </c>
      <c r="K6" s="35" t="s">
        <v>82</v>
      </c>
      <c r="L6" s="35">
        <v>5</v>
      </c>
      <c r="M6" s="35" t="s">
        <v>361</v>
      </c>
      <c r="N6" s="36" t="s">
        <v>466</v>
      </c>
    </row>
    <row r="7" spans="1:14" ht="27.65" customHeight="1" x14ac:dyDescent="0.35">
      <c r="A7" s="37" t="s">
        <v>75</v>
      </c>
      <c r="B7" s="37" t="s">
        <v>1574</v>
      </c>
      <c r="C7" s="37" t="s">
        <v>1231</v>
      </c>
      <c r="D7" s="35" t="s">
        <v>1575</v>
      </c>
      <c r="E7" s="37" t="s">
        <v>364</v>
      </c>
      <c r="F7" s="37" t="s">
        <v>1229</v>
      </c>
      <c r="G7" s="35" t="s">
        <v>389</v>
      </c>
      <c r="H7" s="35" t="s">
        <v>148</v>
      </c>
      <c r="I7" s="35" t="s">
        <v>1228</v>
      </c>
      <c r="J7" s="35" t="s">
        <v>83</v>
      </c>
      <c r="K7" s="35" t="s">
        <v>82</v>
      </c>
      <c r="L7" s="35">
        <v>6</v>
      </c>
      <c r="M7" s="35" t="s">
        <v>1227</v>
      </c>
      <c r="N7" s="35" t="s">
        <v>1226</v>
      </c>
    </row>
    <row r="8" spans="1:14" ht="27.65" customHeight="1" x14ac:dyDescent="0.35">
      <c r="A8" s="37" t="s">
        <v>75</v>
      </c>
      <c r="B8" s="37" t="s">
        <v>1574</v>
      </c>
      <c r="C8" s="37" t="s">
        <v>1225</v>
      </c>
      <c r="D8" s="35" t="s">
        <v>1573</v>
      </c>
      <c r="E8" s="37" t="s">
        <v>364</v>
      </c>
      <c r="F8" s="37" t="s">
        <v>1223</v>
      </c>
      <c r="G8" s="35" t="s">
        <v>389</v>
      </c>
      <c r="H8" s="35" t="s">
        <v>148</v>
      </c>
      <c r="I8" s="35" t="s">
        <v>1222</v>
      </c>
      <c r="J8" s="35" t="s">
        <v>83</v>
      </c>
      <c r="K8" s="35" t="s">
        <v>82</v>
      </c>
      <c r="L8" s="35">
        <v>7</v>
      </c>
      <c r="M8" s="35" t="s">
        <v>1221</v>
      </c>
      <c r="N8" s="35" t="s">
        <v>1220</v>
      </c>
    </row>
    <row r="9" spans="1:14" ht="27.65" customHeight="1" x14ac:dyDescent="0.35">
      <c r="A9" s="37" t="s">
        <v>75</v>
      </c>
      <c r="B9" s="37" t="s">
        <v>1565</v>
      </c>
      <c r="C9" s="37" t="s">
        <v>818</v>
      </c>
      <c r="D9" s="35" t="s">
        <v>1572</v>
      </c>
      <c r="E9" s="37" t="s">
        <v>267</v>
      </c>
      <c r="F9" s="37" t="s">
        <v>862</v>
      </c>
      <c r="G9" s="35" t="s">
        <v>162</v>
      </c>
      <c r="H9" s="35" t="s">
        <v>174</v>
      </c>
      <c r="I9" s="35" t="s">
        <v>861</v>
      </c>
      <c r="J9" s="35" t="s">
        <v>81</v>
      </c>
      <c r="K9" s="35" t="s">
        <v>80</v>
      </c>
      <c r="L9" s="35">
        <v>1</v>
      </c>
      <c r="M9" s="35" t="s">
        <v>814</v>
      </c>
      <c r="N9" s="35" t="s">
        <v>1130</v>
      </c>
    </row>
    <row r="10" spans="1:14" ht="27.65" customHeight="1" x14ac:dyDescent="0.35">
      <c r="A10" s="37" t="s">
        <v>75</v>
      </c>
      <c r="B10" s="37" t="s">
        <v>1565</v>
      </c>
      <c r="C10" s="37" t="s">
        <v>1122</v>
      </c>
      <c r="D10" s="35" t="s">
        <v>1571</v>
      </c>
      <c r="E10" s="37" t="s">
        <v>364</v>
      </c>
      <c r="F10" s="37" t="s">
        <v>1120</v>
      </c>
      <c r="G10" s="35" t="s">
        <v>1570</v>
      </c>
      <c r="H10" s="35" t="s">
        <v>148</v>
      </c>
      <c r="I10" s="35" t="s">
        <v>1569</v>
      </c>
      <c r="J10" s="35" t="s">
        <v>81</v>
      </c>
      <c r="K10" s="35" t="s">
        <v>80</v>
      </c>
      <c r="L10" s="35">
        <v>2</v>
      </c>
      <c r="M10" s="35" t="s">
        <v>1117</v>
      </c>
      <c r="N10" s="35" t="s">
        <v>1116</v>
      </c>
    </row>
    <row r="11" spans="1:14" ht="27.65" customHeight="1" x14ac:dyDescent="0.35">
      <c r="A11" s="37" t="s">
        <v>75</v>
      </c>
      <c r="B11" s="37" t="s">
        <v>1565</v>
      </c>
      <c r="C11" s="37" t="s">
        <v>1110</v>
      </c>
      <c r="D11" s="35" t="s">
        <v>1568</v>
      </c>
      <c r="E11" s="37" t="s">
        <v>364</v>
      </c>
      <c r="F11" s="37" t="s">
        <v>1114</v>
      </c>
      <c r="G11" s="35" t="s">
        <v>162</v>
      </c>
      <c r="H11" s="35" t="s">
        <v>148</v>
      </c>
      <c r="I11" s="35" t="s">
        <v>1567</v>
      </c>
      <c r="J11" s="35" t="s">
        <v>81</v>
      </c>
      <c r="K11" s="35" t="s">
        <v>80</v>
      </c>
      <c r="L11" s="35">
        <v>3</v>
      </c>
      <c r="M11" s="35" t="s">
        <v>1112</v>
      </c>
      <c r="N11" s="35" t="s">
        <v>1111</v>
      </c>
    </row>
    <row r="12" spans="1:14" ht="96.65" customHeight="1" x14ac:dyDescent="0.35">
      <c r="A12" s="37" t="s">
        <v>75</v>
      </c>
      <c r="B12" s="37" t="s">
        <v>1565</v>
      </c>
      <c r="C12" s="37" t="s">
        <v>1109</v>
      </c>
      <c r="D12" s="35" t="s">
        <v>1566</v>
      </c>
      <c r="E12" s="37" t="s">
        <v>364</v>
      </c>
      <c r="F12" s="37" t="s">
        <v>1107</v>
      </c>
      <c r="G12" s="35" t="s">
        <v>389</v>
      </c>
      <c r="H12" s="35" t="s">
        <v>148</v>
      </c>
      <c r="I12" s="35" t="s">
        <v>1106</v>
      </c>
      <c r="J12" s="35" t="s">
        <v>81</v>
      </c>
      <c r="K12" s="35" t="s">
        <v>80</v>
      </c>
      <c r="L12" s="35">
        <v>4</v>
      </c>
      <c r="M12" s="35" t="s">
        <v>1105</v>
      </c>
      <c r="N12" s="35" t="s">
        <v>1104</v>
      </c>
    </row>
    <row r="13" spans="1:14" ht="110.5" customHeight="1" x14ac:dyDescent="0.35">
      <c r="A13" s="37" t="s">
        <v>75</v>
      </c>
      <c r="B13" s="37" t="s">
        <v>1565</v>
      </c>
      <c r="C13" s="37" t="s">
        <v>1103</v>
      </c>
      <c r="D13" s="35" t="s">
        <v>1564</v>
      </c>
      <c r="E13" s="37" t="s">
        <v>364</v>
      </c>
      <c r="F13" s="37" t="s">
        <v>1101</v>
      </c>
      <c r="G13" s="35" t="s">
        <v>389</v>
      </c>
      <c r="H13" s="35" t="s">
        <v>148</v>
      </c>
      <c r="I13" s="35" t="s">
        <v>1563</v>
      </c>
      <c r="J13" s="35" t="s">
        <v>81</v>
      </c>
      <c r="K13" s="35" t="s">
        <v>80</v>
      </c>
      <c r="L13" s="35">
        <v>5</v>
      </c>
      <c r="M13" s="35" t="s">
        <v>1099</v>
      </c>
      <c r="N13" s="35" t="s">
        <v>29</v>
      </c>
    </row>
    <row r="14" spans="1:14" ht="27.65" customHeight="1" x14ac:dyDescent="0.35">
      <c r="A14" s="37" t="s">
        <v>75</v>
      </c>
      <c r="B14" s="37" t="s">
        <v>1551</v>
      </c>
      <c r="C14" s="37" t="s">
        <v>845</v>
      </c>
      <c r="D14" s="35" t="s">
        <v>1562</v>
      </c>
      <c r="E14" s="37" t="s">
        <v>267</v>
      </c>
      <c r="F14" s="37" t="s">
        <v>843</v>
      </c>
      <c r="G14" s="35" t="s">
        <v>162</v>
      </c>
      <c r="H14" s="35" t="s">
        <v>174</v>
      </c>
      <c r="I14" s="35" t="s">
        <v>842</v>
      </c>
      <c r="J14" s="35" t="s">
        <v>79</v>
      </c>
      <c r="K14" s="35" t="s">
        <v>78</v>
      </c>
      <c r="L14" s="35">
        <v>1</v>
      </c>
      <c r="M14" s="35" t="s">
        <v>841</v>
      </c>
      <c r="N14" s="35" t="s">
        <v>953</v>
      </c>
    </row>
    <row r="15" spans="1:14" ht="41.5" customHeight="1" x14ac:dyDescent="0.35">
      <c r="A15" s="37" t="s">
        <v>75</v>
      </c>
      <c r="B15" s="37" t="s">
        <v>1551</v>
      </c>
      <c r="C15" s="37" t="s">
        <v>851</v>
      </c>
      <c r="D15" s="35" t="s">
        <v>1561</v>
      </c>
      <c r="E15" s="37" t="s">
        <v>849</v>
      </c>
      <c r="F15" s="37" t="s">
        <v>848</v>
      </c>
      <c r="G15" s="35" t="s">
        <v>162</v>
      </c>
      <c r="H15" s="35" t="s">
        <v>174</v>
      </c>
      <c r="I15" s="35" t="s">
        <v>847</v>
      </c>
      <c r="J15" s="35" t="s">
        <v>79</v>
      </c>
      <c r="K15" s="35" t="s">
        <v>78</v>
      </c>
      <c r="L15" s="35">
        <v>2</v>
      </c>
      <c r="M15" s="35" t="s">
        <v>846</v>
      </c>
      <c r="N15" s="35" t="s">
        <v>1560</v>
      </c>
    </row>
    <row r="16" spans="1:14" ht="317.5" customHeight="1" x14ac:dyDescent="0.35">
      <c r="A16" s="37" t="s">
        <v>75</v>
      </c>
      <c r="B16" s="37" t="s">
        <v>1551</v>
      </c>
      <c r="C16" s="37" t="s">
        <v>938</v>
      </c>
      <c r="D16" s="35" t="s">
        <v>1559</v>
      </c>
      <c r="E16" s="37" t="s">
        <v>849</v>
      </c>
      <c r="F16" s="37" t="s">
        <v>1558</v>
      </c>
      <c r="G16" s="35" t="s">
        <v>1557</v>
      </c>
      <c r="H16" s="35" t="s">
        <v>174</v>
      </c>
      <c r="I16" s="35" t="s">
        <v>941</v>
      </c>
      <c r="J16" s="35" t="s">
        <v>79</v>
      </c>
      <c r="K16" s="35" t="s">
        <v>78</v>
      </c>
      <c r="L16" s="35">
        <v>3</v>
      </c>
      <c r="M16" s="35" t="s">
        <v>940</v>
      </c>
      <c r="N16" s="35" t="s">
        <v>939</v>
      </c>
    </row>
    <row r="17" spans="1:14" ht="41.5" customHeight="1" x14ac:dyDescent="0.35">
      <c r="A17" s="37" t="s">
        <v>75</v>
      </c>
      <c r="B17" s="37" t="s">
        <v>1551</v>
      </c>
      <c r="C17" s="37" t="s">
        <v>937</v>
      </c>
      <c r="D17" s="35" t="s">
        <v>1556</v>
      </c>
      <c r="E17" s="37" t="s">
        <v>930</v>
      </c>
      <c r="F17" s="37" t="s">
        <v>935</v>
      </c>
      <c r="G17" s="35" t="s">
        <v>916</v>
      </c>
      <c r="H17" s="35" t="s">
        <v>174</v>
      </c>
      <c r="I17" s="35" t="s">
        <v>934</v>
      </c>
      <c r="J17" s="35" t="s">
        <v>79</v>
      </c>
      <c r="K17" s="35" t="s">
        <v>78</v>
      </c>
      <c r="L17" s="35">
        <v>4</v>
      </c>
      <c r="M17" s="35" t="s">
        <v>933</v>
      </c>
      <c r="N17" s="35" t="s">
        <v>29</v>
      </c>
    </row>
    <row r="18" spans="1:14" ht="27.65" customHeight="1" x14ac:dyDescent="0.35">
      <c r="A18" s="37" t="s">
        <v>75</v>
      </c>
      <c r="B18" s="37" t="s">
        <v>1551</v>
      </c>
      <c r="C18" s="37" t="s">
        <v>932</v>
      </c>
      <c r="D18" s="35" t="s">
        <v>1555</v>
      </c>
      <c r="E18" s="37" t="s">
        <v>930</v>
      </c>
      <c r="F18" s="37" t="s">
        <v>929</v>
      </c>
      <c r="G18" s="35" t="s">
        <v>916</v>
      </c>
      <c r="H18" s="35" t="s">
        <v>174</v>
      </c>
      <c r="I18" s="35" t="s">
        <v>1309</v>
      </c>
      <c r="J18" s="35" t="s">
        <v>79</v>
      </c>
      <c r="K18" s="35" t="s">
        <v>78</v>
      </c>
      <c r="L18" s="35">
        <v>5</v>
      </c>
      <c r="M18" s="35" t="s">
        <v>927</v>
      </c>
      <c r="N18" s="35" t="s">
        <v>29</v>
      </c>
    </row>
    <row r="19" spans="1:14" ht="41.5" customHeight="1" x14ac:dyDescent="0.35">
      <c r="A19" s="37" t="s">
        <v>75</v>
      </c>
      <c r="B19" s="37" t="s">
        <v>1551</v>
      </c>
      <c r="C19" s="37" t="s">
        <v>926</v>
      </c>
      <c r="D19" s="35" t="s">
        <v>1554</v>
      </c>
      <c r="E19" s="37" t="s">
        <v>924</v>
      </c>
      <c r="F19" s="37" t="s">
        <v>923</v>
      </c>
      <c r="G19" s="35" t="s">
        <v>916</v>
      </c>
      <c r="H19" s="35" t="s">
        <v>174</v>
      </c>
      <c r="I19" s="35" t="s">
        <v>922</v>
      </c>
      <c r="J19" s="35" t="s">
        <v>79</v>
      </c>
      <c r="K19" s="35" t="s">
        <v>78</v>
      </c>
      <c r="L19" s="35">
        <v>6</v>
      </c>
      <c r="M19" s="35" t="s">
        <v>921</v>
      </c>
      <c r="N19" s="35" t="s">
        <v>920</v>
      </c>
    </row>
    <row r="20" spans="1:14" ht="41.5" customHeight="1" x14ac:dyDescent="0.35">
      <c r="A20" s="37" t="s">
        <v>75</v>
      </c>
      <c r="B20" s="37" t="s">
        <v>1551</v>
      </c>
      <c r="C20" s="37" t="s">
        <v>919</v>
      </c>
      <c r="D20" s="35" t="s">
        <v>1553</v>
      </c>
      <c r="E20" s="37" t="s">
        <v>830</v>
      </c>
      <c r="F20" s="37" t="s">
        <v>917</v>
      </c>
      <c r="G20" s="35" t="s">
        <v>916</v>
      </c>
      <c r="H20" s="35" t="s">
        <v>174</v>
      </c>
      <c r="I20" s="35" t="s">
        <v>1552</v>
      </c>
      <c r="J20" s="35" t="s">
        <v>79</v>
      </c>
      <c r="K20" s="35" t="s">
        <v>78</v>
      </c>
      <c r="L20" s="35">
        <v>7</v>
      </c>
      <c r="M20" s="35" t="s">
        <v>914</v>
      </c>
      <c r="N20" s="35" t="s">
        <v>29</v>
      </c>
    </row>
    <row r="21" spans="1:14" ht="151.75" customHeight="1" x14ac:dyDescent="0.35">
      <c r="A21" s="37" t="s">
        <v>75</v>
      </c>
      <c r="B21" s="37" t="s">
        <v>1551</v>
      </c>
      <c r="C21" s="37" t="s">
        <v>1550</v>
      </c>
      <c r="D21" s="35" t="s">
        <v>1549</v>
      </c>
      <c r="E21" s="37" t="s">
        <v>1548</v>
      </c>
      <c r="F21" s="37" t="s">
        <v>1547</v>
      </c>
      <c r="G21" s="35" t="s">
        <v>1546</v>
      </c>
      <c r="H21" s="35" t="s">
        <v>174</v>
      </c>
      <c r="I21" s="35" t="s">
        <v>1545</v>
      </c>
      <c r="J21" s="35" t="s">
        <v>79</v>
      </c>
      <c r="K21" s="35" t="s">
        <v>78</v>
      </c>
      <c r="L21" s="35">
        <v>8</v>
      </c>
      <c r="M21" s="35" t="s">
        <v>1544</v>
      </c>
      <c r="N21" s="35" t="s">
        <v>29</v>
      </c>
    </row>
    <row r="22" spans="1:14" ht="27.65" customHeight="1" x14ac:dyDescent="0.35">
      <c r="A22" s="37" t="s">
        <v>75</v>
      </c>
      <c r="B22" s="37" t="s">
        <v>1542</v>
      </c>
      <c r="C22" s="37" t="s">
        <v>851</v>
      </c>
      <c r="D22" s="35" t="s">
        <v>1543</v>
      </c>
      <c r="E22" s="37" t="s">
        <v>849</v>
      </c>
      <c r="F22" s="37" t="s">
        <v>848</v>
      </c>
      <c r="G22" s="35" t="s">
        <v>162</v>
      </c>
      <c r="H22" s="35" t="s">
        <v>174</v>
      </c>
      <c r="I22" s="35" t="s">
        <v>847</v>
      </c>
      <c r="J22" s="35" t="s">
        <v>77</v>
      </c>
      <c r="K22" s="35" t="s">
        <v>76</v>
      </c>
      <c r="L22" s="35">
        <v>1</v>
      </c>
      <c r="M22" s="35" t="s">
        <v>846</v>
      </c>
      <c r="N22" s="35" t="s">
        <v>1597</v>
      </c>
    </row>
    <row r="23" spans="1:14" ht="27.65" customHeight="1" x14ac:dyDescent="0.35">
      <c r="A23" s="37" t="s">
        <v>75</v>
      </c>
      <c r="B23" s="37" t="s">
        <v>1542</v>
      </c>
      <c r="C23" s="37" t="s">
        <v>818</v>
      </c>
      <c r="D23" s="35" t="s">
        <v>1541</v>
      </c>
      <c r="E23" s="37" t="s">
        <v>267</v>
      </c>
      <c r="F23" s="37" t="s">
        <v>862</v>
      </c>
      <c r="G23" s="35" t="s">
        <v>162</v>
      </c>
      <c r="H23" s="35" t="s">
        <v>174</v>
      </c>
      <c r="I23" s="35" t="s">
        <v>861</v>
      </c>
      <c r="J23" s="35" t="s">
        <v>77</v>
      </c>
      <c r="K23" s="35" t="s">
        <v>76</v>
      </c>
      <c r="L23" s="35">
        <v>2</v>
      </c>
      <c r="M23" s="35" t="s">
        <v>814</v>
      </c>
      <c r="N23" s="35" t="s">
        <v>860</v>
      </c>
    </row>
    <row r="24" spans="1:14" ht="27.65" customHeight="1" x14ac:dyDescent="0.35">
      <c r="A24" s="37" t="s">
        <v>75</v>
      </c>
      <c r="B24" s="37" t="s">
        <v>1539</v>
      </c>
      <c r="C24" s="37" t="s">
        <v>851</v>
      </c>
      <c r="D24" s="35" t="s">
        <v>1540</v>
      </c>
      <c r="E24" s="37" t="s">
        <v>849</v>
      </c>
      <c r="F24" s="37" t="s">
        <v>848</v>
      </c>
      <c r="G24" s="35" t="s">
        <v>162</v>
      </c>
      <c r="H24" s="35" t="s">
        <v>174</v>
      </c>
      <c r="I24" s="35" t="s">
        <v>847</v>
      </c>
      <c r="J24" s="35" t="s">
        <v>74</v>
      </c>
      <c r="K24" s="35" t="s">
        <v>73</v>
      </c>
      <c r="L24" s="35">
        <v>1</v>
      </c>
      <c r="M24" s="35" t="s">
        <v>846</v>
      </c>
      <c r="N24" s="35" t="s">
        <v>1598</v>
      </c>
    </row>
    <row r="25" spans="1:14" ht="27.65" customHeight="1" x14ac:dyDescent="0.35">
      <c r="A25" s="37" t="s">
        <v>75</v>
      </c>
      <c r="B25" s="37" t="s">
        <v>1539</v>
      </c>
      <c r="C25" s="37" t="s">
        <v>845</v>
      </c>
      <c r="D25" s="35" t="s">
        <v>1538</v>
      </c>
      <c r="E25" s="37" t="s">
        <v>267</v>
      </c>
      <c r="F25" s="37" t="s">
        <v>843</v>
      </c>
      <c r="G25" s="35" t="s">
        <v>162</v>
      </c>
      <c r="H25" s="35" t="s">
        <v>174</v>
      </c>
      <c r="I25" s="35" t="s">
        <v>842</v>
      </c>
      <c r="J25" s="35" t="s">
        <v>74</v>
      </c>
      <c r="K25" s="35" t="s">
        <v>73</v>
      </c>
      <c r="L25" s="35">
        <v>2</v>
      </c>
      <c r="M25" s="35" t="s">
        <v>841</v>
      </c>
      <c r="N25" s="35" t="s">
        <v>840</v>
      </c>
    </row>
    <row r="26" spans="1:14" ht="27.65" customHeight="1" x14ac:dyDescent="0.35">
      <c r="A26" s="37" t="s">
        <v>64</v>
      </c>
      <c r="B26" s="37" t="s">
        <v>1334</v>
      </c>
      <c r="C26" s="37" t="s">
        <v>851</v>
      </c>
      <c r="D26" s="35" t="s">
        <v>1537</v>
      </c>
      <c r="E26" s="37" t="s">
        <v>849</v>
      </c>
      <c r="F26" s="37" t="s">
        <v>848</v>
      </c>
      <c r="G26" s="35" t="s">
        <v>162</v>
      </c>
      <c r="H26" s="35" t="s">
        <v>174</v>
      </c>
      <c r="I26" s="35" t="s">
        <v>847</v>
      </c>
      <c r="J26" s="35" t="s">
        <v>72</v>
      </c>
      <c r="K26" s="35" t="s">
        <v>71</v>
      </c>
      <c r="L26" s="35">
        <v>1</v>
      </c>
      <c r="M26" s="35" t="s">
        <v>846</v>
      </c>
      <c r="N26" s="35" t="s">
        <v>1596</v>
      </c>
    </row>
    <row r="27" spans="1:14" ht="41.5" customHeight="1" x14ac:dyDescent="0.35">
      <c r="A27" s="37" t="s">
        <v>64</v>
      </c>
      <c r="B27" s="37" t="s">
        <v>1334</v>
      </c>
      <c r="C27" s="37" t="s">
        <v>818</v>
      </c>
      <c r="D27" s="35" t="s">
        <v>1536</v>
      </c>
      <c r="E27" s="37" t="s">
        <v>267</v>
      </c>
      <c r="F27" s="37" t="s">
        <v>862</v>
      </c>
      <c r="G27" s="35" t="s">
        <v>162</v>
      </c>
      <c r="H27" s="35" t="s">
        <v>174</v>
      </c>
      <c r="I27" s="35" t="s">
        <v>861</v>
      </c>
      <c r="J27" s="35" t="s">
        <v>72</v>
      </c>
      <c r="K27" s="35" t="s">
        <v>71</v>
      </c>
      <c r="L27" s="35">
        <v>2</v>
      </c>
      <c r="M27" s="35" t="s">
        <v>814</v>
      </c>
      <c r="N27" s="35" t="s">
        <v>1321</v>
      </c>
    </row>
    <row r="28" spans="1:14" ht="27.65" customHeight="1" x14ac:dyDescent="0.35">
      <c r="A28" s="37" t="s">
        <v>64</v>
      </c>
      <c r="B28" s="37" t="s">
        <v>1334</v>
      </c>
      <c r="C28" s="37" t="s">
        <v>1129</v>
      </c>
      <c r="D28" s="35" t="s">
        <v>1535</v>
      </c>
      <c r="E28" s="37" t="s">
        <v>267</v>
      </c>
      <c r="F28" s="37" t="s">
        <v>1273</v>
      </c>
      <c r="G28" s="35" t="s">
        <v>162</v>
      </c>
      <c r="H28" s="35" t="s">
        <v>174</v>
      </c>
      <c r="I28" s="35" t="s">
        <v>1534</v>
      </c>
      <c r="J28" s="35" t="s">
        <v>72</v>
      </c>
      <c r="K28" s="35" t="s">
        <v>71</v>
      </c>
      <c r="L28" s="35">
        <v>3</v>
      </c>
      <c r="M28" s="35" t="s">
        <v>1271</v>
      </c>
      <c r="N28" s="35" t="s">
        <v>1270</v>
      </c>
    </row>
    <row r="29" spans="1:14" ht="27.65" customHeight="1" x14ac:dyDescent="0.35">
      <c r="A29" s="37" t="s">
        <v>64</v>
      </c>
      <c r="B29" s="37" t="s">
        <v>1334</v>
      </c>
      <c r="C29" s="37" t="s">
        <v>824</v>
      </c>
      <c r="D29" s="35" t="s">
        <v>1533</v>
      </c>
      <c r="E29" s="37" t="s">
        <v>267</v>
      </c>
      <c r="F29" s="37" t="s">
        <v>1268</v>
      </c>
      <c r="G29" s="35" t="s">
        <v>162</v>
      </c>
      <c r="H29" s="35" t="s">
        <v>174</v>
      </c>
      <c r="I29" s="35" t="s">
        <v>1532</v>
      </c>
      <c r="J29" s="35" t="s">
        <v>72</v>
      </c>
      <c r="K29" s="35" t="s">
        <v>71</v>
      </c>
      <c r="L29" s="35">
        <v>4</v>
      </c>
      <c r="M29" s="35" t="s">
        <v>1266</v>
      </c>
      <c r="N29" s="35" t="s">
        <v>1265</v>
      </c>
    </row>
    <row r="30" spans="1:14" ht="41.5" customHeight="1" x14ac:dyDescent="0.35">
      <c r="A30" s="37" t="s">
        <v>64</v>
      </c>
      <c r="B30" s="37" t="s">
        <v>1334</v>
      </c>
      <c r="C30" s="37" t="s">
        <v>1264</v>
      </c>
      <c r="D30" s="35" t="s">
        <v>1531</v>
      </c>
      <c r="E30" s="37" t="s">
        <v>267</v>
      </c>
      <c r="F30" s="37" t="s">
        <v>1262</v>
      </c>
      <c r="G30" s="35" t="s">
        <v>162</v>
      </c>
      <c r="H30" s="35" t="s">
        <v>174</v>
      </c>
      <c r="I30" s="35" t="s">
        <v>1261</v>
      </c>
      <c r="J30" s="35" t="s">
        <v>72</v>
      </c>
      <c r="K30" s="35" t="s">
        <v>71</v>
      </c>
      <c r="L30" s="35">
        <v>5</v>
      </c>
      <c r="M30" s="35" t="s">
        <v>1260</v>
      </c>
      <c r="N30" s="35" t="s">
        <v>1259</v>
      </c>
    </row>
    <row r="31" spans="1:14" ht="400.4" customHeight="1" x14ac:dyDescent="0.35">
      <c r="A31" s="37" t="s">
        <v>64</v>
      </c>
      <c r="B31" s="37" t="s">
        <v>1334</v>
      </c>
      <c r="C31" s="37" t="s">
        <v>1252</v>
      </c>
      <c r="D31" s="35" t="s">
        <v>1530</v>
      </c>
      <c r="E31" s="37" t="s">
        <v>801</v>
      </c>
      <c r="F31" s="37" t="s">
        <v>1250</v>
      </c>
      <c r="G31" s="35" t="s">
        <v>1249</v>
      </c>
      <c r="H31" s="35" t="s">
        <v>174</v>
      </c>
      <c r="I31" s="35" t="s">
        <v>1248</v>
      </c>
      <c r="J31" s="35" t="s">
        <v>72</v>
      </c>
      <c r="K31" s="35" t="s">
        <v>71</v>
      </c>
      <c r="L31" s="35">
        <v>6</v>
      </c>
      <c r="M31" s="35" t="s">
        <v>1247</v>
      </c>
      <c r="N31" s="35" t="s">
        <v>29</v>
      </c>
    </row>
    <row r="32" spans="1:14" ht="110.5" customHeight="1" x14ac:dyDescent="0.35">
      <c r="A32" s="37" t="s">
        <v>64</v>
      </c>
      <c r="B32" s="37" t="s">
        <v>1334</v>
      </c>
      <c r="C32" s="37" t="s">
        <v>1241</v>
      </c>
      <c r="D32" s="35" t="s">
        <v>1529</v>
      </c>
      <c r="E32" s="37" t="s">
        <v>801</v>
      </c>
      <c r="F32" s="37" t="s">
        <v>1245</v>
      </c>
      <c r="G32" s="35" t="s">
        <v>1528</v>
      </c>
      <c r="H32" s="35" t="s">
        <v>174</v>
      </c>
      <c r="I32" s="35" t="s">
        <v>1527</v>
      </c>
      <c r="J32" s="35" t="s">
        <v>72</v>
      </c>
      <c r="K32" s="35" t="s">
        <v>71</v>
      </c>
      <c r="L32" s="35">
        <v>7</v>
      </c>
      <c r="M32" s="35" t="s">
        <v>1242</v>
      </c>
      <c r="N32" s="35" t="s">
        <v>29</v>
      </c>
    </row>
    <row r="33" spans="1:14" ht="27.65" customHeight="1" x14ac:dyDescent="0.35">
      <c r="A33" s="37" t="s">
        <v>64</v>
      </c>
      <c r="B33" s="37" t="s">
        <v>1334</v>
      </c>
      <c r="C33" s="37" t="s">
        <v>366</v>
      </c>
      <c r="D33" s="35" t="s">
        <v>1526</v>
      </c>
      <c r="E33" s="37" t="s">
        <v>364</v>
      </c>
      <c r="F33" s="37" t="s">
        <v>363</v>
      </c>
      <c r="G33" s="35" t="s">
        <v>828</v>
      </c>
      <c r="H33" s="35" t="s">
        <v>148</v>
      </c>
      <c r="I33" s="35" t="s">
        <v>1232</v>
      </c>
      <c r="J33" s="35" t="s">
        <v>72</v>
      </c>
      <c r="K33" s="35" t="s">
        <v>71</v>
      </c>
      <c r="L33" s="35">
        <v>8</v>
      </c>
      <c r="M33" s="35" t="s">
        <v>361</v>
      </c>
      <c r="N33" s="36" t="s">
        <v>466</v>
      </c>
    </row>
    <row r="34" spans="1:14" ht="27.65" customHeight="1" x14ac:dyDescent="0.35">
      <c r="A34" s="37" t="s">
        <v>64</v>
      </c>
      <c r="B34" s="37" t="s">
        <v>1334</v>
      </c>
      <c r="C34" s="37" t="s">
        <v>1231</v>
      </c>
      <c r="D34" s="35" t="s">
        <v>1525</v>
      </c>
      <c r="E34" s="37" t="s">
        <v>364</v>
      </c>
      <c r="F34" s="37" t="s">
        <v>1229</v>
      </c>
      <c r="G34" s="35" t="s">
        <v>389</v>
      </c>
      <c r="H34" s="35" t="s">
        <v>148</v>
      </c>
      <c r="I34" s="35" t="s">
        <v>1228</v>
      </c>
      <c r="J34" s="35" t="s">
        <v>72</v>
      </c>
      <c r="K34" s="35" t="s">
        <v>71</v>
      </c>
      <c r="L34" s="35">
        <v>9</v>
      </c>
      <c r="M34" s="35" t="s">
        <v>1227</v>
      </c>
      <c r="N34" s="35" t="s">
        <v>1226</v>
      </c>
    </row>
    <row r="35" spans="1:14" ht="27.65" customHeight="1" x14ac:dyDescent="0.35">
      <c r="A35" s="37" t="s">
        <v>64</v>
      </c>
      <c r="B35" s="37" t="s">
        <v>1334</v>
      </c>
      <c r="C35" s="37" t="s">
        <v>1225</v>
      </c>
      <c r="D35" s="35" t="s">
        <v>1524</v>
      </c>
      <c r="E35" s="37" t="s">
        <v>364</v>
      </c>
      <c r="F35" s="37" t="s">
        <v>1223</v>
      </c>
      <c r="G35" s="35" t="s">
        <v>389</v>
      </c>
      <c r="H35" s="35" t="s">
        <v>148</v>
      </c>
      <c r="I35" s="35" t="s">
        <v>1222</v>
      </c>
      <c r="J35" s="35" t="s">
        <v>72</v>
      </c>
      <c r="K35" s="35" t="s">
        <v>71</v>
      </c>
      <c r="L35" s="35">
        <v>10</v>
      </c>
      <c r="M35" s="35" t="s">
        <v>1221</v>
      </c>
      <c r="N35" s="35" t="s">
        <v>1220</v>
      </c>
    </row>
    <row r="36" spans="1:14" ht="124.4" customHeight="1" x14ac:dyDescent="0.35">
      <c r="A36" s="37" t="s">
        <v>64</v>
      </c>
      <c r="B36" s="37" t="s">
        <v>1334</v>
      </c>
      <c r="C36" s="37" t="s">
        <v>1517</v>
      </c>
      <c r="D36" s="35" t="s">
        <v>1523</v>
      </c>
      <c r="E36" s="37" t="s">
        <v>1364</v>
      </c>
      <c r="F36" s="37" t="s">
        <v>1522</v>
      </c>
      <c r="G36" s="35" t="s">
        <v>1521</v>
      </c>
      <c r="H36" s="35" t="s">
        <v>174</v>
      </c>
      <c r="I36" s="35" t="s">
        <v>1520</v>
      </c>
      <c r="J36" s="35" t="s">
        <v>72</v>
      </c>
      <c r="K36" s="35" t="s">
        <v>71</v>
      </c>
      <c r="L36" s="35">
        <v>11</v>
      </c>
      <c r="M36" s="35" t="s">
        <v>1519</v>
      </c>
      <c r="N36" s="35" t="s">
        <v>1518</v>
      </c>
    </row>
    <row r="37" spans="1:14" ht="82.75" customHeight="1" x14ac:dyDescent="0.35">
      <c r="A37" s="37" t="s">
        <v>64</v>
      </c>
      <c r="B37" s="37" t="s">
        <v>1334</v>
      </c>
      <c r="C37" s="37" t="s">
        <v>1510</v>
      </c>
      <c r="D37" s="35" t="s">
        <v>1516</v>
      </c>
      <c r="E37" s="37" t="s">
        <v>1364</v>
      </c>
      <c r="F37" s="37" t="s">
        <v>1515</v>
      </c>
      <c r="G37" s="35" t="s">
        <v>1514</v>
      </c>
      <c r="H37" s="35" t="s">
        <v>174</v>
      </c>
      <c r="I37" s="35" t="s">
        <v>1513</v>
      </c>
      <c r="J37" s="35" t="s">
        <v>72</v>
      </c>
      <c r="K37" s="35" t="s">
        <v>71</v>
      </c>
      <c r="L37" s="35">
        <v>12</v>
      </c>
      <c r="M37" s="35" t="s">
        <v>1512</v>
      </c>
      <c r="N37" s="35" t="s">
        <v>1511</v>
      </c>
    </row>
    <row r="38" spans="1:14" ht="27.65" customHeight="1" x14ac:dyDescent="0.35">
      <c r="A38" s="37" t="s">
        <v>64</v>
      </c>
      <c r="B38" s="37" t="s">
        <v>1334</v>
      </c>
      <c r="C38" s="37" t="s">
        <v>1509</v>
      </c>
      <c r="D38" s="35" t="s">
        <v>1508</v>
      </c>
      <c r="E38" s="37" t="s">
        <v>1364</v>
      </c>
      <c r="F38" s="37" t="s">
        <v>230</v>
      </c>
      <c r="G38" s="35" t="s">
        <v>1023</v>
      </c>
      <c r="H38" s="35" t="s">
        <v>174</v>
      </c>
      <c r="I38" s="35" t="s">
        <v>1507</v>
      </c>
      <c r="J38" s="35" t="s">
        <v>72</v>
      </c>
      <c r="K38" s="35" t="s">
        <v>71</v>
      </c>
      <c r="L38" s="35">
        <v>13</v>
      </c>
      <c r="M38" s="35" t="s">
        <v>1506</v>
      </c>
      <c r="N38" s="35" t="s">
        <v>514</v>
      </c>
    </row>
    <row r="39" spans="1:14" ht="27.65" customHeight="1" x14ac:dyDescent="0.35">
      <c r="A39" s="37" t="s">
        <v>64</v>
      </c>
      <c r="B39" s="37" t="s">
        <v>1334</v>
      </c>
      <c r="C39" s="37" t="s">
        <v>1505</v>
      </c>
      <c r="D39" s="35" t="s">
        <v>1504</v>
      </c>
      <c r="E39" s="37" t="s">
        <v>1364</v>
      </c>
      <c r="F39" s="37" t="s">
        <v>1503</v>
      </c>
      <c r="G39" s="35" t="s">
        <v>149</v>
      </c>
      <c r="H39" s="35" t="s">
        <v>174</v>
      </c>
      <c r="I39" s="35" t="s">
        <v>1502</v>
      </c>
      <c r="J39" s="35" t="s">
        <v>72</v>
      </c>
      <c r="K39" s="35" t="s">
        <v>71</v>
      </c>
      <c r="L39" s="35">
        <v>14</v>
      </c>
      <c r="M39" s="35" t="s">
        <v>1501</v>
      </c>
      <c r="N39" s="35" t="s">
        <v>590</v>
      </c>
    </row>
    <row r="40" spans="1:14" ht="27.65" customHeight="1" x14ac:dyDescent="0.35">
      <c r="A40" s="37" t="s">
        <v>64</v>
      </c>
      <c r="B40" s="37" t="s">
        <v>1334</v>
      </c>
      <c r="C40" s="37" t="s">
        <v>1500</v>
      </c>
      <c r="D40" s="35" t="s">
        <v>1499</v>
      </c>
      <c r="E40" s="37" t="s">
        <v>1429</v>
      </c>
      <c r="F40" s="37" t="s">
        <v>1498</v>
      </c>
      <c r="G40" s="35" t="s">
        <v>149</v>
      </c>
      <c r="H40" s="35" t="s">
        <v>174</v>
      </c>
      <c r="I40" s="35" t="s">
        <v>1497</v>
      </c>
      <c r="J40" s="35" t="s">
        <v>72</v>
      </c>
      <c r="K40" s="35" t="s">
        <v>71</v>
      </c>
      <c r="L40" s="35">
        <v>15</v>
      </c>
      <c r="M40" s="35" t="s">
        <v>1496</v>
      </c>
      <c r="N40" s="35" t="s">
        <v>1495</v>
      </c>
    </row>
    <row r="41" spans="1:14" ht="41.5" customHeight="1" x14ac:dyDescent="0.35">
      <c r="A41" s="37" t="s">
        <v>64</v>
      </c>
      <c r="B41" s="37" t="s">
        <v>1334</v>
      </c>
      <c r="C41" s="37" t="s">
        <v>1494</v>
      </c>
      <c r="D41" s="35" t="s">
        <v>1493</v>
      </c>
      <c r="E41" s="37" t="s">
        <v>1429</v>
      </c>
      <c r="F41" s="37" t="s">
        <v>1492</v>
      </c>
      <c r="G41" s="35" t="s">
        <v>1486</v>
      </c>
      <c r="H41" s="35" t="s">
        <v>148</v>
      </c>
      <c r="I41" s="35" t="s">
        <v>1491</v>
      </c>
      <c r="J41" s="35" t="s">
        <v>72</v>
      </c>
      <c r="K41" s="35" t="s">
        <v>71</v>
      </c>
      <c r="L41" s="35">
        <v>16</v>
      </c>
      <c r="M41" s="35" t="s">
        <v>1490</v>
      </c>
      <c r="N41" s="35" t="s">
        <v>29</v>
      </c>
    </row>
    <row r="42" spans="1:14" ht="41.5" customHeight="1" x14ac:dyDescent="0.35">
      <c r="A42" s="37" t="s">
        <v>64</v>
      </c>
      <c r="B42" s="37" t="s">
        <v>1334</v>
      </c>
      <c r="C42" s="37" t="s">
        <v>1489</v>
      </c>
      <c r="D42" s="35" t="s">
        <v>1488</v>
      </c>
      <c r="E42" s="37" t="s">
        <v>1429</v>
      </c>
      <c r="F42" s="37" t="s">
        <v>1487</v>
      </c>
      <c r="G42" s="35" t="s">
        <v>1486</v>
      </c>
      <c r="H42" s="35" t="s">
        <v>148</v>
      </c>
      <c r="I42" s="35" t="s">
        <v>1485</v>
      </c>
      <c r="J42" s="35" t="s">
        <v>72</v>
      </c>
      <c r="K42" s="35" t="s">
        <v>71</v>
      </c>
      <c r="L42" s="35">
        <v>17</v>
      </c>
      <c r="M42" s="35" t="s">
        <v>1484</v>
      </c>
      <c r="N42" s="35" t="s">
        <v>29</v>
      </c>
    </row>
    <row r="43" spans="1:14" ht="82.75" customHeight="1" x14ac:dyDescent="0.35">
      <c r="A43" s="37" t="s">
        <v>64</v>
      </c>
      <c r="B43" s="37" t="s">
        <v>1334</v>
      </c>
      <c r="C43" s="37" t="s">
        <v>1477</v>
      </c>
      <c r="D43" s="35" t="s">
        <v>1483</v>
      </c>
      <c r="E43" s="37" t="s">
        <v>1429</v>
      </c>
      <c r="F43" s="37" t="s">
        <v>1482</v>
      </c>
      <c r="G43" s="35" t="s">
        <v>1481</v>
      </c>
      <c r="H43" s="35" t="s">
        <v>148</v>
      </c>
      <c r="I43" s="35" t="s">
        <v>1480</v>
      </c>
      <c r="J43" s="35" t="s">
        <v>72</v>
      </c>
      <c r="K43" s="35" t="s">
        <v>71</v>
      </c>
      <c r="L43" s="35">
        <v>18</v>
      </c>
      <c r="M43" s="35" t="s">
        <v>1479</v>
      </c>
      <c r="N43" s="35" t="s">
        <v>1478</v>
      </c>
    </row>
    <row r="44" spans="1:14" ht="41.5" customHeight="1" x14ac:dyDescent="0.35">
      <c r="A44" s="37" t="s">
        <v>64</v>
      </c>
      <c r="B44" s="37" t="s">
        <v>1334</v>
      </c>
      <c r="C44" s="37" t="s">
        <v>1476</v>
      </c>
      <c r="D44" s="35" t="s">
        <v>1475</v>
      </c>
      <c r="E44" s="37" t="s">
        <v>1429</v>
      </c>
      <c r="F44" s="37" t="s">
        <v>1474</v>
      </c>
      <c r="G44" s="35" t="s">
        <v>1473</v>
      </c>
      <c r="H44" s="35" t="s">
        <v>148</v>
      </c>
      <c r="I44" s="35" t="s">
        <v>1472</v>
      </c>
      <c r="J44" s="35" t="s">
        <v>72</v>
      </c>
      <c r="K44" s="35" t="s">
        <v>71</v>
      </c>
      <c r="L44" s="35">
        <v>19</v>
      </c>
      <c r="M44" s="35" t="s">
        <v>1471</v>
      </c>
      <c r="N44" s="35" t="s">
        <v>29</v>
      </c>
    </row>
    <row r="45" spans="1:14" ht="55.4" customHeight="1" x14ac:dyDescent="0.35">
      <c r="A45" s="37" t="s">
        <v>64</v>
      </c>
      <c r="B45" s="37" t="s">
        <v>1334</v>
      </c>
      <c r="C45" s="37" t="s">
        <v>1465</v>
      </c>
      <c r="D45" s="35" t="s">
        <v>1470</v>
      </c>
      <c r="E45" s="37" t="s">
        <v>1429</v>
      </c>
      <c r="F45" s="37" t="s">
        <v>1469</v>
      </c>
      <c r="G45" s="35" t="s">
        <v>1468</v>
      </c>
      <c r="H45" s="35" t="s">
        <v>174</v>
      </c>
      <c r="I45" s="35" t="s">
        <v>1467</v>
      </c>
      <c r="J45" s="35" t="s">
        <v>72</v>
      </c>
      <c r="K45" s="35" t="s">
        <v>71</v>
      </c>
      <c r="L45" s="35">
        <v>20</v>
      </c>
      <c r="M45" s="35" t="s">
        <v>1466</v>
      </c>
      <c r="N45" s="35" t="s">
        <v>553</v>
      </c>
    </row>
    <row r="46" spans="1:14" ht="27.65" customHeight="1" x14ac:dyDescent="0.35">
      <c r="A46" s="37" t="s">
        <v>64</v>
      </c>
      <c r="B46" s="37" t="s">
        <v>1334</v>
      </c>
      <c r="C46" s="37" t="s">
        <v>1464</v>
      </c>
      <c r="D46" s="35" t="s">
        <v>1463</v>
      </c>
      <c r="E46" s="37" t="s">
        <v>1364</v>
      </c>
      <c r="F46" s="37" t="s">
        <v>1462</v>
      </c>
      <c r="G46" s="35" t="s">
        <v>149</v>
      </c>
      <c r="H46" s="35" t="s">
        <v>174</v>
      </c>
      <c r="I46" s="35" t="s">
        <v>1461</v>
      </c>
      <c r="J46" s="35" t="s">
        <v>72</v>
      </c>
      <c r="K46" s="35" t="s">
        <v>71</v>
      </c>
      <c r="L46" s="35">
        <v>21</v>
      </c>
      <c r="M46" s="35" t="s">
        <v>585</v>
      </c>
      <c r="N46" s="35" t="s">
        <v>584</v>
      </c>
    </row>
    <row r="47" spans="1:14" ht="41.5" customHeight="1" x14ac:dyDescent="0.35">
      <c r="A47" s="37" t="s">
        <v>64</v>
      </c>
      <c r="B47" s="37" t="s">
        <v>1334</v>
      </c>
      <c r="C47" s="37" t="s">
        <v>1460</v>
      </c>
      <c r="D47" s="35" t="s">
        <v>1459</v>
      </c>
      <c r="E47" s="37" t="s">
        <v>1364</v>
      </c>
      <c r="F47" s="37" t="s">
        <v>1458</v>
      </c>
      <c r="G47" s="35" t="s">
        <v>828</v>
      </c>
      <c r="H47" s="35" t="s">
        <v>148</v>
      </c>
      <c r="I47" s="35" t="s">
        <v>1457</v>
      </c>
      <c r="J47" s="35" t="s">
        <v>72</v>
      </c>
      <c r="K47" s="35" t="s">
        <v>71</v>
      </c>
      <c r="L47" s="35">
        <v>22</v>
      </c>
      <c r="M47" s="35" t="s">
        <v>1456</v>
      </c>
      <c r="N47" s="35" t="s">
        <v>1455</v>
      </c>
    </row>
    <row r="48" spans="1:14" ht="69" customHeight="1" x14ac:dyDescent="0.35">
      <c r="A48" s="37" t="s">
        <v>64</v>
      </c>
      <c r="B48" s="37" t="s">
        <v>1334</v>
      </c>
      <c r="C48" s="37" t="s">
        <v>1449</v>
      </c>
      <c r="D48" s="35" t="s">
        <v>1454</v>
      </c>
      <c r="E48" s="37" t="s">
        <v>1364</v>
      </c>
      <c r="F48" s="37" t="s">
        <v>1453</v>
      </c>
      <c r="G48" s="35" t="s">
        <v>1452</v>
      </c>
      <c r="H48" s="35" t="s">
        <v>148</v>
      </c>
      <c r="I48" s="35" t="s">
        <v>1451</v>
      </c>
      <c r="J48" s="35" t="s">
        <v>72</v>
      </c>
      <c r="K48" s="35" t="s">
        <v>71</v>
      </c>
      <c r="L48" s="35">
        <v>23</v>
      </c>
      <c r="M48" s="35" t="s">
        <v>1450</v>
      </c>
      <c r="N48" s="35" t="s">
        <v>546</v>
      </c>
    </row>
    <row r="49" spans="1:14" ht="55.4" customHeight="1" x14ac:dyDescent="0.35">
      <c r="A49" s="37" t="s">
        <v>64</v>
      </c>
      <c r="B49" s="37" t="s">
        <v>1334</v>
      </c>
      <c r="C49" s="37" t="s">
        <v>1444</v>
      </c>
      <c r="D49" s="35" t="s">
        <v>1448</v>
      </c>
      <c r="E49" s="37" t="s">
        <v>1364</v>
      </c>
      <c r="F49" s="37" t="s">
        <v>1447</v>
      </c>
      <c r="G49" s="35" t="s">
        <v>1446</v>
      </c>
      <c r="H49" s="35" t="s">
        <v>174</v>
      </c>
      <c r="I49" s="35" t="s">
        <v>1445</v>
      </c>
      <c r="J49" s="35" t="s">
        <v>72</v>
      </c>
      <c r="K49" s="35" t="s">
        <v>71</v>
      </c>
      <c r="L49" s="35">
        <v>24</v>
      </c>
      <c r="M49" s="35" t="s">
        <v>528</v>
      </c>
      <c r="N49" s="35" t="s">
        <v>29</v>
      </c>
    </row>
    <row r="50" spans="1:14" ht="41.5" customHeight="1" x14ac:dyDescent="0.35">
      <c r="A50" s="37" t="s">
        <v>64</v>
      </c>
      <c r="B50" s="37" t="s">
        <v>1334</v>
      </c>
      <c r="C50" s="37" t="s">
        <v>1443</v>
      </c>
      <c r="D50" s="35" t="s">
        <v>1442</v>
      </c>
      <c r="E50" s="37" t="s">
        <v>1364</v>
      </c>
      <c r="F50" s="37" t="s">
        <v>1441</v>
      </c>
      <c r="G50" s="35" t="s">
        <v>149</v>
      </c>
      <c r="H50" s="35" t="s">
        <v>174</v>
      </c>
      <c r="I50" s="35" t="s">
        <v>1440</v>
      </c>
      <c r="J50" s="35" t="s">
        <v>72</v>
      </c>
      <c r="K50" s="35" t="s">
        <v>71</v>
      </c>
      <c r="L50" s="35">
        <v>25</v>
      </c>
      <c r="M50" s="35" t="s">
        <v>1439</v>
      </c>
      <c r="N50" s="35" t="s">
        <v>29</v>
      </c>
    </row>
    <row r="51" spans="1:14" ht="41.5" customHeight="1" x14ac:dyDescent="0.35">
      <c r="A51" s="37" t="s">
        <v>64</v>
      </c>
      <c r="B51" s="37" t="s">
        <v>1334</v>
      </c>
      <c r="C51" s="37" t="s">
        <v>1438</v>
      </c>
      <c r="D51" s="35" t="s">
        <v>1437</v>
      </c>
      <c r="E51" s="37" t="s">
        <v>1429</v>
      </c>
      <c r="F51" s="37" t="s">
        <v>1436</v>
      </c>
      <c r="G51" s="35" t="s">
        <v>1435</v>
      </c>
      <c r="H51" s="35" t="s">
        <v>148</v>
      </c>
      <c r="I51" s="35" t="s">
        <v>1434</v>
      </c>
      <c r="J51" s="35" t="s">
        <v>72</v>
      </c>
      <c r="K51" s="35" t="s">
        <v>71</v>
      </c>
      <c r="L51" s="35">
        <v>26</v>
      </c>
      <c r="M51" s="35" t="s">
        <v>1433</v>
      </c>
      <c r="N51" s="35" t="s">
        <v>1432</v>
      </c>
    </row>
    <row r="52" spans="1:14" ht="27.65" customHeight="1" x14ac:dyDescent="0.35">
      <c r="A52" s="37" t="s">
        <v>64</v>
      </c>
      <c r="B52" s="37" t="s">
        <v>1334</v>
      </c>
      <c r="C52" s="37" t="s">
        <v>1431</v>
      </c>
      <c r="D52" s="35" t="s">
        <v>1430</v>
      </c>
      <c r="E52" s="37" t="s">
        <v>1429</v>
      </c>
      <c r="F52" s="37" t="s">
        <v>1428</v>
      </c>
      <c r="G52" s="35" t="s">
        <v>149</v>
      </c>
      <c r="H52" s="35" t="s">
        <v>148</v>
      </c>
      <c r="I52" s="35" t="s">
        <v>1427</v>
      </c>
      <c r="J52" s="35" t="s">
        <v>72</v>
      </c>
      <c r="K52" s="35" t="s">
        <v>71</v>
      </c>
      <c r="L52" s="35">
        <v>27</v>
      </c>
      <c r="M52" s="35" t="s">
        <v>1426</v>
      </c>
      <c r="N52" s="35" t="s">
        <v>1425</v>
      </c>
    </row>
    <row r="53" spans="1:14" ht="96.65" customHeight="1" x14ac:dyDescent="0.35">
      <c r="A53" s="37" t="s">
        <v>64</v>
      </c>
      <c r="B53" s="37" t="s">
        <v>1334</v>
      </c>
      <c r="C53" s="37" t="s">
        <v>1198</v>
      </c>
      <c r="D53" s="35" t="s">
        <v>1424</v>
      </c>
      <c r="E53" s="37" t="s">
        <v>856</v>
      </c>
      <c r="F53" s="37" t="s">
        <v>1203</v>
      </c>
      <c r="G53" s="35" t="s">
        <v>1423</v>
      </c>
      <c r="H53" s="35" t="s">
        <v>148</v>
      </c>
      <c r="I53" s="35" t="s">
        <v>1422</v>
      </c>
      <c r="J53" s="35" t="s">
        <v>72</v>
      </c>
      <c r="K53" s="35" t="s">
        <v>71</v>
      </c>
      <c r="L53" s="35">
        <v>28</v>
      </c>
      <c r="M53" s="35" t="s">
        <v>1200</v>
      </c>
      <c r="N53" s="35" t="s">
        <v>1199</v>
      </c>
    </row>
    <row r="54" spans="1:14" ht="27.65" customHeight="1" x14ac:dyDescent="0.35">
      <c r="A54" s="37" t="s">
        <v>64</v>
      </c>
      <c r="B54" s="37" t="s">
        <v>1334</v>
      </c>
      <c r="C54" s="37" t="s">
        <v>1197</v>
      </c>
      <c r="D54" s="35" t="s">
        <v>1421</v>
      </c>
      <c r="E54" s="37" t="s">
        <v>856</v>
      </c>
      <c r="F54" s="37" t="s">
        <v>1195</v>
      </c>
      <c r="G54" s="35" t="s">
        <v>149</v>
      </c>
      <c r="H54" s="35" t="s">
        <v>148</v>
      </c>
      <c r="I54" s="35" t="s">
        <v>1194</v>
      </c>
      <c r="J54" s="35" t="s">
        <v>72</v>
      </c>
      <c r="K54" s="35" t="s">
        <v>71</v>
      </c>
      <c r="L54" s="35">
        <v>29</v>
      </c>
      <c r="M54" s="35" t="s">
        <v>1193</v>
      </c>
      <c r="N54" s="35" t="s">
        <v>1192</v>
      </c>
    </row>
    <row r="55" spans="1:14" ht="41.5" customHeight="1" x14ac:dyDescent="0.35">
      <c r="A55" s="37" t="s">
        <v>64</v>
      </c>
      <c r="B55" s="37" t="s">
        <v>1334</v>
      </c>
      <c r="C55" s="37" t="s">
        <v>1420</v>
      </c>
      <c r="D55" s="35" t="s">
        <v>1419</v>
      </c>
      <c r="E55" s="37" t="s">
        <v>856</v>
      </c>
      <c r="F55" s="37" t="s">
        <v>1418</v>
      </c>
      <c r="G55" s="35" t="s">
        <v>828</v>
      </c>
      <c r="H55" s="35" t="s">
        <v>174</v>
      </c>
      <c r="I55" s="35" t="s">
        <v>1417</v>
      </c>
      <c r="J55" s="35" t="s">
        <v>72</v>
      </c>
      <c r="K55" s="35" t="s">
        <v>71</v>
      </c>
      <c r="L55" s="35">
        <v>30</v>
      </c>
      <c r="M55" s="35" t="s">
        <v>1416</v>
      </c>
      <c r="N55" s="35" t="s">
        <v>29</v>
      </c>
    </row>
    <row r="56" spans="1:14" ht="41.5" customHeight="1" x14ac:dyDescent="0.35">
      <c r="A56" s="37" t="s">
        <v>64</v>
      </c>
      <c r="B56" s="37" t="s">
        <v>1334</v>
      </c>
      <c r="C56" s="37" t="s">
        <v>1191</v>
      </c>
      <c r="D56" s="35" t="s">
        <v>1415</v>
      </c>
      <c r="E56" s="37" t="s">
        <v>856</v>
      </c>
      <c r="F56" s="37" t="s">
        <v>1189</v>
      </c>
      <c r="G56" s="35" t="s">
        <v>828</v>
      </c>
      <c r="H56" s="35" t="s">
        <v>148</v>
      </c>
      <c r="I56" s="35" t="s">
        <v>1188</v>
      </c>
      <c r="J56" s="35" t="s">
        <v>72</v>
      </c>
      <c r="K56" s="35" t="s">
        <v>71</v>
      </c>
      <c r="L56" s="35">
        <v>31</v>
      </c>
      <c r="M56" s="35" t="s">
        <v>1187</v>
      </c>
      <c r="N56" s="35" t="s">
        <v>1186</v>
      </c>
    </row>
    <row r="57" spans="1:14" ht="27.65" customHeight="1" x14ac:dyDescent="0.35">
      <c r="A57" s="37" t="s">
        <v>64</v>
      </c>
      <c r="B57" s="37" t="s">
        <v>1334</v>
      </c>
      <c r="C57" s="37" t="s">
        <v>1185</v>
      </c>
      <c r="D57" s="35" t="s">
        <v>1414</v>
      </c>
      <c r="E57" s="37" t="s">
        <v>856</v>
      </c>
      <c r="F57" s="37" t="s">
        <v>1183</v>
      </c>
      <c r="G57" s="35" t="s">
        <v>149</v>
      </c>
      <c r="H57" s="35" t="s">
        <v>148</v>
      </c>
      <c r="I57" s="35" t="s">
        <v>1182</v>
      </c>
      <c r="J57" s="35" t="s">
        <v>72</v>
      </c>
      <c r="K57" s="35" t="s">
        <v>71</v>
      </c>
      <c r="L57" s="35">
        <v>32</v>
      </c>
      <c r="M57" s="35" t="s">
        <v>1181</v>
      </c>
      <c r="N57" s="35" t="s">
        <v>1180</v>
      </c>
    </row>
    <row r="58" spans="1:14" ht="69" customHeight="1" x14ac:dyDescent="0.35">
      <c r="A58" s="37" t="s">
        <v>64</v>
      </c>
      <c r="B58" s="37" t="s">
        <v>1334</v>
      </c>
      <c r="C58" s="37" t="s">
        <v>1413</v>
      </c>
      <c r="D58" s="35" t="s">
        <v>1412</v>
      </c>
      <c r="E58" s="37" t="s">
        <v>1411</v>
      </c>
      <c r="F58" s="37" t="s">
        <v>1410</v>
      </c>
      <c r="G58" s="35" t="s">
        <v>1409</v>
      </c>
      <c r="H58" s="35" t="s">
        <v>174</v>
      </c>
      <c r="I58" s="35" t="s">
        <v>1408</v>
      </c>
      <c r="J58" s="35" t="s">
        <v>72</v>
      </c>
      <c r="K58" s="35" t="s">
        <v>71</v>
      </c>
      <c r="L58" s="35">
        <v>33</v>
      </c>
      <c r="M58" s="35" t="s">
        <v>1407</v>
      </c>
      <c r="N58" s="35" t="s">
        <v>29</v>
      </c>
    </row>
    <row r="59" spans="1:14" ht="41.5" customHeight="1" x14ac:dyDescent="0.35">
      <c r="A59" s="37" t="s">
        <v>64</v>
      </c>
      <c r="B59" s="37" t="s">
        <v>1334</v>
      </c>
      <c r="C59" s="37" t="s">
        <v>1406</v>
      </c>
      <c r="D59" s="35" t="s">
        <v>1405</v>
      </c>
      <c r="E59" s="37" t="s">
        <v>1364</v>
      </c>
      <c r="F59" s="37" t="s">
        <v>1404</v>
      </c>
      <c r="G59" s="35" t="s">
        <v>828</v>
      </c>
      <c r="H59" s="35" t="s">
        <v>148</v>
      </c>
      <c r="I59" s="35" t="s">
        <v>1403</v>
      </c>
      <c r="J59" s="35" t="s">
        <v>72</v>
      </c>
      <c r="K59" s="35" t="s">
        <v>71</v>
      </c>
      <c r="L59" s="35">
        <v>34</v>
      </c>
      <c r="M59" s="35" t="s">
        <v>1402</v>
      </c>
      <c r="N59" s="35" t="s">
        <v>1401</v>
      </c>
    </row>
    <row r="60" spans="1:14" ht="27.65" customHeight="1" x14ac:dyDescent="0.35">
      <c r="A60" s="37" t="s">
        <v>64</v>
      </c>
      <c r="B60" s="37" t="s">
        <v>1334</v>
      </c>
      <c r="C60" s="37" t="s">
        <v>1400</v>
      </c>
      <c r="D60" s="35" t="s">
        <v>1399</v>
      </c>
      <c r="E60" s="37" t="s">
        <v>1364</v>
      </c>
      <c r="F60" s="37" t="s">
        <v>1398</v>
      </c>
      <c r="G60" s="35" t="s">
        <v>828</v>
      </c>
      <c r="H60" s="35" t="s">
        <v>148</v>
      </c>
      <c r="I60" s="35" t="s">
        <v>1397</v>
      </c>
      <c r="J60" s="35" t="s">
        <v>72</v>
      </c>
      <c r="K60" s="35" t="s">
        <v>71</v>
      </c>
      <c r="L60" s="35">
        <v>35</v>
      </c>
      <c r="M60" s="35" t="s">
        <v>1396</v>
      </c>
      <c r="N60" s="35" t="s">
        <v>1395</v>
      </c>
    </row>
    <row r="61" spans="1:14" ht="27.65" customHeight="1" x14ac:dyDescent="0.35">
      <c r="A61" s="37" t="s">
        <v>64</v>
      </c>
      <c r="B61" s="37" t="s">
        <v>1334</v>
      </c>
      <c r="C61" s="37" t="s">
        <v>1394</v>
      </c>
      <c r="D61" s="35" t="s">
        <v>1393</v>
      </c>
      <c r="E61" s="37" t="s">
        <v>856</v>
      </c>
      <c r="F61" s="37" t="s">
        <v>1392</v>
      </c>
      <c r="G61" s="35" t="s">
        <v>828</v>
      </c>
      <c r="H61" s="35" t="s">
        <v>148</v>
      </c>
      <c r="I61" s="35" t="s">
        <v>1391</v>
      </c>
      <c r="J61" s="35" t="s">
        <v>72</v>
      </c>
      <c r="K61" s="35" t="s">
        <v>71</v>
      </c>
      <c r="L61" s="35">
        <v>36</v>
      </c>
      <c r="M61" s="35" t="s">
        <v>1390</v>
      </c>
      <c r="N61" s="35" t="s">
        <v>1214</v>
      </c>
    </row>
    <row r="62" spans="1:14" ht="55.4" customHeight="1" x14ac:dyDescent="0.35">
      <c r="A62" s="37" t="s">
        <v>64</v>
      </c>
      <c r="B62" s="37" t="s">
        <v>1334</v>
      </c>
      <c r="C62" s="37" t="s">
        <v>858</v>
      </c>
      <c r="D62" s="35" t="s">
        <v>1389</v>
      </c>
      <c r="E62" s="37" t="s">
        <v>856</v>
      </c>
      <c r="F62" s="37" t="s">
        <v>855</v>
      </c>
      <c r="G62" s="35" t="s">
        <v>828</v>
      </c>
      <c r="H62" s="35" t="s">
        <v>148</v>
      </c>
      <c r="I62" s="35" t="s">
        <v>854</v>
      </c>
      <c r="J62" s="35" t="s">
        <v>72</v>
      </c>
      <c r="K62" s="35" t="s">
        <v>71</v>
      </c>
      <c r="L62" s="35">
        <v>37</v>
      </c>
      <c r="M62" s="35" t="s">
        <v>853</v>
      </c>
      <c r="N62" s="35" t="s">
        <v>1388</v>
      </c>
    </row>
    <row r="63" spans="1:14" ht="409.6" customHeight="1" x14ac:dyDescent="0.35">
      <c r="A63" s="37" t="s">
        <v>64</v>
      </c>
      <c r="B63" s="37" t="s">
        <v>1334</v>
      </c>
      <c r="C63" s="37" t="s">
        <v>1383</v>
      </c>
      <c r="D63" s="35" t="s">
        <v>1387</v>
      </c>
      <c r="E63" s="37" t="s">
        <v>856</v>
      </c>
      <c r="F63" s="37" t="s">
        <v>1386</v>
      </c>
      <c r="G63" s="35" t="s">
        <v>1385</v>
      </c>
      <c r="H63" s="35" t="s">
        <v>174</v>
      </c>
      <c r="I63" s="35" t="s">
        <v>1384</v>
      </c>
      <c r="J63" s="35" t="s">
        <v>72</v>
      </c>
      <c r="K63" s="35" t="s">
        <v>71</v>
      </c>
      <c r="L63" s="35">
        <v>38</v>
      </c>
      <c r="M63" s="35" t="s">
        <v>375</v>
      </c>
      <c r="N63" s="35" t="s">
        <v>484</v>
      </c>
    </row>
    <row r="64" spans="1:14" ht="82.75" customHeight="1" x14ac:dyDescent="0.35">
      <c r="A64" s="37" t="s">
        <v>64</v>
      </c>
      <c r="B64" s="37" t="s">
        <v>1334</v>
      </c>
      <c r="C64" s="37" t="s">
        <v>1377</v>
      </c>
      <c r="D64" s="35" t="s">
        <v>1382</v>
      </c>
      <c r="E64" s="37" t="s">
        <v>856</v>
      </c>
      <c r="F64" s="37" t="s">
        <v>1381</v>
      </c>
      <c r="G64" s="35" t="s">
        <v>1380</v>
      </c>
      <c r="H64" s="35" t="s">
        <v>174</v>
      </c>
      <c r="I64" s="35" t="s">
        <v>1379</v>
      </c>
      <c r="J64" s="35" t="s">
        <v>72</v>
      </c>
      <c r="K64" s="35" t="s">
        <v>71</v>
      </c>
      <c r="L64" s="35">
        <v>39</v>
      </c>
      <c r="M64" s="35" t="s">
        <v>1378</v>
      </c>
      <c r="N64" s="35" t="s">
        <v>29</v>
      </c>
    </row>
    <row r="65" spans="1:14" ht="41.5" customHeight="1" x14ac:dyDescent="0.35">
      <c r="A65" s="37" t="s">
        <v>64</v>
      </c>
      <c r="B65" s="37" t="s">
        <v>1334</v>
      </c>
      <c r="C65" s="37" t="s">
        <v>1376</v>
      </c>
      <c r="D65" s="35" t="s">
        <v>1375</v>
      </c>
      <c r="E65" s="37" t="s">
        <v>856</v>
      </c>
      <c r="F65" s="37" t="s">
        <v>1374</v>
      </c>
      <c r="G65" s="35" t="s">
        <v>828</v>
      </c>
      <c r="H65" s="35" t="s">
        <v>148</v>
      </c>
      <c r="I65" s="35" t="s">
        <v>1373</v>
      </c>
      <c r="J65" s="35" t="s">
        <v>72</v>
      </c>
      <c r="K65" s="35" t="s">
        <v>71</v>
      </c>
      <c r="L65" s="35">
        <v>40</v>
      </c>
      <c r="M65" s="35" t="s">
        <v>1372</v>
      </c>
      <c r="N65" s="35" t="s">
        <v>1371</v>
      </c>
    </row>
    <row r="66" spans="1:14" ht="138" customHeight="1" x14ac:dyDescent="0.35">
      <c r="A66" s="37" t="s">
        <v>64</v>
      </c>
      <c r="B66" s="37" t="s">
        <v>1334</v>
      </c>
      <c r="C66" s="37" t="s">
        <v>1177</v>
      </c>
      <c r="D66" s="35" t="s">
        <v>1370</v>
      </c>
      <c r="E66" s="37" t="s">
        <v>856</v>
      </c>
      <c r="F66" s="37" t="s">
        <v>1175</v>
      </c>
      <c r="G66" s="35" t="s">
        <v>828</v>
      </c>
      <c r="H66" s="35" t="s">
        <v>148</v>
      </c>
      <c r="I66" s="35" t="s">
        <v>1369</v>
      </c>
      <c r="J66" s="35" t="s">
        <v>72</v>
      </c>
      <c r="K66" s="35" t="s">
        <v>71</v>
      </c>
      <c r="L66" s="35">
        <v>41</v>
      </c>
      <c r="M66" s="35" t="s">
        <v>1173</v>
      </c>
      <c r="N66" s="35" t="s">
        <v>1172</v>
      </c>
    </row>
    <row r="67" spans="1:14" ht="96.65" customHeight="1" x14ac:dyDescent="0.35">
      <c r="A67" s="37" t="s">
        <v>64</v>
      </c>
      <c r="B67" s="37" t="s">
        <v>1334</v>
      </c>
      <c r="C67" s="37" t="s">
        <v>1165</v>
      </c>
      <c r="D67" s="35" t="s">
        <v>1368</v>
      </c>
      <c r="E67" s="37" t="s">
        <v>856</v>
      </c>
      <c r="F67" s="37" t="s">
        <v>1170</v>
      </c>
      <c r="G67" s="35" t="s">
        <v>1169</v>
      </c>
      <c r="H67" s="35" t="s">
        <v>148</v>
      </c>
      <c r="I67" s="35" t="s">
        <v>1367</v>
      </c>
      <c r="J67" s="35" t="s">
        <v>72</v>
      </c>
      <c r="K67" s="35" t="s">
        <v>71</v>
      </c>
      <c r="L67" s="35">
        <v>42</v>
      </c>
      <c r="M67" s="35" t="s">
        <v>1167</v>
      </c>
      <c r="N67" s="35" t="s">
        <v>1166</v>
      </c>
    </row>
    <row r="68" spans="1:14" ht="41.5" customHeight="1" x14ac:dyDescent="0.35">
      <c r="A68" s="37" t="s">
        <v>64</v>
      </c>
      <c r="B68" s="37" t="s">
        <v>1334</v>
      </c>
      <c r="C68" s="37" t="s">
        <v>1158</v>
      </c>
      <c r="D68" s="35" t="s">
        <v>1366</v>
      </c>
      <c r="E68" s="37" t="s">
        <v>856</v>
      </c>
      <c r="F68" s="37" t="s">
        <v>1163</v>
      </c>
      <c r="G68" s="35" t="s">
        <v>1162</v>
      </c>
      <c r="H68" s="35" t="s">
        <v>148</v>
      </c>
      <c r="I68" s="35" t="s">
        <v>1161</v>
      </c>
      <c r="J68" s="35" t="s">
        <v>72</v>
      </c>
      <c r="K68" s="35" t="s">
        <v>71</v>
      </c>
      <c r="L68" s="35">
        <v>43</v>
      </c>
      <c r="M68" s="35" t="s">
        <v>1160</v>
      </c>
      <c r="N68" s="35" t="s">
        <v>1159</v>
      </c>
    </row>
    <row r="69" spans="1:14" ht="193.4" customHeight="1" x14ac:dyDescent="0.35">
      <c r="A69" s="37" t="s">
        <v>64</v>
      </c>
      <c r="B69" s="37" t="s">
        <v>1334</v>
      </c>
      <c r="C69" s="37" t="s">
        <v>1361</v>
      </c>
      <c r="D69" s="35" t="s">
        <v>1365</v>
      </c>
      <c r="E69" s="37" t="s">
        <v>1364</v>
      </c>
      <c r="F69" s="37" t="s">
        <v>506</v>
      </c>
      <c r="G69" s="35" t="s">
        <v>1363</v>
      </c>
      <c r="H69" s="35" t="s">
        <v>174</v>
      </c>
      <c r="I69" s="35" t="s">
        <v>1362</v>
      </c>
      <c r="J69" s="35" t="s">
        <v>72</v>
      </c>
      <c r="K69" s="35" t="s">
        <v>71</v>
      </c>
      <c r="L69" s="35">
        <v>44</v>
      </c>
      <c r="M69" s="35" t="s">
        <v>503</v>
      </c>
      <c r="N69" s="35" t="s">
        <v>29</v>
      </c>
    </row>
    <row r="70" spans="1:14" ht="55.4" customHeight="1" x14ac:dyDescent="0.35">
      <c r="A70" s="37" t="s">
        <v>64</v>
      </c>
      <c r="B70" s="37" t="s">
        <v>1334</v>
      </c>
      <c r="C70" s="37" t="s">
        <v>1153</v>
      </c>
      <c r="D70" s="35" t="s">
        <v>1360</v>
      </c>
      <c r="E70" s="37" t="s">
        <v>856</v>
      </c>
      <c r="F70" s="37" t="s">
        <v>481</v>
      </c>
      <c r="G70" s="35" t="s">
        <v>1156</v>
      </c>
      <c r="H70" s="35" t="s">
        <v>148</v>
      </c>
      <c r="I70" s="35" t="s">
        <v>1359</v>
      </c>
      <c r="J70" s="35" t="s">
        <v>72</v>
      </c>
      <c r="K70" s="35" t="s">
        <v>71</v>
      </c>
      <c r="L70" s="35">
        <v>45</v>
      </c>
      <c r="M70" s="35" t="s">
        <v>1154</v>
      </c>
      <c r="N70" s="35" t="s">
        <v>477</v>
      </c>
    </row>
    <row r="71" spans="1:14" ht="27.65" customHeight="1" x14ac:dyDescent="0.35">
      <c r="A71" s="37" t="s">
        <v>64</v>
      </c>
      <c r="B71" s="37" t="s">
        <v>1334</v>
      </c>
      <c r="C71" s="37" t="s">
        <v>1152</v>
      </c>
      <c r="D71" s="35" t="s">
        <v>1358</v>
      </c>
      <c r="E71" s="37" t="s">
        <v>856</v>
      </c>
      <c r="F71" s="37" t="s">
        <v>1150</v>
      </c>
      <c r="G71" s="35" t="s">
        <v>149</v>
      </c>
      <c r="H71" s="35" t="s">
        <v>148</v>
      </c>
      <c r="I71" s="35" t="s">
        <v>1149</v>
      </c>
      <c r="J71" s="35" t="s">
        <v>72</v>
      </c>
      <c r="K71" s="35" t="s">
        <v>71</v>
      </c>
      <c r="L71" s="35">
        <v>46</v>
      </c>
      <c r="M71" s="35" t="s">
        <v>1148</v>
      </c>
      <c r="N71" s="35" t="s">
        <v>1147</v>
      </c>
    </row>
    <row r="72" spans="1:14" ht="41.5" customHeight="1" x14ac:dyDescent="0.35">
      <c r="A72" s="37" t="s">
        <v>64</v>
      </c>
      <c r="B72" s="37" t="s">
        <v>1334</v>
      </c>
      <c r="C72" s="37" t="s">
        <v>1357</v>
      </c>
      <c r="D72" s="35" t="s">
        <v>1356</v>
      </c>
      <c r="E72" s="37" t="s">
        <v>856</v>
      </c>
      <c r="F72" s="37" t="s">
        <v>1355</v>
      </c>
      <c r="G72" s="35" t="s">
        <v>828</v>
      </c>
      <c r="H72" s="35" t="s">
        <v>148</v>
      </c>
      <c r="I72" s="35" t="s">
        <v>1354</v>
      </c>
      <c r="J72" s="35" t="s">
        <v>72</v>
      </c>
      <c r="K72" s="35" t="s">
        <v>71</v>
      </c>
      <c r="L72" s="35">
        <v>47</v>
      </c>
      <c r="M72" s="35" t="s">
        <v>1353</v>
      </c>
      <c r="N72" s="35" t="s">
        <v>1352</v>
      </c>
    </row>
    <row r="73" spans="1:14" ht="138" customHeight="1" x14ac:dyDescent="0.35">
      <c r="A73" s="37" t="s">
        <v>64</v>
      </c>
      <c r="B73" s="37" t="s">
        <v>1334</v>
      </c>
      <c r="C73" s="37" t="s">
        <v>1140</v>
      </c>
      <c r="D73" s="35" t="s">
        <v>1351</v>
      </c>
      <c r="E73" s="37" t="s">
        <v>1136</v>
      </c>
      <c r="F73" s="37" t="s">
        <v>1145</v>
      </c>
      <c r="G73" s="35" t="s">
        <v>1144</v>
      </c>
      <c r="H73" s="35" t="s">
        <v>148</v>
      </c>
      <c r="I73" s="35" t="s">
        <v>1143</v>
      </c>
      <c r="J73" s="35" t="s">
        <v>72</v>
      </c>
      <c r="K73" s="35" t="s">
        <v>71</v>
      </c>
      <c r="L73" s="35">
        <v>48</v>
      </c>
      <c r="M73" s="35" t="s">
        <v>1142</v>
      </c>
      <c r="N73" s="35" t="s">
        <v>1141</v>
      </c>
    </row>
    <row r="74" spans="1:14" ht="27.65" customHeight="1" x14ac:dyDescent="0.35">
      <c r="A74" s="37" t="s">
        <v>64</v>
      </c>
      <c r="B74" s="37" t="s">
        <v>1334</v>
      </c>
      <c r="C74" s="37" t="s">
        <v>1138</v>
      </c>
      <c r="D74" s="35" t="s">
        <v>1350</v>
      </c>
      <c r="E74" s="37" t="s">
        <v>1136</v>
      </c>
      <c r="F74" s="37" t="s">
        <v>1135</v>
      </c>
      <c r="G74" s="35" t="s">
        <v>149</v>
      </c>
      <c r="H74" s="35" t="s">
        <v>174</v>
      </c>
      <c r="I74" s="35" t="s">
        <v>1134</v>
      </c>
      <c r="J74" s="35" t="s">
        <v>72</v>
      </c>
      <c r="K74" s="35" t="s">
        <v>71</v>
      </c>
      <c r="L74" s="35">
        <v>49</v>
      </c>
      <c r="M74" s="35" t="s">
        <v>1133</v>
      </c>
      <c r="N74" s="35" t="s">
        <v>1132</v>
      </c>
    </row>
    <row r="75" spans="1:14" ht="41.5" customHeight="1" x14ac:dyDescent="0.35">
      <c r="A75" s="37" t="s">
        <v>64</v>
      </c>
      <c r="B75" s="37" t="s">
        <v>1334</v>
      </c>
      <c r="C75" s="37" t="s">
        <v>1349</v>
      </c>
      <c r="D75" s="35" t="s">
        <v>1348</v>
      </c>
      <c r="E75" s="37" t="s">
        <v>997</v>
      </c>
      <c r="F75" s="37" t="s">
        <v>1347</v>
      </c>
      <c r="G75" s="35" t="s">
        <v>828</v>
      </c>
      <c r="H75" s="35" t="s">
        <v>148</v>
      </c>
      <c r="I75" s="35" t="s">
        <v>1346</v>
      </c>
      <c r="J75" s="35" t="s">
        <v>72</v>
      </c>
      <c r="K75" s="35" t="s">
        <v>71</v>
      </c>
      <c r="L75" s="35">
        <v>50</v>
      </c>
      <c r="M75" s="35" t="s">
        <v>1345</v>
      </c>
      <c r="N75" s="35" t="s">
        <v>1344</v>
      </c>
    </row>
    <row r="76" spans="1:14" ht="27.65" customHeight="1" x14ac:dyDescent="0.35">
      <c r="A76" s="37" t="s">
        <v>64</v>
      </c>
      <c r="B76" s="37" t="s">
        <v>1334</v>
      </c>
      <c r="C76" s="37" t="s">
        <v>1343</v>
      </c>
      <c r="D76" s="35" t="s">
        <v>1342</v>
      </c>
      <c r="E76" s="37" t="s">
        <v>856</v>
      </c>
      <c r="F76" s="37" t="s">
        <v>169</v>
      </c>
      <c r="G76" s="35" t="s">
        <v>828</v>
      </c>
      <c r="H76" s="35" t="s">
        <v>148</v>
      </c>
      <c r="I76" s="35" t="s">
        <v>1341</v>
      </c>
      <c r="J76" s="35" t="s">
        <v>72</v>
      </c>
      <c r="K76" s="35" t="s">
        <v>71</v>
      </c>
      <c r="L76" s="35">
        <v>51</v>
      </c>
      <c r="M76" s="35" t="s">
        <v>167</v>
      </c>
      <c r="N76" s="35" t="s">
        <v>1340</v>
      </c>
    </row>
    <row r="77" spans="1:14" ht="55.4" customHeight="1" x14ac:dyDescent="0.35">
      <c r="A77" s="37" t="s">
        <v>64</v>
      </c>
      <c r="B77" s="37" t="s">
        <v>1334</v>
      </c>
      <c r="C77" s="37" t="s">
        <v>1339</v>
      </c>
      <c r="D77" s="35" t="s">
        <v>1338</v>
      </c>
      <c r="E77" s="37" t="s">
        <v>856</v>
      </c>
      <c r="F77" s="37" t="s">
        <v>1337</v>
      </c>
      <c r="G77" s="35" t="s">
        <v>1336</v>
      </c>
      <c r="H77" s="35" t="s">
        <v>174</v>
      </c>
      <c r="I77" s="35" t="s">
        <v>1335</v>
      </c>
      <c r="J77" s="35" t="s">
        <v>72</v>
      </c>
      <c r="K77" s="35" t="s">
        <v>71</v>
      </c>
      <c r="L77" s="35">
        <v>52</v>
      </c>
      <c r="M77" s="35" t="s">
        <v>368</v>
      </c>
      <c r="N77" s="35" t="s">
        <v>29</v>
      </c>
    </row>
    <row r="78" spans="1:14" ht="27.65" customHeight="1" x14ac:dyDescent="0.35">
      <c r="A78" s="37" t="s">
        <v>64</v>
      </c>
      <c r="B78" s="37" t="s">
        <v>1334</v>
      </c>
      <c r="C78" s="37" t="s">
        <v>1333</v>
      </c>
      <c r="D78" s="35" t="s">
        <v>1332</v>
      </c>
      <c r="E78" s="37" t="s">
        <v>391</v>
      </c>
      <c r="F78" s="37" t="s">
        <v>1331</v>
      </c>
      <c r="G78" s="35" t="s">
        <v>828</v>
      </c>
      <c r="H78" s="35" t="s">
        <v>148</v>
      </c>
      <c r="I78" s="35" t="s">
        <v>1330</v>
      </c>
      <c r="J78" s="35" t="s">
        <v>72</v>
      </c>
      <c r="K78" s="35" t="s">
        <v>71</v>
      </c>
      <c r="L78" s="35">
        <v>53</v>
      </c>
      <c r="M78" s="35" t="s">
        <v>1329</v>
      </c>
      <c r="N78" s="35" t="s">
        <v>1328</v>
      </c>
    </row>
    <row r="79" spans="1:14" ht="27.65" customHeight="1" x14ac:dyDescent="0.35">
      <c r="A79" s="37" t="s">
        <v>64</v>
      </c>
      <c r="B79" s="37" t="s">
        <v>1318</v>
      </c>
      <c r="C79" s="37" t="s">
        <v>818</v>
      </c>
      <c r="D79" s="35" t="s">
        <v>1327</v>
      </c>
      <c r="E79" s="37" t="s">
        <v>267</v>
      </c>
      <c r="F79" s="37" t="s">
        <v>862</v>
      </c>
      <c r="G79" s="35" t="s">
        <v>162</v>
      </c>
      <c r="H79" s="35" t="s">
        <v>174</v>
      </c>
      <c r="I79" s="35" t="s">
        <v>861</v>
      </c>
      <c r="J79" s="35" t="s">
        <v>70</v>
      </c>
      <c r="K79" s="35" t="s">
        <v>69</v>
      </c>
      <c r="L79" s="35">
        <v>1</v>
      </c>
      <c r="M79" s="35" t="s">
        <v>814</v>
      </c>
      <c r="N79" s="35" t="s">
        <v>1130</v>
      </c>
    </row>
    <row r="80" spans="1:14" ht="124.4" customHeight="1" x14ac:dyDescent="0.35">
      <c r="A80" s="37" t="s">
        <v>64</v>
      </c>
      <c r="B80" s="37" t="s">
        <v>1318</v>
      </c>
      <c r="C80" s="37" t="s">
        <v>1129</v>
      </c>
      <c r="D80" s="35" t="s">
        <v>1326</v>
      </c>
      <c r="E80" s="37" t="s">
        <v>364</v>
      </c>
      <c r="F80" s="37" t="s">
        <v>1127</v>
      </c>
      <c r="G80" s="35" t="s">
        <v>1126</v>
      </c>
      <c r="H80" s="35" t="s">
        <v>148</v>
      </c>
      <c r="I80" s="35" t="s">
        <v>1125</v>
      </c>
      <c r="J80" s="35" t="s">
        <v>70</v>
      </c>
      <c r="K80" s="35" t="s">
        <v>69</v>
      </c>
      <c r="L80" s="35">
        <v>2</v>
      </c>
      <c r="M80" s="35" t="s">
        <v>1124</v>
      </c>
      <c r="N80" s="35" t="s">
        <v>1123</v>
      </c>
    </row>
    <row r="81" spans="1:14" ht="27.65" customHeight="1" x14ac:dyDescent="0.35">
      <c r="A81" s="37" t="s">
        <v>64</v>
      </c>
      <c r="B81" s="37" t="s">
        <v>1318</v>
      </c>
      <c r="C81" s="37" t="s">
        <v>1122</v>
      </c>
      <c r="D81" s="35" t="s">
        <v>1325</v>
      </c>
      <c r="E81" s="37" t="s">
        <v>364</v>
      </c>
      <c r="F81" s="37" t="s">
        <v>1120</v>
      </c>
      <c r="G81" s="35" t="s">
        <v>1119</v>
      </c>
      <c r="H81" s="35" t="s">
        <v>148</v>
      </c>
      <c r="I81" s="35" t="s">
        <v>1118</v>
      </c>
      <c r="J81" s="35" t="s">
        <v>70</v>
      </c>
      <c r="K81" s="35" t="s">
        <v>69</v>
      </c>
      <c r="L81" s="35">
        <v>3</v>
      </c>
      <c r="M81" s="35" t="s">
        <v>1117</v>
      </c>
      <c r="N81" s="35" t="s">
        <v>1116</v>
      </c>
    </row>
    <row r="82" spans="1:14" ht="96.65" customHeight="1" x14ac:dyDescent="0.35">
      <c r="A82" s="37" t="s">
        <v>64</v>
      </c>
      <c r="B82" s="37" t="s">
        <v>1318</v>
      </c>
      <c r="C82" s="37" t="s">
        <v>1109</v>
      </c>
      <c r="D82" s="35" t="s">
        <v>1324</v>
      </c>
      <c r="E82" s="37" t="s">
        <v>364</v>
      </c>
      <c r="F82" s="37" t="s">
        <v>1107</v>
      </c>
      <c r="G82" s="35" t="s">
        <v>389</v>
      </c>
      <c r="H82" s="35" t="s">
        <v>148</v>
      </c>
      <c r="I82" s="35" t="s">
        <v>1106</v>
      </c>
      <c r="J82" s="35" t="s">
        <v>70</v>
      </c>
      <c r="K82" s="35" t="s">
        <v>69</v>
      </c>
      <c r="L82" s="35">
        <v>4</v>
      </c>
      <c r="M82" s="35" t="s">
        <v>1105</v>
      </c>
      <c r="N82" s="35" t="s">
        <v>1104</v>
      </c>
    </row>
    <row r="83" spans="1:14" ht="110.5" customHeight="1" x14ac:dyDescent="0.35">
      <c r="A83" s="37" t="s">
        <v>64</v>
      </c>
      <c r="B83" s="37" t="s">
        <v>1318</v>
      </c>
      <c r="C83" s="37" t="s">
        <v>1103</v>
      </c>
      <c r="D83" s="35" t="s">
        <v>1323</v>
      </c>
      <c r="E83" s="37" t="s">
        <v>364</v>
      </c>
      <c r="F83" s="37" t="s">
        <v>1101</v>
      </c>
      <c r="G83" s="35" t="s">
        <v>389</v>
      </c>
      <c r="H83" s="35" t="s">
        <v>148</v>
      </c>
      <c r="I83" s="35" t="s">
        <v>1100</v>
      </c>
      <c r="J83" s="35" t="s">
        <v>70</v>
      </c>
      <c r="K83" s="35" t="s">
        <v>69</v>
      </c>
      <c r="L83" s="35">
        <v>5</v>
      </c>
      <c r="M83" s="35" t="s">
        <v>1099</v>
      </c>
      <c r="N83" s="35" t="s">
        <v>29</v>
      </c>
    </row>
    <row r="84" spans="1:14" ht="69" customHeight="1" x14ac:dyDescent="0.35">
      <c r="A84" s="37" t="s">
        <v>64</v>
      </c>
      <c r="B84" s="37" t="s">
        <v>1318</v>
      </c>
      <c r="C84" s="37" t="s">
        <v>1285</v>
      </c>
      <c r="D84" s="35" t="s">
        <v>1322</v>
      </c>
      <c r="E84" s="37" t="s">
        <v>978</v>
      </c>
      <c r="F84" s="37" t="s">
        <v>1289</v>
      </c>
      <c r="G84" s="35" t="s">
        <v>1288</v>
      </c>
      <c r="H84" s="35" t="s">
        <v>174</v>
      </c>
      <c r="I84" s="35" t="s">
        <v>1287</v>
      </c>
      <c r="J84" s="35" t="s">
        <v>70</v>
      </c>
      <c r="K84" s="35" t="s">
        <v>69</v>
      </c>
      <c r="L84" s="35">
        <v>6</v>
      </c>
      <c r="M84" s="35" t="s">
        <v>1286</v>
      </c>
      <c r="N84" s="35" t="s">
        <v>1321</v>
      </c>
    </row>
    <row r="85" spans="1:14" ht="82.75" customHeight="1" x14ac:dyDescent="0.35">
      <c r="A85" s="37" t="s">
        <v>64</v>
      </c>
      <c r="B85" s="37" t="s">
        <v>1318</v>
      </c>
      <c r="C85" s="37" t="s">
        <v>1092</v>
      </c>
      <c r="D85" s="35" t="s">
        <v>1320</v>
      </c>
      <c r="E85" s="37" t="s">
        <v>856</v>
      </c>
      <c r="F85" s="37" t="s">
        <v>1097</v>
      </c>
      <c r="G85" s="35" t="s">
        <v>1096</v>
      </c>
      <c r="H85" s="35" t="s">
        <v>148</v>
      </c>
      <c r="I85" s="35" t="s">
        <v>1319</v>
      </c>
      <c r="J85" s="35" t="s">
        <v>70</v>
      </c>
      <c r="K85" s="35" t="s">
        <v>69</v>
      </c>
      <c r="L85" s="35">
        <v>7</v>
      </c>
      <c r="M85" s="35" t="s">
        <v>1094</v>
      </c>
      <c r="N85" s="35" t="s">
        <v>1093</v>
      </c>
    </row>
    <row r="86" spans="1:14" ht="27.65" customHeight="1" x14ac:dyDescent="0.35">
      <c r="A86" s="37" t="s">
        <v>64</v>
      </c>
      <c r="B86" s="37" t="s">
        <v>1318</v>
      </c>
      <c r="C86" s="37" t="s">
        <v>1091</v>
      </c>
      <c r="D86" s="35" t="s">
        <v>1317</v>
      </c>
      <c r="E86" s="37" t="s">
        <v>856</v>
      </c>
      <c r="F86" s="37" t="s">
        <v>1089</v>
      </c>
      <c r="G86" s="35" t="s">
        <v>149</v>
      </c>
      <c r="H86" s="35" t="s">
        <v>148</v>
      </c>
      <c r="I86" s="35" t="s">
        <v>1088</v>
      </c>
      <c r="J86" s="35" t="s">
        <v>70</v>
      </c>
      <c r="K86" s="35" t="s">
        <v>69</v>
      </c>
      <c r="L86" s="35">
        <v>8</v>
      </c>
      <c r="M86" s="35" t="s">
        <v>1087</v>
      </c>
      <c r="N86" s="35" t="s">
        <v>1086</v>
      </c>
    </row>
    <row r="87" spans="1:14" ht="27.65" customHeight="1" x14ac:dyDescent="0.35">
      <c r="A87" s="37" t="s">
        <v>64</v>
      </c>
      <c r="B87" s="37" t="s">
        <v>1297</v>
      </c>
      <c r="C87" s="37" t="s">
        <v>845</v>
      </c>
      <c r="D87" s="35" t="s">
        <v>1316</v>
      </c>
      <c r="E87" s="37" t="s">
        <v>267</v>
      </c>
      <c r="F87" s="37" t="s">
        <v>843</v>
      </c>
      <c r="G87" s="35" t="s">
        <v>162</v>
      </c>
      <c r="H87" s="35" t="s">
        <v>174</v>
      </c>
      <c r="I87" s="35" t="s">
        <v>842</v>
      </c>
      <c r="J87" s="35" t="s">
        <v>68</v>
      </c>
      <c r="K87" s="35" t="s">
        <v>67</v>
      </c>
      <c r="L87" s="35">
        <v>1</v>
      </c>
      <c r="M87" s="35" t="s">
        <v>841</v>
      </c>
      <c r="N87" s="35" t="s">
        <v>953</v>
      </c>
    </row>
    <row r="88" spans="1:14" ht="69" customHeight="1" x14ac:dyDescent="0.35">
      <c r="A88" s="37" t="s">
        <v>64</v>
      </c>
      <c r="B88" s="37" t="s">
        <v>1297</v>
      </c>
      <c r="C88" s="37" t="s">
        <v>950</v>
      </c>
      <c r="D88" s="35" t="s">
        <v>1315</v>
      </c>
      <c r="E88" s="37" t="s">
        <v>267</v>
      </c>
      <c r="F88" s="37" t="s">
        <v>948</v>
      </c>
      <c r="G88" s="35" t="s">
        <v>162</v>
      </c>
      <c r="H88" s="35" t="s">
        <v>174</v>
      </c>
      <c r="I88" s="35" t="s">
        <v>947</v>
      </c>
      <c r="J88" s="35" t="s">
        <v>68</v>
      </c>
      <c r="K88" s="35" t="s">
        <v>67</v>
      </c>
      <c r="L88" s="35">
        <v>2</v>
      </c>
      <c r="M88" s="35" t="s">
        <v>946</v>
      </c>
      <c r="N88" s="35" t="s">
        <v>945</v>
      </c>
    </row>
    <row r="89" spans="1:14" ht="41.5" customHeight="1" x14ac:dyDescent="0.35">
      <c r="A89" s="37" t="s">
        <v>64</v>
      </c>
      <c r="B89" s="37" t="s">
        <v>1297</v>
      </c>
      <c r="C89" s="37" t="s">
        <v>851</v>
      </c>
      <c r="D89" s="35" t="s">
        <v>1314</v>
      </c>
      <c r="E89" s="37" t="s">
        <v>849</v>
      </c>
      <c r="F89" s="37" t="s">
        <v>848</v>
      </c>
      <c r="G89" s="35" t="s">
        <v>162</v>
      </c>
      <c r="H89" s="35" t="s">
        <v>174</v>
      </c>
      <c r="I89" s="35" t="s">
        <v>847</v>
      </c>
      <c r="J89" s="35" t="s">
        <v>68</v>
      </c>
      <c r="K89" s="35" t="s">
        <v>67</v>
      </c>
      <c r="L89" s="35">
        <v>3</v>
      </c>
      <c r="M89" s="35" t="s">
        <v>846</v>
      </c>
      <c r="N89" s="35" t="s">
        <v>1313</v>
      </c>
    </row>
    <row r="90" spans="1:14" ht="317.5" customHeight="1" x14ac:dyDescent="0.35">
      <c r="A90" s="37" t="s">
        <v>64</v>
      </c>
      <c r="B90" s="37" t="s">
        <v>1297</v>
      </c>
      <c r="C90" s="37" t="s">
        <v>938</v>
      </c>
      <c r="D90" s="35" t="s">
        <v>1312</v>
      </c>
      <c r="E90" s="37" t="s">
        <v>849</v>
      </c>
      <c r="F90" s="37" t="s">
        <v>943</v>
      </c>
      <c r="G90" s="35" t="s">
        <v>942</v>
      </c>
      <c r="H90" s="35" t="s">
        <v>174</v>
      </c>
      <c r="I90" s="35" t="s">
        <v>941</v>
      </c>
      <c r="J90" s="35" t="s">
        <v>68</v>
      </c>
      <c r="K90" s="35" t="s">
        <v>67</v>
      </c>
      <c r="L90" s="35">
        <v>4</v>
      </c>
      <c r="M90" s="35" t="s">
        <v>940</v>
      </c>
      <c r="N90" s="35" t="s">
        <v>939</v>
      </c>
    </row>
    <row r="91" spans="1:14" ht="41.5" customHeight="1" x14ac:dyDescent="0.35">
      <c r="A91" s="37" t="s">
        <v>64</v>
      </c>
      <c r="B91" s="37" t="s">
        <v>1297</v>
      </c>
      <c r="C91" s="37" t="s">
        <v>937</v>
      </c>
      <c r="D91" s="35" t="s">
        <v>1311</v>
      </c>
      <c r="E91" s="37" t="s">
        <v>930</v>
      </c>
      <c r="F91" s="37" t="s">
        <v>935</v>
      </c>
      <c r="G91" s="35" t="s">
        <v>916</v>
      </c>
      <c r="H91" s="35" t="s">
        <v>174</v>
      </c>
      <c r="I91" s="35" t="s">
        <v>934</v>
      </c>
      <c r="J91" s="35" t="s">
        <v>68</v>
      </c>
      <c r="K91" s="35" t="s">
        <v>67</v>
      </c>
      <c r="L91" s="35">
        <v>5</v>
      </c>
      <c r="M91" s="35" t="s">
        <v>933</v>
      </c>
      <c r="N91" s="35" t="s">
        <v>29</v>
      </c>
    </row>
    <row r="92" spans="1:14" ht="27.65" customHeight="1" x14ac:dyDescent="0.35">
      <c r="A92" s="37" t="s">
        <v>64</v>
      </c>
      <c r="B92" s="37" t="s">
        <v>1297</v>
      </c>
      <c r="C92" s="37" t="s">
        <v>932</v>
      </c>
      <c r="D92" s="35" t="s">
        <v>1310</v>
      </c>
      <c r="E92" s="37" t="s">
        <v>930</v>
      </c>
      <c r="F92" s="37" t="s">
        <v>929</v>
      </c>
      <c r="G92" s="35" t="s">
        <v>916</v>
      </c>
      <c r="H92" s="35" t="s">
        <v>174</v>
      </c>
      <c r="I92" s="35" t="s">
        <v>1309</v>
      </c>
      <c r="J92" s="35" t="s">
        <v>68</v>
      </c>
      <c r="K92" s="35" t="s">
        <v>67</v>
      </c>
      <c r="L92" s="35">
        <v>6</v>
      </c>
      <c r="M92" s="35" t="s">
        <v>927</v>
      </c>
      <c r="N92" s="35" t="s">
        <v>29</v>
      </c>
    </row>
    <row r="93" spans="1:14" ht="41.5" customHeight="1" x14ac:dyDescent="0.35">
      <c r="A93" s="37" t="s">
        <v>64</v>
      </c>
      <c r="B93" s="37" t="s">
        <v>1297</v>
      </c>
      <c r="C93" s="37" t="s">
        <v>926</v>
      </c>
      <c r="D93" s="35" t="s">
        <v>1308</v>
      </c>
      <c r="E93" s="37" t="s">
        <v>924</v>
      </c>
      <c r="F93" s="37" t="s">
        <v>923</v>
      </c>
      <c r="G93" s="35" t="s">
        <v>916</v>
      </c>
      <c r="H93" s="35" t="s">
        <v>174</v>
      </c>
      <c r="I93" s="35" t="s">
        <v>922</v>
      </c>
      <c r="J93" s="35" t="s">
        <v>68</v>
      </c>
      <c r="K93" s="35" t="s">
        <v>67</v>
      </c>
      <c r="L93" s="35">
        <v>7</v>
      </c>
      <c r="M93" s="35" t="s">
        <v>921</v>
      </c>
      <c r="N93" s="35" t="s">
        <v>920</v>
      </c>
    </row>
    <row r="94" spans="1:14" ht="41.5" customHeight="1" x14ac:dyDescent="0.35">
      <c r="A94" s="37" t="s">
        <v>64</v>
      </c>
      <c r="B94" s="37" t="s">
        <v>1297</v>
      </c>
      <c r="C94" s="37" t="s">
        <v>919</v>
      </c>
      <c r="D94" s="35" t="s">
        <v>1307</v>
      </c>
      <c r="E94" s="37" t="s">
        <v>830</v>
      </c>
      <c r="F94" s="37" t="s">
        <v>917</v>
      </c>
      <c r="G94" s="35" t="s">
        <v>916</v>
      </c>
      <c r="H94" s="35" t="s">
        <v>174</v>
      </c>
      <c r="I94" s="35" t="s">
        <v>915</v>
      </c>
      <c r="J94" s="35" t="s">
        <v>68</v>
      </c>
      <c r="K94" s="35" t="s">
        <v>67</v>
      </c>
      <c r="L94" s="35">
        <v>8</v>
      </c>
      <c r="M94" s="35" t="s">
        <v>914</v>
      </c>
      <c r="N94" s="35" t="s">
        <v>29</v>
      </c>
    </row>
    <row r="95" spans="1:14" ht="69" customHeight="1" x14ac:dyDescent="0.35">
      <c r="A95" s="37" t="s">
        <v>64</v>
      </c>
      <c r="B95" s="37" t="s">
        <v>1297</v>
      </c>
      <c r="C95" s="37" t="s">
        <v>913</v>
      </c>
      <c r="D95" s="35" t="s">
        <v>1306</v>
      </c>
      <c r="E95" s="37" t="s">
        <v>391</v>
      </c>
      <c r="F95" s="37" t="s">
        <v>911</v>
      </c>
      <c r="G95" s="35" t="s">
        <v>149</v>
      </c>
      <c r="H95" s="35" t="s">
        <v>148</v>
      </c>
      <c r="I95" s="35" t="s">
        <v>1305</v>
      </c>
      <c r="J95" s="35" t="s">
        <v>68</v>
      </c>
      <c r="K95" s="35" t="s">
        <v>67</v>
      </c>
      <c r="L95" s="35">
        <v>9</v>
      </c>
      <c r="M95" s="35" t="s">
        <v>909</v>
      </c>
      <c r="N95" s="35" t="s">
        <v>908</v>
      </c>
    </row>
    <row r="96" spans="1:14" ht="27.65" customHeight="1" x14ac:dyDescent="0.35">
      <c r="A96" s="37" t="s">
        <v>64</v>
      </c>
      <c r="B96" s="37" t="s">
        <v>1297</v>
      </c>
      <c r="C96" s="37" t="s">
        <v>907</v>
      </c>
      <c r="D96" s="35" t="s">
        <v>1304</v>
      </c>
      <c r="E96" s="37" t="s">
        <v>391</v>
      </c>
      <c r="F96" s="37" t="s">
        <v>905</v>
      </c>
      <c r="G96" s="35" t="s">
        <v>828</v>
      </c>
      <c r="H96" s="35" t="s">
        <v>148</v>
      </c>
      <c r="I96" s="35" t="s">
        <v>904</v>
      </c>
      <c r="J96" s="35" t="s">
        <v>68</v>
      </c>
      <c r="K96" s="35" t="s">
        <v>67</v>
      </c>
      <c r="L96" s="35">
        <v>10</v>
      </c>
      <c r="M96" s="35" t="s">
        <v>903</v>
      </c>
      <c r="N96" s="35" t="s">
        <v>902</v>
      </c>
    </row>
    <row r="97" spans="1:14" ht="41.5" customHeight="1" x14ac:dyDescent="0.35">
      <c r="A97" s="37" t="s">
        <v>64</v>
      </c>
      <c r="B97" s="37" t="s">
        <v>1297</v>
      </c>
      <c r="C97" s="37" t="s">
        <v>901</v>
      </c>
      <c r="D97" s="35" t="s">
        <v>1303</v>
      </c>
      <c r="E97" s="37" t="s">
        <v>899</v>
      </c>
      <c r="F97" s="37" t="s">
        <v>898</v>
      </c>
      <c r="G97" s="35" t="s">
        <v>149</v>
      </c>
      <c r="H97" s="35" t="s">
        <v>174</v>
      </c>
      <c r="I97" s="35" t="s">
        <v>897</v>
      </c>
      <c r="J97" s="35" t="s">
        <v>68</v>
      </c>
      <c r="K97" s="35" t="s">
        <v>67</v>
      </c>
      <c r="L97" s="35">
        <v>11</v>
      </c>
      <c r="M97" s="35" t="s">
        <v>896</v>
      </c>
      <c r="N97" s="35" t="s">
        <v>895</v>
      </c>
    </row>
    <row r="98" spans="1:14" ht="27.65" customHeight="1" x14ac:dyDescent="0.35">
      <c r="A98" s="37" t="s">
        <v>64</v>
      </c>
      <c r="B98" s="37" t="s">
        <v>1297</v>
      </c>
      <c r="C98" s="37" t="s">
        <v>894</v>
      </c>
      <c r="D98" s="35" t="s">
        <v>1302</v>
      </c>
      <c r="E98" s="37" t="s">
        <v>391</v>
      </c>
      <c r="F98" s="37" t="s">
        <v>892</v>
      </c>
      <c r="G98" s="35" t="s">
        <v>828</v>
      </c>
      <c r="H98" s="35" t="s">
        <v>174</v>
      </c>
      <c r="I98" s="35" t="s">
        <v>891</v>
      </c>
      <c r="J98" s="35" t="s">
        <v>68</v>
      </c>
      <c r="K98" s="35" t="s">
        <v>67</v>
      </c>
      <c r="L98" s="35">
        <v>12</v>
      </c>
      <c r="M98" s="35" t="s">
        <v>890</v>
      </c>
      <c r="N98" s="35" t="s">
        <v>889</v>
      </c>
    </row>
    <row r="99" spans="1:14" ht="27.65" customHeight="1" x14ac:dyDescent="0.35">
      <c r="A99" s="37" t="s">
        <v>64</v>
      </c>
      <c r="B99" s="37" t="s">
        <v>1297</v>
      </c>
      <c r="C99" s="37" t="s">
        <v>888</v>
      </c>
      <c r="D99" s="35" t="s">
        <v>1301</v>
      </c>
      <c r="E99" s="37" t="s">
        <v>391</v>
      </c>
      <c r="F99" s="37" t="s">
        <v>886</v>
      </c>
      <c r="G99" s="35" t="s">
        <v>149</v>
      </c>
      <c r="H99" s="35" t="s">
        <v>174</v>
      </c>
      <c r="I99" s="35" t="s">
        <v>885</v>
      </c>
      <c r="J99" s="35" t="s">
        <v>68</v>
      </c>
      <c r="K99" s="35" t="s">
        <v>67</v>
      </c>
      <c r="L99" s="35">
        <v>13</v>
      </c>
      <c r="M99" s="35" t="s">
        <v>884</v>
      </c>
      <c r="N99" s="35" t="s">
        <v>883</v>
      </c>
    </row>
    <row r="100" spans="1:14" ht="82.75" customHeight="1" x14ac:dyDescent="0.35">
      <c r="A100" s="37" t="s">
        <v>64</v>
      </c>
      <c r="B100" s="37" t="s">
        <v>1297</v>
      </c>
      <c r="C100" s="37" t="s">
        <v>876</v>
      </c>
      <c r="D100" s="35" t="s">
        <v>1300</v>
      </c>
      <c r="E100" s="37" t="s">
        <v>391</v>
      </c>
      <c r="F100" s="37" t="s">
        <v>881</v>
      </c>
      <c r="G100" s="35" t="s">
        <v>880</v>
      </c>
      <c r="H100" s="35" t="s">
        <v>148</v>
      </c>
      <c r="I100" s="35" t="s">
        <v>879</v>
      </c>
      <c r="J100" s="35" t="s">
        <v>68</v>
      </c>
      <c r="K100" s="35" t="s">
        <v>67</v>
      </c>
      <c r="L100" s="35">
        <v>14</v>
      </c>
      <c r="M100" s="35" t="s">
        <v>878</v>
      </c>
      <c r="N100" s="35" t="s">
        <v>877</v>
      </c>
    </row>
    <row r="101" spans="1:14" ht="69" customHeight="1" x14ac:dyDescent="0.35">
      <c r="A101" s="37" t="s">
        <v>64</v>
      </c>
      <c r="B101" s="37" t="s">
        <v>1297</v>
      </c>
      <c r="C101" s="37" t="s">
        <v>869</v>
      </c>
      <c r="D101" s="35" t="s">
        <v>1299</v>
      </c>
      <c r="E101" s="37" t="s">
        <v>391</v>
      </c>
      <c r="F101" s="37" t="s">
        <v>874</v>
      </c>
      <c r="G101" s="35" t="s">
        <v>873</v>
      </c>
      <c r="H101" s="35" t="s">
        <v>148</v>
      </c>
      <c r="I101" s="35" t="s">
        <v>872</v>
      </c>
      <c r="J101" s="35" t="s">
        <v>68</v>
      </c>
      <c r="K101" s="35" t="s">
        <v>67</v>
      </c>
      <c r="L101" s="35">
        <v>15</v>
      </c>
      <c r="M101" s="35" t="s">
        <v>871</v>
      </c>
      <c r="N101" s="35" t="s">
        <v>870</v>
      </c>
    </row>
    <row r="102" spans="1:14" ht="55.4" customHeight="1" x14ac:dyDescent="0.35">
      <c r="A102" s="37" t="s">
        <v>64</v>
      </c>
      <c r="B102" s="37" t="s">
        <v>1297</v>
      </c>
      <c r="C102" s="37" t="s">
        <v>1282</v>
      </c>
      <c r="D102" s="35" t="s">
        <v>1298</v>
      </c>
      <c r="E102" s="37" t="s">
        <v>391</v>
      </c>
      <c r="F102" s="37" t="s">
        <v>837</v>
      </c>
      <c r="G102" s="35" t="s">
        <v>828</v>
      </c>
      <c r="H102" s="35" t="s">
        <v>148</v>
      </c>
      <c r="I102" s="35" t="s">
        <v>836</v>
      </c>
      <c r="J102" s="35" t="s">
        <v>68</v>
      </c>
      <c r="K102" s="35" t="s">
        <v>67</v>
      </c>
      <c r="L102" s="35">
        <v>16</v>
      </c>
      <c r="M102" s="35" t="s">
        <v>835</v>
      </c>
      <c r="N102" s="35" t="s">
        <v>1295</v>
      </c>
    </row>
    <row r="103" spans="1:14" ht="55.4" customHeight="1" x14ac:dyDescent="0.35">
      <c r="A103" s="37" t="s">
        <v>64</v>
      </c>
      <c r="B103" s="37" t="s">
        <v>1297</v>
      </c>
      <c r="C103" s="37" t="s">
        <v>1279</v>
      </c>
      <c r="D103" s="35" t="s">
        <v>1296</v>
      </c>
      <c r="E103" s="37" t="s">
        <v>830</v>
      </c>
      <c r="F103" s="37" t="s">
        <v>829</v>
      </c>
      <c r="G103" s="35" t="s">
        <v>828</v>
      </c>
      <c r="H103" s="35" t="s">
        <v>174</v>
      </c>
      <c r="I103" s="35" t="s">
        <v>827</v>
      </c>
      <c r="J103" s="35" t="s">
        <v>68</v>
      </c>
      <c r="K103" s="35" t="s">
        <v>67</v>
      </c>
      <c r="L103" s="35">
        <v>17</v>
      </c>
      <c r="M103" s="35" t="s">
        <v>826</v>
      </c>
      <c r="N103" s="35" t="s">
        <v>1295</v>
      </c>
    </row>
    <row r="104" spans="1:14" ht="27.65" customHeight="1" x14ac:dyDescent="0.35">
      <c r="A104" s="37" t="s">
        <v>64</v>
      </c>
      <c r="B104" s="37" t="s">
        <v>1291</v>
      </c>
      <c r="C104" s="37" t="s">
        <v>851</v>
      </c>
      <c r="D104" s="35" t="s">
        <v>1294</v>
      </c>
      <c r="E104" s="37" t="s">
        <v>849</v>
      </c>
      <c r="F104" s="37" t="s">
        <v>848</v>
      </c>
      <c r="G104" s="35" t="s">
        <v>162</v>
      </c>
      <c r="H104" s="35" t="s">
        <v>174</v>
      </c>
      <c r="I104" s="35" t="s">
        <v>847</v>
      </c>
      <c r="J104" s="35" t="s">
        <v>66</v>
      </c>
      <c r="K104" s="35" t="s">
        <v>65</v>
      </c>
      <c r="L104" s="35">
        <v>1</v>
      </c>
      <c r="M104" s="35" t="s">
        <v>846</v>
      </c>
      <c r="N104" s="35" t="s">
        <v>1597</v>
      </c>
    </row>
    <row r="105" spans="1:14" ht="27.65" customHeight="1" x14ac:dyDescent="0.35">
      <c r="A105" s="37" t="s">
        <v>64</v>
      </c>
      <c r="B105" s="37" t="s">
        <v>1291</v>
      </c>
      <c r="C105" s="37" t="s">
        <v>818</v>
      </c>
      <c r="D105" s="35" t="s">
        <v>1293</v>
      </c>
      <c r="E105" s="37" t="s">
        <v>267</v>
      </c>
      <c r="F105" s="37" t="s">
        <v>862</v>
      </c>
      <c r="G105" s="35" t="s">
        <v>162</v>
      </c>
      <c r="H105" s="35" t="s">
        <v>174</v>
      </c>
      <c r="I105" s="35" t="s">
        <v>861</v>
      </c>
      <c r="J105" s="35" t="s">
        <v>66</v>
      </c>
      <c r="K105" s="35" t="s">
        <v>65</v>
      </c>
      <c r="L105" s="35">
        <v>2</v>
      </c>
      <c r="M105" s="35" t="s">
        <v>814</v>
      </c>
      <c r="N105" s="35" t="s">
        <v>860</v>
      </c>
    </row>
    <row r="106" spans="1:14" ht="27.65" customHeight="1" x14ac:dyDescent="0.35">
      <c r="A106" s="37" t="s">
        <v>64</v>
      </c>
      <c r="B106" s="37" t="s">
        <v>1291</v>
      </c>
      <c r="C106" s="37" t="s">
        <v>858</v>
      </c>
      <c r="D106" s="35" t="s">
        <v>1292</v>
      </c>
      <c r="E106" s="37" t="s">
        <v>856</v>
      </c>
      <c r="F106" s="37" t="s">
        <v>855</v>
      </c>
      <c r="G106" s="35" t="s">
        <v>828</v>
      </c>
      <c r="H106" s="35" t="s">
        <v>148</v>
      </c>
      <c r="I106" s="35" t="s">
        <v>854</v>
      </c>
      <c r="J106" s="35" t="s">
        <v>66</v>
      </c>
      <c r="K106" s="35" t="s">
        <v>65</v>
      </c>
      <c r="L106" s="35">
        <v>3</v>
      </c>
      <c r="M106" s="35" t="s">
        <v>853</v>
      </c>
      <c r="N106" s="35" t="s">
        <v>852</v>
      </c>
    </row>
    <row r="107" spans="1:14" ht="69" customHeight="1" x14ac:dyDescent="0.35">
      <c r="A107" s="37" t="s">
        <v>64</v>
      </c>
      <c r="B107" s="37" t="s">
        <v>1291</v>
      </c>
      <c r="C107" s="37" t="s">
        <v>1285</v>
      </c>
      <c r="D107" s="35" t="s">
        <v>1290</v>
      </c>
      <c r="E107" s="37" t="s">
        <v>978</v>
      </c>
      <c r="F107" s="37" t="s">
        <v>1289</v>
      </c>
      <c r="G107" s="35" t="s">
        <v>1288</v>
      </c>
      <c r="H107" s="35" t="s">
        <v>174</v>
      </c>
      <c r="I107" s="35" t="s">
        <v>1287</v>
      </c>
      <c r="J107" s="35" t="s">
        <v>66</v>
      </c>
      <c r="K107" s="35" t="s">
        <v>65</v>
      </c>
      <c r="L107" s="35">
        <v>4</v>
      </c>
      <c r="M107" s="35" t="s">
        <v>1286</v>
      </c>
      <c r="N107" s="35" t="s">
        <v>29</v>
      </c>
    </row>
    <row r="108" spans="1:14" ht="27.65" customHeight="1" x14ac:dyDescent="0.35">
      <c r="A108" s="37" t="s">
        <v>64</v>
      </c>
      <c r="B108" s="37" t="s">
        <v>1280</v>
      </c>
      <c r="C108" s="37" t="s">
        <v>851</v>
      </c>
      <c r="D108" s="35" t="s">
        <v>1284</v>
      </c>
      <c r="E108" s="37" t="s">
        <v>849</v>
      </c>
      <c r="F108" s="37" t="s">
        <v>848</v>
      </c>
      <c r="G108" s="35" t="s">
        <v>162</v>
      </c>
      <c r="H108" s="35" t="s">
        <v>174</v>
      </c>
      <c r="I108" s="35" t="s">
        <v>847</v>
      </c>
      <c r="J108" s="35" t="s">
        <v>63</v>
      </c>
      <c r="K108" s="35" t="s">
        <v>62</v>
      </c>
      <c r="L108" s="35">
        <v>1</v>
      </c>
      <c r="M108" s="35" t="s">
        <v>846</v>
      </c>
      <c r="N108" s="35" t="s">
        <v>1598</v>
      </c>
    </row>
    <row r="109" spans="1:14" ht="27.65" customHeight="1" x14ac:dyDescent="0.35">
      <c r="A109" s="37" t="s">
        <v>64</v>
      </c>
      <c r="B109" s="37" t="s">
        <v>1280</v>
      </c>
      <c r="C109" s="37" t="s">
        <v>845</v>
      </c>
      <c r="D109" s="35" t="s">
        <v>1283</v>
      </c>
      <c r="E109" s="37" t="s">
        <v>267</v>
      </c>
      <c r="F109" s="37" t="s">
        <v>843</v>
      </c>
      <c r="G109" s="35" t="s">
        <v>162</v>
      </c>
      <c r="H109" s="35" t="s">
        <v>174</v>
      </c>
      <c r="I109" s="35" t="s">
        <v>842</v>
      </c>
      <c r="J109" s="35" t="s">
        <v>63</v>
      </c>
      <c r="K109" s="35" t="s">
        <v>62</v>
      </c>
      <c r="L109" s="35">
        <v>2</v>
      </c>
      <c r="M109" s="35" t="s">
        <v>841</v>
      </c>
      <c r="N109" s="35" t="s">
        <v>840</v>
      </c>
    </row>
    <row r="110" spans="1:14" ht="55.4" customHeight="1" x14ac:dyDescent="0.35">
      <c r="A110" s="37" t="s">
        <v>64</v>
      </c>
      <c r="B110" s="37" t="s">
        <v>1280</v>
      </c>
      <c r="C110" s="37" t="s">
        <v>1282</v>
      </c>
      <c r="D110" s="35" t="s">
        <v>1281</v>
      </c>
      <c r="E110" s="37" t="s">
        <v>391</v>
      </c>
      <c r="F110" s="37" t="s">
        <v>837</v>
      </c>
      <c r="G110" s="35" t="s">
        <v>828</v>
      </c>
      <c r="H110" s="35" t="s">
        <v>148</v>
      </c>
      <c r="I110" s="35" t="s">
        <v>836</v>
      </c>
      <c r="J110" s="35" t="s">
        <v>63</v>
      </c>
      <c r="K110" s="35" t="s">
        <v>62</v>
      </c>
      <c r="L110" s="35">
        <v>3</v>
      </c>
      <c r="M110" s="35" t="s">
        <v>835</v>
      </c>
      <c r="N110" s="35" t="s">
        <v>834</v>
      </c>
    </row>
    <row r="111" spans="1:14" ht="27.65" customHeight="1" x14ac:dyDescent="0.35">
      <c r="A111" s="37" t="s">
        <v>64</v>
      </c>
      <c r="B111" s="37" t="s">
        <v>1280</v>
      </c>
      <c r="C111" s="37" t="s">
        <v>1279</v>
      </c>
      <c r="D111" s="35" t="s">
        <v>1278</v>
      </c>
      <c r="E111" s="37" t="s">
        <v>830</v>
      </c>
      <c r="F111" s="37" t="s">
        <v>829</v>
      </c>
      <c r="G111" s="35" t="s">
        <v>828</v>
      </c>
      <c r="H111" s="35" t="s">
        <v>174</v>
      </c>
      <c r="I111" s="35" t="s">
        <v>827</v>
      </c>
      <c r="J111" s="35" t="s">
        <v>63</v>
      </c>
      <c r="K111" s="35" t="s">
        <v>62</v>
      </c>
      <c r="L111" s="35">
        <v>4</v>
      </c>
      <c r="M111" s="35" t="s">
        <v>826</v>
      </c>
      <c r="N111" s="35" t="s">
        <v>825</v>
      </c>
    </row>
    <row r="112" spans="1:14" ht="27.65" customHeight="1" x14ac:dyDescent="0.35">
      <c r="A112" s="37" t="s">
        <v>49</v>
      </c>
      <c r="B112" s="37" t="s">
        <v>1139</v>
      </c>
      <c r="C112" s="37" t="s">
        <v>851</v>
      </c>
      <c r="D112" s="35" t="s">
        <v>1277</v>
      </c>
      <c r="E112" s="37" t="s">
        <v>849</v>
      </c>
      <c r="F112" s="37" t="s">
        <v>848</v>
      </c>
      <c r="G112" s="35" t="s">
        <v>162</v>
      </c>
      <c r="H112" s="35" t="s">
        <v>174</v>
      </c>
      <c r="I112" s="35" t="s">
        <v>847</v>
      </c>
      <c r="J112" s="35" t="s">
        <v>60</v>
      </c>
      <c r="K112" s="35" t="s">
        <v>59</v>
      </c>
      <c r="L112" s="35">
        <v>1</v>
      </c>
      <c r="M112" s="35" t="s">
        <v>846</v>
      </c>
      <c r="N112" s="35" t="s">
        <v>1596</v>
      </c>
    </row>
    <row r="113" spans="1:14" ht="41.5" customHeight="1" x14ac:dyDescent="0.35">
      <c r="A113" s="37" t="s">
        <v>49</v>
      </c>
      <c r="B113" s="37" t="s">
        <v>1139</v>
      </c>
      <c r="C113" s="37" t="s">
        <v>818</v>
      </c>
      <c r="D113" s="35" t="s">
        <v>1276</v>
      </c>
      <c r="E113" s="37" t="s">
        <v>267</v>
      </c>
      <c r="F113" s="37" t="s">
        <v>862</v>
      </c>
      <c r="G113" s="35" t="s">
        <v>162</v>
      </c>
      <c r="H113" s="35" t="s">
        <v>174</v>
      </c>
      <c r="I113" s="35" t="s">
        <v>861</v>
      </c>
      <c r="J113" s="35" t="s">
        <v>60</v>
      </c>
      <c r="K113" s="35" t="s">
        <v>59</v>
      </c>
      <c r="L113" s="35">
        <v>2</v>
      </c>
      <c r="M113" s="35" t="s">
        <v>814</v>
      </c>
      <c r="N113" s="35" t="s">
        <v>1275</v>
      </c>
    </row>
    <row r="114" spans="1:14" ht="27.65" customHeight="1" x14ac:dyDescent="0.35">
      <c r="A114" s="37" t="s">
        <v>49</v>
      </c>
      <c r="B114" s="37" t="s">
        <v>1139</v>
      </c>
      <c r="C114" s="37" t="s">
        <v>1129</v>
      </c>
      <c r="D114" s="35" t="s">
        <v>1274</v>
      </c>
      <c r="E114" s="37" t="s">
        <v>267</v>
      </c>
      <c r="F114" s="37" t="s">
        <v>1273</v>
      </c>
      <c r="G114" s="35" t="s">
        <v>162</v>
      </c>
      <c r="H114" s="35" t="s">
        <v>174</v>
      </c>
      <c r="I114" s="35" t="s">
        <v>1272</v>
      </c>
      <c r="J114" s="35" t="s">
        <v>60</v>
      </c>
      <c r="K114" s="35" t="s">
        <v>59</v>
      </c>
      <c r="L114" s="35">
        <v>3</v>
      </c>
      <c r="M114" s="35" t="s">
        <v>1271</v>
      </c>
      <c r="N114" s="35" t="s">
        <v>1270</v>
      </c>
    </row>
    <row r="115" spans="1:14" ht="41.5" customHeight="1" x14ac:dyDescent="0.35">
      <c r="A115" s="37" t="s">
        <v>49</v>
      </c>
      <c r="B115" s="37" t="s">
        <v>1139</v>
      </c>
      <c r="C115" s="37" t="s">
        <v>824</v>
      </c>
      <c r="D115" s="35" t="s">
        <v>1269</v>
      </c>
      <c r="E115" s="37" t="s">
        <v>267</v>
      </c>
      <c r="F115" s="37" t="s">
        <v>1268</v>
      </c>
      <c r="G115" s="35" t="s">
        <v>162</v>
      </c>
      <c r="H115" s="35" t="s">
        <v>174</v>
      </c>
      <c r="I115" s="35" t="s">
        <v>1267</v>
      </c>
      <c r="J115" s="35" t="s">
        <v>60</v>
      </c>
      <c r="K115" s="35" t="s">
        <v>59</v>
      </c>
      <c r="L115" s="35">
        <v>4</v>
      </c>
      <c r="M115" s="35" t="s">
        <v>1266</v>
      </c>
      <c r="N115" s="35" t="s">
        <v>1265</v>
      </c>
    </row>
    <row r="116" spans="1:14" ht="41.5" customHeight="1" x14ac:dyDescent="0.35">
      <c r="A116" s="37" t="s">
        <v>49</v>
      </c>
      <c r="B116" s="37" t="s">
        <v>1139</v>
      </c>
      <c r="C116" s="37" t="s">
        <v>1264</v>
      </c>
      <c r="D116" s="35" t="s">
        <v>1263</v>
      </c>
      <c r="E116" s="37" t="s">
        <v>267</v>
      </c>
      <c r="F116" s="37" t="s">
        <v>1262</v>
      </c>
      <c r="G116" s="35" t="s">
        <v>162</v>
      </c>
      <c r="H116" s="35" t="s">
        <v>174</v>
      </c>
      <c r="I116" s="35" t="s">
        <v>1261</v>
      </c>
      <c r="J116" s="35" t="s">
        <v>60</v>
      </c>
      <c r="K116" s="35" t="s">
        <v>59</v>
      </c>
      <c r="L116" s="35">
        <v>5</v>
      </c>
      <c r="M116" s="35" t="s">
        <v>1260</v>
      </c>
      <c r="N116" s="35" t="s">
        <v>1259</v>
      </c>
    </row>
    <row r="117" spans="1:14" ht="55.4" customHeight="1" x14ac:dyDescent="0.35">
      <c r="A117" s="37" t="s">
        <v>49</v>
      </c>
      <c r="B117" s="37" t="s">
        <v>1139</v>
      </c>
      <c r="C117" s="37" t="s">
        <v>1253</v>
      </c>
      <c r="D117" s="35" t="s">
        <v>1258</v>
      </c>
      <c r="E117" s="37" t="s">
        <v>801</v>
      </c>
      <c r="F117" s="37" t="s">
        <v>1257</v>
      </c>
      <c r="G117" s="35" t="s">
        <v>1256</v>
      </c>
      <c r="H117" s="35" t="s">
        <v>174</v>
      </c>
      <c r="I117" s="35" t="s">
        <v>1255</v>
      </c>
      <c r="J117" s="35" t="s">
        <v>60</v>
      </c>
      <c r="K117" s="35" t="s">
        <v>59</v>
      </c>
      <c r="L117" s="35">
        <v>6</v>
      </c>
      <c r="M117" s="35" t="s">
        <v>1254</v>
      </c>
      <c r="N117" s="35" t="s">
        <v>29</v>
      </c>
    </row>
    <row r="118" spans="1:14" ht="400.4" customHeight="1" x14ac:dyDescent="0.35">
      <c r="A118" s="37" t="s">
        <v>49</v>
      </c>
      <c r="B118" s="37" t="s">
        <v>1139</v>
      </c>
      <c r="C118" s="37" t="s">
        <v>1252</v>
      </c>
      <c r="D118" s="35" t="s">
        <v>1251</v>
      </c>
      <c r="E118" s="37" t="s">
        <v>801</v>
      </c>
      <c r="F118" s="37" t="s">
        <v>1250</v>
      </c>
      <c r="G118" s="35" t="s">
        <v>1249</v>
      </c>
      <c r="H118" s="35" t="s">
        <v>174</v>
      </c>
      <c r="I118" s="35" t="s">
        <v>1248</v>
      </c>
      <c r="J118" s="35" t="s">
        <v>60</v>
      </c>
      <c r="K118" s="35" t="s">
        <v>59</v>
      </c>
      <c r="L118" s="35">
        <v>7</v>
      </c>
      <c r="M118" s="35" t="s">
        <v>1247</v>
      </c>
      <c r="N118" s="35" t="s">
        <v>29</v>
      </c>
    </row>
    <row r="119" spans="1:14" ht="96.65" customHeight="1" x14ac:dyDescent="0.35">
      <c r="A119" s="37" t="s">
        <v>49</v>
      </c>
      <c r="B119" s="37" t="s">
        <v>1139</v>
      </c>
      <c r="C119" s="37" t="s">
        <v>1241</v>
      </c>
      <c r="D119" s="35" t="s">
        <v>1246</v>
      </c>
      <c r="E119" s="37" t="s">
        <v>801</v>
      </c>
      <c r="F119" s="37" t="s">
        <v>1245</v>
      </c>
      <c r="G119" s="35" t="s">
        <v>1244</v>
      </c>
      <c r="H119" s="35" t="s">
        <v>174</v>
      </c>
      <c r="I119" s="35" t="s">
        <v>1243</v>
      </c>
      <c r="J119" s="35" t="s">
        <v>60</v>
      </c>
      <c r="K119" s="35" t="s">
        <v>59</v>
      </c>
      <c r="L119" s="35">
        <v>8</v>
      </c>
      <c r="M119" s="35" t="s">
        <v>1242</v>
      </c>
      <c r="N119" s="35" t="s">
        <v>29</v>
      </c>
    </row>
    <row r="120" spans="1:14" ht="27.65" customHeight="1" x14ac:dyDescent="0.35">
      <c r="A120" s="37" t="s">
        <v>49</v>
      </c>
      <c r="B120" s="37" t="s">
        <v>1139</v>
      </c>
      <c r="C120" s="37" t="s">
        <v>1240</v>
      </c>
      <c r="D120" s="35" t="s">
        <v>1239</v>
      </c>
      <c r="E120" s="37" t="s">
        <v>364</v>
      </c>
      <c r="F120" s="37" t="s">
        <v>1238</v>
      </c>
      <c r="G120" s="35" t="s">
        <v>1126</v>
      </c>
      <c r="H120" s="35" t="s">
        <v>174</v>
      </c>
      <c r="I120" s="35" t="s">
        <v>1237</v>
      </c>
      <c r="J120" s="35" t="s">
        <v>60</v>
      </c>
      <c r="K120" s="35" t="s">
        <v>59</v>
      </c>
      <c r="L120" s="35">
        <v>9</v>
      </c>
      <c r="M120" s="35" t="s">
        <v>1236</v>
      </c>
      <c r="N120" s="35" t="s">
        <v>1235</v>
      </c>
    </row>
    <row r="121" spans="1:14" ht="27.65" customHeight="1" x14ac:dyDescent="0.35">
      <c r="A121" s="37" t="s">
        <v>49</v>
      </c>
      <c r="B121" s="37" t="s">
        <v>1139</v>
      </c>
      <c r="C121" s="37" t="s">
        <v>366</v>
      </c>
      <c r="D121" s="35" t="s">
        <v>1234</v>
      </c>
      <c r="E121" s="37" t="s">
        <v>364</v>
      </c>
      <c r="F121" s="37" t="s">
        <v>363</v>
      </c>
      <c r="G121" s="35" t="s">
        <v>1233</v>
      </c>
      <c r="H121" s="35" t="s">
        <v>148</v>
      </c>
      <c r="I121" s="35" t="s">
        <v>1232</v>
      </c>
      <c r="J121" s="35" t="s">
        <v>60</v>
      </c>
      <c r="K121" s="35" t="s">
        <v>59</v>
      </c>
      <c r="L121" s="35">
        <v>10</v>
      </c>
      <c r="M121" s="35" t="s">
        <v>361</v>
      </c>
      <c r="N121" s="36" t="s">
        <v>466</v>
      </c>
    </row>
    <row r="122" spans="1:14" ht="27.65" customHeight="1" x14ac:dyDescent="0.35">
      <c r="A122" s="37" t="s">
        <v>49</v>
      </c>
      <c r="B122" s="37" t="s">
        <v>1139</v>
      </c>
      <c r="C122" s="37" t="s">
        <v>1231</v>
      </c>
      <c r="D122" s="35" t="s">
        <v>1230</v>
      </c>
      <c r="E122" s="37" t="s">
        <v>364</v>
      </c>
      <c r="F122" s="37" t="s">
        <v>1229</v>
      </c>
      <c r="G122" s="35" t="s">
        <v>389</v>
      </c>
      <c r="H122" s="35" t="s">
        <v>148</v>
      </c>
      <c r="I122" s="35" t="s">
        <v>1228</v>
      </c>
      <c r="J122" s="35" t="s">
        <v>60</v>
      </c>
      <c r="K122" s="35" t="s">
        <v>59</v>
      </c>
      <c r="L122" s="35">
        <v>11</v>
      </c>
      <c r="M122" s="35" t="s">
        <v>1227</v>
      </c>
      <c r="N122" s="35" t="s">
        <v>1226</v>
      </c>
    </row>
    <row r="123" spans="1:14" ht="27.65" customHeight="1" x14ac:dyDescent="0.35">
      <c r="A123" s="37" t="s">
        <v>49</v>
      </c>
      <c r="B123" s="37" t="s">
        <v>1139</v>
      </c>
      <c r="C123" s="37" t="s">
        <v>1225</v>
      </c>
      <c r="D123" s="35" t="s">
        <v>1224</v>
      </c>
      <c r="E123" s="37" t="s">
        <v>364</v>
      </c>
      <c r="F123" s="37" t="s">
        <v>1223</v>
      </c>
      <c r="G123" s="35" t="s">
        <v>389</v>
      </c>
      <c r="H123" s="35" t="s">
        <v>148</v>
      </c>
      <c r="I123" s="35" t="s">
        <v>1222</v>
      </c>
      <c r="J123" s="35" t="s">
        <v>60</v>
      </c>
      <c r="K123" s="35" t="s">
        <v>59</v>
      </c>
      <c r="L123" s="35">
        <v>12</v>
      </c>
      <c r="M123" s="35" t="s">
        <v>1221</v>
      </c>
      <c r="N123" s="35" t="s">
        <v>1220</v>
      </c>
    </row>
    <row r="124" spans="1:14" ht="27.65" customHeight="1" x14ac:dyDescent="0.35">
      <c r="A124" s="37" t="s">
        <v>49</v>
      </c>
      <c r="B124" s="37" t="s">
        <v>1139</v>
      </c>
      <c r="C124" s="37" t="s">
        <v>1219</v>
      </c>
      <c r="D124" s="35" t="s">
        <v>1218</v>
      </c>
      <c r="E124" s="37" t="s">
        <v>856</v>
      </c>
      <c r="F124" s="37" t="s">
        <v>1217</v>
      </c>
      <c r="G124" s="35" t="s">
        <v>828</v>
      </c>
      <c r="H124" s="35" t="s">
        <v>148</v>
      </c>
      <c r="I124" s="35" t="s">
        <v>1216</v>
      </c>
      <c r="J124" s="35" t="s">
        <v>60</v>
      </c>
      <c r="K124" s="35" t="s">
        <v>59</v>
      </c>
      <c r="L124" s="35">
        <v>13</v>
      </c>
      <c r="M124" s="35" t="s">
        <v>1215</v>
      </c>
      <c r="N124" s="35" t="s">
        <v>1214</v>
      </c>
    </row>
    <row r="125" spans="1:14" ht="27.65" customHeight="1" x14ac:dyDescent="0.35">
      <c r="A125" s="37" t="s">
        <v>49</v>
      </c>
      <c r="B125" s="37" t="s">
        <v>1139</v>
      </c>
      <c r="C125" s="37" t="s">
        <v>1213</v>
      </c>
      <c r="D125" s="35" t="s">
        <v>1212</v>
      </c>
      <c r="E125" s="37" t="s">
        <v>856</v>
      </c>
      <c r="F125" s="37" t="s">
        <v>1211</v>
      </c>
      <c r="G125" s="35" t="s">
        <v>149</v>
      </c>
      <c r="H125" s="35" t="s">
        <v>148</v>
      </c>
      <c r="I125" s="35" t="s">
        <v>1210</v>
      </c>
      <c r="J125" s="35" t="s">
        <v>60</v>
      </c>
      <c r="K125" s="35" t="s">
        <v>59</v>
      </c>
      <c r="L125" s="35">
        <v>14</v>
      </c>
      <c r="M125" s="35" t="s">
        <v>585</v>
      </c>
      <c r="N125" s="35" t="s">
        <v>584</v>
      </c>
    </row>
    <row r="126" spans="1:14" ht="179.5" customHeight="1" x14ac:dyDescent="0.35">
      <c r="A126" s="37" t="s">
        <v>49</v>
      </c>
      <c r="B126" s="37" t="s">
        <v>1139</v>
      </c>
      <c r="C126" s="37" t="s">
        <v>1209</v>
      </c>
      <c r="D126" s="35" t="s">
        <v>1208</v>
      </c>
      <c r="E126" s="37" t="s">
        <v>856</v>
      </c>
      <c r="F126" s="37" t="s">
        <v>1207</v>
      </c>
      <c r="G126" s="35" t="s">
        <v>1126</v>
      </c>
      <c r="H126" s="35" t="s">
        <v>174</v>
      </c>
      <c r="I126" s="35" t="s">
        <v>1206</v>
      </c>
      <c r="J126" s="35" t="s">
        <v>60</v>
      </c>
      <c r="K126" s="35" t="s">
        <v>59</v>
      </c>
      <c r="L126" s="35">
        <v>15</v>
      </c>
      <c r="M126" s="35" t="s">
        <v>1205</v>
      </c>
      <c r="N126" s="35" t="s">
        <v>29</v>
      </c>
    </row>
    <row r="127" spans="1:14" ht="110.5" customHeight="1" x14ac:dyDescent="0.35">
      <c r="A127" s="37" t="s">
        <v>49</v>
      </c>
      <c r="B127" s="37" t="s">
        <v>1139</v>
      </c>
      <c r="C127" s="37" t="s">
        <v>1198</v>
      </c>
      <c r="D127" s="35" t="s">
        <v>1204</v>
      </c>
      <c r="E127" s="37" t="s">
        <v>856</v>
      </c>
      <c r="F127" s="37" t="s">
        <v>1203</v>
      </c>
      <c r="G127" s="35" t="s">
        <v>1202</v>
      </c>
      <c r="H127" s="35" t="s">
        <v>148</v>
      </c>
      <c r="I127" s="35" t="s">
        <v>1201</v>
      </c>
      <c r="J127" s="35" t="s">
        <v>60</v>
      </c>
      <c r="K127" s="35" t="s">
        <v>59</v>
      </c>
      <c r="L127" s="35">
        <v>16</v>
      </c>
      <c r="M127" s="35" t="s">
        <v>1200</v>
      </c>
      <c r="N127" s="35" t="s">
        <v>1199</v>
      </c>
    </row>
    <row r="128" spans="1:14" ht="27.65" customHeight="1" x14ac:dyDescent="0.35">
      <c r="A128" s="37" t="s">
        <v>49</v>
      </c>
      <c r="B128" s="37" t="s">
        <v>1139</v>
      </c>
      <c r="C128" s="37" t="s">
        <v>1197</v>
      </c>
      <c r="D128" s="35" t="s">
        <v>1196</v>
      </c>
      <c r="E128" s="37" t="s">
        <v>856</v>
      </c>
      <c r="F128" s="37" t="s">
        <v>1195</v>
      </c>
      <c r="G128" s="35" t="s">
        <v>149</v>
      </c>
      <c r="H128" s="35" t="s">
        <v>148</v>
      </c>
      <c r="I128" s="35" t="s">
        <v>1194</v>
      </c>
      <c r="J128" s="35" t="s">
        <v>60</v>
      </c>
      <c r="K128" s="35" t="s">
        <v>59</v>
      </c>
      <c r="L128" s="35">
        <v>17</v>
      </c>
      <c r="M128" s="35" t="s">
        <v>1193</v>
      </c>
      <c r="N128" s="35" t="s">
        <v>1192</v>
      </c>
    </row>
    <row r="129" spans="1:14" ht="41.5" customHeight="1" x14ac:dyDescent="0.35">
      <c r="A129" s="37" t="s">
        <v>49</v>
      </c>
      <c r="B129" s="37" t="s">
        <v>1139</v>
      </c>
      <c r="C129" s="37" t="s">
        <v>1191</v>
      </c>
      <c r="D129" s="35" t="s">
        <v>1190</v>
      </c>
      <c r="E129" s="37" t="s">
        <v>856</v>
      </c>
      <c r="F129" s="37" t="s">
        <v>1189</v>
      </c>
      <c r="G129" s="35" t="s">
        <v>828</v>
      </c>
      <c r="H129" s="35" t="s">
        <v>148</v>
      </c>
      <c r="I129" s="35" t="s">
        <v>1188</v>
      </c>
      <c r="J129" s="35" t="s">
        <v>60</v>
      </c>
      <c r="K129" s="35" t="s">
        <v>59</v>
      </c>
      <c r="L129" s="35">
        <v>18</v>
      </c>
      <c r="M129" s="35" t="s">
        <v>1187</v>
      </c>
      <c r="N129" s="35" t="s">
        <v>1186</v>
      </c>
    </row>
    <row r="130" spans="1:14" ht="27.65" customHeight="1" x14ac:dyDescent="0.35">
      <c r="A130" s="37" t="s">
        <v>49</v>
      </c>
      <c r="B130" s="37" t="s">
        <v>1139</v>
      </c>
      <c r="C130" s="37" t="s">
        <v>1185</v>
      </c>
      <c r="D130" s="35" t="s">
        <v>1184</v>
      </c>
      <c r="E130" s="37" t="s">
        <v>856</v>
      </c>
      <c r="F130" s="37" t="s">
        <v>1183</v>
      </c>
      <c r="G130" s="35" t="s">
        <v>149</v>
      </c>
      <c r="H130" s="35" t="s">
        <v>148</v>
      </c>
      <c r="I130" s="35" t="s">
        <v>1182</v>
      </c>
      <c r="J130" s="35" t="s">
        <v>60</v>
      </c>
      <c r="K130" s="35" t="s">
        <v>59</v>
      </c>
      <c r="L130" s="35">
        <v>19</v>
      </c>
      <c r="M130" s="35" t="s">
        <v>1181</v>
      </c>
      <c r="N130" s="35" t="s">
        <v>1180</v>
      </c>
    </row>
    <row r="131" spans="1:14" ht="55.4" customHeight="1" x14ac:dyDescent="0.35">
      <c r="A131" s="37" t="s">
        <v>49</v>
      </c>
      <c r="B131" s="37" t="s">
        <v>1139</v>
      </c>
      <c r="C131" s="37" t="s">
        <v>858</v>
      </c>
      <c r="D131" s="35" t="s">
        <v>1179</v>
      </c>
      <c r="E131" s="37" t="s">
        <v>856</v>
      </c>
      <c r="F131" s="37" t="s">
        <v>855</v>
      </c>
      <c r="G131" s="35" t="s">
        <v>828</v>
      </c>
      <c r="H131" s="35" t="s">
        <v>148</v>
      </c>
      <c r="I131" s="35" t="s">
        <v>854</v>
      </c>
      <c r="J131" s="35" t="s">
        <v>60</v>
      </c>
      <c r="K131" s="35" t="s">
        <v>59</v>
      </c>
      <c r="L131" s="35">
        <v>20</v>
      </c>
      <c r="M131" s="35" t="s">
        <v>853</v>
      </c>
      <c r="N131" s="35" t="s">
        <v>1178</v>
      </c>
    </row>
    <row r="132" spans="1:14" ht="124.4" customHeight="1" x14ac:dyDescent="0.35">
      <c r="A132" s="37" t="s">
        <v>49</v>
      </c>
      <c r="B132" s="37" t="s">
        <v>1139</v>
      </c>
      <c r="C132" s="37" t="s">
        <v>1177</v>
      </c>
      <c r="D132" s="35" t="s">
        <v>1176</v>
      </c>
      <c r="E132" s="37" t="s">
        <v>856</v>
      </c>
      <c r="F132" s="37" t="s">
        <v>1175</v>
      </c>
      <c r="G132" s="35" t="s">
        <v>828</v>
      </c>
      <c r="H132" s="35" t="s">
        <v>148</v>
      </c>
      <c r="I132" s="35" t="s">
        <v>1174</v>
      </c>
      <c r="J132" s="35" t="s">
        <v>60</v>
      </c>
      <c r="K132" s="35" t="s">
        <v>59</v>
      </c>
      <c r="L132" s="35">
        <v>21</v>
      </c>
      <c r="M132" s="35" t="s">
        <v>1173</v>
      </c>
      <c r="N132" s="35" t="s">
        <v>1172</v>
      </c>
    </row>
    <row r="133" spans="1:14" ht="96.65" customHeight="1" x14ac:dyDescent="0.35">
      <c r="A133" s="37" t="s">
        <v>49</v>
      </c>
      <c r="B133" s="37" t="s">
        <v>1139</v>
      </c>
      <c r="C133" s="37" t="s">
        <v>1165</v>
      </c>
      <c r="D133" s="35" t="s">
        <v>1171</v>
      </c>
      <c r="E133" s="37" t="s">
        <v>856</v>
      </c>
      <c r="F133" s="37" t="s">
        <v>1170</v>
      </c>
      <c r="G133" s="35" t="s">
        <v>1169</v>
      </c>
      <c r="H133" s="35" t="s">
        <v>148</v>
      </c>
      <c r="I133" s="35" t="s">
        <v>1168</v>
      </c>
      <c r="J133" s="35" t="s">
        <v>60</v>
      </c>
      <c r="K133" s="35" t="s">
        <v>59</v>
      </c>
      <c r="L133" s="35">
        <v>22</v>
      </c>
      <c r="M133" s="35" t="s">
        <v>1167</v>
      </c>
      <c r="N133" s="35" t="s">
        <v>1166</v>
      </c>
    </row>
    <row r="134" spans="1:14" ht="41.5" customHeight="1" x14ac:dyDescent="0.35">
      <c r="A134" s="37" t="s">
        <v>49</v>
      </c>
      <c r="B134" s="37" t="s">
        <v>1139</v>
      </c>
      <c r="C134" s="37" t="s">
        <v>1158</v>
      </c>
      <c r="D134" s="35" t="s">
        <v>1164</v>
      </c>
      <c r="E134" s="37" t="s">
        <v>856</v>
      </c>
      <c r="F134" s="37" t="s">
        <v>1163</v>
      </c>
      <c r="G134" s="35" t="s">
        <v>1162</v>
      </c>
      <c r="H134" s="35" t="s">
        <v>148</v>
      </c>
      <c r="I134" s="35" t="s">
        <v>1161</v>
      </c>
      <c r="J134" s="35" t="s">
        <v>60</v>
      </c>
      <c r="K134" s="35" t="s">
        <v>59</v>
      </c>
      <c r="L134" s="35">
        <v>23</v>
      </c>
      <c r="M134" s="35" t="s">
        <v>1160</v>
      </c>
      <c r="N134" s="35" t="s">
        <v>1159</v>
      </c>
    </row>
    <row r="135" spans="1:14" ht="55.4" customHeight="1" x14ac:dyDescent="0.35">
      <c r="A135" s="37" t="s">
        <v>49</v>
      </c>
      <c r="B135" s="37" t="s">
        <v>1139</v>
      </c>
      <c r="C135" s="37" t="s">
        <v>1153</v>
      </c>
      <c r="D135" s="35" t="s">
        <v>1157</v>
      </c>
      <c r="E135" s="37" t="s">
        <v>856</v>
      </c>
      <c r="F135" s="37" t="s">
        <v>481</v>
      </c>
      <c r="G135" s="35" t="s">
        <v>1156</v>
      </c>
      <c r="H135" s="35" t="s">
        <v>148</v>
      </c>
      <c r="I135" s="35" t="s">
        <v>1155</v>
      </c>
      <c r="J135" s="35" t="s">
        <v>60</v>
      </c>
      <c r="K135" s="35" t="s">
        <v>59</v>
      </c>
      <c r="L135" s="35">
        <v>24</v>
      </c>
      <c r="M135" s="35" t="s">
        <v>1154</v>
      </c>
      <c r="N135" s="35" t="s">
        <v>477</v>
      </c>
    </row>
    <row r="136" spans="1:14" ht="27.65" customHeight="1" x14ac:dyDescent="0.35">
      <c r="A136" s="37" t="s">
        <v>49</v>
      </c>
      <c r="B136" s="37" t="s">
        <v>1139</v>
      </c>
      <c r="C136" s="37" t="s">
        <v>1152</v>
      </c>
      <c r="D136" s="35" t="s">
        <v>1151</v>
      </c>
      <c r="E136" s="37" t="s">
        <v>856</v>
      </c>
      <c r="F136" s="37" t="s">
        <v>1150</v>
      </c>
      <c r="G136" s="35" t="s">
        <v>149</v>
      </c>
      <c r="H136" s="35" t="s">
        <v>148</v>
      </c>
      <c r="I136" s="35" t="s">
        <v>1149</v>
      </c>
      <c r="J136" s="35" t="s">
        <v>60</v>
      </c>
      <c r="K136" s="35" t="s">
        <v>59</v>
      </c>
      <c r="L136" s="35">
        <v>25</v>
      </c>
      <c r="M136" s="35" t="s">
        <v>1148</v>
      </c>
      <c r="N136" s="35" t="s">
        <v>1147</v>
      </c>
    </row>
    <row r="137" spans="1:14" ht="138" customHeight="1" x14ac:dyDescent="0.35">
      <c r="A137" s="37" t="s">
        <v>49</v>
      </c>
      <c r="B137" s="37" t="s">
        <v>1139</v>
      </c>
      <c r="C137" s="37" t="s">
        <v>1140</v>
      </c>
      <c r="D137" s="35" t="s">
        <v>1146</v>
      </c>
      <c r="E137" s="37" t="s">
        <v>1136</v>
      </c>
      <c r="F137" s="37" t="s">
        <v>1145</v>
      </c>
      <c r="G137" s="35" t="s">
        <v>1144</v>
      </c>
      <c r="H137" s="35" t="s">
        <v>148</v>
      </c>
      <c r="I137" s="35" t="s">
        <v>1143</v>
      </c>
      <c r="J137" s="35" t="s">
        <v>60</v>
      </c>
      <c r="K137" s="35" t="s">
        <v>59</v>
      </c>
      <c r="L137" s="35">
        <v>26</v>
      </c>
      <c r="M137" s="35" t="s">
        <v>1142</v>
      </c>
      <c r="N137" s="35" t="s">
        <v>1141</v>
      </c>
    </row>
    <row r="138" spans="1:14" ht="27.65" customHeight="1" x14ac:dyDescent="0.35">
      <c r="A138" s="37" t="s">
        <v>49</v>
      </c>
      <c r="B138" s="37" t="s">
        <v>1139</v>
      </c>
      <c r="C138" s="37" t="s">
        <v>1138</v>
      </c>
      <c r="D138" s="35" t="s">
        <v>1137</v>
      </c>
      <c r="E138" s="37" t="s">
        <v>1136</v>
      </c>
      <c r="F138" s="37" t="s">
        <v>1135</v>
      </c>
      <c r="G138" s="35" t="s">
        <v>149</v>
      </c>
      <c r="H138" s="35" t="s">
        <v>174</v>
      </c>
      <c r="I138" s="35" t="s">
        <v>1134</v>
      </c>
      <c r="J138" s="35" t="s">
        <v>60</v>
      </c>
      <c r="K138" s="35" t="s">
        <v>59</v>
      </c>
      <c r="L138" s="35">
        <v>27</v>
      </c>
      <c r="M138" s="35" t="s">
        <v>1133</v>
      </c>
      <c r="N138" s="35" t="s">
        <v>1132</v>
      </c>
    </row>
    <row r="139" spans="1:14" ht="27.65" customHeight="1" x14ac:dyDescent="0.35">
      <c r="A139" s="37" t="s">
        <v>49</v>
      </c>
      <c r="B139" s="37" t="s">
        <v>961</v>
      </c>
      <c r="C139" s="37" t="s">
        <v>818</v>
      </c>
      <c r="D139" s="35" t="s">
        <v>1131</v>
      </c>
      <c r="E139" s="37" t="s">
        <v>267</v>
      </c>
      <c r="F139" s="37" t="s">
        <v>862</v>
      </c>
      <c r="G139" s="35" t="s">
        <v>162</v>
      </c>
      <c r="H139" s="35" t="s">
        <v>174</v>
      </c>
      <c r="I139" s="35" t="s">
        <v>861</v>
      </c>
      <c r="J139" s="35" t="s">
        <v>57</v>
      </c>
      <c r="K139" s="35" t="s">
        <v>56</v>
      </c>
      <c r="L139" s="35">
        <v>1</v>
      </c>
      <c r="M139" s="35" t="s">
        <v>814</v>
      </c>
      <c r="N139" s="35" t="s">
        <v>1130</v>
      </c>
    </row>
    <row r="140" spans="1:14" ht="124.4" customHeight="1" x14ac:dyDescent="0.35">
      <c r="A140" s="37" t="s">
        <v>49</v>
      </c>
      <c r="B140" s="37" t="s">
        <v>961</v>
      </c>
      <c r="C140" s="37" t="s">
        <v>1129</v>
      </c>
      <c r="D140" s="35" t="s">
        <v>1128</v>
      </c>
      <c r="E140" s="37" t="s">
        <v>364</v>
      </c>
      <c r="F140" s="37" t="s">
        <v>1127</v>
      </c>
      <c r="G140" s="35" t="s">
        <v>1126</v>
      </c>
      <c r="H140" s="35" t="s">
        <v>148</v>
      </c>
      <c r="I140" s="35" t="s">
        <v>1125</v>
      </c>
      <c r="J140" s="35" t="s">
        <v>57</v>
      </c>
      <c r="K140" s="35" t="s">
        <v>56</v>
      </c>
      <c r="L140" s="35">
        <v>2</v>
      </c>
      <c r="M140" s="35" t="s">
        <v>1124</v>
      </c>
      <c r="N140" s="35" t="s">
        <v>1123</v>
      </c>
    </row>
    <row r="141" spans="1:14" ht="27.65" customHeight="1" x14ac:dyDescent="0.35">
      <c r="A141" s="37" t="s">
        <v>49</v>
      </c>
      <c r="B141" s="37" t="s">
        <v>961</v>
      </c>
      <c r="C141" s="37" t="s">
        <v>1122</v>
      </c>
      <c r="D141" s="35" t="s">
        <v>1121</v>
      </c>
      <c r="E141" s="37" t="s">
        <v>364</v>
      </c>
      <c r="F141" s="37" t="s">
        <v>1120</v>
      </c>
      <c r="G141" s="35" t="s">
        <v>1119</v>
      </c>
      <c r="H141" s="35" t="s">
        <v>148</v>
      </c>
      <c r="I141" s="35" t="s">
        <v>1118</v>
      </c>
      <c r="J141" s="35" t="s">
        <v>57</v>
      </c>
      <c r="K141" s="35" t="s">
        <v>56</v>
      </c>
      <c r="L141" s="35">
        <v>3</v>
      </c>
      <c r="M141" s="35" t="s">
        <v>1117</v>
      </c>
      <c r="N141" s="35" t="s">
        <v>1116</v>
      </c>
    </row>
    <row r="142" spans="1:14" ht="27.65" customHeight="1" x14ac:dyDescent="0.35">
      <c r="A142" s="37" t="s">
        <v>49</v>
      </c>
      <c r="B142" s="37" t="s">
        <v>961</v>
      </c>
      <c r="C142" s="37" t="s">
        <v>1110</v>
      </c>
      <c r="D142" s="35" t="s">
        <v>1115</v>
      </c>
      <c r="E142" s="37" t="s">
        <v>364</v>
      </c>
      <c r="F142" s="37" t="s">
        <v>1114</v>
      </c>
      <c r="G142" s="35" t="s">
        <v>162</v>
      </c>
      <c r="H142" s="35" t="s">
        <v>148</v>
      </c>
      <c r="I142" s="35" t="s">
        <v>1113</v>
      </c>
      <c r="J142" s="35" t="s">
        <v>57</v>
      </c>
      <c r="K142" s="35" t="s">
        <v>56</v>
      </c>
      <c r="L142" s="35">
        <v>4</v>
      </c>
      <c r="M142" s="35" t="s">
        <v>1112</v>
      </c>
      <c r="N142" s="35" t="s">
        <v>1111</v>
      </c>
    </row>
    <row r="143" spans="1:14" ht="96.65" customHeight="1" x14ac:dyDescent="0.35">
      <c r="A143" s="37" t="s">
        <v>49</v>
      </c>
      <c r="B143" s="37" t="s">
        <v>961</v>
      </c>
      <c r="C143" s="37" t="s">
        <v>1109</v>
      </c>
      <c r="D143" s="35" t="s">
        <v>1108</v>
      </c>
      <c r="E143" s="37" t="s">
        <v>364</v>
      </c>
      <c r="F143" s="37" t="s">
        <v>1107</v>
      </c>
      <c r="G143" s="35" t="s">
        <v>389</v>
      </c>
      <c r="H143" s="35" t="s">
        <v>148</v>
      </c>
      <c r="I143" s="35" t="s">
        <v>1106</v>
      </c>
      <c r="J143" s="35" t="s">
        <v>57</v>
      </c>
      <c r="K143" s="35" t="s">
        <v>56</v>
      </c>
      <c r="L143" s="35">
        <v>5</v>
      </c>
      <c r="M143" s="35" t="s">
        <v>1105</v>
      </c>
      <c r="N143" s="35" t="s">
        <v>1104</v>
      </c>
    </row>
    <row r="144" spans="1:14" ht="110.5" customHeight="1" x14ac:dyDescent="0.35">
      <c r="A144" s="37" t="s">
        <v>49</v>
      </c>
      <c r="B144" s="37" t="s">
        <v>961</v>
      </c>
      <c r="C144" s="37" t="s">
        <v>1103</v>
      </c>
      <c r="D144" s="35" t="s">
        <v>1102</v>
      </c>
      <c r="E144" s="37" t="s">
        <v>364</v>
      </c>
      <c r="F144" s="37" t="s">
        <v>1101</v>
      </c>
      <c r="G144" s="35" t="s">
        <v>389</v>
      </c>
      <c r="H144" s="35" t="s">
        <v>148</v>
      </c>
      <c r="I144" s="35" t="s">
        <v>1100</v>
      </c>
      <c r="J144" s="35" t="s">
        <v>57</v>
      </c>
      <c r="K144" s="35" t="s">
        <v>56</v>
      </c>
      <c r="L144" s="35">
        <v>6</v>
      </c>
      <c r="M144" s="35" t="s">
        <v>1099</v>
      </c>
      <c r="N144" s="35" t="s">
        <v>29</v>
      </c>
    </row>
    <row r="145" spans="1:14" ht="82.75" customHeight="1" x14ac:dyDescent="0.35">
      <c r="A145" s="37" t="s">
        <v>49</v>
      </c>
      <c r="B145" s="37" t="s">
        <v>961</v>
      </c>
      <c r="C145" s="37" t="s">
        <v>1092</v>
      </c>
      <c r="D145" s="35" t="s">
        <v>1098</v>
      </c>
      <c r="E145" s="37" t="s">
        <v>856</v>
      </c>
      <c r="F145" s="37" t="s">
        <v>1097</v>
      </c>
      <c r="G145" s="35" t="s">
        <v>1096</v>
      </c>
      <c r="H145" s="35" t="s">
        <v>148</v>
      </c>
      <c r="I145" s="35" t="s">
        <v>1095</v>
      </c>
      <c r="J145" s="35" t="s">
        <v>57</v>
      </c>
      <c r="K145" s="35" t="s">
        <v>56</v>
      </c>
      <c r="L145" s="35">
        <v>7</v>
      </c>
      <c r="M145" s="35" t="s">
        <v>1094</v>
      </c>
      <c r="N145" s="35" t="s">
        <v>1093</v>
      </c>
    </row>
    <row r="146" spans="1:14" ht="27.65" customHeight="1" x14ac:dyDescent="0.35">
      <c r="A146" s="37" t="s">
        <v>49</v>
      </c>
      <c r="B146" s="37" t="s">
        <v>961</v>
      </c>
      <c r="C146" s="37" t="s">
        <v>1091</v>
      </c>
      <c r="D146" s="35" t="s">
        <v>1090</v>
      </c>
      <c r="E146" s="37" t="s">
        <v>856</v>
      </c>
      <c r="F146" s="37" t="s">
        <v>1089</v>
      </c>
      <c r="G146" s="35" t="s">
        <v>149</v>
      </c>
      <c r="H146" s="35" t="s">
        <v>148</v>
      </c>
      <c r="I146" s="35" t="s">
        <v>1088</v>
      </c>
      <c r="J146" s="35" t="s">
        <v>57</v>
      </c>
      <c r="K146" s="35" t="s">
        <v>56</v>
      </c>
      <c r="L146" s="35">
        <v>8</v>
      </c>
      <c r="M146" s="35" t="s">
        <v>1087</v>
      </c>
      <c r="N146" s="35" t="s">
        <v>1086</v>
      </c>
    </row>
    <row r="147" spans="1:14" ht="41.5" customHeight="1" x14ac:dyDescent="0.35">
      <c r="A147" s="37" t="s">
        <v>49</v>
      </c>
      <c r="B147" s="37" t="s">
        <v>961</v>
      </c>
      <c r="C147" s="37" t="s">
        <v>1085</v>
      </c>
      <c r="D147" s="35" t="s">
        <v>1084</v>
      </c>
      <c r="E147" s="37" t="s">
        <v>267</v>
      </c>
      <c r="F147" s="37" t="s">
        <v>1083</v>
      </c>
      <c r="G147" s="35" t="s">
        <v>162</v>
      </c>
      <c r="H147" s="35" t="s">
        <v>174</v>
      </c>
      <c r="I147" s="35" t="s">
        <v>1082</v>
      </c>
      <c r="J147" s="35" t="s">
        <v>57</v>
      </c>
      <c r="K147" s="35" t="s">
        <v>56</v>
      </c>
      <c r="L147" s="35">
        <v>9</v>
      </c>
      <c r="M147" s="35" t="s">
        <v>184</v>
      </c>
      <c r="N147" s="35" t="s">
        <v>1081</v>
      </c>
    </row>
    <row r="148" spans="1:14" ht="41.5" customHeight="1" x14ac:dyDescent="0.35">
      <c r="A148" s="37" t="s">
        <v>49</v>
      </c>
      <c r="B148" s="37" t="s">
        <v>961</v>
      </c>
      <c r="C148" s="37" t="s">
        <v>1080</v>
      </c>
      <c r="D148" s="35" t="s">
        <v>1079</v>
      </c>
      <c r="E148" s="37" t="s">
        <v>267</v>
      </c>
      <c r="F148" s="37" t="s">
        <v>1078</v>
      </c>
      <c r="G148" s="35" t="s">
        <v>162</v>
      </c>
      <c r="H148" s="35" t="s">
        <v>174</v>
      </c>
      <c r="I148" s="35" t="s">
        <v>1077</v>
      </c>
      <c r="J148" s="35" t="s">
        <v>57</v>
      </c>
      <c r="K148" s="35" t="s">
        <v>56</v>
      </c>
      <c r="L148" s="35">
        <v>10</v>
      </c>
      <c r="M148" s="35" t="s">
        <v>1076</v>
      </c>
      <c r="N148" s="35" t="s">
        <v>1075</v>
      </c>
    </row>
    <row r="149" spans="1:14" ht="41.5" customHeight="1" x14ac:dyDescent="0.35">
      <c r="A149" s="37" t="s">
        <v>49</v>
      </c>
      <c r="B149" s="37" t="s">
        <v>961</v>
      </c>
      <c r="C149" s="37" t="s">
        <v>1074</v>
      </c>
      <c r="D149" s="35" t="s">
        <v>1073</v>
      </c>
      <c r="E149" s="37" t="s">
        <v>267</v>
      </c>
      <c r="F149" s="37" t="s">
        <v>1072</v>
      </c>
      <c r="G149" s="35" t="s">
        <v>162</v>
      </c>
      <c r="H149" s="35" t="s">
        <v>174</v>
      </c>
      <c r="I149" s="35" t="s">
        <v>1071</v>
      </c>
      <c r="J149" s="35" t="s">
        <v>57</v>
      </c>
      <c r="K149" s="35" t="s">
        <v>56</v>
      </c>
      <c r="L149" s="35">
        <v>11</v>
      </c>
      <c r="M149" s="35" t="s">
        <v>1070</v>
      </c>
      <c r="N149" s="35" t="s">
        <v>29</v>
      </c>
    </row>
    <row r="150" spans="1:14" ht="41.5" customHeight="1" x14ac:dyDescent="0.35">
      <c r="A150" s="37" t="s">
        <v>49</v>
      </c>
      <c r="B150" s="37" t="s">
        <v>961</v>
      </c>
      <c r="C150" s="37" t="s">
        <v>1069</v>
      </c>
      <c r="D150" s="35" t="s">
        <v>1068</v>
      </c>
      <c r="E150" s="37" t="s">
        <v>267</v>
      </c>
      <c r="F150" s="37" t="s">
        <v>1067</v>
      </c>
      <c r="G150" s="35" t="s">
        <v>162</v>
      </c>
      <c r="H150" s="35" t="s">
        <v>174</v>
      </c>
      <c r="I150" s="35" t="s">
        <v>1066</v>
      </c>
      <c r="J150" s="35" t="s">
        <v>57</v>
      </c>
      <c r="K150" s="35" t="s">
        <v>56</v>
      </c>
      <c r="L150" s="35">
        <v>12</v>
      </c>
      <c r="M150" s="35" t="s">
        <v>1065</v>
      </c>
      <c r="N150" s="35" t="s">
        <v>29</v>
      </c>
    </row>
    <row r="151" spans="1:14" ht="41.5" customHeight="1" x14ac:dyDescent="0.35">
      <c r="A151" s="37" t="s">
        <v>49</v>
      </c>
      <c r="B151" s="37" t="s">
        <v>961</v>
      </c>
      <c r="C151" s="37" t="s">
        <v>1064</v>
      </c>
      <c r="D151" s="35" t="s">
        <v>1063</v>
      </c>
      <c r="E151" s="37" t="s">
        <v>267</v>
      </c>
      <c r="F151" s="37" t="s">
        <v>1062</v>
      </c>
      <c r="G151" s="35" t="s">
        <v>162</v>
      </c>
      <c r="H151" s="35" t="s">
        <v>174</v>
      </c>
      <c r="I151" s="35" t="s">
        <v>1061</v>
      </c>
      <c r="J151" s="35" t="s">
        <v>57</v>
      </c>
      <c r="K151" s="35" t="s">
        <v>56</v>
      </c>
      <c r="L151" s="35">
        <v>13</v>
      </c>
      <c r="M151" s="35" t="s">
        <v>1060</v>
      </c>
      <c r="N151" s="35" t="s">
        <v>29</v>
      </c>
    </row>
    <row r="152" spans="1:14" ht="27.65" customHeight="1" x14ac:dyDescent="0.35">
      <c r="A152" s="37" t="s">
        <v>49</v>
      </c>
      <c r="B152" s="37" t="s">
        <v>961</v>
      </c>
      <c r="C152" s="37" t="s">
        <v>1059</v>
      </c>
      <c r="D152" s="35" t="s">
        <v>1058</v>
      </c>
      <c r="E152" s="37" t="s">
        <v>267</v>
      </c>
      <c r="F152" s="37" t="s">
        <v>1057</v>
      </c>
      <c r="G152" s="35" t="s">
        <v>162</v>
      </c>
      <c r="H152" s="35" t="s">
        <v>174</v>
      </c>
      <c r="I152" s="35" t="s">
        <v>1056</v>
      </c>
      <c r="J152" s="35" t="s">
        <v>57</v>
      </c>
      <c r="K152" s="35" t="s">
        <v>56</v>
      </c>
      <c r="L152" s="35">
        <v>14</v>
      </c>
      <c r="M152" s="35" t="s">
        <v>1055</v>
      </c>
      <c r="N152" s="35" t="s">
        <v>1054</v>
      </c>
    </row>
    <row r="153" spans="1:14" ht="26" x14ac:dyDescent="0.35">
      <c r="A153" s="37" t="s">
        <v>49</v>
      </c>
      <c r="B153" s="37" t="s">
        <v>961</v>
      </c>
      <c r="C153" s="37" t="s">
        <v>1053</v>
      </c>
      <c r="D153" s="35" t="s">
        <v>1052</v>
      </c>
      <c r="E153" s="37" t="s">
        <v>1031</v>
      </c>
      <c r="F153" s="37" t="s">
        <v>1051</v>
      </c>
      <c r="G153" s="35" t="s">
        <v>197</v>
      </c>
      <c r="H153" s="35" t="s">
        <v>174</v>
      </c>
      <c r="I153" s="35" t="s">
        <v>1050</v>
      </c>
      <c r="J153" s="35" t="s">
        <v>57</v>
      </c>
      <c r="K153" s="35" t="s">
        <v>56</v>
      </c>
      <c r="L153" s="35">
        <v>15</v>
      </c>
      <c r="M153" s="35" t="s">
        <v>1049</v>
      </c>
      <c r="N153" s="35" t="s">
        <v>29</v>
      </c>
    </row>
    <row r="154" spans="1:14" ht="27.65" customHeight="1" x14ac:dyDescent="0.35">
      <c r="A154" s="37" t="s">
        <v>49</v>
      </c>
      <c r="B154" s="37" t="s">
        <v>961</v>
      </c>
      <c r="C154" s="37" t="s">
        <v>1048</v>
      </c>
      <c r="D154" s="35" t="s">
        <v>1047</v>
      </c>
      <c r="E154" s="37" t="s">
        <v>1031</v>
      </c>
      <c r="F154" s="37" t="s">
        <v>1046</v>
      </c>
      <c r="G154" s="35" t="s">
        <v>197</v>
      </c>
      <c r="H154" s="35" t="s">
        <v>174</v>
      </c>
      <c r="I154" s="35" t="s">
        <v>1045</v>
      </c>
      <c r="J154" s="35" t="s">
        <v>57</v>
      </c>
      <c r="K154" s="35" t="s">
        <v>56</v>
      </c>
      <c r="L154" s="35">
        <v>16</v>
      </c>
      <c r="M154" s="35" t="s">
        <v>1044</v>
      </c>
      <c r="N154" s="35" t="s">
        <v>29</v>
      </c>
    </row>
    <row r="155" spans="1:14" ht="27.65" customHeight="1" x14ac:dyDescent="0.35">
      <c r="A155" s="37" t="s">
        <v>49</v>
      </c>
      <c r="B155" s="37" t="s">
        <v>961</v>
      </c>
      <c r="C155" s="37" t="s">
        <v>1043</v>
      </c>
      <c r="D155" s="35" t="s">
        <v>1042</v>
      </c>
      <c r="E155" s="37" t="s">
        <v>1031</v>
      </c>
      <c r="F155" s="37" t="s">
        <v>1041</v>
      </c>
      <c r="G155" s="35" t="s">
        <v>162</v>
      </c>
      <c r="H155" s="35" t="s">
        <v>174</v>
      </c>
      <c r="I155" s="35" t="s">
        <v>1040</v>
      </c>
      <c r="J155" s="35" t="s">
        <v>57</v>
      </c>
      <c r="K155" s="35" t="s">
        <v>56</v>
      </c>
      <c r="L155" s="35">
        <v>17</v>
      </c>
      <c r="M155" s="35" t="s">
        <v>1039</v>
      </c>
      <c r="N155" s="35" t="s">
        <v>29</v>
      </c>
    </row>
    <row r="156" spans="1:14" ht="27.65" customHeight="1" x14ac:dyDescent="0.35">
      <c r="A156" s="37" t="s">
        <v>49</v>
      </c>
      <c r="B156" s="37" t="s">
        <v>961</v>
      </c>
      <c r="C156" s="37" t="s">
        <v>1038</v>
      </c>
      <c r="D156" s="35" t="s">
        <v>1037</v>
      </c>
      <c r="E156" s="37" t="s">
        <v>1031</v>
      </c>
      <c r="F156" s="37" t="s">
        <v>1036</v>
      </c>
      <c r="G156" s="35" t="s">
        <v>162</v>
      </c>
      <c r="H156" s="35" t="s">
        <v>174</v>
      </c>
      <c r="I156" s="35" t="s">
        <v>1035</v>
      </c>
      <c r="J156" s="35" t="s">
        <v>57</v>
      </c>
      <c r="K156" s="35" t="s">
        <v>56</v>
      </c>
      <c r="L156" s="35">
        <v>18</v>
      </c>
      <c r="M156" s="35" t="s">
        <v>1034</v>
      </c>
      <c r="N156" s="35" t="s">
        <v>29</v>
      </c>
    </row>
    <row r="157" spans="1:14" ht="27.65" customHeight="1" x14ac:dyDescent="0.35">
      <c r="A157" s="37" t="s">
        <v>49</v>
      </c>
      <c r="B157" s="37" t="s">
        <v>961</v>
      </c>
      <c r="C157" s="37" t="s">
        <v>1033</v>
      </c>
      <c r="D157" s="35" t="s">
        <v>1032</v>
      </c>
      <c r="E157" s="37" t="s">
        <v>1031</v>
      </c>
      <c r="F157" s="37" t="s">
        <v>1030</v>
      </c>
      <c r="G157" s="35" t="s">
        <v>1029</v>
      </c>
      <c r="H157" s="35" t="s">
        <v>148</v>
      </c>
      <c r="I157" s="35" t="s">
        <v>1028</v>
      </c>
      <c r="J157" s="35" t="s">
        <v>57</v>
      </c>
      <c r="K157" s="35" t="s">
        <v>56</v>
      </c>
      <c r="L157" s="35">
        <v>19</v>
      </c>
      <c r="M157" s="35" t="s">
        <v>1027</v>
      </c>
      <c r="N157" s="35" t="s">
        <v>1026</v>
      </c>
    </row>
    <row r="158" spans="1:14" ht="27.65" customHeight="1" x14ac:dyDescent="0.35">
      <c r="A158" s="37" t="s">
        <v>49</v>
      </c>
      <c r="B158" s="37" t="s">
        <v>961</v>
      </c>
      <c r="C158" s="37" t="s">
        <v>1020</v>
      </c>
      <c r="D158" s="35" t="s">
        <v>1025</v>
      </c>
      <c r="E158" s="37" t="s">
        <v>978</v>
      </c>
      <c r="F158" s="37" t="s">
        <v>1024</v>
      </c>
      <c r="G158" s="35" t="s">
        <v>1023</v>
      </c>
      <c r="H158" s="35" t="s">
        <v>174</v>
      </c>
      <c r="I158" s="35" t="s">
        <v>1022</v>
      </c>
      <c r="J158" s="35" t="s">
        <v>57</v>
      </c>
      <c r="K158" s="35" t="s">
        <v>56</v>
      </c>
      <c r="L158" s="35">
        <v>20</v>
      </c>
      <c r="M158" s="35" t="s">
        <v>1021</v>
      </c>
      <c r="N158" s="35" t="s">
        <v>29</v>
      </c>
    </row>
    <row r="159" spans="1:14" ht="345" customHeight="1" x14ac:dyDescent="0.35">
      <c r="A159" s="37" t="s">
        <v>49</v>
      </c>
      <c r="B159" s="37" t="s">
        <v>961</v>
      </c>
      <c r="C159" s="37" t="s">
        <v>1014</v>
      </c>
      <c r="D159" s="35" t="s">
        <v>1019</v>
      </c>
      <c r="E159" s="37" t="s">
        <v>978</v>
      </c>
      <c r="F159" s="37" t="s">
        <v>1018</v>
      </c>
      <c r="G159" s="35" t="s">
        <v>1017</v>
      </c>
      <c r="H159" s="35" t="s">
        <v>174</v>
      </c>
      <c r="I159" s="35" t="s">
        <v>1016</v>
      </c>
      <c r="J159" s="35" t="s">
        <v>57</v>
      </c>
      <c r="K159" s="35" t="s">
        <v>56</v>
      </c>
      <c r="L159" s="35">
        <v>21</v>
      </c>
      <c r="M159" s="35" t="s">
        <v>1015</v>
      </c>
      <c r="N159" s="35" t="s">
        <v>29</v>
      </c>
    </row>
    <row r="160" spans="1:14" ht="55.4" customHeight="1" x14ac:dyDescent="0.35">
      <c r="A160" s="37" t="s">
        <v>49</v>
      </c>
      <c r="B160" s="37" t="s">
        <v>961</v>
      </c>
      <c r="C160" s="37" t="s">
        <v>1007</v>
      </c>
      <c r="D160" s="35" t="s">
        <v>1013</v>
      </c>
      <c r="E160" s="37" t="s">
        <v>978</v>
      </c>
      <c r="F160" s="37" t="s">
        <v>1012</v>
      </c>
      <c r="G160" s="35" t="s">
        <v>1011</v>
      </c>
      <c r="H160" s="35" t="s">
        <v>174</v>
      </c>
      <c r="I160" s="35" t="s">
        <v>1010</v>
      </c>
      <c r="J160" s="35" t="s">
        <v>57</v>
      </c>
      <c r="K160" s="35" t="s">
        <v>56</v>
      </c>
      <c r="L160" s="35">
        <v>22</v>
      </c>
      <c r="M160" s="35" t="s">
        <v>1009</v>
      </c>
      <c r="N160" s="35" t="s">
        <v>1008</v>
      </c>
    </row>
    <row r="161" spans="1:14" ht="82.75" customHeight="1" x14ac:dyDescent="0.35">
      <c r="A161" s="37" t="s">
        <v>49</v>
      </c>
      <c r="B161" s="37" t="s">
        <v>961</v>
      </c>
      <c r="C161" s="37" t="s">
        <v>1000</v>
      </c>
      <c r="D161" s="35" t="s">
        <v>1006</v>
      </c>
      <c r="E161" s="37" t="s">
        <v>997</v>
      </c>
      <c r="F161" s="37" t="s">
        <v>1005</v>
      </c>
      <c r="G161" s="35" t="s">
        <v>1004</v>
      </c>
      <c r="H161" s="35" t="s">
        <v>148</v>
      </c>
      <c r="I161" s="35" t="s">
        <v>1003</v>
      </c>
      <c r="J161" s="35" t="s">
        <v>57</v>
      </c>
      <c r="K161" s="35" t="s">
        <v>56</v>
      </c>
      <c r="L161" s="35">
        <v>23</v>
      </c>
      <c r="M161" s="35" t="s">
        <v>1002</v>
      </c>
      <c r="N161" s="35" t="s">
        <v>1001</v>
      </c>
    </row>
    <row r="162" spans="1:14" ht="41.5" customHeight="1" x14ac:dyDescent="0.35">
      <c r="A162" s="37" t="s">
        <v>49</v>
      </c>
      <c r="B162" s="37" t="s">
        <v>961</v>
      </c>
      <c r="C162" s="37" t="s">
        <v>999</v>
      </c>
      <c r="D162" s="35" t="s">
        <v>998</v>
      </c>
      <c r="E162" s="37" t="s">
        <v>997</v>
      </c>
      <c r="F162" s="37" t="s">
        <v>996</v>
      </c>
      <c r="G162" s="35" t="s">
        <v>149</v>
      </c>
      <c r="H162" s="35" t="s">
        <v>148</v>
      </c>
      <c r="I162" s="35" t="s">
        <v>995</v>
      </c>
      <c r="J162" s="35" t="s">
        <v>57</v>
      </c>
      <c r="K162" s="35" t="s">
        <v>56</v>
      </c>
      <c r="L162" s="35">
        <v>24</v>
      </c>
      <c r="M162" s="35" t="s">
        <v>994</v>
      </c>
      <c r="N162" s="35" t="s">
        <v>993</v>
      </c>
    </row>
    <row r="163" spans="1:14" ht="69" customHeight="1" x14ac:dyDescent="0.35">
      <c r="A163" s="37" t="s">
        <v>49</v>
      </c>
      <c r="B163" s="37" t="s">
        <v>961</v>
      </c>
      <c r="C163" s="37" t="s">
        <v>986</v>
      </c>
      <c r="D163" s="35" t="s">
        <v>992</v>
      </c>
      <c r="E163" s="37" t="s">
        <v>978</v>
      </c>
      <c r="F163" s="37" t="s">
        <v>991</v>
      </c>
      <c r="G163" s="35" t="s">
        <v>990</v>
      </c>
      <c r="H163" s="35" t="s">
        <v>148</v>
      </c>
      <c r="I163" s="35" t="s">
        <v>989</v>
      </c>
      <c r="J163" s="35" t="s">
        <v>57</v>
      </c>
      <c r="K163" s="35" t="s">
        <v>56</v>
      </c>
      <c r="L163" s="35">
        <v>25</v>
      </c>
      <c r="M163" s="35" t="s">
        <v>988</v>
      </c>
      <c r="N163" s="35" t="s">
        <v>987</v>
      </c>
    </row>
    <row r="164" spans="1:14" ht="41.5" customHeight="1" x14ac:dyDescent="0.35">
      <c r="A164" s="37" t="s">
        <v>49</v>
      </c>
      <c r="B164" s="37" t="s">
        <v>961</v>
      </c>
      <c r="C164" s="37" t="s">
        <v>985</v>
      </c>
      <c r="D164" s="35" t="s">
        <v>984</v>
      </c>
      <c r="E164" s="37" t="s">
        <v>978</v>
      </c>
      <c r="F164" s="37" t="s">
        <v>983</v>
      </c>
      <c r="G164" s="35" t="s">
        <v>149</v>
      </c>
      <c r="H164" s="35" t="s">
        <v>148</v>
      </c>
      <c r="I164" s="35" t="s">
        <v>982</v>
      </c>
      <c r="J164" s="35" t="s">
        <v>57</v>
      </c>
      <c r="K164" s="35" t="s">
        <v>56</v>
      </c>
      <c r="L164" s="35">
        <v>26</v>
      </c>
      <c r="M164" s="35" t="s">
        <v>981</v>
      </c>
      <c r="N164" s="35" t="s">
        <v>29</v>
      </c>
    </row>
    <row r="165" spans="1:14" ht="27.65" customHeight="1" x14ac:dyDescent="0.35">
      <c r="A165" s="37" t="s">
        <v>49</v>
      </c>
      <c r="B165" s="37" t="s">
        <v>961</v>
      </c>
      <c r="C165" s="37" t="s">
        <v>980</v>
      </c>
      <c r="D165" s="35" t="s">
        <v>979</v>
      </c>
      <c r="E165" s="37" t="s">
        <v>978</v>
      </c>
      <c r="F165" s="37" t="s">
        <v>977</v>
      </c>
      <c r="G165" s="35" t="s">
        <v>156</v>
      </c>
      <c r="H165" s="35" t="s">
        <v>148</v>
      </c>
      <c r="I165" s="35" t="s">
        <v>976</v>
      </c>
      <c r="J165" s="35" t="s">
        <v>57</v>
      </c>
      <c r="K165" s="35" t="s">
        <v>56</v>
      </c>
      <c r="L165" s="35">
        <v>27</v>
      </c>
      <c r="M165" s="35" t="s">
        <v>975</v>
      </c>
      <c r="N165" s="35" t="s">
        <v>29</v>
      </c>
    </row>
    <row r="166" spans="1:14" ht="41.5" customHeight="1" x14ac:dyDescent="0.35">
      <c r="A166" s="37" t="s">
        <v>49</v>
      </c>
      <c r="B166" s="37" t="s">
        <v>961</v>
      </c>
      <c r="C166" s="37" t="s">
        <v>974</v>
      </c>
      <c r="D166" s="35" t="s">
        <v>973</v>
      </c>
      <c r="E166" s="37" t="s">
        <v>856</v>
      </c>
      <c r="F166" s="37" t="s">
        <v>972</v>
      </c>
      <c r="G166" s="35" t="s">
        <v>971</v>
      </c>
      <c r="H166" s="35" t="s">
        <v>148</v>
      </c>
      <c r="I166" s="35" t="s">
        <v>970</v>
      </c>
      <c r="J166" s="35" t="s">
        <v>57</v>
      </c>
      <c r="K166" s="35" t="s">
        <v>56</v>
      </c>
      <c r="L166" s="35">
        <v>28</v>
      </c>
      <c r="M166" s="35" t="s">
        <v>969</v>
      </c>
      <c r="N166" s="35" t="s">
        <v>29</v>
      </c>
    </row>
    <row r="167" spans="1:14" ht="27.65" customHeight="1" x14ac:dyDescent="0.35">
      <c r="A167" s="37" t="s">
        <v>49</v>
      </c>
      <c r="B167" s="37" t="s">
        <v>961</v>
      </c>
      <c r="C167" s="37" t="s">
        <v>968</v>
      </c>
      <c r="D167" s="35" t="s">
        <v>967</v>
      </c>
      <c r="E167" s="37" t="s">
        <v>856</v>
      </c>
      <c r="F167" s="37" t="s">
        <v>966</v>
      </c>
      <c r="G167" s="35" t="s">
        <v>965</v>
      </c>
      <c r="H167" s="35" t="s">
        <v>148</v>
      </c>
      <c r="I167" s="35" t="s">
        <v>964</v>
      </c>
      <c r="J167" s="35" t="s">
        <v>57</v>
      </c>
      <c r="K167" s="35" t="s">
        <v>56</v>
      </c>
      <c r="L167" s="35">
        <v>29</v>
      </c>
      <c r="M167" s="35" t="s">
        <v>963</v>
      </c>
      <c r="N167" s="35" t="s">
        <v>962</v>
      </c>
    </row>
    <row r="168" spans="1:14" ht="55.4" customHeight="1" x14ac:dyDescent="0.35">
      <c r="A168" s="37" t="s">
        <v>49</v>
      </c>
      <c r="B168" s="37" t="s">
        <v>961</v>
      </c>
      <c r="C168" s="37" t="s">
        <v>955</v>
      </c>
      <c r="D168" s="35" t="s">
        <v>960</v>
      </c>
      <c r="E168" s="37" t="s">
        <v>856</v>
      </c>
      <c r="F168" s="37" t="s">
        <v>959</v>
      </c>
      <c r="G168" s="35" t="s">
        <v>958</v>
      </c>
      <c r="H168" s="35" t="s">
        <v>148</v>
      </c>
      <c r="I168" s="35" t="s">
        <v>957</v>
      </c>
      <c r="J168" s="35" t="s">
        <v>57</v>
      </c>
      <c r="K168" s="35" t="s">
        <v>56</v>
      </c>
      <c r="L168" s="35">
        <v>30</v>
      </c>
      <c r="M168" s="35" t="s">
        <v>686</v>
      </c>
      <c r="N168" s="35" t="s">
        <v>956</v>
      </c>
    </row>
    <row r="169" spans="1:14" ht="27.65" customHeight="1" x14ac:dyDescent="0.35">
      <c r="A169" s="37" t="s">
        <v>49</v>
      </c>
      <c r="B169" s="37" t="s">
        <v>867</v>
      </c>
      <c r="C169" s="37" t="s">
        <v>845</v>
      </c>
      <c r="D169" s="35" t="s">
        <v>954</v>
      </c>
      <c r="E169" s="37" t="s">
        <v>267</v>
      </c>
      <c r="F169" s="37" t="s">
        <v>843</v>
      </c>
      <c r="G169" s="35" t="s">
        <v>162</v>
      </c>
      <c r="H169" s="35" t="s">
        <v>174</v>
      </c>
      <c r="I169" s="35" t="s">
        <v>842</v>
      </c>
      <c r="J169" s="35" t="s">
        <v>54</v>
      </c>
      <c r="K169" s="35" t="s">
        <v>53</v>
      </c>
      <c r="L169" s="35">
        <v>1</v>
      </c>
      <c r="M169" s="35" t="s">
        <v>841</v>
      </c>
      <c r="N169" s="35" t="s">
        <v>953</v>
      </c>
    </row>
    <row r="170" spans="1:14" ht="41.5" customHeight="1" x14ac:dyDescent="0.35">
      <c r="A170" s="37" t="s">
        <v>49</v>
      </c>
      <c r="B170" s="37" t="s">
        <v>867</v>
      </c>
      <c r="C170" s="37" t="s">
        <v>851</v>
      </c>
      <c r="D170" s="35" t="s">
        <v>952</v>
      </c>
      <c r="E170" s="37" t="s">
        <v>849</v>
      </c>
      <c r="F170" s="37" t="s">
        <v>848</v>
      </c>
      <c r="G170" s="35" t="s">
        <v>162</v>
      </c>
      <c r="H170" s="35" t="s">
        <v>174</v>
      </c>
      <c r="I170" s="35" t="s">
        <v>847</v>
      </c>
      <c r="J170" s="35" t="s">
        <v>54</v>
      </c>
      <c r="K170" s="35" t="s">
        <v>53</v>
      </c>
      <c r="L170" s="35">
        <v>2</v>
      </c>
      <c r="M170" s="35" t="s">
        <v>846</v>
      </c>
      <c r="N170" s="35" t="s">
        <v>951</v>
      </c>
    </row>
    <row r="171" spans="1:14" ht="69" customHeight="1" x14ac:dyDescent="0.35">
      <c r="A171" s="37" t="s">
        <v>49</v>
      </c>
      <c r="B171" s="37" t="s">
        <v>867</v>
      </c>
      <c r="C171" s="37" t="s">
        <v>950</v>
      </c>
      <c r="D171" s="35" t="s">
        <v>949</v>
      </c>
      <c r="E171" s="37" t="s">
        <v>267</v>
      </c>
      <c r="F171" s="37" t="s">
        <v>948</v>
      </c>
      <c r="G171" s="35" t="s">
        <v>162</v>
      </c>
      <c r="H171" s="35" t="s">
        <v>174</v>
      </c>
      <c r="I171" s="35" t="s">
        <v>947</v>
      </c>
      <c r="J171" s="35" t="s">
        <v>54</v>
      </c>
      <c r="K171" s="35" t="s">
        <v>53</v>
      </c>
      <c r="L171" s="35">
        <v>3</v>
      </c>
      <c r="M171" s="35" t="s">
        <v>946</v>
      </c>
      <c r="N171" s="35" t="s">
        <v>945</v>
      </c>
    </row>
    <row r="172" spans="1:14" ht="317.5" customHeight="1" x14ac:dyDescent="0.35">
      <c r="A172" s="37" t="s">
        <v>49</v>
      </c>
      <c r="B172" s="37" t="s">
        <v>867</v>
      </c>
      <c r="C172" s="37" t="s">
        <v>938</v>
      </c>
      <c r="D172" s="35" t="s">
        <v>944</v>
      </c>
      <c r="E172" s="37" t="s">
        <v>849</v>
      </c>
      <c r="F172" s="37" t="s">
        <v>943</v>
      </c>
      <c r="G172" s="35" t="s">
        <v>942</v>
      </c>
      <c r="H172" s="35" t="s">
        <v>174</v>
      </c>
      <c r="I172" s="35" t="s">
        <v>941</v>
      </c>
      <c r="J172" s="35" t="s">
        <v>54</v>
      </c>
      <c r="K172" s="35" t="s">
        <v>53</v>
      </c>
      <c r="L172" s="35">
        <v>4</v>
      </c>
      <c r="M172" s="35" t="s">
        <v>940</v>
      </c>
      <c r="N172" s="35" t="s">
        <v>939</v>
      </c>
    </row>
    <row r="173" spans="1:14" ht="41.5" customHeight="1" x14ac:dyDescent="0.35">
      <c r="A173" s="37" t="s">
        <v>49</v>
      </c>
      <c r="B173" s="37" t="s">
        <v>867</v>
      </c>
      <c r="C173" s="37" t="s">
        <v>937</v>
      </c>
      <c r="D173" s="35" t="s">
        <v>936</v>
      </c>
      <c r="E173" s="37" t="s">
        <v>930</v>
      </c>
      <c r="F173" s="37" t="s">
        <v>935</v>
      </c>
      <c r="G173" s="35" t="s">
        <v>916</v>
      </c>
      <c r="H173" s="35" t="s">
        <v>174</v>
      </c>
      <c r="I173" s="35" t="s">
        <v>934</v>
      </c>
      <c r="J173" s="35" t="s">
        <v>54</v>
      </c>
      <c r="K173" s="35" t="s">
        <v>53</v>
      </c>
      <c r="L173" s="35">
        <v>5</v>
      </c>
      <c r="M173" s="35" t="s">
        <v>933</v>
      </c>
      <c r="N173" s="35" t="s">
        <v>29</v>
      </c>
    </row>
    <row r="174" spans="1:14" ht="27.65" customHeight="1" x14ac:dyDescent="0.35">
      <c r="A174" s="37" t="s">
        <v>49</v>
      </c>
      <c r="B174" s="37" t="s">
        <v>867</v>
      </c>
      <c r="C174" s="37" t="s">
        <v>932</v>
      </c>
      <c r="D174" s="35" t="s">
        <v>931</v>
      </c>
      <c r="E174" s="37" t="s">
        <v>930</v>
      </c>
      <c r="F174" s="37" t="s">
        <v>929</v>
      </c>
      <c r="G174" s="35" t="s">
        <v>916</v>
      </c>
      <c r="H174" s="35" t="s">
        <v>174</v>
      </c>
      <c r="I174" s="35" t="s">
        <v>928</v>
      </c>
      <c r="J174" s="35" t="s">
        <v>54</v>
      </c>
      <c r="K174" s="35" t="s">
        <v>53</v>
      </c>
      <c r="L174" s="35">
        <v>6</v>
      </c>
      <c r="M174" s="35" t="s">
        <v>927</v>
      </c>
      <c r="N174" s="35" t="s">
        <v>29</v>
      </c>
    </row>
    <row r="175" spans="1:14" ht="41.5" customHeight="1" x14ac:dyDescent="0.35">
      <c r="A175" s="37" t="s">
        <v>49</v>
      </c>
      <c r="B175" s="37" t="s">
        <v>867</v>
      </c>
      <c r="C175" s="37" t="s">
        <v>926</v>
      </c>
      <c r="D175" s="35" t="s">
        <v>925</v>
      </c>
      <c r="E175" s="37" t="s">
        <v>924</v>
      </c>
      <c r="F175" s="37" t="s">
        <v>923</v>
      </c>
      <c r="G175" s="35" t="s">
        <v>916</v>
      </c>
      <c r="H175" s="35" t="s">
        <v>174</v>
      </c>
      <c r="I175" s="35" t="s">
        <v>922</v>
      </c>
      <c r="J175" s="35" t="s">
        <v>54</v>
      </c>
      <c r="K175" s="35" t="s">
        <v>53</v>
      </c>
      <c r="L175" s="35">
        <v>7</v>
      </c>
      <c r="M175" s="35" t="s">
        <v>921</v>
      </c>
      <c r="N175" s="35" t="s">
        <v>920</v>
      </c>
    </row>
    <row r="176" spans="1:14" ht="41.5" customHeight="1" x14ac:dyDescent="0.35">
      <c r="A176" s="37" t="s">
        <v>49</v>
      </c>
      <c r="B176" s="37" t="s">
        <v>867</v>
      </c>
      <c r="C176" s="37" t="s">
        <v>919</v>
      </c>
      <c r="D176" s="35" t="s">
        <v>918</v>
      </c>
      <c r="E176" s="37" t="s">
        <v>830</v>
      </c>
      <c r="F176" s="37" t="s">
        <v>917</v>
      </c>
      <c r="G176" s="35" t="s">
        <v>916</v>
      </c>
      <c r="H176" s="35" t="s">
        <v>174</v>
      </c>
      <c r="I176" s="35" t="s">
        <v>915</v>
      </c>
      <c r="J176" s="35" t="s">
        <v>54</v>
      </c>
      <c r="K176" s="35" t="s">
        <v>53</v>
      </c>
      <c r="L176" s="35">
        <v>8</v>
      </c>
      <c r="M176" s="35" t="s">
        <v>914</v>
      </c>
      <c r="N176" s="35" t="s">
        <v>29</v>
      </c>
    </row>
    <row r="177" spans="1:14" ht="27.65" customHeight="1" x14ac:dyDescent="0.35">
      <c r="A177" s="37" t="s">
        <v>49</v>
      </c>
      <c r="B177" s="37" t="s">
        <v>867</v>
      </c>
      <c r="C177" s="37" t="s">
        <v>913</v>
      </c>
      <c r="D177" s="35" t="s">
        <v>912</v>
      </c>
      <c r="E177" s="37" t="s">
        <v>391</v>
      </c>
      <c r="F177" s="37" t="s">
        <v>911</v>
      </c>
      <c r="G177" s="35" t="s">
        <v>149</v>
      </c>
      <c r="H177" s="35" t="s">
        <v>148</v>
      </c>
      <c r="I177" s="35" t="s">
        <v>910</v>
      </c>
      <c r="J177" s="35" t="s">
        <v>54</v>
      </c>
      <c r="K177" s="35" t="s">
        <v>53</v>
      </c>
      <c r="L177" s="35">
        <v>9</v>
      </c>
      <c r="M177" s="35" t="s">
        <v>909</v>
      </c>
      <c r="N177" s="35" t="s">
        <v>908</v>
      </c>
    </row>
    <row r="178" spans="1:14" ht="27.65" customHeight="1" x14ac:dyDescent="0.35">
      <c r="A178" s="37" t="s">
        <v>49</v>
      </c>
      <c r="B178" s="37" t="s">
        <v>867</v>
      </c>
      <c r="C178" s="37" t="s">
        <v>907</v>
      </c>
      <c r="D178" s="35" t="s">
        <v>906</v>
      </c>
      <c r="E178" s="37" t="s">
        <v>391</v>
      </c>
      <c r="F178" s="37" t="s">
        <v>905</v>
      </c>
      <c r="G178" s="35" t="s">
        <v>828</v>
      </c>
      <c r="H178" s="35" t="s">
        <v>148</v>
      </c>
      <c r="I178" s="35" t="s">
        <v>904</v>
      </c>
      <c r="J178" s="35" t="s">
        <v>54</v>
      </c>
      <c r="K178" s="35" t="s">
        <v>53</v>
      </c>
      <c r="L178" s="35">
        <v>10</v>
      </c>
      <c r="M178" s="35" t="s">
        <v>903</v>
      </c>
      <c r="N178" s="35" t="s">
        <v>902</v>
      </c>
    </row>
    <row r="179" spans="1:14" ht="41.5" customHeight="1" x14ac:dyDescent="0.35">
      <c r="A179" s="37" t="s">
        <v>49</v>
      </c>
      <c r="B179" s="37" t="s">
        <v>867</v>
      </c>
      <c r="C179" s="37" t="s">
        <v>901</v>
      </c>
      <c r="D179" s="35" t="s">
        <v>900</v>
      </c>
      <c r="E179" s="37" t="s">
        <v>899</v>
      </c>
      <c r="F179" s="37" t="s">
        <v>898</v>
      </c>
      <c r="G179" s="35" t="s">
        <v>149</v>
      </c>
      <c r="H179" s="35" t="s">
        <v>174</v>
      </c>
      <c r="I179" s="35" t="s">
        <v>897</v>
      </c>
      <c r="J179" s="35" t="s">
        <v>54</v>
      </c>
      <c r="K179" s="35" t="s">
        <v>53</v>
      </c>
      <c r="L179" s="35">
        <v>11</v>
      </c>
      <c r="M179" s="35" t="s">
        <v>896</v>
      </c>
      <c r="N179" s="35" t="s">
        <v>895</v>
      </c>
    </row>
    <row r="180" spans="1:14" ht="27.65" customHeight="1" x14ac:dyDescent="0.35">
      <c r="A180" s="37" t="s">
        <v>49</v>
      </c>
      <c r="B180" s="37" t="s">
        <v>867</v>
      </c>
      <c r="C180" s="37" t="s">
        <v>894</v>
      </c>
      <c r="D180" s="35" t="s">
        <v>893</v>
      </c>
      <c r="E180" s="37" t="s">
        <v>391</v>
      </c>
      <c r="F180" s="37" t="s">
        <v>892</v>
      </c>
      <c r="G180" s="35" t="s">
        <v>828</v>
      </c>
      <c r="H180" s="35" t="s">
        <v>174</v>
      </c>
      <c r="I180" s="35" t="s">
        <v>891</v>
      </c>
      <c r="J180" s="35" t="s">
        <v>54</v>
      </c>
      <c r="K180" s="35" t="s">
        <v>53</v>
      </c>
      <c r="L180" s="35">
        <v>12</v>
      </c>
      <c r="M180" s="35" t="s">
        <v>890</v>
      </c>
      <c r="N180" s="35" t="s">
        <v>889</v>
      </c>
    </row>
    <row r="181" spans="1:14" ht="27.65" customHeight="1" x14ac:dyDescent="0.35">
      <c r="A181" s="37" t="s">
        <v>49</v>
      </c>
      <c r="B181" s="37" t="s">
        <v>867</v>
      </c>
      <c r="C181" s="37" t="s">
        <v>888</v>
      </c>
      <c r="D181" s="35" t="s">
        <v>887</v>
      </c>
      <c r="E181" s="37" t="s">
        <v>391</v>
      </c>
      <c r="F181" s="37" t="s">
        <v>886</v>
      </c>
      <c r="G181" s="35" t="s">
        <v>149</v>
      </c>
      <c r="H181" s="35" t="s">
        <v>174</v>
      </c>
      <c r="I181" s="35" t="s">
        <v>885</v>
      </c>
      <c r="J181" s="35" t="s">
        <v>54</v>
      </c>
      <c r="K181" s="35" t="s">
        <v>53</v>
      </c>
      <c r="L181" s="35">
        <v>13</v>
      </c>
      <c r="M181" s="35" t="s">
        <v>884</v>
      </c>
      <c r="N181" s="35" t="s">
        <v>883</v>
      </c>
    </row>
    <row r="182" spans="1:14" ht="82.75" customHeight="1" x14ac:dyDescent="0.35">
      <c r="A182" s="37" t="s">
        <v>49</v>
      </c>
      <c r="B182" s="37" t="s">
        <v>867</v>
      </c>
      <c r="C182" s="37" t="s">
        <v>876</v>
      </c>
      <c r="D182" s="35" t="s">
        <v>882</v>
      </c>
      <c r="E182" s="37" t="s">
        <v>391</v>
      </c>
      <c r="F182" s="37" t="s">
        <v>881</v>
      </c>
      <c r="G182" s="35" t="s">
        <v>880</v>
      </c>
      <c r="H182" s="35" t="s">
        <v>148</v>
      </c>
      <c r="I182" s="35" t="s">
        <v>879</v>
      </c>
      <c r="J182" s="35" t="s">
        <v>54</v>
      </c>
      <c r="K182" s="35" t="s">
        <v>53</v>
      </c>
      <c r="L182" s="35">
        <v>14</v>
      </c>
      <c r="M182" s="35" t="s">
        <v>878</v>
      </c>
      <c r="N182" s="35" t="s">
        <v>877</v>
      </c>
    </row>
    <row r="183" spans="1:14" ht="69" customHeight="1" x14ac:dyDescent="0.35">
      <c r="A183" s="37" t="s">
        <v>49</v>
      </c>
      <c r="B183" s="37" t="s">
        <v>867</v>
      </c>
      <c r="C183" s="37" t="s">
        <v>869</v>
      </c>
      <c r="D183" s="35" t="s">
        <v>875</v>
      </c>
      <c r="E183" s="37" t="s">
        <v>391</v>
      </c>
      <c r="F183" s="37" t="s">
        <v>874</v>
      </c>
      <c r="G183" s="35" t="s">
        <v>873</v>
      </c>
      <c r="H183" s="35" t="s">
        <v>148</v>
      </c>
      <c r="I183" s="35" t="s">
        <v>872</v>
      </c>
      <c r="J183" s="35" t="s">
        <v>54</v>
      </c>
      <c r="K183" s="35" t="s">
        <v>53</v>
      </c>
      <c r="L183" s="35">
        <v>15</v>
      </c>
      <c r="M183" s="35" t="s">
        <v>871</v>
      </c>
      <c r="N183" s="35" t="s">
        <v>870</v>
      </c>
    </row>
    <row r="184" spans="1:14" ht="55.4" customHeight="1" x14ac:dyDescent="0.35">
      <c r="A184" s="37" t="s">
        <v>49</v>
      </c>
      <c r="B184" s="37" t="s">
        <v>867</v>
      </c>
      <c r="C184" s="37" t="s">
        <v>839</v>
      </c>
      <c r="D184" s="35" t="s">
        <v>868</v>
      </c>
      <c r="E184" s="37" t="s">
        <v>391</v>
      </c>
      <c r="F184" s="37" t="s">
        <v>837</v>
      </c>
      <c r="G184" s="35" t="s">
        <v>828</v>
      </c>
      <c r="H184" s="35" t="s">
        <v>148</v>
      </c>
      <c r="I184" s="35" t="s">
        <v>836</v>
      </c>
      <c r="J184" s="35" t="s">
        <v>54</v>
      </c>
      <c r="K184" s="35" t="s">
        <v>53</v>
      </c>
      <c r="L184" s="35">
        <v>16</v>
      </c>
      <c r="M184" s="35" t="s">
        <v>835</v>
      </c>
      <c r="N184" s="35" t="s">
        <v>865</v>
      </c>
    </row>
    <row r="185" spans="1:14" ht="55.4" customHeight="1" x14ac:dyDescent="0.35">
      <c r="A185" s="37" t="s">
        <v>49</v>
      </c>
      <c r="B185" s="37" t="s">
        <v>867</v>
      </c>
      <c r="C185" s="37" t="s">
        <v>832</v>
      </c>
      <c r="D185" s="35" t="s">
        <v>866</v>
      </c>
      <c r="E185" s="37" t="s">
        <v>830</v>
      </c>
      <c r="F185" s="37" t="s">
        <v>829</v>
      </c>
      <c r="G185" s="35" t="s">
        <v>828</v>
      </c>
      <c r="H185" s="35" t="s">
        <v>174</v>
      </c>
      <c r="I185" s="35" t="s">
        <v>827</v>
      </c>
      <c r="J185" s="35" t="s">
        <v>54</v>
      </c>
      <c r="K185" s="35" t="s">
        <v>53</v>
      </c>
      <c r="L185" s="35">
        <v>17</v>
      </c>
      <c r="M185" s="35" t="s">
        <v>826</v>
      </c>
      <c r="N185" s="35" t="s">
        <v>865</v>
      </c>
    </row>
    <row r="186" spans="1:14" ht="27.65" customHeight="1" x14ac:dyDescent="0.35">
      <c r="A186" s="37" t="s">
        <v>49</v>
      </c>
      <c r="B186" s="37" t="s">
        <v>859</v>
      </c>
      <c r="C186" s="37" t="s">
        <v>851</v>
      </c>
      <c r="D186" s="35" t="s">
        <v>864</v>
      </c>
      <c r="E186" s="37" t="s">
        <v>849</v>
      </c>
      <c r="F186" s="37" t="s">
        <v>848</v>
      </c>
      <c r="G186" s="35" t="s">
        <v>162</v>
      </c>
      <c r="H186" s="35" t="s">
        <v>174</v>
      </c>
      <c r="I186" s="35" t="s">
        <v>847</v>
      </c>
      <c r="J186" s="35" t="s">
        <v>51</v>
      </c>
      <c r="K186" s="35" t="s">
        <v>50</v>
      </c>
      <c r="L186" s="35">
        <v>1</v>
      </c>
      <c r="M186" s="35" t="s">
        <v>846</v>
      </c>
      <c r="N186" s="35" t="s">
        <v>1597</v>
      </c>
    </row>
    <row r="187" spans="1:14" ht="27.65" customHeight="1" x14ac:dyDescent="0.35">
      <c r="A187" s="37" t="s">
        <v>49</v>
      </c>
      <c r="B187" s="37" t="s">
        <v>859</v>
      </c>
      <c r="C187" s="37" t="s">
        <v>818</v>
      </c>
      <c r="D187" s="35" t="s">
        <v>863</v>
      </c>
      <c r="E187" s="37" t="s">
        <v>267</v>
      </c>
      <c r="F187" s="37" t="s">
        <v>862</v>
      </c>
      <c r="G187" s="35" t="s">
        <v>162</v>
      </c>
      <c r="H187" s="35" t="s">
        <v>174</v>
      </c>
      <c r="I187" s="35" t="s">
        <v>861</v>
      </c>
      <c r="J187" s="35" t="s">
        <v>51</v>
      </c>
      <c r="K187" s="35" t="s">
        <v>50</v>
      </c>
      <c r="L187" s="35">
        <v>2</v>
      </c>
      <c r="M187" s="35" t="s">
        <v>814</v>
      </c>
      <c r="N187" s="35" t="s">
        <v>860</v>
      </c>
    </row>
    <row r="188" spans="1:14" ht="27.65" customHeight="1" x14ac:dyDescent="0.35">
      <c r="A188" s="37" t="s">
        <v>49</v>
      </c>
      <c r="B188" s="37" t="s">
        <v>859</v>
      </c>
      <c r="C188" s="37" t="s">
        <v>858</v>
      </c>
      <c r="D188" s="35" t="s">
        <v>857</v>
      </c>
      <c r="E188" s="37" t="s">
        <v>856</v>
      </c>
      <c r="F188" s="37" t="s">
        <v>855</v>
      </c>
      <c r="G188" s="35" t="s">
        <v>828</v>
      </c>
      <c r="H188" s="35" t="s">
        <v>148</v>
      </c>
      <c r="I188" s="35" t="s">
        <v>854</v>
      </c>
      <c r="J188" s="35" t="s">
        <v>51</v>
      </c>
      <c r="K188" s="35" t="s">
        <v>50</v>
      </c>
      <c r="L188" s="35">
        <v>3</v>
      </c>
      <c r="M188" s="35" t="s">
        <v>853</v>
      </c>
      <c r="N188" s="35" t="s">
        <v>852</v>
      </c>
    </row>
    <row r="189" spans="1:14" ht="27.65" customHeight="1" x14ac:dyDescent="0.35">
      <c r="A189" s="37" t="s">
        <v>49</v>
      </c>
      <c r="B189" s="37" t="s">
        <v>833</v>
      </c>
      <c r="C189" s="37" t="s">
        <v>851</v>
      </c>
      <c r="D189" s="35" t="s">
        <v>850</v>
      </c>
      <c r="E189" s="37" t="s">
        <v>849</v>
      </c>
      <c r="F189" s="37" t="s">
        <v>848</v>
      </c>
      <c r="G189" s="35" t="s">
        <v>162</v>
      </c>
      <c r="H189" s="35" t="s">
        <v>174</v>
      </c>
      <c r="I189" s="35" t="s">
        <v>847</v>
      </c>
      <c r="J189" s="35" t="s">
        <v>47</v>
      </c>
      <c r="K189" s="35" t="s">
        <v>46</v>
      </c>
      <c r="L189" s="35">
        <v>1</v>
      </c>
      <c r="M189" s="35" t="s">
        <v>846</v>
      </c>
      <c r="N189" s="35" t="s">
        <v>1598</v>
      </c>
    </row>
    <row r="190" spans="1:14" ht="27.65" customHeight="1" x14ac:dyDescent="0.35">
      <c r="A190" s="37" t="s">
        <v>49</v>
      </c>
      <c r="B190" s="37" t="s">
        <v>833</v>
      </c>
      <c r="C190" s="37" t="s">
        <v>845</v>
      </c>
      <c r="D190" s="35" t="s">
        <v>844</v>
      </c>
      <c r="E190" s="37" t="s">
        <v>267</v>
      </c>
      <c r="F190" s="37" t="s">
        <v>843</v>
      </c>
      <c r="G190" s="35" t="s">
        <v>162</v>
      </c>
      <c r="H190" s="35" t="s">
        <v>174</v>
      </c>
      <c r="I190" s="35" t="s">
        <v>842</v>
      </c>
      <c r="J190" s="35" t="s">
        <v>47</v>
      </c>
      <c r="K190" s="35" t="s">
        <v>46</v>
      </c>
      <c r="L190" s="35">
        <v>2</v>
      </c>
      <c r="M190" s="35" t="s">
        <v>841</v>
      </c>
      <c r="N190" s="35" t="s">
        <v>840</v>
      </c>
    </row>
    <row r="191" spans="1:14" ht="55.4" customHeight="1" x14ac:dyDescent="0.35">
      <c r="A191" s="37" t="s">
        <v>49</v>
      </c>
      <c r="B191" s="37" t="s">
        <v>833</v>
      </c>
      <c r="C191" s="37" t="s">
        <v>839</v>
      </c>
      <c r="D191" s="35" t="s">
        <v>838</v>
      </c>
      <c r="E191" s="37" t="s">
        <v>391</v>
      </c>
      <c r="F191" s="37" t="s">
        <v>837</v>
      </c>
      <c r="G191" s="35" t="s">
        <v>828</v>
      </c>
      <c r="H191" s="35" t="s">
        <v>148</v>
      </c>
      <c r="I191" s="35" t="s">
        <v>836</v>
      </c>
      <c r="J191" s="35" t="s">
        <v>47</v>
      </c>
      <c r="K191" s="35" t="s">
        <v>46</v>
      </c>
      <c r="L191" s="35">
        <v>3</v>
      </c>
      <c r="M191" s="35" t="s">
        <v>835</v>
      </c>
      <c r="N191" s="35" t="s">
        <v>834</v>
      </c>
    </row>
    <row r="192" spans="1:14" ht="27.65" customHeight="1" x14ac:dyDescent="0.35">
      <c r="A192" s="37" t="s">
        <v>49</v>
      </c>
      <c r="B192" s="37" t="s">
        <v>833</v>
      </c>
      <c r="C192" s="37" t="s">
        <v>832</v>
      </c>
      <c r="D192" s="35" t="s">
        <v>831</v>
      </c>
      <c r="E192" s="37" t="s">
        <v>830</v>
      </c>
      <c r="F192" s="37" t="s">
        <v>829</v>
      </c>
      <c r="G192" s="35" t="s">
        <v>828</v>
      </c>
      <c r="H192" s="35" t="s">
        <v>174</v>
      </c>
      <c r="I192" s="35" t="s">
        <v>827</v>
      </c>
      <c r="J192" s="35" t="s">
        <v>47</v>
      </c>
      <c r="K192" s="35" t="s">
        <v>46</v>
      </c>
      <c r="L192" s="35">
        <v>4</v>
      </c>
      <c r="M192" s="35" t="s">
        <v>826</v>
      </c>
      <c r="N192" s="35" t="s">
        <v>825</v>
      </c>
    </row>
    <row r="193" spans="1:14" ht="69" customHeight="1" x14ac:dyDescent="0.35">
      <c r="A193" s="37" t="s">
        <v>45</v>
      </c>
      <c r="B193" s="37" t="s">
        <v>45</v>
      </c>
      <c r="C193" s="37" t="s">
        <v>824</v>
      </c>
      <c r="D193" s="35" t="s">
        <v>823</v>
      </c>
      <c r="E193" s="37" t="s">
        <v>411</v>
      </c>
      <c r="F193" s="37" t="s">
        <v>822</v>
      </c>
      <c r="G193" s="35" t="s">
        <v>821</v>
      </c>
      <c r="H193" s="35" t="s">
        <v>148</v>
      </c>
      <c r="I193" s="35" t="s">
        <v>820</v>
      </c>
      <c r="J193" s="35" t="s">
        <v>44</v>
      </c>
      <c r="K193" s="35" t="s">
        <v>43</v>
      </c>
      <c r="L193" s="35">
        <v>1</v>
      </c>
      <c r="M193" s="35" t="s">
        <v>819</v>
      </c>
      <c r="N193" s="35" t="s">
        <v>29</v>
      </c>
    </row>
    <row r="194" spans="1:14" ht="110.5" customHeight="1" x14ac:dyDescent="0.35">
      <c r="A194" s="37" t="s">
        <v>45</v>
      </c>
      <c r="B194" s="37" t="s">
        <v>45</v>
      </c>
      <c r="C194" s="37" t="s">
        <v>818</v>
      </c>
      <c r="D194" s="35" t="s">
        <v>817</v>
      </c>
      <c r="E194" s="37" t="s">
        <v>411</v>
      </c>
      <c r="F194" s="37" t="s">
        <v>816</v>
      </c>
      <c r="G194" s="35" t="s">
        <v>162</v>
      </c>
      <c r="H194" s="35" t="s">
        <v>174</v>
      </c>
      <c r="I194" s="35" t="s">
        <v>815</v>
      </c>
      <c r="J194" s="35" t="s">
        <v>44</v>
      </c>
      <c r="K194" s="35" t="s">
        <v>43</v>
      </c>
      <c r="L194" s="35">
        <v>2</v>
      </c>
      <c r="M194" s="35" t="s">
        <v>814</v>
      </c>
      <c r="N194" s="35" t="s">
        <v>29</v>
      </c>
    </row>
    <row r="195" spans="1:14" ht="55.4" customHeight="1" x14ac:dyDescent="0.35">
      <c r="A195" s="37" t="s">
        <v>45</v>
      </c>
      <c r="B195" s="37" t="s">
        <v>45</v>
      </c>
      <c r="C195" s="37" t="s">
        <v>813</v>
      </c>
      <c r="D195" s="35" t="s">
        <v>812</v>
      </c>
      <c r="E195" s="37" t="s">
        <v>411</v>
      </c>
      <c r="F195" s="37" t="s">
        <v>811</v>
      </c>
      <c r="G195" s="35" t="s">
        <v>659</v>
      </c>
      <c r="H195" s="35" t="s">
        <v>174</v>
      </c>
      <c r="I195" s="35" t="s">
        <v>810</v>
      </c>
      <c r="J195" s="35" t="s">
        <v>44</v>
      </c>
      <c r="K195" s="35" t="s">
        <v>43</v>
      </c>
      <c r="L195" s="35">
        <v>3</v>
      </c>
      <c r="M195" s="35" t="s">
        <v>809</v>
      </c>
      <c r="N195" s="35" t="s">
        <v>29</v>
      </c>
    </row>
    <row r="196" spans="1:14" ht="27.65" customHeight="1" x14ac:dyDescent="0.35">
      <c r="A196" s="37" t="s">
        <v>45</v>
      </c>
      <c r="B196" s="37" t="s">
        <v>45</v>
      </c>
      <c r="C196" s="37" t="s">
        <v>808</v>
      </c>
      <c r="D196" s="35" t="s">
        <v>807</v>
      </c>
      <c r="E196" s="37" t="s">
        <v>411</v>
      </c>
      <c r="F196" s="37" t="s">
        <v>806</v>
      </c>
      <c r="G196" s="35" t="s">
        <v>654</v>
      </c>
      <c r="H196" s="35" t="s">
        <v>174</v>
      </c>
      <c r="I196" s="35" t="s">
        <v>805</v>
      </c>
      <c r="J196" s="35" t="s">
        <v>44</v>
      </c>
      <c r="K196" s="35" t="s">
        <v>43</v>
      </c>
      <c r="L196" s="35">
        <v>4</v>
      </c>
      <c r="M196" s="35" t="s">
        <v>804</v>
      </c>
      <c r="N196" s="35" t="s">
        <v>29</v>
      </c>
    </row>
    <row r="197" spans="1:14" ht="234.65" customHeight="1" x14ac:dyDescent="0.35">
      <c r="A197" s="37" t="s">
        <v>45</v>
      </c>
      <c r="B197" s="37" t="s">
        <v>45</v>
      </c>
      <c r="C197" s="37" t="s">
        <v>803</v>
      </c>
      <c r="D197" s="35" t="s">
        <v>802</v>
      </c>
      <c r="E197" s="37" t="s">
        <v>801</v>
      </c>
      <c r="F197" s="37" t="s">
        <v>800</v>
      </c>
      <c r="G197" s="35" t="s">
        <v>799</v>
      </c>
      <c r="H197" s="35" t="s">
        <v>174</v>
      </c>
      <c r="I197" s="35"/>
      <c r="J197" s="35" t="s">
        <v>44</v>
      </c>
      <c r="K197" s="35" t="s">
        <v>43</v>
      </c>
      <c r="L197" s="35">
        <v>5</v>
      </c>
      <c r="M197" s="35" t="s">
        <v>798</v>
      </c>
      <c r="N197" s="35" t="s">
        <v>29</v>
      </c>
    </row>
    <row r="198" spans="1:14" ht="82.75" customHeight="1" x14ac:dyDescent="0.35">
      <c r="A198" s="37" t="s">
        <v>45</v>
      </c>
      <c r="B198" s="37" t="s">
        <v>45</v>
      </c>
      <c r="C198" s="37" t="s">
        <v>797</v>
      </c>
      <c r="D198" s="35" t="s">
        <v>796</v>
      </c>
      <c r="E198" s="37" t="s">
        <v>776</v>
      </c>
      <c r="F198" s="37" t="s">
        <v>795</v>
      </c>
      <c r="G198" s="35" t="s">
        <v>162</v>
      </c>
      <c r="H198" s="35" t="s">
        <v>174</v>
      </c>
      <c r="I198" s="35"/>
      <c r="J198" s="35" t="s">
        <v>44</v>
      </c>
      <c r="K198" s="35" t="s">
        <v>43</v>
      </c>
      <c r="L198" s="35">
        <v>6</v>
      </c>
      <c r="M198" s="35" t="s">
        <v>794</v>
      </c>
      <c r="N198" s="35" t="s">
        <v>29</v>
      </c>
    </row>
    <row r="199" spans="1:14" ht="27.65" customHeight="1" x14ac:dyDescent="0.35">
      <c r="A199" s="37" t="s">
        <v>45</v>
      </c>
      <c r="B199" s="37" t="s">
        <v>45</v>
      </c>
      <c r="C199" s="37" t="s">
        <v>793</v>
      </c>
      <c r="D199" s="35" t="s">
        <v>789</v>
      </c>
      <c r="E199" s="37" t="s">
        <v>776</v>
      </c>
      <c r="F199" s="37" t="s">
        <v>792</v>
      </c>
      <c r="G199" s="35" t="s">
        <v>441</v>
      </c>
      <c r="H199" s="35" t="s">
        <v>174</v>
      </c>
      <c r="I199" s="35" t="s">
        <v>791</v>
      </c>
      <c r="J199" s="35" t="s">
        <v>44</v>
      </c>
      <c r="K199" s="35" t="s">
        <v>43</v>
      </c>
      <c r="L199" s="35">
        <v>7</v>
      </c>
      <c r="M199" s="35" t="s">
        <v>790</v>
      </c>
      <c r="N199" s="35" t="s">
        <v>29</v>
      </c>
    </row>
    <row r="200" spans="1:14" ht="82.75" customHeight="1" x14ac:dyDescent="0.35">
      <c r="A200" s="37" t="s">
        <v>45</v>
      </c>
      <c r="B200" s="37" t="s">
        <v>45</v>
      </c>
      <c r="C200" s="37" t="s">
        <v>788</v>
      </c>
      <c r="D200" s="35" t="s">
        <v>787</v>
      </c>
      <c r="E200" s="37" t="s">
        <v>776</v>
      </c>
      <c r="F200" s="37" t="s">
        <v>786</v>
      </c>
      <c r="G200" s="35" t="s">
        <v>769</v>
      </c>
      <c r="H200" s="35" t="s">
        <v>148</v>
      </c>
      <c r="I200" s="35" t="s">
        <v>785</v>
      </c>
      <c r="J200" s="35" t="s">
        <v>44</v>
      </c>
      <c r="K200" s="35" t="s">
        <v>43</v>
      </c>
      <c r="L200" s="35">
        <v>8</v>
      </c>
      <c r="M200" s="35" t="s">
        <v>784</v>
      </c>
      <c r="N200" s="35" t="s">
        <v>29</v>
      </c>
    </row>
    <row r="201" spans="1:14" ht="69" customHeight="1" x14ac:dyDescent="0.35">
      <c r="A201" s="37" t="s">
        <v>45</v>
      </c>
      <c r="B201" s="37" t="s">
        <v>45</v>
      </c>
      <c r="C201" s="37" t="s">
        <v>783</v>
      </c>
      <c r="D201" s="35" t="s">
        <v>782</v>
      </c>
      <c r="E201" s="37" t="s">
        <v>776</v>
      </c>
      <c r="F201" s="37" t="s">
        <v>781</v>
      </c>
      <c r="G201" s="35" t="s">
        <v>769</v>
      </c>
      <c r="H201" s="35"/>
      <c r="I201" s="35" t="s">
        <v>780</v>
      </c>
      <c r="J201" s="35" t="s">
        <v>44</v>
      </c>
      <c r="K201" s="35" t="s">
        <v>43</v>
      </c>
      <c r="L201" s="35">
        <v>9</v>
      </c>
      <c r="M201" s="35" t="s">
        <v>779</v>
      </c>
      <c r="N201" s="35" t="s">
        <v>29</v>
      </c>
    </row>
    <row r="202" spans="1:14" ht="82.75" customHeight="1" x14ac:dyDescent="0.35">
      <c r="A202" s="37" t="s">
        <v>45</v>
      </c>
      <c r="B202" s="37" t="s">
        <v>45</v>
      </c>
      <c r="C202" s="37" t="s">
        <v>778</v>
      </c>
      <c r="D202" s="35" t="s">
        <v>777</v>
      </c>
      <c r="E202" s="37" t="s">
        <v>776</v>
      </c>
      <c r="F202" s="37" t="s">
        <v>775</v>
      </c>
      <c r="G202" s="35" t="s">
        <v>769</v>
      </c>
      <c r="H202" s="35" t="s">
        <v>174</v>
      </c>
      <c r="I202" s="35" t="s">
        <v>774</v>
      </c>
      <c r="J202" s="35" t="s">
        <v>44</v>
      </c>
      <c r="K202" s="35" t="s">
        <v>43</v>
      </c>
      <c r="L202" s="35">
        <v>10</v>
      </c>
      <c r="M202" s="35" t="s">
        <v>773</v>
      </c>
      <c r="N202" s="35" t="s">
        <v>29</v>
      </c>
    </row>
    <row r="203" spans="1:14" ht="55.4" customHeight="1" x14ac:dyDescent="0.35">
      <c r="A203" s="37" t="s">
        <v>45</v>
      </c>
      <c r="B203" s="37" t="s">
        <v>45</v>
      </c>
      <c r="C203" s="37" t="s">
        <v>772</v>
      </c>
      <c r="D203" s="35" t="s">
        <v>771</v>
      </c>
      <c r="E203" s="37" t="s">
        <v>746</v>
      </c>
      <c r="F203" s="37" t="s">
        <v>770</v>
      </c>
      <c r="G203" s="35" t="s">
        <v>769</v>
      </c>
      <c r="H203" s="35" t="s">
        <v>174</v>
      </c>
      <c r="I203" s="35" t="s">
        <v>768</v>
      </c>
      <c r="J203" s="35" t="s">
        <v>44</v>
      </c>
      <c r="K203" s="35" t="s">
        <v>43</v>
      </c>
      <c r="L203" s="35">
        <v>11</v>
      </c>
      <c r="M203" s="35" t="s">
        <v>767</v>
      </c>
      <c r="N203" s="35" t="s">
        <v>29</v>
      </c>
    </row>
    <row r="204" spans="1:14" ht="41.5" customHeight="1" x14ac:dyDescent="0.35">
      <c r="A204" s="37" t="s">
        <v>45</v>
      </c>
      <c r="B204" s="37" t="s">
        <v>45</v>
      </c>
      <c r="C204" s="37" t="s">
        <v>766</v>
      </c>
      <c r="D204" s="35" t="s">
        <v>765</v>
      </c>
      <c r="E204" s="37" t="s">
        <v>746</v>
      </c>
      <c r="F204" s="37" t="s">
        <v>764</v>
      </c>
      <c r="G204" s="35" t="s">
        <v>752</v>
      </c>
      <c r="H204" s="35" t="s">
        <v>174</v>
      </c>
      <c r="I204" s="35" t="s">
        <v>763</v>
      </c>
      <c r="J204" s="35" t="s">
        <v>44</v>
      </c>
      <c r="K204" s="35" t="s">
        <v>43</v>
      </c>
      <c r="L204" s="35">
        <v>12</v>
      </c>
      <c r="M204" s="35" t="s">
        <v>762</v>
      </c>
      <c r="N204" s="35" t="s">
        <v>761</v>
      </c>
    </row>
    <row r="205" spans="1:14" ht="41.5" customHeight="1" x14ac:dyDescent="0.35">
      <c r="A205" s="37" t="s">
        <v>45</v>
      </c>
      <c r="B205" s="37" t="s">
        <v>45</v>
      </c>
      <c r="C205" s="37" t="s">
        <v>760</v>
      </c>
      <c r="D205" s="35" t="s">
        <v>759</v>
      </c>
      <c r="E205" s="37" t="s">
        <v>746</v>
      </c>
      <c r="F205" s="37" t="s">
        <v>758</v>
      </c>
      <c r="G205" s="35" t="s">
        <v>232</v>
      </c>
      <c r="H205" s="35" t="s">
        <v>174</v>
      </c>
      <c r="I205" s="35" t="s">
        <v>757</v>
      </c>
      <c r="J205" s="35" t="s">
        <v>44</v>
      </c>
      <c r="K205" s="35" t="s">
        <v>43</v>
      </c>
      <c r="L205" s="35">
        <v>13</v>
      </c>
      <c r="M205" s="35" t="s">
        <v>756</v>
      </c>
      <c r="N205" s="35" t="s">
        <v>29</v>
      </c>
    </row>
    <row r="206" spans="1:14" ht="41.5" customHeight="1" x14ac:dyDescent="0.35">
      <c r="A206" s="37" t="s">
        <v>45</v>
      </c>
      <c r="B206" s="37" t="s">
        <v>45</v>
      </c>
      <c r="C206" s="37" t="s">
        <v>755</v>
      </c>
      <c r="D206" s="35" t="s">
        <v>754</v>
      </c>
      <c r="E206" s="37" t="s">
        <v>746</v>
      </c>
      <c r="F206" s="37" t="s">
        <v>753</v>
      </c>
      <c r="G206" s="35" t="s">
        <v>752</v>
      </c>
      <c r="H206" s="35" t="s">
        <v>174</v>
      </c>
      <c r="I206" s="35" t="s">
        <v>751</v>
      </c>
      <c r="J206" s="35" t="s">
        <v>44</v>
      </c>
      <c r="K206" s="35" t="s">
        <v>43</v>
      </c>
      <c r="L206" s="35">
        <v>14</v>
      </c>
      <c r="M206" s="35" t="s">
        <v>750</v>
      </c>
      <c r="N206" s="35" t="s">
        <v>749</v>
      </c>
    </row>
    <row r="207" spans="1:14" ht="41.5" customHeight="1" x14ac:dyDescent="0.35">
      <c r="A207" s="37" t="s">
        <v>45</v>
      </c>
      <c r="B207" s="37" t="s">
        <v>45</v>
      </c>
      <c r="C207" s="37" t="s">
        <v>748</v>
      </c>
      <c r="D207" s="35" t="s">
        <v>747</v>
      </c>
      <c r="E207" s="37" t="s">
        <v>746</v>
      </c>
      <c r="F207" s="37" t="s">
        <v>745</v>
      </c>
      <c r="G207" s="35" t="s">
        <v>232</v>
      </c>
      <c r="H207" s="35" t="s">
        <v>174</v>
      </c>
      <c r="I207" s="35" t="s">
        <v>744</v>
      </c>
      <c r="J207" s="35" t="s">
        <v>44</v>
      </c>
      <c r="K207" s="35" t="s">
        <v>43</v>
      </c>
      <c r="L207" s="35">
        <v>15</v>
      </c>
      <c r="M207" s="35" t="s">
        <v>743</v>
      </c>
      <c r="N207" s="35" t="s">
        <v>29</v>
      </c>
    </row>
    <row r="208" spans="1:14" ht="151.75" customHeight="1" x14ac:dyDescent="0.35">
      <c r="A208" s="37" t="s">
        <v>45</v>
      </c>
      <c r="B208" s="37" t="s">
        <v>45</v>
      </c>
      <c r="C208" s="37" t="s">
        <v>742</v>
      </c>
      <c r="D208" s="35" t="s">
        <v>741</v>
      </c>
      <c r="E208" s="37" t="s">
        <v>735</v>
      </c>
      <c r="F208" s="37" t="s">
        <v>740</v>
      </c>
      <c r="G208" s="35" t="s">
        <v>156</v>
      </c>
      <c r="H208" s="35" t="s">
        <v>148</v>
      </c>
      <c r="I208" s="35" t="s">
        <v>739</v>
      </c>
      <c r="J208" s="35" t="s">
        <v>44</v>
      </c>
      <c r="K208" s="35" t="s">
        <v>43</v>
      </c>
      <c r="L208" s="35">
        <v>16</v>
      </c>
      <c r="M208" s="35" t="s">
        <v>738</v>
      </c>
      <c r="N208" s="35" t="s">
        <v>731</v>
      </c>
    </row>
    <row r="209" spans="1:14" ht="151.75" customHeight="1" x14ac:dyDescent="0.35">
      <c r="A209" s="37" t="s">
        <v>45</v>
      </c>
      <c r="B209" s="37" t="s">
        <v>45</v>
      </c>
      <c r="C209" s="37" t="s">
        <v>737</v>
      </c>
      <c r="D209" s="35" t="s">
        <v>736</v>
      </c>
      <c r="E209" s="37" t="s">
        <v>735</v>
      </c>
      <c r="F209" s="37" t="s">
        <v>734</v>
      </c>
      <c r="G209" s="35" t="s">
        <v>156</v>
      </c>
      <c r="H209" s="35" t="s">
        <v>148</v>
      </c>
      <c r="I209" s="35" t="s">
        <v>733</v>
      </c>
      <c r="J209" s="35" t="s">
        <v>44</v>
      </c>
      <c r="K209" s="35" t="s">
        <v>43</v>
      </c>
      <c r="L209" s="35">
        <v>17</v>
      </c>
      <c r="M209" s="35" t="s">
        <v>732</v>
      </c>
      <c r="N209" s="35" t="s">
        <v>731</v>
      </c>
    </row>
    <row r="210" spans="1:14" ht="110.5" customHeight="1" x14ac:dyDescent="0.35">
      <c r="A210" s="37" t="s">
        <v>45</v>
      </c>
      <c r="B210" s="37" t="s">
        <v>45</v>
      </c>
      <c r="C210" s="37" t="s">
        <v>730</v>
      </c>
      <c r="D210" s="35" t="s">
        <v>729</v>
      </c>
      <c r="E210" s="37" t="s">
        <v>722</v>
      </c>
      <c r="F210" s="37" t="s">
        <v>728</v>
      </c>
      <c r="G210" s="35" t="s">
        <v>727</v>
      </c>
      <c r="H210" s="35" t="s">
        <v>148</v>
      </c>
      <c r="I210" s="35" t="s">
        <v>726</v>
      </c>
      <c r="J210" s="35" t="s">
        <v>44</v>
      </c>
      <c r="K210" s="35" t="s">
        <v>43</v>
      </c>
      <c r="L210" s="35">
        <v>18</v>
      </c>
      <c r="M210" s="35" t="s">
        <v>725</v>
      </c>
      <c r="N210" s="35" t="s">
        <v>29</v>
      </c>
    </row>
    <row r="211" spans="1:14" ht="110.5" customHeight="1" x14ac:dyDescent="0.35">
      <c r="A211" s="37" t="s">
        <v>45</v>
      </c>
      <c r="B211" s="37" t="s">
        <v>45</v>
      </c>
      <c r="C211" s="37" t="s">
        <v>724</v>
      </c>
      <c r="D211" s="35" t="s">
        <v>723</v>
      </c>
      <c r="E211" s="37" t="s">
        <v>722</v>
      </c>
      <c r="F211" s="37" t="s">
        <v>721</v>
      </c>
      <c r="G211" s="35" t="s">
        <v>162</v>
      </c>
      <c r="H211" s="35" t="s">
        <v>148</v>
      </c>
      <c r="I211" s="35" t="s">
        <v>720</v>
      </c>
      <c r="J211" s="35" t="s">
        <v>44</v>
      </c>
      <c r="K211" s="35" t="s">
        <v>43</v>
      </c>
      <c r="L211" s="35">
        <v>19</v>
      </c>
      <c r="M211" s="35" t="s">
        <v>719</v>
      </c>
      <c r="N211" s="35" t="s">
        <v>29</v>
      </c>
    </row>
    <row r="212" spans="1:14" ht="138" customHeight="1" x14ac:dyDescent="0.35">
      <c r="A212" s="37" t="s">
        <v>45</v>
      </c>
      <c r="B212" s="37" t="s">
        <v>45</v>
      </c>
      <c r="C212" s="37" t="s">
        <v>718</v>
      </c>
      <c r="D212" s="35" t="s">
        <v>717</v>
      </c>
      <c r="E212" s="37" t="s">
        <v>711</v>
      </c>
      <c r="F212" s="37" t="s">
        <v>716</v>
      </c>
      <c r="G212" s="35" t="s">
        <v>715</v>
      </c>
      <c r="H212" s="35" t="s">
        <v>148</v>
      </c>
      <c r="I212" s="35" t="s">
        <v>708</v>
      </c>
      <c r="J212" s="35" t="s">
        <v>44</v>
      </c>
      <c r="K212" s="35" t="s">
        <v>43</v>
      </c>
      <c r="L212" s="35">
        <v>20</v>
      </c>
      <c r="M212" s="35" t="s">
        <v>714</v>
      </c>
      <c r="N212" s="35" t="s">
        <v>29</v>
      </c>
    </row>
    <row r="213" spans="1:14" ht="138" customHeight="1" x14ac:dyDescent="0.35">
      <c r="A213" s="37" t="s">
        <v>45</v>
      </c>
      <c r="B213" s="37" t="s">
        <v>45</v>
      </c>
      <c r="C213" s="37" t="s">
        <v>713</v>
      </c>
      <c r="D213" s="35" t="s">
        <v>712</v>
      </c>
      <c r="E213" s="37" t="s">
        <v>711</v>
      </c>
      <c r="F213" s="37" t="s">
        <v>710</v>
      </c>
      <c r="G213" s="35" t="s">
        <v>709</v>
      </c>
      <c r="H213" s="35" t="s">
        <v>148</v>
      </c>
      <c r="I213" s="35" t="s">
        <v>708</v>
      </c>
      <c r="J213" s="35" t="s">
        <v>44</v>
      </c>
      <c r="K213" s="35" t="s">
        <v>43</v>
      </c>
      <c r="L213" s="35">
        <v>21</v>
      </c>
      <c r="M213" s="35" t="s">
        <v>707</v>
      </c>
      <c r="N213" s="35" t="s">
        <v>29</v>
      </c>
    </row>
    <row r="214" spans="1:14" ht="27.65" customHeight="1" x14ac:dyDescent="0.35">
      <c r="A214" s="37" t="s">
        <v>45</v>
      </c>
      <c r="B214" s="37" t="s">
        <v>45</v>
      </c>
      <c r="C214" s="37" t="s">
        <v>706</v>
      </c>
      <c r="D214" s="35" t="s">
        <v>705</v>
      </c>
      <c r="E214" s="37" t="s">
        <v>704</v>
      </c>
      <c r="F214" s="37" t="s">
        <v>703</v>
      </c>
      <c r="G214" s="35" t="s">
        <v>389</v>
      </c>
      <c r="H214" s="35" t="s">
        <v>148</v>
      </c>
      <c r="I214" s="35" t="s">
        <v>702</v>
      </c>
      <c r="J214" s="35" t="s">
        <v>44</v>
      </c>
      <c r="K214" s="35" t="s">
        <v>43</v>
      </c>
      <c r="L214" s="35">
        <v>22</v>
      </c>
      <c r="M214" s="35" t="s">
        <v>701</v>
      </c>
      <c r="N214" s="35" t="s">
        <v>29</v>
      </c>
    </row>
    <row r="215" spans="1:14" ht="27.65" customHeight="1" x14ac:dyDescent="0.35">
      <c r="A215" s="37" t="s">
        <v>45</v>
      </c>
      <c r="B215" s="37" t="s">
        <v>45</v>
      </c>
      <c r="C215" s="37" t="s">
        <v>700</v>
      </c>
      <c r="D215" s="35" t="s">
        <v>699</v>
      </c>
      <c r="E215" s="37" t="s">
        <v>698</v>
      </c>
      <c r="F215" s="37" t="s">
        <v>697</v>
      </c>
      <c r="G215" s="35" t="s">
        <v>162</v>
      </c>
      <c r="H215" s="35" t="s">
        <v>174</v>
      </c>
      <c r="I215" s="35" t="s">
        <v>696</v>
      </c>
      <c r="J215" s="35" t="s">
        <v>44</v>
      </c>
      <c r="K215" s="35" t="s">
        <v>43</v>
      </c>
      <c r="L215" s="35">
        <v>23</v>
      </c>
      <c r="M215" s="35" t="s">
        <v>695</v>
      </c>
      <c r="N215" s="35" t="s">
        <v>29</v>
      </c>
    </row>
    <row r="216" spans="1:14" ht="27.65" customHeight="1" x14ac:dyDescent="0.35">
      <c r="A216" s="37" t="s">
        <v>45</v>
      </c>
      <c r="B216" s="37" t="s">
        <v>45</v>
      </c>
      <c r="C216" s="37" t="s">
        <v>694</v>
      </c>
      <c r="D216" s="35" t="s">
        <v>693</v>
      </c>
      <c r="E216" s="37" t="s">
        <v>372</v>
      </c>
      <c r="F216" s="37" t="s">
        <v>169</v>
      </c>
      <c r="G216" s="35" t="s">
        <v>156</v>
      </c>
      <c r="H216" s="35" t="s">
        <v>148</v>
      </c>
      <c r="I216" s="35" t="s">
        <v>692</v>
      </c>
      <c r="J216" s="35" t="s">
        <v>44</v>
      </c>
      <c r="K216" s="35" t="s">
        <v>43</v>
      </c>
      <c r="L216" s="35">
        <v>24</v>
      </c>
      <c r="M216" s="35" t="s">
        <v>167</v>
      </c>
      <c r="N216" s="35" t="s">
        <v>29</v>
      </c>
    </row>
    <row r="217" spans="1:14" ht="41.5" customHeight="1" x14ac:dyDescent="0.35">
      <c r="A217" s="37" t="s">
        <v>45</v>
      </c>
      <c r="B217" s="37" t="s">
        <v>45</v>
      </c>
      <c r="C217" s="37" t="s">
        <v>691</v>
      </c>
      <c r="D217" s="35" t="s">
        <v>690</v>
      </c>
      <c r="E217" s="37" t="s">
        <v>372</v>
      </c>
      <c r="F217" s="37" t="s">
        <v>689</v>
      </c>
      <c r="G217" s="35" t="s">
        <v>688</v>
      </c>
      <c r="H217" s="35" t="s">
        <v>174</v>
      </c>
      <c r="I217" s="35" t="s">
        <v>687</v>
      </c>
      <c r="J217" s="35" t="s">
        <v>44</v>
      </c>
      <c r="K217" s="35" t="s">
        <v>43</v>
      </c>
      <c r="L217" s="35">
        <v>25</v>
      </c>
      <c r="M217" s="35" t="s">
        <v>686</v>
      </c>
      <c r="N217" s="35" t="s">
        <v>29</v>
      </c>
    </row>
    <row r="218" spans="1:14" ht="55.4" customHeight="1" x14ac:dyDescent="0.35">
      <c r="A218" s="37" t="s">
        <v>45</v>
      </c>
      <c r="B218" s="37" t="s">
        <v>45</v>
      </c>
      <c r="C218" s="37" t="s">
        <v>685</v>
      </c>
      <c r="D218" s="35" t="s">
        <v>684</v>
      </c>
      <c r="E218" s="37" t="s">
        <v>372</v>
      </c>
      <c r="F218" s="37" t="s">
        <v>683</v>
      </c>
      <c r="G218" s="35" t="s">
        <v>682</v>
      </c>
      <c r="H218" s="35" t="s">
        <v>174</v>
      </c>
      <c r="I218" s="35" t="s">
        <v>681</v>
      </c>
      <c r="J218" s="35" t="s">
        <v>44</v>
      </c>
      <c r="K218" s="35" t="s">
        <v>43</v>
      </c>
      <c r="L218" s="35">
        <v>26</v>
      </c>
      <c r="M218" s="35" t="s">
        <v>375</v>
      </c>
      <c r="N218" s="35" t="s">
        <v>29</v>
      </c>
    </row>
    <row r="219" spans="1:14" ht="96.65" customHeight="1" x14ac:dyDescent="0.35">
      <c r="A219" s="37" t="s">
        <v>45</v>
      </c>
      <c r="B219" s="37" t="s">
        <v>45</v>
      </c>
      <c r="C219" s="37" t="s">
        <v>680</v>
      </c>
      <c r="D219" s="35" t="s">
        <v>679</v>
      </c>
      <c r="E219" s="37" t="s">
        <v>372</v>
      </c>
      <c r="F219" s="37" t="s">
        <v>678</v>
      </c>
      <c r="G219" s="35" t="s">
        <v>677</v>
      </c>
      <c r="H219" s="35" t="s">
        <v>174</v>
      </c>
      <c r="I219" s="35" t="s">
        <v>676</v>
      </c>
      <c r="J219" s="35" t="s">
        <v>44</v>
      </c>
      <c r="K219" s="35" t="s">
        <v>43</v>
      </c>
      <c r="L219" s="35">
        <v>27</v>
      </c>
      <c r="M219" s="35" t="s">
        <v>675</v>
      </c>
      <c r="N219" s="35" t="s">
        <v>29</v>
      </c>
    </row>
    <row r="220" spans="1:14" ht="27.65" customHeight="1" x14ac:dyDescent="0.35">
      <c r="A220" s="37" t="s">
        <v>45</v>
      </c>
      <c r="B220" s="37" t="s">
        <v>45</v>
      </c>
      <c r="C220" s="37" t="s">
        <v>674</v>
      </c>
      <c r="D220" s="35" t="s">
        <v>673</v>
      </c>
      <c r="E220" s="37" t="s">
        <v>364</v>
      </c>
      <c r="F220" s="37" t="s">
        <v>471</v>
      </c>
      <c r="G220" s="35" t="s">
        <v>162</v>
      </c>
      <c r="H220" s="35" t="s">
        <v>148</v>
      </c>
      <c r="I220" s="35" t="s">
        <v>470</v>
      </c>
      <c r="J220" s="35" t="s">
        <v>44</v>
      </c>
      <c r="K220" s="35" t="s">
        <v>43</v>
      </c>
      <c r="L220" s="35">
        <v>28</v>
      </c>
      <c r="M220" s="35" t="s">
        <v>469</v>
      </c>
      <c r="N220" s="35" t="s">
        <v>29</v>
      </c>
    </row>
    <row r="221" spans="1:14" ht="82.75" customHeight="1" x14ac:dyDescent="0.35">
      <c r="A221" s="37" t="s">
        <v>45</v>
      </c>
      <c r="B221" s="37" t="s">
        <v>45</v>
      </c>
      <c r="C221" s="37" t="s">
        <v>366</v>
      </c>
      <c r="D221" s="35" t="s">
        <v>672</v>
      </c>
      <c r="E221" s="37" t="s">
        <v>364</v>
      </c>
      <c r="F221" s="37" t="s">
        <v>363</v>
      </c>
      <c r="G221" s="35" t="s">
        <v>156</v>
      </c>
      <c r="H221" s="35" t="s">
        <v>148</v>
      </c>
      <c r="I221" s="35" t="s">
        <v>671</v>
      </c>
      <c r="J221" s="35" t="s">
        <v>44</v>
      </c>
      <c r="K221" s="35" t="s">
        <v>43</v>
      </c>
      <c r="L221" s="35">
        <v>29</v>
      </c>
      <c r="M221" s="35" t="s">
        <v>361</v>
      </c>
      <c r="N221" s="35" t="s">
        <v>29</v>
      </c>
    </row>
    <row r="222" spans="1:14" ht="27.65" customHeight="1" x14ac:dyDescent="0.35">
      <c r="A222" s="37" t="s">
        <v>42</v>
      </c>
      <c r="B222" s="37" t="s">
        <v>42</v>
      </c>
      <c r="C222" s="37" t="s">
        <v>465</v>
      </c>
      <c r="D222" s="35" t="s">
        <v>670</v>
      </c>
      <c r="E222" s="37" t="s">
        <v>669</v>
      </c>
      <c r="F222" s="37" t="s">
        <v>668</v>
      </c>
      <c r="G222" s="35" t="s">
        <v>156</v>
      </c>
      <c r="H222" s="35" t="s">
        <v>174</v>
      </c>
      <c r="I222" s="35" t="s">
        <v>667</v>
      </c>
      <c r="J222" s="35" t="s">
        <v>41</v>
      </c>
      <c r="K222" s="35" t="s">
        <v>40</v>
      </c>
      <c r="L222" s="35">
        <v>1</v>
      </c>
      <c r="M222" s="35" t="s">
        <v>460</v>
      </c>
      <c r="N222" s="35" t="s">
        <v>1596</v>
      </c>
    </row>
    <row r="223" spans="1:14" ht="27.65" customHeight="1" x14ac:dyDescent="0.35">
      <c r="A223" s="37" t="s">
        <v>42</v>
      </c>
      <c r="B223" s="37" t="s">
        <v>42</v>
      </c>
      <c r="C223" s="37" t="s">
        <v>459</v>
      </c>
      <c r="D223" s="35" t="s">
        <v>666</v>
      </c>
      <c r="E223" s="37" t="s">
        <v>431</v>
      </c>
      <c r="F223" s="37" t="s">
        <v>457</v>
      </c>
      <c r="G223" s="35" t="s">
        <v>162</v>
      </c>
      <c r="H223" s="35" t="s">
        <v>174</v>
      </c>
      <c r="I223" s="35" t="s">
        <v>665</v>
      </c>
      <c r="J223" s="35" t="s">
        <v>41</v>
      </c>
      <c r="K223" s="35" t="s">
        <v>40</v>
      </c>
      <c r="L223" s="35">
        <v>2</v>
      </c>
      <c r="M223" s="35" t="s">
        <v>455</v>
      </c>
      <c r="N223" s="35" t="s">
        <v>664</v>
      </c>
    </row>
    <row r="224" spans="1:14" ht="27.65" customHeight="1" x14ac:dyDescent="0.35">
      <c r="A224" s="37" t="s">
        <v>42</v>
      </c>
      <c r="B224" s="37" t="s">
        <v>42</v>
      </c>
      <c r="C224" s="37" t="s">
        <v>454</v>
      </c>
      <c r="D224" s="35" t="s">
        <v>663</v>
      </c>
      <c r="E224" s="37" t="s">
        <v>431</v>
      </c>
      <c r="F224" s="37" t="s">
        <v>452</v>
      </c>
      <c r="G224" s="35" t="s">
        <v>162</v>
      </c>
      <c r="H224" s="35" t="s">
        <v>174</v>
      </c>
      <c r="I224" s="35" t="s">
        <v>662</v>
      </c>
      <c r="J224" s="35" t="s">
        <v>41</v>
      </c>
      <c r="K224" s="35" t="s">
        <v>40</v>
      </c>
      <c r="L224" s="35">
        <v>3</v>
      </c>
      <c r="M224" s="35" t="s">
        <v>450</v>
      </c>
      <c r="N224" s="35" t="s">
        <v>661</v>
      </c>
    </row>
    <row r="225" spans="1:14" ht="27.65" customHeight="1" x14ac:dyDescent="0.35">
      <c r="A225" s="37" t="s">
        <v>42</v>
      </c>
      <c r="B225" s="37" t="s">
        <v>42</v>
      </c>
      <c r="C225" s="37" t="s">
        <v>449</v>
      </c>
      <c r="D225" s="35" t="s">
        <v>660</v>
      </c>
      <c r="E225" s="37" t="s">
        <v>431</v>
      </c>
      <c r="F225" s="37" t="s">
        <v>447</v>
      </c>
      <c r="G225" s="35" t="s">
        <v>659</v>
      </c>
      <c r="H225" s="35" t="s">
        <v>174</v>
      </c>
      <c r="I225" s="35" t="s">
        <v>658</v>
      </c>
      <c r="J225" s="35" t="s">
        <v>41</v>
      </c>
      <c r="K225" s="35" t="s">
        <v>40</v>
      </c>
      <c r="L225" s="35">
        <v>4</v>
      </c>
      <c r="M225" s="35" t="s">
        <v>657</v>
      </c>
      <c r="N225" s="35" t="s">
        <v>656</v>
      </c>
    </row>
    <row r="226" spans="1:14" ht="27.65" customHeight="1" x14ac:dyDescent="0.35">
      <c r="A226" s="37" t="s">
        <v>42</v>
      </c>
      <c r="B226" s="37" t="s">
        <v>42</v>
      </c>
      <c r="C226" s="37" t="s">
        <v>444</v>
      </c>
      <c r="D226" s="35" t="s">
        <v>655</v>
      </c>
      <c r="E226" s="37" t="s">
        <v>431</v>
      </c>
      <c r="F226" s="37" t="s">
        <v>442</v>
      </c>
      <c r="G226" s="35" t="s">
        <v>654</v>
      </c>
      <c r="H226" s="35" t="s">
        <v>174</v>
      </c>
      <c r="I226" s="35" t="s">
        <v>653</v>
      </c>
      <c r="J226" s="35" t="s">
        <v>41</v>
      </c>
      <c r="K226" s="35" t="s">
        <v>40</v>
      </c>
      <c r="L226" s="35">
        <v>5</v>
      </c>
      <c r="M226" s="35" t="s">
        <v>652</v>
      </c>
      <c r="N226" s="35" t="s">
        <v>651</v>
      </c>
    </row>
    <row r="227" spans="1:14" ht="27.65" customHeight="1" x14ac:dyDescent="0.35">
      <c r="A227" s="37" t="s">
        <v>42</v>
      </c>
      <c r="B227" s="37" t="s">
        <v>42</v>
      </c>
      <c r="C227" s="37" t="s">
        <v>438</v>
      </c>
      <c r="D227" s="35" t="s">
        <v>647</v>
      </c>
      <c r="E227" s="37" t="s">
        <v>431</v>
      </c>
      <c r="F227" s="37" t="s">
        <v>437</v>
      </c>
      <c r="G227" s="35" t="s">
        <v>650</v>
      </c>
      <c r="H227" s="35" t="s">
        <v>174</v>
      </c>
      <c r="I227" s="35" t="s">
        <v>649</v>
      </c>
      <c r="J227" s="35" t="s">
        <v>41</v>
      </c>
      <c r="K227" s="35" t="s">
        <v>40</v>
      </c>
      <c r="L227" s="35">
        <v>6</v>
      </c>
      <c r="M227" s="35" t="s">
        <v>434</v>
      </c>
      <c r="N227" s="35" t="s">
        <v>648</v>
      </c>
    </row>
    <row r="228" spans="1:14" ht="27.65" customHeight="1" x14ac:dyDescent="0.35">
      <c r="A228" s="37" t="s">
        <v>42</v>
      </c>
      <c r="B228" s="37" t="s">
        <v>42</v>
      </c>
      <c r="C228" s="37" t="s">
        <v>432</v>
      </c>
      <c r="D228" s="35" t="s">
        <v>643</v>
      </c>
      <c r="E228" s="37" t="s">
        <v>431</v>
      </c>
      <c r="F228" s="37" t="s">
        <v>430</v>
      </c>
      <c r="G228" s="35" t="s">
        <v>646</v>
      </c>
      <c r="H228" s="35" t="s">
        <v>174</v>
      </c>
      <c r="I228" s="35" t="s">
        <v>645</v>
      </c>
      <c r="J228" s="35" t="s">
        <v>41</v>
      </c>
      <c r="K228" s="35" t="s">
        <v>40</v>
      </c>
      <c r="L228" s="35">
        <v>7</v>
      </c>
      <c r="M228" s="35" t="s">
        <v>427</v>
      </c>
      <c r="N228" s="35" t="s">
        <v>644</v>
      </c>
    </row>
    <row r="229" spans="1:14" ht="55.4" customHeight="1" x14ac:dyDescent="0.35">
      <c r="A229" s="37" t="s">
        <v>42</v>
      </c>
      <c r="B229" s="37" t="s">
        <v>42</v>
      </c>
      <c r="C229" s="37" t="s">
        <v>425</v>
      </c>
      <c r="D229" s="35" t="s">
        <v>642</v>
      </c>
      <c r="E229" s="37" t="s">
        <v>638</v>
      </c>
      <c r="F229" s="37" t="s">
        <v>422</v>
      </c>
      <c r="G229" s="35" t="s">
        <v>162</v>
      </c>
      <c r="H229" s="35" t="s">
        <v>148</v>
      </c>
      <c r="I229" s="35" t="s">
        <v>641</v>
      </c>
      <c r="J229" s="35" t="s">
        <v>41</v>
      </c>
      <c r="K229" s="35" t="s">
        <v>40</v>
      </c>
      <c r="L229" s="35">
        <v>8</v>
      </c>
      <c r="M229" s="35" t="s">
        <v>420</v>
      </c>
      <c r="N229" s="35" t="s">
        <v>640</v>
      </c>
    </row>
    <row r="230" spans="1:14" ht="55.4" customHeight="1" x14ac:dyDescent="0.35">
      <c r="A230" s="37" t="s">
        <v>42</v>
      </c>
      <c r="B230" s="37" t="s">
        <v>42</v>
      </c>
      <c r="C230" s="37" t="s">
        <v>419</v>
      </c>
      <c r="D230" s="35" t="s">
        <v>639</v>
      </c>
      <c r="E230" s="37" t="s">
        <v>638</v>
      </c>
      <c r="F230" s="37" t="s">
        <v>416</v>
      </c>
      <c r="G230" s="35" t="s">
        <v>162</v>
      </c>
      <c r="H230" s="35" t="s">
        <v>148</v>
      </c>
      <c r="I230" s="35" t="s">
        <v>637</v>
      </c>
      <c r="J230" s="35" t="s">
        <v>41</v>
      </c>
      <c r="K230" s="35" t="s">
        <v>40</v>
      </c>
      <c r="L230" s="35">
        <v>9</v>
      </c>
      <c r="M230" s="35" t="s">
        <v>414</v>
      </c>
      <c r="N230" s="35" t="s">
        <v>636</v>
      </c>
    </row>
    <row r="231" spans="1:14" ht="41.5" customHeight="1" x14ac:dyDescent="0.35">
      <c r="A231" s="37" t="s">
        <v>42</v>
      </c>
      <c r="B231" s="37" t="s">
        <v>42</v>
      </c>
      <c r="C231" s="37" t="s">
        <v>413</v>
      </c>
      <c r="D231" s="35" t="s">
        <v>635</v>
      </c>
      <c r="E231" s="37" t="s">
        <v>411</v>
      </c>
      <c r="F231" s="37" t="s">
        <v>410</v>
      </c>
      <c r="G231" s="35" t="s">
        <v>634</v>
      </c>
      <c r="H231" s="35" t="s">
        <v>174</v>
      </c>
      <c r="I231" s="35" t="s">
        <v>633</v>
      </c>
      <c r="J231" s="35" t="s">
        <v>41</v>
      </c>
      <c r="K231" s="35" t="s">
        <v>40</v>
      </c>
      <c r="L231" s="35">
        <v>10</v>
      </c>
      <c r="M231" s="35" t="s">
        <v>632</v>
      </c>
      <c r="N231" s="35" t="s">
        <v>631</v>
      </c>
    </row>
    <row r="232" spans="1:14" ht="27.65" customHeight="1" x14ac:dyDescent="0.35">
      <c r="A232" s="37" t="s">
        <v>42</v>
      </c>
      <c r="B232" s="37" t="s">
        <v>42</v>
      </c>
      <c r="C232" s="37" t="s">
        <v>406</v>
      </c>
      <c r="D232" s="35" t="s">
        <v>630</v>
      </c>
      <c r="E232" s="37" t="s">
        <v>391</v>
      </c>
      <c r="F232" s="37" t="s">
        <v>404</v>
      </c>
      <c r="G232" s="35" t="s">
        <v>403</v>
      </c>
      <c r="H232" s="35" t="s">
        <v>174</v>
      </c>
      <c r="I232" s="35" t="s">
        <v>402</v>
      </c>
      <c r="J232" s="35" t="s">
        <v>41</v>
      </c>
      <c r="K232" s="35" t="s">
        <v>40</v>
      </c>
      <c r="L232" s="35">
        <v>11</v>
      </c>
      <c r="M232" s="35" t="s">
        <v>401</v>
      </c>
      <c r="N232" s="35" t="s">
        <v>629</v>
      </c>
    </row>
    <row r="233" spans="1:14" ht="27.65" customHeight="1" x14ac:dyDescent="0.35">
      <c r="A233" s="37" t="s">
        <v>42</v>
      </c>
      <c r="B233" s="37" t="s">
        <v>42</v>
      </c>
      <c r="C233" s="37" t="s">
        <v>212</v>
      </c>
      <c r="D233" s="35" t="s">
        <v>628</v>
      </c>
      <c r="E233" s="37" t="s">
        <v>391</v>
      </c>
      <c r="F233" s="37" t="s">
        <v>210</v>
      </c>
      <c r="G233" s="35" t="s">
        <v>149</v>
      </c>
      <c r="H233" s="35" t="s">
        <v>148</v>
      </c>
      <c r="I233" s="35" t="s">
        <v>209</v>
      </c>
      <c r="J233" s="35" t="s">
        <v>41</v>
      </c>
      <c r="K233" s="35" t="s">
        <v>40</v>
      </c>
      <c r="L233" s="35">
        <v>12</v>
      </c>
      <c r="M233" s="35" t="s">
        <v>208</v>
      </c>
      <c r="N233" s="35" t="s">
        <v>627</v>
      </c>
    </row>
    <row r="234" spans="1:14" ht="55.4" customHeight="1" x14ac:dyDescent="0.35">
      <c r="A234" s="37" t="s">
        <v>42</v>
      </c>
      <c r="B234" s="37" t="s">
        <v>42</v>
      </c>
      <c r="C234" s="37" t="s">
        <v>399</v>
      </c>
      <c r="D234" s="35" t="s">
        <v>626</v>
      </c>
      <c r="E234" s="37" t="s">
        <v>391</v>
      </c>
      <c r="F234" s="37" t="s">
        <v>397</v>
      </c>
      <c r="G234" s="35" t="s">
        <v>396</v>
      </c>
      <c r="H234" s="35" t="s">
        <v>174</v>
      </c>
      <c r="I234" s="35" t="s">
        <v>625</v>
      </c>
      <c r="J234" s="35" t="s">
        <v>41</v>
      </c>
      <c r="K234" s="35" t="s">
        <v>40</v>
      </c>
      <c r="L234" s="35">
        <v>13</v>
      </c>
      <c r="M234" s="35" t="s">
        <v>394</v>
      </c>
      <c r="N234" s="35" t="s">
        <v>624</v>
      </c>
    </row>
    <row r="235" spans="1:14" ht="27.65" customHeight="1" x14ac:dyDescent="0.35">
      <c r="A235" s="37" t="s">
        <v>42</v>
      </c>
      <c r="B235" s="37" t="s">
        <v>42</v>
      </c>
      <c r="C235" s="37" t="s">
        <v>617</v>
      </c>
      <c r="D235" s="35" t="s">
        <v>623</v>
      </c>
      <c r="E235" s="37" t="s">
        <v>463</v>
      </c>
      <c r="F235" s="37" t="s">
        <v>622</v>
      </c>
      <c r="G235" s="35" t="s">
        <v>621</v>
      </c>
      <c r="H235" s="35" t="s">
        <v>174</v>
      </c>
      <c r="I235" s="35" t="s">
        <v>620</v>
      </c>
      <c r="J235" s="35" t="s">
        <v>41</v>
      </c>
      <c r="K235" s="35" t="s">
        <v>40</v>
      </c>
      <c r="L235" s="35">
        <v>14</v>
      </c>
      <c r="M235" s="35" t="s">
        <v>619</v>
      </c>
      <c r="N235" s="35" t="s">
        <v>618</v>
      </c>
    </row>
    <row r="236" spans="1:14" ht="27.65" customHeight="1" x14ac:dyDescent="0.35">
      <c r="A236" s="37" t="s">
        <v>42</v>
      </c>
      <c r="B236" s="37" t="s">
        <v>42</v>
      </c>
      <c r="C236" s="37" t="s">
        <v>610</v>
      </c>
      <c r="D236" s="35" t="s">
        <v>616</v>
      </c>
      <c r="E236" s="37" t="s">
        <v>463</v>
      </c>
      <c r="F236" s="37" t="s">
        <v>615</v>
      </c>
      <c r="G236" s="35" t="s">
        <v>614</v>
      </c>
      <c r="H236" s="35" t="s">
        <v>174</v>
      </c>
      <c r="I236" s="35" t="s">
        <v>613</v>
      </c>
      <c r="J236" s="35" t="s">
        <v>41</v>
      </c>
      <c r="K236" s="35" t="s">
        <v>40</v>
      </c>
      <c r="L236" s="35">
        <v>15</v>
      </c>
      <c r="M236" s="35" t="s">
        <v>612</v>
      </c>
      <c r="N236" s="35" t="s">
        <v>611</v>
      </c>
    </row>
    <row r="237" spans="1:14" ht="41.5" customHeight="1" x14ac:dyDescent="0.35">
      <c r="A237" s="37" t="s">
        <v>42</v>
      </c>
      <c r="B237" s="37" t="s">
        <v>42</v>
      </c>
      <c r="C237" s="37" t="s">
        <v>603</v>
      </c>
      <c r="D237" s="35" t="s">
        <v>609</v>
      </c>
      <c r="E237" s="37" t="s">
        <v>463</v>
      </c>
      <c r="F237" s="37" t="s">
        <v>608</v>
      </c>
      <c r="G237" s="35" t="s">
        <v>607</v>
      </c>
      <c r="H237" s="35" t="s">
        <v>174</v>
      </c>
      <c r="I237" s="35" t="s">
        <v>606</v>
      </c>
      <c r="J237" s="35" t="s">
        <v>41</v>
      </c>
      <c r="K237" s="35" t="s">
        <v>40</v>
      </c>
      <c r="L237" s="35">
        <v>16</v>
      </c>
      <c r="M237" s="35" t="s">
        <v>605</v>
      </c>
      <c r="N237" s="35" t="s">
        <v>604</v>
      </c>
    </row>
    <row r="238" spans="1:14" ht="55.4" customHeight="1" x14ac:dyDescent="0.35">
      <c r="A238" s="37" t="s">
        <v>42</v>
      </c>
      <c r="B238" s="37" t="s">
        <v>42</v>
      </c>
      <c r="C238" s="37" t="s">
        <v>596</v>
      </c>
      <c r="D238" s="35" t="s">
        <v>602</v>
      </c>
      <c r="E238" s="37" t="s">
        <v>463</v>
      </c>
      <c r="F238" s="37" t="s">
        <v>601</v>
      </c>
      <c r="G238" s="35" t="s">
        <v>600</v>
      </c>
      <c r="H238" s="35" t="s">
        <v>174</v>
      </c>
      <c r="I238" s="35" t="s">
        <v>599</v>
      </c>
      <c r="J238" s="35" t="s">
        <v>41</v>
      </c>
      <c r="K238" s="35" t="s">
        <v>40</v>
      </c>
      <c r="L238" s="35">
        <v>17</v>
      </c>
      <c r="M238" s="35" t="s">
        <v>598</v>
      </c>
      <c r="N238" s="35" t="s">
        <v>597</v>
      </c>
    </row>
    <row r="239" spans="1:14" ht="27.65" customHeight="1" x14ac:dyDescent="0.35">
      <c r="A239" s="37" t="s">
        <v>42</v>
      </c>
      <c r="B239" s="37" t="s">
        <v>42</v>
      </c>
      <c r="C239" s="37" t="s">
        <v>595</v>
      </c>
      <c r="D239" s="35" t="s">
        <v>594</v>
      </c>
      <c r="E239" s="37" t="s">
        <v>463</v>
      </c>
      <c r="F239" s="37" t="s">
        <v>593</v>
      </c>
      <c r="G239" s="35" t="s">
        <v>149</v>
      </c>
      <c r="H239" s="35" t="s">
        <v>174</v>
      </c>
      <c r="I239" s="35" t="s">
        <v>592</v>
      </c>
      <c r="J239" s="35" t="s">
        <v>41</v>
      </c>
      <c r="K239" s="35" t="s">
        <v>40</v>
      </c>
      <c r="L239" s="35">
        <v>18</v>
      </c>
      <c r="M239" s="35" t="s">
        <v>591</v>
      </c>
      <c r="N239" s="35" t="s">
        <v>590</v>
      </c>
    </row>
    <row r="240" spans="1:14" ht="27.65" customHeight="1" x14ac:dyDescent="0.35">
      <c r="A240" s="37" t="s">
        <v>42</v>
      </c>
      <c r="B240" s="37" t="s">
        <v>42</v>
      </c>
      <c r="C240" s="37" t="s">
        <v>589</v>
      </c>
      <c r="D240" s="35" t="s">
        <v>588</v>
      </c>
      <c r="E240" s="37" t="s">
        <v>463</v>
      </c>
      <c r="F240" s="37" t="s">
        <v>587</v>
      </c>
      <c r="G240" s="35" t="s">
        <v>149</v>
      </c>
      <c r="H240" s="35" t="s">
        <v>174</v>
      </c>
      <c r="I240" s="35" t="s">
        <v>586</v>
      </c>
      <c r="J240" s="35" t="s">
        <v>41</v>
      </c>
      <c r="K240" s="35" t="s">
        <v>40</v>
      </c>
      <c r="L240" s="35">
        <v>19</v>
      </c>
      <c r="M240" s="35" t="s">
        <v>585</v>
      </c>
      <c r="N240" s="35" t="s">
        <v>584</v>
      </c>
    </row>
    <row r="241" spans="1:14" ht="27.65" customHeight="1" x14ac:dyDescent="0.35">
      <c r="A241" s="37" t="s">
        <v>42</v>
      </c>
      <c r="B241" s="37" t="s">
        <v>42</v>
      </c>
      <c r="C241" s="37" t="s">
        <v>583</v>
      </c>
      <c r="D241" s="35" t="s">
        <v>582</v>
      </c>
      <c r="E241" s="37" t="s">
        <v>463</v>
      </c>
      <c r="F241" s="37" t="s">
        <v>581</v>
      </c>
      <c r="G241" s="35" t="s">
        <v>162</v>
      </c>
      <c r="H241" s="35" t="s">
        <v>174</v>
      </c>
      <c r="I241" s="35" t="s">
        <v>580</v>
      </c>
      <c r="J241" s="35" t="s">
        <v>41</v>
      </c>
      <c r="K241" s="35" t="s">
        <v>40</v>
      </c>
      <c r="L241" s="35">
        <v>20</v>
      </c>
      <c r="M241" s="35" t="s">
        <v>579</v>
      </c>
      <c r="N241" s="35" t="s">
        <v>578</v>
      </c>
    </row>
    <row r="242" spans="1:14" ht="27.65" customHeight="1" x14ac:dyDescent="0.35">
      <c r="A242" s="37" t="s">
        <v>42</v>
      </c>
      <c r="B242" s="37" t="s">
        <v>42</v>
      </c>
      <c r="C242" s="37" t="s">
        <v>572</v>
      </c>
      <c r="D242" s="35" t="s">
        <v>577</v>
      </c>
      <c r="E242" s="37" t="s">
        <v>463</v>
      </c>
      <c r="F242" s="37" t="s">
        <v>576</v>
      </c>
      <c r="G242" s="35" t="s">
        <v>575</v>
      </c>
      <c r="H242" s="35" t="s">
        <v>174</v>
      </c>
      <c r="I242" s="35" t="s">
        <v>575</v>
      </c>
      <c r="J242" s="35" t="s">
        <v>41</v>
      </c>
      <c r="K242" s="35" t="s">
        <v>40</v>
      </c>
      <c r="L242" s="35">
        <v>21</v>
      </c>
      <c r="M242" s="35" t="s">
        <v>574</v>
      </c>
      <c r="N242" s="35" t="s">
        <v>573</v>
      </c>
    </row>
    <row r="243" spans="1:14" ht="55.4" customHeight="1" x14ac:dyDescent="0.35">
      <c r="A243" s="37" t="s">
        <v>42</v>
      </c>
      <c r="B243" s="37" t="s">
        <v>42</v>
      </c>
      <c r="C243" s="37" t="s">
        <v>571</v>
      </c>
      <c r="D243" s="35" t="s">
        <v>570</v>
      </c>
      <c r="E243" s="37" t="s">
        <v>463</v>
      </c>
      <c r="F243" s="37" t="s">
        <v>569</v>
      </c>
      <c r="G243" s="35" t="s">
        <v>162</v>
      </c>
      <c r="H243" s="35" t="s">
        <v>148</v>
      </c>
      <c r="I243" s="35" t="s">
        <v>568</v>
      </c>
      <c r="J243" s="35" t="s">
        <v>41</v>
      </c>
      <c r="K243" s="35" t="s">
        <v>40</v>
      </c>
      <c r="L243" s="35">
        <v>22</v>
      </c>
      <c r="M243" s="35" t="s">
        <v>567</v>
      </c>
      <c r="N243" s="35" t="s">
        <v>566</v>
      </c>
    </row>
    <row r="244" spans="1:14" ht="27.65" customHeight="1" x14ac:dyDescent="0.35">
      <c r="A244" s="37" t="s">
        <v>42</v>
      </c>
      <c r="B244" s="37" t="s">
        <v>42</v>
      </c>
      <c r="C244" s="37" t="s">
        <v>559</v>
      </c>
      <c r="D244" s="35" t="s">
        <v>565</v>
      </c>
      <c r="E244" s="37" t="s">
        <v>463</v>
      </c>
      <c r="F244" s="37" t="s">
        <v>564</v>
      </c>
      <c r="G244" s="35" t="s">
        <v>563</v>
      </c>
      <c r="H244" s="35" t="s">
        <v>174</v>
      </c>
      <c r="I244" s="35" t="s">
        <v>562</v>
      </c>
      <c r="J244" s="35" t="s">
        <v>41</v>
      </c>
      <c r="K244" s="35" t="s">
        <v>40</v>
      </c>
      <c r="L244" s="35">
        <v>23</v>
      </c>
      <c r="M244" s="35" t="s">
        <v>561</v>
      </c>
      <c r="N244" s="35" t="s">
        <v>560</v>
      </c>
    </row>
    <row r="245" spans="1:14" ht="82.75" customHeight="1" x14ac:dyDescent="0.35">
      <c r="A245" s="37" t="s">
        <v>42</v>
      </c>
      <c r="B245" s="37" t="s">
        <v>42</v>
      </c>
      <c r="C245" s="37" t="s">
        <v>552</v>
      </c>
      <c r="D245" s="35" t="s">
        <v>558</v>
      </c>
      <c r="E245" s="37" t="s">
        <v>463</v>
      </c>
      <c r="F245" s="37" t="s">
        <v>557</v>
      </c>
      <c r="G245" s="35" t="s">
        <v>556</v>
      </c>
      <c r="H245" s="35" t="s">
        <v>174</v>
      </c>
      <c r="I245" s="35" t="s">
        <v>555</v>
      </c>
      <c r="J245" s="35" t="s">
        <v>41</v>
      </c>
      <c r="K245" s="35" t="s">
        <v>40</v>
      </c>
      <c r="L245" s="35">
        <v>24</v>
      </c>
      <c r="M245" s="35" t="s">
        <v>554</v>
      </c>
      <c r="N245" s="35" t="s">
        <v>553</v>
      </c>
    </row>
    <row r="246" spans="1:14" ht="82.75" customHeight="1" x14ac:dyDescent="0.35">
      <c r="A246" s="37" t="s">
        <v>42</v>
      </c>
      <c r="B246" s="37" t="s">
        <v>42</v>
      </c>
      <c r="C246" s="37" t="s">
        <v>545</v>
      </c>
      <c r="D246" s="35" t="s">
        <v>551</v>
      </c>
      <c r="E246" s="37" t="s">
        <v>463</v>
      </c>
      <c r="F246" s="37" t="s">
        <v>550</v>
      </c>
      <c r="G246" s="35" t="s">
        <v>549</v>
      </c>
      <c r="H246" s="35" t="s">
        <v>174</v>
      </c>
      <c r="I246" s="35" t="s">
        <v>548</v>
      </c>
      <c r="J246" s="35" t="s">
        <v>41</v>
      </c>
      <c r="K246" s="35" t="s">
        <v>40</v>
      </c>
      <c r="L246" s="35">
        <v>25</v>
      </c>
      <c r="M246" s="35" t="s">
        <v>547</v>
      </c>
      <c r="N246" s="35" t="s">
        <v>546</v>
      </c>
    </row>
    <row r="247" spans="1:14" ht="27.65" customHeight="1" x14ac:dyDescent="0.35">
      <c r="A247" s="37" t="s">
        <v>42</v>
      </c>
      <c r="B247" s="37" t="s">
        <v>42</v>
      </c>
      <c r="C247" s="37" t="s">
        <v>544</v>
      </c>
      <c r="D247" s="35" t="s">
        <v>543</v>
      </c>
      <c r="E247" s="37" t="s">
        <v>463</v>
      </c>
      <c r="F247" s="37" t="s">
        <v>542</v>
      </c>
      <c r="G247" s="35" t="s">
        <v>517</v>
      </c>
      <c r="H247" s="35" t="s">
        <v>174</v>
      </c>
      <c r="I247" s="35" t="s">
        <v>541</v>
      </c>
      <c r="J247" s="35" t="s">
        <v>41</v>
      </c>
      <c r="K247" s="35" t="s">
        <v>40</v>
      </c>
      <c r="L247" s="35">
        <v>26</v>
      </c>
      <c r="M247" s="35" t="s">
        <v>540</v>
      </c>
      <c r="N247" s="35" t="s">
        <v>539</v>
      </c>
    </row>
    <row r="248" spans="1:14" ht="27.65" customHeight="1" x14ac:dyDescent="0.35">
      <c r="A248" s="37" t="s">
        <v>42</v>
      </c>
      <c r="B248" s="37" t="s">
        <v>42</v>
      </c>
      <c r="C248" s="37" t="s">
        <v>538</v>
      </c>
      <c r="D248" s="35" t="s">
        <v>537</v>
      </c>
      <c r="E248" s="37" t="s">
        <v>463</v>
      </c>
      <c r="F248" s="37" t="s">
        <v>536</v>
      </c>
      <c r="G248" s="35" t="s">
        <v>389</v>
      </c>
      <c r="H248" s="35" t="s">
        <v>174</v>
      </c>
      <c r="I248" s="35" t="s">
        <v>535</v>
      </c>
      <c r="J248" s="35" t="s">
        <v>41</v>
      </c>
      <c r="K248" s="35" t="s">
        <v>40</v>
      </c>
      <c r="L248" s="35">
        <v>27</v>
      </c>
      <c r="M248" s="35" t="s">
        <v>534</v>
      </c>
      <c r="N248" s="35" t="s">
        <v>533</v>
      </c>
    </row>
    <row r="249" spans="1:14" ht="27.65" customHeight="1" x14ac:dyDescent="0.35">
      <c r="A249" s="37" t="s">
        <v>42</v>
      </c>
      <c r="B249" s="37" t="s">
        <v>42</v>
      </c>
      <c r="C249" s="37" t="s">
        <v>532</v>
      </c>
      <c r="D249" s="35" t="s">
        <v>531</v>
      </c>
      <c r="E249" s="37" t="s">
        <v>463</v>
      </c>
      <c r="F249" s="37" t="s">
        <v>530</v>
      </c>
      <c r="G249" s="35" t="s">
        <v>389</v>
      </c>
      <c r="H249" s="35" t="s">
        <v>148</v>
      </c>
      <c r="I249" s="35" t="s">
        <v>529</v>
      </c>
      <c r="J249" s="35" t="s">
        <v>41</v>
      </c>
      <c r="K249" s="35" t="s">
        <v>40</v>
      </c>
      <c r="L249" s="35">
        <v>28</v>
      </c>
      <c r="M249" s="35" t="s">
        <v>528</v>
      </c>
      <c r="N249" s="35" t="s">
        <v>527</v>
      </c>
    </row>
    <row r="250" spans="1:14" ht="27.65" customHeight="1" x14ac:dyDescent="0.35">
      <c r="A250" s="37" t="s">
        <v>42</v>
      </c>
      <c r="B250" s="37" t="s">
        <v>42</v>
      </c>
      <c r="C250" s="37" t="s">
        <v>526</v>
      </c>
      <c r="D250" s="35" t="s">
        <v>525</v>
      </c>
      <c r="E250" s="37" t="s">
        <v>463</v>
      </c>
      <c r="F250" s="37" t="s">
        <v>524</v>
      </c>
      <c r="G250" s="35" t="s">
        <v>389</v>
      </c>
      <c r="H250" s="35" t="s">
        <v>174</v>
      </c>
      <c r="I250" s="35" t="s">
        <v>523</v>
      </c>
      <c r="J250" s="35" t="s">
        <v>41</v>
      </c>
      <c r="K250" s="35" t="s">
        <v>40</v>
      </c>
      <c r="L250" s="35">
        <v>29</v>
      </c>
      <c r="M250" s="35" t="s">
        <v>522</v>
      </c>
      <c r="N250" s="35" t="s">
        <v>521</v>
      </c>
    </row>
    <row r="251" spans="1:14" ht="27.65" customHeight="1" x14ac:dyDescent="0.35">
      <c r="A251" s="37" t="s">
        <v>42</v>
      </c>
      <c r="B251" s="37" t="s">
        <v>42</v>
      </c>
      <c r="C251" s="37" t="s">
        <v>520</v>
      </c>
      <c r="D251" s="35" t="s">
        <v>519</v>
      </c>
      <c r="E251" s="37" t="s">
        <v>463</v>
      </c>
      <c r="F251" s="37" t="s">
        <v>518</v>
      </c>
      <c r="G251" s="35" t="s">
        <v>517</v>
      </c>
      <c r="H251" s="35" t="s">
        <v>174</v>
      </c>
      <c r="I251" s="35" t="s">
        <v>516</v>
      </c>
      <c r="J251" s="35" t="s">
        <v>41</v>
      </c>
      <c r="K251" s="35" t="s">
        <v>40</v>
      </c>
      <c r="L251" s="35">
        <v>30</v>
      </c>
      <c r="M251" s="35" t="s">
        <v>515</v>
      </c>
      <c r="N251" s="35" t="s">
        <v>514</v>
      </c>
    </row>
    <row r="252" spans="1:14" ht="55.4" customHeight="1" x14ac:dyDescent="0.35">
      <c r="A252" s="37" t="s">
        <v>42</v>
      </c>
      <c r="B252" s="37" t="s">
        <v>42</v>
      </c>
      <c r="C252" s="37" t="s">
        <v>508</v>
      </c>
      <c r="D252" s="35" t="s">
        <v>513</v>
      </c>
      <c r="E252" s="37" t="s">
        <v>384</v>
      </c>
      <c r="F252" s="37" t="s">
        <v>512</v>
      </c>
      <c r="G252" s="35" t="s">
        <v>337</v>
      </c>
      <c r="H252" s="35" t="s">
        <v>174</v>
      </c>
      <c r="I252" s="35" t="s">
        <v>511</v>
      </c>
      <c r="J252" s="35" t="s">
        <v>41</v>
      </c>
      <c r="K252" s="35" t="s">
        <v>40</v>
      </c>
      <c r="L252" s="35">
        <v>31</v>
      </c>
      <c r="M252" s="35" t="s">
        <v>510</v>
      </c>
      <c r="N252" s="35" t="s">
        <v>509</v>
      </c>
    </row>
    <row r="253" spans="1:14" ht="27.65" customHeight="1" x14ac:dyDescent="0.35">
      <c r="A253" s="37" t="s">
        <v>42</v>
      </c>
      <c r="B253" s="37" t="s">
        <v>42</v>
      </c>
      <c r="C253" s="37" t="s">
        <v>501</v>
      </c>
      <c r="D253" s="35" t="s">
        <v>507</v>
      </c>
      <c r="E253" s="37" t="s">
        <v>384</v>
      </c>
      <c r="F253" s="37" t="s">
        <v>506</v>
      </c>
      <c r="G253" s="35" t="s">
        <v>505</v>
      </c>
      <c r="H253" s="35" t="s">
        <v>148</v>
      </c>
      <c r="I253" s="35" t="s">
        <v>504</v>
      </c>
      <c r="J253" s="35" t="s">
        <v>41</v>
      </c>
      <c r="K253" s="35" t="s">
        <v>40</v>
      </c>
      <c r="L253" s="35">
        <v>32</v>
      </c>
      <c r="M253" s="35" t="s">
        <v>503</v>
      </c>
      <c r="N253" s="35" t="s">
        <v>502</v>
      </c>
    </row>
    <row r="254" spans="1:14" ht="55.4" customHeight="1" x14ac:dyDescent="0.35">
      <c r="A254" s="37" t="s">
        <v>42</v>
      </c>
      <c r="B254" s="37" t="s">
        <v>42</v>
      </c>
      <c r="C254" s="37" t="s">
        <v>495</v>
      </c>
      <c r="D254" s="35" t="s">
        <v>500</v>
      </c>
      <c r="E254" s="37" t="s">
        <v>384</v>
      </c>
      <c r="F254" s="37" t="s">
        <v>499</v>
      </c>
      <c r="G254" s="35" t="s">
        <v>337</v>
      </c>
      <c r="H254" s="35" t="s">
        <v>148</v>
      </c>
      <c r="I254" s="35" t="s">
        <v>498</v>
      </c>
      <c r="J254" s="35" t="s">
        <v>41</v>
      </c>
      <c r="K254" s="35" t="s">
        <v>40</v>
      </c>
      <c r="L254" s="35">
        <v>33</v>
      </c>
      <c r="M254" s="35" t="s">
        <v>497</v>
      </c>
      <c r="N254" s="35" t="s">
        <v>496</v>
      </c>
    </row>
    <row r="255" spans="1:14" ht="55.4" customHeight="1" x14ac:dyDescent="0.35">
      <c r="A255" s="37" t="s">
        <v>42</v>
      </c>
      <c r="B255" s="37" t="s">
        <v>42</v>
      </c>
      <c r="C255" s="37" t="s">
        <v>386</v>
      </c>
      <c r="D255" s="35" t="s">
        <v>494</v>
      </c>
      <c r="E255" s="37" t="s">
        <v>384</v>
      </c>
      <c r="F255" s="37" t="s">
        <v>383</v>
      </c>
      <c r="G255" s="35" t="s">
        <v>337</v>
      </c>
      <c r="H255" s="35" t="s">
        <v>148</v>
      </c>
      <c r="I255" s="35" t="s">
        <v>381</v>
      </c>
      <c r="J255" s="35" t="s">
        <v>41</v>
      </c>
      <c r="K255" s="35" t="s">
        <v>40</v>
      </c>
      <c r="L255" s="35">
        <v>34</v>
      </c>
      <c r="M255" s="35" t="s">
        <v>380</v>
      </c>
      <c r="N255" s="35" t="s">
        <v>493</v>
      </c>
    </row>
    <row r="256" spans="1:14" ht="69" customHeight="1" x14ac:dyDescent="0.35">
      <c r="A256" s="37" t="s">
        <v>42</v>
      </c>
      <c r="B256" s="37" t="s">
        <v>42</v>
      </c>
      <c r="C256" s="37" t="s">
        <v>486</v>
      </c>
      <c r="D256" s="35" t="s">
        <v>492</v>
      </c>
      <c r="E256" s="37" t="s">
        <v>384</v>
      </c>
      <c r="F256" s="37" t="s">
        <v>491</v>
      </c>
      <c r="G256" s="35" t="s">
        <v>490</v>
      </c>
      <c r="H256" s="35" t="s">
        <v>148</v>
      </c>
      <c r="I256" s="35" t="s">
        <v>489</v>
      </c>
      <c r="J256" s="35" t="s">
        <v>41</v>
      </c>
      <c r="K256" s="35" t="s">
        <v>40</v>
      </c>
      <c r="L256" s="35">
        <v>35</v>
      </c>
      <c r="M256" s="35" t="s">
        <v>488</v>
      </c>
      <c r="N256" s="35" t="s">
        <v>487</v>
      </c>
    </row>
    <row r="257" spans="1:14" ht="27.65" customHeight="1" x14ac:dyDescent="0.35">
      <c r="A257" s="37" t="s">
        <v>42</v>
      </c>
      <c r="B257" s="37" t="s">
        <v>42</v>
      </c>
      <c r="C257" s="37" t="s">
        <v>379</v>
      </c>
      <c r="D257" s="35" t="s">
        <v>483</v>
      </c>
      <c r="E257" s="37" t="s">
        <v>372</v>
      </c>
      <c r="F257" s="37" t="s">
        <v>378</v>
      </c>
      <c r="G257" s="35" t="s">
        <v>377</v>
      </c>
      <c r="H257" s="35" t="s">
        <v>148</v>
      </c>
      <c r="I257" s="35" t="s">
        <v>485</v>
      </c>
      <c r="J257" s="35" t="s">
        <v>41</v>
      </c>
      <c r="K257" s="35" t="s">
        <v>40</v>
      </c>
      <c r="L257" s="35">
        <v>36</v>
      </c>
      <c r="M257" s="35" t="s">
        <v>375</v>
      </c>
      <c r="N257" s="35" t="s">
        <v>484</v>
      </c>
    </row>
    <row r="258" spans="1:14" ht="27.65" customHeight="1" x14ac:dyDescent="0.35">
      <c r="A258" s="37" t="s">
        <v>42</v>
      </c>
      <c r="B258" s="37" t="s">
        <v>42</v>
      </c>
      <c r="C258" s="37" t="s">
        <v>476</v>
      </c>
      <c r="D258" s="35" t="s">
        <v>482</v>
      </c>
      <c r="E258" s="37" t="s">
        <v>372</v>
      </c>
      <c r="F258" s="37" t="s">
        <v>481</v>
      </c>
      <c r="G258" s="35" t="s">
        <v>480</v>
      </c>
      <c r="H258" s="35" t="s">
        <v>148</v>
      </c>
      <c r="I258" s="35" t="s">
        <v>479</v>
      </c>
      <c r="J258" s="35" t="s">
        <v>41</v>
      </c>
      <c r="K258" s="35" t="s">
        <v>40</v>
      </c>
      <c r="L258" s="35">
        <v>37</v>
      </c>
      <c r="M258" s="35" t="s">
        <v>478</v>
      </c>
      <c r="N258" s="35" t="s">
        <v>477</v>
      </c>
    </row>
    <row r="259" spans="1:14" ht="27.65" customHeight="1" x14ac:dyDescent="0.35">
      <c r="A259" s="37" t="s">
        <v>42</v>
      </c>
      <c r="B259" s="37" t="s">
        <v>42</v>
      </c>
      <c r="C259" s="37" t="s">
        <v>373</v>
      </c>
      <c r="D259" s="35" t="s">
        <v>474</v>
      </c>
      <c r="E259" s="37" t="s">
        <v>372</v>
      </c>
      <c r="F259" s="37" t="s">
        <v>371</v>
      </c>
      <c r="G259" s="35" t="s">
        <v>370</v>
      </c>
      <c r="H259" s="35" t="s">
        <v>148</v>
      </c>
      <c r="I259" s="35" t="s">
        <v>369</v>
      </c>
      <c r="J259" s="35" t="s">
        <v>41</v>
      </c>
      <c r="K259" s="35" t="s">
        <v>40</v>
      </c>
      <c r="L259" s="35">
        <v>38</v>
      </c>
      <c r="M259" s="35" t="s">
        <v>368</v>
      </c>
      <c r="N259" s="35" t="s">
        <v>475</v>
      </c>
    </row>
    <row r="260" spans="1:14" ht="27.65" customHeight="1" x14ac:dyDescent="0.35">
      <c r="A260" s="37" t="s">
        <v>42</v>
      </c>
      <c r="B260" s="37" t="s">
        <v>42</v>
      </c>
      <c r="C260" s="37" t="s">
        <v>473</v>
      </c>
      <c r="D260" s="35" t="s">
        <v>472</v>
      </c>
      <c r="E260" s="37" t="s">
        <v>364</v>
      </c>
      <c r="F260" s="37" t="s">
        <v>471</v>
      </c>
      <c r="G260" s="35" t="s">
        <v>162</v>
      </c>
      <c r="H260" s="35" t="s">
        <v>148</v>
      </c>
      <c r="I260" s="35" t="s">
        <v>470</v>
      </c>
      <c r="J260" s="35" t="s">
        <v>41</v>
      </c>
      <c r="K260" s="35" t="s">
        <v>40</v>
      </c>
      <c r="L260" s="35">
        <v>39</v>
      </c>
      <c r="M260" s="35" t="s">
        <v>469</v>
      </c>
      <c r="N260" s="35" t="s">
        <v>468</v>
      </c>
    </row>
    <row r="261" spans="1:14" ht="27.65" customHeight="1" x14ac:dyDescent="0.35">
      <c r="A261" s="37" t="s">
        <v>42</v>
      </c>
      <c r="B261" s="37" t="s">
        <v>42</v>
      </c>
      <c r="C261" s="37" t="s">
        <v>366</v>
      </c>
      <c r="D261" s="35" t="s">
        <v>467</v>
      </c>
      <c r="E261" s="37" t="s">
        <v>364</v>
      </c>
      <c r="F261" s="37" t="s">
        <v>363</v>
      </c>
      <c r="G261" s="35" t="s">
        <v>156</v>
      </c>
      <c r="H261" s="35" t="s">
        <v>148</v>
      </c>
      <c r="I261" s="35" t="s">
        <v>362</v>
      </c>
      <c r="J261" s="35" t="s">
        <v>41</v>
      </c>
      <c r="K261" s="35" t="s">
        <v>40</v>
      </c>
      <c r="L261" s="35">
        <v>40</v>
      </c>
      <c r="M261" s="35" t="s">
        <v>361</v>
      </c>
      <c r="N261" s="36" t="s">
        <v>466</v>
      </c>
    </row>
    <row r="262" spans="1:14" ht="27.65" customHeight="1" x14ac:dyDescent="0.35">
      <c r="A262" s="37" t="s">
        <v>39</v>
      </c>
      <c r="B262" s="37" t="s">
        <v>39</v>
      </c>
      <c r="C262" s="37" t="s">
        <v>465</v>
      </c>
      <c r="D262" s="35" t="s">
        <v>464</v>
      </c>
      <c r="E262" s="37" t="s">
        <v>463</v>
      </c>
      <c r="F262" s="37" t="s">
        <v>462</v>
      </c>
      <c r="G262" s="35" t="s">
        <v>156</v>
      </c>
      <c r="H262" s="35" t="s">
        <v>174</v>
      </c>
      <c r="I262" s="35" t="s">
        <v>461</v>
      </c>
      <c r="J262" s="35" t="s">
        <v>38</v>
      </c>
      <c r="K262" s="35" t="s">
        <v>37</v>
      </c>
      <c r="L262" s="35">
        <v>1</v>
      </c>
      <c r="M262" s="35" t="s">
        <v>460</v>
      </c>
      <c r="N262" s="35" t="s">
        <v>29</v>
      </c>
    </row>
    <row r="263" spans="1:14" ht="27.65" customHeight="1" x14ac:dyDescent="0.35">
      <c r="A263" s="37" t="s">
        <v>39</v>
      </c>
      <c r="B263" s="37" t="s">
        <v>39</v>
      </c>
      <c r="C263" s="37" t="s">
        <v>459</v>
      </c>
      <c r="D263" s="35" t="s">
        <v>458</v>
      </c>
      <c r="E263" s="37" t="s">
        <v>431</v>
      </c>
      <c r="F263" s="37" t="s">
        <v>457</v>
      </c>
      <c r="G263" s="35" t="s">
        <v>162</v>
      </c>
      <c r="H263" s="35" t="s">
        <v>174</v>
      </c>
      <c r="I263" s="35" t="s">
        <v>456</v>
      </c>
      <c r="J263" s="35" t="s">
        <v>38</v>
      </c>
      <c r="K263" s="35" t="s">
        <v>37</v>
      </c>
      <c r="L263" s="35">
        <v>2</v>
      </c>
      <c r="M263" s="35" t="s">
        <v>455</v>
      </c>
      <c r="N263" s="35" t="s">
        <v>29</v>
      </c>
    </row>
    <row r="264" spans="1:14" ht="92.5" customHeight="1" x14ac:dyDescent="0.35">
      <c r="A264" s="37" t="s">
        <v>39</v>
      </c>
      <c r="B264" s="37" t="s">
        <v>39</v>
      </c>
      <c r="C264" s="37" t="s">
        <v>454</v>
      </c>
      <c r="D264" s="35" t="s">
        <v>453</v>
      </c>
      <c r="E264" s="37" t="s">
        <v>431</v>
      </c>
      <c r="F264" s="37" t="s">
        <v>452</v>
      </c>
      <c r="G264" s="35" t="s">
        <v>197</v>
      </c>
      <c r="H264" s="35" t="s">
        <v>174</v>
      </c>
      <c r="I264" s="35" t="s">
        <v>451</v>
      </c>
      <c r="J264" s="35" t="s">
        <v>38</v>
      </c>
      <c r="K264" s="35" t="s">
        <v>37</v>
      </c>
      <c r="L264" s="35">
        <v>3</v>
      </c>
      <c r="M264" s="35" t="s">
        <v>450</v>
      </c>
      <c r="N264" s="35" t="s">
        <v>29</v>
      </c>
    </row>
    <row r="265" spans="1:14" ht="55.4" customHeight="1" x14ac:dyDescent="0.35">
      <c r="A265" s="37" t="s">
        <v>39</v>
      </c>
      <c r="B265" s="37" t="s">
        <v>39</v>
      </c>
      <c r="C265" s="37" t="s">
        <v>449</v>
      </c>
      <c r="D265" s="35" t="s">
        <v>448</v>
      </c>
      <c r="E265" s="37" t="s">
        <v>431</v>
      </c>
      <c r="F265" s="37" t="s">
        <v>447</v>
      </c>
      <c r="G265" s="35" t="s">
        <v>180</v>
      </c>
      <c r="H265" s="35" t="s">
        <v>174</v>
      </c>
      <c r="I265" s="35" t="s">
        <v>446</v>
      </c>
      <c r="J265" s="35" t="s">
        <v>38</v>
      </c>
      <c r="K265" s="35" t="s">
        <v>37</v>
      </c>
      <c r="L265" s="35">
        <v>4</v>
      </c>
      <c r="M265" s="35" t="s">
        <v>445</v>
      </c>
      <c r="N265" s="35" t="s">
        <v>29</v>
      </c>
    </row>
    <row r="266" spans="1:14" ht="26" x14ac:dyDescent="0.35">
      <c r="A266" s="37" t="s">
        <v>39</v>
      </c>
      <c r="B266" s="37" t="s">
        <v>39</v>
      </c>
      <c r="C266" s="37" t="s">
        <v>444</v>
      </c>
      <c r="D266" s="35" t="s">
        <v>443</v>
      </c>
      <c r="E266" s="37" t="s">
        <v>431</v>
      </c>
      <c r="F266" s="37" t="s">
        <v>442</v>
      </c>
      <c r="G266" s="35" t="s">
        <v>441</v>
      </c>
      <c r="H266" s="35" t="s">
        <v>174</v>
      </c>
      <c r="I266" s="35" t="s">
        <v>440</v>
      </c>
      <c r="J266" s="35" t="s">
        <v>38</v>
      </c>
      <c r="K266" s="35" t="s">
        <v>37</v>
      </c>
      <c r="L266" s="35">
        <v>5</v>
      </c>
      <c r="M266" s="35" t="s">
        <v>439</v>
      </c>
      <c r="N266" s="35" t="s">
        <v>29</v>
      </c>
    </row>
    <row r="267" spans="1:14" ht="27.65" customHeight="1" x14ac:dyDescent="0.35">
      <c r="A267" s="37" t="s">
        <v>39</v>
      </c>
      <c r="B267" s="37" t="s">
        <v>39</v>
      </c>
      <c r="C267" s="37" t="s">
        <v>438</v>
      </c>
      <c r="D267" s="35" t="s">
        <v>433</v>
      </c>
      <c r="E267" s="37" t="s">
        <v>431</v>
      </c>
      <c r="F267" s="37" t="s">
        <v>437</v>
      </c>
      <c r="G267" s="35" t="s">
        <v>436</v>
      </c>
      <c r="H267" s="35" t="s">
        <v>174</v>
      </c>
      <c r="I267" s="35" t="s">
        <v>435</v>
      </c>
      <c r="J267" s="35" t="s">
        <v>38</v>
      </c>
      <c r="K267" s="35" t="s">
        <v>37</v>
      </c>
      <c r="L267" s="35">
        <v>6</v>
      </c>
      <c r="M267" s="35" t="s">
        <v>434</v>
      </c>
      <c r="N267" s="35" t="s">
        <v>29</v>
      </c>
    </row>
    <row r="268" spans="1:14" ht="27.65" customHeight="1" x14ac:dyDescent="0.35">
      <c r="A268" s="37" t="s">
        <v>39</v>
      </c>
      <c r="B268" s="37" t="s">
        <v>39</v>
      </c>
      <c r="C268" s="37" t="s">
        <v>432</v>
      </c>
      <c r="D268" s="35" t="s">
        <v>426</v>
      </c>
      <c r="E268" s="37" t="s">
        <v>431</v>
      </c>
      <c r="F268" s="37" t="s">
        <v>430</v>
      </c>
      <c r="G268" s="35" t="s">
        <v>429</v>
      </c>
      <c r="H268" s="35" t="s">
        <v>174</v>
      </c>
      <c r="I268" s="35" t="s">
        <v>428</v>
      </c>
      <c r="J268" s="35" t="s">
        <v>38</v>
      </c>
      <c r="K268" s="35" t="s">
        <v>37</v>
      </c>
      <c r="L268" s="35">
        <v>7</v>
      </c>
      <c r="M268" s="35" t="s">
        <v>427</v>
      </c>
      <c r="N268" s="35" t="s">
        <v>29</v>
      </c>
    </row>
    <row r="269" spans="1:14" ht="39" x14ac:dyDescent="0.35">
      <c r="A269" s="37" t="s">
        <v>39</v>
      </c>
      <c r="B269" s="37" t="s">
        <v>39</v>
      </c>
      <c r="C269" s="37" t="s">
        <v>425</v>
      </c>
      <c r="D269" s="35" t="s">
        <v>424</v>
      </c>
      <c r="E269" s="37" t="s">
        <v>423</v>
      </c>
      <c r="F269" s="37" t="s">
        <v>422</v>
      </c>
      <c r="G269" s="35" t="s">
        <v>162</v>
      </c>
      <c r="H269" s="35" t="s">
        <v>148</v>
      </c>
      <c r="I269" s="35" t="s">
        <v>421</v>
      </c>
      <c r="J269" s="35" t="s">
        <v>38</v>
      </c>
      <c r="K269" s="35" t="s">
        <v>37</v>
      </c>
      <c r="L269" s="35">
        <v>8</v>
      </c>
      <c r="M269" s="35" t="s">
        <v>420</v>
      </c>
      <c r="N269" s="35" t="s">
        <v>29</v>
      </c>
    </row>
    <row r="270" spans="1:14" ht="41.5" customHeight="1" x14ac:dyDescent="0.35">
      <c r="A270" s="37" t="s">
        <v>39</v>
      </c>
      <c r="B270" s="37" t="s">
        <v>39</v>
      </c>
      <c r="C270" s="37" t="s">
        <v>419</v>
      </c>
      <c r="D270" s="35" t="s">
        <v>418</v>
      </c>
      <c r="E270" s="37" t="s">
        <v>417</v>
      </c>
      <c r="F270" s="37" t="s">
        <v>416</v>
      </c>
      <c r="G270" s="35" t="s">
        <v>162</v>
      </c>
      <c r="H270" s="35" t="s">
        <v>148</v>
      </c>
      <c r="I270" s="35" t="s">
        <v>415</v>
      </c>
      <c r="J270" s="35" t="s">
        <v>38</v>
      </c>
      <c r="K270" s="35" t="s">
        <v>37</v>
      </c>
      <c r="L270" s="35">
        <v>9</v>
      </c>
      <c r="M270" s="35" t="s">
        <v>414</v>
      </c>
      <c r="N270" s="35" t="s">
        <v>29</v>
      </c>
    </row>
    <row r="271" spans="1:14" ht="55.4" customHeight="1" x14ac:dyDescent="0.35">
      <c r="A271" s="37" t="s">
        <v>39</v>
      </c>
      <c r="B271" s="37" t="s">
        <v>39</v>
      </c>
      <c r="C271" s="37" t="s">
        <v>413</v>
      </c>
      <c r="D271" s="35" t="s">
        <v>412</v>
      </c>
      <c r="E271" s="37" t="s">
        <v>411</v>
      </c>
      <c r="F271" s="37" t="s">
        <v>410</v>
      </c>
      <c r="G271" s="35" t="s">
        <v>409</v>
      </c>
      <c r="H271" s="35" t="s">
        <v>174</v>
      </c>
      <c r="I271" s="35" t="s">
        <v>408</v>
      </c>
      <c r="J271" s="35" t="s">
        <v>38</v>
      </c>
      <c r="K271" s="35" t="s">
        <v>37</v>
      </c>
      <c r="L271" s="35">
        <v>10</v>
      </c>
      <c r="M271" s="35" t="s">
        <v>407</v>
      </c>
      <c r="N271" s="35" t="s">
        <v>29</v>
      </c>
    </row>
    <row r="272" spans="1:14" ht="26" x14ac:dyDescent="0.35">
      <c r="A272" s="37" t="s">
        <v>39</v>
      </c>
      <c r="B272" s="37" t="s">
        <v>39</v>
      </c>
      <c r="C272" s="37" t="s">
        <v>406</v>
      </c>
      <c r="D272" s="35" t="s">
        <v>405</v>
      </c>
      <c r="E272" s="37" t="s">
        <v>391</v>
      </c>
      <c r="F272" s="37" t="s">
        <v>404</v>
      </c>
      <c r="G272" s="35" t="s">
        <v>403</v>
      </c>
      <c r="H272" s="35" t="s">
        <v>174</v>
      </c>
      <c r="I272" s="35" t="s">
        <v>402</v>
      </c>
      <c r="J272" s="35" t="s">
        <v>38</v>
      </c>
      <c r="K272" s="35" t="s">
        <v>37</v>
      </c>
      <c r="L272" s="35">
        <v>11</v>
      </c>
      <c r="M272" s="35" t="s">
        <v>401</v>
      </c>
      <c r="N272" s="35" t="s">
        <v>29</v>
      </c>
    </row>
    <row r="273" spans="1:14" ht="27.65" customHeight="1" x14ac:dyDescent="0.35">
      <c r="A273" s="37" t="s">
        <v>39</v>
      </c>
      <c r="B273" s="37" t="s">
        <v>39</v>
      </c>
      <c r="C273" s="37" t="s">
        <v>212</v>
      </c>
      <c r="D273" s="35" t="s">
        <v>400</v>
      </c>
      <c r="E273" s="37" t="s">
        <v>391</v>
      </c>
      <c r="F273" s="37" t="s">
        <v>210</v>
      </c>
      <c r="G273" s="35" t="s">
        <v>149</v>
      </c>
      <c r="H273" s="35" t="s">
        <v>148</v>
      </c>
      <c r="I273" s="35" t="s">
        <v>209</v>
      </c>
      <c r="J273" s="35" t="s">
        <v>38</v>
      </c>
      <c r="K273" s="35" t="s">
        <v>37</v>
      </c>
      <c r="L273" s="35">
        <v>12</v>
      </c>
      <c r="M273" s="35" t="s">
        <v>208</v>
      </c>
      <c r="N273" s="35" t="s">
        <v>29</v>
      </c>
    </row>
    <row r="274" spans="1:14" ht="124.4" customHeight="1" x14ac:dyDescent="0.35">
      <c r="A274" s="37" t="s">
        <v>39</v>
      </c>
      <c r="B274" s="37" t="s">
        <v>39</v>
      </c>
      <c r="C274" s="37" t="s">
        <v>399</v>
      </c>
      <c r="D274" s="35" t="s">
        <v>398</v>
      </c>
      <c r="E274" s="37" t="s">
        <v>391</v>
      </c>
      <c r="F274" s="37" t="s">
        <v>397</v>
      </c>
      <c r="G274" s="35" t="s">
        <v>396</v>
      </c>
      <c r="H274" s="35" t="s">
        <v>174</v>
      </c>
      <c r="I274" s="35" t="s">
        <v>395</v>
      </c>
      <c r="J274" s="35" t="s">
        <v>38</v>
      </c>
      <c r="K274" s="35" t="s">
        <v>37</v>
      </c>
      <c r="L274" s="35">
        <v>13</v>
      </c>
      <c r="M274" s="35" t="s">
        <v>394</v>
      </c>
      <c r="N274" s="35" t="s">
        <v>29</v>
      </c>
    </row>
    <row r="275" spans="1:14" ht="27.65" customHeight="1" x14ac:dyDescent="0.35">
      <c r="A275" s="37" t="s">
        <v>39</v>
      </c>
      <c r="B275" s="37" t="s">
        <v>39</v>
      </c>
      <c r="C275" s="37" t="s">
        <v>393</v>
      </c>
      <c r="D275" s="35" t="s">
        <v>392</v>
      </c>
      <c r="E275" s="37" t="s">
        <v>391</v>
      </c>
      <c r="F275" s="37" t="s">
        <v>390</v>
      </c>
      <c r="G275" s="35" t="s">
        <v>389</v>
      </c>
      <c r="H275" s="35" t="s">
        <v>148</v>
      </c>
      <c r="I275" s="35" t="s">
        <v>388</v>
      </c>
      <c r="J275" s="35" t="s">
        <v>38</v>
      </c>
      <c r="K275" s="35" t="s">
        <v>37</v>
      </c>
      <c r="L275" s="35">
        <v>14</v>
      </c>
      <c r="M275" s="35" t="s">
        <v>387</v>
      </c>
      <c r="N275" s="35" t="s">
        <v>29</v>
      </c>
    </row>
    <row r="276" spans="1:14" ht="55.4" customHeight="1" x14ac:dyDescent="0.35">
      <c r="A276" s="37" t="s">
        <v>39</v>
      </c>
      <c r="B276" s="37" t="s">
        <v>39</v>
      </c>
      <c r="C276" s="37" t="s">
        <v>386</v>
      </c>
      <c r="D276" s="35" t="s">
        <v>385</v>
      </c>
      <c r="E276" s="37" t="s">
        <v>384</v>
      </c>
      <c r="F276" s="37" t="s">
        <v>383</v>
      </c>
      <c r="G276" s="35" t="s">
        <v>382</v>
      </c>
      <c r="H276" s="35" t="s">
        <v>148</v>
      </c>
      <c r="I276" s="35" t="s">
        <v>381</v>
      </c>
      <c r="J276" s="35" t="s">
        <v>38</v>
      </c>
      <c r="K276" s="35" t="s">
        <v>37</v>
      </c>
      <c r="L276" s="35">
        <v>15</v>
      </c>
      <c r="M276" s="35" t="s">
        <v>380</v>
      </c>
      <c r="N276" s="35" t="s">
        <v>29</v>
      </c>
    </row>
    <row r="277" spans="1:14" ht="27.65" customHeight="1" x14ac:dyDescent="0.35">
      <c r="A277" s="37" t="s">
        <v>39</v>
      </c>
      <c r="B277" s="37" t="s">
        <v>39</v>
      </c>
      <c r="C277" s="37" t="s">
        <v>379</v>
      </c>
      <c r="D277" s="35" t="s">
        <v>374</v>
      </c>
      <c r="E277" s="37" t="s">
        <v>372</v>
      </c>
      <c r="F277" s="37" t="s">
        <v>378</v>
      </c>
      <c r="G277" s="35" t="s">
        <v>377</v>
      </c>
      <c r="H277" s="35" t="s">
        <v>148</v>
      </c>
      <c r="I277" s="35" t="s">
        <v>376</v>
      </c>
      <c r="J277" s="35" t="s">
        <v>38</v>
      </c>
      <c r="K277" s="35" t="s">
        <v>37</v>
      </c>
      <c r="L277" s="35">
        <v>16</v>
      </c>
      <c r="M277" s="35" t="s">
        <v>375</v>
      </c>
      <c r="N277" s="35" t="s">
        <v>29</v>
      </c>
    </row>
    <row r="278" spans="1:14" ht="27.65" customHeight="1" x14ac:dyDescent="0.35">
      <c r="A278" s="37" t="s">
        <v>39</v>
      </c>
      <c r="B278" s="37" t="s">
        <v>39</v>
      </c>
      <c r="C278" s="37" t="s">
        <v>373</v>
      </c>
      <c r="D278" s="35" t="s">
        <v>367</v>
      </c>
      <c r="E278" s="37" t="s">
        <v>372</v>
      </c>
      <c r="F278" s="37" t="s">
        <v>371</v>
      </c>
      <c r="G278" s="35" t="s">
        <v>370</v>
      </c>
      <c r="H278" s="35" t="s">
        <v>148</v>
      </c>
      <c r="I278" s="35" t="s">
        <v>369</v>
      </c>
      <c r="J278" s="35" t="s">
        <v>38</v>
      </c>
      <c r="K278" s="35" t="s">
        <v>37</v>
      </c>
      <c r="L278" s="35">
        <v>17</v>
      </c>
      <c r="M278" s="35" t="s">
        <v>368</v>
      </c>
      <c r="N278" s="35" t="s">
        <v>29</v>
      </c>
    </row>
    <row r="279" spans="1:14" ht="55.4" customHeight="1" x14ac:dyDescent="0.35">
      <c r="A279" s="37" t="s">
        <v>39</v>
      </c>
      <c r="B279" s="37" t="s">
        <v>39</v>
      </c>
      <c r="C279" s="37" t="s">
        <v>366</v>
      </c>
      <c r="D279" s="35" t="s">
        <v>365</v>
      </c>
      <c r="E279" s="37" t="s">
        <v>364</v>
      </c>
      <c r="F279" s="37" t="s">
        <v>363</v>
      </c>
      <c r="G279" s="35" t="s">
        <v>156</v>
      </c>
      <c r="H279" s="35" t="s">
        <v>148</v>
      </c>
      <c r="I279" s="35" t="s">
        <v>362</v>
      </c>
      <c r="J279" s="35" t="s">
        <v>38</v>
      </c>
      <c r="K279" s="35" t="s">
        <v>37</v>
      </c>
      <c r="L279" s="35">
        <v>18</v>
      </c>
      <c r="M279" s="35" t="s">
        <v>361</v>
      </c>
      <c r="N279" s="35" t="s">
        <v>29</v>
      </c>
    </row>
    <row r="280" spans="1:14" ht="27.65" customHeight="1" x14ac:dyDescent="0.35">
      <c r="A280" s="37" t="s">
        <v>276</v>
      </c>
      <c r="B280" s="37" t="s">
        <v>276</v>
      </c>
      <c r="C280" s="37" t="s">
        <v>360</v>
      </c>
      <c r="D280" s="35" t="s">
        <v>359</v>
      </c>
      <c r="E280" s="37" t="s">
        <v>338</v>
      </c>
      <c r="F280" s="37" t="s">
        <v>356</v>
      </c>
      <c r="G280" s="35" t="s">
        <v>162</v>
      </c>
      <c r="H280" s="35" t="s">
        <v>174</v>
      </c>
      <c r="I280" s="35" t="s">
        <v>358</v>
      </c>
      <c r="J280" s="35" t="s">
        <v>35</v>
      </c>
      <c r="K280" s="35" t="s">
        <v>34</v>
      </c>
      <c r="L280" s="35">
        <v>1</v>
      </c>
      <c r="M280" s="35" t="s">
        <v>357</v>
      </c>
      <c r="N280" s="35" t="s">
        <v>29</v>
      </c>
    </row>
    <row r="281" spans="1:14" ht="27.65" customHeight="1" x14ac:dyDescent="0.35">
      <c r="A281" s="37" t="s">
        <v>276</v>
      </c>
      <c r="B281" s="37" t="s">
        <v>276</v>
      </c>
      <c r="C281" s="37" t="s">
        <v>355</v>
      </c>
      <c r="D281" s="35" t="s">
        <v>354</v>
      </c>
      <c r="E281" s="37" t="s">
        <v>338</v>
      </c>
      <c r="F281" s="37" t="s">
        <v>351</v>
      </c>
      <c r="G281" s="35" t="s">
        <v>162</v>
      </c>
      <c r="H281" s="35" t="s">
        <v>174</v>
      </c>
      <c r="I281" s="35" t="s">
        <v>353</v>
      </c>
      <c r="J281" s="35" t="s">
        <v>35</v>
      </c>
      <c r="K281" s="35" t="s">
        <v>34</v>
      </c>
      <c r="L281" s="35">
        <v>2</v>
      </c>
      <c r="M281" s="35" t="s">
        <v>352</v>
      </c>
      <c r="N281" s="35" t="s">
        <v>29</v>
      </c>
    </row>
    <row r="282" spans="1:14" ht="27.65" customHeight="1" x14ac:dyDescent="0.35">
      <c r="A282" s="37" t="s">
        <v>276</v>
      </c>
      <c r="B282" s="37" t="s">
        <v>276</v>
      </c>
      <c r="C282" s="37" t="s">
        <v>350</v>
      </c>
      <c r="D282" s="35" t="s">
        <v>349</v>
      </c>
      <c r="E282" s="37" t="s">
        <v>338</v>
      </c>
      <c r="F282" s="37" t="s">
        <v>346</v>
      </c>
      <c r="G282" s="35" t="s">
        <v>156</v>
      </c>
      <c r="H282" s="35" t="s">
        <v>174</v>
      </c>
      <c r="I282" s="35" t="s">
        <v>348</v>
      </c>
      <c r="J282" s="35" t="s">
        <v>35</v>
      </c>
      <c r="K282" s="35" t="s">
        <v>34</v>
      </c>
      <c r="L282" s="35">
        <v>3</v>
      </c>
      <c r="M282" s="35" t="s">
        <v>347</v>
      </c>
      <c r="N282" s="35" t="s">
        <v>29</v>
      </c>
    </row>
    <row r="283" spans="1:14" ht="27.65" customHeight="1" x14ac:dyDescent="0.35">
      <c r="A283" s="37" t="s">
        <v>276</v>
      </c>
      <c r="B283" s="37" t="s">
        <v>276</v>
      </c>
      <c r="C283" s="37" t="s">
        <v>345</v>
      </c>
      <c r="D283" s="35" t="s">
        <v>344</v>
      </c>
      <c r="E283" s="37" t="s">
        <v>338</v>
      </c>
      <c r="F283" s="37" t="s">
        <v>341</v>
      </c>
      <c r="G283" s="35" t="s">
        <v>156</v>
      </c>
      <c r="H283" s="35" t="s">
        <v>148</v>
      </c>
      <c r="I283" s="35" t="s">
        <v>343</v>
      </c>
      <c r="J283" s="35" t="s">
        <v>35</v>
      </c>
      <c r="K283" s="35" t="s">
        <v>34</v>
      </c>
      <c r="L283" s="35">
        <v>4</v>
      </c>
      <c r="M283" s="35" t="s">
        <v>342</v>
      </c>
      <c r="N283" s="35" t="s">
        <v>29</v>
      </c>
    </row>
    <row r="284" spans="1:14" ht="55.4" customHeight="1" x14ac:dyDescent="0.35">
      <c r="A284" s="37" t="s">
        <v>276</v>
      </c>
      <c r="B284" s="37" t="s">
        <v>276</v>
      </c>
      <c r="C284" s="37" t="s">
        <v>340</v>
      </c>
      <c r="D284" s="35" t="s">
        <v>339</v>
      </c>
      <c r="E284" s="37" t="s">
        <v>338</v>
      </c>
      <c r="F284" s="37" t="s">
        <v>334</v>
      </c>
      <c r="G284" s="35" t="s">
        <v>337</v>
      </c>
      <c r="H284" s="35" t="s">
        <v>174</v>
      </c>
      <c r="I284" s="35" t="s">
        <v>336</v>
      </c>
      <c r="J284" s="35" t="s">
        <v>35</v>
      </c>
      <c r="K284" s="35" t="s">
        <v>34</v>
      </c>
      <c r="L284" s="35">
        <v>5</v>
      </c>
      <c r="M284" s="35" t="s">
        <v>335</v>
      </c>
      <c r="N284" s="35" t="s">
        <v>29</v>
      </c>
    </row>
    <row r="285" spans="1:14" ht="27.65" customHeight="1" x14ac:dyDescent="0.35">
      <c r="A285" s="37" t="s">
        <v>276</v>
      </c>
      <c r="B285" s="37" t="s">
        <v>276</v>
      </c>
      <c r="C285" s="37" t="s">
        <v>333</v>
      </c>
      <c r="D285" s="35" t="s">
        <v>332</v>
      </c>
      <c r="E285" s="37" t="s">
        <v>326</v>
      </c>
      <c r="F285" s="37" t="s">
        <v>329</v>
      </c>
      <c r="G285" s="35" t="s">
        <v>156</v>
      </c>
      <c r="H285" s="35" t="s">
        <v>148</v>
      </c>
      <c r="I285" s="35" t="s">
        <v>331</v>
      </c>
      <c r="J285" s="35" t="s">
        <v>35</v>
      </c>
      <c r="K285" s="35" t="s">
        <v>34</v>
      </c>
      <c r="L285" s="35">
        <v>6</v>
      </c>
      <c r="M285" s="35" t="s">
        <v>330</v>
      </c>
      <c r="N285" s="35" t="s">
        <v>29</v>
      </c>
    </row>
    <row r="286" spans="1:14" ht="27.65" customHeight="1" x14ac:dyDescent="0.35">
      <c r="A286" s="37" t="s">
        <v>276</v>
      </c>
      <c r="B286" s="37" t="s">
        <v>276</v>
      </c>
      <c r="C286" s="37" t="s">
        <v>328</v>
      </c>
      <c r="D286" s="35" t="s">
        <v>327</v>
      </c>
      <c r="E286" s="37" t="s">
        <v>326</v>
      </c>
      <c r="F286" s="37" t="s">
        <v>323</v>
      </c>
      <c r="G286" s="35" t="s">
        <v>156</v>
      </c>
      <c r="H286" s="35" t="s">
        <v>148</v>
      </c>
      <c r="I286" s="35" t="s">
        <v>325</v>
      </c>
      <c r="J286" s="35" t="s">
        <v>35</v>
      </c>
      <c r="K286" s="35" t="s">
        <v>34</v>
      </c>
      <c r="L286" s="35">
        <v>7</v>
      </c>
      <c r="M286" s="35" t="s">
        <v>324</v>
      </c>
      <c r="N286" s="35" t="s">
        <v>29</v>
      </c>
    </row>
    <row r="287" spans="1:14" ht="27.65" customHeight="1" x14ac:dyDescent="0.35">
      <c r="A287" s="37" t="s">
        <v>276</v>
      </c>
      <c r="B287" s="37" t="s">
        <v>276</v>
      </c>
      <c r="C287" s="37" t="s">
        <v>322</v>
      </c>
      <c r="D287" s="35" t="s">
        <v>321</v>
      </c>
      <c r="E287" s="37" t="s">
        <v>310</v>
      </c>
      <c r="F287" s="37" t="s">
        <v>318</v>
      </c>
      <c r="G287" s="35" t="s">
        <v>156</v>
      </c>
      <c r="H287" s="35" t="s">
        <v>148</v>
      </c>
      <c r="I287" s="35" t="s">
        <v>320</v>
      </c>
      <c r="J287" s="35" t="s">
        <v>35</v>
      </c>
      <c r="K287" s="35" t="s">
        <v>34</v>
      </c>
      <c r="L287" s="35">
        <v>8</v>
      </c>
      <c r="M287" s="35" t="s">
        <v>319</v>
      </c>
      <c r="N287" s="35" t="s">
        <v>29</v>
      </c>
    </row>
    <row r="288" spans="1:14" ht="27.65" customHeight="1" x14ac:dyDescent="0.35">
      <c r="A288" s="37" t="s">
        <v>276</v>
      </c>
      <c r="B288" s="37" t="s">
        <v>276</v>
      </c>
      <c r="C288" s="37" t="s">
        <v>317</v>
      </c>
      <c r="D288" s="35" t="s">
        <v>316</v>
      </c>
      <c r="E288" s="37" t="s">
        <v>310</v>
      </c>
      <c r="F288" s="37" t="s">
        <v>313</v>
      </c>
      <c r="G288" s="35" t="s">
        <v>156</v>
      </c>
      <c r="H288" s="35" t="s">
        <v>148</v>
      </c>
      <c r="I288" s="35" t="s">
        <v>315</v>
      </c>
      <c r="J288" s="35" t="s">
        <v>35</v>
      </c>
      <c r="K288" s="35" t="s">
        <v>34</v>
      </c>
      <c r="L288" s="35">
        <v>9</v>
      </c>
      <c r="M288" s="35" t="s">
        <v>314</v>
      </c>
      <c r="N288" s="35" t="s">
        <v>29</v>
      </c>
    </row>
    <row r="289" spans="1:14" ht="27.65" customHeight="1" x14ac:dyDescent="0.35">
      <c r="A289" s="37" t="s">
        <v>276</v>
      </c>
      <c r="B289" s="37" t="s">
        <v>276</v>
      </c>
      <c r="C289" s="37" t="s">
        <v>312</v>
      </c>
      <c r="D289" s="35" t="s">
        <v>311</v>
      </c>
      <c r="E289" s="37" t="s">
        <v>310</v>
      </c>
      <c r="F289" s="37" t="s">
        <v>307</v>
      </c>
      <c r="G289" s="35" t="s">
        <v>156</v>
      </c>
      <c r="H289" s="35" t="s">
        <v>148</v>
      </c>
      <c r="I289" s="35" t="s">
        <v>309</v>
      </c>
      <c r="J289" s="35" t="s">
        <v>35</v>
      </c>
      <c r="K289" s="35" t="s">
        <v>34</v>
      </c>
      <c r="L289" s="35">
        <v>10</v>
      </c>
      <c r="M289" s="35" t="s">
        <v>308</v>
      </c>
      <c r="N289" s="35" t="s">
        <v>29</v>
      </c>
    </row>
    <row r="290" spans="1:14" ht="27.65" customHeight="1" x14ac:dyDescent="0.35">
      <c r="A290" s="37" t="s">
        <v>276</v>
      </c>
      <c r="B290" s="37" t="s">
        <v>276</v>
      </c>
      <c r="C290" s="37" t="s">
        <v>306</v>
      </c>
      <c r="D290" s="35" t="s">
        <v>305</v>
      </c>
      <c r="E290" s="37" t="s">
        <v>273</v>
      </c>
      <c r="F290" s="37" t="s">
        <v>302</v>
      </c>
      <c r="G290" s="35" t="s">
        <v>156</v>
      </c>
      <c r="H290" s="35" t="s">
        <v>148</v>
      </c>
      <c r="I290" s="35" t="s">
        <v>304</v>
      </c>
      <c r="J290" s="35" t="s">
        <v>35</v>
      </c>
      <c r="K290" s="35" t="s">
        <v>34</v>
      </c>
      <c r="L290" s="35">
        <v>11</v>
      </c>
      <c r="M290" s="35" t="s">
        <v>303</v>
      </c>
      <c r="N290" s="35" t="s">
        <v>29</v>
      </c>
    </row>
    <row r="291" spans="1:14" ht="27.65" customHeight="1" x14ac:dyDescent="0.35">
      <c r="A291" s="37" t="s">
        <v>276</v>
      </c>
      <c r="B291" s="37" t="s">
        <v>276</v>
      </c>
      <c r="C291" s="37" t="s">
        <v>301</v>
      </c>
      <c r="D291" s="35" t="s">
        <v>300</v>
      </c>
      <c r="E291" s="37" t="s">
        <v>273</v>
      </c>
      <c r="F291" s="37" t="s">
        <v>297</v>
      </c>
      <c r="G291" s="35" t="s">
        <v>156</v>
      </c>
      <c r="H291" s="35" t="s">
        <v>148</v>
      </c>
      <c r="I291" s="35" t="s">
        <v>299</v>
      </c>
      <c r="J291" s="35" t="s">
        <v>35</v>
      </c>
      <c r="K291" s="35" t="s">
        <v>34</v>
      </c>
      <c r="L291" s="35">
        <v>12</v>
      </c>
      <c r="M291" s="35" t="s">
        <v>298</v>
      </c>
      <c r="N291" s="35" t="s">
        <v>29</v>
      </c>
    </row>
    <row r="292" spans="1:14" ht="27.65" customHeight="1" x14ac:dyDescent="0.35">
      <c r="A292" s="37" t="s">
        <v>276</v>
      </c>
      <c r="B292" s="37" t="s">
        <v>276</v>
      </c>
      <c r="C292" s="37" t="s">
        <v>296</v>
      </c>
      <c r="D292" s="35" t="s">
        <v>295</v>
      </c>
      <c r="E292" s="37" t="s">
        <v>273</v>
      </c>
      <c r="F292" s="37" t="s">
        <v>292</v>
      </c>
      <c r="G292" s="35" t="s">
        <v>156</v>
      </c>
      <c r="H292" s="35" t="s">
        <v>148</v>
      </c>
      <c r="I292" s="35" t="s">
        <v>294</v>
      </c>
      <c r="J292" s="35" t="s">
        <v>35</v>
      </c>
      <c r="K292" s="35" t="s">
        <v>34</v>
      </c>
      <c r="L292" s="35">
        <v>13</v>
      </c>
      <c r="M292" s="35" t="s">
        <v>293</v>
      </c>
      <c r="N292" s="35" t="s">
        <v>29</v>
      </c>
    </row>
    <row r="293" spans="1:14" ht="27.65" customHeight="1" x14ac:dyDescent="0.35">
      <c r="A293" s="37" t="s">
        <v>276</v>
      </c>
      <c r="B293" s="37" t="s">
        <v>276</v>
      </c>
      <c r="C293" s="37" t="s">
        <v>291</v>
      </c>
      <c r="D293" s="35" t="s">
        <v>290</v>
      </c>
      <c r="E293" s="37" t="s">
        <v>273</v>
      </c>
      <c r="F293" s="37" t="s">
        <v>287</v>
      </c>
      <c r="G293" s="35" t="s">
        <v>156</v>
      </c>
      <c r="H293" s="35" t="s">
        <v>148</v>
      </c>
      <c r="I293" s="35" t="s">
        <v>289</v>
      </c>
      <c r="J293" s="35" t="s">
        <v>35</v>
      </c>
      <c r="K293" s="35" t="s">
        <v>34</v>
      </c>
      <c r="L293" s="35">
        <v>14</v>
      </c>
      <c r="M293" s="35" t="s">
        <v>288</v>
      </c>
      <c r="N293" s="35" t="s">
        <v>29</v>
      </c>
    </row>
    <row r="294" spans="1:14" ht="27.65" customHeight="1" x14ac:dyDescent="0.35">
      <c r="A294" s="37" t="s">
        <v>276</v>
      </c>
      <c r="B294" s="37" t="s">
        <v>276</v>
      </c>
      <c r="C294" s="37" t="s">
        <v>286</v>
      </c>
      <c r="D294" s="35" t="s">
        <v>285</v>
      </c>
      <c r="E294" s="37" t="s">
        <v>273</v>
      </c>
      <c r="F294" s="37" t="s">
        <v>282</v>
      </c>
      <c r="G294" s="35" t="s">
        <v>156</v>
      </c>
      <c r="H294" s="35" t="s">
        <v>148</v>
      </c>
      <c r="I294" s="35" t="s">
        <v>284</v>
      </c>
      <c r="J294" s="35" t="s">
        <v>35</v>
      </c>
      <c r="K294" s="35" t="s">
        <v>34</v>
      </c>
      <c r="L294" s="35">
        <v>15</v>
      </c>
      <c r="M294" s="35" t="s">
        <v>283</v>
      </c>
      <c r="N294" s="35" t="s">
        <v>29</v>
      </c>
    </row>
    <row r="295" spans="1:14" ht="27.65" customHeight="1" x14ac:dyDescent="0.35">
      <c r="A295" s="37" t="s">
        <v>276</v>
      </c>
      <c r="B295" s="37" t="s">
        <v>276</v>
      </c>
      <c r="C295" s="37" t="s">
        <v>281</v>
      </c>
      <c r="D295" s="35" t="s">
        <v>280</v>
      </c>
      <c r="E295" s="37" t="s">
        <v>273</v>
      </c>
      <c r="F295" s="37" t="s">
        <v>277</v>
      </c>
      <c r="G295" s="35" t="s">
        <v>156</v>
      </c>
      <c r="H295" s="35" t="s">
        <v>148</v>
      </c>
      <c r="I295" s="35" t="s">
        <v>279</v>
      </c>
      <c r="J295" s="35" t="s">
        <v>35</v>
      </c>
      <c r="K295" s="35" t="s">
        <v>34</v>
      </c>
      <c r="L295" s="35">
        <v>16</v>
      </c>
      <c r="M295" s="35" t="s">
        <v>278</v>
      </c>
      <c r="N295" s="35" t="s">
        <v>29</v>
      </c>
    </row>
    <row r="296" spans="1:14" ht="27.65" customHeight="1" x14ac:dyDescent="0.35">
      <c r="A296" s="37" t="s">
        <v>276</v>
      </c>
      <c r="B296" s="37" t="s">
        <v>276</v>
      </c>
      <c r="C296" s="37" t="s">
        <v>275</v>
      </c>
      <c r="D296" s="35" t="s">
        <v>274</v>
      </c>
      <c r="E296" s="37" t="s">
        <v>273</v>
      </c>
      <c r="F296" s="37" t="s">
        <v>270</v>
      </c>
      <c r="G296" s="35" t="s">
        <v>156</v>
      </c>
      <c r="H296" s="35" t="s">
        <v>148</v>
      </c>
      <c r="I296" s="35" t="s">
        <v>272</v>
      </c>
      <c r="J296" s="35" t="s">
        <v>35</v>
      </c>
      <c r="K296" s="35" t="s">
        <v>34</v>
      </c>
      <c r="L296" s="35">
        <v>17</v>
      </c>
      <c r="M296" s="35" t="s">
        <v>271</v>
      </c>
      <c r="N296" s="35" t="s">
        <v>29</v>
      </c>
    </row>
    <row r="297" spans="1:14" ht="26" x14ac:dyDescent="0.35">
      <c r="A297" s="37" t="s">
        <v>33</v>
      </c>
      <c r="B297" s="37" t="s">
        <v>33</v>
      </c>
      <c r="C297" s="37" t="s">
        <v>269</v>
      </c>
      <c r="D297" s="35" t="s">
        <v>268</v>
      </c>
      <c r="E297" s="37" t="s">
        <v>267</v>
      </c>
      <c r="F297" s="37" t="s">
        <v>266</v>
      </c>
      <c r="G297" s="35" t="s">
        <v>156</v>
      </c>
      <c r="H297" s="35" t="s">
        <v>174</v>
      </c>
      <c r="I297" s="35" t="s">
        <v>265</v>
      </c>
      <c r="J297" s="35" t="s">
        <v>32</v>
      </c>
      <c r="K297" s="35" t="s">
        <v>31</v>
      </c>
      <c r="L297" s="35">
        <v>1</v>
      </c>
      <c r="M297" s="35" t="s">
        <v>195</v>
      </c>
      <c r="N297" s="35" t="s">
        <v>29</v>
      </c>
    </row>
    <row r="298" spans="1:14" ht="207" customHeight="1" x14ac:dyDescent="0.35">
      <c r="A298" s="37" t="s">
        <v>33</v>
      </c>
      <c r="B298" s="37" t="s">
        <v>33</v>
      </c>
      <c r="C298" s="37" t="s">
        <v>264</v>
      </c>
      <c r="D298" s="35" t="s">
        <v>263</v>
      </c>
      <c r="E298" s="37" t="s">
        <v>217</v>
      </c>
      <c r="F298" s="37" t="s">
        <v>262</v>
      </c>
      <c r="G298" s="35" t="s">
        <v>261</v>
      </c>
      <c r="H298" s="35" t="s">
        <v>174</v>
      </c>
      <c r="I298" s="35"/>
      <c r="J298" s="35" t="s">
        <v>32</v>
      </c>
      <c r="K298" s="35" t="s">
        <v>31</v>
      </c>
      <c r="L298" s="35">
        <v>2</v>
      </c>
      <c r="M298" s="35" t="s">
        <v>260</v>
      </c>
      <c r="N298" s="35" t="s">
        <v>29</v>
      </c>
    </row>
    <row r="299" spans="1:14" ht="27.65" customHeight="1" x14ac:dyDescent="0.35">
      <c r="A299" s="37" t="s">
        <v>33</v>
      </c>
      <c r="B299" s="37" t="s">
        <v>33</v>
      </c>
      <c r="C299" s="37" t="s">
        <v>259</v>
      </c>
      <c r="D299" s="35" t="s">
        <v>258</v>
      </c>
      <c r="E299" s="37" t="s">
        <v>217</v>
      </c>
      <c r="F299" s="37" t="s">
        <v>257</v>
      </c>
      <c r="G299" s="35" t="s">
        <v>149</v>
      </c>
      <c r="H299" s="35" t="s">
        <v>148</v>
      </c>
      <c r="I299" s="35" t="s">
        <v>256</v>
      </c>
      <c r="J299" s="35" t="s">
        <v>32</v>
      </c>
      <c r="K299" s="35" t="s">
        <v>31</v>
      </c>
      <c r="L299" s="35">
        <v>3</v>
      </c>
      <c r="M299" s="35" t="s">
        <v>255</v>
      </c>
      <c r="N299" s="35" t="s">
        <v>29</v>
      </c>
    </row>
    <row r="300" spans="1:14" ht="27.65" customHeight="1" x14ac:dyDescent="0.35">
      <c r="A300" s="37" t="s">
        <v>33</v>
      </c>
      <c r="B300" s="37" t="s">
        <v>33</v>
      </c>
      <c r="C300" s="37" t="s">
        <v>254</v>
      </c>
      <c r="D300" s="35" t="s">
        <v>253</v>
      </c>
      <c r="E300" s="37" t="s">
        <v>217</v>
      </c>
      <c r="F300" s="37" t="s">
        <v>252</v>
      </c>
      <c r="G300" s="35" t="s">
        <v>156</v>
      </c>
      <c r="H300" s="35" t="s">
        <v>174</v>
      </c>
      <c r="I300" s="35" t="s">
        <v>251</v>
      </c>
      <c r="J300" s="35" t="s">
        <v>32</v>
      </c>
      <c r="K300" s="35" t="s">
        <v>31</v>
      </c>
      <c r="L300" s="35">
        <v>4</v>
      </c>
      <c r="M300" s="35" t="s">
        <v>250</v>
      </c>
      <c r="N300" s="35" t="s">
        <v>29</v>
      </c>
    </row>
    <row r="301" spans="1:14" ht="27.65" customHeight="1" x14ac:dyDescent="0.35">
      <c r="A301" s="37" t="s">
        <v>33</v>
      </c>
      <c r="B301" s="37" t="s">
        <v>33</v>
      </c>
      <c r="C301" s="37" t="s">
        <v>249</v>
      </c>
      <c r="D301" s="35" t="s">
        <v>248</v>
      </c>
      <c r="E301" s="37" t="s">
        <v>217</v>
      </c>
      <c r="F301" s="37" t="s">
        <v>247</v>
      </c>
      <c r="G301" s="35" t="s">
        <v>156</v>
      </c>
      <c r="H301" s="35" t="s">
        <v>148</v>
      </c>
      <c r="I301" s="35" t="s">
        <v>246</v>
      </c>
      <c r="J301" s="35" t="s">
        <v>32</v>
      </c>
      <c r="K301" s="35" t="s">
        <v>31</v>
      </c>
      <c r="L301" s="35">
        <v>5</v>
      </c>
      <c r="M301" s="35" t="s">
        <v>245</v>
      </c>
      <c r="N301" s="35" t="s">
        <v>29</v>
      </c>
    </row>
    <row r="302" spans="1:14" ht="151.75" customHeight="1" x14ac:dyDescent="0.35">
      <c r="A302" s="37" t="s">
        <v>33</v>
      </c>
      <c r="B302" s="37" t="s">
        <v>33</v>
      </c>
      <c r="C302" s="37" t="s">
        <v>244</v>
      </c>
      <c r="D302" s="35" t="s">
        <v>243</v>
      </c>
      <c r="E302" s="37" t="s">
        <v>217</v>
      </c>
      <c r="F302" s="37" t="s">
        <v>242</v>
      </c>
      <c r="G302" s="35" t="s">
        <v>156</v>
      </c>
      <c r="H302" s="35" t="s">
        <v>148</v>
      </c>
      <c r="I302" s="35" t="s">
        <v>241</v>
      </c>
      <c r="J302" s="35" t="s">
        <v>32</v>
      </c>
      <c r="K302" s="35" t="s">
        <v>31</v>
      </c>
      <c r="L302" s="35">
        <v>6</v>
      </c>
      <c r="M302" s="35" t="s">
        <v>240</v>
      </c>
      <c r="N302" s="35" t="s">
        <v>29</v>
      </c>
    </row>
    <row r="303" spans="1:14" ht="27.65" customHeight="1" x14ac:dyDescent="0.35">
      <c r="A303" s="37" t="s">
        <v>33</v>
      </c>
      <c r="B303" s="37" t="s">
        <v>33</v>
      </c>
      <c r="C303" s="37" t="s">
        <v>239</v>
      </c>
      <c r="D303" s="35" t="s">
        <v>238</v>
      </c>
      <c r="E303" s="37" t="s">
        <v>217</v>
      </c>
      <c r="F303" s="37" t="s">
        <v>237</v>
      </c>
      <c r="G303" s="35" t="s">
        <v>156</v>
      </c>
      <c r="H303" s="35" t="s">
        <v>174</v>
      </c>
      <c r="I303" s="35" t="s">
        <v>236</v>
      </c>
      <c r="J303" s="35" t="s">
        <v>32</v>
      </c>
      <c r="K303" s="35" t="s">
        <v>31</v>
      </c>
      <c r="L303" s="35">
        <v>7</v>
      </c>
      <c r="M303" s="35" t="s">
        <v>235</v>
      </c>
      <c r="N303" s="35" t="s">
        <v>29</v>
      </c>
    </row>
    <row r="304" spans="1:14" ht="41.5" customHeight="1" x14ac:dyDescent="0.35">
      <c r="A304" s="37" t="s">
        <v>33</v>
      </c>
      <c r="B304" s="37" t="s">
        <v>33</v>
      </c>
      <c r="C304" s="37" t="s">
        <v>234</v>
      </c>
      <c r="D304" s="35" t="s">
        <v>233</v>
      </c>
      <c r="E304" s="37" t="s">
        <v>217</v>
      </c>
      <c r="F304" s="37" t="s">
        <v>230</v>
      </c>
      <c r="G304" s="35" t="s">
        <v>232</v>
      </c>
      <c r="H304" s="35" t="s">
        <v>148</v>
      </c>
      <c r="I304" s="35" t="s">
        <v>231</v>
      </c>
      <c r="J304" s="35" t="s">
        <v>32</v>
      </c>
      <c r="K304" s="35" t="s">
        <v>31</v>
      </c>
      <c r="L304" s="35">
        <v>8</v>
      </c>
      <c r="M304" s="35" t="s">
        <v>230</v>
      </c>
      <c r="N304" s="35" t="s">
        <v>29</v>
      </c>
    </row>
    <row r="305" spans="1:14" ht="27.65" customHeight="1" x14ac:dyDescent="0.35">
      <c r="A305" s="37" t="s">
        <v>33</v>
      </c>
      <c r="B305" s="37" t="s">
        <v>33</v>
      </c>
      <c r="C305" s="37" t="s">
        <v>229</v>
      </c>
      <c r="D305" s="35" t="s">
        <v>228</v>
      </c>
      <c r="E305" s="37" t="s">
        <v>217</v>
      </c>
      <c r="F305" s="37" t="s">
        <v>227</v>
      </c>
      <c r="G305" s="35" t="s">
        <v>162</v>
      </c>
      <c r="H305" s="35" t="s">
        <v>148</v>
      </c>
      <c r="I305" s="35" t="s">
        <v>226</v>
      </c>
      <c r="J305" s="35" t="s">
        <v>32</v>
      </c>
      <c r="K305" s="35" t="s">
        <v>31</v>
      </c>
      <c r="L305" s="35">
        <v>9</v>
      </c>
      <c r="M305" s="35" t="s">
        <v>225</v>
      </c>
      <c r="N305" s="35" t="s">
        <v>29</v>
      </c>
    </row>
    <row r="306" spans="1:14" ht="27.65" customHeight="1" x14ac:dyDescent="0.35">
      <c r="A306" s="37" t="s">
        <v>33</v>
      </c>
      <c r="B306" s="37" t="s">
        <v>33</v>
      </c>
      <c r="C306" s="37" t="s">
        <v>224</v>
      </c>
      <c r="D306" s="35" t="s">
        <v>223</v>
      </c>
      <c r="E306" s="37" t="s">
        <v>217</v>
      </c>
      <c r="F306" s="37" t="s">
        <v>222</v>
      </c>
      <c r="G306" s="35" t="s">
        <v>162</v>
      </c>
      <c r="H306" s="35" t="s">
        <v>148</v>
      </c>
      <c r="I306" s="35" t="s">
        <v>221</v>
      </c>
      <c r="J306" s="35" t="s">
        <v>32</v>
      </c>
      <c r="K306" s="35" t="s">
        <v>31</v>
      </c>
      <c r="L306" s="35">
        <v>10</v>
      </c>
      <c r="M306" s="35" t="s">
        <v>220</v>
      </c>
      <c r="N306" s="35" t="s">
        <v>29</v>
      </c>
    </row>
    <row r="307" spans="1:14" ht="193.4" customHeight="1" x14ac:dyDescent="0.35">
      <c r="A307" s="37" t="s">
        <v>33</v>
      </c>
      <c r="B307" s="37" t="s">
        <v>33</v>
      </c>
      <c r="C307" s="37" t="s">
        <v>219</v>
      </c>
      <c r="D307" s="35" t="s">
        <v>218</v>
      </c>
      <c r="E307" s="37" t="s">
        <v>217</v>
      </c>
      <c r="F307" s="37" t="s">
        <v>216</v>
      </c>
      <c r="G307" s="35" t="s">
        <v>215</v>
      </c>
      <c r="H307" s="35" t="s">
        <v>148</v>
      </c>
      <c r="I307" s="35" t="s">
        <v>214</v>
      </c>
      <c r="J307" s="35" t="s">
        <v>32</v>
      </c>
      <c r="K307" s="35" t="s">
        <v>31</v>
      </c>
      <c r="L307" s="35">
        <v>11</v>
      </c>
      <c r="M307" s="35" t="s">
        <v>213</v>
      </c>
      <c r="N307" s="35" t="s">
        <v>29</v>
      </c>
    </row>
    <row r="308" spans="1:14" ht="27.65" customHeight="1" x14ac:dyDescent="0.35">
      <c r="A308" s="37" t="s">
        <v>33</v>
      </c>
      <c r="B308" s="37" t="s">
        <v>33</v>
      </c>
      <c r="C308" s="37" t="s">
        <v>212</v>
      </c>
      <c r="D308" s="35" t="s">
        <v>211</v>
      </c>
      <c r="E308" s="37" t="s">
        <v>205</v>
      </c>
      <c r="F308" s="37" t="s">
        <v>210</v>
      </c>
      <c r="G308" s="35" t="s">
        <v>149</v>
      </c>
      <c r="H308" s="35" t="s">
        <v>148</v>
      </c>
      <c r="I308" s="35" t="s">
        <v>209</v>
      </c>
      <c r="J308" s="35" t="s">
        <v>32</v>
      </c>
      <c r="K308" s="35" t="s">
        <v>31</v>
      </c>
      <c r="L308" s="35">
        <v>12</v>
      </c>
      <c r="M308" s="35" t="s">
        <v>208</v>
      </c>
      <c r="N308" s="35" t="s">
        <v>29</v>
      </c>
    </row>
    <row r="309" spans="1:14" ht="55.4" customHeight="1" x14ac:dyDescent="0.35">
      <c r="A309" s="37" t="s">
        <v>33</v>
      </c>
      <c r="B309" s="37" t="s">
        <v>33</v>
      </c>
      <c r="C309" s="37" t="s">
        <v>207</v>
      </c>
      <c r="D309" s="35" t="s">
        <v>206</v>
      </c>
      <c r="E309" s="37" t="s">
        <v>205</v>
      </c>
      <c r="F309" s="37" t="s">
        <v>204</v>
      </c>
      <c r="G309" s="35" t="s">
        <v>203</v>
      </c>
      <c r="H309" s="35" t="s">
        <v>148</v>
      </c>
      <c r="I309" s="35" t="s">
        <v>202</v>
      </c>
      <c r="J309" s="35" t="s">
        <v>32</v>
      </c>
      <c r="K309" s="35" t="s">
        <v>31</v>
      </c>
      <c r="L309" s="35">
        <v>13</v>
      </c>
      <c r="M309" s="35" t="s">
        <v>201</v>
      </c>
      <c r="N309" s="35" t="s">
        <v>29</v>
      </c>
    </row>
    <row r="310" spans="1:14" ht="41.5" customHeight="1" x14ac:dyDescent="0.35">
      <c r="A310" s="37" t="s">
        <v>30</v>
      </c>
      <c r="B310" s="37" t="s">
        <v>30</v>
      </c>
      <c r="C310" s="37" t="s">
        <v>200</v>
      </c>
      <c r="D310" s="35" t="s">
        <v>199</v>
      </c>
      <c r="E310" s="37" t="s">
        <v>151</v>
      </c>
      <c r="F310" s="37" t="s">
        <v>198</v>
      </c>
      <c r="G310" s="35" t="s">
        <v>197</v>
      </c>
      <c r="H310" s="35" t="s">
        <v>174</v>
      </c>
      <c r="I310" s="35" t="s">
        <v>196</v>
      </c>
      <c r="J310" s="35" t="s">
        <v>147</v>
      </c>
      <c r="K310" s="35" t="s">
        <v>27</v>
      </c>
      <c r="L310" s="35">
        <v>1</v>
      </c>
      <c r="M310" s="35" t="s">
        <v>195</v>
      </c>
      <c r="N310" s="35" t="s">
        <v>29</v>
      </c>
    </row>
    <row r="311" spans="1:14" ht="82.75" customHeight="1" x14ac:dyDescent="0.35">
      <c r="A311" s="37" t="s">
        <v>30</v>
      </c>
      <c r="B311" s="37" t="s">
        <v>30</v>
      </c>
      <c r="C311" s="37" t="s">
        <v>194</v>
      </c>
      <c r="D311" s="35" t="s">
        <v>193</v>
      </c>
      <c r="E311" s="37" t="s">
        <v>151</v>
      </c>
      <c r="F311" s="37" t="s">
        <v>192</v>
      </c>
      <c r="G311" s="35" t="s">
        <v>191</v>
      </c>
      <c r="H311" s="35" t="s">
        <v>174</v>
      </c>
      <c r="I311" s="35" t="s">
        <v>190</v>
      </c>
      <c r="J311" s="35" t="s">
        <v>147</v>
      </c>
      <c r="K311" s="35" t="s">
        <v>27</v>
      </c>
      <c r="L311" s="35">
        <v>2</v>
      </c>
      <c r="M311" s="35" t="s">
        <v>189</v>
      </c>
      <c r="N311" s="35" t="s">
        <v>29</v>
      </c>
    </row>
    <row r="312" spans="1:14" ht="39" x14ac:dyDescent="0.35">
      <c r="A312" s="37" t="s">
        <v>30</v>
      </c>
      <c r="B312" s="37" t="s">
        <v>30</v>
      </c>
      <c r="C312" s="37" t="s">
        <v>188</v>
      </c>
      <c r="D312" s="35" t="s">
        <v>187</v>
      </c>
      <c r="E312" s="37" t="s">
        <v>151</v>
      </c>
      <c r="F312" s="37" t="s">
        <v>186</v>
      </c>
      <c r="G312" s="35" t="s">
        <v>162</v>
      </c>
      <c r="H312" s="35" t="s">
        <v>174</v>
      </c>
      <c r="I312" s="35" t="s">
        <v>185</v>
      </c>
      <c r="J312" s="35" t="s">
        <v>147</v>
      </c>
      <c r="K312" s="35" t="s">
        <v>27</v>
      </c>
      <c r="L312" s="35">
        <v>3</v>
      </c>
      <c r="M312" s="35" t="s">
        <v>184</v>
      </c>
      <c r="N312" s="35" t="s">
        <v>29</v>
      </c>
    </row>
    <row r="313" spans="1:14" ht="55.4" customHeight="1" x14ac:dyDescent="0.35">
      <c r="A313" s="37" t="s">
        <v>30</v>
      </c>
      <c r="B313" s="37" t="s">
        <v>30</v>
      </c>
      <c r="C313" s="37" t="s">
        <v>183</v>
      </c>
      <c r="D313" s="35" t="s">
        <v>182</v>
      </c>
      <c r="E313" s="37" t="s">
        <v>151</v>
      </c>
      <c r="F313" s="37" t="s">
        <v>181</v>
      </c>
      <c r="G313" s="35" t="s">
        <v>180</v>
      </c>
      <c r="H313" s="35" t="s">
        <v>174</v>
      </c>
      <c r="I313" s="35" t="s">
        <v>179</v>
      </c>
      <c r="J313" s="35" t="s">
        <v>147</v>
      </c>
      <c r="K313" s="35" t="s">
        <v>27</v>
      </c>
      <c r="L313" s="35">
        <v>4</v>
      </c>
      <c r="M313" s="35" t="s">
        <v>178</v>
      </c>
      <c r="N313" s="35" t="s">
        <v>29</v>
      </c>
    </row>
    <row r="314" spans="1:14" ht="41.5" customHeight="1" x14ac:dyDescent="0.35">
      <c r="A314" s="37" t="s">
        <v>30</v>
      </c>
      <c r="B314" s="37" t="s">
        <v>30</v>
      </c>
      <c r="C314" s="37" t="s">
        <v>177</v>
      </c>
      <c r="D314" s="35" t="s">
        <v>176</v>
      </c>
      <c r="E314" s="37" t="s">
        <v>151</v>
      </c>
      <c r="F314" s="37" t="s">
        <v>175</v>
      </c>
      <c r="G314" s="35" t="s">
        <v>156</v>
      </c>
      <c r="H314" s="35" t="s">
        <v>174</v>
      </c>
      <c r="I314" s="35" t="s">
        <v>173</v>
      </c>
      <c r="J314" s="35" t="s">
        <v>147</v>
      </c>
      <c r="K314" s="35" t="s">
        <v>27</v>
      </c>
      <c r="L314" s="35">
        <v>5</v>
      </c>
      <c r="M314" s="35" t="s">
        <v>172</v>
      </c>
      <c r="N314" s="35" t="s">
        <v>29</v>
      </c>
    </row>
    <row r="315" spans="1:14" ht="27.65" customHeight="1" x14ac:dyDescent="0.35">
      <c r="A315" s="37" t="s">
        <v>30</v>
      </c>
      <c r="B315" s="37" t="s">
        <v>30</v>
      </c>
      <c r="C315" s="37" t="s">
        <v>171</v>
      </c>
      <c r="D315" s="35" t="s">
        <v>170</v>
      </c>
      <c r="E315" s="37" t="s">
        <v>151</v>
      </c>
      <c r="F315" s="37" t="s">
        <v>169</v>
      </c>
      <c r="G315" s="35" t="s">
        <v>156</v>
      </c>
      <c r="H315" s="35" t="s">
        <v>148</v>
      </c>
      <c r="I315" s="35" t="s">
        <v>168</v>
      </c>
      <c r="J315" s="35" t="s">
        <v>147</v>
      </c>
      <c r="K315" s="35" t="s">
        <v>27</v>
      </c>
      <c r="L315" s="35">
        <v>6</v>
      </c>
      <c r="M315" s="35" t="s">
        <v>167</v>
      </c>
      <c r="N315" s="35" t="s">
        <v>29</v>
      </c>
    </row>
    <row r="316" spans="1:14" ht="82.75" customHeight="1" x14ac:dyDescent="0.35">
      <c r="A316" s="37" t="s">
        <v>30</v>
      </c>
      <c r="B316" s="37" t="s">
        <v>30</v>
      </c>
      <c r="C316" s="37" t="s">
        <v>166</v>
      </c>
      <c r="D316" s="35" t="s">
        <v>165</v>
      </c>
      <c r="E316" s="37" t="s">
        <v>164</v>
      </c>
      <c r="F316" s="37" t="s">
        <v>163</v>
      </c>
      <c r="G316" s="35" t="s">
        <v>162</v>
      </c>
      <c r="H316" s="35" t="s">
        <v>148</v>
      </c>
      <c r="I316" s="35" t="s">
        <v>161</v>
      </c>
      <c r="J316" s="35" t="s">
        <v>147</v>
      </c>
      <c r="K316" s="35" t="s">
        <v>27</v>
      </c>
      <c r="L316" s="35">
        <v>7</v>
      </c>
      <c r="M316" s="35" t="s">
        <v>160</v>
      </c>
      <c r="N316" s="35" t="s">
        <v>29</v>
      </c>
    </row>
    <row r="317" spans="1:14" ht="26" x14ac:dyDescent="0.35">
      <c r="A317" s="37" t="s">
        <v>30</v>
      </c>
      <c r="B317" s="37" t="s">
        <v>30</v>
      </c>
      <c r="C317" s="37" t="s">
        <v>159</v>
      </c>
      <c r="D317" s="35" t="s">
        <v>158</v>
      </c>
      <c r="E317" s="37" t="s">
        <v>151</v>
      </c>
      <c r="F317" s="37" t="s">
        <v>157</v>
      </c>
      <c r="G317" s="35" t="s">
        <v>156</v>
      </c>
      <c r="H317" s="35" t="s">
        <v>148</v>
      </c>
      <c r="I317" s="35" t="s">
        <v>155</v>
      </c>
      <c r="J317" s="35" t="s">
        <v>147</v>
      </c>
      <c r="K317" s="35" t="s">
        <v>27</v>
      </c>
      <c r="L317" s="35">
        <v>8</v>
      </c>
      <c r="M317" s="35" t="s">
        <v>154</v>
      </c>
      <c r="N317" s="35" t="s">
        <v>29</v>
      </c>
    </row>
    <row r="318" spans="1:14" ht="82.75" customHeight="1" x14ac:dyDescent="0.35">
      <c r="A318" s="37" t="s">
        <v>30</v>
      </c>
      <c r="B318" s="37" t="s">
        <v>30</v>
      </c>
      <c r="C318" s="37" t="s">
        <v>153</v>
      </c>
      <c r="D318" s="35" t="s">
        <v>152</v>
      </c>
      <c r="E318" s="37" t="s">
        <v>151</v>
      </c>
      <c r="F318" s="37" t="s">
        <v>150</v>
      </c>
      <c r="G318" s="35" t="s">
        <v>149</v>
      </c>
      <c r="H318" s="35" t="s">
        <v>148</v>
      </c>
      <c r="I318" s="35"/>
      <c r="J318" s="35" t="s">
        <v>147</v>
      </c>
      <c r="K318" s="35" t="s">
        <v>27</v>
      </c>
      <c r="L318" s="35">
        <v>9</v>
      </c>
      <c r="M318" s="35" t="s">
        <v>146</v>
      </c>
      <c r="N318" s="35" t="s">
        <v>29</v>
      </c>
    </row>
  </sheetData>
  <autoFilter ref="A1:N318" xr:uid="{1E99462F-07A9-41E9-86F4-F5FBBF0E6D30}"/>
  <conditionalFormatting sqref="D1">
    <cfRule type="duplicateValues" dxfId="6" priority="8"/>
  </conditionalFormatting>
  <conditionalFormatting sqref="D2">
    <cfRule type="duplicateValues" dxfId="5" priority="7"/>
  </conditionalFormatting>
  <conditionalFormatting sqref="D107">
    <cfRule type="duplicateValues" dxfId="4" priority="3"/>
  </conditionalFormatting>
  <conditionalFormatting sqref="D108:D318 D3:D106">
    <cfRule type="duplicateValues" dxfId="3" priority="10"/>
  </conditionalFormatting>
  <conditionalFormatting sqref="H1:I1">
    <cfRule type="duplicateValues" dxfId="2" priority="5"/>
  </conditionalFormatting>
  <conditionalFormatting sqref="J1:K1">
    <cfRule type="duplicateValues" dxfId="1" priority="6"/>
  </conditionalFormatting>
  <conditionalFormatting sqref="L1:N1">
    <cfRule type="duplicateValues" dxfId="0" priority="11"/>
  </conditionalFormatting>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2C5A0-46E7-4872-8921-25F766937E8C}">
  <dimension ref="A1:E68"/>
  <sheetViews>
    <sheetView zoomScale="90" zoomScaleNormal="90" workbookViewId="0">
      <selection activeCell="C11" sqref="C11"/>
    </sheetView>
  </sheetViews>
  <sheetFormatPr defaultColWidth="107.81640625" defaultRowHeight="14.5" x14ac:dyDescent="0.35"/>
  <cols>
    <col min="1" max="1" width="6.54296875" style="1" bestFit="1" customWidth="1"/>
    <col min="2" max="2" width="63.1796875" style="1" bestFit="1" customWidth="1"/>
    <col min="3" max="3" width="63.1796875" style="2" bestFit="1" customWidth="1"/>
    <col min="4" max="4" width="4" style="1" bestFit="1" customWidth="1"/>
    <col min="5" max="5" width="35.453125" style="1" bestFit="1" customWidth="1"/>
    <col min="6" max="16384" width="107.81640625" style="1"/>
  </cols>
  <sheetData>
    <row r="1" spans="1:5" x14ac:dyDescent="0.3">
      <c r="A1" s="33" t="s">
        <v>145</v>
      </c>
      <c r="B1" s="33" t="s">
        <v>144</v>
      </c>
      <c r="C1" s="33" t="s">
        <v>143</v>
      </c>
      <c r="D1" s="33"/>
      <c r="E1" s="33" t="s">
        <v>142</v>
      </c>
    </row>
    <row r="2" spans="1:5" x14ac:dyDescent="0.35">
      <c r="A2" s="26" t="s">
        <v>115</v>
      </c>
      <c r="B2" s="27" t="str">
        <f>C2</f>
        <v>Cash, cash balances at central banks and other demand deposits</v>
      </c>
      <c r="C2" s="27" t="s">
        <v>141</v>
      </c>
      <c r="D2" s="26">
        <v>10</v>
      </c>
      <c r="E2" s="25" t="s">
        <v>5</v>
      </c>
    </row>
    <row r="3" spans="1:5" x14ac:dyDescent="0.35">
      <c r="A3" s="29" t="s">
        <v>115</v>
      </c>
      <c r="B3" s="28" t="str">
        <f t="shared" ref="B3:B34" si="0">IF(LEFT(C3,1)=" ",B2,C3)</f>
        <v>Cash, cash balances at central banks and other demand deposits</v>
      </c>
      <c r="C3" s="28" t="s">
        <v>140</v>
      </c>
      <c r="D3" s="29">
        <v>20</v>
      </c>
      <c r="E3" s="28" t="s">
        <v>88</v>
      </c>
    </row>
    <row r="4" spans="1:5" x14ac:dyDescent="0.35">
      <c r="A4" s="26" t="s">
        <v>115</v>
      </c>
      <c r="B4" s="27" t="str">
        <f t="shared" si="0"/>
        <v>Cash, cash balances at central banks and other demand deposits</v>
      </c>
      <c r="C4" s="27" t="s">
        <v>139</v>
      </c>
      <c r="D4" s="26">
        <v>30</v>
      </c>
      <c r="E4" s="25" t="s">
        <v>128</v>
      </c>
    </row>
    <row r="5" spans="1:5" x14ac:dyDescent="0.35">
      <c r="A5" s="26" t="s">
        <v>115</v>
      </c>
      <c r="B5" s="27" t="str">
        <f t="shared" si="0"/>
        <v>Cash, cash balances at central banks and other demand deposits</v>
      </c>
      <c r="C5" s="27" t="s">
        <v>138</v>
      </c>
      <c r="D5" s="26">
        <v>40</v>
      </c>
      <c r="E5" s="25" t="s">
        <v>128</v>
      </c>
    </row>
    <row r="6" spans="1:5" x14ac:dyDescent="0.35">
      <c r="A6" s="26" t="s">
        <v>115</v>
      </c>
      <c r="B6" s="27" t="str">
        <f t="shared" si="0"/>
        <v>Financial assets held for trading</v>
      </c>
      <c r="C6" s="27" t="s">
        <v>137</v>
      </c>
      <c r="D6" s="26">
        <v>50</v>
      </c>
      <c r="E6" s="25" t="s">
        <v>5</v>
      </c>
    </row>
    <row r="7" spans="1:5" x14ac:dyDescent="0.35">
      <c r="A7" s="26" t="s">
        <v>115</v>
      </c>
      <c r="B7" s="27" t="str">
        <f t="shared" si="0"/>
        <v>Financial assets held for trading</v>
      </c>
      <c r="C7" s="27" t="s">
        <v>112</v>
      </c>
      <c r="D7" s="26">
        <v>60</v>
      </c>
      <c r="E7" s="25" t="s">
        <v>45</v>
      </c>
    </row>
    <row r="8" spans="1:5" x14ac:dyDescent="0.35">
      <c r="A8" s="26" t="s">
        <v>115</v>
      </c>
      <c r="B8" s="27" t="str">
        <f t="shared" si="0"/>
        <v>Financial assets held for trading</v>
      </c>
      <c r="C8" s="27" t="s">
        <v>133</v>
      </c>
      <c r="D8" s="26">
        <v>70</v>
      </c>
      <c r="E8" s="25" t="s">
        <v>126</v>
      </c>
    </row>
    <row r="9" spans="1:5" x14ac:dyDescent="0.35">
      <c r="A9" s="26" t="s">
        <v>115</v>
      </c>
      <c r="B9" s="27" t="str">
        <f t="shared" si="0"/>
        <v>Financial assets held for trading</v>
      </c>
      <c r="C9" s="27" t="s">
        <v>131</v>
      </c>
      <c r="D9" s="26">
        <v>80</v>
      </c>
      <c r="E9" s="25" t="s">
        <v>130</v>
      </c>
    </row>
    <row r="10" spans="1:5" x14ac:dyDescent="0.35">
      <c r="A10" s="26" t="s">
        <v>115</v>
      </c>
      <c r="B10" s="27" t="str">
        <f t="shared" si="0"/>
        <v>Financial assets held for trading</v>
      </c>
      <c r="C10" s="27" t="s">
        <v>129</v>
      </c>
      <c r="D10" s="26">
        <v>90</v>
      </c>
      <c r="E10" s="25" t="s">
        <v>128</v>
      </c>
    </row>
    <row r="11" spans="1:5" x14ac:dyDescent="0.35">
      <c r="A11" s="26" t="s">
        <v>115</v>
      </c>
      <c r="B11" s="27" t="str">
        <f t="shared" si="0"/>
        <v>Non-trading financial assets mandatorily at fair value through profit or loss</v>
      </c>
      <c r="C11" s="27" t="s">
        <v>136</v>
      </c>
      <c r="D11" s="26">
        <v>96</v>
      </c>
      <c r="E11" s="25" t="s">
        <v>5</v>
      </c>
    </row>
    <row r="12" spans="1:5" x14ac:dyDescent="0.35">
      <c r="A12" s="26" t="s">
        <v>115</v>
      </c>
      <c r="B12" s="27" t="str">
        <f t="shared" si="0"/>
        <v>Non-trading financial assets mandatorily at fair value through profit or loss</v>
      </c>
      <c r="C12" s="27" t="s">
        <v>133</v>
      </c>
      <c r="D12" s="26">
        <v>97</v>
      </c>
      <c r="E12" s="25" t="s">
        <v>126</v>
      </c>
    </row>
    <row r="13" spans="1:5" x14ac:dyDescent="0.35">
      <c r="A13" s="26" t="s">
        <v>115</v>
      </c>
      <c r="B13" s="27" t="str">
        <f t="shared" si="0"/>
        <v>Non-trading financial assets mandatorily at fair value through profit or loss</v>
      </c>
      <c r="C13" s="27" t="s">
        <v>131</v>
      </c>
      <c r="D13" s="26">
        <v>98</v>
      </c>
      <c r="E13" s="25" t="s">
        <v>130</v>
      </c>
    </row>
    <row r="14" spans="1:5" x14ac:dyDescent="0.35">
      <c r="A14" s="26" t="s">
        <v>115</v>
      </c>
      <c r="B14" s="27" t="str">
        <f t="shared" si="0"/>
        <v>Non-trading financial assets mandatorily at fair value through profit or loss</v>
      </c>
      <c r="C14" s="27" t="s">
        <v>129</v>
      </c>
      <c r="D14" s="26">
        <v>99</v>
      </c>
      <c r="E14" s="25" t="s">
        <v>128</v>
      </c>
    </row>
    <row r="15" spans="1:5" x14ac:dyDescent="0.35">
      <c r="A15" s="26" t="s">
        <v>115</v>
      </c>
      <c r="B15" s="27" t="str">
        <f t="shared" si="0"/>
        <v>Financial assets designated at fair value through profit or loss</v>
      </c>
      <c r="C15" s="27" t="s">
        <v>135</v>
      </c>
      <c r="D15" s="26">
        <v>100</v>
      </c>
      <c r="E15" s="25" t="s">
        <v>5</v>
      </c>
    </row>
    <row r="16" spans="1:5" x14ac:dyDescent="0.35">
      <c r="A16" s="26" t="s">
        <v>115</v>
      </c>
      <c r="B16" s="27" t="str">
        <f t="shared" si="0"/>
        <v>Financial assets designated at fair value through profit or loss</v>
      </c>
      <c r="C16" s="27" t="s">
        <v>131</v>
      </c>
      <c r="D16" s="26">
        <v>120</v>
      </c>
      <c r="E16" s="25" t="s">
        <v>130</v>
      </c>
    </row>
    <row r="17" spans="1:5" x14ac:dyDescent="0.35">
      <c r="A17" s="26" t="s">
        <v>115</v>
      </c>
      <c r="B17" s="27" t="str">
        <f t="shared" si="0"/>
        <v>Financial assets designated at fair value through profit or loss</v>
      </c>
      <c r="C17" s="27" t="s">
        <v>129</v>
      </c>
      <c r="D17" s="26">
        <v>130</v>
      </c>
      <c r="E17" s="25" t="s">
        <v>128</v>
      </c>
    </row>
    <row r="18" spans="1:5" x14ac:dyDescent="0.35">
      <c r="A18" s="26" t="s">
        <v>115</v>
      </c>
      <c r="B18" s="27" t="str">
        <f t="shared" si="0"/>
        <v>Financial assets at fair value through other comprehensive income</v>
      </c>
      <c r="C18" s="27" t="s">
        <v>134</v>
      </c>
      <c r="D18" s="26">
        <v>141</v>
      </c>
      <c r="E18" s="25" t="s">
        <v>5</v>
      </c>
    </row>
    <row r="19" spans="1:5" x14ac:dyDescent="0.35">
      <c r="A19" s="26" t="s">
        <v>115</v>
      </c>
      <c r="B19" s="27" t="str">
        <f t="shared" si="0"/>
        <v>Financial assets at fair value through other comprehensive income</v>
      </c>
      <c r="C19" s="27" t="s">
        <v>133</v>
      </c>
      <c r="D19" s="26">
        <v>142</v>
      </c>
      <c r="E19" s="25" t="s">
        <v>126</v>
      </c>
    </row>
    <row r="20" spans="1:5" x14ac:dyDescent="0.35">
      <c r="A20" s="26" t="s">
        <v>115</v>
      </c>
      <c r="B20" s="27" t="str">
        <f t="shared" si="0"/>
        <v>Financial assets at fair value through other comprehensive income</v>
      </c>
      <c r="C20" s="27" t="s">
        <v>131</v>
      </c>
      <c r="D20" s="26">
        <v>143</v>
      </c>
      <c r="E20" s="25" t="s">
        <v>130</v>
      </c>
    </row>
    <row r="21" spans="1:5" x14ac:dyDescent="0.35">
      <c r="A21" s="26" t="s">
        <v>115</v>
      </c>
      <c r="B21" s="27" t="str">
        <f t="shared" si="0"/>
        <v>Financial assets at fair value through other comprehensive income</v>
      </c>
      <c r="C21" s="27" t="s">
        <v>129</v>
      </c>
      <c r="D21" s="26">
        <v>144</v>
      </c>
      <c r="E21" s="25" t="s">
        <v>128</v>
      </c>
    </row>
    <row r="22" spans="1:5" x14ac:dyDescent="0.35">
      <c r="A22" s="26" t="s">
        <v>115</v>
      </c>
      <c r="B22" s="27" t="str">
        <f t="shared" si="0"/>
        <v>Financial assets at amortised cost</v>
      </c>
      <c r="C22" s="27" t="s">
        <v>132</v>
      </c>
      <c r="D22" s="26">
        <v>181</v>
      </c>
      <c r="E22" s="25" t="s">
        <v>5</v>
      </c>
    </row>
    <row r="23" spans="1:5" x14ac:dyDescent="0.35">
      <c r="A23" s="26" t="s">
        <v>115</v>
      </c>
      <c r="B23" s="27" t="str">
        <f t="shared" si="0"/>
        <v>Financial assets at amortised cost</v>
      </c>
      <c r="C23" s="27" t="s">
        <v>131</v>
      </c>
      <c r="D23" s="26">
        <v>182</v>
      </c>
      <c r="E23" s="25" t="s">
        <v>130</v>
      </c>
    </row>
    <row r="24" spans="1:5" x14ac:dyDescent="0.35">
      <c r="A24" s="26" t="s">
        <v>115</v>
      </c>
      <c r="B24" s="27" t="str">
        <f t="shared" si="0"/>
        <v>Financial assets at amortised cost</v>
      </c>
      <c r="C24" s="27" t="s">
        <v>129</v>
      </c>
      <c r="D24" s="26">
        <v>183</v>
      </c>
      <c r="E24" s="25" t="s">
        <v>128</v>
      </c>
    </row>
    <row r="25" spans="1:5" x14ac:dyDescent="0.35">
      <c r="A25" s="26" t="s">
        <v>115</v>
      </c>
      <c r="B25" s="27" t="str">
        <f t="shared" si="0"/>
        <v>Derivatives - Hedge accounting</v>
      </c>
      <c r="C25" s="27" t="s">
        <v>105</v>
      </c>
      <c r="D25" s="26">
        <v>240</v>
      </c>
      <c r="E25" s="25" t="s">
        <v>45</v>
      </c>
    </row>
    <row r="26" spans="1:5" x14ac:dyDescent="0.35">
      <c r="A26" s="29" t="s">
        <v>115</v>
      </c>
      <c r="B26" s="28" t="str">
        <f t="shared" si="0"/>
        <v>Fair value changes of the hedged items in portfolio hedge of interest rate risk</v>
      </c>
      <c r="C26" s="28" t="s">
        <v>104</v>
      </c>
      <c r="D26" s="29">
        <v>250</v>
      </c>
      <c r="E26" s="28" t="s">
        <v>88</v>
      </c>
    </row>
    <row r="27" spans="1:5" x14ac:dyDescent="0.35">
      <c r="A27" s="26" t="s">
        <v>115</v>
      </c>
      <c r="B27" s="27" t="str">
        <f t="shared" si="0"/>
        <v>Investments in subsidiaries, joint ventures and associates</v>
      </c>
      <c r="C27" s="27" t="s">
        <v>127</v>
      </c>
      <c r="D27" s="26">
        <v>260</v>
      </c>
      <c r="E27" s="25" t="s">
        <v>126</v>
      </c>
    </row>
    <row r="28" spans="1:5" x14ac:dyDescent="0.35">
      <c r="A28" s="29" t="s">
        <v>115</v>
      </c>
      <c r="B28" s="28" t="str">
        <f t="shared" si="0"/>
        <v>Tangible assets</v>
      </c>
      <c r="C28" s="28" t="s">
        <v>125</v>
      </c>
      <c r="D28" s="29">
        <v>270</v>
      </c>
      <c r="E28" s="28" t="s">
        <v>88</v>
      </c>
    </row>
    <row r="29" spans="1:5" x14ac:dyDescent="0.35">
      <c r="A29" s="29" t="s">
        <v>115</v>
      </c>
      <c r="B29" s="28" t="str">
        <f t="shared" si="0"/>
        <v>Tangible assets</v>
      </c>
      <c r="C29" s="28" t="s">
        <v>124</v>
      </c>
      <c r="D29" s="29">
        <v>280</v>
      </c>
      <c r="E29" s="28" t="s">
        <v>88</v>
      </c>
    </row>
    <row r="30" spans="1:5" x14ac:dyDescent="0.35">
      <c r="A30" s="29" t="s">
        <v>115</v>
      </c>
      <c r="B30" s="28" t="str">
        <f t="shared" si="0"/>
        <v>Tangible assets</v>
      </c>
      <c r="C30" s="28" t="s">
        <v>123</v>
      </c>
      <c r="D30" s="29">
        <v>290</v>
      </c>
      <c r="E30" s="28" t="s">
        <v>88</v>
      </c>
    </row>
    <row r="31" spans="1:5" x14ac:dyDescent="0.35">
      <c r="A31" s="26" t="s">
        <v>115</v>
      </c>
      <c r="B31" s="27" t="str">
        <f t="shared" si="0"/>
        <v>Intangible assets</v>
      </c>
      <c r="C31" s="27" t="s">
        <v>122</v>
      </c>
      <c r="D31" s="26">
        <v>300</v>
      </c>
      <c r="E31" s="25" t="s">
        <v>5</v>
      </c>
    </row>
    <row r="32" spans="1:5" x14ac:dyDescent="0.35">
      <c r="A32" s="26" t="s">
        <v>115</v>
      </c>
      <c r="B32" s="27" t="str">
        <f t="shared" si="0"/>
        <v>Intangible assets</v>
      </c>
      <c r="C32" s="27" t="s">
        <v>121</v>
      </c>
      <c r="D32" s="26">
        <v>310</v>
      </c>
      <c r="E32" s="25" t="s">
        <v>30</v>
      </c>
    </row>
    <row r="33" spans="1:5" x14ac:dyDescent="0.35">
      <c r="A33" s="26" t="s">
        <v>115</v>
      </c>
      <c r="B33" s="27" t="str">
        <f t="shared" si="0"/>
        <v>Intangible assets</v>
      </c>
      <c r="C33" s="27" t="s">
        <v>120</v>
      </c>
      <c r="D33" s="26">
        <v>320</v>
      </c>
      <c r="E33" s="25" t="s">
        <v>33</v>
      </c>
    </row>
    <row r="34" spans="1:5" x14ac:dyDescent="0.35">
      <c r="A34" s="26" t="s">
        <v>115</v>
      </c>
      <c r="B34" s="27" t="str">
        <f t="shared" si="0"/>
        <v>Tax assets</v>
      </c>
      <c r="C34" s="27" t="s">
        <v>119</v>
      </c>
      <c r="D34" s="26">
        <v>330</v>
      </c>
      <c r="E34" s="25" t="s">
        <v>5</v>
      </c>
    </row>
    <row r="35" spans="1:5" x14ac:dyDescent="0.35">
      <c r="A35" s="29" t="s">
        <v>115</v>
      </c>
      <c r="B35" s="28" t="str">
        <f t="shared" ref="B35:B66" si="1">IF(LEFT(C35,1)=" ",B34,C35)</f>
        <v>Tax assets</v>
      </c>
      <c r="C35" s="28" t="s">
        <v>118</v>
      </c>
      <c r="D35" s="29">
        <v>340</v>
      </c>
      <c r="E35" s="28" t="s">
        <v>88</v>
      </c>
    </row>
    <row r="36" spans="1:5" x14ac:dyDescent="0.35">
      <c r="A36" s="26" t="s">
        <v>115</v>
      </c>
      <c r="B36" s="27" t="str">
        <f t="shared" si="1"/>
        <v>Tax assets</v>
      </c>
      <c r="C36" s="27" t="s">
        <v>117</v>
      </c>
      <c r="D36" s="26">
        <v>350</v>
      </c>
      <c r="E36" s="25" t="s">
        <v>93</v>
      </c>
    </row>
    <row r="37" spans="1:5" x14ac:dyDescent="0.35">
      <c r="A37" s="29" t="s">
        <v>115</v>
      </c>
      <c r="B37" s="28" t="str">
        <f t="shared" si="1"/>
        <v>Other assets</v>
      </c>
      <c r="C37" s="28" t="s">
        <v>116</v>
      </c>
      <c r="D37" s="29">
        <v>360</v>
      </c>
      <c r="E37" s="28" t="s">
        <v>88</v>
      </c>
    </row>
    <row r="38" spans="1:5" x14ac:dyDescent="0.35">
      <c r="A38" s="29" t="s">
        <v>115</v>
      </c>
      <c r="B38" s="28" t="str">
        <f t="shared" si="1"/>
        <v>Non-current assets and disposal groups classified as held for sale</v>
      </c>
      <c r="C38" s="28" t="s">
        <v>114</v>
      </c>
      <c r="D38" s="29">
        <v>370</v>
      </c>
      <c r="E38" s="28" t="s">
        <v>88</v>
      </c>
    </row>
    <row r="39" spans="1:5" x14ac:dyDescent="0.35">
      <c r="A39" s="31" t="s">
        <v>90</v>
      </c>
      <c r="B39" s="32" t="str">
        <f t="shared" si="1"/>
        <v>Financial liabilities held for trading</v>
      </c>
      <c r="C39" s="32" t="s">
        <v>113</v>
      </c>
      <c r="D39" s="31">
        <v>10</v>
      </c>
      <c r="E39" s="30" t="s">
        <v>5</v>
      </c>
    </row>
    <row r="40" spans="1:5" x14ac:dyDescent="0.35">
      <c r="A40" s="31" t="s">
        <v>90</v>
      </c>
      <c r="B40" s="32" t="str">
        <f t="shared" si="1"/>
        <v>Financial liabilities held for trading</v>
      </c>
      <c r="C40" s="32" t="s">
        <v>112</v>
      </c>
      <c r="D40" s="31">
        <v>20</v>
      </c>
      <c r="E40" s="25" t="s">
        <v>45</v>
      </c>
    </row>
    <row r="41" spans="1:5" x14ac:dyDescent="0.35">
      <c r="A41" s="29" t="s">
        <v>90</v>
      </c>
      <c r="B41" s="28" t="str">
        <f t="shared" si="1"/>
        <v>Financial liabilities held for trading</v>
      </c>
      <c r="C41" s="28" t="s">
        <v>111</v>
      </c>
      <c r="D41" s="29">
        <v>30</v>
      </c>
      <c r="E41" s="28" t="s">
        <v>88</v>
      </c>
    </row>
    <row r="42" spans="1:5" x14ac:dyDescent="0.35">
      <c r="A42" s="29" t="s">
        <v>90</v>
      </c>
      <c r="B42" s="28" t="str">
        <f t="shared" si="1"/>
        <v>Financial liabilities held for trading</v>
      </c>
      <c r="C42" s="28" t="s">
        <v>108</v>
      </c>
      <c r="D42" s="29">
        <v>40</v>
      </c>
      <c r="E42" s="28" t="s">
        <v>88</v>
      </c>
    </row>
    <row r="43" spans="1:5" x14ac:dyDescent="0.35">
      <c r="A43" s="29" t="s">
        <v>90</v>
      </c>
      <c r="B43" s="28" t="str">
        <f t="shared" si="1"/>
        <v>Financial liabilities held for trading</v>
      </c>
      <c r="C43" s="28" t="s">
        <v>107</v>
      </c>
      <c r="D43" s="29">
        <v>50</v>
      </c>
      <c r="E43" s="28" t="s">
        <v>88</v>
      </c>
    </row>
    <row r="44" spans="1:5" x14ac:dyDescent="0.35">
      <c r="A44" s="29" t="s">
        <v>90</v>
      </c>
      <c r="B44" s="28" t="str">
        <f t="shared" si="1"/>
        <v>Financial liabilities held for trading</v>
      </c>
      <c r="C44" s="28" t="s">
        <v>106</v>
      </c>
      <c r="D44" s="29">
        <v>60</v>
      </c>
      <c r="E44" s="28" t="s">
        <v>88</v>
      </c>
    </row>
    <row r="45" spans="1:5" x14ac:dyDescent="0.35">
      <c r="A45" s="29" t="s">
        <v>90</v>
      </c>
      <c r="B45" s="28" t="str">
        <f t="shared" si="1"/>
        <v>Financial liabilities designated at fair value through profit or loss</v>
      </c>
      <c r="C45" s="28" t="s">
        <v>110</v>
      </c>
      <c r="D45" s="29">
        <v>70</v>
      </c>
      <c r="E45" s="28" t="s">
        <v>88</v>
      </c>
    </row>
    <row r="46" spans="1:5" x14ac:dyDescent="0.35">
      <c r="A46" s="29" t="s">
        <v>90</v>
      </c>
      <c r="B46" s="28" t="str">
        <f t="shared" si="1"/>
        <v>Financial liabilities designated at fair value through profit or loss</v>
      </c>
      <c r="C46" s="28" t="s">
        <v>108</v>
      </c>
      <c r="D46" s="29">
        <v>80</v>
      </c>
      <c r="E46" s="28" t="s">
        <v>88</v>
      </c>
    </row>
    <row r="47" spans="1:5" x14ac:dyDescent="0.35">
      <c r="A47" s="29" t="s">
        <v>90</v>
      </c>
      <c r="B47" s="28" t="str">
        <f t="shared" si="1"/>
        <v>Financial liabilities designated at fair value through profit or loss</v>
      </c>
      <c r="C47" s="28" t="s">
        <v>107</v>
      </c>
      <c r="D47" s="29">
        <v>90</v>
      </c>
      <c r="E47" s="28" t="s">
        <v>88</v>
      </c>
    </row>
    <row r="48" spans="1:5" x14ac:dyDescent="0.35">
      <c r="A48" s="29" t="s">
        <v>90</v>
      </c>
      <c r="B48" s="28" t="str">
        <f t="shared" si="1"/>
        <v>Financial liabilities designated at fair value through profit or loss</v>
      </c>
      <c r="C48" s="28" t="s">
        <v>106</v>
      </c>
      <c r="D48" s="29">
        <v>100</v>
      </c>
      <c r="E48" s="28" t="s">
        <v>88</v>
      </c>
    </row>
    <row r="49" spans="1:5" x14ac:dyDescent="0.35">
      <c r="A49" s="29" t="s">
        <v>90</v>
      </c>
      <c r="B49" s="28" t="str">
        <f t="shared" si="1"/>
        <v>Financial liabilities measured at amortised cost</v>
      </c>
      <c r="C49" s="28" t="s">
        <v>109</v>
      </c>
      <c r="D49" s="29">
        <v>110</v>
      </c>
      <c r="E49" s="28" t="s">
        <v>88</v>
      </c>
    </row>
    <row r="50" spans="1:5" x14ac:dyDescent="0.35">
      <c r="A50" s="29" t="s">
        <v>90</v>
      </c>
      <c r="B50" s="28" t="str">
        <f t="shared" si="1"/>
        <v>Financial liabilities measured at amortised cost</v>
      </c>
      <c r="C50" s="28" t="s">
        <v>108</v>
      </c>
      <c r="D50" s="29">
        <v>120</v>
      </c>
      <c r="E50" s="28" t="s">
        <v>88</v>
      </c>
    </row>
    <row r="51" spans="1:5" x14ac:dyDescent="0.35">
      <c r="A51" s="29" t="s">
        <v>90</v>
      </c>
      <c r="B51" s="28" t="str">
        <f t="shared" si="1"/>
        <v>Financial liabilities measured at amortised cost</v>
      </c>
      <c r="C51" s="28" t="s">
        <v>107</v>
      </c>
      <c r="D51" s="29">
        <v>130</v>
      </c>
      <c r="E51" s="28" t="s">
        <v>88</v>
      </c>
    </row>
    <row r="52" spans="1:5" x14ac:dyDescent="0.35">
      <c r="A52" s="29" t="s">
        <v>90</v>
      </c>
      <c r="B52" s="28" t="str">
        <f t="shared" si="1"/>
        <v>Financial liabilities measured at amortised cost</v>
      </c>
      <c r="C52" s="28" t="s">
        <v>106</v>
      </c>
      <c r="D52" s="29">
        <v>140</v>
      </c>
      <c r="E52" s="28" t="s">
        <v>88</v>
      </c>
    </row>
    <row r="53" spans="1:5" x14ac:dyDescent="0.35">
      <c r="A53" s="26" t="s">
        <v>90</v>
      </c>
      <c r="B53" s="27" t="str">
        <f t="shared" si="1"/>
        <v>Derivatives - Hedge accounting</v>
      </c>
      <c r="C53" s="27" t="s">
        <v>105</v>
      </c>
      <c r="D53" s="26">
        <v>150</v>
      </c>
      <c r="E53" s="25" t="s">
        <v>45</v>
      </c>
    </row>
    <row r="54" spans="1:5" x14ac:dyDescent="0.35">
      <c r="A54" s="29" t="s">
        <v>90</v>
      </c>
      <c r="B54" s="28" t="str">
        <f t="shared" si="1"/>
        <v>Fair value changes of the hedged items in portfolio hedge of interest rate risk</v>
      </c>
      <c r="C54" s="28" t="s">
        <v>104</v>
      </c>
      <c r="D54" s="29">
        <v>160</v>
      </c>
      <c r="E54" s="28" t="s">
        <v>88</v>
      </c>
    </row>
    <row r="55" spans="1:5" x14ac:dyDescent="0.35">
      <c r="A55" s="29" t="s">
        <v>90</v>
      </c>
      <c r="B55" s="28" t="str">
        <f t="shared" si="1"/>
        <v>Provisions</v>
      </c>
      <c r="C55" s="28" t="s">
        <v>103</v>
      </c>
      <c r="D55" s="29">
        <v>170</v>
      </c>
      <c r="E55" s="28" t="s">
        <v>88</v>
      </c>
    </row>
    <row r="56" spans="1:5" x14ac:dyDescent="0.35">
      <c r="A56" s="29" t="s">
        <v>90</v>
      </c>
      <c r="B56" s="28" t="str">
        <f t="shared" si="1"/>
        <v>Provisions</v>
      </c>
      <c r="C56" s="28" t="s">
        <v>102</v>
      </c>
      <c r="D56" s="29">
        <v>180</v>
      </c>
      <c r="E56" s="28" t="s">
        <v>88</v>
      </c>
    </row>
    <row r="57" spans="1:5" x14ac:dyDescent="0.35">
      <c r="A57" s="29" t="s">
        <v>90</v>
      </c>
      <c r="B57" s="28" t="str">
        <f t="shared" si="1"/>
        <v>Provisions</v>
      </c>
      <c r="C57" s="28" t="s">
        <v>101</v>
      </c>
      <c r="D57" s="29">
        <v>190</v>
      </c>
      <c r="E57" s="28" t="s">
        <v>88</v>
      </c>
    </row>
    <row r="58" spans="1:5" x14ac:dyDescent="0.35">
      <c r="A58" s="29" t="s">
        <v>90</v>
      </c>
      <c r="B58" s="28" t="str">
        <f t="shared" si="1"/>
        <v>Provisions</v>
      </c>
      <c r="C58" s="28" t="s">
        <v>100</v>
      </c>
      <c r="D58" s="29">
        <v>200</v>
      </c>
      <c r="E58" s="28" t="s">
        <v>88</v>
      </c>
    </row>
    <row r="59" spans="1:5" x14ac:dyDescent="0.35">
      <c r="A59" s="29" t="s">
        <v>90</v>
      </c>
      <c r="B59" s="28" t="str">
        <f t="shared" si="1"/>
        <v>Provisions</v>
      </c>
      <c r="C59" s="28" t="s">
        <v>99</v>
      </c>
      <c r="D59" s="29">
        <v>210</v>
      </c>
      <c r="E59" s="28" t="s">
        <v>88</v>
      </c>
    </row>
    <row r="60" spans="1:5" x14ac:dyDescent="0.35">
      <c r="A60" s="29" t="s">
        <v>90</v>
      </c>
      <c r="B60" s="28" t="str">
        <f t="shared" si="1"/>
        <v>Provisions</v>
      </c>
      <c r="C60" s="28" t="s">
        <v>98</v>
      </c>
      <c r="D60" s="29">
        <v>220</v>
      </c>
      <c r="E60" s="28" t="s">
        <v>88</v>
      </c>
    </row>
    <row r="61" spans="1:5" x14ac:dyDescent="0.35">
      <c r="A61" s="29" t="s">
        <v>90</v>
      </c>
      <c r="B61" s="28" t="str">
        <f t="shared" si="1"/>
        <v>Provisions</v>
      </c>
      <c r="C61" s="28" t="s">
        <v>97</v>
      </c>
      <c r="D61" s="29">
        <v>230</v>
      </c>
      <c r="E61" s="28" t="s">
        <v>88</v>
      </c>
    </row>
    <row r="62" spans="1:5" x14ac:dyDescent="0.35">
      <c r="A62" s="31" t="s">
        <v>90</v>
      </c>
      <c r="B62" s="32" t="str">
        <f t="shared" si="1"/>
        <v>Tax liabilities</v>
      </c>
      <c r="C62" s="32" t="s">
        <v>96</v>
      </c>
      <c r="D62" s="31">
        <v>240</v>
      </c>
      <c r="E62" s="30" t="s">
        <v>5</v>
      </c>
    </row>
    <row r="63" spans="1:5" x14ac:dyDescent="0.35">
      <c r="A63" s="29" t="s">
        <v>90</v>
      </c>
      <c r="B63" s="28" t="str">
        <f t="shared" si="1"/>
        <v>Tax liabilities</v>
      </c>
      <c r="C63" s="28" t="s">
        <v>95</v>
      </c>
      <c r="D63" s="29">
        <v>250</v>
      </c>
      <c r="E63" s="28" t="s">
        <v>88</v>
      </c>
    </row>
    <row r="64" spans="1:5" x14ac:dyDescent="0.35">
      <c r="A64" s="26" t="s">
        <v>90</v>
      </c>
      <c r="B64" s="27" t="str">
        <f t="shared" si="1"/>
        <v>Tax liabilities</v>
      </c>
      <c r="C64" s="27" t="s">
        <v>94</v>
      </c>
      <c r="D64" s="26">
        <v>260</v>
      </c>
      <c r="E64" s="25" t="s">
        <v>93</v>
      </c>
    </row>
    <row r="65" spans="1:5" x14ac:dyDescent="0.35">
      <c r="A65" s="29" t="s">
        <v>90</v>
      </c>
      <c r="B65" s="28" t="str">
        <f t="shared" si="1"/>
        <v>Share capital repayable on demand</v>
      </c>
      <c r="C65" s="28" t="s">
        <v>92</v>
      </c>
      <c r="D65" s="29">
        <v>270</v>
      </c>
      <c r="E65" s="28" t="s">
        <v>88</v>
      </c>
    </row>
    <row r="66" spans="1:5" x14ac:dyDescent="0.35">
      <c r="A66" s="29" t="s">
        <v>90</v>
      </c>
      <c r="B66" s="28" t="str">
        <f t="shared" si="1"/>
        <v>Other liabilities</v>
      </c>
      <c r="C66" s="28" t="s">
        <v>91</v>
      </c>
      <c r="D66" s="29">
        <v>280</v>
      </c>
      <c r="E66" s="28" t="s">
        <v>88</v>
      </c>
    </row>
    <row r="67" spans="1:5" x14ac:dyDescent="0.35">
      <c r="A67" s="29" t="s">
        <v>90</v>
      </c>
      <c r="B67" s="28" t="str">
        <f t="shared" ref="B67" si="2">IF(LEFT(C67,1)=" ",B66,C67)</f>
        <v>Liabilities included in disposal groups classified as held for sale</v>
      </c>
      <c r="C67" s="28" t="s">
        <v>89</v>
      </c>
      <c r="D67" s="29">
        <v>290</v>
      </c>
      <c r="E67" s="28" t="s">
        <v>88</v>
      </c>
    </row>
    <row r="68" spans="1:5" x14ac:dyDescent="0.35">
      <c r="A68" s="26" t="s">
        <v>87</v>
      </c>
      <c r="B68" s="27" t="s">
        <v>29</v>
      </c>
      <c r="C68" s="27" t="s">
        <v>29</v>
      </c>
      <c r="D68" s="26" t="s">
        <v>29</v>
      </c>
      <c r="E68" s="25" t="s">
        <v>49</v>
      </c>
    </row>
  </sheetData>
  <pageMargins left="0.7" right="0.7" top="0.75" bottom="0.75" header="0.3" footer="0.3"/>
  <pageSetup paperSize="9" orientation="portrait" r:id="rId1"/>
  <headerFooter>
    <oddHeader>&amp;L&amp;"Calibri"&amp;10&amp;K000000Confidential&amp;1#</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84F55495B15DA49AB7A1FDC80658749" ma:contentTypeVersion="4" ma:contentTypeDescription="Create a new document." ma:contentTypeScope="" ma:versionID="c90abec4ab43805483b1ba331e74ba26">
  <xsd:schema xmlns:xsd="http://www.w3.org/2001/XMLSchema" xmlns:xs="http://www.w3.org/2001/XMLSchema" xmlns:p="http://schemas.microsoft.com/office/2006/metadata/properties" xmlns:ns2="d864e89d-2b0f-49d5-aec9-c3d31edf43d9" targetNamespace="http://schemas.microsoft.com/office/2006/metadata/properties" ma:root="true" ma:fieldsID="23f8afd4c830bf1cde7131498b3319da" ns2:_="">
    <xsd:import namespace="d864e89d-2b0f-49d5-aec9-c3d31edf43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64e89d-2b0f-49d5-aec9-c3d31edf43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93CFA8E-F2FF-405F-9338-BBF6E1687C9D}">
  <ds:schemaRefs>
    <ds:schemaRef ds:uri="http://schemas.microsoft.com/office/infopath/2007/PartnerControls"/>
    <ds:schemaRef ds:uri="http://schemas.microsoft.com/office/2006/documentManagement/types"/>
    <ds:schemaRef ds:uri="http://purl.org/dc/dcmitype/"/>
    <ds:schemaRef ds:uri="http://schemas.microsoft.com/office/2006/metadata/properties"/>
    <ds:schemaRef ds:uri="http://purl.org/dc/terms/"/>
    <ds:schemaRef ds:uri="http://purl.org/dc/elements/1.1/"/>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F4579911-6AD9-40FF-88A6-E00918567ECC}">
  <ds:schemaRefs>
    <ds:schemaRef ds:uri="http://schemas.microsoft.com/sharepoint/v3/contenttype/forms"/>
  </ds:schemaRefs>
</ds:datastoreItem>
</file>

<file path=customXml/itemProps3.xml><?xml version="1.0" encoding="utf-8"?>
<ds:datastoreItem xmlns:ds="http://schemas.openxmlformats.org/officeDocument/2006/customXml" ds:itemID="{5A26E7B1-D31F-4804-A065-DB76E18DC32A}"/>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General Cons.</vt:lpstr>
      <vt:lpstr>VDS Files</vt:lpstr>
      <vt:lpstr>VDS Data Points</vt:lpstr>
      <vt:lpstr>FINREPmapping</vt:lpstr>
    </vt:vector>
  </TitlesOfParts>
  <Company>Grupo Santander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Andujar Lorenzo Carlos Javier</dc:creator>
  <cp:lastModifiedBy>Nuno Miguel Rocha Ferreira</cp:lastModifiedBy>
  <dcterms:created xsi:type="dcterms:W3CDTF">2024-03-13T16:57:05Z</dcterms:created>
  <dcterms:modified xsi:type="dcterms:W3CDTF">2025-12-12T15:58:04Z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2024-03-13T17:04:03Z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56f1227d-2039-4d97-8fee-c47e634ecb54</vt:lpwstr>
  </property>
  <property fmtid="{D5CDD505-2E9C-101B-9397-08002B2CF9AE}" pid="8" name="MSIP_Label_41b88ec2-a72b-4523-9e84-0458a1764731_ContentBits">
    <vt:lpwstr>0</vt:lpwstr>
  </property>
  <property fmtid="{D5CDD505-2E9C-101B-9397-08002B2CF9AE}" pid="9" name="ContentTypeId">
    <vt:lpwstr>0x010100A84F55495B15DA49AB7A1FDC80658749</vt:lpwstr>
  </property>
</Properties>
</file>