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e800886\Documents\14. RORWA\03. Projeto Rentabilidade\02. Ficheiros de suporte\"/>
    </mc:Choice>
  </mc:AlternateContent>
  <xr:revisionPtr revIDLastSave="0" documentId="11_10D341999134BD75088AE310B0D1F0B6FC439900" xr6:coauthVersionLast="47" xr6:coauthVersionMax="47" xr10:uidLastSave="{00000000-0000-0000-0000-000000000000}"/>
  <bookViews>
    <workbookView xWindow="0" yWindow="0" windowWidth="23040" windowHeight="7944" firstSheet="1" activeTab="1" xr2:uid="{00000000-000D-0000-FFFF-FFFF00000000}"/>
  </bookViews>
  <sheets>
    <sheet name="ct209_rent_kpm" sheetId="1" r:id="rId1"/>
    <sheet name="Sheet1" sheetId="2" r:id="rId2"/>
  </sheets>
  <definedNames>
    <definedName name="_xlnm._FilterDatabase" localSheetId="0" hidden="1">ct209_rent_kpm!$A$1:$E$198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" l="1"/>
  <c r="F14" i="2"/>
  <c r="F17" i="2"/>
  <c r="F13" i="2"/>
  <c r="F12" i="2"/>
  <c r="F11" i="2"/>
  <c r="F10" i="2"/>
  <c r="F9" i="2"/>
  <c r="F8" i="2"/>
  <c r="F7" i="2"/>
  <c r="F6" i="2"/>
  <c r="F5" i="2"/>
</calcChain>
</file>

<file path=xl/sharedStrings.xml><?xml version="1.0" encoding="utf-8"?>
<sst xmlns="http://schemas.openxmlformats.org/spreadsheetml/2006/main" count="769" uniqueCount="469">
  <si>
    <t>Campo</t>
  </si>
  <si>
    <t>Descrição</t>
  </si>
  <si>
    <t>Fonte</t>
  </si>
  <si>
    <t>input ajuste</t>
  </si>
  <si>
    <t>calculado por formula</t>
  </si>
  <si>
    <t xml:space="preserve">Tabelas de informação automática e manual são identicas sendo que:
tipo_contrato = CA na tabela automática
tipo_contrato = CM na tabela Manual
tipo_contrato = CAM registos manuais do mês anterior para gerar acumulados
Utilizador terá disponível uma view que junta ambas as tabelas e identifica a informação automática e manual por este indicador.
quando se trata de valores manuais, a fonte será o ficheiro de Ajustes. Caso no ficheiro os valores de KPM estejam vazio, então na tabela tomará o valor zero. 
</t>
  </si>
  <si>
    <t>CEMPCTA</t>
  </si>
  <si>
    <t>Código de Empresa da Conta.</t>
  </si>
  <si>
    <t>MIT90/23A0/Via fich. Ajuste</t>
  </si>
  <si>
    <t>CKBALCAO</t>
  </si>
  <si>
    <t>Balcão</t>
  </si>
  <si>
    <t>CKNUMCTA</t>
  </si>
  <si>
    <t>Conta</t>
  </si>
  <si>
    <t>ZDEPOSIT</t>
  </si>
  <si>
    <t>ZSEQDIV</t>
  </si>
  <si>
    <t>Sequencia de divisão de Contrato</t>
  </si>
  <si>
    <t>Calculado
Toma os valores 0,1,2.....
0 - informação automática MIT15 e informação manual que não seja com divisão de contrato
N - informação que entra via ficheiro manual com indicação de divisão de contrato</t>
  </si>
  <si>
    <t>ZCLIENTE</t>
  </si>
  <si>
    <t>Número de Cliente</t>
  </si>
  <si>
    <t>CKPRODMI</t>
  </si>
  <si>
    <t>Código do Produto MIS.</t>
  </si>
  <si>
    <t>Quando 23A0/Via fich. Ajuste- campo desse input
Quando é MIT90 - fica com " "</t>
  </si>
  <si>
    <t>Quando a origem tem mais que uma linha para a chave definida então soma os KPM
na entrada de valores manuais, os KPM calculados são iguais ao que vem no ficheiro, e não se faz qualquer calculo</t>
  </si>
  <si>
    <t>CHCRUZA</t>
  </si>
  <si>
    <t>Chave cruzamento</t>
  </si>
  <si>
    <t>quando contrato+cliente+prodmi+metamis existe na mit15 = 1
se existe apenas na mit90 ou 23a0 = 0</t>
  </si>
  <si>
    <t>CKMETAMIS</t>
  </si>
  <si>
    <t>MetaMis</t>
  </si>
  <si>
    <t>CVE</t>
  </si>
  <si>
    <t>Código Vigilância Especial</t>
  </si>
  <si>
    <t>MIT90/23A0</t>
  </si>
  <si>
    <t>CGSI</t>
  </si>
  <si>
    <t>Código de Gestão e Seguimento Irregulares</t>
  </si>
  <si>
    <t xml:space="preserve"> </t>
  </si>
  <si>
    <t>KPM</t>
  </si>
  <si>
    <t>c001</t>
  </si>
  <si>
    <t>001 - SMV Mês</t>
  </si>
  <si>
    <t>S</t>
  </si>
  <si>
    <t>c007</t>
  </si>
  <si>
    <t>007 - SP</t>
  </si>
  <si>
    <t>c008</t>
  </si>
  <si>
    <t>008 - SP Contas Novas</t>
  </si>
  <si>
    <t>c009</t>
  </si>
  <si>
    <t>009 - SP Contas Renovadas</t>
  </si>
  <si>
    <t>c010</t>
  </si>
  <si>
    <t>010 - SP Liquidações</t>
  </si>
  <si>
    <t>c011</t>
  </si>
  <si>
    <t>011 - SP Var. + de Saldo</t>
  </si>
  <si>
    <t>MT90/23A0/Via fich. Ajuste</t>
  </si>
  <si>
    <t>c012</t>
  </si>
  <si>
    <t>012 - SP Var. - de Saldo</t>
  </si>
  <si>
    <t>c013</t>
  </si>
  <si>
    <t>013 - Margem Financeira (MF)</t>
  </si>
  <si>
    <t>MIT90/23A0
Ajuste: calcula = 183</t>
  </si>
  <si>
    <t>c019</t>
  </si>
  <si>
    <t>019 - Contas</t>
  </si>
  <si>
    <t>23A0/Via fich. Ajuste</t>
  </si>
  <si>
    <t>c020</t>
  </si>
  <si>
    <t>020 - Contas Novas</t>
  </si>
  <si>
    <t>c030</t>
  </si>
  <si>
    <t>030 - Numerador para Taxa Média Contratada</t>
  </si>
  <si>
    <t>c034</t>
  </si>
  <si>
    <t>034 - Juro para Tx Média Contrat. Contas Novas</t>
  </si>
  <si>
    <t>c134</t>
  </si>
  <si>
    <t>134 - Limites de Crédito Concedido Não Utilizado</t>
  </si>
  <si>
    <t>c171</t>
  </si>
  <si>
    <t>171 - Juros Proveitos</t>
  </si>
  <si>
    <t>c172</t>
  </si>
  <si>
    <t>172 - Juros Custos</t>
  </si>
  <si>
    <t>23A0
Ajuste - se preenchido, e 183 é zero, então aplica fórmula do 183="171"-"173""172"+"174"</t>
  </si>
  <si>
    <t>c173</t>
  </si>
  <si>
    <t>173 - Juros de Ref. Crédito</t>
  </si>
  <si>
    <t>c174</t>
  </si>
  <si>
    <t>174 - Juros de Ref. Recursos</t>
  </si>
  <si>
    <t>c181</t>
  </si>
  <si>
    <t>181 - MF Total</t>
  </si>
  <si>
    <t>"183"+"394"+"215"+"MF Outros"</t>
  </si>
  <si>
    <t>s - calculado na inserção ct209</t>
  </si>
  <si>
    <t>c182</t>
  </si>
  <si>
    <t>182 - MF Acumulada do Ano</t>
  </si>
  <si>
    <t>calculado: "298"-"300"-"299"+"301"/Via fich. Ajuste
acumula c183  +c394 do ano</t>
  </si>
  <si>
    <t>s - calculado no conversor</t>
  </si>
  <si>
    <t>c183</t>
  </si>
  <si>
    <t>183 - MF Mês</t>
  </si>
  <si>
    <t xml:space="preserve">calculado: "171"-"173"-"172"+"174"/Via fich. Ajuste
Se ajuste ao 183, então o 171 se for zero fica com: 183+173+172-174 do ficheiro de ajustes </t>
  </si>
  <si>
    <t>c187</t>
  </si>
  <si>
    <t>187 - Produto Bancário (PB)</t>
  </si>
  <si>
    <t>216+310</t>
  </si>
  <si>
    <t>c214</t>
  </si>
  <si>
    <t>214 - Fluxo Provisões para Risco de Crédito</t>
  </si>
  <si>
    <t>calculado: c377+c243
Ajutes: calcula c264(mês)-c264(mês ant)+c243</t>
  </si>
  <si>
    <t>c215</t>
  </si>
  <si>
    <t>215 - MF Anos Anteriores</t>
  </si>
  <si>
    <t>calculado: c297-c432-c397+c433/Via fich. Ajuste
Se ajuste ao 215, então o 297 se for zero fica com: 215+432+397-433</t>
  </si>
  <si>
    <t>c216</t>
  </si>
  <si>
    <t>216 - Margem Básica</t>
  </si>
  <si>
    <t>"181"+"028"</t>
  </si>
  <si>
    <t>c224</t>
  </si>
  <si>
    <t>224 - Crédito Vencido</t>
  </si>
  <si>
    <t>c261+c225+c226+c227+c228+c229</t>
  </si>
  <si>
    <t>c225</t>
  </si>
  <si>
    <t>225 - CV - Classe I</t>
  </si>
  <si>
    <t>c226</t>
  </si>
  <si>
    <t>226 - CV - Classe II</t>
  </si>
  <si>
    <t>c227</t>
  </si>
  <si>
    <t>227 - CV - Classe III</t>
  </si>
  <si>
    <t>c228</t>
  </si>
  <si>
    <t>228 - CV - Classe IV</t>
  </si>
  <si>
    <t>c229</t>
  </si>
  <si>
    <t>229 - CV - Classe V</t>
  </si>
  <si>
    <t>c242</t>
  </si>
  <si>
    <t>242 - Abatido ao Activo</t>
  </si>
  <si>
    <t>c243</t>
  </si>
  <si>
    <t>243 - Entradas em Abatidos ao Activo</t>
  </si>
  <si>
    <t>ac243</t>
  </si>
  <si>
    <t>AC243 - Entradas em Abatidos ao Activo ac ano</t>
  </si>
  <si>
    <t>acumula ano</t>
  </si>
  <si>
    <t>c244</t>
  </si>
  <si>
    <t>244 - Recuperações de Abatido ao Activo</t>
  </si>
  <si>
    <t>c245</t>
  </si>
  <si>
    <t>245 - Créd.Venc.+Entradas Abatidos ao Activo Ano+Perdões</t>
  </si>
  <si>
    <t>MIT90/23A0
Ajuste: calcula c224+ac243+451</t>
  </si>
  <si>
    <t>c248</t>
  </si>
  <si>
    <t>248 - Juros de Mora no Mês</t>
  </si>
  <si>
    <t>ac248</t>
  </si>
  <si>
    <t>248 - Juros de Mora acumulado Ano</t>
  </si>
  <si>
    <t>c249</t>
  </si>
  <si>
    <t>249 - Juros Carreg.Carteira Créd.Vencido</t>
  </si>
  <si>
    <t>c261</t>
  </si>
  <si>
    <t>261 - CV - Classe 0</t>
  </si>
  <si>
    <t>c263</t>
  </si>
  <si>
    <t>263 - Provisões Cobrança Duvidosa</t>
  </si>
  <si>
    <t>c263mant</t>
  </si>
  <si>
    <t>263 - Provisões Cobrança Duvidosa mês anterior</t>
  </si>
  <si>
    <t>MIT90/23a0
Apenas serve de referência para calculo de outros KPM</t>
  </si>
  <si>
    <t>c264</t>
  </si>
  <si>
    <t>264 - Provisões Crédito Vencido</t>
  </si>
  <si>
    <t>c264mant</t>
  </si>
  <si>
    <t>264 - Provisões Crédito Vencido mês anterior</t>
  </si>
  <si>
    <t>c277</t>
  </si>
  <si>
    <t>277 - Responsabilidades</t>
  </si>
  <si>
    <t>c295</t>
  </si>
  <si>
    <t>295 - SMV Ano</t>
  </si>
  <si>
    <t>c297</t>
  </si>
  <si>
    <t>297 - Juros Proveitos de Anos Anteriores</t>
  </si>
  <si>
    <t>c298</t>
  </si>
  <si>
    <t>298 - Juros Proveitos do Ano</t>
  </si>
  <si>
    <t>MIT90/23A0
acumula c171 +c395 do ano</t>
  </si>
  <si>
    <t>c299</t>
  </si>
  <si>
    <t>299 - Juros Custos do Ano</t>
  </si>
  <si>
    <t>MIT90/23A0
acumula 172 do ano+c396</t>
  </si>
  <si>
    <t>c300</t>
  </si>
  <si>
    <t>300 - Juros Ref. Crédito do Ano</t>
  </si>
  <si>
    <t>23A0
acumula c173+ c430 do ano</t>
  </si>
  <si>
    <t>c301</t>
  </si>
  <si>
    <t>301 - Juros Ref. Recursos do Ano</t>
  </si>
  <si>
    <t>23A0
acumula c174+c431 do ano</t>
  </si>
  <si>
    <t>c302</t>
  </si>
  <si>
    <t>302 - Juros Proveitos Ano (Anualiz.)</t>
  </si>
  <si>
    <t>MIT90/23A0/Via fich. Ajuste
se ajuste e c302=0, então c302=c306+c303+c304-c305</t>
  </si>
  <si>
    <t>c303</t>
  </si>
  <si>
    <t>303 - Juros Custos Ano (Anualiz.)</t>
  </si>
  <si>
    <t>c304</t>
  </si>
  <si>
    <t>304 - Juros de Ref. Crédito Ano (Anualiz.)</t>
  </si>
  <si>
    <t>MIT90/23A0
Ajustes: calculado com 302-304-303+305</t>
  </si>
  <si>
    <t>c305</t>
  </si>
  <si>
    <t xml:space="preserve">305 - Juros de Ref. Recursos Ano (Anualiz.) </t>
  </si>
  <si>
    <t>c306</t>
  </si>
  <si>
    <t>306 - Margem (Ano) Anualizada</t>
  </si>
  <si>
    <t>MIT90/23A0/Via fich. Ajuste
se ajuste e c306=0, então c306= c302-c303-c304+c305</t>
  </si>
  <si>
    <t>c310</t>
  </si>
  <si>
    <t>310 - Resultados de Oper. Financeiras (ROF)</t>
  </si>
  <si>
    <t>/Via fich. Ajuste</t>
  </si>
  <si>
    <t>ac310</t>
  </si>
  <si>
    <t>310 - Resultados de Oper. Financeiras (ROF) acumulado Ano</t>
  </si>
  <si>
    <t>c325</t>
  </si>
  <si>
    <t>325 - Nº Cartões activos</t>
  </si>
  <si>
    <t>c332</t>
  </si>
  <si>
    <t>332 - Provisões Imparidade</t>
  </si>
  <si>
    <t>MIT90/23A0/Via fich. Ajuste
quando recebe ficheiro de Imparidade insere linhas a partir dessa informação na partição da data de referencia recebida</t>
  </si>
  <si>
    <t>c332mant</t>
  </si>
  <si>
    <t>332 - Provisões Imparidade mês anterior</t>
  </si>
  <si>
    <t>c375</t>
  </si>
  <si>
    <t>375 - SP para Créd.Vencido</t>
  </si>
  <si>
    <t>c376</t>
  </si>
  <si>
    <t>376 - Fluxo Provisões para Cobrança Duvidosa</t>
  </si>
  <si>
    <t>MIT90/23A0
Ajutes: calcula c263(mês)-c263(mês ant)</t>
  </si>
  <si>
    <t>c377</t>
  </si>
  <si>
    <t>377 - Variação Provisões Risco de Crédito</t>
  </si>
  <si>
    <t>MIT90/23A0
Ajutes: calcula c264(mês)-c264(mês ant)</t>
  </si>
  <si>
    <t>c382</t>
  </si>
  <si>
    <t>382 - Entrada CV</t>
  </si>
  <si>
    <t>c389</t>
  </si>
  <si>
    <t>389 - SP - Produção</t>
  </si>
  <si>
    <t>calculado : "008"+"009"+"011"
MIT90 - calcula com: 008 - SP Contas Novas + 009 - SP Contas Renovadas + 011 - SP Var. + de Saldo
Ajuste - calcula com: 008 - SP Contas Novas + 009 - SP Contas Renovadas + 011 - SP Var. + de Saldo</t>
  </si>
  <si>
    <t>c392</t>
  </si>
  <si>
    <t>392 - Créd. Venc. + Variação Abatidos ao Activo</t>
  </si>
  <si>
    <t>"245"-"244"</t>
  </si>
  <si>
    <t>c393</t>
  </si>
  <si>
    <t>393 - Juros Anulados no Mês</t>
  </si>
  <si>
    <t>c394</t>
  </si>
  <si>
    <t>394 - MF Meses Anteriores</t>
  </si>
  <si>
    <r>
      <t xml:space="preserve">calculado: </t>
    </r>
    <r>
      <rPr>
        <strike/>
        <sz val="11"/>
        <color theme="1"/>
        <rFont val="Calibri"/>
        <family val="2"/>
        <scheme val="minor"/>
      </rPr>
      <t>c395-c430-c396+c431</t>
    </r>
    <r>
      <rPr>
        <sz val="11"/>
        <color theme="1"/>
        <rFont val="Calibri"/>
        <family val="2"/>
        <scheme val="minor"/>
      </rPr>
      <t xml:space="preserve"> 
         c182(mês)-c182(mês ant)-c183
/Via fich. Ajuste
Se ajuste ao 394, então o 395 se for zero fica com: 394+430+396-431</t>
    </r>
  </si>
  <si>
    <t>c395</t>
  </si>
  <si>
    <t>395 - Juros Proveitos de Meses Anteriores</t>
  </si>
  <si>
    <t>c396</t>
  </si>
  <si>
    <t>396 - Juros Custos de Meses Anteriores</t>
  </si>
  <si>
    <t>c397</t>
  </si>
  <si>
    <t>397 - Juros Custos de Anos Anteriores</t>
  </si>
  <si>
    <t>c408</t>
  </si>
  <si>
    <t>408 - Juros Extraordinários</t>
  </si>
  <si>
    <t>c409</t>
  </si>
  <si>
    <t>409 - Juros Manuais</t>
  </si>
  <si>
    <t>c410</t>
  </si>
  <si>
    <t>410 - Juros não Pagos</t>
  </si>
  <si>
    <t>c411</t>
  </si>
  <si>
    <t>411 - Juros Mínimos</t>
  </si>
  <si>
    <t>c421</t>
  </si>
  <si>
    <t>421 - SMV Efectivo Mês</t>
  </si>
  <si>
    <t>c422</t>
  </si>
  <si>
    <t>422 - SMV Efectivo Ano</t>
  </si>
  <si>
    <t>c430</t>
  </si>
  <si>
    <t>430 - Juros de Ref. Credito de Meses Anteriores</t>
  </si>
  <si>
    <t>c431</t>
  </si>
  <si>
    <t>431 - Juros de Ref. Recursos de Meses Anteriores</t>
  </si>
  <si>
    <t>c432</t>
  </si>
  <si>
    <t>432 - Juros de Ref. Credito de Anos Anteriores</t>
  </si>
  <si>
    <t>c433</t>
  </si>
  <si>
    <t>433 - Juros de Ref. Recursos de Anos Anteriores</t>
  </si>
  <si>
    <t>c434</t>
  </si>
  <si>
    <t>434 - GSI Morosidade</t>
  </si>
  <si>
    <t>c436</t>
  </si>
  <si>
    <t>436 - Numerador Spread Ponderado Mês</t>
  </si>
  <si>
    <t>c437</t>
  </si>
  <si>
    <t>437 - Numerador Spread Ponderado Ano</t>
  </si>
  <si>
    <t>c438</t>
  </si>
  <si>
    <t>438 - Numerador Spread Ponderado Contas Novas</t>
  </si>
  <si>
    <t>c439</t>
  </si>
  <si>
    <t>439 - Numerador Spread Ponderado Contas Liquidadas</t>
  </si>
  <si>
    <t>c440</t>
  </si>
  <si>
    <t>440 - Numerador Taxa Ponderado Mês</t>
  </si>
  <si>
    <t>c441</t>
  </si>
  <si>
    <t>441 - Numerador Taxa Ponderado Ano</t>
  </si>
  <si>
    <t>c442</t>
  </si>
  <si>
    <t>442 - Numerador Taxa Ponderado Contas Novas</t>
  </si>
  <si>
    <t>c443</t>
  </si>
  <si>
    <t>443 - SMV Efectivo Contas Novas</t>
  </si>
  <si>
    <t>c450</t>
  </si>
  <si>
    <t>450 - Perdão de Abatidos ao Activo</t>
  </si>
  <si>
    <t>c451</t>
  </si>
  <si>
    <t>451 - Perdão de Credito Vencido</t>
  </si>
  <si>
    <t>ac451</t>
  </si>
  <si>
    <t>AC451 - Perdão de Credito Vencido ac ano</t>
  </si>
  <si>
    <t>c482</t>
  </si>
  <si>
    <t>482 - Prémio Liquidez Recursos Ano (Anualiz.)</t>
  </si>
  <si>
    <t>c483</t>
  </si>
  <si>
    <t>483 - Prémio Liquidez Crédito Ano (Anualiz.)</t>
  </si>
  <si>
    <t>c484</t>
  </si>
  <si>
    <t>484 - Prémio Liquidez Recursos Mês</t>
  </si>
  <si>
    <t>c485</t>
  </si>
  <si>
    <t>485 - Prémio Liquidez Crédito Mês</t>
  </si>
  <si>
    <t>c486</t>
  </si>
  <si>
    <t>486 - Prémio Liquidez Recursos Meses anteriores</t>
  </si>
  <si>
    <t>c487</t>
  </si>
  <si>
    <t>487 - Prémio Liquidez Crédito Meses anteriores</t>
  </si>
  <si>
    <t>c488</t>
  </si>
  <si>
    <t>488 - Prémio Liquidez Recursos Ano</t>
  </si>
  <si>
    <t>23A0
Ajuste - acumula o 484+486</t>
  </si>
  <si>
    <t>c489</t>
  </si>
  <si>
    <t>489 - Prémio Liquidez Crédito Ano</t>
  </si>
  <si>
    <t>23A0
Ajuste - acumula o 485 +487</t>
  </si>
  <si>
    <t>c490</t>
  </si>
  <si>
    <t>490 - Margem Financeira Sem Prémio Liquidez</t>
  </si>
  <si>
    <t>23A0
Ajustes calcula com: c183+c485-c484</t>
  </si>
  <si>
    <t>c492</t>
  </si>
  <si>
    <t>492 - Numerador Spread Pond. Mês Sem Prémio Liquidez</t>
  </si>
  <si>
    <t>c494</t>
  </si>
  <si>
    <t>494 - Numerador Spread Pond. Ctas Novas Sem Prémio Liqui</t>
  </si>
  <si>
    <t>c496</t>
  </si>
  <si>
    <t>496 - Numerador Spread Pond. Ano Sem Prémio Liquidez</t>
  </si>
  <si>
    <t>c497</t>
  </si>
  <si>
    <t>497 - MF Acumulada do Ano Sem Prémio Liquidez</t>
  </si>
  <si>
    <t>23A0
Ajuste - acumula o c490 + c394</t>
  </si>
  <si>
    <t>c497mant</t>
  </si>
  <si>
    <t>497 - MF Acumulada do Ano Sem Prémio Liquidez mês anterior</t>
  </si>
  <si>
    <t>23a0
Apenas serve de referência para calculo de outros KPM
=497(mês)-c490-c394</t>
  </si>
  <si>
    <t>c498</t>
  </si>
  <si>
    <t>498 - Numerador Tx Média Prémio Liquidez Pond. Mês</t>
  </si>
  <si>
    <t>c499</t>
  </si>
  <si>
    <t>499 - Numerador Tx Média Prémio Liquidez Pond.Ctas Novas</t>
  </si>
  <si>
    <t>c500</t>
  </si>
  <si>
    <t>500 - Juros de Ref. Crédito Mês (Anualiz.) sem Prémio Li</t>
  </si>
  <si>
    <t>c501</t>
  </si>
  <si>
    <t>501 - Juros de Ref. Recursos Mês (Anualiz.) sem Prémio L</t>
  </si>
  <si>
    <t>c502</t>
  </si>
  <si>
    <t>502 - Juros de Ref. Crédito Ano (Anualiz.) sem Prémio Liquidez</t>
  </si>
  <si>
    <t>c503</t>
  </si>
  <si>
    <t>503 - Juros de Ref. Recursos Ano (Anualiz.) sem Prémio Liquidez</t>
  </si>
  <si>
    <t>c504</t>
  </si>
  <si>
    <t>504 - Numerador Tx Média Prémio Liquidez Pond. Ano</t>
  </si>
  <si>
    <t>c521</t>
  </si>
  <si>
    <t>521 - Mont. Juros Cash-Back Mensal</t>
  </si>
  <si>
    <t>c522</t>
  </si>
  <si>
    <t>522 - Mont. Juros Cash-Back Anual</t>
  </si>
  <si>
    <t>23A0 - automático
Ajustes - acumula ano do 521</t>
  </si>
  <si>
    <t>jurrefaspl</t>
  </si>
  <si>
    <t>Juros Ref.Ano S/ Prémio Liq.</t>
  </si>
  <si>
    <t>para crédito: c300-c489
para recursos: c301-c488</t>
  </si>
  <si>
    <t>jurrefmspl</t>
  </si>
  <si>
    <t>Juros Ref.Mês S/ Prémio Liq.</t>
  </si>
  <si>
    <t>para crédito: c173-c485
para recursos: c174-c484</t>
  </si>
  <si>
    <t>m000</t>
  </si>
  <si>
    <t>M000 - MF Outros</t>
  </si>
  <si>
    <t>calculado: -"393"+"248"-"249"+"408"+"409"-"410"-"411"</t>
  </si>
  <si>
    <t>m001</t>
  </si>
  <si>
    <t>M001 - Margem Financeira Sem Prémio Liquidez meses anteriores</t>
  </si>
  <si>
    <t>calculado:
"MF Acumulada do ano sem prémio de liquidez (497) do mês" - "MF Acumulada do ano sem prémio de liquidez (497) do mês anterior" - "Margem Financeira Sem Prémio Liquidez (490) do mes".</t>
  </si>
  <si>
    <t>m008</t>
  </si>
  <si>
    <t>M008 - Entradas em Abatidos ao Activo + Perdão de Credito Vencido(acumulado ano)</t>
  </si>
  <si>
    <t>calculado: Ac243+Ac451</t>
  </si>
  <si>
    <t>m009</t>
  </si>
  <si>
    <t>M009 - Fluxos de provisões de imparidade</t>
  </si>
  <si>
    <t>calculado: c332(mês)-c332(mês ant)+c243+451+M010</t>
  </si>
  <si>
    <t>m010</t>
  </si>
  <si>
    <t>M010 - Ajustes Vendas</t>
  </si>
  <si>
    <t>m011</t>
  </si>
  <si>
    <t>M011 - Ajustes Carteira Rede Integrada</t>
  </si>
  <si>
    <t>m012</t>
  </si>
  <si>
    <t>M012 - Carteira Imparidade Ajustada</t>
  </si>
  <si>
    <t>calculado: M011+332</t>
  </si>
  <si>
    <t>m013</t>
  </si>
  <si>
    <t>M013 - Ajustes Vendas VE</t>
  </si>
  <si>
    <t>m017</t>
  </si>
  <si>
    <t>M017 - Custos c/ Pessoal - Directos</t>
  </si>
  <si>
    <t>am017</t>
  </si>
  <si>
    <t>AM017 - Custos c/ Pessoal - Directos acumulado Ano</t>
  </si>
  <si>
    <t>m018</t>
  </si>
  <si>
    <t>M018 - Gastos Gerais - Directos</t>
  </si>
  <si>
    <t>am018</t>
  </si>
  <si>
    <t>AM018 - Gastos Gerais - Directos acumulado Ano</t>
  </si>
  <si>
    <t>m019</t>
  </si>
  <si>
    <t>M019 - Custos c/ Pessoal - Imputados</t>
  </si>
  <si>
    <t>am019</t>
  </si>
  <si>
    <t>AM019 - Custos c/ Pessoal - Imputados acumulado Ano</t>
  </si>
  <si>
    <t>m020</t>
  </si>
  <si>
    <t>M020 - Gastos Gerais - Imputados</t>
  </si>
  <si>
    <t>am020</t>
  </si>
  <si>
    <t>AM020 - Gastos Gerais - Imputados acumulado Ano</t>
  </si>
  <si>
    <t>m021</t>
  </si>
  <si>
    <t>M021 - Provisões Outros</t>
  </si>
  <si>
    <t>m022</t>
  </si>
  <si>
    <t>M022 - Entradas em Crédito Vencido de 0-90 dias</t>
  </si>
  <si>
    <t>m023</t>
  </si>
  <si>
    <t>M023 - Recuperações em Crédito Vencido de 0-90 dias</t>
  </si>
  <si>
    <t>m024</t>
  </si>
  <si>
    <t>M024 - Entradas em Crédito Vencido de +90 dias</t>
  </si>
  <si>
    <t>m025</t>
  </si>
  <si>
    <t>M025 - Recuperações em Crédito Vencido de +90 dias</t>
  </si>
  <si>
    <t>m026</t>
  </si>
  <si>
    <t>M026 - Write-Offs 0-90 dias</t>
  </si>
  <si>
    <t>m027</t>
  </si>
  <si>
    <t>M027 - Outros 0-90 dias</t>
  </si>
  <si>
    <t>m028</t>
  </si>
  <si>
    <t>M028 - Write-Offs 0-90 dias</t>
  </si>
  <si>
    <t>m029</t>
  </si>
  <si>
    <t>M029 - Outros 0-90 dias</t>
  </si>
  <si>
    <t>m059</t>
  </si>
  <si>
    <t>M059 - Colaboradores</t>
  </si>
  <si>
    <t>m063</t>
  </si>
  <si>
    <t>M063 - Amortizações</t>
  </si>
  <si>
    <t>am063</t>
  </si>
  <si>
    <t>AM063 - Amortizações acumulado ano</t>
  </si>
  <si>
    <t>m071</t>
  </si>
  <si>
    <t>M071 - Morosidade de Gestão</t>
  </si>
  <si>
    <t>m072</t>
  </si>
  <si>
    <t>M072 - Irregulares</t>
  </si>
  <si>
    <t>m073</t>
  </si>
  <si>
    <t>M073 - Capital Próprio</t>
  </si>
  <si>
    <t>m074</t>
  </si>
  <si>
    <t>M074 - Rentabilidade do Capital</t>
  </si>
  <si>
    <t>m076</t>
  </si>
  <si>
    <t>M076 - Impostos</t>
  </si>
  <si>
    <t>calculado: Se metamis é Volume Negócio: (183+394+c248+c249+M000+c310+M017+M018+M019+M020+M063+M074+M079+c028+M009)*31%*-1
se metamis não é volume Negócio: (c248+c249+M000+c310+M017+M018+M019+M020+M063+M074+M079+c028+M009)*31%*-1
/Via fich. Ajuste - se valor for inserido no ficheiro, não é feito qualquer cálculo, senão aplica fórmula acima
NOTA: os 31% serão parametrizáveis</t>
  </si>
  <si>
    <t>m077</t>
  </si>
  <si>
    <t>M077 - Premio Liquidez Outros</t>
  </si>
  <si>
    <t>am077</t>
  </si>
  <si>
    <t>M077 - Premio Liquidez Outros acumulado Ano</t>
  </si>
  <si>
    <t>m078</t>
  </si>
  <si>
    <t>M078 - Marg. Fin. sem Premio Liquidez Outros</t>
  </si>
  <si>
    <t>am078</t>
  </si>
  <si>
    <t>M078 - Marg. Fin. sem Premio Liquidez Outros acumulado Ano</t>
  </si>
  <si>
    <t>acumula ano M078</t>
  </si>
  <si>
    <t>m079</t>
  </si>
  <si>
    <t>M079 - FUR/Fundo Garantia Depósitos</t>
  </si>
  <si>
    <t>am079</t>
  </si>
  <si>
    <t>FUR/Fundo Garantia Depósitos ac ano</t>
  </si>
  <si>
    <t>m080</t>
  </si>
  <si>
    <t>M080 - InterNegócios Mês</t>
  </si>
  <si>
    <t>am080</t>
  </si>
  <si>
    <t>M080 - InterNegócios Mês acumulado Ano</t>
  </si>
  <si>
    <t>m081</t>
  </si>
  <si>
    <t>M081 - Adjudicados total mês</t>
  </si>
  <si>
    <t>calculado: M081 (mês anterior) + M082-M083</t>
  </si>
  <si>
    <t>m081mant</t>
  </si>
  <si>
    <t>M081 - Adjudicados total mês anterior</t>
  </si>
  <si>
    <t>calculado - obtem o valor do M081 do mês anterior</t>
  </si>
  <si>
    <t>m082</t>
  </si>
  <si>
    <t>M082 - Entradas mês - Adjudicados</t>
  </si>
  <si>
    <t>m083</t>
  </si>
  <si>
    <t>M083 - Saídas mês - Adjudicados</t>
  </si>
  <si>
    <t>m084</t>
  </si>
  <si>
    <t>M084 - Gastos (netos) por eventos de Riesgo operacional</t>
  </si>
  <si>
    <t>am084</t>
  </si>
  <si>
    <t>AM085 - Gastos (netos) por eventos de Riesgo operacional ac ano</t>
  </si>
  <si>
    <t>m085</t>
  </si>
  <si>
    <t>M085 - Otros Ingresos de Explotación</t>
  </si>
  <si>
    <t>am085</t>
  </si>
  <si>
    <t>AM085 - Otros Ingresos de Explotación ac ano</t>
  </si>
  <si>
    <t>m086</t>
  </si>
  <si>
    <t>M086 - Otros Gastos de Explotación</t>
  </si>
  <si>
    <t>am086</t>
  </si>
  <si>
    <t>AM086 - Otros Gastos de Explotación ac ano</t>
  </si>
  <si>
    <t>m087</t>
  </si>
  <si>
    <t>M087 - Activos Materiales</t>
  </si>
  <si>
    <t>m094</t>
  </si>
  <si>
    <t>M094 - Desarrollos informáticos</t>
  </si>
  <si>
    <t>m096</t>
  </si>
  <si>
    <t>M096 - Fondo de Comercio</t>
  </si>
  <si>
    <t>m098</t>
  </si>
  <si>
    <t>M098 - Ingresos de Actividad de Seguros</t>
  </si>
  <si>
    <t>am098</t>
  </si>
  <si>
    <t>AM098 - Ingresos de Actividad de Seguros ac ano</t>
  </si>
  <si>
    <t>m099</t>
  </si>
  <si>
    <t>M099 - Gastos de Actividad de Seguros</t>
  </si>
  <si>
    <t>am099</t>
  </si>
  <si>
    <t>AM099 - Gastos de Actividad de Seguros ac ano</t>
  </si>
  <si>
    <t>m100</t>
  </si>
  <si>
    <t>M100 - Ingresos de Leasing Operativo</t>
  </si>
  <si>
    <t>am100</t>
  </si>
  <si>
    <t>AM100 - Ingresos de Leasing Operativo ac ano</t>
  </si>
  <si>
    <t>m101</t>
  </si>
  <si>
    <t>M101 - Gastos de Leasing Operativo</t>
  </si>
  <si>
    <t>am101</t>
  </si>
  <si>
    <t>AM101 - Gastos de Leasing Operativo ac ano</t>
  </si>
  <si>
    <t>m102</t>
  </si>
  <si>
    <t>M102 - Comisiones Compensatorias</t>
  </si>
  <si>
    <t>am102</t>
  </si>
  <si>
    <t>AM102 - Comisiones Compensatorias ac ano</t>
  </si>
  <si>
    <t>origem</t>
  </si>
  <si>
    <t>Origem do Registo</t>
  </si>
  <si>
    <t>MIS/MANUAL</t>
  </si>
  <si>
    <t>tipo_contrato</t>
  </si>
  <si>
    <t>Tipo de Contrato</t>
  </si>
  <si>
    <t xml:space="preserve">CA - Contarto automático - origem mit15/mit90/23a0
CM - Contrato Manual - origem ficheiro de ajustes
CAM - Contrato automático manual - origem ajustes mês anterior (calculo de acumulados ano)
Faz partição por este campo </t>
  </si>
  <si>
    <t>REF_DATE</t>
  </si>
  <si>
    <t>Data referência do registo</t>
  </si>
  <si>
    <t>Data de processamento da criação do registo</t>
  </si>
  <si>
    <t>métricas usadas no RoRWA</t>
  </si>
  <si>
    <t>Dashboard</t>
  </si>
  <si>
    <t>Margem Financeira</t>
  </si>
  <si>
    <t>ct209_rent_kpm</t>
  </si>
  <si>
    <t>M000</t>
  </si>
  <si>
    <t>ROF</t>
  </si>
  <si>
    <t>OREX</t>
  </si>
  <si>
    <t>Comissões</t>
  </si>
  <si>
    <t xml:space="preserve">ct211_rent_kpmco </t>
  </si>
  <si>
    <t>c028</t>
  </si>
  <si>
    <t>Provisões</t>
  </si>
  <si>
    <t>M009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</si>
</sst>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A6A6A6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rgb="FF7F7F7F"/>
      </top>
      <bottom/>
      <diagonal/>
    </border>
    <border>
      <left style="thin">
        <color indexed="64"/>
      </left>
      <right/>
      <top/>
      <bottom style="thin">
        <color rgb="FFA6A6A6"/>
      </bottom>
      <diagonal/>
    </border>
    <border>
      <left style="thin">
        <color indexed="64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/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/>
    <xf numFmtId="0" fontId="1" fillId="0" borderId="1" xfId="0" applyFont="1" applyBorder="1" applyAlignment="1">
      <alignment horizontal="left"/>
    </xf>
    <xf numFmtId="0" fontId="6" fillId="6" borderId="3" xfId="0" applyFont="1" applyFill="1" applyBorder="1" applyAlignment="1">
      <alignment horizontal="center" vertical="center" wrapText="1" readingOrder="1"/>
    </xf>
    <xf numFmtId="0" fontId="6" fillId="6" borderId="3" xfId="0" applyFont="1" applyFill="1" applyBorder="1" applyAlignment="1">
      <alignment horizontal="left" vertical="center" wrapText="1" readingOrder="1"/>
    </xf>
    <xf numFmtId="0" fontId="6" fillId="6" borderId="4" xfId="0" applyFont="1" applyFill="1" applyBorder="1" applyAlignment="1">
      <alignment horizontal="center" vertical="center" wrapText="1" readingOrder="1"/>
    </xf>
    <xf numFmtId="0" fontId="6" fillId="6" borderId="9" xfId="0" applyFont="1" applyFill="1" applyBorder="1" applyAlignment="1">
      <alignment horizontal="center" vertical="center" wrapText="1" readingOrder="1"/>
    </xf>
    <xf numFmtId="0" fontId="0" fillId="0" borderId="10" xfId="0" applyBorder="1"/>
    <xf numFmtId="0" fontId="0" fillId="0" borderId="12" xfId="0" applyBorder="1"/>
    <xf numFmtId="0" fontId="6" fillId="5" borderId="14" xfId="0" applyFont="1" applyFill="1" applyBorder="1" applyAlignment="1">
      <alignment horizontal="left" vertical="top" wrapText="1" readingOrder="1"/>
    </xf>
    <xf numFmtId="0" fontId="6" fillId="5" borderId="14" xfId="0" applyFont="1" applyFill="1" applyBorder="1" applyAlignment="1">
      <alignment horizontal="left" vertical="center" wrapText="1" readingOrder="1"/>
    </xf>
    <xf numFmtId="0" fontId="6" fillId="5" borderId="17" xfId="0" applyFont="1" applyFill="1" applyBorder="1" applyAlignment="1">
      <alignment horizontal="left" vertical="center" wrapText="1" readingOrder="1"/>
    </xf>
    <xf numFmtId="0" fontId="6" fillId="6" borderId="18" xfId="0" applyFont="1" applyFill="1" applyBorder="1" applyAlignment="1">
      <alignment horizontal="left" vertical="center" wrapText="1" readingOrder="1"/>
    </xf>
    <xf numFmtId="0" fontId="6" fillId="6" borderId="18" xfId="0" applyFont="1" applyFill="1" applyBorder="1" applyAlignment="1">
      <alignment horizontal="center" vertical="center" wrapText="1" readingOrder="1"/>
    </xf>
    <xf numFmtId="0" fontId="0" fillId="0" borderId="19" xfId="0" applyBorder="1"/>
    <xf numFmtId="0" fontId="6" fillId="6" borderId="20" xfId="0" applyFont="1" applyFill="1" applyBorder="1" applyAlignment="1">
      <alignment horizontal="center" vertical="center" wrapText="1" readingOrder="1"/>
    </xf>
    <xf numFmtId="0" fontId="6" fillId="6" borderId="5" xfId="0" applyFont="1" applyFill="1" applyBorder="1" applyAlignment="1">
      <alignment horizontal="center" vertical="center" wrapText="1" readingOrder="1"/>
    </xf>
    <xf numFmtId="0" fontId="4" fillId="7" borderId="0" xfId="0" applyFont="1" applyFill="1" applyAlignment="1">
      <alignment horizontal="centerContinuous"/>
    </xf>
    <xf numFmtId="0" fontId="7" fillId="7" borderId="0" xfId="0" applyFont="1" applyFill="1" applyAlignment="1">
      <alignment horizontal="centerContinuous"/>
    </xf>
    <xf numFmtId="0" fontId="0" fillId="0" borderId="21" xfId="0" applyBorder="1"/>
    <xf numFmtId="0" fontId="5" fillId="5" borderId="7" xfId="0" applyFont="1" applyFill="1" applyBorder="1" applyAlignment="1">
      <alignment horizontal="left" vertical="center" wrapText="1" indent="1" readingOrder="1"/>
    </xf>
    <xf numFmtId="0" fontId="5" fillId="5" borderId="11" xfId="0" applyFont="1" applyFill="1" applyBorder="1" applyAlignment="1">
      <alignment horizontal="left" vertical="center" wrapText="1" indent="1" readingOrder="1"/>
    </xf>
    <xf numFmtId="0" fontId="5" fillId="5" borderId="13" xfId="0" applyFont="1" applyFill="1" applyBorder="1" applyAlignment="1">
      <alignment horizontal="left" vertical="center" wrapText="1" indent="1" readingOrder="1"/>
    </xf>
    <xf numFmtId="0" fontId="6" fillId="6" borderId="8" xfId="0" applyFont="1" applyFill="1" applyBorder="1" applyAlignment="1">
      <alignment horizontal="left" vertical="center" wrapText="1" indent="1" readingOrder="1"/>
    </xf>
    <xf numFmtId="0" fontId="6" fillId="6" borderId="0" xfId="0" applyFont="1" applyFill="1" applyAlignment="1">
      <alignment horizontal="left" vertical="center" wrapText="1" indent="1" readingOrder="1"/>
    </xf>
    <xf numFmtId="0" fontId="6" fillId="6" borderId="2" xfId="0" applyFont="1" applyFill="1" applyBorder="1" applyAlignment="1">
      <alignment horizontal="left" vertical="center" wrapText="1" indent="1" readingOrder="1"/>
    </xf>
    <xf numFmtId="0" fontId="6" fillId="5" borderId="15" xfId="0" applyFont="1" applyFill="1" applyBorder="1" applyAlignment="1">
      <alignment horizontal="left" vertical="center" wrapText="1" indent="1" readingOrder="1"/>
    </xf>
    <xf numFmtId="0" fontId="6" fillId="5" borderId="16" xfId="0" applyFont="1" applyFill="1" applyBorder="1" applyAlignment="1">
      <alignment horizontal="left" vertical="center" wrapText="1" indent="1" readingOrder="1"/>
    </xf>
    <xf numFmtId="0" fontId="6" fillId="6" borderId="5" xfId="0" applyFont="1" applyFill="1" applyBorder="1" applyAlignment="1">
      <alignment horizontal="left" vertical="center" wrapText="1" indent="1" readingOrder="1"/>
    </xf>
    <xf numFmtId="0" fontId="6" fillId="6" borderId="6" xfId="0" applyFont="1" applyFill="1" applyBorder="1" applyAlignment="1">
      <alignment horizontal="left" vertical="center" wrapText="1" indent="1" readingOrder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8"/>
  <sheetViews>
    <sheetView topLeftCell="A161" zoomScale="80" zoomScaleNormal="80" workbookViewId="0">
      <selection activeCell="A169" sqref="A169"/>
    </sheetView>
  </sheetViews>
  <sheetFormatPr defaultColWidth="44.140625" defaultRowHeight="14.45"/>
  <cols>
    <col min="1" max="1" width="12" bestFit="1" customWidth="1"/>
    <col min="2" max="2" width="69.7109375" customWidth="1"/>
    <col min="3" max="3" width="54.85546875" customWidth="1"/>
    <col min="4" max="4" width="8.7109375" customWidth="1"/>
    <col min="5" max="5" width="30.42578125" customWidth="1"/>
    <col min="6" max="6" width="4.140625" customWidth="1"/>
  </cols>
  <sheetData>
    <row r="1" spans="1:18" ht="28.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53" t="s">
        <v>5</v>
      </c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8">
      <c r="A2" s="4" t="s">
        <v>6</v>
      </c>
      <c r="B2" s="5" t="s">
        <v>7</v>
      </c>
      <c r="C2" s="6" t="s">
        <v>8</v>
      </c>
      <c r="D2" s="7"/>
      <c r="E2" s="7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8">
      <c r="A3" s="8" t="s">
        <v>9</v>
      </c>
      <c r="B3" s="8" t="s">
        <v>10</v>
      </c>
      <c r="C3" s="6" t="s">
        <v>8</v>
      </c>
      <c r="D3" s="7"/>
      <c r="E3" s="7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</row>
    <row r="4" spans="1:18">
      <c r="A4" s="8" t="s">
        <v>11</v>
      </c>
      <c r="B4" s="8" t="s">
        <v>12</v>
      </c>
      <c r="C4" s="6" t="s">
        <v>8</v>
      </c>
      <c r="D4" s="7"/>
      <c r="E4" s="7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</row>
    <row r="5" spans="1:18">
      <c r="A5" s="8" t="s">
        <v>13</v>
      </c>
      <c r="B5" s="9" t="s">
        <v>13</v>
      </c>
      <c r="C5" s="6" t="s">
        <v>8</v>
      </c>
      <c r="D5" s="7"/>
      <c r="E5" s="7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</row>
    <row r="6" spans="1:18" ht="86.45">
      <c r="A6" s="8" t="s">
        <v>14</v>
      </c>
      <c r="B6" s="9" t="s">
        <v>15</v>
      </c>
      <c r="C6" s="10" t="s">
        <v>16</v>
      </c>
      <c r="D6" s="7"/>
      <c r="E6" s="7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</row>
    <row r="7" spans="1:18">
      <c r="A7" s="8" t="s">
        <v>17</v>
      </c>
      <c r="B7" s="9" t="s">
        <v>18</v>
      </c>
      <c r="C7" s="6" t="s">
        <v>8</v>
      </c>
      <c r="D7" s="7"/>
      <c r="E7" s="7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8" ht="28.9">
      <c r="A8" s="12" t="s">
        <v>19</v>
      </c>
      <c r="B8" s="12" t="s">
        <v>20</v>
      </c>
      <c r="C8" s="13" t="s">
        <v>21</v>
      </c>
      <c r="D8" s="7"/>
      <c r="E8" s="7"/>
      <c r="G8" s="53" t="s">
        <v>22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</row>
    <row r="9" spans="1:18" ht="28.9">
      <c r="A9" s="12" t="s">
        <v>23</v>
      </c>
      <c r="B9" s="12" t="s">
        <v>24</v>
      </c>
      <c r="C9" s="13" t="s">
        <v>25</v>
      </c>
      <c r="D9" s="7"/>
      <c r="E9" s="7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8">
      <c r="A10" s="14" t="s">
        <v>26</v>
      </c>
      <c r="B10" s="9" t="s">
        <v>27</v>
      </c>
      <c r="C10" s="6" t="s">
        <v>8</v>
      </c>
      <c r="D10" s="7"/>
      <c r="E10" s="7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8">
      <c r="A11" s="15" t="s">
        <v>28</v>
      </c>
      <c r="B11" s="15" t="s">
        <v>29</v>
      </c>
      <c r="C11" s="16" t="s">
        <v>30</v>
      </c>
      <c r="D11" s="7"/>
      <c r="E11" s="7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8">
      <c r="A12" s="17" t="s">
        <v>31</v>
      </c>
      <c r="B12" s="17" t="s">
        <v>32</v>
      </c>
      <c r="C12" s="16" t="s">
        <v>30</v>
      </c>
      <c r="D12" s="7"/>
      <c r="E12" s="7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8">
      <c r="A13" s="18" t="s">
        <v>33</v>
      </c>
      <c r="B13" s="18" t="s">
        <v>34</v>
      </c>
      <c r="C13" s="19"/>
      <c r="D13" s="7"/>
      <c r="E13" s="7"/>
    </row>
    <row r="14" spans="1:18">
      <c r="A14" s="18" t="s">
        <v>35</v>
      </c>
      <c r="B14" s="18" t="s">
        <v>36</v>
      </c>
      <c r="C14" s="19" t="s">
        <v>8</v>
      </c>
      <c r="D14" s="18" t="s">
        <v>37</v>
      </c>
      <c r="E14" s="18"/>
    </row>
    <row r="15" spans="1:18">
      <c r="A15" s="18" t="s">
        <v>38</v>
      </c>
      <c r="B15" s="18" t="s">
        <v>39</v>
      </c>
      <c r="C15" s="19" t="s">
        <v>8</v>
      </c>
      <c r="D15" s="18" t="s">
        <v>37</v>
      </c>
      <c r="E15" s="18"/>
    </row>
    <row r="16" spans="1:18">
      <c r="A16" s="18" t="s">
        <v>40</v>
      </c>
      <c r="B16" s="18" t="s">
        <v>41</v>
      </c>
      <c r="C16" s="19" t="s">
        <v>8</v>
      </c>
      <c r="D16" s="18" t="s">
        <v>37</v>
      </c>
      <c r="E16" s="18"/>
    </row>
    <row r="17" spans="1:5">
      <c r="A17" s="18" t="s">
        <v>42</v>
      </c>
      <c r="B17" s="18" t="s">
        <v>43</v>
      </c>
      <c r="C17" s="19" t="s">
        <v>8</v>
      </c>
      <c r="D17" s="18" t="s">
        <v>37</v>
      </c>
      <c r="E17" s="18"/>
    </row>
    <row r="18" spans="1:5">
      <c r="A18" s="18" t="s">
        <v>44</v>
      </c>
      <c r="B18" s="18" t="s">
        <v>45</v>
      </c>
      <c r="C18" s="19" t="s">
        <v>8</v>
      </c>
      <c r="D18" s="18" t="s">
        <v>37</v>
      </c>
      <c r="E18" s="18"/>
    </row>
    <row r="19" spans="1:5">
      <c r="A19" s="18" t="s">
        <v>46</v>
      </c>
      <c r="B19" s="18" t="s">
        <v>47</v>
      </c>
      <c r="C19" s="19" t="s">
        <v>48</v>
      </c>
      <c r="D19" s="18" t="s">
        <v>37</v>
      </c>
      <c r="E19" s="18"/>
    </row>
    <row r="20" spans="1:5">
      <c r="A20" s="18" t="s">
        <v>49</v>
      </c>
      <c r="B20" s="18" t="s">
        <v>50</v>
      </c>
      <c r="C20" s="19" t="s">
        <v>8</v>
      </c>
      <c r="D20" s="18" t="s">
        <v>37</v>
      </c>
      <c r="E20" s="18"/>
    </row>
    <row r="21" spans="1:5" ht="28.9">
      <c r="A21" s="18" t="s">
        <v>51</v>
      </c>
      <c r="B21" s="18" t="s">
        <v>52</v>
      </c>
      <c r="C21" s="19" t="s">
        <v>53</v>
      </c>
      <c r="D21" s="18"/>
      <c r="E21" s="18"/>
    </row>
    <row r="22" spans="1:5">
      <c r="A22" s="18" t="s">
        <v>54</v>
      </c>
      <c r="B22" s="18" t="s">
        <v>55</v>
      </c>
      <c r="C22" s="19" t="s">
        <v>56</v>
      </c>
      <c r="D22" s="18" t="s">
        <v>37</v>
      </c>
      <c r="E22" s="18"/>
    </row>
    <row r="23" spans="1:5">
      <c r="A23" s="18" t="s">
        <v>57</v>
      </c>
      <c r="B23" s="18" t="s">
        <v>58</v>
      </c>
      <c r="C23" s="19" t="s">
        <v>56</v>
      </c>
      <c r="D23" s="18" t="s">
        <v>37</v>
      </c>
      <c r="E23" s="18"/>
    </row>
    <row r="24" spans="1:5">
      <c r="A24" s="18" t="s">
        <v>59</v>
      </c>
      <c r="B24" s="18" t="s">
        <v>60</v>
      </c>
      <c r="C24" s="19" t="s">
        <v>56</v>
      </c>
      <c r="D24" s="8" t="s">
        <v>37</v>
      </c>
      <c r="E24" s="8"/>
    </row>
    <row r="25" spans="1:5">
      <c r="A25" s="18" t="s">
        <v>61</v>
      </c>
      <c r="B25" s="18" t="s">
        <v>62</v>
      </c>
      <c r="C25" s="19" t="s">
        <v>56</v>
      </c>
      <c r="D25" s="18" t="s">
        <v>37</v>
      </c>
      <c r="E25" s="18"/>
    </row>
    <row r="26" spans="1:5">
      <c r="A26" s="18" t="s">
        <v>63</v>
      </c>
      <c r="B26" s="18" t="s">
        <v>64</v>
      </c>
      <c r="C26" s="19" t="s">
        <v>8</v>
      </c>
      <c r="D26" s="18" t="s">
        <v>37</v>
      </c>
      <c r="E26" s="18"/>
    </row>
    <row r="27" spans="1:5">
      <c r="A27" s="18" t="s">
        <v>65</v>
      </c>
      <c r="B27" s="18" t="s">
        <v>66</v>
      </c>
      <c r="C27" s="19" t="s">
        <v>56</v>
      </c>
      <c r="D27" s="8" t="s">
        <v>37</v>
      </c>
      <c r="E27" s="8"/>
    </row>
    <row r="28" spans="1:5" ht="78" customHeight="1">
      <c r="A28" s="18" t="s">
        <v>67</v>
      </c>
      <c r="B28" s="18" t="s">
        <v>68</v>
      </c>
      <c r="C28" s="19" t="s">
        <v>69</v>
      </c>
      <c r="D28" s="8" t="s">
        <v>37</v>
      </c>
      <c r="E28" s="8"/>
    </row>
    <row r="29" spans="1:5">
      <c r="A29" s="18" t="s">
        <v>70</v>
      </c>
      <c r="B29" s="18" t="s">
        <v>71</v>
      </c>
      <c r="C29" s="19" t="s">
        <v>56</v>
      </c>
      <c r="D29" s="8" t="s">
        <v>37</v>
      </c>
      <c r="E29" s="8"/>
    </row>
    <row r="30" spans="1:5">
      <c r="A30" s="18" t="s">
        <v>72</v>
      </c>
      <c r="B30" s="18" t="s">
        <v>73</v>
      </c>
      <c r="C30" s="19" t="s">
        <v>56</v>
      </c>
      <c r="D30" s="8" t="s">
        <v>37</v>
      </c>
      <c r="E30" s="8"/>
    </row>
    <row r="31" spans="1:5">
      <c r="A31" s="18" t="s">
        <v>74</v>
      </c>
      <c r="B31" s="18" t="s">
        <v>75</v>
      </c>
      <c r="C31" s="19" t="s">
        <v>76</v>
      </c>
      <c r="D31" s="18"/>
      <c r="E31" s="18" t="s">
        <v>77</v>
      </c>
    </row>
    <row r="32" spans="1:5" ht="28.9">
      <c r="A32" s="18" t="s">
        <v>78</v>
      </c>
      <c r="B32" s="18" t="s">
        <v>79</v>
      </c>
      <c r="C32" s="19" t="s">
        <v>80</v>
      </c>
      <c r="D32" s="18"/>
      <c r="E32" s="18" t="s">
        <v>81</v>
      </c>
    </row>
    <row r="33" spans="1:5" ht="43.15">
      <c r="A33" s="18" t="s">
        <v>82</v>
      </c>
      <c r="B33" s="18" t="s">
        <v>83</v>
      </c>
      <c r="C33" s="19" t="s">
        <v>84</v>
      </c>
      <c r="D33" s="8" t="s">
        <v>37</v>
      </c>
      <c r="E33" s="18" t="s">
        <v>81</v>
      </c>
    </row>
    <row r="34" spans="1:5">
      <c r="A34" s="18" t="s">
        <v>85</v>
      </c>
      <c r="B34" s="18" t="s">
        <v>86</v>
      </c>
      <c r="C34" s="19" t="s">
        <v>87</v>
      </c>
      <c r="D34" s="18"/>
      <c r="E34" s="18" t="s">
        <v>77</v>
      </c>
    </row>
    <row r="35" spans="1:5" ht="28.9">
      <c r="A35" s="18" t="s">
        <v>88</v>
      </c>
      <c r="B35" s="18" t="s">
        <v>89</v>
      </c>
      <c r="C35" s="19" t="s">
        <v>90</v>
      </c>
      <c r="D35" s="18"/>
      <c r="E35" s="18" t="s">
        <v>81</v>
      </c>
    </row>
    <row r="36" spans="1:5" ht="43.15">
      <c r="A36" s="18" t="s">
        <v>91</v>
      </c>
      <c r="B36" s="18" t="s">
        <v>92</v>
      </c>
      <c r="C36" s="19" t="s">
        <v>93</v>
      </c>
      <c r="D36" s="18" t="s">
        <v>37</v>
      </c>
      <c r="E36" s="18" t="s">
        <v>81</v>
      </c>
    </row>
    <row r="37" spans="1:5">
      <c r="A37" s="18" t="s">
        <v>94</v>
      </c>
      <c r="B37" s="18" t="s">
        <v>95</v>
      </c>
      <c r="C37" s="19" t="s">
        <v>96</v>
      </c>
      <c r="D37" s="18"/>
      <c r="E37" s="18" t="s">
        <v>77</v>
      </c>
    </row>
    <row r="38" spans="1:5">
      <c r="A38" s="18" t="s">
        <v>97</v>
      </c>
      <c r="B38" s="18" t="s">
        <v>98</v>
      </c>
      <c r="C38" s="19" t="s">
        <v>99</v>
      </c>
      <c r="D38" s="18"/>
      <c r="E38" s="18" t="s">
        <v>81</v>
      </c>
    </row>
    <row r="39" spans="1:5">
      <c r="A39" s="18" t="s">
        <v>100</v>
      </c>
      <c r="B39" s="18" t="s">
        <v>101</v>
      </c>
      <c r="C39" s="19" t="s">
        <v>8</v>
      </c>
      <c r="D39" s="18" t="s">
        <v>37</v>
      </c>
      <c r="E39" s="18"/>
    </row>
    <row r="40" spans="1:5">
      <c r="A40" s="18" t="s">
        <v>102</v>
      </c>
      <c r="B40" s="18" t="s">
        <v>103</v>
      </c>
      <c r="C40" s="19" t="s">
        <v>8</v>
      </c>
      <c r="D40" s="18" t="s">
        <v>37</v>
      </c>
      <c r="E40" s="18"/>
    </row>
    <row r="41" spans="1:5">
      <c r="A41" s="18" t="s">
        <v>104</v>
      </c>
      <c r="B41" s="18" t="s">
        <v>105</v>
      </c>
      <c r="C41" s="19" t="s">
        <v>8</v>
      </c>
      <c r="D41" s="18" t="s">
        <v>37</v>
      </c>
      <c r="E41" s="18"/>
    </row>
    <row r="42" spans="1:5">
      <c r="A42" s="18" t="s">
        <v>106</v>
      </c>
      <c r="B42" s="18" t="s">
        <v>107</v>
      </c>
      <c r="C42" s="19" t="s">
        <v>8</v>
      </c>
      <c r="D42" s="18" t="s">
        <v>37</v>
      </c>
      <c r="E42" s="18"/>
    </row>
    <row r="43" spans="1:5">
      <c r="A43" s="18" t="s">
        <v>108</v>
      </c>
      <c r="B43" s="18" t="s">
        <v>109</v>
      </c>
      <c r="C43" s="19" t="s">
        <v>8</v>
      </c>
      <c r="D43" s="18" t="s">
        <v>37</v>
      </c>
      <c r="E43" s="18"/>
    </row>
    <row r="44" spans="1:5">
      <c r="A44" s="18" t="s">
        <v>110</v>
      </c>
      <c r="B44" s="18" t="s">
        <v>111</v>
      </c>
      <c r="C44" s="19" t="s">
        <v>8</v>
      </c>
      <c r="D44" s="18" t="s">
        <v>37</v>
      </c>
      <c r="E44" s="18"/>
    </row>
    <row r="45" spans="1:5">
      <c r="A45" s="18" t="s">
        <v>112</v>
      </c>
      <c r="B45" s="18" t="s">
        <v>113</v>
      </c>
      <c r="C45" s="19" t="s">
        <v>8</v>
      </c>
      <c r="D45" s="18" t="s">
        <v>37</v>
      </c>
      <c r="E45" s="18"/>
    </row>
    <row r="46" spans="1:5">
      <c r="A46" s="20" t="s">
        <v>114</v>
      </c>
      <c r="B46" s="20" t="s">
        <v>115</v>
      </c>
      <c r="C46" s="21" t="s">
        <v>116</v>
      </c>
      <c r="D46" s="18"/>
      <c r="E46" s="18"/>
    </row>
    <row r="47" spans="1:5">
      <c r="A47" s="18" t="s">
        <v>117</v>
      </c>
      <c r="B47" s="18" t="s">
        <v>118</v>
      </c>
      <c r="C47" s="19" t="s">
        <v>8</v>
      </c>
      <c r="D47" s="18" t="s">
        <v>37</v>
      </c>
      <c r="E47" s="18"/>
    </row>
    <row r="48" spans="1:5" ht="28.9">
      <c r="A48" s="18" t="s">
        <v>119</v>
      </c>
      <c r="B48" s="18" t="s">
        <v>120</v>
      </c>
      <c r="C48" s="19" t="s">
        <v>121</v>
      </c>
      <c r="D48" s="18"/>
      <c r="E48" s="18"/>
    </row>
    <row r="49" spans="1:5">
      <c r="A49" s="18" t="s">
        <v>122</v>
      </c>
      <c r="B49" s="18" t="s">
        <v>123</v>
      </c>
      <c r="C49" s="19" t="s">
        <v>56</v>
      </c>
      <c r="D49" s="18" t="s">
        <v>37</v>
      </c>
      <c r="E49" s="18"/>
    </row>
    <row r="50" spans="1:5">
      <c r="A50" s="18" t="s">
        <v>124</v>
      </c>
      <c r="B50" s="18" t="s">
        <v>125</v>
      </c>
      <c r="C50" s="19" t="s">
        <v>116</v>
      </c>
      <c r="D50" s="18"/>
      <c r="E50" s="18"/>
    </row>
    <row r="51" spans="1:5">
      <c r="A51" s="18" t="s">
        <v>126</v>
      </c>
      <c r="B51" s="18" t="s">
        <v>127</v>
      </c>
      <c r="C51" s="19" t="s">
        <v>56</v>
      </c>
      <c r="D51" s="18" t="s">
        <v>37</v>
      </c>
      <c r="E51" s="18"/>
    </row>
    <row r="52" spans="1:5">
      <c r="A52" s="18" t="s">
        <v>128</v>
      </c>
      <c r="B52" s="18" t="s">
        <v>129</v>
      </c>
      <c r="C52" s="19" t="s">
        <v>8</v>
      </c>
      <c r="D52" s="18" t="s">
        <v>37</v>
      </c>
      <c r="E52" s="18"/>
    </row>
    <row r="53" spans="1:5">
      <c r="A53" s="18" t="s">
        <v>130</v>
      </c>
      <c r="B53" s="18" t="s">
        <v>131</v>
      </c>
      <c r="C53" s="19" t="s">
        <v>8</v>
      </c>
      <c r="D53" s="18" t="s">
        <v>37</v>
      </c>
      <c r="E53" s="18"/>
    </row>
    <row r="54" spans="1:5" ht="28.9">
      <c r="A54" s="18" t="s">
        <v>132</v>
      </c>
      <c r="B54" s="22" t="s">
        <v>133</v>
      </c>
      <c r="C54" s="23" t="s">
        <v>134</v>
      </c>
      <c r="D54" s="18"/>
      <c r="E54" s="18"/>
    </row>
    <row r="55" spans="1:5">
      <c r="A55" s="18" t="s">
        <v>135</v>
      </c>
      <c r="B55" s="18" t="s">
        <v>136</v>
      </c>
      <c r="C55" s="19" t="s">
        <v>8</v>
      </c>
      <c r="D55" s="18" t="s">
        <v>37</v>
      </c>
      <c r="E55" s="18"/>
    </row>
    <row r="56" spans="1:5" ht="28.9">
      <c r="A56" s="18" t="s">
        <v>137</v>
      </c>
      <c r="B56" s="22" t="s">
        <v>138</v>
      </c>
      <c r="C56" s="23" t="s">
        <v>134</v>
      </c>
      <c r="D56" s="18"/>
      <c r="E56" s="18"/>
    </row>
    <row r="57" spans="1:5">
      <c r="A57" s="18" t="s">
        <v>139</v>
      </c>
      <c r="B57" s="18" t="s">
        <v>140</v>
      </c>
      <c r="C57" s="19" t="s">
        <v>8</v>
      </c>
      <c r="D57" s="18" t="s">
        <v>37</v>
      </c>
      <c r="E57" s="18"/>
    </row>
    <row r="58" spans="1:5">
      <c r="A58" s="18" t="s">
        <v>141</v>
      </c>
      <c r="B58" s="18" t="s">
        <v>142</v>
      </c>
      <c r="C58" s="19" t="s">
        <v>8</v>
      </c>
      <c r="D58" s="18" t="s">
        <v>37</v>
      </c>
      <c r="E58" s="18"/>
    </row>
    <row r="59" spans="1:5">
      <c r="A59" s="18" t="s">
        <v>143</v>
      </c>
      <c r="B59" s="18" t="s">
        <v>144</v>
      </c>
      <c r="C59" s="19" t="s">
        <v>8</v>
      </c>
      <c r="D59" s="18" t="s">
        <v>37</v>
      </c>
      <c r="E59" s="18"/>
    </row>
    <row r="60" spans="1:5" ht="28.9">
      <c r="A60" s="18" t="s">
        <v>145</v>
      </c>
      <c r="B60" s="18" t="s">
        <v>146</v>
      </c>
      <c r="C60" s="19" t="s">
        <v>147</v>
      </c>
      <c r="D60" s="18"/>
      <c r="E60" s="18"/>
    </row>
    <row r="61" spans="1:5" ht="28.9">
      <c r="A61" s="18" t="s">
        <v>148</v>
      </c>
      <c r="B61" s="18" t="s">
        <v>149</v>
      </c>
      <c r="C61" s="19" t="s">
        <v>150</v>
      </c>
      <c r="D61" s="18"/>
      <c r="E61" s="18"/>
    </row>
    <row r="62" spans="1:5" ht="28.9">
      <c r="A62" s="18" t="s">
        <v>151</v>
      </c>
      <c r="B62" s="18" t="s">
        <v>152</v>
      </c>
      <c r="C62" s="19" t="s">
        <v>153</v>
      </c>
      <c r="D62" s="18"/>
      <c r="E62" s="18"/>
    </row>
    <row r="63" spans="1:5" ht="28.9">
      <c r="A63" s="18" t="s">
        <v>154</v>
      </c>
      <c r="B63" s="18" t="s">
        <v>155</v>
      </c>
      <c r="C63" s="19" t="s">
        <v>156</v>
      </c>
      <c r="D63" s="18"/>
      <c r="E63" s="18"/>
    </row>
    <row r="64" spans="1:5" ht="28.9">
      <c r="A64" s="18" t="s">
        <v>157</v>
      </c>
      <c r="B64" s="18" t="s">
        <v>158</v>
      </c>
      <c r="C64" s="19" t="s">
        <v>159</v>
      </c>
      <c r="D64" s="18" t="s">
        <v>37</v>
      </c>
      <c r="E64" s="18"/>
    </row>
    <row r="65" spans="1:5">
      <c r="A65" s="18" t="s">
        <v>160</v>
      </c>
      <c r="B65" s="18" t="s">
        <v>161</v>
      </c>
      <c r="C65" s="19" t="s">
        <v>8</v>
      </c>
      <c r="D65" s="18" t="s">
        <v>37</v>
      </c>
      <c r="E65" s="18"/>
    </row>
    <row r="66" spans="1:5" ht="28.9">
      <c r="A66" s="18" t="s">
        <v>162</v>
      </c>
      <c r="B66" s="18" t="s">
        <v>163</v>
      </c>
      <c r="C66" s="19" t="s">
        <v>164</v>
      </c>
      <c r="D66" s="18" t="s">
        <v>37</v>
      </c>
      <c r="E66" s="18"/>
    </row>
    <row r="67" spans="1:5">
      <c r="A67" s="18" t="s">
        <v>165</v>
      </c>
      <c r="B67" s="18" t="s">
        <v>166</v>
      </c>
      <c r="C67" s="19" t="s">
        <v>8</v>
      </c>
      <c r="D67" s="18" t="s">
        <v>37</v>
      </c>
      <c r="E67" s="18"/>
    </row>
    <row r="68" spans="1:5" ht="28.9">
      <c r="A68" s="18" t="s">
        <v>167</v>
      </c>
      <c r="B68" s="18" t="s">
        <v>168</v>
      </c>
      <c r="C68" s="19" t="s">
        <v>169</v>
      </c>
      <c r="D68" s="18" t="s">
        <v>37</v>
      </c>
      <c r="E68" s="18"/>
    </row>
    <row r="69" spans="1:5">
      <c r="A69" s="18" t="s">
        <v>170</v>
      </c>
      <c r="B69" s="18" t="s">
        <v>171</v>
      </c>
      <c r="C69" s="19" t="s">
        <v>172</v>
      </c>
      <c r="D69" s="18" t="s">
        <v>37</v>
      </c>
      <c r="E69" s="18"/>
    </row>
    <row r="70" spans="1:5">
      <c r="A70" s="18" t="s">
        <v>173</v>
      </c>
      <c r="B70" s="18" t="s">
        <v>174</v>
      </c>
      <c r="C70" s="19" t="s">
        <v>116</v>
      </c>
      <c r="D70" s="18"/>
      <c r="E70" s="18"/>
    </row>
    <row r="71" spans="1:5">
      <c r="A71" s="18" t="s">
        <v>175</v>
      </c>
      <c r="B71" s="18" t="s">
        <v>176</v>
      </c>
      <c r="C71" s="19" t="s">
        <v>8</v>
      </c>
      <c r="D71" s="18" t="s">
        <v>37</v>
      </c>
      <c r="E71" s="18"/>
    </row>
    <row r="72" spans="1:5" ht="43.15">
      <c r="A72" s="18" t="s">
        <v>177</v>
      </c>
      <c r="B72" s="18" t="s">
        <v>178</v>
      </c>
      <c r="C72" s="19" t="s">
        <v>179</v>
      </c>
      <c r="D72" s="18" t="s">
        <v>37</v>
      </c>
      <c r="E72" s="18"/>
    </row>
    <row r="73" spans="1:5" ht="28.9">
      <c r="A73" s="18" t="s">
        <v>180</v>
      </c>
      <c r="B73" s="22" t="s">
        <v>181</v>
      </c>
      <c r="C73" s="23" t="s">
        <v>134</v>
      </c>
      <c r="D73" s="18"/>
      <c r="E73" s="18"/>
    </row>
    <row r="74" spans="1:5">
      <c r="A74" s="18" t="s">
        <v>182</v>
      </c>
      <c r="B74" s="18" t="s">
        <v>183</v>
      </c>
      <c r="C74" s="19" t="s">
        <v>8</v>
      </c>
      <c r="D74" s="18" t="s">
        <v>37</v>
      </c>
      <c r="E74" s="18"/>
    </row>
    <row r="75" spans="1:5" ht="28.9">
      <c r="A75" s="18" t="s">
        <v>184</v>
      </c>
      <c r="B75" s="18" t="s">
        <v>185</v>
      </c>
      <c r="C75" s="19" t="s">
        <v>186</v>
      </c>
      <c r="D75" s="18"/>
      <c r="E75" s="18"/>
    </row>
    <row r="76" spans="1:5" ht="28.9">
      <c r="A76" s="20" t="s">
        <v>187</v>
      </c>
      <c r="B76" s="20" t="s">
        <v>188</v>
      </c>
      <c r="C76" s="21" t="s">
        <v>189</v>
      </c>
      <c r="D76" s="18"/>
      <c r="E76" s="18"/>
    </row>
    <row r="77" spans="1:5">
      <c r="A77" s="18" t="s">
        <v>190</v>
      </c>
      <c r="B77" s="18" t="s">
        <v>191</v>
      </c>
      <c r="C77" s="19" t="s">
        <v>8</v>
      </c>
      <c r="D77" s="18" t="s">
        <v>37</v>
      </c>
      <c r="E77" s="18"/>
    </row>
    <row r="78" spans="1:5" ht="72">
      <c r="A78" s="18" t="s">
        <v>192</v>
      </c>
      <c r="B78" s="18" t="s">
        <v>193</v>
      </c>
      <c r="C78" s="19" t="s">
        <v>194</v>
      </c>
      <c r="D78" s="18"/>
      <c r="E78" s="18" t="s">
        <v>81</v>
      </c>
    </row>
    <row r="79" spans="1:5">
      <c r="A79" s="18" t="s">
        <v>195</v>
      </c>
      <c r="B79" s="18" t="s">
        <v>196</v>
      </c>
      <c r="C79" s="19" t="s">
        <v>197</v>
      </c>
      <c r="D79" s="18"/>
      <c r="E79" s="18" t="s">
        <v>81</v>
      </c>
    </row>
    <row r="80" spans="1:5">
      <c r="A80" s="18" t="s">
        <v>198</v>
      </c>
      <c r="B80" s="18" t="s">
        <v>199</v>
      </c>
      <c r="C80" s="19" t="s">
        <v>56</v>
      </c>
      <c r="D80" s="18" t="s">
        <v>37</v>
      </c>
      <c r="E80" s="18"/>
    </row>
    <row r="81" spans="1:5" ht="72">
      <c r="A81" s="18" t="s">
        <v>200</v>
      </c>
      <c r="B81" s="18" t="s">
        <v>201</v>
      </c>
      <c r="C81" s="19" t="s">
        <v>202</v>
      </c>
      <c r="D81" s="18" t="s">
        <v>37</v>
      </c>
      <c r="E81" s="18" t="s">
        <v>81</v>
      </c>
    </row>
    <row r="82" spans="1:5">
      <c r="A82" s="18" t="s">
        <v>203</v>
      </c>
      <c r="B82" s="18" t="s">
        <v>204</v>
      </c>
      <c r="C82" s="19" t="s">
        <v>56</v>
      </c>
      <c r="D82" s="18" t="s">
        <v>37</v>
      </c>
      <c r="E82" s="18"/>
    </row>
    <row r="83" spans="1:5">
      <c r="A83" s="18" t="s">
        <v>205</v>
      </c>
      <c r="B83" s="18" t="s">
        <v>206</v>
      </c>
      <c r="C83" s="19" t="s">
        <v>56</v>
      </c>
      <c r="D83" s="18" t="s">
        <v>37</v>
      </c>
      <c r="E83" s="18"/>
    </row>
    <row r="84" spans="1:5">
      <c r="A84" s="18" t="s">
        <v>207</v>
      </c>
      <c r="B84" s="18" t="s">
        <v>208</v>
      </c>
      <c r="C84" s="19" t="s">
        <v>56</v>
      </c>
      <c r="D84" s="18" t="s">
        <v>37</v>
      </c>
      <c r="E84" s="18"/>
    </row>
    <row r="85" spans="1:5">
      <c r="A85" s="18" t="s">
        <v>209</v>
      </c>
      <c r="B85" s="18" t="s">
        <v>210</v>
      </c>
      <c r="C85" s="19" t="s">
        <v>56</v>
      </c>
      <c r="D85" s="18" t="s">
        <v>37</v>
      </c>
      <c r="E85" s="18"/>
    </row>
    <row r="86" spans="1:5">
      <c r="A86" s="18" t="s">
        <v>211</v>
      </c>
      <c r="B86" s="18" t="s">
        <v>212</v>
      </c>
      <c r="C86" s="19" t="s">
        <v>56</v>
      </c>
      <c r="D86" s="18" t="s">
        <v>37</v>
      </c>
      <c r="E86" s="18"/>
    </row>
    <row r="87" spans="1:5">
      <c r="A87" s="18" t="s">
        <v>213</v>
      </c>
      <c r="B87" s="18" t="s">
        <v>214</v>
      </c>
      <c r="C87" s="19" t="s">
        <v>56</v>
      </c>
      <c r="D87" s="18" t="s">
        <v>37</v>
      </c>
      <c r="E87" s="18"/>
    </row>
    <row r="88" spans="1:5">
      <c r="A88" s="18" t="s">
        <v>215</v>
      </c>
      <c r="B88" s="18" t="s">
        <v>216</v>
      </c>
      <c r="C88" s="19" t="s">
        <v>56</v>
      </c>
      <c r="D88" s="18" t="s">
        <v>37</v>
      </c>
      <c r="E88" s="18"/>
    </row>
    <row r="89" spans="1:5">
      <c r="A89" s="18" t="s">
        <v>217</v>
      </c>
      <c r="B89" s="18" t="s">
        <v>218</v>
      </c>
      <c r="C89" s="19" t="s">
        <v>8</v>
      </c>
      <c r="D89" s="18" t="s">
        <v>37</v>
      </c>
      <c r="E89" s="18"/>
    </row>
    <row r="90" spans="1:5">
      <c r="A90" s="18" t="s">
        <v>219</v>
      </c>
      <c r="B90" s="18" t="s">
        <v>220</v>
      </c>
      <c r="C90" s="19" t="s">
        <v>8</v>
      </c>
      <c r="D90" s="18" t="s">
        <v>37</v>
      </c>
      <c r="E90" s="18"/>
    </row>
    <row r="91" spans="1:5">
      <c r="A91" s="18" t="s">
        <v>221</v>
      </c>
      <c r="B91" s="18" t="s">
        <v>222</v>
      </c>
      <c r="C91" s="19" t="s">
        <v>56</v>
      </c>
      <c r="D91" s="18" t="s">
        <v>37</v>
      </c>
      <c r="E91" s="18"/>
    </row>
    <row r="92" spans="1:5">
      <c r="A92" s="18" t="s">
        <v>223</v>
      </c>
      <c r="B92" s="18" t="s">
        <v>224</v>
      </c>
      <c r="C92" s="19" t="s">
        <v>56</v>
      </c>
      <c r="D92" s="18" t="s">
        <v>37</v>
      </c>
      <c r="E92" s="18"/>
    </row>
    <row r="93" spans="1:5">
      <c r="A93" s="18" t="s">
        <v>225</v>
      </c>
      <c r="B93" s="18" t="s">
        <v>226</v>
      </c>
      <c r="C93" s="19" t="s">
        <v>56</v>
      </c>
      <c r="D93" s="18" t="s">
        <v>37</v>
      </c>
      <c r="E93" s="18"/>
    </row>
    <row r="94" spans="1:5">
      <c r="A94" s="18" t="s">
        <v>227</v>
      </c>
      <c r="B94" s="18" t="s">
        <v>228</v>
      </c>
      <c r="C94" s="19" t="s">
        <v>56</v>
      </c>
      <c r="D94" s="18" t="s">
        <v>37</v>
      </c>
      <c r="E94" s="18"/>
    </row>
    <row r="95" spans="1:5">
      <c r="A95" s="18" t="s">
        <v>229</v>
      </c>
      <c r="B95" s="18" t="s">
        <v>230</v>
      </c>
      <c r="C95" s="19" t="s">
        <v>8</v>
      </c>
      <c r="D95" s="18" t="s">
        <v>37</v>
      </c>
      <c r="E95" s="18"/>
    </row>
    <row r="96" spans="1:5">
      <c r="A96" s="18" t="s">
        <v>231</v>
      </c>
      <c r="B96" s="18" t="s">
        <v>232</v>
      </c>
      <c r="C96" s="19" t="s">
        <v>56</v>
      </c>
      <c r="D96" s="18" t="s">
        <v>37</v>
      </c>
      <c r="E96" s="18"/>
    </row>
    <row r="97" spans="1:5">
      <c r="A97" s="18" t="s">
        <v>233</v>
      </c>
      <c r="B97" s="18" t="s">
        <v>234</v>
      </c>
      <c r="C97" s="19" t="s">
        <v>56</v>
      </c>
      <c r="D97" s="18" t="s">
        <v>37</v>
      </c>
      <c r="E97" s="18"/>
    </row>
    <row r="98" spans="1:5">
      <c r="A98" s="18" t="s">
        <v>235</v>
      </c>
      <c r="B98" s="18" t="s">
        <v>236</v>
      </c>
      <c r="C98" s="19" t="s">
        <v>56</v>
      </c>
      <c r="D98" s="18" t="s">
        <v>37</v>
      </c>
      <c r="E98" s="18"/>
    </row>
    <row r="99" spans="1:5">
      <c r="A99" s="18" t="s">
        <v>237</v>
      </c>
      <c r="B99" s="18" t="s">
        <v>238</v>
      </c>
      <c r="C99" s="19" t="s">
        <v>56</v>
      </c>
      <c r="D99" s="8" t="s">
        <v>37</v>
      </c>
      <c r="E99" s="8"/>
    </row>
    <row r="100" spans="1:5">
      <c r="A100" s="18" t="s">
        <v>239</v>
      </c>
      <c r="B100" s="18" t="s">
        <v>240</v>
      </c>
      <c r="C100" s="19" t="s">
        <v>56</v>
      </c>
      <c r="D100" s="18" t="s">
        <v>37</v>
      </c>
      <c r="E100" s="18"/>
    </row>
    <row r="101" spans="1:5">
      <c r="A101" s="18" t="s">
        <v>241</v>
      </c>
      <c r="B101" s="18" t="s">
        <v>242</v>
      </c>
      <c r="C101" s="19" t="s">
        <v>56</v>
      </c>
      <c r="D101" s="18" t="s">
        <v>37</v>
      </c>
      <c r="E101" s="18"/>
    </row>
    <row r="102" spans="1:5">
      <c r="A102" s="18" t="s">
        <v>243</v>
      </c>
      <c r="B102" s="18" t="s">
        <v>244</v>
      </c>
      <c r="C102" s="19" t="s">
        <v>56</v>
      </c>
      <c r="D102" s="18" t="s">
        <v>37</v>
      </c>
      <c r="E102" s="18"/>
    </row>
    <row r="103" spans="1:5">
      <c r="A103" s="18" t="s">
        <v>245</v>
      </c>
      <c r="B103" s="18" t="s">
        <v>246</v>
      </c>
      <c r="C103" s="19" t="s">
        <v>56</v>
      </c>
      <c r="D103" s="18" t="s">
        <v>37</v>
      </c>
      <c r="E103" s="18"/>
    </row>
    <row r="104" spans="1:5">
      <c r="A104" s="18" t="s">
        <v>247</v>
      </c>
      <c r="B104" s="18" t="s">
        <v>248</v>
      </c>
      <c r="C104" s="19" t="s">
        <v>8</v>
      </c>
      <c r="D104" s="18" t="s">
        <v>37</v>
      </c>
      <c r="E104" s="18"/>
    </row>
    <row r="105" spans="1:5">
      <c r="A105" s="18" t="s">
        <v>249</v>
      </c>
      <c r="B105" s="18" t="s">
        <v>250</v>
      </c>
      <c r="C105" s="19" t="s">
        <v>8</v>
      </c>
      <c r="D105" s="18" t="s">
        <v>37</v>
      </c>
      <c r="E105" s="18"/>
    </row>
    <row r="106" spans="1:5">
      <c r="A106" s="20" t="s">
        <v>251</v>
      </c>
      <c r="B106" s="20" t="s">
        <v>252</v>
      </c>
      <c r="C106" s="21" t="s">
        <v>116</v>
      </c>
      <c r="D106" s="18"/>
      <c r="E106" s="18"/>
    </row>
    <row r="107" spans="1:5">
      <c r="A107" s="18" t="s">
        <v>253</v>
      </c>
      <c r="B107" s="18" t="s">
        <v>254</v>
      </c>
      <c r="C107" s="19" t="s">
        <v>8</v>
      </c>
      <c r="D107" s="18" t="s">
        <v>37</v>
      </c>
      <c r="E107" s="18"/>
    </row>
    <row r="108" spans="1:5">
      <c r="A108" s="18" t="s">
        <v>255</v>
      </c>
      <c r="B108" s="18" t="s">
        <v>256</v>
      </c>
      <c r="C108" s="19" t="s">
        <v>8</v>
      </c>
      <c r="D108" s="18" t="s">
        <v>37</v>
      </c>
      <c r="E108" s="18"/>
    </row>
    <row r="109" spans="1:5">
      <c r="A109" s="18" t="s">
        <v>257</v>
      </c>
      <c r="B109" s="18" t="s">
        <v>258</v>
      </c>
      <c r="C109" s="19" t="s">
        <v>56</v>
      </c>
      <c r="D109" s="18" t="s">
        <v>37</v>
      </c>
      <c r="E109" s="18"/>
    </row>
    <row r="110" spans="1:5">
      <c r="A110" s="18" t="s">
        <v>259</v>
      </c>
      <c r="B110" s="18" t="s">
        <v>260</v>
      </c>
      <c r="C110" s="19" t="s">
        <v>56</v>
      </c>
      <c r="D110" s="18" t="s">
        <v>37</v>
      </c>
      <c r="E110" s="18"/>
    </row>
    <row r="111" spans="1:5">
      <c r="A111" s="18" t="s">
        <v>261</v>
      </c>
      <c r="B111" s="18" t="s">
        <v>262</v>
      </c>
      <c r="C111" s="19" t="s">
        <v>56</v>
      </c>
      <c r="D111" s="18" t="s">
        <v>37</v>
      </c>
      <c r="E111" s="18"/>
    </row>
    <row r="112" spans="1:5">
      <c r="A112" s="18" t="s">
        <v>263</v>
      </c>
      <c r="B112" s="18" t="s">
        <v>264</v>
      </c>
      <c r="C112" s="19" t="s">
        <v>56</v>
      </c>
      <c r="D112" s="8" t="s">
        <v>37</v>
      </c>
      <c r="E112" s="8"/>
    </row>
    <row r="113" spans="1:5" ht="28.9">
      <c r="A113" s="18" t="s">
        <v>265</v>
      </c>
      <c r="B113" s="18" t="s">
        <v>266</v>
      </c>
      <c r="C113" s="19" t="s">
        <v>267</v>
      </c>
      <c r="D113" s="18"/>
      <c r="E113" s="18"/>
    </row>
    <row r="114" spans="1:5" ht="28.9">
      <c r="A114" s="18" t="s">
        <v>268</v>
      </c>
      <c r="B114" s="18" t="s">
        <v>269</v>
      </c>
      <c r="C114" s="19" t="s">
        <v>270</v>
      </c>
      <c r="D114" s="18"/>
      <c r="E114" s="18"/>
    </row>
    <row r="115" spans="1:5" ht="28.9">
      <c r="A115" s="18" t="s">
        <v>271</v>
      </c>
      <c r="B115" s="18" t="s">
        <v>272</v>
      </c>
      <c r="C115" s="19" t="s">
        <v>273</v>
      </c>
      <c r="D115" s="8"/>
      <c r="E115" s="8"/>
    </row>
    <row r="116" spans="1:5">
      <c r="A116" s="18" t="s">
        <v>274</v>
      </c>
      <c r="B116" s="18" t="s">
        <v>275</v>
      </c>
      <c r="C116" s="19" t="s">
        <v>56</v>
      </c>
      <c r="D116" s="18" t="s">
        <v>37</v>
      </c>
      <c r="E116" s="18"/>
    </row>
    <row r="117" spans="1:5">
      <c r="A117" s="18" t="s">
        <v>276</v>
      </c>
      <c r="B117" s="18" t="s">
        <v>277</v>
      </c>
      <c r="C117" s="19" t="s">
        <v>56</v>
      </c>
      <c r="D117" s="18" t="s">
        <v>37</v>
      </c>
      <c r="E117" s="18"/>
    </row>
    <row r="118" spans="1:5">
      <c r="A118" s="18" t="s">
        <v>278</v>
      </c>
      <c r="B118" s="18" t="s">
        <v>279</v>
      </c>
      <c r="C118" s="19" t="s">
        <v>56</v>
      </c>
      <c r="D118" s="18" t="s">
        <v>37</v>
      </c>
      <c r="E118" s="18"/>
    </row>
    <row r="119" spans="1:5" ht="28.9">
      <c r="A119" s="18" t="s">
        <v>280</v>
      </c>
      <c r="B119" s="18" t="s">
        <v>281</v>
      </c>
      <c r="C119" s="19" t="s">
        <v>282</v>
      </c>
      <c r="D119" s="18"/>
      <c r="E119" s="18"/>
    </row>
    <row r="120" spans="1:5" ht="43.15">
      <c r="A120" s="18" t="s">
        <v>283</v>
      </c>
      <c r="B120" s="22" t="s">
        <v>284</v>
      </c>
      <c r="C120" s="23" t="s">
        <v>285</v>
      </c>
      <c r="D120" s="18"/>
      <c r="E120" s="18"/>
    </row>
    <row r="121" spans="1:5">
      <c r="A121" s="18" t="s">
        <v>286</v>
      </c>
      <c r="B121" s="18" t="s">
        <v>287</v>
      </c>
      <c r="C121" s="19" t="s">
        <v>56</v>
      </c>
      <c r="D121" s="18" t="s">
        <v>37</v>
      </c>
      <c r="E121" s="18"/>
    </row>
    <row r="122" spans="1:5">
      <c r="A122" s="18" t="s">
        <v>288</v>
      </c>
      <c r="B122" s="18" t="s">
        <v>289</v>
      </c>
      <c r="C122" s="19" t="s">
        <v>56</v>
      </c>
      <c r="D122" s="18" t="s">
        <v>37</v>
      </c>
      <c r="E122" s="18"/>
    </row>
    <row r="123" spans="1:5">
      <c r="A123" s="18" t="s">
        <v>290</v>
      </c>
      <c r="B123" s="18" t="s">
        <v>291</v>
      </c>
      <c r="C123" s="19" t="s">
        <v>8</v>
      </c>
      <c r="D123" s="18" t="s">
        <v>37</v>
      </c>
      <c r="E123" s="18"/>
    </row>
    <row r="124" spans="1:5">
      <c r="A124" s="18" t="s">
        <v>292</v>
      </c>
      <c r="B124" s="18" t="s">
        <v>293</v>
      </c>
      <c r="C124" s="19" t="s">
        <v>8</v>
      </c>
      <c r="D124" s="18" t="s">
        <v>37</v>
      </c>
      <c r="E124" s="18"/>
    </row>
    <row r="125" spans="1:5">
      <c r="A125" s="18" t="s">
        <v>294</v>
      </c>
      <c r="B125" s="18" t="s">
        <v>295</v>
      </c>
      <c r="C125" s="19" t="s">
        <v>8</v>
      </c>
      <c r="D125" s="18" t="s">
        <v>37</v>
      </c>
      <c r="E125" s="18"/>
    </row>
    <row r="126" spans="1:5">
      <c r="A126" s="18" t="s">
        <v>296</v>
      </c>
      <c r="B126" s="18" t="s">
        <v>297</v>
      </c>
      <c r="C126" s="19" t="s">
        <v>8</v>
      </c>
      <c r="D126" s="18" t="s">
        <v>37</v>
      </c>
      <c r="E126" s="18"/>
    </row>
    <row r="127" spans="1:5">
      <c r="A127" s="18" t="s">
        <v>298</v>
      </c>
      <c r="B127" s="18" t="s">
        <v>299</v>
      </c>
      <c r="C127" s="19" t="s">
        <v>56</v>
      </c>
      <c r="D127" s="18" t="s">
        <v>37</v>
      </c>
      <c r="E127" s="18"/>
    </row>
    <row r="128" spans="1:5">
      <c r="A128" s="18" t="s">
        <v>300</v>
      </c>
      <c r="B128" s="18" t="s">
        <v>301</v>
      </c>
      <c r="C128" s="19" t="s">
        <v>56</v>
      </c>
      <c r="D128" s="18" t="s">
        <v>37</v>
      </c>
      <c r="E128" s="18"/>
    </row>
    <row r="129" spans="1:5" ht="28.9">
      <c r="A129" s="18" t="s">
        <v>302</v>
      </c>
      <c r="B129" s="18" t="s">
        <v>303</v>
      </c>
      <c r="C129" s="19" t="s">
        <v>304</v>
      </c>
      <c r="D129" s="18"/>
      <c r="E129" s="18"/>
    </row>
    <row r="130" spans="1:5" ht="28.9">
      <c r="A130" s="15" t="s">
        <v>305</v>
      </c>
      <c r="B130" s="15" t="s">
        <v>306</v>
      </c>
      <c r="C130" s="19" t="s">
        <v>307</v>
      </c>
      <c r="D130" s="18"/>
      <c r="E130" s="18" t="s">
        <v>77</v>
      </c>
    </row>
    <row r="131" spans="1:5" ht="28.9">
      <c r="A131" s="15" t="s">
        <v>308</v>
      </c>
      <c r="B131" s="15" t="s">
        <v>309</v>
      </c>
      <c r="C131" s="19" t="s">
        <v>310</v>
      </c>
      <c r="D131" s="18"/>
      <c r="E131" s="18" t="s">
        <v>77</v>
      </c>
    </row>
    <row r="132" spans="1:5">
      <c r="A132" s="18" t="s">
        <v>311</v>
      </c>
      <c r="B132" s="18" t="s">
        <v>312</v>
      </c>
      <c r="C132" s="19" t="s">
        <v>313</v>
      </c>
      <c r="D132" s="18"/>
      <c r="E132" s="18" t="s">
        <v>81</v>
      </c>
    </row>
    <row r="133" spans="1:5" ht="72">
      <c r="A133" s="18" t="s">
        <v>314</v>
      </c>
      <c r="B133" s="18" t="s">
        <v>315</v>
      </c>
      <c r="C133" s="19" t="s">
        <v>316</v>
      </c>
      <c r="D133" s="18"/>
      <c r="E133" s="18" t="s">
        <v>77</v>
      </c>
    </row>
    <row r="134" spans="1:5">
      <c r="A134" s="18" t="s">
        <v>317</v>
      </c>
      <c r="B134" s="18" t="s">
        <v>318</v>
      </c>
      <c r="C134" s="19" t="s">
        <v>319</v>
      </c>
      <c r="D134" s="18"/>
      <c r="E134" s="18" t="s">
        <v>77</v>
      </c>
    </row>
    <row r="135" spans="1:5">
      <c r="A135" s="18" t="s">
        <v>320</v>
      </c>
      <c r="B135" s="18" t="s">
        <v>321</v>
      </c>
      <c r="C135" s="19" t="s">
        <v>322</v>
      </c>
      <c r="D135" s="18"/>
      <c r="E135" s="18" t="s">
        <v>81</v>
      </c>
    </row>
    <row r="136" spans="1:5">
      <c r="A136" s="18" t="s">
        <v>323</v>
      </c>
      <c r="B136" s="18" t="s">
        <v>324</v>
      </c>
      <c r="C136" s="19" t="s">
        <v>172</v>
      </c>
      <c r="D136" s="18" t="s">
        <v>37</v>
      </c>
      <c r="E136" s="18"/>
    </row>
    <row r="137" spans="1:5">
      <c r="A137" s="18" t="s">
        <v>325</v>
      </c>
      <c r="B137" s="18" t="s">
        <v>326</v>
      </c>
      <c r="C137" s="19" t="s">
        <v>172</v>
      </c>
      <c r="D137" s="18" t="s">
        <v>37</v>
      </c>
      <c r="E137" s="18"/>
    </row>
    <row r="138" spans="1:5">
      <c r="A138" s="18" t="s">
        <v>327</v>
      </c>
      <c r="B138" s="18" t="s">
        <v>328</v>
      </c>
      <c r="C138" s="19" t="s">
        <v>329</v>
      </c>
      <c r="D138" s="18"/>
      <c r="E138" s="18" t="s">
        <v>77</v>
      </c>
    </row>
    <row r="139" spans="1:5">
      <c r="A139" s="18" t="s">
        <v>330</v>
      </c>
      <c r="B139" s="18" t="s">
        <v>331</v>
      </c>
      <c r="C139" s="19" t="s">
        <v>172</v>
      </c>
      <c r="D139" s="18" t="s">
        <v>37</v>
      </c>
      <c r="E139" s="18"/>
    </row>
    <row r="140" spans="1:5">
      <c r="A140" s="18" t="s">
        <v>332</v>
      </c>
      <c r="B140" s="18" t="s">
        <v>333</v>
      </c>
      <c r="C140" s="19" t="s">
        <v>172</v>
      </c>
      <c r="D140" s="18" t="s">
        <v>37</v>
      </c>
      <c r="E140" s="18"/>
    </row>
    <row r="141" spans="1:5">
      <c r="A141" s="20" t="s">
        <v>334</v>
      </c>
      <c r="B141" s="20" t="s">
        <v>335</v>
      </c>
      <c r="C141" s="21" t="s">
        <v>116</v>
      </c>
      <c r="D141" s="18"/>
      <c r="E141" s="18"/>
    </row>
    <row r="142" spans="1:5">
      <c r="A142" s="18" t="s">
        <v>336</v>
      </c>
      <c r="B142" s="18" t="s">
        <v>337</v>
      </c>
      <c r="C142" s="19" t="s">
        <v>172</v>
      </c>
      <c r="D142" s="18" t="s">
        <v>37</v>
      </c>
      <c r="E142" s="18"/>
    </row>
    <row r="143" spans="1:5">
      <c r="A143" s="20" t="s">
        <v>338</v>
      </c>
      <c r="B143" s="20" t="s">
        <v>339</v>
      </c>
      <c r="C143" s="21" t="s">
        <v>116</v>
      </c>
      <c r="D143" s="18"/>
      <c r="E143" s="18"/>
    </row>
    <row r="144" spans="1:5">
      <c r="A144" s="18" t="s">
        <v>340</v>
      </c>
      <c r="B144" s="18" t="s">
        <v>341</v>
      </c>
      <c r="C144" s="19" t="s">
        <v>172</v>
      </c>
      <c r="D144" s="18" t="s">
        <v>37</v>
      </c>
      <c r="E144" s="18"/>
    </row>
    <row r="145" spans="1:5">
      <c r="A145" s="20" t="s">
        <v>342</v>
      </c>
      <c r="B145" s="20" t="s">
        <v>343</v>
      </c>
      <c r="C145" s="21" t="s">
        <v>116</v>
      </c>
      <c r="D145" s="18"/>
      <c r="E145" s="18"/>
    </row>
    <row r="146" spans="1:5">
      <c r="A146" s="18" t="s">
        <v>344</v>
      </c>
      <c r="B146" s="18" t="s">
        <v>345</v>
      </c>
      <c r="C146" s="19" t="s">
        <v>172</v>
      </c>
      <c r="D146" s="18" t="s">
        <v>37</v>
      </c>
      <c r="E146" s="18"/>
    </row>
    <row r="147" spans="1:5">
      <c r="A147" s="20" t="s">
        <v>346</v>
      </c>
      <c r="B147" s="20" t="s">
        <v>347</v>
      </c>
      <c r="C147" s="21" t="s">
        <v>116</v>
      </c>
      <c r="D147" s="18"/>
      <c r="E147" s="18"/>
    </row>
    <row r="148" spans="1:5">
      <c r="A148" s="18" t="s">
        <v>348</v>
      </c>
      <c r="B148" s="18" t="s">
        <v>349</v>
      </c>
      <c r="C148" s="19" t="s">
        <v>172</v>
      </c>
      <c r="D148" s="18" t="s">
        <v>37</v>
      </c>
      <c r="E148" s="18"/>
    </row>
    <row r="149" spans="1:5">
      <c r="A149" s="18" t="s">
        <v>350</v>
      </c>
      <c r="B149" s="18" t="s">
        <v>351</v>
      </c>
      <c r="C149" s="19" t="s">
        <v>172</v>
      </c>
      <c r="D149" s="18" t="s">
        <v>37</v>
      </c>
      <c r="E149" s="18"/>
    </row>
    <row r="150" spans="1:5">
      <c r="A150" s="18" t="s">
        <v>352</v>
      </c>
      <c r="B150" s="18" t="s">
        <v>353</v>
      </c>
      <c r="C150" s="19" t="s">
        <v>172</v>
      </c>
      <c r="D150" s="18" t="s">
        <v>37</v>
      </c>
      <c r="E150" s="18"/>
    </row>
    <row r="151" spans="1:5">
      <c r="A151" s="18" t="s">
        <v>354</v>
      </c>
      <c r="B151" s="18" t="s">
        <v>355</v>
      </c>
      <c r="C151" s="19" t="s">
        <v>172</v>
      </c>
      <c r="D151" s="18" t="s">
        <v>37</v>
      </c>
      <c r="E151" s="18"/>
    </row>
    <row r="152" spans="1:5">
      <c r="A152" s="18" t="s">
        <v>356</v>
      </c>
      <c r="B152" s="18" t="s">
        <v>357</v>
      </c>
      <c r="C152" s="19" t="s">
        <v>172</v>
      </c>
      <c r="D152" s="18" t="s">
        <v>37</v>
      </c>
      <c r="E152" s="18"/>
    </row>
    <row r="153" spans="1:5">
      <c r="A153" s="18" t="s">
        <v>358</v>
      </c>
      <c r="B153" s="18" t="s">
        <v>359</v>
      </c>
      <c r="C153" s="19" t="s">
        <v>172</v>
      </c>
      <c r="D153" s="18" t="s">
        <v>37</v>
      </c>
      <c r="E153" s="18"/>
    </row>
    <row r="154" spans="1:5">
      <c r="A154" s="18" t="s">
        <v>360</v>
      </c>
      <c r="B154" s="18" t="s">
        <v>361</v>
      </c>
      <c r="C154" s="19" t="s">
        <v>172</v>
      </c>
      <c r="D154" s="18" t="s">
        <v>37</v>
      </c>
      <c r="E154" s="18"/>
    </row>
    <row r="155" spans="1:5">
      <c r="A155" s="18" t="s">
        <v>362</v>
      </c>
      <c r="B155" s="18" t="s">
        <v>363</v>
      </c>
      <c r="C155" s="19" t="s">
        <v>172</v>
      </c>
      <c r="D155" s="18" t="s">
        <v>37</v>
      </c>
      <c r="E155" s="18"/>
    </row>
    <row r="156" spans="1:5">
      <c r="A156" s="18" t="s">
        <v>364</v>
      </c>
      <c r="B156" s="18" t="s">
        <v>365</v>
      </c>
      <c r="C156" s="19" t="s">
        <v>172</v>
      </c>
      <c r="D156" s="18" t="s">
        <v>37</v>
      </c>
      <c r="E156" s="18"/>
    </row>
    <row r="157" spans="1:5">
      <c r="A157" s="18" t="s">
        <v>366</v>
      </c>
      <c r="B157" s="18" t="s">
        <v>367</v>
      </c>
      <c r="C157" s="19" t="s">
        <v>172</v>
      </c>
      <c r="D157" s="18" t="s">
        <v>37</v>
      </c>
      <c r="E157" s="18"/>
    </row>
    <row r="158" spans="1:5">
      <c r="A158" s="18" t="s">
        <v>368</v>
      </c>
      <c r="B158" s="18" t="s">
        <v>369</v>
      </c>
      <c r="C158" s="19" t="s">
        <v>172</v>
      </c>
      <c r="D158" s="18" t="s">
        <v>37</v>
      </c>
      <c r="E158" s="18"/>
    </row>
    <row r="159" spans="1:5">
      <c r="A159" s="20" t="s">
        <v>370</v>
      </c>
      <c r="B159" s="20" t="s">
        <v>371</v>
      </c>
      <c r="C159" s="21" t="s">
        <v>116</v>
      </c>
      <c r="D159" s="18"/>
      <c r="E159" s="18"/>
    </row>
    <row r="160" spans="1:5">
      <c r="A160" s="18" t="s">
        <v>372</v>
      </c>
      <c r="B160" s="18" t="s">
        <v>373</v>
      </c>
      <c r="C160" s="19" t="s">
        <v>8</v>
      </c>
      <c r="D160" s="18" t="s">
        <v>37</v>
      </c>
      <c r="E160" s="18"/>
    </row>
    <row r="161" spans="1:5">
      <c r="A161" s="18" t="s">
        <v>374</v>
      </c>
      <c r="B161" s="18" t="s">
        <v>375</v>
      </c>
      <c r="C161" s="19" t="s">
        <v>172</v>
      </c>
      <c r="D161" s="18" t="s">
        <v>37</v>
      </c>
      <c r="E161" s="18"/>
    </row>
    <row r="162" spans="1:5">
      <c r="A162" s="18" t="s">
        <v>376</v>
      </c>
      <c r="B162" s="18" t="s">
        <v>377</v>
      </c>
      <c r="C162" s="19" t="s">
        <v>172</v>
      </c>
      <c r="D162" s="18" t="s">
        <v>37</v>
      </c>
      <c r="E162" s="18"/>
    </row>
    <row r="163" spans="1:5">
      <c r="A163" s="18" t="s">
        <v>378</v>
      </c>
      <c r="B163" s="18" t="s">
        <v>379</v>
      </c>
      <c r="C163" s="19" t="s">
        <v>172</v>
      </c>
      <c r="D163" s="18" t="s">
        <v>37</v>
      </c>
      <c r="E163" s="18"/>
    </row>
    <row r="164" spans="1:5" ht="129.6">
      <c r="A164" s="18" t="s">
        <v>380</v>
      </c>
      <c r="B164" s="18" t="s">
        <v>381</v>
      </c>
      <c r="C164" s="19" t="s">
        <v>382</v>
      </c>
      <c r="D164" s="18" t="s">
        <v>37</v>
      </c>
      <c r="E164" s="18" t="s">
        <v>77</v>
      </c>
    </row>
    <row r="165" spans="1:5">
      <c r="A165" s="18" t="s">
        <v>383</v>
      </c>
      <c r="B165" s="18" t="s">
        <v>384</v>
      </c>
      <c r="C165" s="19" t="s">
        <v>172</v>
      </c>
      <c r="D165" s="18" t="s">
        <v>37</v>
      </c>
      <c r="E165" s="18"/>
    </row>
    <row r="166" spans="1:5">
      <c r="A166" s="18" t="s">
        <v>385</v>
      </c>
      <c r="B166" s="18" t="s">
        <v>386</v>
      </c>
      <c r="C166" s="19" t="s">
        <v>116</v>
      </c>
      <c r="D166" s="18"/>
      <c r="E166" s="18"/>
    </row>
    <row r="167" spans="1:5">
      <c r="A167" s="18" t="s">
        <v>387</v>
      </c>
      <c r="B167" s="18" t="s">
        <v>388</v>
      </c>
      <c r="C167" s="19" t="s">
        <v>172</v>
      </c>
      <c r="D167" s="18" t="s">
        <v>37</v>
      </c>
      <c r="E167" s="18"/>
    </row>
    <row r="168" spans="1:5">
      <c r="A168" s="18" t="s">
        <v>389</v>
      </c>
      <c r="B168" s="18" t="s">
        <v>390</v>
      </c>
      <c r="C168" s="19" t="s">
        <v>391</v>
      </c>
      <c r="D168" s="18"/>
      <c r="E168" s="18"/>
    </row>
    <row r="169" spans="1:5">
      <c r="A169" s="18" t="s">
        <v>392</v>
      </c>
      <c r="B169" s="18" t="s">
        <v>393</v>
      </c>
      <c r="C169" s="19" t="s">
        <v>172</v>
      </c>
      <c r="D169" s="18" t="s">
        <v>37</v>
      </c>
      <c r="E169" s="18"/>
    </row>
    <row r="170" spans="1:5">
      <c r="A170" s="20" t="s">
        <v>394</v>
      </c>
      <c r="B170" s="20" t="s">
        <v>395</v>
      </c>
      <c r="C170" s="21" t="s">
        <v>116</v>
      </c>
      <c r="D170" s="18"/>
      <c r="E170" s="18"/>
    </row>
    <row r="171" spans="1:5">
      <c r="A171" s="18" t="s">
        <v>396</v>
      </c>
      <c r="B171" s="18" t="s">
        <v>397</v>
      </c>
      <c r="C171" s="19" t="s">
        <v>172</v>
      </c>
      <c r="D171" s="18" t="s">
        <v>37</v>
      </c>
      <c r="E171" s="18"/>
    </row>
    <row r="172" spans="1:5">
      <c r="A172" s="18" t="s">
        <v>398</v>
      </c>
      <c r="B172" s="18" t="s">
        <v>399</v>
      </c>
      <c r="C172" s="19" t="s">
        <v>116</v>
      </c>
      <c r="D172" s="18"/>
      <c r="E172" s="18"/>
    </row>
    <row r="173" spans="1:5">
      <c r="A173" s="18" t="s">
        <v>400</v>
      </c>
      <c r="B173" s="18" t="s">
        <v>401</v>
      </c>
      <c r="C173" s="19" t="s">
        <v>402</v>
      </c>
      <c r="D173" s="18"/>
      <c r="E173" s="18" t="s">
        <v>77</v>
      </c>
    </row>
    <row r="174" spans="1:5">
      <c r="A174" s="20" t="s">
        <v>403</v>
      </c>
      <c r="B174" s="20" t="s">
        <v>404</v>
      </c>
      <c r="C174" s="19" t="s">
        <v>405</v>
      </c>
      <c r="D174" s="18"/>
      <c r="E174" s="18"/>
    </row>
    <row r="175" spans="1:5">
      <c r="A175" s="18" t="s">
        <v>406</v>
      </c>
      <c r="B175" s="18" t="s">
        <v>407</v>
      </c>
      <c r="C175" s="19" t="s">
        <v>172</v>
      </c>
      <c r="D175" s="18" t="s">
        <v>37</v>
      </c>
      <c r="E175" s="18"/>
    </row>
    <row r="176" spans="1:5">
      <c r="A176" s="18" t="s">
        <v>408</v>
      </c>
      <c r="B176" s="18" t="s">
        <v>409</v>
      </c>
      <c r="C176" s="19" t="s">
        <v>172</v>
      </c>
      <c r="D176" s="18" t="s">
        <v>37</v>
      </c>
      <c r="E176" s="18"/>
    </row>
    <row r="177" spans="1:5">
      <c r="A177" s="18" t="s">
        <v>410</v>
      </c>
      <c r="B177" s="18" t="s">
        <v>411</v>
      </c>
      <c r="C177" s="19" t="s">
        <v>172</v>
      </c>
      <c r="D177" s="18" t="s">
        <v>37</v>
      </c>
      <c r="E177" s="18"/>
    </row>
    <row r="178" spans="1:5">
      <c r="A178" s="20" t="s">
        <v>412</v>
      </c>
      <c r="B178" s="20" t="s">
        <v>413</v>
      </c>
      <c r="C178" s="21" t="s">
        <v>116</v>
      </c>
      <c r="D178" s="18"/>
      <c r="E178" s="18"/>
    </row>
    <row r="179" spans="1:5">
      <c r="A179" s="18" t="s">
        <v>414</v>
      </c>
      <c r="B179" s="18" t="s">
        <v>415</v>
      </c>
      <c r="C179" s="19" t="s">
        <v>172</v>
      </c>
      <c r="D179" s="18" t="s">
        <v>37</v>
      </c>
      <c r="E179" s="18"/>
    </row>
    <row r="180" spans="1:5">
      <c r="A180" s="20" t="s">
        <v>416</v>
      </c>
      <c r="B180" s="20" t="s">
        <v>417</v>
      </c>
      <c r="C180" s="21" t="s">
        <v>116</v>
      </c>
      <c r="D180" s="18"/>
      <c r="E180" s="18"/>
    </row>
    <row r="181" spans="1:5">
      <c r="A181" s="18" t="s">
        <v>418</v>
      </c>
      <c r="B181" s="18" t="s">
        <v>419</v>
      </c>
      <c r="C181" s="19" t="s">
        <v>172</v>
      </c>
      <c r="D181" s="18" t="s">
        <v>37</v>
      </c>
      <c r="E181" s="18"/>
    </row>
    <row r="182" spans="1:5">
      <c r="A182" s="20" t="s">
        <v>420</v>
      </c>
      <c r="B182" s="20" t="s">
        <v>421</v>
      </c>
      <c r="C182" s="21" t="s">
        <v>116</v>
      </c>
      <c r="D182" s="18"/>
      <c r="E182" s="18"/>
    </row>
    <row r="183" spans="1:5">
      <c r="A183" s="18" t="s">
        <v>422</v>
      </c>
      <c r="B183" s="7" t="s">
        <v>423</v>
      </c>
      <c r="C183" s="19" t="s">
        <v>172</v>
      </c>
      <c r="D183" s="7" t="s">
        <v>37</v>
      </c>
      <c r="E183" s="7"/>
    </row>
    <row r="184" spans="1:5">
      <c r="A184" s="18" t="s">
        <v>424</v>
      </c>
      <c r="B184" s="7" t="s">
        <v>425</v>
      </c>
      <c r="C184" s="19" t="s">
        <v>172</v>
      </c>
      <c r="D184" s="7" t="s">
        <v>37</v>
      </c>
      <c r="E184" s="7"/>
    </row>
    <row r="185" spans="1:5">
      <c r="A185" s="7" t="s">
        <v>426</v>
      </c>
      <c r="B185" s="7" t="s">
        <v>427</v>
      </c>
      <c r="C185" s="19" t="s">
        <v>172</v>
      </c>
      <c r="D185" s="7" t="s">
        <v>37</v>
      </c>
      <c r="E185" s="7"/>
    </row>
    <row r="186" spans="1:5">
      <c r="A186" s="7" t="s">
        <v>428</v>
      </c>
      <c r="B186" s="7" t="s">
        <v>429</v>
      </c>
      <c r="C186" s="19" t="s">
        <v>172</v>
      </c>
      <c r="D186" s="18" t="s">
        <v>37</v>
      </c>
      <c r="E186" s="18"/>
    </row>
    <row r="187" spans="1:5">
      <c r="A187" s="24" t="s">
        <v>430</v>
      </c>
      <c r="B187" s="24" t="s">
        <v>431</v>
      </c>
      <c r="C187" s="21" t="s">
        <v>116</v>
      </c>
      <c r="D187" s="18"/>
      <c r="E187" s="18"/>
    </row>
    <row r="188" spans="1:5">
      <c r="A188" s="7" t="s">
        <v>432</v>
      </c>
      <c r="B188" s="7" t="s">
        <v>433</v>
      </c>
      <c r="C188" s="19" t="s">
        <v>172</v>
      </c>
      <c r="D188" s="18" t="s">
        <v>37</v>
      </c>
      <c r="E188" s="18"/>
    </row>
    <row r="189" spans="1:5">
      <c r="A189" s="24" t="s">
        <v>434</v>
      </c>
      <c r="B189" s="24" t="s">
        <v>435</v>
      </c>
      <c r="C189" s="21" t="s">
        <v>116</v>
      </c>
      <c r="D189" s="18"/>
      <c r="E189" s="18"/>
    </row>
    <row r="190" spans="1:5">
      <c r="A190" s="7" t="s">
        <v>436</v>
      </c>
      <c r="B190" s="7" t="s">
        <v>437</v>
      </c>
      <c r="C190" s="19" t="s">
        <v>172</v>
      </c>
      <c r="D190" s="18" t="s">
        <v>37</v>
      </c>
      <c r="E190" s="18"/>
    </row>
    <row r="191" spans="1:5">
      <c r="A191" s="24" t="s">
        <v>438</v>
      </c>
      <c r="B191" s="24" t="s">
        <v>439</v>
      </c>
      <c r="C191" s="21" t="s">
        <v>116</v>
      </c>
      <c r="D191" s="18"/>
      <c r="E191" s="18"/>
    </row>
    <row r="192" spans="1:5">
      <c r="A192" s="7" t="s">
        <v>440</v>
      </c>
      <c r="B192" s="7" t="s">
        <v>441</v>
      </c>
      <c r="C192" s="19" t="s">
        <v>172</v>
      </c>
      <c r="D192" s="18" t="s">
        <v>37</v>
      </c>
      <c r="E192" s="18"/>
    </row>
    <row r="193" spans="1:5">
      <c r="A193" s="24" t="s">
        <v>442</v>
      </c>
      <c r="B193" s="24" t="s">
        <v>443</v>
      </c>
      <c r="C193" s="21" t="s">
        <v>116</v>
      </c>
      <c r="D193" s="18"/>
      <c r="E193" s="18"/>
    </row>
    <row r="194" spans="1:5">
      <c r="A194" s="7" t="s">
        <v>444</v>
      </c>
      <c r="B194" s="7" t="s">
        <v>445</v>
      </c>
      <c r="C194" s="19" t="s">
        <v>172</v>
      </c>
      <c r="D194" s="18" t="s">
        <v>37</v>
      </c>
      <c r="E194" s="18"/>
    </row>
    <row r="195" spans="1:5">
      <c r="A195" s="24" t="s">
        <v>446</v>
      </c>
      <c r="B195" s="24" t="s">
        <v>447</v>
      </c>
      <c r="C195" s="21" t="s">
        <v>116</v>
      </c>
      <c r="D195" s="18"/>
      <c r="E195" s="18"/>
    </row>
    <row r="196" spans="1:5">
      <c r="A196" s="15" t="s">
        <v>448</v>
      </c>
      <c r="B196" s="15" t="s">
        <v>449</v>
      </c>
      <c r="C196" s="15" t="s">
        <v>450</v>
      </c>
      <c r="D196" s="18"/>
      <c r="E196" s="18"/>
    </row>
    <row r="197" spans="1:5" ht="86.45">
      <c r="A197" s="12" t="s">
        <v>451</v>
      </c>
      <c r="B197" s="12" t="s">
        <v>452</v>
      </c>
      <c r="C197" s="13" t="s">
        <v>453</v>
      </c>
      <c r="D197" s="7"/>
      <c r="E197" s="7"/>
    </row>
    <row r="198" spans="1:5">
      <c r="A198" s="9" t="s">
        <v>454</v>
      </c>
      <c r="B198" s="25" t="s">
        <v>455</v>
      </c>
      <c r="C198" s="25" t="s">
        <v>456</v>
      </c>
      <c r="D198" s="7"/>
      <c r="E198" s="7"/>
    </row>
  </sheetData>
  <autoFilter ref="A1:E198" xr:uid="{00000000-0009-0000-0000-000000000000}"/>
  <mergeCells count="2">
    <mergeCell ref="G1:Q6"/>
    <mergeCell ref="G8:R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tabSelected="1" workbookViewId="0"/>
  </sheetViews>
  <sheetFormatPr defaultColWidth="8.85546875" defaultRowHeight="14.45"/>
  <cols>
    <col min="3" max="3" width="20.28515625" bestFit="1" customWidth="1"/>
    <col min="4" max="4" width="22.5703125" customWidth="1"/>
    <col min="5" max="5" width="6.28515625" customWidth="1"/>
    <col min="6" max="6" width="37" bestFit="1" customWidth="1"/>
    <col min="7" max="7" width="3.7109375" customWidth="1"/>
  </cols>
  <sheetData>
    <row r="1" spans="1:6">
      <c r="A1" t="s">
        <v>457</v>
      </c>
    </row>
    <row r="3" spans="1:6">
      <c r="C3" s="41" t="s">
        <v>458</v>
      </c>
      <c r="D3" s="40"/>
      <c r="E3" s="40"/>
      <c r="F3" s="40"/>
    </row>
    <row r="5" spans="1:6">
      <c r="C5" s="43" t="s">
        <v>459</v>
      </c>
      <c r="D5" s="46" t="s">
        <v>460</v>
      </c>
      <c r="E5" s="29" t="s">
        <v>461</v>
      </c>
      <c r="F5" s="42" t="str">
        <f>+VLOOKUP(E5,ct209_rent_kpm!A:B,2,0)</f>
        <v>M000 - MF Outros</v>
      </c>
    </row>
    <row r="6" spans="1:6">
      <c r="C6" s="44"/>
      <c r="D6" s="47"/>
      <c r="E6" s="26" t="s">
        <v>67</v>
      </c>
      <c r="F6" s="37" t="str">
        <f>+VLOOKUP(E6,ct209_rent_kpm!A:B,2,0)</f>
        <v>172 - Juros Custos</v>
      </c>
    </row>
    <row r="7" spans="1:6">
      <c r="C7" s="44"/>
      <c r="D7" s="47"/>
      <c r="E7" s="26" t="s">
        <v>72</v>
      </c>
      <c r="F7" s="37" t="str">
        <f>+VLOOKUP(E7,ct209_rent_kpm!A:B,2,0)</f>
        <v>174 - Juros de Ref. Recursos</v>
      </c>
    </row>
    <row r="8" spans="1:6">
      <c r="C8" s="44"/>
      <c r="D8" s="47"/>
      <c r="E8" s="26" t="s">
        <v>200</v>
      </c>
      <c r="F8" s="37" t="str">
        <f>+VLOOKUP(E8,ct209_rent_kpm!A:B,2,0)</f>
        <v>394 - MF Meses Anteriores</v>
      </c>
    </row>
    <row r="9" spans="1:6">
      <c r="C9" s="44"/>
      <c r="D9" s="47"/>
      <c r="E9" s="26" t="s">
        <v>122</v>
      </c>
      <c r="F9" s="37" t="str">
        <f>+VLOOKUP(E9,ct209_rent_kpm!A:B,2,0)</f>
        <v>248 - Juros de Mora no Mês</v>
      </c>
    </row>
    <row r="10" spans="1:6">
      <c r="C10" s="44"/>
      <c r="D10" s="47"/>
      <c r="E10" s="26" t="s">
        <v>126</v>
      </c>
      <c r="F10" s="37" t="str">
        <f>+VLOOKUP(E10,ct209_rent_kpm!A:B,2,0)</f>
        <v>249 - Juros Carreg.Carteira Créd.Vencido</v>
      </c>
    </row>
    <row r="11" spans="1:6">
      <c r="C11" s="44"/>
      <c r="D11" s="47"/>
      <c r="E11" s="26" t="s">
        <v>65</v>
      </c>
      <c r="F11" s="37" t="str">
        <f>+VLOOKUP(E11,ct209_rent_kpm!A:B,2,0)</f>
        <v>171 - Juros Proveitos</v>
      </c>
    </row>
    <row r="12" spans="1:6">
      <c r="C12" s="45"/>
      <c r="D12" s="48"/>
      <c r="E12" s="39" t="s">
        <v>70</v>
      </c>
      <c r="F12" s="31" t="str">
        <f>+VLOOKUP(E12,ct209_rent_kpm!A:B,2,0)</f>
        <v>173 - Juros de Ref. Crédito</v>
      </c>
    </row>
    <row r="13" spans="1:6">
      <c r="C13" s="32" t="s">
        <v>462</v>
      </c>
      <c r="D13" s="27" t="s">
        <v>460</v>
      </c>
      <c r="E13" s="29" t="s">
        <v>170</v>
      </c>
      <c r="F13" s="30" t="str">
        <f>+VLOOKUP(E13,ct209_rent_kpm!A:B,2,0)</f>
        <v>310 - Resultados de Oper. Financeiras (ROF)</v>
      </c>
    </row>
    <row r="14" spans="1:6" ht="15.6" customHeight="1">
      <c r="C14" s="49" t="s">
        <v>463</v>
      </c>
      <c r="D14" s="51" t="s">
        <v>460</v>
      </c>
      <c r="E14" s="26" t="s">
        <v>392</v>
      </c>
      <c r="F14" s="37" t="str">
        <f>+VLOOKUP(E14,ct209_rent_kpm!A:B,2,0)</f>
        <v>M079 - FUR/Fundo Garantia Depósitos</v>
      </c>
    </row>
    <row r="15" spans="1:6">
      <c r="C15" s="50"/>
      <c r="D15" s="52"/>
      <c r="E15" s="28" t="s">
        <v>414</v>
      </c>
      <c r="F15" s="37" t="str">
        <f>+VLOOKUP(E15,ct209_rent_kpm!A:B,2,0)</f>
        <v>M085 - Otros Ingresos de Explotación</v>
      </c>
    </row>
    <row r="16" spans="1:6">
      <c r="C16" s="33" t="s">
        <v>464</v>
      </c>
      <c r="D16" s="27" t="s">
        <v>465</v>
      </c>
      <c r="E16" s="36" t="s">
        <v>466</v>
      </c>
      <c r="F16" s="37"/>
    </row>
    <row r="17" spans="3:6">
      <c r="C17" s="34" t="s">
        <v>467</v>
      </c>
      <c r="D17" s="35" t="s">
        <v>460</v>
      </c>
      <c r="E17" s="38" t="s">
        <v>468</v>
      </c>
      <c r="F17" s="37" t="str">
        <f>+VLOOKUP(E17,ct209_rent_kpm!A:B,2,0)</f>
        <v>M009 - Fluxos de provisões de imparidade</v>
      </c>
    </row>
  </sheetData>
  <mergeCells count="4">
    <mergeCell ref="C5:C12"/>
    <mergeCell ref="D5:D12"/>
    <mergeCell ref="C14:C15"/>
    <mergeCell ref="D14:D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a3ad75516f97a135200c78c81c519b0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c94b1f5fde846e7e60250c075eb393af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339BAF3-FE30-44B3-9798-F7EB22F38D35}"/>
</file>

<file path=customXml/itemProps2.xml><?xml version="1.0" encoding="utf-8"?>
<ds:datastoreItem xmlns:ds="http://schemas.openxmlformats.org/officeDocument/2006/customXml" ds:itemID="{0A592CDA-9437-4F3D-B63A-986150C9C374}"/>
</file>

<file path=customXml/itemProps3.xml><?xml version="1.0" encoding="utf-8"?>
<ds:datastoreItem xmlns:ds="http://schemas.openxmlformats.org/officeDocument/2006/customXml" ds:itemID="{B19D1938-1B7C-4C86-AF91-28065140C0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Catia Sofia Lopes Leitao</dc:creator>
  <cp:keywords/>
  <dc:description/>
  <cp:lastModifiedBy>Dora da Silva Roxo</cp:lastModifiedBy>
  <cp:revision/>
  <dcterms:created xsi:type="dcterms:W3CDTF">2022-01-27T10:02:58Z</dcterms:created>
  <dcterms:modified xsi:type="dcterms:W3CDTF">2026-03-09T16:58:49Z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2022-04-27T17:02:08Z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c1742ef2-e7ab-40ad-bffa-5bd12f50c819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</Properties>
</file>