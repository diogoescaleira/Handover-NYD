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E808883\OneDrive - Santander Office 365\Documents\BS_Valuation_Data_Set\BS_Valuation_Data_Set\03. Testes\01. Testes por Nível\"/>
    </mc:Choice>
  </mc:AlternateContent>
  <bookViews>
    <workbookView xWindow="28680" yWindow="-120" windowWidth="29040" windowHeight="15840" activeTab="1"/>
  </bookViews>
  <sheets>
    <sheet name="Campos Val." sheetId="7" r:id="rId1"/>
    <sheet name="Campos Nível A" sheetId="9" r:id="rId2"/>
  </sheets>
  <definedNames>
    <definedName name="_xlnm._FilterDatabase" localSheetId="1" hidden="1">'Campos Nível A'!$B$11:$N$46</definedName>
    <definedName name="_xlnm._FilterDatabase" localSheetId="0" hidden="1">'Campos Val.'!$B$11:$S$289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7" l="1"/>
  <c r="R289" i="7" l="1"/>
  <c r="Q289" i="7"/>
  <c r="P289" i="7"/>
  <c r="O289" i="7"/>
  <c r="N289" i="7"/>
  <c r="R288" i="7"/>
  <c r="Q288" i="7"/>
  <c r="P288" i="7"/>
  <c r="O288" i="7"/>
  <c r="N288" i="7"/>
  <c r="R287" i="7"/>
  <c r="Q287" i="7"/>
  <c r="P287" i="7"/>
  <c r="O287" i="7"/>
  <c r="N287" i="7"/>
  <c r="R286" i="7"/>
  <c r="Q286" i="7"/>
  <c r="P286" i="7"/>
  <c r="O286" i="7"/>
  <c r="N286" i="7"/>
  <c r="R285" i="7"/>
  <c r="Q285" i="7"/>
  <c r="P285" i="7"/>
  <c r="O285" i="7"/>
  <c r="N285" i="7"/>
  <c r="R284" i="7"/>
  <c r="Q284" i="7"/>
  <c r="P284" i="7"/>
  <c r="O284" i="7"/>
  <c r="N284" i="7"/>
  <c r="R283" i="7"/>
  <c r="Q283" i="7"/>
  <c r="P283" i="7"/>
  <c r="O283" i="7"/>
  <c r="N283" i="7"/>
  <c r="R282" i="7"/>
  <c r="Q282" i="7"/>
  <c r="P282" i="7"/>
  <c r="O282" i="7"/>
  <c r="N282" i="7"/>
  <c r="R281" i="7"/>
  <c r="Q281" i="7"/>
  <c r="P281" i="7"/>
  <c r="O281" i="7"/>
  <c r="N281" i="7"/>
  <c r="R280" i="7"/>
  <c r="Q280" i="7"/>
  <c r="P280" i="7"/>
  <c r="O280" i="7"/>
  <c r="N280" i="7"/>
  <c r="R279" i="7"/>
  <c r="Q279" i="7"/>
  <c r="P279" i="7"/>
  <c r="O279" i="7"/>
  <c r="N279" i="7"/>
  <c r="R278" i="7"/>
  <c r="Q278" i="7"/>
  <c r="P278" i="7"/>
  <c r="O278" i="7"/>
  <c r="N278" i="7"/>
  <c r="R277" i="7"/>
  <c r="Q277" i="7"/>
  <c r="P277" i="7"/>
  <c r="O277" i="7"/>
  <c r="N277" i="7"/>
  <c r="R276" i="7"/>
  <c r="Q276" i="7"/>
  <c r="P276" i="7"/>
  <c r="O276" i="7"/>
  <c r="N276" i="7"/>
  <c r="R275" i="7"/>
  <c r="Q275" i="7"/>
  <c r="P275" i="7"/>
  <c r="O275" i="7"/>
  <c r="N275" i="7"/>
  <c r="R274" i="7"/>
  <c r="Q274" i="7"/>
  <c r="P274" i="7"/>
  <c r="O274" i="7"/>
  <c r="N274" i="7"/>
  <c r="R273" i="7"/>
  <c r="Q273" i="7"/>
  <c r="P273" i="7"/>
  <c r="O273" i="7"/>
  <c r="N273" i="7"/>
  <c r="R272" i="7"/>
  <c r="Q272" i="7"/>
  <c r="P272" i="7"/>
  <c r="O272" i="7"/>
  <c r="N272" i="7"/>
  <c r="R271" i="7"/>
  <c r="Q271" i="7"/>
  <c r="P271" i="7"/>
  <c r="O271" i="7"/>
  <c r="N271" i="7"/>
  <c r="R270" i="7"/>
  <c r="Q270" i="7"/>
  <c r="P270" i="7"/>
  <c r="O270" i="7"/>
  <c r="N270" i="7"/>
  <c r="R269" i="7"/>
  <c r="Q269" i="7"/>
  <c r="P269" i="7"/>
  <c r="O269" i="7"/>
  <c r="N269" i="7"/>
  <c r="R268" i="7"/>
  <c r="Q268" i="7"/>
  <c r="P268" i="7"/>
  <c r="O268" i="7"/>
  <c r="N268" i="7"/>
  <c r="R267" i="7"/>
  <c r="Q267" i="7"/>
  <c r="P267" i="7"/>
  <c r="O267" i="7"/>
  <c r="N267" i="7"/>
  <c r="R266" i="7"/>
  <c r="Q266" i="7"/>
  <c r="P266" i="7"/>
  <c r="O266" i="7"/>
  <c r="N266" i="7"/>
  <c r="R265" i="7"/>
  <c r="Q265" i="7"/>
  <c r="P265" i="7"/>
  <c r="O265" i="7"/>
  <c r="N265" i="7"/>
  <c r="R264" i="7"/>
  <c r="Q264" i="7"/>
  <c r="P264" i="7"/>
  <c r="O264" i="7"/>
  <c r="N264" i="7"/>
  <c r="R263" i="7"/>
  <c r="Q263" i="7"/>
  <c r="P263" i="7"/>
  <c r="O263" i="7"/>
  <c r="N263" i="7"/>
  <c r="R262" i="7"/>
  <c r="Q262" i="7"/>
  <c r="P262" i="7"/>
  <c r="O262" i="7"/>
  <c r="N262" i="7"/>
  <c r="R261" i="7"/>
  <c r="Q261" i="7"/>
  <c r="P261" i="7"/>
  <c r="O261" i="7"/>
  <c r="N261" i="7"/>
  <c r="R260" i="7"/>
  <c r="Q260" i="7"/>
  <c r="P260" i="7"/>
  <c r="O260" i="7"/>
  <c r="N260" i="7"/>
  <c r="R259" i="7"/>
  <c r="Q259" i="7"/>
  <c r="P259" i="7"/>
  <c r="O259" i="7"/>
  <c r="N259" i="7"/>
  <c r="R258" i="7"/>
  <c r="Q258" i="7"/>
  <c r="P258" i="7"/>
  <c r="O258" i="7"/>
  <c r="N258" i="7"/>
  <c r="R257" i="7"/>
  <c r="Q257" i="7"/>
  <c r="P257" i="7"/>
  <c r="O257" i="7"/>
  <c r="N257" i="7"/>
  <c r="R256" i="7"/>
  <c r="Q256" i="7"/>
  <c r="P256" i="7"/>
  <c r="O256" i="7"/>
  <c r="N256" i="7"/>
  <c r="R255" i="7"/>
  <c r="Q255" i="7"/>
  <c r="P255" i="7"/>
  <c r="O255" i="7"/>
  <c r="N255" i="7"/>
  <c r="R254" i="7"/>
  <c r="Q254" i="7"/>
  <c r="P254" i="7"/>
  <c r="O254" i="7"/>
  <c r="N254" i="7"/>
  <c r="R253" i="7"/>
  <c r="Q253" i="7"/>
  <c r="P253" i="7"/>
  <c r="O253" i="7"/>
  <c r="N253" i="7"/>
  <c r="R252" i="7"/>
  <c r="Q252" i="7"/>
  <c r="P252" i="7"/>
  <c r="O252" i="7"/>
  <c r="N252" i="7"/>
  <c r="R251" i="7"/>
  <c r="Q251" i="7"/>
  <c r="P251" i="7"/>
  <c r="O251" i="7"/>
  <c r="N251" i="7"/>
  <c r="R250" i="7"/>
  <c r="Q250" i="7"/>
  <c r="P250" i="7"/>
  <c r="O250" i="7"/>
  <c r="N250" i="7"/>
  <c r="R249" i="7"/>
  <c r="Q249" i="7"/>
  <c r="P249" i="7"/>
  <c r="O249" i="7"/>
  <c r="N249" i="7"/>
  <c r="R248" i="7"/>
  <c r="Q248" i="7"/>
  <c r="P248" i="7"/>
  <c r="O248" i="7"/>
  <c r="N248" i="7"/>
  <c r="R247" i="7"/>
  <c r="Q247" i="7"/>
  <c r="P247" i="7"/>
  <c r="O247" i="7"/>
  <c r="N247" i="7"/>
  <c r="R246" i="7"/>
  <c r="Q246" i="7"/>
  <c r="P246" i="7"/>
  <c r="O246" i="7"/>
  <c r="N246" i="7"/>
  <c r="R245" i="7"/>
  <c r="Q245" i="7"/>
  <c r="P245" i="7"/>
  <c r="O245" i="7"/>
  <c r="N245" i="7"/>
  <c r="R244" i="7"/>
  <c r="Q244" i="7"/>
  <c r="P244" i="7"/>
  <c r="O244" i="7"/>
  <c r="N244" i="7"/>
  <c r="R243" i="7"/>
  <c r="Q243" i="7"/>
  <c r="P243" i="7"/>
  <c r="O243" i="7"/>
  <c r="N243" i="7"/>
  <c r="R242" i="7"/>
  <c r="Q242" i="7"/>
  <c r="P242" i="7"/>
  <c r="O242" i="7"/>
  <c r="N242" i="7"/>
  <c r="R241" i="7"/>
  <c r="Q241" i="7"/>
  <c r="P241" i="7"/>
  <c r="O241" i="7"/>
  <c r="N241" i="7"/>
  <c r="R240" i="7"/>
  <c r="Q240" i="7"/>
  <c r="P240" i="7"/>
  <c r="O240" i="7"/>
  <c r="N240" i="7"/>
  <c r="R239" i="7"/>
  <c r="Q239" i="7"/>
  <c r="P239" i="7"/>
  <c r="O239" i="7"/>
  <c r="N239" i="7"/>
  <c r="R238" i="7"/>
  <c r="Q238" i="7"/>
  <c r="P238" i="7"/>
  <c r="O238" i="7"/>
  <c r="N238" i="7"/>
  <c r="R237" i="7"/>
  <c r="Q237" i="7"/>
  <c r="P237" i="7"/>
  <c r="O237" i="7"/>
  <c r="N237" i="7"/>
  <c r="R236" i="7"/>
  <c r="Q236" i="7"/>
  <c r="P236" i="7"/>
  <c r="O236" i="7"/>
  <c r="N236" i="7"/>
  <c r="R235" i="7"/>
  <c r="Q235" i="7"/>
  <c r="P235" i="7"/>
  <c r="O235" i="7"/>
  <c r="N235" i="7"/>
  <c r="R234" i="7"/>
  <c r="Q234" i="7"/>
  <c r="P234" i="7"/>
  <c r="O234" i="7"/>
  <c r="N234" i="7"/>
  <c r="R233" i="7"/>
  <c r="Q233" i="7"/>
  <c r="P233" i="7"/>
  <c r="O233" i="7"/>
  <c r="N233" i="7"/>
  <c r="R232" i="7"/>
  <c r="Q232" i="7"/>
  <c r="P232" i="7"/>
  <c r="O232" i="7"/>
  <c r="N232" i="7"/>
  <c r="R231" i="7"/>
  <c r="Q231" i="7"/>
  <c r="P231" i="7"/>
  <c r="O231" i="7"/>
  <c r="N231" i="7"/>
  <c r="R230" i="7"/>
  <c r="Q230" i="7"/>
  <c r="P230" i="7"/>
  <c r="O230" i="7"/>
  <c r="N230" i="7"/>
  <c r="R229" i="7"/>
  <c r="Q229" i="7"/>
  <c r="P229" i="7"/>
  <c r="O229" i="7"/>
  <c r="N229" i="7"/>
  <c r="R228" i="7"/>
  <c r="Q228" i="7"/>
  <c r="P228" i="7"/>
  <c r="O228" i="7"/>
  <c r="N228" i="7"/>
  <c r="R227" i="7"/>
  <c r="Q227" i="7"/>
  <c r="P227" i="7"/>
  <c r="O227" i="7"/>
  <c r="N227" i="7"/>
  <c r="R226" i="7"/>
  <c r="Q226" i="7"/>
  <c r="P226" i="7"/>
  <c r="O226" i="7"/>
  <c r="N226" i="7"/>
  <c r="R225" i="7"/>
  <c r="Q225" i="7"/>
  <c r="P225" i="7"/>
  <c r="O225" i="7"/>
  <c r="N225" i="7"/>
  <c r="R224" i="7"/>
  <c r="Q224" i="7"/>
  <c r="P224" i="7"/>
  <c r="O224" i="7"/>
  <c r="N224" i="7"/>
  <c r="R223" i="7"/>
  <c r="Q223" i="7"/>
  <c r="P223" i="7"/>
  <c r="O223" i="7"/>
  <c r="N223" i="7"/>
  <c r="R222" i="7"/>
  <c r="Q222" i="7"/>
  <c r="P222" i="7"/>
  <c r="O222" i="7"/>
  <c r="N222" i="7"/>
  <c r="R221" i="7"/>
  <c r="Q221" i="7"/>
  <c r="P221" i="7"/>
  <c r="O221" i="7"/>
  <c r="N221" i="7"/>
  <c r="R220" i="7"/>
  <c r="Q220" i="7"/>
  <c r="P220" i="7"/>
  <c r="O220" i="7"/>
  <c r="N220" i="7"/>
  <c r="R219" i="7"/>
  <c r="Q219" i="7"/>
  <c r="P219" i="7"/>
  <c r="O219" i="7"/>
  <c r="N219" i="7"/>
  <c r="R218" i="7"/>
  <c r="Q218" i="7"/>
  <c r="P218" i="7"/>
  <c r="O218" i="7"/>
  <c r="N218" i="7"/>
  <c r="R217" i="7"/>
  <c r="Q217" i="7"/>
  <c r="P217" i="7"/>
  <c r="O217" i="7"/>
  <c r="N217" i="7"/>
  <c r="R216" i="7"/>
  <c r="Q216" i="7"/>
  <c r="P216" i="7"/>
  <c r="O216" i="7"/>
  <c r="N216" i="7"/>
  <c r="R215" i="7"/>
  <c r="Q215" i="7"/>
  <c r="P215" i="7"/>
  <c r="O215" i="7"/>
  <c r="N215" i="7"/>
  <c r="R214" i="7"/>
  <c r="Q214" i="7"/>
  <c r="P214" i="7"/>
  <c r="O214" i="7"/>
  <c r="N214" i="7"/>
  <c r="R213" i="7"/>
  <c r="Q213" i="7"/>
  <c r="P213" i="7"/>
  <c r="O213" i="7"/>
  <c r="N213" i="7"/>
  <c r="R212" i="7"/>
  <c r="Q212" i="7"/>
  <c r="P212" i="7"/>
  <c r="O212" i="7"/>
  <c r="N212" i="7"/>
  <c r="R211" i="7"/>
  <c r="Q211" i="7"/>
  <c r="P211" i="7"/>
  <c r="O211" i="7"/>
  <c r="N211" i="7"/>
  <c r="R210" i="7"/>
  <c r="Q210" i="7"/>
  <c r="P210" i="7"/>
  <c r="O210" i="7"/>
  <c r="N210" i="7"/>
  <c r="R209" i="7"/>
  <c r="Q209" i="7"/>
  <c r="P209" i="7"/>
  <c r="O209" i="7"/>
  <c r="N209" i="7"/>
  <c r="R208" i="7"/>
  <c r="Q208" i="7"/>
  <c r="P208" i="7"/>
  <c r="O208" i="7"/>
  <c r="N208" i="7"/>
  <c r="R207" i="7"/>
  <c r="Q207" i="7"/>
  <c r="P207" i="7"/>
  <c r="O207" i="7"/>
  <c r="N207" i="7"/>
  <c r="R206" i="7"/>
  <c r="Q206" i="7"/>
  <c r="P206" i="7"/>
  <c r="O206" i="7"/>
  <c r="N206" i="7"/>
  <c r="R205" i="7"/>
  <c r="Q205" i="7"/>
  <c r="P205" i="7"/>
  <c r="O205" i="7"/>
  <c r="N205" i="7"/>
  <c r="R204" i="7"/>
  <c r="Q204" i="7"/>
  <c r="P204" i="7"/>
  <c r="O204" i="7"/>
  <c r="N204" i="7"/>
  <c r="R203" i="7"/>
  <c r="Q203" i="7"/>
  <c r="P203" i="7"/>
  <c r="O203" i="7"/>
  <c r="N203" i="7"/>
  <c r="R202" i="7"/>
  <c r="Q202" i="7"/>
  <c r="P202" i="7"/>
  <c r="O202" i="7"/>
  <c r="N202" i="7"/>
  <c r="R201" i="7"/>
  <c r="Q201" i="7"/>
  <c r="P201" i="7"/>
  <c r="O201" i="7"/>
  <c r="N201" i="7"/>
  <c r="R200" i="7"/>
  <c r="Q200" i="7"/>
  <c r="P200" i="7"/>
  <c r="O200" i="7"/>
  <c r="N200" i="7"/>
  <c r="R199" i="7"/>
  <c r="Q199" i="7"/>
  <c r="P199" i="7"/>
  <c r="O199" i="7"/>
  <c r="N199" i="7"/>
  <c r="R198" i="7"/>
  <c r="Q198" i="7"/>
  <c r="P198" i="7"/>
  <c r="O198" i="7"/>
  <c r="N198" i="7"/>
  <c r="R197" i="7"/>
  <c r="Q197" i="7"/>
  <c r="P197" i="7"/>
  <c r="O197" i="7"/>
  <c r="N197" i="7"/>
  <c r="R196" i="7"/>
  <c r="Q196" i="7"/>
  <c r="P196" i="7"/>
  <c r="O196" i="7"/>
  <c r="N196" i="7"/>
  <c r="R195" i="7"/>
  <c r="Q195" i="7"/>
  <c r="P195" i="7"/>
  <c r="O195" i="7"/>
  <c r="N195" i="7"/>
  <c r="R194" i="7"/>
  <c r="Q194" i="7"/>
  <c r="P194" i="7"/>
  <c r="O194" i="7"/>
  <c r="N194" i="7"/>
  <c r="R193" i="7"/>
  <c r="Q193" i="7"/>
  <c r="P193" i="7"/>
  <c r="O193" i="7"/>
  <c r="N193" i="7"/>
  <c r="R192" i="7"/>
  <c r="Q192" i="7"/>
  <c r="P192" i="7"/>
  <c r="O192" i="7"/>
  <c r="N192" i="7"/>
  <c r="R191" i="7"/>
  <c r="Q191" i="7"/>
  <c r="P191" i="7"/>
  <c r="O191" i="7"/>
  <c r="N191" i="7"/>
  <c r="R190" i="7"/>
  <c r="Q190" i="7"/>
  <c r="P190" i="7"/>
  <c r="O190" i="7"/>
  <c r="N190" i="7"/>
  <c r="R189" i="7"/>
  <c r="Q189" i="7"/>
  <c r="P189" i="7"/>
  <c r="O189" i="7"/>
  <c r="N189" i="7"/>
  <c r="R188" i="7"/>
  <c r="Q188" i="7"/>
  <c r="P188" i="7"/>
  <c r="O188" i="7"/>
  <c r="N188" i="7"/>
  <c r="R187" i="7"/>
  <c r="Q187" i="7"/>
  <c r="P187" i="7"/>
  <c r="O187" i="7"/>
  <c r="N187" i="7"/>
  <c r="R186" i="7"/>
  <c r="Q186" i="7"/>
  <c r="P186" i="7"/>
  <c r="O186" i="7"/>
  <c r="N186" i="7"/>
  <c r="R185" i="7"/>
  <c r="Q185" i="7"/>
  <c r="P185" i="7"/>
  <c r="O185" i="7"/>
  <c r="N185" i="7"/>
  <c r="R184" i="7"/>
  <c r="Q184" i="7"/>
  <c r="P184" i="7"/>
  <c r="O184" i="7"/>
  <c r="N184" i="7"/>
  <c r="R183" i="7"/>
  <c r="Q183" i="7"/>
  <c r="P183" i="7"/>
  <c r="O183" i="7"/>
  <c r="N183" i="7"/>
  <c r="R182" i="7"/>
  <c r="Q182" i="7"/>
  <c r="P182" i="7"/>
  <c r="O182" i="7"/>
  <c r="N182" i="7"/>
  <c r="R181" i="7"/>
  <c r="Q181" i="7"/>
  <c r="P181" i="7"/>
  <c r="O181" i="7"/>
  <c r="N181" i="7"/>
  <c r="R180" i="7"/>
  <c r="Q180" i="7"/>
  <c r="P180" i="7"/>
  <c r="O180" i="7"/>
  <c r="N180" i="7"/>
  <c r="R179" i="7"/>
  <c r="Q179" i="7"/>
  <c r="P179" i="7"/>
  <c r="O179" i="7"/>
  <c r="N179" i="7"/>
  <c r="R178" i="7"/>
  <c r="Q178" i="7"/>
  <c r="P178" i="7"/>
  <c r="O178" i="7"/>
  <c r="N178" i="7"/>
  <c r="R177" i="7"/>
  <c r="Q177" i="7"/>
  <c r="P177" i="7"/>
  <c r="O177" i="7"/>
  <c r="N177" i="7"/>
  <c r="R176" i="7"/>
  <c r="Q176" i="7"/>
  <c r="P176" i="7"/>
  <c r="O176" i="7"/>
  <c r="N176" i="7"/>
  <c r="R175" i="7"/>
  <c r="Q175" i="7"/>
  <c r="P175" i="7"/>
  <c r="O175" i="7"/>
  <c r="N175" i="7"/>
  <c r="R174" i="7"/>
  <c r="Q174" i="7"/>
  <c r="P174" i="7"/>
  <c r="O174" i="7"/>
  <c r="N174" i="7"/>
  <c r="R173" i="7"/>
  <c r="Q173" i="7"/>
  <c r="P173" i="7"/>
  <c r="O173" i="7"/>
  <c r="N173" i="7"/>
  <c r="R172" i="7"/>
  <c r="Q172" i="7"/>
  <c r="P172" i="7"/>
  <c r="O172" i="7"/>
  <c r="N172" i="7"/>
  <c r="R171" i="7"/>
  <c r="Q171" i="7"/>
  <c r="P171" i="7"/>
  <c r="O171" i="7"/>
  <c r="N171" i="7"/>
  <c r="R170" i="7"/>
  <c r="Q170" i="7"/>
  <c r="P170" i="7"/>
  <c r="O170" i="7"/>
  <c r="N170" i="7"/>
  <c r="R169" i="7"/>
  <c r="Q169" i="7"/>
  <c r="P169" i="7"/>
  <c r="O169" i="7"/>
  <c r="N169" i="7"/>
  <c r="R168" i="7"/>
  <c r="Q168" i="7"/>
  <c r="P168" i="7"/>
  <c r="O168" i="7"/>
  <c r="N168" i="7"/>
  <c r="R167" i="7"/>
  <c r="Q167" i="7"/>
  <c r="P167" i="7"/>
  <c r="O167" i="7"/>
  <c r="N167" i="7"/>
  <c r="R166" i="7"/>
  <c r="Q166" i="7"/>
  <c r="P166" i="7"/>
  <c r="O166" i="7"/>
  <c r="N166" i="7"/>
  <c r="R165" i="7"/>
  <c r="Q165" i="7"/>
  <c r="P165" i="7"/>
  <c r="O165" i="7"/>
  <c r="N165" i="7"/>
  <c r="R164" i="7"/>
  <c r="Q164" i="7"/>
  <c r="P164" i="7"/>
  <c r="O164" i="7"/>
  <c r="N164" i="7"/>
  <c r="R163" i="7"/>
  <c r="Q163" i="7"/>
  <c r="P163" i="7"/>
  <c r="O163" i="7"/>
  <c r="N163" i="7"/>
  <c r="R162" i="7"/>
  <c r="Q162" i="7"/>
  <c r="P162" i="7"/>
  <c r="O162" i="7"/>
  <c r="N162" i="7"/>
  <c r="R161" i="7"/>
  <c r="Q161" i="7"/>
  <c r="P161" i="7"/>
  <c r="O161" i="7"/>
  <c r="N161" i="7"/>
  <c r="R160" i="7"/>
  <c r="Q160" i="7"/>
  <c r="P160" i="7"/>
  <c r="O160" i="7"/>
  <c r="N160" i="7"/>
  <c r="R159" i="7"/>
  <c r="Q159" i="7"/>
  <c r="P159" i="7"/>
  <c r="O159" i="7"/>
  <c r="N159" i="7"/>
  <c r="R158" i="7"/>
  <c r="Q158" i="7"/>
  <c r="P158" i="7"/>
  <c r="O158" i="7"/>
  <c r="N158" i="7"/>
  <c r="R157" i="7"/>
  <c r="Q157" i="7"/>
  <c r="P157" i="7"/>
  <c r="O157" i="7"/>
  <c r="N157" i="7"/>
  <c r="R156" i="7"/>
  <c r="Q156" i="7"/>
  <c r="P156" i="7"/>
  <c r="O156" i="7"/>
  <c r="N156" i="7"/>
  <c r="R155" i="7"/>
  <c r="Q155" i="7"/>
  <c r="P155" i="7"/>
  <c r="O155" i="7"/>
  <c r="N155" i="7"/>
  <c r="R154" i="7"/>
  <c r="Q154" i="7"/>
  <c r="P154" i="7"/>
  <c r="O154" i="7"/>
  <c r="N154" i="7"/>
  <c r="R153" i="7"/>
  <c r="Q153" i="7"/>
  <c r="P153" i="7"/>
  <c r="O153" i="7"/>
  <c r="N153" i="7"/>
  <c r="R152" i="7"/>
  <c r="Q152" i="7"/>
  <c r="P152" i="7"/>
  <c r="O152" i="7"/>
  <c r="N152" i="7"/>
  <c r="R151" i="7"/>
  <c r="Q151" i="7"/>
  <c r="P151" i="7"/>
  <c r="O151" i="7"/>
  <c r="N151" i="7"/>
  <c r="R150" i="7"/>
  <c r="Q150" i="7"/>
  <c r="P150" i="7"/>
  <c r="O150" i="7"/>
  <c r="N150" i="7"/>
  <c r="R149" i="7"/>
  <c r="Q149" i="7"/>
  <c r="P149" i="7"/>
  <c r="O149" i="7"/>
  <c r="N149" i="7"/>
  <c r="R148" i="7"/>
  <c r="Q148" i="7"/>
  <c r="P148" i="7"/>
  <c r="O148" i="7"/>
  <c r="N148" i="7"/>
  <c r="R147" i="7"/>
  <c r="Q147" i="7"/>
  <c r="P147" i="7"/>
  <c r="O147" i="7"/>
  <c r="N147" i="7"/>
  <c r="R146" i="7"/>
  <c r="Q146" i="7"/>
  <c r="P146" i="7"/>
  <c r="O146" i="7"/>
  <c r="N146" i="7"/>
  <c r="R145" i="7"/>
  <c r="Q145" i="7"/>
  <c r="P145" i="7"/>
  <c r="O145" i="7"/>
  <c r="N145" i="7"/>
  <c r="R144" i="7"/>
  <c r="Q144" i="7"/>
  <c r="P144" i="7"/>
  <c r="O144" i="7"/>
  <c r="N144" i="7"/>
  <c r="R143" i="7"/>
  <c r="Q143" i="7"/>
  <c r="P143" i="7"/>
  <c r="O143" i="7"/>
  <c r="N143" i="7"/>
  <c r="R142" i="7"/>
  <c r="Q142" i="7"/>
  <c r="P142" i="7"/>
  <c r="O142" i="7"/>
  <c r="N142" i="7"/>
  <c r="R141" i="7"/>
  <c r="Q141" i="7"/>
  <c r="P141" i="7"/>
  <c r="O141" i="7"/>
  <c r="N141" i="7"/>
  <c r="R140" i="7"/>
  <c r="Q140" i="7"/>
  <c r="P140" i="7"/>
  <c r="O140" i="7"/>
  <c r="N140" i="7"/>
  <c r="R139" i="7"/>
  <c r="Q139" i="7"/>
  <c r="P139" i="7"/>
  <c r="O139" i="7"/>
  <c r="N139" i="7"/>
  <c r="R138" i="7"/>
  <c r="Q138" i="7"/>
  <c r="P138" i="7"/>
  <c r="O138" i="7"/>
  <c r="N138" i="7"/>
  <c r="R137" i="7"/>
  <c r="Q137" i="7"/>
  <c r="P137" i="7"/>
  <c r="O137" i="7"/>
  <c r="N137" i="7"/>
  <c r="R136" i="7"/>
  <c r="Q136" i="7"/>
  <c r="P136" i="7"/>
  <c r="O136" i="7"/>
  <c r="N136" i="7"/>
  <c r="R135" i="7"/>
  <c r="Q135" i="7"/>
  <c r="P135" i="7"/>
  <c r="O135" i="7"/>
  <c r="N135" i="7"/>
  <c r="R134" i="7"/>
  <c r="Q134" i="7"/>
  <c r="P134" i="7"/>
  <c r="O134" i="7"/>
  <c r="N134" i="7"/>
  <c r="R133" i="7"/>
  <c r="Q133" i="7"/>
  <c r="P133" i="7"/>
  <c r="O133" i="7"/>
  <c r="N133" i="7"/>
  <c r="R132" i="7"/>
  <c r="Q132" i="7"/>
  <c r="P132" i="7"/>
  <c r="O132" i="7"/>
  <c r="N132" i="7"/>
  <c r="R131" i="7"/>
  <c r="Q131" i="7"/>
  <c r="P131" i="7"/>
  <c r="O131" i="7"/>
  <c r="N131" i="7"/>
  <c r="R130" i="7"/>
  <c r="Q130" i="7"/>
  <c r="P130" i="7"/>
  <c r="O130" i="7"/>
  <c r="N130" i="7"/>
  <c r="R129" i="7"/>
  <c r="Q129" i="7"/>
  <c r="P129" i="7"/>
  <c r="O129" i="7"/>
  <c r="N129" i="7"/>
  <c r="R128" i="7"/>
  <c r="Q128" i="7"/>
  <c r="P128" i="7"/>
  <c r="O128" i="7"/>
  <c r="N128" i="7"/>
  <c r="R127" i="7"/>
  <c r="Q127" i="7"/>
  <c r="P127" i="7"/>
  <c r="O127" i="7"/>
  <c r="N127" i="7"/>
  <c r="R126" i="7"/>
  <c r="Q126" i="7"/>
  <c r="P126" i="7"/>
  <c r="O126" i="7"/>
  <c r="N126" i="7"/>
  <c r="R125" i="7"/>
  <c r="Q125" i="7"/>
  <c r="P125" i="7"/>
  <c r="O125" i="7"/>
  <c r="N125" i="7"/>
  <c r="R124" i="7"/>
  <c r="Q124" i="7"/>
  <c r="P124" i="7"/>
  <c r="O124" i="7"/>
  <c r="N124" i="7"/>
  <c r="R123" i="7"/>
  <c r="Q123" i="7"/>
  <c r="P123" i="7"/>
  <c r="O123" i="7"/>
  <c r="N123" i="7"/>
  <c r="R122" i="7"/>
  <c r="Q122" i="7"/>
  <c r="P122" i="7"/>
  <c r="O122" i="7"/>
  <c r="N122" i="7"/>
  <c r="R121" i="7"/>
  <c r="Q121" i="7"/>
  <c r="P121" i="7"/>
  <c r="O121" i="7"/>
  <c r="N121" i="7"/>
  <c r="R120" i="7"/>
  <c r="Q120" i="7"/>
  <c r="P120" i="7"/>
  <c r="O120" i="7"/>
  <c r="N120" i="7"/>
  <c r="R119" i="7"/>
  <c r="Q119" i="7"/>
  <c r="P119" i="7"/>
  <c r="O119" i="7"/>
  <c r="N119" i="7"/>
  <c r="R118" i="7"/>
  <c r="Q118" i="7"/>
  <c r="P118" i="7"/>
  <c r="O118" i="7"/>
  <c r="N118" i="7"/>
  <c r="R117" i="7"/>
  <c r="Q117" i="7"/>
  <c r="P117" i="7"/>
  <c r="O117" i="7"/>
  <c r="N117" i="7"/>
  <c r="R116" i="7"/>
  <c r="Q116" i="7"/>
  <c r="P116" i="7"/>
  <c r="O116" i="7"/>
  <c r="N116" i="7"/>
  <c r="R115" i="7"/>
  <c r="Q115" i="7"/>
  <c r="P115" i="7"/>
  <c r="O115" i="7"/>
  <c r="N115" i="7"/>
  <c r="R114" i="7"/>
  <c r="Q114" i="7"/>
  <c r="P114" i="7"/>
  <c r="O114" i="7"/>
  <c r="N114" i="7"/>
  <c r="R113" i="7"/>
  <c r="Q113" i="7"/>
  <c r="P113" i="7"/>
  <c r="O113" i="7"/>
  <c r="N113" i="7"/>
  <c r="R112" i="7"/>
  <c r="Q112" i="7"/>
  <c r="P112" i="7"/>
  <c r="O112" i="7"/>
  <c r="N112" i="7"/>
  <c r="R111" i="7"/>
  <c r="Q111" i="7"/>
  <c r="P111" i="7"/>
  <c r="O111" i="7"/>
  <c r="N111" i="7"/>
  <c r="R110" i="7"/>
  <c r="Q110" i="7"/>
  <c r="P110" i="7"/>
  <c r="O110" i="7"/>
  <c r="N110" i="7"/>
  <c r="R109" i="7"/>
  <c r="Q109" i="7"/>
  <c r="P109" i="7"/>
  <c r="O109" i="7"/>
  <c r="N109" i="7"/>
  <c r="R108" i="7"/>
  <c r="Q108" i="7"/>
  <c r="P108" i="7"/>
  <c r="O108" i="7"/>
  <c r="N108" i="7"/>
  <c r="R107" i="7"/>
  <c r="Q107" i="7"/>
  <c r="P107" i="7"/>
  <c r="O107" i="7"/>
  <c r="N107" i="7"/>
  <c r="R106" i="7"/>
  <c r="Q106" i="7"/>
  <c r="P106" i="7"/>
  <c r="O106" i="7"/>
  <c r="N106" i="7"/>
  <c r="R105" i="7"/>
  <c r="Q105" i="7"/>
  <c r="P105" i="7"/>
  <c r="O105" i="7"/>
  <c r="N105" i="7"/>
  <c r="R104" i="7"/>
  <c r="Q104" i="7"/>
  <c r="P104" i="7"/>
  <c r="O104" i="7"/>
  <c r="N104" i="7"/>
  <c r="R103" i="7"/>
  <c r="Q103" i="7"/>
  <c r="P103" i="7"/>
  <c r="O103" i="7"/>
  <c r="N103" i="7"/>
  <c r="R102" i="7"/>
  <c r="Q102" i="7"/>
  <c r="P102" i="7"/>
  <c r="O102" i="7"/>
  <c r="N102" i="7"/>
  <c r="R101" i="7"/>
  <c r="Q101" i="7"/>
  <c r="P101" i="7"/>
  <c r="O101" i="7"/>
  <c r="N101" i="7"/>
  <c r="R100" i="7"/>
  <c r="Q100" i="7"/>
  <c r="P100" i="7"/>
  <c r="O100" i="7"/>
  <c r="N100" i="7"/>
  <c r="R99" i="7"/>
  <c r="Q99" i="7"/>
  <c r="P99" i="7"/>
  <c r="O99" i="7"/>
  <c r="N99" i="7"/>
  <c r="R98" i="7"/>
  <c r="Q98" i="7"/>
  <c r="P98" i="7"/>
  <c r="O98" i="7"/>
  <c r="N98" i="7"/>
  <c r="R97" i="7"/>
  <c r="Q97" i="7"/>
  <c r="P97" i="7"/>
  <c r="O97" i="7"/>
  <c r="N97" i="7"/>
  <c r="R96" i="7"/>
  <c r="Q96" i="7"/>
  <c r="P96" i="7"/>
  <c r="O96" i="7"/>
  <c r="N96" i="7"/>
  <c r="R95" i="7"/>
  <c r="Q95" i="7"/>
  <c r="P95" i="7"/>
  <c r="O95" i="7"/>
  <c r="N95" i="7"/>
  <c r="R94" i="7"/>
  <c r="Q94" i="7"/>
  <c r="P94" i="7"/>
  <c r="O94" i="7"/>
  <c r="N94" i="7"/>
  <c r="R93" i="7"/>
  <c r="Q93" i="7"/>
  <c r="P93" i="7"/>
  <c r="O93" i="7"/>
  <c r="N93" i="7"/>
  <c r="R92" i="7"/>
  <c r="Q92" i="7"/>
  <c r="P92" i="7"/>
  <c r="O92" i="7"/>
  <c r="N92" i="7"/>
  <c r="R91" i="7"/>
  <c r="Q91" i="7"/>
  <c r="P91" i="7"/>
  <c r="O91" i="7"/>
  <c r="N91" i="7"/>
  <c r="R90" i="7"/>
  <c r="Q90" i="7"/>
  <c r="P90" i="7"/>
  <c r="O90" i="7"/>
  <c r="N90" i="7"/>
  <c r="R89" i="7"/>
  <c r="Q89" i="7"/>
  <c r="P89" i="7"/>
  <c r="O89" i="7"/>
  <c r="N89" i="7"/>
  <c r="R88" i="7"/>
  <c r="Q88" i="7"/>
  <c r="P88" i="7"/>
  <c r="O88" i="7"/>
  <c r="N88" i="7"/>
  <c r="R87" i="7"/>
  <c r="Q87" i="7"/>
  <c r="P87" i="7"/>
  <c r="O87" i="7"/>
  <c r="N87" i="7"/>
  <c r="R86" i="7"/>
  <c r="Q86" i="7"/>
  <c r="P86" i="7"/>
  <c r="O86" i="7"/>
  <c r="N86" i="7"/>
  <c r="R85" i="7"/>
  <c r="Q85" i="7"/>
  <c r="P85" i="7"/>
  <c r="O85" i="7"/>
  <c r="N85" i="7"/>
  <c r="R84" i="7"/>
  <c r="Q84" i="7"/>
  <c r="P84" i="7"/>
  <c r="O84" i="7"/>
  <c r="N84" i="7"/>
  <c r="R83" i="7"/>
  <c r="Q83" i="7"/>
  <c r="P83" i="7"/>
  <c r="O83" i="7"/>
  <c r="N83" i="7"/>
  <c r="R82" i="7"/>
  <c r="Q82" i="7"/>
  <c r="P82" i="7"/>
  <c r="O82" i="7"/>
  <c r="N82" i="7"/>
  <c r="R81" i="7"/>
  <c r="Q81" i="7"/>
  <c r="P81" i="7"/>
  <c r="O81" i="7"/>
  <c r="N81" i="7"/>
  <c r="R80" i="7"/>
  <c r="Q80" i="7"/>
  <c r="P80" i="7"/>
  <c r="O80" i="7"/>
  <c r="N80" i="7"/>
  <c r="R79" i="7"/>
  <c r="Q79" i="7"/>
  <c r="P79" i="7"/>
  <c r="O79" i="7"/>
  <c r="N79" i="7"/>
  <c r="R78" i="7"/>
  <c r="Q78" i="7"/>
  <c r="P78" i="7"/>
  <c r="O78" i="7"/>
  <c r="N78" i="7"/>
  <c r="R77" i="7"/>
  <c r="Q77" i="7"/>
  <c r="P77" i="7"/>
  <c r="O77" i="7"/>
  <c r="N77" i="7"/>
  <c r="R76" i="7"/>
  <c r="Q76" i="7"/>
  <c r="P76" i="7"/>
  <c r="O76" i="7"/>
  <c r="N76" i="7"/>
  <c r="R75" i="7"/>
  <c r="Q75" i="7"/>
  <c r="P75" i="7"/>
  <c r="O75" i="7"/>
  <c r="N75" i="7"/>
  <c r="R74" i="7"/>
  <c r="Q74" i="7"/>
  <c r="P74" i="7"/>
  <c r="O74" i="7"/>
  <c r="N74" i="7"/>
  <c r="R73" i="7"/>
  <c r="Q73" i="7"/>
  <c r="P73" i="7"/>
  <c r="O73" i="7"/>
  <c r="N73" i="7"/>
  <c r="R72" i="7"/>
  <c r="Q72" i="7"/>
  <c r="P72" i="7"/>
  <c r="O72" i="7"/>
  <c r="N72" i="7"/>
  <c r="R71" i="7"/>
  <c r="Q71" i="7"/>
  <c r="P71" i="7"/>
  <c r="O71" i="7"/>
  <c r="N71" i="7"/>
  <c r="R70" i="7"/>
  <c r="Q70" i="7"/>
  <c r="P70" i="7"/>
  <c r="O70" i="7"/>
  <c r="N70" i="7"/>
  <c r="R69" i="7"/>
  <c r="Q69" i="7"/>
  <c r="P69" i="7"/>
  <c r="O69" i="7"/>
  <c r="N69" i="7"/>
  <c r="R68" i="7"/>
  <c r="Q68" i="7"/>
  <c r="P68" i="7"/>
  <c r="O68" i="7"/>
  <c r="N68" i="7"/>
  <c r="R67" i="7"/>
  <c r="Q67" i="7"/>
  <c r="P67" i="7"/>
  <c r="O67" i="7"/>
  <c r="N67" i="7"/>
  <c r="R66" i="7"/>
  <c r="Q66" i="7"/>
  <c r="P66" i="7"/>
  <c r="O66" i="7"/>
  <c r="N66" i="7"/>
  <c r="R65" i="7"/>
  <c r="Q65" i="7"/>
  <c r="P65" i="7"/>
  <c r="O65" i="7"/>
  <c r="N65" i="7"/>
  <c r="R64" i="7"/>
  <c r="Q64" i="7"/>
  <c r="P64" i="7"/>
  <c r="O64" i="7"/>
  <c r="N64" i="7"/>
  <c r="R63" i="7"/>
  <c r="Q63" i="7"/>
  <c r="P63" i="7"/>
  <c r="O63" i="7"/>
  <c r="N63" i="7"/>
  <c r="R62" i="7"/>
  <c r="Q62" i="7"/>
  <c r="P62" i="7"/>
  <c r="O62" i="7"/>
  <c r="N62" i="7"/>
  <c r="R61" i="7"/>
  <c r="Q61" i="7"/>
  <c r="P61" i="7"/>
  <c r="O61" i="7"/>
  <c r="N61" i="7"/>
  <c r="R60" i="7"/>
  <c r="Q60" i="7"/>
  <c r="P60" i="7"/>
  <c r="O60" i="7"/>
  <c r="N60" i="7"/>
  <c r="R59" i="7"/>
  <c r="Q59" i="7"/>
  <c r="P59" i="7"/>
  <c r="O59" i="7"/>
  <c r="N59" i="7"/>
  <c r="R58" i="7"/>
  <c r="Q58" i="7"/>
  <c r="P58" i="7"/>
  <c r="O58" i="7"/>
  <c r="N58" i="7"/>
  <c r="R57" i="7"/>
  <c r="Q57" i="7"/>
  <c r="P57" i="7"/>
  <c r="O57" i="7"/>
  <c r="N57" i="7"/>
  <c r="R56" i="7"/>
  <c r="Q56" i="7"/>
  <c r="P56" i="7"/>
  <c r="O56" i="7"/>
  <c r="N56" i="7"/>
  <c r="R55" i="7"/>
  <c r="Q55" i="7"/>
  <c r="P55" i="7"/>
  <c r="O55" i="7"/>
  <c r="N55" i="7"/>
  <c r="R54" i="7"/>
  <c r="Q54" i="7"/>
  <c r="P54" i="7"/>
  <c r="O54" i="7"/>
  <c r="N54" i="7"/>
  <c r="R53" i="7"/>
  <c r="Q53" i="7"/>
  <c r="P53" i="7"/>
  <c r="O53" i="7"/>
  <c r="N53" i="7"/>
  <c r="R52" i="7"/>
  <c r="Q52" i="7"/>
  <c r="P52" i="7"/>
  <c r="O52" i="7"/>
  <c r="N52" i="7"/>
  <c r="R51" i="7"/>
  <c r="Q51" i="7"/>
  <c r="P51" i="7"/>
  <c r="O51" i="7"/>
  <c r="N51" i="7"/>
  <c r="R50" i="7"/>
  <c r="Q50" i="7"/>
  <c r="P50" i="7"/>
  <c r="O50" i="7"/>
  <c r="N50" i="7"/>
  <c r="R49" i="7"/>
  <c r="Q49" i="7"/>
  <c r="P49" i="7"/>
  <c r="O49" i="7"/>
  <c r="N49" i="7"/>
  <c r="R48" i="7"/>
  <c r="Q48" i="7"/>
  <c r="P48" i="7"/>
  <c r="O48" i="7"/>
  <c r="N48" i="7"/>
  <c r="R47" i="7"/>
  <c r="Q47" i="7"/>
  <c r="P47" i="7"/>
  <c r="O47" i="7"/>
  <c r="N47" i="7"/>
  <c r="R46" i="7"/>
  <c r="Q46" i="7"/>
  <c r="P46" i="7"/>
  <c r="O46" i="7"/>
  <c r="N46" i="7"/>
  <c r="R45" i="7"/>
  <c r="Q45" i="7"/>
  <c r="P45" i="7"/>
  <c r="O45" i="7"/>
  <c r="N45" i="7"/>
  <c r="R44" i="7"/>
  <c r="Q44" i="7"/>
  <c r="P44" i="7"/>
  <c r="O44" i="7"/>
  <c r="N44" i="7"/>
  <c r="R43" i="7"/>
  <c r="Q43" i="7"/>
  <c r="P43" i="7"/>
  <c r="O43" i="7"/>
  <c r="N43" i="7"/>
  <c r="R42" i="7"/>
  <c r="Q42" i="7"/>
  <c r="P42" i="7"/>
  <c r="O42" i="7"/>
  <c r="N42" i="7"/>
  <c r="R41" i="7"/>
  <c r="Q41" i="7"/>
  <c r="P41" i="7"/>
  <c r="O41" i="7"/>
  <c r="N41" i="7"/>
  <c r="R40" i="7"/>
  <c r="Q40" i="7"/>
  <c r="P40" i="7"/>
  <c r="O40" i="7"/>
  <c r="N40" i="7"/>
  <c r="R39" i="7"/>
  <c r="Q39" i="7"/>
  <c r="P39" i="7"/>
  <c r="O39" i="7"/>
  <c r="N39" i="7"/>
  <c r="R38" i="7"/>
  <c r="Q38" i="7"/>
  <c r="P38" i="7"/>
  <c r="O38" i="7"/>
  <c r="N38" i="7"/>
  <c r="R37" i="7"/>
  <c r="Q37" i="7"/>
  <c r="P37" i="7"/>
  <c r="O37" i="7"/>
  <c r="N37" i="7"/>
  <c r="R36" i="7"/>
  <c r="Q36" i="7"/>
  <c r="P36" i="7"/>
  <c r="O36" i="7"/>
  <c r="N36" i="7"/>
  <c r="R35" i="7"/>
  <c r="Q35" i="7"/>
  <c r="P35" i="7"/>
  <c r="O35" i="7"/>
  <c r="N35" i="7"/>
  <c r="R34" i="7"/>
  <c r="Q34" i="7"/>
  <c r="P34" i="7"/>
  <c r="O34" i="7"/>
  <c r="N34" i="7"/>
  <c r="R33" i="7"/>
  <c r="Q33" i="7"/>
  <c r="P33" i="7"/>
  <c r="O33" i="7"/>
  <c r="N33" i="7"/>
  <c r="R32" i="7"/>
  <c r="Q32" i="7"/>
  <c r="P32" i="7"/>
  <c r="O32" i="7"/>
  <c r="N32" i="7"/>
  <c r="R31" i="7"/>
  <c r="Q31" i="7"/>
  <c r="P31" i="7"/>
  <c r="O31" i="7"/>
  <c r="N31" i="7"/>
  <c r="R30" i="7"/>
  <c r="Q30" i="7"/>
  <c r="P30" i="7"/>
  <c r="O30" i="7"/>
  <c r="N30" i="7"/>
  <c r="R29" i="7"/>
  <c r="Q29" i="7"/>
  <c r="P29" i="7"/>
  <c r="O29" i="7"/>
  <c r="N29" i="7"/>
  <c r="R28" i="7"/>
  <c r="Q28" i="7"/>
  <c r="P28" i="7"/>
  <c r="O28" i="7"/>
  <c r="N28" i="7"/>
  <c r="R27" i="7"/>
  <c r="Q27" i="7"/>
  <c r="P27" i="7"/>
  <c r="O27" i="7"/>
  <c r="N27" i="7"/>
  <c r="R26" i="7"/>
  <c r="Q26" i="7"/>
  <c r="P26" i="7"/>
  <c r="O26" i="7"/>
  <c r="N26" i="7"/>
  <c r="R25" i="7"/>
  <c r="Q25" i="7"/>
  <c r="P25" i="7"/>
  <c r="O25" i="7"/>
  <c r="N25" i="7"/>
  <c r="R24" i="7"/>
  <c r="Q24" i="7"/>
  <c r="P24" i="7"/>
  <c r="O24" i="7"/>
  <c r="N24" i="7"/>
  <c r="R23" i="7"/>
  <c r="Q23" i="7"/>
  <c r="P23" i="7"/>
  <c r="O23" i="7"/>
  <c r="N23" i="7"/>
  <c r="R22" i="7"/>
  <c r="Q22" i="7"/>
  <c r="P22" i="7"/>
  <c r="O22" i="7"/>
  <c r="N22" i="7"/>
  <c r="R21" i="7"/>
  <c r="Q21" i="7"/>
  <c r="P21" i="7"/>
  <c r="O21" i="7"/>
  <c r="N21" i="7"/>
  <c r="R20" i="7"/>
  <c r="Q20" i="7"/>
  <c r="P20" i="7"/>
  <c r="O20" i="7"/>
  <c r="N20" i="7"/>
  <c r="R19" i="7"/>
  <c r="Q19" i="7"/>
  <c r="P19" i="7"/>
  <c r="O19" i="7"/>
  <c r="N19" i="7"/>
  <c r="R18" i="7"/>
  <c r="Q18" i="7"/>
  <c r="P18" i="7"/>
  <c r="O18" i="7"/>
  <c r="N18" i="7"/>
  <c r="R17" i="7"/>
  <c r="Q17" i="7"/>
  <c r="P17" i="7"/>
  <c r="O17" i="7"/>
  <c r="N17" i="7"/>
  <c r="R16" i="7"/>
  <c r="Q16" i="7"/>
  <c r="P16" i="7"/>
  <c r="O16" i="7"/>
  <c r="N16" i="7"/>
  <c r="R15" i="7"/>
  <c r="Q15" i="7"/>
  <c r="P15" i="7"/>
  <c r="O15" i="7"/>
  <c r="N15" i="7"/>
  <c r="R14" i="7"/>
  <c r="Q14" i="7"/>
  <c r="P14" i="7"/>
  <c r="O14" i="7"/>
  <c r="N14" i="7"/>
  <c r="R13" i="7"/>
  <c r="Q13" i="7"/>
  <c r="P13" i="7"/>
  <c r="O13" i="7"/>
  <c r="R12" i="7"/>
  <c r="Q12" i="7"/>
  <c r="P12" i="7"/>
  <c r="O12" i="7"/>
  <c r="N12" i="7"/>
  <c r="F120" i="7" l="1"/>
  <c r="F119" i="7"/>
  <c r="F118" i="7"/>
  <c r="F117" i="7"/>
  <c r="F116" i="7"/>
  <c r="F115"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B13" i="7"/>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B269" i="7" s="1"/>
  <c r="B270" i="7" s="1"/>
  <c r="B271" i="7" s="1"/>
  <c r="B272" i="7" s="1"/>
  <c r="B273" i="7" s="1"/>
  <c r="B274" i="7" s="1"/>
  <c r="B275" i="7" s="1"/>
  <c r="B276" i="7" s="1"/>
  <c r="B277" i="7" s="1"/>
  <c r="B278" i="7" s="1"/>
  <c r="B279" i="7" s="1"/>
  <c r="B280" i="7" s="1"/>
  <c r="B281" i="7" s="1"/>
  <c r="B282" i="7" s="1"/>
  <c r="B283" i="7" s="1"/>
  <c r="B284" i="7" s="1"/>
  <c r="B285" i="7" s="1"/>
  <c r="B286" i="7" s="1"/>
  <c r="B287" i="7" s="1"/>
  <c r="B288" i="7" s="1"/>
  <c r="B289" i="7" s="1"/>
  <c r="B20" i="9" l="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13" i="9"/>
  <c r="B14" i="9" s="1"/>
  <c r="B15" i="9" s="1"/>
  <c r="B16" i="9" s="1"/>
  <c r="B17" i="9" s="1"/>
  <c r="B18" i="9" s="1"/>
</calcChain>
</file>

<file path=xl/sharedStrings.xml><?xml version="1.0" encoding="utf-8"?>
<sst xmlns="http://schemas.openxmlformats.org/spreadsheetml/2006/main" count="2971" uniqueCount="713">
  <si>
    <t>Exposures to legal persons</t>
  </si>
  <si>
    <t>Instruments</t>
  </si>
  <si>
    <t>Counterparties</t>
  </si>
  <si>
    <t>Protections</t>
  </si>
  <si>
    <t>Instrument-Counterparty relation</t>
  </si>
  <si>
    <t>Instrument-Protection relation</t>
  </si>
  <si>
    <t>Exposures to natural persons</t>
  </si>
  <si>
    <t>Off-balance sheet exposures</t>
  </si>
  <si>
    <t>Derivatives</t>
  </si>
  <si>
    <t>Debt securities</t>
  </si>
  <si>
    <t>Equity</t>
  </si>
  <si>
    <t>Instrument Identifier</t>
  </si>
  <si>
    <t>Counterparty Identifier</t>
  </si>
  <si>
    <t>CRR Exposure class</t>
  </si>
  <si>
    <t>FINREP Exposure class</t>
  </si>
  <si>
    <t>Total Risk Exposure Amount</t>
  </si>
  <si>
    <t>CRR Loss given default</t>
  </si>
  <si>
    <t>IFRS 9 Loss given default</t>
  </si>
  <si>
    <t>Counterparty ID</t>
  </si>
  <si>
    <t>Não</t>
  </si>
  <si>
    <t>Sim</t>
  </si>
  <si>
    <t>instrument_id</t>
  </si>
  <si>
    <t>counterparty_id</t>
  </si>
  <si>
    <t>crr_exposure_class</t>
  </si>
  <si>
    <t>finrep_exposure_class</t>
  </si>
  <si>
    <t>total_risk_exposure_amount</t>
  </si>
  <si>
    <t>crr_loss_given_default</t>
  </si>
  <si>
    <t>ifrs9_loss_given_default</t>
  </si>
  <si>
    <t>Nome do campo 
no ficheiro</t>
  </si>
  <si>
    <t>LEGALP_INSTRUMENTS</t>
  </si>
  <si>
    <t>LEGALP_COUNTERPARTIES</t>
  </si>
  <si>
    <t>Current Internal Credit Rating/Scoring</t>
  </si>
  <si>
    <t>External Credit rating</t>
  </si>
  <si>
    <t>IFRS 9 Probability of default/impairment</t>
  </si>
  <si>
    <t>Probability of default (others)</t>
  </si>
  <si>
    <t>internal_credit_rating</t>
  </si>
  <si>
    <t>external_credit_rating</t>
  </si>
  <si>
    <t>ifrs9_prob_default_impairment</t>
  </si>
  <si>
    <t>probability_default_others</t>
  </si>
  <si>
    <t>LEGALP_PROTECTIONS</t>
  </si>
  <si>
    <t>Protection identifier</t>
  </si>
  <si>
    <t>Type of collateral</t>
  </si>
  <si>
    <t>Building Area (M2)</t>
  </si>
  <si>
    <t>Land Area (M2)</t>
  </si>
  <si>
    <t>Property postcode</t>
  </si>
  <si>
    <t>Lien position</t>
  </si>
  <si>
    <t>Detailed type of Shipping collateral</t>
  </si>
  <si>
    <t>protection_id</t>
  </si>
  <si>
    <t>type_collateral</t>
  </si>
  <si>
    <t>building_area_m2</t>
  </si>
  <si>
    <t>property_postcode</t>
  </si>
  <si>
    <t>lien_position</t>
  </si>
  <si>
    <t>det_type_ship_collateral</t>
  </si>
  <si>
    <t>LEGALP_INSTRUMENT_COUNTERPARTY</t>
  </si>
  <si>
    <t>Novo campo 
na tabela LT?</t>
  </si>
  <si>
    <t>LEGALP_INSTRUMENT_PROTECTION</t>
  </si>
  <si>
    <t>NATURALP_INSTRUMENTS</t>
  </si>
  <si>
    <t>Reporting data identifier</t>
  </si>
  <si>
    <t>Observed agent identifier</t>
  </si>
  <si>
    <t>Contract identifier</t>
  </si>
  <si>
    <t>Type of instrument</t>
  </si>
  <si>
    <t>Amortization type</t>
  </si>
  <si>
    <t>Currency</t>
  </si>
  <si>
    <t>Inception date</t>
  </si>
  <si>
    <t>End date of interest-only period</t>
  </si>
  <si>
    <t>Interest rate cap</t>
  </si>
  <si>
    <t>Interest rate floor</t>
  </si>
  <si>
    <t>Interest rate reset frequency</t>
  </si>
  <si>
    <t>Interest rate spread/margin</t>
  </si>
  <si>
    <t>Interest rate type</t>
  </si>
  <si>
    <t>Legal final maturity date</t>
  </si>
  <si>
    <t>Commitment amount at inception</t>
  </si>
  <si>
    <t>Payment frequency</t>
  </si>
  <si>
    <t>Reference rate</t>
  </si>
  <si>
    <t>Settlement date</t>
  </si>
  <si>
    <t>Interest rate</t>
  </si>
  <si>
    <t>Next interest rate reset date</t>
  </si>
  <si>
    <t>Default status of the instrument</t>
  </si>
  <si>
    <t>Date of the default status of the instrument</t>
  </si>
  <si>
    <t>Transferred amount</t>
  </si>
  <si>
    <t>Arrears for the instrument</t>
  </si>
  <si>
    <t>Date of past due for the instrument</t>
  </si>
  <si>
    <t>Type of securitization</t>
  </si>
  <si>
    <t>Outstanding nominal amount</t>
  </si>
  <si>
    <t>Accrued interest</t>
  </si>
  <si>
    <t>Off-balancesheet amount</t>
  </si>
  <si>
    <t>Joint liabilities amount</t>
  </si>
  <si>
    <t>Accounting classification of instruments</t>
  </si>
  <si>
    <t>Balance sheet recognition</t>
  </si>
  <si>
    <t>Accumulated write-offs</t>
  </si>
  <si>
    <t>Accumulated impairment amount</t>
  </si>
  <si>
    <t>Type of impairment</t>
  </si>
  <si>
    <t>Impairment assessment method</t>
  </si>
  <si>
    <t>Sources of encumbrance</t>
  </si>
  <si>
    <t>Performing status of the instrument</t>
  </si>
  <si>
    <t>Date of the performing status of the instrument</t>
  </si>
  <si>
    <t>Provisions associated with off-balancesheet exposures</t>
  </si>
  <si>
    <t>Status of forbearance and renegotiation</t>
  </si>
  <si>
    <t>Date of the forbearance and renegotiation status</t>
  </si>
  <si>
    <t>Cumulative recoveries since default</t>
  </si>
  <si>
    <t>Carrying amount</t>
  </si>
  <si>
    <t>Prudential portfolio</t>
  </si>
  <si>
    <t>Accumulated changes in fair value due to credit risk</t>
  </si>
  <si>
    <t>NÃO</t>
  </si>
  <si>
    <t>SIM</t>
  </si>
  <si>
    <t>NATURALP_COUNTERPARTIES</t>
  </si>
  <si>
    <t>Probability of default</t>
  </si>
  <si>
    <t>Counterparty role</t>
  </si>
  <si>
    <t>Default status of the counterparty</t>
  </si>
  <si>
    <t>Date of the default status of the counterparty</t>
  </si>
  <si>
    <t>NATURALP_PROTECTIONS</t>
  </si>
  <si>
    <t>Protection provider identifier</t>
  </si>
  <si>
    <t>Date of protection value</t>
  </si>
  <si>
    <t>Protection value</t>
  </si>
  <si>
    <t>Maturity date of the protection</t>
  </si>
  <si>
    <t>Original protection value</t>
  </si>
  <si>
    <t>Date of original protection value</t>
  </si>
  <si>
    <t>Type of protection value</t>
  </si>
  <si>
    <t>Protection valuation approach</t>
  </si>
  <si>
    <t>Protection allocated value</t>
  </si>
  <si>
    <t>Third-party priority claims against the protection</t>
  </si>
  <si>
    <t>SIM_x000D_
gross_area</t>
  </si>
  <si>
    <t xml:space="preserve">SIM_x000D_
land_area </t>
  </si>
  <si>
    <t>NATURALP_INSTRUMENT_COUNTERPART</t>
  </si>
  <si>
    <t>NATURALP_INSTRUMENT_PROTECTION</t>
  </si>
  <si>
    <t>Third-partypriority claims against the protection</t>
  </si>
  <si>
    <t>OFFBAL_INSTRUMENTS</t>
  </si>
  <si>
    <t>Type</t>
  </si>
  <si>
    <t>Credit conversion factor</t>
  </si>
  <si>
    <t>Nominal amount</t>
  </si>
  <si>
    <t>Maturity / expiry date</t>
  </si>
  <si>
    <t>Nominal interest rate or fee</t>
  </si>
  <si>
    <t>OFFBAL_COUNTERPARTIES</t>
  </si>
  <si>
    <t>External Credit Rating</t>
  </si>
  <si>
    <t>Legal entity identifier (LEI)</t>
  </si>
  <si>
    <t>National identifier</t>
  </si>
  <si>
    <t>Head office undertaking identifier</t>
  </si>
  <si>
    <t>Immediate parent undertaking identifier</t>
  </si>
  <si>
    <t>Ultimate parent undertaking identifier</t>
  </si>
  <si>
    <t>Name</t>
  </si>
  <si>
    <t>Address: street</t>
  </si>
  <si>
    <t>Address: city/town/village</t>
  </si>
  <si>
    <t>Address: postal code</t>
  </si>
  <si>
    <t>Address: county/administrative division</t>
  </si>
  <si>
    <t>Address: country</t>
  </si>
  <si>
    <t>Legal form</t>
  </si>
  <si>
    <t>Institutional sector</t>
  </si>
  <si>
    <t>Economic activity</t>
  </si>
  <si>
    <t>Status of legal proceedings</t>
  </si>
  <si>
    <t>Date of initiation of legal proceedings</t>
  </si>
  <si>
    <t>Enterprise size</t>
  </si>
  <si>
    <t>Date of enterprise size</t>
  </si>
  <si>
    <t>Number of employees</t>
  </si>
  <si>
    <t>Balance sheet total</t>
  </si>
  <si>
    <t>Annual turnover</t>
  </si>
  <si>
    <t>Accounting standard</t>
  </si>
  <si>
    <t>OFFBAL_PROTECTIONS</t>
  </si>
  <si>
    <t>OFFBAL_INSTRUMENT_COUNTERPARTY</t>
  </si>
  <si>
    <t>OFFBAL_INSTRUMENT_PROTECTION</t>
  </si>
  <si>
    <t>DERIVATIVES</t>
  </si>
  <si>
    <t>Unique trade identifier</t>
  </si>
  <si>
    <t>Type of ID of the counterparty of the reporting entity</t>
  </si>
  <si>
    <t>Country of the counterparty</t>
  </si>
  <si>
    <t>Base product</t>
  </si>
  <si>
    <t>Product ID</t>
  </si>
  <si>
    <t>Governing law</t>
  </si>
  <si>
    <t>Contractual recognition – Write down and conversion powers (only for contracts governed by thirdcountry laws subject to the requirement of the contractual terms under the first subparagraph of Article 55(1) of BRRD)</t>
  </si>
  <si>
    <t>Contractual recognition – Suspension of termination rights (only for contracts governed by third-country laws) under Article 7 BRRD</t>
  </si>
  <si>
    <t>Contractual recognition – Resolution powers (only for contracts governed by third-country laws)</t>
  </si>
  <si>
    <t>Collateral portfolio</t>
  </si>
  <si>
    <t>Collateral posted</t>
  </si>
  <si>
    <t>Currency of the collateral posted</t>
  </si>
  <si>
    <t>Collateral received</t>
  </si>
  <si>
    <t>Currency of the collateral received</t>
  </si>
  <si>
    <t>Leg 1 cash flow</t>
  </si>
  <si>
    <t>Leg 2 cash flow</t>
  </si>
  <si>
    <t>Leg 1 reference rate</t>
  </si>
  <si>
    <t>Leg 2 reference rate</t>
  </si>
  <si>
    <t>Leg 1 reference period</t>
  </si>
  <si>
    <t>Leg 2 reference period</t>
  </si>
  <si>
    <t>Premium</t>
  </si>
  <si>
    <t>Netting agreement</t>
  </si>
  <si>
    <t>Accounting standards</t>
  </si>
  <si>
    <t>Accounting classification</t>
  </si>
  <si>
    <t>Hierarchy</t>
  </si>
  <si>
    <t>Hedge ID</t>
  </si>
  <si>
    <t>DEBT_SECURITIES</t>
  </si>
  <si>
    <t>Financial contract ID</t>
  </si>
  <si>
    <t>ISIN</t>
  </si>
  <si>
    <t>ID of the issuer</t>
  </si>
  <si>
    <t>Type of ID of the issuer</t>
  </si>
  <si>
    <t>Country of the issuer</t>
  </si>
  <si>
    <t>Issuer ESA 2010</t>
  </si>
  <si>
    <t>Issuer NACE sector</t>
  </si>
  <si>
    <t xml:space="preserve"> Issuer Rating(s)</t>
  </si>
  <si>
    <t>Issuer Rating(s) Sources</t>
  </si>
  <si>
    <t>Type of Issuer</t>
  </si>
  <si>
    <t>Currency of the value</t>
  </si>
  <si>
    <t>Valuation timestamp</t>
  </si>
  <si>
    <t>Valuation type</t>
  </si>
  <si>
    <t>Instrument class</t>
  </si>
  <si>
    <t>Primary asset classification</t>
  </si>
  <si>
    <t>Asset securitisation class</t>
  </si>
  <si>
    <t>Type of placement</t>
  </si>
  <si>
    <t>Issuance date</t>
  </si>
  <si>
    <t>Maturity date</t>
  </si>
  <si>
    <t>Guarantor ID</t>
  </si>
  <si>
    <t>Guarantor ID type</t>
  </si>
  <si>
    <t>Rating of the security</t>
  </si>
  <si>
    <t>Instrument seniority type</t>
  </si>
  <si>
    <t>Coupon type</t>
  </si>
  <si>
    <t>Coupon frequency</t>
  </si>
  <si>
    <t>Coupon currency</t>
  </si>
  <si>
    <t>Coupon rate</t>
  </si>
  <si>
    <t>Spread</t>
  </si>
  <si>
    <t>Currency of the nominal amount</t>
  </si>
  <si>
    <t>Purchased under resale agreement</t>
  </si>
  <si>
    <t>Eligibility for standard central bank (ECB) operations</t>
  </si>
  <si>
    <t>Part of LCR buffer</t>
  </si>
  <si>
    <t>Category of LCR buffer</t>
  </si>
  <si>
    <t>Accounting classification of the instrument</t>
  </si>
  <si>
    <t>Prudential portfolio of the instrument</t>
  </si>
  <si>
    <t>EQUITY_INSTRUMENTS</t>
  </si>
  <si>
    <t>Issuer Rating(s)</t>
  </si>
  <si>
    <t>Issuer Rating(s) Source(S)</t>
  </si>
  <si>
    <t>Dividend yield</t>
  </si>
  <si>
    <t>Part of LCR
buffer</t>
  </si>
  <si>
    <t>Prudential portfolio of the
instrument</t>
  </si>
  <si>
    <t>Nivel</t>
  </si>
  <si>
    <t>Mapeamento LT:
Not Applicable: Reportar 'N/A'
Comentários IT:
Este campo constará no ficheiro "01_04_leg_instr_count"</t>
  </si>
  <si>
    <t>Mapeamento LT / Comentários IT</t>
  </si>
  <si>
    <t>Mapeamento LT:
‣ Utilizar o campo "segmento_corep_final" da tabela ct013_rwa_princ;
   Nota: Os códigos "segmento_corep_final" seguem sempre a mesma estrutura, começam com um caracter que identifica se é IRB (I_...) ou Standard (S_...) e de seguida um numérico (ex. I_3.1, I_5.1, S_1.0).
‣ Para o mesmo contrato este campo pode retornar vários códigos "segmento_corep_final" distintos, de seguida estão os passos que permitem resolver esta ambiguidade:
     1. Deve seguir a lógica do campo RWA_MTHD, de momento a lógica é, se existir IRB e Standard então trazer informação relativa a IRB;
     2. Se mesmo aplicando o passo 1 ainda existirem vários códigos "segmento_corep_final" distintos (vários códigos IRB ou vários códigos Standard) então: recuperar o código "segmento_corep_final" com o menor numérico associado.
Exemplo: O contrato A tem associados os seguintes códigos "segmento_corep_final" distintos:  I_3.1, I_5.1, S_1.0:
      1. Remover o Standard: I_3.1, I_5.1;
      2. Ficar com o menor numérico: I_3.1.
‣ A parametrização a implementar neste campo pode ser consultada na sheet 'LT803' onde o campo_lt = "CRR_EXPOSURE_CLASS"
Comentários IT:
'‣ Proposta: Consumir o campo "segmento_corep_final" da tabela ct013_rwa_princ, tendo em atenção que se tem de manter a lógica aplicada no campo LT "RWA_MTHD" (se for IRB ou Standard), para resolver os casos em que para o mesmo contrato temos mais do que segmento corep (IRB e Standard). Nota existem contratos que têm mais do que um segmento corep IRB ou Standard ou seja tem de haver uma lógica de selecionar o mais significativo pois só podemos reportar um valor neste campo).
‣ No Loan Tape para cálculo do LGD que vem da ct013_rwa_princ, quando existe IRB e STD, escolhe-se IRB.
‣ Segundo Email de Pedro Mendes com a resposta da Corporação (26/03/2024 17:28), no caso de existir mais do que 1 CRR Exposure class para o mesmo contrato, é permitido reportar o mais significativo dos dois por valor ou os dois separados por “,” colocando o mais significativo primeiro.
‣ Analisar documento 'BS_Tabelas_Temporárias_Loan_Tape.xlsx' para consultar as regras de seleção aplicadas no campo RWA_MTHD.
‣ Reunião Pedro Mendes, Luís Capitão-Mor 05-11-2024: Foi definida a regra para este campo, como dito anteriormente:
     - Deve seguir a lógica do campo RWA_MTHD, de momento a lógica é, se existir IRB e Standard então trazer informação relativa a IRB;
     - Para os casos em que temos mais do que um "segmento_corep_final" IRB ou Standard, foram propostas duas soluções, uma seria utilizar o campo "EAD_FINAL_BRUTA" também da tabela ct013_rwa_pric como fator de peso, recuperando o "segmento_corep_final" associado ao maior "EAD_FINAL_BRUTA" (mais significativo). A segunda solução, mais simples, seria simplesmente recuperar o código "segmento_corep_final" com a numeração mais baixa, por exemplo se um contrato tiver os códigos "segmento_corep_final" I_3.1, I_5.1 ficamos apenas com o I_3.1. Optou-se pela segunda solução.
‣ Query que demonstra que para um contrato FINREP pode haver mais do que um 'segmento_corep_final' tanto para a approach 'IRB' como para a 'Standard':
SELECT
   contract_id_fr,
   --ct013.s1emp,ct013.contra1,
   GROUP_CONCAT(DISTINCT ct013.segmento_corep_final) as segmento_corep_final_conc,
   --GROUP_CONCAT(ct013.segmento_corep_final) as segmento_corep_final_conc,
   --GROUP_CONCAT(CAST(ct013.ead_final_bruta AS STRING)) as ead_final_bruta_conc,
   COUNT(*) as cnt,
   COUNT(DISTINCT ct013.segmento_corep_final) as cnt_dist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segmento_corep_final,
        ead_final_bruta
    FROM cd_captools.ct013_rwa_princ
    WHERE ref_date = '2024-08-31'
) as ct013
ON core.s1emp = ct013.s1emp
AND core.contra1 = ct013.contra1
WHERE ct013.s1emp IS NOT NULL
GROUP BY contract_id_fr
--GROUP BY ct013.s1emp, ct013.contra1
ORDER BY cnt_dist DESC</t>
  </si>
  <si>
    <t>LT002_INSTRUMENT.INTRNL_SGMNT
‣ Ver sheet 'LT803'</t>
  </si>
  <si>
    <t>LT002_INSTRUMENT.RWA</t>
  </si>
  <si>
    <t>LT002_INSTRUMENT.LGD</t>
  </si>
  <si>
    <t>LT002_INSTRUMENT.IFRS9_LGD</t>
  </si>
  <si>
    <t>LT003_ENTITY.ENTTY_ID</t>
  </si>
  <si>
    <t>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t>
  </si>
  <si>
    <t>LT003_ENTITY.EXTRNL_RTNG</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</si>
  <si>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 loss_type LIKE 'Lifetime expected credit losses%' selecionar PD_LT_IFRS9 da tabela BU_IFRS9.IFRS9_OUT_EXPECTED_LOSS_REPORTING, caso contrário selecionar PD12M_IFRS9 da tabela BU_IFRS9.IFRS9_OUT_EXPECTED_LOSS_REPORTING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Reunião com Luís Capitão-Mor 8 /11/2024 14:30: Foi pedido que fosse marcada uma reunião com David Texugo e Alexandre Gonçalves para revisitar os conceitos de PD pedidos pelo BCE e comparar com o pedido no report Valuation, o objetivo será perceber se é necessário criar um campo novo no Loan Tapes ou se é necessário alterar a lógica de algum dos campos PD do Loan Tapes para refletir a lógica pedida pelo SRB. Foi também comentado que houve uma OSI em Maio/Junho e que se deveria questionar a David Texugo e Alexandre Gonçalves se esta informação de PDs foi pedida e se houve alterações nos conceitos pedidos.
Lógica proposta para a criação do novo campo na LT002:
    CASE
             WHEN IMPRMNT_STTS_INSTRMNT = '23'  --(Stage 1)
             THEN IF( loss_type LIKE 'Lifetime expected credit losses%', PD_LT_IFRS9, PD12M_IFRS9)
             WHEN IMPRMNT_STTS_INSTRMNT = '24'  --(Stage 2)
             THEN PD_LT_IFRS9
             WHEN IMPRMNT_STTS_INSTRMNT = '25'  --(Stage 3)
             THEN 1
             ELSE ??????N/A or MISS?????                        --(O que fazer nos casos em que o stage 'IMPRMNT_STTS_INSTRMNT ' não está preenchido?)
    END as PD_IFRS9_12M_LFTM_RD                         --(Confirmar o nome que este novo campo deve tomar)
    WHERE IMCATF046_FLAG_FECHO.CMES = REF_DATE
Lógica proposta para a criação do novo campo na LT003:
1) Identificar contratos onde o cliente é o 1º Titular:
    LT005_INSTR_ENT
    WHERE CRELACAO_CL_CNT = '1'
    AND CSEQUENCIA_REL = '00001'
2) Aplicar o seguinte cáclulo por entidade:
    CASE
             WHEN SUM(IFRS9_EAD)&lt;&gt; 0
             THEN SUM(PD_IFRS9_12M_LFTM_RD* IFRS9_EAD) / SUM(IFRS9_EAD) 
             ELSE AVG(PD_IFRS9_12M_LFTM_RD)
    END as ifrs9_prob_default_impairment
Análise:
QUERY que permite perceber a realção entre o stage e o loss_type:
SELECT
        --core.contract_id_fr,
        core.stage_atual,
        ifrs9_os_8_7.loss_type,
        IF(tradutor.contract_id_fr IS NOT NULL, '1', '0') as flag,
        COUNT(*)
    --SELECT COUNT(DISTINCT ifrs9_oel_8_7.contract_id_ifrs9)
    --SELECT COUNT(DISTINCT core.contract_id_fr)
    --SELECT COUNT(*)
    FROM
    (
        SELECT 
            fr004.contract_id as contract_id_fr, stage_atual
        FROM
        (
            SELECT
                CONCAT(cempresa, cbalcao, cnumecta, zdeposit) as contract_id,
                stage_atual
            FROM cd_captools.fr004_cto
            WHERE ref_date = '2024-09-30' 
            --AND contraparte &lt;&gt; 'particulares'
        ) as fr004
        LEFT JOIN
        (
            SELECT
                CONCAT(cempresa, cbalcao, cnumecta, zdeposit) as contract_id,
                ccontab_final_ifrs
            FROM cd_captools.fr001_univ_saldo
            WHERE ref_date = '2024-09-30'
        ) as fr001
        ON fr001.contract_id = fr004.contract_id
        INNER JOIN
        (
            SELECT
                conta, tipo_conta
            FROM cd_captools.fr802_pl_contas
            WHERE ref_date = '2024-09-30'
            AND cod_plano = 'BST_IND'
            AND ((TRIM(tipo_conta) ='A' AND instrumento_financeiro='credito concedido e outros ativos financeiros') OR TRIM(tipo_conta) = 'EA')
            --AND NVL(contraparte_i, '') &lt;&gt; 'particulares'
        ) as fr802
        ON fr802.conta = fr001.ccontab_final_ifrs
    ) as core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core.contract_id_fr
    --WHERE tradutor.contract_id_fr IS NULL -- Temos 1447 contratos LEGALP, NATP e OFFBAL de um total de 2054616 contratos que existem no universo FINREP mas não estão no universo IFRS9
    LEFT JOIN
    (
        SELECT
            contract_id as contract_id_ifrs9, loss_type
        FROM cd_captools.ifrs9_out_staging_8_7
        WHERE data_date_part = (SELECT MIN(data_date_part) FROM cd_captools.ifrs9_out_staging_8_7 WHERE data_date_part &gt;= '2024-09-30')
        GROUP BY contract_id_ifrs9, loss_type
    ) as ifrs9_os_8_7
    ON ifrs9_os_8_7.contract_id_ifrs9 = tradutor.contract_id_ifrs9
    GROUP BY core.stage_atual, ifrs9_os_8_7.loss_type, flag</t>
  </si>
  <si>
    <t>Mapeamento LT:
Este campo é Not Applicable, reportar 11111111111</t>
  </si>
  <si>
    <t xml:space="preserve">SIM land_area </t>
  </si>
  <si>
    <t>LT004_PROTECTION.PRTCTN_ID</t>
  </si>
  <si>
    <t>Mapeamento LT: 
Not Applicable: Reportar 'N/A'
Comentários IT:
Este campo constará no ficheiro "01_05_leg_instr_prot"</t>
  </si>
  <si>
    <t>LT004_PROTECTION.TYP_PRTCTN
‣ Ver sheet 'LT803'</t>
  </si>
  <si>
    <t>Mapeamento LT: 
Campo "narbrut" da tabela cd_garantias.gt009_bens_imov
Comentários IT:
‣ Segundo Luís Capitão-Mor, este novo campo deverá ser alimentado pelo MUG (Modelo Único de Garantias). Como tal, agendou-se reunião com Alexandre Dionísio Esteves (08-04-2024), na qual se comentou: 
1) Este campo ainda não existe no MUG (deveria ser adicionado à cd_garantias.gt009_bens_imov);
2) Esta informação existe na gpt32, embora nessa tabela este campo não seja de preenchimento obrigatório, como tal, existem GAPs de informação;
3) O universo completo de imóveis está na tabela gpt18 os quais não estão 100% mapeados na gpt32;
4) Luís Capitão-Mor solicitou a Alexandre Dionísio Esteves o agendamento de uma reunião com Susana Fernandes/Ricardo. 
Nessa reunião terá de se questionar: 1) O que significam cada uma das áreas apresentadas pelo Alexandre Dionísio Esteves (área de implantação, área do terreno, área bruta, área útil, área coberta, ...) 2) Para cada tipo de imóvel (apartamento, vivenda, armazém, ...)  perceber quais das áreas se aplicam e o seu significado.
5) Luís Capitão-Mor comentou que se deveria questionar a Corporação sobre o que representa a building area nos vários tipos de imóveis, dando exemplos das nossas dúvidas. 
ex: 
- No caso de um apartamento é a área do apartamento ou do edifício onde se encontra? Faria sentido ser a do apartamento, contudo, a descrição do SRB pede a do edifício (of the building). 
- Esta área inclui paredes?
- No caso de uma vivenda que tem 3 andares, a área seria a da implantação (100m2) ou a dos 3 andares (300m2)
Reunião 08/08/2024 com Alexandre Esteves, Susana Fernandes:
-Building Area: Usar a área bruta da GPT32. Se não existir, usar a área útil da GPT32.
- Land Area: Usar a área do terreno da GPT32. Se for um terreno/lote terreno e se a area do terreno da GPT32 não existir, usar a área bruta da GPT32.
- Em princípio, traziam-se 3 campos da GPT32 para o MUG: area bruta, area util, area terreno. Depois seria no Loan Tape que se aplicariam as regras mencionadas acima.
- Alexandre Esteves ficou de verificar para cada um dos tipos de imoveis se as regras mencionadas acima funcionariam. 
Reunião 14/08/2024 com Luís Capitão-Mor, Alexandre Esteves, Pedro Mendes:
- Luís Capitão-Mor solicitou que se questionasse a Corporação relativamente a estes 2 campos -&gt; ver email Luís Pragosa 14/08/2024 16:40 para Pedro Mendes
- Deverá questionar-se o José Rio para se perceber se nos Certificados Energéticos existem campos de áreas. Caso existam, o MUG deverá considerar quer a GPT32 quer os Certificados Energéticos.
Reunião 09/09/2024 com José Rio:
José Rio referiu que já existe na Cloud a tabela Buildingenergycertificate (campo builtupareaquantity) e existirá On-Prem na BD curated_internal_gestaoimoveis previsivelmente em PRO: 16/Set.
Reunião 09/09/2024 com Alexandre Esteves:
Alexandre Esteves irá agendar reunião com LCM. Terão de se trazer 3 campos para o MUG: area terreno (origem GPT32), area bruta (origem GPT32) e area util (origem GPT32 e buildingenergycertificate).Em princípio, a area util deverá ser area com data mais recente entre as 2 tabelas (GPT32 e buildingenergycertificate). No caso de terem a mesma data, dar prioridade ao Certificados Energéticos (buildingenergycertificate).
Email Pedro Mendes 11/09/2024 11:07 com resposta da Corporação:
2.	No te puedo responder con tanto detalle porque, en ausencia de una definición por parte del SRB más aterrizada, lo único que hacemos nosotros es reportar los campos recogidos en las bases de datos utilizadas para el reporte de AnaCredit, cuya definición recojo a continuación:
•	Land area: Número de metros cuadrados que tiene el suelo en garantía
•	Building area: Aprovechamiento sobre rasante en metros cuadrados útiles del ámbito, parcela o sector en que se ubica el terreno valorado, independientemente de la superficie de este. Se sumarán todos los usos lucrativos, independientemente de la tipología. que se reporta en Anacredit (al que hace referencia el SRB de forma continua en su documentación).
19/09/2024 Dora Roxo e Nádia Ahmad, não têm conhecimento de campos referentes a áreas.
Reunião Final 26/09/2024 Luís Capitão-Mor, Alexandre Esteves:
Terão de ser adicionados 3 campos no MUG (tabela cd_garantias.gt009_bens_imov):  campo "narterr" (campo "narterr" proveniente da tabela GPT32  que representa a área do terreno ), campo "narbrut " (campo "narbrut " proveniente da tabela GPT32  que representa a área bruta), campo "narutil " (campo "narutil " proveniente da tabela GPT32  que representa a área útil).
Na tabela lt004_protection serão adicionados 2 novos campos que virão do MUG: campo "land_area" (campo "narterr"  proveniente da tabela cd_garantias.gt009_bens_imov) e campo "gross_area" (campo "narbrut" proveniente da tabela cd_garantias.gt009_bens_imov)</t>
  </si>
  <si>
    <t>Mapeamento LT: 
Campo "narterr" da tabela cd_garantias.gt009_bens_imov
Comentários IT:
‣Aplicam-se os mesmos comentários do campo acima (Building Area (M2)) dado que estes 2 campos foram analisados em conjunto.</t>
  </si>
  <si>
    <t>LT004_PROTECTION.RL_ESTT_PST_CD</t>
  </si>
  <si>
    <t xml:space="preserve">Mapeamento LT:
Reportar sempre 1
Comentários IT:
‣ Reunião 2024-04-08: Segundo Luís Capitão-Mor, o Banco só aceita primeiras hipotecas, como tal, este campo deverá ser sempre preenchido com  1. </t>
  </si>
  <si>
    <t>‣ Email Paulo Oliveira 23/04/2024 20:24:
"1) Não tenho conhecimento que existam shipping portfolios no Banco, confirmas? 
Pode ser que seja categorizado pelo Banco de outra forma. Asset lending não, mas não descartava que houvesse alguns barcos financiados em leasing nomeadamente para empresas do sector. Perguntava á Leasing. Não sei se não haverá como colateral algum cliente que tenha dado o seu barco de recreio (iate).
2) Se eventualmente existisse uma Empresa que quisesse dar alguma destas opções como colateral, o Banco aceitava? 
Sim, são activos com valor de mercado. Tal como aceitamos aviões, aceitariamos navios como colateral 
3) Em caso afirmativo ao ponto 2), sabes de algum caso em concreto para que possa ir verificar e ver como fica registado no Banco? 
Não me lembro de nenhum  Acho que deveramos ir analisar as empresas de navegação com frota."
‣ Email Rute Ferreira 22/04/2024 20:17 com o Histórico de conversações (ver pasta Emails: "RE  IR   RH   Report Valuation - Campo  Detailed type of Shipping collateral")
‣ Falar com Pedro Mendes.</t>
  </si>
  <si>
    <t>LT005_INSTR_ENT.INSTRMNT_ID</t>
  </si>
  <si>
    <t>LT005_INSTR_ENT.ENTTY_ID</t>
  </si>
  <si>
    <t>LT006_INSTR_PROT.INSTRMNT_ID</t>
  </si>
  <si>
    <t>LT006_INSTR_PROT.PRTCTN_ID</t>
  </si>
  <si>
    <t>LT002_INSTRUMENT.INSTRMNT_ID</t>
  </si>
  <si>
    <t>Mapeamento LT:
Not Applicable: Reportar 'N/A'
Comentários IT:
Este campo constará no ficheiro "02_04_nat_instr_count"</t>
  </si>
  <si>
    <t>LT002_INSTRUMENT.COD_SOC</t>
  </si>
  <si>
    <t>LT002_INSTRUMENT.OBSRVD_AGNT_ID</t>
  </si>
  <si>
    <t>LT002_INSTRUMENT.CNTRCT_ID</t>
  </si>
  <si>
    <t>LT002_INSTRUMENT.TYP_INSTRMNT
‣ Ver sheet 'LT803'</t>
  </si>
  <si>
    <t>LT002_INSTRUMENT.TYP_AMRTSTN
‣ Ver sheet 'LT803'</t>
  </si>
  <si>
    <t>LT002_INSTRUMENT.CRRNCY_DNMNTN</t>
  </si>
  <si>
    <t>LT002_INSTRUMENT.DT_INCPTN</t>
  </si>
  <si>
    <t>LT002_INSTRUMENT.DT_END_INTRST_ONLY</t>
  </si>
  <si>
    <t xml:space="preserve">‣ Segundo Luís Capitão-Mor, este novo campo deverá ser alimentado por um novo campo a adicionar à al029_cnt_core_m
‣ Email recebido de Luís Capitão-Mor (03/10/2024 15:21) sobre a implementação deste campo na al029/al001:
"Boa tarde, não vejo inconveniente. Isto implica do lado dele tocar não somente al029, mas também input manual al600, e também al001 (diária). Adicionalmente, no modulo recente que automatizou inputs manuais. E naturalmente, não estás a referir o enriquecimento das ingestas / fontes (nomeadamente do que vem do Sigom, ct610 (e resto ?)), e logo o apontar dos novos campos na al029/al001 para essas fontes.
Atenção que o nome do campo deve ser perceptivel/entendível de forma intuitiva; deve manter a logica com sufixo _act ou _pas; deve estar na ordem correta na tabela (isto é depois dos campos de indexante e spread tx variabel), e naturalmente na parte de taxa de juro variavel.
Antes de passar a PRO, isto implica ajustes no fiche"
‣ Reunião Luís Capitão-Mor/Alexandre Feliciano/Pedro Mendes 15/10/2024: Luís Capitão-Mor definiu que terão de ser adicionados 8 campos à al029: cap do indexante passivo, cap do all-in passivo (indexante+spread), floor do indexante passivo, floor do all-in passivo (indexante+spread), cap do indexante ativo, cap do all-in ativo(indexante+spread), floor do indexante ativo, floor do all-in ativo(indexante+spread)
</t>
  </si>
  <si>
    <t>LT002_INSTRUMENT.INTRST_RT_RST_FRQNCY
‣ Ver sheet 'LT803'</t>
  </si>
  <si>
    <t>LT002_INSTRUMENT.SPRD</t>
  </si>
  <si>
    <t>ILT002_INSTRUMENT.TYP_INTRST_RT
‣ Ver sheet 'LT803'</t>
  </si>
  <si>
    <t>LT002_INSTRUMENT.DT_LGL_FNL_MTRTY</t>
  </si>
  <si>
    <t>LT002_INSTRUMENT.CMMTMNT_INCPTN_INSTRMNT</t>
  </si>
  <si>
    <t>LT002_INSTRUMENT.PYMNT_FRQNCY
‣ Ver sheet 'LT803'</t>
  </si>
  <si>
    <t>Mapeamento LT: 
‣ campo "cod_tipo_taxa_ref_act" da tabela cd_alm.al029_cnt_core_m.
Comentários IT:
‣Pedro Mendes enviou mapeamento com base no codelist sugerido pelo SRB (Teams 2024-10-03).Contudo, dado que a maioria das LIBOR foram descontinuadas Pedro Mendes questionou a Corporação (2024-10-03)). Se não houver um novo codelist, muitos dos valores teriam de ser mapeados em "OTHER SINGLE REFERENCE RATES".
Como tal, aguarda-se resposta da Corporação, para definir o mapeamento a realizar na LT803.</t>
  </si>
  <si>
    <t>LT002_INSTRUMENT.DT_INCPTN
‣ Segundo Luís Capitão-Mor, este campo é o DT_INCPTN.
‣ Deverá confirmar-se com Mónica Guerreiro se é possível um campo do Loan Tape (LT002_INSTRUMENT.DT_INCPTN) ser mapeado para 2 campos distintos no ficheiro CSV (DT_INCPTN e Settlement date). Caso não seja possível, é necessário criar um novo campo no Loan Tape:
         - Este tema já foi confirmado, e não é possivel, sendo necessário criar um novo campo (cópia) no Loan Tape (Validado com Mariana Romão)</t>
  </si>
  <si>
    <t>LT002_INSTRUMENT.ANNLSD_AGRD_RT</t>
  </si>
  <si>
    <t>LT002_INSTRUMENT.DT_NXT_INTRST_RT_RST</t>
  </si>
  <si>
    <t>LT002_INSTRUMENT.DFLT_STTS_INSTRMNT
‣ Ver sheet 'LT803'</t>
  </si>
  <si>
    <t>LT002_INSTRUMENT.DT_DFLT_STTS_INSTRMNT</t>
  </si>
  <si>
    <t>LT002_INSTRUMENT.ARRRS_INSTRMNT</t>
  </si>
  <si>
    <t>LT002_INSTRUMENT.DT_PST_D</t>
  </si>
  <si>
    <t>‣ Luís Capitão-Mor solicitou que se perguntasse a Pedro Inácio qual o campo/tabela da BDR que contém esta informação.
Email Pedro Inacio (19:44 12-03-2024): 
"Essa informação pode ser obtida no campo “Tipo de Titulización” da tabela SPV da BDR (E0691_TITU_TIP), com o seguinte detalhe:
      00 - 'No informado'
      01 - 'Tradicional'
      02 - 'Sintética'
99999 - 'No aplica' "
‣ Reunião 21/10/2024 com Luís Capitão-Mor/Pedro Mendes:
     - Luís Capitão-Mor referiu que terá de ser ingestada a tabela da BDR "JM_SPV" (será bdr_jm_spv na curated_internal_bdr);
     - Deverá ser criada uma nova tabela CT% (por ex: CT_SECURITIS_CAP) que terá os seguintes campos: S1EMP, COD_SPV, TITU_TIP, CKUTULMO,  HTIMEST , REF_DATE. (Confirmar se não há outros da tabela JM_SPV que faça sentido trazer também)
        -&gt; Esta tabela deverá ser atualizada mensalmente juntamente com as tabelas de Capital (ct013, ct014,...), geradas pelo motor RWA. Para tal é necessário atacar a ingesta bdr_jm_spv filtrando os campos "DATA_DATE_PART" = 'data mais recente à data de execução' e "E0691_FECHASTA"  like '%9999'  e trazer os campos mencionados acima (mesmo nome sem 'E0691_'). Quanto ao campo "REF_DATE" deve ser atribuida a data de fim de mês referente ao mês para o qual se está a obter esta informação.
        -&gt; Seguindo esta lógica surgem casos em que um contrato tem dois tipos de securitização distintos, Pedro Mendes confirmou com Joana Guerreiro que estes casos são normais de acontecer (não se trata de um erro de dados).
        -&gt; Para contornar o problema acima, deverá implementar-se uma lógica que trará apenas o tipo de securitização associado ao montante mais significativo (qual montante de que tabela?). 
‣Pedido de estimativa para ingesta da tabela JM_SPV (REQ014321568/RITM014348547);
‣ Enviar email a pedir autorização para a tabela CT_SECURITIS_CAP.
‣  Query de análise à lógica pensada para este campo:
     - Existem contratos fr com ambos os métodos IRB e Standard;
     - Existem contratos fr que dentro do método IRB têm vários cod_spvs;
     - Os unicos exemplos verificados em um contrato fr tem dois type_securituization diferente são para contratos apenas com método IRB que têm simultâneamente um cod_spv =  'FORTALEZA' e outro cod_spv = 'H13-201801GMMBSTNXXN0100' (aka. HIPOTOTTA 13).
SELECT
    contract_id_fr,
    cod_spv_conc,
    method_conc,
    type_securitization_conc,
    cnt
FROM
(
    SELECT 
        contract_id_fr,
        -- s1emp,
        -- cod_spv,
        CONCAT('|',group_concat(cod_spv,'|'),'|') as cod_spv_conc,
        CONCAT('|',group_concat(method,'|'),'|') as method_conc,
        CONCAT('|',group_concat(type_securitization,'|'),'|') as type_securitization_conc,
        COUNT(*) as cnt
    FROM
    (
        SELECT
         contract_id_fr,
        --  ct013.s1emp,
         ct013.cod_spv,
         ct013.method,
         CASE
            WHEN TRIM(ct013.s1emp) = '18' AND TRIM(ct013.cod_spv) IN ('CONSUMER1','H13-201801GMMBSTNXXN0100','H4-720007852','H5-720009022')
            THEN '1'
            WHEN TRIM(ct013.s1emp) = '18' AND TRIM(ct013.cod_spv) IN ('FORTALEZA','SYNTOTTA2','SYNTOTTA3','SYNTOTTA4','SYNTOTTA5')
            THEN '2'
            WHEN TRIM(ct013.s1emp) = '22008' AND TRIM(ct013.cod_spv) IN ('MORTAGE2-200802GMMBNFNXXN0025','MORTAGE3-200810GMMBNFNXXN0028','MORTAGE4-200902GMMBNFS0033')
            THEN '1'
            WHEN TRIM(ct013.s1emp) = '22005' AND TRIM(ct013.cod_spv) IN ('SYNTOTTA2','SYNTOTTA3','SYNTOTTA4','SYNTOTTA5')
            THEN '2'
            ELSE ''
         END AS type_securitization
        FROM
        (
            SELECT
                fr004.contract_id_fr, s1emp, contra1
            FROM
            (
                SELECT
                    DISTINCT CONCAT(cempresa,cbalcao,cnumecta,zdeposit) as contract_id_fr
                FROM cd_captools.fr004_cto
                WHERE ref_date = '2024-08-31'
            ) as fr004 --6211142
            LEFT JOIN
            (
                SELECT
                    CONCAT(cempresa_fr,cbalcao_fr,cnumecta_fr,zdeposit_fr) as contract_id_fr,
                    CONCAT(cempresa,cbalcao,cnumecta,zdeposit) as contract_id_ct
                FROM cd_captools.kt_chaves_finrep
                WHERE ref_date = '2024-08-31'
            ) as chaves_finrep
            ON chaves_finrep.contract_id_fr = fr004.contract_id_fr --6211142
            LEFT JOIN
            (
                SELECT
                    s1emp,
                    contra1,
                    CONCAT(cempresa,cbalcao,cnumecta,zdeposit) as contract_id_ct
                FROM cd_captools.kt_chaves_bdr
                WHERE ref_date = '2024-08-31'
            ) as chaves_bdr
            ON chaves_bdr.contract_id_ct = chaves_finrep.contract_id_ct --2046835
            WHERE chaves_bdr.contract_id_ct IS NOT NULL
            GROUP BY contract_id_fr, s1emp, contra1
        ) as core
        --2046835 DIST fr
        --2047298 nº total
        LEFT JOIN
        (
            SELECT
                s1emp,
                contra1,
                cod_spv,
                IF(segmento_corep_final LIKE 'I%', 'IRB', IF(segmento_corep_final LIKE 'S%', 'Standard', '')) as method
            FROM cd_captools.ct013_rwa_princ 
            WHERE ref_date = '2024-08-31'
            GROUP BY segmento_corep_final, s1emp, contra1, cod_spv
        ) as ct013
        ON core.s1emp = ct013.s1emp
        AND core.contra1 = ct013.contra1
        WHERE ct013.cod_spv IS NOT NULL
        AND TRIM(ct013.cod_spv) != '' -- ATENÇÃO, não sei se deveria estar a fazer isto
        GROUP BY contract_id_fr, type_securitization, ct013.method, ct013.cod_spv
    ) as a
    GROUP BY contract_id_fr
) as b
--WHERE method_conc = '|Standard|'
--WHERE type_securitization_conc like '%1%2%'
--OR type_securitization_conc like '%2%1%'
ORDER BY cnt DESC</t>
  </si>
  <si>
    <t>LT002_INSTRUMENT.OTSTNDNG_NMNL_AMNT_INSTRMNT</t>
  </si>
  <si>
    <t>LT002_INSTRUMENT.ACCRD_INTRST_INSTRMNT</t>
  </si>
  <si>
    <t>LT002_INSTRUMENT.OFF_BLNC_SHT_AMNT_INSTRMNT</t>
  </si>
  <si>
    <t>Mapeamento LT:
Not Applicable: Reportar 11111111111
Comentários IT:
Este campo constará no ficheiro "02_04_nat_instr_count"</t>
  </si>
  <si>
    <t>LT002_INSTRUMENT.ACCNTNG_CLSSFCTN
‣ Ver sheet 'LT803'</t>
  </si>
  <si>
    <t xml:space="preserve">Mapeamento LT:
Preenchido sempre com o valor 'Entirely recognised' 
Comentários IT:
‣ Reunião com Luisa Quendera/Rafael Pessoa/Luís Capitão-Mor/Pedro Mendes (02/04/2024): Preenchido sempre com o valor 'Entirely recognised' 
‣ Pedro Mendes a 07/10/2024 questionou Nuno Pinheiro (via Teams): Preenchido sempre com o valor 'Entirely recognised' </t>
  </si>
  <si>
    <t>LT002_INSTRUMENT.ACCMLTD_WRTFFS_INSTRMNT</t>
  </si>
  <si>
    <t>LT002_INSTRUMENT.ACCMLTD_IMPRMNT_INSTRMNT</t>
  </si>
  <si>
    <t>LT002_INSTRUMENT.IMPRMNT_STTS
‣ Ver sheet 'LT803'</t>
  </si>
  <si>
    <t>LT002_INSTRUMENT.IMPRMNT_ASSSSMNT_MTHD
‣ Ver sheet 'LT803'</t>
  </si>
  <si>
    <t>LT002_INSTRUMENT.SRCS_ENCMBRNC
‣ Ver sheet 'LT803'</t>
  </si>
  <si>
    <t>LT002_INSTRUMENT.PRFRMNG_STTS
‣ Ver sheet 'LT803'</t>
  </si>
  <si>
    <t>LT002_INSTRUMENT.DT_PRFRMNG_STTS</t>
  </si>
  <si>
    <t>LT002_INSTRUMENT.PRVSNS_OFF_BLNC_SHT</t>
  </si>
  <si>
    <t>LT002_INSTRUMENT.FRBRNC_STTS_INSTRMNT
‣ Ver sheet 'LT803'</t>
  </si>
  <si>
    <t>LT002_INSTRUMENT.DT_FRBRNC_STTS</t>
  </si>
  <si>
    <t>LT002_INSTRUMENT.CMLTV_RCVRS_SNC_DFLT_INSTRMNT</t>
  </si>
  <si>
    <t>LT002_INSTRUMENT.CRRYNG_AMNT_INSTRMNT</t>
  </si>
  <si>
    <t>LT002_INSTRUMENT.PRDNTL_PRTFL
‣ Ver sheet 'LT803'</t>
  </si>
  <si>
    <t>LT002_INSTRUMENT.ACCMLTD_CHNGS_FV_CR_INSTRMNT</t>
  </si>
  <si>
    <t>LT003_ENTITY.PD_CRR_RD</t>
  </si>
  <si>
    <t xml:space="preserve">LT003_ENTITY.INTRNL_RTNG
‣ Luís Capitão-Mor solicitou que se confirme que este campo no Loan Tape tem origem no input de Capital.
Segundo o documento "Especificação - BCE Loan Tape - Internal Ratings_v1.4", é referido:  
"Nível do cliente: deverá ser consultada a tabela CD_CAPTOOLS.JM_CAL_IN_CL;" ou seja, confirma-se que tem origem no input de Capital.
</t>
  </si>
  <si>
    <t xml:space="preserve">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
</t>
  </si>
  <si>
    <t>LT003_ENTITY.DFLT_STTS
‣ Ver sheet 'LT803'</t>
  </si>
  <si>
    <t>LT003_ENTITY.DT_DFLT_STTS</t>
  </si>
  <si>
    <t>LT004_PROTECTION.PRTCTN_PRVDR_ID</t>
  </si>
  <si>
    <t>Mapeamento LT:
Not Applicable: Reportar 'N/A'
Comentários IT:
Este campo constará no ficheiro "02_05_nat_instr_prot"</t>
  </si>
  <si>
    <t xml:space="preserve">Mapeamento LT:
Este campo deverá ser sempre preenchido com '1'. 
Comentários IT:
‣ Reunião 2024-04-08: Segundo Luís Capitão-Mor, o Banco só aceita primeiras hipotecas, como tal, este campo deverá ser sempre preenchido com '1'. </t>
  </si>
  <si>
    <t>LT004_PROTECTION.DT_PRTCTN_VL</t>
  </si>
  <si>
    <t>LT004_PROTECTION.PRTCTN_VL</t>
  </si>
  <si>
    <t>LT004_PROTECTION.DT_MTRTY_PRTCTN</t>
  </si>
  <si>
    <t>LT004_PROTECTION.ORGNL_PRTCTN_VL</t>
  </si>
  <si>
    <t>LT004_PROTECTION.DT_ORGNL_PRTCTN_VL
Comentários IT: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</si>
  <si>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LT004_PROTECTION.TYP_PRTCTN_VL
‣ Ver sheet 'LT803'</t>
  </si>
  <si>
    <t>LT004_PROTECTION.PRTCTN_VLTN_APPRCH
‣ Ver sheet 'LT803'</t>
  </si>
  <si>
    <t xml:space="preserve">LT004_PROTECTION.PRTCTN_VL
Comentários IT: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</si>
  <si>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 xml:space="preserve">Mapeamento LT:
Este campo deverá ser sempre preenchido com '0'. 
Comentários IT:
Segundo Luís Capitão-Mor, como o banco só aceita 1ªs hipotecas, este campo deverá ser reportado com 0.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</si>
  <si>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LT005_INSTR_ENT.JNT_LBLTY_AMNT</t>
  </si>
  <si>
    <t>Mapeamento LT:
‣ Este campo deve ser obtido a partir do campo "tipo_conta" da tabela fr802_pl_contas:
          1. Ligar o universo à tabela fr802_pl_contas através do campo "conta", obtendo o campo "tipo_conta";
          2. Se para a mesma conta existir  mais do que um "tipo_conta" distinto, deve-se trazer apenas um deles segundo a seguinte ordem de prioridades 'A', 'EA', 'P', 'EP'. 
                Se nenhum dos 'tipo_conta' for uma das opções ('A', 'EA', 'P', 'EP') então é indifrente qual é utilizado, de forma a que se pode trazer por exemplo o 1º encontrado.
‣ A parametrização a implementar neste campo pode ser consultada na sheet 'LT803' onde o campo_lt = "COUNTERPARTY_ROLE"
Comentários IT:
‣ Segundo Luís Capitão-Mor, na Parametrização atual do Loan Tape só são selecionados Titulares. Como tal, aqui no Valuation se se efetuar a mesma parametrização e dado que o report é sobre o Ativo, então o valor deste novo campo será sempre 'Debtor'.
Nota: Necessário validar novamente com Luís Capitão-Mor dado que ao ser um novo campo no Loan Tape deveria ser preenchido transversalmente e noutros âmbitos que não o Valuation, por exemplo o Bail-in, que é sobre passivo este campo já assumiria o valor 'Creditor', não? (aguarda-se resposta ao email enviado por Luís Pragosa a Luís Capitão-Mor 08/10/2024 15:15)
‣ Reunião Pedro Mendes, Luís Capitão-Mor 05-11-2024:  Foi definida a regra para este campo. Utilizando o campo "tipo_conta" da tabela fr802_pl_contas:
     - Em contratos com o campo "tipo_conta" = 'A' ou 'EA', reportar 'Debtor';
     - Em contratos com o campo "tipo_conta" = 'P' ou 'EP', reportar 'Creditor';
     - Em contratos que existe âmbiguidade no "tipo_conta" levar sempre o ativo como prioritário, ou seja se um contrato tiver dois "tipo_conta" 'A' e 'P' deveremos reportar 'Debtor'</t>
  </si>
  <si>
    <t>LT006_INSTR_PROT.PRTCTN_ALLCTD_VL</t>
  </si>
  <si>
    <t>LT006_INSTR_PROT.THRD_PRTY_PRRTY_CLMS</t>
  </si>
  <si>
    <t>Mapeamento LT:
Not Applicable: Reportar 'N/A'
Comentários IT:
Este campo constará no ficheiro "03_04_off_instr_count"</t>
  </si>
  <si>
    <t>Mapeamento LT:
‣ Este campo deve ser obtido a partir da tabela fr802_pl_contas ligando o universo de contratos FINREP à tabela fr802_pl_contas através do campo conta, filtrando a tabela pelo campo "carteira_contabilistica" = 'garantias e compromissos concedidos', obtendo o campo "produto.
‣ A parametrização a implementar neste campo pode ser consultada na sheet 'LT803' onde o campo_lt = "TYPE" (definida com Luisa Quendera no email 24/10/2024 19:18)
METODOLOGIA DE CRUZAMENTO:
1) Cruzar as contas (CCONTAB_FINAL_IFRS, CCONTAB_FINAL_ST_SGPS, CCONTAB_FINAL_SGPS_CONS, CCONTAB_FINAL_CARGABAL ...) presentes na tabela FR001_UNIV_SLD com a tabela FR802_PL_CONTAS:
(SELECT * FROM FR802_PL_CONTAS
 WHERE cod_plano = '[Perimetro]')
ON [CONTA] = CONTA
NOTA: A variável [CONTA] proveniente da tabela FR001_UNIV_SALDO varia entre CCONTAB_FINAL_IFRS, CCONTAB_FINAL_ST_SGPS, CCONTAB_FINAL_SGPS_CONS, CCONTAB_FINAL_CARGABAL .... consoante o nome_perimetro calculado;
NOTA 2: Replicar a lógica de ligação com a FR802_PL_CONTAS já aplicada para outros campos do Modelo Loan Tape.</t>
  </si>
  <si>
    <t>LT002_INSTRUMENT.CCF</t>
  </si>
  <si>
    <t>LT002_INSTRUMENT.OFF_BLNC_SHT_AMNT_INSTRMNT
O SRB solicita o Total nominal amount of off-balance-sheet exposure de IFRS9, contudo, no Loan Tape o campo OFF_BLNC_SHT_AMNT_INSTRMNT está a ser obtido da Contabilidade (fr004_cto/lt001_univ_oper), ou seja, não está a ser obtido de IFRS9.
Portanto, para utilizar o campo do Loan Tape indicado foi necessário confirmar com IFRS9 que o valor que IFRS9 tem é o da Contabilidade: Segundo David Texugo (Email 01/04/2024 17:23), "Os saldos que constam em IFRS9 são reconciliados pela Contabilidade, tratando-se de um subset de contas contabilísticas das carteiras IC que é definido pela Contabilidade."
PREOCUPAÇÃO: Não haverá a possibilidade de existirem contratos off balance na fr004 que não existem em IFRS9? Em caso afirmativo, significa que se iria preencher um valor que não seria o de IFRS9 para estes casos (mas sim o da Contabilidade).
Reunião com Luís Capitão-Mor 8 /11/2024 14:30: Nesta reunião foi discutida a preocupação acima, e foram vistos os contratos FINREP que não estavam presentes no tradutor de chaves de IFRS9. A maioria dos contratos vistos têm montante 0, estes contratos não serão tema pois o LT já trata de os remover. Havia também um conjunto de contratos que eram do Totta Ireland e como este report é relativo ao Santander Totta, SA estes contratos não iram constar no report. O resto do contratos são ajustes ('CMAH'), para os quais Luís Capitão-Mor comentou que no âmbito da OSI do Loan Tape Estrutural, existe uma parametrização que determina estes contratos de forma a serem tratados de forma minimalista, apenas são preenchidos alguns campos chave e o resto dos campos (incluindo este OFF_BLNC_SHT_AMNT_INSTRMNT) vem a N/A, esta informação é submetida à corporação mas depois é removida aquando da submissão do report ao BCE, sendo enviado posteriormente um excel com esses registos assim como uma justificação. Postos estes temas, ficou aprovado o uso do campo já previamente mapeado LT002_INSTRUMENT.OFF_BLNC_SHT_AMNT_INSTRMNT.
De forma a confirmar a preocupação acima fez-se a ligação entre o universo FINREP (fr004) e o universo IFRS9 (ifrs9_out_expected_loss_8_7 ) para comparar os montantes fora de balanço de ambos, na query: 
SELECT
    core_off_bal.contract_id_fr,
    core_off_bal.montante_fr,
    ifrs9_oel_8_7.montante_ifrs9 as sum_montante_ifrs9,
    core_off_bal.montante_fr+ifrs9_oel_8_7.montante_ifrs9 as dif--;
--SELECT COUNT(DISTINCT ifrs9_oel_8_7.contract_id_ifrs9)
--SELECT COUNT(DISTINCT core_off_bal.contract_id_fr)
FROM
(
    SELECT 
        fr004.contract_id as contract_id_fr,
        fr004.montante_fr
    FROM
    (
        SELECT
            CONCAT(cempresa, cbalcao, cnumecta, zdeposit) as contract_id,
            CAST(valor_bruto_off_a as DECIMAL(30,8)) as montante_fr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 as core_off_bal
LEFT JOIN
(
    SELECT 
        trad_fr.contract_id_fr, 
        trad_ifrs9.contract_id_ifrs9
    FROM 
    (
        SELECT
            CONCAT(cempresa_fr, cbalcao_fr, cnumecta_fr, zdeposit_fr) as contract_id_fr,
            CONCAT(cempresa, cbalcao, cnumecta, zdeposit) as contract_id_ct
        FROM cd_captools.kt_chaves_finrep
        WHERE ref_date = '2024-09-30'
    ) as trad_fr 
    INNER JOIN
    (
        SELECT
            contract_id as contract_id_ifrs9,
            CONCAT(cempresa, cbalcao, cnumecta, zdeposit) as contract_id_ct
        FROM cd_captools.kt_chaves_ifrs9
        WHERE ref_date = '2024-09-30'
    ) as trad_ifrs9
    ON trad_ifrs9.contract_id_ct = trad_fr.contract_id_ct
) as tradutor
ON tradutor.contract_id_fr = core_off_bal.contract_id_fr
--WHERE tradutor.contract_id_fr IS NULL -- Temos 69 contrato OFF_BALANCE que existem no universo FINREP mas não estão no universo IFRS9
LEFT JOIN
(
    SELECT
        contract_id as contract_id_ifrs9,
        CAST(undrawn_balance as DECIMAL(30,8)) as montante_ifrs9
    FROM cd_captools.ifrs9_out_expected_loss_8_7
    WHERE data_date_part = (SELECT MIN(data_date_part) FROM cd_captools.ifrs9_out_expected_loss_8_7 WHERE data_date_part &gt;= '2024-09-30')
) as ifrs9_oel_8_7
ON ifrs9_oel_8_7.contract_id_ifrs9 = tradutor.contract_id_ifrs9
-- Testar se todos os contratos ifrs9 do tradutor estão na ifrs9_out_expected_loss_8_7
-- WHERE tradutor.contract_id_fr IS NOT NULL
-- AND ifrs9_oel_8_7.contract_id_ifrs9 IS NULL -- Todos os contratos IFRS9 que estão no tradutor de chaves IFRS estão na tabela cd_captools.ifrs9_out_expected_loss_8_7
-- Ignorando os contratos FINREP para os quais não há contratos IFRS9 associados, ver se há diferenças entre os montantes 
-- WHERE tradutor.contract_id_fr IS NOT NULL
-- --GROUP BY core_off_bal.contract_id_fr, core_off_bal.montante_fr Não se pode agregar os montantes dos cntr IFRS9 estão duplicados para o mesmo contrato FINREP
-- HAVING dif != 0 -- Todos os montantes batem certo
-- Ver os casos em que contratos FINREP não têm contratos IFRS9 associados
WHERE tradutor.contract_id_fr IS NULL
Conclusões:
- Para a data de '2024-09-30' existem 69 contratos FINREP para os quais não existem contratos IFRS9 associado, ou seja os montantes que vêm destes contratos não são montantes IFRS9 e como tal não deviam ser reportados neste campo. Deste universo de contratos 51 têm valor_bruto_off_a igual a 0 ou muito baixo (~0.01), os 18 restantes têm valor_bruto_off_a muito elevado (na ordem das centenas de milhões);
- Para todos os contratos FINREP que têm contratos IFRS9 associados, os montantes de valor_bruto_off_a e undrawn_balance são exatamente iguais, confirmando o entendimento do David Texugo.
Query antiga (desatualizado):
- O campo "amount" da  tabela ifrs9_input_motor_8_7 filtrada para amount_type='#903' (off balance) bate certo com o campo valor_bruto_off_a da fr004_cto (query abaixo).
- O campo "undrawn_balance" da tabela ifrs9_out_expected_loss_8_7 bate certo com o campo valor_bruto_off_a da fr004_cto (query abaixo).
SELECT contract_id, montante_ifrs9, montante_fr, montante_fr+montante_ifrs9 as dif
FROM
-- (
-- select contract_id, CAST(replace(amount,'#','') as DECIMAL(30,8)) as montante_ifrs9 
-- from cd_captools.ifrs9_input_motor_8_7 where data_date_part='2023-10-31' and amount_type='#903'
-- ) as ifrs9
(
select contract_id, CAST(undrawn_balance as DECIMAL(30,8)) as montante_ifrs9
from cd_captools.ifrs9_out_expected_loss_8_7 where data_date_part='2023-11-03'
) as ifrs9
INNER JOIN
(
    SELECT 
    CONCAT(contract_id) as IFRS9_ID, 
    CONCAT(CEMPRESA_FR, CBALCAO_FR, CNUMECTA_FR, ZDEPOSIT_FR) as FR_ID
    FROM 
    (SELECT * FROM cd_captools.KT_CHAVES_FINREP where ref_date = '2023-10-31') as a 
    INNER JOIN
    (SELECT * FROM cd_captools.KT_CHAVES_IFRS9 where ref_date = '2023-10-31' ) as b
    ON a.CEMPRESA = b.CEMPRESA
    AND a.CBALCAO = b.CBALCAO
    AND a.CNUMECTA = b.CNUMECTA
    AND a.ZDEPOSIT = b.ZDEPOSIT
) as tradutor
on tradutor.IFRS9_ID = ifrs9.contract_id
INNER JOIN
(
select concat(cempresa, cbalcao, cnumecta, zdeposit) as contr_id, CAST(valor_bruto_off_a as DECIMAL(30,8)) as montante_fr
from cd_captools.fr004_cto where ref_date='2023-10-31' 
) as fr
ON fr.contr_id = tradutor.FR_ID
HAVING dif &lt;&gt; 0</t>
  </si>
  <si>
    <t xml:space="preserve">Luís Capitão-Mor, Ana Clara, Alexandre Feliciano, Luís Barata Barata não conhecem o conceito. Como tal, questionou-se a Corporação.
Email de Pedro Mendes (13/05/2024 08:58)
Questão Pedro Mendes: 
"¿Qué tasa utilizan?  ¿La TAE (tasa anual efectiva)?"
Resposta Corporação:
"Como es el módulo de Off-balance nosotros en este campo no le veíamos sentido informar un interest rate y lo que estamos haciendo es informar cualquier comisión (“fee”), principalmente las asociadas a avales. Si en vuestro caso sí le veis sentido informar un interest rate y tenéis esta duda entonces habría que preguntar al SRB porque yo no tengo la respuesta. Decidnos y se le puede trasladar para que nos aclaren." 
Agendada Sessão com Ana Clara, Luís Velez, Luís Capitão-Mor para 17/10 conforme solicitado por Luís Capitão-Mor (email 04/10/2024 13:20)
</t>
  </si>
  <si>
    <t>Mapeamento LT:
Not Applicable: Reportar 11111111111
Comentários IT:
Este campo constará no ficheiro "03_04_off_instr_count"</t>
  </si>
  <si>
    <t>No documento "Feedback Statement in response to the consultation on the SRB valuation data set" é referida a seguinte nota sobre este campo:
"‘Data Point V_10’, entitled ‘IFRS 9 Probability of default’, refers to PDs used for accounting purposes, being a 12-month PD for stage 1 exposures and a lifetime PD for stage 2 and 3 exposures as per the accounting framework."
Email David Texugo (01/04/2024 17:23) 
"Para algumas das operações em Stage 1 deve-se considerar PD lifetime também. Para operações em Stage 1 para as quais não é possível avaliar o SICR via variação de PD/Rating por PD/Rating origem inválido, o cálculo de provisões é lifetime, conforme pode ser verificado no campo loss_type. Com a exceção destas casuísticas, deve-se seguir a lógica que indicas. Adicionalmente Stage 3 deveria ter sempre PD 100%."
Aparentemente faz sentido criar um novo campo ("PD misto" ) na LT002_INSTRUMENT dado que se solicita um "misto" entre a PD 12m e a PD lifetime. Como tal, deverá confirmar-se com Luís Capitão-Mor a lógica de preenchimento deste novo campo: 
-Se stage 1 selecionar PD12M_IFRS9 da tabela BU_IFRS9.IFRS9_OUT_EXPECTED_LOSS_REPORTING (confirmar que neste campo já está incluída a lógica mencionada acima por David Texugo)
-Se stage 2 selecionar PD_LT_IFRS9 da tabela BU_IFRS9.IFRS9_OUT_EXPECTED_LOSS_REPORTING
-Se stage 3 forçar 1
Sugere-se criar o campo na  LT002_INSTRUMENT e não na LT003_ENTITY porque após consultar a a LT003_ENTITY verificou-se que existia o campo PD_IFRS9_12M_RD para o qual é usada a LT005_INSTR_ENT para identificar todos os contratos onde o cliente é o 1º Titular, de seguida para cada cliente aplica-se uma média ponderada da PD em relação ao EAD (porque cada cliente pode ter vários contratos). 
Assim sugere-se replicar esta lógica para o novo campo "PD misto" adicionado na LT002_INSTRUMENT de forma a poder ser criado também um novo campo "PD misto" na LT003_ENTITY.
Nota: Atenção que o campo PD_IFRS9_12M_RD apenas está a ser calculado para os Primeiros Titulares (provavelmente porque em IFRS9 também só calculam para os Primeiros Titulares?)</t>
  </si>
  <si>
    <t>Mapeamento LT:
Este campo é Not Applicable, reportar: 11111111111</t>
  </si>
  <si>
    <t>LT003_ENTITY.LEI</t>
  </si>
  <si>
    <t>LT003_ENTITY.TAX_ID</t>
  </si>
  <si>
    <t xml:space="preserve">‣ Não encontrado no Loan Tape (confirmar com Nádia Ahmad e Dora Roxo); 
Considerando que o termo "domestic" não releva,  no entendimento de Luís Capitão-Mor pretende-se saber se existe uma hierarquia de Cliente que responda ao solicitado. 
Exemplo: a empresa A é detida pela empresa B que por sua vez é detida pela empresa C que por sua vez é detida pela empresa D, então:
Immediate parent undertaking identifier: empresa B
Ultimate parent undertaking identifier: empresa D
Ações solicitadas por Luís Capitão-Mor:
1ª Ação: 
Questionar a Corporação sobre o conceito. 
Questão Pedro Mendes: "cual es vuestra interpretación de estos data-points. Como lo manejáis? Aquí lo que nos lía es la expresión “domestic part” que nos complica nuestro raciocionio…."
Resposta Corporação: "Los 3 campos se reportan al ECB en Anacredit y en el siguiente enlace se recoge definición más detallada para cada uno de ellos (apartados 12.4.4, 12.4.5 y 12.4.6, respectivamente)
https://www.ecb.europa.eu/pub/pdf/other/AnaCredit_Manual_Part_II_Datasets_and_data_attributes_201905~cc9f4ded23.en.pdf"
2ª Ação: 
Questionar Luís Bastos (Riscos) se esta informação existe no Mágico ou algures noutro sítio (para clientes em Portugal) -&gt; Segundo Luís Bastos não está no Mágico
Questionar Catarina Carvalho (Riscos) se esta informação existe no aqua ou algures noutro sítio (para clientes CIB) -&gt; Email Catarina Carvalho 19/04/2024 10:13 "Esta info está no CREAM (cuja a origem é JQUEST, aplicativo corporativo ao qual não temos acesso em Portugal).
No AQUA penso que também existem códigos de 4 e 5, no entanto não sei se aparecem as hierarquias e não sei como é alimentado, já que é um aplicativo usado essencialmente por Admissão."
Outro ponto de contacto para o ponto acima: João Luís Almeida -&gt; Apenas conhece a LMT11
Alternativas sugeridas por Luís Capitão-Mor:
1ª Alternativa: 
Questionar Rui Machinho e Nuno Almeida se esta informação existe no GBO 
Segundo Rui Machinho (Email 19/03/2024 16:45), "Do que sabemos do GBO, não temos conhecimento que a hierarquia de Cliente conste no GBO, nem percentagem de detenção."
Segundo Nuno Almeida (Email 19/03/2024 17:07), "o GBO/Sigom não tem a informação ao nível das hierarquias. O único sistema global que conheço e que consta essa informação é o CREAM (exemplo do informe abaixo). Mas esta informação apenas consta para clientes/grupo CIB. Adicionalmente informar que os códigos identificativos dos clientes/grupos são corporativos."
2ª Alternativa: 
Luís Capitão-Mor comentou que há um ficheiro que a Cristiana está a trabalhar e que vem do JQUEST (aplicação da Corporação com a relação dos grupos económicos em códigos KGL). 
Luís Capitão-Mor enviou Email (18/03/2024 11:34) onde solicitou a ingesta deste ficheiro.
3ª Alternativa:
Ver se existe no DB Informa no Datalake (Nuno Parreiras tem o dicionário). Se não existir, questionar a DB Informa (Fornecedor) como obter esta informação da informação que o banco está a receber.
</t>
  </si>
  <si>
    <t>‣ Não encontrado no Loan Tape (confirmar com Nádia Ahmad e Dora Roxo); 
‣ Ver comentário do campo acima dado que estes 3 campos terão de ser analisados em conjunto (Head office undertaking identifier, Immediate parent undertaking identifier e Ultimate parent undertaking identifier).</t>
  </si>
  <si>
    <t>LT003_ENTITY.ENTTY_NM</t>
  </si>
  <si>
    <t>Mapeamento LT:
‣ campo "nmorada" da cd_captools.ct003_univ_cli (email Raul Custódio 15/10/2024 18:34).
Nota: Este campo ainda terá de ser adicionado a esta tabela dado que o mesmo não existe atualmente.
Comentários IT:
‣ Reunião com Ana Gomes da Silva/Alexandra Reis 16/04/2024:  
- Algumas aplicações Sintra consomem este Interface de Moradas (que é produzido com base na Base de Datos de Personas), outras aplicações Sintra consomem diretamente a Base de Datos de Personas e existem ainda outras aplicações Sintra que têm registos de Moradas nas suas próprias tabelas;
- Ana Gomes da Silva/Alexandra Reis alertaram que os Clientes com Morada Fiscal Estrangeira não têm código postal associado;
- Ana Gomes da Silva/Alexandra Reis indicaram que o campo "clyr7003_zmorada" se trata de um sequencial referente à ordem de entrada do registo;
- Ana Gomes da Silva/Alexandra Reis indicaram que cada Cliente tem apenas uma morada fiscal. Após consultar a tabela cd_estruturais.interface_moradas verificou-se que existem Clientes sem morada fiscal (clyr7003_imorfisc sempre igual a 'N' -&gt; ~100 registos). Enviaram-se estes Clientes para análise de  Ana Gomes da Silva/Alexandra Reis, dado que não é suposto acontecer (ver query infra):
select distinct clyr7003_zcliente
from
(
select clyr7003_zcliente, group_concat(distinct clyr7003_imorfisc, "|") as conc 
from cd_estruturais.interface_moradas where data_date_part = '2024-04-05'
group by 1
) d where conc='N'
‣ Reunião com LCM/João Godinho 08/04/2024: Não se justifica replicar a lógica do Modelo Único de Dados pois no futuro este campo deverá ser reapontado para o mesmo, como tal, poderá usar-se a a tabela cd_estruturais.interface_moradas;
‣ Email Raul Custódio 08/04/2024 17:09: Concordou com a utilização da tabela cd_estruturais.interface_moradas
‣ Verificou-se que apenas existe uma morada fiscal para cada Cliente (ver query infra):
SELECT a.data_date_part, (zcliente-dist_zcliente) as dif FROM
    (
        SELECT data_date_part, COUNT(clyr7003_zcliente) as zcliente FROM cd_estruturais.interface_moradas 
        WHERE clyr7003_imorfisc = 'S'
        AND data_date_part &gt;= '2023-01-01'
        GROUP BY data_date_part
    ) as a
    INNER JOIN 
    (
        SELECT data_date_part, COUNT( distinct clyr7003_zcliente) as dist_zcliente FROM cd_estruturais.interface_moradas 
        WHERE clyr7003_imorfisc = 'S'
        AND data_date_part &gt;= '2023-01-01'
        GROUP BY data_date_part
    ) as b
    ON a.data_date_part = b.data_date_part
    having  dif &lt;&gt;0</t>
  </si>
  <si>
    <t>Mapeamento LT:
‣ campo "nlocalid" da cd_captools.ct003_univ_cli (email Raul Custódio 15/10/2024 18:34).
Nota: Este campo ainda terá de ser adicionado a esta tabela dado que o mesmo não existe atualmente.</t>
  </si>
  <si>
    <t>Mapeamento LT:
‣ LT003_ENTITY.PST_CD (este campo vai ser adicionado no LT no âmbito do Pilar 3) 
Nota: O mapeamento previsto para o campo LT003_ENTITY.PST_CD não se encontra de acordo com o definido por Raul Custódio no email de 15/10/2024 18:34. Quando o campo "cpostal" constar na ct003_univ_cli este campo do LT deverá ser reapontado.</t>
  </si>
  <si>
    <t>Mapeamento LT:
‣ campo "cnuts3" da cd_captools.ct003_univ_cli (email Raul Custódio 15/10/2024 18:34).
Nota: Este campo ainda terá de ser adicionado a esta tabela dado que o mesmo não existe atualmente.
Comentários IT:
Regra definida inicialmente por Alexandre Dionísio Esteves (Email 09/04/2024 15:51)  - outdated:
"1.	Obter código postal da morada fiscal do cliente. Cruzar zcliente com clyr7003_zcliente da tabela cd_estruturais.interface_moradas, com clyr7003_imorfisc = ‘S’. O código postal será a concatenação dos campos clyr7003_cpostal e clyr7003_cp3.
2.	Obter código de distrito/concelho/freguesia a partir do código postal. Cruzar concat(clyr7003_cpostal, clyr7003_cp3) obtido no ponto anterior com concat(zona, codcomp) da tabela cd_estruturais.vias_pt. A tabela em questão tem periocidade semanal, sendo o seu dia de execução aos sábados (última data_date_part disponível atualmente ‘2024-04-06’). O código de distrito/concelho/freguesia será a concatenação dos campos coddis, codcon e fregna. Relembrar que a relação entre código distrito/concelho/freguesia e código postal é única.
3.	Obter NUTS3 a partir do código de distrito/concelho/freguesia. Cruzar concat(coddis,codcon,fregna) obtido no ponto anterior com tayd91c0_celemtab da tabela cd_estruturais.tat91_tabelas com filtro tayd91c0_ctabela = 'J48'. O NUTS3 será o código presente no campo tayd91c0_nelemc05.
Para casos em que os 7 dígitos do código postal não se encontram na cd_estruturais.vias_pt, sugiro a verificação apenas dos 4 primeiros dígitos e trazer concat(coddis, codcon, 00) para cruzar com o catálogo J48. Na maioria dos casos só existe um concelho para os 4 primeiros dígitos do código postal e o concelho é suficiente para identificar o NUTS3.
Recordo que este mapeamento só é possível quando a morada fiscal do cliente é portuguesa."
Nota: Quando não existe NUTS atribuído a um dos códigos postais de 7 dígitos, tenta-se fazer esta ligação apenas com os 4 primeiros dígitos, esta operação em certos casos (poucos) causa uma ambiguidade entre 2 NUTS em zonas de fronteira entre regiões. Este tema será contornado selecionando apenas uma das opções;
‣ Salienta-se que apenas se definiu regra para os casos em que a morada fiscal do cliente é portuguesa, Quando a Morada fiscal não é portuguesa o campo NUTS3 terá o valor ‘MISS’. 
‣ A query proposta é a seguinte:
Nota: Esta query apenas irá recuperar o NUTS para clientes com morada fiscal portuguesa, mas mesmo dentro destes clientes por vezes não é possível associar um código NUTS.
SELECT 
    zcliente,
    IF(vias_pt.tayd91c0_nelemc05 IS NULL, vias_pt_redux.tayd91c0_nelemc05, vias_pt.tayd91c0_nelemc05) as nut_code
FROM
(
    SELECT clyr7003_zcliente as zcliente, CONCAT(clyr7003_cpostal,clyr7003_cp3) AS codigo_postal, clyr7003_cpostal as codigo_postal_redux
    FROM cd_estruturais.interface_moradas 
    WHERE data_date_part = (SELECT MAX(data_date_part) FROM cd_estruturais.interface_moradas WHERE data_date_part &lt; {REF_DATE})
    AND clyr7003_imorfisc = 'S'
) AS interface_moradas
LEFT JOIN
(
    SELECT 
        a.codigo_postal,
        tat91.tayd91c0_nelemc05
    FROM
    (
        SELECT concat(zona, codcomp) as codigo_postal, concat(coddis, codcon, fregna) as cod_distconfreg, fecalta
        FROM cd_estruturais.vias_pt
        WHERE data_date_part = (SELECT MAX(data_date_part)FROM cd_estruturais.vias_pt WHERE data_date_part &lt; {REF_DATE})
        AND fecbaja &gt; {REF_DATE}
        GROUP BY codigo_postal, cod_distconfreg, fecalta
    ) as a
    INNER JOIN
    (
        SELECT concat(zona, codcomp) as codigo_postal, MAX(fecalta) as max_fecalta
        FROM cd_estruturais.vias_pt
        WHERE data_date_part = (SELECT MAX(data_date_part)FROM cd_estruturais.vias_pt WHERE data_date_part &lt; {REF_DATE})
        AND fecbaja &gt; {REF_DATE}
        GROUP BY codigo_postal
    ) as b
    ON a.codigo_postal = b.codigo_postal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 tayd91c0_nelemc05
) as vias_pt
ON interface_moradas.codigo_postal = vias_pt.codigo_postal
LEFT JOIN
(
    -- Quando se liga a tabela vias_pt à tat_91 apenas utilizando os primeiros 4 digitos do código postal fica-se com alguns casos de códigos postais com dois NUTS diferentes. Analisou-se alguns casos e esta ambiguidade aparece em regiões
    -- que fazem fronteira, ou seja, pensa-se que se tratam de casos em que uma rua atravessa a fronteira das regiões delineadas pelo código NUTS e que sem especificar o código postal todo fica-se sem saber de que lado está. 
    -- Em reunião com Alexandre Dionísio Esteves decidiu-se que não sendo possivel resolver esta ambiguidade deverá trazer-se sempre apenas um dos códigos NUTS encontrados cegamente. 
    SELECT 
        a.codigo_postal_redux,
        SPLIT_PART(GROUP_CONCAT(DISTINCT tat91.tayd91c0_nelemc05, '#'),'#',1) as tayd91c0_nelemc05
    FROM
    (
        SELECT zona as codigo_postal_redux, concat(coddis, codcon, '00') as cod_distconfreg, fecalta
        FROM cd_estruturais.vias_pt
        WHERE data_date_part = (SELECT MAX(data_date_part) FROM cd_estruturais.vias_pt WHERE data_date_part &lt; {REF_DATE})
        AND fecbaja &gt; {REF_DATE}
        GROUP BY codigo_postal_redux, cod_distconfreg, fecalta
    ) as a
    INNER JOIN
    (
        SELECT zona as codigo_postal_redux, MAX(fecalta) as max_fecalta
        FROM cd_estruturais.vias_pt
        WHERE data_date_part = (SELECT MAX(data_date_part)FROM cd_estruturais.vias_pt WHERE data_date_part &lt; {REF_DATE})
        AND fecbaja &gt; {REF_DATE}
        GROUP BY codigo_postal_redux
    ) as b
    ON a.codigo_postal_redux = b.codigo_postal_redux
    AND a.fecalta = b.max_fecalta
    LEFT JOIN
    (
        SELECT tayd91c0_nelemc05, tayd91c0_celemtab
        FROM cd_estruturais.tat91_tabelas
        WHERE data_date_part = (SELECT MAX(data_date_part) FROM cd_estruturais.tat91_tabelas)
        AND tayd91c0_ctabela = 'J48'
    ) as tat91
    ON a.cod_distconfreg = tat91.tayd91c0_celemtab
    GROUP BY codigo_postal_redux
) as vias_pt_redux
ON interface_moradas.codigo_postal_redux = vias_pt_redux.codigo_postal_redux</t>
  </si>
  <si>
    <t>Mapeamento LT:
LT003_ENTITY.CNTRY
Nota: Atualmente o campo CNTRY alimenta-se do campo CPAIS_RESIDENCIA (País da morada de residência) da cd_captools.ct003_univ_cli. Contudo, será adicionado à ct003_univ_cli o campo cpaismor que conterá o País da morada fiscal (alimentado a partir do campo "clyr7003_cpaismor" da tabela cd_estruturais.interface_moradas, filtrando esta tabela por clyr7003_imorfisc=S para obter apenas as moradas fiscais). Caso se queira o o País da morada fiscal  deveria criar-se um novo campo no LT (apontado para esse novo campo da ct003_univ_cli).</t>
  </si>
  <si>
    <t>‣ Não encontrado no Loan Tape (confirmar com Nádia Ahmad e Dora Roxo); 
‣ Email Luís Bastos (Riscos) 02/04/2024 18:06: "É preenchida manualmente a forma jurídica numa transação do mágico (MA01), como tal não temos como garantir que terá a informação para todos os clientes."
‣ Segundo João Luís Almeida via teams (03/04/2024) o campo cformjur da tabela MAT05 vem da MA01.
‣ Reunião com Luís Capitão-Mor/Raul Custódio/Alexandre Dionísio Esteves 02/04/2024: Alexandre Dionísio Esteves referiu que esta informação se encontra no campo cformjur da MAT05 e a descodificação na TAT264.
‣ Segundo Pedro Almeida (Email 03/04/2024 11:20) e Pedro Inácio (Email 03/04/2024 14:33) esta informação não consta na BDR.
‣ Verificou-se que a MAT05 tem os campos zcligrupo, cformjur. Como tal, terá de se ligar a MAT05 (zcligrupo) com a ct003_univ_cli (ccli_grupo), para obter o zcliente. 
‣ Schema DL: cd_captools; cd_alm
‣ Tabela / Ficheiro: CT003_UNIV_CLI; MAT05_DADOSEMP; TAT91_TABELAS
‣ Campo: ccli_grupo; cformjur; tayd91c0_gelemtab
‣ Metodologia de Cálculo:
    "tayd91c0_gelemtab
     WHERE TAT91_TABELAS.tayd91c0_ctabela = '264'
     AND TAT91_TABELAS.tayd91c0_celemtab = MAT05_DADOSEMP.cformjur
     AND lpad(MAT05_DADOSEMP.zcligrupo,10,'0') = CT003_UNIV_CLI.ccli_grupo"
‣ Metodologia de cruzamento
    "1) Cruzar LT003_ENTITY com CT003_UNIV_CLI para obter o ccli_grupo:
     LT003_ENTITY
     LEFT JOIN
     (SELECT * FORM CD_CAPTOOLS.CT003_UNIV_CLI)
     ON ENTTY_ID = ZCLIENTE
     2) Cruzar MAT05_DADOSEMP com ela própria para obter apenas os dados relativos à ref_date em questão:
     MAT05_DADOSEMP 
     INNER JOIN
     (SELECT zcligrupo, MAX(dano) FROM CD_CAPTOOLS.MAT05_DADOSEMP WHERE data_date_part &lt;= REF_DATE)
     ON zcligrupo = zcligrupo
     AND dano = MAX(dano)
     3) Cruzar CT003_UNIV_CLI com MAT05_DADOSEMP_FILTRADA para obter cformjur:
     CT003_UNIV_CLI
     LEFT JOIN
     (SELECT *, lpad(zcligrupo,10,'0') as zcligrupo_pad FROM CD_CAPTOOLS.MAT05_DADOSEMP_FILTRADA)
     ON ccli_grupo = zcligrupo_pad
     4) Cruzar com tabela TAT 264 para descodificar o cformjur:
     LEFT JOIN 
     (SELECT * FROM TAT91_TABELAS)
     ON cformjur = tayd91c0_celemtab"
‣ Query usada para adicionar o Legal Form à tabela ct003:
SELECT ct003.zcliente, tat.tayd91c0_gelemtab
FROM
(
    SELECT zcliente, ccli_grupo as ccli_grupo FROM cd_captools.ct003_univ_cli
    WHERE ref_date = '2023-12-31'
) as ct003
LEFT JOIN
(
    SELECT lpad(CAST(a.zcligrupo AS STRING),10,'0') as zcligrupo, a.cformjur FROM
    (
        SELECT zcligrupo, dano, cformjur FROM cd_alm.mat05_dadosemp 
        WHERE data_date_part = (SELECT MAX(data_date_part) FROM cd_alm.mat05_dadosemp WHERE data_date_part &lt; '2023-12-31') -- Ultima versão da tabela gerada antes ou na data de execução (ref_date)
    ) as a
    INNER JOIN
    (
        SELECT zcligrupo, MAX(dano) as dano FROM cd_alm.mat05_dadosemp 
        WHERE data_date_part = (SELECT MAX(data_date_part) FROM cd_alm.mat05_dadosemp WHERE data_date_part &lt; '2023-12-31') -- Ultima versão da tabela gerada antes ou na data de execução (ref_date)
        AND dano &lt;= 2024 --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
Conclusões: Como comentado por Luís Bastos (Riscos) no email de  02/04/2024 18:06, na query acima verificamos que existe um conjunto grande de clientes para os quais, não é possivel obter esta classificação (7834887/8026404 ~= 97.6% para a data de '2024-09-30'). Se filtramos apenas o universo de contratos OFF BALANCE o número de clientes para os quais não foi possivel obter esta classificação é 599500/654583 ~= 91.5% para a data de '2024-09-30'.
Query em que filtramos apenas os clientes associados a contratos OFF_BALANCE:
SELECT * FROM
(
    SELECT 
        fr004.zcliente
    FROM
    (
        SELECT
            CONCAT(cempresa, cbalcao, cnumecta, zdeposit) as contract_id,
            zcliente
        FROM cd_captools.fr004_cto
        WHERE ref_date = '2024-09-30' 
    ) as fr004
    LEFT JOIN
    (
        SELECT
            CONCAT(cempresa, cbalcao, cnumecta, zdeposit) as contract_id,
            ccontab_final_ifrs
        FROM cd_captools.fr001_univ_saldo
        WHERE ref_date = '2024-09-30'
    ) as fr001
    ON fr001.contract_id = fr004.contract_id
    LEFT JOIN
    (
        SELECT
            conta, tipo_conta
        FROM cd_captools.fr802_pl_contas
        WHERE ref_date = '2024-09-30'
        AND cod_plano = 'BST_IND'
    ) as fr802
    ON fr802.conta = fr001.ccontab_final_ifrs
    WHERE TRIM(fr802.tipo_conta) = 'EA'
    GROUP BY zcliente
) as core_off_bal
LEFT JOIN
(
    SELECT
        zcliente,
        ccli_grupo
    FROM cd_captools.ct003_univ_cli
    WHERE ref_date = '2024-09-30'
) as ct003
ON ct003.zcliente = core_off_bal.zcliente
-- WHERE ct003.zcliente IS NULL --a ligação falha apenas para o zcliente = '0000000000'
LEFT JOIN
(
    SELECT
        lpad(CAST(a.zcligrupo AS STRING),10,'0') as zcligrupo,
        a.cformjur
    FROM
    (
        SELECT
            zcligrupo,
            dano,
            cformjur
        FROM cd_alm.mat05_dadosemp 
        WHERE data_date_part = (SELECT MAX(data_date_part) FROM cd_alm.mat05_dadosemp WHERE data_date_part &lt; '2024-09-30') -- Ultima versão da tabela gerada antes ou na data de execução (ref_date)
    ) as a
    INNER JOIN
    (
        SELECT
            zcligrupo,
            MAX(dano) as dano
        FROM cd_alm.mat05_dadosemp 
        WHERE data_date_part = (SELECT MAX(data_date_part) FROM cd_alm.mat05_dadosemp WHERE data_date_part &lt; '2024-09-30') -- Ultima versão da tabela gerada antes ou na data de execução (ref_date)
        AND dano &lt;= 2024 -- Parte de ano da ref_date
        GROUP BY zcligrupo
    ) as b
    ON a.zcligrupo = b.zcligrupo
    AND a.dano = b.dano
) as mat05
ON ct003.ccli_grupo = mat05.zcligrupo
LEFT JOIN
(
    SELECT tayd91c0_celemtab, tayd91c0_gelemtab FROM cd_estruturais.tat91_tabelas 
    WHERE data_date_part = (SELECT MAX(data_date_part) FROM cd_estruturais.tat91_tabelas)
    AND tayd91c0_ctabela = '264'
) as tat
ON mat05.cformjur = tat.tayd91c0_celemtab</t>
  </si>
  <si>
    <t>Mapeamento LT:
Campo "csector_inst" da tabela cd_captools.ct003_univ_cli
Parametrização na sheet LT803 com campo_lt = 'INSTITUTIONAL_SECTOR'
Comentários IT:
‣ Definiu-se a parametrizaçao necessária na reunião de 08/04/2024 com Pedro Mendes, Sandra Brito, Rafael Pessoa e Claudia Correia para os distintos códigos da tat91 ("H01","Y86") partindo do campo "csector_inst" da tabela cd_captools.ct003_univ_cli. Ver documento Sector Institucional mapeamento.xlsx</t>
  </si>
  <si>
    <t>LT003_ENTITY.ECNMC_ACTVTY
‣ Ver sheet 'LT803'</t>
  </si>
  <si>
    <t>LT003_ENTITY.LGL_PRCDNG_STTS_LE
‣ Ver sheet 'LT803'</t>
  </si>
  <si>
    <t>LT003_ENTITY.DT_INTTN_LGL_PRCDNGS_LE</t>
  </si>
  <si>
    <t>LT003_ENTITY.ENTRPRS_SZ_LE
‣ Ver sheet 'LT803'</t>
  </si>
  <si>
    <t xml:space="preserve">‣ Não encontrado no Loan Tape (confirmar com Nádia Ahmad e Dora Roxo); 
‣ Luís Capitão-Mor sugeriu questionar a Corporação sobre este campo.
Questão Pedro Mendes: "¿Aquí qué fecha quiere el SRB? Se quiere la fecha cuando se cargó los datos de lo cliente (i.e. facturación) o la última fecha de datos donde se utilizó estos datos? Sí es la primera, será la fecha cuando se cargó los estados financieros de lo cliente en lo sistema. Sí es la segunda será siempre igual a la fecha de referencia de los datos."
Resposta Corporação (Email Pedro Mendes 26/03/2024 17:28): "Lo que se pide es la fecha en la que se actualizó por última vez el dato “Enterprise size”, un poco para saber cómo de actualizado/obsoleto está ese dato (puede que lleve sin recalcularse mucho tiempo).
Por si ayuda, el campo se reporta al ECB en Anacredit y en el siguiente enlace se recoge definición más detallada para cada uno de ellos (apartado 12.4.19)
https://www.ecb.europa.eu/pub/pdf/other/AnaCredit_Manual_Part_II_Datasets_and_data_attributes_201905~cc9f4ded23.en.pdf"
</t>
  </si>
  <si>
    <t>Mapeamento LT:
Se tipo_empr='Associada' utilizar o campo  num_empg_grup da tabela business_sme2003361.out_sme_2003_361
Se tipo_empr='Autonoma' utilizar o campo  num_empg_indv da tabela business_sme2003361.out_sme_2003_361
Comentários IT:
‣ Luís Capitão-Mor referiu que este novo campo terá de ser obtido da nova tabela de SMEs (que está a ser criada) que contém  num_empg_indv e num_empg_grup.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num_empg_indv
Se novo campo for Grupo usar num_empg_grup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</si>
  <si>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Mapeamento LT:
Se tipo_empr='Associada' utilizar o campo  ativo_grup da tabela business_sme2003361.out_sme_2003_361
Se tipo_empr='Autonoma' utilizar o campo  ativo_indv da tabela business_sme2003361.out_sme_2003_361
Comentários IT:
‣ Luís Capitão-Mor referiu que este novo campo terá de ser obtido da nova tabela de SMEs (que está a ser criada) que contém ativo_indv e ativo_grup. 
Neste momento a tabela existe apenas em testes na bu_captools_work.fr044_univ_pme (no futuro: BD -&gt; business_sme2003361 Tabela -&gt; smefin_out_sme2003361). 
Luís Capitão-Mor solicitou a João Pedro Gonçalves Balsa Pinto Pereira a adição de um novo campo que indique se foi utilizada informação do Grupo ou Individual.
Regra:
Se novo campo for Individual usar ativo_indv
Se novo campo for Grupo usar ativo_grup
Nota: João Pedro Gonçalves Balsa Pinto Pereira comentou a 18/04/2024 que não criou o novo campo que Luís Capitão-Mor solicitou dado que já existe nesta tabela o campo tipo_empr, que assume apenas 2 valores: Associada (quando é Grupo) ou Autonoma (quando é Individual)</t>
  </si>
  <si>
    <t>LT003_ENTITY.ANNL_TRNVR_LE</t>
  </si>
  <si>
    <t>LT003_ENTITY.ACCNTNG_FRMWRK_SL
‣ Ver sheet 'LT803'</t>
  </si>
  <si>
    <t>Mapeamento LT:
Not Applicable: Reportar 'N/A'
Comentários IT:
Este campo constará no ficheiro "03_05_off_instr_prot"</t>
  </si>
  <si>
    <t>SIM gross_area</t>
  </si>
  <si>
    <t>SIM land_area</t>
  </si>
  <si>
    <t>LT004_PROTECTION.DT_ORGNL_PRTCTN_VL
Segundo Luís Capitão-Mor, deverão ser avaliadas as regras de preenchimento deste campo no Loan Tape, de forma a perceber se se está a recuperar a data mais antiga de uma garantia, ou a mais antiga que continua viva, ou a mais recente anterior à data de início do contrato onde o bem foi dado como garantia.</t>
  </si>
  <si>
    <t xml:space="preserve">LT004_PROTECTION.PRTCTN_VL
Como o banco só aceita 1ªs hipotecas, este campo é exatamente igual ao LT004_PROTECTION.PRTCTN_VL (V_220), como tal, da perspetiva de Luís Capitão-Mor deve ser reportado aqui esse valor (LT004_PROTECTION.PRTCTN_VL).
Questionou-se então a Corporação se se pode reportar o referido anteriormente ou se terá de ser 11111111111 (Not Applicable), conforme referido na coluna H (Mapeamentos Corporação (LT)).
Email de Pedro Mendes (09/05/2024 17:19) com a resposta da Corporação:
"No, no estaba diciendo que se reporte "11111111111" (Not applicable). Lo que digo es que nosotros estamos informando lo mismo que se está informando en la GRT:
-	Si en la GRT se informa "11111111111", entonces en VDS informamos "11111111111”
-	Si en la GRT se informa otra cosa, entonces informamos esa misma cosa en VDS
En definitiva, la idea es informar en VDS lo mismo que se informe en la GRT. Tened en cuenta que la solución estratégica es que terminemos obteniendo VDS de la GRT para los módulos de Exposures y Debt Securities."
</t>
  </si>
  <si>
    <t>‣ Coordenar com Luís Barata/Rogério Sacadura:
- Novo campo unique_trade_id nos ficheiros sigom_cib (tabela  cd_alm.sigom_cib) e sigom_fx (tabela  cd_alm.sigom_fx) ;
- Novo campo unique_trade_id na cd_alm.al011_derivados  e na cd_alm.al005_det_swapc  (que virá das tabelas acima)
- Novo campo unique_trade_id na cd_loan_tapes_bce.lt002_instrument (que virá das tabelas  cd_alm.al011_derivados  e cd_alm.al005_det_swapc)
‣ Reunião com Rogério Sacadura 02/05/2024: 
- Quando a contraparte é uma Financial counterparty recebem o UTI através do SWIFT que recebem da Contraparte a confirmar a Operação (ter em atenção se este código está disponível).
- Quando a contraparte é uma Non Financial counterparty, o UTI é gerado automaticamente e carregado no Sistema.</t>
  </si>
  <si>
    <t>Inicialmente este campo foi definido com:
‣ Novo campo na lt002_instrument com o código interno zcliente dos primeiros titulares dos contratos.
Sugestão Luís Capitão-Mor: replicar a lógica que permite definir o 1º titular na lt005_instr_ent (campo mn_entty_id)
Este campo está diretamente relacionado como os dois campos abaixo "counterparty_type_id" e "counterparty_country" os quais usam respetivamente os campos da LT002 "ISSR_ID_TYP" e "ISSR_CNTRY" que por sua vez estão diretamente relacionados com o campo "ISSR_ID" da mesma tabela. Seguindo esta lógica aqui deviamos reportar a o campo "ISSR_ID", mas após uma análise da regra deste campo, verificámos que a regra de N/A destes 3 campos da tabela LT002 põe em causa o uso destes campos tanto nesta sheet de DERIVADOS como na sheet de EQUITY onde também são mapeados. A regar da N/A associada aos campos ISSR_... é: se o campo "instrumento_financeiro" da tabela fr802 for diferente de 'instrumentos de divida' então o campo é N/A, Como o filtro do universo de contratos aplicado nesta sheet é instrumento_financeiro='derivados’ e na de Equity é instrumento_financeiro='instrumentos de capital' claramente estes campos serão sempre N/A.
Sugestão: criar campos "paralelos" com a mesma lógica exceto a regra de N/A, que deverá ser agnóstica ao "instrumento_financeiro"</t>
  </si>
  <si>
    <t>LT002_INSTRUMENT.ISSR_ID_TYP
Este campo é obtido aplicando a mesma metodologia de cruzamento aplicada ao campo ISSR_ID da tabela lt002_instrument e posteriormente verificando se o mesmo foi obtido a partir dos campos CLEI, CNUM_DOC_IDENTIF2 ou ZCLIENTE. Esta lógica está explicada no documento de especificação do Loan Tape onde também é indicado que este campo apenas pode tomar os valores 'LEI', 'TAX', 'OTHER' ou 'N/A', adicionalmente confirma-se este entendimento a partir da seguinte query:
SELECT DISTINCT ISSR_ID_TYP FROM cd_loan_tapes_bce.lt002_instrument
Os valores deste campo não passam pela tabela de parametrização LT803_CODIGOS_LT mas já vêm exatamente no formato pedido pelo SRB no documento 'ECB’s Securities Holding Statistics (field CL_SHS_ID_TYPE)'. 
Como tal é atribuído o estado Concluído.</t>
  </si>
  <si>
    <t>LT002_INSTRUMENT.ISSR_CNTRY
Agendar reunião com LCM
‣ Ver sheet 'LT803'</t>
  </si>
  <si>
    <t>Necessário falar com Rogério para perceber se ele consegue enviar um distinct dos campos AssetClass e ContractType sem data (que também constam no EMIRRefit) e se possível uma contagem. Seria possível também recebermos o Product type constante na confirmação da operação (Report Clusters). O Objetivo é verificarmos se com estes campos conseguimos fazer o mapeamento do SRB. 
Depois então agendar reunião com LCM.
Questionar também Rogério, se ele vai conseguir enviar os campos  AssetClass e ContractType para todos os registos dos ficheiros sigom_cib e sigom_fx.
No data lake existem as tabelas cd_alm.al011_derivados e cd_alm.al005_swapc que possuem a informação de Derivados, contudo, não permitem efetuar a segregação solicitada:
campo "instrumento" da tabela cd_alm.al011_derivados: Swap, Caps And Floors, OTC Option, FX Non Delivery Forward, BOND FORWARD
campo "ctipo_oper" da tabela cd_alm.al005_swapc (opções do ponto For Foreign Exchange (4).): FWD, SWP, SPT
Reunião com Luís Capitão-Mor, António Santos, Rogério Sacadura 15/05/2024: 
Identificou-se um conjunto de campos que o SIGOM deveria passar a enviar para o data lake para possibilitar o preenchimento deste campo, contudo, não está ainda clara a sua necessidade pois dependerá da análise a fazer à informação disponível:
- ContractType e AssetClass (campos do Emir Refit) 
- Produto contabilístico (Reportado no GEY ITACA)
- Sub-produto contabilístico (Reportado no GEY ITACA)
- Product type constante na confirmação da operação (Report Clusters)
Agendada reunião 26/09/2024 com LCM, António Santos, Rogério Sacadura.
Reunião com Luís Capitão-Mor, António Santos, Rogério Sacadura, Pedro Mendes 26/09/2024:
Identificou-se um conjunto de campos que poderão permitir fazer o mapeamento:
- universo alm:
    campos "instrumento" da tabela cd_alm.al011_derivados e "ctipo_oper" da tabela cd_alm.al005_swapc
- universo fr:
    campos 'cproduto' e 'csubproduto' da fr004
-universo SIGOM:
    campo 'Product type' (ecrã SIGOM)
    campo 'Deal Type' (ecrã SIGOM)
- ficheiros SUPRA:
    campos 'ContractType' e 'AssetClass' (campos do Emir Refit construidos a partir do 'mfamily', 'mgroup') + 'label' (dos ficheiros SUPRA)
    campos 'mfamily', 'mgroup' e 'label' (dos ficheiros SUPRA) ---Nota: verificar se o campo 'mtype' também pode ajudar
Ações: Rogério ficou de enviar uma extração distinta (sem data) dos campos ['Product type'], ['Deal Type'],  ['ContractType', 'AssetClass' e 'label']</t>
  </si>
  <si>
    <t>LT002_INSTRUMENT.PRDCT
Nota: Não tem Descrição nas Instruções do SRB.</t>
  </si>
  <si>
    <t xml:space="preserve">Novo Campo
Agendar reunião com Luís Capitão-Mor (após análise)
Segundo Luís Capitão-Mor, terá de se criar uma Tabela de parametrização (definir se é uma tabela nova ou se encaixa em alguma tabela de parametrização já existente) com os seguintes campos:
Derivados:
- campo "cod_tip_contrato" da al012_cq_alm 
tem como valores "Contrato Quadro"  e "ISDA", sendo que os registos com "Contrato Quadro" são Lei Portuguesa e portanto serão 'PT'  e os  "ISDA" são tipicamente Lei Inglesa e portanto serão 'GB', mas tem de se confirmar estes "ISDA")
Títulos:
- campo "lei_aplicavel" (vem da cd_captools.ct610_titulos -&gt; dicionário de Títulos)
Restantes Produtos (que não Derivados e Títulos):
- campo "cempresa" (se "cempresa"=31 então são Lei Portuguesa e portanto serão 'PT' ) 
- campo cproduto concatenado com o csubproduto
Nota: Tem de se aplicar a regra acima pela sequência 1) Derivados 2) Títulos e 3) Restantes Produtos. Se se aplicasse a regra 3 em primeiro lugar haveriam registos de Derivados com campo cempresa=31 e que portanto seriam classificados com Lei Portuguesa, contudo, como é referido acima os Derivados "ISDA" são tipicamente Lei Inglesa.
Nota 2: A regra pensada acima não permite que este campo fique definido para 100% dos universos contratos mas irá cobrir a nocessidade do report Valuation e mais alguns universos de contratos, mas não todos.
Soluções pensadas:
1)  Aplicar a lógica de seleção de campos antes da parametrização, criando um campo unico que passará pela LT803:
2) Criar uma parametrização combinada com todos os campos que entram nesta lógica assim como um campo de prioridade de aplicação de regras, ficando a lógica toda consentrada numa nova tabela de parametrização LT8__ 
</t>
  </si>
  <si>
    <t>Novo campo
Segundo Luís Capitão-Mor, se não constar e não for possível alterar a minuta para adicionar esta informação então a única alternativa é se o Pedro Henriques garante que a partir de uma determinada data todos passaram a ter estas cláusulas, sem excepção.
Email Luis Miguel Moniz Carreira 14/05/2024 12:38:
"Confirmo que os derivados suportados por Contrato Quadro se regem pela Lei Portuguesa, pelo que será 'N/A' (Not Applicable) 
Quanto aos derivados ao abrigo de ISDA, confirmo a aplicabilidade destes 3 campos, que têm sido introduzidos nas negociações mais recentes (últimos 2 anos). 
Penso que o Schedule standard do BST não contemple a redação desses 3 campos mas facilmente podemos atualizar a mesma."
Email Pedro Henriques 18/09/2024 19:25:
"Relativamente aos campos em questão, os mesmos não existem e não é possível adicioná-los.
De acordo com o e-mail do Luís Carreira, nos últimos dois anos os ISDA’s negociados já contêm essas cláusulas. Estamos a verificar.
A futuro é necessário que a AAJJ inclua essas cláusulas no modelo standard do ISDA utilizado para garantir que as mesmas serão sempre asseguradas.
Quando tivermos a validação dos últimos dois anos, partilho a data a partir da qual passámos a garantir a inclusão das cláusulas."
Reforço do email acima por Luís Pragosa (22/10/2024 12:34)
Pedro Mendes comentou via Teams (05/11/2024) que reforçou o email acima</t>
  </si>
  <si>
    <t>Novo campo
‣ Ver comentário do campo acima dado que estes 3 campos terão de ser analisados em conjunto (V_29, V_30 e V_31).</t>
  </si>
  <si>
    <t>Novo campo
Comentário Luís Capitão-Mor:
IM (Initial Margin) e VM (Variation Margin) são os 2 tipos de Colateral de Derivados. A colaterização pode ser feito por Cash e por Títulos (terá de se apanhar as duas)
Ações solicitadas por Luís Capitão-Mor:
- Pedro Mendes deverá questionar a Corporação: Os que não estão sujeitos a IM (Initial Margin) e VM (Variation Margin) reporta-se 'N/A' ou 'NO'? 
- Analisar documento 08. MODELO E WORKFLOW DL - ALM v3 em conjunto com Luís Barata</t>
  </si>
  <si>
    <t>Novo campo
Ações solicitadas por Luís Capitão-Mor:
- Analisar documento 08. MODELO E WORKFLOW DL - ALM v3 em conjunto com Luís Barata
Reunião 27/09/2024: 
-------------Derivados colaterizados por cash para initial ou variation margin –&gt; cd_alm.al614_colt_totta
select * from cd_alm.al614_colt_totta where ref_date='2024-08-31'; 
--front_id (liga com o cod_ref_int da al011_derivados)
--collateral_agree (liga com o cod_cbrt da al810_clt_cbrt)
-------------Elementos colaterizados por títulos constituídos para initial margin
select * from  cd_alm.al609_init_marg 
-------------A relação entre o colateral em cash e os derivados colaterizados -&gt; cd_alm.al810_clt_cbrt
--O propósito da tabela cd_alm.al810_clt_cbrt é, (i) para cada propósito de initial margin ou variation margin, por um lado, (ii) identificar o colateral prestado e/ou recebido da contraparte e, por outro lado, (iii) relacionar cada um desses colaterais com os respetivos elementos que são colaterizados.
--Note-se que esta tabela de parametrização serve tanto para colaterais em cash como para colaterais em títulos – mas sempre para initial margin ou variation margin, seja de derivados ou repos.
select distinct cod_cbrt from cd_alm.al810_clt_cbrt --where ref_date='2024-08-31' and cod_cbrt='CSA-BSTV-BSTE (VM)'; 
;</t>
  </si>
  <si>
    <t>Novo campo
Ações solicitadas por Luís Capitão-Mor:
- Analisar documento 08. MODELO E WORKFLOW DL - ALM v3 em conjunto com Luís Barata</t>
  </si>
  <si>
    <t>Mapeamento LT: 
Novo campo,  reportar  'MISS'
Comentários IT:
Reunião 27/05/2024 com Sandra Santos, Luís Capitão-Mor, António Santos: 
- No SIGOM, António Santos apresentou um campo de cash flow em 2 separadores (Liability e Asset), contudo, verificou-se que este campo apenas está preenchido para taxas fixas ou taxas variáveis que já foram fixadas (passado), para os restantes casos está preenchido com 0. 
Ações solicitadas por Luís Capitão-Mor:
- Confirmar com Rogério Sacadura: 
    1) De facto esta informação não existe no SIGOM (por ex: noutros separadores que não os vistos com António Santos) 
    2) No caso do deal 43845805 que tem o cash flow a 0, confirmar que recebe efetivamente 0 do MUREX, ou seja, confirmar que o que vem do MUREX é efetivamente o que está no SIGOM.
- Sandra Santos confirmar com SUPRA se esta informação existe.
- Questionar Nuno Almeida 
Email Nuno Almeida 28/05/2024 14:36: 
 "Sobre este tema, o CREAM não contém a informação que necessitam ao nível da pata 2. Os únicos sistemas que poderiam ajudar no desenvolvimento do referido reporte são o MUREX e MARINER, pois há deals que valorizam no Murex e outros no Mariner
No caso:
•	MUREX, pode-se consultar a projeção dos cash flows entrando em cada deal, fazendo um pricing e exportando a informação para excel.
•	MARINER é necessário descarregar a informação para um excel já preparado para os deals em causa, através de um add in…
Em ambos os casos são processo muito manuais, não havendo nenhum relatório que dê esta informação de forma automática. Penso que o que pedem teria que ser desenvolvido por alguma equipa de IT da Corporativa.Sugiro que vejam com alguém de Coorporação como estão a pensar fazer do lado deles…"
Alternativas sugeridas por Luís Capitão-Mor (caso falhem as Ações acima):
- Hipótese 1: Carregar manualmente no Front-end a informação de cash flows existente no MUREX. Este ficheiro teria todas as settlement date e os respetivos valores para cada leg/pata e seria no data lake que se fariam os calculos de somar o que entra em cada bucket.  Ou seja, não se pretende que a informação venha já arrumada nestes buckets, dado que se no futuro criassem outro bucket a alteração seria apenas no data lake.
- Hipótese 2: Reportar campo como não existente (reportar 'MISS') 
Reunião 31/10/2024 com Luís Capitão-Mor, António Santos, Rogério Sacadura, Pedro Mendes:
 - Segundo Luís Capitão-Mor, para produzir este campo de forma correta, teria de existir um projeto extenso para fazer estas estimativas de cash flow. Não se justifica trazer do SIGOM o cash flow já conhecido (fixado) dado que desta forma apenas reportaríamos  o cash flow já conhecido (fixado), ficando a faltar o cash flow estimado. Ou seja, exisitiria um custo de desenvolvimento para produzir o campo de forma incompleta. Como tal, reportar este campo como 'MISS'; 
-  Luís Capitão-Mor solicitou a Pedro Mendes para perceber com Sandra Santos se será possível efetuar uma extração de todos os deals ou se terá que ser deal a deal. (Caso a Corporação/SRB exigirem esta informação)</t>
  </si>
  <si>
    <t>Mapeamento LT: 
Novo campo,  reportar  'MISS'
Comentários IT:
Aplica-se o mesmo comentário do campo acima</t>
  </si>
  <si>
    <t xml:space="preserve">Mapeamento LT:
al011_derivados.taxa_var_1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</si>
  <si>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 xml:space="preserve">Mapeamento LT:
al011_derivados.taxa_var_2
Comentários IT:
Atenção que este campo não vem de acordo com as opções do SRB (EUR, LIBOR UK, LIBOR USD, etc.), vem no seguinte formato:
B.BANKERS ASSOC-EUR-5IBOR-3M
B.BANKERS ASSOC-LIBOR-GBP-3M
B.BANKERS ASSOC-LIBOR-GBP-6M
B.BANKERS ASSOC-LIBOR-USD-3M
B.BANKERS ASSOC-LIBOR-USD-6M
ECB FIXING-CMS_EONIA-10Y
ECB FIXING-CMS_EONIA-2Y
ECB FIXING-EURIBORCOL-12M
ECB FIXING-EURIBORCOL-3M
ECB FIXING-EURIBORCOL-6M
EURIBOR-EURIBOR-1M
EURIBOR-EURIBOR-1Y
EURIBOR-EURIBOR-3M
EURIBOR-EURIBOR-6M
FEDN-SOFR FB3M-SPT
LONDON CLOSING-SONIA FB3M-SPT
LONDON CLOSING-SONIA FB6M-SPT
 </t>
  </si>
  <si>
    <t xml:space="preserve">Ações solicitadas por Luís Capitão-Mor:
- Pedro Mendes deverá questionar a Corporação sobre este campo (email enviado por Luís Pragosa 15/05/2024).
Email Pedro Mendes (01/10/2024 12:21) com resposta da Corporação:
"4.	¿En los derivados, los data-points “Leg 1 reference period” e ”Leg 2 reference period” son referentes a lo período de refijación de intereses o período de cálculo de intereses (u otro)? 
No sé si entiendo bien la duda. Nosotros, si por ejemplo es EURIBOR a 3 meses pues en ese campo pondríamos 3M"
- Após essa clarificação, deverá confirmar-se se o campo já existe no Loan Tape.
Caso não exista no Loan Tape, ver com Luís Barata como é que os campos de taxa presentes na al011_derivados são alimentados a partir da ingesta/tabela SIGOM_CIB. Em seguida, questionar Rogério Sacadura sobre o conceito inerente a cada campo de taxa da ingesta/tabela SIGOM_CIB para se perceber exatamente qual o campo a consumir. </t>
  </si>
  <si>
    <t>Aplica-se  o mesmo comentário do campo acima</t>
  </si>
  <si>
    <t>Mapeamento LT: 
Este campo é Not Applicable, reportar: 11111111111</t>
  </si>
  <si>
    <t>Mapeamento LT:
al012_cq_alm.cod_ref_cq
Lógica definida por Luís Capitão-Mor:
- Se houver duplicados, utilizar  o cod_ref_cq com a data fim mais recente (campo dt_fim).
- A tabela al012_cq_alm é atacada por zcliente e não por contrato.
- A lógica será:
1º passo: Obter todos os zclientes dos contratos de derivados 
2º passo: Verificar se esses zclientes constam na al012, se estiverem, trazer o cod_ref_cq  respetivo.
3º passo: Caso esses zclientes não estejam na al012, ligar cada zcliente com a tabela ct003 para obter todos os zclientes associados ao seu ccli_grupo
4ª passo: Ligar esses zclientes à al012, trazendo o primeiro zcliente que tiver  cod_ref_cq preenchido.
5º passo: Caso não se encontre nenhum zlciente com cod_ref_cq preenchido, preencher 'N/A'
Comentários IT:
Análise (foi feita para o âmbito de ALM mas a unica coisa que se altera é o universo base fr004 em vez de al029):
SELECT 
    cempresa,
    cbalcao,
    cnumecta,
    zdeposit,
    zcliente,
    list,
    IF(list like CONCAT('%',zcliente,'%'), 1, 0) as flag,
    IF(list like CONCAT('%',zcliente,'%'), SPLIT_PART(SPLIT_PART(list, CONCAT(zcliente,'|'), 2), '|', 1), SPLIT_PART(list, '|', 2) ) as cod_tip_contrato,
    IF(list like CONCAT('%',zcliente,'%'), SPLIT_PART(SPLIT_PART(list, CONCAT(zcliente,'|'), 2), '|', 2), SPLIT_PART(list, '|', 3) ) as cod_ref_cq
FROM
(
    SELECT 
        core.cempresa, core.cbalcao, core.cnumecta, core.zdeposit, core.zcliente, 
        GROUP_CONCAT(CONCAT(ct003_zclientes.zcliente,'|',cq_alm.cod_tip_contrato,'|',cq_alm.cod_ref_cq), '|') as list
    FROM
    (
        SELECT cempresa, cbalcao, cnumecta, zdeposit, zcliente, tipo_balanco 
        FROM cd_alm.al029_cnt_core_m
        WHERE  ref_date = '2024-03-31'
        AND tipo_balanco = 'D' -- 1002
    ) as core
    INNER JOIN
    (
        SELECT zcliente, ccli_grupo
        FROM cd_captools.ct003_univ_cli
        WHERE  ref_date = '2024-03-31'
    ) as ct003_ccligrupo -- 1002
    ON  ct003_ccligrupo.zcliente = core.zcliente
    LEFT JOIN
    (
        SELECT zcliente, ccli_grupo
        FROM cd_captools.ct003_univ_cli
        WHERE  ref_date = '2024-03-31'
    ) as ct003_zclientes -- 6641
    ON  ct003_ccligrupo.ccli_grupo = ct003_zclientes.ccli_grupo
    INNER JOIN
    (
        SELECT cq_values.zcliente, cq_values.cod_tip_contrato, cq_values.cod_ref_cq
        FROM
        (
            SELECT zcliente, cod_tip_contrato, cod_ref_cq, dt_fim
            FROM CD_ALM.AL012_CQ_ALM
            WHERE ref_date = '2024-03-31'
        ) as cq_values
        INNER JOIN
        (
            SELECT zcliente, MAX(dt_fim) as dt_fim
            FROM CD_ALM.AL012_CQ_ALM
            WHERE ref_date = '2024-03-31'
            GROUP BY zcliente
        ) as cq_max_date
        ON  cq_values.zcliente = cq_max_date.zcliente
        AND cq_values.dt_fim = cq_max_date.dt_fim
    ) as cq_alm -- 1030
    ON ct003_zclientes.zcliente = cq_alm.zcliente
    GROUP BY core.cempresa, core.cbalcao, core.cnumecta, core.zdeposit, core.zcliente
) as a
--WHERE IF(list like CONCAT('%',zcliente,'%'), 1, 0) = 1 -- Mostra os casos em que o 1º titular não é o 1º da lista
--AND list not like CONCAT(zcliente, '%') -- Mostra os casos em que o 1º titular não é o 1º da lista
-- A '2024-03-31' dos contratos derivados da al029 só 559 de 1002 é que têm o 1º titular na cq_alm;
-- Mesmo ligando pelo resto dos titulares presentes na ct003, ficamos apenas com 963 contratos para os 
--quais foi possivel obter um cod_tip_contrato;
-- Após agrupar as várias opções obtidas, devemos ficar com os valores relativos ao 1º titular caso exista, caso contrário trazer a primeira encontrada;
-- Nota que na agrupação o 1º titular pode não ser o primeiro da lista, assim é necessário implementar a lógica dos IF e SPLIT_STRING vista acima.</t>
  </si>
  <si>
    <t>LT002_INSTRUMENT.GRSS_CRRYNG_AMNT_INSTRMNT</t>
  </si>
  <si>
    <t xml:space="preserve">Reunião com Cláudia Correia, Luís Capitão-Mor, Pedro Mendes (22/05/2024):
- Terá de ser adicionada uma coluna nova à tabela do dicionário de títulos (isto para Títulos);
- Para os restantes (que não Títulos), terá de ser criada uma tabela de parametrização com os seguintes campos: carteira_contabilistica, cempresa, cbalcao, cnumecta, zdeposit, folder murex (que existe na al011_derivados e al005_det_swapc) e hierarquia. Neste ponto, Luís Capitão-Mor sugeriu que se pense numa sugestão de preenchimento da tabela e que se verifique a mesma com Cláudia Correia;
- Luís Capitão-Mor irá reunir com Henrique Vaz e Pedro Mendes para se perceber quem será o Owner da informação. </t>
  </si>
  <si>
    <t>LT002_INSTRUMENT.HEDGE_ID
Luís Capitão-Mor sugeriu realizar uma reunião com Carlos Fernandes e Rafael Pessoa, para recordar a lógica que foi implementada para este campo, e alinhar a lógica a aplicar a derivados (a lógica atual apenas foi pensada para o universo de títulos).
Luís Capitão-Mor comentou que os resultados do Hedge_id que se encontravam na tabela LT002_INSTRMNT não lhe pareciam corretos ('19971,15836,15824,15840'; 'P14241'; 'P14242'), estaria à espera de encontrar sempre o mesmo output ('19971,15836,15824,15840'). 
Luís Capitão-Mor pediu que antes da reunião acima se tentasse perceber como estava a ser feita a ligação entre o universo de títulos (tabela CT610_TITULOS) e o de derivados (AL011_DERIVADOS).
Segue-se a análise efetuada:
    - A query seguinte replica a lógica definida para este campo no documento de especificação do Loan Tape:
 SELECT CONCAT(univ.CEMPRESA_FR, univ.CBALCAO_FR, univ.CNUMECTA_FR, univ.ZDEPOSIT_FR) as instrmnt_id, group_concat(DISTINCT code_pcd, ',') as hedge_id FROM
(
    SELECT chave_alm.CEMPRESA, chave_alm.CBALCAO, chave_alm.CNUMECTA, chave_alm.ZDEPOSIT, chave_alm.CEMPRESA_MASTER, chave_alm.CBALCAO_MASTER, chave_alm.CNUMECTA_MASTER, chave_alm.ZDEPOSIT_MASTER, fr004.CEMPRESA as CEMPRESA_FR, fr004.CBALCAO as CBALCAO_FR, fr004.CNUMECTA as CNUMECTA_FR, fr004.ZDEPOSIT as ZDEPOSIT_FR FROM
    (
        SELECT * FROM cd_captools.fr004_cto
        WHERE ref_date = '2023-12-31'
    ) as fr004
    LEFT JOIN
    (
        SELECT * FROM cd_captools.KT_CHAVES_FINREP
        WHERE ref_date = '2023-12-31'
    ) as chave_fr
    ON CONCAT(fr004.CEMPRESA, fr004.CBALCAO, fr004.CNUMECTA, fr004.ZDEPOSIT) = CONCAT(chave_fr.CEMPRESA_FR, chave_fr.CBALCAO_FR, chave_fr.CNUMECTA_FR, chave_fr.ZDEPOSIT_FR)
    INNER JOIN 
    (
        SELECT * FROM cd_alm.KT_CHAVES_ALM_M
        WHERE ref_date = '2023-12-31'
    ) chave_alm
    ON CONCAT(chave_fr.CEMPRESA, chave_fr.CBALCAO, chave_fr.CNUMECTA, chave_fr.ZDEPOSIT) = CONCAT(chave_alm.CEMPRESA_MASTER, chave_alm.CBALCAO_MASTER, chave_alm.CNUMECTA_MASTER, chave_alm.ZDEPOSIT_MASTER)
) as univ
LEFT JOIN 
(
    SELECT CEMPRESA, CBALCAO, CNUMECTA, ZDEPOSIT, TIPO_TITULO, SOBERANO, CONCAT(substr(DT_VENCIM,7,4),'-',substr(DT_VENCIM,4,2),'-',substr(DT_VENCIM,1,2)) as DT_VENCIM FROM cd_captools.CT610_TITULOS
    WHERE ref_date = '2023-12-31'
)as ct610
ON CONCAT(ct610.CEMPRESA, ct610.CBALCAO, ct610.CNUMECTA, ct610.ZDEPOSIT) = CONCAT(univ.CEMPRESA_MASTER, univ.CBALCAO_MASTER, univ.CNUMECTA_MASTER, univ.ZDEPOSIT_MASTER)
LEFT JOIN 
(
    SELECT CEMPRESA, CBALCAO, CNUMECTA, ZDEPOSIT, GPORTFOLIO, CODE_PCD, DT_MATURITY FROM cd_alm.AL011_DERIVADOS
    WHERE ref_date = '2023-12-31'
)as al011
ON al011.DT_MATURITY = ct610.DT_VENCIM --Esta ligação parece estranha, uma vez que não é utilizada a chave do contrato (cempresa, cbalcao, cnumecta, zdeposit)
LEFT JOIN
(
    SELECT * FROM cd_loan_tapes_bce.lt818_hedge_id
    WHERE ref_date = '2023-12-31'
) as lt818
ON lt818.TIPO_TITULO = ct610.TIPO_TITULO 
AND lt818.SOBERANO = ct610.SOBERANO 
AND lt818.GPORTFOLIO = al011.GPORTFOLIO
WHERE lt818.TIPO_TITULO IS NOT NULL -- Remover os casos em que não é feita a ligação com a tabela de parametrização lt818_hedge_id
GROUP BY instrmnt_id
    - A query acima replica exatamente o que está no campo HEDGE_ID da tabela lt002_instrmnt:
SELECT instrmnt_id, HEDGE_ID, ambito, nome_perimetro, segmento, entidade FROM cd_loan_tapes_bce.lt002_instrument
WHERE ref_date = '2023-12-31' 
AND HEDGE_ID &lt;&gt; 'N/A'
    - A ligação das tabelas ct610 e al011 é feita ligando as datas (al011.DT_MATURITY = ct610.DT_VENCIM) sem utilizar a chave do contrato. Esta ligação não parece estar correta e pode ser daqui que vêm as incoêrencias registadas.
    - Tema identificado: Os universos de contratos das tabelas ct610 e al011 são mutuamente exclusivos:
SELECT * FROM
(
    SELECT CEMPRESA, CBALCAO, CNUMECTA, ZDEPOSIT, TIPO_TITULO, SOBERANO, CONCAT(substr(DT_VENCIM,7,4),'-',substr(DT_VENCIM,4,2),'-',substr(DT_VENCIM,1,2)) as DT_VENCIM, ref_date FROM cd_captools.CT610_TITULOS
)as ct610
INNER JOIN 
(
    SELECT * FROM cd_alm.KT_CHAVES_ALM_M
) chave_alm
ON CONCAT(ct610.CEMPRESA, ct610.CBALCAO, ct610.CNUMECTA, ct610.ZDEPOSIT) = CONCAT(chave_alm.CEMPRESA_MASTER, chave_alm.CBALCAO_MASTER, chave_alm.CNUMECTA_MASTER, chave_alm.ZDEPOSIT_MASTER)
AND ct610.ref_date = chave_alm.ref_date
LEFT JOIN 
(
    SELECT CEMPRESA, CBALCAO, CNUMECTA, ZDEPOSIT, GPORTFOLIO, CODE_PCD, DT_MATURITY, ref_date FROM cd_alm.AL011_DERIVADOS
)as al011
ON  CONCAT(al011.CEMPRESA, al011.CBALCAO, al011.CNUMECTA, al011.ZDEPOSIT) = CONCAT(chave_alm.CEMPRESA, chave_alm.CBALCAO, chave_alm.CNUMECTA, chave_alm.ZDEPOSIT)
AND al011.ref_date = chave_alm.ref_date
WHERE al011.cempresa IS NOT NULL
    - Será necessário rever a ligação das tabelas ct610 e al011.</t>
  </si>
  <si>
    <t>LT002_INSTRUMENT.ISIN</t>
  </si>
  <si>
    <t>LT002_INSTRUMENT.ISSR_ID</t>
  </si>
  <si>
    <t>LT002_INSTRUMENT.ISSR_CNTRY
‣ Ver sheet 'LT803'</t>
  </si>
  <si>
    <t>LT002_INSTRUMENT.ISSR_ESA_2010
‣ Ver sheet 'LT803'</t>
  </si>
  <si>
    <t>LT002_INSTRUMENT.ISSR_NACE_SCTR
‣ Ver sheet 'LT803'</t>
  </si>
  <si>
    <t>LT002_INSTRUMENT.ISSR_RTNG</t>
  </si>
  <si>
    <t>LT002_INSTRUMENT.ISSR_RTNG_SRC
Nota: Atualmente este campo do Loan Tape apenas apresenta os valores: 'MISS' ou 'N/A'. Está a ser alimentado pela ct619_ratings, contudo,  esta tabela não está a ser aprovisionada. Portanto, no futuro terá de se identificar a fonte da verdade desta informação para se aprovisionar a tabela ct619_ratings.</t>
  </si>
  <si>
    <t>LT002_INSTRUMENT.ISSR_TYP
‣ Ver sheet 'LT803'</t>
  </si>
  <si>
    <t>LT002_INSTRUMENT.VLTN_CRRNCY
Este campo do Loan Tape é forçado a 'EUR', ou seja, já se encontra na formatação solicitada pelo SRB, não será necessário criar nenhuma parametrização para este campo.</t>
  </si>
  <si>
    <t xml:space="preserve">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
</t>
  </si>
  <si>
    <t>LT002_INSTRUMENT.VLTN_TYP
Este campo é obtido a partir do campo TIPO_AVAL da tabela CT610_TITULOS, os valores_origem possiveis podem ser consultados através da query:
SELECT DISTINCT TIPO_AVAL FROM cd_captools.CT610_TITULOS
Esta query retorna sempre: NULL
Os valores origem são posteriormente traduzidos pela tabela de parametrização LT803_CODIGOS_LT igualando o campo TIPO_AVAL ao  seu valor_origem, pode-se consultar a parametrização aplicada usando a query:
SELECT *  FROM cd_loan_tapes_bce.lt803_codigos_lt 
WHERE ref_date = (SELECT MAX(ref_date) FROM cd_loan_tapes_bce.lt803_codigos_lt ) 
AND campo_lt = 'VLTN_TYP'
Este acesso à tabela de parametrização retorna 0 resultados.
Segundo a análise feita acima, este campo não está corretamente implementado, será sempre Missing ou Not Applicable o que pode ser confirmado pela query:
SELECT DISTINCT VLTN_TYP FROM cd_loan_tapes_bce.lt002_instrument
É necessário perceber se este é o funcionamento esperado.</t>
  </si>
  <si>
    <t>LT002_INSTRUMENT.INSTRMNT_CLSS
‣ Ver sheet 'LT803'</t>
  </si>
  <si>
    <t>LT002_INSTRUMENT.PRMRY_ASST_CLSSF
‣ Ver sheet 'LT803'</t>
  </si>
  <si>
    <t>LT002_INSTRUMENT.ASST_SCRT_CLSS
‣ Ver sheet 'LT803'</t>
  </si>
  <si>
    <t>LT002_INSTRUMENT.TYPE_OF_PLCMNT
‣ Ver sheet 'LT803'</t>
  </si>
  <si>
    <t>LT002_INSTRUMENT.GRNTR_ID
Nota: O input do campo do LT vai alterar no futuro</t>
  </si>
  <si>
    <t>LT002_INSTRUMENT.GRNTR_ID_TYP
Este campo é obtido a partir do campo ENTIDADE_GARANTE da tabela CT610_TITULOS e dos campos CNUM_DOC_IDENTIF2 e CTIPO_DOC_IDENTIF2 da tabela CT003_UNIV_CLI. O campo CTIPO_DOC_IDENTIF2 é traduzido pela tabela TAT91_TABELAS com acesso (tayd91c0_ctabela = '151') da qual se irá utilizar o campo TAYD91C0_CELEMTAB.
Numa primeira fase é calculada um campo intermédio TAX_ID através da regra:
CASE WHEN LENGTH(CAST(CAST(CNUM_DOC_IDENTIF2 AS INT) AS STRING)) = 9 AND TAYD91C0_CELEMTAB IS NOT NULL THEN CAST (CAST(CNUM_DOC_IDENTIF2 AS INT) AS STRING) ELSE 'MISS' END
Posteriormente serão utilizados os campos TAX_ID e ENTIDADE_GARANTE para calcular o campo GRNTR_ID_TYP segundo a regra:
CASE WHEN ENTIDADE_GARANTE &lt;&gt; 'N/A' AND TAX_ID &lt;&gt; 'MISS' THEN 'TAX' 
WHEN ENTIDADE_GARANTE &lt;&gt; 'N/A' AND TAX_ID = 'MISS' THEN 'OTHER'
Conclusão:
As unicas opcões que este campo pode tomar são "TAX" e "OTHER" (para além de ser Not Applicable ou Missing) que correspondem a duas das opções fornecidas pelo SRB, desta forma este campo deve ser dado como concluido, sem necessidade de parametrização.</t>
  </si>
  <si>
    <t>Campo a revisitar no futuro</t>
  </si>
  <si>
    <t>LT002_INSTRUMENT.INSTR_SNRTY_CLSS
Este campo não utiliza a tabela de parametrização LT803_CODIGOS_LT, e já é produzido com o detalhe que é pedido no mapeamento fornecido pelo SRB. A sua regra de preenchimento poderá ser consultada no documento de especificação do Loan Tape. 
Query para consultar os valores atribuidos a este campo ao dia de hoje:
SELECT DISTINCT INSTR_SNRTY_CLSS FROM cd_loan_tapes_bce.lt002_instrument
Conclusão: Este campo deve ser dado como concluido.</t>
  </si>
  <si>
    <t>LT002_INSTRUMENT.TYP_INTRST_RT
‣ Ver sheet 'LT803'</t>
  </si>
  <si>
    <t>LT002_INSTRUMENT.CPN_CRRNCY
Este campo lt é calculado a partir do campo CMOEDA_ACT da tabela AL029_CNT_CORE_M traduzido pelo campo tayd91c0_CELEMTAB da tabela tat91_tabelas filtrada para tayd91c0_ctabela = '206' ficando com o campo tayd91c0_nelemc01:
SELECT DISTINCT CMOEDA_ACT, TAYD91C0_NELEMC01
FROM
(
    SELECT DISTINCT TRIM(CMOEDA_ACT) as CMOEDA_ACT FROM cd_alm.AL029_CNT_CORE_M
) as a
LEFT JOIN 
(
    SELECT TAYD91C0_CELEMTAB, TAYD91C0_NELEMC01
    FROM cd_estruturais.tat91_tabelas
    WHERE data_date_part = (SELECT MAX(data_date_part) FROM cd_estruturais.tat91_tabelas)
    AND TAYD91C0_CTABELA = '206'
) as b
ON TRIM(TAYD91C0_CELEMTAB) = CMOEDA_ACT
Mas esta querie apenas apresenta os valores que já existiram em alguma altura no datalake e podem haver mais opções. A listagem total de valores possiveis de traduzir estão na tat91:
SELECT TAYD91C0_CELEMTAB, TAYD91C0_NELEMC01
FROM cd_estruturais.tat91_tabelas
WHERE data_date_part = (SELECT MAX(data_date_part) FROM cd_estruturais.tat91_tabelas)
AND TAYD91C0_CTABELA = '206'
Este acesso à tat91 dá-nos efetivamente o code list requisitado pelo SRB "ISO 4217 standard" ou seja a forma de ataque deste campo não tem de ser alterada nem se deverá inserir nada na tabela lt803 no que toca a este campo. 
Ou seja, este campo deve ser dado como concluído.</t>
  </si>
  <si>
    <t>LT002_INSTRUMENT.CPN_RT</t>
  </si>
  <si>
    <t>LT002_INSTRUMENT.RFRNC_RT</t>
  </si>
  <si>
    <t>LT002_INSTRUMENT.SPRD
Nota: Este campo está mapeado com o mesmo que mapeamos para o V_149 da sheet Natural Person Instruments.(ou seja na realidade deveriam ter o mesmo id)</t>
  </si>
  <si>
    <t>LT002_INSTRUMENT.PRCH_UNDR_RSL_AGR
Este campo não passa pela tabela de parametrização LT803_CODIGOS_LT.
É calculado a partir dos campos "PRODUTO", "FLAG_ATIVO", "DT_INICIO", "DT_FIM" e "REF_DATE" da tabela cd_alm.AL602_REPOS_ALM através da regra:
CASE WHEN PRODUTO = 'Reverse REPO' AND FLAG_ATIVO = 1 AND DT_INICIO &lt; REF_DATE AND DT_FIM &gt; REF_DATE THEN 'Y' ELSE 'N'
Na regra acima fica aparente que o campo toma sempre o valor de output 'Y' ou 'N', mas o SRB pede este campo como 'Yes' ou 'No'. 
Será necessário definir uma forma de converter este output para o formato pedido pelo SRB</t>
  </si>
  <si>
    <t>LT002_INSTRUMENT.ELGBLTY_ECB
Este campo não passa pela tabela de parametrização LT803_CODIGOS_LT.
A sua regra de preenchimento pode ser consultada no documento de especificação do LT, sendo que resulta nas opções de output 'Y' ou 'N'.
O SRB pede este campo como 'Yes' ou 'No'. 
Será necessário definir uma forma de converter o output do campo 'ELGBLTY_ECB' para o formato pedido pelo SRB.</t>
  </si>
  <si>
    <t>LT002_INSTRUMENT.PRT_LCR_BFFR
Este campo não passa pela tabela de parametrização LT803_CODIGOS_LT.
É calculado a partir do campo "FLAG_BUFFER_LIQ" da tabela cd_captools.CT610_TITULOS através da regra:
CASE WHEN FLAG_BUFFER_LIQ = '1' THEN 'Y'
           WHEN FLAG_BUFFER_LIQ = '0' THEN 'N'
Na regra acima fica aparente que o campo toma sempre o valor de output 'Y' ou 'N', mas o SRB pede este campo como 'Yes' ou 'No'. 
Será necessário definir uma forma de converter este output para o formato pedido pelo SRB</t>
  </si>
  <si>
    <t>LT002_INSTRUMENT.LCR_BFFR_CTGRY
‣ Ver sheet 'LT803'</t>
  </si>
  <si>
    <t>LT002_INSTRUMENT.DT_VLTN
Nas tabelas do Loan Tape e no próprio ficheiro que é enviado para o BCE, as datas constam no fomato YYYY-MM-DD.
Terá de se questionar a Corporação se se pode enviar no formato  YYYY-MM-DD (tal como hoje se envia no LT) ou se tem mesmo de ser nos formatos solicitados pelo SRB: 
DD/MM/AA, DD/MM/YY
Email Pedro Mendes (01/10/2024 12:21) com resposta da Corporação:
"Nosotros estamos haciendo la transformación para seguir el formato del SRB"</t>
  </si>
  <si>
    <t>Novo campo: valor 'MISS' para Equity e 'N/A' os restantes. Ou seja, a regra a aplicar estará dependente da definição do Universo de Equity Instruments.
Único campo que não existe no ficheiro Debt Securities (todos os outros existem)</t>
  </si>
  <si>
    <t>Observações</t>
  </si>
  <si>
    <t>Campos Valuation Data Set</t>
  </si>
  <si>
    <t>Módulo</t>
  </si>
  <si>
    <t>Submódulo</t>
  </si>
  <si>
    <t>Ficheiro / Report VDS</t>
  </si>
  <si>
    <t>#ID Campo</t>
  </si>
  <si>
    <t>Count Campo VDS</t>
  </si>
  <si>
    <t>Coluna SRB</t>
  </si>
  <si>
    <t>Valuation Data Set</t>
  </si>
  <si>
    <t>SRB</t>
  </si>
  <si>
    <t>Long Tape</t>
  </si>
  <si>
    <t>land_area_m2</t>
  </si>
  <si>
    <t>reporting_data_id</t>
  </si>
  <si>
    <t>observed_agent_id</t>
  </si>
  <si>
    <t>contract_id</t>
  </si>
  <si>
    <t>type_instrument</t>
  </si>
  <si>
    <t>amortization_type</t>
  </si>
  <si>
    <t>currency</t>
  </si>
  <si>
    <t>inception_date</t>
  </si>
  <si>
    <t>end_date_interest_only_period</t>
  </si>
  <si>
    <t>interest_rate_cap</t>
  </si>
  <si>
    <t>interest_rate_floor</t>
  </si>
  <si>
    <t>interest_rate_reset_freq</t>
  </si>
  <si>
    <t>interest_rate_spread_margin</t>
  </si>
  <si>
    <t>interest_rate_type</t>
  </si>
  <si>
    <t>maturity_date</t>
  </si>
  <si>
    <t>commitment_amount_inception</t>
  </si>
  <si>
    <t>payment_freq</t>
  </si>
  <si>
    <t>reference_rate</t>
  </si>
  <si>
    <t>settlement_date</t>
  </si>
  <si>
    <t>interest_rate</t>
  </si>
  <si>
    <t>next_interest_rate_reset_date</t>
  </si>
  <si>
    <t>default_status_instrument</t>
  </si>
  <si>
    <t>date_default_status_instrument</t>
  </si>
  <si>
    <t>transferred_amount</t>
  </si>
  <si>
    <t>arrears_instrument</t>
  </si>
  <si>
    <t>date_past_due_instrument</t>
  </si>
  <si>
    <t>type_securitization</t>
  </si>
  <si>
    <t>outstanding_nominal_amount</t>
  </si>
  <si>
    <t>accrued_interest</t>
  </si>
  <si>
    <t>off_balance_sheet_amount</t>
  </si>
  <si>
    <t>joint_liabilities_amount</t>
  </si>
  <si>
    <t>accounting_classification</t>
  </si>
  <si>
    <t>balance_sheet_recogn</t>
  </si>
  <si>
    <t>accum_write_offs</t>
  </si>
  <si>
    <t>accum_impairment_amount</t>
  </si>
  <si>
    <t>type_impairment</t>
  </si>
  <si>
    <t>impairment_assessment_method</t>
  </si>
  <si>
    <t>sources_encumbrance</t>
  </si>
  <si>
    <t>perform_status_instrument</t>
  </si>
  <si>
    <t>date_perform_status_instrument</t>
  </si>
  <si>
    <t>provis_assoc_offbalance</t>
  </si>
  <si>
    <t>status_forbearance_reneg</t>
  </si>
  <si>
    <t>date_status_forbearance_reneg</t>
  </si>
  <si>
    <t>cumulative_recov_since_default</t>
  </si>
  <si>
    <t>carrying_amount</t>
  </si>
  <si>
    <t>prudential_portfolio</t>
  </si>
  <si>
    <t>accum_changes_fv_due_cr</t>
  </si>
  <si>
    <t>probability_default</t>
  </si>
  <si>
    <t>counterparty_role</t>
  </si>
  <si>
    <t>default_status_counterparty</t>
  </si>
  <si>
    <t>date_default_status_counterparty</t>
  </si>
  <si>
    <t>protection_provider_id</t>
  </si>
  <si>
    <t>date_protection_value</t>
  </si>
  <si>
    <t>protection_value</t>
  </si>
  <si>
    <t>maturity_date_protection</t>
  </si>
  <si>
    <t>original_protection_value</t>
  </si>
  <si>
    <t>date_original_protection_value</t>
  </si>
  <si>
    <t>type_protection_value</t>
  </si>
  <si>
    <t>protection_val_approach</t>
  </si>
  <si>
    <t>protection_allocated_value</t>
  </si>
  <si>
    <t>thirdparty_claims_protection</t>
  </si>
  <si>
    <t>type</t>
  </si>
  <si>
    <t>credit_conversion_factor</t>
  </si>
  <si>
    <t>nominal_amount</t>
  </si>
  <si>
    <t>nominal_interest_rate_fee</t>
  </si>
  <si>
    <t>legal_entity_id</t>
  </si>
  <si>
    <t>national_id</t>
  </si>
  <si>
    <t>head_office_undertaking_id</t>
  </si>
  <si>
    <t>immediate_parent_undertaking_id</t>
  </si>
  <si>
    <t>ultimate_parent_undertaking_id</t>
  </si>
  <si>
    <t>name</t>
  </si>
  <si>
    <t>address_street</t>
  </si>
  <si>
    <t>address_city_town_village</t>
  </si>
  <si>
    <t>address_postal_code</t>
  </si>
  <si>
    <t>address_county_adm_div</t>
  </si>
  <si>
    <t>address_country</t>
  </si>
  <si>
    <t>legal_form</t>
  </si>
  <si>
    <t>institutional_sector</t>
  </si>
  <si>
    <t>economic_activity</t>
  </si>
  <si>
    <t>status_legal_proceedings</t>
  </si>
  <si>
    <t>date_init_legal_proceedings</t>
  </si>
  <si>
    <t>enterprise_size</t>
  </si>
  <si>
    <t>date_enterprise_size</t>
  </si>
  <si>
    <t>number_employees</t>
  </si>
  <si>
    <t>balance_sheet_total</t>
  </si>
  <si>
    <t>annual_turnover</t>
  </si>
  <si>
    <t>accounting_standard</t>
  </si>
  <si>
    <t>unique_trade_id</t>
  </si>
  <si>
    <t>counterparty_type_id</t>
  </si>
  <si>
    <t>counterparty_country</t>
  </si>
  <si>
    <t>base_product</t>
  </si>
  <si>
    <t>product_id</t>
  </si>
  <si>
    <t>governing_law</t>
  </si>
  <si>
    <t>contract_recogn_write_down</t>
  </si>
  <si>
    <t>contract_recogn_suspension</t>
  </si>
  <si>
    <t>contract_recogn_resolution</t>
  </si>
  <si>
    <t>collateral_portfolio</t>
  </si>
  <si>
    <t>collateral_posted</t>
  </si>
  <si>
    <t>collateral_posted_currency</t>
  </si>
  <si>
    <t>collateral_received</t>
  </si>
  <si>
    <t>collateral_received_currency</t>
  </si>
  <si>
    <t>leg_1_cash_flow</t>
  </si>
  <si>
    <t>leg_2_cash_flow</t>
  </si>
  <si>
    <t>leg_1_reference_rate</t>
  </si>
  <si>
    <t>leg_2_reference_rate</t>
  </si>
  <si>
    <t>leg_1_reference_period</t>
  </si>
  <si>
    <t>leg_2_reference_period</t>
  </si>
  <si>
    <t>premium</t>
  </si>
  <si>
    <t>netting_agreement</t>
  </si>
  <si>
    <t>hierarchy</t>
  </si>
  <si>
    <t>hedge_id</t>
  </si>
  <si>
    <t>financial_contract_id</t>
  </si>
  <si>
    <t>isin</t>
  </si>
  <si>
    <t>issuer_id</t>
  </si>
  <si>
    <t>issuer_id_type</t>
  </si>
  <si>
    <t>issuer_country</t>
  </si>
  <si>
    <t>issuer_esa_2010</t>
  </si>
  <si>
    <t>issuer_nace_sector</t>
  </si>
  <si>
    <t>issuer_ratings</t>
  </si>
  <si>
    <t>issuer_ratings_sources</t>
  </si>
  <si>
    <t>issuer_type</t>
  </si>
  <si>
    <t>currency_value</t>
  </si>
  <si>
    <t>val_timestamp</t>
  </si>
  <si>
    <t>val_type</t>
  </si>
  <si>
    <t>instrument_class</t>
  </si>
  <si>
    <t>primary_asset_classification</t>
  </si>
  <si>
    <t>asset_scrty_class</t>
  </si>
  <si>
    <t>placement_type</t>
  </si>
  <si>
    <t>issuance_date</t>
  </si>
  <si>
    <t>guarantor_id</t>
  </si>
  <si>
    <t>guarantor_id_type</t>
  </si>
  <si>
    <t>security_rating</t>
  </si>
  <si>
    <t>instrument_seniority_type</t>
  </si>
  <si>
    <t>coupon_type</t>
  </si>
  <si>
    <t>coupon_frequency</t>
  </si>
  <si>
    <t>coupon_currency</t>
  </si>
  <si>
    <t>coupon_rate</t>
  </si>
  <si>
    <t>spread</t>
  </si>
  <si>
    <t>nominal_amount_currency</t>
  </si>
  <si>
    <t>purchased_resale_agr</t>
  </si>
  <si>
    <t>eligibility_ecb</t>
  </si>
  <si>
    <t>part_lcr_buffer</t>
  </si>
  <si>
    <t>lcr_buffer_category</t>
  </si>
  <si>
    <t>perform_status</t>
  </si>
  <si>
    <t>type_issuer_id</t>
  </si>
  <si>
    <t>country_issuer</t>
  </si>
  <si>
    <t>type_issuer</t>
  </si>
  <si>
    <t>dividend_yield</t>
  </si>
  <si>
    <t>Porque é preenchido com N/A, mas constará noutro ficheiro?</t>
  </si>
  <si>
    <t>N/A, mas preenchido com 11111111111</t>
  </si>
  <si>
    <t>Preenchido com 1</t>
  </si>
  <si>
    <t>O mesmo contrato pode ter vários códigos, há um processo a seguir para resolver.</t>
  </si>
  <si>
    <t>Preenchido com valor único</t>
  </si>
  <si>
    <t>Preenchido conforme o stage</t>
  </si>
  <si>
    <t>Proveniente da tabela cd_garantias.gt009_bens_imov</t>
  </si>
  <si>
    <t>Preenchido com 0</t>
  </si>
  <si>
    <t>Novo campo.</t>
  </si>
  <si>
    <t>Novo campo. Ver comentário do campo "contract_recogn_write_down"</t>
  </si>
  <si>
    <t>Preenchido com MISS</t>
  </si>
  <si>
    <t>Mapeamento de datalake pendente</t>
  </si>
  <si>
    <t>Com mapeamento LT</t>
  </si>
  <si>
    <t>Com mapeamento LT. Sem descrição nas Instruções do SRB.</t>
  </si>
  <si>
    <t>Com mapeamento LT. Não alinhado com as opções do SRB</t>
  </si>
  <si>
    <t>Com mapeamento LT (com nuances)</t>
  </si>
  <si>
    <t>Campo não está corretamente implementado.</t>
  </si>
  <si>
    <t>A aguardar resposta da corporação.</t>
  </si>
  <si>
    <t>Com mapeamento LT e parametrização</t>
  </si>
  <si>
    <t>Será alimentado por um novo campo a adicionar à al029_cnt_core_m</t>
  </si>
  <si>
    <t>Será alimentado por um novo campo a adicionar à cd_captools.ct003_univ_cli</t>
  </si>
  <si>
    <t>Campo depende to tipo_empr</t>
  </si>
  <si>
    <t>Criar campos paralelos</t>
  </si>
  <si>
    <t xml:space="preserve">Com mapeamento LT </t>
  </si>
  <si>
    <t>Preenchido com MISS ou N/A</t>
  </si>
  <si>
    <t>Analisar</t>
  </si>
  <si>
    <t>Preenchida com MISS ou N/A, mas faltam valores e identificar a fonte de informação</t>
  </si>
  <si>
    <t>Tem por base o campo "tipo_conta" da tabela fr802_pl_contas</t>
  </si>
  <si>
    <t>Analisar (conceito desconhecido)</t>
  </si>
  <si>
    <t>Não encontrado no Loan Tape</t>
  </si>
  <si>
    <t>Necessário criar tabela de parametrização</t>
  </si>
  <si>
    <t>Count_N1</t>
  </si>
  <si>
    <t>Count_N2</t>
  </si>
  <si>
    <t>Count_N3</t>
  </si>
  <si>
    <t>Count_N4</t>
  </si>
  <si>
    <t>Count_N5</t>
  </si>
  <si>
    <t>Distribuição do Nível</t>
  </si>
  <si>
    <t>Nome Campo LT</t>
  </si>
  <si>
    <t>n.a.</t>
  </si>
  <si>
    <t>LT002_INSTRUMENT.INTRNL_SGMNT</t>
  </si>
  <si>
    <t>-</t>
  </si>
  <si>
    <t>LT003_ENTITY.INTRNL_RTNG</t>
  </si>
  <si>
    <t>LT004_PROTECTION.TYP_PRTCTN</t>
  </si>
  <si>
    <t xml:space="preserve">LT002_INSTRUMENT.INTRNL_SGMNT
</t>
  </si>
  <si>
    <t xml:space="preserve">LT002_INSTRUMENT.TYP_INSTRMNT
</t>
  </si>
  <si>
    <t xml:space="preserve">LT002_INSTRUMENT.TYP_AMRTSTN
</t>
  </si>
  <si>
    <t xml:space="preserve">-
</t>
  </si>
  <si>
    <t xml:space="preserve">LT002_INSTRUMENT.INTRST_RT_RST_FRQNCY
</t>
  </si>
  <si>
    <t xml:space="preserve">LT002_INSTRUMENT.TYP_INTRST_RT
</t>
  </si>
  <si>
    <t xml:space="preserve">LT002_INSTRUMENT.PYMNT_FRQNCY
</t>
  </si>
  <si>
    <t>LT002_INSTRUMENT.DFLT_STTS_INSTRMNT</t>
  </si>
  <si>
    <t xml:space="preserve">LT002_INSTRUMENT.ACCNTNG_CLSSFCTN
</t>
  </si>
  <si>
    <t>Entirely recognised</t>
  </si>
  <si>
    <t>LT002_INSTRUMENT.IMPRMNT_STTS</t>
  </si>
  <si>
    <t xml:space="preserve">LT002_INSTRUMENT.IMPRMNT_ASSSSMNT_MTHD
</t>
  </si>
  <si>
    <t xml:space="preserve">LT002_INSTRUMENT.SRCS_ENCMBRNC
</t>
  </si>
  <si>
    <t xml:space="preserve">LT002_INSTRUMENT.PRFRMNG_STTS
</t>
  </si>
  <si>
    <t xml:space="preserve">LT002_INSTRUMENT.FRBRNC_STTS_INSTRMNT
</t>
  </si>
  <si>
    <t xml:space="preserve">LT002_INSTRUMENT.PRDNTL_PRTFL
</t>
  </si>
  <si>
    <t xml:space="preserve">LT003_ENTITY.INTRNL_RTNG
</t>
  </si>
  <si>
    <t>N/A</t>
  </si>
  <si>
    <t xml:space="preserve">LT003_ENTITY.DFLT_STTS
</t>
  </si>
  <si>
    <t>LT003_ENTITY.DFLT_STTS</t>
  </si>
  <si>
    <t xml:space="preserve">LT004_PROTECTION.TYP_PRTCTN
</t>
  </si>
  <si>
    <t xml:space="preserve">LT004_PROTECTION.DT_ORGNL_PRTCTN_VL
</t>
  </si>
  <si>
    <t xml:space="preserve">LT004_PROTECTION.TYP_PRTCTN_VL
</t>
  </si>
  <si>
    <t xml:space="preserve">LT004_PROTECTION.PRTCTN_VLTN_APPRCH
</t>
  </si>
  <si>
    <t xml:space="preserve">LT004_PROTECTION.PRTCTN_VL
</t>
  </si>
  <si>
    <t xml:space="preserve">0
</t>
  </si>
  <si>
    <t xml:space="preserve">LT002_INSTRUMENT.OFF_BLNC_SHT_AMNT_INSTRMNT
</t>
  </si>
  <si>
    <t xml:space="preserve">LT002_INSTRUMENT.DFLT_STTS_INSTRMNT
</t>
  </si>
  <si>
    <t xml:space="preserve">LT002_INSTRUMENT.IMPRMNT_STTS
</t>
  </si>
  <si>
    <t xml:space="preserve">LT003_ENTITY.PST_CD </t>
  </si>
  <si>
    <t xml:space="preserve">LT003_ENTITY.CNTRY
</t>
  </si>
  <si>
    <t xml:space="preserve">LT003_ENTITY.ECNMC_ACTVTY
</t>
  </si>
  <si>
    <t>LT003_ENTITY.LGL_PRCDNG_STTS_LE</t>
  </si>
  <si>
    <t xml:space="preserve">LT003_ENTITY.ENTRPRS_SZ_LE
</t>
  </si>
  <si>
    <t xml:space="preserve">LT003_ENTITY.ACCNTNG_FRMWRK_SL
</t>
  </si>
  <si>
    <t>LT004_PROTECTION.DT_ORGNL_PRTCTN_VL</t>
  </si>
  <si>
    <t xml:space="preserve">LT002_INSTRUMENT.ISSR_ID_TYP
</t>
  </si>
  <si>
    <t xml:space="preserve">LT002_INSTRUMENT.ISSR_CNTRY
</t>
  </si>
  <si>
    <t xml:space="preserve">LT002_INSTRUMENT.PRDCT
</t>
  </si>
  <si>
    <t>MISS</t>
  </si>
  <si>
    <t xml:space="preserve">al011_derivados.taxa_var_1
</t>
  </si>
  <si>
    <t xml:space="preserve">al011_derivados.taxa_var_2
</t>
  </si>
  <si>
    <t xml:space="preserve">al012_cq_alm.cod_ref_cq
</t>
  </si>
  <si>
    <t xml:space="preserve">LT002_INSTRUMENT.ACCNTNG_CLSSFCTN
</t>
  </si>
  <si>
    <t>LT002_INSTRUMENT.HEDGE_ID</t>
  </si>
  <si>
    <t xml:space="preserve">LT002_INSTRUMENT.ISSR_ESA_2010
</t>
  </si>
  <si>
    <t xml:space="preserve">LT002_INSTRUMENT.ISSR_NACE_SCTR
</t>
  </si>
  <si>
    <t xml:space="preserve">LT002_INSTRUMENT.ISSR_RTNG_SRC
</t>
  </si>
  <si>
    <t xml:space="preserve">LT002_INSTRUMENT.ISSR_TYP
</t>
  </si>
  <si>
    <t xml:space="preserve">LT002_INSTRUMENT.VLTN_CRRNCY
</t>
  </si>
  <si>
    <t xml:space="preserve">LT002_INSTRUMENT.DT_VLTN
</t>
  </si>
  <si>
    <t xml:space="preserve">LT002_INSTRUMENT.VLTN_TYP
</t>
  </si>
  <si>
    <t xml:space="preserve">LT002_INSTRUMENT.INSTRMNT_CLSS
</t>
  </si>
  <si>
    <t xml:space="preserve">LT002_INSTRUMENT.PRMRY_ASST_CLSSF
</t>
  </si>
  <si>
    <t xml:space="preserve">LT002_INSTRUMENT.ASST_SCRT_CLSS
</t>
  </si>
  <si>
    <t xml:space="preserve">LT002_INSTRUMENT.TYPE_OF_PLCMNT
</t>
  </si>
  <si>
    <t xml:space="preserve">LT002_INSTRUMENT.GRNTR_ID
</t>
  </si>
  <si>
    <t xml:space="preserve">LT002_INSTRUMENT.GRNTR_ID_TYP
</t>
  </si>
  <si>
    <t xml:space="preserve">LT002_INSTRUMENT.INSTR_SNRTY_CLSS
</t>
  </si>
  <si>
    <t xml:space="preserve">LT002_INSTRUMENT.TYP_INTRST_RT
</t>
  </si>
  <si>
    <t xml:space="preserve">LT002_INSTRUMENT.PYMNT_FRQNCY
</t>
  </si>
  <si>
    <t xml:space="preserve">LT002_INSTRUMENT.CPN_CRRNCY
</t>
  </si>
  <si>
    <t xml:space="preserve">LT002_INSTRUMENT.SPRD
</t>
  </si>
  <si>
    <t xml:space="preserve">LT002_INSTRUMENT.PRCH_UNDR_RSL_AGR
</t>
  </si>
  <si>
    <t xml:space="preserve">LT002_INSTRUMENT.ELGBLTY_ECB
</t>
  </si>
  <si>
    <t xml:space="preserve">LT002_INSTRUMENT.PRT_LCR_BFFR
</t>
  </si>
  <si>
    <t xml:space="preserve">LT002_INSTRUMENT.LCR_BFFR_CTGRY
</t>
  </si>
  <si>
    <t xml:space="preserve">LT002_INSTRUMENT.HEDGE_ID
</t>
  </si>
  <si>
    <t>Código</t>
  </si>
  <si>
    <t xml:space="preserve">OK - Reportado o valor 1.0 </t>
  </si>
  <si>
    <t>Status</t>
  </si>
  <si>
    <t>Select distinct land_area, segmento
from bu_loantape_work.lt004_protection_srb
where nome_perimetro = 'Individual Local'
and ref_date = '2024-09-30'
and segmento in ('Exposures to natural persons', 'Off-balance sheet exposures')</t>
  </si>
  <si>
    <t>WIP</t>
  </si>
  <si>
    <t>OK</t>
  </si>
  <si>
    <t>Select distinct ifrs9_prob_default_impairment
from bu_loantape_work.lt003_entity_srb
where nome_perimetro = 'Individual Local'
and ref_date = '2024-09-30'
and segmento in ('Exposures to natural persons', 'Off-balance sheet exposures')</t>
  </si>
  <si>
    <t>Select distinct crr_exposure_class
from bu_loantape_work.lt002_instrument_srb
where nome_perimetro = 'Individual Local'
and ref_date = '2024-09-30'
and segmento in ('Exposures to natural persons', 'Off-balance sheet exposures')</t>
  </si>
  <si>
    <t>Testes LT</t>
  </si>
  <si>
    <t>Não se encontra na LT</t>
  </si>
  <si>
    <t>Reporta 99999999999.000000. Ok de acordo com a LT 804</t>
  </si>
  <si>
    <t>Preenchido com null e 99999999999.000000.
Onde diz que deve ser preenchido com NULL?</t>
  </si>
  <si>
    <t>Teste bu_loantape_work.XXX_srb</t>
  </si>
  <si>
    <t>Select
   gross_area
from bu_loantape_work.lt004_protection_srb
where nome_perimetro = 'Individual Local'
and ref_date = '2024-09-30'
and segmento in ('Off-balance sheet exposures','Exposures to natural persons')
and gross_area &lt;&gt; 99999999999
and gross_area is NULL
;</t>
  </si>
  <si>
    <t>NOK</t>
  </si>
  <si>
    <t>Campos reportados a null, não estando de acordo com a lt804</t>
  </si>
  <si>
    <t>Action Points</t>
  </si>
  <si>
    <t>Questionar a Mariana</t>
  </si>
  <si>
    <t>Questionar a Mariana/Pragosa</t>
  </si>
  <si>
    <t xml:space="preserve">Campo por especificar </t>
  </si>
  <si>
    <t>Respostas</t>
  </si>
  <si>
    <t>Deveria constar 11111111111.
IT irá reprocessar</t>
  </si>
  <si>
    <t>1) Campos Valuation Data Set</t>
  </si>
  <si>
    <t>Reporta 15 valores que se ligam com a lt831</t>
  </si>
  <si>
    <t>Campos que se ligam com a lt831</t>
  </si>
  <si>
    <t>Nível_RL</t>
  </si>
  <si>
    <t>?</t>
  </si>
  <si>
    <t>OK- Reportado com o valor 'N/A'</t>
  </si>
  <si>
    <t>OK- Reportado com o valor 'Entirely recognised'</t>
  </si>
  <si>
    <t>OK- Reporta 0</t>
  </si>
  <si>
    <t>A</t>
  </si>
  <si>
    <t xml:space="preserve">Select
    lien_position,
    segmento,
    count(*)
from bu_loantape_work.lt004_protection_SRB 
where nome_perimetro = 'Individual Local'
and ref_date = '2024-09-30'
--and segmento in ('Exposures to natural persons', 'Exposures to legal persons', 'Off-balance sheet exposures')
--and lien_position&lt;&gt; 1 
GROUP BY 1,2
;
</t>
  </si>
  <si>
    <t>select
    balance_sheet_recogn,
    segmento, 
    count(*)
from bu_loantape_work.lt002_instrument_srb
where nome_perimetro = 'Individual Local'
and ref_date = '2024-09-30'
GROUP BY 1,2
;</t>
  </si>
  <si>
    <t>Select 
    instrument_id,
    segmento,
    count(*)
from bu_loantape_work.lt004_protection_SRB 
where nome_perimetro = 'Individual Local'
and ref_date = '2024-09-30'
GROUP BY 1,2
;</t>
  </si>
  <si>
    <t xml:space="preserve">
Select 
    thirdparty_claims_protection,
    segmento,
    count(*)
from bu_loantape_work.lt004_protection_SRB 
where nome_perimetro = 'Individual Local'
and ref_date = '2024-09-30'
GROUP BY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</si>
</sst>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Aptos Narrow"/>
      <family val="2"/>
      <scheme val="minor"/>
    </font>
    <font>
      <b/>
      <sz val="11"/>
      <color theme="0"/>
      <name val="Aptos Narrow"/>
      <family val="2"/>
      <scheme val="minor"/>
    </font>
    <font>
      <sz val="10"/>
      <color theme="1"/>
      <name val="Trebuchet MS"/>
      <family val="2"/>
    </font>
    <font>
      <b/>
      <sz val="11"/>
      <color rgb="FF003E51"/>
      <name val="Muli Light"/>
    </font>
    <font>
      <b/>
      <sz val="12"/>
      <color rgb="FF003E51"/>
      <name val="Muli Light"/>
    </font>
    <font>
      <sz val="11"/>
      <color rgb="FF000000"/>
      <name val="Muli Light"/>
    </font>
    <font>
      <sz val="10"/>
      <color rgb="FFFFFFFF"/>
      <name val="Arial"/>
      <family val="2"/>
    </font>
    <font>
      <sz val="10"/>
      <color rgb="FF000000"/>
      <name val="Arial"/>
      <family val="2"/>
    </font>
    <font>
      <sz val="11"/>
      <color theme="1"/>
      <name val="Calibri"/>
      <family val="2"/>
    </font>
    <font>
      <b/>
      <sz val="10"/>
      <color rgb="FF000000"/>
      <name val="Arial"/>
      <family val="2"/>
    </font>
    <font>
      <b/>
      <sz val="9"/>
      <color rgb="FF000000"/>
      <name val="Arial"/>
      <family val="2"/>
    </font>
    <font>
      <sz val="11"/>
      <color rgb="FF000000"/>
      <name val="Arial"/>
      <family val="2"/>
    </font>
    <font>
      <sz val="10"/>
      <color rgb="FF000000"/>
      <name val="Muli Light"/>
    </font>
    <font>
      <b/>
      <sz val="11"/>
      <color rgb="FFFFFFFF"/>
      <name val="Muli"/>
    </font>
    <font>
      <b/>
      <sz val="11"/>
      <color rgb="FFFFFFFF"/>
      <name val="Aptos Narrow"/>
      <family val="2"/>
      <scheme val="minor"/>
    </font>
    <font>
      <b/>
      <i/>
      <sz val="11"/>
      <color theme="0"/>
      <name val="Aptos Narrow"/>
      <family val="2"/>
      <scheme val="minor"/>
    </font>
    <font>
      <b/>
      <sz val="11"/>
      <name val="Muli Light"/>
    </font>
  </fonts>
  <fills count="25">
    <fill>
      <patternFill patternType="none"/>
    </fill>
    <fill>
      <patternFill patternType="gray125"/>
    </fill>
    <fill>
      <patternFill patternType="solid">
        <fgColor theme="4"/>
        <bgColor theme="4"/>
      </patternFill>
    </fill>
    <fill>
      <patternFill patternType="solid">
        <fgColor theme="7"/>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D2F5FF"/>
        <bgColor rgb="FF000000"/>
      </patternFill>
    </fill>
    <fill>
      <patternFill patternType="solid">
        <fgColor rgb="FFF2F2F2"/>
        <bgColor rgb="FF000000"/>
      </patternFill>
    </fill>
    <fill>
      <patternFill patternType="solid">
        <fgColor rgb="FF009FDF"/>
        <bgColor rgb="FF000000"/>
      </patternFill>
    </fill>
    <fill>
      <patternFill patternType="solid">
        <fgColor rgb="FF00506F"/>
        <bgColor rgb="FF000000"/>
      </patternFill>
    </fill>
    <fill>
      <patternFill patternType="solid">
        <fgColor rgb="FF00506F"/>
        <bgColor indexed="64"/>
      </patternFill>
    </fill>
    <fill>
      <patternFill patternType="solid">
        <fgColor rgb="FF0078A6"/>
        <bgColor rgb="FF000000"/>
      </patternFill>
    </fill>
    <fill>
      <patternFill patternType="solid">
        <fgColor rgb="FF009FDF"/>
        <bgColor theme="4"/>
      </patternFill>
    </fill>
    <fill>
      <patternFill patternType="solid">
        <fgColor rgb="FF003E51"/>
        <bgColor indexed="64"/>
      </patternFill>
    </fill>
    <fill>
      <patternFill patternType="solid">
        <fgColor rgb="FF005D7A"/>
        <bgColor theme="4"/>
      </patternFill>
    </fill>
    <fill>
      <patternFill patternType="solid">
        <fgColor theme="0" tint="-0.499984740745262"/>
        <bgColor theme="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bgColor indexed="64"/>
      </patternFill>
    </fill>
    <fill>
      <patternFill patternType="solid">
        <fgColor theme="5" tint="-0.249977111117893"/>
        <bgColor theme="4"/>
      </patternFill>
    </fill>
    <fill>
      <patternFill patternType="solid">
        <fgColor theme="4" tint="0.39997558519241921"/>
        <bgColor indexed="64"/>
      </patternFill>
    </fill>
    <fill>
      <patternFill patternType="solid">
        <fgColor rgb="FFFF0000"/>
        <bgColor rgb="FF000000"/>
      </patternFill>
    </fill>
    <fill>
      <patternFill patternType="solid">
        <fgColor rgb="FFFF0000"/>
        <bgColor indexed="64"/>
      </patternFill>
    </fill>
    <fill>
      <patternFill patternType="solid">
        <fgColor theme="5" tint="0.79998168889431442"/>
        <bgColor rgb="FF000000"/>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2" fillId="0" borderId="0"/>
  </cellStyleXfs>
  <cellXfs count="72">
    <xf numFmtId="0" fontId="0" fillId="0" borderId="0" xfId="0"/>
    <xf numFmtId="0" fontId="4" fillId="7" borderId="0" xfId="0" applyFont="1" applyFill="1" applyAlignment="1">
      <alignment horizontal="centerContinuous"/>
    </xf>
    <xf numFmtId="0" fontId="5" fillId="7" borderId="0" xfId="0" applyFont="1" applyFill="1" applyAlignment="1">
      <alignment horizontal="centerContinuous"/>
    </xf>
    <xf numFmtId="0" fontId="6" fillId="8" borderId="0" xfId="1" applyFont="1" applyFill="1"/>
    <xf numFmtId="0" fontId="7" fillId="8" borderId="0" xfId="1" applyFont="1" applyFill="1"/>
    <xf numFmtId="0" fontId="8" fillId="0" borderId="0" xfId="0" applyFont="1"/>
    <xf numFmtId="0" fontId="6" fillId="8" borderId="0" xfId="1" applyFont="1" applyFill="1" applyAlignment="1">
      <alignment horizontal="centerContinuous"/>
    </xf>
    <xf numFmtId="0" fontId="9" fillId="8" borderId="0" xfId="1" applyFont="1" applyFill="1" applyAlignment="1">
      <alignment horizontal="centerContinuous"/>
    </xf>
    <xf numFmtId="0" fontId="10" fillId="8" borderId="0" xfId="1" applyFont="1" applyFill="1" applyAlignment="1">
      <alignment horizontal="centerContinuous"/>
    </xf>
    <xf numFmtId="0" fontId="9" fillId="8" borderId="0" xfId="1" applyFont="1" applyFill="1"/>
    <xf numFmtId="0" fontId="7" fillId="8" borderId="0" xfId="1" applyFont="1" applyFill="1" applyAlignment="1">
      <alignment horizontal="centerContinuous"/>
    </xf>
    <xf numFmtId="0" fontId="6" fillId="9" borderId="0" xfId="1" applyFont="1" applyFill="1"/>
    <xf numFmtId="0" fontId="7" fillId="9" borderId="0" xfId="1" applyFont="1" applyFill="1"/>
    <xf numFmtId="0" fontId="7" fillId="9" borderId="0" xfId="1" applyFont="1" applyFill="1" applyAlignment="1">
      <alignment horizontal="center" vertical="center" wrapText="1"/>
    </xf>
    <xf numFmtId="0" fontId="11" fillId="0" borderId="0" xfId="0" applyFont="1"/>
    <xf numFmtId="0" fontId="12" fillId="0" borderId="0" xfId="0" applyFont="1"/>
    <xf numFmtId="0" fontId="3" fillId="7" borderId="0" xfId="0" applyFont="1" applyFill="1" applyAlignment="1">
      <alignment horizontal="left" indent="3"/>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left" vertical="center"/>
    </xf>
    <xf numFmtId="0" fontId="0" fillId="0" borderId="1" xfId="0" quotePrefix="1" applyBorder="1" applyAlignment="1">
      <alignment horizontal="left" vertical="center"/>
    </xf>
    <xf numFmtId="0" fontId="0" fillId="6"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1" fillId="2" borderId="1" xfId="0" applyFont="1" applyFill="1" applyBorder="1" applyAlignment="1">
      <alignment horizontal="center" vertical="center"/>
    </xf>
    <xf numFmtId="0" fontId="13" fillId="10" borderId="0" xfId="0" applyFont="1" applyFill="1" applyAlignment="1">
      <alignment horizontal="centerContinuous"/>
    </xf>
    <xf numFmtId="0" fontId="1" fillId="11" borderId="0" xfId="0" applyFont="1" applyFill="1" applyAlignment="1">
      <alignment horizontal="centerContinuous"/>
    </xf>
    <xf numFmtId="0" fontId="14" fillId="12" borderId="0" xfId="0" applyFont="1" applyFill="1" applyAlignment="1">
      <alignment horizontal="centerContinuous"/>
    </xf>
    <xf numFmtId="0" fontId="1" fillId="13" borderId="1" xfId="0" applyFont="1" applyFill="1" applyBorder="1" applyAlignment="1">
      <alignment horizontal="center" vertical="center"/>
    </xf>
    <xf numFmtId="0" fontId="1" fillId="14" borderId="0" xfId="0" applyFont="1" applyFill="1" applyAlignment="1">
      <alignment horizontal="centerContinuous"/>
    </xf>
    <xf numFmtId="0" fontId="1" fillId="15" borderId="1" xfId="0" applyFont="1" applyFill="1" applyBorder="1" applyAlignment="1">
      <alignment horizontal="center" vertical="center"/>
    </xf>
    <xf numFmtId="0" fontId="1" fillId="16" borderId="1" xfId="0" applyFont="1" applyFill="1" applyBorder="1" applyAlignment="1">
      <alignment horizontal="center" vertical="center"/>
    </xf>
    <xf numFmtId="0" fontId="0" fillId="0" borderId="1" xfId="0" applyBorder="1" applyAlignment="1">
      <alignment horizontal="left" vertical="center" wrapText="1"/>
    </xf>
    <xf numFmtId="0" fontId="0" fillId="6" borderId="1" xfId="0" quotePrefix="1" applyFill="1" applyBorder="1" applyAlignment="1">
      <alignment horizontal="left" vertical="center" wrapText="1"/>
    </xf>
    <xf numFmtId="0" fontId="0" fillId="6" borderId="1" xfId="0" applyFill="1" applyBorder="1" applyAlignment="1">
      <alignment horizontal="left" vertical="center" wrapText="1"/>
    </xf>
    <xf numFmtId="0" fontId="1" fillId="3" borderId="1" xfId="0" applyFont="1" applyFill="1" applyBorder="1" applyAlignment="1">
      <alignment horizontal="center" vertical="center"/>
    </xf>
    <xf numFmtId="0" fontId="1" fillId="17" borderId="0" xfId="0" applyFont="1" applyFill="1" applyAlignment="1">
      <alignment horizontal="centerContinuous"/>
    </xf>
    <xf numFmtId="0" fontId="0" fillId="6" borderId="1" xfId="0" quotePrefix="1" applyFill="1" applyBorder="1" applyAlignment="1">
      <alignment horizontal="center" vertical="center" wrapText="1"/>
    </xf>
    <xf numFmtId="0" fontId="0" fillId="6" borderId="1" xfId="0" applyFill="1" applyBorder="1" applyAlignment="1">
      <alignment horizontal="center" vertical="center" wrapText="1"/>
    </xf>
    <xf numFmtId="0" fontId="0" fillId="4" borderId="1" xfId="0" quotePrefix="1" applyFill="1" applyBorder="1" applyAlignment="1">
      <alignment horizontal="center" vertical="center" wrapText="1"/>
    </xf>
    <xf numFmtId="0" fontId="0" fillId="4" borderId="1" xfId="0" quotePrefix="1" applyFill="1" applyBorder="1" applyAlignment="1">
      <alignment horizontal="center" vertical="center"/>
    </xf>
    <xf numFmtId="0" fontId="0" fillId="0" borderId="1" xfId="0" quotePrefix="1" applyBorder="1" applyAlignment="1">
      <alignment horizontal="center" vertical="center" wrapText="1"/>
    </xf>
    <xf numFmtId="0" fontId="1" fillId="18" borderId="0" xfId="0" applyFont="1" applyFill="1" applyAlignment="1">
      <alignment horizontal="centerContinuous"/>
    </xf>
    <xf numFmtId="0" fontId="0" fillId="5" borderId="1" xfId="0" applyFill="1" applyBorder="1" applyAlignment="1">
      <alignment horizontal="center" vertical="center" wrapText="1"/>
    </xf>
    <xf numFmtId="0" fontId="0" fillId="19" borderId="1" xfId="0" applyFill="1" applyBorder="1" applyAlignment="1">
      <alignment horizontal="center" vertical="center"/>
    </xf>
    <xf numFmtId="0" fontId="0" fillId="19" borderId="1" xfId="0" applyFill="1" applyBorder="1" applyAlignment="1">
      <alignment horizontal="center" vertical="center" wrapText="1"/>
    </xf>
    <xf numFmtId="0" fontId="0" fillId="19" borderId="0" xfId="0" applyFill="1"/>
    <xf numFmtId="0" fontId="15" fillId="20" borderId="0" xfId="0" applyFont="1" applyFill="1" applyAlignment="1">
      <alignment horizontal="center" vertical="center"/>
    </xf>
    <xf numFmtId="0" fontId="1" fillId="20" borderId="0" xfId="0" applyFont="1" applyFill="1" applyAlignment="1">
      <alignment horizontal="center" vertical="center"/>
    </xf>
    <xf numFmtId="0" fontId="1" fillId="21" borderId="0" xfId="0" applyFont="1" applyFill="1" applyAlignment="1">
      <alignment horizontal="centerContinuous"/>
    </xf>
    <xf numFmtId="0" fontId="1" fillId="20" borderId="1" xfId="0" applyFont="1" applyFill="1" applyBorder="1" applyAlignment="1">
      <alignment horizontal="center" vertical="center"/>
    </xf>
    <xf numFmtId="0" fontId="6" fillId="22" borderId="0" xfId="1" applyFont="1" applyFill="1"/>
    <xf numFmtId="0" fontId="7" fillId="22" borderId="0" xfId="1" applyFont="1" applyFill="1"/>
    <xf numFmtId="0" fontId="7" fillId="22" borderId="0" xfId="1" applyFont="1" applyFill="1" applyAlignment="1">
      <alignment horizontal="center" vertical="center" wrapText="1"/>
    </xf>
    <xf numFmtId="0" fontId="0" fillId="23" borderId="0" xfId="0" applyFill="1"/>
    <xf numFmtId="0" fontId="3" fillId="24" borderId="0" xfId="0" applyFont="1" applyFill="1" applyAlignment="1">
      <alignment horizontal="left" indent="3"/>
    </xf>
    <xf numFmtId="0" fontId="4" fillId="24" borderId="0" xfId="0" applyFont="1" applyFill="1" applyAlignment="1">
      <alignment horizontal="centerContinuous"/>
    </xf>
    <xf numFmtId="0" fontId="5" fillId="24" borderId="0" xfId="0" applyFont="1" applyFill="1" applyAlignment="1">
      <alignment horizontal="centerContinuous"/>
    </xf>
    <xf numFmtId="0" fontId="16" fillId="24" borderId="0" xfId="0" applyFont="1" applyFill="1" applyAlignment="1">
      <alignment horizontal="left"/>
    </xf>
    <xf numFmtId="0" fontId="0" fillId="5" borderId="0" xfId="0" applyFill="1"/>
    <xf numFmtId="0" fontId="0" fillId="5" borderId="1" xfId="0" applyFill="1" applyBorder="1" applyAlignment="1">
      <alignment horizontal="left" vertical="center"/>
    </xf>
    <xf numFmtId="0" fontId="0" fillId="5" borderId="1" xfId="0" applyFill="1" applyBorder="1" applyAlignment="1">
      <alignment horizontal="left" vertical="center" wrapText="1"/>
    </xf>
    <xf numFmtId="0" fontId="0" fillId="23" borderId="1" xfId="0" applyFill="1" applyBorder="1" applyAlignment="1">
      <alignment horizontal="center" vertical="center"/>
    </xf>
    <xf numFmtId="0" fontId="0" fillId="23" borderId="1" xfId="0" applyFill="1" applyBorder="1" applyAlignment="1">
      <alignment horizontal="center" vertical="center" wrapText="1"/>
    </xf>
    <xf numFmtId="0" fontId="0" fillId="23" borderId="1" xfId="0" applyFill="1" applyBorder="1" applyAlignment="1">
      <alignment horizontal="left" vertical="center" wrapText="1"/>
    </xf>
    <xf numFmtId="0" fontId="0" fillId="23" borderId="1" xfId="0" applyFill="1" applyBorder="1" applyAlignment="1">
      <alignment horizontal="left" vertical="center"/>
    </xf>
    <xf numFmtId="0" fontId="0" fillId="23" borderId="1" xfId="0" quotePrefix="1" applyFill="1" applyBorder="1" applyAlignment="1">
      <alignment horizontal="center" vertical="center"/>
    </xf>
  </cellXfs>
  <cellStyles count="2">
    <cellStyle name="Normal" xfId="0" builtinId="0"/>
    <cellStyle name="Normal 2 18" xfId="1"/>
  </cellStyles>
  <dxfs count="2">
    <dxf>
      <font>
        <color rgb="FFFFFFFF"/>
      </font>
    </dxf>
    <dxf>
      <font>
        <color rgb="FFFFFFFF"/>
      </font>
    </dxf>
  </dxfs>
  <tableStyles count="0" defaultTableStyle="TableStyleMedium2" defaultPivotStyle="PivotStyleLight16"/>
  <colors>
    <mruColors>
      <color rgb="FFFF9999"/>
      <color rgb="FF005D7A"/>
      <color rgb="FF003E51"/>
      <color rgb="FF009FDF"/>
      <color rgb="FF0050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57150</xdr:colOff>
      <xdr:row>6</xdr:row>
      <xdr:rowOff>0</xdr:rowOff>
    </xdr:from>
    <xdr:to>
      <xdr:col>1</xdr:col>
      <xdr:colOff>237150</xdr:colOff>
      <xdr:row>6</xdr:row>
      <xdr:rowOff>180000</xdr:rowOff>
    </xdr:to>
    <xdr:sp macro="" textlink="">
      <xdr:nvSpPr>
        <xdr:cNvPr id="20" name="Oval 19">
          <a:extLst>
            <a:ext uri="{FF2B5EF4-FFF2-40B4-BE49-F238E27FC236}">
              <a16:creationId xmlns:a16="http://schemas.microsoft.com/office/drawing/2014/main" id="{00000000-0008-0000-0000-000014000000}"/>
            </a:ext>
          </a:extLst>
        </xdr:cNvPr>
        <xdr:cNvSpPr/>
      </xdr:nvSpPr>
      <xdr:spPr>
        <a:xfrm>
          <a:off x="304800" y="990600"/>
          <a:ext cx="183175" cy="183175"/>
        </a:xfrm>
        <a:prstGeom prst="ellipse">
          <a:avLst/>
        </a:prstGeom>
        <a:solidFill>
          <a:srgbClr val="003E51"/>
        </a:solidFill>
        <a:ln w="25400" cap="flat" cmpd="sng" algn="ctr">
          <a:solidFill>
            <a:srgbClr val="003E51"/>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PT" sz="1100" b="0" i="0" u="none" strike="noStrike" kern="0" cap="none" spc="0" normalizeH="0" baseline="0" noProof="0">
              <a:ln>
                <a:noFill/>
              </a:ln>
              <a:solidFill>
                <a:srgbClr val="FFFFFF"/>
              </a:solidFill>
              <a:effectLst/>
              <a:uLnTx/>
              <a:uFillTx/>
              <a:latin typeface="Muli" panose="00000500000000000000" pitchFamily="2" charset="0"/>
              <a:ea typeface="+mn-ea"/>
              <a:cs typeface="+mn-cs"/>
            </a:rPr>
            <a:t>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F290"/>
  <sheetViews>
    <sheetView showGridLines="0" zoomScaleNormal="100" workbookViewId="0">
      <pane ySplit="11" topLeftCell="A12" activePane="bottomLeft" state="frozen"/>
      <selection pane="bottomLeft" activeCell="E6" sqref="E6"/>
    </sheetView>
  </sheetViews>
  <sheetFormatPr defaultColWidth="0" defaultRowHeight="13.8" zeroHeight="1"/>
  <cols>
    <col min="1" max="1" width="3.69921875" customWidth="1"/>
    <col min="2" max="2" width="11.8984375" customWidth="1"/>
    <col min="3" max="4" width="27.09765625" bestFit="1" customWidth="1"/>
    <col min="5" max="5" width="30.59765625" bestFit="1" customWidth="1"/>
    <col min="6" max="6" width="25.3984375" customWidth="1"/>
    <col min="7" max="7" width="37" customWidth="1"/>
    <col min="8" max="8" width="35.09765625" customWidth="1"/>
    <col min="9" max="9" width="23.296875" customWidth="1"/>
    <col min="10" max="11" width="28.59765625" customWidth="1"/>
    <col min="12" max="13" width="8.296875" customWidth="1"/>
    <col min="14" max="14" width="13" customWidth="1"/>
    <col min="15" max="18" width="9.8984375" bestFit="1" customWidth="1"/>
    <col min="19" max="19" width="69.3984375" customWidth="1"/>
    <col min="20" max="20" width="3.69921875" customWidth="1"/>
    <col min="21" max="21" width="3.69921875" hidden="1" customWidth="1"/>
    <col min="22" max="25" width="9.09765625" hidden="1" customWidth="1"/>
    <col min="26" max="26" width="37.3984375" hidden="1" customWidth="1"/>
    <col min="27" max="32" width="0" hidden="1" customWidth="1"/>
    <col min="33" max="16384" width="9.09765625" hidden="1"/>
  </cols>
  <sheetData>
    <row r="1" spans="1:20">
      <c r="A1" s="3"/>
      <c r="B1" s="4"/>
      <c r="C1" s="4"/>
      <c r="D1" s="4"/>
      <c r="E1" s="4"/>
      <c r="F1" s="4"/>
      <c r="G1" s="4"/>
      <c r="H1" s="4"/>
      <c r="I1" s="4"/>
      <c r="J1" s="4"/>
      <c r="K1" s="4"/>
      <c r="L1" s="4"/>
      <c r="M1" s="4"/>
      <c r="N1" s="4"/>
      <c r="O1" s="4"/>
      <c r="P1" s="4"/>
      <c r="Q1" s="4"/>
      <c r="R1" s="4"/>
      <c r="S1" s="4"/>
      <c r="T1" s="4"/>
    </row>
    <row r="2" spans="1:20">
      <c r="A2" s="6"/>
      <c r="B2" s="7"/>
      <c r="C2" s="7"/>
      <c r="D2" s="8"/>
      <c r="E2" s="7"/>
      <c r="F2" s="7"/>
      <c r="G2" s="7"/>
      <c r="H2" s="7"/>
      <c r="I2" s="7"/>
      <c r="J2" s="7"/>
      <c r="K2" s="7"/>
      <c r="L2" s="7"/>
      <c r="M2" s="7"/>
      <c r="N2" s="7"/>
      <c r="O2" s="7"/>
      <c r="P2" s="7"/>
      <c r="Q2" s="7"/>
      <c r="R2" s="7"/>
      <c r="S2" s="7"/>
      <c r="T2" s="7"/>
    </row>
    <row r="3" spans="1:20">
      <c r="A3" s="3"/>
      <c r="B3" s="9"/>
      <c r="C3" s="9"/>
      <c r="D3" s="9"/>
      <c r="E3" s="9"/>
      <c r="F3" s="9"/>
      <c r="G3" s="9"/>
      <c r="H3" s="9"/>
      <c r="I3" s="9"/>
      <c r="J3" s="9"/>
      <c r="K3" s="9"/>
      <c r="L3" s="9"/>
      <c r="M3" s="9"/>
      <c r="N3" s="9"/>
      <c r="O3" s="9"/>
      <c r="P3" s="10"/>
      <c r="Q3" s="10"/>
      <c r="R3" s="10"/>
      <c r="S3" s="10"/>
      <c r="T3" s="10"/>
    </row>
    <row r="4" spans="1:20">
      <c r="A4" s="3"/>
      <c r="B4" s="4"/>
      <c r="C4" s="4"/>
      <c r="D4" s="4"/>
      <c r="E4" s="4"/>
      <c r="F4" s="4"/>
      <c r="G4" s="4"/>
      <c r="H4" s="4"/>
      <c r="I4" s="4"/>
      <c r="J4" s="4"/>
      <c r="K4" s="4"/>
      <c r="L4" s="4"/>
      <c r="M4" s="4"/>
      <c r="N4" s="4"/>
      <c r="O4" s="4"/>
      <c r="P4" s="4"/>
      <c r="Q4" s="4"/>
      <c r="R4" s="4"/>
      <c r="S4" s="4"/>
      <c r="T4" s="4"/>
    </row>
    <row r="5" spans="1:20" ht="3" customHeight="1">
      <c r="A5" s="11"/>
      <c r="B5" s="12"/>
      <c r="C5" s="12"/>
      <c r="D5" s="12"/>
      <c r="E5" s="12"/>
      <c r="F5" s="13"/>
      <c r="G5" s="13"/>
      <c r="H5" s="13"/>
      <c r="I5" s="13"/>
      <c r="J5" s="13"/>
      <c r="K5" s="13"/>
      <c r="L5" s="13"/>
      <c r="M5" s="13"/>
      <c r="N5" s="13"/>
      <c r="O5" s="13"/>
      <c r="P5" s="13"/>
      <c r="Q5" s="13"/>
      <c r="R5" s="13"/>
      <c r="S5" s="13"/>
      <c r="T5" s="13"/>
    </row>
    <row r="6" spans="1:20" ht="14.4">
      <c r="A6" s="14"/>
      <c r="B6" s="5"/>
      <c r="C6" s="5"/>
      <c r="D6" s="5"/>
      <c r="E6" s="5"/>
      <c r="F6" s="5"/>
      <c r="G6" s="5"/>
      <c r="H6" s="5"/>
      <c r="I6" s="5"/>
      <c r="J6" s="5"/>
      <c r="K6" s="5"/>
      <c r="L6" s="5"/>
      <c r="M6" s="5"/>
      <c r="N6" s="5"/>
      <c r="O6" s="5"/>
      <c r="P6" s="5"/>
      <c r="Q6" s="5"/>
      <c r="R6" s="5"/>
      <c r="S6" s="5"/>
      <c r="T6" s="5"/>
    </row>
    <row r="7" spans="1:20" ht="15" customHeight="1">
      <c r="A7" s="15"/>
      <c r="B7" s="16" t="s">
        <v>409</v>
      </c>
      <c r="C7" s="16"/>
      <c r="D7" s="1"/>
      <c r="E7" s="2"/>
      <c r="F7" s="2"/>
      <c r="G7" s="2"/>
      <c r="H7" s="2"/>
      <c r="I7" s="2"/>
      <c r="J7" s="2"/>
      <c r="K7" s="2"/>
      <c r="L7" s="2"/>
      <c r="M7" s="2"/>
      <c r="N7" s="2"/>
      <c r="O7" s="2"/>
      <c r="P7" s="2"/>
      <c r="Q7" s="2"/>
      <c r="R7" s="2"/>
      <c r="S7" s="2"/>
    </row>
    <row r="8" spans="1:20"/>
    <row r="9" spans="1:20">
      <c r="C9" s="31" t="s">
        <v>416</v>
      </c>
      <c r="D9" s="31"/>
      <c r="E9" s="31"/>
      <c r="F9" s="31"/>
      <c r="G9" s="30"/>
      <c r="H9" s="32" t="s">
        <v>417</v>
      </c>
      <c r="I9" s="34" t="s">
        <v>418</v>
      </c>
      <c r="J9" s="34"/>
      <c r="K9" s="34"/>
      <c r="L9" s="41" t="s">
        <v>603</v>
      </c>
      <c r="M9" s="41"/>
      <c r="N9" s="41"/>
      <c r="O9" s="41"/>
      <c r="P9" s="41"/>
      <c r="Q9" s="41"/>
      <c r="R9" s="41"/>
    </row>
    <row r="10" spans="1:20" ht="5.0999999999999996" customHeight="1"/>
    <row r="11" spans="1:20">
      <c r="B11" s="36" t="s">
        <v>413</v>
      </c>
      <c r="C11" s="29" t="s">
        <v>410</v>
      </c>
      <c r="D11" s="29" t="s">
        <v>411</v>
      </c>
      <c r="E11" s="29" t="s">
        <v>28</v>
      </c>
      <c r="F11" s="29" t="s">
        <v>414</v>
      </c>
      <c r="G11" s="29" t="s">
        <v>412</v>
      </c>
      <c r="H11" s="33" t="s">
        <v>415</v>
      </c>
      <c r="I11" s="35" t="s">
        <v>54</v>
      </c>
      <c r="J11" s="35" t="s">
        <v>230</v>
      </c>
      <c r="K11" s="35" t="s">
        <v>604</v>
      </c>
      <c r="L11" s="40" t="s">
        <v>228</v>
      </c>
      <c r="M11" s="40" t="s">
        <v>703</v>
      </c>
      <c r="N11" s="40" t="s">
        <v>598</v>
      </c>
      <c r="O11" s="40" t="s">
        <v>599</v>
      </c>
      <c r="P11" s="40" t="s">
        <v>600</v>
      </c>
      <c r="Q11" s="40" t="s">
        <v>601</v>
      </c>
      <c r="R11" s="40" t="s">
        <v>602</v>
      </c>
      <c r="S11" s="36" t="s">
        <v>408</v>
      </c>
    </row>
    <row r="12" spans="1:20" ht="15" hidden="1" customHeight="1">
      <c r="B12" s="17">
        <v>1</v>
      </c>
      <c r="C12" s="17" t="s">
        <v>0</v>
      </c>
      <c r="D12" s="17" t="s">
        <v>1</v>
      </c>
      <c r="E12" s="17" t="s">
        <v>21</v>
      </c>
      <c r="F12" s="17">
        <f t="shared" ref="F12:F75" si="0">+COUNTIFS($E$12:$E$289,E12)</f>
        <v>12</v>
      </c>
      <c r="G12" s="17" t="s">
        <v>29</v>
      </c>
      <c r="H12" s="17" t="s">
        <v>11</v>
      </c>
      <c r="I12" s="17" t="s">
        <v>19</v>
      </c>
      <c r="J12" s="22" t="s">
        <v>254</v>
      </c>
      <c r="K12" s="17" t="s">
        <v>254</v>
      </c>
      <c r="L12" s="18">
        <v>2</v>
      </c>
      <c r="M12" s="18"/>
      <c r="N12" s="17">
        <f t="shared" ref="N12:N75" si="1">+COUNTIFS($E$12:$E$289,E12,$L$12:$L$289,1)</f>
        <v>3</v>
      </c>
      <c r="O12" s="17">
        <f t="shared" ref="O12:O75" si="2">+COUNTIFS($E$12:$E$289,E12,$L$12:$L$289,2)</f>
        <v>9</v>
      </c>
      <c r="P12" s="17">
        <f t="shared" ref="P12:P75" si="3">+COUNTIFS($E$12:$E$289,E12,$L$12:$L$289,3)</f>
        <v>0</v>
      </c>
      <c r="Q12" s="17">
        <f t="shared" ref="Q12:Q75" si="4">+COUNTIFS($E$12:$E$289,E12,$L$12:$L$289,4)</f>
        <v>0</v>
      </c>
      <c r="R12" s="17">
        <f t="shared" ref="R12:R75" si="5">+COUNTIFS($E$12:$E$289,E12,$L$12:$L$289,5)</f>
        <v>0</v>
      </c>
      <c r="S12" s="17" t="s">
        <v>579</v>
      </c>
    </row>
    <row r="13" spans="1:20" ht="15" customHeight="1">
      <c r="B13" s="17">
        <f>1+B12</f>
        <v>2</v>
      </c>
      <c r="C13" s="17" t="s">
        <v>0</v>
      </c>
      <c r="D13" s="17" t="s">
        <v>1</v>
      </c>
      <c r="E13" s="17" t="s">
        <v>22</v>
      </c>
      <c r="F13" s="17">
        <f t="shared" si="0"/>
        <v>10</v>
      </c>
      <c r="G13" s="17" t="s">
        <v>29</v>
      </c>
      <c r="H13" s="17" t="s">
        <v>12</v>
      </c>
      <c r="I13" s="17" t="s">
        <v>20</v>
      </c>
      <c r="J13" s="37" t="s">
        <v>229</v>
      </c>
      <c r="K13" s="20" t="s">
        <v>605</v>
      </c>
      <c r="L13" s="18">
        <v>1</v>
      </c>
      <c r="M13" s="18">
        <v>1</v>
      </c>
      <c r="N13" s="17">
        <f t="shared" si="1"/>
        <v>3</v>
      </c>
      <c r="O13" s="17">
        <f t="shared" si="2"/>
        <v>6</v>
      </c>
      <c r="P13" s="17">
        <f t="shared" si="3"/>
        <v>0</v>
      </c>
      <c r="Q13" s="17">
        <f t="shared" si="4"/>
        <v>1</v>
      </c>
      <c r="R13" s="17">
        <f t="shared" si="5"/>
        <v>0</v>
      </c>
      <c r="S13" s="17" t="s">
        <v>567</v>
      </c>
    </row>
    <row r="14" spans="1:20" ht="15" hidden="1" customHeight="1">
      <c r="B14" s="17">
        <f t="shared" ref="B14:B77" si="6">1+B13</f>
        <v>3</v>
      </c>
      <c r="C14" s="17" t="s">
        <v>0</v>
      </c>
      <c r="D14" s="17" t="s">
        <v>1</v>
      </c>
      <c r="E14" s="17" t="s">
        <v>23</v>
      </c>
      <c r="F14" s="17">
        <f t="shared" si="0"/>
        <v>3</v>
      </c>
      <c r="G14" s="17" t="s">
        <v>29</v>
      </c>
      <c r="H14" s="17" t="s">
        <v>13</v>
      </c>
      <c r="I14" s="17" t="s">
        <v>20</v>
      </c>
      <c r="J14" s="37" t="s">
        <v>231</v>
      </c>
      <c r="K14" s="20" t="s">
        <v>607</v>
      </c>
      <c r="L14" s="18">
        <v>5</v>
      </c>
      <c r="M14" s="18"/>
      <c r="N14" s="17">
        <f t="shared" si="1"/>
        <v>2</v>
      </c>
      <c r="O14" s="17">
        <f t="shared" si="2"/>
        <v>0</v>
      </c>
      <c r="P14" s="17">
        <f t="shared" si="3"/>
        <v>0</v>
      </c>
      <c r="Q14" s="17">
        <f t="shared" si="4"/>
        <v>0</v>
      </c>
      <c r="R14" s="17">
        <f t="shared" si="5"/>
        <v>1</v>
      </c>
      <c r="S14" s="17" t="s">
        <v>570</v>
      </c>
    </row>
    <row r="15" spans="1:20" ht="15" hidden="1" customHeight="1">
      <c r="B15" s="17">
        <f t="shared" si="6"/>
        <v>4</v>
      </c>
      <c r="C15" s="17" t="s">
        <v>0</v>
      </c>
      <c r="D15" s="17" t="s">
        <v>1</v>
      </c>
      <c r="E15" s="19" t="s">
        <v>24</v>
      </c>
      <c r="F15" s="19">
        <f t="shared" si="0"/>
        <v>3</v>
      </c>
      <c r="G15" s="17" t="s">
        <v>29</v>
      </c>
      <c r="H15" s="17" t="s">
        <v>14</v>
      </c>
      <c r="I15" s="17" t="s">
        <v>19</v>
      </c>
      <c r="J15" s="23" t="s">
        <v>232</v>
      </c>
      <c r="K15" s="19" t="s">
        <v>606</v>
      </c>
      <c r="L15" s="18">
        <v>3</v>
      </c>
      <c r="M15" s="18"/>
      <c r="N15" s="17">
        <f t="shared" si="1"/>
        <v>0</v>
      </c>
      <c r="O15" s="17">
        <f t="shared" si="2"/>
        <v>0</v>
      </c>
      <c r="P15" s="17">
        <f t="shared" si="3"/>
        <v>3</v>
      </c>
      <c r="Q15" s="17">
        <f t="shared" si="4"/>
        <v>0</v>
      </c>
      <c r="R15" s="17">
        <f t="shared" si="5"/>
        <v>0</v>
      </c>
      <c r="S15" s="17" t="s">
        <v>579</v>
      </c>
    </row>
    <row r="16" spans="1:20" ht="15" hidden="1" customHeight="1">
      <c r="B16" s="17">
        <f t="shared" si="6"/>
        <v>5</v>
      </c>
      <c r="C16" s="17" t="s">
        <v>0</v>
      </c>
      <c r="D16" s="17" t="s">
        <v>1</v>
      </c>
      <c r="E16" s="17" t="s">
        <v>25</v>
      </c>
      <c r="F16" s="17">
        <f t="shared" si="0"/>
        <v>6</v>
      </c>
      <c r="G16" s="17" t="s">
        <v>29</v>
      </c>
      <c r="H16" s="17" t="s">
        <v>15</v>
      </c>
      <c r="I16" s="17" t="s">
        <v>19</v>
      </c>
      <c r="J16" s="22" t="s">
        <v>233</v>
      </c>
      <c r="K16" s="17" t="s">
        <v>233</v>
      </c>
      <c r="L16" s="18">
        <v>2</v>
      </c>
      <c r="M16" s="18"/>
      <c r="N16" s="17">
        <f t="shared" si="1"/>
        <v>0</v>
      </c>
      <c r="O16" s="17">
        <f t="shared" si="2"/>
        <v>6</v>
      </c>
      <c r="P16" s="17">
        <f t="shared" si="3"/>
        <v>0</v>
      </c>
      <c r="Q16" s="17">
        <f t="shared" si="4"/>
        <v>0</v>
      </c>
      <c r="R16" s="17">
        <f t="shared" si="5"/>
        <v>0</v>
      </c>
      <c r="S16" s="17" t="s">
        <v>579</v>
      </c>
    </row>
    <row r="17" spans="2:19" ht="15" hidden="1" customHeight="1">
      <c r="B17" s="17">
        <f t="shared" si="6"/>
        <v>6</v>
      </c>
      <c r="C17" s="17" t="s">
        <v>0</v>
      </c>
      <c r="D17" s="17" t="s">
        <v>1</v>
      </c>
      <c r="E17" s="17" t="s">
        <v>26</v>
      </c>
      <c r="F17" s="17">
        <f t="shared" si="0"/>
        <v>3</v>
      </c>
      <c r="G17" s="17" t="s">
        <v>29</v>
      </c>
      <c r="H17" s="17" t="s">
        <v>16</v>
      </c>
      <c r="I17" s="17" t="s">
        <v>19</v>
      </c>
      <c r="J17" s="22" t="s">
        <v>234</v>
      </c>
      <c r="K17" s="17" t="s">
        <v>234</v>
      </c>
      <c r="L17" s="18">
        <v>2</v>
      </c>
      <c r="M17" s="18"/>
      <c r="N17" s="17">
        <f t="shared" si="1"/>
        <v>0</v>
      </c>
      <c r="O17" s="17">
        <f t="shared" si="2"/>
        <v>3</v>
      </c>
      <c r="P17" s="17">
        <f t="shared" si="3"/>
        <v>0</v>
      </c>
      <c r="Q17" s="17">
        <f t="shared" si="4"/>
        <v>0</v>
      </c>
      <c r="R17" s="17">
        <f t="shared" si="5"/>
        <v>0</v>
      </c>
      <c r="S17" s="17" t="s">
        <v>579</v>
      </c>
    </row>
    <row r="18" spans="2:19" ht="15" hidden="1" customHeight="1">
      <c r="B18" s="17">
        <f t="shared" si="6"/>
        <v>7</v>
      </c>
      <c r="C18" s="17" t="s">
        <v>0</v>
      </c>
      <c r="D18" s="17" t="s">
        <v>1</v>
      </c>
      <c r="E18" s="17" t="s">
        <v>27</v>
      </c>
      <c r="F18" s="17">
        <f t="shared" si="0"/>
        <v>3</v>
      </c>
      <c r="G18" s="17" t="s">
        <v>29</v>
      </c>
      <c r="H18" s="17" t="s">
        <v>17</v>
      </c>
      <c r="I18" s="17" t="s">
        <v>19</v>
      </c>
      <c r="J18" s="22" t="s">
        <v>235</v>
      </c>
      <c r="K18" s="17" t="s">
        <v>235</v>
      </c>
      <c r="L18" s="18">
        <v>2</v>
      </c>
      <c r="M18" s="18"/>
      <c r="N18" s="17">
        <f t="shared" si="1"/>
        <v>0</v>
      </c>
      <c r="O18" s="17">
        <f t="shared" si="2"/>
        <v>3</v>
      </c>
      <c r="P18" s="17">
        <f t="shared" si="3"/>
        <v>0</v>
      </c>
      <c r="Q18" s="17">
        <f t="shared" si="4"/>
        <v>0</v>
      </c>
      <c r="R18" s="17">
        <f t="shared" si="5"/>
        <v>0</v>
      </c>
      <c r="S18" s="17" t="s">
        <v>579</v>
      </c>
    </row>
    <row r="19" spans="2:19" ht="15" hidden="1" customHeight="1">
      <c r="B19" s="17">
        <f t="shared" si="6"/>
        <v>8</v>
      </c>
      <c r="C19" s="17" t="s">
        <v>0</v>
      </c>
      <c r="D19" s="17" t="s">
        <v>2</v>
      </c>
      <c r="E19" s="17" t="s">
        <v>22</v>
      </c>
      <c r="F19" s="17">
        <f t="shared" si="0"/>
        <v>10</v>
      </c>
      <c r="G19" s="17" t="s">
        <v>30</v>
      </c>
      <c r="H19" s="17" t="s">
        <v>12</v>
      </c>
      <c r="I19" s="17" t="s">
        <v>19</v>
      </c>
      <c r="J19" s="22" t="s">
        <v>236</v>
      </c>
      <c r="K19" s="17" t="s">
        <v>236</v>
      </c>
      <c r="L19" s="18">
        <v>2</v>
      </c>
      <c r="M19" s="18"/>
      <c r="N19" s="17">
        <f t="shared" si="1"/>
        <v>3</v>
      </c>
      <c r="O19" s="17">
        <f t="shared" si="2"/>
        <v>6</v>
      </c>
      <c r="P19" s="17">
        <f t="shared" si="3"/>
        <v>0</v>
      </c>
      <c r="Q19" s="17">
        <f t="shared" si="4"/>
        <v>1</v>
      </c>
      <c r="R19" s="17">
        <f t="shared" si="5"/>
        <v>0</v>
      </c>
      <c r="S19" s="17" t="s">
        <v>579</v>
      </c>
    </row>
    <row r="20" spans="2:19" ht="15" hidden="1" customHeight="1">
      <c r="B20" s="17">
        <f t="shared" si="6"/>
        <v>9</v>
      </c>
      <c r="C20" s="17" t="s">
        <v>0</v>
      </c>
      <c r="D20" s="17" t="s">
        <v>2</v>
      </c>
      <c r="E20" s="17" t="s">
        <v>35</v>
      </c>
      <c r="F20" s="17">
        <f t="shared" si="0"/>
        <v>3</v>
      </c>
      <c r="G20" s="17" t="s">
        <v>30</v>
      </c>
      <c r="H20" s="17" t="s">
        <v>31</v>
      </c>
      <c r="I20" s="17" t="s">
        <v>19</v>
      </c>
      <c r="J20" s="22" t="s">
        <v>237</v>
      </c>
      <c r="K20" s="17" t="s">
        <v>608</v>
      </c>
      <c r="L20" s="18">
        <v>2</v>
      </c>
      <c r="M20" s="18"/>
      <c r="N20" s="17">
        <f t="shared" si="1"/>
        <v>0</v>
      </c>
      <c r="O20" s="17">
        <f t="shared" si="2"/>
        <v>3</v>
      </c>
      <c r="P20" s="17">
        <f t="shared" si="3"/>
        <v>0</v>
      </c>
      <c r="Q20" s="17">
        <f t="shared" si="4"/>
        <v>0</v>
      </c>
      <c r="R20" s="17">
        <f t="shared" si="5"/>
        <v>0</v>
      </c>
      <c r="S20" s="17" t="s">
        <v>579</v>
      </c>
    </row>
    <row r="21" spans="2:19" ht="15" hidden="1" customHeight="1">
      <c r="B21" s="17">
        <f t="shared" si="6"/>
        <v>10</v>
      </c>
      <c r="C21" s="17" t="s">
        <v>0</v>
      </c>
      <c r="D21" s="17" t="s">
        <v>2</v>
      </c>
      <c r="E21" s="17" t="s">
        <v>36</v>
      </c>
      <c r="F21" s="17">
        <f t="shared" si="0"/>
        <v>2</v>
      </c>
      <c r="G21" s="17" t="s">
        <v>30</v>
      </c>
      <c r="H21" s="17" t="s">
        <v>32</v>
      </c>
      <c r="I21" s="17" t="s">
        <v>19</v>
      </c>
      <c r="J21" s="22" t="s">
        <v>238</v>
      </c>
      <c r="K21" s="17" t="s">
        <v>238</v>
      </c>
      <c r="L21" s="18">
        <v>2</v>
      </c>
      <c r="M21" s="18"/>
      <c r="N21" s="17">
        <f t="shared" si="1"/>
        <v>0</v>
      </c>
      <c r="O21" s="17">
        <f t="shared" si="2"/>
        <v>2</v>
      </c>
      <c r="P21" s="17">
        <f t="shared" si="3"/>
        <v>0</v>
      </c>
      <c r="Q21" s="17">
        <f t="shared" si="4"/>
        <v>0</v>
      </c>
      <c r="R21" s="17">
        <f t="shared" si="5"/>
        <v>0</v>
      </c>
      <c r="S21" s="17" t="s">
        <v>579</v>
      </c>
    </row>
    <row r="22" spans="2:19" ht="15" hidden="1" customHeight="1">
      <c r="B22" s="17">
        <f t="shared" si="6"/>
        <v>11</v>
      </c>
      <c r="C22" s="17" t="s">
        <v>0</v>
      </c>
      <c r="D22" s="17" t="s">
        <v>2</v>
      </c>
      <c r="E22" s="17" t="s">
        <v>37</v>
      </c>
      <c r="F22" s="17">
        <f t="shared" si="0"/>
        <v>3</v>
      </c>
      <c r="G22" s="17" t="s">
        <v>30</v>
      </c>
      <c r="H22" s="17" t="s">
        <v>33</v>
      </c>
      <c r="I22" s="17" t="s">
        <v>20</v>
      </c>
      <c r="J22" s="37" t="s">
        <v>239</v>
      </c>
      <c r="K22" s="20" t="s">
        <v>607</v>
      </c>
      <c r="L22" s="18">
        <v>5</v>
      </c>
      <c r="M22" s="18"/>
      <c r="N22" s="17">
        <f t="shared" si="1"/>
        <v>2</v>
      </c>
      <c r="O22" s="17">
        <f t="shared" si="2"/>
        <v>0</v>
      </c>
      <c r="P22" s="17">
        <f t="shared" si="3"/>
        <v>0</v>
      </c>
      <c r="Q22" s="17">
        <f t="shared" si="4"/>
        <v>0</v>
      </c>
      <c r="R22" s="17">
        <f t="shared" si="5"/>
        <v>1</v>
      </c>
      <c r="S22" s="17" t="s">
        <v>572</v>
      </c>
    </row>
    <row r="23" spans="2:19" ht="15" customHeight="1">
      <c r="B23" s="17">
        <f t="shared" si="6"/>
        <v>12</v>
      </c>
      <c r="C23" s="17" t="s">
        <v>0</v>
      </c>
      <c r="D23" s="17" t="s">
        <v>2</v>
      </c>
      <c r="E23" s="17" t="s">
        <v>38</v>
      </c>
      <c r="F23" s="17">
        <f t="shared" si="0"/>
        <v>3</v>
      </c>
      <c r="G23" s="17" t="s">
        <v>30</v>
      </c>
      <c r="H23" s="17" t="s">
        <v>34</v>
      </c>
      <c r="I23" s="17" t="s">
        <v>20</v>
      </c>
      <c r="J23" s="37" t="s">
        <v>240</v>
      </c>
      <c r="K23" s="20" t="s">
        <v>605</v>
      </c>
      <c r="L23" s="18">
        <v>1</v>
      </c>
      <c r="M23" s="18">
        <v>1</v>
      </c>
      <c r="N23" s="17">
        <f t="shared" si="1"/>
        <v>3</v>
      </c>
      <c r="O23" s="17">
        <f t="shared" si="2"/>
        <v>0</v>
      </c>
      <c r="P23" s="17">
        <f t="shared" si="3"/>
        <v>0</v>
      </c>
      <c r="Q23" s="17">
        <f t="shared" si="4"/>
        <v>0</v>
      </c>
      <c r="R23" s="17">
        <f t="shared" si="5"/>
        <v>0</v>
      </c>
      <c r="S23" s="17" t="s">
        <v>568</v>
      </c>
    </row>
    <row r="24" spans="2:19" ht="15" hidden="1" customHeight="1">
      <c r="B24" s="17">
        <f t="shared" si="6"/>
        <v>13</v>
      </c>
      <c r="C24" s="17" t="s">
        <v>0</v>
      </c>
      <c r="D24" s="17" t="s">
        <v>3</v>
      </c>
      <c r="E24" s="17" t="s">
        <v>47</v>
      </c>
      <c r="F24" s="17">
        <f t="shared" si="0"/>
        <v>6</v>
      </c>
      <c r="G24" s="17" t="s">
        <v>39</v>
      </c>
      <c r="H24" s="17" t="s">
        <v>40</v>
      </c>
      <c r="I24" s="17" t="s">
        <v>19</v>
      </c>
      <c r="J24" s="22" t="s">
        <v>242</v>
      </c>
      <c r="K24" s="17" t="s">
        <v>242</v>
      </c>
      <c r="L24" s="18">
        <v>2</v>
      </c>
      <c r="M24" s="18"/>
      <c r="N24" s="17">
        <f t="shared" si="1"/>
        <v>0</v>
      </c>
      <c r="O24" s="17">
        <f t="shared" si="2"/>
        <v>6</v>
      </c>
      <c r="P24" s="17">
        <f t="shared" si="3"/>
        <v>0</v>
      </c>
      <c r="Q24" s="17">
        <f t="shared" si="4"/>
        <v>0</v>
      </c>
      <c r="R24" s="17">
        <f t="shared" si="5"/>
        <v>0</v>
      </c>
      <c r="S24" s="17" t="s">
        <v>579</v>
      </c>
    </row>
    <row r="25" spans="2:19" ht="15" customHeight="1">
      <c r="B25" s="17">
        <f t="shared" si="6"/>
        <v>14</v>
      </c>
      <c r="C25" s="17" t="s">
        <v>0</v>
      </c>
      <c r="D25" s="17" t="s">
        <v>3</v>
      </c>
      <c r="E25" s="17" t="s">
        <v>21</v>
      </c>
      <c r="F25" s="17">
        <f t="shared" si="0"/>
        <v>12</v>
      </c>
      <c r="G25" s="17" t="s">
        <v>39</v>
      </c>
      <c r="H25" s="17" t="s">
        <v>11</v>
      </c>
      <c r="I25" s="17" t="s">
        <v>20</v>
      </c>
      <c r="J25" s="37" t="s">
        <v>243</v>
      </c>
      <c r="K25" s="20" t="s">
        <v>605</v>
      </c>
      <c r="L25" s="18">
        <v>1</v>
      </c>
      <c r="M25" s="18">
        <v>1</v>
      </c>
      <c r="N25" s="17">
        <f t="shared" si="1"/>
        <v>3</v>
      </c>
      <c r="O25" s="17">
        <f t="shared" si="2"/>
        <v>9</v>
      </c>
      <c r="P25" s="17">
        <f t="shared" si="3"/>
        <v>0</v>
      </c>
      <c r="Q25" s="17">
        <f t="shared" si="4"/>
        <v>0</v>
      </c>
      <c r="R25" s="17">
        <f t="shared" si="5"/>
        <v>0</v>
      </c>
      <c r="S25" s="17" t="s">
        <v>567</v>
      </c>
    </row>
    <row r="26" spans="2:19" ht="15" hidden="1" customHeight="1">
      <c r="B26" s="17">
        <f t="shared" si="6"/>
        <v>15</v>
      </c>
      <c r="C26" s="17" t="s">
        <v>0</v>
      </c>
      <c r="D26" s="17" t="s">
        <v>3</v>
      </c>
      <c r="E26" s="17" t="s">
        <v>48</v>
      </c>
      <c r="F26" s="17">
        <f t="shared" si="0"/>
        <v>3</v>
      </c>
      <c r="G26" s="17" t="s">
        <v>39</v>
      </c>
      <c r="H26" s="17" t="s">
        <v>41</v>
      </c>
      <c r="I26" s="17" t="s">
        <v>19</v>
      </c>
      <c r="J26" s="22" t="s">
        <v>244</v>
      </c>
      <c r="K26" s="17" t="s">
        <v>609</v>
      </c>
      <c r="L26" s="18">
        <v>3</v>
      </c>
      <c r="M26" s="18"/>
      <c r="N26" s="17">
        <f t="shared" si="1"/>
        <v>0</v>
      </c>
      <c r="O26" s="17">
        <f t="shared" si="2"/>
        <v>0</v>
      </c>
      <c r="P26" s="17">
        <f t="shared" si="3"/>
        <v>3</v>
      </c>
      <c r="Q26" s="17">
        <f t="shared" si="4"/>
        <v>0</v>
      </c>
      <c r="R26" s="17">
        <f t="shared" si="5"/>
        <v>0</v>
      </c>
      <c r="S26" s="17" t="s">
        <v>579</v>
      </c>
    </row>
    <row r="27" spans="2:19" ht="15" hidden="1" customHeight="1">
      <c r="B27" s="17">
        <f t="shared" si="6"/>
        <v>16</v>
      </c>
      <c r="C27" s="17" t="s">
        <v>0</v>
      </c>
      <c r="D27" s="17" t="s">
        <v>3</v>
      </c>
      <c r="E27" s="19" t="s">
        <v>49</v>
      </c>
      <c r="F27" s="19">
        <f t="shared" si="0"/>
        <v>3</v>
      </c>
      <c r="G27" s="17" t="s">
        <v>39</v>
      </c>
      <c r="H27" s="17" t="s">
        <v>42</v>
      </c>
      <c r="I27" s="17" t="s">
        <v>20</v>
      </c>
      <c r="J27" s="38" t="s">
        <v>245</v>
      </c>
      <c r="K27" s="42" t="s">
        <v>607</v>
      </c>
      <c r="L27" s="18">
        <v>4</v>
      </c>
      <c r="M27" s="18"/>
      <c r="N27" s="17">
        <f t="shared" si="1"/>
        <v>2</v>
      </c>
      <c r="O27" s="17">
        <f t="shared" si="2"/>
        <v>0</v>
      </c>
      <c r="P27" s="17">
        <f t="shared" si="3"/>
        <v>0</v>
      </c>
      <c r="Q27" s="17">
        <f t="shared" si="4"/>
        <v>1</v>
      </c>
      <c r="R27" s="17">
        <f t="shared" si="5"/>
        <v>0</v>
      </c>
      <c r="S27" s="17" t="s">
        <v>573</v>
      </c>
    </row>
    <row r="28" spans="2:19" ht="15" hidden="1" customHeight="1">
      <c r="B28" s="17">
        <f t="shared" si="6"/>
        <v>17</v>
      </c>
      <c r="C28" s="17" t="s">
        <v>0</v>
      </c>
      <c r="D28" s="17" t="s">
        <v>3</v>
      </c>
      <c r="E28" s="19" t="s">
        <v>419</v>
      </c>
      <c r="F28" s="19">
        <f t="shared" si="0"/>
        <v>3</v>
      </c>
      <c r="G28" s="17" t="s">
        <v>39</v>
      </c>
      <c r="H28" s="20" t="s">
        <v>43</v>
      </c>
      <c r="I28" s="20" t="s">
        <v>241</v>
      </c>
      <c r="J28" s="38" t="s">
        <v>246</v>
      </c>
      <c r="K28" s="42" t="s">
        <v>607</v>
      </c>
      <c r="L28" s="18">
        <v>4</v>
      </c>
      <c r="M28" s="18"/>
      <c r="N28" s="17">
        <f t="shared" si="1"/>
        <v>2</v>
      </c>
      <c r="O28" s="17">
        <f t="shared" si="2"/>
        <v>0</v>
      </c>
      <c r="P28" s="17">
        <f t="shared" si="3"/>
        <v>0</v>
      </c>
      <c r="Q28" s="17">
        <f t="shared" si="4"/>
        <v>1</v>
      </c>
      <c r="R28" s="17">
        <f t="shared" si="5"/>
        <v>0</v>
      </c>
      <c r="S28" s="20" t="s">
        <v>573</v>
      </c>
    </row>
    <row r="29" spans="2:19" ht="15" hidden="1" customHeight="1">
      <c r="B29" s="17">
        <f t="shared" si="6"/>
        <v>18</v>
      </c>
      <c r="C29" s="17" t="s">
        <v>0</v>
      </c>
      <c r="D29" s="17" t="s">
        <v>3</v>
      </c>
      <c r="E29" s="17" t="s">
        <v>50</v>
      </c>
      <c r="F29" s="17">
        <f t="shared" si="0"/>
        <v>3</v>
      </c>
      <c r="G29" s="17" t="s">
        <v>39</v>
      </c>
      <c r="H29" s="17" t="s">
        <v>44</v>
      </c>
      <c r="I29" s="17" t="s">
        <v>19</v>
      </c>
      <c r="J29" s="22" t="s">
        <v>247</v>
      </c>
      <c r="K29" s="17" t="s">
        <v>247</v>
      </c>
      <c r="L29" s="18">
        <v>2</v>
      </c>
      <c r="M29" s="18"/>
      <c r="N29" s="17">
        <f t="shared" si="1"/>
        <v>0</v>
      </c>
      <c r="O29" s="17">
        <f t="shared" si="2"/>
        <v>3</v>
      </c>
      <c r="P29" s="17">
        <f t="shared" si="3"/>
        <v>0</v>
      </c>
      <c r="Q29" s="17">
        <f t="shared" si="4"/>
        <v>0</v>
      </c>
      <c r="R29" s="17">
        <f t="shared" si="5"/>
        <v>0</v>
      </c>
      <c r="S29" s="17" t="s">
        <v>579</v>
      </c>
    </row>
    <row r="30" spans="2:19" ht="15" customHeight="1">
      <c r="B30" s="17">
        <f t="shared" si="6"/>
        <v>19</v>
      </c>
      <c r="C30" s="17" t="s">
        <v>0</v>
      </c>
      <c r="D30" s="17" t="s">
        <v>3</v>
      </c>
      <c r="E30" s="17" t="s">
        <v>51</v>
      </c>
      <c r="F30" s="17">
        <f t="shared" si="0"/>
        <v>3</v>
      </c>
      <c r="G30" s="17" t="s">
        <v>39</v>
      </c>
      <c r="H30" s="17" t="s">
        <v>45</v>
      </c>
      <c r="I30" s="17" t="s">
        <v>20</v>
      </c>
      <c r="J30" s="37" t="s">
        <v>248</v>
      </c>
      <c r="K30" s="20">
        <v>1</v>
      </c>
      <c r="L30" s="18">
        <v>1</v>
      </c>
      <c r="M30" s="18">
        <v>1</v>
      </c>
      <c r="N30" s="17">
        <f t="shared" si="1"/>
        <v>3</v>
      </c>
      <c r="O30" s="17">
        <f t="shared" si="2"/>
        <v>0</v>
      </c>
      <c r="P30" s="17">
        <f t="shared" si="3"/>
        <v>0</v>
      </c>
      <c r="Q30" s="17">
        <f t="shared" si="4"/>
        <v>0</v>
      </c>
      <c r="R30" s="17">
        <f t="shared" si="5"/>
        <v>0</v>
      </c>
      <c r="S30" s="17" t="s">
        <v>569</v>
      </c>
    </row>
    <row r="31" spans="2:19" ht="15" hidden="1" customHeight="1">
      <c r="B31" s="17">
        <f t="shared" si="6"/>
        <v>20</v>
      </c>
      <c r="C31" s="17" t="s">
        <v>0</v>
      </c>
      <c r="D31" s="17" t="s">
        <v>3</v>
      </c>
      <c r="E31" s="17" t="s">
        <v>52</v>
      </c>
      <c r="F31" s="17">
        <f t="shared" si="0"/>
        <v>1</v>
      </c>
      <c r="G31" s="17" t="s">
        <v>39</v>
      </c>
      <c r="H31" s="17" t="s">
        <v>46</v>
      </c>
      <c r="I31" s="17" t="s">
        <v>20</v>
      </c>
      <c r="J31" s="22" t="s">
        <v>249</v>
      </c>
      <c r="K31" s="17" t="s">
        <v>607</v>
      </c>
      <c r="L31" s="18">
        <v>5</v>
      </c>
      <c r="M31" s="18"/>
      <c r="N31" s="17">
        <f t="shared" si="1"/>
        <v>0</v>
      </c>
      <c r="O31" s="17">
        <f t="shared" si="2"/>
        <v>0</v>
      </c>
      <c r="P31" s="17">
        <f t="shared" si="3"/>
        <v>0</v>
      </c>
      <c r="Q31" s="17">
        <f t="shared" si="4"/>
        <v>0</v>
      </c>
      <c r="R31" s="17">
        <f t="shared" si="5"/>
        <v>1</v>
      </c>
      <c r="S31" s="17" t="s">
        <v>592</v>
      </c>
    </row>
    <row r="32" spans="2:19" ht="15" hidden="1" customHeight="1">
      <c r="B32" s="17">
        <f t="shared" si="6"/>
        <v>21</v>
      </c>
      <c r="C32" s="17" t="s">
        <v>0</v>
      </c>
      <c r="D32" s="17" t="s">
        <v>4</v>
      </c>
      <c r="E32" s="17" t="s">
        <v>21</v>
      </c>
      <c r="F32" s="17">
        <f t="shared" si="0"/>
        <v>12</v>
      </c>
      <c r="G32" s="17" t="s">
        <v>53</v>
      </c>
      <c r="H32" s="17" t="s">
        <v>11</v>
      </c>
      <c r="I32" s="17" t="s">
        <v>19</v>
      </c>
      <c r="J32" s="22" t="s">
        <v>250</v>
      </c>
      <c r="K32" s="17" t="s">
        <v>250</v>
      </c>
      <c r="L32" s="18">
        <v>2</v>
      </c>
      <c r="M32" s="18"/>
      <c r="N32" s="17">
        <f t="shared" si="1"/>
        <v>3</v>
      </c>
      <c r="O32" s="17">
        <f t="shared" si="2"/>
        <v>9</v>
      </c>
      <c r="P32" s="17">
        <f t="shared" si="3"/>
        <v>0</v>
      </c>
      <c r="Q32" s="17">
        <f t="shared" si="4"/>
        <v>0</v>
      </c>
      <c r="R32" s="17">
        <f t="shared" si="5"/>
        <v>0</v>
      </c>
      <c r="S32" s="17" t="s">
        <v>579</v>
      </c>
    </row>
    <row r="33" spans="2:19" ht="15" hidden="1" customHeight="1">
      <c r="B33" s="17">
        <f t="shared" si="6"/>
        <v>22</v>
      </c>
      <c r="C33" s="17" t="s">
        <v>0</v>
      </c>
      <c r="D33" s="17" t="s">
        <v>4</v>
      </c>
      <c r="E33" s="17" t="s">
        <v>22</v>
      </c>
      <c r="F33" s="17">
        <f t="shared" si="0"/>
        <v>10</v>
      </c>
      <c r="G33" s="17" t="s">
        <v>53</v>
      </c>
      <c r="H33" s="17" t="s">
        <v>12</v>
      </c>
      <c r="I33" s="17" t="s">
        <v>19</v>
      </c>
      <c r="J33" s="22" t="s">
        <v>251</v>
      </c>
      <c r="K33" s="17" t="s">
        <v>251</v>
      </c>
      <c r="L33" s="18">
        <v>2</v>
      </c>
      <c r="M33" s="18"/>
      <c r="N33" s="17">
        <f t="shared" si="1"/>
        <v>3</v>
      </c>
      <c r="O33" s="17">
        <f t="shared" si="2"/>
        <v>6</v>
      </c>
      <c r="P33" s="17">
        <f t="shared" si="3"/>
        <v>0</v>
      </c>
      <c r="Q33" s="17">
        <f t="shared" si="4"/>
        <v>1</v>
      </c>
      <c r="R33" s="17">
        <f t="shared" si="5"/>
        <v>0</v>
      </c>
      <c r="S33" s="17" t="s">
        <v>579</v>
      </c>
    </row>
    <row r="34" spans="2:19" ht="15" hidden="1" customHeight="1">
      <c r="B34" s="17">
        <f t="shared" si="6"/>
        <v>23</v>
      </c>
      <c r="C34" s="17" t="s">
        <v>0</v>
      </c>
      <c r="D34" s="17" t="s">
        <v>5</v>
      </c>
      <c r="E34" s="17" t="s">
        <v>21</v>
      </c>
      <c r="F34" s="17">
        <f t="shared" si="0"/>
        <v>12</v>
      </c>
      <c r="G34" s="17" t="s">
        <v>55</v>
      </c>
      <c r="H34" s="17" t="s">
        <v>11</v>
      </c>
      <c r="I34" s="17" t="s">
        <v>19</v>
      </c>
      <c r="J34" s="22" t="s">
        <v>252</v>
      </c>
      <c r="K34" s="17" t="s">
        <v>252</v>
      </c>
      <c r="L34" s="18">
        <v>2</v>
      </c>
      <c r="M34" s="18"/>
      <c r="N34" s="17">
        <f t="shared" si="1"/>
        <v>3</v>
      </c>
      <c r="O34" s="17">
        <f t="shared" si="2"/>
        <v>9</v>
      </c>
      <c r="P34" s="17">
        <f t="shared" si="3"/>
        <v>0</v>
      </c>
      <c r="Q34" s="17">
        <f t="shared" si="4"/>
        <v>0</v>
      </c>
      <c r="R34" s="17">
        <f t="shared" si="5"/>
        <v>0</v>
      </c>
      <c r="S34" s="17" t="s">
        <v>579</v>
      </c>
    </row>
    <row r="35" spans="2:19" ht="15" hidden="1" customHeight="1">
      <c r="B35" s="17">
        <f t="shared" si="6"/>
        <v>24</v>
      </c>
      <c r="C35" s="17" t="s">
        <v>0</v>
      </c>
      <c r="D35" s="17" t="s">
        <v>5</v>
      </c>
      <c r="E35" s="17" t="s">
        <v>47</v>
      </c>
      <c r="F35" s="17">
        <f t="shared" si="0"/>
        <v>6</v>
      </c>
      <c r="G35" s="17" t="s">
        <v>55</v>
      </c>
      <c r="H35" s="17" t="s">
        <v>40</v>
      </c>
      <c r="I35" s="17" t="s">
        <v>19</v>
      </c>
      <c r="J35" s="22" t="s">
        <v>253</v>
      </c>
      <c r="K35" s="17" t="s">
        <v>253</v>
      </c>
      <c r="L35" s="18">
        <v>2</v>
      </c>
      <c r="M35" s="18"/>
      <c r="N35" s="17">
        <f t="shared" si="1"/>
        <v>0</v>
      </c>
      <c r="O35" s="17">
        <f t="shared" si="2"/>
        <v>6</v>
      </c>
      <c r="P35" s="17">
        <f t="shared" si="3"/>
        <v>0</v>
      </c>
      <c r="Q35" s="17">
        <f t="shared" si="4"/>
        <v>0</v>
      </c>
      <c r="R35" s="17">
        <f t="shared" si="5"/>
        <v>0</v>
      </c>
      <c r="S35" s="17" t="s">
        <v>579</v>
      </c>
    </row>
    <row r="36" spans="2:19" ht="15" hidden="1" customHeight="1">
      <c r="B36" s="25">
        <f t="shared" si="6"/>
        <v>25</v>
      </c>
      <c r="C36" s="25" t="s">
        <v>6</v>
      </c>
      <c r="D36" s="25" t="s">
        <v>1</v>
      </c>
      <c r="E36" s="25" t="s">
        <v>21</v>
      </c>
      <c r="F36" s="25">
        <f t="shared" si="0"/>
        <v>12</v>
      </c>
      <c r="G36" s="25" t="s">
        <v>56</v>
      </c>
      <c r="H36" s="25" t="s">
        <v>11</v>
      </c>
      <c r="I36" s="25" t="s">
        <v>103</v>
      </c>
      <c r="J36" s="26" t="s">
        <v>254</v>
      </c>
      <c r="K36" s="25" t="s">
        <v>254</v>
      </c>
      <c r="L36" s="21">
        <v>2</v>
      </c>
      <c r="M36" s="21"/>
      <c r="N36" s="17">
        <f t="shared" si="1"/>
        <v>3</v>
      </c>
      <c r="O36" s="17">
        <f t="shared" si="2"/>
        <v>9</v>
      </c>
      <c r="P36" s="17">
        <f t="shared" si="3"/>
        <v>0</v>
      </c>
      <c r="Q36" s="17">
        <f t="shared" si="4"/>
        <v>0</v>
      </c>
      <c r="R36" s="17">
        <f t="shared" si="5"/>
        <v>0</v>
      </c>
      <c r="S36" s="25" t="s">
        <v>579</v>
      </c>
    </row>
    <row r="37" spans="2:19" ht="15" customHeight="1">
      <c r="B37" s="25">
        <f t="shared" si="6"/>
        <v>26</v>
      </c>
      <c r="C37" s="25" t="s">
        <v>6</v>
      </c>
      <c r="D37" s="25" t="s">
        <v>1</v>
      </c>
      <c r="E37" s="25" t="s">
        <v>22</v>
      </c>
      <c r="F37" s="25">
        <f t="shared" si="0"/>
        <v>10</v>
      </c>
      <c r="G37" s="25" t="s">
        <v>56</v>
      </c>
      <c r="H37" s="25" t="s">
        <v>12</v>
      </c>
      <c r="I37" s="25" t="s">
        <v>104</v>
      </c>
      <c r="J37" s="28" t="s">
        <v>255</v>
      </c>
      <c r="K37" s="20" t="s">
        <v>605</v>
      </c>
      <c r="L37" s="21">
        <v>1</v>
      </c>
      <c r="M37" s="21">
        <v>1</v>
      </c>
      <c r="N37" s="17">
        <f t="shared" si="1"/>
        <v>3</v>
      </c>
      <c r="O37" s="17">
        <f t="shared" si="2"/>
        <v>6</v>
      </c>
      <c r="P37" s="17">
        <f t="shared" si="3"/>
        <v>0</v>
      </c>
      <c r="Q37" s="17">
        <f t="shared" si="4"/>
        <v>1</v>
      </c>
      <c r="R37" s="17">
        <f t="shared" si="5"/>
        <v>0</v>
      </c>
      <c r="S37" s="25" t="s">
        <v>567</v>
      </c>
    </row>
    <row r="38" spans="2:19" ht="15" hidden="1" customHeight="1">
      <c r="B38" s="25">
        <f t="shared" si="6"/>
        <v>27</v>
      </c>
      <c r="C38" s="25" t="s">
        <v>6</v>
      </c>
      <c r="D38" s="25" t="s">
        <v>1</v>
      </c>
      <c r="E38" s="25" t="s">
        <v>420</v>
      </c>
      <c r="F38" s="25">
        <f t="shared" si="0"/>
        <v>2</v>
      </c>
      <c r="G38" s="25" t="s">
        <v>56</v>
      </c>
      <c r="H38" s="25" t="s">
        <v>57</v>
      </c>
      <c r="I38" s="25" t="s">
        <v>103</v>
      </c>
      <c r="J38" s="26" t="s">
        <v>256</v>
      </c>
      <c r="K38" s="25" t="s">
        <v>256</v>
      </c>
      <c r="L38" s="21">
        <v>2</v>
      </c>
      <c r="M38" s="21"/>
      <c r="N38" s="17">
        <f t="shared" si="1"/>
        <v>0</v>
      </c>
      <c r="O38" s="17">
        <f t="shared" si="2"/>
        <v>2</v>
      </c>
      <c r="P38" s="17">
        <f t="shared" si="3"/>
        <v>0</v>
      </c>
      <c r="Q38" s="17">
        <f t="shared" si="4"/>
        <v>0</v>
      </c>
      <c r="R38" s="17">
        <f t="shared" si="5"/>
        <v>0</v>
      </c>
      <c r="S38" s="25" t="s">
        <v>579</v>
      </c>
    </row>
    <row r="39" spans="2:19" ht="15" hidden="1" customHeight="1">
      <c r="B39" s="25">
        <f t="shared" si="6"/>
        <v>28</v>
      </c>
      <c r="C39" s="25" t="s">
        <v>6</v>
      </c>
      <c r="D39" s="25" t="s">
        <v>1</v>
      </c>
      <c r="E39" s="25" t="s">
        <v>421</v>
      </c>
      <c r="F39" s="25">
        <f t="shared" si="0"/>
        <v>2</v>
      </c>
      <c r="G39" s="25" t="s">
        <v>56</v>
      </c>
      <c r="H39" s="25" t="s">
        <v>58</v>
      </c>
      <c r="I39" s="25" t="s">
        <v>103</v>
      </c>
      <c r="J39" s="26" t="s">
        <v>257</v>
      </c>
      <c r="K39" s="25" t="s">
        <v>257</v>
      </c>
      <c r="L39" s="21">
        <v>2</v>
      </c>
      <c r="M39" s="21"/>
      <c r="N39" s="17">
        <f t="shared" si="1"/>
        <v>0</v>
      </c>
      <c r="O39" s="17">
        <f t="shared" si="2"/>
        <v>2</v>
      </c>
      <c r="P39" s="17">
        <f t="shared" si="3"/>
        <v>0</v>
      </c>
      <c r="Q39" s="17">
        <f t="shared" si="4"/>
        <v>0</v>
      </c>
      <c r="R39" s="17">
        <f t="shared" si="5"/>
        <v>0</v>
      </c>
      <c r="S39" s="25" t="s">
        <v>579</v>
      </c>
    </row>
    <row r="40" spans="2:19" ht="15" hidden="1" customHeight="1">
      <c r="B40" s="25">
        <f t="shared" si="6"/>
        <v>29</v>
      </c>
      <c r="C40" s="25" t="s">
        <v>6</v>
      </c>
      <c r="D40" s="25" t="s">
        <v>1</v>
      </c>
      <c r="E40" s="25" t="s">
        <v>422</v>
      </c>
      <c r="F40" s="25">
        <f t="shared" si="0"/>
        <v>2</v>
      </c>
      <c r="G40" s="25" t="s">
        <v>56</v>
      </c>
      <c r="H40" s="25" t="s">
        <v>59</v>
      </c>
      <c r="I40" s="25" t="s">
        <v>103</v>
      </c>
      <c r="J40" s="26" t="s">
        <v>258</v>
      </c>
      <c r="K40" s="25" t="s">
        <v>258</v>
      </c>
      <c r="L40" s="21">
        <v>2</v>
      </c>
      <c r="M40" s="21"/>
      <c r="N40" s="17">
        <f t="shared" si="1"/>
        <v>0</v>
      </c>
      <c r="O40" s="17">
        <f t="shared" si="2"/>
        <v>2</v>
      </c>
      <c r="P40" s="17">
        <f t="shared" si="3"/>
        <v>0</v>
      </c>
      <c r="Q40" s="17">
        <f t="shared" si="4"/>
        <v>0</v>
      </c>
      <c r="R40" s="17">
        <f t="shared" si="5"/>
        <v>0</v>
      </c>
      <c r="S40" s="25" t="s">
        <v>579</v>
      </c>
    </row>
    <row r="41" spans="2:19" ht="15" customHeight="1">
      <c r="B41" s="25">
        <f t="shared" si="6"/>
        <v>30</v>
      </c>
      <c r="C41" s="25" t="s">
        <v>6</v>
      </c>
      <c r="D41" s="25" t="s">
        <v>1</v>
      </c>
      <c r="E41" s="25" t="s">
        <v>23</v>
      </c>
      <c r="F41" s="25">
        <f t="shared" si="0"/>
        <v>3</v>
      </c>
      <c r="G41" s="25" t="s">
        <v>56</v>
      </c>
      <c r="H41" s="25" t="s">
        <v>13</v>
      </c>
      <c r="I41" s="25" t="s">
        <v>104</v>
      </c>
      <c r="J41" s="28" t="s">
        <v>231</v>
      </c>
      <c r="K41" s="27" t="s">
        <v>607</v>
      </c>
      <c r="L41" s="21">
        <v>1</v>
      </c>
      <c r="M41" s="21">
        <v>5</v>
      </c>
      <c r="N41" s="17">
        <f t="shared" si="1"/>
        <v>2</v>
      </c>
      <c r="O41" s="17">
        <f t="shared" si="2"/>
        <v>0</v>
      </c>
      <c r="P41" s="17">
        <f t="shared" si="3"/>
        <v>0</v>
      </c>
      <c r="Q41" s="17">
        <f t="shared" si="4"/>
        <v>0</v>
      </c>
      <c r="R41" s="17">
        <f t="shared" si="5"/>
        <v>1</v>
      </c>
      <c r="S41" s="25" t="s">
        <v>570</v>
      </c>
    </row>
    <row r="42" spans="2:19" ht="15" hidden="1" customHeight="1">
      <c r="B42" s="25">
        <f t="shared" si="6"/>
        <v>31</v>
      </c>
      <c r="C42" s="25" t="s">
        <v>6</v>
      </c>
      <c r="D42" s="25" t="s">
        <v>1</v>
      </c>
      <c r="E42" s="25" t="s">
        <v>24</v>
      </c>
      <c r="F42" s="25">
        <f t="shared" si="0"/>
        <v>3</v>
      </c>
      <c r="G42" s="25" t="s">
        <v>56</v>
      </c>
      <c r="H42" s="25" t="s">
        <v>14</v>
      </c>
      <c r="I42" s="25" t="s">
        <v>103</v>
      </c>
      <c r="J42" s="26" t="s">
        <v>232</v>
      </c>
      <c r="K42" s="27" t="s">
        <v>610</v>
      </c>
      <c r="L42" s="21">
        <v>3</v>
      </c>
      <c r="M42" s="21"/>
      <c r="N42" s="17">
        <f t="shared" si="1"/>
        <v>0</v>
      </c>
      <c r="O42" s="17">
        <f t="shared" si="2"/>
        <v>0</v>
      </c>
      <c r="P42" s="17">
        <f t="shared" si="3"/>
        <v>3</v>
      </c>
      <c r="Q42" s="17">
        <f t="shared" si="4"/>
        <v>0</v>
      </c>
      <c r="R42" s="17">
        <f t="shared" si="5"/>
        <v>0</v>
      </c>
      <c r="S42" s="25" t="s">
        <v>579</v>
      </c>
    </row>
    <row r="43" spans="2:19" ht="15" hidden="1" customHeight="1">
      <c r="B43" s="25">
        <f t="shared" si="6"/>
        <v>32</v>
      </c>
      <c r="C43" s="25" t="s">
        <v>6</v>
      </c>
      <c r="D43" s="25" t="s">
        <v>1</v>
      </c>
      <c r="E43" s="25" t="s">
        <v>25</v>
      </c>
      <c r="F43" s="25">
        <f t="shared" si="0"/>
        <v>6</v>
      </c>
      <c r="G43" s="25" t="s">
        <v>56</v>
      </c>
      <c r="H43" s="25" t="s">
        <v>15</v>
      </c>
      <c r="I43" s="25" t="s">
        <v>103</v>
      </c>
      <c r="J43" s="26" t="s">
        <v>233</v>
      </c>
      <c r="K43" s="25" t="s">
        <v>233</v>
      </c>
      <c r="L43" s="21">
        <v>2</v>
      </c>
      <c r="M43" s="21"/>
      <c r="N43" s="17">
        <f t="shared" si="1"/>
        <v>0</v>
      </c>
      <c r="O43" s="17">
        <f t="shared" si="2"/>
        <v>6</v>
      </c>
      <c r="P43" s="17">
        <f t="shared" si="3"/>
        <v>0</v>
      </c>
      <c r="Q43" s="17">
        <f t="shared" si="4"/>
        <v>0</v>
      </c>
      <c r="R43" s="17">
        <f t="shared" si="5"/>
        <v>0</v>
      </c>
      <c r="S43" s="25" t="s">
        <v>579</v>
      </c>
    </row>
    <row r="44" spans="2:19" ht="15" hidden="1" customHeight="1">
      <c r="B44" s="25">
        <f t="shared" si="6"/>
        <v>33</v>
      </c>
      <c r="C44" s="25" t="s">
        <v>6</v>
      </c>
      <c r="D44" s="25" t="s">
        <v>1</v>
      </c>
      <c r="E44" s="25" t="s">
        <v>26</v>
      </c>
      <c r="F44" s="25">
        <f t="shared" si="0"/>
        <v>3</v>
      </c>
      <c r="G44" s="25" t="s">
        <v>56</v>
      </c>
      <c r="H44" s="25" t="s">
        <v>16</v>
      </c>
      <c r="I44" s="25" t="s">
        <v>103</v>
      </c>
      <c r="J44" s="26" t="s">
        <v>234</v>
      </c>
      <c r="K44" s="25" t="s">
        <v>234</v>
      </c>
      <c r="L44" s="21">
        <v>2</v>
      </c>
      <c r="M44" s="21"/>
      <c r="N44" s="17">
        <f t="shared" si="1"/>
        <v>0</v>
      </c>
      <c r="O44" s="17">
        <f t="shared" si="2"/>
        <v>3</v>
      </c>
      <c r="P44" s="17">
        <f t="shared" si="3"/>
        <v>0</v>
      </c>
      <c r="Q44" s="17">
        <f t="shared" si="4"/>
        <v>0</v>
      </c>
      <c r="R44" s="17">
        <f t="shared" si="5"/>
        <v>0</v>
      </c>
      <c r="S44" s="25" t="s">
        <v>579</v>
      </c>
    </row>
    <row r="45" spans="2:19" ht="15" hidden="1" customHeight="1">
      <c r="B45" s="25">
        <f t="shared" si="6"/>
        <v>34</v>
      </c>
      <c r="C45" s="25" t="s">
        <v>6</v>
      </c>
      <c r="D45" s="25" t="s">
        <v>1</v>
      </c>
      <c r="E45" s="25" t="s">
        <v>27</v>
      </c>
      <c r="F45" s="25">
        <f t="shared" si="0"/>
        <v>3</v>
      </c>
      <c r="G45" s="25" t="s">
        <v>56</v>
      </c>
      <c r="H45" s="25" t="s">
        <v>17</v>
      </c>
      <c r="I45" s="25" t="s">
        <v>103</v>
      </c>
      <c r="J45" s="26" t="s">
        <v>235</v>
      </c>
      <c r="K45" s="25" t="s">
        <v>235</v>
      </c>
      <c r="L45" s="21">
        <v>2</v>
      </c>
      <c r="M45" s="21"/>
      <c r="N45" s="17">
        <f t="shared" si="1"/>
        <v>0</v>
      </c>
      <c r="O45" s="17">
        <f t="shared" si="2"/>
        <v>3</v>
      </c>
      <c r="P45" s="17">
        <f t="shared" si="3"/>
        <v>0</v>
      </c>
      <c r="Q45" s="17">
        <f t="shared" si="4"/>
        <v>0</v>
      </c>
      <c r="R45" s="17">
        <f t="shared" si="5"/>
        <v>0</v>
      </c>
      <c r="S45" s="25" t="s">
        <v>579</v>
      </c>
    </row>
    <row r="46" spans="2:19" ht="15" hidden="1" customHeight="1">
      <c r="B46" s="25">
        <f t="shared" si="6"/>
        <v>35</v>
      </c>
      <c r="C46" s="25" t="s">
        <v>6</v>
      </c>
      <c r="D46" s="25" t="s">
        <v>1</v>
      </c>
      <c r="E46" s="25" t="s">
        <v>423</v>
      </c>
      <c r="F46" s="25">
        <f t="shared" si="0"/>
        <v>1</v>
      </c>
      <c r="G46" s="25" t="s">
        <v>56</v>
      </c>
      <c r="H46" s="25" t="s">
        <v>60</v>
      </c>
      <c r="I46" s="25" t="s">
        <v>103</v>
      </c>
      <c r="J46" s="26" t="s">
        <v>259</v>
      </c>
      <c r="K46" s="27" t="s">
        <v>611</v>
      </c>
      <c r="L46" s="21">
        <v>3</v>
      </c>
      <c r="M46" s="21"/>
      <c r="N46" s="17">
        <f t="shared" si="1"/>
        <v>0</v>
      </c>
      <c r="O46" s="17">
        <f t="shared" si="2"/>
        <v>0</v>
      </c>
      <c r="P46" s="17">
        <f t="shared" si="3"/>
        <v>1</v>
      </c>
      <c r="Q46" s="17">
        <f t="shared" si="4"/>
        <v>0</v>
      </c>
      <c r="R46" s="17">
        <f t="shared" si="5"/>
        <v>0</v>
      </c>
      <c r="S46" s="25" t="s">
        <v>579</v>
      </c>
    </row>
    <row r="47" spans="2:19" ht="15" hidden="1" customHeight="1">
      <c r="B47" s="25">
        <f t="shared" si="6"/>
        <v>36</v>
      </c>
      <c r="C47" s="25" t="s">
        <v>6</v>
      </c>
      <c r="D47" s="25" t="s">
        <v>1</v>
      </c>
      <c r="E47" s="25" t="s">
        <v>424</v>
      </c>
      <c r="F47" s="25">
        <f t="shared" si="0"/>
        <v>1</v>
      </c>
      <c r="G47" s="25" t="s">
        <v>56</v>
      </c>
      <c r="H47" s="25" t="s">
        <v>61</v>
      </c>
      <c r="I47" s="25" t="s">
        <v>103</v>
      </c>
      <c r="J47" s="26" t="s">
        <v>260</v>
      </c>
      <c r="K47" s="27" t="s">
        <v>612</v>
      </c>
      <c r="L47" s="21">
        <v>3</v>
      </c>
      <c r="M47" s="21"/>
      <c r="N47" s="17">
        <f t="shared" si="1"/>
        <v>0</v>
      </c>
      <c r="O47" s="17">
        <f t="shared" si="2"/>
        <v>0</v>
      </c>
      <c r="P47" s="17">
        <f t="shared" si="3"/>
        <v>1</v>
      </c>
      <c r="Q47" s="17">
        <f t="shared" si="4"/>
        <v>0</v>
      </c>
      <c r="R47" s="17">
        <f t="shared" si="5"/>
        <v>0</v>
      </c>
      <c r="S47" s="25" t="s">
        <v>579</v>
      </c>
    </row>
    <row r="48" spans="2:19" ht="15" hidden="1" customHeight="1">
      <c r="B48" s="25">
        <f t="shared" si="6"/>
        <v>37</v>
      </c>
      <c r="C48" s="25" t="s">
        <v>6</v>
      </c>
      <c r="D48" s="25" t="s">
        <v>1</v>
      </c>
      <c r="E48" s="25" t="s">
        <v>425</v>
      </c>
      <c r="F48" s="25">
        <f t="shared" si="0"/>
        <v>1</v>
      </c>
      <c r="G48" s="25" t="s">
        <v>56</v>
      </c>
      <c r="H48" s="25" t="s">
        <v>62</v>
      </c>
      <c r="I48" s="25" t="s">
        <v>103</v>
      </c>
      <c r="J48" s="26" t="s">
        <v>261</v>
      </c>
      <c r="K48" s="25" t="s">
        <v>261</v>
      </c>
      <c r="L48" s="21">
        <v>2</v>
      </c>
      <c r="M48" s="21"/>
      <c r="N48" s="17">
        <f t="shared" si="1"/>
        <v>0</v>
      </c>
      <c r="O48" s="17">
        <f t="shared" si="2"/>
        <v>1</v>
      </c>
      <c r="P48" s="17">
        <f t="shared" si="3"/>
        <v>0</v>
      </c>
      <c r="Q48" s="17">
        <f t="shared" si="4"/>
        <v>0</v>
      </c>
      <c r="R48" s="17">
        <f t="shared" si="5"/>
        <v>0</v>
      </c>
      <c r="S48" s="25" t="s">
        <v>579</v>
      </c>
    </row>
    <row r="49" spans="2:19" ht="15" hidden="1" customHeight="1">
      <c r="B49" s="25">
        <f t="shared" si="6"/>
        <v>38</v>
      </c>
      <c r="C49" s="25" t="s">
        <v>6</v>
      </c>
      <c r="D49" s="25" t="s">
        <v>1</v>
      </c>
      <c r="E49" s="25" t="s">
        <v>426</v>
      </c>
      <c r="F49" s="25">
        <f t="shared" si="0"/>
        <v>1</v>
      </c>
      <c r="G49" s="25" t="s">
        <v>56</v>
      </c>
      <c r="H49" s="25" t="s">
        <v>63</v>
      </c>
      <c r="I49" s="25" t="s">
        <v>103</v>
      </c>
      <c r="J49" s="26" t="s">
        <v>262</v>
      </c>
      <c r="K49" s="25" t="s">
        <v>262</v>
      </c>
      <c r="L49" s="21">
        <v>2</v>
      </c>
      <c r="M49" s="21"/>
      <c r="N49" s="17">
        <f t="shared" si="1"/>
        <v>0</v>
      </c>
      <c r="O49" s="17">
        <f t="shared" si="2"/>
        <v>1</v>
      </c>
      <c r="P49" s="17">
        <f t="shared" si="3"/>
        <v>0</v>
      </c>
      <c r="Q49" s="17">
        <f t="shared" si="4"/>
        <v>0</v>
      </c>
      <c r="R49" s="17">
        <f t="shared" si="5"/>
        <v>0</v>
      </c>
      <c r="S49" s="25" t="s">
        <v>579</v>
      </c>
    </row>
    <row r="50" spans="2:19" ht="15" hidden="1" customHeight="1">
      <c r="B50" s="25">
        <f t="shared" si="6"/>
        <v>39</v>
      </c>
      <c r="C50" s="25" t="s">
        <v>6</v>
      </c>
      <c r="D50" s="25" t="s">
        <v>1</v>
      </c>
      <c r="E50" s="25" t="s">
        <v>427</v>
      </c>
      <c r="F50" s="25">
        <f t="shared" si="0"/>
        <v>1</v>
      </c>
      <c r="G50" s="25" t="s">
        <v>56</v>
      </c>
      <c r="H50" s="25" t="s">
        <v>64</v>
      </c>
      <c r="I50" s="25" t="s">
        <v>103</v>
      </c>
      <c r="J50" s="26" t="s">
        <v>263</v>
      </c>
      <c r="K50" s="25" t="s">
        <v>263</v>
      </c>
      <c r="L50" s="21">
        <v>2</v>
      </c>
      <c r="M50" s="21"/>
      <c r="N50" s="17">
        <f t="shared" si="1"/>
        <v>0</v>
      </c>
      <c r="O50" s="17">
        <f t="shared" si="2"/>
        <v>1</v>
      </c>
      <c r="P50" s="17">
        <f t="shared" si="3"/>
        <v>0</v>
      </c>
      <c r="Q50" s="17">
        <f t="shared" si="4"/>
        <v>0</v>
      </c>
      <c r="R50" s="17">
        <f t="shared" si="5"/>
        <v>0</v>
      </c>
      <c r="S50" s="25" t="s">
        <v>579</v>
      </c>
    </row>
    <row r="51" spans="2:19" ht="15" hidden="1" customHeight="1">
      <c r="B51" s="25">
        <f t="shared" si="6"/>
        <v>40</v>
      </c>
      <c r="C51" s="25" t="s">
        <v>6</v>
      </c>
      <c r="D51" s="25" t="s">
        <v>1</v>
      </c>
      <c r="E51" s="25" t="s">
        <v>428</v>
      </c>
      <c r="F51" s="25">
        <f t="shared" si="0"/>
        <v>1</v>
      </c>
      <c r="G51" s="25" t="s">
        <v>56</v>
      </c>
      <c r="H51" s="25" t="s">
        <v>65</v>
      </c>
      <c r="I51" s="25" t="s">
        <v>104</v>
      </c>
      <c r="J51" s="28" t="s">
        <v>264</v>
      </c>
      <c r="K51" s="44" t="s">
        <v>613</v>
      </c>
      <c r="L51" s="21">
        <v>5</v>
      </c>
      <c r="M51" s="21"/>
      <c r="N51" s="17">
        <f t="shared" si="1"/>
        <v>0</v>
      </c>
      <c r="O51" s="17">
        <f t="shared" si="2"/>
        <v>0</v>
      </c>
      <c r="P51" s="17">
        <f t="shared" si="3"/>
        <v>0</v>
      </c>
      <c r="Q51" s="17">
        <f t="shared" si="4"/>
        <v>0</v>
      </c>
      <c r="R51" s="17">
        <f t="shared" si="5"/>
        <v>1</v>
      </c>
      <c r="S51" s="25" t="s">
        <v>586</v>
      </c>
    </row>
    <row r="52" spans="2:19" ht="15" hidden="1" customHeight="1">
      <c r="B52" s="25">
        <f t="shared" si="6"/>
        <v>41</v>
      </c>
      <c r="C52" s="25" t="s">
        <v>6</v>
      </c>
      <c r="D52" s="25" t="s">
        <v>1</v>
      </c>
      <c r="E52" s="25" t="s">
        <v>429</v>
      </c>
      <c r="F52" s="25">
        <f t="shared" si="0"/>
        <v>1</v>
      </c>
      <c r="G52" s="25" t="s">
        <v>56</v>
      </c>
      <c r="H52" s="25" t="s">
        <v>66</v>
      </c>
      <c r="I52" s="25" t="s">
        <v>104</v>
      </c>
      <c r="J52" s="28" t="s">
        <v>264</v>
      </c>
      <c r="K52" s="44" t="s">
        <v>613</v>
      </c>
      <c r="L52" s="21">
        <v>5</v>
      </c>
      <c r="M52" s="21"/>
      <c r="N52" s="17">
        <f t="shared" si="1"/>
        <v>0</v>
      </c>
      <c r="O52" s="17">
        <f t="shared" si="2"/>
        <v>0</v>
      </c>
      <c r="P52" s="17">
        <f t="shared" si="3"/>
        <v>0</v>
      </c>
      <c r="Q52" s="17">
        <f t="shared" si="4"/>
        <v>0</v>
      </c>
      <c r="R52" s="17">
        <f t="shared" si="5"/>
        <v>1</v>
      </c>
      <c r="S52" s="25" t="s">
        <v>586</v>
      </c>
    </row>
    <row r="53" spans="2:19" ht="15" hidden="1" customHeight="1">
      <c r="B53" s="25">
        <f t="shared" si="6"/>
        <v>42</v>
      </c>
      <c r="C53" s="25" t="s">
        <v>6</v>
      </c>
      <c r="D53" s="25" t="s">
        <v>1</v>
      </c>
      <c r="E53" s="25" t="s">
        <v>430</v>
      </c>
      <c r="F53" s="25">
        <f t="shared" si="0"/>
        <v>1</v>
      </c>
      <c r="G53" s="25" t="s">
        <v>56</v>
      </c>
      <c r="H53" s="25" t="s">
        <v>67</v>
      </c>
      <c r="I53" s="25" t="s">
        <v>103</v>
      </c>
      <c r="J53" s="26" t="s">
        <v>265</v>
      </c>
      <c r="K53" s="27" t="s">
        <v>614</v>
      </c>
      <c r="L53" s="21">
        <v>3</v>
      </c>
      <c r="M53" s="21"/>
      <c r="N53" s="17">
        <f t="shared" si="1"/>
        <v>0</v>
      </c>
      <c r="O53" s="17">
        <f t="shared" si="2"/>
        <v>0</v>
      </c>
      <c r="P53" s="17">
        <f t="shared" si="3"/>
        <v>1</v>
      </c>
      <c r="Q53" s="17">
        <f t="shared" si="4"/>
        <v>0</v>
      </c>
      <c r="R53" s="17">
        <f t="shared" si="5"/>
        <v>0</v>
      </c>
      <c r="S53" s="25" t="s">
        <v>579</v>
      </c>
    </row>
    <row r="54" spans="2:19" ht="15" hidden="1" customHeight="1">
      <c r="B54" s="25">
        <f t="shared" si="6"/>
        <v>43</v>
      </c>
      <c r="C54" s="25" t="s">
        <v>6</v>
      </c>
      <c r="D54" s="25" t="s">
        <v>1</v>
      </c>
      <c r="E54" s="25" t="s">
        <v>431</v>
      </c>
      <c r="F54" s="25">
        <f t="shared" si="0"/>
        <v>1</v>
      </c>
      <c r="G54" s="25" t="s">
        <v>56</v>
      </c>
      <c r="H54" s="25" t="s">
        <v>68</v>
      </c>
      <c r="I54" s="25" t="s">
        <v>103</v>
      </c>
      <c r="J54" s="26" t="s">
        <v>266</v>
      </c>
      <c r="K54" s="25" t="s">
        <v>266</v>
      </c>
      <c r="L54" s="21">
        <v>2</v>
      </c>
      <c r="M54" s="21"/>
      <c r="N54" s="17">
        <f t="shared" si="1"/>
        <v>0</v>
      </c>
      <c r="O54" s="17">
        <f t="shared" si="2"/>
        <v>1</v>
      </c>
      <c r="P54" s="17">
        <f t="shared" si="3"/>
        <v>0</v>
      </c>
      <c r="Q54" s="17">
        <f t="shared" si="4"/>
        <v>0</v>
      </c>
      <c r="R54" s="17">
        <f t="shared" si="5"/>
        <v>0</v>
      </c>
      <c r="S54" s="25" t="s">
        <v>579</v>
      </c>
    </row>
    <row r="55" spans="2:19" ht="15" hidden="1" customHeight="1">
      <c r="B55" s="25">
        <f t="shared" si="6"/>
        <v>44</v>
      </c>
      <c r="C55" s="25" t="s">
        <v>6</v>
      </c>
      <c r="D55" s="25" t="s">
        <v>1</v>
      </c>
      <c r="E55" s="25" t="s">
        <v>432</v>
      </c>
      <c r="F55" s="25">
        <f t="shared" si="0"/>
        <v>1</v>
      </c>
      <c r="G55" s="25" t="s">
        <v>56</v>
      </c>
      <c r="H55" s="25" t="s">
        <v>69</v>
      </c>
      <c r="I55" s="25" t="s">
        <v>103</v>
      </c>
      <c r="J55" s="26" t="s">
        <v>267</v>
      </c>
      <c r="K55" s="27" t="s">
        <v>615</v>
      </c>
      <c r="L55" s="21">
        <v>3</v>
      </c>
      <c r="M55" s="21"/>
      <c r="N55" s="17">
        <f t="shared" si="1"/>
        <v>0</v>
      </c>
      <c r="O55" s="17">
        <f t="shared" si="2"/>
        <v>0</v>
      </c>
      <c r="P55" s="17">
        <f t="shared" si="3"/>
        <v>1</v>
      </c>
      <c r="Q55" s="17">
        <f t="shared" si="4"/>
        <v>0</v>
      </c>
      <c r="R55" s="17">
        <f t="shared" si="5"/>
        <v>0</v>
      </c>
      <c r="S55" s="25" t="s">
        <v>579</v>
      </c>
    </row>
    <row r="56" spans="2:19" ht="15" hidden="1" customHeight="1">
      <c r="B56" s="25">
        <f t="shared" si="6"/>
        <v>45</v>
      </c>
      <c r="C56" s="25" t="s">
        <v>6</v>
      </c>
      <c r="D56" s="25" t="s">
        <v>1</v>
      </c>
      <c r="E56" s="25" t="s">
        <v>433</v>
      </c>
      <c r="F56" s="25">
        <f t="shared" si="0"/>
        <v>3</v>
      </c>
      <c r="G56" s="25" t="s">
        <v>56</v>
      </c>
      <c r="H56" s="25" t="s">
        <v>70</v>
      </c>
      <c r="I56" s="25" t="s">
        <v>103</v>
      </c>
      <c r="J56" s="26" t="s">
        <v>268</v>
      </c>
      <c r="K56" s="25" t="s">
        <v>268</v>
      </c>
      <c r="L56" s="21">
        <v>2</v>
      </c>
      <c r="M56" s="21"/>
      <c r="N56" s="17">
        <f t="shared" si="1"/>
        <v>0</v>
      </c>
      <c r="O56" s="17">
        <f t="shared" si="2"/>
        <v>3</v>
      </c>
      <c r="P56" s="17">
        <f t="shared" si="3"/>
        <v>0</v>
      </c>
      <c r="Q56" s="17">
        <f t="shared" si="4"/>
        <v>0</v>
      </c>
      <c r="R56" s="17">
        <f t="shared" si="5"/>
        <v>0</v>
      </c>
      <c r="S56" s="25" t="s">
        <v>579</v>
      </c>
    </row>
    <row r="57" spans="2:19" ht="15" hidden="1" customHeight="1">
      <c r="B57" s="25">
        <f t="shared" si="6"/>
        <v>46</v>
      </c>
      <c r="C57" s="25" t="s">
        <v>6</v>
      </c>
      <c r="D57" s="25" t="s">
        <v>1</v>
      </c>
      <c r="E57" s="25" t="s">
        <v>434</v>
      </c>
      <c r="F57" s="25">
        <f t="shared" si="0"/>
        <v>1</v>
      </c>
      <c r="G57" s="25" t="s">
        <v>56</v>
      </c>
      <c r="H57" s="25" t="s">
        <v>71</v>
      </c>
      <c r="I57" s="25" t="s">
        <v>103</v>
      </c>
      <c r="J57" s="26" t="s">
        <v>269</v>
      </c>
      <c r="K57" s="25" t="s">
        <v>269</v>
      </c>
      <c r="L57" s="21">
        <v>2</v>
      </c>
      <c r="M57" s="21"/>
      <c r="N57" s="17">
        <f t="shared" si="1"/>
        <v>0</v>
      </c>
      <c r="O57" s="17">
        <f t="shared" si="2"/>
        <v>1</v>
      </c>
      <c r="P57" s="17">
        <f t="shared" si="3"/>
        <v>0</v>
      </c>
      <c r="Q57" s="17">
        <f t="shared" si="4"/>
        <v>0</v>
      </c>
      <c r="R57" s="17">
        <f t="shared" si="5"/>
        <v>0</v>
      </c>
      <c r="S57" s="25" t="s">
        <v>579</v>
      </c>
    </row>
    <row r="58" spans="2:19" ht="15" hidden="1" customHeight="1">
      <c r="B58" s="25">
        <f t="shared" si="6"/>
        <v>47</v>
      </c>
      <c r="C58" s="25" t="s">
        <v>6</v>
      </c>
      <c r="D58" s="25" t="s">
        <v>1</v>
      </c>
      <c r="E58" s="25" t="s">
        <v>435</v>
      </c>
      <c r="F58" s="25">
        <f t="shared" si="0"/>
        <v>1</v>
      </c>
      <c r="G58" s="25" t="s">
        <v>56</v>
      </c>
      <c r="H58" s="25" t="s">
        <v>72</v>
      </c>
      <c r="I58" s="25" t="s">
        <v>103</v>
      </c>
      <c r="J58" s="26" t="s">
        <v>270</v>
      </c>
      <c r="K58" s="27" t="s">
        <v>616</v>
      </c>
      <c r="L58" s="21">
        <v>3</v>
      </c>
      <c r="M58" s="21"/>
      <c r="N58" s="17">
        <f t="shared" si="1"/>
        <v>0</v>
      </c>
      <c r="O58" s="17">
        <f t="shared" si="2"/>
        <v>0</v>
      </c>
      <c r="P58" s="17">
        <f t="shared" si="3"/>
        <v>1</v>
      </c>
      <c r="Q58" s="17">
        <f t="shared" si="4"/>
        <v>0</v>
      </c>
      <c r="R58" s="17">
        <f t="shared" si="5"/>
        <v>0</v>
      </c>
      <c r="S58" s="25" t="s">
        <v>579</v>
      </c>
    </row>
    <row r="59" spans="2:19" ht="15" hidden="1" customHeight="1">
      <c r="B59" s="25">
        <f t="shared" si="6"/>
        <v>48</v>
      </c>
      <c r="C59" s="25" t="s">
        <v>6</v>
      </c>
      <c r="D59" s="25" t="s">
        <v>1</v>
      </c>
      <c r="E59" s="25" t="s">
        <v>436</v>
      </c>
      <c r="F59" s="25">
        <f t="shared" si="0"/>
        <v>2</v>
      </c>
      <c r="G59" s="25" t="s">
        <v>56</v>
      </c>
      <c r="H59" s="25" t="s">
        <v>73</v>
      </c>
      <c r="I59" s="25" t="s">
        <v>104</v>
      </c>
      <c r="J59" s="26" t="s">
        <v>271</v>
      </c>
      <c r="K59" s="25" t="s">
        <v>607</v>
      </c>
      <c r="L59" s="21">
        <v>3</v>
      </c>
      <c r="M59" s="21"/>
      <c r="N59" s="17">
        <f t="shared" si="1"/>
        <v>0</v>
      </c>
      <c r="O59" s="17">
        <f t="shared" si="2"/>
        <v>1</v>
      </c>
      <c r="P59" s="17">
        <f t="shared" si="3"/>
        <v>1</v>
      </c>
      <c r="Q59" s="17">
        <f t="shared" si="4"/>
        <v>0</v>
      </c>
      <c r="R59" s="17">
        <f t="shared" si="5"/>
        <v>0</v>
      </c>
      <c r="S59" s="25" t="s">
        <v>584</v>
      </c>
    </row>
    <row r="60" spans="2:19" ht="15" hidden="1" customHeight="1">
      <c r="B60" s="25">
        <f t="shared" si="6"/>
        <v>49</v>
      </c>
      <c r="C60" s="25" t="s">
        <v>6</v>
      </c>
      <c r="D60" s="25" t="s">
        <v>1</v>
      </c>
      <c r="E60" s="25" t="s">
        <v>437</v>
      </c>
      <c r="F60" s="25">
        <f t="shared" si="0"/>
        <v>1</v>
      </c>
      <c r="G60" s="25" t="s">
        <v>56</v>
      </c>
      <c r="H60" s="25" t="s">
        <v>74</v>
      </c>
      <c r="I60" s="25" t="s">
        <v>104</v>
      </c>
      <c r="J60" s="26" t="s">
        <v>272</v>
      </c>
      <c r="K60" s="27" t="s">
        <v>262</v>
      </c>
      <c r="L60" s="21">
        <v>4</v>
      </c>
      <c r="M60" s="21"/>
      <c r="N60" s="17">
        <f t="shared" si="1"/>
        <v>0</v>
      </c>
      <c r="O60" s="17">
        <f t="shared" si="2"/>
        <v>0</v>
      </c>
      <c r="P60" s="17">
        <f t="shared" si="3"/>
        <v>0</v>
      </c>
      <c r="Q60" s="17">
        <f t="shared" si="4"/>
        <v>1</v>
      </c>
      <c r="R60" s="17">
        <f t="shared" si="5"/>
        <v>0</v>
      </c>
      <c r="S60" s="25" t="s">
        <v>582</v>
      </c>
    </row>
    <row r="61" spans="2:19" ht="15" hidden="1" customHeight="1">
      <c r="B61" s="25">
        <f t="shared" si="6"/>
        <v>50</v>
      </c>
      <c r="C61" s="25" t="s">
        <v>6</v>
      </c>
      <c r="D61" s="25" t="s">
        <v>1</v>
      </c>
      <c r="E61" s="25" t="s">
        <v>438</v>
      </c>
      <c r="F61" s="25">
        <f t="shared" si="0"/>
        <v>1</v>
      </c>
      <c r="G61" s="25" t="s">
        <v>56</v>
      </c>
      <c r="H61" s="25" t="s">
        <v>75</v>
      </c>
      <c r="I61" s="25" t="s">
        <v>103</v>
      </c>
      <c r="J61" s="26" t="s">
        <v>273</v>
      </c>
      <c r="K61" s="25" t="s">
        <v>273</v>
      </c>
      <c r="L61" s="21">
        <v>2</v>
      </c>
      <c r="M61" s="21"/>
      <c r="N61" s="17">
        <f t="shared" si="1"/>
        <v>0</v>
      </c>
      <c r="O61" s="17">
        <f t="shared" si="2"/>
        <v>1</v>
      </c>
      <c r="P61" s="17">
        <f t="shared" si="3"/>
        <v>0</v>
      </c>
      <c r="Q61" s="17">
        <f t="shared" si="4"/>
        <v>0</v>
      </c>
      <c r="R61" s="17">
        <f t="shared" si="5"/>
        <v>0</v>
      </c>
      <c r="S61" s="25" t="s">
        <v>579</v>
      </c>
    </row>
    <row r="62" spans="2:19" ht="15" hidden="1" customHeight="1">
      <c r="B62" s="25">
        <f t="shared" si="6"/>
        <v>51</v>
      </c>
      <c r="C62" s="25" t="s">
        <v>6</v>
      </c>
      <c r="D62" s="25" t="s">
        <v>1</v>
      </c>
      <c r="E62" s="25" t="s">
        <v>439</v>
      </c>
      <c r="F62" s="25">
        <f t="shared" si="0"/>
        <v>1</v>
      </c>
      <c r="G62" s="25" t="s">
        <v>56</v>
      </c>
      <c r="H62" s="25" t="s">
        <v>76</v>
      </c>
      <c r="I62" s="25" t="s">
        <v>103</v>
      </c>
      <c r="J62" s="26" t="s">
        <v>274</v>
      </c>
      <c r="K62" s="25" t="s">
        <v>274</v>
      </c>
      <c r="L62" s="21">
        <v>2</v>
      </c>
      <c r="M62" s="21"/>
      <c r="N62" s="17">
        <f t="shared" si="1"/>
        <v>0</v>
      </c>
      <c r="O62" s="17">
        <f t="shared" si="2"/>
        <v>1</v>
      </c>
      <c r="P62" s="17">
        <f t="shared" si="3"/>
        <v>0</v>
      </c>
      <c r="Q62" s="17">
        <f t="shared" si="4"/>
        <v>0</v>
      </c>
      <c r="R62" s="17">
        <f t="shared" si="5"/>
        <v>0</v>
      </c>
      <c r="S62" s="25" t="s">
        <v>579</v>
      </c>
    </row>
    <row r="63" spans="2:19" ht="15" hidden="1" customHeight="1">
      <c r="B63" s="25">
        <f t="shared" si="6"/>
        <v>52</v>
      </c>
      <c r="C63" s="25" t="s">
        <v>6</v>
      </c>
      <c r="D63" s="25" t="s">
        <v>1</v>
      </c>
      <c r="E63" s="25" t="s">
        <v>440</v>
      </c>
      <c r="F63" s="25">
        <f t="shared" si="0"/>
        <v>2</v>
      </c>
      <c r="G63" s="25" t="s">
        <v>56</v>
      </c>
      <c r="H63" s="25" t="s">
        <v>77</v>
      </c>
      <c r="I63" s="25" t="s">
        <v>103</v>
      </c>
      <c r="J63" s="26" t="s">
        <v>275</v>
      </c>
      <c r="K63" s="25" t="s">
        <v>617</v>
      </c>
      <c r="L63" s="21">
        <v>3</v>
      </c>
      <c r="M63" s="21"/>
      <c r="N63" s="17">
        <f t="shared" si="1"/>
        <v>0</v>
      </c>
      <c r="O63" s="17">
        <f t="shared" si="2"/>
        <v>0</v>
      </c>
      <c r="P63" s="17">
        <f t="shared" si="3"/>
        <v>2</v>
      </c>
      <c r="Q63" s="17">
        <f t="shared" si="4"/>
        <v>0</v>
      </c>
      <c r="R63" s="17">
        <f t="shared" si="5"/>
        <v>0</v>
      </c>
      <c r="S63" s="25" t="s">
        <v>579</v>
      </c>
    </row>
    <row r="64" spans="2:19" ht="15" hidden="1" customHeight="1">
      <c r="B64" s="25">
        <f t="shared" si="6"/>
        <v>53</v>
      </c>
      <c r="C64" s="25" t="s">
        <v>6</v>
      </c>
      <c r="D64" s="25" t="s">
        <v>1</v>
      </c>
      <c r="E64" s="25" t="s">
        <v>441</v>
      </c>
      <c r="F64" s="25">
        <f t="shared" si="0"/>
        <v>2</v>
      </c>
      <c r="G64" s="25" t="s">
        <v>56</v>
      </c>
      <c r="H64" s="25" t="s">
        <v>78</v>
      </c>
      <c r="I64" s="25" t="s">
        <v>103</v>
      </c>
      <c r="J64" s="26" t="s">
        <v>276</v>
      </c>
      <c r="K64" s="25" t="s">
        <v>276</v>
      </c>
      <c r="L64" s="21">
        <v>2</v>
      </c>
      <c r="M64" s="21"/>
      <c r="N64" s="17">
        <f t="shared" si="1"/>
        <v>0</v>
      </c>
      <c r="O64" s="17">
        <f t="shared" si="2"/>
        <v>2</v>
      </c>
      <c r="P64" s="17">
        <f t="shared" si="3"/>
        <v>0</v>
      </c>
      <c r="Q64" s="17">
        <f t="shared" si="4"/>
        <v>0</v>
      </c>
      <c r="R64" s="17">
        <f t="shared" si="5"/>
        <v>0</v>
      </c>
      <c r="S64" s="25" t="s">
        <v>579</v>
      </c>
    </row>
    <row r="65" spans="2:19" ht="15" customHeight="1">
      <c r="B65" s="25">
        <f t="shared" si="6"/>
        <v>54</v>
      </c>
      <c r="C65" s="25" t="s">
        <v>6</v>
      </c>
      <c r="D65" s="25" t="s">
        <v>1</v>
      </c>
      <c r="E65" s="25" t="s">
        <v>442</v>
      </c>
      <c r="F65" s="25">
        <f t="shared" si="0"/>
        <v>1</v>
      </c>
      <c r="G65" s="25" t="s">
        <v>56</v>
      </c>
      <c r="H65" s="25" t="s">
        <v>79</v>
      </c>
      <c r="I65" s="25" t="s">
        <v>104</v>
      </c>
      <c r="J65" s="26" t="s">
        <v>240</v>
      </c>
      <c r="K65" s="25" t="s">
        <v>605</v>
      </c>
      <c r="L65" s="21">
        <v>1</v>
      </c>
      <c r="M65" s="21">
        <v>1</v>
      </c>
      <c r="N65" s="17">
        <f t="shared" si="1"/>
        <v>1</v>
      </c>
      <c r="O65" s="17">
        <f t="shared" si="2"/>
        <v>0</v>
      </c>
      <c r="P65" s="17">
        <f t="shared" si="3"/>
        <v>0</v>
      </c>
      <c r="Q65" s="17">
        <f t="shared" si="4"/>
        <v>0</v>
      </c>
      <c r="R65" s="17">
        <f t="shared" si="5"/>
        <v>0</v>
      </c>
      <c r="S65" s="25" t="s">
        <v>568</v>
      </c>
    </row>
    <row r="66" spans="2:19" ht="15" hidden="1" customHeight="1">
      <c r="B66" s="25">
        <f t="shared" si="6"/>
        <v>55</v>
      </c>
      <c r="C66" s="25" t="s">
        <v>6</v>
      </c>
      <c r="D66" s="25" t="s">
        <v>1</v>
      </c>
      <c r="E66" s="25" t="s">
        <v>443</v>
      </c>
      <c r="F66" s="25">
        <f t="shared" si="0"/>
        <v>2</v>
      </c>
      <c r="G66" s="25" t="s">
        <v>56</v>
      </c>
      <c r="H66" s="25" t="s">
        <v>80</v>
      </c>
      <c r="I66" s="25" t="s">
        <v>103</v>
      </c>
      <c r="J66" s="26" t="s">
        <v>277</v>
      </c>
      <c r="K66" s="25" t="s">
        <v>277</v>
      </c>
      <c r="L66" s="21">
        <v>2</v>
      </c>
      <c r="M66" s="21"/>
      <c r="N66" s="17">
        <f t="shared" si="1"/>
        <v>0</v>
      </c>
      <c r="O66" s="17">
        <f t="shared" si="2"/>
        <v>2</v>
      </c>
      <c r="P66" s="17">
        <f t="shared" si="3"/>
        <v>0</v>
      </c>
      <c r="Q66" s="17">
        <f t="shared" si="4"/>
        <v>0</v>
      </c>
      <c r="R66" s="17">
        <f t="shared" si="5"/>
        <v>0</v>
      </c>
      <c r="S66" s="25" t="s">
        <v>579</v>
      </c>
    </row>
    <row r="67" spans="2:19" ht="15" hidden="1" customHeight="1">
      <c r="B67" s="25">
        <f t="shared" si="6"/>
        <v>56</v>
      </c>
      <c r="C67" s="25" t="s">
        <v>6</v>
      </c>
      <c r="D67" s="25" t="s">
        <v>1</v>
      </c>
      <c r="E67" s="25" t="s">
        <v>444</v>
      </c>
      <c r="F67" s="25">
        <f t="shared" si="0"/>
        <v>2</v>
      </c>
      <c r="G67" s="25" t="s">
        <v>56</v>
      </c>
      <c r="H67" s="25" t="s">
        <v>81</v>
      </c>
      <c r="I67" s="25" t="s">
        <v>103</v>
      </c>
      <c r="J67" s="26" t="s">
        <v>278</v>
      </c>
      <c r="K67" s="25" t="s">
        <v>278</v>
      </c>
      <c r="L67" s="21">
        <v>2</v>
      </c>
      <c r="M67" s="21"/>
      <c r="N67" s="17">
        <f t="shared" si="1"/>
        <v>0</v>
      </c>
      <c r="O67" s="17">
        <f t="shared" si="2"/>
        <v>2</v>
      </c>
      <c r="P67" s="17">
        <f t="shared" si="3"/>
        <v>0</v>
      </c>
      <c r="Q67" s="17">
        <f t="shared" si="4"/>
        <v>0</v>
      </c>
      <c r="R67" s="17">
        <f t="shared" si="5"/>
        <v>0</v>
      </c>
      <c r="S67" s="25" t="s">
        <v>579</v>
      </c>
    </row>
    <row r="68" spans="2:19" ht="15" hidden="1" customHeight="1">
      <c r="B68" s="25">
        <f t="shared" si="6"/>
        <v>57</v>
      </c>
      <c r="C68" s="25" t="s">
        <v>6</v>
      </c>
      <c r="D68" s="25" t="s">
        <v>1</v>
      </c>
      <c r="E68" s="25" t="s">
        <v>445</v>
      </c>
      <c r="F68" s="25">
        <f t="shared" si="0"/>
        <v>1</v>
      </c>
      <c r="G68" s="25" t="s">
        <v>56</v>
      </c>
      <c r="H68" s="25" t="s">
        <v>82</v>
      </c>
      <c r="I68" s="25" t="s">
        <v>104</v>
      </c>
      <c r="J68" s="26" t="s">
        <v>279</v>
      </c>
      <c r="K68" s="25" t="s">
        <v>607</v>
      </c>
      <c r="L68" s="21">
        <v>5</v>
      </c>
      <c r="M68" s="21"/>
      <c r="N68" s="17">
        <f t="shared" si="1"/>
        <v>0</v>
      </c>
      <c r="O68" s="17">
        <f t="shared" si="2"/>
        <v>0</v>
      </c>
      <c r="P68" s="17">
        <f t="shared" si="3"/>
        <v>0</v>
      </c>
      <c r="Q68" s="17">
        <f t="shared" si="4"/>
        <v>0</v>
      </c>
      <c r="R68" s="17">
        <f t="shared" si="5"/>
        <v>1</v>
      </c>
      <c r="S68" s="25" t="s">
        <v>592</v>
      </c>
    </row>
    <row r="69" spans="2:19" ht="15" hidden="1" customHeight="1">
      <c r="B69" s="25">
        <f t="shared" si="6"/>
        <v>58</v>
      </c>
      <c r="C69" s="25" t="s">
        <v>6</v>
      </c>
      <c r="D69" s="25" t="s">
        <v>1</v>
      </c>
      <c r="E69" s="25" t="s">
        <v>446</v>
      </c>
      <c r="F69" s="25">
        <f t="shared" si="0"/>
        <v>1</v>
      </c>
      <c r="G69" s="25" t="s">
        <v>56</v>
      </c>
      <c r="H69" s="25" t="s">
        <v>83</v>
      </c>
      <c r="I69" s="25" t="s">
        <v>103</v>
      </c>
      <c r="J69" s="26" t="s">
        <v>280</v>
      </c>
      <c r="K69" s="25" t="s">
        <v>280</v>
      </c>
      <c r="L69" s="21">
        <v>2</v>
      </c>
      <c r="M69" s="21"/>
      <c r="N69" s="17">
        <f t="shared" si="1"/>
        <v>0</v>
      </c>
      <c r="O69" s="17">
        <f t="shared" si="2"/>
        <v>1</v>
      </c>
      <c r="P69" s="17">
        <f t="shared" si="3"/>
        <v>0</v>
      </c>
      <c r="Q69" s="17">
        <f t="shared" si="4"/>
        <v>0</v>
      </c>
      <c r="R69" s="17">
        <f t="shared" si="5"/>
        <v>0</v>
      </c>
      <c r="S69" s="25" t="s">
        <v>579</v>
      </c>
    </row>
    <row r="70" spans="2:19" ht="15" hidden="1" customHeight="1">
      <c r="B70" s="25">
        <f t="shared" si="6"/>
        <v>59</v>
      </c>
      <c r="C70" s="25" t="s">
        <v>6</v>
      </c>
      <c r="D70" s="25" t="s">
        <v>1</v>
      </c>
      <c r="E70" s="25" t="s">
        <v>447</v>
      </c>
      <c r="F70" s="25">
        <f t="shared" si="0"/>
        <v>1</v>
      </c>
      <c r="G70" s="25" t="s">
        <v>56</v>
      </c>
      <c r="H70" s="25" t="s">
        <v>84</v>
      </c>
      <c r="I70" s="25" t="s">
        <v>103</v>
      </c>
      <c r="J70" s="26" t="s">
        <v>281</v>
      </c>
      <c r="K70" s="25" t="s">
        <v>281</v>
      </c>
      <c r="L70" s="21">
        <v>2</v>
      </c>
      <c r="M70" s="21"/>
      <c r="N70" s="17">
        <f t="shared" si="1"/>
        <v>0</v>
      </c>
      <c r="O70" s="17">
        <f t="shared" si="2"/>
        <v>1</v>
      </c>
      <c r="P70" s="17">
        <f t="shared" si="3"/>
        <v>0</v>
      </c>
      <c r="Q70" s="17">
        <f t="shared" si="4"/>
        <v>0</v>
      </c>
      <c r="R70" s="17">
        <f t="shared" si="5"/>
        <v>0</v>
      </c>
      <c r="S70" s="25" t="s">
        <v>579</v>
      </c>
    </row>
    <row r="71" spans="2:19" ht="15" hidden="1" customHeight="1">
      <c r="B71" s="25">
        <f t="shared" si="6"/>
        <v>60</v>
      </c>
      <c r="C71" s="25" t="s">
        <v>6</v>
      </c>
      <c r="D71" s="25" t="s">
        <v>1</v>
      </c>
      <c r="E71" s="25" t="s">
        <v>448</v>
      </c>
      <c r="F71" s="25">
        <f t="shared" si="0"/>
        <v>1</v>
      </c>
      <c r="G71" s="25" t="s">
        <v>56</v>
      </c>
      <c r="H71" s="25" t="s">
        <v>85</v>
      </c>
      <c r="I71" s="25" t="s">
        <v>103</v>
      </c>
      <c r="J71" s="26" t="s">
        <v>282</v>
      </c>
      <c r="K71" s="25" t="s">
        <v>282</v>
      </c>
      <c r="L71" s="21">
        <v>2</v>
      </c>
      <c r="M71" s="21"/>
      <c r="N71" s="17">
        <f t="shared" si="1"/>
        <v>0</v>
      </c>
      <c r="O71" s="17">
        <f t="shared" si="2"/>
        <v>1</v>
      </c>
      <c r="P71" s="17">
        <f t="shared" si="3"/>
        <v>0</v>
      </c>
      <c r="Q71" s="17">
        <f t="shared" si="4"/>
        <v>0</v>
      </c>
      <c r="R71" s="17">
        <f t="shared" si="5"/>
        <v>0</v>
      </c>
      <c r="S71" s="25" t="s">
        <v>579</v>
      </c>
    </row>
    <row r="72" spans="2:19" ht="15" customHeight="1">
      <c r="B72" s="25">
        <f t="shared" si="6"/>
        <v>61</v>
      </c>
      <c r="C72" s="25" t="s">
        <v>6</v>
      </c>
      <c r="D72" s="25" t="s">
        <v>1</v>
      </c>
      <c r="E72" s="25" t="s">
        <v>449</v>
      </c>
      <c r="F72" s="25">
        <f t="shared" si="0"/>
        <v>4</v>
      </c>
      <c r="G72" s="25" t="s">
        <v>56</v>
      </c>
      <c r="H72" s="25" t="s">
        <v>86</v>
      </c>
      <c r="I72" s="25" t="s">
        <v>104</v>
      </c>
      <c r="J72" s="26" t="s">
        <v>283</v>
      </c>
      <c r="K72" s="25" t="s">
        <v>605</v>
      </c>
      <c r="L72" s="21">
        <v>1</v>
      </c>
      <c r="M72" s="21">
        <v>1</v>
      </c>
      <c r="N72" s="17">
        <f t="shared" si="1"/>
        <v>2</v>
      </c>
      <c r="O72" s="17">
        <f t="shared" si="2"/>
        <v>2</v>
      </c>
      <c r="P72" s="17">
        <f t="shared" si="3"/>
        <v>0</v>
      </c>
      <c r="Q72" s="17">
        <f t="shared" si="4"/>
        <v>0</v>
      </c>
      <c r="R72" s="17">
        <f t="shared" si="5"/>
        <v>0</v>
      </c>
      <c r="S72" s="25" t="s">
        <v>568</v>
      </c>
    </row>
    <row r="73" spans="2:19" ht="15" hidden="1" customHeight="1">
      <c r="B73" s="25">
        <f t="shared" si="6"/>
        <v>62</v>
      </c>
      <c r="C73" s="25" t="s">
        <v>6</v>
      </c>
      <c r="D73" s="25" t="s">
        <v>1</v>
      </c>
      <c r="E73" s="25" t="s">
        <v>450</v>
      </c>
      <c r="F73" s="25">
        <f t="shared" si="0"/>
        <v>4</v>
      </c>
      <c r="G73" s="25" t="s">
        <v>56</v>
      </c>
      <c r="H73" s="25" t="s">
        <v>87</v>
      </c>
      <c r="I73" s="25" t="s">
        <v>103</v>
      </c>
      <c r="J73" s="26" t="s">
        <v>284</v>
      </c>
      <c r="K73" s="27" t="s">
        <v>618</v>
      </c>
      <c r="L73" s="21">
        <v>3</v>
      </c>
      <c r="M73" s="21"/>
      <c r="N73" s="17">
        <f t="shared" si="1"/>
        <v>0</v>
      </c>
      <c r="O73" s="17">
        <f t="shared" si="2"/>
        <v>0</v>
      </c>
      <c r="P73" s="17">
        <f t="shared" si="3"/>
        <v>4</v>
      </c>
      <c r="Q73" s="17">
        <f t="shared" si="4"/>
        <v>0</v>
      </c>
      <c r="R73" s="17">
        <f t="shared" si="5"/>
        <v>0</v>
      </c>
      <c r="S73" s="25" t="s">
        <v>579</v>
      </c>
    </row>
    <row r="74" spans="2:19" ht="15" customHeight="1">
      <c r="B74" s="25">
        <f t="shared" si="6"/>
        <v>63</v>
      </c>
      <c r="C74" s="25" t="s">
        <v>6</v>
      </c>
      <c r="D74" s="25" t="s">
        <v>1</v>
      </c>
      <c r="E74" s="25" t="s">
        <v>451</v>
      </c>
      <c r="F74" s="25">
        <f t="shared" si="0"/>
        <v>1</v>
      </c>
      <c r="G74" s="25" t="s">
        <v>56</v>
      </c>
      <c r="H74" s="25" t="s">
        <v>88</v>
      </c>
      <c r="I74" s="25" t="s">
        <v>104</v>
      </c>
      <c r="J74" s="26" t="s">
        <v>285</v>
      </c>
      <c r="K74" s="25" t="s">
        <v>619</v>
      </c>
      <c r="L74" s="21">
        <v>1</v>
      </c>
      <c r="M74" s="21">
        <v>1</v>
      </c>
      <c r="N74" s="17">
        <f t="shared" si="1"/>
        <v>1</v>
      </c>
      <c r="O74" s="17">
        <f t="shared" si="2"/>
        <v>0</v>
      </c>
      <c r="P74" s="17">
        <f t="shared" si="3"/>
        <v>0</v>
      </c>
      <c r="Q74" s="17">
        <f t="shared" si="4"/>
        <v>0</v>
      </c>
      <c r="R74" s="17">
        <f t="shared" si="5"/>
        <v>0</v>
      </c>
      <c r="S74" s="25" t="s">
        <v>571</v>
      </c>
    </row>
    <row r="75" spans="2:19" ht="15" hidden="1" customHeight="1">
      <c r="B75" s="25">
        <f t="shared" si="6"/>
        <v>64</v>
      </c>
      <c r="C75" s="25" t="s">
        <v>6</v>
      </c>
      <c r="D75" s="25" t="s">
        <v>1</v>
      </c>
      <c r="E75" s="25" t="s">
        <v>452</v>
      </c>
      <c r="F75" s="25">
        <f t="shared" si="0"/>
        <v>1</v>
      </c>
      <c r="G75" s="25" t="s">
        <v>56</v>
      </c>
      <c r="H75" s="25" t="s">
        <v>89</v>
      </c>
      <c r="I75" s="25" t="s">
        <v>103</v>
      </c>
      <c r="J75" s="26" t="s">
        <v>286</v>
      </c>
      <c r="K75" s="25" t="s">
        <v>286</v>
      </c>
      <c r="L75" s="21">
        <v>2</v>
      </c>
      <c r="M75" s="21"/>
      <c r="N75" s="17">
        <f t="shared" si="1"/>
        <v>0</v>
      </c>
      <c r="O75" s="17">
        <f t="shared" si="2"/>
        <v>1</v>
      </c>
      <c r="P75" s="17">
        <f t="shared" si="3"/>
        <v>0</v>
      </c>
      <c r="Q75" s="17">
        <f t="shared" si="4"/>
        <v>0</v>
      </c>
      <c r="R75" s="17">
        <f t="shared" si="5"/>
        <v>0</v>
      </c>
      <c r="S75" s="25" t="s">
        <v>579</v>
      </c>
    </row>
    <row r="76" spans="2:19" ht="15" hidden="1" customHeight="1">
      <c r="B76" s="25">
        <f t="shared" si="6"/>
        <v>65</v>
      </c>
      <c r="C76" s="25" t="s">
        <v>6</v>
      </c>
      <c r="D76" s="25" t="s">
        <v>1</v>
      </c>
      <c r="E76" s="25" t="s">
        <v>453</v>
      </c>
      <c r="F76" s="25">
        <f t="shared" ref="F76:F139" si="7">+COUNTIFS($E$12:$E$289,E76)</f>
        <v>2</v>
      </c>
      <c r="G76" s="25" t="s">
        <v>56</v>
      </c>
      <c r="H76" s="25" t="s">
        <v>90</v>
      </c>
      <c r="I76" s="25" t="s">
        <v>103</v>
      </c>
      <c r="J76" s="26" t="s">
        <v>287</v>
      </c>
      <c r="K76" s="25" t="s">
        <v>287</v>
      </c>
      <c r="L76" s="21">
        <v>2</v>
      </c>
      <c r="M76" s="21"/>
      <c r="N76" s="17">
        <f t="shared" ref="N76:N139" si="8">+COUNTIFS($E$12:$E$289,E76,$L$12:$L$289,1)</f>
        <v>0</v>
      </c>
      <c r="O76" s="17">
        <f t="shared" ref="O76:O139" si="9">+COUNTIFS($E$12:$E$289,E76,$L$12:$L$289,2)</f>
        <v>2</v>
      </c>
      <c r="P76" s="17">
        <f t="shared" ref="P76:P139" si="10">+COUNTIFS($E$12:$E$289,E76,$L$12:$L$289,3)</f>
        <v>0</v>
      </c>
      <c r="Q76" s="17">
        <f t="shared" ref="Q76:Q139" si="11">+COUNTIFS($E$12:$E$289,E76,$L$12:$L$289,4)</f>
        <v>0</v>
      </c>
      <c r="R76" s="17">
        <f t="shared" ref="R76:R139" si="12">+COUNTIFS($E$12:$E$289,E76,$L$12:$L$289,5)</f>
        <v>0</v>
      </c>
      <c r="S76" s="25" t="s">
        <v>579</v>
      </c>
    </row>
    <row r="77" spans="2:19" ht="15" hidden="1" customHeight="1">
      <c r="B77" s="25">
        <f t="shared" si="6"/>
        <v>66</v>
      </c>
      <c r="C77" s="25" t="s">
        <v>6</v>
      </c>
      <c r="D77" s="25" t="s">
        <v>1</v>
      </c>
      <c r="E77" s="25" t="s">
        <v>454</v>
      </c>
      <c r="F77" s="25">
        <f t="shared" si="7"/>
        <v>2</v>
      </c>
      <c r="G77" s="25" t="s">
        <v>56</v>
      </c>
      <c r="H77" s="25" t="s">
        <v>91</v>
      </c>
      <c r="I77" s="25" t="s">
        <v>103</v>
      </c>
      <c r="J77" s="26" t="s">
        <v>288</v>
      </c>
      <c r="K77" s="25" t="s">
        <v>620</v>
      </c>
      <c r="L77" s="21">
        <v>3</v>
      </c>
      <c r="M77" s="21"/>
      <c r="N77" s="17">
        <f t="shared" si="8"/>
        <v>0</v>
      </c>
      <c r="O77" s="17">
        <f t="shared" si="9"/>
        <v>0</v>
      </c>
      <c r="P77" s="17">
        <f t="shared" si="10"/>
        <v>2</v>
      </c>
      <c r="Q77" s="17">
        <f t="shared" si="11"/>
        <v>0</v>
      </c>
      <c r="R77" s="17">
        <f t="shared" si="12"/>
        <v>0</v>
      </c>
      <c r="S77" s="25" t="s">
        <v>579</v>
      </c>
    </row>
    <row r="78" spans="2:19" ht="15" hidden="1" customHeight="1">
      <c r="B78" s="25">
        <f t="shared" ref="B78:B141" si="13">1+B77</f>
        <v>67</v>
      </c>
      <c r="C78" s="25" t="s">
        <v>6</v>
      </c>
      <c r="D78" s="25" t="s">
        <v>1</v>
      </c>
      <c r="E78" s="25" t="s">
        <v>455</v>
      </c>
      <c r="F78" s="25">
        <f t="shared" si="7"/>
        <v>2</v>
      </c>
      <c r="G78" s="25" t="s">
        <v>56</v>
      </c>
      <c r="H78" s="25" t="s">
        <v>92</v>
      </c>
      <c r="I78" s="25" t="s">
        <v>103</v>
      </c>
      <c r="J78" s="26" t="s">
        <v>289</v>
      </c>
      <c r="K78" s="27" t="s">
        <v>621</v>
      </c>
      <c r="L78" s="21">
        <v>3</v>
      </c>
      <c r="M78" s="21"/>
      <c r="N78" s="17">
        <f t="shared" si="8"/>
        <v>0</v>
      </c>
      <c r="O78" s="17">
        <f t="shared" si="9"/>
        <v>0</v>
      </c>
      <c r="P78" s="17">
        <f t="shared" si="10"/>
        <v>2</v>
      </c>
      <c r="Q78" s="17">
        <f t="shared" si="11"/>
        <v>0</v>
      </c>
      <c r="R78" s="17">
        <f t="shared" si="12"/>
        <v>0</v>
      </c>
      <c r="S78" s="25" t="s">
        <v>579</v>
      </c>
    </row>
    <row r="79" spans="2:19" ht="15" hidden="1" customHeight="1">
      <c r="B79" s="25">
        <f t="shared" si="13"/>
        <v>68</v>
      </c>
      <c r="C79" s="25" t="s">
        <v>6</v>
      </c>
      <c r="D79" s="25" t="s">
        <v>1</v>
      </c>
      <c r="E79" s="25" t="s">
        <v>456</v>
      </c>
      <c r="F79" s="25">
        <f t="shared" si="7"/>
        <v>2</v>
      </c>
      <c r="G79" s="25" t="s">
        <v>56</v>
      </c>
      <c r="H79" s="25" t="s">
        <v>93</v>
      </c>
      <c r="I79" s="25" t="s">
        <v>103</v>
      </c>
      <c r="J79" s="26" t="s">
        <v>290</v>
      </c>
      <c r="K79" s="27" t="s">
        <v>622</v>
      </c>
      <c r="L79" s="21">
        <v>3</v>
      </c>
      <c r="M79" s="21"/>
      <c r="N79" s="17">
        <f t="shared" si="8"/>
        <v>0</v>
      </c>
      <c r="O79" s="17">
        <f t="shared" si="9"/>
        <v>0</v>
      </c>
      <c r="P79" s="17">
        <f t="shared" si="10"/>
        <v>2</v>
      </c>
      <c r="Q79" s="17">
        <f t="shared" si="11"/>
        <v>0</v>
      </c>
      <c r="R79" s="17">
        <f t="shared" si="12"/>
        <v>0</v>
      </c>
      <c r="S79" s="25" t="s">
        <v>579</v>
      </c>
    </row>
    <row r="80" spans="2:19" ht="15" hidden="1" customHeight="1">
      <c r="B80" s="25">
        <f t="shared" si="13"/>
        <v>69</v>
      </c>
      <c r="C80" s="25" t="s">
        <v>6</v>
      </c>
      <c r="D80" s="25" t="s">
        <v>1</v>
      </c>
      <c r="E80" s="25" t="s">
        <v>457</v>
      </c>
      <c r="F80" s="25">
        <f t="shared" si="7"/>
        <v>2</v>
      </c>
      <c r="G80" s="25" t="s">
        <v>56</v>
      </c>
      <c r="H80" s="25" t="s">
        <v>94</v>
      </c>
      <c r="I80" s="25" t="s">
        <v>103</v>
      </c>
      <c r="J80" s="26" t="s">
        <v>291</v>
      </c>
      <c r="K80" s="27" t="s">
        <v>623</v>
      </c>
      <c r="L80" s="21">
        <v>3</v>
      </c>
      <c r="M80" s="21"/>
      <c r="N80" s="17">
        <f t="shared" si="8"/>
        <v>0</v>
      </c>
      <c r="O80" s="17">
        <f t="shared" si="9"/>
        <v>0</v>
      </c>
      <c r="P80" s="17">
        <f t="shared" si="10"/>
        <v>2</v>
      </c>
      <c r="Q80" s="17">
        <f t="shared" si="11"/>
        <v>0</v>
      </c>
      <c r="R80" s="17">
        <f t="shared" si="12"/>
        <v>0</v>
      </c>
      <c r="S80" s="25" t="s">
        <v>579</v>
      </c>
    </row>
    <row r="81" spans="2:19" ht="15" hidden="1" customHeight="1">
      <c r="B81" s="25">
        <f t="shared" si="13"/>
        <v>70</v>
      </c>
      <c r="C81" s="25" t="s">
        <v>6</v>
      </c>
      <c r="D81" s="25" t="s">
        <v>1</v>
      </c>
      <c r="E81" s="25" t="s">
        <v>458</v>
      </c>
      <c r="F81" s="25">
        <f t="shared" si="7"/>
        <v>2</v>
      </c>
      <c r="G81" s="25" t="s">
        <v>56</v>
      </c>
      <c r="H81" s="25" t="s">
        <v>95</v>
      </c>
      <c r="I81" s="25" t="s">
        <v>103</v>
      </c>
      <c r="J81" s="26" t="s">
        <v>292</v>
      </c>
      <c r="K81" s="25" t="s">
        <v>292</v>
      </c>
      <c r="L81" s="21">
        <v>2</v>
      </c>
      <c r="M81" s="21"/>
      <c r="N81" s="17">
        <f t="shared" si="8"/>
        <v>0</v>
      </c>
      <c r="O81" s="17">
        <f t="shared" si="9"/>
        <v>2</v>
      </c>
      <c r="P81" s="17">
        <f t="shared" si="10"/>
        <v>0</v>
      </c>
      <c r="Q81" s="17">
        <f t="shared" si="11"/>
        <v>0</v>
      </c>
      <c r="R81" s="17">
        <f t="shared" si="12"/>
        <v>0</v>
      </c>
      <c r="S81" s="25" t="s">
        <v>579</v>
      </c>
    </row>
    <row r="82" spans="2:19" ht="15" hidden="1" customHeight="1">
      <c r="B82" s="25">
        <f t="shared" si="13"/>
        <v>71</v>
      </c>
      <c r="C82" s="25" t="s">
        <v>6</v>
      </c>
      <c r="D82" s="25" t="s">
        <v>1</v>
      </c>
      <c r="E82" s="25" t="s">
        <v>459</v>
      </c>
      <c r="F82" s="25">
        <f t="shared" si="7"/>
        <v>1</v>
      </c>
      <c r="G82" s="25" t="s">
        <v>56</v>
      </c>
      <c r="H82" s="25" t="s">
        <v>96</v>
      </c>
      <c r="I82" s="25" t="s">
        <v>103</v>
      </c>
      <c r="J82" s="26" t="s">
        <v>293</v>
      </c>
      <c r="K82" s="25" t="s">
        <v>293</v>
      </c>
      <c r="L82" s="21">
        <v>2</v>
      </c>
      <c r="M82" s="21"/>
      <c r="N82" s="17">
        <f t="shared" si="8"/>
        <v>0</v>
      </c>
      <c r="O82" s="17">
        <f t="shared" si="9"/>
        <v>1</v>
      </c>
      <c r="P82" s="17">
        <f t="shared" si="10"/>
        <v>0</v>
      </c>
      <c r="Q82" s="17">
        <f t="shared" si="11"/>
        <v>0</v>
      </c>
      <c r="R82" s="17">
        <f t="shared" si="12"/>
        <v>0</v>
      </c>
      <c r="S82" s="25" t="s">
        <v>579</v>
      </c>
    </row>
    <row r="83" spans="2:19" ht="15" hidden="1" customHeight="1">
      <c r="B83" s="25">
        <f t="shared" si="13"/>
        <v>72</v>
      </c>
      <c r="C83" s="25" t="s">
        <v>6</v>
      </c>
      <c r="D83" s="25" t="s">
        <v>1</v>
      </c>
      <c r="E83" s="25" t="s">
        <v>460</v>
      </c>
      <c r="F83" s="25">
        <f t="shared" si="7"/>
        <v>2</v>
      </c>
      <c r="G83" s="25" t="s">
        <v>56</v>
      </c>
      <c r="H83" s="25" t="s">
        <v>97</v>
      </c>
      <c r="I83" s="25" t="s">
        <v>103</v>
      </c>
      <c r="J83" s="26" t="s">
        <v>294</v>
      </c>
      <c r="K83" s="27" t="s">
        <v>624</v>
      </c>
      <c r="L83" s="21">
        <v>3</v>
      </c>
      <c r="M83" s="21"/>
      <c r="N83" s="17">
        <f t="shared" si="8"/>
        <v>0</v>
      </c>
      <c r="O83" s="17">
        <f t="shared" si="9"/>
        <v>0</v>
      </c>
      <c r="P83" s="17">
        <f t="shared" si="10"/>
        <v>2</v>
      </c>
      <c r="Q83" s="17">
        <f t="shared" si="11"/>
        <v>0</v>
      </c>
      <c r="R83" s="17">
        <f t="shared" si="12"/>
        <v>0</v>
      </c>
      <c r="S83" s="25" t="s">
        <v>579</v>
      </c>
    </row>
    <row r="84" spans="2:19" ht="15" hidden="1" customHeight="1">
      <c r="B84" s="25">
        <f t="shared" si="13"/>
        <v>73</v>
      </c>
      <c r="C84" s="25" t="s">
        <v>6</v>
      </c>
      <c r="D84" s="25" t="s">
        <v>1</v>
      </c>
      <c r="E84" s="25" t="s">
        <v>461</v>
      </c>
      <c r="F84" s="25">
        <f t="shared" si="7"/>
        <v>2</v>
      </c>
      <c r="G84" s="25" t="s">
        <v>56</v>
      </c>
      <c r="H84" s="25" t="s">
        <v>98</v>
      </c>
      <c r="I84" s="25" t="s">
        <v>103</v>
      </c>
      <c r="J84" s="26" t="s">
        <v>295</v>
      </c>
      <c r="K84" s="25" t="s">
        <v>295</v>
      </c>
      <c r="L84" s="21">
        <v>2</v>
      </c>
      <c r="M84" s="21"/>
      <c r="N84" s="17">
        <f t="shared" si="8"/>
        <v>0</v>
      </c>
      <c r="O84" s="17">
        <f t="shared" si="9"/>
        <v>2</v>
      </c>
      <c r="P84" s="17">
        <f t="shared" si="10"/>
        <v>0</v>
      </c>
      <c r="Q84" s="17">
        <f t="shared" si="11"/>
        <v>0</v>
      </c>
      <c r="R84" s="17">
        <f t="shared" si="12"/>
        <v>0</v>
      </c>
      <c r="S84" s="25" t="s">
        <v>579</v>
      </c>
    </row>
    <row r="85" spans="2:19" ht="15" hidden="1" customHeight="1">
      <c r="B85" s="25">
        <f t="shared" si="13"/>
        <v>74</v>
      </c>
      <c r="C85" s="25" t="s">
        <v>6</v>
      </c>
      <c r="D85" s="25" t="s">
        <v>1</v>
      </c>
      <c r="E85" s="25" t="s">
        <v>462</v>
      </c>
      <c r="F85" s="25">
        <f t="shared" si="7"/>
        <v>1</v>
      </c>
      <c r="G85" s="25" t="s">
        <v>56</v>
      </c>
      <c r="H85" s="25" t="s">
        <v>99</v>
      </c>
      <c r="I85" s="25" t="s">
        <v>103</v>
      </c>
      <c r="J85" s="26" t="s">
        <v>296</v>
      </c>
      <c r="K85" s="25" t="s">
        <v>296</v>
      </c>
      <c r="L85" s="21">
        <v>2</v>
      </c>
      <c r="M85" s="21"/>
      <c r="N85" s="17">
        <f t="shared" si="8"/>
        <v>0</v>
      </c>
      <c r="O85" s="17">
        <f t="shared" si="9"/>
        <v>1</v>
      </c>
      <c r="P85" s="17">
        <f t="shared" si="10"/>
        <v>0</v>
      </c>
      <c r="Q85" s="17">
        <f t="shared" si="11"/>
        <v>0</v>
      </c>
      <c r="R85" s="17">
        <f t="shared" si="12"/>
        <v>0</v>
      </c>
      <c r="S85" s="25" t="s">
        <v>579</v>
      </c>
    </row>
    <row r="86" spans="2:19" ht="15" hidden="1" customHeight="1">
      <c r="B86" s="25">
        <f t="shared" si="13"/>
        <v>75</v>
      </c>
      <c r="C86" s="25" t="s">
        <v>6</v>
      </c>
      <c r="D86" s="25" t="s">
        <v>1</v>
      </c>
      <c r="E86" s="25" t="s">
        <v>463</v>
      </c>
      <c r="F86" s="25">
        <f t="shared" si="7"/>
        <v>2</v>
      </c>
      <c r="G86" s="25" t="s">
        <v>56</v>
      </c>
      <c r="H86" s="25" t="s">
        <v>100</v>
      </c>
      <c r="I86" s="25" t="s">
        <v>103</v>
      </c>
      <c r="J86" s="26" t="s">
        <v>297</v>
      </c>
      <c r="K86" s="25" t="s">
        <v>297</v>
      </c>
      <c r="L86" s="21">
        <v>2</v>
      </c>
      <c r="M86" s="21"/>
      <c r="N86" s="17">
        <f t="shared" si="8"/>
        <v>0</v>
      </c>
      <c r="O86" s="17">
        <f t="shared" si="9"/>
        <v>2</v>
      </c>
      <c r="P86" s="17">
        <f t="shared" si="10"/>
        <v>0</v>
      </c>
      <c r="Q86" s="17">
        <f t="shared" si="11"/>
        <v>0</v>
      </c>
      <c r="R86" s="17">
        <f t="shared" si="12"/>
        <v>0</v>
      </c>
      <c r="S86" s="25" t="s">
        <v>579</v>
      </c>
    </row>
    <row r="87" spans="2:19" ht="15" hidden="1" customHeight="1">
      <c r="B87" s="25">
        <f t="shared" si="13"/>
        <v>76</v>
      </c>
      <c r="C87" s="25" t="s">
        <v>6</v>
      </c>
      <c r="D87" s="25" t="s">
        <v>1</v>
      </c>
      <c r="E87" s="25" t="s">
        <v>464</v>
      </c>
      <c r="F87" s="25">
        <f t="shared" si="7"/>
        <v>3</v>
      </c>
      <c r="G87" s="25" t="s">
        <v>56</v>
      </c>
      <c r="H87" s="25" t="s">
        <v>101</v>
      </c>
      <c r="I87" s="25" t="s">
        <v>103</v>
      </c>
      <c r="J87" s="26" t="s">
        <v>298</v>
      </c>
      <c r="K87" s="27" t="s">
        <v>625</v>
      </c>
      <c r="L87" s="21">
        <v>3</v>
      </c>
      <c r="M87" s="21"/>
      <c r="N87" s="17">
        <f t="shared" si="8"/>
        <v>0</v>
      </c>
      <c r="O87" s="17">
        <f t="shared" si="9"/>
        <v>0</v>
      </c>
      <c r="P87" s="17">
        <f t="shared" si="10"/>
        <v>3</v>
      </c>
      <c r="Q87" s="17">
        <f t="shared" si="11"/>
        <v>0</v>
      </c>
      <c r="R87" s="17">
        <f t="shared" si="12"/>
        <v>0</v>
      </c>
      <c r="S87" s="25" t="s">
        <v>579</v>
      </c>
    </row>
    <row r="88" spans="2:19" ht="15" hidden="1" customHeight="1">
      <c r="B88" s="25">
        <f t="shared" si="13"/>
        <v>77</v>
      </c>
      <c r="C88" s="25" t="s">
        <v>6</v>
      </c>
      <c r="D88" s="25" t="s">
        <v>1</v>
      </c>
      <c r="E88" s="25" t="s">
        <v>465</v>
      </c>
      <c r="F88" s="25">
        <f t="shared" si="7"/>
        <v>1</v>
      </c>
      <c r="G88" s="25" t="s">
        <v>56</v>
      </c>
      <c r="H88" s="25" t="s">
        <v>102</v>
      </c>
      <c r="I88" s="25" t="s">
        <v>103</v>
      </c>
      <c r="J88" s="26" t="s">
        <v>299</v>
      </c>
      <c r="K88" s="25" t="s">
        <v>299</v>
      </c>
      <c r="L88" s="21">
        <v>2</v>
      </c>
      <c r="M88" s="21"/>
      <c r="N88" s="17">
        <f t="shared" si="8"/>
        <v>0</v>
      </c>
      <c r="O88" s="17">
        <f t="shared" si="9"/>
        <v>1</v>
      </c>
      <c r="P88" s="17">
        <f t="shared" si="10"/>
        <v>0</v>
      </c>
      <c r="Q88" s="17">
        <f t="shared" si="11"/>
        <v>0</v>
      </c>
      <c r="R88" s="17">
        <f t="shared" si="12"/>
        <v>0</v>
      </c>
      <c r="S88" s="25" t="s">
        <v>579</v>
      </c>
    </row>
    <row r="89" spans="2:19" ht="15" hidden="1" customHeight="1">
      <c r="B89" s="25">
        <f t="shared" si="13"/>
        <v>78</v>
      </c>
      <c r="C89" s="25" t="s">
        <v>6</v>
      </c>
      <c r="D89" s="25" t="s">
        <v>2</v>
      </c>
      <c r="E89" s="25" t="s">
        <v>22</v>
      </c>
      <c r="F89" s="25">
        <f t="shared" si="7"/>
        <v>10</v>
      </c>
      <c r="G89" s="25" t="s">
        <v>105</v>
      </c>
      <c r="H89" s="25" t="s">
        <v>12</v>
      </c>
      <c r="I89" s="25" t="s">
        <v>103</v>
      </c>
      <c r="J89" s="26" t="s">
        <v>236</v>
      </c>
      <c r="K89" s="25" t="s">
        <v>236</v>
      </c>
      <c r="L89" s="21">
        <v>2</v>
      </c>
      <c r="M89" s="21"/>
      <c r="N89" s="17">
        <f t="shared" si="8"/>
        <v>3</v>
      </c>
      <c r="O89" s="17">
        <f t="shared" si="9"/>
        <v>6</v>
      </c>
      <c r="P89" s="17">
        <f t="shared" si="10"/>
        <v>0</v>
      </c>
      <c r="Q89" s="17">
        <f t="shared" si="11"/>
        <v>1</v>
      </c>
      <c r="R89" s="17">
        <f t="shared" si="12"/>
        <v>0</v>
      </c>
      <c r="S89" s="25" t="s">
        <v>579</v>
      </c>
    </row>
    <row r="90" spans="2:19" ht="15" hidden="1" customHeight="1">
      <c r="B90" s="25">
        <f t="shared" si="13"/>
        <v>79</v>
      </c>
      <c r="C90" s="25" t="s">
        <v>6</v>
      </c>
      <c r="D90" s="25" t="s">
        <v>2</v>
      </c>
      <c r="E90" s="25" t="s">
        <v>466</v>
      </c>
      <c r="F90" s="25">
        <f t="shared" si="7"/>
        <v>2</v>
      </c>
      <c r="G90" s="25" t="s">
        <v>105</v>
      </c>
      <c r="H90" s="25" t="s">
        <v>106</v>
      </c>
      <c r="I90" s="25" t="s">
        <v>103</v>
      </c>
      <c r="J90" s="26" t="s">
        <v>300</v>
      </c>
      <c r="K90" s="25" t="s">
        <v>300</v>
      </c>
      <c r="L90" s="21">
        <v>2</v>
      </c>
      <c r="M90" s="21"/>
      <c r="N90" s="17">
        <f t="shared" si="8"/>
        <v>0</v>
      </c>
      <c r="O90" s="17">
        <f t="shared" si="9"/>
        <v>2</v>
      </c>
      <c r="P90" s="17">
        <f t="shared" si="10"/>
        <v>0</v>
      </c>
      <c r="Q90" s="17">
        <f t="shared" si="11"/>
        <v>0</v>
      </c>
      <c r="R90" s="17">
        <f t="shared" si="12"/>
        <v>0</v>
      </c>
      <c r="S90" s="25" t="s">
        <v>579</v>
      </c>
    </row>
    <row r="91" spans="2:19" ht="15" hidden="1" customHeight="1">
      <c r="B91" s="25">
        <f t="shared" si="13"/>
        <v>80</v>
      </c>
      <c r="C91" s="25" t="s">
        <v>6</v>
      </c>
      <c r="D91" s="25" t="s">
        <v>2</v>
      </c>
      <c r="E91" s="25" t="s">
        <v>35</v>
      </c>
      <c r="F91" s="25">
        <f t="shared" si="7"/>
        <v>3</v>
      </c>
      <c r="G91" s="25" t="s">
        <v>105</v>
      </c>
      <c r="H91" s="25" t="s">
        <v>31</v>
      </c>
      <c r="I91" s="25" t="s">
        <v>103</v>
      </c>
      <c r="J91" s="26" t="s">
        <v>301</v>
      </c>
      <c r="K91" s="27" t="s">
        <v>626</v>
      </c>
      <c r="L91" s="21">
        <v>2</v>
      </c>
      <c r="M91" s="21"/>
      <c r="N91" s="17">
        <f t="shared" si="8"/>
        <v>0</v>
      </c>
      <c r="O91" s="17">
        <f t="shared" si="9"/>
        <v>3</v>
      </c>
      <c r="P91" s="17">
        <f t="shared" si="10"/>
        <v>0</v>
      </c>
      <c r="Q91" s="17">
        <f t="shared" si="11"/>
        <v>0</v>
      </c>
      <c r="R91" s="17">
        <f t="shared" si="12"/>
        <v>0</v>
      </c>
      <c r="S91" s="25" t="s">
        <v>579</v>
      </c>
    </row>
    <row r="92" spans="2:19" ht="15" customHeight="1">
      <c r="B92" s="25">
        <f t="shared" si="13"/>
        <v>81</v>
      </c>
      <c r="C92" s="25" t="s">
        <v>6</v>
      </c>
      <c r="D92" s="25" t="s">
        <v>2</v>
      </c>
      <c r="E92" s="25" t="s">
        <v>37</v>
      </c>
      <c r="F92" s="25">
        <f t="shared" si="7"/>
        <v>3</v>
      </c>
      <c r="G92" s="25" t="s">
        <v>105</v>
      </c>
      <c r="H92" s="25" t="s">
        <v>33</v>
      </c>
      <c r="I92" s="25" t="s">
        <v>104</v>
      </c>
      <c r="J92" s="26" t="s">
        <v>302</v>
      </c>
      <c r="K92" s="45" t="s">
        <v>607</v>
      </c>
      <c r="L92" s="21">
        <v>1</v>
      </c>
      <c r="M92" s="21">
        <v>5</v>
      </c>
      <c r="N92" s="17">
        <f t="shared" si="8"/>
        <v>2</v>
      </c>
      <c r="O92" s="17">
        <f t="shared" si="9"/>
        <v>0</v>
      </c>
      <c r="P92" s="17">
        <f t="shared" si="10"/>
        <v>0</v>
      </c>
      <c r="Q92" s="17">
        <f t="shared" si="11"/>
        <v>0</v>
      </c>
      <c r="R92" s="17">
        <f t="shared" si="12"/>
        <v>1</v>
      </c>
      <c r="S92" s="25" t="s">
        <v>572</v>
      </c>
    </row>
    <row r="93" spans="2:19" ht="15" customHeight="1">
      <c r="B93" s="25">
        <f t="shared" si="13"/>
        <v>82</v>
      </c>
      <c r="C93" s="25" t="s">
        <v>6</v>
      </c>
      <c r="D93" s="25" t="s">
        <v>2</v>
      </c>
      <c r="E93" s="25" t="s">
        <v>38</v>
      </c>
      <c r="F93" s="25">
        <f t="shared" si="7"/>
        <v>3</v>
      </c>
      <c r="G93" s="25" t="s">
        <v>105</v>
      </c>
      <c r="H93" s="25" t="s">
        <v>34</v>
      </c>
      <c r="I93" s="25" t="s">
        <v>104</v>
      </c>
      <c r="J93" s="26" t="s">
        <v>240</v>
      </c>
      <c r="K93" s="25" t="s">
        <v>605</v>
      </c>
      <c r="L93" s="21">
        <v>1</v>
      </c>
      <c r="M93" s="21">
        <v>1</v>
      </c>
      <c r="N93" s="17">
        <f t="shared" si="8"/>
        <v>3</v>
      </c>
      <c r="O93" s="17">
        <f t="shared" si="9"/>
        <v>0</v>
      </c>
      <c r="P93" s="17">
        <f t="shared" si="10"/>
        <v>0</v>
      </c>
      <c r="Q93" s="17">
        <f t="shared" si="11"/>
        <v>0</v>
      </c>
      <c r="R93" s="17">
        <f t="shared" si="12"/>
        <v>0</v>
      </c>
      <c r="S93" s="25" t="s">
        <v>568</v>
      </c>
    </row>
    <row r="94" spans="2:19" ht="15" customHeight="1">
      <c r="B94" s="25">
        <f t="shared" si="13"/>
        <v>83</v>
      </c>
      <c r="C94" s="25" t="s">
        <v>6</v>
      </c>
      <c r="D94" s="25" t="s">
        <v>2</v>
      </c>
      <c r="E94" s="25" t="s">
        <v>467</v>
      </c>
      <c r="F94" s="25">
        <f t="shared" si="7"/>
        <v>2</v>
      </c>
      <c r="G94" s="25" t="s">
        <v>105</v>
      </c>
      <c r="H94" s="25" t="s">
        <v>107</v>
      </c>
      <c r="I94" s="25" t="s">
        <v>104</v>
      </c>
      <c r="J94" s="26" t="s">
        <v>255</v>
      </c>
      <c r="K94" s="25" t="s">
        <v>627</v>
      </c>
      <c r="L94" s="21">
        <v>1</v>
      </c>
      <c r="M94" s="21">
        <v>1</v>
      </c>
      <c r="N94" s="17">
        <f t="shared" si="8"/>
        <v>1</v>
      </c>
      <c r="O94" s="17">
        <f t="shared" si="9"/>
        <v>0</v>
      </c>
      <c r="P94" s="17">
        <f t="shared" si="10"/>
        <v>0</v>
      </c>
      <c r="Q94" s="17">
        <f t="shared" si="11"/>
        <v>0</v>
      </c>
      <c r="R94" s="17">
        <f t="shared" si="12"/>
        <v>1</v>
      </c>
      <c r="S94" s="25" t="s">
        <v>567</v>
      </c>
    </row>
    <row r="95" spans="2:19" ht="15" hidden="1" customHeight="1">
      <c r="B95" s="25">
        <f t="shared" si="13"/>
        <v>84</v>
      </c>
      <c r="C95" s="25" t="s">
        <v>6</v>
      </c>
      <c r="D95" s="25" t="s">
        <v>2</v>
      </c>
      <c r="E95" s="25" t="s">
        <v>468</v>
      </c>
      <c r="F95" s="25">
        <f t="shared" si="7"/>
        <v>2</v>
      </c>
      <c r="G95" s="25" t="s">
        <v>105</v>
      </c>
      <c r="H95" s="25" t="s">
        <v>108</v>
      </c>
      <c r="I95" s="25" t="s">
        <v>103</v>
      </c>
      <c r="J95" s="26" t="s">
        <v>303</v>
      </c>
      <c r="K95" s="27" t="s">
        <v>629</v>
      </c>
      <c r="L95" s="21">
        <v>3</v>
      </c>
      <c r="M95" s="21"/>
      <c r="N95" s="17">
        <f t="shared" si="8"/>
        <v>0</v>
      </c>
      <c r="O95" s="17">
        <f t="shared" si="9"/>
        <v>0</v>
      </c>
      <c r="P95" s="17">
        <f t="shared" si="10"/>
        <v>2</v>
      </c>
      <c r="Q95" s="17">
        <f t="shared" si="11"/>
        <v>0</v>
      </c>
      <c r="R95" s="17">
        <f t="shared" si="12"/>
        <v>0</v>
      </c>
      <c r="S95" s="25" t="s">
        <v>579</v>
      </c>
    </row>
    <row r="96" spans="2:19" ht="15" hidden="1" customHeight="1">
      <c r="B96" s="25">
        <f t="shared" si="13"/>
        <v>85</v>
      </c>
      <c r="C96" s="25" t="s">
        <v>6</v>
      </c>
      <c r="D96" s="25" t="s">
        <v>2</v>
      </c>
      <c r="E96" s="25" t="s">
        <v>469</v>
      </c>
      <c r="F96" s="25">
        <f t="shared" si="7"/>
        <v>2</v>
      </c>
      <c r="G96" s="25" t="s">
        <v>105</v>
      </c>
      <c r="H96" s="25" t="s">
        <v>109</v>
      </c>
      <c r="I96" s="25" t="s">
        <v>103</v>
      </c>
      <c r="J96" s="26" t="s">
        <v>304</v>
      </c>
      <c r="K96" s="25" t="s">
        <v>304</v>
      </c>
      <c r="L96" s="21">
        <v>2</v>
      </c>
      <c r="M96" s="21"/>
      <c r="N96" s="17">
        <f t="shared" si="8"/>
        <v>0</v>
      </c>
      <c r="O96" s="17">
        <f t="shared" si="9"/>
        <v>2</v>
      </c>
      <c r="P96" s="17">
        <f t="shared" si="10"/>
        <v>0</v>
      </c>
      <c r="Q96" s="17">
        <f t="shared" si="11"/>
        <v>0</v>
      </c>
      <c r="R96" s="17">
        <f t="shared" si="12"/>
        <v>0</v>
      </c>
      <c r="S96" s="25" t="s">
        <v>579</v>
      </c>
    </row>
    <row r="97" spans="2:19" ht="15" hidden="1" customHeight="1">
      <c r="B97" s="25">
        <f t="shared" si="13"/>
        <v>86</v>
      </c>
      <c r="C97" s="25" t="s">
        <v>6</v>
      </c>
      <c r="D97" s="25" t="s">
        <v>3</v>
      </c>
      <c r="E97" s="25" t="s">
        <v>47</v>
      </c>
      <c r="F97" s="25">
        <f t="shared" si="7"/>
        <v>6</v>
      </c>
      <c r="G97" s="25" t="s">
        <v>110</v>
      </c>
      <c r="H97" s="25" t="s">
        <v>40</v>
      </c>
      <c r="I97" s="25" t="s">
        <v>103</v>
      </c>
      <c r="J97" s="26" t="s">
        <v>242</v>
      </c>
      <c r="K97" s="25" t="s">
        <v>242</v>
      </c>
      <c r="L97" s="21">
        <v>2</v>
      </c>
      <c r="M97" s="21"/>
      <c r="N97" s="17">
        <f t="shared" si="8"/>
        <v>0</v>
      </c>
      <c r="O97" s="17">
        <f t="shared" si="9"/>
        <v>6</v>
      </c>
      <c r="P97" s="17">
        <f t="shared" si="10"/>
        <v>0</v>
      </c>
      <c r="Q97" s="17">
        <f t="shared" si="11"/>
        <v>0</v>
      </c>
      <c r="R97" s="17">
        <f t="shared" si="12"/>
        <v>0</v>
      </c>
      <c r="S97" s="25" t="s">
        <v>579</v>
      </c>
    </row>
    <row r="98" spans="2:19" ht="15" hidden="1" customHeight="1">
      <c r="B98" s="25">
        <f t="shared" si="13"/>
        <v>87</v>
      </c>
      <c r="C98" s="25" t="s">
        <v>6</v>
      </c>
      <c r="D98" s="25" t="s">
        <v>3</v>
      </c>
      <c r="E98" s="25" t="s">
        <v>470</v>
      </c>
      <c r="F98" s="25">
        <f t="shared" si="7"/>
        <v>2</v>
      </c>
      <c r="G98" s="25" t="s">
        <v>110</v>
      </c>
      <c r="H98" s="25" t="s">
        <v>111</v>
      </c>
      <c r="I98" s="25" t="s">
        <v>103</v>
      </c>
      <c r="J98" s="26" t="s">
        <v>305</v>
      </c>
      <c r="K98" s="25" t="s">
        <v>305</v>
      </c>
      <c r="L98" s="21">
        <v>2</v>
      </c>
      <c r="M98" s="21"/>
      <c r="N98" s="17">
        <f t="shared" si="8"/>
        <v>0</v>
      </c>
      <c r="O98" s="17">
        <f t="shared" si="9"/>
        <v>2</v>
      </c>
      <c r="P98" s="17">
        <f t="shared" si="10"/>
        <v>0</v>
      </c>
      <c r="Q98" s="17">
        <f t="shared" si="11"/>
        <v>0</v>
      </c>
      <c r="R98" s="17">
        <f t="shared" si="12"/>
        <v>0</v>
      </c>
      <c r="S98" s="25" t="s">
        <v>579</v>
      </c>
    </row>
    <row r="99" spans="2:19" ht="15" customHeight="1">
      <c r="B99" s="25">
        <f t="shared" si="13"/>
        <v>88</v>
      </c>
      <c r="C99" s="25" t="s">
        <v>6</v>
      </c>
      <c r="D99" s="25" t="s">
        <v>3</v>
      </c>
      <c r="E99" s="25" t="s">
        <v>21</v>
      </c>
      <c r="F99" s="25">
        <f t="shared" si="7"/>
        <v>12</v>
      </c>
      <c r="G99" s="25" t="s">
        <v>110</v>
      </c>
      <c r="H99" s="25" t="s">
        <v>11</v>
      </c>
      <c r="I99" s="25" t="s">
        <v>104</v>
      </c>
      <c r="J99" s="26" t="s">
        <v>306</v>
      </c>
      <c r="K99" s="25" t="s">
        <v>627</v>
      </c>
      <c r="L99" s="21">
        <v>1</v>
      </c>
      <c r="M99" s="21">
        <v>1</v>
      </c>
      <c r="N99" s="17">
        <f t="shared" si="8"/>
        <v>3</v>
      </c>
      <c r="O99" s="17">
        <f t="shared" si="9"/>
        <v>9</v>
      </c>
      <c r="P99" s="17">
        <f t="shared" si="10"/>
        <v>0</v>
      </c>
      <c r="Q99" s="17">
        <f t="shared" si="11"/>
        <v>0</v>
      </c>
      <c r="R99" s="17">
        <f t="shared" si="12"/>
        <v>0</v>
      </c>
      <c r="S99" s="25" t="s">
        <v>567</v>
      </c>
    </row>
    <row r="100" spans="2:19" ht="15" hidden="1" customHeight="1">
      <c r="B100" s="25">
        <f t="shared" si="13"/>
        <v>89</v>
      </c>
      <c r="C100" s="25" t="s">
        <v>6</v>
      </c>
      <c r="D100" s="25" t="s">
        <v>3</v>
      </c>
      <c r="E100" s="25" t="s">
        <v>48</v>
      </c>
      <c r="F100" s="25">
        <f t="shared" si="7"/>
        <v>3</v>
      </c>
      <c r="G100" s="25" t="s">
        <v>110</v>
      </c>
      <c r="H100" s="25" t="s">
        <v>41</v>
      </c>
      <c r="I100" s="25" t="s">
        <v>103</v>
      </c>
      <c r="J100" s="26" t="s">
        <v>244</v>
      </c>
      <c r="K100" s="27" t="s">
        <v>630</v>
      </c>
      <c r="L100" s="21">
        <v>3</v>
      </c>
      <c r="M100" s="21"/>
      <c r="N100" s="17">
        <f t="shared" si="8"/>
        <v>0</v>
      </c>
      <c r="O100" s="17">
        <f t="shared" si="9"/>
        <v>0</v>
      </c>
      <c r="P100" s="17">
        <f t="shared" si="10"/>
        <v>3</v>
      </c>
      <c r="Q100" s="17">
        <f t="shared" si="11"/>
        <v>0</v>
      </c>
      <c r="R100" s="17">
        <f t="shared" si="12"/>
        <v>0</v>
      </c>
      <c r="S100" s="25" t="s">
        <v>579</v>
      </c>
    </row>
    <row r="101" spans="2:19" ht="15" customHeight="1">
      <c r="B101" s="25">
        <f t="shared" si="13"/>
        <v>90</v>
      </c>
      <c r="C101" s="25" t="s">
        <v>6</v>
      </c>
      <c r="D101" s="25" t="s">
        <v>3</v>
      </c>
      <c r="E101" s="25" t="s">
        <v>49</v>
      </c>
      <c r="F101" s="25">
        <f t="shared" si="7"/>
        <v>3</v>
      </c>
      <c r="G101" s="25" t="s">
        <v>110</v>
      </c>
      <c r="H101" s="27" t="s">
        <v>42</v>
      </c>
      <c r="I101" s="27" t="s">
        <v>121</v>
      </c>
      <c r="J101" s="28" t="s">
        <v>245</v>
      </c>
      <c r="K101" s="27" t="s">
        <v>607</v>
      </c>
      <c r="L101" s="21">
        <v>1</v>
      </c>
      <c r="M101" s="21">
        <v>4</v>
      </c>
      <c r="N101" s="17">
        <f t="shared" si="8"/>
        <v>2</v>
      </c>
      <c r="O101" s="17">
        <f t="shared" si="9"/>
        <v>0</v>
      </c>
      <c r="P101" s="17">
        <f t="shared" si="10"/>
        <v>0</v>
      </c>
      <c r="Q101" s="17">
        <f t="shared" si="11"/>
        <v>1</v>
      </c>
      <c r="R101" s="17">
        <f t="shared" si="12"/>
        <v>0</v>
      </c>
      <c r="S101" s="27" t="s">
        <v>573</v>
      </c>
    </row>
    <row r="102" spans="2:19" ht="15" customHeight="1">
      <c r="B102" s="25">
        <f t="shared" si="13"/>
        <v>91</v>
      </c>
      <c r="C102" s="25" t="s">
        <v>6</v>
      </c>
      <c r="D102" s="25" t="s">
        <v>3</v>
      </c>
      <c r="E102" s="25" t="s">
        <v>419</v>
      </c>
      <c r="F102" s="25">
        <f t="shared" si="7"/>
        <v>3</v>
      </c>
      <c r="G102" s="25" t="s">
        <v>110</v>
      </c>
      <c r="H102" s="27" t="s">
        <v>43</v>
      </c>
      <c r="I102" s="27" t="s">
        <v>122</v>
      </c>
      <c r="J102" s="28" t="s">
        <v>246</v>
      </c>
      <c r="K102" s="27" t="s">
        <v>607</v>
      </c>
      <c r="L102" s="21">
        <v>1</v>
      </c>
      <c r="M102" s="21">
        <v>4</v>
      </c>
      <c r="N102" s="17">
        <f t="shared" si="8"/>
        <v>2</v>
      </c>
      <c r="O102" s="17">
        <f t="shared" si="9"/>
        <v>0</v>
      </c>
      <c r="P102" s="17">
        <f t="shared" si="10"/>
        <v>0</v>
      </c>
      <c r="Q102" s="17">
        <f t="shared" si="11"/>
        <v>1</v>
      </c>
      <c r="R102" s="17">
        <f t="shared" si="12"/>
        <v>0</v>
      </c>
      <c r="S102" s="27" t="s">
        <v>573</v>
      </c>
    </row>
    <row r="103" spans="2:19" ht="15" hidden="1" customHeight="1">
      <c r="B103" s="25">
        <f t="shared" si="13"/>
        <v>92</v>
      </c>
      <c r="C103" s="25" t="s">
        <v>6</v>
      </c>
      <c r="D103" s="25" t="s">
        <v>3</v>
      </c>
      <c r="E103" s="25" t="s">
        <v>50</v>
      </c>
      <c r="F103" s="25">
        <f t="shared" si="7"/>
        <v>3</v>
      </c>
      <c r="G103" s="25" t="s">
        <v>110</v>
      </c>
      <c r="H103" s="25" t="s">
        <v>44</v>
      </c>
      <c r="I103" s="25" t="s">
        <v>103</v>
      </c>
      <c r="J103" s="26" t="s">
        <v>247</v>
      </c>
      <c r="K103" s="25" t="s">
        <v>247</v>
      </c>
      <c r="L103" s="21">
        <v>2</v>
      </c>
      <c r="M103" s="21"/>
      <c r="N103" s="17">
        <f t="shared" si="8"/>
        <v>0</v>
      </c>
      <c r="O103" s="17">
        <f t="shared" si="9"/>
        <v>3</v>
      </c>
      <c r="P103" s="17">
        <f t="shared" si="10"/>
        <v>0</v>
      </c>
      <c r="Q103" s="17">
        <f t="shared" si="11"/>
        <v>0</v>
      </c>
      <c r="R103" s="17">
        <f t="shared" si="12"/>
        <v>0</v>
      </c>
      <c r="S103" s="25" t="s">
        <v>579</v>
      </c>
    </row>
    <row r="104" spans="2:19" ht="15" customHeight="1">
      <c r="B104" s="25">
        <f t="shared" si="13"/>
        <v>93</v>
      </c>
      <c r="C104" s="25" t="s">
        <v>6</v>
      </c>
      <c r="D104" s="25" t="s">
        <v>3</v>
      </c>
      <c r="E104" s="25" t="s">
        <v>51</v>
      </c>
      <c r="F104" s="25">
        <f t="shared" si="7"/>
        <v>3</v>
      </c>
      <c r="G104" s="25" t="s">
        <v>110</v>
      </c>
      <c r="H104" s="25" t="s">
        <v>45</v>
      </c>
      <c r="I104" s="25" t="s">
        <v>104</v>
      </c>
      <c r="J104" s="28" t="s">
        <v>307</v>
      </c>
      <c r="K104" s="27">
        <v>1</v>
      </c>
      <c r="L104" s="21">
        <v>1</v>
      </c>
      <c r="M104" s="21">
        <v>1</v>
      </c>
      <c r="N104" s="17">
        <f t="shared" si="8"/>
        <v>3</v>
      </c>
      <c r="O104" s="17">
        <f t="shared" si="9"/>
        <v>0</v>
      </c>
      <c r="P104" s="17">
        <f t="shared" si="10"/>
        <v>0</v>
      </c>
      <c r="Q104" s="17">
        <f t="shared" si="11"/>
        <v>0</v>
      </c>
      <c r="R104" s="17">
        <f t="shared" si="12"/>
        <v>0</v>
      </c>
      <c r="S104" s="25" t="s">
        <v>569</v>
      </c>
    </row>
    <row r="105" spans="2:19" ht="15" hidden="1" customHeight="1">
      <c r="B105" s="25">
        <f t="shared" si="13"/>
        <v>94</v>
      </c>
      <c r="C105" s="25" t="s">
        <v>6</v>
      </c>
      <c r="D105" s="25" t="s">
        <v>3</v>
      </c>
      <c r="E105" s="25" t="s">
        <v>471</v>
      </c>
      <c r="F105" s="25">
        <f t="shared" si="7"/>
        <v>2</v>
      </c>
      <c r="G105" s="25" t="s">
        <v>110</v>
      </c>
      <c r="H105" s="25" t="s">
        <v>112</v>
      </c>
      <c r="I105" s="25" t="s">
        <v>103</v>
      </c>
      <c r="J105" s="26" t="s">
        <v>308</v>
      </c>
      <c r="K105" s="25" t="s">
        <v>308</v>
      </c>
      <c r="L105" s="21">
        <v>2</v>
      </c>
      <c r="M105" s="21"/>
      <c r="N105" s="17">
        <f t="shared" si="8"/>
        <v>0</v>
      </c>
      <c r="O105" s="17">
        <f t="shared" si="9"/>
        <v>2</v>
      </c>
      <c r="P105" s="17">
        <f t="shared" si="10"/>
        <v>0</v>
      </c>
      <c r="Q105" s="17">
        <f t="shared" si="11"/>
        <v>0</v>
      </c>
      <c r="R105" s="17">
        <f t="shared" si="12"/>
        <v>0</v>
      </c>
      <c r="S105" s="25" t="s">
        <v>579</v>
      </c>
    </row>
    <row r="106" spans="2:19" ht="15" hidden="1" customHeight="1">
      <c r="B106" s="25">
        <f t="shared" si="13"/>
        <v>95</v>
      </c>
      <c r="C106" s="25" t="s">
        <v>6</v>
      </c>
      <c r="D106" s="25" t="s">
        <v>3</v>
      </c>
      <c r="E106" s="25" t="s">
        <v>472</v>
      </c>
      <c r="F106" s="25">
        <f t="shared" si="7"/>
        <v>2</v>
      </c>
      <c r="G106" s="25" t="s">
        <v>110</v>
      </c>
      <c r="H106" s="25" t="s">
        <v>113</v>
      </c>
      <c r="I106" s="25" t="s">
        <v>103</v>
      </c>
      <c r="J106" s="26" t="s">
        <v>309</v>
      </c>
      <c r="K106" s="25" t="s">
        <v>309</v>
      </c>
      <c r="L106" s="21">
        <v>2</v>
      </c>
      <c r="M106" s="21"/>
      <c r="N106" s="17">
        <f t="shared" si="8"/>
        <v>0</v>
      </c>
      <c r="O106" s="17">
        <f t="shared" si="9"/>
        <v>2</v>
      </c>
      <c r="P106" s="17">
        <f t="shared" si="10"/>
        <v>0</v>
      </c>
      <c r="Q106" s="17">
        <f t="shared" si="11"/>
        <v>0</v>
      </c>
      <c r="R106" s="17">
        <f t="shared" si="12"/>
        <v>0</v>
      </c>
      <c r="S106" s="25" t="s">
        <v>579</v>
      </c>
    </row>
    <row r="107" spans="2:19" ht="15" hidden="1" customHeight="1">
      <c r="B107" s="25">
        <f t="shared" si="13"/>
        <v>96</v>
      </c>
      <c r="C107" s="25" t="s">
        <v>6</v>
      </c>
      <c r="D107" s="25" t="s">
        <v>3</v>
      </c>
      <c r="E107" s="25" t="s">
        <v>473</v>
      </c>
      <c r="F107" s="25">
        <f t="shared" si="7"/>
        <v>2</v>
      </c>
      <c r="G107" s="25" t="s">
        <v>110</v>
      </c>
      <c r="H107" s="25" t="s">
        <v>114</v>
      </c>
      <c r="I107" s="25" t="s">
        <v>103</v>
      </c>
      <c r="J107" s="26" t="s">
        <v>310</v>
      </c>
      <c r="K107" s="25" t="s">
        <v>310</v>
      </c>
      <c r="L107" s="21">
        <v>2</v>
      </c>
      <c r="M107" s="21"/>
      <c r="N107" s="17">
        <f t="shared" si="8"/>
        <v>0</v>
      </c>
      <c r="O107" s="17">
        <f t="shared" si="9"/>
        <v>2</v>
      </c>
      <c r="P107" s="17">
        <f t="shared" si="10"/>
        <v>0</v>
      </c>
      <c r="Q107" s="17">
        <f t="shared" si="11"/>
        <v>0</v>
      </c>
      <c r="R107" s="17">
        <f t="shared" si="12"/>
        <v>0</v>
      </c>
      <c r="S107" s="25" t="s">
        <v>579</v>
      </c>
    </row>
    <row r="108" spans="2:19" ht="15" hidden="1" customHeight="1">
      <c r="B108" s="25">
        <f t="shared" si="13"/>
        <v>97</v>
      </c>
      <c r="C108" s="25" t="s">
        <v>6</v>
      </c>
      <c r="D108" s="25" t="s">
        <v>3</v>
      </c>
      <c r="E108" s="25" t="s">
        <v>474</v>
      </c>
      <c r="F108" s="25">
        <f t="shared" si="7"/>
        <v>2</v>
      </c>
      <c r="G108" s="25" t="s">
        <v>110</v>
      </c>
      <c r="H108" s="25" t="s">
        <v>115</v>
      </c>
      <c r="I108" s="25" t="s">
        <v>103</v>
      </c>
      <c r="J108" s="26" t="s">
        <v>311</v>
      </c>
      <c r="K108" s="25" t="s">
        <v>311</v>
      </c>
      <c r="L108" s="21">
        <v>2</v>
      </c>
      <c r="M108" s="21"/>
      <c r="N108" s="17">
        <f t="shared" si="8"/>
        <v>0</v>
      </c>
      <c r="O108" s="17">
        <f t="shared" si="9"/>
        <v>2</v>
      </c>
      <c r="P108" s="17">
        <f t="shared" si="10"/>
        <v>0</v>
      </c>
      <c r="Q108" s="17">
        <f t="shared" si="11"/>
        <v>0</v>
      </c>
      <c r="R108" s="17">
        <f t="shared" si="12"/>
        <v>0</v>
      </c>
      <c r="S108" s="25" t="s">
        <v>579</v>
      </c>
    </row>
    <row r="109" spans="2:19" ht="15" hidden="1" customHeight="1">
      <c r="B109" s="25">
        <f t="shared" si="13"/>
        <v>98</v>
      </c>
      <c r="C109" s="25" t="s">
        <v>6</v>
      </c>
      <c r="D109" s="25" t="s">
        <v>3</v>
      </c>
      <c r="E109" s="25" t="s">
        <v>475</v>
      </c>
      <c r="F109" s="25">
        <f t="shared" si="7"/>
        <v>2</v>
      </c>
      <c r="G109" s="25" t="s">
        <v>110</v>
      </c>
      <c r="H109" s="25" t="s">
        <v>116</v>
      </c>
      <c r="I109" s="25" t="s">
        <v>103</v>
      </c>
      <c r="J109" s="26" t="s">
        <v>312</v>
      </c>
      <c r="K109" s="27" t="s">
        <v>631</v>
      </c>
      <c r="L109" s="21">
        <v>2</v>
      </c>
      <c r="M109" s="21"/>
      <c r="N109" s="17">
        <f t="shared" si="8"/>
        <v>0</v>
      </c>
      <c r="O109" s="17">
        <f t="shared" si="9"/>
        <v>2</v>
      </c>
      <c r="P109" s="17">
        <f t="shared" si="10"/>
        <v>0</v>
      </c>
      <c r="Q109" s="17">
        <f t="shared" si="11"/>
        <v>0</v>
      </c>
      <c r="R109" s="17">
        <f t="shared" si="12"/>
        <v>0</v>
      </c>
      <c r="S109" s="25" t="s">
        <v>579</v>
      </c>
    </row>
    <row r="110" spans="2:19" ht="15" hidden="1" customHeight="1">
      <c r="B110" s="25">
        <f t="shared" si="13"/>
        <v>99</v>
      </c>
      <c r="C110" s="25" t="s">
        <v>6</v>
      </c>
      <c r="D110" s="25" t="s">
        <v>3</v>
      </c>
      <c r="E110" s="25" t="s">
        <v>476</v>
      </c>
      <c r="F110" s="25">
        <f t="shared" si="7"/>
        <v>2</v>
      </c>
      <c r="G110" s="25" t="s">
        <v>110</v>
      </c>
      <c r="H110" s="25" t="s">
        <v>117</v>
      </c>
      <c r="I110" s="25" t="s">
        <v>103</v>
      </c>
      <c r="J110" s="26" t="s">
        <v>313</v>
      </c>
      <c r="K110" s="27" t="s">
        <v>632</v>
      </c>
      <c r="L110" s="21">
        <v>3</v>
      </c>
      <c r="M110" s="21"/>
      <c r="N110" s="17">
        <f t="shared" si="8"/>
        <v>0</v>
      </c>
      <c r="O110" s="17">
        <f t="shared" si="9"/>
        <v>0</v>
      </c>
      <c r="P110" s="17">
        <f t="shared" si="10"/>
        <v>2</v>
      </c>
      <c r="Q110" s="17">
        <f t="shared" si="11"/>
        <v>0</v>
      </c>
      <c r="R110" s="17">
        <f t="shared" si="12"/>
        <v>0</v>
      </c>
      <c r="S110" s="25" t="s">
        <v>579</v>
      </c>
    </row>
    <row r="111" spans="2:19" ht="15" hidden="1" customHeight="1">
      <c r="B111" s="25">
        <f t="shared" si="13"/>
        <v>100</v>
      </c>
      <c r="C111" s="25" t="s">
        <v>6</v>
      </c>
      <c r="D111" s="25" t="s">
        <v>3</v>
      </c>
      <c r="E111" s="25" t="s">
        <v>477</v>
      </c>
      <c r="F111" s="25">
        <f t="shared" si="7"/>
        <v>2</v>
      </c>
      <c r="G111" s="25" t="s">
        <v>110</v>
      </c>
      <c r="H111" s="25" t="s">
        <v>118</v>
      </c>
      <c r="I111" s="25" t="s">
        <v>103</v>
      </c>
      <c r="J111" s="26" t="s">
        <v>314</v>
      </c>
      <c r="K111" s="27" t="s">
        <v>633</v>
      </c>
      <c r="L111" s="21">
        <v>3</v>
      </c>
      <c r="M111" s="21"/>
      <c r="N111" s="17">
        <f t="shared" si="8"/>
        <v>0</v>
      </c>
      <c r="O111" s="17">
        <f t="shared" si="9"/>
        <v>0</v>
      </c>
      <c r="P111" s="17">
        <f t="shared" si="10"/>
        <v>2</v>
      </c>
      <c r="Q111" s="17">
        <f t="shared" si="11"/>
        <v>0</v>
      </c>
      <c r="R111" s="17">
        <f t="shared" si="12"/>
        <v>0</v>
      </c>
      <c r="S111" s="25" t="s">
        <v>579</v>
      </c>
    </row>
    <row r="112" spans="2:19" ht="15" hidden="1" customHeight="1">
      <c r="B112" s="25">
        <f t="shared" si="13"/>
        <v>101</v>
      </c>
      <c r="C112" s="25" t="s">
        <v>6</v>
      </c>
      <c r="D112" s="25" t="s">
        <v>3</v>
      </c>
      <c r="E112" s="25" t="s">
        <v>478</v>
      </c>
      <c r="F112" s="25">
        <f t="shared" si="7"/>
        <v>4</v>
      </c>
      <c r="G112" s="25" t="s">
        <v>110</v>
      </c>
      <c r="H112" s="25" t="s">
        <v>119</v>
      </c>
      <c r="I112" s="25" t="s">
        <v>104</v>
      </c>
      <c r="J112" s="28" t="s">
        <v>315</v>
      </c>
      <c r="K112" s="27" t="s">
        <v>634</v>
      </c>
      <c r="L112" s="21">
        <v>2</v>
      </c>
      <c r="M112" s="21"/>
      <c r="N112" s="17">
        <f t="shared" si="8"/>
        <v>0</v>
      </c>
      <c r="O112" s="17">
        <f t="shared" si="9"/>
        <v>4</v>
      </c>
      <c r="P112" s="17">
        <f t="shared" si="10"/>
        <v>0</v>
      </c>
      <c r="Q112" s="17">
        <f t="shared" si="11"/>
        <v>0</v>
      </c>
      <c r="R112" s="17">
        <f t="shared" si="12"/>
        <v>0</v>
      </c>
      <c r="S112" s="25" t="s">
        <v>579</v>
      </c>
    </row>
    <row r="113" spans="2:19" ht="15" customHeight="1">
      <c r="B113" s="25">
        <f t="shared" si="13"/>
        <v>102</v>
      </c>
      <c r="C113" s="25" t="s">
        <v>6</v>
      </c>
      <c r="D113" s="25" t="s">
        <v>3</v>
      </c>
      <c r="E113" s="25" t="s">
        <v>479</v>
      </c>
      <c r="F113" s="25">
        <f t="shared" si="7"/>
        <v>4</v>
      </c>
      <c r="G113" s="25" t="s">
        <v>110</v>
      </c>
      <c r="H113" s="25" t="s">
        <v>120</v>
      </c>
      <c r="I113" s="25" t="s">
        <v>104</v>
      </c>
      <c r="J113" s="26" t="s">
        <v>316</v>
      </c>
      <c r="K113" s="27" t="s">
        <v>635</v>
      </c>
      <c r="L113" s="21">
        <v>1</v>
      </c>
      <c r="M113" s="21">
        <v>1</v>
      </c>
      <c r="N113" s="17">
        <f t="shared" si="8"/>
        <v>2</v>
      </c>
      <c r="O113" s="17">
        <f t="shared" si="9"/>
        <v>2</v>
      </c>
      <c r="P113" s="17">
        <f t="shared" si="10"/>
        <v>0</v>
      </c>
      <c r="Q113" s="17">
        <f t="shared" si="11"/>
        <v>0</v>
      </c>
      <c r="R113" s="17">
        <f t="shared" si="12"/>
        <v>0</v>
      </c>
      <c r="S113" s="25" t="s">
        <v>574</v>
      </c>
    </row>
    <row r="114" spans="2:19" ht="15" hidden="1" customHeight="1">
      <c r="B114" s="25">
        <f t="shared" si="13"/>
        <v>103</v>
      </c>
      <c r="C114" s="25" t="s">
        <v>6</v>
      </c>
      <c r="D114" s="25" t="s">
        <v>4</v>
      </c>
      <c r="E114" s="25" t="s">
        <v>21</v>
      </c>
      <c r="F114" s="25">
        <f t="shared" si="7"/>
        <v>12</v>
      </c>
      <c r="G114" s="27" t="s">
        <v>123</v>
      </c>
      <c r="H114" s="25" t="s">
        <v>11</v>
      </c>
      <c r="I114" s="25" t="s">
        <v>19</v>
      </c>
      <c r="J114" s="26" t="s">
        <v>250</v>
      </c>
      <c r="K114" s="25" t="s">
        <v>250</v>
      </c>
      <c r="L114" s="21">
        <v>2</v>
      </c>
      <c r="M114" s="21"/>
      <c r="N114" s="17">
        <f t="shared" si="8"/>
        <v>3</v>
      </c>
      <c r="O114" s="17">
        <f t="shared" si="9"/>
        <v>9</v>
      </c>
      <c r="P114" s="17">
        <f t="shared" si="10"/>
        <v>0</v>
      </c>
      <c r="Q114" s="17">
        <f t="shared" si="11"/>
        <v>0</v>
      </c>
      <c r="R114" s="17">
        <f t="shared" si="12"/>
        <v>0</v>
      </c>
      <c r="S114" s="25" t="s">
        <v>579</v>
      </c>
    </row>
    <row r="115" spans="2:19" ht="15" hidden="1" customHeight="1">
      <c r="B115" s="25">
        <f t="shared" si="13"/>
        <v>104</v>
      </c>
      <c r="C115" s="25" t="s">
        <v>6</v>
      </c>
      <c r="D115" s="25" t="s">
        <v>4</v>
      </c>
      <c r="E115" s="25" t="s">
        <v>22</v>
      </c>
      <c r="F115" s="25">
        <f t="shared" si="7"/>
        <v>10</v>
      </c>
      <c r="G115" s="27" t="s">
        <v>123</v>
      </c>
      <c r="H115" s="25" t="s">
        <v>12</v>
      </c>
      <c r="I115" s="25" t="s">
        <v>19</v>
      </c>
      <c r="J115" s="26" t="s">
        <v>251</v>
      </c>
      <c r="K115" s="25" t="s">
        <v>251</v>
      </c>
      <c r="L115" s="21">
        <v>2</v>
      </c>
      <c r="M115" s="21"/>
      <c r="N115" s="17">
        <f t="shared" si="8"/>
        <v>3</v>
      </c>
      <c r="O115" s="17">
        <f t="shared" si="9"/>
        <v>6</v>
      </c>
      <c r="P115" s="17">
        <f t="shared" si="10"/>
        <v>0</v>
      </c>
      <c r="Q115" s="17">
        <f t="shared" si="11"/>
        <v>1</v>
      </c>
      <c r="R115" s="17">
        <f t="shared" si="12"/>
        <v>0</v>
      </c>
      <c r="S115" s="25" t="s">
        <v>579</v>
      </c>
    </row>
    <row r="116" spans="2:19" ht="15" hidden="1" customHeight="1">
      <c r="B116" s="25">
        <f t="shared" si="13"/>
        <v>105</v>
      </c>
      <c r="C116" s="25" t="s">
        <v>6</v>
      </c>
      <c r="D116" s="25" t="s">
        <v>4</v>
      </c>
      <c r="E116" s="25" t="s">
        <v>449</v>
      </c>
      <c r="F116" s="25">
        <f t="shared" si="7"/>
        <v>4</v>
      </c>
      <c r="G116" s="27" t="s">
        <v>123</v>
      </c>
      <c r="H116" s="25" t="s">
        <v>86</v>
      </c>
      <c r="I116" s="25" t="s">
        <v>19</v>
      </c>
      <c r="J116" s="26" t="s">
        <v>317</v>
      </c>
      <c r="K116" s="25" t="s">
        <v>317</v>
      </c>
      <c r="L116" s="21">
        <v>2</v>
      </c>
      <c r="M116" s="21"/>
      <c r="N116" s="17">
        <f t="shared" si="8"/>
        <v>2</v>
      </c>
      <c r="O116" s="17">
        <f t="shared" si="9"/>
        <v>2</v>
      </c>
      <c r="P116" s="17">
        <f t="shared" si="10"/>
        <v>0</v>
      </c>
      <c r="Q116" s="17">
        <f t="shared" si="11"/>
        <v>0</v>
      </c>
      <c r="R116" s="17">
        <f t="shared" si="12"/>
        <v>0</v>
      </c>
      <c r="S116" s="25" t="s">
        <v>579</v>
      </c>
    </row>
    <row r="117" spans="2:19" ht="15" hidden="1" customHeight="1">
      <c r="B117" s="25">
        <f t="shared" si="13"/>
        <v>106</v>
      </c>
      <c r="C117" s="25" t="s">
        <v>6</v>
      </c>
      <c r="D117" s="25" t="s">
        <v>4</v>
      </c>
      <c r="E117" s="25" t="s">
        <v>467</v>
      </c>
      <c r="F117" s="25">
        <f t="shared" si="7"/>
        <v>2</v>
      </c>
      <c r="G117" s="27" t="s">
        <v>123</v>
      </c>
      <c r="H117" s="25" t="s">
        <v>107</v>
      </c>
      <c r="I117" s="25" t="s">
        <v>20</v>
      </c>
      <c r="J117" s="26" t="s">
        <v>318</v>
      </c>
      <c r="K117" s="25" t="s">
        <v>607</v>
      </c>
      <c r="L117" s="21">
        <v>5</v>
      </c>
      <c r="M117" s="21"/>
      <c r="N117" s="17">
        <f t="shared" si="8"/>
        <v>1</v>
      </c>
      <c r="O117" s="17">
        <f t="shared" si="9"/>
        <v>0</v>
      </c>
      <c r="P117" s="17">
        <f t="shared" si="10"/>
        <v>0</v>
      </c>
      <c r="Q117" s="17">
        <f t="shared" si="11"/>
        <v>0</v>
      </c>
      <c r="R117" s="17">
        <f t="shared" si="12"/>
        <v>1</v>
      </c>
      <c r="S117" s="25" t="s">
        <v>594</v>
      </c>
    </row>
    <row r="118" spans="2:19" ht="15" hidden="1" customHeight="1">
      <c r="B118" s="25">
        <f t="shared" si="13"/>
        <v>107</v>
      </c>
      <c r="C118" s="25" t="s">
        <v>6</v>
      </c>
      <c r="D118" s="25" t="s">
        <v>5</v>
      </c>
      <c r="E118" s="25" t="s">
        <v>21</v>
      </c>
      <c r="F118" s="25">
        <f t="shared" si="7"/>
        <v>12</v>
      </c>
      <c r="G118" s="27" t="s">
        <v>124</v>
      </c>
      <c r="H118" s="25" t="s">
        <v>11</v>
      </c>
      <c r="I118" s="25" t="s">
        <v>19</v>
      </c>
      <c r="J118" s="26" t="s">
        <v>252</v>
      </c>
      <c r="K118" s="25" t="s">
        <v>252</v>
      </c>
      <c r="L118" s="21">
        <v>2</v>
      </c>
      <c r="M118" s="21"/>
      <c r="N118" s="17">
        <f t="shared" si="8"/>
        <v>3</v>
      </c>
      <c r="O118" s="17">
        <f t="shared" si="9"/>
        <v>9</v>
      </c>
      <c r="P118" s="17">
        <f t="shared" si="10"/>
        <v>0</v>
      </c>
      <c r="Q118" s="17">
        <f t="shared" si="11"/>
        <v>0</v>
      </c>
      <c r="R118" s="17">
        <f t="shared" si="12"/>
        <v>0</v>
      </c>
      <c r="S118" s="25" t="s">
        <v>579</v>
      </c>
    </row>
    <row r="119" spans="2:19" ht="15" hidden="1" customHeight="1">
      <c r="B119" s="25">
        <f t="shared" si="13"/>
        <v>108</v>
      </c>
      <c r="C119" s="25" t="s">
        <v>6</v>
      </c>
      <c r="D119" s="25" t="s">
        <v>5</v>
      </c>
      <c r="E119" s="25" t="s">
        <v>47</v>
      </c>
      <c r="F119" s="25">
        <f t="shared" si="7"/>
        <v>6</v>
      </c>
      <c r="G119" s="27" t="s">
        <v>124</v>
      </c>
      <c r="H119" s="25" t="s">
        <v>40</v>
      </c>
      <c r="I119" s="25" t="s">
        <v>19</v>
      </c>
      <c r="J119" s="26" t="s">
        <v>253</v>
      </c>
      <c r="K119" s="25" t="s">
        <v>253</v>
      </c>
      <c r="L119" s="21">
        <v>2</v>
      </c>
      <c r="M119" s="21"/>
      <c r="N119" s="17">
        <f t="shared" si="8"/>
        <v>0</v>
      </c>
      <c r="O119" s="17">
        <f t="shared" si="9"/>
        <v>6</v>
      </c>
      <c r="P119" s="17">
        <f t="shared" si="10"/>
        <v>0</v>
      </c>
      <c r="Q119" s="17">
        <f t="shared" si="11"/>
        <v>0</v>
      </c>
      <c r="R119" s="17">
        <f t="shared" si="12"/>
        <v>0</v>
      </c>
      <c r="S119" s="25" t="s">
        <v>579</v>
      </c>
    </row>
    <row r="120" spans="2:19" ht="15" hidden="1" customHeight="1">
      <c r="B120" s="25">
        <f t="shared" si="13"/>
        <v>109</v>
      </c>
      <c r="C120" s="25" t="s">
        <v>6</v>
      </c>
      <c r="D120" s="25" t="s">
        <v>5</v>
      </c>
      <c r="E120" s="25" t="s">
        <v>478</v>
      </c>
      <c r="F120" s="25">
        <f t="shared" si="7"/>
        <v>4</v>
      </c>
      <c r="G120" s="27" t="s">
        <v>124</v>
      </c>
      <c r="H120" s="25" t="s">
        <v>119</v>
      </c>
      <c r="I120" s="25" t="s">
        <v>19</v>
      </c>
      <c r="J120" s="26" t="s">
        <v>319</v>
      </c>
      <c r="K120" s="25" t="s">
        <v>319</v>
      </c>
      <c r="L120" s="21">
        <v>2</v>
      </c>
      <c r="M120" s="21"/>
      <c r="N120" s="17">
        <f t="shared" si="8"/>
        <v>0</v>
      </c>
      <c r="O120" s="17">
        <f t="shared" si="9"/>
        <v>4</v>
      </c>
      <c r="P120" s="17">
        <f t="shared" si="10"/>
        <v>0</v>
      </c>
      <c r="Q120" s="17">
        <f t="shared" si="11"/>
        <v>0</v>
      </c>
      <c r="R120" s="17">
        <f t="shared" si="12"/>
        <v>0</v>
      </c>
      <c r="S120" s="25" t="s">
        <v>579</v>
      </c>
    </row>
    <row r="121" spans="2:19" ht="15" hidden="1" customHeight="1">
      <c r="B121" s="25">
        <f t="shared" si="13"/>
        <v>110</v>
      </c>
      <c r="C121" s="25" t="s">
        <v>6</v>
      </c>
      <c r="D121" s="25" t="s">
        <v>5</v>
      </c>
      <c r="E121" s="25" t="s">
        <v>479</v>
      </c>
      <c r="F121" s="25">
        <f t="shared" si="7"/>
        <v>4</v>
      </c>
      <c r="G121" s="27" t="s">
        <v>124</v>
      </c>
      <c r="H121" s="25" t="s">
        <v>125</v>
      </c>
      <c r="I121" s="25" t="s">
        <v>19</v>
      </c>
      <c r="J121" s="26" t="s">
        <v>320</v>
      </c>
      <c r="K121" s="25" t="s">
        <v>320</v>
      </c>
      <c r="L121" s="21">
        <v>2</v>
      </c>
      <c r="M121" s="21"/>
      <c r="N121" s="17">
        <f t="shared" si="8"/>
        <v>2</v>
      </c>
      <c r="O121" s="17">
        <f t="shared" si="9"/>
        <v>2</v>
      </c>
      <c r="P121" s="17">
        <f t="shared" si="10"/>
        <v>0</v>
      </c>
      <c r="Q121" s="17">
        <f t="shared" si="11"/>
        <v>0</v>
      </c>
      <c r="R121" s="17">
        <f t="shared" si="12"/>
        <v>0</v>
      </c>
      <c r="S121" s="25" t="s">
        <v>579</v>
      </c>
    </row>
    <row r="122" spans="2:19" ht="15" hidden="1" customHeight="1">
      <c r="B122" s="17">
        <f t="shared" si="13"/>
        <v>111</v>
      </c>
      <c r="C122" s="17" t="s">
        <v>7</v>
      </c>
      <c r="D122" s="17" t="s">
        <v>1</v>
      </c>
      <c r="E122" s="17" t="s">
        <v>21</v>
      </c>
      <c r="F122" s="17">
        <f t="shared" si="7"/>
        <v>12</v>
      </c>
      <c r="G122" s="20" t="s">
        <v>126</v>
      </c>
      <c r="H122" s="17" t="s">
        <v>11</v>
      </c>
      <c r="I122" s="17" t="s">
        <v>103</v>
      </c>
      <c r="J122" s="22" t="s">
        <v>254</v>
      </c>
      <c r="K122" s="17" t="s">
        <v>254</v>
      </c>
      <c r="L122" s="21">
        <v>2</v>
      </c>
      <c r="M122" s="21"/>
      <c r="N122" s="17">
        <f t="shared" si="8"/>
        <v>3</v>
      </c>
      <c r="O122" s="17">
        <f t="shared" si="9"/>
        <v>9</v>
      </c>
      <c r="P122" s="17">
        <f t="shared" si="10"/>
        <v>0</v>
      </c>
      <c r="Q122" s="17">
        <f t="shared" si="11"/>
        <v>0</v>
      </c>
      <c r="R122" s="17">
        <f t="shared" si="12"/>
        <v>0</v>
      </c>
      <c r="S122" s="17" t="s">
        <v>579</v>
      </c>
    </row>
    <row r="123" spans="2:19" ht="15" customHeight="1">
      <c r="B123" s="17">
        <f t="shared" si="13"/>
        <v>112</v>
      </c>
      <c r="C123" s="17" t="s">
        <v>7</v>
      </c>
      <c r="D123" s="17" t="s">
        <v>1</v>
      </c>
      <c r="E123" s="17" t="s">
        <v>22</v>
      </c>
      <c r="F123" s="17">
        <f t="shared" si="7"/>
        <v>10</v>
      </c>
      <c r="G123" s="20" t="s">
        <v>126</v>
      </c>
      <c r="H123" s="17" t="s">
        <v>12</v>
      </c>
      <c r="I123" s="17" t="s">
        <v>104</v>
      </c>
      <c r="J123" s="37" t="s">
        <v>321</v>
      </c>
      <c r="K123" s="20" t="s">
        <v>627</v>
      </c>
      <c r="L123" s="21">
        <v>1</v>
      </c>
      <c r="M123" s="21">
        <v>1</v>
      </c>
      <c r="N123" s="17">
        <f t="shared" si="8"/>
        <v>3</v>
      </c>
      <c r="O123" s="17">
        <f t="shared" si="9"/>
        <v>6</v>
      </c>
      <c r="P123" s="17">
        <f t="shared" si="10"/>
        <v>0</v>
      </c>
      <c r="Q123" s="17">
        <f t="shared" si="11"/>
        <v>1</v>
      </c>
      <c r="R123" s="17">
        <f t="shared" si="12"/>
        <v>0</v>
      </c>
      <c r="S123" s="17" t="s">
        <v>567</v>
      </c>
    </row>
    <row r="124" spans="2:19" ht="15" hidden="1" customHeight="1">
      <c r="B124" s="17">
        <f t="shared" si="13"/>
        <v>113</v>
      </c>
      <c r="C124" s="17" t="s">
        <v>7</v>
      </c>
      <c r="D124" s="17" t="s">
        <v>1</v>
      </c>
      <c r="E124" s="17" t="s">
        <v>420</v>
      </c>
      <c r="F124" s="17">
        <f t="shared" si="7"/>
        <v>2</v>
      </c>
      <c r="G124" s="20" t="s">
        <v>126</v>
      </c>
      <c r="H124" s="17" t="s">
        <v>57</v>
      </c>
      <c r="I124" s="17" t="s">
        <v>103</v>
      </c>
      <c r="J124" s="22" t="s">
        <v>256</v>
      </c>
      <c r="K124" s="17" t="s">
        <v>256</v>
      </c>
      <c r="L124" s="21">
        <v>2</v>
      </c>
      <c r="M124" s="21"/>
      <c r="N124" s="17">
        <f t="shared" si="8"/>
        <v>0</v>
      </c>
      <c r="O124" s="17">
        <f t="shared" si="9"/>
        <v>2</v>
      </c>
      <c r="P124" s="17">
        <f t="shared" si="10"/>
        <v>0</v>
      </c>
      <c r="Q124" s="17">
        <f t="shared" si="11"/>
        <v>0</v>
      </c>
      <c r="R124" s="17">
        <f t="shared" si="12"/>
        <v>0</v>
      </c>
      <c r="S124" s="17" t="s">
        <v>579</v>
      </c>
    </row>
    <row r="125" spans="2:19" ht="15" hidden="1" customHeight="1">
      <c r="B125" s="17">
        <f t="shared" si="13"/>
        <v>114</v>
      </c>
      <c r="C125" s="17" t="s">
        <v>7</v>
      </c>
      <c r="D125" s="17" t="s">
        <v>1</v>
      </c>
      <c r="E125" s="17" t="s">
        <v>421</v>
      </c>
      <c r="F125" s="17">
        <f t="shared" si="7"/>
        <v>2</v>
      </c>
      <c r="G125" s="20" t="s">
        <v>126</v>
      </c>
      <c r="H125" s="17" t="s">
        <v>58</v>
      </c>
      <c r="I125" s="17" t="s">
        <v>103</v>
      </c>
      <c r="J125" s="22" t="s">
        <v>257</v>
      </c>
      <c r="K125" s="17" t="s">
        <v>257</v>
      </c>
      <c r="L125" s="21">
        <v>2</v>
      </c>
      <c r="M125" s="21"/>
      <c r="N125" s="17">
        <f t="shared" si="8"/>
        <v>0</v>
      </c>
      <c r="O125" s="17">
        <f t="shared" si="9"/>
        <v>2</v>
      </c>
      <c r="P125" s="17">
        <f t="shared" si="10"/>
        <v>0</v>
      </c>
      <c r="Q125" s="17">
        <f t="shared" si="11"/>
        <v>0</v>
      </c>
      <c r="R125" s="17">
        <f t="shared" si="12"/>
        <v>0</v>
      </c>
      <c r="S125" s="17" t="s">
        <v>579</v>
      </c>
    </row>
    <row r="126" spans="2:19" ht="15" hidden="1" customHeight="1">
      <c r="B126" s="17">
        <f t="shared" si="13"/>
        <v>115</v>
      </c>
      <c r="C126" s="17" t="s">
        <v>7</v>
      </c>
      <c r="D126" s="17" t="s">
        <v>1</v>
      </c>
      <c r="E126" s="17" t="s">
        <v>422</v>
      </c>
      <c r="F126" s="17">
        <f t="shared" si="7"/>
        <v>2</v>
      </c>
      <c r="G126" s="20" t="s">
        <v>126</v>
      </c>
      <c r="H126" s="17" t="s">
        <v>59</v>
      </c>
      <c r="I126" s="17" t="s">
        <v>103</v>
      </c>
      <c r="J126" s="22" t="s">
        <v>258</v>
      </c>
      <c r="K126" s="17" t="s">
        <v>258</v>
      </c>
      <c r="L126" s="21">
        <v>2</v>
      </c>
      <c r="M126" s="21"/>
      <c r="N126" s="17">
        <f t="shared" si="8"/>
        <v>0</v>
      </c>
      <c r="O126" s="17">
        <f t="shared" si="9"/>
        <v>2</v>
      </c>
      <c r="P126" s="17">
        <f t="shared" si="10"/>
        <v>0</v>
      </c>
      <c r="Q126" s="17">
        <f t="shared" si="11"/>
        <v>0</v>
      </c>
      <c r="R126" s="17">
        <f t="shared" si="12"/>
        <v>0</v>
      </c>
      <c r="S126" s="17" t="s">
        <v>579</v>
      </c>
    </row>
    <row r="127" spans="2:19" ht="15" hidden="1" customHeight="1">
      <c r="B127" s="17">
        <f t="shared" si="13"/>
        <v>116</v>
      </c>
      <c r="C127" s="17" t="s">
        <v>7</v>
      </c>
      <c r="D127" s="17" t="s">
        <v>1</v>
      </c>
      <c r="E127" s="17" t="s">
        <v>480</v>
      </c>
      <c r="F127" s="17">
        <f t="shared" si="7"/>
        <v>1</v>
      </c>
      <c r="G127" s="20" t="s">
        <v>126</v>
      </c>
      <c r="H127" s="17" t="s">
        <v>127</v>
      </c>
      <c r="I127" s="17" t="s">
        <v>104</v>
      </c>
      <c r="J127" s="22" t="s">
        <v>322</v>
      </c>
      <c r="K127" s="17" t="s">
        <v>607</v>
      </c>
      <c r="L127" s="21">
        <v>5</v>
      </c>
      <c r="M127" s="21"/>
      <c r="N127" s="17">
        <f t="shared" si="8"/>
        <v>0</v>
      </c>
      <c r="O127" s="17">
        <f t="shared" si="9"/>
        <v>0</v>
      </c>
      <c r="P127" s="17">
        <f t="shared" si="10"/>
        <v>0</v>
      </c>
      <c r="Q127" s="17">
        <f t="shared" si="11"/>
        <v>0</v>
      </c>
      <c r="R127" s="17">
        <f t="shared" si="12"/>
        <v>1</v>
      </c>
      <c r="S127" s="17" t="s">
        <v>594</v>
      </c>
    </row>
    <row r="128" spans="2:19" ht="15" customHeight="1">
      <c r="B128" s="17">
        <f t="shared" si="13"/>
        <v>117</v>
      </c>
      <c r="C128" s="17" t="s">
        <v>7</v>
      </c>
      <c r="D128" s="17" t="s">
        <v>1</v>
      </c>
      <c r="E128" s="17" t="s">
        <v>23</v>
      </c>
      <c r="F128" s="17">
        <f t="shared" si="7"/>
        <v>3</v>
      </c>
      <c r="G128" s="20" t="s">
        <v>126</v>
      </c>
      <c r="H128" s="17" t="s">
        <v>13</v>
      </c>
      <c r="I128" s="17" t="s">
        <v>104</v>
      </c>
      <c r="J128" s="22" t="s">
        <v>231</v>
      </c>
      <c r="K128" s="17" t="s">
        <v>607</v>
      </c>
      <c r="L128" s="21">
        <v>1</v>
      </c>
      <c r="M128" s="21">
        <v>5</v>
      </c>
      <c r="N128" s="17">
        <f t="shared" si="8"/>
        <v>2</v>
      </c>
      <c r="O128" s="17">
        <f t="shared" si="9"/>
        <v>0</v>
      </c>
      <c r="P128" s="17">
        <f t="shared" si="10"/>
        <v>0</v>
      </c>
      <c r="Q128" s="17">
        <f t="shared" si="11"/>
        <v>0</v>
      </c>
      <c r="R128" s="17">
        <f t="shared" si="12"/>
        <v>1</v>
      </c>
      <c r="S128" s="17" t="s">
        <v>570</v>
      </c>
    </row>
    <row r="129" spans="2:19" ht="15" hidden="1" customHeight="1">
      <c r="B129" s="17">
        <f t="shared" si="13"/>
        <v>118</v>
      </c>
      <c r="C129" s="17" t="s">
        <v>7</v>
      </c>
      <c r="D129" s="17" t="s">
        <v>1</v>
      </c>
      <c r="E129" s="17" t="s">
        <v>24</v>
      </c>
      <c r="F129" s="17">
        <f t="shared" si="7"/>
        <v>3</v>
      </c>
      <c r="G129" s="20" t="s">
        <v>126</v>
      </c>
      <c r="H129" s="17" t="s">
        <v>14</v>
      </c>
      <c r="I129" s="17" t="s">
        <v>103</v>
      </c>
      <c r="J129" s="22" t="s">
        <v>232</v>
      </c>
      <c r="K129" s="17" t="s">
        <v>606</v>
      </c>
      <c r="L129" s="21">
        <v>3</v>
      </c>
      <c r="M129" s="21"/>
      <c r="N129" s="17">
        <f t="shared" si="8"/>
        <v>0</v>
      </c>
      <c r="O129" s="17">
        <f t="shared" si="9"/>
        <v>0</v>
      </c>
      <c r="P129" s="17">
        <f t="shared" si="10"/>
        <v>3</v>
      </c>
      <c r="Q129" s="17">
        <f t="shared" si="11"/>
        <v>0</v>
      </c>
      <c r="R129" s="17">
        <f t="shared" si="12"/>
        <v>0</v>
      </c>
      <c r="S129" s="17" t="s">
        <v>579</v>
      </c>
    </row>
    <row r="130" spans="2:19" ht="15" hidden="1" customHeight="1">
      <c r="B130" s="17">
        <f t="shared" si="13"/>
        <v>119</v>
      </c>
      <c r="C130" s="17" t="s">
        <v>7</v>
      </c>
      <c r="D130" s="17" t="s">
        <v>1</v>
      </c>
      <c r="E130" s="17" t="s">
        <v>481</v>
      </c>
      <c r="F130" s="17">
        <f t="shared" si="7"/>
        <v>1</v>
      </c>
      <c r="G130" s="20" t="s">
        <v>126</v>
      </c>
      <c r="H130" s="17" t="s">
        <v>128</v>
      </c>
      <c r="I130" s="17" t="s">
        <v>103</v>
      </c>
      <c r="J130" s="22" t="s">
        <v>323</v>
      </c>
      <c r="K130" s="17" t="s">
        <v>323</v>
      </c>
      <c r="L130" s="21">
        <v>2</v>
      </c>
      <c r="M130" s="21"/>
      <c r="N130" s="17">
        <f t="shared" si="8"/>
        <v>0</v>
      </c>
      <c r="O130" s="17">
        <f t="shared" si="9"/>
        <v>1</v>
      </c>
      <c r="P130" s="17">
        <f t="shared" si="10"/>
        <v>0</v>
      </c>
      <c r="Q130" s="17">
        <f t="shared" si="11"/>
        <v>0</v>
      </c>
      <c r="R130" s="17">
        <f t="shared" si="12"/>
        <v>0</v>
      </c>
      <c r="S130" s="17" t="s">
        <v>579</v>
      </c>
    </row>
    <row r="131" spans="2:19" ht="15" hidden="1" customHeight="1">
      <c r="B131" s="17">
        <f t="shared" si="13"/>
        <v>120</v>
      </c>
      <c r="C131" s="17" t="s">
        <v>7</v>
      </c>
      <c r="D131" s="17" t="s">
        <v>1</v>
      </c>
      <c r="E131" s="17" t="s">
        <v>25</v>
      </c>
      <c r="F131" s="17">
        <f t="shared" si="7"/>
        <v>6</v>
      </c>
      <c r="G131" s="20" t="s">
        <v>126</v>
      </c>
      <c r="H131" s="17" t="s">
        <v>15</v>
      </c>
      <c r="I131" s="17" t="s">
        <v>103</v>
      </c>
      <c r="J131" s="22" t="s">
        <v>233</v>
      </c>
      <c r="K131" s="17" t="s">
        <v>233</v>
      </c>
      <c r="L131" s="21">
        <v>2</v>
      </c>
      <c r="M131" s="21"/>
      <c r="N131" s="17">
        <f t="shared" si="8"/>
        <v>0</v>
      </c>
      <c r="O131" s="17">
        <f t="shared" si="9"/>
        <v>6</v>
      </c>
      <c r="P131" s="17">
        <f t="shared" si="10"/>
        <v>0</v>
      </c>
      <c r="Q131" s="17">
        <f t="shared" si="11"/>
        <v>0</v>
      </c>
      <c r="R131" s="17">
        <f t="shared" si="12"/>
        <v>0</v>
      </c>
      <c r="S131" s="17" t="s">
        <v>579</v>
      </c>
    </row>
    <row r="132" spans="2:19" ht="15" hidden="1" customHeight="1">
      <c r="B132" s="17">
        <f t="shared" si="13"/>
        <v>121</v>
      </c>
      <c r="C132" s="17" t="s">
        <v>7</v>
      </c>
      <c r="D132" s="17" t="s">
        <v>1</v>
      </c>
      <c r="E132" s="17" t="s">
        <v>26</v>
      </c>
      <c r="F132" s="17">
        <f t="shared" si="7"/>
        <v>3</v>
      </c>
      <c r="G132" s="20" t="s">
        <v>126</v>
      </c>
      <c r="H132" s="17" t="s">
        <v>16</v>
      </c>
      <c r="I132" s="17" t="s">
        <v>103</v>
      </c>
      <c r="J132" s="22" t="s">
        <v>234</v>
      </c>
      <c r="K132" s="17" t="s">
        <v>234</v>
      </c>
      <c r="L132" s="21">
        <v>2</v>
      </c>
      <c r="M132" s="21"/>
      <c r="N132" s="17">
        <f t="shared" si="8"/>
        <v>0</v>
      </c>
      <c r="O132" s="17">
        <f t="shared" si="9"/>
        <v>3</v>
      </c>
      <c r="P132" s="17">
        <f t="shared" si="10"/>
        <v>0</v>
      </c>
      <c r="Q132" s="17">
        <f t="shared" si="11"/>
        <v>0</v>
      </c>
      <c r="R132" s="17">
        <f t="shared" si="12"/>
        <v>0</v>
      </c>
      <c r="S132" s="17" t="s">
        <v>579</v>
      </c>
    </row>
    <row r="133" spans="2:19" ht="15" hidden="1" customHeight="1">
      <c r="B133" s="17">
        <f t="shared" si="13"/>
        <v>122</v>
      </c>
      <c r="C133" s="17" t="s">
        <v>7</v>
      </c>
      <c r="D133" s="17" t="s">
        <v>1</v>
      </c>
      <c r="E133" s="17" t="s">
        <v>27</v>
      </c>
      <c r="F133" s="17">
        <f t="shared" si="7"/>
        <v>3</v>
      </c>
      <c r="G133" s="20" t="s">
        <v>126</v>
      </c>
      <c r="H133" s="17" t="s">
        <v>17</v>
      </c>
      <c r="I133" s="17" t="s">
        <v>103</v>
      </c>
      <c r="J133" s="22" t="s">
        <v>235</v>
      </c>
      <c r="K133" s="17" t="s">
        <v>235</v>
      </c>
      <c r="L133" s="21">
        <v>2</v>
      </c>
      <c r="M133" s="21"/>
      <c r="N133" s="17">
        <f t="shared" si="8"/>
        <v>0</v>
      </c>
      <c r="O133" s="17">
        <f t="shared" si="9"/>
        <v>3</v>
      </c>
      <c r="P133" s="17">
        <f t="shared" si="10"/>
        <v>0</v>
      </c>
      <c r="Q133" s="17">
        <f t="shared" si="11"/>
        <v>0</v>
      </c>
      <c r="R133" s="17">
        <f t="shared" si="12"/>
        <v>0</v>
      </c>
      <c r="S133" s="17" t="s">
        <v>579</v>
      </c>
    </row>
    <row r="134" spans="2:19" ht="15" hidden="1" customHeight="1">
      <c r="B134" s="17">
        <f t="shared" si="13"/>
        <v>123</v>
      </c>
      <c r="C134" s="17" t="s">
        <v>7</v>
      </c>
      <c r="D134" s="17" t="s">
        <v>1</v>
      </c>
      <c r="E134" s="17" t="s">
        <v>482</v>
      </c>
      <c r="F134" s="17">
        <f t="shared" si="7"/>
        <v>1</v>
      </c>
      <c r="G134" s="20" t="s">
        <v>126</v>
      </c>
      <c r="H134" s="17" t="s">
        <v>129</v>
      </c>
      <c r="I134" s="17" t="s">
        <v>103</v>
      </c>
      <c r="J134" s="22" t="s">
        <v>324</v>
      </c>
      <c r="K134" s="20" t="s">
        <v>636</v>
      </c>
      <c r="L134" s="21">
        <v>2</v>
      </c>
      <c r="M134" s="21"/>
      <c r="N134" s="17">
        <f t="shared" si="8"/>
        <v>0</v>
      </c>
      <c r="O134" s="17">
        <f t="shared" si="9"/>
        <v>1</v>
      </c>
      <c r="P134" s="17">
        <f t="shared" si="10"/>
        <v>0</v>
      </c>
      <c r="Q134" s="17">
        <f t="shared" si="11"/>
        <v>0</v>
      </c>
      <c r="R134" s="17">
        <f t="shared" si="12"/>
        <v>0</v>
      </c>
      <c r="S134" s="17" t="s">
        <v>579</v>
      </c>
    </row>
    <row r="135" spans="2:19" ht="15" hidden="1" customHeight="1">
      <c r="B135" s="17">
        <f t="shared" si="13"/>
        <v>124</v>
      </c>
      <c r="C135" s="17" t="s">
        <v>7</v>
      </c>
      <c r="D135" s="17" t="s">
        <v>1</v>
      </c>
      <c r="E135" s="17" t="s">
        <v>433</v>
      </c>
      <c r="F135" s="17">
        <f t="shared" si="7"/>
        <v>3</v>
      </c>
      <c r="G135" s="20" t="s">
        <v>126</v>
      </c>
      <c r="H135" s="17" t="s">
        <v>130</v>
      </c>
      <c r="I135" s="17" t="s">
        <v>103</v>
      </c>
      <c r="J135" s="22" t="s">
        <v>268</v>
      </c>
      <c r="K135" s="17" t="s">
        <v>268</v>
      </c>
      <c r="L135" s="21">
        <v>2</v>
      </c>
      <c r="M135" s="21"/>
      <c r="N135" s="17">
        <f t="shared" si="8"/>
        <v>0</v>
      </c>
      <c r="O135" s="17">
        <f t="shared" si="9"/>
        <v>3</v>
      </c>
      <c r="P135" s="17">
        <f t="shared" si="10"/>
        <v>0</v>
      </c>
      <c r="Q135" s="17">
        <f t="shared" si="11"/>
        <v>0</v>
      </c>
      <c r="R135" s="17">
        <f t="shared" si="12"/>
        <v>0</v>
      </c>
      <c r="S135" s="17" t="s">
        <v>579</v>
      </c>
    </row>
    <row r="136" spans="2:19" ht="15" hidden="1" customHeight="1">
      <c r="B136" s="17">
        <f t="shared" si="13"/>
        <v>125</v>
      </c>
      <c r="C136" s="17" t="s">
        <v>7</v>
      </c>
      <c r="D136" s="17" t="s">
        <v>1</v>
      </c>
      <c r="E136" s="17" t="s">
        <v>483</v>
      </c>
      <c r="F136" s="17">
        <f t="shared" si="7"/>
        <v>1</v>
      </c>
      <c r="G136" s="20" t="s">
        <v>126</v>
      </c>
      <c r="H136" s="17" t="s">
        <v>131</v>
      </c>
      <c r="I136" s="17" t="s">
        <v>104</v>
      </c>
      <c r="J136" s="22" t="s">
        <v>325</v>
      </c>
      <c r="K136" s="46" t="s">
        <v>613</v>
      </c>
      <c r="L136" s="21">
        <v>5</v>
      </c>
      <c r="M136" s="21"/>
      <c r="N136" s="17">
        <f t="shared" si="8"/>
        <v>0</v>
      </c>
      <c r="O136" s="17">
        <f t="shared" si="9"/>
        <v>0</v>
      </c>
      <c r="P136" s="17">
        <f t="shared" si="10"/>
        <v>0</v>
      </c>
      <c r="Q136" s="17">
        <f t="shared" si="11"/>
        <v>0</v>
      </c>
      <c r="R136" s="17">
        <f t="shared" si="12"/>
        <v>1</v>
      </c>
      <c r="S136" s="17" t="s">
        <v>595</v>
      </c>
    </row>
    <row r="137" spans="2:19" ht="15" hidden="1" customHeight="1">
      <c r="B137" s="17">
        <f t="shared" si="13"/>
        <v>126</v>
      </c>
      <c r="C137" s="17" t="s">
        <v>7</v>
      </c>
      <c r="D137" s="17" t="s">
        <v>1</v>
      </c>
      <c r="E137" s="17" t="s">
        <v>440</v>
      </c>
      <c r="F137" s="17">
        <f t="shared" si="7"/>
        <v>2</v>
      </c>
      <c r="G137" s="20" t="s">
        <v>126</v>
      </c>
      <c r="H137" s="17" t="s">
        <v>77</v>
      </c>
      <c r="I137" s="17" t="s">
        <v>103</v>
      </c>
      <c r="J137" s="22" t="s">
        <v>275</v>
      </c>
      <c r="K137" s="20" t="s">
        <v>637</v>
      </c>
      <c r="L137" s="21">
        <v>3</v>
      </c>
      <c r="M137" s="21"/>
      <c r="N137" s="17">
        <f t="shared" si="8"/>
        <v>0</v>
      </c>
      <c r="O137" s="17">
        <f t="shared" si="9"/>
        <v>0</v>
      </c>
      <c r="P137" s="17">
        <f t="shared" si="10"/>
        <v>2</v>
      </c>
      <c r="Q137" s="17">
        <f t="shared" si="11"/>
        <v>0</v>
      </c>
      <c r="R137" s="17">
        <f t="shared" si="12"/>
        <v>0</v>
      </c>
      <c r="S137" s="17" t="s">
        <v>579</v>
      </c>
    </row>
    <row r="138" spans="2:19" ht="15" hidden="1" customHeight="1">
      <c r="B138" s="17">
        <f t="shared" si="13"/>
        <v>127</v>
      </c>
      <c r="C138" s="17" t="s">
        <v>7</v>
      </c>
      <c r="D138" s="17" t="s">
        <v>1</v>
      </c>
      <c r="E138" s="17" t="s">
        <v>441</v>
      </c>
      <c r="F138" s="17">
        <f t="shared" si="7"/>
        <v>2</v>
      </c>
      <c r="G138" s="20" t="s">
        <v>126</v>
      </c>
      <c r="H138" s="17" t="s">
        <v>78</v>
      </c>
      <c r="I138" s="17" t="s">
        <v>103</v>
      </c>
      <c r="J138" s="22" t="s">
        <v>276</v>
      </c>
      <c r="K138" s="17" t="s">
        <v>276</v>
      </c>
      <c r="L138" s="21">
        <v>2</v>
      </c>
      <c r="M138" s="21"/>
      <c r="N138" s="17">
        <f t="shared" si="8"/>
        <v>0</v>
      </c>
      <c r="O138" s="17">
        <f t="shared" si="9"/>
        <v>2</v>
      </c>
      <c r="P138" s="17">
        <f t="shared" si="10"/>
        <v>0</v>
      </c>
      <c r="Q138" s="17">
        <f t="shared" si="11"/>
        <v>0</v>
      </c>
      <c r="R138" s="17">
        <f t="shared" si="12"/>
        <v>0</v>
      </c>
      <c r="S138" s="17" t="s">
        <v>579</v>
      </c>
    </row>
    <row r="139" spans="2:19" ht="15" hidden="1" customHeight="1">
      <c r="B139" s="17">
        <f t="shared" si="13"/>
        <v>128</v>
      </c>
      <c r="C139" s="17" t="s">
        <v>7</v>
      </c>
      <c r="D139" s="17" t="s">
        <v>1</v>
      </c>
      <c r="E139" s="17" t="s">
        <v>443</v>
      </c>
      <c r="F139" s="17">
        <f t="shared" si="7"/>
        <v>2</v>
      </c>
      <c r="G139" s="20" t="s">
        <v>126</v>
      </c>
      <c r="H139" s="17" t="s">
        <v>80</v>
      </c>
      <c r="I139" s="17" t="s">
        <v>103</v>
      </c>
      <c r="J139" s="22" t="s">
        <v>277</v>
      </c>
      <c r="K139" s="17" t="s">
        <v>277</v>
      </c>
      <c r="L139" s="21">
        <v>2</v>
      </c>
      <c r="M139" s="21"/>
      <c r="N139" s="17">
        <f t="shared" si="8"/>
        <v>0</v>
      </c>
      <c r="O139" s="17">
        <f t="shared" si="9"/>
        <v>2</v>
      </c>
      <c r="P139" s="17">
        <f t="shared" si="10"/>
        <v>0</v>
      </c>
      <c r="Q139" s="17">
        <f t="shared" si="11"/>
        <v>0</v>
      </c>
      <c r="R139" s="17">
        <f t="shared" si="12"/>
        <v>0</v>
      </c>
      <c r="S139" s="17" t="s">
        <v>579</v>
      </c>
    </row>
    <row r="140" spans="2:19" ht="15" hidden="1" customHeight="1">
      <c r="B140" s="17">
        <f t="shared" si="13"/>
        <v>129</v>
      </c>
      <c r="C140" s="17" t="s">
        <v>7</v>
      </c>
      <c r="D140" s="17" t="s">
        <v>1</v>
      </c>
      <c r="E140" s="17" t="s">
        <v>444</v>
      </c>
      <c r="F140" s="17">
        <f t="shared" ref="F140:F203" si="14">+COUNTIFS($E$12:$E$289,E140)</f>
        <v>2</v>
      </c>
      <c r="G140" s="20" t="s">
        <v>126</v>
      </c>
      <c r="H140" s="17" t="s">
        <v>81</v>
      </c>
      <c r="I140" s="17" t="s">
        <v>103</v>
      </c>
      <c r="J140" s="22" t="s">
        <v>278</v>
      </c>
      <c r="K140" s="17" t="s">
        <v>278</v>
      </c>
      <c r="L140" s="21">
        <v>2</v>
      </c>
      <c r="M140" s="21"/>
      <c r="N140" s="17">
        <f t="shared" ref="N140:N203" si="15">+COUNTIFS($E$12:$E$289,E140,$L$12:$L$289,1)</f>
        <v>0</v>
      </c>
      <c r="O140" s="17">
        <f t="shared" ref="O140:O203" si="16">+COUNTIFS($E$12:$E$289,E140,$L$12:$L$289,2)</f>
        <v>2</v>
      </c>
      <c r="P140" s="17">
        <f t="shared" ref="P140:P203" si="17">+COUNTIFS($E$12:$E$289,E140,$L$12:$L$289,3)</f>
        <v>0</v>
      </c>
      <c r="Q140" s="17">
        <f t="shared" ref="Q140:Q203" si="18">+COUNTIFS($E$12:$E$289,E140,$L$12:$L$289,4)</f>
        <v>0</v>
      </c>
      <c r="R140" s="17">
        <f t="shared" ref="R140:R203" si="19">+COUNTIFS($E$12:$E$289,E140,$L$12:$L$289,5)</f>
        <v>0</v>
      </c>
      <c r="S140" s="17" t="s">
        <v>579</v>
      </c>
    </row>
    <row r="141" spans="2:19" ht="15" customHeight="1">
      <c r="B141" s="17">
        <f t="shared" si="13"/>
        <v>130</v>
      </c>
      <c r="C141" s="17" t="s">
        <v>7</v>
      </c>
      <c r="D141" s="17" t="s">
        <v>1</v>
      </c>
      <c r="E141" s="17" t="s">
        <v>449</v>
      </c>
      <c r="F141" s="17">
        <f t="shared" si="14"/>
        <v>4</v>
      </c>
      <c r="G141" s="20" t="s">
        <v>126</v>
      </c>
      <c r="H141" s="17" t="s">
        <v>86</v>
      </c>
      <c r="I141" s="17" t="s">
        <v>104</v>
      </c>
      <c r="J141" s="37" t="s">
        <v>326</v>
      </c>
      <c r="K141" s="20" t="s">
        <v>605</v>
      </c>
      <c r="L141" s="21">
        <v>1</v>
      </c>
      <c r="M141" s="21">
        <v>1</v>
      </c>
      <c r="N141" s="17">
        <f t="shared" si="15"/>
        <v>2</v>
      </c>
      <c r="O141" s="17">
        <f t="shared" si="16"/>
        <v>2</v>
      </c>
      <c r="P141" s="17">
        <f t="shared" si="17"/>
        <v>0</v>
      </c>
      <c r="Q141" s="17">
        <f t="shared" si="18"/>
        <v>0</v>
      </c>
      <c r="R141" s="17">
        <f t="shared" si="19"/>
        <v>0</v>
      </c>
      <c r="S141" s="17" t="s">
        <v>568</v>
      </c>
    </row>
    <row r="142" spans="2:19" ht="15" hidden="1" customHeight="1">
      <c r="B142" s="17">
        <f t="shared" ref="B142:B205" si="20">1+B141</f>
        <v>131</v>
      </c>
      <c r="C142" s="17" t="s">
        <v>7</v>
      </c>
      <c r="D142" s="17" t="s">
        <v>1</v>
      </c>
      <c r="E142" s="17" t="s">
        <v>453</v>
      </c>
      <c r="F142" s="17">
        <f t="shared" si="14"/>
        <v>2</v>
      </c>
      <c r="G142" s="20" t="s">
        <v>126</v>
      </c>
      <c r="H142" s="17" t="s">
        <v>90</v>
      </c>
      <c r="I142" s="17" t="s">
        <v>103</v>
      </c>
      <c r="J142" s="22" t="s">
        <v>287</v>
      </c>
      <c r="K142" s="17" t="s">
        <v>287</v>
      </c>
      <c r="L142" s="21">
        <v>2</v>
      </c>
      <c r="M142" s="21"/>
      <c r="N142" s="17">
        <f t="shared" si="15"/>
        <v>0</v>
      </c>
      <c r="O142" s="17">
        <f t="shared" si="16"/>
        <v>2</v>
      </c>
      <c r="P142" s="17">
        <f t="shared" si="17"/>
        <v>0</v>
      </c>
      <c r="Q142" s="17">
        <f t="shared" si="18"/>
        <v>0</v>
      </c>
      <c r="R142" s="17">
        <f t="shared" si="19"/>
        <v>0</v>
      </c>
      <c r="S142" s="17" t="s">
        <v>579</v>
      </c>
    </row>
    <row r="143" spans="2:19" ht="15" hidden="1" customHeight="1">
      <c r="B143" s="17">
        <f t="shared" si="20"/>
        <v>132</v>
      </c>
      <c r="C143" s="17" t="s">
        <v>7</v>
      </c>
      <c r="D143" s="17" t="s">
        <v>1</v>
      </c>
      <c r="E143" s="17" t="s">
        <v>454</v>
      </c>
      <c r="F143" s="17">
        <f t="shared" si="14"/>
        <v>2</v>
      </c>
      <c r="G143" s="20" t="s">
        <v>126</v>
      </c>
      <c r="H143" s="17" t="s">
        <v>91</v>
      </c>
      <c r="I143" s="17" t="s">
        <v>103</v>
      </c>
      <c r="J143" s="22" t="s">
        <v>288</v>
      </c>
      <c r="K143" s="20" t="s">
        <v>638</v>
      </c>
      <c r="L143" s="21">
        <v>3</v>
      </c>
      <c r="M143" s="21"/>
      <c r="N143" s="17">
        <f t="shared" si="15"/>
        <v>0</v>
      </c>
      <c r="O143" s="17">
        <f t="shared" si="16"/>
        <v>0</v>
      </c>
      <c r="P143" s="17">
        <f t="shared" si="17"/>
        <v>2</v>
      </c>
      <c r="Q143" s="17">
        <f t="shared" si="18"/>
        <v>0</v>
      </c>
      <c r="R143" s="17">
        <f t="shared" si="19"/>
        <v>0</v>
      </c>
      <c r="S143" s="17" t="s">
        <v>579</v>
      </c>
    </row>
    <row r="144" spans="2:19" ht="15" hidden="1" customHeight="1">
      <c r="B144" s="17">
        <f t="shared" si="20"/>
        <v>133</v>
      </c>
      <c r="C144" s="17" t="s">
        <v>7</v>
      </c>
      <c r="D144" s="17" t="s">
        <v>1</v>
      </c>
      <c r="E144" s="17" t="s">
        <v>455</v>
      </c>
      <c r="F144" s="17">
        <f t="shared" si="14"/>
        <v>2</v>
      </c>
      <c r="G144" s="20" t="s">
        <v>126</v>
      </c>
      <c r="H144" s="17" t="s">
        <v>92</v>
      </c>
      <c r="I144" s="17" t="s">
        <v>103</v>
      </c>
      <c r="J144" s="22" t="s">
        <v>289</v>
      </c>
      <c r="K144" s="20" t="s">
        <v>621</v>
      </c>
      <c r="L144" s="21">
        <v>3</v>
      </c>
      <c r="M144" s="21"/>
      <c r="N144" s="17">
        <f t="shared" si="15"/>
        <v>0</v>
      </c>
      <c r="O144" s="17">
        <f t="shared" si="16"/>
        <v>0</v>
      </c>
      <c r="P144" s="17">
        <f t="shared" si="17"/>
        <v>2</v>
      </c>
      <c r="Q144" s="17">
        <f t="shared" si="18"/>
        <v>0</v>
      </c>
      <c r="R144" s="17">
        <f t="shared" si="19"/>
        <v>0</v>
      </c>
      <c r="S144" s="17" t="s">
        <v>579</v>
      </c>
    </row>
    <row r="145" spans="2:19" ht="15" hidden="1" customHeight="1">
      <c r="B145" s="17">
        <f t="shared" si="20"/>
        <v>134</v>
      </c>
      <c r="C145" s="17" t="s">
        <v>7</v>
      </c>
      <c r="D145" s="17" t="s">
        <v>1</v>
      </c>
      <c r="E145" s="17" t="s">
        <v>457</v>
      </c>
      <c r="F145" s="17">
        <f t="shared" si="14"/>
        <v>2</v>
      </c>
      <c r="G145" s="20" t="s">
        <v>126</v>
      </c>
      <c r="H145" s="17" t="s">
        <v>94</v>
      </c>
      <c r="I145" s="17" t="s">
        <v>103</v>
      </c>
      <c r="J145" s="22" t="s">
        <v>291</v>
      </c>
      <c r="K145" s="20" t="s">
        <v>623</v>
      </c>
      <c r="L145" s="21">
        <v>3</v>
      </c>
      <c r="M145" s="21"/>
      <c r="N145" s="17">
        <f t="shared" si="15"/>
        <v>0</v>
      </c>
      <c r="O145" s="17">
        <f t="shared" si="16"/>
        <v>0</v>
      </c>
      <c r="P145" s="17">
        <f t="shared" si="17"/>
        <v>2</v>
      </c>
      <c r="Q145" s="17">
        <f t="shared" si="18"/>
        <v>0</v>
      </c>
      <c r="R145" s="17">
        <f t="shared" si="19"/>
        <v>0</v>
      </c>
      <c r="S145" s="17" t="s">
        <v>579</v>
      </c>
    </row>
    <row r="146" spans="2:19" ht="15" hidden="1" customHeight="1">
      <c r="B146" s="17">
        <f t="shared" si="20"/>
        <v>135</v>
      </c>
      <c r="C146" s="17" t="s">
        <v>7</v>
      </c>
      <c r="D146" s="17" t="s">
        <v>1</v>
      </c>
      <c r="E146" s="17" t="s">
        <v>458</v>
      </c>
      <c r="F146" s="17">
        <f t="shared" si="14"/>
        <v>2</v>
      </c>
      <c r="G146" s="20" t="s">
        <v>126</v>
      </c>
      <c r="H146" s="17" t="s">
        <v>95</v>
      </c>
      <c r="I146" s="17" t="s">
        <v>103</v>
      </c>
      <c r="J146" s="22" t="s">
        <v>292</v>
      </c>
      <c r="K146" s="17" t="s">
        <v>292</v>
      </c>
      <c r="L146" s="21">
        <v>2</v>
      </c>
      <c r="M146" s="21"/>
      <c r="N146" s="17">
        <f t="shared" si="15"/>
        <v>0</v>
      </c>
      <c r="O146" s="17">
        <f t="shared" si="16"/>
        <v>2</v>
      </c>
      <c r="P146" s="17">
        <f t="shared" si="17"/>
        <v>0</v>
      </c>
      <c r="Q146" s="17">
        <f t="shared" si="18"/>
        <v>0</v>
      </c>
      <c r="R146" s="17">
        <f t="shared" si="19"/>
        <v>0</v>
      </c>
      <c r="S146" s="17" t="s">
        <v>579</v>
      </c>
    </row>
    <row r="147" spans="2:19" ht="15" hidden="1" customHeight="1">
      <c r="B147" s="17">
        <f t="shared" si="20"/>
        <v>136</v>
      </c>
      <c r="C147" s="17" t="s">
        <v>7</v>
      </c>
      <c r="D147" s="17" t="s">
        <v>1</v>
      </c>
      <c r="E147" s="17" t="s">
        <v>460</v>
      </c>
      <c r="F147" s="17">
        <f t="shared" si="14"/>
        <v>2</v>
      </c>
      <c r="G147" s="20" t="s">
        <v>126</v>
      </c>
      <c r="H147" s="17" t="s">
        <v>97</v>
      </c>
      <c r="I147" s="17" t="s">
        <v>103</v>
      </c>
      <c r="J147" s="22" t="s">
        <v>294</v>
      </c>
      <c r="K147" s="20" t="s">
        <v>624</v>
      </c>
      <c r="L147" s="21">
        <v>3</v>
      </c>
      <c r="M147" s="21"/>
      <c r="N147" s="17">
        <f t="shared" si="15"/>
        <v>0</v>
      </c>
      <c r="O147" s="17">
        <f t="shared" si="16"/>
        <v>0</v>
      </c>
      <c r="P147" s="17">
        <f t="shared" si="17"/>
        <v>2</v>
      </c>
      <c r="Q147" s="17">
        <f t="shared" si="18"/>
        <v>0</v>
      </c>
      <c r="R147" s="17">
        <f t="shared" si="19"/>
        <v>0</v>
      </c>
      <c r="S147" s="17" t="s">
        <v>579</v>
      </c>
    </row>
    <row r="148" spans="2:19" ht="15" hidden="1" customHeight="1">
      <c r="B148" s="17">
        <f t="shared" si="20"/>
        <v>137</v>
      </c>
      <c r="C148" s="17" t="s">
        <v>7</v>
      </c>
      <c r="D148" s="17" t="s">
        <v>1</v>
      </c>
      <c r="E148" s="17" t="s">
        <v>461</v>
      </c>
      <c r="F148" s="17">
        <f t="shared" si="14"/>
        <v>2</v>
      </c>
      <c r="G148" s="20" t="s">
        <v>126</v>
      </c>
      <c r="H148" s="17" t="s">
        <v>98</v>
      </c>
      <c r="I148" s="17" t="s">
        <v>103</v>
      </c>
      <c r="J148" s="22" t="s">
        <v>295</v>
      </c>
      <c r="K148" s="17" t="s">
        <v>295</v>
      </c>
      <c r="L148" s="21">
        <v>2</v>
      </c>
      <c r="M148" s="21"/>
      <c r="N148" s="17">
        <f t="shared" si="15"/>
        <v>0</v>
      </c>
      <c r="O148" s="17">
        <f t="shared" si="16"/>
        <v>2</v>
      </c>
      <c r="P148" s="17">
        <f t="shared" si="17"/>
        <v>0</v>
      </c>
      <c r="Q148" s="17">
        <f t="shared" si="18"/>
        <v>0</v>
      </c>
      <c r="R148" s="17">
        <f t="shared" si="19"/>
        <v>0</v>
      </c>
      <c r="S148" s="17" t="s">
        <v>579</v>
      </c>
    </row>
    <row r="149" spans="2:19" ht="15" hidden="1" customHeight="1">
      <c r="B149" s="17">
        <f t="shared" si="20"/>
        <v>138</v>
      </c>
      <c r="C149" s="17" t="s">
        <v>7</v>
      </c>
      <c r="D149" s="17" t="s">
        <v>2</v>
      </c>
      <c r="E149" s="17" t="s">
        <v>22</v>
      </c>
      <c r="F149" s="17">
        <f t="shared" si="14"/>
        <v>10</v>
      </c>
      <c r="G149" s="20" t="s">
        <v>132</v>
      </c>
      <c r="H149" s="17" t="s">
        <v>12</v>
      </c>
      <c r="I149" s="17" t="s">
        <v>103</v>
      </c>
      <c r="J149" s="22" t="s">
        <v>236</v>
      </c>
      <c r="K149" s="17" t="s">
        <v>236</v>
      </c>
      <c r="L149" s="21">
        <v>2</v>
      </c>
      <c r="M149" s="21"/>
      <c r="N149" s="17">
        <f t="shared" si="15"/>
        <v>3</v>
      </c>
      <c r="O149" s="17">
        <f t="shared" si="16"/>
        <v>6</v>
      </c>
      <c r="P149" s="17">
        <f t="shared" si="17"/>
        <v>0</v>
      </c>
      <c r="Q149" s="17">
        <f t="shared" si="18"/>
        <v>1</v>
      </c>
      <c r="R149" s="17">
        <f t="shared" si="19"/>
        <v>0</v>
      </c>
      <c r="S149" s="17" t="s">
        <v>579</v>
      </c>
    </row>
    <row r="150" spans="2:19" ht="15" hidden="1" customHeight="1">
      <c r="B150" s="17">
        <f t="shared" si="20"/>
        <v>139</v>
      </c>
      <c r="C150" s="17" t="s">
        <v>7</v>
      </c>
      <c r="D150" s="17" t="s">
        <v>2</v>
      </c>
      <c r="E150" s="17" t="s">
        <v>466</v>
      </c>
      <c r="F150" s="17">
        <f t="shared" si="14"/>
        <v>2</v>
      </c>
      <c r="G150" s="20" t="s">
        <v>132</v>
      </c>
      <c r="H150" s="17" t="s">
        <v>106</v>
      </c>
      <c r="I150" s="17" t="s">
        <v>103</v>
      </c>
      <c r="J150" s="22" t="s">
        <v>300</v>
      </c>
      <c r="K150" s="17" t="s">
        <v>300</v>
      </c>
      <c r="L150" s="21">
        <v>2</v>
      </c>
      <c r="M150" s="21"/>
      <c r="N150" s="17">
        <f t="shared" si="15"/>
        <v>0</v>
      </c>
      <c r="O150" s="17">
        <f t="shared" si="16"/>
        <v>2</v>
      </c>
      <c r="P150" s="17">
        <f t="shared" si="17"/>
        <v>0</v>
      </c>
      <c r="Q150" s="17">
        <f t="shared" si="18"/>
        <v>0</v>
      </c>
      <c r="R150" s="17">
        <f t="shared" si="19"/>
        <v>0</v>
      </c>
      <c r="S150" s="17" t="s">
        <v>579</v>
      </c>
    </row>
    <row r="151" spans="2:19" ht="15" hidden="1" customHeight="1">
      <c r="B151" s="17">
        <f t="shared" si="20"/>
        <v>140</v>
      </c>
      <c r="C151" s="17" t="s">
        <v>7</v>
      </c>
      <c r="D151" s="17" t="s">
        <v>2</v>
      </c>
      <c r="E151" s="17" t="s">
        <v>35</v>
      </c>
      <c r="F151" s="17">
        <f t="shared" si="14"/>
        <v>3</v>
      </c>
      <c r="G151" s="20" t="s">
        <v>132</v>
      </c>
      <c r="H151" s="17" t="s">
        <v>31</v>
      </c>
      <c r="I151" s="17" t="s">
        <v>103</v>
      </c>
      <c r="J151" s="22" t="s">
        <v>301</v>
      </c>
      <c r="K151" s="20" t="s">
        <v>626</v>
      </c>
      <c r="L151" s="21">
        <v>2</v>
      </c>
      <c r="M151" s="21"/>
      <c r="N151" s="17">
        <f t="shared" si="15"/>
        <v>0</v>
      </c>
      <c r="O151" s="17">
        <f t="shared" si="16"/>
        <v>3</v>
      </c>
      <c r="P151" s="17">
        <f t="shared" si="17"/>
        <v>0</v>
      </c>
      <c r="Q151" s="17">
        <f t="shared" si="18"/>
        <v>0</v>
      </c>
      <c r="R151" s="17">
        <f t="shared" si="19"/>
        <v>0</v>
      </c>
      <c r="S151" s="17" t="s">
        <v>579</v>
      </c>
    </row>
    <row r="152" spans="2:19" ht="15" hidden="1" customHeight="1">
      <c r="B152" s="17">
        <f t="shared" si="20"/>
        <v>141</v>
      </c>
      <c r="C152" s="17" t="s">
        <v>7</v>
      </c>
      <c r="D152" s="17" t="s">
        <v>2</v>
      </c>
      <c r="E152" s="17" t="s">
        <v>36</v>
      </c>
      <c r="F152" s="17">
        <f t="shared" si="14"/>
        <v>2</v>
      </c>
      <c r="G152" s="20" t="s">
        <v>132</v>
      </c>
      <c r="H152" s="17" t="s">
        <v>133</v>
      </c>
      <c r="I152" s="17" t="s">
        <v>103</v>
      </c>
      <c r="J152" s="22" t="s">
        <v>238</v>
      </c>
      <c r="K152" s="17" t="s">
        <v>238</v>
      </c>
      <c r="L152" s="21">
        <v>2</v>
      </c>
      <c r="M152" s="21"/>
      <c r="N152" s="17">
        <f t="shared" si="15"/>
        <v>0</v>
      </c>
      <c r="O152" s="17">
        <f t="shared" si="16"/>
        <v>2</v>
      </c>
      <c r="P152" s="17">
        <f t="shared" si="17"/>
        <v>0</v>
      </c>
      <c r="Q152" s="17">
        <f t="shared" si="18"/>
        <v>0</v>
      </c>
      <c r="R152" s="17">
        <f t="shared" si="19"/>
        <v>0</v>
      </c>
      <c r="S152" s="17" t="s">
        <v>579</v>
      </c>
    </row>
    <row r="153" spans="2:19" ht="15" customHeight="1">
      <c r="B153" s="17">
        <f t="shared" si="20"/>
        <v>142</v>
      </c>
      <c r="C153" s="17" t="s">
        <v>7</v>
      </c>
      <c r="D153" s="17" t="s">
        <v>2</v>
      </c>
      <c r="E153" s="17" t="s">
        <v>37</v>
      </c>
      <c r="F153" s="17">
        <f t="shared" si="14"/>
        <v>3</v>
      </c>
      <c r="G153" s="20" t="s">
        <v>132</v>
      </c>
      <c r="H153" s="17" t="s">
        <v>33</v>
      </c>
      <c r="I153" s="17" t="s">
        <v>104</v>
      </c>
      <c r="J153" s="22" t="s">
        <v>327</v>
      </c>
      <c r="K153" s="17" t="s">
        <v>607</v>
      </c>
      <c r="L153" s="21">
        <v>1</v>
      </c>
      <c r="M153" s="21">
        <v>5</v>
      </c>
      <c r="N153" s="17">
        <f t="shared" si="15"/>
        <v>2</v>
      </c>
      <c r="O153" s="17">
        <f t="shared" si="16"/>
        <v>0</v>
      </c>
      <c r="P153" s="17">
        <f t="shared" si="17"/>
        <v>0</v>
      </c>
      <c r="Q153" s="17">
        <f t="shared" si="18"/>
        <v>0</v>
      </c>
      <c r="R153" s="17">
        <f t="shared" si="19"/>
        <v>1</v>
      </c>
      <c r="S153" s="17" t="s">
        <v>572</v>
      </c>
    </row>
    <row r="154" spans="2:19" ht="15" customHeight="1">
      <c r="B154" s="17">
        <f t="shared" si="20"/>
        <v>143</v>
      </c>
      <c r="C154" s="17" t="s">
        <v>7</v>
      </c>
      <c r="D154" s="17" t="s">
        <v>2</v>
      </c>
      <c r="E154" s="17" t="s">
        <v>38</v>
      </c>
      <c r="F154" s="17">
        <f t="shared" si="14"/>
        <v>3</v>
      </c>
      <c r="G154" s="20" t="s">
        <v>132</v>
      </c>
      <c r="H154" s="17" t="s">
        <v>34</v>
      </c>
      <c r="I154" s="17" t="s">
        <v>104</v>
      </c>
      <c r="J154" s="22" t="s">
        <v>328</v>
      </c>
      <c r="K154" s="17" t="s">
        <v>605</v>
      </c>
      <c r="L154" s="21">
        <v>1</v>
      </c>
      <c r="M154" s="21">
        <v>1</v>
      </c>
      <c r="N154" s="17">
        <f t="shared" si="15"/>
        <v>3</v>
      </c>
      <c r="O154" s="17">
        <f t="shared" si="16"/>
        <v>0</v>
      </c>
      <c r="P154" s="17">
        <f t="shared" si="17"/>
        <v>0</v>
      </c>
      <c r="Q154" s="17">
        <f t="shared" si="18"/>
        <v>0</v>
      </c>
      <c r="R154" s="17">
        <f t="shared" si="19"/>
        <v>0</v>
      </c>
      <c r="S154" s="17" t="s">
        <v>568</v>
      </c>
    </row>
    <row r="155" spans="2:19" ht="15" hidden="1" customHeight="1">
      <c r="B155" s="17">
        <f t="shared" si="20"/>
        <v>144</v>
      </c>
      <c r="C155" s="17" t="s">
        <v>7</v>
      </c>
      <c r="D155" s="17" t="s">
        <v>2</v>
      </c>
      <c r="E155" s="17" t="s">
        <v>468</v>
      </c>
      <c r="F155" s="17">
        <f t="shared" si="14"/>
        <v>2</v>
      </c>
      <c r="G155" s="20" t="s">
        <v>132</v>
      </c>
      <c r="H155" s="17" t="s">
        <v>108</v>
      </c>
      <c r="I155" s="17" t="s">
        <v>103</v>
      </c>
      <c r="J155" s="22" t="s">
        <v>303</v>
      </c>
      <c r="K155" s="20" t="s">
        <v>628</v>
      </c>
      <c r="L155" s="21">
        <v>3</v>
      </c>
      <c r="M155" s="21"/>
      <c r="N155" s="17">
        <f t="shared" si="15"/>
        <v>0</v>
      </c>
      <c r="O155" s="17">
        <f t="shared" si="16"/>
        <v>0</v>
      </c>
      <c r="P155" s="17">
        <f t="shared" si="17"/>
        <v>2</v>
      </c>
      <c r="Q155" s="17">
        <f t="shared" si="18"/>
        <v>0</v>
      </c>
      <c r="R155" s="17">
        <f t="shared" si="19"/>
        <v>0</v>
      </c>
      <c r="S155" s="17" t="s">
        <v>579</v>
      </c>
    </row>
    <row r="156" spans="2:19" ht="15" hidden="1" customHeight="1">
      <c r="B156" s="17">
        <f t="shared" si="20"/>
        <v>145</v>
      </c>
      <c r="C156" s="17" t="s">
        <v>7</v>
      </c>
      <c r="D156" s="17" t="s">
        <v>2</v>
      </c>
      <c r="E156" s="17" t="s">
        <v>469</v>
      </c>
      <c r="F156" s="17">
        <f t="shared" si="14"/>
        <v>2</v>
      </c>
      <c r="G156" s="20" t="s">
        <v>132</v>
      </c>
      <c r="H156" s="17" t="s">
        <v>109</v>
      </c>
      <c r="I156" s="17" t="s">
        <v>103</v>
      </c>
      <c r="J156" s="22" t="s">
        <v>304</v>
      </c>
      <c r="K156" s="17" t="s">
        <v>304</v>
      </c>
      <c r="L156" s="21">
        <v>2</v>
      </c>
      <c r="M156" s="21"/>
      <c r="N156" s="17">
        <f t="shared" si="15"/>
        <v>0</v>
      </c>
      <c r="O156" s="17">
        <f t="shared" si="16"/>
        <v>2</v>
      </c>
      <c r="P156" s="17">
        <f t="shared" si="17"/>
        <v>0</v>
      </c>
      <c r="Q156" s="17">
        <f t="shared" si="18"/>
        <v>0</v>
      </c>
      <c r="R156" s="17">
        <f t="shared" si="19"/>
        <v>0</v>
      </c>
      <c r="S156" s="17" t="s">
        <v>579</v>
      </c>
    </row>
    <row r="157" spans="2:19" ht="15" hidden="1" customHeight="1">
      <c r="B157" s="17">
        <f t="shared" si="20"/>
        <v>146</v>
      </c>
      <c r="C157" s="17" t="s">
        <v>7</v>
      </c>
      <c r="D157" s="17" t="s">
        <v>2</v>
      </c>
      <c r="E157" s="17" t="s">
        <v>484</v>
      </c>
      <c r="F157" s="17">
        <f t="shared" si="14"/>
        <v>1</v>
      </c>
      <c r="G157" s="20" t="s">
        <v>132</v>
      </c>
      <c r="H157" s="17" t="s">
        <v>134</v>
      </c>
      <c r="I157" s="17" t="s">
        <v>103</v>
      </c>
      <c r="J157" s="22" t="s">
        <v>329</v>
      </c>
      <c r="K157" s="17" t="s">
        <v>329</v>
      </c>
      <c r="L157" s="21">
        <v>2</v>
      </c>
      <c r="M157" s="21"/>
      <c r="N157" s="17">
        <f t="shared" si="15"/>
        <v>0</v>
      </c>
      <c r="O157" s="17">
        <f t="shared" si="16"/>
        <v>1</v>
      </c>
      <c r="P157" s="17">
        <f t="shared" si="17"/>
        <v>0</v>
      </c>
      <c r="Q157" s="17">
        <f t="shared" si="18"/>
        <v>0</v>
      </c>
      <c r="R157" s="17">
        <f t="shared" si="19"/>
        <v>0</v>
      </c>
      <c r="S157" s="17" t="s">
        <v>579</v>
      </c>
    </row>
    <row r="158" spans="2:19" ht="15" hidden="1" customHeight="1">
      <c r="B158" s="17">
        <f t="shared" si="20"/>
        <v>147</v>
      </c>
      <c r="C158" s="17" t="s">
        <v>7</v>
      </c>
      <c r="D158" s="17" t="s">
        <v>2</v>
      </c>
      <c r="E158" s="17" t="s">
        <v>485</v>
      </c>
      <c r="F158" s="17">
        <f t="shared" si="14"/>
        <v>1</v>
      </c>
      <c r="G158" s="20" t="s">
        <v>132</v>
      </c>
      <c r="H158" s="17" t="s">
        <v>135</v>
      </c>
      <c r="I158" s="17" t="s">
        <v>103</v>
      </c>
      <c r="J158" s="22" t="s">
        <v>330</v>
      </c>
      <c r="K158" s="17" t="s">
        <v>330</v>
      </c>
      <c r="L158" s="21">
        <v>2</v>
      </c>
      <c r="M158" s="21"/>
      <c r="N158" s="17">
        <f t="shared" si="15"/>
        <v>0</v>
      </c>
      <c r="O158" s="17">
        <f t="shared" si="16"/>
        <v>1</v>
      </c>
      <c r="P158" s="17">
        <f t="shared" si="17"/>
        <v>0</v>
      </c>
      <c r="Q158" s="17">
        <f t="shared" si="18"/>
        <v>0</v>
      </c>
      <c r="R158" s="17">
        <f t="shared" si="19"/>
        <v>0</v>
      </c>
      <c r="S158" s="17" t="s">
        <v>579</v>
      </c>
    </row>
    <row r="159" spans="2:19" ht="15" hidden="1" customHeight="1">
      <c r="B159" s="17">
        <f t="shared" si="20"/>
        <v>148</v>
      </c>
      <c r="C159" s="17" t="s">
        <v>7</v>
      </c>
      <c r="D159" s="17" t="s">
        <v>2</v>
      </c>
      <c r="E159" s="17" t="s">
        <v>486</v>
      </c>
      <c r="F159" s="17">
        <f t="shared" si="14"/>
        <v>1</v>
      </c>
      <c r="G159" s="20" t="s">
        <v>132</v>
      </c>
      <c r="H159" s="17" t="s">
        <v>136</v>
      </c>
      <c r="I159" s="17" t="s">
        <v>104</v>
      </c>
      <c r="J159" s="22" t="s">
        <v>331</v>
      </c>
      <c r="K159" s="46" t="s">
        <v>613</v>
      </c>
      <c r="L159" s="21">
        <v>5</v>
      </c>
      <c r="M159" s="21"/>
      <c r="N159" s="17">
        <f t="shared" si="15"/>
        <v>0</v>
      </c>
      <c r="O159" s="17">
        <f t="shared" si="16"/>
        <v>0</v>
      </c>
      <c r="P159" s="17">
        <f t="shared" si="17"/>
        <v>0</v>
      </c>
      <c r="Q159" s="17">
        <f t="shared" si="18"/>
        <v>0</v>
      </c>
      <c r="R159" s="17">
        <f t="shared" si="19"/>
        <v>1</v>
      </c>
      <c r="S159" s="17" t="s">
        <v>596</v>
      </c>
    </row>
    <row r="160" spans="2:19" ht="15" hidden="1" customHeight="1">
      <c r="B160" s="17">
        <f t="shared" si="20"/>
        <v>149</v>
      </c>
      <c r="C160" s="17" t="s">
        <v>7</v>
      </c>
      <c r="D160" s="17" t="s">
        <v>2</v>
      </c>
      <c r="E160" s="17" t="s">
        <v>487</v>
      </c>
      <c r="F160" s="17">
        <f t="shared" si="14"/>
        <v>1</v>
      </c>
      <c r="G160" s="20" t="s">
        <v>132</v>
      </c>
      <c r="H160" s="17" t="s">
        <v>137</v>
      </c>
      <c r="I160" s="17" t="s">
        <v>104</v>
      </c>
      <c r="J160" s="22" t="s">
        <v>332</v>
      </c>
      <c r="K160" s="19" t="s">
        <v>607</v>
      </c>
      <c r="L160" s="21">
        <v>5</v>
      </c>
      <c r="M160" s="21"/>
      <c r="N160" s="17">
        <f t="shared" si="15"/>
        <v>0</v>
      </c>
      <c r="O160" s="17">
        <f t="shared" si="16"/>
        <v>0</v>
      </c>
      <c r="P160" s="17">
        <f t="shared" si="17"/>
        <v>0</v>
      </c>
      <c r="Q160" s="17">
        <f t="shared" si="18"/>
        <v>0</v>
      </c>
      <c r="R160" s="17">
        <f t="shared" si="19"/>
        <v>1</v>
      </c>
      <c r="S160" s="17" t="s">
        <v>596</v>
      </c>
    </row>
    <row r="161" spans="2:19" ht="15" hidden="1" customHeight="1">
      <c r="B161" s="17">
        <f t="shared" si="20"/>
        <v>150</v>
      </c>
      <c r="C161" s="17" t="s">
        <v>7</v>
      </c>
      <c r="D161" s="17" t="s">
        <v>2</v>
      </c>
      <c r="E161" s="17" t="s">
        <v>488</v>
      </c>
      <c r="F161" s="17">
        <f t="shared" si="14"/>
        <v>1</v>
      </c>
      <c r="G161" s="20" t="s">
        <v>132</v>
      </c>
      <c r="H161" s="17" t="s">
        <v>138</v>
      </c>
      <c r="I161" s="17" t="s">
        <v>104</v>
      </c>
      <c r="J161" s="22" t="s">
        <v>332</v>
      </c>
      <c r="K161" s="19" t="s">
        <v>607</v>
      </c>
      <c r="L161" s="21">
        <v>5</v>
      </c>
      <c r="M161" s="21"/>
      <c r="N161" s="17">
        <f t="shared" si="15"/>
        <v>0</v>
      </c>
      <c r="O161" s="17">
        <f t="shared" si="16"/>
        <v>0</v>
      </c>
      <c r="P161" s="17">
        <f t="shared" si="17"/>
        <v>0</v>
      </c>
      <c r="Q161" s="17">
        <f t="shared" si="18"/>
        <v>0</v>
      </c>
      <c r="R161" s="17">
        <f t="shared" si="19"/>
        <v>1</v>
      </c>
      <c r="S161" s="17" t="s">
        <v>596</v>
      </c>
    </row>
    <row r="162" spans="2:19" ht="15" hidden="1" customHeight="1">
      <c r="B162" s="17">
        <f t="shared" si="20"/>
        <v>151</v>
      </c>
      <c r="C162" s="17" t="s">
        <v>7</v>
      </c>
      <c r="D162" s="17" t="s">
        <v>2</v>
      </c>
      <c r="E162" s="17" t="s">
        <v>489</v>
      </c>
      <c r="F162" s="17">
        <f t="shared" si="14"/>
        <v>1</v>
      </c>
      <c r="G162" s="20" t="s">
        <v>132</v>
      </c>
      <c r="H162" s="17" t="s">
        <v>139</v>
      </c>
      <c r="I162" s="17" t="s">
        <v>103</v>
      </c>
      <c r="J162" s="22" t="s">
        <v>333</v>
      </c>
      <c r="K162" s="17" t="s">
        <v>333</v>
      </c>
      <c r="L162" s="21">
        <v>2</v>
      </c>
      <c r="M162" s="21"/>
      <c r="N162" s="17">
        <f t="shared" si="15"/>
        <v>0</v>
      </c>
      <c r="O162" s="17">
        <f t="shared" si="16"/>
        <v>1</v>
      </c>
      <c r="P162" s="17">
        <f t="shared" si="17"/>
        <v>0</v>
      </c>
      <c r="Q162" s="17">
        <f t="shared" si="18"/>
        <v>0</v>
      </c>
      <c r="R162" s="17">
        <f t="shared" si="19"/>
        <v>0</v>
      </c>
      <c r="S162" s="17" t="s">
        <v>579</v>
      </c>
    </row>
    <row r="163" spans="2:19" ht="15" hidden="1" customHeight="1">
      <c r="B163" s="17">
        <f t="shared" si="20"/>
        <v>152</v>
      </c>
      <c r="C163" s="17" t="s">
        <v>7</v>
      </c>
      <c r="D163" s="17" t="s">
        <v>2</v>
      </c>
      <c r="E163" s="17" t="s">
        <v>490</v>
      </c>
      <c r="F163" s="17">
        <f t="shared" si="14"/>
        <v>1</v>
      </c>
      <c r="G163" s="20" t="s">
        <v>132</v>
      </c>
      <c r="H163" s="17" t="s">
        <v>140</v>
      </c>
      <c r="I163" s="17" t="s">
        <v>104</v>
      </c>
      <c r="J163" s="39" t="s">
        <v>334</v>
      </c>
      <c r="K163" s="43" t="s">
        <v>607</v>
      </c>
      <c r="L163" s="21">
        <v>4</v>
      </c>
      <c r="M163" s="21"/>
      <c r="N163" s="17">
        <f t="shared" si="15"/>
        <v>0</v>
      </c>
      <c r="O163" s="17">
        <f t="shared" si="16"/>
        <v>0</v>
      </c>
      <c r="P163" s="17">
        <f t="shared" si="17"/>
        <v>0</v>
      </c>
      <c r="Q163" s="17">
        <f t="shared" si="18"/>
        <v>1</v>
      </c>
      <c r="R163" s="17">
        <f t="shared" si="19"/>
        <v>0</v>
      </c>
      <c r="S163" s="17" t="s">
        <v>587</v>
      </c>
    </row>
    <row r="164" spans="2:19" ht="15" hidden="1" customHeight="1">
      <c r="B164" s="17">
        <f t="shared" si="20"/>
        <v>153</v>
      </c>
      <c r="C164" s="17" t="s">
        <v>7</v>
      </c>
      <c r="D164" s="17" t="s">
        <v>2</v>
      </c>
      <c r="E164" s="17" t="s">
        <v>491</v>
      </c>
      <c r="F164" s="17">
        <f t="shared" si="14"/>
        <v>1</v>
      </c>
      <c r="G164" s="20" t="s">
        <v>132</v>
      </c>
      <c r="H164" s="17" t="s">
        <v>141</v>
      </c>
      <c r="I164" s="17" t="s">
        <v>104</v>
      </c>
      <c r="J164" s="24" t="s">
        <v>335</v>
      </c>
      <c r="K164" s="18" t="s">
        <v>607</v>
      </c>
      <c r="L164" s="21">
        <v>4</v>
      </c>
      <c r="M164" s="21"/>
      <c r="N164" s="17">
        <f t="shared" si="15"/>
        <v>0</v>
      </c>
      <c r="O164" s="17">
        <f t="shared" si="16"/>
        <v>0</v>
      </c>
      <c r="P164" s="17">
        <f t="shared" si="17"/>
        <v>0</v>
      </c>
      <c r="Q164" s="17">
        <f t="shared" si="18"/>
        <v>1</v>
      </c>
      <c r="R164" s="17">
        <f t="shared" si="19"/>
        <v>0</v>
      </c>
      <c r="S164" s="17" t="s">
        <v>587</v>
      </c>
    </row>
    <row r="165" spans="2:19" ht="15" hidden="1" customHeight="1">
      <c r="B165" s="17">
        <f t="shared" si="20"/>
        <v>154</v>
      </c>
      <c r="C165" s="17" t="s">
        <v>7</v>
      </c>
      <c r="D165" s="17" t="s">
        <v>2</v>
      </c>
      <c r="E165" s="17" t="s">
        <v>492</v>
      </c>
      <c r="F165" s="17">
        <f t="shared" si="14"/>
        <v>1</v>
      </c>
      <c r="G165" s="20" t="s">
        <v>132</v>
      </c>
      <c r="H165" s="17" t="s">
        <v>142</v>
      </c>
      <c r="I165" s="17" t="s">
        <v>103</v>
      </c>
      <c r="J165" s="22" t="s">
        <v>336</v>
      </c>
      <c r="K165" s="17" t="s">
        <v>639</v>
      </c>
      <c r="L165" s="21">
        <v>2</v>
      </c>
      <c r="M165" s="21"/>
      <c r="N165" s="17">
        <f t="shared" si="15"/>
        <v>0</v>
      </c>
      <c r="O165" s="17">
        <f t="shared" si="16"/>
        <v>1</v>
      </c>
      <c r="P165" s="17">
        <f t="shared" si="17"/>
        <v>0</v>
      </c>
      <c r="Q165" s="17">
        <f t="shared" si="18"/>
        <v>0</v>
      </c>
      <c r="R165" s="17">
        <f t="shared" si="19"/>
        <v>0</v>
      </c>
      <c r="S165" s="17" t="s">
        <v>579</v>
      </c>
    </row>
    <row r="166" spans="2:19" ht="15" hidden="1" customHeight="1">
      <c r="B166" s="17">
        <f t="shared" si="20"/>
        <v>155</v>
      </c>
      <c r="C166" s="17" t="s">
        <v>7</v>
      </c>
      <c r="D166" s="17" t="s">
        <v>2</v>
      </c>
      <c r="E166" s="17" t="s">
        <v>493</v>
      </c>
      <c r="F166" s="17">
        <f t="shared" si="14"/>
        <v>1</v>
      </c>
      <c r="G166" s="20" t="s">
        <v>132</v>
      </c>
      <c r="H166" s="17" t="s">
        <v>143</v>
      </c>
      <c r="I166" s="17" t="s">
        <v>104</v>
      </c>
      <c r="J166" s="24" t="s">
        <v>337</v>
      </c>
      <c r="K166" s="18" t="s">
        <v>607</v>
      </c>
      <c r="L166" s="21">
        <v>4</v>
      </c>
      <c r="M166" s="21"/>
      <c r="N166" s="17">
        <f t="shared" si="15"/>
        <v>0</v>
      </c>
      <c r="O166" s="17">
        <f t="shared" si="16"/>
        <v>0</v>
      </c>
      <c r="P166" s="17">
        <f t="shared" si="17"/>
        <v>0</v>
      </c>
      <c r="Q166" s="17">
        <f t="shared" si="18"/>
        <v>1</v>
      </c>
      <c r="R166" s="17">
        <f t="shared" si="19"/>
        <v>0</v>
      </c>
      <c r="S166" s="17" t="s">
        <v>587</v>
      </c>
    </row>
    <row r="167" spans="2:19" ht="15" hidden="1" customHeight="1">
      <c r="B167" s="17">
        <f t="shared" si="20"/>
        <v>156</v>
      </c>
      <c r="C167" s="17" t="s">
        <v>7</v>
      </c>
      <c r="D167" s="17" t="s">
        <v>2</v>
      </c>
      <c r="E167" s="17" t="s">
        <v>494</v>
      </c>
      <c r="F167" s="17">
        <f t="shared" si="14"/>
        <v>1</v>
      </c>
      <c r="G167" s="20" t="s">
        <v>132</v>
      </c>
      <c r="H167" s="17" t="s">
        <v>144</v>
      </c>
      <c r="I167" s="17" t="s">
        <v>103</v>
      </c>
      <c r="J167" s="37" t="s">
        <v>338</v>
      </c>
      <c r="K167" s="20" t="s">
        <v>640</v>
      </c>
      <c r="L167" s="21">
        <v>2</v>
      </c>
      <c r="M167" s="21"/>
      <c r="N167" s="17">
        <f t="shared" si="15"/>
        <v>0</v>
      </c>
      <c r="O167" s="17">
        <f t="shared" si="16"/>
        <v>1</v>
      </c>
      <c r="P167" s="17">
        <f t="shared" si="17"/>
        <v>0</v>
      </c>
      <c r="Q167" s="17">
        <f t="shared" si="18"/>
        <v>0</v>
      </c>
      <c r="R167" s="17">
        <f t="shared" si="19"/>
        <v>0</v>
      </c>
      <c r="S167" s="17" t="s">
        <v>579</v>
      </c>
    </row>
    <row r="168" spans="2:19" ht="15" hidden="1" customHeight="1">
      <c r="B168" s="17">
        <f t="shared" si="20"/>
        <v>157</v>
      </c>
      <c r="C168" s="17" t="s">
        <v>7</v>
      </c>
      <c r="D168" s="17" t="s">
        <v>2</v>
      </c>
      <c r="E168" s="17" t="s">
        <v>495</v>
      </c>
      <c r="F168" s="17">
        <f t="shared" si="14"/>
        <v>1</v>
      </c>
      <c r="G168" s="20" t="s">
        <v>132</v>
      </c>
      <c r="H168" s="17" t="s">
        <v>145</v>
      </c>
      <c r="I168" s="17" t="s">
        <v>104</v>
      </c>
      <c r="J168" s="22" t="s">
        <v>339</v>
      </c>
      <c r="K168" s="19" t="s">
        <v>607</v>
      </c>
      <c r="L168" s="21">
        <v>5</v>
      </c>
      <c r="M168" s="21"/>
      <c r="N168" s="17">
        <f t="shared" si="15"/>
        <v>0</v>
      </c>
      <c r="O168" s="17">
        <f t="shared" si="16"/>
        <v>0</v>
      </c>
      <c r="P168" s="17">
        <f t="shared" si="17"/>
        <v>0</v>
      </c>
      <c r="Q168" s="17">
        <f t="shared" si="18"/>
        <v>0</v>
      </c>
      <c r="R168" s="17">
        <f t="shared" si="19"/>
        <v>1</v>
      </c>
      <c r="S168" s="17" t="s">
        <v>596</v>
      </c>
    </row>
    <row r="169" spans="2:19" ht="15" hidden="1" customHeight="1">
      <c r="B169" s="17">
        <f t="shared" si="20"/>
        <v>158</v>
      </c>
      <c r="C169" s="17" t="s">
        <v>7</v>
      </c>
      <c r="D169" s="17" t="s">
        <v>2</v>
      </c>
      <c r="E169" s="17" t="s">
        <v>496</v>
      </c>
      <c r="F169" s="17">
        <f t="shared" si="14"/>
        <v>1</v>
      </c>
      <c r="G169" s="20" t="s">
        <v>132</v>
      </c>
      <c r="H169" s="17" t="s">
        <v>146</v>
      </c>
      <c r="I169" s="17" t="s">
        <v>104</v>
      </c>
      <c r="J169" s="22" t="s">
        <v>340</v>
      </c>
      <c r="K169" s="19" t="s">
        <v>607</v>
      </c>
      <c r="L169" s="21">
        <v>3</v>
      </c>
      <c r="M169" s="21"/>
      <c r="N169" s="17">
        <f t="shared" si="15"/>
        <v>0</v>
      </c>
      <c r="O169" s="17">
        <f t="shared" si="16"/>
        <v>0</v>
      </c>
      <c r="P169" s="17">
        <f t="shared" si="17"/>
        <v>1</v>
      </c>
      <c r="Q169" s="17">
        <f t="shared" si="18"/>
        <v>0</v>
      </c>
      <c r="R169" s="17">
        <f t="shared" si="19"/>
        <v>0</v>
      </c>
      <c r="S169" s="17" t="s">
        <v>585</v>
      </c>
    </row>
    <row r="170" spans="2:19" ht="15" hidden="1" customHeight="1">
      <c r="B170" s="17">
        <f t="shared" si="20"/>
        <v>159</v>
      </c>
      <c r="C170" s="17" t="s">
        <v>7</v>
      </c>
      <c r="D170" s="17" t="s">
        <v>2</v>
      </c>
      <c r="E170" s="17" t="s">
        <v>497</v>
      </c>
      <c r="F170" s="17">
        <f t="shared" si="14"/>
        <v>1</v>
      </c>
      <c r="G170" s="20" t="s">
        <v>132</v>
      </c>
      <c r="H170" s="17" t="s">
        <v>147</v>
      </c>
      <c r="I170" s="17" t="s">
        <v>103</v>
      </c>
      <c r="J170" s="22" t="s">
        <v>341</v>
      </c>
      <c r="K170" s="20" t="s">
        <v>641</v>
      </c>
      <c r="L170" s="21">
        <v>3</v>
      </c>
      <c r="M170" s="21"/>
      <c r="N170" s="17">
        <f t="shared" si="15"/>
        <v>0</v>
      </c>
      <c r="O170" s="17">
        <f t="shared" si="16"/>
        <v>0</v>
      </c>
      <c r="P170" s="17">
        <f t="shared" si="17"/>
        <v>1</v>
      </c>
      <c r="Q170" s="17">
        <f t="shared" si="18"/>
        <v>0</v>
      </c>
      <c r="R170" s="17">
        <f t="shared" si="19"/>
        <v>0</v>
      </c>
      <c r="S170" s="17" t="s">
        <v>579</v>
      </c>
    </row>
    <row r="171" spans="2:19" ht="15" hidden="1" customHeight="1">
      <c r="B171" s="17">
        <f t="shared" si="20"/>
        <v>160</v>
      </c>
      <c r="C171" s="17" t="s">
        <v>7</v>
      </c>
      <c r="D171" s="17" t="s">
        <v>2</v>
      </c>
      <c r="E171" s="17" t="s">
        <v>498</v>
      </c>
      <c r="F171" s="17">
        <f t="shared" si="14"/>
        <v>1</v>
      </c>
      <c r="G171" s="20" t="s">
        <v>132</v>
      </c>
      <c r="H171" s="17" t="s">
        <v>148</v>
      </c>
      <c r="I171" s="17" t="s">
        <v>103</v>
      </c>
      <c r="J171" s="22" t="s">
        <v>342</v>
      </c>
      <c r="K171" s="17" t="s">
        <v>642</v>
      </c>
      <c r="L171" s="21">
        <v>3</v>
      </c>
      <c r="M171" s="21"/>
      <c r="N171" s="17">
        <f t="shared" si="15"/>
        <v>0</v>
      </c>
      <c r="O171" s="17">
        <f t="shared" si="16"/>
        <v>0</v>
      </c>
      <c r="P171" s="17">
        <f t="shared" si="17"/>
        <v>1</v>
      </c>
      <c r="Q171" s="17">
        <f t="shared" si="18"/>
        <v>0</v>
      </c>
      <c r="R171" s="17">
        <f t="shared" si="19"/>
        <v>0</v>
      </c>
      <c r="S171" s="17" t="s">
        <v>579</v>
      </c>
    </row>
    <row r="172" spans="2:19" ht="15" hidden="1" customHeight="1">
      <c r="B172" s="17">
        <f t="shared" si="20"/>
        <v>161</v>
      </c>
      <c r="C172" s="17" t="s">
        <v>7</v>
      </c>
      <c r="D172" s="17" t="s">
        <v>2</v>
      </c>
      <c r="E172" s="17" t="s">
        <v>499</v>
      </c>
      <c r="F172" s="17">
        <f t="shared" si="14"/>
        <v>1</v>
      </c>
      <c r="G172" s="20" t="s">
        <v>132</v>
      </c>
      <c r="H172" s="17" t="s">
        <v>149</v>
      </c>
      <c r="I172" s="17" t="s">
        <v>103</v>
      </c>
      <c r="J172" s="22" t="s">
        <v>343</v>
      </c>
      <c r="K172" s="17" t="s">
        <v>343</v>
      </c>
      <c r="L172" s="21">
        <v>2</v>
      </c>
      <c r="M172" s="21"/>
      <c r="N172" s="17">
        <f t="shared" si="15"/>
        <v>0</v>
      </c>
      <c r="O172" s="17">
        <f t="shared" si="16"/>
        <v>1</v>
      </c>
      <c r="P172" s="17">
        <f t="shared" si="17"/>
        <v>0</v>
      </c>
      <c r="Q172" s="17">
        <f t="shared" si="18"/>
        <v>0</v>
      </c>
      <c r="R172" s="17">
        <f t="shared" si="19"/>
        <v>0</v>
      </c>
      <c r="S172" s="17" t="s">
        <v>579</v>
      </c>
    </row>
    <row r="173" spans="2:19" ht="15" hidden="1" customHeight="1">
      <c r="B173" s="17">
        <f t="shared" si="20"/>
        <v>162</v>
      </c>
      <c r="C173" s="17" t="s">
        <v>7</v>
      </c>
      <c r="D173" s="17" t="s">
        <v>2</v>
      </c>
      <c r="E173" s="17" t="s">
        <v>500</v>
      </c>
      <c r="F173" s="17">
        <f t="shared" si="14"/>
        <v>1</v>
      </c>
      <c r="G173" s="20" t="s">
        <v>132</v>
      </c>
      <c r="H173" s="17" t="s">
        <v>150</v>
      </c>
      <c r="I173" s="17" t="s">
        <v>103</v>
      </c>
      <c r="J173" s="22" t="s">
        <v>344</v>
      </c>
      <c r="K173" s="20" t="s">
        <v>643</v>
      </c>
      <c r="L173" s="21">
        <v>3</v>
      </c>
      <c r="M173" s="21"/>
      <c r="N173" s="17">
        <f t="shared" si="15"/>
        <v>0</v>
      </c>
      <c r="O173" s="17">
        <f t="shared" si="16"/>
        <v>0</v>
      </c>
      <c r="P173" s="17">
        <f t="shared" si="17"/>
        <v>1</v>
      </c>
      <c r="Q173" s="17">
        <f t="shared" si="18"/>
        <v>0</v>
      </c>
      <c r="R173" s="17">
        <f t="shared" si="19"/>
        <v>0</v>
      </c>
      <c r="S173" s="17" t="s">
        <v>579</v>
      </c>
    </row>
    <row r="174" spans="2:19" ht="15" hidden="1" customHeight="1">
      <c r="B174" s="17">
        <f t="shared" si="20"/>
        <v>163</v>
      </c>
      <c r="C174" s="17" t="s">
        <v>7</v>
      </c>
      <c r="D174" s="17" t="s">
        <v>2</v>
      </c>
      <c r="E174" s="17" t="s">
        <v>501</v>
      </c>
      <c r="F174" s="17">
        <f t="shared" si="14"/>
        <v>1</v>
      </c>
      <c r="G174" s="20" t="s">
        <v>132</v>
      </c>
      <c r="H174" s="17" t="s">
        <v>151</v>
      </c>
      <c r="I174" s="17" t="s">
        <v>104</v>
      </c>
      <c r="J174" s="22" t="s">
        <v>345</v>
      </c>
      <c r="K174" s="46" t="s">
        <v>613</v>
      </c>
      <c r="L174" s="21">
        <v>5</v>
      </c>
      <c r="M174" s="21"/>
      <c r="N174" s="17">
        <f t="shared" si="15"/>
        <v>0</v>
      </c>
      <c r="O174" s="17">
        <f t="shared" si="16"/>
        <v>0</v>
      </c>
      <c r="P174" s="17">
        <f t="shared" si="17"/>
        <v>0</v>
      </c>
      <c r="Q174" s="17">
        <f t="shared" si="18"/>
        <v>0</v>
      </c>
      <c r="R174" s="17">
        <f t="shared" si="19"/>
        <v>1</v>
      </c>
      <c r="S174" s="17" t="s">
        <v>596</v>
      </c>
    </row>
    <row r="175" spans="2:19" ht="15" hidden="1" customHeight="1">
      <c r="B175" s="17">
        <f t="shared" si="20"/>
        <v>164</v>
      </c>
      <c r="C175" s="17" t="s">
        <v>7</v>
      </c>
      <c r="D175" s="17" t="s">
        <v>2</v>
      </c>
      <c r="E175" s="17" t="s">
        <v>502</v>
      </c>
      <c r="F175" s="17">
        <f t="shared" si="14"/>
        <v>1</v>
      </c>
      <c r="G175" s="20" t="s">
        <v>132</v>
      </c>
      <c r="H175" s="17" t="s">
        <v>152</v>
      </c>
      <c r="I175" s="17" t="s">
        <v>104</v>
      </c>
      <c r="J175" s="37" t="s">
        <v>346</v>
      </c>
      <c r="K175" s="20" t="s">
        <v>607</v>
      </c>
      <c r="L175" s="21">
        <v>4</v>
      </c>
      <c r="M175" s="21"/>
      <c r="N175" s="17">
        <f t="shared" si="15"/>
        <v>0</v>
      </c>
      <c r="O175" s="17">
        <f t="shared" si="16"/>
        <v>0</v>
      </c>
      <c r="P175" s="17">
        <f t="shared" si="17"/>
        <v>0</v>
      </c>
      <c r="Q175" s="17">
        <f t="shared" si="18"/>
        <v>1</v>
      </c>
      <c r="R175" s="17">
        <f t="shared" si="19"/>
        <v>0</v>
      </c>
      <c r="S175" s="17" t="s">
        <v>588</v>
      </c>
    </row>
    <row r="176" spans="2:19" ht="15" hidden="1" customHeight="1">
      <c r="B176" s="17">
        <f t="shared" si="20"/>
        <v>165</v>
      </c>
      <c r="C176" s="17" t="s">
        <v>7</v>
      </c>
      <c r="D176" s="17" t="s">
        <v>2</v>
      </c>
      <c r="E176" s="17" t="s">
        <v>503</v>
      </c>
      <c r="F176" s="17">
        <f t="shared" si="14"/>
        <v>1</v>
      </c>
      <c r="G176" s="20" t="s">
        <v>132</v>
      </c>
      <c r="H176" s="17" t="s">
        <v>153</v>
      </c>
      <c r="I176" s="17" t="s">
        <v>104</v>
      </c>
      <c r="J176" s="22" t="s">
        <v>347</v>
      </c>
      <c r="K176" s="17" t="s">
        <v>607</v>
      </c>
      <c r="L176" s="21">
        <v>4</v>
      </c>
      <c r="M176" s="21"/>
      <c r="N176" s="17">
        <f t="shared" si="15"/>
        <v>0</v>
      </c>
      <c r="O176" s="17">
        <f t="shared" si="16"/>
        <v>0</v>
      </c>
      <c r="P176" s="17">
        <f t="shared" si="17"/>
        <v>0</v>
      </c>
      <c r="Q176" s="17">
        <f t="shared" si="18"/>
        <v>1</v>
      </c>
      <c r="R176" s="17">
        <f t="shared" si="19"/>
        <v>0</v>
      </c>
      <c r="S176" s="17" t="s">
        <v>588</v>
      </c>
    </row>
    <row r="177" spans="2:19" ht="15" hidden="1" customHeight="1">
      <c r="B177" s="17">
        <f t="shared" si="20"/>
        <v>166</v>
      </c>
      <c r="C177" s="17" t="s">
        <v>7</v>
      </c>
      <c r="D177" s="17" t="s">
        <v>2</v>
      </c>
      <c r="E177" s="17" t="s">
        <v>504</v>
      </c>
      <c r="F177" s="17">
        <f t="shared" si="14"/>
        <v>1</v>
      </c>
      <c r="G177" s="20" t="s">
        <v>132</v>
      </c>
      <c r="H177" s="17" t="s">
        <v>154</v>
      </c>
      <c r="I177" s="17" t="s">
        <v>103</v>
      </c>
      <c r="J177" s="22" t="s">
        <v>348</v>
      </c>
      <c r="K177" s="17" t="s">
        <v>348</v>
      </c>
      <c r="L177" s="21">
        <v>2</v>
      </c>
      <c r="M177" s="21"/>
      <c r="N177" s="17">
        <f t="shared" si="15"/>
        <v>0</v>
      </c>
      <c r="O177" s="17">
        <f t="shared" si="16"/>
        <v>1</v>
      </c>
      <c r="P177" s="17">
        <f t="shared" si="17"/>
        <v>0</v>
      </c>
      <c r="Q177" s="17">
        <f t="shared" si="18"/>
        <v>0</v>
      </c>
      <c r="R177" s="17">
        <f t="shared" si="19"/>
        <v>0</v>
      </c>
      <c r="S177" s="17" t="s">
        <v>579</v>
      </c>
    </row>
    <row r="178" spans="2:19" ht="15" hidden="1" customHeight="1">
      <c r="B178" s="17">
        <f t="shared" si="20"/>
        <v>167</v>
      </c>
      <c r="C178" s="17" t="s">
        <v>7</v>
      </c>
      <c r="D178" s="17" t="s">
        <v>2</v>
      </c>
      <c r="E178" s="17" t="s">
        <v>505</v>
      </c>
      <c r="F178" s="17">
        <f t="shared" si="14"/>
        <v>2</v>
      </c>
      <c r="G178" s="20" t="s">
        <v>132</v>
      </c>
      <c r="H178" s="17" t="s">
        <v>155</v>
      </c>
      <c r="I178" s="17" t="s">
        <v>103</v>
      </c>
      <c r="J178" s="22" t="s">
        <v>349</v>
      </c>
      <c r="K178" s="20" t="s">
        <v>644</v>
      </c>
      <c r="L178" s="21">
        <v>3</v>
      </c>
      <c r="M178" s="21"/>
      <c r="N178" s="17">
        <f t="shared" si="15"/>
        <v>0</v>
      </c>
      <c r="O178" s="17">
        <f t="shared" si="16"/>
        <v>0</v>
      </c>
      <c r="P178" s="17">
        <f t="shared" si="17"/>
        <v>2</v>
      </c>
      <c r="Q178" s="17">
        <f t="shared" si="18"/>
        <v>0</v>
      </c>
      <c r="R178" s="17">
        <f t="shared" si="19"/>
        <v>0</v>
      </c>
      <c r="S178" s="17" t="s">
        <v>579</v>
      </c>
    </row>
    <row r="179" spans="2:19" ht="15" hidden="1" customHeight="1">
      <c r="B179" s="17">
        <f t="shared" si="20"/>
        <v>168</v>
      </c>
      <c r="C179" s="17" t="s">
        <v>7</v>
      </c>
      <c r="D179" s="17" t="s">
        <v>3</v>
      </c>
      <c r="E179" s="17" t="s">
        <v>47</v>
      </c>
      <c r="F179" s="17">
        <f t="shared" si="14"/>
        <v>6</v>
      </c>
      <c r="G179" s="20" t="s">
        <v>156</v>
      </c>
      <c r="H179" s="17" t="s">
        <v>40</v>
      </c>
      <c r="I179" s="17" t="s">
        <v>103</v>
      </c>
      <c r="J179" s="22" t="s">
        <v>242</v>
      </c>
      <c r="K179" s="17" t="s">
        <v>242</v>
      </c>
      <c r="L179" s="21">
        <v>2</v>
      </c>
      <c r="M179" s="21"/>
      <c r="N179" s="17">
        <f t="shared" si="15"/>
        <v>0</v>
      </c>
      <c r="O179" s="17">
        <f t="shared" si="16"/>
        <v>6</v>
      </c>
      <c r="P179" s="17">
        <f t="shared" si="17"/>
        <v>0</v>
      </c>
      <c r="Q179" s="17">
        <f t="shared" si="18"/>
        <v>0</v>
      </c>
      <c r="R179" s="17">
        <f t="shared" si="19"/>
        <v>0</v>
      </c>
      <c r="S179" s="17" t="s">
        <v>579</v>
      </c>
    </row>
    <row r="180" spans="2:19" ht="15" customHeight="1">
      <c r="B180" s="17">
        <f t="shared" si="20"/>
        <v>169</v>
      </c>
      <c r="C180" s="17" t="s">
        <v>7</v>
      </c>
      <c r="D180" s="17" t="s">
        <v>3</v>
      </c>
      <c r="E180" s="17" t="s">
        <v>21</v>
      </c>
      <c r="F180" s="17">
        <f t="shared" si="14"/>
        <v>12</v>
      </c>
      <c r="G180" s="20" t="s">
        <v>156</v>
      </c>
      <c r="H180" s="17" t="s">
        <v>11</v>
      </c>
      <c r="I180" s="17" t="s">
        <v>104</v>
      </c>
      <c r="J180" s="22" t="s">
        <v>350</v>
      </c>
      <c r="K180" s="17" t="s">
        <v>627</v>
      </c>
      <c r="L180" s="21">
        <v>1</v>
      </c>
      <c r="M180" s="21">
        <v>1</v>
      </c>
      <c r="N180" s="17">
        <f t="shared" si="15"/>
        <v>3</v>
      </c>
      <c r="O180" s="17">
        <f t="shared" si="16"/>
        <v>9</v>
      </c>
      <c r="P180" s="17">
        <f t="shared" si="17"/>
        <v>0</v>
      </c>
      <c r="Q180" s="17">
        <f t="shared" si="18"/>
        <v>0</v>
      </c>
      <c r="R180" s="17">
        <f t="shared" si="19"/>
        <v>0</v>
      </c>
      <c r="S180" s="17" t="s">
        <v>567</v>
      </c>
    </row>
    <row r="181" spans="2:19" ht="15" hidden="1" customHeight="1">
      <c r="B181" s="17">
        <f t="shared" si="20"/>
        <v>170</v>
      </c>
      <c r="C181" s="17" t="s">
        <v>7</v>
      </c>
      <c r="D181" s="17" t="s">
        <v>3</v>
      </c>
      <c r="E181" s="17" t="s">
        <v>470</v>
      </c>
      <c r="F181" s="17">
        <f t="shared" si="14"/>
        <v>2</v>
      </c>
      <c r="G181" s="20" t="s">
        <v>156</v>
      </c>
      <c r="H181" s="17" t="s">
        <v>111</v>
      </c>
      <c r="I181" s="17" t="s">
        <v>103</v>
      </c>
      <c r="J181" s="22" t="s">
        <v>305</v>
      </c>
      <c r="K181" s="17" t="s">
        <v>305</v>
      </c>
      <c r="L181" s="21">
        <v>2</v>
      </c>
      <c r="M181" s="21"/>
      <c r="N181" s="17">
        <f t="shared" si="15"/>
        <v>0</v>
      </c>
      <c r="O181" s="17">
        <f t="shared" si="16"/>
        <v>2</v>
      </c>
      <c r="P181" s="17">
        <f t="shared" si="17"/>
        <v>0</v>
      </c>
      <c r="Q181" s="17">
        <f t="shared" si="18"/>
        <v>0</v>
      </c>
      <c r="R181" s="17">
        <f t="shared" si="19"/>
        <v>0</v>
      </c>
      <c r="S181" s="17" t="s">
        <v>579</v>
      </c>
    </row>
    <row r="182" spans="2:19" ht="15" hidden="1" customHeight="1">
      <c r="B182" s="17">
        <f t="shared" si="20"/>
        <v>171</v>
      </c>
      <c r="C182" s="17" t="s">
        <v>7</v>
      </c>
      <c r="D182" s="17" t="s">
        <v>3</v>
      </c>
      <c r="E182" s="17" t="s">
        <v>48</v>
      </c>
      <c r="F182" s="17">
        <f t="shared" si="14"/>
        <v>3</v>
      </c>
      <c r="G182" s="20" t="s">
        <v>156</v>
      </c>
      <c r="H182" s="17" t="s">
        <v>41</v>
      </c>
      <c r="I182" s="17" t="s">
        <v>103</v>
      </c>
      <c r="J182" s="22" t="s">
        <v>244</v>
      </c>
      <c r="K182" s="20" t="s">
        <v>630</v>
      </c>
      <c r="L182" s="21">
        <v>3</v>
      </c>
      <c r="M182" s="21"/>
      <c r="N182" s="17">
        <f t="shared" si="15"/>
        <v>0</v>
      </c>
      <c r="O182" s="17">
        <f t="shared" si="16"/>
        <v>0</v>
      </c>
      <c r="P182" s="17">
        <f t="shared" si="17"/>
        <v>3</v>
      </c>
      <c r="Q182" s="17">
        <f t="shared" si="18"/>
        <v>0</v>
      </c>
      <c r="R182" s="17">
        <f t="shared" si="19"/>
        <v>0</v>
      </c>
      <c r="S182" s="17" t="s">
        <v>579</v>
      </c>
    </row>
    <row r="183" spans="2:19" ht="15" customHeight="1">
      <c r="B183" s="17">
        <f t="shared" si="20"/>
        <v>172</v>
      </c>
      <c r="C183" s="17" t="s">
        <v>7</v>
      </c>
      <c r="D183" s="17" t="s">
        <v>3</v>
      </c>
      <c r="E183" s="17" t="s">
        <v>49</v>
      </c>
      <c r="F183" s="17">
        <f t="shared" si="14"/>
        <v>3</v>
      </c>
      <c r="G183" s="20" t="s">
        <v>156</v>
      </c>
      <c r="H183" s="20" t="s">
        <v>42</v>
      </c>
      <c r="I183" s="20" t="s">
        <v>351</v>
      </c>
      <c r="J183" s="37" t="s">
        <v>245</v>
      </c>
      <c r="K183" s="20" t="s">
        <v>607</v>
      </c>
      <c r="L183" s="21">
        <v>1</v>
      </c>
      <c r="M183" s="21">
        <v>4</v>
      </c>
      <c r="N183" s="17">
        <f t="shared" si="15"/>
        <v>2</v>
      </c>
      <c r="O183" s="17">
        <f t="shared" si="16"/>
        <v>0</v>
      </c>
      <c r="P183" s="17">
        <f t="shared" si="17"/>
        <v>0</v>
      </c>
      <c r="Q183" s="17">
        <f t="shared" si="18"/>
        <v>1</v>
      </c>
      <c r="R183" s="17">
        <f t="shared" si="19"/>
        <v>0</v>
      </c>
      <c r="S183" s="20" t="s">
        <v>573</v>
      </c>
    </row>
    <row r="184" spans="2:19" ht="15" customHeight="1">
      <c r="B184" s="17">
        <f t="shared" si="20"/>
        <v>173</v>
      </c>
      <c r="C184" s="17" t="s">
        <v>7</v>
      </c>
      <c r="D184" s="17" t="s">
        <v>3</v>
      </c>
      <c r="E184" s="17" t="s">
        <v>419</v>
      </c>
      <c r="F184" s="17">
        <f t="shared" si="14"/>
        <v>3</v>
      </c>
      <c r="G184" s="20" t="s">
        <v>156</v>
      </c>
      <c r="H184" s="20" t="s">
        <v>43</v>
      </c>
      <c r="I184" s="20" t="s">
        <v>352</v>
      </c>
      <c r="J184" s="37" t="s">
        <v>246</v>
      </c>
      <c r="K184" s="20" t="s">
        <v>607</v>
      </c>
      <c r="L184" s="21">
        <v>1</v>
      </c>
      <c r="M184" s="21">
        <v>4</v>
      </c>
      <c r="N184" s="17">
        <f t="shared" si="15"/>
        <v>2</v>
      </c>
      <c r="O184" s="17">
        <f t="shared" si="16"/>
        <v>0</v>
      </c>
      <c r="P184" s="17">
        <f t="shared" si="17"/>
        <v>0</v>
      </c>
      <c r="Q184" s="17">
        <f t="shared" si="18"/>
        <v>1</v>
      </c>
      <c r="R184" s="17">
        <f t="shared" si="19"/>
        <v>0</v>
      </c>
      <c r="S184" s="20" t="s">
        <v>573</v>
      </c>
    </row>
    <row r="185" spans="2:19" ht="15" hidden="1" customHeight="1">
      <c r="B185" s="17">
        <f t="shared" si="20"/>
        <v>174</v>
      </c>
      <c r="C185" s="17" t="s">
        <v>7</v>
      </c>
      <c r="D185" s="17" t="s">
        <v>3</v>
      </c>
      <c r="E185" s="17" t="s">
        <v>50</v>
      </c>
      <c r="F185" s="17">
        <f t="shared" si="14"/>
        <v>3</v>
      </c>
      <c r="G185" s="20" t="s">
        <v>156</v>
      </c>
      <c r="H185" s="17" t="s">
        <v>44</v>
      </c>
      <c r="I185" s="17" t="s">
        <v>103</v>
      </c>
      <c r="J185" s="22" t="s">
        <v>247</v>
      </c>
      <c r="K185" s="17" t="s">
        <v>247</v>
      </c>
      <c r="L185" s="21">
        <v>2</v>
      </c>
      <c r="M185" s="21"/>
      <c r="N185" s="17">
        <f t="shared" si="15"/>
        <v>0</v>
      </c>
      <c r="O185" s="17">
        <f t="shared" si="16"/>
        <v>3</v>
      </c>
      <c r="P185" s="17">
        <f t="shared" si="17"/>
        <v>0</v>
      </c>
      <c r="Q185" s="17">
        <f t="shared" si="18"/>
        <v>0</v>
      </c>
      <c r="R185" s="17">
        <f t="shared" si="19"/>
        <v>0</v>
      </c>
      <c r="S185" s="17" t="s">
        <v>579</v>
      </c>
    </row>
    <row r="186" spans="2:19" ht="15" customHeight="1">
      <c r="B186" s="17">
        <f t="shared" si="20"/>
        <v>175</v>
      </c>
      <c r="C186" s="17" t="s">
        <v>7</v>
      </c>
      <c r="D186" s="17" t="s">
        <v>3</v>
      </c>
      <c r="E186" s="17" t="s">
        <v>51</v>
      </c>
      <c r="F186" s="17">
        <f t="shared" si="14"/>
        <v>3</v>
      </c>
      <c r="G186" s="20" t="s">
        <v>156</v>
      </c>
      <c r="H186" s="17" t="s">
        <v>45</v>
      </c>
      <c r="I186" s="17" t="s">
        <v>104</v>
      </c>
      <c r="J186" s="22" t="s">
        <v>307</v>
      </c>
      <c r="K186" s="17">
        <v>1</v>
      </c>
      <c r="L186" s="21">
        <v>1</v>
      </c>
      <c r="M186" s="21">
        <v>1</v>
      </c>
      <c r="N186" s="17">
        <f t="shared" si="15"/>
        <v>3</v>
      </c>
      <c r="O186" s="17">
        <f t="shared" si="16"/>
        <v>0</v>
      </c>
      <c r="P186" s="17">
        <f t="shared" si="17"/>
        <v>0</v>
      </c>
      <c r="Q186" s="17">
        <f t="shared" si="18"/>
        <v>0</v>
      </c>
      <c r="R186" s="17">
        <f t="shared" si="19"/>
        <v>0</v>
      </c>
      <c r="S186" s="17" t="s">
        <v>569</v>
      </c>
    </row>
    <row r="187" spans="2:19" ht="15" hidden="1" customHeight="1">
      <c r="B187" s="17">
        <f t="shared" si="20"/>
        <v>176</v>
      </c>
      <c r="C187" s="17" t="s">
        <v>7</v>
      </c>
      <c r="D187" s="17" t="s">
        <v>3</v>
      </c>
      <c r="E187" s="17" t="s">
        <v>471</v>
      </c>
      <c r="F187" s="17">
        <f t="shared" si="14"/>
        <v>2</v>
      </c>
      <c r="G187" s="20" t="s">
        <v>156</v>
      </c>
      <c r="H187" s="17" t="s">
        <v>112</v>
      </c>
      <c r="I187" s="17" t="s">
        <v>103</v>
      </c>
      <c r="J187" s="22" t="s">
        <v>308</v>
      </c>
      <c r="K187" s="17" t="s">
        <v>308</v>
      </c>
      <c r="L187" s="21">
        <v>2</v>
      </c>
      <c r="M187" s="21"/>
      <c r="N187" s="17">
        <f t="shared" si="15"/>
        <v>0</v>
      </c>
      <c r="O187" s="17">
        <f t="shared" si="16"/>
        <v>2</v>
      </c>
      <c r="P187" s="17">
        <f t="shared" si="17"/>
        <v>0</v>
      </c>
      <c r="Q187" s="17">
        <f t="shared" si="18"/>
        <v>0</v>
      </c>
      <c r="R187" s="17">
        <f t="shared" si="19"/>
        <v>0</v>
      </c>
      <c r="S187" s="17" t="s">
        <v>579</v>
      </c>
    </row>
    <row r="188" spans="2:19" ht="15" hidden="1" customHeight="1">
      <c r="B188" s="17">
        <f t="shared" si="20"/>
        <v>177</v>
      </c>
      <c r="C188" s="17" t="s">
        <v>7</v>
      </c>
      <c r="D188" s="17" t="s">
        <v>3</v>
      </c>
      <c r="E188" s="17" t="s">
        <v>472</v>
      </c>
      <c r="F188" s="17">
        <f t="shared" si="14"/>
        <v>2</v>
      </c>
      <c r="G188" s="20" t="s">
        <v>156</v>
      </c>
      <c r="H188" s="17" t="s">
        <v>113</v>
      </c>
      <c r="I188" s="17" t="s">
        <v>103</v>
      </c>
      <c r="J188" s="22" t="s">
        <v>309</v>
      </c>
      <c r="K188" s="17" t="s">
        <v>309</v>
      </c>
      <c r="L188" s="21">
        <v>2</v>
      </c>
      <c r="M188" s="21"/>
      <c r="N188" s="17">
        <f t="shared" si="15"/>
        <v>0</v>
      </c>
      <c r="O188" s="17">
        <f t="shared" si="16"/>
        <v>2</v>
      </c>
      <c r="P188" s="17">
        <f t="shared" si="17"/>
        <v>0</v>
      </c>
      <c r="Q188" s="17">
        <f t="shared" si="18"/>
        <v>0</v>
      </c>
      <c r="R188" s="17">
        <f t="shared" si="19"/>
        <v>0</v>
      </c>
      <c r="S188" s="17" t="s">
        <v>579</v>
      </c>
    </row>
    <row r="189" spans="2:19" ht="15" hidden="1" customHeight="1">
      <c r="B189" s="17">
        <f t="shared" si="20"/>
        <v>178</v>
      </c>
      <c r="C189" s="17" t="s">
        <v>7</v>
      </c>
      <c r="D189" s="17" t="s">
        <v>3</v>
      </c>
      <c r="E189" s="17" t="s">
        <v>473</v>
      </c>
      <c r="F189" s="17">
        <f t="shared" si="14"/>
        <v>2</v>
      </c>
      <c r="G189" s="20" t="s">
        <v>156</v>
      </c>
      <c r="H189" s="17" t="s">
        <v>114</v>
      </c>
      <c r="I189" s="17" t="s">
        <v>103</v>
      </c>
      <c r="J189" s="22" t="s">
        <v>310</v>
      </c>
      <c r="K189" s="17" t="s">
        <v>310</v>
      </c>
      <c r="L189" s="21">
        <v>2</v>
      </c>
      <c r="M189" s="21"/>
      <c r="N189" s="17">
        <f t="shared" si="15"/>
        <v>0</v>
      </c>
      <c r="O189" s="17">
        <f t="shared" si="16"/>
        <v>2</v>
      </c>
      <c r="P189" s="17">
        <f t="shared" si="17"/>
        <v>0</v>
      </c>
      <c r="Q189" s="17">
        <f t="shared" si="18"/>
        <v>0</v>
      </c>
      <c r="R189" s="17">
        <f t="shared" si="19"/>
        <v>0</v>
      </c>
      <c r="S189" s="17" t="s">
        <v>579</v>
      </c>
    </row>
    <row r="190" spans="2:19" ht="15" hidden="1" customHeight="1">
      <c r="B190" s="17">
        <f t="shared" si="20"/>
        <v>179</v>
      </c>
      <c r="C190" s="17" t="s">
        <v>7</v>
      </c>
      <c r="D190" s="17" t="s">
        <v>3</v>
      </c>
      <c r="E190" s="17" t="s">
        <v>474</v>
      </c>
      <c r="F190" s="17">
        <f t="shared" si="14"/>
        <v>2</v>
      </c>
      <c r="G190" s="20" t="s">
        <v>156</v>
      </c>
      <c r="H190" s="17" t="s">
        <v>115</v>
      </c>
      <c r="I190" s="17" t="s">
        <v>103</v>
      </c>
      <c r="J190" s="22" t="s">
        <v>311</v>
      </c>
      <c r="K190" s="17" t="s">
        <v>311</v>
      </c>
      <c r="L190" s="21">
        <v>2</v>
      </c>
      <c r="M190" s="21"/>
      <c r="N190" s="17">
        <f t="shared" si="15"/>
        <v>0</v>
      </c>
      <c r="O190" s="17">
        <f t="shared" si="16"/>
        <v>2</v>
      </c>
      <c r="P190" s="17">
        <f t="shared" si="17"/>
        <v>0</v>
      </c>
      <c r="Q190" s="17">
        <f t="shared" si="18"/>
        <v>0</v>
      </c>
      <c r="R190" s="17">
        <f t="shared" si="19"/>
        <v>0</v>
      </c>
      <c r="S190" s="17" t="s">
        <v>579</v>
      </c>
    </row>
    <row r="191" spans="2:19" ht="15" hidden="1" customHeight="1">
      <c r="B191" s="17">
        <f t="shared" si="20"/>
        <v>180</v>
      </c>
      <c r="C191" s="17" t="s">
        <v>7</v>
      </c>
      <c r="D191" s="17" t="s">
        <v>3</v>
      </c>
      <c r="E191" s="17" t="s">
        <v>475</v>
      </c>
      <c r="F191" s="17">
        <f t="shared" si="14"/>
        <v>2</v>
      </c>
      <c r="G191" s="20" t="s">
        <v>156</v>
      </c>
      <c r="H191" s="17" t="s">
        <v>116</v>
      </c>
      <c r="I191" s="17" t="s">
        <v>103</v>
      </c>
      <c r="J191" s="22" t="s">
        <v>353</v>
      </c>
      <c r="K191" s="17" t="s">
        <v>645</v>
      </c>
      <c r="L191" s="21">
        <v>2</v>
      </c>
      <c r="M191" s="21"/>
      <c r="N191" s="17">
        <f t="shared" si="15"/>
        <v>0</v>
      </c>
      <c r="O191" s="17">
        <f t="shared" si="16"/>
        <v>2</v>
      </c>
      <c r="P191" s="17">
        <f t="shared" si="17"/>
        <v>0</v>
      </c>
      <c r="Q191" s="17">
        <f t="shared" si="18"/>
        <v>0</v>
      </c>
      <c r="R191" s="17">
        <f t="shared" si="19"/>
        <v>0</v>
      </c>
      <c r="S191" s="17" t="s">
        <v>579</v>
      </c>
    </row>
    <row r="192" spans="2:19" ht="15" hidden="1" customHeight="1">
      <c r="B192" s="17">
        <f t="shared" si="20"/>
        <v>181</v>
      </c>
      <c r="C192" s="17" t="s">
        <v>7</v>
      </c>
      <c r="D192" s="17" t="s">
        <v>3</v>
      </c>
      <c r="E192" s="17" t="s">
        <v>476</v>
      </c>
      <c r="F192" s="17">
        <f t="shared" si="14"/>
        <v>2</v>
      </c>
      <c r="G192" s="20" t="s">
        <v>156</v>
      </c>
      <c r="H192" s="17" t="s">
        <v>117</v>
      </c>
      <c r="I192" s="17" t="s">
        <v>103</v>
      </c>
      <c r="J192" s="22" t="s">
        <v>313</v>
      </c>
      <c r="K192" s="20" t="s">
        <v>632</v>
      </c>
      <c r="L192" s="21">
        <v>3</v>
      </c>
      <c r="M192" s="21"/>
      <c r="N192" s="17">
        <f t="shared" si="15"/>
        <v>0</v>
      </c>
      <c r="O192" s="17">
        <f t="shared" si="16"/>
        <v>0</v>
      </c>
      <c r="P192" s="17">
        <f t="shared" si="17"/>
        <v>2</v>
      </c>
      <c r="Q192" s="17">
        <f t="shared" si="18"/>
        <v>0</v>
      </c>
      <c r="R192" s="17">
        <f t="shared" si="19"/>
        <v>0</v>
      </c>
      <c r="S192" s="17" t="s">
        <v>579</v>
      </c>
    </row>
    <row r="193" spans="2:19" ht="15" hidden="1" customHeight="1">
      <c r="B193" s="17">
        <f t="shared" si="20"/>
        <v>182</v>
      </c>
      <c r="C193" s="17" t="s">
        <v>7</v>
      </c>
      <c r="D193" s="17" t="s">
        <v>3</v>
      </c>
      <c r="E193" s="17" t="s">
        <v>477</v>
      </c>
      <c r="F193" s="17">
        <f t="shared" si="14"/>
        <v>2</v>
      </c>
      <c r="G193" s="20" t="s">
        <v>156</v>
      </c>
      <c r="H193" s="17" t="s">
        <v>118</v>
      </c>
      <c r="I193" s="17" t="s">
        <v>103</v>
      </c>
      <c r="J193" s="22" t="s">
        <v>314</v>
      </c>
      <c r="K193" s="20" t="s">
        <v>633</v>
      </c>
      <c r="L193" s="21">
        <v>3</v>
      </c>
      <c r="M193" s="21"/>
      <c r="N193" s="17">
        <f t="shared" si="15"/>
        <v>0</v>
      </c>
      <c r="O193" s="17">
        <f t="shared" si="16"/>
        <v>0</v>
      </c>
      <c r="P193" s="17">
        <f t="shared" si="17"/>
        <v>2</v>
      </c>
      <c r="Q193" s="17">
        <f t="shared" si="18"/>
        <v>0</v>
      </c>
      <c r="R193" s="17">
        <f t="shared" si="19"/>
        <v>0</v>
      </c>
      <c r="S193" s="17" t="s">
        <v>579</v>
      </c>
    </row>
    <row r="194" spans="2:19" ht="15" hidden="1" customHeight="1">
      <c r="B194" s="17">
        <f t="shared" si="20"/>
        <v>183</v>
      </c>
      <c r="C194" s="17" t="s">
        <v>7</v>
      </c>
      <c r="D194" s="17" t="s">
        <v>3</v>
      </c>
      <c r="E194" s="17" t="s">
        <v>478</v>
      </c>
      <c r="F194" s="17">
        <f t="shared" si="14"/>
        <v>4</v>
      </c>
      <c r="G194" s="20" t="s">
        <v>156</v>
      </c>
      <c r="H194" s="17" t="s">
        <v>119</v>
      </c>
      <c r="I194" s="17" t="s">
        <v>104</v>
      </c>
      <c r="J194" s="22" t="s">
        <v>354</v>
      </c>
      <c r="K194" s="20" t="s">
        <v>634</v>
      </c>
      <c r="L194" s="21">
        <v>2</v>
      </c>
      <c r="M194" s="21"/>
      <c r="N194" s="17">
        <f t="shared" si="15"/>
        <v>0</v>
      </c>
      <c r="O194" s="17">
        <f t="shared" si="16"/>
        <v>4</v>
      </c>
      <c r="P194" s="17">
        <f t="shared" si="17"/>
        <v>0</v>
      </c>
      <c r="Q194" s="17">
        <f t="shared" si="18"/>
        <v>0</v>
      </c>
      <c r="R194" s="17">
        <f t="shared" si="19"/>
        <v>0</v>
      </c>
      <c r="S194" s="17" t="s">
        <v>579</v>
      </c>
    </row>
    <row r="195" spans="2:19" ht="15" customHeight="1">
      <c r="B195" s="17">
        <f t="shared" si="20"/>
        <v>184</v>
      </c>
      <c r="C195" s="17" t="s">
        <v>7</v>
      </c>
      <c r="D195" s="17" t="s">
        <v>3</v>
      </c>
      <c r="E195" s="17" t="s">
        <v>479</v>
      </c>
      <c r="F195" s="17">
        <f t="shared" si="14"/>
        <v>4</v>
      </c>
      <c r="G195" s="20" t="s">
        <v>156</v>
      </c>
      <c r="H195" s="17" t="s">
        <v>120</v>
      </c>
      <c r="I195" s="17" t="s">
        <v>104</v>
      </c>
      <c r="J195" s="22" t="s">
        <v>316</v>
      </c>
      <c r="K195" s="20" t="s">
        <v>635</v>
      </c>
      <c r="L195" s="21">
        <v>1</v>
      </c>
      <c r="M195" s="21">
        <v>1</v>
      </c>
      <c r="N195" s="17">
        <f t="shared" si="15"/>
        <v>2</v>
      </c>
      <c r="O195" s="17">
        <f t="shared" si="16"/>
        <v>2</v>
      </c>
      <c r="P195" s="17">
        <f t="shared" si="17"/>
        <v>0</v>
      </c>
      <c r="Q195" s="17">
        <f t="shared" si="18"/>
        <v>0</v>
      </c>
      <c r="R195" s="17">
        <f t="shared" si="19"/>
        <v>0</v>
      </c>
      <c r="S195" s="17" t="s">
        <v>574</v>
      </c>
    </row>
    <row r="196" spans="2:19" ht="15" hidden="1" customHeight="1">
      <c r="B196" s="17">
        <f t="shared" si="20"/>
        <v>185</v>
      </c>
      <c r="C196" s="17" t="s">
        <v>7</v>
      </c>
      <c r="D196" s="17" t="s">
        <v>4</v>
      </c>
      <c r="E196" s="17" t="s">
        <v>21</v>
      </c>
      <c r="F196" s="17">
        <f t="shared" si="14"/>
        <v>12</v>
      </c>
      <c r="G196" s="20" t="s">
        <v>157</v>
      </c>
      <c r="H196" s="17" t="s">
        <v>11</v>
      </c>
      <c r="I196" s="17" t="s">
        <v>103</v>
      </c>
      <c r="J196" s="22" t="s">
        <v>250</v>
      </c>
      <c r="K196" s="17" t="s">
        <v>250</v>
      </c>
      <c r="L196" s="21">
        <v>2</v>
      </c>
      <c r="M196" s="21"/>
      <c r="N196" s="17">
        <f t="shared" si="15"/>
        <v>3</v>
      </c>
      <c r="O196" s="17">
        <f t="shared" si="16"/>
        <v>9</v>
      </c>
      <c r="P196" s="17">
        <f t="shared" si="17"/>
        <v>0</v>
      </c>
      <c r="Q196" s="17">
        <f t="shared" si="18"/>
        <v>0</v>
      </c>
      <c r="R196" s="17">
        <f t="shared" si="19"/>
        <v>0</v>
      </c>
      <c r="S196" s="17" t="s">
        <v>579</v>
      </c>
    </row>
    <row r="197" spans="2:19" ht="15" hidden="1" customHeight="1">
      <c r="B197" s="17">
        <f t="shared" si="20"/>
        <v>186</v>
      </c>
      <c r="C197" s="17" t="s">
        <v>7</v>
      </c>
      <c r="D197" s="17" t="s">
        <v>4</v>
      </c>
      <c r="E197" s="17" t="s">
        <v>22</v>
      </c>
      <c r="F197" s="17">
        <f t="shared" si="14"/>
        <v>10</v>
      </c>
      <c r="G197" s="20" t="s">
        <v>157</v>
      </c>
      <c r="H197" s="17" t="s">
        <v>12</v>
      </c>
      <c r="I197" s="17" t="s">
        <v>103</v>
      </c>
      <c r="J197" s="22" t="s">
        <v>251</v>
      </c>
      <c r="K197" s="17" t="s">
        <v>251</v>
      </c>
      <c r="L197" s="21">
        <v>2</v>
      </c>
      <c r="M197" s="21"/>
      <c r="N197" s="17">
        <f t="shared" si="15"/>
        <v>3</v>
      </c>
      <c r="O197" s="17">
        <f t="shared" si="16"/>
        <v>6</v>
      </c>
      <c r="P197" s="17">
        <f t="shared" si="17"/>
        <v>0</v>
      </c>
      <c r="Q197" s="17">
        <f t="shared" si="18"/>
        <v>1</v>
      </c>
      <c r="R197" s="17">
        <f t="shared" si="19"/>
        <v>0</v>
      </c>
      <c r="S197" s="17" t="s">
        <v>579</v>
      </c>
    </row>
    <row r="198" spans="2:19" ht="15" hidden="1" customHeight="1">
      <c r="B198" s="17">
        <f t="shared" si="20"/>
        <v>187</v>
      </c>
      <c r="C198" s="17" t="s">
        <v>7</v>
      </c>
      <c r="D198" s="17" t="s">
        <v>4</v>
      </c>
      <c r="E198" s="17" t="s">
        <v>449</v>
      </c>
      <c r="F198" s="17">
        <f t="shared" si="14"/>
        <v>4</v>
      </c>
      <c r="G198" s="20" t="s">
        <v>157</v>
      </c>
      <c r="H198" s="17" t="s">
        <v>86</v>
      </c>
      <c r="I198" s="17" t="s">
        <v>103</v>
      </c>
      <c r="J198" s="22" t="s">
        <v>317</v>
      </c>
      <c r="K198" s="17" t="s">
        <v>317</v>
      </c>
      <c r="L198" s="21">
        <v>2</v>
      </c>
      <c r="M198" s="21"/>
      <c r="N198" s="17">
        <f t="shared" si="15"/>
        <v>2</v>
      </c>
      <c r="O198" s="17">
        <f t="shared" si="16"/>
        <v>2</v>
      </c>
      <c r="P198" s="17">
        <f t="shared" si="17"/>
        <v>0</v>
      </c>
      <c r="Q198" s="17">
        <f t="shared" si="18"/>
        <v>0</v>
      </c>
      <c r="R198" s="17">
        <f t="shared" si="19"/>
        <v>0</v>
      </c>
      <c r="S198" s="17" t="s">
        <v>579</v>
      </c>
    </row>
    <row r="199" spans="2:19" ht="15" hidden="1" customHeight="1">
      <c r="B199" s="17">
        <f t="shared" si="20"/>
        <v>188</v>
      </c>
      <c r="C199" s="17" t="s">
        <v>7</v>
      </c>
      <c r="D199" s="17" t="s">
        <v>5</v>
      </c>
      <c r="E199" s="17" t="s">
        <v>21</v>
      </c>
      <c r="F199" s="17">
        <f t="shared" si="14"/>
        <v>12</v>
      </c>
      <c r="G199" s="20" t="s">
        <v>158</v>
      </c>
      <c r="H199" s="17" t="s">
        <v>11</v>
      </c>
      <c r="I199" s="17" t="s">
        <v>103</v>
      </c>
      <c r="J199" s="22" t="s">
        <v>252</v>
      </c>
      <c r="K199" s="17" t="s">
        <v>252</v>
      </c>
      <c r="L199" s="21">
        <v>2</v>
      </c>
      <c r="M199" s="21"/>
      <c r="N199" s="17">
        <f t="shared" si="15"/>
        <v>3</v>
      </c>
      <c r="O199" s="17">
        <f t="shared" si="16"/>
        <v>9</v>
      </c>
      <c r="P199" s="17">
        <f t="shared" si="17"/>
        <v>0</v>
      </c>
      <c r="Q199" s="17">
        <f t="shared" si="18"/>
        <v>0</v>
      </c>
      <c r="R199" s="17">
        <f t="shared" si="19"/>
        <v>0</v>
      </c>
      <c r="S199" s="17" t="s">
        <v>579</v>
      </c>
    </row>
    <row r="200" spans="2:19" ht="15" hidden="1" customHeight="1">
      <c r="B200" s="17">
        <f t="shared" si="20"/>
        <v>189</v>
      </c>
      <c r="C200" s="17" t="s">
        <v>7</v>
      </c>
      <c r="D200" s="17" t="s">
        <v>5</v>
      </c>
      <c r="E200" s="17" t="s">
        <v>47</v>
      </c>
      <c r="F200" s="17">
        <f t="shared" si="14"/>
        <v>6</v>
      </c>
      <c r="G200" s="20" t="s">
        <v>158</v>
      </c>
      <c r="H200" s="17" t="s">
        <v>40</v>
      </c>
      <c r="I200" s="17" t="s">
        <v>103</v>
      </c>
      <c r="J200" s="22" t="s">
        <v>253</v>
      </c>
      <c r="K200" s="17" t="s">
        <v>253</v>
      </c>
      <c r="L200" s="21">
        <v>2</v>
      </c>
      <c r="M200" s="21"/>
      <c r="N200" s="17">
        <f t="shared" si="15"/>
        <v>0</v>
      </c>
      <c r="O200" s="17">
        <f t="shared" si="16"/>
        <v>6</v>
      </c>
      <c r="P200" s="17">
        <f t="shared" si="17"/>
        <v>0</v>
      </c>
      <c r="Q200" s="17">
        <f t="shared" si="18"/>
        <v>0</v>
      </c>
      <c r="R200" s="17">
        <f t="shared" si="19"/>
        <v>0</v>
      </c>
      <c r="S200" s="17" t="s">
        <v>579</v>
      </c>
    </row>
    <row r="201" spans="2:19" ht="15" hidden="1" customHeight="1">
      <c r="B201" s="17">
        <f t="shared" si="20"/>
        <v>190</v>
      </c>
      <c r="C201" s="17" t="s">
        <v>7</v>
      </c>
      <c r="D201" s="17" t="s">
        <v>5</v>
      </c>
      <c r="E201" s="17" t="s">
        <v>478</v>
      </c>
      <c r="F201" s="17">
        <f t="shared" si="14"/>
        <v>4</v>
      </c>
      <c r="G201" s="20" t="s">
        <v>158</v>
      </c>
      <c r="H201" s="17" t="s">
        <v>119</v>
      </c>
      <c r="I201" s="17" t="s">
        <v>103</v>
      </c>
      <c r="J201" s="22" t="s">
        <v>319</v>
      </c>
      <c r="K201" s="17" t="s">
        <v>319</v>
      </c>
      <c r="L201" s="21">
        <v>2</v>
      </c>
      <c r="M201" s="21"/>
      <c r="N201" s="17">
        <f t="shared" si="15"/>
        <v>0</v>
      </c>
      <c r="O201" s="17">
        <f t="shared" si="16"/>
        <v>4</v>
      </c>
      <c r="P201" s="17">
        <f t="shared" si="17"/>
        <v>0</v>
      </c>
      <c r="Q201" s="17">
        <f t="shared" si="18"/>
        <v>0</v>
      </c>
      <c r="R201" s="17">
        <f t="shared" si="19"/>
        <v>0</v>
      </c>
      <c r="S201" s="17" t="s">
        <v>579</v>
      </c>
    </row>
    <row r="202" spans="2:19" ht="15" hidden="1" customHeight="1">
      <c r="B202" s="17">
        <f t="shared" si="20"/>
        <v>191</v>
      </c>
      <c r="C202" s="17" t="s">
        <v>7</v>
      </c>
      <c r="D202" s="17" t="s">
        <v>5</v>
      </c>
      <c r="E202" s="17" t="s">
        <v>479</v>
      </c>
      <c r="F202" s="17">
        <f t="shared" si="14"/>
        <v>4</v>
      </c>
      <c r="G202" s="20" t="s">
        <v>158</v>
      </c>
      <c r="H202" s="17" t="s">
        <v>120</v>
      </c>
      <c r="I202" s="17" t="s">
        <v>103</v>
      </c>
      <c r="J202" s="22" t="s">
        <v>320</v>
      </c>
      <c r="K202" s="17" t="s">
        <v>320</v>
      </c>
      <c r="L202" s="21">
        <v>2</v>
      </c>
      <c r="M202" s="21"/>
      <c r="N202" s="17">
        <f t="shared" si="15"/>
        <v>2</v>
      </c>
      <c r="O202" s="17">
        <f t="shared" si="16"/>
        <v>2</v>
      </c>
      <c r="P202" s="17">
        <f t="shared" si="17"/>
        <v>0</v>
      </c>
      <c r="Q202" s="17">
        <f t="shared" si="18"/>
        <v>0</v>
      </c>
      <c r="R202" s="17">
        <f t="shared" si="19"/>
        <v>0</v>
      </c>
      <c r="S202" s="17" t="s">
        <v>579</v>
      </c>
    </row>
    <row r="203" spans="2:19" ht="15" hidden="1" customHeight="1">
      <c r="B203" s="25">
        <f t="shared" si="20"/>
        <v>192</v>
      </c>
      <c r="C203" s="25" t="s">
        <v>8</v>
      </c>
      <c r="D203" s="25" t="s">
        <v>8</v>
      </c>
      <c r="E203" s="25" t="s">
        <v>506</v>
      </c>
      <c r="F203" s="25">
        <f t="shared" si="14"/>
        <v>1</v>
      </c>
      <c r="G203" s="27" t="s">
        <v>159</v>
      </c>
      <c r="H203" s="25" t="s">
        <v>160</v>
      </c>
      <c r="I203" s="25" t="s">
        <v>104</v>
      </c>
      <c r="J203" s="26" t="s">
        <v>355</v>
      </c>
      <c r="K203" s="25" t="s">
        <v>607</v>
      </c>
      <c r="L203" s="21">
        <v>5</v>
      </c>
      <c r="M203" s="21"/>
      <c r="N203" s="17">
        <f t="shared" si="15"/>
        <v>0</v>
      </c>
      <c r="O203" s="17">
        <f t="shared" si="16"/>
        <v>0</v>
      </c>
      <c r="P203" s="17">
        <f t="shared" si="17"/>
        <v>0</v>
      </c>
      <c r="Q203" s="17">
        <f t="shared" si="18"/>
        <v>0</v>
      </c>
      <c r="R203" s="17">
        <f t="shared" si="19"/>
        <v>1</v>
      </c>
      <c r="S203" s="25" t="s">
        <v>592</v>
      </c>
    </row>
    <row r="204" spans="2:19" ht="15" hidden="1" customHeight="1">
      <c r="B204" s="25">
        <f t="shared" si="20"/>
        <v>193</v>
      </c>
      <c r="C204" s="25" t="s">
        <v>8</v>
      </c>
      <c r="D204" s="25" t="s">
        <v>8</v>
      </c>
      <c r="E204" s="25" t="s">
        <v>22</v>
      </c>
      <c r="F204" s="25">
        <f t="shared" ref="F204:F267" si="21">+COUNTIFS($E$12:$E$289,E204)</f>
        <v>10</v>
      </c>
      <c r="G204" s="27" t="s">
        <v>159</v>
      </c>
      <c r="H204" s="25" t="s">
        <v>18</v>
      </c>
      <c r="I204" s="25" t="s">
        <v>103</v>
      </c>
      <c r="J204" s="26" t="s">
        <v>356</v>
      </c>
      <c r="K204" s="25" t="s">
        <v>607</v>
      </c>
      <c r="L204" s="21">
        <v>4</v>
      </c>
      <c r="M204" s="21"/>
      <c r="N204" s="17">
        <f t="shared" ref="N204:N267" si="22">+COUNTIFS($E$12:$E$289,E204,$L$12:$L$289,1)</f>
        <v>3</v>
      </c>
      <c r="O204" s="17">
        <f t="shared" ref="O204:O267" si="23">+COUNTIFS($E$12:$E$289,E204,$L$12:$L$289,2)</f>
        <v>6</v>
      </c>
      <c r="P204" s="17">
        <f t="shared" ref="P204:P267" si="24">+COUNTIFS($E$12:$E$289,E204,$L$12:$L$289,3)</f>
        <v>0</v>
      </c>
      <c r="Q204" s="17">
        <f t="shared" ref="Q204:Q267" si="25">+COUNTIFS($E$12:$E$289,E204,$L$12:$L$289,4)</f>
        <v>1</v>
      </c>
      <c r="R204" s="17">
        <f t="shared" ref="R204:R267" si="26">+COUNTIFS($E$12:$E$289,E204,$L$12:$L$289,5)</f>
        <v>0</v>
      </c>
      <c r="S204" s="25" t="s">
        <v>589</v>
      </c>
    </row>
    <row r="205" spans="2:19" ht="15" hidden="1" customHeight="1">
      <c r="B205" s="25">
        <f t="shared" si="20"/>
        <v>194</v>
      </c>
      <c r="C205" s="25" t="s">
        <v>8</v>
      </c>
      <c r="D205" s="25" t="s">
        <v>8</v>
      </c>
      <c r="E205" s="25" t="s">
        <v>507</v>
      </c>
      <c r="F205" s="25">
        <f t="shared" si="21"/>
        <v>1</v>
      </c>
      <c r="G205" s="27" t="s">
        <v>159</v>
      </c>
      <c r="H205" s="25" t="s">
        <v>161</v>
      </c>
      <c r="I205" s="25" t="s">
        <v>103</v>
      </c>
      <c r="J205" s="28" t="s">
        <v>357</v>
      </c>
      <c r="K205" s="27" t="s">
        <v>646</v>
      </c>
      <c r="L205" s="21">
        <v>2</v>
      </c>
      <c r="M205" s="21"/>
      <c r="N205" s="17">
        <f t="shared" si="22"/>
        <v>0</v>
      </c>
      <c r="O205" s="17">
        <f t="shared" si="23"/>
        <v>1</v>
      </c>
      <c r="P205" s="17">
        <f t="shared" si="24"/>
        <v>0</v>
      </c>
      <c r="Q205" s="17">
        <f t="shared" si="25"/>
        <v>0</v>
      </c>
      <c r="R205" s="17">
        <f t="shared" si="26"/>
        <v>0</v>
      </c>
      <c r="S205" s="25" t="s">
        <v>579</v>
      </c>
    </row>
    <row r="206" spans="2:19" ht="15" hidden="1" customHeight="1">
      <c r="B206" s="25">
        <f t="shared" ref="B206:B269" si="27">1+B205</f>
        <v>195</v>
      </c>
      <c r="C206" s="25" t="s">
        <v>8</v>
      </c>
      <c r="D206" s="25" t="s">
        <v>8</v>
      </c>
      <c r="E206" s="25" t="s">
        <v>508</v>
      </c>
      <c r="F206" s="25">
        <f t="shared" si="21"/>
        <v>1</v>
      </c>
      <c r="G206" s="27" t="s">
        <v>159</v>
      </c>
      <c r="H206" s="25" t="s">
        <v>162</v>
      </c>
      <c r="I206" s="25" t="s">
        <v>103</v>
      </c>
      <c r="J206" s="26" t="s">
        <v>358</v>
      </c>
      <c r="K206" s="27" t="s">
        <v>647</v>
      </c>
      <c r="L206" s="21">
        <v>3</v>
      </c>
      <c r="M206" s="21"/>
      <c r="N206" s="17">
        <f t="shared" si="22"/>
        <v>0</v>
      </c>
      <c r="O206" s="17">
        <f t="shared" si="23"/>
        <v>0</v>
      </c>
      <c r="P206" s="17">
        <f t="shared" si="24"/>
        <v>1</v>
      </c>
      <c r="Q206" s="17">
        <f t="shared" si="25"/>
        <v>0</v>
      </c>
      <c r="R206" s="17">
        <f t="shared" si="26"/>
        <v>0</v>
      </c>
      <c r="S206" s="25" t="s">
        <v>579</v>
      </c>
    </row>
    <row r="207" spans="2:19" ht="15" hidden="1" customHeight="1">
      <c r="B207" s="25">
        <f t="shared" si="27"/>
        <v>196</v>
      </c>
      <c r="C207" s="25" t="s">
        <v>8</v>
      </c>
      <c r="D207" s="25" t="s">
        <v>8</v>
      </c>
      <c r="E207" s="25" t="s">
        <v>509</v>
      </c>
      <c r="F207" s="25">
        <f t="shared" si="21"/>
        <v>1</v>
      </c>
      <c r="G207" s="27" t="s">
        <v>159</v>
      </c>
      <c r="H207" s="25" t="s">
        <v>163</v>
      </c>
      <c r="I207" s="25" t="s">
        <v>104</v>
      </c>
      <c r="J207" s="26" t="s">
        <v>359</v>
      </c>
      <c r="K207" s="25" t="s">
        <v>607</v>
      </c>
      <c r="L207" s="21">
        <v>5</v>
      </c>
      <c r="M207" s="21"/>
      <c r="N207" s="17">
        <f t="shared" si="22"/>
        <v>0</v>
      </c>
      <c r="O207" s="17">
        <f t="shared" si="23"/>
        <v>0</v>
      </c>
      <c r="P207" s="17">
        <f t="shared" si="24"/>
        <v>0</v>
      </c>
      <c r="Q207" s="17">
        <f t="shared" si="25"/>
        <v>0</v>
      </c>
      <c r="R207" s="17">
        <f t="shared" si="26"/>
        <v>1</v>
      </c>
      <c r="S207" s="25" t="s">
        <v>592</v>
      </c>
    </row>
    <row r="208" spans="2:19" ht="15" hidden="1" customHeight="1">
      <c r="B208" s="25">
        <f t="shared" si="27"/>
        <v>197</v>
      </c>
      <c r="C208" s="25" t="s">
        <v>8</v>
      </c>
      <c r="D208" s="25" t="s">
        <v>8</v>
      </c>
      <c r="E208" s="25" t="s">
        <v>510</v>
      </c>
      <c r="F208" s="25">
        <f t="shared" si="21"/>
        <v>1</v>
      </c>
      <c r="G208" s="27" t="s">
        <v>159</v>
      </c>
      <c r="H208" s="25" t="s">
        <v>164</v>
      </c>
      <c r="I208" s="25" t="s">
        <v>103</v>
      </c>
      <c r="J208" s="26" t="s">
        <v>360</v>
      </c>
      <c r="K208" s="27" t="s">
        <v>648</v>
      </c>
      <c r="L208" s="21">
        <v>2</v>
      </c>
      <c r="M208" s="21"/>
      <c r="N208" s="17">
        <f t="shared" si="22"/>
        <v>0</v>
      </c>
      <c r="O208" s="17">
        <f t="shared" si="23"/>
        <v>1</v>
      </c>
      <c r="P208" s="17">
        <f t="shared" si="24"/>
        <v>0</v>
      </c>
      <c r="Q208" s="17">
        <f t="shared" si="25"/>
        <v>0</v>
      </c>
      <c r="R208" s="17">
        <f t="shared" si="26"/>
        <v>0</v>
      </c>
      <c r="S208" s="25" t="s">
        <v>580</v>
      </c>
    </row>
    <row r="209" spans="2:19" ht="15" hidden="1" customHeight="1">
      <c r="B209" s="25">
        <f t="shared" si="27"/>
        <v>198</v>
      </c>
      <c r="C209" s="25" t="s">
        <v>8</v>
      </c>
      <c r="D209" s="25" t="s">
        <v>8</v>
      </c>
      <c r="E209" s="25" t="s">
        <v>511</v>
      </c>
      <c r="F209" s="25">
        <f t="shared" si="21"/>
        <v>1</v>
      </c>
      <c r="G209" s="27" t="s">
        <v>159</v>
      </c>
      <c r="H209" s="25" t="s">
        <v>165</v>
      </c>
      <c r="I209" s="25" t="s">
        <v>104</v>
      </c>
      <c r="J209" s="26" t="s">
        <v>361</v>
      </c>
      <c r="K209" s="44" t="s">
        <v>613</v>
      </c>
      <c r="L209" s="21">
        <v>5</v>
      </c>
      <c r="M209" s="21"/>
      <c r="N209" s="17">
        <f t="shared" si="22"/>
        <v>0</v>
      </c>
      <c r="O209" s="17">
        <f t="shared" si="23"/>
        <v>0</v>
      </c>
      <c r="P209" s="17">
        <f t="shared" si="24"/>
        <v>0</v>
      </c>
      <c r="Q209" s="17">
        <f t="shared" si="25"/>
        <v>0</v>
      </c>
      <c r="R209" s="17">
        <f t="shared" si="26"/>
        <v>1</v>
      </c>
      <c r="S209" s="25" t="s">
        <v>597</v>
      </c>
    </row>
    <row r="210" spans="2:19" ht="15" hidden="1" customHeight="1">
      <c r="B210" s="25">
        <f t="shared" si="27"/>
        <v>199</v>
      </c>
      <c r="C210" s="25" t="s">
        <v>8</v>
      </c>
      <c r="D210" s="25" t="s">
        <v>8</v>
      </c>
      <c r="E210" s="25" t="s">
        <v>512</v>
      </c>
      <c r="F210" s="25">
        <f t="shared" si="21"/>
        <v>1</v>
      </c>
      <c r="G210" s="27" t="s">
        <v>159</v>
      </c>
      <c r="H210" s="25" t="s">
        <v>166</v>
      </c>
      <c r="I210" s="25" t="s">
        <v>104</v>
      </c>
      <c r="J210" s="26" t="s">
        <v>362</v>
      </c>
      <c r="K210" s="45" t="s">
        <v>607</v>
      </c>
      <c r="L210" s="21">
        <v>5</v>
      </c>
      <c r="M210" s="21"/>
      <c r="N210" s="17">
        <f t="shared" si="22"/>
        <v>0</v>
      </c>
      <c r="O210" s="17">
        <f t="shared" si="23"/>
        <v>0</v>
      </c>
      <c r="P210" s="17">
        <f t="shared" si="24"/>
        <v>0</v>
      </c>
      <c r="Q210" s="17">
        <f t="shared" si="25"/>
        <v>0</v>
      </c>
      <c r="R210" s="17">
        <f t="shared" si="26"/>
        <v>1</v>
      </c>
      <c r="S210" s="25" t="s">
        <v>592</v>
      </c>
    </row>
    <row r="211" spans="2:19" ht="15" customHeight="1">
      <c r="B211" s="25">
        <f t="shared" si="27"/>
        <v>200</v>
      </c>
      <c r="C211" s="25" t="s">
        <v>8</v>
      </c>
      <c r="D211" s="25" t="s">
        <v>8</v>
      </c>
      <c r="E211" s="25" t="s">
        <v>513</v>
      </c>
      <c r="F211" s="25">
        <f t="shared" si="21"/>
        <v>1</v>
      </c>
      <c r="G211" s="27" t="s">
        <v>159</v>
      </c>
      <c r="H211" s="25" t="s">
        <v>167</v>
      </c>
      <c r="I211" s="25" t="s">
        <v>104</v>
      </c>
      <c r="J211" s="26" t="s">
        <v>363</v>
      </c>
      <c r="K211" s="45" t="s">
        <v>607</v>
      </c>
      <c r="L211" s="21">
        <v>1</v>
      </c>
      <c r="M211" s="21" t="s">
        <v>704</v>
      </c>
      <c r="N211" s="17">
        <f t="shared" si="22"/>
        <v>1</v>
      </c>
      <c r="O211" s="17">
        <f t="shared" si="23"/>
        <v>0</v>
      </c>
      <c r="P211" s="17">
        <f t="shared" si="24"/>
        <v>0</v>
      </c>
      <c r="Q211" s="17">
        <f t="shared" si="25"/>
        <v>0</v>
      </c>
      <c r="R211" s="17">
        <f t="shared" si="26"/>
        <v>0</v>
      </c>
      <c r="S211" s="25" t="s">
        <v>576</v>
      </c>
    </row>
    <row r="212" spans="2:19" ht="15" customHeight="1">
      <c r="B212" s="25">
        <f t="shared" si="27"/>
        <v>201</v>
      </c>
      <c r="C212" s="25" t="s">
        <v>8</v>
      </c>
      <c r="D212" s="25" t="s">
        <v>8</v>
      </c>
      <c r="E212" s="25" t="s">
        <v>514</v>
      </c>
      <c r="F212" s="25">
        <f t="shared" si="21"/>
        <v>1</v>
      </c>
      <c r="G212" s="27" t="s">
        <v>159</v>
      </c>
      <c r="H212" s="25" t="s">
        <v>168</v>
      </c>
      <c r="I212" s="25" t="s">
        <v>104</v>
      </c>
      <c r="J212" s="26" t="s">
        <v>363</v>
      </c>
      <c r="K212" s="45" t="s">
        <v>607</v>
      </c>
      <c r="L212" s="21">
        <v>1</v>
      </c>
      <c r="M212" s="21" t="s">
        <v>704</v>
      </c>
      <c r="N212" s="17">
        <f t="shared" si="22"/>
        <v>1</v>
      </c>
      <c r="O212" s="17">
        <f t="shared" si="23"/>
        <v>0</v>
      </c>
      <c r="P212" s="17">
        <f t="shared" si="24"/>
        <v>0</v>
      </c>
      <c r="Q212" s="17">
        <f t="shared" si="25"/>
        <v>0</v>
      </c>
      <c r="R212" s="17">
        <f t="shared" si="26"/>
        <v>0</v>
      </c>
      <c r="S212" s="25" t="s">
        <v>576</v>
      </c>
    </row>
    <row r="213" spans="2:19" ht="15" hidden="1" customHeight="1">
      <c r="B213" s="25">
        <f t="shared" si="27"/>
        <v>202</v>
      </c>
      <c r="C213" s="25" t="s">
        <v>8</v>
      </c>
      <c r="D213" s="25" t="s">
        <v>8</v>
      </c>
      <c r="E213" s="25" t="s">
        <v>515</v>
      </c>
      <c r="F213" s="25">
        <f t="shared" si="21"/>
        <v>1</v>
      </c>
      <c r="G213" s="27" t="s">
        <v>159</v>
      </c>
      <c r="H213" s="25" t="s">
        <v>169</v>
      </c>
      <c r="I213" s="25" t="s">
        <v>104</v>
      </c>
      <c r="J213" s="26" t="s">
        <v>364</v>
      </c>
      <c r="K213" s="45" t="s">
        <v>607</v>
      </c>
      <c r="L213" s="21">
        <v>5</v>
      </c>
      <c r="M213" s="21"/>
      <c r="N213" s="17">
        <f t="shared" si="22"/>
        <v>0</v>
      </c>
      <c r="O213" s="17">
        <f t="shared" si="23"/>
        <v>0</v>
      </c>
      <c r="P213" s="17">
        <f t="shared" si="24"/>
        <v>0</v>
      </c>
      <c r="Q213" s="17">
        <f t="shared" si="25"/>
        <v>0</v>
      </c>
      <c r="R213" s="17">
        <f t="shared" si="26"/>
        <v>1</v>
      </c>
      <c r="S213" s="25" t="s">
        <v>578</v>
      </c>
    </row>
    <row r="214" spans="2:19" ht="15" hidden="1" customHeight="1">
      <c r="B214" s="25">
        <f t="shared" si="27"/>
        <v>203</v>
      </c>
      <c r="C214" s="25" t="s">
        <v>8</v>
      </c>
      <c r="D214" s="25" t="s">
        <v>8</v>
      </c>
      <c r="E214" s="25" t="s">
        <v>516</v>
      </c>
      <c r="F214" s="25">
        <f t="shared" si="21"/>
        <v>1</v>
      </c>
      <c r="G214" s="27" t="s">
        <v>159</v>
      </c>
      <c r="H214" s="25" t="s">
        <v>170</v>
      </c>
      <c r="I214" s="25" t="s">
        <v>104</v>
      </c>
      <c r="J214" s="26" t="s">
        <v>365</v>
      </c>
      <c r="K214" s="45" t="s">
        <v>607</v>
      </c>
      <c r="L214" s="21">
        <v>5</v>
      </c>
      <c r="M214" s="21"/>
      <c r="N214" s="17">
        <f t="shared" si="22"/>
        <v>0</v>
      </c>
      <c r="O214" s="17">
        <f t="shared" si="23"/>
        <v>0</v>
      </c>
      <c r="P214" s="17">
        <f t="shared" si="24"/>
        <v>0</v>
      </c>
      <c r="Q214" s="17">
        <f t="shared" si="25"/>
        <v>0</v>
      </c>
      <c r="R214" s="17">
        <f t="shared" si="26"/>
        <v>1</v>
      </c>
      <c r="S214" s="25" t="s">
        <v>578</v>
      </c>
    </row>
    <row r="215" spans="2:19" ht="15" hidden="1" customHeight="1">
      <c r="B215" s="25">
        <f t="shared" si="27"/>
        <v>204</v>
      </c>
      <c r="C215" s="25" t="s">
        <v>8</v>
      </c>
      <c r="D215" s="25" t="s">
        <v>8</v>
      </c>
      <c r="E215" s="25" t="s">
        <v>517</v>
      </c>
      <c r="F215" s="25">
        <f t="shared" si="21"/>
        <v>1</v>
      </c>
      <c r="G215" s="27" t="s">
        <v>159</v>
      </c>
      <c r="H215" s="25" t="s">
        <v>171</v>
      </c>
      <c r="I215" s="25" t="s">
        <v>104</v>
      </c>
      <c r="J215" s="26" t="s">
        <v>366</v>
      </c>
      <c r="K215" s="45" t="s">
        <v>607</v>
      </c>
      <c r="L215" s="21">
        <v>5</v>
      </c>
      <c r="M215" s="21"/>
      <c r="N215" s="17">
        <f t="shared" si="22"/>
        <v>0</v>
      </c>
      <c r="O215" s="17">
        <f t="shared" si="23"/>
        <v>0</v>
      </c>
      <c r="P215" s="17">
        <f t="shared" si="24"/>
        <v>0</v>
      </c>
      <c r="Q215" s="17">
        <f t="shared" si="25"/>
        <v>0</v>
      </c>
      <c r="R215" s="17">
        <f t="shared" si="26"/>
        <v>1</v>
      </c>
      <c r="S215" s="25" t="s">
        <v>578</v>
      </c>
    </row>
    <row r="216" spans="2:19" ht="15" customHeight="1">
      <c r="B216" s="25">
        <f t="shared" si="27"/>
        <v>205</v>
      </c>
      <c r="C216" s="25" t="s">
        <v>8</v>
      </c>
      <c r="D216" s="25" t="s">
        <v>8</v>
      </c>
      <c r="E216" s="25" t="s">
        <v>518</v>
      </c>
      <c r="F216" s="25">
        <f t="shared" si="21"/>
        <v>1</v>
      </c>
      <c r="G216" s="27" t="s">
        <v>159</v>
      </c>
      <c r="H216" s="25" t="s">
        <v>172</v>
      </c>
      <c r="I216" s="25" t="s">
        <v>104</v>
      </c>
      <c r="J216" s="26" t="s">
        <v>366</v>
      </c>
      <c r="K216" s="45" t="s">
        <v>607</v>
      </c>
      <c r="L216" s="21">
        <v>1</v>
      </c>
      <c r="M216" s="21" t="s">
        <v>704</v>
      </c>
      <c r="N216" s="17">
        <f t="shared" si="22"/>
        <v>1</v>
      </c>
      <c r="O216" s="17">
        <f t="shared" si="23"/>
        <v>0</v>
      </c>
      <c r="P216" s="17">
        <f t="shared" si="24"/>
        <v>0</v>
      </c>
      <c r="Q216" s="17">
        <f t="shared" si="25"/>
        <v>0</v>
      </c>
      <c r="R216" s="17">
        <f t="shared" si="26"/>
        <v>0</v>
      </c>
      <c r="S216" s="25" t="s">
        <v>575</v>
      </c>
    </row>
    <row r="217" spans="2:19" ht="15" customHeight="1">
      <c r="B217" s="25">
        <f t="shared" si="27"/>
        <v>206</v>
      </c>
      <c r="C217" s="25" t="s">
        <v>8</v>
      </c>
      <c r="D217" s="25" t="s">
        <v>8</v>
      </c>
      <c r="E217" s="25" t="s">
        <v>519</v>
      </c>
      <c r="F217" s="25">
        <f t="shared" si="21"/>
        <v>1</v>
      </c>
      <c r="G217" s="27" t="s">
        <v>159</v>
      </c>
      <c r="H217" s="25" t="s">
        <v>173</v>
      </c>
      <c r="I217" s="25" t="s">
        <v>104</v>
      </c>
      <c r="J217" s="26" t="s">
        <v>366</v>
      </c>
      <c r="K217" s="45" t="s">
        <v>607</v>
      </c>
      <c r="L217" s="21">
        <v>1</v>
      </c>
      <c r="M217" s="21" t="s">
        <v>704</v>
      </c>
      <c r="N217" s="17">
        <f t="shared" si="22"/>
        <v>1</v>
      </c>
      <c r="O217" s="17">
        <f t="shared" si="23"/>
        <v>0</v>
      </c>
      <c r="P217" s="17">
        <f t="shared" si="24"/>
        <v>0</v>
      </c>
      <c r="Q217" s="17">
        <f t="shared" si="25"/>
        <v>0</v>
      </c>
      <c r="R217" s="17">
        <f t="shared" si="26"/>
        <v>0</v>
      </c>
      <c r="S217" s="25" t="s">
        <v>575</v>
      </c>
    </row>
    <row r="218" spans="2:19" ht="15" customHeight="1">
      <c r="B218" s="25">
        <f t="shared" si="27"/>
        <v>207</v>
      </c>
      <c r="C218" s="25" t="s">
        <v>8</v>
      </c>
      <c r="D218" s="25" t="s">
        <v>8</v>
      </c>
      <c r="E218" s="25" t="s">
        <v>520</v>
      </c>
      <c r="F218" s="25">
        <f t="shared" si="21"/>
        <v>1</v>
      </c>
      <c r="G218" s="27" t="s">
        <v>159</v>
      </c>
      <c r="H218" s="25" t="s">
        <v>174</v>
      </c>
      <c r="I218" s="25" t="s">
        <v>104</v>
      </c>
      <c r="J218" s="26" t="s">
        <v>367</v>
      </c>
      <c r="K218" s="25" t="s">
        <v>649</v>
      </c>
      <c r="L218" s="21">
        <v>1</v>
      </c>
      <c r="M218" s="21">
        <v>1</v>
      </c>
      <c r="N218" s="17">
        <f t="shared" si="22"/>
        <v>1</v>
      </c>
      <c r="O218" s="17">
        <f t="shared" si="23"/>
        <v>0</v>
      </c>
      <c r="P218" s="17">
        <f t="shared" si="24"/>
        <v>0</v>
      </c>
      <c r="Q218" s="17">
        <f t="shared" si="25"/>
        <v>0</v>
      </c>
      <c r="R218" s="17">
        <f t="shared" si="26"/>
        <v>0</v>
      </c>
      <c r="S218" s="25" t="s">
        <v>577</v>
      </c>
    </row>
    <row r="219" spans="2:19" ht="15" customHeight="1">
      <c r="B219" s="25">
        <f t="shared" si="27"/>
        <v>208</v>
      </c>
      <c r="C219" s="25" t="s">
        <v>8</v>
      </c>
      <c r="D219" s="25" t="s">
        <v>8</v>
      </c>
      <c r="E219" s="25" t="s">
        <v>521</v>
      </c>
      <c r="F219" s="25">
        <f t="shared" si="21"/>
        <v>1</v>
      </c>
      <c r="G219" s="27" t="s">
        <v>159</v>
      </c>
      <c r="H219" s="25" t="s">
        <v>175</v>
      </c>
      <c r="I219" s="25" t="s">
        <v>104</v>
      </c>
      <c r="J219" s="26" t="s">
        <v>368</v>
      </c>
      <c r="K219" s="25" t="s">
        <v>649</v>
      </c>
      <c r="L219" s="21">
        <v>1</v>
      </c>
      <c r="M219" s="21">
        <v>1</v>
      </c>
      <c r="N219" s="17">
        <f t="shared" si="22"/>
        <v>1</v>
      </c>
      <c r="O219" s="17">
        <f t="shared" si="23"/>
        <v>0</v>
      </c>
      <c r="P219" s="17">
        <f t="shared" si="24"/>
        <v>0</v>
      </c>
      <c r="Q219" s="17">
        <f t="shared" si="25"/>
        <v>0</v>
      </c>
      <c r="R219" s="17">
        <f t="shared" si="26"/>
        <v>0</v>
      </c>
      <c r="S219" s="25" t="s">
        <v>577</v>
      </c>
    </row>
    <row r="220" spans="2:19" ht="15" hidden="1" customHeight="1">
      <c r="B220" s="25">
        <f t="shared" si="27"/>
        <v>209</v>
      </c>
      <c r="C220" s="25" t="s">
        <v>8</v>
      </c>
      <c r="D220" s="25" t="s">
        <v>8</v>
      </c>
      <c r="E220" s="25" t="s">
        <v>522</v>
      </c>
      <c r="F220" s="25">
        <f t="shared" si="21"/>
        <v>1</v>
      </c>
      <c r="G220" s="27" t="s">
        <v>159</v>
      </c>
      <c r="H220" s="25" t="s">
        <v>176</v>
      </c>
      <c r="I220" s="25" t="s">
        <v>104</v>
      </c>
      <c r="J220" s="28" t="s">
        <v>369</v>
      </c>
      <c r="K220" s="27" t="s">
        <v>650</v>
      </c>
      <c r="L220" s="21">
        <v>2</v>
      </c>
      <c r="M220" s="21"/>
      <c r="N220" s="17">
        <f t="shared" si="22"/>
        <v>0</v>
      </c>
      <c r="O220" s="17">
        <f t="shared" si="23"/>
        <v>1</v>
      </c>
      <c r="P220" s="17">
        <f t="shared" si="24"/>
        <v>0</v>
      </c>
      <c r="Q220" s="17">
        <f t="shared" si="25"/>
        <v>0</v>
      </c>
      <c r="R220" s="17">
        <f t="shared" si="26"/>
        <v>0</v>
      </c>
      <c r="S220" s="25" t="s">
        <v>581</v>
      </c>
    </row>
    <row r="221" spans="2:19" ht="15" hidden="1" customHeight="1">
      <c r="B221" s="25">
        <f t="shared" si="27"/>
        <v>210</v>
      </c>
      <c r="C221" s="25" t="s">
        <v>8</v>
      </c>
      <c r="D221" s="25" t="s">
        <v>8</v>
      </c>
      <c r="E221" s="25" t="s">
        <v>523</v>
      </c>
      <c r="F221" s="25">
        <f t="shared" si="21"/>
        <v>1</v>
      </c>
      <c r="G221" s="27" t="s">
        <v>159</v>
      </c>
      <c r="H221" s="25" t="s">
        <v>177</v>
      </c>
      <c r="I221" s="25" t="s">
        <v>104</v>
      </c>
      <c r="J221" s="28" t="s">
        <v>370</v>
      </c>
      <c r="K221" s="27" t="s">
        <v>651</v>
      </c>
      <c r="L221" s="21">
        <v>2</v>
      </c>
      <c r="M221" s="21"/>
      <c r="N221" s="17">
        <f t="shared" si="22"/>
        <v>0</v>
      </c>
      <c r="O221" s="17">
        <f t="shared" si="23"/>
        <v>1</v>
      </c>
      <c r="P221" s="17">
        <f t="shared" si="24"/>
        <v>0</v>
      </c>
      <c r="Q221" s="17">
        <f t="shared" si="25"/>
        <v>0</v>
      </c>
      <c r="R221" s="17">
        <f t="shared" si="26"/>
        <v>0</v>
      </c>
      <c r="S221" s="25" t="s">
        <v>581</v>
      </c>
    </row>
    <row r="222" spans="2:19" ht="15" hidden="1" customHeight="1">
      <c r="B222" s="25">
        <f t="shared" si="27"/>
        <v>211</v>
      </c>
      <c r="C222" s="25" t="s">
        <v>8</v>
      </c>
      <c r="D222" s="25" t="s">
        <v>8</v>
      </c>
      <c r="E222" s="25" t="s">
        <v>524</v>
      </c>
      <c r="F222" s="25">
        <f t="shared" si="21"/>
        <v>1</v>
      </c>
      <c r="G222" s="27" t="s">
        <v>159</v>
      </c>
      <c r="H222" s="25" t="s">
        <v>178</v>
      </c>
      <c r="I222" s="25" t="s">
        <v>104</v>
      </c>
      <c r="J222" s="28" t="s">
        <v>371</v>
      </c>
      <c r="K222" s="27" t="s">
        <v>607</v>
      </c>
      <c r="L222" s="21">
        <v>5</v>
      </c>
      <c r="M222" s="21"/>
      <c r="N222" s="17">
        <f t="shared" si="22"/>
        <v>0</v>
      </c>
      <c r="O222" s="17">
        <f t="shared" si="23"/>
        <v>0</v>
      </c>
      <c r="P222" s="17">
        <f t="shared" si="24"/>
        <v>0</v>
      </c>
      <c r="Q222" s="17">
        <f t="shared" si="25"/>
        <v>0</v>
      </c>
      <c r="R222" s="17">
        <f t="shared" si="26"/>
        <v>1</v>
      </c>
      <c r="S222" s="25" t="s">
        <v>578</v>
      </c>
    </row>
    <row r="223" spans="2:19" ht="15" customHeight="1">
      <c r="B223" s="25">
        <f t="shared" si="27"/>
        <v>212</v>
      </c>
      <c r="C223" s="25" t="s">
        <v>8</v>
      </c>
      <c r="D223" s="25" t="s">
        <v>8</v>
      </c>
      <c r="E223" s="25" t="s">
        <v>525</v>
      </c>
      <c r="F223" s="25">
        <f t="shared" si="21"/>
        <v>1</v>
      </c>
      <c r="G223" s="27" t="s">
        <v>159</v>
      </c>
      <c r="H223" s="25" t="s">
        <v>179</v>
      </c>
      <c r="I223" s="25" t="s">
        <v>104</v>
      </c>
      <c r="J223" s="26" t="s">
        <v>372</v>
      </c>
      <c r="K223" s="25" t="s">
        <v>607</v>
      </c>
      <c r="L223" s="21">
        <v>1</v>
      </c>
      <c r="M223" s="21" t="s">
        <v>704</v>
      </c>
      <c r="N223" s="17">
        <f t="shared" si="22"/>
        <v>1</v>
      </c>
      <c r="O223" s="17">
        <f t="shared" si="23"/>
        <v>0</v>
      </c>
      <c r="P223" s="17">
        <f t="shared" si="24"/>
        <v>0</v>
      </c>
      <c r="Q223" s="17">
        <f t="shared" si="25"/>
        <v>0</v>
      </c>
      <c r="R223" s="17">
        <f t="shared" si="26"/>
        <v>0</v>
      </c>
      <c r="S223" s="25" t="s">
        <v>578</v>
      </c>
    </row>
    <row r="224" spans="2:19" ht="15" customHeight="1">
      <c r="B224" s="25">
        <f t="shared" si="27"/>
        <v>213</v>
      </c>
      <c r="C224" s="25" t="s">
        <v>8</v>
      </c>
      <c r="D224" s="25" t="s">
        <v>8</v>
      </c>
      <c r="E224" s="25" t="s">
        <v>526</v>
      </c>
      <c r="F224" s="25">
        <f t="shared" si="21"/>
        <v>1</v>
      </c>
      <c r="G224" s="27" t="s">
        <v>159</v>
      </c>
      <c r="H224" s="25" t="s">
        <v>180</v>
      </c>
      <c r="I224" s="25" t="s">
        <v>104</v>
      </c>
      <c r="J224" s="26" t="s">
        <v>373</v>
      </c>
      <c r="K224" s="25" t="s">
        <v>627</v>
      </c>
      <c r="L224" s="21">
        <v>1</v>
      </c>
      <c r="M224" s="21">
        <v>1</v>
      </c>
      <c r="N224" s="17">
        <f t="shared" si="22"/>
        <v>1</v>
      </c>
      <c r="O224" s="17">
        <f t="shared" si="23"/>
        <v>0</v>
      </c>
      <c r="P224" s="17">
        <f t="shared" si="24"/>
        <v>0</v>
      </c>
      <c r="Q224" s="17">
        <f t="shared" si="25"/>
        <v>0</v>
      </c>
      <c r="R224" s="17">
        <f t="shared" si="26"/>
        <v>0</v>
      </c>
      <c r="S224" s="25" t="s">
        <v>568</v>
      </c>
    </row>
    <row r="225" spans="2:19" ht="15" hidden="1" customHeight="1">
      <c r="B225" s="25">
        <f t="shared" si="27"/>
        <v>214</v>
      </c>
      <c r="C225" s="25" t="s">
        <v>8</v>
      </c>
      <c r="D225" s="25" t="s">
        <v>8</v>
      </c>
      <c r="E225" s="25" t="s">
        <v>527</v>
      </c>
      <c r="F225" s="25">
        <f t="shared" si="21"/>
        <v>1</v>
      </c>
      <c r="G225" s="27" t="s">
        <v>159</v>
      </c>
      <c r="H225" s="25" t="s">
        <v>181</v>
      </c>
      <c r="I225" s="25" t="s">
        <v>104</v>
      </c>
      <c r="J225" s="28" t="s">
        <v>374</v>
      </c>
      <c r="K225" s="27" t="s">
        <v>652</v>
      </c>
      <c r="L225" s="21">
        <v>2</v>
      </c>
      <c r="M225" s="21"/>
      <c r="N225" s="17">
        <f t="shared" si="22"/>
        <v>0</v>
      </c>
      <c r="O225" s="17">
        <f t="shared" si="23"/>
        <v>1</v>
      </c>
      <c r="P225" s="17">
        <f t="shared" si="24"/>
        <v>0</v>
      </c>
      <c r="Q225" s="17">
        <f t="shared" si="25"/>
        <v>0</v>
      </c>
      <c r="R225" s="17">
        <f t="shared" si="26"/>
        <v>0</v>
      </c>
      <c r="S225" s="25" t="s">
        <v>582</v>
      </c>
    </row>
    <row r="226" spans="2:19" ht="15" hidden="1" customHeight="1">
      <c r="B226" s="25">
        <f t="shared" si="27"/>
        <v>215</v>
      </c>
      <c r="C226" s="25" t="s">
        <v>8</v>
      </c>
      <c r="D226" s="25" t="s">
        <v>8</v>
      </c>
      <c r="E226" s="25" t="s">
        <v>463</v>
      </c>
      <c r="F226" s="25">
        <f t="shared" si="21"/>
        <v>2</v>
      </c>
      <c r="G226" s="27" t="s">
        <v>159</v>
      </c>
      <c r="H226" s="25" t="s">
        <v>100</v>
      </c>
      <c r="I226" s="25" t="s">
        <v>103</v>
      </c>
      <c r="J226" s="26" t="s">
        <v>375</v>
      </c>
      <c r="K226" s="25" t="s">
        <v>375</v>
      </c>
      <c r="L226" s="21">
        <v>2</v>
      </c>
      <c r="M226" s="21"/>
      <c r="N226" s="17">
        <f t="shared" si="22"/>
        <v>0</v>
      </c>
      <c r="O226" s="17">
        <f t="shared" si="23"/>
        <v>2</v>
      </c>
      <c r="P226" s="17">
        <f t="shared" si="24"/>
        <v>0</v>
      </c>
      <c r="Q226" s="17">
        <f t="shared" si="25"/>
        <v>0</v>
      </c>
      <c r="R226" s="17">
        <f t="shared" si="26"/>
        <v>0</v>
      </c>
      <c r="S226" s="25" t="s">
        <v>579</v>
      </c>
    </row>
    <row r="227" spans="2:19" ht="15" hidden="1" customHeight="1">
      <c r="B227" s="25">
        <f t="shared" si="27"/>
        <v>216</v>
      </c>
      <c r="C227" s="25" t="s">
        <v>8</v>
      </c>
      <c r="D227" s="25" t="s">
        <v>8</v>
      </c>
      <c r="E227" s="25" t="s">
        <v>505</v>
      </c>
      <c r="F227" s="25">
        <f t="shared" si="21"/>
        <v>2</v>
      </c>
      <c r="G227" s="27" t="s">
        <v>159</v>
      </c>
      <c r="H227" s="25" t="s">
        <v>182</v>
      </c>
      <c r="I227" s="25" t="s">
        <v>103</v>
      </c>
      <c r="J227" s="26" t="s">
        <v>284</v>
      </c>
      <c r="K227" s="27" t="s">
        <v>653</v>
      </c>
      <c r="L227" s="21">
        <v>3</v>
      </c>
      <c r="M227" s="21"/>
      <c r="N227" s="17">
        <f t="shared" si="22"/>
        <v>0</v>
      </c>
      <c r="O227" s="17">
        <f t="shared" si="23"/>
        <v>0</v>
      </c>
      <c r="P227" s="17">
        <f t="shared" si="24"/>
        <v>2</v>
      </c>
      <c r="Q227" s="17">
        <f t="shared" si="25"/>
        <v>0</v>
      </c>
      <c r="R227" s="17">
        <f t="shared" si="26"/>
        <v>0</v>
      </c>
      <c r="S227" s="25" t="s">
        <v>579</v>
      </c>
    </row>
    <row r="228" spans="2:19" ht="15" hidden="1" customHeight="1">
      <c r="B228" s="25">
        <f t="shared" si="27"/>
        <v>217</v>
      </c>
      <c r="C228" s="25" t="s">
        <v>8</v>
      </c>
      <c r="D228" s="25" t="s">
        <v>8</v>
      </c>
      <c r="E228" s="25" t="s">
        <v>450</v>
      </c>
      <c r="F228" s="25">
        <f t="shared" si="21"/>
        <v>4</v>
      </c>
      <c r="G228" s="27" t="s">
        <v>159</v>
      </c>
      <c r="H228" s="25" t="s">
        <v>183</v>
      </c>
      <c r="I228" s="25" t="s">
        <v>103</v>
      </c>
      <c r="J228" s="26" t="s">
        <v>298</v>
      </c>
      <c r="K228" s="27" t="s">
        <v>625</v>
      </c>
      <c r="L228" s="21">
        <v>3</v>
      </c>
      <c r="M228" s="21"/>
      <c r="N228" s="17">
        <f t="shared" si="22"/>
        <v>0</v>
      </c>
      <c r="O228" s="17">
        <f t="shared" si="23"/>
        <v>0</v>
      </c>
      <c r="P228" s="17">
        <f t="shared" si="24"/>
        <v>4</v>
      </c>
      <c r="Q228" s="17">
        <f t="shared" si="25"/>
        <v>0</v>
      </c>
      <c r="R228" s="17">
        <f t="shared" si="26"/>
        <v>0</v>
      </c>
      <c r="S228" s="25" t="s">
        <v>579</v>
      </c>
    </row>
    <row r="229" spans="2:19" ht="15" hidden="1" customHeight="1">
      <c r="B229" s="25">
        <f t="shared" si="27"/>
        <v>218</v>
      </c>
      <c r="C229" s="25" t="s">
        <v>8</v>
      </c>
      <c r="D229" s="25" t="s">
        <v>8</v>
      </c>
      <c r="E229" s="25" t="s">
        <v>528</v>
      </c>
      <c r="F229" s="25">
        <f t="shared" si="21"/>
        <v>1</v>
      </c>
      <c r="G229" s="27" t="s">
        <v>159</v>
      </c>
      <c r="H229" s="25" t="s">
        <v>184</v>
      </c>
      <c r="I229" s="25" t="s">
        <v>104</v>
      </c>
      <c r="J229" s="26" t="s">
        <v>376</v>
      </c>
      <c r="K229" s="25" t="s">
        <v>607</v>
      </c>
      <c r="L229" s="21">
        <v>5</v>
      </c>
      <c r="M229" s="21"/>
      <c r="N229" s="17">
        <f t="shared" si="22"/>
        <v>0</v>
      </c>
      <c r="O229" s="17">
        <f t="shared" si="23"/>
        <v>0</v>
      </c>
      <c r="P229" s="17">
        <f t="shared" si="24"/>
        <v>0</v>
      </c>
      <c r="Q229" s="17">
        <f t="shared" si="25"/>
        <v>0</v>
      </c>
      <c r="R229" s="17">
        <f t="shared" si="26"/>
        <v>1</v>
      </c>
      <c r="S229" s="25" t="s">
        <v>592</v>
      </c>
    </row>
    <row r="230" spans="2:19" ht="15" hidden="1" customHeight="1">
      <c r="B230" s="25">
        <f t="shared" si="27"/>
        <v>219</v>
      </c>
      <c r="C230" s="25" t="s">
        <v>8</v>
      </c>
      <c r="D230" s="25" t="s">
        <v>8</v>
      </c>
      <c r="E230" s="25" t="s">
        <v>529</v>
      </c>
      <c r="F230" s="25">
        <f t="shared" si="21"/>
        <v>2</v>
      </c>
      <c r="G230" s="27" t="s">
        <v>159</v>
      </c>
      <c r="H230" s="25" t="s">
        <v>185</v>
      </c>
      <c r="I230" s="25" t="s">
        <v>103</v>
      </c>
      <c r="J230" s="26" t="s">
        <v>377</v>
      </c>
      <c r="K230" s="25" t="s">
        <v>654</v>
      </c>
      <c r="L230" s="21">
        <v>5</v>
      </c>
      <c r="M230" s="21"/>
      <c r="N230" s="17">
        <f t="shared" si="22"/>
        <v>0</v>
      </c>
      <c r="O230" s="17">
        <f t="shared" si="23"/>
        <v>1</v>
      </c>
      <c r="P230" s="17">
        <f t="shared" si="24"/>
        <v>0</v>
      </c>
      <c r="Q230" s="17">
        <f t="shared" si="25"/>
        <v>0</v>
      </c>
      <c r="R230" s="17">
        <f t="shared" si="26"/>
        <v>1</v>
      </c>
      <c r="S230" s="25" t="s">
        <v>592</v>
      </c>
    </row>
    <row r="231" spans="2:19" ht="15" hidden="1" customHeight="1">
      <c r="B231" s="25">
        <f t="shared" si="27"/>
        <v>220</v>
      </c>
      <c r="C231" s="25" t="s">
        <v>8</v>
      </c>
      <c r="D231" s="25" t="s">
        <v>8</v>
      </c>
      <c r="E231" s="25" t="s">
        <v>25</v>
      </c>
      <c r="F231" s="25">
        <f t="shared" si="21"/>
        <v>6</v>
      </c>
      <c r="G231" s="27" t="s">
        <v>159</v>
      </c>
      <c r="H231" s="25" t="s">
        <v>15</v>
      </c>
      <c r="I231" s="25" t="s">
        <v>103</v>
      </c>
      <c r="J231" s="26" t="s">
        <v>233</v>
      </c>
      <c r="K231" s="25" t="s">
        <v>233</v>
      </c>
      <c r="L231" s="21">
        <v>2</v>
      </c>
      <c r="M231" s="21"/>
      <c r="N231" s="17">
        <f t="shared" si="22"/>
        <v>0</v>
      </c>
      <c r="O231" s="17">
        <f t="shared" si="23"/>
        <v>6</v>
      </c>
      <c r="P231" s="17">
        <f t="shared" si="24"/>
        <v>0</v>
      </c>
      <c r="Q231" s="17">
        <f t="shared" si="25"/>
        <v>0</v>
      </c>
      <c r="R231" s="17">
        <f t="shared" si="26"/>
        <v>0</v>
      </c>
      <c r="S231" s="25" t="s">
        <v>579</v>
      </c>
    </row>
    <row r="232" spans="2:19" ht="15" hidden="1" customHeight="1">
      <c r="B232" s="17">
        <f t="shared" si="27"/>
        <v>221</v>
      </c>
      <c r="C232" s="17" t="s">
        <v>9</v>
      </c>
      <c r="D232" s="17" t="s">
        <v>9</v>
      </c>
      <c r="E232" s="17" t="s">
        <v>530</v>
      </c>
      <c r="F232" s="17">
        <f t="shared" si="21"/>
        <v>2</v>
      </c>
      <c r="G232" s="20" t="s">
        <v>186</v>
      </c>
      <c r="H232" s="17" t="s">
        <v>187</v>
      </c>
      <c r="I232" s="17" t="s">
        <v>103</v>
      </c>
      <c r="J232" s="22" t="s">
        <v>254</v>
      </c>
      <c r="K232" s="17" t="s">
        <v>254</v>
      </c>
      <c r="L232" s="21">
        <v>2</v>
      </c>
      <c r="M232" s="21"/>
      <c r="N232" s="17">
        <f t="shared" si="22"/>
        <v>0</v>
      </c>
      <c r="O232" s="17">
        <f t="shared" si="23"/>
        <v>2</v>
      </c>
      <c r="P232" s="17">
        <f t="shared" si="24"/>
        <v>0</v>
      </c>
      <c r="Q232" s="17">
        <f t="shared" si="25"/>
        <v>0</v>
      </c>
      <c r="R232" s="17">
        <f t="shared" si="26"/>
        <v>0</v>
      </c>
      <c r="S232" s="17" t="s">
        <v>579</v>
      </c>
    </row>
    <row r="233" spans="2:19" ht="15" hidden="1" customHeight="1">
      <c r="B233" s="17">
        <f t="shared" si="27"/>
        <v>222</v>
      </c>
      <c r="C233" s="17" t="s">
        <v>9</v>
      </c>
      <c r="D233" s="17" t="s">
        <v>9</v>
      </c>
      <c r="E233" s="17" t="s">
        <v>531</v>
      </c>
      <c r="F233" s="17">
        <f t="shared" si="21"/>
        <v>2</v>
      </c>
      <c r="G233" s="20" t="s">
        <v>186</v>
      </c>
      <c r="H233" s="17" t="s">
        <v>188</v>
      </c>
      <c r="I233" s="17" t="s">
        <v>103</v>
      </c>
      <c r="J233" s="22" t="s">
        <v>378</v>
      </c>
      <c r="K233" s="17" t="s">
        <v>378</v>
      </c>
      <c r="L233" s="21">
        <v>2</v>
      </c>
      <c r="M233" s="21"/>
      <c r="N233" s="17">
        <f t="shared" si="22"/>
        <v>0</v>
      </c>
      <c r="O233" s="17">
        <f t="shared" si="23"/>
        <v>2</v>
      </c>
      <c r="P233" s="17">
        <f t="shared" si="24"/>
        <v>0</v>
      </c>
      <c r="Q233" s="17">
        <f t="shared" si="25"/>
        <v>0</v>
      </c>
      <c r="R233" s="17">
        <f t="shared" si="26"/>
        <v>0</v>
      </c>
      <c r="S233" s="17" t="s">
        <v>579</v>
      </c>
    </row>
    <row r="234" spans="2:19" ht="15" hidden="1" customHeight="1">
      <c r="B234" s="17">
        <f t="shared" si="27"/>
        <v>223</v>
      </c>
      <c r="C234" s="17" t="s">
        <v>9</v>
      </c>
      <c r="D234" s="17" t="s">
        <v>9</v>
      </c>
      <c r="E234" s="17" t="s">
        <v>532</v>
      </c>
      <c r="F234" s="17">
        <f t="shared" si="21"/>
        <v>2</v>
      </c>
      <c r="G234" s="20" t="s">
        <v>186</v>
      </c>
      <c r="H234" s="17" t="s">
        <v>189</v>
      </c>
      <c r="I234" s="17" t="s">
        <v>103</v>
      </c>
      <c r="J234" s="22" t="s">
        <v>379</v>
      </c>
      <c r="K234" s="17" t="s">
        <v>379</v>
      </c>
      <c r="L234" s="21">
        <v>2</v>
      </c>
      <c r="M234" s="21"/>
      <c r="N234" s="17">
        <f t="shared" si="22"/>
        <v>0</v>
      </c>
      <c r="O234" s="17">
        <f t="shared" si="23"/>
        <v>2</v>
      </c>
      <c r="P234" s="17">
        <f t="shared" si="24"/>
        <v>0</v>
      </c>
      <c r="Q234" s="17">
        <f t="shared" si="25"/>
        <v>0</v>
      </c>
      <c r="R234" s="17">
        <f t="shared" si="26"/>
        <v>0</v>
      </c>
      <c r="S234" s="17" t="s">
        <v>579</v>
      </c>
    </row>
    <row r="235" spans="2:19" ht="15" hidden="1" customHeight="1">
      <c r="B235" s="17">
        <f t="shared" si="27"/>
        <v>224</v>
      </c>
      <c r="C235" s="17" t="s">
        <v>9</v>
      </c>
      <c r="D235" s="17" t="s">
        <v>9</v>
      </c>
      <c r="E235" s="17" t="s">
        <v>533</v>
      </c>
      <c r="F235" s="17">
        <f t="shared" si="21"/>
        <v>1</v>
      </c>
      <c r="G235" s="20" t="s">
        <v>186</v>
      </c>
      <c r="H235" s="17" t="s">
        <v>190</v>
      </c>
      <c r="I235" s="17" t="s">
        <v>103</v>
      </c>
      <c r="J235" s="37" t="s">
        <v>357</v>
      </c>
      <c r="K235" s="20" t="s">
        <v>646</v>
      </c>
      <c r="L235" s="21">
        <v>2</v>
      </c>
      <c r="M235" s="21"/>
      <c r="N235" s="17">
        <f t="shared" si="22"/>
        <v>0</v>
      </c>
      <c r="O235" s="17">
        <f t="shared" si="23"/>
        <v>1</v>
      </c>
      <c r="P235" s="17">
        <f t="shared" si="24"/>
        <v>0</v>
      </c>
      <c r="Q235" s="17">
        <f t="shared" si="25"/>
        <v>0</v>
      </c>
      <c r="R235" s="17">
        <f t="shared" si="26"/>
        <v>0</v>
      </c>
      <c r="S235" s="17" t="s">
        <v>579</v>
      </c>
    </row>
    <row r="236" spans="2:19" ht="15" hidden="1" customHeight="1">
      <c r="B236" s="17">
        <f t="shared" si="27"/>
        <v>225</v>
      </c>
      <c r="C236" s="17" t="s">
        <v>9</v>
      </c>
      <c r="D236" s="17" t="s">
        <v>9</v>
      </c>
      <c r="E236" s="17" t="s">
        <v>534</v>
      </c>
      <c r="F236" s="17">
        <f t="shared" si="21"/>
        <v>1</v>
      </c>
      <c r="G236" s="20" t="s">
        <v>186</v>
      </c>
      <c r="H236" s="17" t="s">
        <v>191</v>
      </c>
      <c r="I236" s="17" t="s">
        <v>103</v>
      </c>
      <c r="J236" s="22" t="s">
        <v>380</v>
      </c>
      <c r="K236" s="20" t="s">
        <v>647</v>
      </c>
      <c r="L236" s="21">
        <v>3</v>
      </c>
      <c r="M236" s="21"/>
      <c r="N236" s="17">
        <f t="shared" si="22"/>
        <v>0</v>
      </c>
      <c r="O236" s="17">
        <f t="shared" si="23"/>
        <v>0</v>
      </c>
      <c r="P236" s="17">
        <f t="shared" si="24"/>
        <v>1</v>
      </c>
      <c r="Q236" s="17">
        <f t="shared" si="25"/>
        <v>0</v>
      </c>
      <c r="R236" s="17">
        <f t="shared" si="26"/>
        <v>0</v>
      </c>
      <c r="S236" s="17" t="s">
        <v>579</v>
      </c>
    </row>
    <row r="237" spans="2:19" ht="15" hidden="1" customHeight="1">
      <c r="B237" s="17">
        <f t="shared" si="27"/>
        <v>226</v>
      </c>
      <c r="C237" s="17" t="s">
        <v>9</v>
      </c>
      <c r="D237" s="17" t="s">
        <v>9</v>
      </c>
      <c r="E237" s="17" t="s">
        <v>535</v>
      </c>
      <c r="F237" s="17">
        <f t="shared" si="21"/>
        <v>2</v>
      </c>
      <c r="G237" s="20" t="s">
        <v>186</v>
      </c>
      <c r="H237" s="17" t="s">
        <v>192</v>
      </c>
      <c r="I237" s="17" t="s">
        <v>103</v>
      </c>
      <c r="J237" s="22" t="s">
        <v>381</v>
      </c>
      <c r="K237" s="20" t="s">
        <v>655</v>
      </c>
      <c r="L237" s="21">
        <v>3</v>
      </c>
      <c r="M237" s="21"/>
      <c r="N237" s="17">
        <f t="shared" si="22"/>
        <v>0</v>
      </c>
      <c r="O237" s="17">
        <f t="shared" si="23"/>
        <v>0</v>
      </c>
      <c r="P237" s="17">
        <f t="shared" si="24"/>
        <v>2</v>
      </c>
      <c r="Q237" s="17">
        <f t="shared" si="25"/>
        <v>0</v>
      </c>
      <c r="R237" s="17">
        <f t="shared" si="26"/>
        <v>0</v>
      </c>
      <c r="S237" s="17" t="s">
        <v>579</v>
      </c>
    </row>
    <row r="238" spans="2:19" ht="15" hidden="1" customHeight="1">
      <c r="B238" s="17">
        <f t="shared" si="27"/>
        <v>227</v>
      </c>
      <c r="C238" s="17" t="s">
        <v>9</v>
      </c>
      <c r="D238" s="17" t="s">
        <v>9</v>
      </c>
      <c r="E238" s="17" t="s">
        <v>536</v>
      </c>
      <c r="F238" s="17">
        <f t="shared" si="21"/>
        <v>2</v>
      </c>
      <c r="G238" s="20" t="s">
        <v>186</v>
      </c>
      <c r="H238" s="17" t="s">
        <v>193</v>
      </c>
      <c r="I238" s="17" t="s">
        <v>103</v>
      </c>
      <c r="J238" s="22" t="s">
        <v>382</v>
      </c>
      <c r="K238" s="20" t="s">
        <v>656</v>
      </c>
      <c r="L238" s="21">
        <v>3</v>
      </c>
      <c r="M238" s="21"/>
      <c r="N238" s="17">
        <f t="shared" si="22"/>
        <v>0</v>
      </c>
      <c r="O238" s="17">
        <f t="shared" si="23"/>
        <v>0</v>
      </c>
      <c r="P238" s="17">
        <f t="shared" si="24"/>
        <v>2</v>
      </c>
      <c r="Q238" s="17">
        <f t="shared" si="25"/>
        <v>0</v>
      </c>
      <c r="R238" s="17">
        <f t="shared" si="26"/>
        <v>0</v>
      </c>
      <c r="S238" s="17" t="s">
        <v>579</v>
      </c>
    </row>
    <row r="239" spans="2:19" ht="15" hidden="1" customHeight="1">
      <c r="B239" s="17">
        <f t="shared" si="27"/>
        <v>228</v>
      </c>
      <c r="C239" s="17" t="s">
        <v>9</v>
      </c>
      <c r="D239" s="17" t="s">
        <v>9</v>
      </c>
      <c r="E239" s="17" t="s">
        <v>537</v>
      </c>
      <c r="F239" s="17">
        <f t="shared" si="21"/>
        <v>2</v>
      </c>
      <c r="G239" s="20" t="s">
        <v>186</v>
      </c>
      <c r="H239" s="17" t="s">
        <v>194</v>
      </c>
      <c r="I239" s="17" t="s">
        <v>103</v>
      </c>
      <c r="J239" s="22" t="s">
        <v>383</v>
      </c>
      <c r="K239" s="17" t="s">
        <v>383</v>
      </c>
      <c r="L239" s="21">
        <v>2</v>
      </c>
      <c r="M239" s="21"/>
      <c r="N239" s="17">
        <f t="shared" si="22"/>
        <v>0</v>
      </c>
      <c r="O239" s="17">
        <f t="shared" si="23"/>
        <v>2</v>
      </c>
      <c r="P239" s="17">
        <f t="shared" si="24"/>
        <v>0</v>
      </c>
      <c r="Q239" s="17">
        <f t="shared" si="25"/>
        <v>0</v>
      </c>
      <c r="R239" s="17">
        <f t="shared" si="26"/>
        <v>0</v>
      </c>
      <c r="S239" s="17" t="s">
        <v>579</v>
      </c>
    </row>
    <row r="240" spans="2:19" ht="15" hidden="1" customHeight="1">
      <c r="B240" s="17">
        <f t="shared" si="27"/>
        <v>229</v>
      </c>
      <c r="C240" s="17" t="s">
        <v>9</v>
      </c>
      <c r="D240" s="17" t="s">
        <v>9</v>
      </c>
      <c r="E240" s="17" t="s">
        <v>538</v>
      </c>
      <c r="F240" s="17">
        <f t="shared" si="21"/>
        <v>2</v>
      </c>
      <c r="G240" s="20" t="s">
        <v>186</v>
      </c>
      <c r="H240" s="17" t="s">
        <v>195</v>
      </c>
      <c r="I240" s="17" t="s">
        <v>103</v>
      </c>
      <c r="J240" s="22" t="s">
        <v>384</v>
      </c>
      <c r="K240" s="20" t="s">
        <v>657</v>
      </c>
      <c r="L240" s="21">
        <v>5</v>
      </c>
      <c r="M240" s="21"/>
      <c r="N240" s="17">
        <f t="shared" si="22"/>
        <v>0</v>
      </c>
      <c r="O240" s="17">
        <f t="shared" si="23"/>
        <v>0</v>
      </c>
      <c r="P240" s="17">
        <f t="shared" si="24"/>
        <v>0</v>
      </c>
      <c r="Q240" s="17">
        <f t="shared" si="25"/>
        <v>0</v>
      </c>
      <c r="R240" s="17">
        <f t="shared" si="26"/>
        <v>2</v>
      </c>
      <c r="S240" s="17" t="s">
        <v>593</v>
      </c>
    </row>
    <row r="241" spans="2:19" ht="15" hidden="1" customHeight="1">
      <c r="B241" s="17">
        <f t="shared" si="27"/>
        <v>230</v>
      </c>
      <c r="C241" s="17" t="s">
        <v>9</v>
      </c>
      <c r="D241" s="17" t="s">
        <v>9</v>
      </c>
      <c r="E241" s="17" t="s">
        <v>539</v>
      </c>
      <c r="F241" s="17">
        <f t="shared" si="21"/>
        <v>1</v>
      </c>
      <c r="G241" s="20" t="s">
        <v>186</v>
      </c>
      <c r="H241" s="17" t="s">
        <v>196</v>
      </c>
      <c r="I241" s="17" t="s">
        <v>103</v>
      </c>
      <c r="J241" s="22" t="s">
        <v>385</v>
      </c>
      <c r="K241" s="20" t="s">
        <v>658</v>
      </c>
      <c r="L241" s="21">
        <v>3</v>
      </c>
      <c r="M241" s="21"/>
      <c r="N241" s="17">
        <f t="shared" si="22"/>
        <v>0</v>
      </c>
      <c r="O241" s="17">
        <f t="shared" si="23"/>
        <v>0</v>
      </c>
      <c r="P241" s="17">
        <f t="shared" si="24"/>
        <v>1</v>
      </c>
      <c r="Q241" s="17">
        <f t="shared" si="25"/>
        <v>0</v>
      </c>
      <c r="R241" s="17">
        <f t="shared" si="26"/>
        <v>0</v>
      </c>
      <c r="S241" s="17" t="s">
        <v>579</v>
      </c>
    </row>
    <row r="242" spans="2:19" ht="15" hidden="1" customHeight="1">
      <c r="B242" s="17">
        <f t="shared" si="27"/>
        <v>231</v>
      </c>
      <c r="C242" s="17" t="s">
        <v>9</v>
      </c>
      <c r="D242" s="17" t="s">
        <v>9</v>
      </c>
      <c r="E242" s="17" t="s">
        <v>540</v>
      </c>
      <c r="F242" s="17">
        <f t="shared" si="21"/>
        <v>2</v>
      </c>
      <c r="G242" s="20" t="s">
        <v>186</v>
      </c>
      <c r="H242" s="17" t="s">
        <v>197</v>
      </c>
      <c r="I242" s="17" t="s">
        <v>103</v>
      </c>
      <c r="J242" s="22" t="s">
        <v>386</v>
      </c>
      <c r="K242" s="20" t="s">
        <v>659</v>
      </c>
      <c r="L242" s="21">
        <v>2</v>
      </c>
      <c r="M242" s="21"/>
      <c r="N242" s="17">
        <f t="shared" si="22"/>
        <v>0</v>
      </c>
      <c r="O242" s="17">
        <f t="shared" si="23"/>
        <v>2</v>
      </c>
      <c r="P242" s="17">
        <f t="shared" si="24"/>
        <v>0</v>
      </c>
      <c r="Q242" s="17">
        <f t="shared" si="25"/>
        <v>0</v>
      </c>
      <c r="R242" s="17">
        <f t="shared" si="26"/>
        <v>0</v>
      </c>
      <c r="S242" s="17" t="s">
        <v>579</v>
      </c>
    </row>
    <row r="243" spans="2:19" ht="15" hidden="1" customHeight="1">
      <c r="B243" s="17">
        <f t="shared" si="27"/>
        <v>232</v>
      </c>
      <c r="C243" s="17" t="s">
        <v>9</v>
      </c>
      <c r="D243" s="17" t="s">
        <v>9</v>
      </c>
      <c r="E243" s="17" t="s">
        <v>541</v>
      </c>
      <c r="F243" s="17">
        <f t="shared" si="21"/>
        <v>2</v>
      </c>
      <c r="G243" s="20" t="s">
        <v>186</v>
      </c>
      <c r="H243" s="17" t="s">
        <v>198</v>
      </c>
      <c r="I243" s="17" t="s">
        <v>103</v>
      </c>
      <c r="J243" s="37" t="s">
        <v>387</v>
      </c>
      <c r="K243" s="20" t="s">
        <v>660</v>
      </c>
      <c r="L243" s="21">
        <v>2</v>
      </c>
      <c r="M243" s="21"/>
      <c r="N243" s="17">
        <f t="shared" si="22"/>
        <v>0</v>
      </c>
      <c r="O243" s="17">
        <f t="shared" si="23"/>
        <v>1</v>
      </c>
      <c r="P243" s="17">
        <f t="shared" si="24"/>
        <v>1</v>
      </c>
      <c r="Q243" s="17">
        <f t="shared" si="25"/>
        <v>0</v>
      </c>
      <c r="R243" s="17">
        <f t="shared" si="26"/>
        <v>0</v>
      </c>
      <c r="S243" s="17" t="s">
        <v>582</v>
      </c>
    </row>
    <row r="244" spans="2:19" ht="15" hidden="1" customHeight="1">
      <c r="B244" s="17">
        <f t="shared" si="27"/>
        <v>233</v>
      </c>
      <c r="C244" s="17" t="s">
        <v>9</v>
      </c>
      <c r="D244" s="17" t="s">
        <v>9</v>
      </c>
      <c r="E244" s="17" t="s">
        <v>542</v>
      </c>
      <c r="F244" s="17">
        <f t="shared" si="21"/>
        <v>2</v>
      </c>
      <c r="G244" s="20" t="s">
        <v>186</v>
      </c>
      <c r="H244" s="17" t="s">
        <v>199</v>
      </c>
      <c r="I244" s="17" t="s">
        <v>103</v>
      </c>
      <c r="J244" s="37" t="s">
        <v>388</v>
      </c>
      <c r="K244" s="20" t="s">
        <v>661</v>
      </c>
      <c r="L244" s="21">
        <v>2</v>
      </c>
      <c r="M244" s="21"/>
      <c r="N244" s="17">
        <f t="shared" si="22"/>
        <v>0</v>
      </c>
      <c r="O244" s="17">
        <f t="shared" si="23"/>
        <v>1</v>
      </c>
      <c r="P244" s="17">
        <f t="shared" si="24"/>
        <v>0</v>
      </c>
      <c r="Q244" s="17">
        <f t="shared" si="25"/>
        <v>1</v>
      </c>
      <c r="R244" s="17">
        <f t="shared" si="26"/>
        <v>0</v>
      </c>
      <c r="S244" s="17" t="s">
        <v>583</v>
      </c>
    </row>
    <row r="245" spans="2:19" ht="15" hidden="1" customHeight="1">
      <c r="B245" s="17">
        <f t="shared" si="27"/>
        <v>234</v>
      </c>
      <c r="C245" s="17" t="s">
        <v>9</v>
      </c>
      <c r="D245" s="17" t="s">
        <v>9</v>
      </c>
      <c r="E245" s="17" t="s">
        <v>543</v>
      </c>
      <c r="F245" s="17">
        <f t="shared" si="21"/>
        <v>1</v>
      </c>
      <c r="G245" s="20" t="s">
        <v>186</v>
      </c>
      <c r="H245" s="17" t="s">
        <v>200</v>
      </c>
      <c r="I245" s="17" t="s">
        <v>103</v>
      </c>
      <c r="J245" s="22" t="s">
        <v>389</v>
      </c>
      <c r="K245" s="20" t="s">
        <v>662</v>
      </c>
      <c r="L245" s="21">
        <v>3</v>
      </c>
      <c r="M245" s="21"/>
      <c r="N245" s="17">
        <f t="shared" si="22"/>
        <v>0</v>
      </c>
      <c r="O245" s="17">
        <f t="shared" si="23"/>
        <v>0</v>
      </c>
      <c r="P245" s="17">
        <f t="shared" si="24"/>
        <v>1</v>
      </c>
      <c r="Q245" s="17">
        <f t="shared" si="25"/>
        <v>0</v>
      </c>
      <c r="R245" s="17">
        <f t="shared" si="26"/>
        <v>0</v>
      </c>
      <c r="S245" s="17" t="s">
        <v>579</v>
      </c>
    </row>
    <row r="246" spans="2:19" ht="15" hidden="1" customHeight="1">
      <c r="B246" s="17">
        <f t="shared" si="27"/>
        <v>235</v>
      </c>
      <c r="C246" s="17" t="s">
        <v>9</v>
      </c>
      <c r="D246" s="17" t="s">
        <v>9</v>
      </c>
      <c r="E246" s="17" t="s">
        <v>544</v>
      </c>
      <c r="F246" s="17">
        <f t="shared" si="21"/>
        <v>1</v>
      </c>
      <c r="G246" s="20" t="s">
        <v>186</v>
      </c>
      <c r="H246" s="17" t="s">
        <v>201</v>
      </c>
      <c r="I246" s="17" t="s">
        <v>103</v>
      </c>
      <c r="J246" s="22" t="s">
        <v>390</v>
      </c>
      <c r="K246" s="20" t="s">
        <v>663</v>
      </c>
      <c r="L246" s="21">
        <v>3</v>
      </c>
      <c r="M246" s="21"/>
      <c r="N246" s="17">
        <f t="shared" si="22"/>
        <v>0</v>
      </c>
      <c r="O246" s="17">
        <f t="shared" si="23"/>
        <v>0</v>
      </c>
      <c r="P246" s="17">
        <f t="shared" si="24"/>
        <v>1</v>
      </c>
      <c r="Q246" s="17">
        <f t="shared" si="25"/>
        <v>0</v>
      </c>
      <c r="R246" s="17">
        <f t="shared" si="26"/>
        <v>0</v>
      </c>
      <c r="S246" s="17" t="s">
        <v>579</v>
      </c>
    </row>
    <row r="247" spans="2:19" ht="15" hidden="1" customHeight="1">
      <c r="B247" s="17">
        <f t="shared" si="27"/>
        <v>236</v>
      </c>
      <c r="C247" s="17" t="s">
        <v>9</v>
      </c>
      <c r="D247" s="17" t="s">
        <v>9</v>
      </c>
      <c r="E247" s="17" t="s">
        <v>545</v>
      </c>
      <c r="F247" s="17">
        <f t="shared" si="21"/>
        <v>1</v>
      </c>
      <c r="G247" s="20" t="s">
        <v>186</v>
      </c>
      <c r="H247" s="17" t="s">
        <v>202</v>
      </c>
      <c r="I247" s="17" t="s">
        <v>103</v>
      </c>
      <c r="J247" s="22" t="s">
        <v>391</v>
      </c>
      <c r="K247" s="20" t="s">
        <v>664</v>
      </c>
      <c r="L247" s="21">
        <v>3</v>
      </c>
      <c r="M247" s="21"/>
      <c r="N247" s="17">
        <f t="shared" si="22"/>
        <v>0</v>
      </c>
      <c r="O247" s="17">
        <f t="shared" si="23"/>
        <v>0</v>
      </c>
      <c r="P247" s="17">
        <f t="shared" si="24"/>
        <v>1</v>
      </c>
      <c r="Q247" s="17">
        <f t="shared" si="25"/>
        <v>0</v>
      </c>
      <c r="R247" s="17">
        <f t="shared" si="26"/>
        <v>0</v>
      </c>
      <c r="S247" s="17" t="s">
        <v>579</v>
      </c>
    </row>
    <row r="248" spans="2:19" ht="15" hidden="1" customHeight="1">
      <c r="B248" s="17">
        <f t="shared" si="27"/>
        <v>237</v>
      </c>
      <c r="C248" s="17" t="s">
        <v>9</v>
      </c>
      <c r="D248" s="17" t="s">
        <v>9</v>
      </c>
      <c r="E248" s="17" t="s">
        <v>546</v>
      </c>
      <c r="F248" s="17">
        <f t="shared" si="21"/>
        <v>1</v>
      </c>
      <c r="G248" s="20" t="s">
        <v>186</v>
      </c>
      <c r="H248" s="17" t="s">
        <v>203</v>
      </c>
      <c r="I248" s="17" t="s">
        <v>103</v>
      </c>
      <c r="J248" s="22" t="s">
        <v>392</v>
      </c>
      <c r="K248" s="20" t="s">
        <v>665</v>
      </c>
      <c r="L248" s="21">
        <v>3</v>
      </c>
      <c r="M248" s="21"/>
      <c r="N248" s="17">
        <f t="shared" si="22"/>
        <v>0</v>
      </c>
      <c r="O248" s="17">
        <f t="shared" si="23"/>
        <v>0</v>
      </c>
      <c r="P248" s="17">
        <f t="shared" si="24"/>
        <v>1</v>
      </c>
      <c r="Q248" s="17">
        <f t="shared" si="25"/>
        <v>0</v>
      </c>
      <c r="R248" s="17">
        <f t="shared" si="26"/>
        <v>0</v>
      </c>
      <c r="S248" s="17" t="s">
        <v>579</v>
      </c>
    </row>
    <row r="249" spans="2:19" ht="15" hidden="1" customHeight="1">
      <c r="B249" s="17">
        <f t="shared" si="27"/>
        <v>238</v>
      </c>
      <c r="C249" s="17" t="s">
        <v>9</v>
      </c>
      <c r="D249" s="17" t="s">
        <v>9</v>
      </c>
      <c r="E249" s="17" t="s">
        <v>547</v>
      </c>
      <c r="F249" s="17">
        <f t="shared" si="21"/>
        <v>1</v>
      </c>
      <c r="G249" s="20" t="s">
        <v>186</v>
      </c>
      <c r="H249" s="17" t="s">
        <v>204</v>
      </c>
      <c r="I249" s="17" t="s">
        <v>103</v>
      </c>
      <c r="J249" s="22" t="s">
        <v>262</v>
      </c>
      <c r="K249" s="17" t="s">
        <v>262</v>
      </c>
      <c r="L249" s="21">
        <v>2</v>
      </c>
      <c r="M249" s="21"/>
      <c r="N249" s="17">
        <f t="shared" si="22"/>
        <v>0</v>
      </c>
      <c r="O249" s="17">
        <f t="shared" si="23"/>
        <v>1</v>
      </c>
      <c r="P249" s="17">
        <f t="shared" si="24"/>
        <v>0</v>
      </c>
      <c r="Q249" s="17">
        <f t="shared" si="25"/>
        <v>0</v>
      </c>
      <c r="R249" s="17">
        <f t="shared" si="26"/>
        <v>0</v>
      </c>
      <c r="S249" s="17" t="s">
        <v>579</v>
      </c>
    </row>
    <row r="250" spans="2:19" ht="15" hidden="1" customHeight="1">
      <c r="B250" s="17">
        <f t="shared" si="27"/>
        <v>239</v>
      </c>
      <c r="C250" s="17" t="s">
        <v>9</v>
      </c>
      <c r="D250" s="17" t="s">
        <v>9</v>
      </c>
      <c r="E250" s="17" t="s">
        <v>433</v>
      </c>
      <c r="F250" s="17">
        <f t="shared" si="21"/>
        <v>3</v>
      </c>
      <c r="G250" s="20" t="s">
        <v>186</v>
      </c>
      <c r="H250" s="17" t="s">
        <v>205</v>
      </c>
      <c r="I250" s="17" t="s">
        <v>103</v>
      </c>
      <c r="J250" s="22" t="s">
        <v>268</v>
      </c>
      <c r="K250" s="17" t="s">
        <v>268</v>
      </c>
      <c r="L250" s="21">
        <v>2</v>
      </c>
      <c r="M250" s="21"/>
      <c r="N250" s="17">
        <f t="shared" si="22"/>
        <v>0</v>
      </c>
      <c r="O250" s="17">
        <f t="shared" si="23"/>
        <v>3</v>
      </c>
      <c r="P250" s="17">
        <f t="shared" si="24"/>
        <v>0</v>
      </c>
      <c r="Q250" s="17">
        <f t="shared" si="25"/>
        <v>0</v>
      </c>
      <c r="R250" s="17">
        <f t="shared" si="26"/>
        <v>0</v>
      </c>
      <c r="S250" s="17" t="s">
        <v>579</v>
      </c>
    </row>
    <row r="251" spans="2:19" ht="15" hidden="1" customHeight="1">
      <c r="B251" s="17">
        <f t="shared" si="27"/>
        <v>240</v>
      </c>
      <c r="C251" s="17" t="s">
        <v>9</v>
      </c>
      <c r="D251" s="17" t="s">
        <v>9</v>
      </c>
      <c r="E251" s="17" t="s">
        <v>548</v>
      </c>
      <c r="F251" s="17">
        <f t="shared" si="21"/>
        <v>1</v>
      </c>
      <c r="G251" s="20" t="s">
        <v>186</v>
      </c>
      <c r="H251" s="17" t="s">
        <v>206</v>
      </c>
      <c r="I251" s="17" t="s">
        <v>103</v>
      </c>
      <c r="J251" s="22" t="s">
        <v>393</v>
      </c>
      <c r="K251" s="20" t="s">
        <v>666</v>
      </c>
      <c r="L251" s="21">
        <v>4</v>
      </c>
      <c r="M251" s="21"/>
      <c r="N251" s="17">
        <f t="shared" si="22"/>
        <v>0</v>
      </c>
      <c r="O251" s="17">
        <f t="shared" si="23"/>
        <v>0</v>
      </c>
      <c r="P251" s="17">
        <f t="shared" si="24"/>
        <v>0</v>
      </c>
      <c r="Q251" s="17">
        <f t="shared" si="25"/>
        <v>1</v>
      </c>
      <c r="R251" s="17">
        <f t="shared" si="26"/>
        <v>0</v>
      </c>
      <c r="S251" s="17" t="s">
        <v>590</v>
      </c>
    </row>
    <row r="252" spans="2:19" ht="15" hidden="1" customHeight="1">
      <c r="B252" s="17">
        <f t="shared" si="27"/>
        <v>241</v>
      </c>
      <c r="C252" s="17" t="s">
        <v>9</v>
      </c>
      <c r="D252" s="17" t="s">
        <v>9</v>
      </c>
      <c r="E252" s="17" t="s">
        <v>549</v>
      </c>
      <c r="F252" s="17">
        <f t="shared" si="21"/>
        <v>1</v>
      </c>
      <c r="G252" s="20" t="s">
        <v>186</v>
      </c>
      <c r="H252" s="17" t="s">
        <v>207</v>
      </c>
      <c r="I252" s="17" t="s">
        <v>103</v>
      </c>
      <c r="J252" s="22" t="s">
        <v>394</v>
      </c>
      <c r="K252" s="20" t="s">
        <v>667</v>
      </c>
      <c r="L252" s="21">
        <v>4</v>
      </c>
      <c r="M252" s="21"/>
      <c r="N252" s="17">
        <f t="shared" si="22"/>
        <v>0</v>
      </c>
      <c r="O252" s="17">
        <f t="shared" si="23"/>
        <v>0</v>
      </c>
      <c r="P252" s="17">
        <f t="shared" si="24"/>
        <v>0</v>
      </c>
      <c r="Q252" s="17">
        <f t="shared" si="25"/>
        <v>1</v>
      </c>
      <c r="R252" s="17">
        <f t="shared" si="26"/>
        <v>0</v>
      </c>
      <c r="S252" s="17" t="s">
        <v>590</v>
      </c>
    </row>
    <row r="253" spans="2:19" ht="15" hidden="1" customHeight="1">
      <c r="B253" s="17">
        <f t="shared" si="27"/>
        <v>242</v>
      </c>
      <c r="C253" s="17" t="s">
        <v>9</v>
      </c>
      <c r="D253" s="17" t="s">
        <v>9</v>
      </c>
      <c r="E253" s="17" t="s">
        <v>550</v>
      </c>
      <c r="F253" s="17">
        <f t="shared" si="21"/>
        <v>1</v>
      </c>
      <c r="G253" s="20" t="s">
        <v>186</v>
      </c>
      <c r="H253" s="17" t="s">
        <v>208</v>
      </c>
      <c r="I253" s="17" t="s">
        <v>104</v>
      </c>
      <c r="J253" s="22" t="s">
        <v>395</v>
      </c>
      <c r="K253" s="17" t="s">
        <v>607</v>
      </c>
      <c r="L253" s="21">
        <v>5</v>
      </c>
      <c r="M253" s="21"/>
      <c r="N253" s="17">
        <f t="shared" si="22"/>
        <v>0</v>
      </c>
      <c r="O253" s="17">
        <f t="shared" si="23"/>
        <v>0</v>
      </c>
      <c r="P253" s="17">
        <f t="shared" si="24"/>
        <v>0</v>
      </c>
      <c r="Q253" s="17">
        <f t="shared" si="25"/>
        <v>0</v>
      </c>
      <c r="R253" s="17">
        <f t="shared" si="26"/>
        <v>1</v>
      </c>
      <c r="S253" s="17" t="s">
        <v>592</v>
      </c>
    </row>
    <row r="254" spans="2:19" ht="15" hidden="1" customHeight="1">
      <c r="B254" s="17">
        <f t="shared" si="27"/>
        <v>243</v>
      </c>
      <c r="C254" s="17" t="s">
        <v>9</v>
      </c>
      <c r="D254" s="17" t="s">
        <v>9</v>
      </c>
      <c r="E254" s="17" t="s">
        <v>551</v>
      </c>
      <c r="F254" s="17">
        <f t="shared" si="21"/>
        <v>1</v>
      </c>
      <c r="G254" s="20" t="s">
        <v>186</v>
      </c>
      <c r="H254" s="17" t="s">
        <v>209</v>
      </c>
      <c r="I254" s="17" t="s">
        <v>103</v>
      </c>
      <c r="J254" s="37" t="s">
        <v>396</v>
      </c>
      <c r="K254" s="20" t="s">
        <v>668</v>
      </c>
      <c r="L254" s="21">
        <v>2</v>
      </c>
      <c r="M254" s="21"/>
      <c r="N254" s="17">
        <f t="shared" si="22"/>
        <v>0</v>
      </c>
      <c r="O254" s="17">
        <f t="shared" si="23"/>
        <v>1</v>
      </c>
      <c r="P254" s="17">
        <f t="shared" si="24"/>
        <v>0</v>
      </c>
      <c r="Q254" s="17">
        <f t="shared" si="25"/>
        <v>0</v>
      </c>
      <c r="R254" s="17">
        <f t="shared" si="26"/>
        <v>0</v>
      </c>
      <c r="S254" s="17" t="s">
        <v>579</v>
      </c>
    </row>
    <row r="255" spans="2:19" ht="15" hidden="1" customHeight="1">
      <c r="B255" s="17">
        <f t="shared" si="27"/>
        <v>244</v>
      </c>
      <c r="C255" s="17" t="s">
        <v>9</v>
      </c>
      <c r="D255" s="17" t="s">
        <v>9</v>
      </c>
      <c r="E255" s="17" t="s">
        <v>552</v>
      </c>
      <c r="F255" s="17">
        <f t="shared" si="21"/>
        <v>1</v>
      </c>
      <c r="G255" s="20" t="s">
        <v>186</v>
      </c>
      <c r="H255" s="17" t="s">
        <v>210</v>
      </c>
      <c r="I255" s="17" t="s">
        <v>103</v>
      </c>
      <c r="J255" s="22" t="s">
        <v>397</v>
      </c>
      <c r="K255" s="20" t="s">
        <v>669</v>
      </c>
      <c r="L255" s="21">
        <v>3</v>
      </c>
      <c r="M255" s="21"/>
      <c r="N255" s="17">
        <f t="shared" si="22"/>
        <v>0</v>
      </c>
      <c r="O255" s="17">
        <f t="shared" si="23"/>
        <v>0</v>
      </c>
      <c r="P255" s="17">
        <f t="shared" si="24"/>
        <v>1</v>
      </c>
      <c r="Q255" s="17">
        <f t="shared" si="25"/>
        <v>0</v>
      </c>
      <c r="R255" s="17">
        <f t="shared" si="26"/>
        <v>0</v>
      </c>
      <c r="S255" s="17" t="s">
        <v>579</v>
      </c>
    </row>
    <row r="256" spans="2:19" ht="15" hidden="1" customHeight="1">
      <c r="B256" s="17">
        <f t="shared" si="27"/>
        <v>245</v>
      </c>
      <c r="C256" s="17" t="s">
        <v>9</v>
      </c>
      <c r="D256" s="17" t="s">
        <v>9</v>
      </c>
      <c r="E256" s="17" t="s">
        <v>553</v>
      </c>
      <c r="F256" s="17">
        <f t="shared" si="21"/>
        <v>1</v>
      </c>
      <c r="G256" s="20" t="s">
        <v>186</v>
      </c>
      <c r="H256" s="17" t="s">
        <v>211</v>
      </c>
      <c r="I256" s="17" t="s">
        <v>103</v>
      </c>
      <c r="J256" s="22" t="s">
        <v>270</v>
      </c>
      <c r="K256" s="20" t="s">
        <v>670</v>
      </c>
      <c r="L256" s="21">
        <v>3</v>
      </c>
      <c r="M256" s="21"/>
      <c r="N256" s="17">
        <f t="shared" si="22"/>
        <v>0</v>
      </c>
      <c r="O256" s="17">
        <f t="shared" si="23"/>
        <v>0</v>
      </c>
      <c r="P256" s="17">
        <f t="shared" si="24"/>
        <v>1</v>
      </c>
      <c r="Q256" s="17">
        <f t="shared" si="25"/>
        <v>0</v>
      </c>
      <c r="R256" s="17">
        <f t="shared" si="26"/>
        <v>0</v>
      </c>
      <c r="S256" s="17" t="s">
        <v>579</v>
      </c>
    </row>
    <row r="257" spans="2:19" ht="15" hidden="1" customHeight="1">
      <c r="B257" s="17">
        <f t="shared" si="27"/>
        <v>246</v>
      </c>
      <c r="C257" s="17" t="s">
        <v>9</v>
      </c>
      <c r="D257" s="17" t="s">
        <v>9</v>
      </c>
      <c r="E257" s="17" t="s">
        <v>554</v>
      </c>
      <c r="F257" s="17">
        <f t="shared" si="21"/>
        <v>1</v>
      </c>
      <c r="G257" s="20" t="s">
        <v>186</v>
      </c>
      <c r="H257" s="17" t="s">
        <v>212</v>
      </c>
      <c r="I257" s="17" t="s">
        <v>103</v>
      </c>
      <c r="J257" s="22" t="s">
        <v>398</v>
      </c>
      <c r="K257" s="20" t="s">
        <v>671</v>
      </c>
      <c r="L257" s="21">
        <v>2</v>
      </c>
      <c r="M257" s="21"/>
      <c r="N257" s="17">
        <f t="shared" si="22"/>
        <v>0</v>
      </c>
      <c r="O257" s="17">
        <f t="shared" si="23"/>
        <v>1</v>
      </c>
      <c r="P257" s="17">
        <f t="shared" si="24"/>
        <v>0</v>
      </c>
      <c r="Q257" s="17">
        <f t="shared" si="25"/>
        <v>0</v>
      </c>
      <c r="R257" s="17">
        <f t="shared" si="26"/>
        <v>0</v>
      </c>
      <c r="S257" s="17" t="s">
        <v>579</v>
      </c>
    </row>
    <row r="258" spans="2:19" ht="15" hidden="1" customHeight="1">
      <c r="B258" s="17">
        <f t="shared" si="27"/>
        <v>247</v>
      </c>
      <c r="C258" s="17" t="s">
        <v>9</v>
      </c>
      <c r="D258" s="17" t="s">
        <v>9</v>
      </c>
      <c r="E258" s="17" t="s">
        <v>555</v>
      </c>
      <c r="F258" s="17">
        <f t="shared" si="21"/>
        <v>1</v>
      </c>
      <c r="G258" s="20" t="s">
        <v>186</v>
      </c>
      <c r="H258" s="17" t="s">
        <v>213</v>
      </c>
      <c r="I258" s="17" t="s">
        <v>103</v>
      </c>
      <c r="J258" s="22" t="s">
        <v>399</v>
      </c>
      <c r="K258" s="17" t="s">
        <v>399</v>
      </c>
      <c r="L258" s="21">
        <v>2</v>
      </c>
      <c r="M258" s="21"/>
      <c r="N258" s="17">
        <f t="shared" si="22"/>
        <v>0</v>
      </c>
      <c r="O258" s="17">
        <f t="shared" si="23"/>
        <v>1</v>
      </c>
      <c r="P258" s="17">
        <f t="shared" si="24"/>
        <v>0</v>
      </c>
      <c r="Q258" s="17">
        <f t="shared" si="25"/>
        <v>0</v>
      </c>
      <c r="R258" s="17">
        <f t="shared" si="26"/>
        <v>0</v>
      </c>
      <c r="S258" s="17" t="s">
        <v>579</v>
      </c>
    </row>
    <row r="259" spans="2:19" ht="15" hidden="1" customHeight="1">
      <c r="B259" s="17">
        <f t="shared" si="27"/>
        <v>248</v>
      </c>
      <c r="C259" s="17" t="s">
        <v>9</v>
      </c>
      <c r="D259" s="17" t="s">
        <v>9</v>
      </c>
      <c r="E259" s="17" t="s">
        <v>436</v>
      </c>
      <c r="F259" s="17">
        <f t="shared" si="21"/>
        <v>2</v>
      </c>
      <c r="G259" s="20" t="s">
        <v>186</v>
      </c>
      <c r="H259" s="17" t="s">
        <v>73</v>
      </c>
      <c r="I259" s="17" t="s">
        <v>103</v>
      </c>
      <c r="J259" s="22" t="s">
        <v>400</v>
      </c>
      <c r="K259" s="17" t="s">
        <v>400</v>
      </c>
      <c r="L259" s="21">
        <v>2</v>
      </c>
      <c r="M259" s="21"/>
      <c r="N259" s="17">
        <f t="shared" si="22"/>
        <v>0</v>
      </c>
      <c r="O259" s="17">
        <f t="shared" si="23"/>
        <v>1</v>
      </c>
      <c r="P259" s="17">
        <f t="shared" si="24"/>
        <v>1</v>
      </c>
      <c r="Q259" s="17">
        <f t="shared" si="25"/>
        <v>0</v>
      </c>
      <c r="R259" s="17">
        <f t="shared" si="26"/>
        <v>0</v>
      </c>
      <c r="S259" s="17" t="s">
        <v>579</v>
      </c>
    </row>
    <row r="260" spans="2:19" ht="15" hidden="1" customHeight="1">
      <c r="B260" s="17">
        <f t="shared" si="27"/>
        <v>249</v>
      </c>
      <c r="C260" s="17" t="s">
        <v>9</v>
      </c>
      <c r="D260" s="17" t="s">
        <v>9</v>
      </c>
      <c r="E260" s="17" t="s">
        <v>556</v>
      </c>
      <c r="F260" s="17">
        <f t="shared" si="21"/>
        <v>1</v>
      </c>
      <c r="G260" s="20" t="s">
        <v>186</v>
      </c>
      <c r="H260" s="17" t="s">
        <v>214</v>
      </c>
      <c r="I260" s="17" t="s">
        <v>103</v>
      </c>
      <c r="J260" s="22" t="s">
        <v>401</v>
      </c>
      <c r="K260" s="20" t="s">
        <v>672</v>
      </c>
      <c r="L260" s="21">
        <v>2</v>
      </c>
      <c r="M260" s="21"/>
      <c r="N260" s="17">
        <f t="shared" si="22"/>
        <v>0</v>
      </c>
      <c r="O260" s="17">
        <f t="shared" si="23"/>
        <v>1</v>
      </c>
      <c r="P260" s="17">
        <f t="shared" si="24"/>
        <v>0</v>
      </c>
      <c r="Q260" s="17">
        <f t="shared" si="25"/>
        <v>0</v>
      </c>
      <c r="R260" s="17">
        <f t="shared" si="26"/>
        <v>0</v>
      </c>
      <c r="S260" s="17" t="s">
        <v>579</v>
      </c>
    </row>
    <row r="261" spans="2:19" ht="15" hidden="1" customHeight="1">
      <c r="B261" s="17">
        <f t="shared" si="27"/>
        <v>250</v>
      </c>
      <c r="C261" s="17" t="s">
        <v>9</v>
      </c>
      <c r="D261" s="17" t="s">
        <v>9</v>
      </c>
      <c r="E261" s="17" t="s">
        <v>557</v>
      </c>
      <c r="F261" s="17">
        <f t="shared" si="21"/>
        <v>1</v>
      </c>
      <c r="G261" s="20" t="s">
        <v>186</v>
      </c>
      <c r="H261" s="17" t="s">
        <v>215</v>
      </c>
      <c r="I261" s="17" t="s">
        <v>103</v>
      </c>
      <c r="J261" s="22" t="s">
        <v>261</v>
      </c>
      <c r="K261" s="17" t="s">
        <v>261</v>
      </c>
      <c r="L261" s="21">
        <v>2</v>
      </c>
      <c r="M261" s="21"/>
      <c r="N261" s="17">
        <f t="shared" si="22"/>
        <v>0</v>
      </c>
      <c r="O261" s="17">
        <f t="shared" si="23"/>
        <v>1</v>
      </c>
      <c r="P261" s="17">
        <f t="shared" si="24"/>
        <v>0</v>
      </c>
      <c r="Q261" s="17">
        <f t="shared" si="25"/>
        <v>0</v>
      </c>
      <c r="R261" s="17">
        <f t="shared" si="26"/>
        <v>0</v>
      </c>
      <c r="S261" s="17" t="s">
        <v>579</v>
      </c>
    </row>
    <row r="262" spans="2:19" ht="15" hidden="1" customHeight="1">
      <c r="B262" s="17">
        <f t="shared" si="27"/>
        <v>251</v>
      </c>
      <c r="C262" s="17" t="s">
        <v>9</v>
      </c>
      <c r="D262" s="17" t="s">
        <v>9</v>
      </c>
      <c r="E262" s="17" t="s">
        <v>558</v>
      </c>
      <c r="F262" s="17">
        <f t="shared" si="21"/>
        <v>1</v>
      </c>
      <c r="G262" s="20" t="s">
        <v>186</v>
      </c>
      <c r="H262" s="17" t="s">
        <v>216</v>
      </c>
      <c r="I262" s="17" t="s">
        <v>103</v>
      </c>
      <c r="J262" s="37" t="s">
        <v>402</v>
      </c>
      <c r="K262" s="20" t="s">
        <v>673</v>
      </c>
      <c r="L262" s="21">
        <v>2</v>
      </c>
      <c r="M262" s="21"/>
      <c r="N262" s="17">
        <f t="shared" si="22"/>
        <v>0</v>
      </c>
      <c r="O262" s="17">
        <f t="shared" si="23"/>
        <v>1</v>
      </c>
      <c r="P262" s="17">
        <f t="shared" si="24"/>
        <v>0</v>
      </c>
      <c r="Q262" s="17">
        <f t="shared" si="25"/>
        <v>0</v>
      </c>
      <c r="R262" s="17">
        <f t="shared" si="26"/>
        <v>0</v>
      </c>
      <c r="S262" s="17" t="s">
        <v>579</v>
      </c>
    </row>
    <row r="263" spans="2:19" ht="15" hidden="1" customHeight="1">
      <c r="B263" s="17">
        <f t="shared" si="27"/>
        <v>252</v>
      </c>
      <c r="C263" s="17" t="s">
        <v>9</v>
      </c>
      <c r="D263" s="17" t="s">
        <v>9</v>
      </c>
      <c r="E263" s="17" t="s">
        <v>456</v>
      </c>
      <c r="F263" s="17">
        <f t="shared" si="21"/>
        <v>2</v>
      </c>
      <c r="G263" s="20" t="s">
        <v>186</v>
      </c>
      <c r="H263" s="17" t="s">
        <v>93</v>
      </c>
      <c r="I263" s="17" t="s">
        <v>103</v>
      </c>
      <c r="J263" s="22" t="s">
        <v>290</v>
      </c>
      <c r="K263" s="20" t="s">
        <v>622</v>
      </c>
      <c r="L263" s="21">
        <v>3</v>
      </c>
      <c r="M263" s="21"/>
      <c r="N263" s="17">
        <f t="shared" si="22"/>
        <v>0</v>
      </c>
      <c r="O263" s="17">
        <f t="shared" si="23"/>
        <v>0</v>
      </c>
      <c r="P263" s="17">
        <f t="shared" si="24"/>
        <v>2</v>
      </c>
      <c r="Q263" s="17">
        <f t="shared" si="25"/>
        <v>0</v>
      </c>
      <c r="R263" s="17">
        <f t="shared" si="26"/>
        <v>0</v>
      </c>
      <c r="S263" s="17" t="s">
        <v>579</v>
      </c>
    </row>
    <row r="264" spans="2:19" ht="15" hidden="1" customHeight="1">
      <c r="B264" s="17">
        <f t="shared" si="27"/>
        <v>253</v>
      </c>
      <c r="C264" s="17" t="s">
        <v>9</v>
      </c>
      <c r="D264" s="17" t="s">
        <v>9</v>
      </c>
      <c r="E264" s="17" t="s">
        <v>559</v>
      </c>
      <c r="F264" s="17">
        <f t="shared" si="21"/>
        <v>1</v>
      </c>
      <c r="G264" s="20" t="s">
        <v>186</v>
      </c>
      <c r="H264" s="17" t="s">
        <v>217</v>
      </c>
      <c r="I264" s="17" t="s">
        <v>103</v>
      </c>
      <c r="J264" s="22" t="s">
        <v>403</v>
      </c>
      <c r="K264" s="20" t="s">
        <v>674</v>
      </c>
      <c r="L264" s="21">
        <v>2</v>
      </c>
      <c r="M264" s="21"/>
      <c r="N264" s="17">
        <f t="shared" si="22"/>
        <v>0</v>
      </c>
      <c r="O264" s="17">
        <f t="shared" si="23"/>
        <v>1</v>
      </c>
      <c r="P264" s="17">
        <f t="shared" si="24"/>
        <v>0</v>
      </c>
      <c r="Q264" s="17">
        <f t="shared" si="25"/>
        <v>0</v>
      </c>
      <c r="R264" s="17">
        <f t="shared" si="26"/>
        <v>0</v>
      </c>
      <c r="S264" s="17" t="s">
        <v>581</v>
      </c>
    </row>
    <row r="265" spans="2:19" ht="15" hidden="1" customHeight="1">
      <c r="B265" s="17">
        <f t="shared" si="27"/>
        <v>254</v>
      </c>
      <c r="C265" s="17" t="s">
        <v>9</v>
      </c>
      <c r="D265" s="17" t="s">
        <v>9</v>
      </c>
      <c r="E265" s="17" t="s">
        <v>560</v>
      </c>
      <c r="F265" s="17">
        <f t="shared" si="21"/>
        <v>2</v>
      </c>
      <c r="G265" s="20" t="s">
        <v>186</v>
      </c>
      <c r="H265" s="17" t="s">
        <v>218</v>
      </c>
      <c r="I265" s="17" t="s">
        <v>103</v>
      </c>
      <c r="J265" s="22" t="s">
        <v>404</v>
      </c>
      <c r="K265" s="20" t="s">
        <v>675</v>
      </c>
      <c r="L265" s="21">
        <v>2</v>
      </c>
      <c r="M265" s="21"/>
      <c r="N265" s="17">
        <f t="shared" si="22"/>
        <v>0</v>
      </c>
      <c r="O265" s="17">
        <f t="shared" si="23"/>
        <v>1</v>
      </c>
      <c r="P265" s="17">
        <f t="shared" si="24"/>
        <v>0</v>
      </c>
      <c r="Q265" s="17">
        <f t="shared" si="25"/>
        <v>1</v>
      </c>
      <c r="R265" s="17">
        <f t="shared" si="26"/>
        <v>0</v>
      </c>
      <c r="S265" s="17" t="s">
        <v>581</v>
      </c>
    </row>
    <row r="266" spans="2:19" ht="15" hidden="1" customHeight="1">
      <c r="B266" s="17">
        <f t="shared" si="27"/>
        <v>255</v>
      </c>
      <c r="C266" s="17" t="s">
        <v>9</v>
      </c>
      <c r="D266" s="17" t="s">
        <v>9</v>
      </c>
      <c r="E266" s="17" t="s">
        <v>561</v>
      </c>
      <c r="F266" s="17">
        <f t="shared" si="21"/>
        <v>1</v>
      </c>
      <c r="G266" s="20" t="s">
        <v>186</v>
      </c>
      <c r="H266" s="17" t="s">
        <v>219</v>
      </c>
      <c r="I266" s="17" t="s">
        <v>103</v>
      </c>
      <c r="J266" s="22" t="s">
        <v>405</v>
      </c>
      <c r="K266" s="20" t="s">
        <v>676</v>
      </c>
      <c r="L266" s="21">
        <v>3</v>
      </c>
      <c r="M266" s="21"/>
      <c r="N266" s="17">
        <f t="shared" si="22"/>
        <v>0</v>
      </c>
      <c r="O266" s="17">
        <f t="shared" si="23"/>
        <v>0</v>
      </c>
      <c r="P266" s="17">
        <f t="shared" si="24"/>
        <v>1</v>
      </c>
      <c r="Q266" s="17">
        <f t="shared" si="25"/>
        <v>0</v>
      </c>
      <c r="R266" s="17">
        <f t="shared" si="26"/>
        <v>0</v>
      </c>
      <c r="S266" s="17" t="s">
        <v>579</v>
      </c>
    </row>
    <row r="267" spans="2:19" ht="15" hidden="1" customHeight="1">
      <c r="B267" s="17">
        <f t="shared" si="27"/>
        <v>256</v>
      </c>
      <c r="C267" s="17" t="s">
        <v>9</v>
      </c>
      <c r="D267" s="17" t="s">
        <v>9</v>
      </c>
      <c r="E267" s="17" t="s">
        <v>450</v>
      </c>
      <c r="F267" s="17">
        <f t="shared" si="21"/>
        <v>4</v>
      </c>
      <c r="G267" s="20" t="s">
        <v>186</v>
      </c>
      <c r="H267" s="17" t="s">
        <v>220</v>
      </c>
      <c r="I267" s="17" t="s">
        <v>103</v>
      </c>
      <c r="J267" s="22" t="s">
        <v>284</v>
      </c>
      <c r="K267" s="20" t="s">
        <v>653</v>
      </c>
      <c r="L267" s="21">
        <v>3</v>
      </c>
      <c r="M267" s="21"/>
      <c r="N267" s="17">
        <f t="shared" si="22"/>
        <v>0</v>
      </c>
      <c r="O267" s="17">
        <f t="shared" si="23"/>
        <v>0</v>
      </c>
      <c r="P267" s="17">
        <f t="shared" si="24"/>
        <v>4</v>
      </c>
      <c r="Q267" s="17">
        <f t="shared" si="25"/>
        <v>0</v>
      </c>
      <c r="R267" s="17">
        <f t="shared" si="26"/>
        <v>0</v>
      </c>
      <c r="S267" s="17" t="s">
        <v>579</v>
      </c>
    </row>
    <row r="268" spans="2:19" ht="15" hidden="1" customHeight="1">
      <c r="B268" s="17">
        <f t="shared" si="27"/>
        <v>257</v>
      </c>
      <c r="C268" s="17" t="s">
        <v>9</v>
      </c>
      <c r="D268" s="17" t="s">
        <v>9</v>
      </c>
      <c r="E268" s="17" t="s">
        <v>562</v>
      </c>
      <c r="F268" s="17">
        <f t="shared" ref="F268:F289" si="28">+COUNTIFS($E$12:$E$289,E268)</f>
        <v>1</v>
      </c>
      <c r="G268" s="20" t="s">
        <v>186</v>
      </c>
      <c r="H268" s="17" t="s">
        <v>94</v>
      </c>
      <c r="I268" s="17" t="s">
        <v>103</v>
      </c>
      <c r="J268" s="22" t="s">
        <v>291</v>
      </c>
      <c r="K268" s="20" t="s">
        <v>623</v>
      </c>
      <c r="L268" s="21">
        <v>3</v>
      </c>
      <c r="M268" s="21"/>
      <c r="N268" s="17">
        <f t="shared" ref="N268:N289" si="29">+COUNTIFS($E$12:$E$289,E268,$L$12:$L$289,1)</f>
        <v>0</v>
      </c>
      <c r="O268" s="17">
        <f t="shared" ref="O268:O289" si="30">+COUNTIFS($E$12:$E$289,E268,$L$12:$L$289,2)</f>
        <v>0</v>
      </c>
      <c r="P268" s="17">
        <f t="shared" ref="P268:P289" si="31">+COUNTIFS($E$12:$E$289,E268,$L$12:$L$289,3)</f>
        <v>1</v>
      </c>
      <c r="Q268" s="17">
        <f t="shared" ref="Q268:Q289" si="32">+COUNTIFS($E$12:$E$289,E268,$L$12:$L$289,4)</f>
        <v>0</v>
      </c>
      <c r="R268" s="17">
        <f t="shared" ref="R268:R289" si="33">+COUNTIFS($E$12:$E$289,E268,$L$12:$L$289,5)</f>
        <v>0</v>
      </c>
      <c r="S268" s="17" t="s">
        <v>579</v>
      </c>
    </row>
    <row r="269" spans="2:19" ht="15" hidden="1" customHeight="1">
      <c r="B269" s="17">
        <f t="shared" si="27"/>
        <v>258</v>
      </c>
      <c r="C269" s="17" t="s">
        <v>9</v>
      </c>
      <c r="D269" s="17" t="s">
        <v>9</v>
      </c>
      <c r="E269" s="17" t="s">
        <v>464</v>
      </c>
      <c r="F269" s="17">
        <f t="shared" si="28"/>
        <v>3</v>
      </c>
      <c r="G269" s="20" t="s">
        <v>186</v>
      </c>
      <c r="H269" s="17" t="s">
        <v>221</v>
      </c>
      <c r="I269" s="17" t="s">
        <v>103</v>
      </c>
      <c r="J269" s="22" t="s">
        <v>298</v>
      </c>
      <c r="K269" s="20" t="s">
        <v>625</v>
      </c>
      <c r="L269" s="21">
        <v>3</v>
      </c>
      <c r="M269" s="21"/>
      <c r="N269" s="17">
        <f t="shared" si="29"/>
        <v>0</v>
      </c>
      <c r="O269" s="17">
        <f t="shared" si="30"/>
        <v>0</v>
      </c>
      <c r="P269" s="17">
        <f t="shared" si="31"/>
        <v>3</v>
      </c>
      <c r="Q269" s="17">
        <f t="shared" si="32"/>
        <v>0</v>
      </c>
      <c r="R269" s="17">
        <f t="shared" si="33"/>
        <v>0</v>
      </c>
      <c r="S269" s="17" t="s">
        <v>579</v>
      </c>
    </row>
    <row r="270" spans="2:19" ht="15" hidden="1" customHeight="1">
      <c r="B270" s="17">
        <f t="shared" ref="B270:B289" si="34">1+B269</f>
        <v>259</v>
      </c>
      <c r="C270" s="17" t="s">
        <v>9</v>
      </c>
      <c r="D270" s="17" t="s">
        <v>9</v>
      </c>
      <c r="E270" s="17" t="s">
        <v>529</v>
      </c>
      <c r="F270" s="17">
        <f t="shared" si="28"/>
        <v>2</v>
      </c>
      <c r="G270" s="20" t="s">
        <v>186</v>
      </c>
      <c r="H270" s="17" t="s">
        <v>185</v>
      </c>
      <c r="I270" s="17" t="s">
        <v>103</v>
      </c>
      <c r="J270" s="22" t="s">
        <v>377</v>
      </c>
      <c r="K270" s="20" t="s">
        <v>677</v>
      </c>
      <c r="L270" s="21">
        <v>2</v>
      </c>
      <c r="M270" s="21"/>
      <c r="N270" s="17">
        <f t="shared" si="29"/>
        <v>0</v>
      </c>
      <c r="O270" s="17">
        <f t="shared" si="30"/>
        <v>1</v>
      </c>
      <c r="P270" s="17">
        <f t="shared" si="31"/>
        <v>0</v>
      </c>
      <c r="Q270" s="17">
        <f t="shared" si="32"/>
        <v>0</v>
      </c>
      <c r="R270" s="17">
        <f t="shared" si="33"/>
        <v>1</v>
      </c>
      <c r="S270" s="17" t="s">
        <v>582</v>
      </c>
    </row>
    <row r="271" spans="2:19" ht="15" hidden="1" customHeight="1">
      <c r="B271" s="17">
        <f t="shared" si="34"/>
        <v>260</v>
      </c>
      <c r="C271" s="17" t="s">
        <v>9</v>
      </c>
      <c r="D271" s="17" t="s">
        <v>9</v>
      </c>
      <c r="E271" s="17" t="s">
        <v>25</v>
      </c>
      <c r="F271" s="17">
        <f t="shared" si="28"/>
        <v>6</v>
      </c>
      <c r="G271" s="20" t="s">
        <v>186</v>
      </c>
      <c r="H271" s="17" t="s">
        <v>15</v>
      </c>
      <c r="I271" s="17" t="s">
        <v>103</v>
      </c>
      <c r="J271" s="22" t="s">
        <v>233</v>
      </c>
      <c r="K271" s="17" t="s">
        <v>233</v>
      </c>
      <c r="L271" s="21">
        <v>2</v>
      </c>
      <c r="M271" s="21"/>
      <c r="N271" s="17">
        <f t="shared" si="29"/>
        <v>0</v>
      </c>
      <c r="O271" s="17">
        <f t="shared" si="30"/>
        <v>6</v>
      </c>
      <c r="P271" s="17">
        <f t="shared" si="31"/>
        <v>0</v>
      </c>
      <c r="Q271" s="17">
        <f t="shared" si="32"/>
        <v>0</v>
      </c>
      <c r="R271" s="17">
        <f t="shared" si="33"/>
        <v>0</v>
      </c>
      <c r="S271" s="17" t="s">
        <v>579</v>
      </c>
    </row>
    <row r="272" spans="2:19" ht="15" hidden="1" customHeight="1">
      <c r="B272" s="25">
        <f t="shared" si="34"/>
        <v>261</v>
      </c>
      <c r="C272" s="25" t="s">
        <v>10</v>
      </c>
      <c r="D272" s="25" t="s">
        <v>10</v>
      </c>
      <c r="E272" s="25" t="s">
        <v>530</v>
      </c>
      <c r="F272" s="25">
        <f t="shared" si="28"/>
        <v>2</v>
      </c>
      <c r="G272" s="27" t="s">
        <v>222</v>
      </c>
      <c r="H272" s="25" t="s">
        <v>187</v>
      </c>
      <c r="I272" s="25" t="s">
        <v>103</v>
      </c>
      <c r="J272" s="26" t="s">
        <v>254</v>
      </c>
      <c r="K272" s="25" t="s">
        <v>254</v>
      </c>
      <c r="L272" s="21">
        <v>2</v>
      </c>
      <c r="M272" s="21"/>
      <c r="N272" s="17">
        <f t="shared" si="29"/>
        <v>0</v>
      </c>
      <c r="O272" s="17">
        <f t="shared" si="30"/>
        <v>2</v>
      </c>
      <c r="P272" s="17">
        <f t="shared" si="31"/>
        <v>0</v>
      </c>
      <c r="Q272" s="17">
        <f t="shared" si="32"/>
        <v>0</v>
      </c>
      <c r="R272" s="17">
        <f t="shared" si="33"/>
        <v>0</v>
      </c>
      <c r="S272" s="25" t="s">
        <v>579</v>
      </c>
    </row>
    <row r="273" spans="2:19" ht="15" hidden="1" customHeight="1">
      <c r="B273" s="25">
        <f t="shared" si="34"/>
        <v>262</v>
      </c>
      <c r="C273" s="25" t="s">
        <v>10</v>
      </c>
      <c r="D273" s="25" t="s">
        <v>10</v>
      </c>
      <c r="E273" s="25" t="s">
        <v>531</v>
      </c>
      <c r="F273" s="25">
        <f t="shared" si="28"/>
        <v>2</v>
      </c>
      <c r="G273" s="27" t="s">
        <v>222</v>
      </c>
      <c r="H273" s="25" t="s">
        <v>188</v>
      </c>
      <c r="I273" s="25" t="s">
        <v>103</v>
      </c>
      <c r="J273" s="26" t="s">
        <v>378</v>
      </c>
      <c r="K273" s="25" t="s">
        <v>378</v>
      </c>
      <c r="L273" s="21">
        <v>2</v>
      </c>
      <c r="M273" s="21"/>
      <c r="N273" s="17">
        <f t="shared" si="29"/>
        <v>0</v>
      </c>
      <c r="O273" s="17">
        <f t="shared" si="30"/>
        <v>2</v>
      </c>
      <c r="P273" s="17">
        <f t="shared" si="31"/>
        <v>0</v>
      </c>
      <c r="Q273" s="17">
        <f t="shared" si="32"/>
        <v>0</v>
      </c>
      <c r="R273" s="17">
        <f t="shared" si="33"/>
        <v>0</v>
      </c>
      <c r="S273" s="25" t="s">
        <v>579</v>
      </c>
    </row>
    <row r="274" spans="2:19" ht="15" hidden="1" customHeight="1">
      <c r="B274" s="25">
        <f t="shared" si="34"/>
        <v>263</v>
      </c>
      <c r="C274" s="25" t="s">
        <v>10</v>
      </c>
      <c r="D274" s="25" t="s">
        <v>10</v>
      </c>
      <c r="E274" s="25" t="s">
        <v>532</v>
      </c>
      <c r="F274" s="25">
        <f t="shared" si="28"/>
        <v>2</v>
      </c>
      <c r="G274" s="27" t="s">
        <v>222</v>
      </c>
      <c r="H274" s="25" t="s">
        <v>189</v>
      </c>
      <c r="I274" s="25" t="s">
        <v>103</v>
      </c>
      <c r="J274" s="26" t="s">
        <v>379</v>
      </c>
      <c r="K274" s="25" t="s">
        <v>379</v>
      </c>
      <c r="L274" s="21">
        <v>2</v>
      </c>
      <c r="M274" s="21"/>
      <c r="N274" s="17">
        <f t="shared" si="29"/>
        <v>0</v>
      </c>
      <c r="O274" s="17">
        <f t="shared" si="30"/>
        <v>2</v>
      </c>
      <c r="P274" s="17">
        <f t="shared" si="31"/>
        <v>0</v>
      </c>
      <c r="Q274" s="17">
        <f t="shared" si="32"/>
        <v>0</v>
      </c>
      <c r="R274" s="17">
        <f t="shared" si="33"/>
        <v>0</v>
      </c>
      <c r="S274" s="25" t="s">
        <v>579</v>
      </c>
    </row>
    <row r="275" spans="2:19" ht="15" hidden="1" customHeight="1">
      <c r="B275" s="25">
        <f t="shared" si="34"/>
        <v>264</v>
      </c>
      <c r="C275" s="25" t="s">
        <v>10</v>
      </c>
      <c r="D275" s="25" t="s">
        <v>10</v>
      </c>
      <c r="E275" s="25" t="s">
        <v>563</v>
      </c>
      <c r="F275" s="25">
        <f t="shared" si="28"/>
        <v>1</v>
      </c>
      <c r="G275" s="27" t="s">
        <v>222</v>
      </c>
      <c r="H275" s="25" t="s">
        <v>190</v>
      </c>
      <c r="I275" s="25" t="s">
        <v>103</v>
      </c>
      <c r="J275" s="26" t="s">
        <v>357</v>
      </c>
      <c r="K275" s="27" t="s">
        <v>646</v>
      </c>
      <c r="L275" s="21">
        <v>2</v>
      </c>
      <c r="M275" s="21"/>
      <c r="N275" s="17">
        <f t="shared" si="29"/>
        <v>0</v>
      </c>
      <c r="O275" s="17">
        <f t="shared" si="30"/>
        <v>1</v>
      </c>
      <c r="P275" s="17">
        <f t="shared" si="31"/>
        <v>0</v>
      </c>
      <c r="Q275" s="17">
        <f t="shared" si="32"/>
        <v>0</v>
      </c>
      <c r="R275" s="17">
        <f t="shared" si="33"/>
        <v>0</v>
      </c>
      <c r="S275" s="25" t="s">
        <v>579</v>
      </c>
    </row>
    <row r="276" spans="2:19" ht="15" hidden="1" customHeight="1">
      <c r="B276" s="25">
        <f t="shared" si="34"/>
        <v>265</v>
      </c>
      <c r="C276" s="25" t="s">
        <v>10</v>
      </c>
      <c r="D276" s="25" t="s">
        <v>10</v>
      </c>
      <c r="E276" s="25" t="s">
        <v>564</v>
      </c>
      <c r="F276" s="25">
        <f t="shared" si="28"/>
        <v>1</v>
      </c>
      <c r="G276" s="27" t="s">
        <v>222</v>
      </c>
      <c r="H276" s="25" t="s">
        <v>191</v>
      </c>
      <c r="I276" s="25" t="s">
        <v>103</v>
      </c>
      <c r="J276" s="26" t="s">
        <v>380</v>
      </c>
      <c r="K276" s="27" t="s">
        <v>647</v>
      </c>
      <c r="L276" s="21">
        <v>3</v>
      </c>
      <c r="M276" s="21"/>
      <c r="N276" s="17">
        <f t="shared" si="29"/>
        <v>0</v>
      </c>
      <c r="O276" s="17">
        <f t="shared" si="30"/>
        <v>0</v>
      </c>
      <c r="P276" s="17">
        <f t="shared" si="31"/>
        <v>1</v>
      </c>
      <c r="Q276" s="17">
        <f t="shared" si="32"/>
        <v>0</v>
      </c>
      <c r="R276" s="17">
        <f t="shared" si="33"/>
        <v>0</v>
      </c>
      <c r="S276" s="25" t="s">
        <v>579</v>
      </c>
    </row>
    <row r="277" spans="2:19" ht="15" hidden="1" customHeight="1">
      <c r="B277" s="25">
        <f t="shared" si="34"/>
        <v>266</v>
      </c>
      <c r="C277" s="25" t="s">
        <v>10</v>
      </c>
      <c r="D277" s="25" t="s">
        <v>10</v>
      </c>
      <c r="E277" s="25" t="s">
        <v>535</v>
      </c>
      <c r="F277" s="25">
        <f t="shared" si="28"/>
        <v>2</v>
      </c>
      <c r="G277" s="27" t="s">
        <v>222</v>
      </c>
      <c r="H277" s="25" t="s">
        <v>192</v>
      </c>
      <c r="I277" s="25" t="s">
        <v>103</v>
      </c>
      <c r="J277" s="26" t="s">
        <v>381</v>
      </c>
      <c r="K277" s="27" t="s">
        <v>655</v>
      </c>
      <c r="L277" s="21">
        <v>3</v>
      </c>
      <c r="M277" s="21"/>
      <c r="N277" s="17">
        <f t="shared" si="29"/>
        <v>0</v>
      </c>
      <c r="O277" s="17">
        <f t="shared" si="30"/>
        <v>0</v>
      </c>
      <c r="P277" s="17">
        <f t="shared" si="31"/>
        <v>2</v>
      </c>
      <c r="Q277" s="17">
        <f t="shared" si="32"/>
        <v>0</v>
      </c>
      <c r="R277" s="17">
        <f t="shared" si="33"/>
        <v>0</v>
      </c>
      <c r="S277" s="25" t="s">
        <v>579</v>
      </c>
    </row>
    <row r="278" spans="2:19" ht="15" hidden="1" customHeight="1">
      <c r="B278" s="25">
        <f t="shared" si="34"/>
        <v>267</v>
      </c>
      <c r="C278" s="25" t="s">
        <v>10</v>
      </c>
      <c r="D278" s="25" t="s">
        <v>10</v>
      </c>
      <c r="E278" s="25" t="s">
        <v>536</v>
      </c>
      <c r="F278" s="25">
        <f t="shared" si="28"/>
        <v>2</v>
      </c>
      <c r="G278" s="27" t="s">
        <v>222</v>
      </c>
      <c r="H278" s="25" t="s">
        <v>193</v>
      </c>
      <c r="I278" s="25" t="s">
        <v>103</v>
      </c>
      <c r="J278" s="26" t="s">
        <v>382</v>
      </c>
      <c r="K278" s="27" t="s">
        <v>656</v>
      </c>
      <c r="L278" s="21">
        <v>3</v>
      </c>
      <c r="M278" s="21"/>
      <c r="N278" s="17">
        <f t="shared" si="29"/>
        <v>0</v>
      </c>
      <c r="O278" s="17">
        <f t="shared" si="30"/>
        <v>0</v>
      </c>
      <c r="P278" s="17">
        <f t="shared" si="31"/>
        <v>2</v>
      </c>
      <c r="Q278" s="17">
        <f t="shared" si="32"/>
        <v>0</v>
      </c>
      <c r="R278" s="17">
        <f t="shared" si="33"/>
        <v>0</v>
      </c>
      <c r="S278" s="25" t="s">
        <v>579</v>
      </c>
    </row>
    <row r="279" spans="2:19" ht="15" hidden="1" customHeight="1">
      <c r="B279" s="25">
        <f t="shared" si="34"/>
        <v>268</v>
      </c>
      <c r="C279" s="25" t="s">
        <v>10</v>
      </c>
      <c r="D279" s="25" t="s">
        <v>10</v>
      </c>
      <c r="E279" s="25" t="s">
        <v>537</v>
      </c>
      <c r="F279" s="25">
        <f t="shared" si="28"/>
        <v>2</v>
      </c>
      <c r="G279" s="27" t="s">
        <v>222</v>
      </c>
      <c r="H279" s="25" t="s">
        <v>223</v>
      </c>
      <c r="I279" s="25" t="s">
        <v>103</v>
      </c>
      <c r="J279" s="26" t="s">
        <v>383</v>
      </c>
      <c r="K279" s="25" t="s">
        <v>383</v>
      </c>
      <c r="L279" s="21">
        <v>2</v>
      </c>
      <c r="M279" s="21"/>
      <c r="N279" s="17">
        <f t="shared" si="29"/>
        <v>0</v>
      </c>
      <c r="O279" s="17">
        <f t="shared" si="30"/>
        <v>2</v>
      </c>
      <c r="P279" s="17">
        <f t="shared" si="31"/>
        <v>0</v>
      </c>
      <c r="Q279" s="17">
        <f t="shared" si="32"/>
        <v>0</v>
      </c>
      <c r="R279" s="17">
        <f t="shared" si="33"/>
        <v>0</v>
      </c>
      <c r="S279" s="25" t="s">
        <v>579</v>
      </c>
    </row>
    <row r="280" spans="2:19" ht="15" hidden="1" customHeight="1">
      <c r="B280" s="25">
        <f t="shared" si="34"/>
        <v>269</v>
      </c>
      <c r="C280" s="25" t="s">
        <v>10</v>
      </c>
      <c r="D280" s="25" t="s">
        <v>10</v>
      </c>
      <c r="E280" s="25" t="s">
        <v>538</v>
      </c>
      <c r="F280" s="25">
        <f t="shared" si="28"/>
        <v>2</v>
      </c>
      <c r="G280" s="27" t="s">
        <v>222</v>
      </c>
      <c r="H280" s="25" t="s">
        <v>224</v>
      </c>
      <c r="I280" s="25" t="s">
        <v>103</v>
      </c>
      <c r="J280" s="26" t="s">
        <v>384</v>
      </c>
      <c r="K280" s="27" t="s">
        <v>657</v>
      </c>
      <c r="L280" s="21">
        <v>5</v>
      </c>
      <c r="M280" s="21"/>
      <c r="N280" s="17">
        <f t="shared" si="29"/>
        <v>0</v>
      </c>
      <c r="O280" s="17">
        <f t="shared" si="30"/>
        <v>0</v>
      </c>
      <c r="P280" s="17">
        <f t="shared" si="31"/>
        <v>0</v>
      </c>
      <c r="Q280" s="17">
        <f t="shared" si="32"/>
        <v>0</v>
      </c>
      <c r="R280" s="17">
        <f t="shared" si="33"/>
        <v>2</v>
      </c>
      <c r="S280" s="25" t="s">
        <v>593</v>
      </c>
    </row>
    <row r="281" spans="2:19" ht="15" hidden="1" customHeight="1">
      <c r="B281" s="25">
        <f t="shared" si="34"/>
        <v>270</v>
      </c>
      <c r="C281" s="25" t="s">
        <v>10</v>
      </c>
      <c r="D281" s="25" t="s">
        <v>10</v>
      </c>
      <c r="E281" s="25" t="s">
        <v>565</v>
      </c>
      <c r="F281" s="25">
        <f t="shared" si="28"/>
        <v>1</v>
      </c>
      <c r="G281" s="27" t="s">
        <v>222</v>
      </c>
      <c r="H281" s="25" t="s">
        <v>196</v>
      </c>
      <c r="I281" s="25" t="s">
        <v>103</v>
      </c>
      <c r="J281" s="26" t="s">
        <v>385</v>
      </c>
      <c r="K281" s="27" t="s">
        <v>658</v>
      </c>
      <c r="L281" s="21">
        <v>3</v>
      </c>
      <c r="M281" s="21"/>
      <c r="N281" s="17">
        <f t="shared" si="29"/>
        <v>0</v>
      </c>
      <c r="O281" s="17">
        <f t="shared" si="30"/>
        <v>0</v>
      </c>
      <c r="P281" s="17">
        <f t="shared" si="31"/>
        <v>1</v>
      </c>
      <c r="Q281" s="17">
        <f t="shared" si="32"/>
        <v>0</v>
      </c>
      <c r="R281" s="17">
        <f t="shared" si="33"/>
        <v>0</v>
      </c>
      <c r="S281" s="25" t="s">
        <v>579</v>
      </c>
    </row>
    <row r="282" spans="2:19" ht="15" hidden="1" customHeight="1">
      <c r="B282" s="25">
        <f t="shared" si="34"/>
        <v>271</v>
      </c>
      <c r="C282" s="25" t="s">
        <v>10</v>
      </c>
      <c r="D282" s="25" t="s">
        <v>10</v>
      </c>
      <c r="E282" s="25" t="s">
        <v>540</v>
      </c>
      <c r="F282" s="25">
        <f t="shared" si="28"/>
        <v>2</v>
      </c>
      <c r="G282" s="27" t="s">
        <v>222</v>
      </c>
      <c r="H282" s="25" t="s">
        <v>197</v>
      </c>
      <c r="I282" s="25" t="s">
        <v>103</v>
      </c>
      <c r="J282" s="26" t="s">
        <v>386</v>
      </c>
      <c r="K282" s="27" t="s">
        <v>659</v>
      </c>
      <c r="L282" s="21">
        <v>2</v>
      </c>
      <c r="M282" s="21"/>
      <c r="N282" s="17">
        <f t="shared" si="29"/>
        <v>0</v>
      </c>
      <c r="O282" s="17">
        <f t="shared" si="30"/>
        <v>2</v>
      </c>
      <c r="P282" s="17">
        <f t="shared" si="31"/>
        <v>0</v>
      </c>
      <c r="Q282" s="17">
        <f t="shared" si="32"/>
        <v>0</v>
      </c>
      <c r="R282" s="17">
        <f t="shared" si="33"/>
        <v>0</v>
      </c>
      <c r="S282" s="25" t="s">
        <v>579</v>
      </c>
    </row>
    <row r="283" spans="2:19" ht="15" hidden="1" customHeight="1">
      <c r="B283" s="25">
        <f t="shared" si="34"/>
        <v>272</v>
      </c>
      <c r="C283" s="25" t="s">
        <v>10</v>
      </c>
      <c r="D283" s="25" t="s">
        <v>10</v>
      </c>
      <c r="E283" s="25" t="s">
        <v>541</v>
      </c>
      <c r="F283" s="25">
        <f t="shared" si="28"/>
        <v>2</v>
      </c>
      <c r="G283" s="27" t="s">
        <v>222</v>
      </c>
      <c r="H283" s="25" t="s">
        <v>198</v>
      </c>
      <c r="I283" s="25" t="s">
        <v>103</v>
      </c>
      <c r="J283" s="26" t="s">
        <v>406</v>
      </c>
      <c r="K283" s="27" t="s">
        <v>660</v>
      </c>
      <c r="L283" s="21">
        <v>3</v>
      </c>
      <c r="M283" s="21"/>
      <c r="N283" s="17">
        <f t="shared" si="29"/>
        <v>0</v>
      </c>
      <c r="O283" s="17">
        <f t="shared" si="30"/>
        <v>1</v>
      </c>
      <c r="P283" s="17">
        <f t="shared" si="31"/>
        <v>1</v>
      </c>
      <c r="Q283" s="17">
        <f t="shared" si="32"/>
        <v>0</v>
      </c>
      <c r="R283" s="17">
        <f t="shared" si="33"/>
        <v>0</v>
      </c>
      <c r="S283" s="25" t="s">
        <v>582</v>
      </c>
    </row>
    <row r="284" spans="2:19" ht="15" hidden="1" customHeight="1">
      <c r="B284" s="25">
        <f t="shared" si="34"/>
        <v>273</v>
      </c>
      <c r="C284" s="25" t="s">
        <v>10</v>
      </c>
      <c r="D284" s="25" t="s">
        <v>10</v>
      </c>
      <c r="E284" s="25" t="s">
        <v>542</v>
      </c>
      <c r="F284" s="25">
        <f t="shared" si="28"/>
        <v>2</v>
      </c>
      <c r="G284" s="27" t="s">
        <v>222</v>
      </c>
      <c r="H284" s="25" t="s">
        <v>199</v>
      </c>
      <c r="I284" s="25" t="s">
        <v>103</v>
      </c>
      <c r="J284" s="28" t="s">
        <v>388</v>
      </c>
      <c r="K284" s="27" t="s">
        <v>661</v>
      </c>
      <c r="L284" s="21">
        <v>4</v>
      </c>
      <c r="M284" s="21"/>
      <c r="N284" s="17">
        <f t="shared" si="29"/>
        <v>0</v>
      </c>
      <c r="O284" s="17">
        <f t="shared" si="30"/>
        <v>1</v>
      </c>
      <c r="P284" s="17">
        <f t="shared" si="31"/>
        <v>0</v>
      </c>
      <c r="Q284" s="17">
        <f t="shared" si="32"/>
        <v>1</v>
      </c>
      <c r="R284" s="17">
        <f t="shared" si="33"/>
        <v>0</v>
      </c>
      <c r="S284" s="25" t="s">
        <v>583</v>
      </c>
    </row>
    <row r="285" spans="2:19" ht="15" hidden="1" customHeight="1">
      <c r="B285" s="25">
        <f t="shared" si="34"/>
        <v>274</v>
      </c>
      <c r="C285" s="25" t="s">
        <v>10</v>
      </c>
      <c r="D285" s="25" t="s">
        <v>10</v>
      </c>
      <c r="E285" s="25" t="s">
        <v>566</v>
      </c>
      <c r="F285" s="25">
        <f t="shared" si="28"/>
        <v>1</v>
      </c>
      <c r="G285" s="27" t="s">
        <v>222</v>
      </c>
      <c r="H285" s="25" t="s">
        <v>225</v>
      </c>
      <c r="I285" s="25" t="s">
        <v>104</v>
      </c>
      <c r="J285" s="26" t="s">
        <v>407</v>
      </c>
      <c r="K285" s="25" t="s">
        <v>607</v>
      </c>
      <c r="L285" s="21">
        <v>4</v>
      </c>
      <c r="M285" s="21"/>
      <c r="N285" s="17">
        <f t="shared" si="29"/>
        <v>0</v>
      </c>
      <c r="O285" s="17">
        <f t="shared" si="30"/>
        <v>0</v>
      </c>
      <c r="P285" s="17">
        <f t="shared" si="31"/>
        <v>0</v>
      </c>
      <c r="Q285" s="17">
        <f t="shared" si="32"/>
        <v>1</v>
      </c>
      <c r="R285" s="17">
        <f t="shared" si="33"/>
        <v>0</v>
      </c>
      <c r="S285" s="25" t="s">
        <v>591</v>
      </c>
    </row>
    <row r="286" spans="2:19" ht="15" hidden="1" customHeight="1">
      <c r="B286" s="25">
        <f t="shared" si="34"/>
        <v>275</v>
      </c>
      <c r="C286" s="25" t="s">
        <v>10</v>
      </c>
      <c r="D286" s="25" t="s">
        <v>10</v>
      </c>
      <c r="E286" s="25" t="s">
        <v>560</v>
      </c>
      <c r="F286" s="25">
        <f t="shared" si="28"/>
        <v>2</v>
      </c>
      <c r="G286" s="27" t="s">
        <v>222</v>
      </c>
      <c r="H286" s="25" t="s">
        <v>226</v>
      </c>
      <c r="I286" s="25" t="s">
        <v>103</v>
      </c>
      <c r="J286" s="26" t="s">
        <v>404</v>
      </c>
      <c r="K286" s="27" t="s">
        <v>675</v>
      </c>
      <c r="L286" s="21">
        <v>4</v>
      </c>
      <c r="M286" s="21"/>
      <c r="N286" s="17">
        <f t="shared" si="29"/>
        <v>0</v>
      </c>
      <c r="O286" s="17">
        <f t="shared" si="30"/>
        <v>1</v>
      </c>
      <c r="P286" s="17">
        <f t="shared" si="31"/>
        <v>0</v>
      </c>
      <c r="Q286" s="17">
        <f t="shared" si="32"/>
        <v>1</v>
      </c>
      <c r="R286" s="17">
        <f t="shared" si="33"/>
        <v>0</v>
      </c>
      <c r="S286" s="25" t="s">
        <v>581</v>
      </c>
    </row>
    <row r="287" spans="2:19" ht="15" hidden="1" customHeight="1">
      <c r="B287" s="25">
        <f t="shared" si="34"/>
        <v>276</v>
      </c>
      <c r="C287" s="25" t="s">
        <v>10</v>
      </c>
      <c r="D287" s="25" t="s">
        <v>10</v>
      </c>
      <c r="E287" s="25" t="s">
        <v>450</v>
      </c>
      <c r="F287" s="25">
        <f t="shared" si="28"/>
        <v>4</v>
      </c>
      <c r="G287" s="27" t="s">
        <v>222</v>
      </c>
      <c r="H287" s="25" t="s">
        <v>220</v>
      </c>
      <c r="I287" s="25" t="s">
        <v>103</v>
      </c>
      <c r="J287" s="26" t="s">
        <v>284</v>
      </c>
      <c r="K287" s="27" t="s">
        <v>653</v>
      </c>
      <c r="L287" s="21">
        <v>3</v>
      </c>
      <c r="M287" s="21"/>
      <c r="N287" s="17">
        <f t="shared" si="29"/>
        <v>0</v>
      </c>
      <c r="O287" s="17">
        <f t="shared" si="30"/>
        <v>0</v>
      </c>
      <c r="P287" s="17">
        <f t="shared" si="31"/>
        <v>4</v>
      </c>
      <c r="Q287" s="17">
        <f t="shared" si="32"/>
        <v>0</v>
      </c>
      <c r="R287" s="17">
        <f t="shared" si="33"/>
        <v>0</v>
      </c>
      <c r="S287" s="25" t="s">
        <v>579</v>
      </c>
    </row>
    <row r="288" spans="2:19" ht="15" hidden="1" customHeight="1">
      <c r="B288" s="25">
        <f t="shared" si="34"/>
        <v>277</v>
      </c>
      <c r="C288" s="25" t="s">
        <v>10</v>
      </c>
      <c r="D288" s="25" t="s">
        <v>10</v>
      </c>
      <c r="E288" s="25" t="s">
        <v>464</v>
      </c>
      <c r="F288" s="25">
        <f t="shared" si="28"/>
        <v>3</v>
      </c>
      <c r="G288" s="27" t="s">
        <v>222</v>
      </c>
      <c r="H288" s="25" t="s">
        <v>227</v>
      </c>
      <c r="I288" s="25" t="s">
        <v>103</v>
      </c>
      <c r="J288" s="26" t="s">
        <v>298</v>
      </c>
      <c r="K288" s="27" t="s">
        <v>625</v>
      </c>
      <c r="L288" s="21">
        <v>3</v>
      </c>
      <c r="M288" s="21"/>
      <c r="N288" s="17">
        <f t="shared" si="29"/>
        <v>0</v>
      </c>
      <c r="O288" s="17">
        <f t="shared" si="30"/>
        <v>0</v>
      </c>
      <c r="P288" s="17">
        <f t="shared" si="31"/>
        <v>3</v>
      </c>
      <c r="Q288" s="17">
        <f t="shared" si="32"/>
        <v>0</v>
      </c>
      <c r="R288" s="17">
        <f t="shared" si="33"/>
        <v>0</v>
      </c>
      <c r="S288" s="25" t="s">
        <v>579</v>
      </c>
    </row>
    <row r="289" spans="2:19" ht="15" hidden="1" customHeight="1">
      <c r="B289" s="25">
        <f t="shared" si="34"/>
        <v>278</v>
      </c>
      <c r="C289" s="25" t="s">
        <v>10</v>
      </c>
      <c r="D289" s="25" t="s">
        <v>10</v>
      </c>
      <c r="E289" s="25" t="s">
        <v>25</v>
      </c>
      <c r="F289" s="25">
        <f t="shared" si="28"/>
        <v>6</v>
      </c>
      <c r="G289" s="27" t="s">
        <v>222</v>
      </c>
      <c r="H289" s="25" t="s">
        <v>15</v>
      </c>
      <c r="I289" s="25" t="s">
        <v>103</v>
      </c>
      <c r="J289" s="26" t="s">
        <v>233</v>
      </c>
      <c r="K289" s="25" t="s">
        <v>233</v>
      </c>
      <c r="L289" s="21">
        <v>2</v>
      </c>
      <c r="M289" s="21"/>
      <c r="N289" s="17">
        <f t="shared" si="29"/>
        <v>0</v>
      </c>
      <c r="O289" s="17">
        <f t="shared" si="30"/>
        <v>6</v>
      </c>
      <c r="P289" s="17">
        <f t="shared" si="31"/>
        <v>0</v>
      </c>
      <c r="Q289" s="17">
        <f t="shared" si="32"/>
        <v>0</v>
      </c>
      <c r="R289" s="17">
        <f t="shared" si="33"/>
        <v>0</v>
      </c>
      <c r="S289" s="25" t="s">
        <v>579</v>
      </c>
    </row>
    <row r="290" spans="2:19"/>
  </sheetData>
  <autoFilter ref="B11:S289">
    <filterColumn colId="10">
      <filters>
        <filter val="1"/>
      </filters>
    </filterColumn>
  </autoFilter>
  <sortState ref="Z12:AF176">
    <sortCondition descending="1" ref="AA12:AA176"/>
  </sortState>
  <conditionalFormatting sqref="P1:T5">
    <cfRule type="containsErrors" dxfId="1" priority="1" stopIfTrue="1">
      <formula>ISERROR(P1)</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J290"/>
  <sheetViews>
    <sheetView showGridLines="0" tabSelected="1" zoomScale="85" zoomScaleNormal="85" workbookViewId="0">
      <pane ySplit="11" topLeftCell="A12" activePane="bottomLeft" state="frozen"/>
      <selection pane="bottomLeft" activeCell="D44" sqref="D44"/>
    </sheetView>
  </sheetViews>
  <sheetFormatPr defaultColWidth="0" defaultRowHeight="13.95" customHeight="1" zeroHeight="1"/>
  <cols>
    <col min="1" max="1" width="3.69921875" customWidth="1"/>
    <col min="2" max="2" width="10.296875" customWidth="1"/>
    <col min="3" max="4" width="27.09765625" bestFit="1" customWidth="1"/>
    <col min="5" max="5" width="30.59765625" bestFit="1" customWidth="1"/>
    <col min="6" max="6" width="22.8984375" hidden="1" customWidth="1"/>
    <col min="7" max="8" width="32.69921875" hidden="1" customWidth="1"/>
    <col min="9" max="9" width="12.69921875" customWidth="1"/>
    <col min="10" max="10" width="43" customWidth="1"/>
    <col min="11" max="11" width="20.8984375" bestFit="1" customWidth="1"/>
    <col min="12" max="12" width="8.296875" customWidth="1"/>
    <col min="13" max="13" width="13" customWidth="1"/>
    <col min="14" max="14" width="48.09765625" bestFit="1" customWidth="1"/>
    <col min="15" max="15" width="48.09765625" customWidth="1"/>
    <col min="16" max="16" width="6.796875" bestFit="1" customWidth="1"/>
    <col min="17" max="17" width="25.59765625" bestFit="1" customWidth="1"/>
    <col min="18" max="18" width="25.59765625" customWidth="1"/>
    <col min="19" max="19" width="3.69921875" customWidth="1"/>
    <col min="20" max="20" width="3.69921875" hidden="1" customWidth="1"/>
    <col min="21" max="24" width="9.09765625" hidden="1" customWidth="1"/>
    <col min="25" max="25" width="37.3984375" hidden="1" customWidth="1"/>
    <col min="26" max="36" width="0" hidden="1" customWidth="1"/>
    <col min="37" max="16384" width="9.09765625" hidden="1"/>
  </cols>
  <sheetData>
    <row r="1" spans="1:19" ht="13.8">
      <c r="A1" s="3"/>
      <c r="B1" s="4"/>
      <c r="C1" s="4"/>
      <c r="D1" s="4"/>
      <c r="E1" s="4"/>
      <c r="F1" s="4"/>
      <c r="G1" s="4"/>
      <c r="H1" s="4"/>
      <c r="I1" s="4"/>
      <c r="J1" s="4"/>
      <c r="K1" s="4"/>
      <c r="L1" s="4"/>
      <c r="M1" s="4"/>
      <c r="N1" s="4"/>
      <c r="O1" s="4"/>
      <c r="P1" s="4"/>
      <c r="Q1" s="4"/>
      <c r="R1" s="4"/>
      <c r="S1" s="4"/>
    </row>
    <row r="2" spans="1:19" ht="13.8">
      <c r="A2" s="6"/>
      <c r="B2" s="7"/>
      <c r="C2" s="7"/>
      <c r="D2" s="8"/>
      <c r="E2" s="7"/>
      <c r="F2" s="7"/>
      <c r="G2" s="7"/>
      <c r="H2" s="7"/>
      <c r="I2" s="7"/>
      <c r="J2" s="7"/>
      <c r="K2" s="7"/>
      <c r="L2" s="7"/>
      <c r="M2" s="7"/>
      <c r="N2" s="7"/>
      <c r="O2" s="7"/>
      <c r="P2" s="7"/>
      <c r="Q2" s="7"/>
      <c r="R2" s="7"/>
      <c r="S2" s="7"/>
    </row>
    <row r="3" spans="1:19" ht="13.8">
      <c r="A3" s="3"/>
      <c r="B3" s="9"/>
      <c r="C3" s="9"/>
      <c r="D3" s="9"/>
      <c r="E3" s="9"/>
      <c r="F3" s="9"/>
      <c r="G3" s="9"/>
      <c r="H3" s="9"/>
      <c r="I3" s="9"/>
      <c r="J3" s="9"/>
      <c r="K3" s="9"/>
      <c r="L3" s="9"/>
      <c r="M3" s="9"/>
      <c r="N3" s="10"/>
      <c r="O3" s="10"/>
      <c r="P3" s="10"/>
      <c r="Q3" s="10"/>
      <c r="R3" s="10"/>
      <c r="S3" s="10"/>
    </row>
    <row r="4" spans="1:19" ht="13.8">
      <c r="A4" s="3"/>
      <c r="B4" s="4"/>
      <c r="C4" s="4"/>
      <c r="D4" s="4"/>
      <c r="E4" s="4"/>
      <c r="F4" s="4"/>
      <c r="G4" s="4"/>
      <c r="H4" s="4"/>
      <c r="I4" s="4"/>
      <c r="J4" s="4"/>
      <c r="K4" s="4"/>
      <c r="L4" s="4"/>
      <c r="M4" s="4"/>
      <c r="N4" s="4"/>
      <c r="O4" s="4"/>
      <c r="P4" s="4"/>
      <c r="Q4" s="4"/>
      <c r="R4" s="4"/>
      <c r="S4" s="4"/>
    </row>
    <row r="5" spans="1:19" s="59" customFormat="1" ht="3" customHeight="1">
      <c r="A5" s="56"/>
      <c r="B5" s="57"/>
      <c r="C5" s="57"/>
      <c r="D5" s="57"/>
      <c r="E5" s="57"/>
      <c r="F5" s="58"/>
      <c r="G5" s="58"/>
      <c r="H5" s="58"/>
      <c r="I5" s="58"/>
      <c r="J5" s="58"/>
      <c r="K5" s="58"/>
      <c r="L5" s="58"/>
      <c r="M5" s="58"/>
      <c r="N5" s="58"/>
      <c r="O5" s="58"/>
      <c r="P5" s="58"/>
      <c r="Q5" s="58"/>
      <c r="R5" s="58"/>
      <c r="S5" s="58"/>
    </row>
    <row r="6" spans="1:19" ht="14.4">
      <c r="A6" s="14"/>
      <c r="B6" s="5"/>
      <c r="C6" s="5"/>
      <c r="D6" s="5"/>
      <c r="E6" s="5"/>
      <c r="F6" s="5"/>
      <c r="G6" s="5"/>
      <c r="H6" s="5"/>
      <c r="I6" s="5"/>
      <c r="J6" s="5"/>
      <c r="K6" s="5"/>
      <c r="L6" s="5"/>
      <c r="M6" s="5"/>
      <c r="N6" s="5"/>
      <c r="O6" s="5"/>
      <c r="P6" s="5"/>
      <c r="Q6" s="5"/>
      <c r="R6" s="5"/>
      <c r="S6" s="5"/>
    </row>
    <row r="7" spans="1:19" ht="15" customHeight="1">
      <c r="A7" s="15"/>
      <c r="B7" s="63" t="s">
        <v>700</v>
      </c>
      <c r="C7" s="60"/>
      <c r="D7" s="61"/>
      <c r="E7" s="62"/>
      <c r="F7" s="62"/>
      <c r="G7" s="62"/>
      <c r="H7" s="62"/>
      <c r="I7" s="62"/>
      <c r="J7" s="62"/>
      <c r="K7" s="62"/>
      <c r="L7" s="62"/>
      <c r="M7" s="62"/>
      <c r="N7" s="62"/>
      <c r="O7" s="62"/>
      <c r="P7" s="62"/>
      <c r="Q7" s="62"/>
      <c r="R7" s="62"/>
    </row>
    <row r="8" spans="1:19" ht="13.8"/>
    <row r="9" spans="1:19" ht="13.8">
      <c r="C9" s="31" t="s">
        <v>416</v>
      </c>
      <c r="D9" s="31"/>
      <c r="E9" s="31"/>
      <c r="F9" s="31"/>
      <c r="G9" s="30"/>
      <c r="H9" s="32" t="s">
        <v>417</v>
      </c>
      <c r="I9" s="34" t="s">
        <v>418</v>
      </c>
      <c r="J9" s="34"/>
      <c r="K9" s="34"/>
      <c r="L9" s="54" t="s">
        <v>603</v>
      </c>
      <c r="M9" s="54"/>
      <c r="N9" s="47" t="s">
        <v>686</v>
      </c>
      <c r="O9" s="47"/>
      <c r="P9" s="47"/>
      <c r="Q9" s="47"/>
      <c r="R9" s="47"/>
    </row>
    <row r="10" spans="1:19" ht="5.0999999999999996" customHeight="1"/>
    <row r="11" spans="1:19" ht="13.8">
      <c r="B11" s="36" t="s">
        <v>413</v>
      </c>
      <c r="C11" s="29" t="s">
        <v>410</v>
      </c>
      <c r="D11" s="29" t="s">
        <v>411</v>
      </c>
      <c r="E11" s="29" t="s">
        <v>28</v>
      </c>
      <c r="F11" s="29" t="s">
        <v>414</v>
      </c>
      <c r="G11" s="29" t="s">
        <v>412</v>
      </c>
      <c r="H11" s="33" t="s">
        <v>415</v>
      </c>
      <c r="I11" s="35" t="s">
        <v>54</v>
      </c>
      <c r="J11" s="35" t="s">
        <v>230</v>
      </c>
      <c r="K11" s="35" t="s">
        <v>604</v>
      </c>
      <c r="L11" s="40" t="s">
        <v>228</v>
      </c>
      <c r="M11" s="40" t="s">
        <v>598</v>
      </c>
      <c r="N11" s="55" t="s">
        <v>690</v>
      </c>
      <c r="O11" s="53" t="s">
        <v>678</v>
      </c>
      <c r="P11" s="52" t="s">
        <v>680</v>
      </c>
      <c r="Q11" s="52" t="s">
        <v>694</v>
      </c>
      <c r="R11" s="53" t="s">
        <v>698</v>
      </c>
    </row>
    <row r="12" spans="1:19" ht="15" customHeight="1">
      <c r="A12" s="64"/>
      <c r="B12" s="21">
        <v>1</v>
      </c>
      <c r="C12" s="21" t="s">
        <v>6</v>
      </c>
      <c r="D12" s="21" t="s">
        <v>1</v>
      </c>
      <c r="E12" s="21" t="s">
        <v>451</v>
      </c>
      <c r="F12" s="49">
        <v>1</v>
      </c>
      <c r="G12" s="49" t="s">
        <v>56</v>
      </c>
      <c r="H12" s="49" t="s">
        <v>88</v>
      </c>
      <c r="I12" s="21" t="s">
        <v>104</v>
      </c>
      <c r="J12" s="65" t="s">
        <v>285</v>
      </c>
      <c r="K12" s="21" t="s">
        <v>619</v>
      </c>
      <c r="L12" s="21" t="s">
        <v>708</v>
      </c>
      <c r="M12" s="21">
        <v>1</v>
      </c>
      <c r="N12" s="21" t="s">
        <v>706</v>
      </c>
      <c r="O12" s="48" t="s">
        <v>710</v>
      </c>
      <c r="P12" s="48" t="s">
        <v>683</v>
      </c>
      <c r="Q12" s="48"/>
      <c r="R12" s="48"/>
      <c r="S12" s="64"/>
    </row>
    <row r="13" spans="1:19" s="59" customFormat="1" ht="27" hidden="1" customHeight="1">
      <c r="B13" s="67">
        <f t="shared" ref="B13:B18" si="0">1+B12</f>
        <v>2</v>
      </c>
      <c r="C13" s="67" t="s">
        <v>6</v>
      </c>
      <c r="D13" s="67" t="s">
        <v>3</v>
      </c>
      <c r="E13" s="67" t="s">
        <v>49</v>
      </c>
      <c r="F13" s="67">
        <v>3</v>
      </c>
      <c r="G13" s="67" t="s">
        <v>110</v>
      </c>
      <c r="H13" s="68" t="s">
        <v>42</v>
      </c>
      <c r="I13" s="68" t="s">
        <v>121</v>
      </c>
      <c r="J13" s="69" t="s">
        <v>245</v>
      </c>
      <c r="K13" s="68" t="s">
        <v>607</v>
      </c>
      <c r="L13" s="67">
        <v>1</v>
      </c>
      <c r="M13" s="67">
        <v>2</v>
      </c>
      <c r="N13" s="68" t="s">
        <v>693</v>
      </c>
      <c r="O13" s="68" t="s">
        <v>691</v>
      </c>
      <c r="P13" s="68" t="s">
        <v>692</v>
      </c>
      <c r="Q13" s="68" t="s">
        <v>695</v>
      </c>
      <c r="R13" s="68" t="s">
        <v>699</v>
      </c>
    </row>
    <row r="14" spans="1:19" s="59" customFormat="1" ht="31.05" hidden="1" customHeight="1">
      <c r="B14" s="67">
        <f t="shared" si="0"/>
        <v>3</v>
      </c>
      <c r="C14" s="67" t="s">
        <v>7</v>
      </c>
      <c r="D14" s="67" t="s">
        <v>3</v>
      </c>
      <c r="E14" s="67" t="s">
        <v>49</v>
      </c>
      <c r="F14" s="67">
        <v>3</v>
      </c>
      <c r="G14" s="68" t="s">
        <v>156</v>
      </c>
      <c r="H14" s="68" t="s">
        <v>42</v>
      </c>
      <c r="I14" s="68" t="s">
        <v>351</v>
      </c>
      <c r="J14" s="69" t="s">
        <v>245</v>
      </c>
      <c r="K14" s="68" t="s">
        <v>607</v>
      </c>
      <c r="L14" s="67">
        <v>1</v>
      </c>
      <c r="M14" s="67">
        <v>2</v>
      </c>
      <c r="N14" s="68" t="s">
        <v>693</v>
      </c>
      <c r="O14" s="68" t="s">
        <v>691</v>
      </c>
      <c r="P14" s="68" t="s">
        <v>692</v>
      </c>
      <c r="Q14" s="68" t="s">
        <v>695</v>
      </c>
      <c r="R14" s="68" t="s">
        <v>699</v>
      </c>
    </row>
    <row r="15" spans="1:19" s="59" customFormat="1" ht="15" hidden="1" customHeight="1">
      <c r="B15" s="67">
        <f t="shared" si="0"/>
        <v>4</v>
      </c>
      <c r="C15" s="67" t="s">
        <v>8</v>
      </c>
      <c r="D15" s="67" t="s">
        <v>8</v>
      </c>
      <c r="E15" s="67" t="s">
        <v>518</v>
      </c>
      <c r="F15" s="67">
        <v>1</v>
      </c>
      <c r="G15" s="68" t="s">
        <v>159</v>
      </c>
      <c r="H15" s="67" t="s">
        <v>172</v>
      </c>
      <c r="I15" s="67" t="s">
        <v>104</v>
      </c>
      <c r="J15" s="70" t="s">
        <v>366</v>
      </c>
      <c r="K15" s="71" t="s">
        <v>607</v>
      </c>
      <c r="L15" s="67">
        <v>1</v>
      </c>
      <c r="M15" s="67">
        <v>1</v>
      </c>
      <c r="N15" s="67" t="s">
        <v>697</v>
      </c>
      <c r="O15" s="68" t="s">
        <v>607</v>
      </c>
      <c r="P15" s="67" t="s">
        <v>682</v>
      </c>
      <c r="Q15" s="68"/>
      <c r="R15" s="68"/>
    </row>
    <row r="16" spans="1:19" s="59" customFormat="1" ht="15" hidden="1" customHeight="1">
      <c r="B16" s="67">
        <f t="shared" si="0"/>
        <v>5</v>
      </c>
      <c r="C16" s="67" t="s">
        <v>8</v>
      </c>
      <c r="D16" s="67" t="s">
        <v>8</v>
      </c>
      <c r="E16" s="67" t="s">
        <v>519</v>
      </c>
      <c r="F16" s="67">
        <v>1</v>
      </c>
      <c r="G16" s="68" t="s">
        <v>159</v>
      </c>
      <c r="H16" s="67" t="s">
        <v>173</v>
      </c>
      <c r="I16" s="67" t="s">
        <v>104</v>
      </c>
      <c r="J16" s="70" t="s">
        <v>366</v>
      </c>
      <c r="K16" s="71" t="s">
        <v>607</v>
      </c>
      <c r="L16" s="67">
        <v>1</v>
      </c>
      <c r="M16" s="67">
        <v>1</v>
      </c>
      <c r="N16" s="67" t="s">
        <v>697</v>
      </c>
      <c r="O16" s="68" t="s">
        <v>607</v>
      </c>
      <c r="P16" s="67" t="s">
        <v>682</v>
      </c>
      <c r="Q16" s="68"/>
      <c r="R16" s="68"/>
    </row>
    <row r="17" spans="1:19" s="59" customFormat="1" ht="15" hidden="1" customHeight="1">
      <c r="B17" s="67">
        <f t="shared" si="0"/>
        <v>6</v>
      </c>
      <c r="C17" s="67" t="s">
        <v>8</v>
      </c>
      <c r="D17" s="67" t="s">
        <v>8</v>
      </c>
      <c r="E17" s="67" t="s">
        <v>514</v>
      </c>
      <c r="F17" s="67">
        <v>1</v>
      </c>
      <c r="G17" s="68" t="s">
        <v>159</v>
      </c>
      <c r="H17" s="67" t="s">
        <v>168</v>
      </c>
      <c r="I17" s="67" t="s">
        <v>104</v>
      </c>
      <c r="J17" s="70" t="s">
        <v>363</v>
      </c>
      <c r="K17" s="71" t="s">
        <v>607</v>
      </c>
      <c r="L17" s="67">
        <v>1</v>
      </c>
      <c r="M17" s="67">
        <v>1</v>
      </c>
      <c r="N17" s="67" t="s">
        <v>697</v>
      </c>
      <c r="O17" s="68" t="s">
        <v>607</v>
      </c>
      <c r="P17" s="67" t="s">
        <v>682</v>
      </c>
      <c r="Q17" s="68"/>
      <c r="R17" s="68"/>
    </row>
    <row r="18" spans="1:19" s="59" customFormat="1" ht="15" hidden="1" customHeight="1">
      <c r="B18" s="67">
        <f t="shared" si="0"/>
        <v>7</v>
      </c>
      <c r="C18" s="67" t="s">
        <v>8</v>
      </c>
      <c r="D18" s="67" t="s">
        <v>8</v>
      </c>
      <c r="E18" s="67" t="s">
        <v>513</v>
      </c>
      <c r="F18" s="67">
        <v>1</v>
      </c>
      <c r="G18" s="68" t="s">
        <v>159</v>
      </c>
      <c r="H18" s="67" t="s">
        <v>167</v>
      </c>
      <c r="I18" s="67" t="s">
        <v>104</v>
      </c>
      <c r="J18" s="70" t="s">
        <v>363</v>
      </c>
      <c r="K18" s="71" t="s">
        <v>607</v>
      </c>
      <c r="L18" s="67">
        <v>1</v>
      </c>
      <c r="M18" s="67">
        <v>1</v>
      </c>
      <c r="N18" s="67" t="s">
        <v>697</v>
      </c>
      <c r="O18" s="68" t="s">
        <v>607</v>
      </c>
      <c r="P18" s="67" t="s">
        <v>682</v>
      </c>
      <c r="Q18" s="68"/>
      <c r="R18" s="68"/>
    </row>
    <row r="19" spans="1:19" s="59" customFormat="1" ht="15" hidden="1" customHeight="1">
      <c r="B19" s="67">
        <v>1</v>
      </c>
      <c r="C19" s="67" t="s">
        <v>0</v>
      </c>
      <c r="D19" s="67" t="s">
        <v>1</v>
      </c>
      <c r="E19" s="67" t="s">
        <v>22</v>
      </c>
      <c r="F19" s="67">
        <v>10</v>
      </c>
      <c r="G19" s="67" t="s">
        <v>29</v>
      </c>
      <c r="H19" s="67" t="s">
        <v>12</v>
      </c>
      <c r="I19" s="67" t="s">
        <v>20</v>
      </c>
      <c r="J19" s="69" t="s">
        <v>229</v>
      </c>
      <c r="K19" s="68" t="s">
        <v>605</v>
      </c>
      <c r="L19" s="67">
        <v>1</v>
      </c>
      <c r="M19" s="67">
        <v>3</v>
      </c>
      <c r="N19" s="67" t="s">
        <v>687</v>
      </c>
      <c r="O19" s="68" t="s">
        <v>607</v>
      </c>
      <c r="P19" s="68" t="s">
        <v>627</v>
      </c>
      <c r="Q19" s="68" t="s">
        <v>627</v>
      </c>
      <c r="R19" s="68"/>
    </row>
    <row r="20" spans="1:19" s="59" customFormat="1" ht="15" hidden="1" customHeight="1">
      <c r="B20" s="67">
        <f t="shared" ref="B20:B46" si="1">1+B19</f>
        <v>2</v>
      </c>
      <c r="C20" s="67" t="s">
        <v>6</v>
      </c>
      <c r="D20" s="67" t="s">
        <v>1</v>
      </c>
      <c r="E20" s="67" t="s">
        <v>22</v>
      </c>
      <c r="F20" s="67">
        <v>10</v>
      </c>
      <c r="G20" s="67" t="s">
        <v>56</v>
      </c>
      <c r="H20" s="67" t="s">
        <v>12</v>
      </c>
      <c r="I20" s="67" t="s">
        <v>104</v>
      </c>
      <c r="J20" s="69" t="s">
        <v>255</v>
      </c>
      <c r="K20" s="68" t="s">
        <v>605</v>
      </c>
      <c r="L20" s="67">
        <v>1</v>
      </c>
      <c r="M20" s="67">
        <v>3</v>
      </c>
      <c r="N20" s="67" t="s">
        <v>687</v>
      </c>
      <c r="O20" s="68" t="s">
        <v>607</v>
      </c>
      <c r="P20" s="68" t="s">
        <v>627</v>
      </c>
      <c r="Q20" s="68" t="s">
        <v>627</v>
      </c>
      <c r="R20" s="68"/>
    </row>
    <row r="21" spans="1:19" s="59" customFormat="1" ht="15" hidden="1" customHeight="1">
      <c r="B21" s="67">
        <f t="shared" si="1"/>
        <v>3</v>
      </c>
      <c r="C21" s="67" t="s">
        <v>7</v>
      </c>
      <c r="D21" s="67" t="s">
        <v>1</v>
      </c>
      <c r="E21" s="67" t="s">
        <v>22</v>
      </c>
      <c r="F21" s="67">
        <v>10</v>
      </c>
      <c r="G21" s="68" t="s">
        <v>126</v>
      </c>
      <c r="H21" s="67" t="s">
        <v>12</v>
      </c>
      <c r="I21" s="67" t="s">
        <v>104</v>
      </c>
      <c r="J21" s="69" t="s">
        <v>321</v>
      </c>
      <c r="K21" s="68" t="s">
        <v>627</v>
      </c>
      <c r="L21" s="67">
        <v>1</v>
      </c>
      <c r="M21" s="67">
        <v>3</v>
      </c>
      <c r="N21" s="67" t="s">
        <v>687</v>
      </c>
      <c r="O21" s="68" t="s">
        <v>607</v>
      </c>
      <c r="P21" s="68" t="s">
        <v>627</v>
      </c>
      <c r="Q21" s="68" t="s">
        <v>627</v>
      </c>
      <c r="R21" s="68"/>
    </row>
    <row r="22" spans="1:19" s="59" customFormat="1" ht="15" hidden="1" customHeight="1">
      <c r="B22" s="67">
        <f t="shared" si="1"/>
        <v>4</v>
      </c>
      <c r="C22" s="67" t="s">
        <v>6</v>
      </c>
      <c r="D22" s="67" t="s">
        <v>2</v>
      </c>
      <c r="E22" s="67" t="s">
        <v>467</v>
      </c>
      <c r="F22" s="67">
        <v>2</v>
      </c>
      <c r="G22" s="67" t="s">
        <v>105</v>
      </c>
      <c r="H22" s="67" t="s">
        <v>107</v>
      </c>
      <c r="I22" s="67" t="s">
        <v>104</v>
      </c>
      <c r="J22" s="70" t="s">
        <v>255</v>
      </c>
      <c r="K22" s="67" t="s">
        <v>627</v>
      </c>
      <c r="L22" s="67">
        <v>1</v>
      </c>
      <c r="M22" s="67">
        <v>1</v>
      </c>
      <c r="N22" s="67" t="s">
        <v>687</v>
      </c>
      <c r="O22" s="68"/>
      <c r="P22" s="68" t="s">
        <v>627</v>
      </c>
      <c r="Q22" s="68" t="s">
        <v>627</v>
      </c>
      <c r="R22" s="68"/>
    </row>
    <row r="23" spans="1:19" s="59" customFormat="1" ht="15" hidden="1" customHeight="1">
      <c r="B23" s="67">
        <f t="shared" si="1"/>
        <v>5</v>
      </c>
      <c r="C23" s="67" t="s">
        <v>6</v>
      </c>
      <c r="D23" s="67" t="s">
        <v>1</v>
      </c>
      <c r="E23" s="67" t="s">
        <v>23</v>
      </c>
      <c r="F23" s="67">
        <v>3</v>
      </c>
      <c r="G23" s="67" t="s">
        <v>56</v>
      </c>
      <c r="H23" s="67" t="s">
        <v>13</v>
      </c>
      <c r="I23" s="67" t="s">
        <v>104</v>
      </c>
      <c r="J23" s="69" t="s">
        <v>231</v>
      </c>
      <c r="K23" s="68" t="s">
        <v>607</v>
      </c>
      <c r="L23" s="67">
        <v>1</v>
      </c>
      <c r="M23" s="67">
        <v>2</v>
      </c>
      <c r="N23" s="67" t="s">
        <v>701</v>
      </c>
      <c r="O23" s="68" t="s">
        <v>685</v>
      </c>
      <c r="P23" s="68" t="s">
        <v>683</v>
      </c>
      <c r="Q23" s="68" t="s">
        <v>696</v>
      </c>
      <c r="R23" s="68" t="s">
        <v>702</v>
      </c>
    </row>
    <row r="24" spans="1:19" s="59" customFormat="1" ht="15" hidden="1" customHeight="1">
      <c r="B24" s="67">
        <f t="shared" si="1"/>
        <v>6</v>
      </c>
      <c r="C24" s="67" t="s">
        <v>7</v>
      </c>
      <c r="D24" s="67" t="s">
        <v>1</v>
      </c>
      <c r="E24" s="67" t="s">
        <v>23</v>
      </c>
      <c r="F24" s="67">
        <v>3</v>
      </c>
      <c r="G24" s="68" t="s">
        <v>126</v>
      </c>
      <c r="H24" s="67" t="s">
        <v>13</v>
      </c>
      <c r="I24" s="67" t="s">
        <v>104</v>
      </c>
      <c r="J24" s="70" t="s">
        <v>231</v>
      </c>
      <c r="K24" s="67" t="s">
        <v>607</v>
      </c>
      <c r="L24" s="67">
        <v>1</v>
      </c>
      <c r="M24" s="67">
        <v>2</v>
      </c>
      <c r="N24" s="67" t="s">
        <v>701</v>
      </c>
      <c r="O24" s="68" t="s">
        <v>685</v>
      </c>
      <c r="P24" s="68" t="s">
        <v>683</v>
      </c>
      <c r="Q24" s="68" t="s">
        <v>696</v>
      </c>
      <c r="R24" s="68" t="s">
        <v>702</v>
      </c>
    </row>
    <row r="25" spans="1:19" s="59" customFormat="1" ht="15" hidden="1" customHeight="1">
      <c r="B25" s="67">
        <f t="shared" si="1"/>
        <v>7</v>
      </c>
      <c r="C25" s="67" t="s">
        <v>6</v>
      </c>
      <c r="D25" s="67" t="s">
        <v>2</v>
      </c>
      <c r="E25" s="67" t="s">
        <v>37</v>
      </c>
      <c r="F25" s="67">
        <v>3</v>
      </c>
      <c r="G25" s="67" t="s">
        <v>105</v>
      </c>
      <c r="H25" s="67" t="s">
        <v>33</v>
      </c>
      <c r="I25" s="67" t="s">
        <v>104</v>
      </c>
      <c r="J25" s="70" t="s">
        <v>302</v>
      </c>
      <c r="K25" s="71" t="s">
        <v>607</v>
      </c>
      <c r="L25" s="67">
        <v>1</v>
      </c>
      <c r="M25" s="67">
        <v>2</v>
      </c>
      <c r="N25" s="67" t="s">
        <v>688</v>
      </c>
      <c r="O25" s="68" t="s">
        <v>684</v>
      </c>
      <c r="P25" s="68" t="s">
        <v>683</v>
      </c>
      <c r="Q25" s="68" t="s">
        <v>607</v>
      </c>
      <c r="R25" s="68"/>
    </row>
    <row r="26" spans="1:19" s="59" customFormat="1" ht="28.95" hidden="1" customHeight="1">
      <c r="B26" s="67">
        <f t="shared" si="1"/>
        <v>8</v>
      </c>
      <c r="C26" s="67" t="s">
        <v>7</v>
      </c>
      <c r="D26" s="67" t="s">
        <v>2</v>
      </c>
      <c r="E26" s="67" t="s">
        <v>37</v>
      </c>
      <c r="F26" s="67">
        <v>3</v>
      </c>
      <c r="G26" s="68" t="s">
        <v>132</v>
      </c>
      <c r="H26" s="67" t="s">
        <v>33</v>
      </c>
      <c r="I26" s="67" t="s">
        <v>104</v>
      </c>
      <c r="J26" s="70" t="s">
        <v>327</v>
      </c>
      <c r="K26" s="67" t="s">
        <v>607</v>
      </c>
      <c r="L26" s="67">
        <v>1</v>
      </c>
      <c r="M26" s="67">
        <v>2</v>
      </c>
      <c r="N26" s="67" t="s">
        <v>688</v>
      </c>
      <c r="O26" s="68" t="s">
        <v>684</v>
      </c>
      <c r="P26" s="68" t="s">
        <v>683</v>
      </c>
      <c r="Q26" s="68" t="s">
        <v>607</v>
      </c>
      <c r="R26" s="68"/>
    </row>
    <row r="27" spans="1:19" s="59" customFormat="1" ht="15" hidden="1" customHeight="1">
      <c r="B27" s="67">
        <f t="shared" si="1"/>
        <v>9</v>
      </c>
      <c r="C27" s="67" t="s">
        <v>0</v>
      </c>
      <c r="D27" s="67" t="s">
        <v>3</v>
      </c>
      <c r="E27" s="67" t="s">
        <v>21</v>
      </c>
      <c r="F27" s="67">
        <v>12</v>
      </c>
      <c r="G27" s="67" t="s">
        <v>39</v>
      </c>
      <c r="H27" s="67" t="s">
        <v>11</v>
      </c>
      <c r="I27" s="67" t="s">
        <v>20</v>
      </c>
      <c r="J27" s="69" t="s">
        <v>243</v>
      </c>
      <c r="K27" s="68" t="s">
        <v>605</v>
      </c>
      <c r="L27" s="67">
        <v>1</v>
      </c>
      <c r="M27" s="67">
        <v>3</v>
      </c>
      <c r="N27" s="67" t="s">
        <v>687</v>
      </c>
      <c r="O27" s="68" t="s">
        <v>607</v>
      </c>
      <c r="P27" s="68" t="s">
        <v>627</v>
      </c>
      <c r="Q27" s="68" t="s">
        <v>627</v>
      </c>
      <c r="R27" s="68"/>
    </row>
    <row r="28" spans="1:19" s="59" customFormat="1" ht="15" hidden="1" customHeight="1">
      <c r="B28" s="67">
        <f t="shared" si="1"/>
        <v>10</v>
      </c>
      <c r="C28" s="67" t="s">
        <v>6</v>
      </c>
      <c r="D28" s="67" t="s">
        <v>3</v>
      </c>
      <c r="E28" s="67" t="s">
        <v>21</v>
      </c>
      <c r="F28" s="67">
        <v>12</v>
      </c>
      <c r="G28" s="67" t="s">
        <v>110</v>
      </c>
      <c r="H28" s="67" t="s">
        <v>11</v>
      </c>
      <c r="I28" s="67" t="s">
        <v>104</v>
      </c>
      <c r="J28" s="70" t="s">
        <v>306</v>
      </c>
      <c r="K28" s="67" t="s">
        <v>627</v>
      </c>
      <c r="L28" s="67">
        <v>1</v>
      </c>
      <c r="M28" s="67">
        <v>3</v>
      </c>
      <c r="N28" s="67" t="s">
        <v>687</v>
      </c>
      <c r="O28" s="68" t="s">
        <v>607</v>
      </c>
      <c r="P28" s="68" t="s">
        <v>627</v>
      </c>
      <c r="Q28" s="68" t="s">
        <v>627</v>
      </c>
      <c r="R28" s="68"/>
    </row>
    <row r="29" spans="1:19" ht="15" customHeight="1">
      <c r="A29" s="64"/>
      <c r="B29" s="21">
        <f t="shared" si="1"/>
        <v>11</v>
      </c>
      <c r="C29" s="21" t="s">
        <v>7</v>
      </c>
      <c r="D29" s="21" t="s">
        <v>3</v>
      </c>
      <c r="E29" s="21" t="s">
        <v>21</v>
      </c>
      <c r="F29" s="49">
        <v>12</v>
      </c>
      <c r="G29" s="50" t="s">
        <v>156</v>
      </c>
      <c r="H29" s="49" t="s">
        <v>11</v>
      </c>
      <c r="I29" s="21" t="s">
        <v>104</v>
      </c>
      <c r="J29" s="65" t="s">
        <v>350</v>
      </c>
      <c r="K29" s="21" t="s">
        <v>627</v>
      </c>
      <c r="L29" s="21" t="s">
        <v>708</v>
      </c>
      <c r="M29" s="21">
        <v>3</v>
      </c>
      <c r="N29" s="21" t="s">
        <v>705</v>
      </c>
      <c r="O29" s="48" t="s">
        <v>711</v>
      </c>
      <c r="P29" s="48" t="s">
        <v>683</v>
      </c>
      <c r="Q29" s="48"/>
      <c r="R29" s="48"/>
      <c r="S29" s="64"/>
    </row>
    <row r="30" spans="1:19" s="59" customFormat="1" ht="15" hidden="1" customHeight="1">
      <c r="B30" s="67">
        <f t="shared" si="1"/>
        <v>12</v>
      </c>
      <c r="C30" s="67" t="s">
        <v>6</v>
      </c>
      <c r="D30" s="67" t="s">
        <v>1</v>
      </c>
      <c r="E30" s="67" t="s">
        <v>449</v>
      </c>
      <c r="F30" s="67">
        <v>4</v>
      </c>
      <c r="G30" s="67" t="s">
        <v>56</v>
      </c>
      <c r="H30" s="67" t="s">
        <v>86</v>
      </c>
      <c r="I30" s="67" t="s">
        <v>104</v>
      </c>
      <c r="J30" s="70" t="s">
        <v>283</v>
      </c>
      <c r="K30" s="67" t="s">
        <v>605</v>
      </c>
      <c r="L30" s="67">
        <v>1</v>
      </c>
      <c r="M30" s="67">
        <v>2</v>
      </c>
      <c r="N30" s="67" t="s">
        <v>687</v>
      </c>
      <c r="O30" s="68" t="s">
        <v>607</v>
      </c>
      <c r="P30" s="68" t="s">
        <v>627</v>
      </c>
      <c r="Q30" s="68" t="s">
        <v>627</v>
      </c>
      <c r="R30" s="68"/>
    </row>
    <row r="31" spans="1:19" s="59" customFormat="1" ht="15" hidden="1" customHeight="1">
      <c r="B31" s="67">
        <f t="shared" si="1"/>
        <v>13</v>
      </c>
      <c r="C31" s="67" t="s">
        <v>7</v>
      </c>
      <c r="D31" s="67" t="s">
        <v>1</v>
      </c>
      <c r="E31" s="67" t="s">
        <v>449</v>
      </c>
      <c r="F31" s="67">
        <v>4</v>
      </c>
      <c r="G31" s="68" t="s">
        <v>126</v>
      </c>
      <c r="H31" s="67" t="s">
        <v>86</v>
      </c>
      <c r="I31" s="67" t="s">
        <v>104</v>
      </c>
      <c r="J31" s="69" t="s">
        <v>326</v>
      </c>
      <c r="K31" s="68" t="s">
        <v>605</v>
      </c>
      <c r="L31" s="67">
        <v>1</v>
      </c>
      <c r="M31" s="67">
        <v>2</v>
      </c>
      <c r="N31" s="67" t="s">
        <v>687</v>
      </c>
      <c r="O31" s="68" t="s">
        <v>607</v>
      </c>
      <c r="P31" s="68" t="s">
        <v>627</v>
      </c>
      <c r="Q31" s="68" t="s">
        <v>627</v>
      </c>
      <c r="R31" s="68"/>
    </row>
    <row r="32" spans="1:19" s="59" customFormat="1" ht="25.95" hidden="1" customHeight="1">
      <c r="B32" s="67">
        <f t="shared" si="1"/>
        <v>14</v>
      </c>
      <c r="C32" s="67" t="s">
        <v>6</v>
      </c>
      <c r="D32" s="67" t="s">
        <v>3</v>
      </c>
      <c r="E32" s="67" t="s">
        <v>419</v>
      </c>
      <c r="F32" s="67">
        <v>3</v>
      </c>
      <c r="G32" s="67" t="s">
        <v>110</v>
      </c>
      <c r="H32" s="68" t="s">
        <v>43</v>
      </c>
      <c r="I32" s="68" t="s">
        <v>122</v>
      </c>
      <c r="J32" s="69" t="s">
        <v>246</v>
      </c>
      <c r="K32" s="68" t="s">
        <v>607</v>
      </c>
      <c r="L32" s="67">
        <v>1</v>
      </c>
      <c r="M32" s="67">
        <v>2</v>
      </c>
      <c r="N32" s="68" t="s">
        <v>689</v>
      </c>
      <c r="O32" s="68" t="s">
        <v>681</v>
      </c>
      <c r="P32" s="68" t="s">
        <v>692</v>
      </c>
      <c r="Q32" s="68" t="s">
        <v>695</v>
      </c>
      <c r="R32" s="68" t="s">
        <v>699</v>
      </c>
    </row>
    <row r="33" spans="1:19" s="59" customFormat="1" ht="25.95" hidden="1" customHeight="1">
      <c r="B33" s="67">
        <f t="shared" si="1"/>
        <v>15</v>
      </c>
      <c r="C33" s="67" t="s">
        <v>7</v>
      </c>
      <c r="D33" s="67" t="s">
        <v>3</v>
      </c>
      <c r="E33" s="67" t="s">
        <v>419</v>
      </c>
      <c r="F33" s="67">
        <v>3</v>
      </c>
      <c r="G33" s="68" t="s">
        <v>156</v>
      </c>
      <c r="H33" s="68" t="s">
        <v>43</v>
      </c>
      <c r="I33" s="68" t="s">
        <v>352</v>
      </c>
      <c r="J33" s="69" t="s">
        <v>246</v>
      </c>
      <c r="K33" s="68" t="s">
        <v>607</v>
      </c>
      <c r="L33" s="67">
        <v>1</v>
      </c>
      <c r="M33" s="67">
        <v>2</v>
      </c>
      <c r="N33" s="68" t="s">
        <v>689</v>
      </c>
      <c r="O33" s="68" t="s">
        <v>681</v>
      </c>
      <c r="P33" s="68" t="s">
        <v>692</v>
      </c>
      <c r="Q33" s="68" t="s">
        <v>695</v>
      </c>
      <c r="R33" s="68" t="s">
        <v>699</v>
      </c>
    </row>
    <row r="34" spans="1:19" ht="15" customHeight="1">
      <c r="A34" s="64"/>
      <c r="B34" s="21">
        <f t="shared" si="1"/>
        <v>16</v>
      </c>
      <c r="C34" s="21" t="s">
        <v>8</v>
      </c>
      <c r="D34" s="21" t="s">
        <v>8</v>
      </c>
      <c r="E34" s="21" t="s">
        <v>520</v>
      </c>
      <c r="F34" s="49">
        <v>1</v>
      </c>
      <c r="G34" s="50" t="s">
        <v>159</v>
      </c>
      <c r="H34" s="49" t="s">
        <v>174</v>
      </c>
      <c r="I34" s="21" t="s">
        <v>104</v>
      </c>
      <c r="J34" s="65" t="s">
        <v>367</v>
      </c>
      <c r="K34" s="21" t="s">
        <v>649</v>
      </c>
      <c r="L34" s="21" t="s">
        <v>708</v>
      </c>
      <c r="M34" s="21">
        <v>1</v>
      </c>
      <c r="N34" s="21" t="s">
        <v>8</v>
      </c>
      <c r="O34" s="48"/>
      <c r="P34" s="21" t="s">
        <v>682</v>
      </c>
      <c r="Q34" s="48" t="s">
        <v>607</v>
      </c>
      <c r="R34" s="48"/>
      <c r="S34" s="64"/>
    </row>
    <row r="35" spans="1:19" ht="15" customHeight="1">
      <c r="A35" s="64"/>
      <c r="B35" s="21">
        <f t="shared" si="1"/>
        <v>17</v>
      </c>
      <c r="C35" s="21" t="s">
        <v>8</v>
      </c>
      <c r="D35" s="21" t="s">
        <v>8</v>
      </c>
      <c r="E35" s="21" t="s">
        <v>521</v>
      </c>
      <c r="F35" s="49">
        <v>1</v>
      </c>
      <c r="G35" s="50" t="s">
        <v>159</v>
      </c>
      <c r="H35" s="49" t="s">
        <v>175</v>
      </c>
      <c r="I35" s="21" t="s">
        <v>104</v>
      </c>
      <c r="J35" s="65" t="s">
        <v>368</v>
      </c>
      <c r="K35" s="21" t="s">
        <v>649</v>
      </c>
      <c r="L35" s="21" t="s">
        <v>708</v>
      </c>
      <c r="M35" s="21">
        <v>1</v>
      </c>
      <c r="N35" s="21" t="s">
        <v>8</v>
      </c>
      <c r="O35" s="48"/>
      <c r="P35" s="21" t="s">
        <v>682</v>
      </c>
      <c r="Q35" s="48" t="s">
        <v>607</v>
      </c>
      <c r="R35" s="48"/>
      <c r="S35" s="64"/>
    </row>
    <row r="36" spans="1:19" s="59" customFormat="1" ht="15" hidden="1" customHeight="1">
      <c r="B36" s="67">
        <f t="shared" si="1"/>
        <v>18</v>
      </c>
      <c r="C36" s="67" t="s">
        <v>8</v>
      </c>
      <c r="D36" s="67" t="s">
        <v>8</v>
      </c>
      <c r="E36" s="67" t="s">
        <v>525</v>
      </c>
      <c r="F36" s="67">
        <v>1</v>
      </c>
      <c r="G36" s="68" t="s">
        <v>159</v>
      </c>
      <c r="H36" s="67" t="s">
        <v>179</v>
      </c>
      <c r="I36" s="67" t="s">
        <v>104</v>
      </c>
      <c r="J36" s="70" t="s">
        <v>372</v>
      </c>
      <c r="K36" s="67" t="s">
        <v>607</v>
      </c>
      <c r="L36" s="67">
        <v>1</v>
      </c>
      <c r="M36" s="67">
        <v>1</v>
      </c>
      <c r="N36" s="67" t="s">
        <v>697</v>
      </c>
      <c r="O36" s="68"/>
      <c r="P36" s="67" t="s">
        <v>682</v>
      </c>
      <c r="Q36" s="68" t="s">
        <v>607</v>
      </c>
      <c r="R36" s="68"/>
    </row>
    <row r="37" spans="1:19" s="51" customFormat="1" ht="15" customHeight="1">
      <c r="A37" s="64"/>
      <c r="B37" s="21">
        <f t="shared" si="1"/>
        <v>19</v>
      </c>
      <c r="C37" s="21" t="s">
        <v>0</v>
      </c>
      <c r="D37" s="21" t="s">
        <v>3</v>
      </c>
      <c r="E37" s="21" t="s">
        <v>51</v>
      </c>
      <c r="F37" s="49">
        <v>3</v>
      </c>
      <c r="G37" s="49" t="s">
        <v>39</v>
      </c>
      <c r="H37" s="49" t="s">
        <v>45</v>
      </c>
      <c r="I37" s="21" t="s">
        <v>20</v>
      </c>
      <c r="J37" s="66" t="s">
        <v>248</v>
      </c>
      <c r="K37" s="48">
        <v>1</v>
      </c>
      <c r="L37" s="21" t="s">
        <v>708</v>
      </c>
      <c r="M37" s="21">
        <v>3</v>
      </c>
      <c r="N37" s="21" t="s">
        <v>679</v>
      </c>
      <c r="O37" s="48" t="s">
        <v>709</v>
      </c>
      <c r="P37" s="48" t="s">
        <v>683</v>
      </c>
      <c r="Q37" s="48" t="s">
        <v>607</v>
      </c>
      <c r="R37" s="48"/>
      <c r="S37" s="64"/>
    </row>
    <row r="38" spans="1:19" s="51" customFormat="1" ht="15" customHeight="1">
      <c r="A38" s="64"/>
      <c r="B38" s="21">
        <f t="shared" si="1"/>
        <v>20</v>
      </c>
      <c r="C38" s="21" t="s">
        <v>6</v>
      </c>
      <c r="D38" s="21" t="s">
        <v>3</v>
      </c>
      <c r="E38" s="21" t="s">
        <v>51</v>
      </c>
      <c r="F38" s="49">
        <v>3</v>
      </c>
      <c r="G38" s="49" t="s">
        <v>110</v>
      </c>
      <c r="H38" s="49" t="s">
        <v>45</v>
      </c>
      <c r="I38" s="21" t="s">
        <v>104</v>
      </c>
      <c r="J38" s="66" t="s">
        <v>307</v>
      </c>
      <c r="K38" s="48">
        <v>1</v>
      </c>
      <c r="L38" s="21" t="s">
        <v>708</v>
      </c>
      <c r="M38" s="21">
        <v>3</v>
      </c>
      <c r="N38" s="21" t="s">
        <v>679</v>
      </c>
      <c r="O38" s="48" t="s">
        <v>709</v>
      </c>
      <c r="P38" s="48" t="s">
        <v>683</v>
      </c>
      <c r="Q38" s="48" t="s">
        <v>607</v>
      </c>
      <c r="R38" s="48"/>
      <c r="S38" s="64"/>
    </row>
    <row r="39" spans="1:19" ht="15" customHeight="1">
      <c r="A39" s="64"/>
      <c r="B39" s="21">
        <f t="shared" si="1"/>
        <v>21</v>
      </c>
      <c r="C39" s="21" t="s">
        <v>7</v>
      </c>
      <c r="D39" s="21" t="s">
        <v>3</v>
      </c>
      <c r="E39" s="21" t="s">
        <v>51</v>
      </c>
      <c r="F39" s="49">
        <v>3</v>
      </c>
      <c r="G39" s="50" t="s">
        <v>156</v>
      </c>
      <c r="H39" s="49" t="s">
        <v>45</v>
      </c>
      <c r="I39" s="21" t="s">
        <v>104</v>
      </c>
      <c r="J39" s="65" t="s">
        <v>307</v>
      </c>
      <c r="K39" s="21">
        <v>1</v>
      </c>
      <c r="L39" s="21" t="s">
        <v>708</v>
      </c>
      <c r="M39" s="21">
        <v>3</v>
      </c>
      <c r="N39" s="21" t="s">
        <v>679</v>
      </c>
      <c r="O39" s="48" t="s">
        <v>709</v>
      </c>
      <c r="P39" s="48" t="s">
        <v>683</v>
      </c>
      <c r="Q39" s="48" t="s">
        <v>607</v>
      </c>
      <c r="R39" s="48"/>
      <c r="S39" s="64"/>
    </row>
    <row r="40" spans="1:19" s="59" customFormat="1" ht="15" hidden="1" customHeight="1">
      <c r="B40" s="67">
        <f t="shared" si="1"/>
        <v>22</v>
      </c>
      <c r="C40" s="67" t="s">
        <v>8</v>
      </c>
      <c r="D40" s="67" t="s">
        <v>8</v>
      </c>
      <c r="E40" s="67" t="s">
        <v>526</v>
      </c>
      <c r="F40" s="67">
        <v>1</v>
      </c>
      <c r="G40" s="68" t="s">
        <v>159</v>
      </c>
      <c r="H40" s="67" t="s">
        <v>180</v>
      </c>
      <c r="I40" s="67" t="s">
        <v>104</v>
      </c>
      <c r="J40" s="70" t="s">
        <v>373</v>
      </c>
      <c r="K40" s="67" t="s">
        <v>627</v>
      </c>
      <c r="L40" s="67">
        <v>1</v>
      </c>
      <c r="M40" s="67">
        <v>1</v>
      </c>
      <c r="N40" s="67" t="s">
        <v>8</v>
      </c>
      <c r="O40" s="68"/>
      <c r="P40" s="67" t="s">
        <v>682</v>
      </c>
      <c r="Q40" s="68" t="s">
        <v>607</v>
      </c>
      <c r="R40" s="68"/>
    </row>
    <row r="41" spans="1:19" s="59" customFormat="1" ht="15" hidden="1" customHeight="1">
      <c r="B41" s="67">
        <f t="shared" si="1"/>
        <v>23</v>
      </c>
      <c r="C41" s="67" t="s">
        <v>0</v>
      </c>
      <c r="D41" s="67" t="s">
        <v>2</v>
      </c>
      <c r="E41" s="67" t="s">
        <v>38</v>
      </c>
      <c r="F41" s="67">
        <v>3</v>
      </c>
      <c r="G41" s="67" t="s">
        <v>30</v>
      </c>
      <c r="H41" s="67" t="s">
        <v>34</v>
      </c>
      <c r="I41" s="67" t="s">
        <v>20</v>
      </c>
      <c r="J41" s="69" t="s">
        <v>240</v>
      </c>
      <c r="K41" s="68" t="s">
        <v>605</v>
      </c>
      <c r="L41" s="67">
        <v>1</v>
      </c>
      <c r="M41" s="67">
        <v>3</v>
      </c>
      <c r="N41" s="67" t="s">
        <v>687</v>
      </c>
      <c r="O41" s="68" t="s">
        <v>607</v>
      </c>
      <c r="P41" s="68" t="s">
        <v>627</v>
      </c>
      <c r="Q41" s="68" t="s">
        <v>627</v>
      </c>
      <c r="R41" s="68"/>
    </row>
    <row r="42" spans="1:19" s="59" customFormat="1" ht="15" hidden="1" customHeight="1">
      <c r="B42" s="67">
        <f t="shared" si="1"/>
        <v>24</v>
      </c>
      <c r="C42" s="67" t="s">
        <v>6</v>
      </c>
      <c r="D42" s="67" t="s">
        <v>2</v>
      </c>
      <c r="E42" s="67" t="s">
        <v>38</v>
      </c>
      <c r="F42" s="67">
        <v>3</v>
      </c>
      <c r="G42" s="67" t="s">
        <v>105</v>
      </c>
      <c r="H42" s="67" t="s">
        <v>34</v>
      </c>
      <c r="I42" s="67" t="s">
        <v>104</v>
      </c>
      <c r="J42" s="70" t="s">
        <v>240</v>
      </c>
      <c r="K42" s="67" t="s">
        <v>605</v>
      </c>
      <c r="L42" s="67">
        <v>1</v>
      </c>
      <c r="M42" s="67">
        <v>3</v>
      </c>
      <c r="N42" s="67" t="s">
        <v>687</v>
      </c>
      <c r="O42" s="68" t="s">
        <v>607</v>
      </c>
      <c r="P42" s="68" t="s">
        <v>627</v>
      </c>
      <c r="Q42" s="68" t="s">
        <v>627</v>
      </c>
      <c r="R42" s="68"/>
    </row>
    <row r="43" spans="1:19" s="59" customFormat="1" ht="15" hidden="1" customHeight="1">
      <c r="B43" s="67">
        <f t="shared" si="1"/>
        <v>25</v>
      </c>
      <c r="C43" s="67" t="s">
        <v>7</v>
      </c>
      <c r="D43" s="67" t="s">
        <v>2</v>
      </c>
      <c r="E43" s="67" t="s">
        <v>38</v>
      </c>
      <c r="F43" s="67">
        <v>3</v>
      </c>
      <c r="G43" s="68" t="s">
        <v>132</v>
      </c>
      <c r="H43" s="67" t="s">
        <v>34</v>
      </c>
      <c r="I43" s="67" t="s">
        <v>104</v>
      </c>
      <c r="J43" s="70" t="s">
        <v>328</v>
      </c>
      <c r="K43" s="67" t="s">
        <v>605</v>
      </c>
      <c r="L43" s="67">
        <v>1</v>
      </c>
      <c r="M43" s="67">
        <v>3</v>
      </c>
      <c r="N43" s="67" t="s">
        <v>687</v>
      </c>
      <c r="O43" s="68" t="s">
        <v>607</v>
      </c>
      <c r="P43" s="68" t="s">
        <v>627</v>
      </c>
      <c r="Q43" s="68" t="s">
        <v>627</v>
      </c>
      <c r="R43" s="68"/>
    </row>
    <row r="44" spans="1:19" ht="15" customHeight="1">
      <c r="A44" s="64"/>
      <c r="B44" s="21">
        <f t="shared" si="1"/>
        <v>26</v>
      </c>
      <c r="C44" s="21" t="s">
        <v>6</v>
      </c>
      <c r="D44" s="21" t="s">
        <v>3</v>
      </c>
      <c r="E44" s="21" t="s">
        <v>479</v>
      </c>
      <c r="F44" s="49">
        <v>4</v>
      </c>
      <c r="G44" s="49" t="s">
        <v>110</v>
      </c>
      <c r="H44" s="49" t="s">
        <v>120</v>
      </c>
      <c r="I44" s="21" t="s">
        <v>104</v>
      </c>
      <c r="J44" s="65" t="s">
        <v>316</v>
      </c>
      <c r="K44" s="48" t="s">
        <v>635</v>
      </c>
      <c r="L44" s="21" t="s">
        <v>708</v>
      </c>
      <c r="M44" s="21">
        <v>2</v>
      </c>
      <c r="N44" s="21" t="s">
        <v>707</v>
      </c>
      <c r="O44" s="48" t="s">
        <v>712</v>
      </c>
      <c r="P44" s="48" t="s">
        <v>683</v>
      </c>
      <c r="Q44" s="48" t="s">
        <v>607</v>
      </c>
      <c r="R44" s="48"/>
      <c r="S44" s="64"/>
    </row>
    <row r="45" spans="1:19" ht="15" customHeight="1">
      <c r="A45" s="64"/>
      <c r="B45" s="21">
        <f t="shared" si="1"/>
        <v>27</v>
      </c>
      <c r="C45" s="21" t="s">
        <v>7</v>
      </c>
      <c r="D45" s="21" t="s">
        <v>3</v>
      </c>
      <c r="E45" s="21" t="s">
        <v>479</v>
      </c>
      <c r="F45" s="49">
        <v>4</v>
      </c>
      <c r="G45" s="50" t="s">
        <v>156</v>
      </c>
      <c r="H45" s="49" t="s">
        <v>120</v>
      </c>
      <c r="I45" s="21" t="s">
        <v>104</v>
      </c>
      <c r="J45" s="65" t="s">
        <v>316</v>
      </c>
      <c r="K45" s="48" t="s">
        <v>635</v>
      </c>
      <c r="L45" s="21" t="s">
        <v>708</v>
      </c>
      <c r="M45" s="21">
        <v>2</v>
      </c>
      <c r="N45" s="21" t="s">
        <v>707</v>
      </c>
      <c r="O45" s="48" t="s">
        <v>712</v>
      </c>
      <c r="P45" s="48" t="s">
        <v>683</v>
      </c>
      <c r="Q45" s="48" t="s">
        <v>607</v>
      </c>
      <c r="R45" s="48"/>
      <c r="S45" s="64"/>
    </row>
    <row r="46" spans="1:19" s="59" customFormat="1" ht="15" hidden="1" customHeight="1">
      <c r="B46" s="67">
        <f t="shared" si="1"/>
        <v>28</v>
      </c>
      <c r="C46" s="67" t="s">
        <v>6</v>
      </c>
      <c r="D46" s="67" t="s">
        <v>1</v>
      </c>
      <c r="E46" s="67" t="s">
        <v>442</v>
      </c>
      <c r="F46" s="67">
        <v>1</v>
      </c>
      <c r="G46" s="67" t="s">
        <v>56</v>
      </c>
      <c r="H46" s="67" t="s">
        <v>79</v>
      </c>
      <c r="I46" s="67" t="s">
        <v>104</v>
      </c>
      <c r="J46" s="70" t="s">
        <v>240</v>
      </c>
      <c r="K46" s="67" t="s">
        <v>605</v>
      </c>
      <c r="L46" s="67">
        <v>1</v>
      </c>
      <c r="M46" s="67">
        <v>1</v>
      </c>
      <c r="N46" s="67" t="s">
        <v>687</v>
      </c>
      <c r="O46" s="68" t="s">
        <v>607</v>
      </c>
      <c r="P46" s="68" t="s">
        <v>627</v>
      </c>
      <c r="Q46" s="68" t="s">
        <v>627</v>
      </c>
      <c r="R46" s="68"/>
    </row>
    <row r="47" spans="1:19" ht="15" customHeight="1">
      <c r="Q47" s="51"/>
      <c r="R47" s="51"/>
    </row>
    <row r="48" spans="1:19" ht="15" hidden="1" customHeight="1">
      <c r="Q48" s="51"/>
      <c r="R48" s="51"/>
    </row>
    <row r="49" spans="17:18" ht="15" hidden="1" customHeight="1">
      <c r="Q49" s="51"/>
      <c r="R49" s="51"/>
    </row>
    <row r="50" spans="17:18" ht="15" hidden="1" customHeight="1">
      <c r="Q50" s="51"/>
      <c r="R50" s="51"/>
    </row>
    <row r="51" spans="17:18" ht="3" hidden="1" customHeight="1">
      <c r="Q51" s="51"/>
      <c r="R51" s="51"/>
    </row>
    <row r="52" spans="17:18" ht="15" hidden="1" customHeight="1">
      <c r="Q52" s="51"/>
      <c r="R52" s="51"/>
    </row>
    <row r="53" spans="17:18" ht="15" hidden="1" customHeight="1">
      <c r="Q53" s="51"/>
      <c r="R53" s="51"/>
    </row>
    <row r="54" spans="17:18" ht="15" hidden="1" customHeight="1">
      <c r="Q54" s="51"/>
      <c r="R54" s="51"/>
    </row>
    <row r="55" spans="17:18" ht="15" hidden="1" customHeight="1">
      <c r="Q55" s="51"/>
      <c r="R55" s="51"/>
    </row>
    <row r="56" spans="17:18" ht="15" hidden="1" customHeight="1">
      <c r="Q56" s="51"/>
      <c r="R56" s="51"/>
    </row>
    <row r="57" spans="17:18" ht="15" hidden="1" customHeight="1">
      <c r="Q57" s="51"/>
      <c r="R57" s="51"/>
    </row>
    <row r="58" spans="17:18" ht="15" hidden="1" customHeight="1">
      <c r="Q58" s="51"/>
      <c r="R58" s="51"/>
    </row>
    <row r="59" spans="17:18" ht="15" hidden="1" customHeight="1">
      <c r="Q59" s="51"/>
      <c r="R59" s="51"/>
    </row>
    <row r="60" spans="17:18" ht="15" hidden="1" customHeight="1">
      <c r="Q60" s="51"/>
      <c r="R60" s="51"/>
    </row>
    <row r="61" spans="17:18" ht="15" hidden="1" customHeight="1">
      <c r="Q61" s="51"/>
      <c r="R61" s="51"/>
    </row>
    <row r="62" spans="17:18" ht="15" hidden="1" customHeight="1">
      <c r="Q62" s="51"/>
      <c r="R62" s="51"/>
    </row>
    <row r="63" spans="17:18" ht="15" hidden="1" customHeight="1">
      <c r="Q63" s="51"/>
      <c r="R63" s="51"/>
    </row>
    <row r="64" spans="17:18" ht="15" hidden="1" customHeight="1">
      <c r="Q64" s="51"/>
      <c r="R64" s="51"/>
    </row>
    <row r="65" spans="17:18" ht="15" hidden="1" customHeight="1">
      <c r="Q65" s="51"/>
      <c r="R65" s="51"/>
    </row>
    <row r="66" spans="17:18" ht="15" hidden="1" customHeight="1">
      <c r="Q66" s="51"/>
      <c r="R66" s="51"/>
    </row>
    <row r="67" spans="17:18" ht="15" hidden="1" customHeight="1">
      <c r="Q67" s="51"/>
      <c r="R67" s="51"/>
    </row>
    <row r="68" spans="17:18" ht="15" hidden="1" customHeight="1">
      <c r="Q68" s="51"/>
      <c r="R68" s="51"/>
    </row>
    <row r="69" spans="17:18" ht="15" hidden="1" customHeight="1">
      <c r="Q69" s="51"/>
      <c r="R69" s="51"/>
    </row>
    <row r="70" spans="17:18" ht="15" hidden="1" customHeight="1">
      <c r="Q70" s="51"/>
      <c r="R70" s="51"/>
    </row>
    <row r="71" spans="17:18" ht="15" hidden="1" customHeight="1">
      <c r="Q71" s="51"/>
      <c r="R71" s="51"/>
    </row>
    <row r="72" spans="17:18" ht="15" hidden="1" customHeight="1">
      <c r="Q72" s="51"/>
      <c r="R72" s="51"/>
    </row>
    <row r="73" spans="17:18" ht="15" hidden="1" customHeight="1">
      <c r="Q73" s="51"/>
      <c r="R73" s="51"/>
    </row>
    <row r="74" spans="17:18" ht="15" hidden="1" customHeight="1">
      <c r="Q74" s="51"/>
      <c r="R74" s="51"/>
    </row>
    <row r="75" spans="17:18" ht="15" hidden="1" customHeight="1">
      <c r="Q75" s="51"/>
      <c r="R75" s="51"/>
    </row>
    <row r="76" spans="17:18" ht="15" hidden="1" customHeight="1">
      <c r="Q76" s="51"/>
      <c r="R76" s="51"/>
    </row>
    <row r="77" spans="17:18" ht="15" hidden="1" customHeight="1">
      <c r="Q77" s="51"/>
      <c r="R77" s="51"/>
    </row>
    <row r="78" spans="17:18" ht="15" hidden="1" customHeight="1">
      <c r="Q78" s="51"/>
      <c r="R78" s="51"/>
    </row>
    <row r="79" spans="17:18" ht="15" hidden="1" customHeight="1">
      <c r="Q79" s="51"/>
      <c r="R79" s="51"/>
    </row>
    <row r="80" spans="17:18" ht="15" hidden="1" customHeight="1">
      <c r="Q80" s="51"/>
      <c r="R80" s="51"/>
    </row>
    <row r="81" spans="17:18" ht="15" hidden="1" customHeight="1">
      <c r="Q81" s="51"/>
      <c r="R81" s="51"/>
    </row>
    <row r="82" spans="17:18" ht="15" hidden="1" customHeight="1">
      <c r="Q82" s="51"/>
      <c r="R82" s="51"/>
    </row>
    <row r="83" spans="17:18" ht="15" hidden="1" customHeight="1">
      <c r="Q83" s="51"/>
      <c r="R83" s="51"/>
    </row>
    <row r="84" spans="17:18" ht="15" hidden="1" customHeight="1">
      <c r="Q84" s="51"/>
      <c r="R84" s="51"/>
    </row>
    <row r="85" spans="17:18" ht="15" hidden="1" customHeight="1">
      <c r="Q85" s="51"/>
      <c r="R85" s="51"/>
    </row>
    <row r="86" spans="17:18" ht="15" hidden="1" customHeight="1">
      <c r="Q86" s="51"/>
      <c r="R86" s="51"/>
    </row>
    <row r="87" spans="17:18" ht="15" hidden="1" customHeight="1">
      <c r="Q87" s="51"/>
      <c r="R87" s="51"/>
    </row>
    <row r="88" spans="17:18" ht="15" hidden="1" customHeight="1">
      <c r="Q88" s="51"/>
      <c r="R88" s="51"/>
    </row>
    <row r="89" spans="17:18" ht="15" hidden="1" customHeight="1">
      <c r="Q89" s="51"/>
      <c r="R89" s="51"/>
    </row>
    <row r="90" spans="17:18" ht="15" hidden="1" customHeight="1">
      <c r="Q90" s="51"/>
      <c r="R90" s="51"/>
    </row>
    <row r="91" spans="17:18" ht="15" hidden="1" customHeight="1">
      <c r="Q91" s="51"/>
      <c r="R91" s="51"/>
    </row>
    <row r="92" spans="17:18" ht="15" hidden="1" customHeight="1">
      <c r="Q92" s="51"/>
      <c r="R92" s="51"/>
    </row>
    <row r="93" spans="17:18" ht="15" hidden="1" customHeight="1">
      <c r="Q93" s="51"/>
      <c r="R93" s="51"/>
    </row>
    <row r="94" spans="17:18" ht="15" hidden="1" customHeight="1">
      <c r="Q94" s="51"/>
      <c r="R94" s="51"/>
    </row>
    <row r="95" spans="17:18" ht="15" hidden="1" customHeight="1">
      <c r="Q95" s="51"/>
      <c r="R95" s="51"/>
    </row>
    <row r="96" spans="17:18" ht="15" hidden="1" customHeight="1">
      <c r="Q96" s="51"/>
      <c r="R96" s="51"/>
    </row>
    <row r="97" spans="17:18" ht="15" hidden="1" customHeight="1">
      <c r="Q97" s="51"/>
      <c r="R97" s="51"/>
    </row>
    <row r="98" spans="17:18" ht="15" hidden="1" customHeight="1">
      <c r="Q98" s="51"/>
      <c r="R98" s="51"/>
    </row>
    <row r="99" spans="17:18" ht="15" hidden="1" customHeight="1">
      <c r="Q99" s="51"/>
      <c r="R99" s="51"/>
    </row>
    <row r="100" spans="17:18" ht="15" hidden="1" customHeight="1">
      <c r="Q100" s="51"/>
      <c r="R100" s="51"/>
    </row>
    <row r="101" spans="17:18" ht="15" hidden="1" customHeight="1">
      <c r="Q101" s="51"/>
      <c r="R101" s="51"/>
    </row>
    <row r="102" spans="17:18" ht="15" hidden="1" customHeight="1">
      <c r="Q102" s="51"/>
      <c r="R102" s="51"/>
    </row>
    <row r="103" spans="17:18" ht="15" hidden="1" customHeight="1">
      <c r="Q103" s="51"/>
      <c r="R103" s="51"/>
    </row>
    <row r="104" spans="17:18" ht="15" hidden="1" customHeight="1">
      <c r="Q104" s="51"/>
      <c r="R104" s="51"/>
    </row>
    <row r="105" spans="17:18" ht="15" hidden="1" customHeight="1">
      <c r="Q105" s="51"/>
      <c r="R105" s="51"/>
    </row>
    <row r="106" spans="17:18" ht="15" hidden="1" customHeight="1">
      <c r="Q106" s="51"/>
      <c r="R106" s="51"/>
    </row>
    <row r="107" spans="17:18" ht="15" hidden="1" customHeight="1">
      <c r="Q107" s="51"/>
      <c r="R107" s="51"/>
    </row>
    <row r="108" spans="17:18" ht="15" hidden="1" customHeight="1">
      <c r="Q108" s="51"/>
      <c r="R108" s="51"/>
    </row>
    <row r="109" spans="17:18" ht="15" hidden="1" customHeight="1">
      <c r="Q109" s="51"/>
      <c r="R109" s="51"/>
    </row>
    <row r="110" spans="17:18" ht="15" hidden="1" customHeight="1">
      <c r="Q110" s="51"/>
      <c r="R110" s="51"/>
    </row>
    <row r="111" spans="17:18" ht="15" hidden="1" customHeight="1">
      <c r="Q111" s="51"/>
      <c r="R111" s="51"/>
    </row>
    <row r="112" spans="17:18" ht="15" hidden="1" customHeight="1">
      <c r="Q112" s="51"/>
      <c r="R112" s="51"/>
    </row>
    <row r="113" spans="17:18" ht="15" hidden="1" customHeight="1">
      <c r="Q113" s="51"/>
      <c r="R113" s="51"/>
    </row>
    <row r="114" spans="17:18" ht="15" hidden="1" customHeight="1">
      <c r="Q114" s="51"/>
      <c r="R114" s="51"/>
    </row>
    <row r="115" spans="17:18" ht="15" hidden="1" customHeight="1">
      <c r="Q115" s="51"/>
      <c r="R115" s="51"/>
    </row>
    <row r="116" spans="17:18" ht="15" hidden="1" customHeight="1">
      <c r="Q116" s="51"/>
      <c r="R116" s="51"/>
    </row>
    <row r="117" spans="17:18" ht="15" hidden="1" customHeight="1">
      <c r="Q117" s="51"/>
      <c r="R117" s="51"/>
    </row>
    <row r="118" spans="17:18" ht="15" hidden="1" customHeight="1">
      <c r="Q118" s="51"/>
      <c r="R118" s="51"/>
    </row>
    <row r="119" spans="17:18" ht="15" hidden="1" customHeight="1">
      <c r="Q119" s="51"/>
      <c r="R119" s="51"/>
    </row>
    <row r="120" spans="17:18" ht="15" hidden="1" customHeight="1">
      <c r="Q120" s="51"/>
      <c r="R120" s="51"/>
    </row>
    <row r="121" spans="17:18" ht="15" hidden="1" customHeight="1">
      <c r="Q121" s="51"/>
      <c r="R121" s="51"/>
    </row>
    <row r="122" spans="17:18" ht="15" hidden="1" customHeight="1">
      <c r="Q122" s="51"/>
      <c r="R122" s="51"/>
    </row>
    <row r="123" spans="17:18" ht="15" hidden="1" customHeight="1">
      <c r="Q123" s="51"/>
      <c r="R123" s="51"/>
    </row>
    <row r="124" spans="17:18" ht="15" hidden="1" customHeight="1">
      <c r="Q124" s="51"/>
      <c r="R124" s="51"/>
    </row>
    <row r="125" spans="17:18" ht="15" hidden="1" customHeight="1">
      <c r="Q125" s="51"/>
      <c r="R125" s="51"/>
    </row>
    <row r="126" spans="17:18" ht="15" hidden="1" customHeight="1">
      <c r="Q126" s="51"/>
      <c r="R126" s="51"/>
    </row>
    <row r="127" spans="17:18" ht="15" hidden="1" customHeight="1">
      <c r="Q127" s="51"/>
      <c r="R127" s="51"/>
    </row>
    <row r="128" spans="17:18" ht="15" hidden="1" customHeight="1">
      <c r="Q128" s="51"/>
      <c r="R128" s="51"/>
    </row>
    <row r="129" spans="17:18" ht="15" hidden="1" customHeight="1">
      <c r="Q129" s="51"/>
      <c r="R129" s="51"/>
    </row>
    <row r="130" spans="17:18" ht="15" hidden="1" customHeight="1">
      <c r="Q130" s="51"/>
      <c r="R130" s="51"/>
    </row>
    <row r="131" spans="17:18" ht="15" hidden="1" customHeight="1">
      <c r="Q131" s="51"/>
      <c r="R131" s="51"/>
    </row>
    <row r="132" spans="17:18" ht="15" hidden="1" customHeight="1">
      <c r="Q132" s="51"/>
      <c r="R132" s="51"/>
    </row>
    <row r="133" spans="17:18" ht="15" hidden="1" customHeight="1">
      <c r="Q133" s="51"/>
      <c r="R133" s="51"/>
    </row>
    <row r="134" spans="17:18" ht="15" hidden="1" customHeight="1">
      <c r="Q134" s="51"/>
      <c r="R134" s="51"/>
    </row>
    <row r="135" spans="17:18" ht="15" hidden="1" customHeight="1">
      <c r="Q135" s="51"/>
      <c r="R135" s="51"/>
    </row>
    <row r="136" spans="17:18" ht="15" hidden="1" customHeight="1">
      <c r="Q136" s="51"/>
      <c r="R136" s="51"/>
    </row>
    <row r="137" spans="17:18" ht="15" hidden="1" customHeight="1">
      <c r="Q137" s="51"/>
      <c r="R137" s="51"/>
    </row>
    <row r="138" spans="17:18" ht="15" hidden="1" customHeight="1">
      <c r="Q138" s="51"/>
      <c r="R138" s="51"/>
    </row>
    <row r="139" spans="17:18" ht="15" hidden="1" customHeight="1">
      <c r="Q139" s="51"/>
      <c r="R139" s="51"/>
    </row>
    <row r="140" spans="17:18" ht="15" hidden="1" customHeight="1">
      <c r="Q140" s="51"/>
      <c r="R140" s="51"/>
    </row>
    <row r="141" spans="17:18" ht="15" hidden="1" customHeight="1">
      <c r="Q141" s="51"/>
      <c r="R141" s="51"/>
    </row>
    <row r="142" spans="17:18" ht="15" hidden="1" customHeight="1">
      <c r="Q142" s="51"/>
      <c r="R142" s="51"/>
    </row>
    <row r="143" spans="17:18" ht="15" hidden="1" customHeight="1">
      <c r="Q143" s="51"/>
      <c r="R143" s="51"/>
    </row>
    <row r="144" spans="17:18" ht="15" hidden="1" customHeight="1">
      <c r="Q144" s="51"/>
      <c r="R144" s="51"/>
    </row>
    <row r="145" spans="17:18" ht="15" hidden="1" customHeight="1">
      <c r="Q145" s="51"/>
      <c r="R145" s="51"/>
    </row>
    <row r="146" spans="17:18" ht="15" hidden="1" customHeight="1">
      <c r="Q146" s="51"/>
      <c r="R146" s="51"/>
    </row>
    <row r="147" spans="17:18" ht="15" hidden="1" customHeight="1">
      <c r="Q147" s="51"/>
      <c r="R147" s="51"/>
    </row>
    <row r="148" spans="17:18" ht="15" hidden="1" customHeight="1">
      <c r="Q148" s="51"/>
      <c r="R148" s="51"/>
    </row>
    <row r="149" spans="17:18" ht="15" hidden="1" customHeight="1">
      <c r="Q149" s="51"/>
      <c r="R149" s="51"/>
    </row>
    <row r="150" spans="17:18" ht="15" hidden="1" customHeight="1">
      <c r="Q150" s="51"/>
      <c r="R150" s="51"/>
    </row>
    <row r="151" spans="17:18" ht="15" hidden="1" customHeight="1">
      <c r="Q151" s="51"/>
      <c r="R151" s="51"/>
    </row>
    <row r="152" spans="17:18" ht="15" hidden="1" customHeight="1">
      <c r="Q152" s="51"/>
      <c r="R152" s="51"/>
    </row>
    <row r="153" spans="17:18" ht="15" hidden="1" customHeight="1">
      <c r="Q153" s="51"/>
      <c r="R153" s="51"/>
    </row>
    <row r="154" spans="17:18" ht="15" hidden="1" customHeight="1">
      <c r="Q154" s="51"/>
      <c r="R154" s="51"/>
    </row>
    <row r="155" spans="17:18" ht="15" hidden="1" customHeight="1">
      <c r="Q155" s="51"/>
      <c r="R155" s="51"/>
    </row>
    <row r="156" spans="17:18" ht="15" hidden="1" customHeight="1">
      <c r="Q156" s="51"/>
      <c r="R156" s="51"/>
    </row>
    <row r="157" spans="17:18" ht="15" hidden="1" customHeight="1">
      <c r="Q157" s="51"/>
      <c r="R157" s="51"/>
    </row>
    <row r="158" spans="17:18" ht="15" hidden="1" customHeight="1">
      <c r="Q158" s="51"/>
      <c r="R158" s="51"/>
    </row>
    <row r="159" spans="17:18" ht="15" hidden="1" customHeight="1">
      <c r="Q159" s="51"/>
      <c r="R159" s="51"/>
    </row>
    <row r="160" spans="17:18" ht="15" hidden="1" customHeight="1">
      <c r="Q160" s="51"/>
      <c r="R160" s="51"/>
    </row>
    <row r="161" spans="17:18" ht="15" hidden="1" customHeight="1">
      <c r="Q161" s="51"/>
      <c r="R161" s="51"/>
    </row>
    <row r="162" spans="17:18" ht="15" hidden="1" customHeight="1">
      <c r="Q162" s="51"/>
      <c r="R162" s="51"/>
    </row>
    <row r="163" spans="17:18" ht="15" hidden="1" customHeight="1">
      <c r="Q163" s="51"/>
      <c r="R163" s="51"/>
    </row>
    <row r="164" spans="17:18" ht="15" hidden="1" customHeight="1">
      <c r="Q164" s="51"/>
      <c r="R164" s="51"/>
    </row>
    <row r="165" spans="17:18" ht="15" hidden="1" customHeight="1">
      <c r="Q165" s="51"/>
      <c r="R165" s="51"/>
    </row>
    <row r="166" spans="17:18" ht="15" hidden="1" customHeight="1">
      <c r="Q166" s="51"/>
      <c r="R166" s="51"/>
    </row>
    <row r="167" spans="17:18" ht="15" hidden="1" customHeight="1">
      <c r="Q167" s="51"/>
      <c r="R167" s="51"/>
    </row>
    <row r="168" spans="17:18" ht="15" hidden="1" customHeight="1">
      <c r="Q168" s="51"/>
      <c r="R168" s="51"/>
    </row>
    <row r="169" spans="17:18" ht="15" hidden="1" customHeight="1">
      <c r="Q169" s="51"/>
      <c r="R169" s="51"/>
    </row>
    <row r="170" spans="17:18" ht="15" hidden="1" customHeight="1">
      <c r="Q170" s="51"/>
      <c r="R170" s="51"/>
    </row>
    <row r="171" spans="17:18" ht="15" hidden="1" customHeight="1">
      <c r="Q171" s="51"/>
      <c r="R171" s="51"/>
    </row>
    <row r="172" spans="17:18" ht="15" hidden="1" customHeight="1">
      <c r="Q172" s="51"/>
      <c r="R172" s="51"/>
    </row>
    <row r="173" spans="17:18" ht="15" hidden="1" customHeight="1">
      <c r="Q173" s="51"/>
      <c r="R173" s="51"/>
    </row>
    <row r="174" spans="17:18" ht="15" hidden="1" customHeight="1">
      <c r="Q174" s="51"/>
      <c r="R174" s="51"/>
    </row>
    <row r="175" spans="17:18" ht="15" hidden="1" customHeight="1">
      <c r="Q175" s="51"/>
      <c r="R175" s="51"/>
    </row>
    <row r="176" spans="17:18" ht="15" hidden="1" customHeight="1">
      <c r="Q176" s="51"/>
      <c r="R176" s="51"/>
    </row>
    <row r="177" spans="17:18" ht="15" hidden="1" customHeight="1">
      <c r="Q177" s="51"/>
      <c r="R177" s="51"/>
    </row>
    <row r="178" spans="17:18" ht="15" hidden="1" customHeight="1">
      <c r="Q178" s="51"/>
      <c r="R178" s="51"/>
    </row>
    <row r="179" spans="17:18" ht="15" hidden="1" customHeight="1">
      <c r="Q179" s="51"/>
      <c r="R179" s="51"/>
    </row>
    <row r="180" spans="17:18" ht="15" hidden="1" customHeight="1">
      <c r="Q180" s="51"/>
      <c r="R180" s="51"/>
    </row>
    <row r="181" spans="17:18" ht="15" hidden="1" customHeight="1">
      <c r="Q181" s="51"/>
      <c r="R181" s="51"/>
    </row>
    <row r="182" spans="17:18" ht="15" hidden="1" customHeight="1">
      <c r="Q182" s="51"/>
      <c r="R182" s="51"/>
    </row>
    <row r="183" spans="17:18" ht="15" hidden="1" customHeight="1">
      <c r="Q183" s="51"/>
      <c r="R183" s="51"/>
    </row>
    <row r="184" spans="17:18" ht="15" hidden="1" customHeight="1">
      <c r="Q184" s="51"/>
      <c r="R184" s="51"/>
    </row>
    <row r="185" spans="17:18" ht="15" hidden="1" customHeight="1">
      <c r="Q185" s="51"/>
      <c r="R185" s="51"/>
    </row>
    <row r="186" spans="17:18" ht="15" hidden="1" customHeight="1">
      <c r="Q186" s="51"/>
      <c r="R186" s="51"/>
    </row>
    <row r="187" spans="17:18" ht="15" hidden="1" customHeight="1">
      <c r="Q187" s="51"/>
      <c r="R187" s="51"/>
    </row>
    <row r="188" spans="17:18" ht="15" hidden="1" customHeight="1">
      <c r="Q188" s="51"/>
      <c r="R188" s="51"/>
    </row>
    <row r="189" spans="17:18" ht="15" hidden="1" customHeight="1">
      <c r="Q189" s="51"/>
      <c r="R189" s="51"/>
    </row>
    <row r="190" spans="17:18" ht="15" hidden="1" customHeight="1">
      <c r="Q190" s="51"/>
      <c r="R190" s="51"/>
    </row>
    <row r="191" spans="17:18" ht="15" hidden="1" customHeight="1">
      <c r="Q191" s="51"/>
      <c r="R191" s="51"/>
    </row>
    <row r="192" spans="17:18" ht="15" hidden="1" customHeight="1">
      <c r="Q192" s="51"/>
      <c r="R192" s="51"/>
    </row>
    <row r="193" spans="17:18" ht="15" hidden="1" customHeight="1">
      <c r="Q193" s="51"/>
      <c r="R193" s="51"/>
    </row>
    <row r="194" spans="17:18" ht="15" hidden="1" customHeight="1">
      <c r="Q194" s="51"/>
      <c r="R194" s="51"/>
    </row>
    <row r="195" spans="17:18" ht="15" hidden="1" customHeight="1">
      <c r="Q195" s="51"/>
      <c r="R195" s="51"/>
    </row>
    <row r="196" spans="17:18" ht="15" hidden="1" customHeight="1">
      <c r="Q196" s="51"/>
      <c r="R196" s="51"/>
    </row>
    <row r="197" spans="17:18" ht="15" hidden="1" customHeight="1">
      <c r="Q197" s="51"/>
      <c r="R197" s="51"/>
    </row>
    <row r="198" spans="17:18" ht="15" hidden="1" customHeight="1">
      <c r="Q198" s="51"/>
      <c r="R198" s="51"/>
    </row>
    <row r="199" spans="17:18" ht="15" hidden="1" customHeight="1">
      <c r="Q199" s="51"/>
      <c r="R199" s="51"/>
    </row>
    <row r="200" spans="17:18" ht="15" hidden="1" customHeight="1">
      <c r="Q200" s="51"/>
      <c r="R200" s="51"/>
    </row>
    <row r="201" spans="17:18" ht="15" hidden="1" customHeight="1">
      <c r="Q201" s="51"/>
      <c r="R201" s="51"/>
    </row>
    <row r="202" spans="17:18" ht="15" hidden="1" customHeight="1">
      <c r="Q202" s="51"/>
      <c r="R202" s="51"/>
    </row>
    <row r="203" spans="17:18" ht="15" hidden="1" customHeight="1">
      <c r="Q203" s="51"/>
      <c r="R203" s="51"/>
    </row>
    <row r="204" spans="17:18" ht="15" hidden="1" customHeight="1">
      <c r="Q204" s="51"/>
      <c r="R204" s="51"/>
    </row>
    <row r="205" spans="17:18" ht="15" hidden="1" customHeight="1">
      <c r="Q205" s="51"/>
      <c r="R205" s="51"/>
    </row>
    <row r="206" spans="17:18" ht="15" hidden="1" customHeight="1">
      <c r="Q206" s="51"/>
      <c r="R206" s="51"/>
    </row>
    <row r="207" spans="17:18" ht="15" hidden="1" customHeight="1">
      <c r="Q207" s="51"/>
      <c r="R207" s="51"/>
    </row>
    <row r="208" spans="17:18" ht="15" hidden="1" customHeight="1">
      <c r="Q208" s="51"/>
      <c r="R208" s="51"/>
    </row>
    <row r="209" spans="17:18" ht="15" hidden="1" customHeight="1">
      <c r="Q209" s="51"/>
      <c r="R209" s="51"/>
    </row>
    <row r="210" spans="17:18" ht="15" hidden="1" customHeight="1">
      <c r="Q210" s="51"/>
      <c r="R210" s="51"/>
    </row>
    <row r="211" spans="17:18" ht="15" hidden="1" customHeight="1">
      <c r="Q211" s="51"/>
      <c r="R211" s="51"/>
    </row>
    <row r="212" spans="17:18" ht="15" hidden="1" customHeight="1">
      <c r="Q212" s="51"/>
      <c r="R212" s="51"/>
    </row>
    <row r="213" spans="17:18" ht="15" hidden="1" customHeight="1">
      <c r="Q213" s="51"/>
      <c r="R213" s="51"/>
    </row>
    <row r="214" spans="17:18" ht="15" hidden="1" customHeight="1">
      <c r="Q214" s="51"/>
      <c r="R214" s="51"/>
    </row>
    <row r="215" spans="17:18" ht="15" hidden="1" customHeight="1">
      <c r="Q215" s="51"/>
      <c r="R215" s="51"/>
    </row>
    <row r="216" spans="17:18" ht="15" hidden="1" customHeight="1">
      <c r="Q216" s="51"/>
      <c r="R216" s="51"/>
    </row>
    <row r="217" spans="17:18" ht="15" hidden="1" customHeight="1">
      <c r="Q217" s="51"/>
      <c r="R217" s="51"/>
    </row>
    <row r="218" spans="17:18" ht="15" hidden="1" customHeight="1">
      <c r="Q218" s="51"/>
      <c r="R218" s="51"/>
    </row>
    <row r="219" spans="17:18" ht="15" hidden="1" customHeight="1">
      <c r="Q219" s="51"/>
      <c r="R219" s="51"/>
    </row>
    <row r="220" spans="17:18" ht="15" hidden="1" customHeight="1">
      <c r="Q220" s="51"/>
      <c r="R220" s="51"/>
    </row>
    <row r="221" spans="17:18" ht="15" hidden="1" customHeight="1">
      <c r="Q221" s="51"/>
      <c r="R221" s="51"/>
    </row>
    <row r="222" spans="17:18" ht="15" hidden="1" customHeight="1">
      <c r="Q222" s="51"/>
      <c r="R222" s="51"/>
    </row>
    <row r="223" spans="17:18" ht="15" hidden="1" customHeight="1">
      <c r="Q223" s="51"/>
      <c r="R223" s="51"/>
    </row>
    <row r="224" spans="17:18" ht="15" hidden="1" customHeight="1">
      <c r="Q224" s="51"/>
      <c r="R224" s="51"/>
    </row>
    <row r="225" spans="17:18" ht="15" hidden="1" customHeight="1">
      <c r="Q225" s="51"/>
      <c r="R225" s="51"/>
    </row>
    <row r="226" spans="17:18" ht="15" hidden="1" customHeight="1">
      <c r="Q226" s="51"/>
      <c r="R226" s="51"/>
    </row>
    <row r="227" spans="17:18" ht="15" hidden="1" customHeight="1">
      <c r="Q227" s="51"/>
      <c r="R227" s="51"/>
    </row>
    <row r="228" spans="17:18" ht="15" hidden="1" customHeight="1">
      <c r="Q228" s="51"/>
      <c r="R228" s="51"/>
    </row>
    <row r="229" spans="17:18" ht="15" hidden="1" customHeight="1">
      <c r="Q229" s="51"/>
      <c r="R229" s="51"/>
    </row>
    <row r="230" spans="17:18" ht="15" hidden="1" customHeight="1">
      <c r="Q230" s="51"/>
      <c r="R230" s="51"/>
    </row>
    <row r="231" spans="17:18" ht="15" hidden="1" customHeight="1">
      <c r="Q231" s="51"/>
      <c r="R231" s="51"/>
    </row>
    <row r="232" spans="17:18" ht="15" hidden="1" customHeight="1">
      <c r="Q232" s="51"/>
      <c r="R232" s="51"/>
    </row>
    <row r="233" spans="17:18" ht="15" hidden="1" customHeight="1">
      <c r="Q233" s="51"/>
      <c r="R233" s="51"/>
    </row>
    <row r="234" spans="17:18" ht="15" hidden="1" customHeight="1">
      <c r="Q234" s="51"/>
      <c r="R234" s="51"/>
    </row>
    <row r="235" spans="17:18" ht="15" hidden="1" customHeight="1">
      <c r="Q235" s="51"/>
      <c r="R235" s="51"/>
    </row>
    <row r="236" spans="17:18" ht="15" hidden="1" customHeight="1">
      <c r="Q236" s="51"/>
      <c r="R236" s="51"/>
    </row>
    <row r="237" spans="17:18" ht="15" hidden="1" customHeight="1">
      <c r="Q237" s="51"/>
      <c r="R237" s="51"/>
    </row>
    <row r="238" spans="17:18" ht="15" hidden="1" customHeight="1">
      <c r="Q238" s="51"/>
      <c r="R238" s="51"/>
    </row>
    <row r="239" spans="17:18" ht="15" hidden="1" customHeight="1">
      <c r="Q239" s="51"/>
      <c r="R239" s="51"/>
    </row>
    <row r="240" spans="17:18" ht="15" hidden="1" customHeight="1">
      <c r="Q240" s="51"/>
      <c r="R240" s="51"/>
    </row>
    <row r="241" spans="17:18" ht="15" hidden="1" customHeight="1">
      <c r="Q241" s="51"/>
      <c r="R241" s="51"/>
    </row>
    <row r="242" spans="17:18" ht="15" hidden="1" customHeight="1">
      <c r="Q242" s="51"/>
      <c r="R242" s="51"/>
    </row>
    <row r="243" spans="17:18" ht="15" hidden="1" customHeight="1">
      <c r="Q243" s="51"/>
      <c r="R243" s="51"/>
    </row>
    <row r="244" spans="17:18" ht="15" hidden="1" customHeight="1">
      <c r="Q244" s="51"/>
      <c r="R244" s="51"/>
    </row>
    <row r="245" spans="17:18" ht="15" hidden="1" customHeight="1">
      <c r="Q245" s="51"/>
      <c r="R245" s="51"/>
    </row>
    <row r="246" spans="17:18" ht="15" hidden="1" customHeight="1">
      <c r="Q246" s="51"/>
      <c r="R246" s="51"/>
    </row>
    <row r="247" spans="17:18" ht="15" hidden="1" customHeight="1">
      <c r="Q247" s="51"/>
      <c r="R247" s="51"/>
    </row>
    <row r="248" spans="17:18" ht="15" hidden="1" customHeight="1">
      <c r="Q248" s="51"/>
      <c r="R248" s="51"/>
    </row>
    <row r="249" spans="17:18" ht="15" hidden="1" customHeight="1">
      <c r="Q249" s="51"/>
      <c r="R249" s="51"/>
    </row>
    <row r="250" spans="17:18" ht="15" hidden="1" customHeight="1">
      <c r="Q250" s="51"/>
      <c r="R250" s="51"/>
    </row>
    <row r="251" spans="17:18" ht="15" hidden="1" customHeight="1">
      <c r="Q251" s="51"/>
      <c r="R251" s="51"/>
    </row>
    <row r="252" spans="17:18" ht="15" hidden="1" customHeight="1">
      <c r="Q252" s="51"/>
      <c r="R252" s="51"/>
    </row>
    <row r="253" spans="17:18" ht="15" hidden="1" customHeight="1">
      <c r="Q253" s="51"/>
      <c r="R253" s="51"/>
    </row>
    <row r="254" spans="17:18" ht="15" hidden="1" customHeight="1">
      <c r="Q254" s="51"/>
      <c r="R254" s="51"/>
    </row>
    <row r="255" spans="17:18" ht="15" hidden="1" customHeight="1">
      <c r="Q255" s="51"/>
      <c r="R255" s="51"/>
    </row>
    <row r="256" spans="17:18" ht="15" hidden="1" customHeight="1">
      <c r="Q256" s="51"/>
      <c r="R256" s="51"/>
    </row>
    <row r="257" spans="17:18" ht="15" hidden="1" customHeight="1">
      <c r="Q257" s="51"/>
      <c r="R257" s="51"/>
    </row>
    <row r="258" spans="17:18" ht="15" hidden="1" customHeight="1">
      <c r="Q258" s="51"/>
      <c r="R258" s="51"/>
    </row>
    <row r="259" spans="17:18" ht="15" hidden="1" customHeight="1">
      <c r="Q259" s="51"/>
      <c r="R259" s="51"/>
    </row>
    <row r="260" spans="17:18" ht="15" hidden="1" customHeight="1">
      <c r="Q260" s="51"/>
      <c r="R260" s="51"/>
    </row>
    <row r="261" spans="17:18" ht="15" hidden="1" customHeight="1">
      <c r="Q261" s="51"/>
      <c r="R261" s="51"/>
    </row>
    <row r="262" spans="17:18" ht="15" hidden="1" customHeight="1">
      <c r="Q262" s="51"/>
      <c r="R262" s="51"/>
    </row>
    <row r="263" spans="17:18" ht="15" hidden="1" customHeight="1">
      <c r="Q263" s="51"/>
      <c r="R263" s="51"/>
    </row>
    <row r="264" spans="17:18" ht="15" hidden="1" customHeight="1">
      <c r="Q264" s="51"/>
      <c r="R264" s="51"/>
    </row>
    <row r="265" spans="17:18" ht="15" hidden="1" customHeight="1">
      <c r="Q265" s="51"/>
      <c r="R265" s="51"/>
    </row>
    <row r="266" spans="17:18" ht="15" hidden="1" customHeight="1">
      <c r="Q266" s="51"/>
      <c r="R266" s="51"/>
    </row>
    <row r="267" spans="17:18" ht="15" hidden="1" customHeight="1">
      <c r="Q267" s="51"/>
      <c r="R267" s="51"/>
    </row>
    <row r="268" spans="17:18" ht="15" hidden="1" customHeight="1">
      <c r="Q268" s="51"/>
      <c r="R268" s="51"/>
    </row>
    <row r="269" spans="17:18" ht="15" hidden="1" customHeight="1">
      <c r="Q269" s="51"/>
      <c r="R269" s="51"/>
    </row>
    <row r="270" spans="17:18" ht="15" hidden="1" customHeight="1">
      <c r="Q270" s="51"/>
      <c r="R270" s="51"/>
    </row>
    <row r="271" spans="17:18" ht="15" hidden="1" customHeight="1">
      <c r="Q271" s="51"/>
      <c r="R271" s="51"/>
    </row>
    <row r="272" spans="17:18" ht="15" hidden="1" customHeight="1">
      <c r="Q272" s="51"/>
      <c r="R272" s="51"/>
    </row>
    <row r="273" spans="17:18" ht="15" hidden="1" customHeight="1">
      <c r="Q273" s="51"/>
      <c r="R273" s="51"/>
    </row>
    <row r="274" spans="17:18" ht="15" hidden="1" customHeight="1">
      <c r="Q274" s="51"/>
      <c r="R274" s="51"/>
    </row>
    <row r="275" spans="17:18" ht="15" hidden="1" customHeight="1">
      <c r="Q275" s="51"/>
      <c r="R275" s="51"/>
    </row>
    <row r="276" spans="17:18" ht="15" hidden="1" customHeight="1">
      <c r="Q276" s="51"/>
      <c r="R276" s="51"/>
    </row>
    <row r="277" spans="17:18" ht="15" hidden="1" customHeight="1">
      <c r="Q277" s="51"/>
      <c r="R277" s="51"/>
    </row>
    <row r="278" spans="17:18" ht="15" hidden="1" customHeight="1">
      <c r="Q278" s="51"/>
      <c r="R278" s="51"/>
    </row>
    <row r="279" spans="17:18" ht="15" hidden="1" customHeight="1">
      <c r="Q279" s="51"/>
      <c r="R279" s="51"/>
    </row>
    <row r="280" spans="17:18" ht="15" hidden="1" customHeight="1">
      <c r="Q280" s="51"/>
      <c r="R280" s="51"/>
    </row>
    <row r="281" spans="17:18" ht="15" hidden="1" customHeight="1">
      <c r="Q281" s="51"/>
      <c r="R281" s="51"/>
    </row>
    <row r="282" spans="17:18" ht="15" hidden="1" customHeight="1">
      <c r="Q282" s="51"/>
      <c r="R282" s="51"/>
    </row>
    <row r="283" spans="17:18" ht="15" hidden="1" customHeight="1">
      <c r="Q283" s="51"/>
      <c r="R283" s="51"/>
    </row>
    <row r="284" spans="17:18" ht="15" hidden="1" customHeight="1">
      <c r="Q284" s="51"/>
      <c r="R284" s="51"/>
    </row>
    <row r="285" spans="17:18" ht="15" hidden="1" customHeight="1">
      <c r="Q285" s="51"/>
      <c r="R285" s="51"/>
    </row>
    <row r="286" spans="17:18" ht="15" hidden="1" customHeight="1">
      <c r="Q286" s="51"/>
      <c r="R286" s="51"/>
    </row>
    <row r="287" spans="17:18" ht="15" hidden="1" customHeight="1">
      <c r="Q287" s="51"/>
      <c r="R287" s="51"/>
    </row>
    <row r="288" spans="17:18" ht="15" hidden="1" customHeight="1">
      <c r="Q288" s="51"/>
      <c r="R288" s="51"/>
    </row>
    <row r="289" spans="17:18" ht="15" hidden="1" customHeight="1">
      <c r="Q289" s="51"/>
      <c r="R289" s="51"/>
    </row>
    <row r="290" spans="17:18" ht="13.8" hidden="1">
      <c r="Q290" s="51"/>
      <c r="R290" s="51"/>
    </row>
  </sheetData>
  <autoFilter ref="B11:N46">
    <filterColumn colId="10">
      <filters>
        <filter val="A"/>
      </filters>
    </filterColumn>
  </autoFilter>
  <sortState ref="B12:Q46">
    <sortCondition ref="E12:E46"/>
  </sortState>
  <conditionalFormatting sqref="N1:S5">
    <cfRule type="containsErrors" dxfId="0" priority="1" stopIfTrue="1">
      <formula>ISERROR(N1)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84F55495B15DA49AB7A1FDC80658749" ma:contentTypeVersion="4" ma:contentTypeDescription="Criar um novo documento." ma:contentTypeScope="" ma:versionID="883ed6feb31ca15cbf0896ca22b418b8">
  <xsd:schema xmlns:xsd="http://www.w3.org/2001/XMLSchema" xmlns:xs="http://www.w3.org/2001/XMLSchema" xmlns:p="http://schemas.microsoft.com/office/2006/metadata/properties" xmlns:ns2="d864e89d-2b0f-49d5-aec9-c3d31edf43d9" targetNamespace="http://schemas.microsoft.com/office/2006/metadata/properties" ma:root="true" ma:fieldsID="a1111f0741384e42c9cb253a4b2163f2"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15527A-F480-4147-BF10-214BB626D343}"/>
</file>

<file path=customXml/itemProps2.xml><?xml version="1.0" encoding="utf-8"?>
<ds:datastoreItem xmlns:ds="http://schemas.openxmlformats.org/officeDocument/2006/customXml" ds:itemID="{EC53A785-EF9E-43A9-ABFB-3F48B870B075}">
  <ds:schemaRefs>
    <ds:schemaRef ds:uri="http://schemas.microsoft.com/sharepoint/v3/contenttype/forms"/>
  </ds:schemaRefs>
</ds:datastoreItem>
</file>

<file path=customXml/itemProps3.xml><?xml version="1.0" encoding="utf-8"?>
<ds:datastoreItem xmlns:ds="http://schemas.openxmlformats.org/officeDocument/2006/customXml" ds:itemID="{6E381BD2-5559-4373-BFA9-F143F32DC388}">
  <ds:schemaRefs>
    <ds:schemaRef ds:uri="http://purl.org/dc/elements/1.1/"/>
    <ds:schemaRef ds:uri="http://schemas.microsoft.com/office/2006/metadata/properties"/>
    <ds:schemaRef ds:uri="http://schemas.microsoft.com/office/2006/documentManagement/types"/>
    <ds:schemaRef ds:uri="http://purl.org/dc/dcmitype/"/>
    <ds:schemaRef ds:uri="http://purl.org/dc/terms/"/>
    <ds:schemaRef ds:uri="http://schemas.openxmlformats.org/package/2006/metadata/core-properties"/>
    <ds:schemaRef ds:uri="463b63a4-b337-40a2-969e-36242342e4a0"/>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Campos Val.</vt:lpstr>
      <vt:lpstr>Campos Nível 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Amaro, Sandra</dc:creator>
  <cp:lastModifiedBy>Rita Teixeira da Luz</cp:lastModifiedBy>
  <dcterms:created xsi:type="dcterms:W3CDTF">2024-11-13T14:48:49Z</dcterms:created>
  <dcterms:modified xsi:type="dcterms:W3CDTF">2025-01-21T15:11:59Z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0x010100A84F55495B15DA49AB7A1FDC80658749</vt:lpwstr>
  </property>
  <property fmtid="{D5CDD505-2E9C-101B-9397-08002B2CF9AE}" pid="3" name="MSIP_Label_41b88ec2-a72b-4523-9e84-0458a1764731_Enabled">
    <vt:lpwstr>true</vt:lpwstr>
  </property>
  <property fmtid="{D5CDD505-2E9C-101B-9397-08002B2CF9AE}" pid="4" name="MSIP_Label_41b88ec2-a72b-4523-9e84-0458a1764731_SetDate">
    <vt:lpwstr>2025-01-15T15:52:12Z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355dc08e-9327-4561-8dd3-2bc7181a2832</vt:lpwstr>
  </property>
  <property fmtid="{D5CDD505-2E9C-101B-9397-08002B2CF9AE}" pid="9" name="MSIP_Label_41b88ec2-a72b-4523-9e84-0458a1764731_ContentBits">
    <vt:lpwstr>0</vt:lpwstr>
  </property>
</Properties>
</file>