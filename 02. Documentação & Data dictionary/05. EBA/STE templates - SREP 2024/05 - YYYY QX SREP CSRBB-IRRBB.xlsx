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anbau\AppData\Roaming\OpenText\OTEdit\EC_darwin\c1752349741\"/>
    </mc:Choice>
  </mc:AlternateContent>
  <xr:revisionPtr revIDLastSave="0" documentId="13_ncr:1_{909BB6A1-0015-485A-88DE-5786E3149BC8}" xr6:coauthVersionLast="47" xr6:coauthVersionMax="47" xr10:uidLastSave="{00000000-0000-0000-0000-000000000000}"/>
  <bookViews>
    <workbookView xWindow="-120" yWindow="-120" windowWidth="29040" windowHeight="15840" tabRatio="803" activeTab="1" xr2:uid="{00000000-000D-0000-FFFF-FFFF00000000}"/>
  </bookViews>
  <sheets>
    <sheet name="0_ReadMe" sheetId="32" r:id="rId1"/>
    <sheet name="0_Identification" sheetId="31" r:id="rId2"/>
    <sheet name="1_IRRBB_CSRBB_mapping" sheetId="27" r:id="rId3"/>
    <sheet name="10_Unrealised losses (old)" sheetId="14" state="hidden" r:id="rId4"/>
    <sheet name="2_CSRBB_sensitivities" sheetId="24" r:id="rId5"/>
    <sheet name="10_Unrealised losses_(new)" sheetId="21" state="hidden" r:id="rId6"/>
    <sheet name="3_Unrealised losses" sheetId="28" r:id="rId7"/>
    <sheet name="4_CSRBB_Additional" sheetId="30" r:id="rId8"/>
    <sheet name="5_NMD_Stratification" sheetId="23" r:id="rId9"/>
    <sheet name="6_IRRBB_Additional" sheetId="34" r:id="rId10"/>
    <sheet name="Currencies_ISO" sheetId="9" state="veryHidden" r:id="rId11"/>
  </sheets>
  <externalReferences>
    <externalReference r:id="rId12"/>
  </externalReferences>
  <definedNames>
    <definedName name="_xlnm._FilterDatabase" localSheetId="10" hidden="1">Currencies_ISO!$B$4:$B$168</definedName>
    <definedName name="_xlnm.Print_Area" localSheetId="5">'10_Unrealised losses_(new)'!$B$5:$G$33</definedName>
    <definedName name="_xlnm.Print_Area" localSheetId="6">'3_Unrealised losses'!$C$6:$F$15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3" l="1"/>
  <c r="D7" i="23"/>
  <c r="M9" i="28"/>
  <c r="D6" i="23" l="1"/>
  <c r="G37" i="27" l="1"/>
  <c r="G36" i="27"/>
  <c r="G11" i="27"/>
  <c r="G8" i="27" s="1"/>
  <c r="F14" i="28"/>
  <c r="G14" i="28"/>
  <c r="H14" i="28"/>
  <c r="I14" i="28"/>
  <c r="J14" i="28"/>
  <c r="E14" i="28"/>
  <c r="F10" i="28"/>
  <c r="G10" i="28"/>
  <c r="H10" i="28"/>
  <c r="I10" i="28"/>
  <c r="J10" i="28"/>
  <c r="E10" i="28"/>
  <c r="M17" i="28"/>
  <c r="M16" i="28"/>
  <c r="M15" i="28"/>
  <c r="M12" i="28"/>
  <c r="M13" i="28"/>
  <c r="M11" i="28"/>
  <c r="J52" i="34"/>
  <c r="I52" i="34"/>
  <c r="H52" i="34"/>
  <c r="G52" i="34"/>
  <c r="F52" i="34"/>
  <c r="J50" i="34"/>
  <c r="I50" i="34"/>
  <c r="H50" i="34"/>
  <c r="G50" i="34"/>
  <c r="F50" i="34"/>
  <c r="J48" i="34"/>
  <c r="I48" i="34"/>
  <c r="H48" i="34"/>
  <c r="G48" i="34"/>
  <c r="F48" i="34"/>
  <c r="J46" i="34"/>
  <c r="I46" i="34"/>
  <c r="H46" i="34"/>
  <c r="G46" i="34"/>
  <c r="F46" i="34"/>
  <c r="J40" i="34"/>
  <c r="I40" i="34"/>
  <c r="H40" i="34"/>
  <c r="G40" i="34"/>
  <c r="F40" i="34"/>
  <c r="E40" i="34"/>
  <c r="J37" i="34"/>
  <c r="I37" i="34"/>
  <c r="H37" i="34"/>
  <c r="G37" i="34"/>
  <c r="F37" i="34"/>
  <c r="E37" i="34"/>
  <c r="J32" i="34"/>
  <c r="I32" i="34"/>
  <c r="H32" i="34"/>
  <c r="G32" i="34"/>
  <c r="F32" i="34"/>
  <c r="E32" i="34"/>
  <c r="J29" i="34"/>
  <c r="I29" i="34"/>
  <c r="H29" i="34"/>
  <c r="G29" i="34"/>
  <c r="F29" i="34"/>
  <c r="E29" i="34"/>
  <c r="E23" i="34"/>
  <c r="E22" i="34"/>
  <c r="E21" i="34"/>
  <c r="E20" i="34"/>
  <c r="E19" i="34"/>
  <c r="E18" i="34"/>
  <c r="I7" i="34"/>
  <c r="H7" i="34"/>
  <c r="G7" i="34"/>
  <c r="F7" i="34"/>
  <c r="E17" i="34"/>
  <c r="E23" i="31"/>
  <c r="E22" i="31"/>
  <c r="E21" i="31"/>
  <c r="E20" i="31"/>
  <c r="E19" i="31"/>
  <c r="G9" i="24"/>
  <c r="O24" i="24"/>
  <c r="N24" i="24"/>
  <c r="M24" i="24"/>
  <c r="L24" i="24"/>
  <c r="K24" i="24"/>
  <c r="J24" i="24"/>
  <c r="I24" i="24"/>
  <c r="H24" i="24"/>
  <c r="G24" i="24"/>
  <c r="F24" i="24"/>
  <c r="H9" i="24"/>
  <c r="F9" i="24"/>
  <c r="I8" i="27"/>
  <c r="S8" i="27"/>
  <c r="R8" i="27"/>
  <c r="Q8" i="27"/>
  <c r="P8" i="27"/>
  <c r="O8" i="27"/>
  <c r="N8" i="27"/>
  <c r="M8" i="27"/>
  <c r="L8" i="27"/>
  <c r="K8" i="27"/>
  <c r="J8" i="27"/>
  <c r="G23" i="27"/>
  <c r="O9" i="24"/>
  <c r="N9" i="24"/>
  <c r="M9" i="24"/>
  <c r="L9" i="24"/>
  <c r="K9" i="24"/>
  <c r="J9" i="24"/>
  <c r="I9" i="24"/>
  <c r="S23" i="27"/>
  <c r="R23" i="27"/>
  <c r="Q23" i="27"/>
  <c r="P23" i="27"/>
  <c r="O23" i="27"/>
  <c r="N23" i="27"/>
  <c r="M23" i="27"/>
  <c r="L23" i="27"/>
  <c r="K23" i="27"/>
  <c r="J23" i="27"/>
  <c r="I23" i="27"/>
  <c r="G10" i="27"/>
  <c r="G24" i="27"/>
  <c r="G34" i="27"/>
  <c r="G33" i="27"/>
  <c r="G32" i="27"/>
  <c r="G31" i="27"/>
  <c r="G30" i="27"/>
  <c r="G29" i="27"/>
  <c r="G28" i="27"/>
  <c r="G27" i="27"/>
  <c r="G26" i="27"/>
  <c r="G25" i="27"/>
  <c r="G22" i="27"/>
  <c r="G21" i="27"/>
  <c r="G20" i="27"/>
  <c r="G19" i="27"/>
  <c r="G18" i="27"/>
  <c r="G17" i="27"/>
  <c r="G16" i="27"/>
  <c r="G15" i="27"/>
  <c r="G14" i="27"/>
  <c r="G13" i="27"/>
  <c r="G12" i="27"/>
  <c r="G9" i="27"/>
  <c r="F31" i="14"/>
  <c r="F20" i="14"/>
  <c r="M14" i="28" l="1"/>
  <c r="M10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ECB</author>
    <author>Banco de España</author>
  </authors>
  <commentList>
    <comment ref="J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ECB:</t>
        </r>
        <r>
          <rPr>
            <sz val="9"/>
            <color indexed="81"/>
            <rFont val="Tahoma"/>
            <family val="2"/>
          </rPr>
          <t xml:space="preserve">
have the unrealized losses in another template of IRRBB/ CSRBB STE templates 
specify definition of the concept in the guidance +  use current F41 structure and add breakdown between IR and CS 
rationale ; bridge gap with current situation to have all hedges (CF hedges  + micro hedges) </t>
        </r>
      </text>
    </comment>
    <comment ref="C17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ECB:</t>
        </r>
        <r>
          <rPr>
            <sz val="9"/>
            <color indexed="81"/>
            <rFont val="Tahoma"/>
            <family val="2"/>
          </rPr>
          <t xml:space="preserve">
align definition with the other reporting (STE / FINREP)</t>
        </r>
      </text>
    </comment>
    <comment ref="C18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ECB:</t>
        </r>
        <r>
          <rPr>
            <sz val="9"/>
            <color indexed="81"/>
            <rFont val="Tahoma"/>
            <family val="2"/>
          </rPr>
          <t xml:space="preserve">
to specify in the STE guidance and consider the effect of the netting of hedges</t>
        </r>
      </text>
    </comment>
    <comment ref="K21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Banco de España:</t>
        </r>
        <r>
          <rPr>
            <sz val="9"/>
            <color indexed="81"/>
            <rFont val="Tahoma"/>
            <family val="2"/>
          </rPr>
          <t xml:space="preserve">
In our view asking for the breakdown of which IR/CS for liabilities would be useful for the assessment of unrealized lossess/gains of the BS as a whole. - ok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  <author>Daniele Perla</author>
  </authors>
  <commentList>
    <comment ref="C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Metric  =  Carrying amount [mi]_x000D_</t>
        </r>
      </text>
    </comment>
    <comment ref="D5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Metric  =  Fair value [mi]</t>
        </r>
      </text>
    </comment>
    <comment ref="E6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Metric  =  Fair value [mi]_x000D_
Fair value hierarchy  =  Level 1</t>
        </r>
      </text>
    </comment>
    <comment ref="F6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Metric  =  Fair value [mi]_x000D_
Fair value hierarchy  =  Level 2</t>
        </r>
      </text>
    </comment>
    <comment ref="G6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Metric  =  Fair value [mi]_x000D_
Fair value hierarchy  =  Level 3</t>
        </r>
      </text>
    </comment>
    <comment ref="M6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Metric  =  Unrealised losses / gains [mi]_x000D_
Perimeter  =  Assets/Liabilities and hedging instruments
Risk factors  =  All</t>
        </r>
      </text>
    </comment>
    <comment ref="N6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Metric  =  Unrealised losses / gains [mi]_x000D_
Perimeter  =  Assets/Liabilities and hedging instruments
Risk factors  =  Interest rates</t>
        </r>
      </text>
    </comment>
    <comment ref="O6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Metric  =  Unrealised losses / gains [mi]_x000D_
Perimeter  =  Assets/Liabilities and hedging instruments
Risk factors  =  Credit spreads</t>
        </r>
      </text>
    </comment>
    <comment ref="B8" authorId="1" shapeId="0" xr:uid="{00000000-0006-0000-0900-000009000000}">
      <text>
        <r>
          <rPr>
            <sz val="11"/>
            <color indexed="81"/>
            <rFont val="Calibri"/>
            <family val="2"/>
            <scheme val="minor"/>
          </rPr>
          <t>Financial assets at amortised cost (IFRS) + Non-trading non-derivative financial assets measured at a cost-based method (nGAAP) + Other non-trading non-derivative financial assets (nGAAP)</t>
        </r>
      </text>
    </comment>
    <comment ref="B29" authorId="1" shapeId="0" xr:uid="{00000000-0006-0000-0900-00000A000000}">
      <text>
        <r>
          <rPr>
            <sz val="11"/>
            <color indexed="81"/>
            <rFont val="Calibri"/>
            <family val="2"/>
            <scheme val="minor"/>
          </rPr>
          <t>Financial liabilities measured at amortised cost or assimilated + Non-trading non-derivative financial liabilities measured at a cost-based method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ECB</author>
  </authors>
  <commentList>
    <comment ref="E6" authorId="0" shapeId="0" xr:uid="{2F1D7A00-866A-4653-94DA-46FD7C3FAD8B}">
      <text>
        <r>
          <rPr>
            <b/>
            <sz val="9"/>
            <color indexed="81"/>
            <rFont val="Tahoma"/>
            <family val="2"/>
          </rPr>
          <t>ECB : 
only positive values</t>
        </r>
      </text>
    </comment>
  </commentList>
</comments>
</file>

<file path=xl/sharedStrings.xml><?xml version="1.0" encoding="utf-8"?>
<sst xmlns="http://schemas.openxmlformats.org/spreadsheetml/2006/main" count="848" uniqueCount="550">
  <si>
    <t>Assets</t>
  </si>
  <si>
    <t>Debt securities</t>
  </si>
  <si>
    <t>Loans and advances</t>
  </si>
  <si>
    <t>Liabilities</t>
  </si>
  <si>
    <t>Debt securities issued</t>
  </si>
  <si>
    <t>USD</t>
  </si>
  <si>
    <t>CHF</t>
  </si>
  <si>
    <t>JPY</t>
  </si>
  <si>
    <t>RUB</t>
  </si>
  <si>
    <t>TRY</t>
  </si>
  <si>
    <t>AUD</t>
  </si>
  <si>
    <t>CAD</t>
  </si>
  <si>
    <t>RSD</t>
  </si>
  <si>
    <t>ALL</t>
  </si>
  <si>
    <t>UAH</t>
  </si>
  <si>
    <t>MKD</t>
  </si>
  <si>
    <t>EGP</t>
  </si>
  <si>
    <t>ARS</t>
  </si>
  <si>
    <t>BRL</t>
  </si>
  <si>
    <t>MXN</t>
  </si>
  <si>
    <t>HKD</t>
  </si>
  <si>
    <t>TWD</t>
  </si>
  <si>
    <t>NZD</t>
  </si>
  <si>
    <t>NOK</t>
  </si>
  <si>
    <t>SGD</t>
  </si>
  <si>
    <t>KRW</t>
  </si>
  <si>
    <t>CNY</t>
  </si>
  <si>
    <t>EUR</t>
  </si>
  <si>
    <t>HRK</t>
  </si>
  <si>
    <t>HUF</t>
  </si>
  <si>
    <t>BGN</t>
  </si>
  <si>
    <t>PLN</t>
  </si>
  <si>
    <t>SEK</t>
  </si>
  <si>
    <t>CZK</t>
  </si>
  <si>
    <t>DKK</t>
  </si>
  <si>
    <t>RON</t>
  </si>
  <si>
    <t>GBP</t>
  </si>
  <si>
    <t>Amount</t>
  </si>
  <si>
    <t>Please refer to those to fill-in the template.</t>
  </si>
  <si>
    <t>GENERAL INSTRUCTIONS</t>
  </si>
  <si>
    <t>Template 0_Identification</t>
  </si>
  <si>
    <t>General information</t>
  </si>
  <si>
    <r>
      <t xml:space="preserve">Country: </t>
    </r>
    <r>
      <rPr>
        <sz val="12"/>
        <color indexed="8"/>
        <rFont val="Calibri"/>
        <family val="2"/>
        <scheme val="minor"/>
      </rPr>
      <t>(two letter ISO code)</t>
    </r>
  </si>
  <si>
    <r>
      <t xml:space="preserve">Bank code: </t>
    </r>
    <r>
      <rPr>
        <sz val="12"/>
        <color indexed="8"/>
        <rFont val="Calibri"/>
        <family val="2"/>
        <scheme val="minor"/>
      </rPr>
      <t>(RIAD MFI code)</t>
    </r>
  </si>
  <si>
    <t>Bank LEI code:</t>
  </si>
  <si>
    <r>
      <t xml:space="preserve">Bank: </t>
    </r>
    <r>
      <rPr>
        <sz val="12"/>
        <color indexed="8"/>
        <rFont val="Calibri"/>
        <family val="2"/>
        <scheme val="minor"/>
      </rPr>
      <t>(name)</t>
    </r>
  </si>
  <si>
    <r>
      <t>Reference date:</t>
    </r>
    <r>
      <rPr>
        <sz val="12"/>
        <color indexed="8"/>
        <rFont val="Calibri"/>
        <family val="2"/>
        <scheme val="minor"/>
      </rPr>
      <t xml:space="preserve"> T (dd/mm/yyyy format)</t>
    </r>
  </si>
  <si>
    <t>Level of consolidation:</t>
  </si>
  <si>
    <t xml:space="preserve">Additional comments: </t>
  </si>
  <si>
    <t>AFN</t>
  </si>
  <si>
    <t>DZD</t>
  </si>
  <si>
    <t>AOA</t>
  </si>
  <si>
    <t>AMD</t>
  </si>
  <si>
    <t>AWG</t>
  </si>
  <si>
    <t>AZN</t>
  </si>
  <si>
    <t>BSD</t>
  </si>
  <si>
    <t>BHD</t>
  </si>
  <si>
    <t>BDT</t>
  </si>
  <si>
    <t>BBD</t>
  </si>
  <si>
    <t>BYN</t>
  </si>
  <si>
    <t>BZD</t>
  </si>
  <si>
    <t>BMD</t>
  </si>
  <si>
    <t>INR</t>
  </si>
  <si>
    <t>BTN</t>
  </si>
  <si>
    <t>BOB</t>
  </si>
  <si>
    <t>BOV</t>
  </si>
  <si>
    <t>BAM</t>
  </si>
  <si>
    <t>BWP</t>
  </si>
  <si>
    <t>BND</t>
  </si>
  <si>
    <t>BIF</t>
  </si>
  <si>
    <t>CVE</t>
  </si>
  <si>
    <t>KHR</t>
  </si>
  <si>
    <t>KYD</t>
  </si>
  <si>
    <t>CLP</t>
  </si>
  <si>
    <t>CLF</t>
  </si>
  <si>
    <t>COP</t>
  </si>
  <si>
    <t>COU</t>
  </si>
  <si>
    <t>KMF</t>
  </si>
  <si>
    <t>CDF</t>
  </si>
  <si>
    <t>CRC</t>
  </si>
  <si>
    <t>CUP</t>
  </si>
  <si>
    <t>CUC</t>
  </si>
  <si>
    <t>ANG</t>
  </si>
  <si>
    <t>DJF</t>
  </si>
  <si>
    <t>DOP</t>
  </si>
  <si>
    <t>SVC</t>
  </si>
  <si>
    <t>ERN</t>
  </si>
  <si>
    <t>ETB</t>
  </si>
  <si>
    <t>FKP</t>
  </si>
  <si>
    <t>FJD</t>
  </si>
  <si>
    <t>XPF</t>
  </si>
  <si>
    <t>GMD</t>
  </si>
  <si>
    <t>GEL</t>
  </si>
  <si>
    <t>GHS</t>
  </si>
  <si>
    <t>GIP</t>
  </si>
  <si>
    <t>GTQ</t>
  </si>
  <si>
    <t>GNF</t>
  </si>
  <si>
    <t>GYD</t>
  </si>
  <si>
    <t>HTG</t>
  </si>
  <si>
    <t>HNL</t>
  </si>
  <si>
    <t>ISK</t>
  </si>
  <si>
    <t>IDR</t>
  </si>
  <si>
    <t>IRR</t>
  </si>
  <si>
    <t>IQD</t>
  </si>
  <si>
    <t>ILS</t>
  </si>
  <si>
    <t>JMD</t>
  </si>
  <si>
    <t>JOD</t>
  </si>
  <si>
    <t>KZT</t>
  </si>
  <si>
    <t>KES</t>
  </si>
  <si>
    <t>KPW</t>
  </si>
  <si>
    <t>KWD</t>
  </si>
  <si>
    <t>KGS</t>
  </si>
  <si>
    <t>LAK</t>
  </si>
  <si>
    <t>LBP</t>
  </si>
  <si>
    <t>LSL</t>
  </si>
  <si>
    <t>ZAR</t>
  </si>
  <si>
    <t>LRD</t>
  </si>
  <si>
    <t>LYD</t>
  </si>
  <si>
    <t>MOP</t>
  </si>
  <si>
    <t>MGA</t>
  </si>
  <si>
    <t>MWK</t>
  </si>
  <si>
    <t>MYR</t>
  </si>
  <si>
    <t>MVR</t>
  </si>
  <si>
    <t>MRU</t>
  </si>
  <si>
    <t>MUR</t>
  </si>
  <si>
    <t>MXV</t>
  </si>
  <si>
    <t>MDL</t>
  </si>
  <si>
    <t>MNT</t>
  </si>
  <si>
    <t>MAD</t>
  </si>
  <si>
    <t>MZN</t>
  </si>
  <si>
    <t>MMK</t>
  </si>
  <si>
    <t>NAD</t>
  </si>
  <si>
    <t>NPR</t>
  </si>
  <si>
    <t>NIO</t>
  </si>
  <si>
    <t>NGN</t>
  </si>
  <si>
    <t>OMR</t>
  </si>
  <si>
    <t>PKR</t>
  </si>
  <si>
    <t>PAB</t>
  </si>
  <si>
    <t>PGK</t>
  </si>
  <si>
    <t>PYG</t>
  </si>
  <si>
    <t>PEN</t>
  </si>
  <si>
    <t>PHP</t>
  </si>
  <si>
    <t>QAR</t>
  </si>
  <si>
    <t>RWF</t>
  </si>
  <si>
    <t>SHP</t>
  </si>
  <si>
    <t>WST</t>
  </si>
  <si>
    <t>STN</t>
  </si>
  <si>
    <t>SAR</t>
  </si>
  <si>
    <t>SCR</t>
  </si>
  <si>
    <t>SLL</t>
  </si>
  <si>
    <t>SBD</t>
  </si>
  <si>
    <t>SOS</t>
  </si>
  <si>
    <t>SSP</t>
  </si>
  <si>
    <t>LKR</t>
  </si>
  <si>
    <t>SDG</t>
  </si>
  <si>
    <t>SRD</t>
  </si>
  <si>
    <t>SZL</t>
  </si>
  <si>
    <t>CHE</t>
  </si>
  <si>
    <t>CHW</t>
  </si>
  <si>
    <t>SYP</t>
  </si>
  <si>
    <t>TJS</t>
  </si>
  <si>
    <t>TZS</t>
  </si>
  <si>
    <t>THB</t>
  </si>
  <si>
    <t>TOP</t>
  </si>
  <si>
    <t>TTD</t>
  </si>
  <si>
    <t>TND</t>
  </si>
  <si>
    <t>TMT</t>
  </si>
  <si>
    <t>UGX</t>
  </si>
  <si>
    <t>AED</t>
  </si>
  <si>
    <t>USN</t>
  </si>
  <si>
    <t>UYU</t>
  </si>
  <si>
    <t>UYI</t>
  </si>
  <si>
    <t>UYW</t>
  </si>
  <si>
    <t>UZS</t>
  </si>
  <si>
    <t>VUV</t>
  </si>
  <si>
    <t>VES</t>
  </si>
  <si>
    <t>VND</t>
  </si>
  <si>
    <t>YER</t>
  </si>
  <si>
    <t>ZMW</t>
  </si>
  <si>
    <t>ZWL</t>
  </si>
  <si>
    <t xml:space="preserve">   Paralell</t>
  </si>
  <si>
    <t xml:space="preserve">   Short</t>
  </si>
  <si>
    <t xml:space="preserve">   Long</t>
  </si>
  <si>
    <t>Drop-Down List ISO Currencies as of Februay 2019</t>
  </si>
  <si>
    <t>ISO Code</t>
  </si>
  <si>
    <t>-</t>
  </si>
  <si>
    <t>EBA specified shock (Annex III)</t>
  </si>
  <si>
    <t>The text box should be used for reporting information regarding: (a) material positions outside the scope of the STE for SREP data collection; (b) quality assurance; (c) empty cells; (d) other information.</t>
  </si>
  <si>
    <t>Sector/Instrument</t>
  </si>
  <si>
    <t>Fair Value</t>
  </si>
  <si>
    <t>Amortized Cost</t>
  </si>
  <si>
    <t xml:space="preserve">Carrying amount </t>
  </si>
  <si>
    <t>FV  equivalent (cf. F41 for instructions)</t>
  </si>
  <si>
    <t xml:space="preserve">Unrealised losses / gains </t>
  </si>
  <si>
    <t>of which L3 FV</t>
  </si>
  <si>
    <t>Total</t>
  </si>
  <si>
    <t>of which due to IR</t>
  </si>
  <si>
    <t>of which due to CS</t>
  </si>
  <si>
    <t>Interbank exposures</t>
  </si>
  <si>
    <t>to be removed</t>
  </si>
  <si>
    <t>to be discussed</t>
  </si>
  <si>
    <t>Of which: retail</t>
  </si>
  <si>
    <t>new</t>
  </si>
  <si>
    <t>Of which: wholesale</t>
  </si>
  <si>
    <t>Of which: sovereigns</t>
  </si>
  <si>
    <t>Of which: financials</t>
  </si>
  <si>
    <t>Of which: corporates</t>
  </si>
  <si>
    <t>Covered bonds</t>
  </si>
  <si>
    <t>Securitisation exposures</t>
  </si>
  <si>
    <t>Derivatives</t>
  </si>
  <si>
    <t>Other assets</t>
  </si>
  <si>
    <t>Total Assets</t>
  </si>
  <si>
    <t>Deposits</t>
  </si>
  <si>
    <t>Other liabilities</t>
  </si>
  <si>
    <t>Total Liabilities</t>
  </si>
  <si>
    <t>Institution IMS</t>
  </si>
  <si>
    <t>Of which: underlying subject to CSRBB</t>
  </si>
  <si>
    <t>Of which  hedges (all types)</t>
  </si>
  <si>
    <t>Fair Value (Carrying amount)</t>
  </si>
  <si>
    <t>F - (G+H)</t>
  </si>
  <si>
    <t>Template 10_unrealized losses</t>
  </si>
  <si>
    <t xml:space="preserve"> Notional amount</t>
  </si>
  <si>
    <t>of which L1 FV</t>
  </si>
  <si>
    <t>of which L2 FV</t>
  </si>
  <si>
    <t>Notional amount
subject to CSRBB in IMS (NII)</t>
  </si>
  <si>
    <t>Notional amount
subject to CSRBB in IMS (EVE)</t>
  </si>
  <si>
    <t>of which: subject to IRRBB (SA)</t>
  </si>
  <si>
    <t>of which: subject to IRRBB (IMS)</t>
  </si>
  <si>
    <t>Notional amount</t>
  </si>
  <si>
    <t>Notional amount
subject to IRRBB</t>
  </si>
  <si>
    <t>[F41.01,R0100,C0040] + [F41.01,R0104,C0040]</t>
  </si>
  <si>
    <t>[F41.01,R0100,C0030] + [F41.01,R0104,C0030]</t>
  </si>
  <si>
    <t>[F41.01,R0100,C0020] + [F41.01,R0104,C0020]</t>
  </si>
  <si>
    <t>[F41.01,R0100,C0010] + [F41.01,R0104,C0010]</t>
  </si>
  <si>
    <t>[F01.02,R0140,C0010] + [F01.02,R0144,C0010]</t>
  </si>
  <si>
    <t>Other financial liabilities</t>
  </si>
  <si>
    <t>[F41.01,R0090,C0040] + [F41.01,R0103,C0040]</t>
  </si>
  <si>
    <t>[F41.01,R0090,C0030] + [F41.01,R0103,C0030]</t>
  </si>
  <si>
    <t>[F41.01,R0090,C0020] + [F41.01,R0103,C0020]</t>
  </si>
  <si>
    <t>[F41.01,R0090,C0010] + [F41.01,R0103,C0010]</t>
  </si>
  <si>
    <t>[F01.02,R0130,C0010] + [F01.02,R0143,C0010]</t>
  </si>
  <si>
    <t>[F41.01,R0080,C0040] + [F41.01,R0102,C0040]</t>
  </si>
  <si>
    <t>[F41.01,R0080,C0030] + [F41.01,R0102,C0030]</t>
  </si>
  <si>
    <t>[F41.01,R0080,C0020] + [F41.01,R0102,C0020]</t>
  </si>
  <si>
    <t>[F41.01,R0080,C0010] + [F41.01,R0102,C0010]</t>
  </si>
  <si>
    <t>[F01.02,R0120,C0010] + [F01.02,R0142,C0010]</t>
  </si>
  <si>
    <t>[F41.01,R0070,C0040] + [F41.01,R0101,C0040]</t>
  </si>
  <si>
    <t>[F41.01,R0070,C0030] + [F41.01,R0101,C0030]</t>
  </si>
  <si>
    <t>[F41.01,R0070,C0020] + [F41.01,R0101,C0020]</t>
  </si>
  <si>
    <t>[F11.04,R0150,C0040]</t>
  </si>
  <si>
    <t>[F11.04,R0150,C0030]</t>
  </si>
  <si>
    <t>[F41.01,R0070,C0010] + [F41.01,R0101,C0010]</t>
  </si>
  <si>
    <t>[F01.02,R0110,C0010] + [F01.02,R0141,C0010]</t>
  </si>
  <si>
    <t>Financial liabilities measured at amortised cost or assimilated</t>
  </si>
  <si>
    <t>0069 LIABILITIES</t>
  </si>
  <si>
    <t>[F04.04.1,R0130,C0010] + [F04.09,R0130,C0050] + [F04.10,R0180,C0010]</t>
  </si>
  <si>
    <t>Households</t>
  </si>
  <si>
    <t>[F04.04.1,R0125,C0010] + [F04.09,R0125,C0050] + [F04.10,R0175,C0010]</t>
  </si>
  <si>
    <t>Of which: Small and Medium-sized Enterprises</t>
  </si>
  <si>
    <t>[F04.04.1,R0120,C0010] + [F04.09,R0120,C0050] + [F04.10,R0170,C0010]</t>
  </si>
  <si>
    <t>Non-financial corporations</t>
  </si>
  <si>
    <t>[F04.04.1,R0110,C0010] + [F04.09,R0110,C0050] + [F04.10,R0160,C0010]</t>
  </si>
  <si>
    <t>Other financial corporations</t>
  </si>
  <si>
    <t>[F04.04.1,R0100,C0010] + [F04.09,R0100,C0050] + [F04.10,R0150,C0010]</t>
  </si>
  <si>
    <t>Credit institutions</t>
  </si>
  <si>
    <t>[F04.04.1,R0090,C0010] + [F04.09,R0090,C0050] + [F04.10,R0140,C0010]</t>
  </si>
  <si>
    <t>General governments</t>
  </si>
  <si>
    <t>[F04.04.1,R0080,C0010] + [F04.09,R0080,C0050] + [F04.10,R0130,C0010]</t>
  </si>
  <si>
    <t>Central banks</t>
  </si>
  <si>
    <t>[F41.01,R0017,C0040] + [F41.01,R0024,C0040] + [F41.01,R0034,C0040]</t>
  </si>
  <si>
    <t>[F41.01,R0017,C0030] + [F41.01,R0024,C0030] + [F41.01,R0034,C0030]</t>
  </si>
  <si>
    <t>[F41.01,R0017,C0020] + [F41.01,R0024,C0020] + [F41.01,R0034,C0020]</t>
  </si>
  <si>
    <t>[F41.01,R0017,C0010] + [F41.01,R0024,C0010] + [F41.01,R0034,C0010]</t>
  </si>
  <si>
    <t>[F01.01,R0183,C0010] + [F01.01,R0233,C0010] + [F01.01,R0237,C0010]</t>
  </si>
  <si>
    <t>[F04.04.1,R0060,C0010] + [F04.09,R0060,C0050] + [F04.10,R0110,C0010]</t>
  </si>
  <si>
    <t>[F04.04.1,R0050,C0010] + [F04.09,R0050,C0050] + [F04.10,R0100,C0010]</t>
  </si>
  <si>
    <t>[F04.04.1,R0040,C0010] + [F04.09,R0040,C0050] + [F04.10,R0090,C0010]</t>
  </si>
  <si>
    <t>[F04.04.1,R0030,C0010] + [F04.09,R0030,C0050] + [F04.10,R0080,C0010]</t>
  </si>
  <si>
    <t>[F04.04.1,R0020,C0010] + [F04.09,R0020,C0050] + [F04.10,R0070,C0010]</t>
  </si>
  <si>
    <t>[F41.01,R0016,C0040] + [F41.01,R0023,C0040] + [F41.01,R0033,C0040]</t>
  </si>
  <si>
    <t>[F41.01,R0016,C0030] + [F41.01,R0023,C0030] + [F41.01,R0033,C0030]</t>
  </si>
  <si>
    <t>[F41.01,R0016,C0020] + [F41.01,R0023,C0020] + [F41.01,R0033,C0020]</t>
  </si>
  <si>
    <t>[F41.01,R0016,C0010] + [F41.01,R0023,C0010] + [F41.01,R0033,C0010]</t>
  </si>
  <si>
    <t>[F01.01,R0182,C0010] + [F01.01,R0232,C0010] + [F01.01,R0236,C0010]</t>
  </si>
  <si>
    <t>[F04.09,R0009,C0050] + [F04.10,R0050,C0010]</t>
  </si>
  <si>
    <t>of which: non-financial corporations</t>
  </si>
  <si>
    <t>[F04.09,R0008,C0050] + [F04.10,R0040,C0010]</t>
  </si>
  <si>
    <t>of which: other financial corporations</t>
  </si>
  <si>
    <t>[F04.09,R0007,C0050] + [F04.10,R0030,C0010]</t>
  </si>
  <si>
    <t>of which: credit institutions</t>
  </si>
  <si>
    <t>[F04.09,R0006,C0050] + [F04.10,R0020,C0010]</t>
  </si>
  <si>
    <t>of which: unquoted</t>
  </si>
  <si>
    <t>[F41.01,R0022,C0040] + [F41.01,R0032,C0040]</t>
  </si>
  <si>
    <t>[F41.01,R0022,C0030] + [F41.01,R0032,C0030]</t>
  </si>
  <si>
    <t>[F41.01,R0022,C0020] + [F41.01,R0032,C0020]</t>
  </si>
  <si>
    <t>[F41.01,R0022,C0010] + [F41.01,R0032,C0010]</t>
  </si>
  <si>
    <t>[F01.01,R0390,C0010] + [F01.01,R0235,C0010]</t>
  </si>
  <si>
    <t>Equity instruments</t>
  </si>
  <si>
    <t>[F41.01,R0015,C0040] + [F41.01,R0021,C0040] + [F41.01,R0031,C0040]</t>
  </si>
  <si>
    <t>[F41.01,R0015,C0030] + [F41.01,R0021,C0030] + [F41.01,R0031,C0030]</t>
  </si>
  <si>
    <t>[F41.01,R0015,C0020] + [F41.01,R0021,C0020] + [F41.01,R0031,C0020]</t>
  </si>
  <si>
    <t>[F11.04,R0080,C0040]</t>
  </si>
  <si>
    <t>[F11.04,R0080,C0030]</t>
  </si>
  <si>
    <t>[F41.01,R0015,C0010] + [F41.01,R0021,C0010] + [F41.01,R0031,C0010]</t>
  </si>
  <si>
    <t>[F01.01,R0181,C0010] + [F01.01,R0231,C0010] + [F01.01,R0234,C0010]</t>
  </si>
  <si>
    <t>Financial assets at amortised cost or assimilated</t>
  </si>
  <si>
    <t>0009 ASSETS</t>
  </si>
  <si>
    <t>o/w due to CS</t>
  </si>
  <si>
    <t>o/w due to IR</t>
  </si>
  <si>
    <t>Portfolio cash flow hedges of interest rate risk</t>
  </si>
  <si>
    <t>For discontinued micro hedges (residual)</t>
  </si>
  <si>
    <t>Included in the carrying amount of assets/liabilities</t>
  </si>
  <si>
    <t>Level 3</t>
  </si>
  <si>
    <t>Level 2</t>
  </si>
  <si>
    <t>Level 1</t>
  </si>
  <si>
    <t>Hedge adjustments</t>
  </si>
  <si>
    <t>Fair value hierarchy</t>
  </si>
  <si>
    <t>Fair value</t>
  </si>
  <si>
    <t>Carrying amount</t>
  </si>
  <si>
    <t>Some data points are already collected on an annual basis in Finrep (including references for reconciliations), but it is proposed to request them quarterly (STE).</t>
  </si>
  <si>
    <t>Already collected on a quarterly basis via Finrep. No need to include in the STE, but as reference to double check hidden losses reported by banks</t>
  </si>
  <si>
    <t>Level of EVE - Baseline scenario</t>
  </si>
  <si>
    <t>Level of NII - Baseline scenario</t>
  </si>
  <si>
    <t>Level of MV - Baseline scenario</t>
  </si>
  <si>
    <t>TOTAL ASSETS</t>
  </si>
  <si>
    <t>TOTAL LIABILITIES</t>
  </si>
  <si>
    <t>MEMORANDUM ITEMS</t>
  </si>
  <si>
    <t>Of which: wholesale (financial and non-financial)</t>
  </si>
  <si>
    <t>∆ MV - Widening Spread Scenario</t>
  </si>
  <si>
    <t>∆ NII - Widening Spread Scenario</t>
  </si>
  <si>
    <t>∆ EVE - Widening Spread Scenario</t>
  </si>
  <si>
    <t>Bank estimate of CSRBB sensivitities including behavioural, conditional and automatic optionality</t>
  </si>
  <si>
    <t>o.w  NMDs</t>
  </si>
  <si>
    <t>Portfolio fair value hedges of interest rate risk (macro hedges)</t>
  </si>
  <si>
    <t>Please answer to all of the following questions. Please consult the instructions to fill-in this template.</t>
  </si>
  <si>
    <t xml:space="preserve"> - Market credit spread</t>
  </si>
  <si>
    <t xml:space="preserve"> - Market liquidity spread</t>
  </si>
  <si>
    <t xml:space="preserve"> - Idiosyncratic spread (instrument or borrower-specific elements)</t>
  </si>
  <si>
    <t xml:space="preserve"> - Idiosyncratic spread (sector, geography, currency)</t>
  </si>
  <si>
    <t xml:space="preserve"> - Other (please specify)</t>
  </si>
  <si>
    <t xml:space="preserve"> - CS01 or any other sensitivity-based metric</t>
  </si>
  <si>
    <t xml:space="preserve"> - Parametric measure</t>
  </si>
  <si>
    <t xml:space="preserve"> - Historical simulation</t>
  </si>
  <si>
    <t xml:space="preserve"> - Stand-alone credit spread shocks</t>
  </si>
  <si>
    <t xml:space="preserve"> - Credit spread shocks integrated into broader internal stress tests</t>
  </si>
  <si>
    <t xml:space="preserve"> - Historical scenarios observed in the past 10Yr</t>
  </si>
  <si>
    <t xml:space="preserve"> - Historical scenarios observed in the past 20Yr</t>
  </si>
  <si>
    <t xml:space="preserve"> - Taylor made (hypothetical) scenarios</t>
  </si>
  <si>
    <t>Measurement &amp; stress-testing framework</t>
  </si>
  <si>
    <t>1 - Which spread components does the credit institution consider in the CSRBB identification and measurement?</t>
  </si>
  <si>
    <t>2 - What is the rationale for the scope of the spread components considered in the CSRBB identification and measurement?</t>
  </si>
  <si>
    <t xml:space="preserve">Of which: financials </t>
  </si>
  <si>
    <t xml:space="preserve">Central bank </t>
  </si>
  <si>
    <t>Economic FV hedges (incl. macro hedges)</t>
  </si>
  <si>
    <t>(free text)</t>
  </si>
  <si>
    <t>Total retail NMDs</t>
  </si>
  <si>
    <t>1. Natural persons</t>
  </si>
  <si>
    <t>2. SME's</t>
  </si>
  <si>
    <t xml:space="preserve">Individual depositor amount &lt; EUR 100 000 </t>
  </si>
  <si>
    <t xml:space="preserve">NII </t>
  </si>
  <si>
    <t>MVC</t>
  </si>
  <si>
    <t>Balance sheet assumption:</t>
  </si>
  <si>
    <t>Please, further elaborate:</t>
  </si>
  <si>
    <t>Central bank</t>
  </si>
  <si>
    <t>Interbank</t>
  </si>
  <si>
    <t>Net Derivatives</t>
  </si>
  <si>
    <t xml:space="preserve">Interbank </t>
  </si>
  <si>
    <t xml:space="preserve">Debt securities issued </t>
  </si>
  <si>
    <t>Of which: sovereigns (general governments)</t>
  </si>
  <si>
    <t>o/w subject to IMS for CS purposes</t>
  </si>
  <si>
    <t>CSRBB definition and perimeter</t>
  </si>
  <si>
    <t xml:space="preserve"> Individual depositor amount &lt; EUR 50 000 </t>
  </si>
  <si>
    <t xml:space="preserve">EUR 100 000 &lt;= Individual depositor amount &lt; EUR  300 000 </t>
  </si>
  <si>
    <t>∆ NII - Tightening Spread Scenario</t>
  </si>
  <si>
    <t>∆ MV - Tightening Spread Scenario</t>
  </si>
  <si>
    <t>Of which: hedges (all types)</t>
  </si>
  <si>
    <t>Economic value from behavioural assumptions</t>
  </si>
  <si>
    <t>∆ EVE - Tightening Spread Scenario</t>
  </si>
  <si>
    <t>Notional amount
subject to CSRBB in IMS</t>
  </si>
  <si>
    <t>Template 1_initial mapping</t>
  </si>
  <si>
    <t>Commercial margins/other spread components (EVE)</t>
  </si>
  <si>
    <t>Level of EVE for IRRBB - Baseline scenario</t>
  </si>
  <si>
    <t>Template 2_CSRBB sensitivities</t>
  </si>
  <si>
    <t>Template 3_unrealised losses</t>
  </si>
  <si>
    <t>Template 4_CSRBB_Additional</t>
  </si>
  <si>
    <t>Template 5_NMD_stratification</t>
  </si>
  <si>
    <t xml:space="preserve">   Of which: retail</t>
  </si>
  <si>
    <t xml:space="preserve">   Of which: wholesale (financial and non-financial)</t>
  </si>
  <si>
    <t>Of which: NMDs</t>
  </si>
  <si>
    <t xml:space="preserve">   Of which: underlying subject to CSRBB</t>
  </si>
  <si>
    <r>
      <t>Of which: sovereigns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(general governments)</t>
    </r>
  </si>
  <si>
    <t xml:space="preserve">Amortised costs items only 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</si>
  <si>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</si>
  <si>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</si>
  <si>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</si>
  <si>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</si>
  <si>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</si>
  <si>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</si>
  <si>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</si>
  <si>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</si>
  <si>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</si>
  <si>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</si>
  <si>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</si>
  <si>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</si>
  <si>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</si>
  <si>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</si>
  <si>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</si>
  <si>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</si>
  <si>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</si>
  <si>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</si>
  <si>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</si>
  <si>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</si>
  <si>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</si>
  <si>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</si>
  <si>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</si>
  <si>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</si>
  <si>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</si>
  <si>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</si>
  <si>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</si>
  <si>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</si>
  <si>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</si>
  <si>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1 - If the credit institution considers liabilities in the scope of CSRBB assessment, how does it ensures that only market-related elements are being considered and the deterioration of the credit institution’s creditworthiness is not having a positive impact on the credit spread risk measure?</t>
  </si>
  <si>
    <t xml:space="preserve">2 - How does your credit institution measure CSRBB? </t>
  </si>
  <si>
    <t>3 - Does your credit institution apply diversification effects between IRRBB and CSRBB?</t>
  </si>
  <si>
    <t xml:space="preserve">4 - How often does your credit institution measure CSRBB? </t>
  </si>
  <si>
    <t>5 - Please specify the way of how your credit institution performs stress tests with respect to CSRBB?</t>
  </si>
  <si>
    <t>6 - Does your credit institution differentiate the idiosyncratic and non-idiosyncratic components of the credit spread changes in the stress tests performed?</t>
  </si>
  <si>
    <t>7 - How are the stress scenarios calibrated?</t>
  </si>
  <si>
    <t>8 - How often are these scenarios reviewed?</t>
  </si>
  <si>
    <t>9 - Which approach do you expect to follow (or you already apply) to assess the impact on NII of your CSRBB exposures?</t>
  </si>
  <si>
    <t>10 - Which approach do you expect to follow (or you already apply) to assess the impact on EVE of your CSRBB exposures? Please briefly explain.</t>
  </si>
  <si>
    <t>11 - Which approach do you expect to follow (or you already apply) to assess the impact on MV of your CSRBB exposures? Please briefly explain.</t>
  </si>
  <si>
    <t xml:space="preserve">12 - Memorandum item on EVE level for IRRBB </t>
  </si>
  <si>
    <t>Economic Value of Equity (EVE)</t>
  </si>
  <si>
    <t>Net Interest Income (NII)</t>
  </si>
  <si>
    <t>Net Balance Sheet w/o Derivatives</t>
  </si>
  <si>
    <t>Net Balance Sheet with Derivatives</t>
  </si>
  <si>
    <t xml:space="preserve">Market Value changes (MV)
(as per defined in the EBA/GL/2022/14 para. 15) </t>
  </si>
  <si>
    <t>If other, please specify</t>
  </si>
  <si>
    <t xml:space="preserve"> - Other (please specify below)</t>
  </si>
  <si>
    <t>0300</t>
  </si>
  <si>
    <t>0310</t>
  </si>
  <si>
    <t>0320</t>
  </si>
  <si>
    <t>0330</t>
  </si>
  <si>
    <t>0340</t>
  </si>
  <si>
    <t>0350</t>
  </si>
  <si>
    <t>0360</t>
  </si>
  <si>
    <t>0370</t>
  </si>
  <si>
    <t>(if other in  0140, free text)</t>
  </si>
  <si>
    <t>If yes, please specify the risk(s)</t>
  </si>
  <si>
    <t>(if yes in 0160, free text)</t>
  </si>
  <si>
    <t>(if others in 0170 - free text)</t>
  </si>
  <si>
    <t>(if other in 0050, free text)</t>
  </si>
  <si>
    <t>Please consult the instructions to fill-in the IRRBB/CSRBB templates</t>
  </si>
  <si>
    <r>
      <t xml:space="preserve">The instructions to fill-in this template are specified in a dedicated word document named </t>
    </r>
    <r>
      <rPr>
        <b/>
        <sz val="11"/>
        <rFont val="Calibri"/>
        <family val="2"/>
        <scheme val="minor"/>
      </rPr>
      <t>"STE for SREP - READ ME reporting instructions IRRBB / CSRBB"</t>
    </r>
    <r>
      <rPr>
        <sz val="11"/>
        <rFont val="Calibri"/>
        <family val="2"/>
        <scheme val="minor"/>
      </rPr>
      <t xml:space="preserve"> which is part of the Short Term Exercise for SREP data collection package.</t>
    </r>
  </si>
  <si>
    <t xml:space="preserve">Total assets </t>
  </si>
  <si>
    <t>Total liabilities</t>
  </si>
  <si>
    <t xml:space="preserve"> If yes, please provide the rationale of the differences in scopes.</t>
  </si>
  <si>
    <t>IRRBB/CSRBB - Interest Rate Risk/Credit Spread Risk in the Banking Book</t>
  </si>
  <si>
    <t>3 -  Are there differences in the scope of instruments to compute the impact of CSRBB on EVE, NII and MVC ?</t>
  </si>
  <si>
    <t>Template 6_IRRBB_Additional</t>
  </si>
  <si>
    <t>Shock arising from exposures in:</t>
  </si>
  <si>
    <t>Other material currencies</t>
  </si>
  <si>
    <t>Data point</t>
  </si>
  <si>
    <t>Description</t>
  </si>
  <si>
    <t>Level of EVE under baseline scenario</t>
  </si>
  <si>
    <t xml:space="preserve">   Parallel</t>
  </si>
  <si>
    <t xml:space="preserve">   Parallel Shock Down</t>
  </si>
  <si>
    <t xml:space="preserve">   Parallel Shock Up</t>
  </si>
  <si>
    <t xml:space="preserve">   Short Rates Shock Down</t>
  </si>
  <si>
    <t xml:space="preserve">   Short Rates Shock Up</t>
  </si>
  <si>
    <t xml:space="preserve">   Steepener</t>
  </si>
  <si>
    <t xml:space="preserve">   Flattener</t>
  </si>
  <si>
    <t>Forecasted Net Interest Income expected within 12 months in a baseline scenario</t>
  </si>
  <si>
    <t>Realized Net Interest Income (annualized)</t>
  </si>
  <si>
    <t>Change in the forecasted Net Interest income within 12 months under a parallel interest rate shock down</t>
  </si>
  <si>
    <t>Forecasted Net interest income within 12 months after a parallel interest rate shock down</t>
  </si>
  <si>
    <t>Change in the forecasted Net Interest income within 12 months under a parallel interest rate shock up</t>
  </si>
  <si>
    <t>Forecasted Net interest income within 12 months after a parallel interest rate shock up</t>
  </si>
  <si>
    <t>Total Assets in the Banking Book</t>
  </si>
  <si>
    <t>Total Liabilities in the Banking Book</t>
  </si>
  <si>
    <t>Assets in the Banking Book with embedded automatic optionality</t>
  </si>
  <si>
    <t>Assets in the Banking Book with embedded automatic optionality / Total Assets in the Banking Book</t>
  </si>
  <si>
    <t>Liabilities in the Banking Book with embedded automatic optionality</t>
  </si>
  <si>
    <t>Liabilities in the Banking Book with embedded automatic optionality / Total Liabilities in the Banking Book</t>
  </si>
  <si>
    <t>Assets in the Banking Book with embedded behavioural optionality</t>
  </si>
  <si>
    <t>Assets in the Banking Book with embedded behavioural optionality / Total Assets in the Banking Book</t>
  </si>
  <si>
    <t>Liabilities in the Banking Book with embedded behavioural optionality</t>
  </si>
  <si>
    <t>Liabilities in the Banking Book with embedded behavioural optionality / Total Liabilities in the Banking Book</t>
  </si>
  <si>
    <t>Section "Questions"</t>
  </si>
  <si>
    <t>Supervisory standard shock</t>
  </si>
  <si>
    <t>For earnings:</t>
  </si>
  <si>
    <t>Main assumptions:</t>
  </si>
  <si>
    <t>For economic value:</t>
  </si>
  <si>
    <t>If yes, please list the changes, the reasons and the impact:</t>
  </si>
  <si>
    <t>Forecasted Earnings expected within 12 months in a baseline scenario</t>
  </si>
  <si>
    <t>Change in the forecasted Earnings within 12 months under a parallel interest rate shock down</t>
  </si>
  <si>
    <t>Change in the forecasted Earnings within 12 months under a parallel interest rate shock up</t>
  </si>
  <si>
    <t>Forecasted Earnings  within 12 months after a parallel interest rate shock up</t>
  </si>
  <si>
    <t>Forecasted Earnings  within 12 months after a parallel interest rate shock down</t>
  </si>
  <si>
    <t>Material Currency 1:</t>
  </si>
  <si>
    <t>Material Currency 2:</t>
  </si>
  <si>
    <t>Material Currency 3:</t>
  </si>
  <si>
    <t>Material Currency 4:</t>
  </si>
  <si>
    <t>Other material currencies:</t>
  </si>
  <si>
    <t>Outcome of the supervisory outlier test (according to paragraph 92 of EBA/GL/2022/14)</t>
  </si>
  <si>
    <r>
      <t>Specifie</t>
    </r>
    <r>
      <rPr>
        <sz val="11"/>
        <rFont val="Calibri"/>
        <family val="2"/>
        <scheme val="minor"/>
      </rPr>
      <t>d size of interest rate shocks in bps (according to paragraph 92 of EBA/GL/2022/14)</t>
    </r>
  </si>
  <si>
    <t>2 - Which risk-free yield curves have been used in order to compute the supervisory standard shock?
Please read the instructions before answering the question.</t>
  </si>
  <si>
    <t>0380</t>
  </si>
  <si>
    <t>0390</t>
  </si>
  <si>
    <t>4 - Have commercial margins and other spread components been excluded in the Level of EVE under baseline scenario?</t>
  </si>
  <si>
    <t>0400</t>
  </si>
  <si>
    <t>If yes, please provide an explanation of the methodology used to exclude them.</t>
  </si>
  <si>
    <t>0410</t>
  </si>
  <si>
    <t>5 - Have pension obligations and pension plan assets been included in the computation of the supervisory standard shock and in earnings metrics?</t>
  </si>
  <si>
    <t>0420</t>
  </si>
  <si>
    <t>If yes, please provide an explanation on how they were incorporated in the methodology to compute the supervisory standard shock and NII/Earnings metrics.</t>
  </si>
  <si>
    <t>0430</t>
  </si>
  <si>
    <t>6 - Have any other material assumptions underlying the calculation of the supervisory standard shock and in earnings metrics changed since the STE for SREP data collection was last submitted?</t>
  </si>
  <si>
    <t>0440</t>
  </si>
  <si>
    <t>0450</t>
  </si>
  <si>
    <t>0460</t>
  </si>
  <si>
    <t>0470</t>
  </si>
  <si>
    <t>Other Assets</t>
  </si>
  <si>
    <t>Other Liabilities</t>
  </si>
  <si>
    <t xml:space="preserve">Debt securities </t>
  </si>
  <si>
    <t>7 - Which items have been included in lines "Other" in Templates 1 "IRRBB_CSRBB_mapping", template 2 ''CSRBB sensitivities'' and template 3 "Unrealised losses"?</t>
  </si>
  <si>
    <t>Please consult the instructions to fill-in this template.</t>
  </si>
  <si>
    <t>The assumptions regarding the calculation of these datapoints must be explained below. Please consult the instructions to fill-in this template.</t>
  </si>
  <si>
    <t>Total hedges</t>
  </si>
  <si>
    <t>of which : Macro hedges</t>
  </si>
  <si>
    <t>If yes, please provide a list material currencies include in Other Material Currency using the currency ISO codes, as well as the specified interest rate shock used according to the methodology prescribed in Annex I of the EBA/RTS/2022/10.</t>
  </si>
  <si>
    <t>1 - Does the institution have more than 4 material currencies according to Article 1(3) of EBA/RTS/2022/10?</t>
  </si>
  <si>
    <t>3 - Which IRRBB Measurement Methods from Annexes 1 and 2 (of EBA/GL/2022/14) have been used to compute the supervisory standard shock and earnings measures?</t>
  </si>
  <si>
    <t>If yes, please list the changes, the reasons and the impact.</t>
  </si>
  <si>
    <t>According to EBA/RTS/2022/10, article 4, institutions should report to the competent authority the change in economic value of equity (∆ EVE) that results from calculating the outcome of the standard shock, as referred to in Article 98(5) of Directive 2013/36/EU and in the Guidelines. When calculating the outcome of the standard shock, institutions apply some assumptions. Please explain below some of these assumptions by replying to the below stated questions.</t>
  </si>
  <si>
    <t>of which : Micro Fair Value hedges</t>
  </si>
  <si>
    <t xml:space="preserve">of which : Cash flow hedges </t>
  </si>
  <si>
    <t>Unrealised losses</t>
  </si>
  <si>
    <t>Accumulated gains and losses in accordance with hedge accounting rules</t>
  </si>
  <si>
    <t xml:space="preserve">Institution internal view (economic value) </t>
  </si>
  <si>
    <t>Other effects considered relevant for economic value (not captured in columns G to K)</t>
  </si>
  <si>
    <t>Off-balance sheet assets: contingent assets</t>
  </si>
  <si>
    <t>Off-balance sheet liabilities: Contingent liabilities</t>
  </si>
  <si>
    <t>13 - Other reasons than in point 12 (above) for different EVE level for IRRBB and CSRBB (template 2, columns 0010 and 0020)</t>
  </si>
  <si>
    <t xml:space="preserve">EUR 50 000 &lt;= Individual depositor amount &lt; EUR  100 000 </t>
  </si>
  <si>
    <t xml:space="preserve"> Individual depositor amount &gt;= EUR 100 000 </t>
  </si>
  <si>
    <t xml:space="preserve">EUR 300 000 &lt;= Individual depositor amount &lt; EUR  1 000 000 </t>
  </si>
  <si>
    <t xml:space="preserve">Individual depositor amount &gt;= EUR  1 000 000 </t>
  </si>
  <si>
    <t>Total Unrealised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</si>
</sst>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_);[Red]\-#,##0.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0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1"/>
      <color theme="9"/>
      <name val="Calibri"/>
      <family val="2"/>
      <scheme val="minor"/>
    </font>
    <font>
      <b/>
      <u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indexed="8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2"/>
      <color theme="1"/>
      <name val="Calibri"/>
      <family val="2"/>
      <scheme val="minor"/>
    </font>
    <font>
      <sz val="10"/>
      <name val="Helv"/>
    </font>
    <font>
      <strike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C7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CBDBC"/>
      </left>
      <right style="thin">
        <color rgb="FFBCBDBC"/>
      </right>
      <top style="thin">
        <color rgb="FFBCBDBC"/>
      </top>
      <bottom style="thin">
        <color rgb="FFBCBD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  <xf numFmtId="0" fontId="16" fillId="4" borderId="15" applyFont="0" applyBorder="0">
      <alignment horizontal="center" wrapText="1"/>
    </xf>
    <xf numFmtId="3" fontId="18" fillId="7" borderId="28" applyFont="0">
      <alignment horizontal="right" vertical="center"/>
      <protection locked="0"/>
    </xf>
    <xf numFmtId="0" fontId="18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" fillId="0" borderId="0"/>
    <xf numFmtId="0" fontId="18" fillId="0" borderId="0"/>
    <xf numFmtId="0" fontId="37" fillId="0" borderId="0"/>
    <xf numFmtId="0" fontId="9" fillId="0" borderId="0"/>
  </cellStyleXfs>
  <cellXfs count="361">
    <xf numFmtId="0" fontId="0" fillId="0" borderId="0" xfId="0"/>
    <xf numFmtId="0" fontId="0" fillId="0" borderId="0" xfId="0"/>
    <xf numFmtId="0" fontId="0" fillId="4" borderId="0" xfId="0" applyFont="1" applyFill="1" applyProtection="1"/>
    <xf numFmtId="0" fontId="3" fillId="2" borderId="0" xfId="0" applyFont="1" applyFill="1" applyProtection="1"/>
    <xf numFmtId="0" fontId="2" fillId="4" borderId="0" xfId="0" applyFont="1" applyFill="1" applyAlignment="1" applyProtection="1">
      <alignment horizontal="left"/>
    </xf>
    <xf numFmtId="0" fontId="0" fillId="4" borderId="0" xfId="0" applyFont="1" applyFill="1" applyAlignment="1" applyProtection="1">
      <alignment horizontal="left"/>
    </xf>
    <xf numFmtId="0" fontId="2" fillId="4" borderId="0" xfId="0" applyFont="1" applyFill="1" applyAlignment="1" applyProtection="1">
      <alignment horizontal="center"/>
    </xf>
    <xf numFmtId="0" fontId="4" fillId="3" borderId="0" xfId="0" applyFont="1" applyFill="1" applyAlignment="1" applyProtection="1">
      <alignment horizontal="center"/>
    </xf>
    <xf numFmtId="0" fontId="0" fillId="4" borderId="0" xfId="0" applyFont="1" applyFill="1" applyAlignment="1" applyProtection="1">
      <alignment horizontal="center"/>
    </xf>
    <xf numFmtId="0" fontId="8" fillId="4" borderId="0" xfId="0" applyFont="1" applyFill="1" applyAlignment="1" applyProtection="1">
      <alignment horizontal="right"/>
    </xf>
    <xf numFmtId="0" fontId="6" fillId="4" borderId="0" xfId="0" applyFont="1" applyFill="1" applyProtection="1"/>
    <xf numFmtId="0" fontId="10" fillId="4" borderId="0" xfId="0" applyFont="1" applyFill="1" applyBorder="1" applyAlignment="1" applyProtection="1">
      <alignment horizontal="right"/>
    </xf>
    <xf numFmtId="0" fontId="12" fillId="4" borderId="0" xfId="0" applyFont="1" applyFill="1" applyBorder="1" applyAlignment="1" applyProtection="1">
      <alignment horizontal="left"/>
    </xf>
    <xf numFmtId="0" fontId="12" fillId="4" borderId="0" xfId="0" applyFont="1" applyFill="1" applyBorder="1" applyAlignment="1" applyProtection="1"/>
    <xf numFmtId="0" fontId="13" fillId="4" borderId="0" xfId="0" applyFont="1" applyFill="1" applyBorder="1" applyAlignment="1" applyProtection="1">
      <alignment horizontal="left"/>
    </xf>
    <xf numFmtId="14" fontId="11" fillId="5" borderId="21" xfId="0" applyNumberFormat="1" applyFont="1" applyFill="1" applyBorder="1" applyAlignment="1" applyProtection="1">
      <alignment horizontal="left"/>
      <protection locked="0"/>
    </xf>
    <xf numFmtId="0" fontId="0" fillId="2" borderId="0" xfId="0" applyFont="1" applyFill="1" applyProtection="1"/>
    <xf numFmtId="0" fontId="0" fillId="0" borderId="0" xfId="0" applyBorder="1"/>
    <xf numFmtId="0" fontId="2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3" borderId="2" xfId="2" applyFont="1" applyFill="1" applyBorder="1" applyAlignment="1" applyProtection="1">
      <alignment horizontal="center" vertical="center" wrapText="1"/>
    </xf>
    <xf numFmtId="0" fontId="2" fillId="3" borderId="3" xfId="2" applyFont="1" applyFill="1" applyBorder="1" applyAlignment="1" applyProtection="1">
      <alignment horizontal="center" vertical="center" wrapText="1"/>
    </xf>
    <xf numFmtId="0" fontId="10" fillId="4" borderId="0" xfId="0" applyFont="1" applyFill="1" applyBorder="1" applyAlignment="1" applyProtection="1">
      <alignment horizontal="right" vertical="top"/>
    </xf>
    <xf numFmtId="0" fontId="7" fillId="5" borderId="21" xfId="0" applyFont="1" applyFill="1" applyBorder="1" applyAlignment="1" applyProtection="1">
      <alignment horizontal="left"/>
      <protection locked="0"/>
    </xf>
    <xf numFmtId="49" fontId="7" fillId="5" borderId="21" xfId="0" applyNumberFormat="1" applyFont="1" applyFill="1" applyBorder="1" applyAlignment="1" applyProtection="1">
      <alignment horizontal="left"/>
      <protection locked="0"/>
    </xf>
    <xf numFmtId="0" fontId="2" fillId="0" borderId="0" xfId="0" applyFont="1"/>
    <xf numFmtId="49" fontId="11" fillId="5" borderId="21" xfId="0" applyNumberFormat="1" applyFont="1" applyFill="1" applyBorder="1" applyAlignment="1" applyProtection="1">
      <alignment horizontal="left"/>
      <protection locked="0"/>
    </xf>
    <xf numFmtId="3" fontId="17" fillId="9" borderId="29" xfId="5" applyFont="1" applyFill="1" applyBorder="1" applyAlignment="1">
      <alignment horizontal="center" vertical="center" wrapText="1"/>
      <protection locked="0"/>
    </xf>
    <xf numFmtId="3" fontId="0" fillId="9" borderId="20" xfId="5" applyFont="1" applyFill="1" applyBorder="1">
      <alignment horizontal="right" vertical="center"/>
      <protection locked="0"/>
    </xf>
    <xf numFmtId="0" fontId="0" fillId="8" borderId="0" xfId="0" applyFill="1"/>
    <xf numFmtId="3" fontId="0" fillId="9" borderId="2" xfId="5" applyFont="1" applyFill="1" applyBorder="1">
      <alignment horizontal="right" vertical="center"/>
      <protection locked="0"/>
    </xf>
    <xf numFmtId="0" fontId="0" fillId="10" borderId="0" xfId="0" applyFill="1"/>
    <xf numFmtId="0" fontId="19" fillId="9" borderId="0" xfId="0" applyFont="1" applyFill="1"/>
    <xf numFmtId="3" fontId="0" fillId="3" borderId="2" xfId="5" applyFont="1" applyFill="1" applyBorder="1">
      <alignment horizontal="right" vertical="center"/>
      <protection locked="0"/>
    </xf>
    <xf numFmtId="3" fontId="0" fillId="10" borderId="2" xfId="5" applyFont="1" applyFill="1" applyBorder="1">
      <alignment horizontal="right" vertical="center"/>
      <protection locked="0"/>
    </xf>
    <xf numFmtId="3" fontId="0" fillId="12" borderId="2" xfId="5" applyFont="1" applyFill="1" applyBorder="1">
      <alignment horizontal="right" vertical="center"/>
      <protection locked="0"/>
    </xf>
    <xf numFmtId="0" fontId="2" fillId="0" borderId="0" xfId="0" applyFont="1" applyBorder="1" applyAlignment="1">
      <alignment vertical="center"/>
    </xf>
    <xf numFmtId="0" fontId="0" fillId="13" borderId="29" xfId="0" applyFill="1" applyBorder="1" applyAlignment="1">
      <alignment horizontal="left" vertical="top" wrapText="1"/>
    </xf>
    <xf numFmtId="0" fontId="0" fillId="13" borderId="20" xfId="0" applyFill="1" applyBorder="1" applyAlignment="1">
      <alignment horizontal="left" vertical="top" wrapText="1"/>
    </xf>
    <xf numFmtId="0" fontId="24" fillId="0" borderId="0" xfId="0" applyFont="1" applyAlignment="1">
      <alignment wrapText="1"/>
    </xf>
    <xf numFmtId="0" fontId="26" fillId="0" borderId="0" xfId="0" applyFont="1"/>
    <xf numFmtId="1" fontId="0" fillId="0" borderId="2" xfId="5" applyNumberFormat="1" applyFont="1" applyFill="1" applyBorder="1">
      <alignment horizontal="right" vertical="center"/>
      <protection locked="0"/>
    </xf>
    <xf numFmtId="165" fontId="23" fillId="8" borderId="2" xfId="0" applyNumberFormat="1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6"/>
    </xf>
    <xf numFmtId="0" fontId="0" fillId="0" borderId="2" xfId="0" applyBorder="1" applyAlignment="1">
      <alignment horizontal="left" vertical="center" wrapText="1" indent="4"/>
    </xf>
    <xf numFmtId="0" fontId="0" fillId="0" borderId="2" xfId="0" applyBorder="1" applyAlignment="1">
      <alignment horizontal="left" vertical="top" wrapText="1"/>
    </xf>
    <xf numFmtId="0" fontId="26" fillId="8" borderId="2" xfId="0" applyFont="1" applyFill="1" applyBorder="1" applyAlignment="1">
      <alignment horizontal="left" vertical="top" wrapText="1"/>
    </xf>
    <xf numFmtId="0" fontId="0" fillId="4" borderId="29" xfId="0" applyFill="1" applyBorder="1" applyAlignment="1">
      <alignment horizontal="left" vertical="top" wrapText="1"/>
    </xf>
    <xf numFmtId="0" fontId="24" fillId="4" borderId="0" xfId="0" applyFont="1" applyFill="1" applyAlignment="1">
      <alignment wrapText="1"/>
    </xf>
    <xf numFmtId="0" fontId="0" fillId="4" borderId="0" xfId="0" applyFill="1"/>
    <xf numFmtId="0" fontId="26" fillId="8" borderId="2" xfId="0" applyFont="1" applyFill="1" applyBorder="1" applyAlignment="1">
      <alignment horizontal="left" vertical="center" wrapText="1" indent="4"/>
    </xf>
    <xf numFmtId="0" fontId="26" fillId="8" borderId="2" xfId="0" applyFont="1" applyFill="1" applyBorder="1" applyAlignment="1">
      <alignment horizontal="left" vertical="center" wrapText="1" indent="6"/>
    </xf>
    <xf numFmtId="0" fontId="26" fillId="8" borderId="2" xfId="0" applyFont="1" applyFill="1" applyBorder="1" applyAlignment="1">
      <alignment horizontal="left" vertical="center" wrapText="1" indent="8"/>
    </xf>
    <xf numFmtId="0" fontId="26" fillId="8" borderId="2" xfId="0" applyFont="1" applyFill="1" applyBorder="1" applyAlignment="1">
      <alignment horizontal="left" vertical="center" wrapText="1" indent="2"/>
    </xf>
    <xf numFmtId="1" fontId="0" fillId="5" borderId="2" xfId="5" applyNumberFormat="1" applyFont="1" applyFill="1" applyBorder="1">
      <alignment horizontal="right" vertical="center"/>
      <protection locked="0"/>
    </xf>
    <xf numFmtId="165" fontId="23" fillId="5" borderId="2" xfId="0" applyNumberFormat="1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left" vertical="top" wrapText="1"/>
    </xf>
    <xf numFmtId="164" fontId="20" fillId="0" borderId="0" xfId="0" applyNumberFormat="1" applyFont="1" applyAlignment="1">
      <alignment vertical="center"/>
    </xf>
    <xf numFmtId="1" fontId="29" fillId="5" borderId="2" xfId="5" applyNumberFormat="1" applyFont="1" applyFill="1" applyBorder="1">
      <alignment horizontal="right" vertical="center"/>
      <protection locked="0"/>
    </xf>
    <xf numFmtId="0" fontId="31" fillId="0" borderId="0" xfId="0" applyFont="1"/>
    <xf numFmtId="1" fontId="0" fillId="0" borderId="2" xfId="0" applyNumberFormat="1" applyFont="1" applyBorder="1" applyAlignment="1">
      <alignment horizontal="right" vertical="center" wrapText="1"/>
    </xf>
    <xf numFmtId="0" fontId="33" fillId="0" borderId="0" xfId="0" applyFont="1"/>
    <xf numFmtId="0" fontId="34" fillId="0" borderId="0" xfId="0" applyFont="1"/>
    <xf numFmtId="0" fontId="5" fillId="4" borderId="0" xfId="0" applyFont="1" applyFill="1" applyAlignment="1" applyProtection="1">
      <alignment vertical="top" wrapText="1"/>
    </xf>
    <xf numFmtId="0" fontId="35" fillId="15" borderId="21" xfId="0" applyFont="1" applyFill="1" applyBorder="1" applyAlignment="1">
      <alignment horizontal="center" vertical="center" wrapText="1"/>
    </xf>
    <xf numFmtId="0" fontId="36" fillId="4" borderId="0" xfId="0" applyFont="1" applyFill="1" applyAlignment="1">
      <alignment horizontal="right"/>
    </xf>
    <xf numFmtId="49" fontId="13" fillId="5" borderId="21" xfId="0" applyNumberFormat="1" applyFont="1" applyFill="1" applyBorder="1" applyAlignment="1" applyProtection="1">
      <alignment horizontal="center"/>
      <protection locked="0"/>
    </xf>
    <xf numFmtId="10" fontId="12" fillId="5" borderId="21" xfId="1" applyNumberFormat="1" applyFont="1" applyFill="1" applyBorder="1" applyAlignment="1" applyProtection="1">
      <alignment horizontal="center" vertical="center"/>
      <protection locked="0"/>
    </xf>
    <xf numFmtId="10" fontId="6" fillId="3" borderId="21" xfId="1" applyNumberFormat="1" applyFont="1" applyFill="1" applyBorder="1" applyAlignment="1" applyProtection="1">
      <alignment horizontal="center" vertical="center"/>
    </xf>
    <xf numFmtId="49" fontId="5" fillId="5" borderId="21" xfId="0" applyNumberFormat="1" applyFont="1" applyFill="1" applyBorder="1" applyAlignment="1" applyProtection="1">
      <alignment horizontal="center" vertical="center"/>
      <protection locked="0"/>
    </xf>
    <xf numFmtId="10" fontId="6" fillId="5" borderId="21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right"/>
    </xf>
    <xf numFmtId="0" fontId="3" fillId="2" borderId="0" xfId="0" applyFont="1" applyFill="1"/>
    <xf numFmtId="0" fontId="5" fillId="4" borderId="0" xfId="0" applyFont="1" applyFill="1"/>
    <xf numFmtId="0" fontId="0" fillId="4" borderId="0" xfId="2" applyFont="1" applyFill="1" applyAlignment="1">
      <alignment horizontal="left" vertical="center" wrapText="1"/>
    </xf>
    <xf numFmtId="0" fontId="0" fillId="4" borderId="0" xfId="2" applyFont="1" applyFill="1" applyAlignment="1">
      <alignment horizontal="center" vertical="center" wrapText="1"/>
    </xf>
    <xf numFmtId="0" fontId="0" fillId="4" borderId="0" xfId="2" applyFont="1" applyFill="1" applyAlignment="1">
      <alignment vertical="center"/>
    </xf>
    <xf numFmtId="0" fontId="0" fillId="4" borderId="0" xfId="2" applyFont="1" applyFill="1" applyAlignment="1">
      <alignment horizontal="center" vertical="center"/>
    </xf>
    <xf numFmtId="0" fontId="3" fillId="0" borderId="0" xfId="0" applyFont="1"/>
    <xf numFmtId="0" fontId="0" fillId="4" borderId="2" xfId="2" applyFont="1" applyFill="1" applyBorder="1" applyAlignment="1">
      <alignment horizontal="left" vertical="center" wrapText="1"/>
    </xf>
    <xf numFmtId="4" fontId="5" fillId="5" borderId="2" xfId="1" applyNumberFormat="1" applyFont="1" applyFill="1" applyBorder="1" applyAlignment="1" applyProtection="1">
      <alignment horizontal="center" vertical="center" wrapText="1"/>
      <protection locked="0"/>
    </xf>
    <xf numFmtId="4" fontId="6" fillId="5" borderId="2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/>
    <xf numFmtId="49" fontId="0" fillId="4" borderId="0" xfId="2" applyNumberFormat="1" applyFont="1" applyFill="1" applyAlignment="1">
      <alignment horizontal="left" vertical="center" wrapText="1"/>
    </xf>
    <xf numFmtId="1" fontId="6" fillId="5" borderId="2" xfId="0" applyNumberFormat="1" applyFont="1" applyFill="1" applyBorder="1" applyAlignment="1" applyProtection="1">
      <alignment horizontal="center" vertical="center"/>
      <protection locked="0"/>
    </xf>
    <xf numFmtId="0" fontId="7" fillId="4" borderId="0" xfId="0" applyFont="1" applyFill="1"/>
    <xf numFmtId="0" fontId="3" fillId="4" borderId="0" xfId="0" applyFont="1" applyFill="1"/>
    <xf numFmtId="0" fontId="5" fillId="4" borderId="15" xfId="2" applyFont="1" applyFill="1" applyBorder="1" applyAlignment="1">
      <alignment horizontal="left" vertical="center" wrapText="1"/>
    </xf>
    <xf numFmtId="4" fontId="0" fillId="0" borderId="2" xfId="2" applyNumberFormat="1" applyFont="1" applyBorder="1" applyAlignment="1">
      <alignment horizontal="center" vertical="center" wrapText="1"/>
    </xf>
    <xf numFmtId="0" fontId="0" fillId="4" borderId="0" xfId="2" applyFont="1" applyFill="1" applyAlignment="1">
      <alignment vertical="top" wrapText="1"/>
    </xf>
    <xf numFmtId="0" fontId="0" fillId="4" borderId="15" xfId="2" applyFont="1" applyFill="1" applyBorder="1" applyAlignment="1">
      <alignment horizontal="left" vertical="center" wrapText="1"/>
    </xf>
    <xf numFmtId="49" fontId="3" fillId="2" borderId="0" xfId="0" applyNumberFormat="1" applyFont="1" applyFill="1"/>
    <xf numFmtId="4" fontId="3" fillId="2" borderId="0" xfId="0" applyNumberFormat="1" applyFont="1" applyFill="1"/>
    <xf numFmtId="0" fontId="0" fillId="4" borderId="0" xfId="2" applyFont="1" applyFill="1" applyAlignment="1">
      <alignment horizontal="left" vertical="center"/>
    </xf>
    <xf numFmtId="49" fontId="0" fillId="4" borderId="0" xfId="2" applyNumberFormat="1" applyFont="1" applyFill="1" applyAlignment="1">
      <alignment horizontal="left" vertical="center"/>
    </xf>
    <xf numFmtId="4" fontId="0" fillId="4" borderId="0" xfId="2" applyNumberFormat="1" applyFont="1" applyFill="1" applyAlignment="1">
      <alignment horizontal="left" vertical="center"/>
    </xf>
    <xf numFmtId="4" fontId="0" fillId="4" borderId="0" xfId="2" applyNumberFormat="1" applyFont="1" applyFill="1" applyAlignment="1">
      <alignment vertical="center"/>
    </xf>
    <xf numFmtId="0" fontId="3" fillId="4" borderId="0" xfId="2" applyFont="1" applyFill="1"/>
    <xf numFmtId="0" fontId="3" fillId="4" borderId="0" xfId="2" applyFont="1" applyFill="1" applyAlignment="1">
      <alignment horizontal="center" vertical="center"/>
    </xf>
    <xf numFmtId="0" fontId="3" fillId="4" borderId="0" xfId="2" applyFont="1" applyFill="1" applyAlignment="1">
      <alignment horizontal="left" vertical="center"/>
    </xf>
    <xf numFmtId="49" fontId="3" fillId="4" borderId="0" xfId="2" applyNumberFormat="1" applyFont="1" applyFill="1" applyAlignment="1">
      <alignment horizontal="left" vertical="center"/>
    </xf>
    <xf numFmtId="4" fontId="3" fillId="0" borderId="0" xfId="2" applyNumberFormat="1" applyFont="1" applyAlignment="1">
      <alignment vertical="center"/>
    </xf>
    <xf numFmtId="4" fontId="3" fillId="0" borderId="0" xfId="2" applyNumberFormat="1" applyFont="1" applyAlignment="1">
      <alignment horizontal="left" vertical="center"/>
    </xf>
    <xf numFmtId="4" fontId="0" fillId="4" borderId="0" xfId="2" applyNumberFormat="1" applyFont="1" applyFill="1" applyAlignment="1">
      <alignment horizontal="center" vertical="center" wrapText="1"/>
    </xf>
    <xf numFmtId="4" fontId="0" fillId="0" borderId="17" xfId="2" applyNumberFormat="1" applyFont="1" applyBorder="1" applyAlignment="1">
      <alignment horizontal="center" vertical="center" wrapText="1"/>
    </xf>
    <xf numFmtId="4" fontId="0" fillId="0" borderId="0" xfId="2" applyNumberFormat="1" applyFont="1" applyAlignment="1">
      <alignment vertical="center"/>
    </xf>
    <xf numFmtId="4" fontId="0" fillId="0" borderId="0" xfId="2" applyNumberFormat="1" applyFont="1" applyAlignment="1">
      <alignment horizontal="left" vertical="center"/>
    </xf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horizontal="left" vertical="center"/>
    </xf>
    <xf numFmtId="49" fontId="0" fillId="0" borderId="0" xfId="2" applyNumberFormat="1" applyFont="1" applyAlignment="1">
      <alignment horizontal="left" vertical="center"/>
    </xf>
    <xf numFmtId="4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2" fillId="4" borderId="0" xfId="2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7" fillId="5" borderId="2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left" vertical="center"/>
    </xf>
    <xf numFmtId="0" fontId="7" fillId="5" borderId="2" xfId="0" applyFont="1" applyFill="1" applyBorder="1" applyAlignment="1" applyProtection="1">
      <alignment vertical="top" wrapText="1"/>
      <protection locked="0"/>
    </xf>
    <xf numFmtId="0" fontId="39" fillId="4" borderId="0" xfId="0" applyFont="1" applyFill="1" applyAlignment="1">
      <alignment vertical="center"/>
    </xf>
    <xf numFmtId="0" fontId="36" fillId="4" borderId="0" xfId="0" applyFont="1" applyFill="1" applyAlignment="1">
      <alignment vertical="center"/>
    </xf>
    <xf numFmtId="0" fontId="35" fillId="15" borderId="4" xfId="0" applyFont="1" applyFill="1" applyBorder="1" applyAlignment="1">
      <alignment horizontal="center" vertical="center"/>
    </xf>
    <xf numFmtId="0" fontId="35" fillId="15" borderId="5" xfId="0" applyFont="1" applyFill="1" applyBorder="1" applyAlignment="1">
      <alignment horizontal="center" vertical="center"/>
    </xf>
    <xf numFmtId="0" fontId="35" fillId="15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 applyProtection="1">
      <alignment horizontal="center" vertical="center"/>
    </xf>
    <xf numFmtId="49" fontId="7" fillId="5" borderId="4" xfId="0" applyNumberFormat="1" applyFont="1" applyFill="1" applyBorder="1" applyAlignment="1" applyProtection="1">
      <alignment horizontal="left"/>
      <protection locked="0"/>
    </xf>
    <xf numFmtId="49" fontId="7" fillId="5" borderId="6" xfId="0" applyNumberFormat="1" applyFont="1" applyFill="1" applyBorder="1" applyAlignment="1" applyProtection="1">
      <alignment horizontal="left"/>
      <protection locked="0"/>
    </xf>
    <xf numFmtId="0" fontId="11" fillId="4" borderId="0" xfId="0" applyFont="1" applyFill="1" applyBorder="1" applyAlignment="1" applyProtection="1">
      <alignment vertical="top" wrapText="1"/>
    </xf>
    <xf numFmtId="0" fontId="0" fillId="5" borderId="4" xfId="0" applyFont="1" applyFill="1" applyBorder="1" applyAlignment="1" applyProtection="1">
      <alignment horizontal="center" vertical="top" wrapText="1"/>
      <protection locked="0"/>
    </xf>
    <xf numFmtId="0" fontId="0" fillId="5" borderId="5" xfId="0" applyFont="1" applyFill="1" applyBorder="1" applyAlignment="1" applyProtection="1">
      <alignment horizontal="center" vertical="top" wrapText="1"/>
      <protection locked="0"/>
    </xf>
    <xf numFmtId="0" fontId="0" fillId="5" borderId="6" xfId="0" applyFont="1" applyFill="1" applyBorder="1" applyAlignment="1" applyProtection="1">
      <alignment horizontal="center" vertical="top" wrapText="1"/>
      <protection locked="0"/>
    </xf>
    <xf numFmtId="3" fontId="17" fillId="9" borderId="7" xfId="5" applyFont="1" applyFill="1" applyBorder="1" applyAlignment="1">
      <alignment horizontal="center" vertical="center" wrapText="1"/>
      <protection locked="0"/>
    </xf>
    <xf numFmtId="3" fontId="17" fillId="9" borderId="8" xfId="5" applyFont="1" applyFill="1" applyBorder="1" applyAlignment="1">
      <alignment horizontal="center" vertical="center" wrapText="1"/>
      <protection locked="0"/>
    </xf>
    <xf numFmtId="3" fontId="17" fillId="9" borderId="9" xfId="5" applyFont="1" applyFill="1" applyBorder="1" applyAlignment="1">
      <alignment horizontal="center" vertical="center" wrapText="1"/>
      <protection locked="0"/>
    </xf>
    <xf numFmtId="0" fontId="15" fillId="4" borderId="20" xfId="4" applyFont="1" applyBorder="1">
      <alignment horizontal="center" wrapText="1"/>
    </xf>
    <xf numFmtId="0" fontId="15" fillId="4" borderId="27" xfId="4" applyFont="1" applyBorder="1">
      <alignment horizontal="center" wrapText="1"/>
    </xf>
    <xf numFmtId="0" fontId="15" fillId="4" borderId="7" xfId="4" applyFont="1" applyBorder="1" applyAlignment="1">
      <alignment horizontal="center" vertical="center" wrapText="1"/>
    </xf>
    <xf numFmtId="0" fontId="15" fillId="4" borderId="8" xfId="4" applyFont="1" applyBorder="1" applyAlignment="1">
      <alignment horizontal="center" vertical="center" wrapText="1"/>
    </xf>
    <xf numFmtId="0" fontId="15" fillId="4" borderId="9" xfId="4" applyFont="1" applyBorder="1" applyAlignment="1">
      <alignment horizontal="center" vertical="center" wrapText="1"/>
    </xf>
    <xf numFmtId="0" fontId="15" fillId="4" borderId="10" xfId="4" applyFont="1" applyBorder="1" applyAlignment="1">
      <alignment horizontal="center" vertical="center" wrapText="1"/>
    </xf>
    <xf numFmtId="0" fontId="15" fillId="4" borderId="0" xfId="4" applyFont="1" applyBorder="1" applyAlignment="1">
      <alignment horizontal="center" vertical="center" wrapText="1"/>
    </xf>
    <xf numFmtId="0" fontId="15" fillId="4" borderId="11" xfId="4" applyFont="1" applyBorder="1" applyAlignment="1">
      <alignment horizontal="center" vertical="center" wrapText="1"/>
    </xf>
    <xf numFmtId="0" fontId="15" fillId="4" borderId="12" xfId="4" applyFont="1" applyBorder="1" applyAlignment="1">
      <alignment horizontal="center" vertical="center" wrapText="1"/>
    </xf>
    <xf numFmtId="0" fontId="15" fillId="4" borderId="13" xfId="4" applyFont="1" applyBorder="1" applyAlignment="1">
      <alignment horizontal="center" vertical="center" wrapText="1"/>
    </xf>
    <xf numFmtId="0" fontId="15" fillId="4" borderId="14" xfId="4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1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9" borderId="20" xfId="0" applyFont="1" applyFill="1" applyBorder="1" applyAlignment="1">
      <alignment horizontal="center" vertical="center" wrapText="1"/>
    </xf>
    <xf numFmtId="0" fontId="2" fillId="9" borderId="29" xfId="0" applyFont="1" applyFill="1" applyBorder="1" applyAlignment="1">
      <alignment horizontal="center" vertical="center" wrapText="1"/>
    </xf>
    <xf numFmtId="0" fontId="0" fillId="9" borderId="16" xfId="0" applyFill="1" applyBorder="1" applyAlignment="1">
      <alignment horizontal="left" vertical="center" indent="1"/>
    </xf>
    <xf numFmtId="0" fontId="0" fillId="9" borderId="17" xfId="0" applyFill="1" applyBorder="1" applyAlignment="1">
      <alignment horizontal="left" vertical="center" indent="1"/>
    </xf>
    <xf numFmtId="0" fontId="0" fillId="0" borderId="2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2" fillId="3" borderId="1" xfId="2" applyFont="1" applyFill="1" applyBorder="1" applyAlignment="1" applyProtection="1">
      <alignment horizontal="center" vertical="center"/>
    </xf>
    <xf numFmtId="0" fontId="2" fillId="3" borderId="0" xfId="2" applyFont="1" applyFill="1" applyBorder="1" applyAlignment="1" applyProtection="1">
      <alignment horizontal="center" vertical="center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indent="1"/>
    </xf>
    <xf numFmtId="0" fontId="2" fillId="3" borderId="4" xfId="2" applyFont="1" applyFill="1" applyBorder="1" applyAlignment="1" applyProtection="1">
      <alignment horizontal="center" vertical="center"/>
    </xf>
    <xf numFmtId="0" fontId="2" fillId="3" borderId="5" xfId="2" applyFont="1" applyFill="1" applyBorder="1" applyAlignment="1" applyProtection="1">
      <alignment horizontal="center" vertical="center"/>
    </xf>
    <xf numFmtId="0" fontId="2" fillId="3" borderId="6" xfId="2" applyFont="1" applyFill="1" applyBorder="1" applyAlignment="1" applyProtection="1">
      <alignment horizontal="center" vertical="center"/>
    </xf>
    <xf numFmtId="0" fontId="2" fillId="14" borderId="2" xfId="0" applyFont="1" applyFill="1" applyBorder="1" applyAlignment="1">
      <alignment horizontal="left" vertical="center" wrapText="1"/>
    </xf>
    <xf numFmtId="0" fontId="30" fillId="8" borderId="2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24" fillId="0" borderId="13" xfId="0" applyFont="1" applyBorder="1" applyAlignment="1">
      <alignment horizontal="left" wrapText="1"/>
    </xf>
    <xf numFmtId="0" fontId="7" fillId="4" borderId="2" xfId="0" applyFont="1" applyFill="1" applyBorder="1" applyAlignment="1">
      <alignment horizontal="left" vertical="top" wrapText="1"/>
    </xf>
    <xf numFmtId="0" fontId="6" fillId="4" borderId="30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0" fillId="0" borderId="0" xfId="0" applyFont="1"/>
    <xf numFmtId="0" fontId="40" fillId="4" borderId="0" xfId="0" applyFont="1" applyFill="1"/>
    <xf numFmtId="0" fontId="41" fillId="15" borderId="4" xfId="0" applyFont="1" applyFill="1" applyBorder="1" applyAlignment="1">
      <alignment horizontal="center" vertical="center"/>
    </xf>
    <xf numFmtId="0" fontId="41" fillId="15" borderId="5" xfId="0" applyFont="1" applyFill="1" applyBorder="1" applyAlignment="1">
      <alignment horizontal="center" vertical="center"/>
    </xf>
    <xf numFmtId="0" fontId="41" fillId="15" borderId="6" xfId="0" applyFont="1" applyFill="1" applyBorder="1" applyAlignment="1">
      <alignment horizontal="center" vertical="center"/>
    </xf>
    <xf numFmtId="0" fontId="0" fillId="0" borderId="0" xfId="0" applyFont="1"/>
    <xf numFmtId="0" fontId="42" fillId="0" borderId="0" xfId="0" applyFont="1"/>
    <xf numFmtId="0" fontId="41" fillId="15" borderId="15" xfId="0" applyFont="1" applyFill="1" applyBorder="1" applyAlignment="1">
      <alignment horizontal="center" vertical="center"/>
    </xf>
    <xf numFmtId="0" fontId="41" fillId="15" borderId="16" xfId="0" applyFont="1" applyFill="1" applyBorder="1" applyAlignment="1">
      <alignment horizontal="center" vertical="center"/>
    </xf>
    <xf numFmtId="0" fontId="41" fillId="15" borderId="17" xfId="0" applyFont="1" applyFill="1" applyBorder="1" applyAlignment="1">
      <alignment horizontal="center" vertical="center"/>
    </xf>
    <xf numFmtId="0" fontId="41" fillId="15" borderId="2" xfId="0" applyFont="1" applyFill="1" applyBorder="1" applyAlignment="1">
      <alignment horizontal="center" vertical="center" wrapText="1"/>
    </xf>
    <xf numFmtId="0" fontId="41" fillId="15" borderId="15" xfId="0" applyFont="1" applyFill="1" applyBorder="1" applyAlignment="1">
      <alignment horizontal="center" vertical="center" wrapText="1"/>
    </xf>
    <xf numFmtId="0" fontId="41" fillId="15" borderId="16" xfId="0" applyFont="1" applyFill="1" applyBorder="1" applyAlignment="1">
      <alignment horizontal="center" vertical="center" wrapText="1"/>
    </xf>
    <xf numFmtId="0" fontId="41" fillId="15" borderId="17" xfId="0" applyFont="1" applyFill="1" applyBorder="1" applyAlignment="1">
      <alignment horizontal="center" vertical="center" wrapText="1"/>
    </xf>
    <xf numFmtId="0" fontId="43" fillId="4" borderId="0" xfId="0" applyFont="1" applyFill="1" applyAlignment="1">
      <alignment wrapText="1"/>
    </xf>
    <xf numFmtId="0" fontId="41" fillId="0" borderId="7" xfId="0" applyFont="1" applyFill="1" applyBorder="1" applyAlignment="1">
      <alignment horizontal="left" vertical="center" wrapText="1"/>
    </xf>
    <xf numFmtId="0" fontId="41" fillId="0" borderId="8" xfId="0" applyFont="1" applyFill="1" applyBorder="1" applyAlignment="1">
      <alignment horizontal="left" vertical="center" wrapText="1"/>
    </xf>
    <xf numFmtId="0" fontId="41" fillId="0" borderId="9" xfId="0" applyFont="1" applyFill="1" applyBorder="1" applyAlignment="1">
      <alignment horizontal="left" vertical="center" wrapText="1"/>
    </xf>
    <xf numFmtId="0" fontId="42" fillId="0" borderId="2" xfId="0" applyFont="1" applyBorder="1" applyAlignment="1">
      <alignment horizontal="center" vertical="top" wrapText="1"/>
    </xf>
    <xf numFmtId="0" fontId="41" fillId="0" borderId="12" xfId="0" applyFont="1" applyFill="1" applyBorder="1" applyAlignment="1">
      <alignment horizontal="center" vertical="center" wrapText="1"/>
    </xf>
    <xf numFmtId="0" fontId="42" fillId="4" borderId="20" xfId="0" applyFont="1" applyFill="1" applyBorder="1" applyAlignment="1">
      <alignment vertical="top" wrapText="1"/>
    </xf>
    <xf numFmtId="0" fontId="42" fillId="0" borderId="20" xfId="0" applyFont="1" applyBorder="1" applyAlignment="1">
      <alignment vertical="top" wrapText="1"/>
    </xf>
    <xf numFmtId="40" fontId="40" fillId="0" borderId="17" xfId="0" applyNumberFormat="1" applyFont="1" applyBorder="1" applyAlignment="1">
      <alignment horizontal="center" vertical="top" wrapText="1"/>
    </xf>
    <xf numFmtId="49" fontId="40" fillId="17" borderId="2" xfId="0" applyNumberFormat="1" applyFont="1" applyFill="1" applyBorder="1" applyAlignment="1">
      <alignment horizontal="center" vertical="center"/>
    </xf>
    <xf numFmtId="49" fontId="40" fillId="17" borderId="17" xfId="0" applyNumberFormat="1" applyFont="1" applyFill="1" applyBorder="1" applyAlignment="1">
      <alignment horizontal="center" vertical="center"/>
    </xf>
    <xf numFmtId="0" fontId="41" fillId="0" borderId="2" xfId="0" applyFont="1" applyBorder="1" applyAlignment="1">
      <alignment vertical="center" wrapText="1"/>
    </xf>
    <xf numFmtId="49" fontId="44" fillId="16" borderId="2" xfId="10" applyNumberFormat="1" applyFont="1" applyFill="1" applyBorder="1" applyAlignment="1">
      <alignment horizontal="right" vertical="center" indent="1"/>
    </xf>
    <xf numFmtId="0" fontId="42" fillId="5" borderId="2" xfId="0" applyFont="1" applyFill="1" applyBorder="1" applyAlignment="1">
      <alignment horizontal="left" vertical="center" wrapText="1"/>
    </xf>
    <xf numFmtId="165" fontId="40" fillId="4" borderId="2" xfId="0" applyNumberFormat="1" applyFont="1" applyFill="1" applyBorder="1" applyAlignment="1">
      <alignment horizontal="center" vertical="center" wrapText="1"/>
    </xf>
    <xf numFmtId="0" fontId="44" fillId="0" borderId="2" xfId="0" applyFont="1" applyBorder="1" applyAlignment="1">
      <alignment vertical="center" wrapText="1"/>
    </xf>
    <xf numFmtId="165" fontId="40" fillId="5" borderId="2" xfId="0" applyNumberFormat="1" applyFont="1" applyFill="1" applyBorder="1" applyAlignment="1">
      <alignment horizontal="left" vertical="center" wrapText="1"/>
    </xf>
    <xf numFmtId="0" fontId="40" fillId="5" borderId="2" xfId="0" applyFont="1" applyFill="1" applyBorder="1" applyAlignment="1">
      <alignment vertical="center"/>
    </xf>
    <xf numFmtId="0" fontId="40" fillId="3" borderId="2" xfId="0" applyFont="1" applyFill="1" applyBorder="1" applyAlignment="1">
      <alignment vertical="center"/>
    </xf>
    <xf numFmtId="165" fontId="40" fillId="5" borderId="2" xfId="0" applyNumberFormat="1" applyFont="1" applyFill="1" applyBorder="1" applyAlignment="1">
      <alignment vertical="center" wrapText="1"/>
    </xf>
    <xf numFmtId="165" fontId="40" fillId="5" borderId="2" xfId="0" applyNumberFormat="1" applyFont="1" applyFill="1" applyBorder="1" applyAlignment="1">
      <alignment horizontal="center" vertical="center" wrapText="1"/>
    </xf>
    <xf numFmtId="165" fontId="40" fillId="3" borderId="2" xfId="0" applyNumberFormat="1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center" wrapText="1"/>
    </xf>
    <xf numFmtId="0" fontId="42" fillId="3" borderId="2" xfId="0" applyFont="1" applyFill="1" applyBorder="1" applyAlignment="1">
      <alignment horizontal="left" vertical="center" wrapText="1"/>
    </xf>
    <xf numFmtId="0" fontId="45" fillId="0" borderId="0" xfId="0" applyFont="1"/>
    <xf numFmtId="0" fontId="41" fillId="4" borderId="0" xfId="4" applyFont="1" applyBorder="1" applyAlignment="1">
      <alignment horizontal="center" wrapText="1"/>
    </xf>
    <xf numFmtId="0" fontId="41" fillId="15" borderId="7" xfId="0" applyFont="1" applyFill="1" applyBorder="1" applyAlignment="1">
      <alignment horizontal="center" vertical="center" wrapText="1"/>
    </xf>
    <xf numFmtId="0" fontId="41" fillId="15" borderId="8" xfId="0" applyFont="1" applyFill="1" applyBorder="1" applyAlignment="1">
      <alignment horizontal="center" vertical="center" wrapText="1"/>
    </xf>
    <xf numFmtId="0" fontId="41" fillId="15" borderId="9" xfId="0" applyFont="1" applyFill="1" applyBorder="1" applyAlignment="1">
      <alignment horizontal="center" vertical="center" wrapText="1"/>
    </xf>
    <xf numFmtId="0" fontId="41" fillId="4" borderId="29" xfId="4" applyFont="1" applyBorder="1" applyAlignment="1">
      <alignment horizontal="center" vertical="center" wrapText="1"/>
    </xf>
    <xf numFmtId="0" fontId="41" fillId="15" borderId="20" xfId="0" applyFont="1" applyFill="1" applyBorder="1" applyAlignment="1">
      <alignment horizontal="center" vertical="center" wrapText="1"/>
    </xf>
    <xf numFmtId="0" fontId="41" fillId="15" borderId="10" xfId="0" applyFont="1" applyFill="1" applyBorder="1" applyAlignment="1">
      <alignment horizontal="center" vertical="center" wrapText="1"/>
    </xf>
    <xf numFmtId="0" fontId="41" fillId="15" borderId="0" xfId="0" applyFont="1" applyFill="1" applyBorder="1" applyAlignment="1">
      <alignment horizontal="center" vertical="center" wrapText="1"/>
    </xf>
    <xf numFmtId="0" fontId="41" fillId="15" borderId="11" xfId="0" applyFont="1" applyFill="1" applyBorder="1" applyAlignment="1">
      <alignment horizontal="center" vertical="center" wrapText="1"/>
    </xf>
    <xf numFmtId="0" fontId="41" fillId="4" borderId="2" xfId="4" applyFont="1" applyBorder="1" applyAlignment="1">
      <alignment horizontal="center" vertical="center" wrapText="1"/>
    </xf>
    <xf numFmtId="0" fontId="41" fillId="15" borderId="27" xfId="0" applyFont="1" applyFill="1" applyBorder="1" applyAlignment="1">
      <alignment horizontal="center" vertical="center" wrapText="1"/>
    </xf>
    <xf numFmtId="0" fontId="42" fillId="4" borderId="2" xfId="4" applyFont="1" applyBorder="1" applyAlignment="1">
      <alignment horizontal="center" vertical="center" wrapText="1"/>
    </xf>
    <xf numFmtId="0" fontId="41" fillId="0" borderId="2" xfId="4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 wrapText="1"/>
    </xf>
    <xf numFmtId="0" fontId="42" fillId="0" borderId="2" xfId="4" applyFont="1" applyFill="1" applyBorder="1" applyAlignment="1">
      <alignment horizontal="center" vertical="center" wrapText="1"/>
    </xf>
    <xf numFmtId="0" fontId="41" fillId="15" borderId="29" xfId="0" applyFont="1" applyFill="1" applyBorder="1" applyAlignment="1">
      <alignment horizontal="center" vertical="center" wrapText="1"/>
    </xf>
    <xf numFmtId="0" fontId="42" fillId="0" borderId="2" xfId="4" applyFont="1" applyFill="1" applyBorder="1" applyAlignment="1">
      <alignment horizontal="center" vertical="center" wrapText="1"/>
    </xf>
    <xf numFmtId="0" fontId="42" fillId="4" borderId="2" xfId="4" applyFont="1" applyBorder="1" applyAlignment="1">
      <alignment horizontal="center" vertical="center" wrapText="1"/>
    </xf>
    <xf numFmtId="0" fontId="41" fillId="15" borderId="12" xfId="0" applyFont="1" applyFill="1" applyBorder="1" applyAlignment="1">
      <alignment horizontal="center" vertical="center" wrapText="1"/>
    </xf>
    <xf numFmtId="0" fontId="41" fillId="15" borderId="13" xfId="0" applyFont="1" applyFill="1" applyBorder="1" applyAlignment="1">
      <alignment horizontal="center" vertical="center" wrapText="1"/>
    </xf>
    <xf numFmtId="0" fontId="41" fillId="15" borderId="14" xfId="0" applyFont="1" applyFill="1" applyBorder="1" applyAlignment="1">
      <alignment horizontal="center" vertical="center" wrapText="1"/>
    </xf>
    <xf numFmtId="49" fontId="44" fillId="16" borderId="15" xfId="10" applyNumberFormat="1" applyFont="1" applyFill="1" applyBorder="1" applyAlignment="1">
      <alignment horizontal="right" vertical="center" indent="1"/>
    </xf>
    <xf numFmtId="3" fontId="42" fillId="0" borderId="2" xfId="5" applyFont="1" applyFill="1" applyBorder="1">
      <alignment horizontal="right" vertical="center"/>
      <protection locked="0"/>
    </xf>
    <xf numFmtId="3" fontId="42" fillId="11" borderId="2" xfId="5" applyFont="1" applyFill="1" applyBorder="1">
      <alignment horizontal="right" vertical="center"/>
      <protection locked="0"/>
    </xf>
    <xf numFmtId="0" fontId="44" fillId="0" borderId="2" xfId="0" applyFont="1" applyBorder="1" applyAlignment="1">
      <alignment horizontal="left" vertical="center" wrapText="1"/>
    </xf>
    <xf numFmtId="3" fontId="44" fillId="0" borderId="15" xfId="0" applyNumberFormat="1" applyFont="1" applyFill="1" applyBorder="1" applyAlignment="1">
      <alignment horizontal="right" vertical="center" wrapText="1"/>
    </xf>
    <xf numFmtId="3" fontId="44" fillId="5" borderId="2" xfId="5" applyFont="1" applyFill="1" applyBorder="1" applyAlignment="1">
      <alignment horizontal="center" vertical="center"/>
      <protection locked="0"/>
    </xf>
    <xf numFmtId="3" fontId="44" fillId="5" borderId="15" xfId="0" applyNumberFormat="1" applyFont="1" applyFill="1" applyBorder="1" applyAlignment="1">
      <alignment horizontal="right" vertical="center" wrapText="1"/>
    </xf>
    <xf numFmtId="3" fontId="40" fillId="5" borderId="2" xfId="5" applyFont="1" applyFill="1" applyBorder="1">
      <alignment horizontal="right" vertical="center"/>
      <protection locked="0"/>
    </xf>
    <xf numFmtId="0" fontId="44" fillId="0" borderId="2" xfId="0" applyFont="1" applyBorder="1" applyAlignment="1">
      <alignment horizontal="left" vertical="center" indent="1"/>
    </xf>
    <xf numFmtId="0" fontId="40" fillId="0" borderId="2" xfId="0" applyFont="1" applyBorder="1" applyAlignment="1">
      <alignment horizontal="left" vertical="center"/>
    </xf>
    <xf numFmtId="0" fontId="40" fillId="0" borderId="2" xfId="0" applyFont="1" applyBorder="1" applyAlignment="1">
      <alignment horizontal="left" vertical="center" indent="1"/>
    </xf>
    <xf numFmtId="0" fontId="40" fillId="0" borderId="2" xfId="0" applyFont="1" applyFill="1" applyBorder="1" applyAlignment="1">
      <alignment horizontal="left" vertical="center" indent="1"/>
    </xf>
    <xf numFmtId="0" fontId="40" fillId="0" borderId="2" xfId="0" applyFont="1" applyFill="1" applyBorder="1" applyAlignment="1">
      <alignment horizontal="left" vertical="center" wrapText="1"/>
    </xf>
    <xf numFmtId="0" fontId="40" fillId="0" borderId="2" xfId="0" applyFont="1" applyFill="1" applyBorder="1" applyAlignment="1">
      <alignment horizontal="left" vertical="center"/>
    </xf>
    <xf numFmtId="0" fontId="44" fillId="0" borderId="2" xfId="0" applyFont="1" applyBorder="1" applyAlignment="1">
      <alignment horizontal="left" vertical="center"/>
    </xf>
    <xf numFmtId="0" fontId="40" fillId="0" borderId="2" xfId="0" applyFont="1" applyBorder="1" applyAlignment="1">
      <alignment horizontal="left" vertical="center" wrapText="1"/>
    </xf>
    <xf numFmtId="0" fontId="40" fillId="0" borderId="2" xfId="0" applyFont="1" applyFill="1" applyBorder="1" applyAlignment="1">
      <alignment horizontal="left" vertical="top"/>
    </xf>
    <xf numFmtId="0" fontId="1" fillId="0" borderId="2" xfId="0" applyFont="1" applyBorder="1"/>
    <xf numFmtId="0" fontId="40" fillId="0" borderId="2" xfId="0" applyFont="1" applyBorder="1"/>
    <xf numFmtId="3" fontId="1" fillId="0" borderId="2" xfId="0" applyNumberFormat="1" applyFont="1" applyBorder="1"/>
    <xf numFmtId="0" fontId="40" fillId="5" borderId="2" xfId="0" applyFont="1" applyFill="1" applyBorder="1"/>
    <xf numFmtId="0" fontId="46" fillId="15" borderId="2" xfId="0" applyFont="1" applyFill="1" applyBorder="1" applyAlignment="1">
      <alignment horizontal="left" vertical="center"/>
    </xf>
    <xf numFmtId="0" fontId="41" fillId="0" borderId="2" xfId="4" applyFont="1" applyFill="1" applyBorder="1" applyAlignment="1">
      <alignment horizontal="center" wrapText="1"/>
    </xf>
    <xf numFmtId="0" fontId="44" fillId="0" borderId="2" xfId="2" applyFont="1" applyFill="1" applyBorder="1" applyAlignment="1">
      <alignment horizontal="center" vertical="center" wrapText="1"/>
    </xf>
    <xf numFmtId="49" fontId="0" fillId="17" borderId="2" xfId="0" applyNumberFormat="1" applyFont="1" applyFill="1" applyBorder="1" applyAlignment="1">
      <alignment horizontal="center" vertical="center"/>
    </xf>
    <xf numFmtId="49" fontId="5" fillId="16" borderId="2" xfId="10" applyNumberFormat="1" applyFont="1" applyFill="1" applyBorder="1" applyAlignment="1">
      <alignment horizontal="right" vertical="center" indent="1"/>
    </xf>
    <xf numFmtId="0" fontId="0" fillId="0" borderId="2" xfId="0" applyFont="1" applyBorder="1" applyAlignment="1">
      <alignment vertical="center" wrapText="1"/>
    </xf>
    <xf numFmtId="0" fontId="44" fillId="5" borderId="2" xfId="0" quotePrefix="1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44" fillId="3" borderId="2" xfId="0" quotePrefix="1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 indent="1"/>
    </xf>
    <xf numFmtId="0" fontId="0" fillId="5" borderId="2" xfId="0" applyFont="1" applyFill="1" applyBorder="1" applyAlignment="1">
      <alignment vertical="center"/>
    </xf>
    <xf numFmtId="0" fontId="0" fillId="0" borderId="2" xfId="0" applyFont="1" applyBorder="1" applyAlignment="1">
      <alignment horizontal="left" vertical="center" wrapText="1" indent="1"/>
    </xf>
    <xf numFmtId="0" fontId="41" fillId="3" borderId="2" xfId="0" applyFont="1" applyFill="1" applyBorder="1" applyAlignment="1">
      <alignment vertical="center" wrapText="1"/>
    </xf>
    <xf numFmtId="0" fontId="44" fillId="5" borderId="2" xfId="0" applyFont="1" applyFill="1" applyBorder="1"/>
    <xf numFmtId="0" fontId="0" fillId="0" borderId="2" xfId="0" applyFont="1" applyBorder="1"/>
    <xf numFmtId="0" fontId="41" fillId="5" borderId="2" xfId="0" applyFont="1" applyFill="1" applyBorder="1" applyAlignment="1">
      <alignment vertical="center" wrapText="1"/>
    </xf>
    <xf numFmtId="0" fontId="47" fillId="2" borderId="0" xfId="0" applyFont="1" applyFill="1"/>
    <xf numFmtId="0" fontId="47" fillId="2" borderId="0" xfId="0" applyFont="1" applyFill="1" applyAlignment="1">
      <alignment wrapText="1"/>
    </xf>
    <xf numFmtId="0" fontId="41" fillId="15" borderId="4" xfId="0" applyFont="1" applyFill="1" applyBorder="1" applyAlignment="1">
      <alignment horizontal="center" vertical="center" wrapText="1"/>
    </xf>
    <xf numFmtId="0" fontId="41" fillId="15" borderId="5" xfId="0" applyFont="1" applyFill="1" applyBorder="1" applyAlignment="1">
      <alignment horizontal="center" vertical="center" wrapText="1"/>
    </xf>
    <xf numFmtId="0" fontId="41" fillId="15" borderId="6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right" wrapText="1"/>
    </xf>
    <xf numFmtId="0" fontId="41" fillId="15" borderId="2" xfId="0" applyFont="1" applyFill="1" applyBorder="1" applyAlignment="1">
      <alignment vertical="top" wrapText="1"/>
    </xf>
    <xf numFmtId="0" fontId="41" fillId="0" borderId="29" xfId="0" applyFont="1" applyFill="1" applyBorder="1" applyAlignment="1">
      <alignment vertical="center"/>
    </xf>
    <xf numFmtId="0" fontId="40" fillId="0" borderId="2" xfId="9" applyFont="1" applyBorder="1" applyAlignment="1">
      <alignment horizontal="left" vertical="top" wrapText="1"/>
    </xf>
    <xf numFmtId="0" fontId="40" fillId="5" borderId="2" xfId="9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left" vertical="top" wrapText="1"/>
    </xf>
    <xf numFmtId="0" fontId="48" fillId="5" borderId="2" xfId="0" applyFont="1" applyFill="1" applyBorder="1" applyAlignment="1">
      <alignment horizontal="left" wrapText="1"/>
    </xf>
    <xf numFmtId="0" fontId="40" fillId="0" borderId="2" xfId="0" applyFont="1" applyBorder="1" applyAlignment="1">
      <alignment horizontal="center" wrapText="1"/>
    </xf>
    <xf numFmtId="0" fontId="40" fillId="5" borderId="2" xfId="0" applyFont="1" applyFill="1" applyBorder="1" applyAlignment="1">
      <alignment horizontal="center" wrapText="1"/>
    </xf>
    <xf numFmtId="0" fontId="40" fillId="0" borderId="2" xfId="0" applyFont="1" applyBorder="1" applyAlignment="1">
      <alignment horizontal="left" vertical="top" wrapText="1"/>
    </xf>
    <xf numFmtId="0" fontId="40" fillId="5" borderId="2" xfId="0" quotePrefix="1" applyFont="1" applyFill="1" applyBorder="1" applyAlignment="1">
      <alignment horizontal="center" wrapText="1"/>
    </xf>
    <xf numFmtId="0" fontId="40" fillId="0" borderId="0" xfId="0" applyFont="1" applyAlignment="1">
      <alignment wrapText="1"/>
    </xf>
    <xf numFmtId="0" fontId="40" fillId="4" borderId="0" xfId="2" applyFont="1" applyFill="1" applyAlignment="1">
      <alignment horizontal="left" vertical="center" wrapText="1"/>
    </xf>
    <xf numFmtId="0" fontId="42" fillId="4" borderId="0" xfId="2" applyFont="1" applyFill="1" applyAlignment="1">
      <alignment horizontal="center" vertical="center" wrapText="1"/>
    </xf>
    <xf numFmtId="0" fontId="44" fillId="0" borderId="0" xfId="0" applyFont="1"/>
    <xf numFmtId="0" fontId="41" fillId="15" borderId="2" xfId="0" applyFont="1" applyFill="1" applyBorder="1" applyAlignment="1">
      <alignment horizontal="center" vertical="center" wrapText="1"/>
    </xf>
    <xf numFmtId="0" fontId="41" fillId="15" borderId="2" xfId="0" applyFont="1" applyFill="1" applyBorder="1" applyAlignment="1">
      <alignment horizontal="left" vertical="center" wrapText="1"/>
    </xf>
    <xf numFmtId="1" fontId="44" fillId="4" borderId="2" xfId="1" applyNumberFormat="1" applyFont="1" applyFill="1" applyBorder="1" applyAlignment="1" applyProtection="1">
      <alignment horizontal="right" vertical="center" wrapText="1"/>
      <protection locked="0"/>
    </xf>
    <xf numFmtId="0" fontId="46" fillId="15" borderId="2" xfId="0" applyFont="1" applyFill="1" applyBorder="1" applyAlignment="1">
      <alignment horizontal="left" vertical="center" wrapText="1"/>
    </xf>
    <xf numFmtId="164" fontId="44" fillId="0" borderId="15" xfId="0" applyNumberFormat="1" applyFont="1" applyBorder="1" applyAlignment="1">
      <alignment wrapText="1"/>
    </xf>
    <xf numFmtId="1" fontId="44" fillId="5" borderId="2" xfId="5" applyNumberFormat="1" applyFont="1" applyFill="1" applyBorder="1">
      <alignment horizontal="right" vertical="center"/>
      <protection locked="0"/>
    </xf>
    <xf numFmtId="1" fontId="44" fillId="5" borderId="29" xfId="5" applyNumberFormat="1" applyFont="1" applyFill="1" applyBorder="1">
      <alignment horizontal="right" vertical="center"/>
      <protection locked="0"/>
    </xf>
    <xf numFmtId="1" fontId="44" fillId="4" borderId="29" xfId="1" applyNumberFormat="1" applyFont="1" applyFill="1" applyBorder="1" applyAlignment="1" applyProtection="1">
      <alignment horizontal="right" vertical="center" wrapText="1"/>
      <protection locked="0"/>
    </xf>
    <xf numFmtId="164" fontId="44" fillId="0" borderId="15" xfId="0" applyNumberFormat="1" applyFont="1" applyBorder="1" applyAlignment="1">
      <alignment horizontal="left" wrapText="1"/>
    </xf>
    <xf numFmtId="0" fontId="49" fillId="15" borderId="4" xfId="0" applyFont="1" applyFill="1" applyBorder="1" applyAlignment="1">
      <alignment horizontal="center" vertical="center" wrapText="1"/>
    </xf>
    <xf numFmtId="0" fontId="49" fillId="15" borderId="5" xfId="0" applyFont="1" applyFill="1" applyBorder="1" applyAlignment="1">
      <alignment horizontal="center" vertical="center" wrapText="1"/>
    </xf>
    <xf numFmtId="0" fontId="49" fillId="15" borderId="6" xfId="0" applyFont="1" applyFill="1" applyBorder="1" applyAlignment="1">
      <alignment horizontal="center" vertical="center" wrapText="1"/>
    </xf>
    <xf numFmtId="0" fontId="6" fillId="15" borderId="15" xfId="11" applyFont="1" applyFill="1" applyBorder="1" applyAlignment="1">
      <alignment horizontal="center" vertical="center" wrapText="1"/>
    </xf>
    <xf numFmtId="0" fontId="6" fillId="15" borderId="16" xfId="11" applyFont="1" applyFill="1" applyBorder="1" applyAlignment="1">
      <alignment horizontal="center" vertical="center" wrapText="1"/>
    </xf>
    <xf numFmtId="0" fontId="6" fillId="15" borderId="17" xfId="11" applyFont="1" applyFill="1" applyBorder="1" applyAlignment="1">
      <alignment horizontal="center" vertical="center" wrapText="1"/>
    </xf>
    <xf numFmtId="0" fontId="6" fillId="15" borderId="2" xfId="11" applyFont="1" applyFill="1" applyBorder="1" applyAlignment="1">
      <alignment horizontal="center" vertical="center" wrapText="1"/>
    </xf>
    <xf numFmtId="0" fontId="6" fillId="15" borderId="7" xfId="12" applyFont="1" applyFill="1" applyBorder="1" applyAlignment="1">
      <alignment horizontal="center" vertical="center" wrapText="1"/>
    </xf>
    <xf numFmtId="0" fontId="6" fillId="15" borderId="2" xfId="12" applyFont="1" applyFill="1" applyBorder="1" applyAlignment="1">
      <alignment horizontal="center" vertical="center" wrapText="1"/>
    </xf>
    <xf numFmtId="0" fontId="6" fillId="15" borderId="12" xfId="12" applyFont="1" applyFill="1" applyBorder="1" applyAlignment="1">
      <alignment horizontal="center" vertical="center" wrapText="1"/>
    </xf>
    <xf numFmtId="49" fontId="5" fillId="17" borderId="2" xfId="0" applyNumberFormat="1" applyFont="1" applyFill="1" applyBorder="1" applyAlignment="1">
      <alignment horizontal="center" vertical="center" wrapText="1"/>
    </xf>
    <xf numFmtId="0" fontId="5" fillId="16" borderId="2" xfId="10" applyFont="1" applyFill="1" applyBorder="1" applyAlignment="1">
      <alignment horizontal="right" vertical="center" indent="1"/>
    </xf>
    <xf numFmtId="4" fontId="0" fillId="0" borderId="0" xfId="0" applyNumberFormat="1" applyFont="1"/>
    <xf numFmtId="49" fontId="0" fillId="0" borderId="0" xfId="0" applyNumberFormat="1" applyFont="1"/>
    <xf numFmtId="0" fontId="6" fillId="15" borderId="15" xfId="11" applyFont="1" applyFill="1" applyBorder="1" applyAlignment="1">
      <alignment horizontal="left" vertical="top" wrapText="1"/>
    </xf>
    <xf numFmtId="0" fontId="6" fillId="15" borderId="16" xfId="11" applyFont="1" applyFill="1" applyBorder="1" applyAlignment="1">
      <alignment horizontal="left" vertical="top" wrapText="1"/>
    </xf>
    <xf numFmtId="0" fontId="6" fillId="15" borderId="17" xfId="11" applyFont="1" applyFill="1" applyBorder="1" applyAlignment="1">
      <alignment horizontal="left" vertical="top" wrapText="1"/>
    </xf>
    <xf numFmtId="0" fontId="5" fillId="15" borderId="7" xfId="11" applyFont="1" applyFill="1" applyBorder="1" applyAlignment="1">
      <alignment horizontal="left" vertical="center" wrapText="1"/>
    </xf>
    <xf numFmtId="0" fontId="5" fillId="15" borderId="8" xfId="11" applyFont="1" applyFill="1" applyBorder="1" applyAlignment="1">
      <alignment horizontal="left" vertical="center" wrapText="1"/>
    </xf>
    <xf numFmtId="0" fontId="5" fillId="15" borderId="9" xfId="11" applyFont="1" applyFill="1" applyBorder="1" applyAlignment="1">
      <alignment horizontal="left" vertical="center" wrapText="1"/>
    </xf>
    <xf numFmtId="0" fontId="5" fillId="15" borderId="12" xfId="11" applyFont="1" applyFill="1" applyBorder="1" applyAlignment="1">
      <alignment horizontal="left" vertical="center" wrapText="1"/>
    </xf>
    <xf numFmtId="0" fontId="5" fillId="15" borderId="13" xfId="11" applyFont="1" applyFill="1" applyBorder="1" applyAlignment="1">
      <alignment horizontal="left" vertical="center" wrapText="1"/>
    </xf>
    <xf numFmtId="0" fontId="5" fillId="15" borderId="14" xfId="11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6" fillId="15" borderId="2" xfId="11" applyFont="1" applyFill="1" applyBorder="1" applyAlignment="1">
      <alignment horizontal="left" vertical="top" wrapText="1"/>
    </xf>
    <xf numFmtId="0" fontId="42" fillId="0" borderId="20" xfId="0" applyFont="1" applyBorder="1" applyAlignment="1">
      <alignment horizontal="center" vertical="top" wrapText="1"/>
    </xf>
    <xf numFmtId="0" fontId="42" fillId="0" borderId="29" xfId="0" applyFont="1" applyBorder="1" applyAlignment="1">
      <alignment horizontal="center" vertical="top" wrapText="1"/>
    </xf>
    <xf numFmtId="0" fontId="50" fillId="15" borderId="4" xfId="0" applyFont="1" applyFill="1" applyBorder="1" applyAlignment="1">
      <alignment horizontal="center" vertical="center"/>
    </xf>
    <xf numFmtId="0" fontId="50" fillId="15" borderId="5" xfId="0" applyFont="1" applyFill="1" applyBorder="1" applyAlignment="1">
      <alignment horizontal="center" vertical="center"/>
    </xf>
    <xf numFmtId="0" fontId="50" fillId="15" borderId="6" xfId="0" applyFont="1" applyFill="1" applyBorder="1" applyAlignment="1">
      <alignment horizontal="center" vertical="center"/>
    </xf>
  </cellXfs>
  <cellStyles count="13">
    <cellStyle name="HeadingTable" xfId="4" xr:uid="{00000000-0005-0000-0000-000000000000}"/>
    <cellStyle name="Hipervínculo 2" xfId="7" xr:uid="{FFABB873-9BEE-4990-8E4C-435994209543}"/>
    <cellStyle name="inputExposure" xfId="5" xr:uid="{00000000-0005-0000-0000-000001000000}"/>
    <cellStyle name="Normal" xfId="0" builtinId="0"/>
    <cellStyle name="Normal 10" xfId="10" xr:uid="{29A98651-C86F-48CA-A975-75485B9DF9E6}"/>
    <cellStyle name="Normal 2" xfId="2" xr:uid="{00000000-0005-0000-0000-000002000000}"/>
    <cellStyle name="Normal 2 2 2" xfId="8" xr:uid="{48C43AB5-40DC-4D61-A209-F5D62D5D07CC}"/>
    <cellStyle name="Normal 2 2 4" xfId="9" xr:uid="{4D9872A9-FEF7-4923-BA8F-599BDE3034F5}"/>
    <cellStyle name="Normal 3" xfId="3" xr:uid="{00000000-0005-0000-0000-000003000000}"/>
    <cellStyle name="Normal 3 2" xfId="6" xr:uid="{947A5BB5-A9A5-4743-A9C5-23FA7976477A}"/>
    <cellStyle name="Normal 6" xfId="12" xr:uid="{FDFEF729-559C-42A7-9010-6FC860608E27}"/>
    <cellStyle name="Normal_ListMarketRiskParameters" xfId="11" xr:uid="{CDC9E50E-5DB2-416D-91A0-D9A4FDDC2522}"/>
    <cellStyle name="Percent" xfId="1" builtinId="5"/>
  </cellStyles>
  <dxfs count="7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EC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rwin.escb.eu/livelinkdav/nodes/1747208300/05%20-%20YYYY%20QX%20SREP%20IRRBB%20-%20update%20-%20CLEAN%20VERSION%20(13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ReadMe"/>
      <sheetName val="0_Identification"/>
      <sheetName val="1_IRRBB_CSRBB_mapping"/>
      <sheetName val="2_IRRBB_Material_Currency_1"/>
      <sheetName val="3_IRRBB_Material Currency_2"/>
      <sheetName val="4_IRRBB_Material_Currency_3"/>
      <sheetName val="5a_Sensitivities_Mat_Curr_1"/>
      <sheetName val="5b_Sensitivities_Mat_Curr_2"/>
      <sheetName val="5c_Sensitivities_Mat_Curr_3"/>
      <sheetName val="7_IRRBB_Assumptions"/>
      <sheetName val="10_Unrealised losses (old)"/>
      <sheetName val="8_CSRBB_sensitivities"/>
      <sheetName val="10_Unrealised losses_(new)"/>
      <sheetName val="9_Unrealised losses"/>
      <sheetName val="10_CSRBB_Additional"/>
      <sheetName val="11_NMD_Stratification"/>
      <sheetName val="Currencies_ISO"/>
    </sheetNames>
    <sheetDataSet>
      <sheetData sheetId="0" refreshError="1"/>
      <sheetData sheetId="1" refreshError="1">
        <row r="22">
          <cell r="C22" t="str">
            <v>-</v>
          </cell>
        </row>
      </sheetData>
      <sheetData sheetId="2" refreshError="1"/>
      <sheetData sheetId="3" refreshError="1">
        <row r="2">
          <cell r="C2" t="str">
            <v>-</v>
          </cell>
        </row>
      </sheetData>
      <sheetData sheetId="4" refreshError="1">
        <row r="2">
          <cell r="C2" t="str">
            <v>-</v>
          </cell>
        </row>
      </sheetData>
      <sheetData sheetId="5" refreshError="1">
        <row r="2">
          <cell r="C2" t="str">
            <v>-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4F3D-D19F-4622-B8CE-1CD0346B24AE}">
  <dimension ref="A1:C27"/>
  <sheetViews>
    <sheetView showGridLines="0" workbookViewId="0"/>
  </sheetViews>
  <sheetFormatPr defaultColWidth="0" defaultRowHeight="15" zeroHeight="1" x14ac:dyDescent="0.25"/>
  <cols>
    <col min="1" max="1" width="4.5703125" style="2" customWidth="1"/>
    <col min="2" max="2" width="61.5703125" bestFit="1" customWidth="1"/>
    <col min="3" max="3" width="4.5703125" style="2" customWidth="1"/>
    <col min="4" max="16384" width="8.85546875" hidden="1"/>
  </cols>
  <sheetData>
    <row r="1" spans="1:3" ht="38.25" thickBot="1" x14ac:dyDescent="0.3">
      <c r="A1" s="3"/>
      <c r="B1" s="73" t="s">
        <v>458</v>
      </c>
      <c r="C1" s="3"/>
    </row>
    <row r="2" spans="1:3" x14ac:dyDescent="0.25">
      <c r="A2" s="3"/>
      <c r="B2" s="8"/>
      <c r="C2" s="3"/>
    </row>
    <row r="3" spans="1:3" x14ac:dyDescent="0.25">
      <c r="A3" s="3"/>
      <c r="B3" s="8"/>
      <c r="C3" s="3"/>
    </row>
    <row r="4" spans="1:3" ht="18.75" x14ac:dyDescent="0.3">
      <c r="A4" s="3"/>
      <c r="B4" s="7" t="s">
        <v>39</v>
      </c>
      <c r="C4" s="3"/>
    </row>
    <row r="5" spans="1:3" x14ac:dyDescent="0.25">
      <c r="A5" s="3"/>
      <c r="B5" s="6"/>
      <c r="C5" s="3"/>
    </row>
    <row r="6" spans="1:3" ht="60" x14ac:dyDescent="0.25">
      <c r="A6" s="3"/>
      <c r="B6" s="72" t="s">
        <v>454</v>
      </c>
      <c r="C6" s="3"/>
    </row>
    <row r="7" spans="1:3" x14ac:dyDescent="0.25">
      <c r="A7" s="3"/>
      <c r="B7" s="2"/>
      <c r="C7" s="3"/>
    </row>
    <row r="8" spans="1:3" x14ac:dyDescent="0.25">
      <c r="A8" s="3"/>
      <c r="B8" s="5" t="s">
        <v>38</v>
      </c>
      <c r="C8" s="3"/>
    </row>
    <row r="9" spans="1:3" x14ac:dyDescent="0.25">
      <c r="A9" s="3"/>
      <c r="B9" s="4"/>
      <c r="C9" s="3"/>
    </row>
    <row r="10" spans="1:3" hidden="1" x14ac:dyDescent="0.25">
      <c r="A10" s="3"/>
      <c r="C10" s="3"/>
    </row>
    <row r="11" spans="1:3" hidden="1" x14ac:dyDescent="0.25">
      <c r="A11" s="3"/>
      <c r="C11" s="3"/>
    </row>
    <row r="12" spans="1:3" hidden="1" x14ac:dyDescent="0.25">
      <c r="A12" s="3"/>
      <c r="C12" s="3"/>
    </row>
    <row r="13" spans="1:3" hidden="1" x14ac:dyDescent="0.25">
      <c r="A13" s="3"/>
      <c r="C13" s="3"/>
    </row>
    <row r="14" spans="1:3" hidden="1" x14ac:dyDescent="0.25">
      <c r="A14" s="3"/>
      <c r="C14" s="3"/>
    </row>
    <row r="15" spans="1:3" hidden="1" x14ac:dyDescent="0.25">
      <c r="A15" s="3"/>
      <c r="C15" s="3"/>
    </row>
    <row r="16" spans="1:3" hidden="1" x14ac:dyDescent="0.25">
      <c r="A16" s="3"/>
      <c r="C16" s="3"/>
    </row>
    <row r="17" spans="1:3" hidden="1" x14ac:dyDescent="0.25">
      <c r="A17" s="3"/>
      <c r="C17" s="3"/>
    </row>
    <row r="18" spans="1:3" hidden="1" x14ac:dyDescent="0.25">
      <c r="A18" s="3"/>
      <c r="C18" s="3"/>
    </row>
    <row r="19" spans="1:3" hidden="1" x14ac:dyDescent="0.25">
      <c r="A19" s="3"/>
      <c r="C19" s="3"/>
    </row>
    <row r="20" spans="1:3" hidden="1" x14ac:dyDescent="0.25">
      <c r="A20" s="3"/>
      <c r="C20" s="3"/>
    </row>
    <row r="21" spans="1:3" hidden="1" x14ac:dyDescent="0.25">
      <c r="A21" s="3"/>
      <c r="C21" s="3"/>
    </row>
    <row r="22" spans="1:3" hidden="1" x14ac:dyDescent="0.25">
      <c r="A22" s="3"/>
      <c r="C22" s="3"/>
    </row>
    <row r="23" spans="1:3" hidden="1" x14ac:dyDescent="0.25">
      <c r="A23" s="3"/>
      <c r="C23" s="3"/>
    </row>
    <row r="24" spans="1:3" hidden="1" x14ac:dyDescent="0.25">
      <c r="A24" s="3"/>
      <c r="C24" s="3"/>
    </row>
    <row r="25" spans="1:3" hidden="1" x14ac:dyDescent="0.25">
      <c r="A25" s="3"/>
      <c r="C25" s="3"/>
    </row>
    <row r="26" spans="1:3" hidden="1" x14ac:dyDescent="0.25">
      <c r="A26" s="3"/>
      <c r="C26" s="3"/>
    </row>
    <row r="27" spans="1:3" hidden="1" x14ac:dyDescent="0.25">
      <c r="A27" s="3"/>
      <c r="C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3773-9E4F-42F5-9F93-50F6E6B429B6}">
  <dimension ref="A1:F36"/>
  <sheetViews>
    <sheetView showGridLines="0" tabSelected="1" zoomScale="70" zoomScaleNormal="70" workbookViewId="0"/>
  </sheetViews>
  <sheetFormatPr defaultColWidth="0" defaultRowHeight="15" zeroHeight="1" x14ac:dyDescent="0.25"/>
  <cols>
    <col min="1" max="1" width="4.5703125" style="2" customWidth="1"/>
    <col min="2" max="2" width="39.140625" style="209" bestFit="1" customWidth="1"/>
    <col min="3" max="3" width="24.42578125" style="209" customWidth="1"/>
    <col min="4" max="4" width="30.5703125" style="209" customWidth="1"/>
    <col min="5" max="5" width="33.28515625" style="209" customWidth="1"/>
    <col min="6" max="6" width="4.5703125" style="2" customWidth="1"/>
    <col min="7" max="16384" width="8.85546875" style="209" hidden="1"/>
  </cols>
  <sheetData>
    <row r="1" spans="1:6" ht="15.75" thickBot="1" x14ac:dyDescent="0.3">
      <c r="A1" s="3"/>
      <c r="B1" s="3"/>
      <c r="C1" s="3"/>
      <c r="D1" s="3"/>
      <c r="E1" s="3"/>
      <c r="F1" s="3"/>
    </row>
    <row r="2" spans="1:6" ht="19.5" thickBot="1" x14ac:dyDescent="0.3">
      <c r="A2" s="3"/>
      <c r="B2" s="358" t="s">
        <v>40</v>
      </c>
      <c r="C2" s="359"/>
      <c r="D2" s="359"/>
      <c r="E2" s="360"/>
      <c r="F2" s="3"/>
    </row>
    <row r="3" spans="1:6" x14ac:dyDescent="0.25">
      <c r="A3" s="3"/>
      <c r="B3" s="133" t="s">
        <v>453</v>
      </c>
      <c r="C3" s="133"/>
      <c r="D3" s="133"/>
      <c r="E3" s="133"/>
      <c r="F3" s="3"/>
    </row>
    <row r="4" spans="1:6" ht="21" x14ac:dyDescent="0.35">
      <c r="A4" s="3"/>
      <c r="B4" s="9" t="s">
        <v>41</v>
      </c>
      <c r="C4" s="10"/>
      <c r="D4" s="10"/>
      <c r="E4" s="2"/>
      <c r="F4" s="3"/>
    </row>
    <row r="5" spans="1:6" ht="15.75" thickBot="1" x14ac:dyDescent="0.3">
      <c r="A5" s="3"/>
      <c r="B5" s="10"/>
      <c r="C5" s="10"/>
      <c r="D5" s="10"/>
      <c r="E5" s="2"/>
      <c r="F5" s="3"/>
    </row>
    <row r="6" spans="1:6" ht="16.5" thickBot="1" x14ac:dyDescent="0.3">
      <c r="A6" s="3"/>
      <c r="B6" s="11" t="s">
        <v>42</v>
      </c>
      <c r="C6" s="31"/>
      <c r="D6" s="10"/>
      <c r="E6" s="2"/>
      <c r="F6" s="3"/>
    </row>
    <row r="7" spans="1:6" ht="16.5" thickBot="1" x14ac:dyDescent="0.3">
      <c r="A7" s="3"/>
      <c r="B7" s="11"/>
      <c r="C7" s="12"/>
      <c r="D7" s="10"/>
      <c r="E7" s="2"/>
      <c r="F7" s="3"/>
    </row>
    <row r="8" spans="1:6" ht="16.5" thickBot="1" x14ac:dyDescent="0.3">
      <c r="A8" s="3"/>
      <c r="B8" s="11" t="s">
        <v>43</v>
      </c>
      <c r="C8" s="32"/>
      <c r="D8" s="10"/>
      <c r="E8" s="2"/>
      <c r="F8" s="3"/>
    </row>
    <row r="9" spans="1:6" ht="16.5" thickBot="1" x14ac:dyDescent="0.3">
      <c r="A9" s="3"/>
      <c r="B9" s="11"/>
      <c r="C9" s="12"/>
      <c r="D9" s="10"/>
      <c r="E9" s="2"/>
      <c r="F9" s="3"/>
    </row>
    <row r="10" spans="1:6" ht="16.5" thickBot="1" x14ac:dyDescent="0.3">
      <c r="A10" s="3"/>
      <c r="B10" s="11" t="s">
        <v>44</v>
      </c>
      <c r="C10" s="32"/>
      <c r="D10" s="10"/>
      <c r="E10" s="2"/>
      <c r="F10" s="3"/>
    </row>
    <row r="11" spans="1:6" ht="16.5" thickBot="1" x14ac:dyDescent="0.3">
      <c r="A11" s="3"/>
      <c r="B11" s="11"/>
      <c r="C11" s="12"/>
      <c r="D11" s="13"/>
      <c r="E11" s="2"/>
      <c r="F11" s="3"/>
    </row>
    <row r="12" spans="1:6" ht="16.5" thickBot="1" x14ac:dyDescent="0.3">
      <c r="A12" s="3"/>
      <c r="B12" s="11" t="s">
        <v>45</v>
      </c>
      <c r="C12" s="134"/>
      <c r="D12" s="135"/>
      <c r="E12" s="2"/>
      <c r="F12" s="3"/>
    </row>
    <row r="13" spans="1:6" ht="16.5" thickBot="1" x14ac:dyDescent="0.3">
      <c r="A13" s="3"/>
      <c r="B13" s="11"/>
      <c r="C13" s="14"/>
      <c r="D13" s="2"/>
      <c r="E13" s="2"/>
      <c r="F13" s="3"/>
    </row>
    <row r="14" spans="1:6" ht="16.5" thickBot="1" x14ac:dyDescent="0.3">
      <c r="A14" s="3"/>
      <c r="B14" s="11" t="s">
        <v>46</v>
      </c>
      <c r="C14" s="15"/>
      <c r="D14" s="2"/>
      <c r="E14" s="2"/>
      <c r="F14" s="3"/>
    </row>
    <row r="15" spans="1:6" ht="16.5" thickBot="1" x14ac:dyDescent="0.3">
      <c r="A15" s="3"/>
      <c r="B15" s="11"/>
      <c r="C15" s="14"/>
      <c r="D15" s="2"/>
      <c r="E15" s="2"/>
      <c r="F15" s="3"/>
    </row>
    <row r="16" spans="1:6" ht="16.5" thickBot="1" x14ac:dyDescent="0.3">
      <c r="A16" s="3"/>
      <c r="B16" s="11" t="s">
        <v>47</v>
      </c>
      <c r="C16" s="34"/>
      <c r="D16" s="2"/>
      <c r="E16" s="2"/>
      <c r="F16" s="3"/>
    </row>
    <row r="17" spans="1:6" ht="15.75" x14ac:dyDescent="0.25">
      <c r="A17" s="3"/>
      <c r="B17" s="11"/>
      <c r="D17" s="2"/>
      <c r="E17" s="2"/>
      <c r="F17" s="3"/>
    </row>
    <row r="18" spans="1:6" ht="16.5" thickBot="1" x14ac:dyDescent="0.3">
      <c r="A18" s="3"/>
      <c r="B18" s="11"/>
      <c r="D18" s="2"/>
      <c r="E18" s="2"/>
      <c r="F18" s="3"/>
    </row>
    <row r="19" spans="1:6" ht="16.5" thickBot="1" x14ac:dyDescent="0.3">
      <c r="A19" s="3"/>
      <c r="B19" s="74" t="s">
        <v>500</v>
      </c>
      <c r="C19" s="75" t="s">
        <v>185</v>
      </c>
      <c r="D19" s="76"/>
      <c r="E19" s="77" t="str">
        <f>IF(ISBLANK(D19),"",SUM($D$19:D19))</f>
        <v/>
      </c>
      <c r="F19" s="3"/>
    </row>
    <row r="20" spans="1:6" ht="16.5" thickBot="1" x14ac:dyDescent="0.3">
      <c r="A20" s="3"/>
      <c r="B20" s="74" t="s">
        <v>501</v>
      </c>
      <c r="C20" s="78" t="s">
        <v>185</v>
      </c>
      <c r="D20" s="79"/>
      <c r="E20" s="77" t="str">
        <f>IF(ISBLANK(D20),"",SUM($D$19:D20))</f>
        <v/>
      </c>
      <c r="F20" s="3"/>
    </row>
    <row r="21" spans="1:6" ht="16.5" thickBot="1" x14ac:dyDescent="0.3">
      <c r="A21" s="3"/>
      <c r="B21" s="74" t="s">
        <v>502</v>
      </c>
      <c r="C21" s="78" t="s">
        <v>185</v>
      </c>
      <c r="D21" s="79"/>
      <c r="E21" s="77" t="str">
        <f>IF(ISBLANK(D21),"",SUM($D$19:D21))</f>
        <v/>
      </c>
      <c r="F21" s="3"/>
    </row>
    <row r="22" spans="1:6" ht="16.5" thickBot="1" x14ac:dyDescent="0.3">
      <c r="A22" s="3"/>
      <c r="B22" s="74" t="s">
        <v>503</v>
      </c>
      <c r="C22" s="78" t="s">
        <v>185</v>
      </c>
      <c r="D22" s="79"/>
      <c r="E22" s="77" t="str">
        <f>IF(ISBLANK(D22),"",SUM($D$19:D22))</f>
        <v/>
      </c>
      <c r="F22" s="3"/>
    </row>
    <row r="23" spans="1:6" ht="16.5" thickBot="1" x14ac:dyDescent="0.3">
      <c r="A23" s="3"/>
      <c r="B23" s="74" t="s">
        <v>504</v>
      </c>
      <c r="C23" s="80"/>
      <c r="D23" s="79"/>
      <c r="E23" s="77" t="str">
        <f>IF(ISBLANK(D23),"",SUM($D$19:D23))</f>
        <v/>
      </c>
      <c r="F23" s="3"/>
    </row>
    <row r="24" spans="1:6" ht="15.75" x14ac:dyDescent="0.25">
      <c r="A24" s="3"/>
      <c r="B24" s="11"/>
      <c r="D24" s="2"/>
      <c r="E24" s="2"/>
      <c r="F24" s="3"/>
    </row>
    <row r="25" spans="1:6" ht="15.75" x14ac:dyDescent="0.25">
      <c r="A25" s="3"/>
      <c r="B25" s="11"/>
      <c r="D25" s="2"/>
      <c r="E25" s="2"/>
      <c r="F25" s="3"/>
    </row>
    <row r="26" spans="1:6" ht="52.9" customHeight="1" thickBot="1" x14ac:dyDescent="0.3">
      <c r="A26" s="3"/>
      <c r="B26" s="30" t="s">
        <v>48</v>
      </c>
      <c r="C26" s="136" t="s">
        <v>187</v>
      </c>
      <c r="D26" s="136"/>
      <c r="E26" s="136"/>
      <c r="F26" s="3"/>
    </row>
    <row r="27" spans="1:6" ht="15.75" thickBot="1" x14ac:dyDescent="0.3">
      <c r="A27" s="3"/>
      <c r="B27" s="16"/>
      <c r="C27" s="137"/>
      <c r="D27" s="138"/>
      <c r="E27" s="139"/>
      <c r="F27" s="3"/>
    </row>
    <row r="28" spans="1:6" x14ac:dyDescent="0.25">
      <c r="A28" s="3"/>
      <c r="B28" s="2"/>
      <c r="C28" s="2"/>
      <c r="D28" s="2"/>
      <c r="E28" s="2"/>
      <c r="F28" s="3"/>
    </row>
    <row r="29" spans="1:6" hidden="1" x14ac:dyDescent="0.25">
      <c r="A29" s="3"/>
      <c r="F29" s="3"/>
    </row>
    <row r="30" spans="1:6" hidden="1" x14ac:dyDescent="0.25">
      <c r="A30" s="3"/>
      <c r="F30" s="3"/>
    </row>
    <row r="31" spans="1:6" hidden="1" x14ac:dyDescent="0.25">
      <c r="A31" s="3"/>
      <c r="F31" s="3"/>
    </row>
    <row r="32" spans="1:6" hidden="1" x14ac:dyDescent="0.25">
      <c r="A32" s="3"/>
      <c r="F32" s="3"/>
    </row>
    <row r="33" spans="1:6" hidden="1" x14ac:dyDescent="0.25">
      <c r="A33" s="3"/>
      <c r="F33" s="3"/>
    </row>
    <row r="34" spans="1:6" hidden="1" x14ac:dyDescent="0.25">
      <c r="A34" s="3"/>
      <c r="F34" s="3"/>
    </row>
    <row r="35" spans="1:6" hidden="1" x14ac:dyDescent="0.25">
      <c r="A35" s="3"/>
      <c r="F35" s="3"/>
    </row>
    <row r="36" spans="1:6" x14ac:dyDescent="0.25"/>
  </sheetData>
  <mergeCells count="5">
    <mergeCell ref="B2:E2"/>
    <mergeCell ref="B3:E3"/>
    <mergeCell ref="C12:D12"/>
    <mergeCell ref="C26:E26"/>
    <mergeCell ref="C27:E27"/>
  </mergeCells>
  <conditionalFormatting sqref="D20:D22">
    <cfRule type="expression" dxfId="71" priority="3">
      <formula>$C20&lt;&gt;"-"</formula>
    </cfRule>
  </conditionalFormatting>
  <conditionalFormatting sqref="C20">
    <cfRule type="expression" dxfId="70" priority="2">
      <formula>$C19&lt;&gt;"-"</formula>
    </cfRule>
  </conditionalFormatting>
  <conditionalFormatting sqref="D23">
    <cfRule type="expression" dxfId="69" priority="1">
      <formula>$C23&lt;&gt;"-"</formula>
    </cfRule>
  </conditionalFormatting>
  <dataValidations count="9">
    <dataValidation type="list" allowBlank="1" showInputMessage="1" showErrorMessage="1" sqref="C16" xr:uid="{59DB61F2-513A-4E1B-AB7A-ABC6C5331995}">
      <formula1>"CONS,SOLO"</formula1>
    </dataValidation>
    <dataValidation type="list" allowBlank="1" showInputMessage="1" showErrorMessage="1" sqref="C14" xr:uid="{7A3AD7BE-8BEB-44A2-BEBB-AC0CCE70DCC9}">
      <formula1>"31/12/2022,31/03/2023,30/06/2023,30/09/2023"</formula1>
    </dataValidation>
    <dataValidation type="textLength" operator="equal" allowBlank="1" showInputMessage="1" showErrorMessage="1" errorTitle="Error - String size" error="LEI code must have exactly 20 characters." sqref="C10" xr:uid="{714BF6DA-450C-4E02-9F97-5A4CB3EB0888}">
      <formula1>20</formula1>
    </dataValidation>
    <dataValidation type="list" allowBlank="1" showInputMessage="1" showErrorMessage="1" sqref="C6" xr:uid="{3E6BEBEA-31CA-4154-878D-84560ABFC040}">
      <formula1>"AT,BE,BG,CY,DE,EE,ES,FI,FR,GR,HR,IE,IT,LT,LU,LV,MT,NL,PT,SI,SK"</formula1>
    </dataValidation>
    <dataValidation type="custom" allowBlank="1" showInputMessage="1" showErrorMessage="1" error="Value must be between 0% and 100% and size of the banking book of the 4th most material currency cannot be higher than the size of the banking book of the 3rd most material currency." sqref="D22" xr:uid="{3AB86F66-748A-4888-A3F0-1AD37F908EFF}">
      <formula1>AND(D22&gt;=0,D22&lt;=1,D22&lt;=D21)</formula1>
    </dataValidation>
    <dataValidation type="custom" allowBlank="1" showInputMessage="1" showErrorMessage="1" error="Value must be between 0% and 100% and size of the banking book of the 3rd most material currency cannot be higher than the size of the banking book of the 2nd most material currency." sqref="D21" xr:uid="{B5655947-C43B-4431-AB72-C67C5FD7E037}">
      <formula1>AND(D21&gt;=0,D21&lt;=1,D21&lt;=D20)</formula1>
    </dataValidation>
    <dataValidation type="custom" allowBlank="1" showInputMessage="1" showErrorMessage="1" error="Value must be between 0% and 100% and size of the banking book of the 2nd most material currency cannot be higher than the size of the banking book of the 1st most material currency." sqref="D20" xr:uid="{34930D57-F341-49D8-804E-D145E81F29F7}">
      <formula1>AND(D20&gt;=0,D20&lt;=1,D20&lt;=D19)</formula1>
    </dataValidation>
    <dataValidation type="decimal" allowBlank="1" showInputMessage="1" showErrorMessage="1" error="Value must be between 0% and 100%." sqref="D19" xr:uid="{F4598C6E-FAEF-48D9-AE10-BCF9F8F51CA9}">
      <formula1>0</formula1>
      <formula2>1</formula2>
    </dataValidation>
    <dataValidation type="decimal" allowBlank="1" showInputMessage="1" showErrorMessage="1" sqref="E19:E23" xr:uid="{0CAE6283-6978-45D3-995D-B9994516C75B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832E-48C7-46CA-AD1A-DED5E069DBBD}">
  <sheetPr>
    <tabColor rgb="FFFF0000"/>
  </sheetPr>
  <dimension ref="A1:AD42"/>
  <sheetViews>
    <sheetView showGridLines="0" zoomScale="70" zoomScaleNormal="70" workbookViewId="0"/>
  </sheetViews>
  <sheetFormatPr defaultColWidth="0" defaultRowHeight="15" x14ac:dyDescent="0.25"/>
  <cols>
    <col min="1" max="1" width="4.5703125" style="2" customWidth="1"/>
    <col min="2" max="2" width="12.85546875" style="70" customWidth="1"/>
    <col min="3" max="3" width="18.42578125" style="70" customWidth="1"/>
    <col min="4" max="4" width="10.85546875" style="70" customWidth="1"/>
    <col min="5" max="5" width="16.28515625" style="70" customWidth="1"/>
    <col min="6" max="6" width="10.5703125" style="70" customWidth="1"/>
    <col min="7" max="7" width="22.85546875" style="70" customWidth="1"/>
    <col min="8" max="19" width="16" style="70" customWidth="1"/>
    <col min="20" max="20" width="4.5703125" style="2" customWidth="1"/>
    <col min="21" max="30" width="16.28515625" style="70" hidden="1" customWidth="1"/>
    <col min="31" max="16384" width="10.85546875" style="70" hidden="1"/>
  </cols>
  <sheetData>
    <row r="1" spans="1:26" ht="15.75" thickBot="1" x14ac:dyDescent="0.3">
      <c r="A1" s="3"/>
      <c r="T1" s="3"/>
    </row>
    <row r="2" spans="1:26" ht="55.5" customHeight="1" thickBot="1" x14ac:dyDescent="0.3">
      <c r="A2" s="3"/>
      <c r="B2" s="130" t="s">
        <v>379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2"/>
      <c r="T2" s="3"/>
    </row>
    <row r="3" spans="1:26" ht="18" customHeight="1" x14ac:dyDescent="0.25">
      <c r="A3" s="3"/>
      <c r="B3" s="71"/>
      <c r="T3" s="3"/>
    </row>
    <row r="4" spans="1:26" ht="45" customHeight="1" x14ac:dyDescent="0.25">
      <c r="A4" s="3"/>
      <c r="B4" s="243"/>
      <c r="C4" s="244" t="s">
        <v>188</v>
      </c>
      <c r="D4" s="245"/>
      <c r="E4" s="246"/>
      <c r="F4" s="247"/>
      <c r="G4" s="248" t="s">
        <v>221</v>
      </c>
      <c r="H4" s="215" t="s">
        <v>228</v>
      </c>
      <c r="I4" s="216"/>
      <c r="J4" s="217"/>
      <c r="K4" s="215" t="s">
        <v>189</v>
      </c>
      <c r="L4" s="216"/>
      <c r="M4" s="216"/>
      <c r="N4" s="216"/>
      <c r="O4" s="217"/>
      <c r="P4" s="215" t="s">
        <v>190</v>
      </c>
      <c r="Q4" s="216"/>
      <c r="R4" s="216"/>
      <c r="S4" s="217"/>
      <c r="T4" s="3"/>
    </row>
    <row r="5" spans="1:26" ht="51.75" customHeight="1" x14ac:dyDescent="0.25">
      <c r="A5" s="3"/>
      <c r="B5" s="243"/>
      <c r="C5" s="249"/>
      <c r="D5" s="250"/>
      <c r="E5" s="251"/>
      <c r="F5" s="252"/>
      <c r="G5" s="253"/>
      <c r="H5" s="254" t="s">
        <v>369</v>
      </c>
      <c r="I5" s="255" t="s">
        <v>226</v>
      </c>
      <c r="J5" s="255" t="s">
        <v>227</v>
      </c>
      <c r="K5" s="256" t="s">
        <v>218</v>
      </c>
      <c r="L5" s="254" t="s">
        <v>378</v>
      </c>
      <c r="M5" s="254"/>
      <c r="N5" s="257" t="s">
        <v>225</v>
      </c>
      <c r="O5" s="254" t="s">
        <v>229</v>
      </c>
      <c r="P5" s="256" t="s">
        <v>191</v>
      </c>
      <c r="Q5" s="257" t="s">
        <v>224</v>
      </c>
      <c r="R5" s="257" t="s">
        <v>225</v>
      </c>
      <c r="S5" s="254" t="s">
        <v>229</v>
      </c>
    </row>
    <row r="6" spans="1:26" ht="54" customHeight="1" x14ac:dyDescent="0.25">
      <c r="A6" s="3"/>
      <c r="B6" s="243"/>
      <c r="C6" s="249"/>
      <c r="D6" s="250"/>
      <c r="E6" s="251"/>
      <c r="F6" s="252"/>
      <c r="G6" s="258"/>
      <c r="H6" s="254"/>
      <c r="I6" s="255"/>
      <c r="J6" s="255"/>
      <c r="K6" s="256"/>
      <c r="L6" s="259" t="s">
        <v>359</v>
      </c>
      <c r="M6" s="260" t="s">
        <v>360</v>
      </c>
      <c r="N6" s="257"/>
      <c r="O6" s="254"/>
      <c r="P6" s="256"/>
      <c r="Q6" s="257"/>
      <c r="R6" s="257"/>
      <c r="S6" s="254"/>
    </row>
    <row r="7" spans="1:26" ht="15.75" customHeight="1" x14ac:dyDescent="0.25">
      <c r="A7" s="3"/>
      <c r="B7" s="243"/>
      <c r="C7" s="261"/>
      <c r="D7" s="262"/>
      <c r="E7" s="263"/>
      <c r="F7" s="252"/>
      <c r="G7" s="227" t="s">
        <v>392</v>
      </c>
      <c r="H7" s="227" t="s">
        <v>393</v>
      </c>
      <c r="I7" s="227" t="s">
        <v>394</v>
      </c>
      <c r="J7" s="227" t="s">
        <v>395</v>
      </c>
      <c r="K7" s="227" t="s">
        <v>396</v>
      </c>
      <c r="L7" s="227" t="s">
        <v>397</v>
      </c>
      <c r="M7" s="227" t="s">
        <v>398</v>
      </c>
      <c r="N7" s="227" t="s">
        <v>399</v>
      </c>
      <c r="O7" s="227" t="s">
        <v>400</v>
      </c>
      <c r="P7" s="227" t="s">
        <v>401</v>
      </c>
      <c r="Q7" s="227" t="s">
        <v>402</v>
      </c>
      <c r="R7" s="227" t="s">
        <v>403</v>
      </c>
      <c r="S7" s="227" t="s">
        <v>404</v>
      </c>
    </row>
    <row r="8" spans="1:26" s="71" customFormat="1" ht="15" customHeight="1" x14ac:dyDescent="0.25">
      <c r="A8" s="3"/>
      <c r="B8" s="214" t="s">
        <v>211</v>
      </c>
      <c r="C8" s="214"/>
      <c r="D8" s="214"/>
      <c r="E8" s="214"/>
      <c r="F8" s="264" t="s">
        <v>392</v>
      </c>
      <c r="G8" s="265">
        <f>+G9+G10+G11+G14+G18+G19+G20+G22</f>
        <v>0</v>
      </c>
      <c r="H8" s="266"/>
      <c r="I8" s="265">
        <f t="shared" ref="I8:S8" si="0">+I9+I10+I11+I14+I18+I19+I20+I22</f>
        <v>0</v>
      </c>
      <c r="J8" s="265">
        <f t="shared" si="0"/>
        <v>0</v>
      </c>
      <c r="K8" s="265">
        <f t="shared" si="0"/>
        <v>0</v>
      </c>
      <c r="L8" s="265">
        <f t="shared" si="0"/>
        <v>0</v>
      </c>
      <c r="M8" s="265">
        <f t="shared" si="0"/>
        <v>0</v>
      </c>
      <c r="N8" s="265">
        <f t="shared" si="0"/>
        <v>0</v>
      </c>
      <c r="O8" s="265">
        <f t="shared" si="0"/>
        <v>0</v>
      </c>
      <c r="P8" s="265">
        <f t="shared" si="0"/>
        <v>0</v>
      </c>
      <c r="Q8" s="265">
        <f t="shared" si="0"/>
        <v>0</v>
      </c>
      <c r="R8" s="265">
        <f t="shared" si="0"/>
        <v>0</v>
      </c>
      <c r="S8" s="265">
        <f t="shared" si="0"/>
        <v>0</v>
      </c>
      <c r="T8" s="2"/>
      <c r="U8" s="70"/>
      <c r="V8" s="70"/>
      <c r="W8" s="70"/>
      <c r="X8" s="70"/>
      <c r="Y8" s="70"/>
      <c r="Z8" s="70"/>
    </row>
    <row r="9" spans="1:26" x14ac:dyDescent="0.25">
      <c r="A9" s="3"/>
      <c r="B9" s="214" t="s">
        <v>0</v>
      </c>
      <c r="C9" s="267" t="s">
        <v>363</v>
      </c>
      <c r="D9" s="267"/>
      <c r="E9" s="267"/>
      <c r="F9" s="264" t="s">
        <v>393</v>
      </c>
      <c r="G9" s="268">
        <f t="shared" ref="G9:G22" si="1">SUM(I9:J9)</f>
        <v>0</v>
      </c>
      <c r="H9" s="269"/>
      <c r="I9" s="270"/>
      <c r="J9" s="270"/>
      <c r="K9" s="271"/>
      <c r="L9" s="271"/>
      <c r="M9" s="271"/>
      <c r="N9" s="271"/>
      <c r="O9" s="271"/>
      <c r="P9" s="271"/>
      <c r="Q9" s="271"/>
      <c r="R9" s="271"/>
      <c r="S9" s="271"/>
    </row>
    <row r="10" spans="1:26" x14ac:dyDescent="0.25">
      <c r="A10" s="3"/>
      <c r="B10" s="214"/>
      <c r="C10" s="267" t="s">
        <v>366</v>
      </c>
      <c r="D10" s="267"/>
      <c r="E10" s="267"/>
      <c r="F10" s="264" t="s">
        <v>394</v>
      </c>
      <c r="G10" s="268">
        <f t="shared" si="1"/>
        <v>0</v>
      </c>
      <c r="H10" s="269"/>
      <c r="I10" s="270"/>
      <c r="J10" s="270"/>
      <c r="K10" s="271"/>
      <c r="L10" s="271"/>
      <c r="M10" s="271"/>
      <c r="N10" s="271"/>
      <c r="O10" s="271"/>
      <c r="P10" s="271"/>
      <c r="Q10" s="271"/>
      <c r="R10" s="271"/>
      <c r="S10" s="271"/>
    </row>
    <row r="11" spans="1:26" x14ac:dyDescent="0.25">
      <c r="A11" s="3"/>
      <c r="B11" s="214"/>
      <c r="C11" s="267" t="s">
        <v>2</v>
      </c>
      <c r="D11" s="267"/>
      <c r="E11" s="267"/>
      <c r="F11" s="264" t="s">
        <v>395</v>
      </c>
      <c r="G11" s="268">
        <f>SUM(I11:J11)</f>
        <v>0</v>
      </c>
      <c r="H11" s="269"/>
      <c r="I11" s="270"/>
      <c r="J11" s="270"/>
      <c r="K11" s="271"/>
      <c r="L11" s="271"/>
      <c r="M11" s="271"/>
      <c r="N11" s="271"/>
      <c r="O11" s="271"/>
      <c r="P11" s="271"/>
      <c r="Q11" s="271"/>
      <c r="R11" s="271"/>
      <c r="S11" s="271"/>
    </row>
    <row r="12" spans="1:26" x14ac:dyDescent="0.25">
      <c r="A12" s="3"/>
      <c r="B12" s="214"/>
      <c r="C12" s="267" t="s">
        <v>386</v>
      </c>
      <c r="D12" s="267"/>
      <c r="E12" s="267"/>
      <c r="F12" s="264" t="s">
        <v>396</v>
      </c>
      <c r="G12" s="268">
        <f t="shared" si="1"/>
        <v>0</v>
      </c>
      <c r="H12" s="269"/>
      <c r="I12" s="270"/>
      <c r="J12" s="270"/>
      <c r="K12" s="271"/>
      <c r="L12" s="271"/>
      <c r="M12" s="271"/>
      <c r="N12" s="271"/>
      <c r="O12" s="271"/>
      <c r="P12" s="271"/>
      <c r="Q12" s="271"/>
      <c r="R12" s="271"/>
      <c r="S12" s="271"/>
    </row>
    <row r="13" spans="1:26" x14ac:dyDescent="0.25">
      <c r="A13" s="3"/>
      <c r="B13" s="214"/>
      <c r="C13" s="272" t="s">
        <v>327</v>
      </c>
      <c r="D13" s="272"/>
      <c r="E13" s="272"/>
      <c r="F13" s="264" t="s">
        <v>397</v>
      </c>
      <c r="G13" s="268">
        <f t="shared" si="1"/>
        <v>0</v>
      </c>
      <c r="H13" s="269"/>
      <c r="I13" s="270"/>
      <c r="J13" s="270"/>
      <c r="K13" s="271"/>
      <c r="L13" s="271"/>
      <c r="M13" s="271"/>
      <c r="N13" s="271"/>
      <c r="O13" s="271"/>
      <c r="P13" s="271"/>
      <c r="Q13" s="271"/>
      <c r="R13" s="271"/>
      <c r="S13" s="271"/>
    </row>
    <row r="14" spans="1:26" x14ac:dyDescent="0.25">
      <c r="A14" s="3"/>
      <c r="B14" s="214"/>
      <c r="C14" s="273" t="s">
        <v>1</v>
      </c>
      <c r="D14" s="273"/>
      <c r="E14" s="273"/>
      <c r="F14" s="264" t="s">
        <v>398</v>
      </c>
      <c r="G14" s="268">
        <f t="shared" si="1"/>
        <v>0</v>
      </c>
      <c r="H14" s="269"/>
      <c r="I14" s="270"/>
      <c r="J14" s="270"/>
      <c r="K14" s="271"/>
      <c r="L14" s="271"/>
      <c r="M14" s="271"/>
      <c r="N14" s="271"/>
      <c r="O14" s="271"/>
      <c r="P14" s="271"/>
      <c r="Q14" s="271"/>
      <c r="R14" s="271"/>
      <c r="S14" s="271"/>
    </row>
    <row r="15" spans="1:26" x14ac:dyDescent="0.25">
      <c r="A15" s="3"/>
      <c r="B15" s="214"/>
      <c r="C15" s="274" t="s">
        <v>368</v>
      </c>
      <c r="D15" s="274"/>
      <c r="E15" s="274"/>
      <c r="F15" s="264" t="s">
        <v>399</v>
      </c>
      <c r="G15" s="268">
        <f t="shared" si="1"/>
        <v>0</v>
      </c>
      <c r="H15" s="269"/>
      <c r="I15" s="270"/>
      <c r="J15" s="270"/>
      <c r="K15" s="271"/>
      <c r="L15" s="271"/>
      <c r="M15" s="271"/>
      <c r="N15" s="271"/>
      <c r="O15" s="271"/>
      <c r="P15" s="271"/>
      <c r="Q15" s="271"/>
      <c r="R15" s="271"/>
      <c r="S15" s="271"/>
    </row>
    <row r="16" spans="1:26" x14ac:dyDescent="0.25">
      <c r="A16" s="3"/>
      <c r="B16" s="214"/>
      <c r="C16" s="274" t="s">
        <v>205</v>
      </c>
      <c r="D16" s="274"/>
      <c r="E16" s="274"/>
      <c r="F16" s="264" t="s">
        <v>400</v>
      </c>
      <c r="G16" s="268">
        <f t="shared" si="1"/>
        <v>0</v>
      </c>
      <c r="H16" s="269"/>
      <c r="I16" s="270"/>
      <c r="J16" s="270"/>
      <c r="K16" s="271"/>
      <c r="L16" s="271"/>
      <c r="M16" s="271"/>
      <c r="N16" s="271"/>
      <c r="O16" s="271"/>
      <c r="P16" s="271"/>
      <c r="Q16" s="271"/>
      <c r="R16" s="271"/>
      <c r="S16" s="271"/>
    </row>
    <row r="17" spans="1:26" x14ac:dyDescent="0.25">
      <c r="A17" s="3"/>
      <c r="B17" s="214"/>
      <c r="C17" s="275" t="s">
        <v>206</v>
      </c>
      <c r="D17" s="275"/>
      <c r="E17" s="275"/>
      <c r="F17" s="264" t="s">
        <v>401</v>
      </c>
      <c r="G17" s="268">
        <f t="shared" si="1"/>
        <v>0</v>
      </c>
      <c r="H17" s="269"/>
      <c r="I17" s="270"/>
      <c r="J17" s="270"/>
      <c r="K17" s="271"/>
      <c r="L17" s="271"/>
      <c r="M17" s="271"/>
      <c r="N17" s="271"/>
      <c r="O17" s="271"/>
      <c r="P17" s="271"/>
      <c r="Q17" s="271"/>
      <c r="R17" s="271"/>
      <c r="S17" s="271"/>
    </row>
    <row r="18" spans="1:26" x14ac:dyDescent="0.25">
      <c r="A18" s="3"/>
      <c r="B18" s="214"/>
      <c r="C18" s="276" t="s">
        <v>207</v>
      </c>
      <c r="D18" s="276"/>
      <c r="E18" s="276"/>
      <c r="F18" s="264" t="s">
        <v>402</v>
      </c>
      <c r="G18" s="268">
        <f t="shared" si="1"/>
        <v>0</v>
      </c>
      <c r="H18" s="269"/>
      <c r="I18" s="270"/>
      <c r="J18" s="270"/>
      <c r="K18" s="271"/>
      <c r="L18" s="271"/>
      <c r="M18" s="271"/>
      <c r="N18" s="271"/>
      <c r="O18" s="271"/>
      <c r="P18" s="271"/>
      <c r="Q18" s="271"/>
      <c r="R18" s="271"/>
      <c r="S18" s="271"/>
    </row>
    <row r="19" spans="1:26" x14ac:dyDescent="0.25">
      <c r="A19" s="3"/>
      <c r="B19" s="214"/>
      <c r="C19" s="277" t="s">
        <v>208</v>
      </c>
      <c r="D19" s="277"/>
      <c r="E19" s="277"/>
      <c r="F19" s="264" t="s">
        <v>403</v>
      </c>
      <c r="G19" s="268">
        <f t="shared" si="1"/>
        <v>0</v>
      </c>
      <c r="H19" s="269"/>
      <c r="I19" s="270"/>
      <c r="J19" s="270"/>
      <c r="K19" s="271"/>
      <c r="L19" s="271"/>
      <c r="M19" s="271"/>
      <c r="N19" s="271"/>
      <c r="O19" s="271"/>
      <c r="P19" s="271"/>
      <c r="Q19" s="271"/>
      <c r="R19" s="271"/>
      <c r="S19" s="271"/>
    </row>
    <row r="20" spans="1:26" x14ac:dyDescent="0.25">
      <c r="A20" s="3"/>
      <c r="B20" s="214"/>
      <c r="C20" s="277" t="s">
        <v>209</v>
      </c>
      <c r="D20" s="277"/>
      <c r="E20" s="277"/>
      <c r="F20" s="264" t="s">
        <v>404</v>
      </c>
      <c r="G20" s="268">
        <f t="shared" si="1"/>
        <v>0</v>
      </c>
      <c r="H20" s="269"/>
      <c r="I20" s="270"/>
      <c r="J20" s="270"/>
      <c r="K20" s="271"/>
      <c r="L20" s="271"/>
      <c r="M20" s="271"/>
      <c r="N20" s="271"/>
      <c r="O20" s="271"/>
      <c r="P20" s="271"/>
      <c r="Q20" s="271"/>
      <c r="R20" s="271"/>
      <c r="S20" s="271"/>
    </row>
    <row r="21" spans="1:26" x14ac:dyDescent="0.25">
      <c r="A21" s="3"/>
      <c r="B21" s="214"/>
      <c r="C21" s="275" t="s">
        <v>375</v>
      </c>
      <c r="D21" s="275"/>
      <c r="E21" s="275"/>
      <c r="F21" s="264" t="s">
        <v>405</v>
      </c>
      <c r="G21" s="268">
        <f t="shared" si="1"/>
        <v>0</v>
      </c>
      <c r="H21" s="269"/>
      <c r="I21" s="270"/>
      <c r="J21" s="270"/>
      <c r="K21" s="271"/>
      <c r="L21" s="271"/>
      <c r="M21" s="271"/>
      <c r="N21" s="271"/>
      <c r="O21" s="271"/>
      <c r="P21" s="271"/>
      <c r="Q21" s="271"/>
      <c r="R21" s="271"/>
      <c r="S21" s="271"/>
    </row>
    <row r="22" spans="1:26" x14ac:dyDescent="0.25">
      <c r="A22" s="3"/>
      <c r="B22" s="214"/>
      <c r="C22" s="278" t="s">
        <v>210</v>
      </c>
      <c r="D22" s="278"/>
      <c r="E22" s="278"/>
      <c r="F22" s="264" t="s">
        <v>406</v>
      </c>
      <c r="G22" s="268">
        <f t="shared" si="1"/>
        <v>0</v>
      </c>
      <c r="H22" s="269"/>
      <c r="I22" s="270"/>
      <c r="J22" s="270"/>
      <c r="K22" s="271"/>
      <c r="L22" s="271"/>
      <c r="M22" s="271"/>
      <c r="N22" s="271"/>
      <c r="O22" s="271"/>
      <c r="P22" s="271"/>
      <c r="Q22" s="271"/>
      <c r="R22" s="271"/>
      <c r="S22" s="271"/>
    </row>
    <row r="23" spans="1:26" s="71" customFormat="1" ht="15" customHeight="1" x14ac:dyDescent="0.25">
      <c r="A23" s="3"/>
      <c r="B23" s="214" t="s">
        <v>214</v>
      </c>
      <c r="C23" s="214"/>
      <c r="D23" s="214"/>
      <c r="E23" s="214"/>
      <c r="F23" s="264" t="s">
        <v>407</v>
      </c>
      <c r="G23" s="265">
        <f>G24+G25+G26+G29+G30+G31+G32+G34</f>
        <v>0</v>
      </c>
      <c r="H23" s="266"/>
      <c r="I23" s="265">
        <f t="shared" ref="I23:S23" si="2">I24+I25+I26+I29+I30+I31+I32+I34</f>
        <v>0</v>
      </c>
      <c r="J23" s="265">
        <f t="shared" si="2"/>
        <v>0</v>
      </c>
      <c r="K23" s="265">
        <f t="shared" si="2"/>
        <v>0</v>
      </c>
      <c r="L23" s="265">
        <f t="shared" si="2"/>
        <v>0</v>
      </c>
      <c r="M23" s="265">
        <f t="shared" si="2"/>
        <v>0</v>
      </c>
      <c r="N23" s="265">
        <f t="shared" si="2"/>
        <v>0</v>
      </c>
      <c r="O23" s="265">
        <f t="shared" si="2"/>
        <v>0</v>
      </c>
      <c r="P23" s="265">
        <f t="shared" si="2"/>
        <v>0</v>
      </c>
      <c r="Q23" s="265">
        <f t="shared" si="2"/>
        <v>0</v>
      </c>
      <c r="R23" s="265">
        <f t="shared" si="2"/>
        <v>0</v>
      </c>
      <c r="S23" s="265">
        <f t="shared" si="2"/>
        <v>0</v>
      </c>
      <c r="T23" s="2"/>
    </row>
    <row r="24" spans="1:26" s="71" customFormat="1" x14ac:dyDescent="0.25">
      <c r="A24" s="3"/>
      <c r="B24" s="214" t="s">
        <v>3</v>
      </c>
      <c r="C24" s="267" t="s">
        <v>363</v>
      </c>
      <c r="D24" s="267"/>
      <c r="E24" s="267"/>
      <c r="F24" s="264" t="s">
        <v>408</v>
      </c>
      <c r="G24" s="268">
        <f>SUM(I24:J24)</f>
        <v>0</v>
      </c>
      <c r="H24" s="269"/>
      <c r="I24" s="270"/>
      <c r="J24" s="270"/>
      <c r="K24" s="271"/>
      <c r="L24" s="271"/>
      <c r="M24" s="271"/>
      <c r="N24" s="271"/>
      <c r="O24" s="271"/>
      <c r="P24" s="271"/>
      <c r="Q24" s="271"/>
      <c r="R24" s="271"/>
      <c r="S24" s="271"/>
      <c r="T24" s="2"/>
      <c r="U24" s="70"/>
      <c r="V24" s="70"/>
      <c r="W24" s="70"/>
      <c r="X24" s="70"/>
      <c r="Y24" s="70"/>
      <c r="Z24" s="70"/>
    </row>
    <row r="25" spans="1:26" x14ac:dyDescent="0.25">
      <c r="A25" s="3"/>
      <c r="B25" s="214"/>
      <c r="C25" s="279" t="s">
        <v>366</v>
      </c>
      <c r="D25" s="279"/>
      <c r="E25" s="279"/>
      <c r="F25" s="264" t="s">
        <v>409</v>
      </c>
      <c r="G25" s="268">
        <f t="shared" ref="G25:G34" si="3">SUM(I25:J25)</f>
        <v>0</v>
      </c>
      <c r="H25" s="269"/>
      <c r="I25" s="270"/>
      <c r="J25" s="270"/>
      <c r="K25" s="271"/>
      <c r="L25" s="271"/>
      <c r="M25" s="271"/>
      <c r="N25" s="271"/>
      <c r="O25" s="271"/>
      <c r="P25" s="271"/>
      <c r="Q25" s="271"/>
      <c r="R25" s="271"/>
      <c r="S25" s="271"/>
    </row>
    <row r="26" spans="1:26" x14ac:dyDescent="0.25">
      <c r="A26" s="3"/>
      <c r="B26" s="214"/>
      <c r="C26" s="276" t="s">
        <v>212</v>
      </c>
      <c r="D26" s="276"/>
      <c r="E26" s="276"/>
      <c r="F26" s="264" t="s">
        <v>410</v>
      </c>
      <c r="G26" s="268">
        <f t="shared" si="3"/>
        <v>0</v>
      </c>
      <c r="H26" s="269"/>
      <c r="I26" s="270"/>
      <c r="J26" s="270"/>
      <c r="K26" s="271"/>
      <c r="L26" s="271"/>
      <c r="M26" s="271"/>
      <c r="N26" s="271"/>
      <c r="O26" s="271"/>
      <c r="P26" s="271"/>
      <c r="Q26" s="271"/>
      <c r="R26" s="271"/>
      <c r="S26" s="271"/>
    </row>
    <row r="27" spans="1:26" x14ac:dyDescent="0.25">
      <c r="A27" s="3"/>
      <c r="B27" s="214"/>
      <c r="C27" s="280" t="s">
        <v>386</v>
      </c>
      <c r="D27" s="280"/>
      <c r="E27" s="280"/>
      <c r="F27" s="264" t="s">
        <v>411</v>
      </c>
      <c r="G27" s="268">
        <f t="shared" si="3"/>
        <v>0</v>
      </c>
      <c r="H27" s="269"/>
      <c r="I27" s="270"/>
      <c r="J27" s="270"/>
      <c r="K27" s="271"/>
      <c r="L27" s="271"/>
      <c r="M27" s="271"/>
      <c r="N27" s="271"/>
      <c r="O27" s="271"/>
      <c r="P27" s="271"/>
      <c r="Q27" s="271"/>
      <c r="R27" s="271"/>
      <c r="S27" s="271"/>
      <c r="T27" s="16"/>
    </row>
    <row r="28" spans="1:26" x14ac:dyDescent="0.25">
      <c r="B28" s="214"/>
      <c r="C28" s="280" t="s">
        <v>387</v>
      </c>
      <c r="D28" s="280"/>
      <c r="E28" s="280"/>
      <c r="F28" s="264" t="s">
        <v>412</v>
      </c>
      <c r="G28" s="268">
        <f t="shared" si="3"/>
        <v>0</v>
      </c>
      <c r="H28" s="269"/>
      <c r="I28" s="270"/>
      <c r="J28" s="270"/>
      <c r="K28" s="271"/>
      <c r="L28" s="271"/>
      <c r="M28" s="271"/>
      <c r="N28" s="271"/>
      <c r="O28" s="271"/>
      <c r="P28" s="271"/>
      <c r="Q28" s="271"/>
      <c r="R28" s="271"/>
      <c r="S28" s="271"/>
    </row>
    <row r="29" spans="1:26" x14ac:dyDescent="0.25">
      <c r="B29" s="214"/>
      <c r="C29" s="277" t="s">
        <v>367</v>
      </c>
      <c r="D29" s="277"/>
      <c r="E29" s="277"/>
      <c r="F29" s="264" t="s">
        <v>413</v>
      </c>
      <c r="G29" s="268">
        <f t="shared" si="3"/>
        <v>0</v>
      </c>
      <c r="H29" s="269"/>
      <c r="I29" s="270"/>
      <c r="J29" s="270"/>
      <c r="K29" s="271"/>
      <c r="L29" s="271"/>
      <c r="M29" s="271"/>
      <c r="N29" s="271"/>
      <c r="O29" s="271"/>
      <c r="P29" s="271"/>
      <c r="Q29" s="271"/>
      <c r="R29" s="271"/>
      <c r="S29" s="271"/>
    </row>
    <row r="30" spans="1:26" x14ac:dyDescent="0.25">
      <c r="B30" s="214"/>
      <c r="C30" s="276" t="s">
        <v>207</v>
      </c>
      <c r="D30" s="276"/>
      <c r="E30" s="276"/>
      <c r="F30" s="264" t="s">
        <v>414</v>
      </c>
      <c r="G30" s="268">
        <f t="shared" si="3"/>
        <v>0</v>
      </c>
      <c r="H30" s="269"/>
      <c r="I30" s="270"/>
      <c r="J30" s="270"/>
      <c r="K30" s="271"/>
      <c r="L30" s="271"/>
      <c r="M30" s="271"/>
      <c r="N30" s="271"/>
      <c r="O30" s="271"/>
      <c r="P30" s="271"/>
      <c r="Q30" s="271"/>
      <c r="R30" s="271"/>
      <c r="S30" s="271"/>
    </row>
    <row r="31" spans="1:26" ht="14.25" customHeight="1" x14ac:dyDescent="0.25">
      <c r="B31" s="214"/>
      <c r="C31" s="277" t="s">
        <v>208</v>
      </c>
      <c r="D31" s="277"/>
      <c r="E31" s="277"/>
      <c r="F31" s="264" t="s">
        <v>415</v>
      </c>
      <c r="G31" s="268">
        <f t="shared" si="3"/>
        <v>0</v>
      </c>
      <c r="H31" s="269"/>
      <c r="I31" s="270"/>
      <c r="J31" s="270"/>
      <c r="K31" s="271"/>
      <c r="L31" s="271"/>
      <c r="M31" s="271"/>
      <c r="N31" s="271"/>
      <c r="O31" s="271"/>
      <c r="P31" s="271"/>
      <c r="Q31" s="271"/>
      <c r="R31" s="271"/>
      <c r="S31" s="271"/>
    </row>
    <row r="32" spans="1:26" x14ac:dyDescent="0.25">
      <c r="B32" s="214"/>
      <c r="C32" s="277" t="s">
        <v>209</v>
      </c>
      <c r="D32" s="277"/>
      <c r="E32" s="277"/>
      <c r="F32" s="264" t="s">
        <v>416</v>
      </c>
      <c r="G32" s="268">
        <f t="shared" si="3"/>
        <v>0</v>
      </c>
      <c r="H32" s="269"/>
      <c r="I32" s="270"/>
      <c r="J32" s="270"/>
      <c r="K32" s="271"/>
      <c r="L32" s="271"/>
      <c r="M32" s="271"/>
      <c r="N32" s="271"/>
      <c r="O32" s="271"/>
      <c r="P32" s="271"/>
      <c r="Q32" s="271"/>
      <c r="R32" s="271"/>
      <c r="S32" s="271"/>
    </row>
    <row r="33" spans="2:19" x14ac:dyDescent="0.25">
      <c r="B33" s="214"/>
      <c r="C33" s="275" t="s">
        <v>375</v>
      </c>
      <c r="D33" s="275"/>
      <c r="E33" s="275"/>
      <c r="F33" s="264" t="s">
        <v>417</v>
      </c>
      <c r="G33" s="268">
        <f t="shared" si="3"/>
        <v>0</v>
      </c>
      <c r="H33" s="269"/>
      <c r="I33" s="270"/>
      <c r="J33" s="270"/>
      <c r="K33" s="271"/>
      <c r="L33" s="271"/>
      <c r="M33" s="271"/>
      <c r="N33" s="271"/>
      <c r="O33" s="271"/>
      <c r="P33" s="271"/>
      <c r="Q33" s="271"/>
      <c r="R33" s="271"/>
      <c r="S33" s="271"/>
    </row>
    <row r="34" spans="2:19" x14ac:dyDescent="0.25">
      <c r="B34" s="214"/>
      <c r="C34" s="277" t="s">
        <v>213</v>
      </c>
      <c r="D34" s="277"/>
      <c r="E34" s="277"/>
      <c r="F34" s="264" t="s">
        <v>418</v>
      </c>
      <c r="G34" s="268">
        <f t="shared" si="3"/>
        <v>0</v>
      </c>
      <c r="H34" s="269"/>
      <c r="I34" s="270"/>
      <c r="J34" s="270"/>
      <c r="K34" s="271"/>
      <c r="L34" s="271"/>
      <c r="M34" s="271"/>
      <c r="N34" s="271"/>
      <c r="O34" s="271"/>
      <c r="P34" s="271"/>
      <c r="Q34" s="271"/>
      <c r="R34" s="271"/>
      <c r="S34" s="271"/>
    </row>
    <row r="35" spans="2:19" s="2" customFormat="1" ht="25.5" customHeight="1" x14ac:dyDescent="0.25">
      <c r="B35" s="215" t="s">
        <v>326</v>
      </c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</row>
    <row r="36" spans="2:19" x14ac:dyDescent="0.25">
      <c r="B36" s="281" t="s">
        <v>542</v>
      </c>
      <c r="C36" s="281"/>
      <c r="D36" s="281"/>
      <c r="E36" s="282"/>
      <c r="F36" s="230" t="s">
        <v>419</v>
      </c>
      <c r="G36" s="283">
        <f>SUM(I36:J36)</f>
        <v>0</v>
      </c>
      <c r="H36" s="269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</row>
    <row r="37" spans="2:19" x14ac:dyDescent="0.25">
      <c r="B37" s="281" t="s">
        <v>543</v>
      </c>
      <c r="C37" s="281"/>
      <c r="D37" s="281"/>
      <c r="E37" s="282"/>
      <c r="F37" s="230" t="s">
        <v>420</v>
      </c>
      <c r="G37" s="283">
        <f>SUM(I37:J37)</f>
        <v>0</v>
      </c>
      <c r="H37" s="269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</row>
    <row r="38" spans="2:19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2:19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2:19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2:19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</sheetData>
  <mergeCells count="49">
    <mergeCell ref="C34:E34"/>
    <mergeCell ref="C14:E14"/>
    <mergeCell ref="C24:E24"/>
    <mergeCell ref="C4:E7"/>
    <mergeCell ref="B4:B7"/>
    <mergeCell ref="F4:F7"/>
    <mergeCell ref="C9:E9"/>
    <mergeCell ref="B24:B3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J5:J6"/>
    <mergeCell ref="B2:S2"/>
    <mergeCell ref="B23:E23"/>
    <mergeCell ref="C20:E20"/>
    <mergeCell ref="C21:E21"/>
    <mergeCell ref="C22:E22"/>
    <mergeCell ref="B8:E8"/>
    <mergeCell ref="P5:P6"/>
    <mergeCell ref="Q5:Q6"/>
    <mergeCell ref="C18:E18"/>
    <mergeCell ref="B9:B22"/>
    <mergeCell ref="C10:E10"/>
    <mergeCell ref="C11:E11"/>
    <mergeCell ref="C12:E12"/>
    <mergeCell ref="C13:E13"/>
    <mergeCell ref="C19:E19"/>
    <mergeCell ref="B35:S35"/>
    <mergeCell ref="K4:O4"/>
    <mergeCell ref="P4:S4"/>
    <mergeCell ref="O5:O6"/>
    <mergeCell ref="S5:S6"/>
    <mergeCell ref="K5:K6"/>
    <mergeCell ref="L5:M5"/>
    <mergeCell ref="R5:R6"/>
    <mergeCell ref="N5:N6"/>
    <mergeCell ref="C15:E15"/>
    <mergeCell ref="C16:E16"/>
    <mergeCell ref="C17:E17"/>
    <mergeCell ref="G4:G6"/>
    <mergeCell ref="H4:J4"/>
    <mergeCell ref="H5:H6"/>
    <mergeCell ref="I5:I6"/>
  </mergeCells>
  <phoneticPr fontId="32" type="noConversion"/>
  <conditionalFormatting sqref="N9:P12 K9:L12 K25:P34 K14:L23 M9:M23 N14:P23 J8:P8">
    <cfRule type="cellIs" dxfId="68" priority="63" stopIfTrue="1" operator="lessThan">
      <formula>0</formula>
    </cfRule>
  </conditionalFormatting>
  <conditionalFormatting sqref="K13">
    <cfRule type="cellIs" dxfId="67" priority="65" stopIfTrue="1" operator="lessThan">
      <formula>0</formula>
    </cfRule>
  </conditionalFormatting>
  <conditionalFormatting sqref="K13">
    <cfRule type="cellIs" dxfId="66" priority="64" stopIfTrue="1" operator="lessThan">
      <formula>0</formula>
    </cfRule>
  </conditionalFormatting>
  <conditionalFormatting sqref="P13">
    <cfRule type="cellIs" dxfId="65" priority="60" stopIfTrue="1" operator="lessThan">
      <formula>0</formula>
    </cfRule>
  </conditionalFormatting>
  <conditionalFormatting sqref="L13">
    <cfRule type="cellIs" dxfId="64" priority="62" stopIfTrue="1" operator="lessThan">
      <formula>0</formula>
    </cfRule>
  </conditionalFormatting>
  <conditionalFormatting sqref="P13">
    <cfRule type="cellIs" dxfId="63" priority="59" stopIfTrue="1" operator="lessThan">
      <formula>0</formula>
    </cfRule>
  </conditionalFormatting>
  <conditionalFormatting sqref="L13">
    <cfRule type="cellIs" dxfId="62" priority="61" stopIfTrue="1" operator="lessThan">
      <formula>0</formula>
    </cfRule>
  </conditionalFormatting>
  <conditionalFormatting sqref="N13:O13">
    <cfRule type="cellIs" dxfId="61" priority="50" stopIfTrue="1" operator="lessThan">
      <formula>0</formula>
    </cfRule>
  </conditionalFormatting>
  <conditionalFormatting sqref="N13:O13">
    <cfRule type="cellIs" dxfId="60" priority="49" stopIfTrue="1" operator="lessThan">
      <formula>0</formula>
    </cfRule>
  </conditionalFormatting>
  <conditionalFormatting sqref="N13:O13">
    <cfRule type="cellIs" dxfId="59" priority="48" stopIfTrue="1" operator="lessThan">
      <formula>0</formula>
    </cfRule>
  </conditionalFormatting>
  <conditionalFormatting sqref="N13:O13">
    <cfRule type="cellIs" dxfId="58" priority="47" stopIfTrue="1" operator="lessThan">
      <formula>0</formula>
    </cfRule>
  </conditionalFormatting>
  <conditionalFormatting sqref="L13">
    <cfRule type="cellIs" dxfId="57" priority="55" stopIfTrue="1" operator="lessThan">
      <formula>0</formula>
    </cfRule>
  </conditionalFormatting>
  <conditionalFormatting sqref="P13">
    <cfRule type="cellIs" dxfId="56" priority="53" stopIfTrue="1" operator="lessThan">
      <formula>0</formula>
    </cfRule>
  </conditionalFormatting>
  <conditionalFormatting sqref="L13">
    <cfRule type="cellIs" dxfId="55" priority="56" stopIfTrue="1" operator="lessThan">
      <formula>0</formula>
    </cfRule>
  </conditionalFormatting>
  <conditionalFormatting sqref="P13">
    <cfRule type="cellIs" dxfId="54" priority="54" stopIfTrue="1" operator="lessThan">
      <formula>0</formula>
    </cfRule>
  </conditionalFormatting>
  <conditionalFormatting sqref="Q9:R12 Q14:R23 Q25:R34">
    <cfRule type="cellIs" dxfId="53" priority="46" stopIfTrue="1" operator="lessThan">
      <formula>0</formula>
    </cfRule>
  </conditionalFormatting>
  <conditionalFormatting sqref="Q13">
    <cfRule type="cellIs" dxfId="52" priority="45" stopIfTrue="1" operator="lessThan">
      <formula>0</formula>
    </cfRule>
  </conditionalFormatting>
  <conditionalFormatting sqref="Q13">
    <cfRule type="cellIs" dxfId="51" priority="44" stopIfTrue="1" operator="lessThan">
      <formula>0</formula>
    </cfRule>
  </conditionalFormatting>
  <conditionalFormatting sqref="R13">
    <cfRule type="cellIs" dxfId="50" priority="41" stopIfTrue="1" operator="lessThan">
      <formula>0</formula>
    </cfRule>
  </conditionalFormatting>
  <conditionalFormatting sqref="R13">
    <cfRule type="cellIs" dxfId="49" priority="40" stopIfTrue="1" operator="lessThan">
      <formula>0</formula>
    </cfRule>
  </conditionalFormatting>
  <conditionalFormatting sqref="R13">
    <cfRule type="cellIs" dxfId="48" priority="39" stopIfTrue="1" operator="lessThan">
      <formula>0</formula>
    </cfRule>
  </conditionalFormatting>
  <conditionalFormatting sqref="R13">
    <cfRule type="cellIs" dxfId="47" priority="38" stopIfTrue="1" operator="lessThan">
      <formula>0</formula>
    </cfRule>
  </conditionalFormatting>
  <conditionalFormatting sqref="Q13">
    <cfRule type="cellIs" dxfId="46" priority="42" stopIfTrue="1" operator="lessThan">
      <formula>0</formula>
    </cfRule>
  </conditionalFormatting>
  <conditionalFormatting sqref="Q13">
    <cfRule type="cellIs" dxfId="45" priority="43" stopIfTrue="1" operator="lessThan">
      <formula>0</formula>
    </cfRule>
  </conditionalFormatting>
  <conditionalFormatting sqref="G8">
    <cfRule type="cellIs" dxfId="44" priority="35" stopIfTrue="1" operator="lessThan">
      <formula>0</formula>
    </cfRule>
  </conditionalFormatting>
  <conditionalFormatting sqref="G23">
    <cfRule type="cellIs" dxfId="43" priority="31" stopIfTrue="1" operator="lessThan">
      <formula>0</formula>
    </cfRule>
  </conditionalFormatting>
  <conditionalFormatting sqref="G23">
    <cfRule type="cellIs" dxfId="42" priority="30" stopIfTrue="1" operator="lessThan">
      <formula>0</formula>
    </cfRule>
  </conditionalFormatting>
  <conditionalFormatting sqref="H8">
    <cfRule type="cellIs" dxfId="41" priority="29" stopIfTrue="1" operator="lessThan">
      <formula>0</formula>
    </cfRule>
  </conditionalFormatting>
  <conditionalFormatting sqref="I8 I23">
    <cfRule type="cellIs" dxfId="40" priority="26" stopIfTrue="1" operator="lessThan">
      <formula>0</formula>
    </cfRule>
  </conditionalFormatting>
  <conditionalFormatting sqref="S9:S12 S14:S23 S25:S34">
    <cfRule type="cellIs" dxfId="39" priority="25" stopIfTrue="1" operator="lessThan">
      <formula>0</formula>
    </cfRule>
  </conditionalFormatting>
  <conditionalFormatting sqref="S13">
    <cfRule type="cellIs" dxfId="38" priority="24" stopIfTrue="1" operator="lessThan">
      <formula>0</formula>
    </cfRule>
  </conditionalFormatting>
  <conditionalFormatting sqref="S13">
    <cfRule type="cellIs" dxfId="37" priority="23" stopIfTrue="1" operator="lessThan">
      <formula>0</formula>
    </cfRule>
  </conditionalFormatting>
  <conditionalFormatting sqref="S13">
    <cfRule type="cellIs" dxfId="36" priority="22" stopIfTrue="1" operator="lessThan">
      <formula>0</formula>
    </cfRule>
  </conditionalFormatting>
  <conditionalFormatting sqref="S13">
    <cfRule type="cellIs" dxfId="35" priority="21" stopIfTrue="1" operator="lessThan">
      <formula>0</formula>
    </cfRule>
  </conditionalFormatting>
  <conditionalFormatting sqref="K24:P24">
    <cfRule type="cellIs" dxfId="34" priority="18" stopIfTrue="1" operator="lessThan">
      <formula>0</formula>
    </cfRule>
  </conditionalFormatting>
  <conditionalFormatting sqref="Q24:R24">
    <cfRule type="cellIs" dxfId="33" priority="17" stopIfTrue="1" operator="lessThan">
      <formula>0</formula>
    </cfRule>
  </conditionalFormatting>
  <conditionalFormatting sqref="S24">
    <cfRule type="cellIs" dxfId="32" priority="16" stopIfTrue="1" operator="lessThan">
      <formula>0</formula>
    </cfRule>
  </conditionalFormatting>
  <conditionalFormatting sqref="Q8">
    <cfRule type="cellIs" dxfId="31" priority="15" stopIfTrue="1" operator="lessThan">
      <formula>0</formula>
    </cfRule>
  </conditionalFormatting>
  <conditionalFormatting sqref="R8">
    <cfRule type="cellIs" dxfId="30" priority="14" stopIfTrue="1" operator="lessThan">
      <formula>0</formula>
    </cfRule>
  </conditionalFormatting>
  <conditionalFormatting sqref="S8">
    <cfRule type="cellIs" dxfId="29" priority="13" stopIfTrue="1" operator="lessThan">
      <formula>0</formula>
    </cfRule>
  </conditionalFormatting>
  <conditionalFormatting sqref="J23">
    <cfRule type="cellIs" dxfId="28" priority="12" stopIfTrue="1" operator="lessThan">
      <formula>0</formula>
    </cfRule>
  </conditionalFormatting>
  <conditionalFormatting sqref="K23">
    <cfRule type="cellIs" dxfId="27" priority="11" stopIfTrue="1" operator="lessThan">
      <formula>0</formula>
    </cfRule>
  </conditionalFormatting>
  <conditionalFormatting sqref="L23">
    <cfRule type="cellIs" dxfId="26" priority="10" stopIfTrue="1" operator="lessThan">
      <formula>0</formula>
    </cfRule>
  </conditionalFormatting>
  <conditionalFormatting sqref="M23">
    <cfRule type="cellIs" dxfId="25" priority="9" stopIfTrue="1" operator="lessThan">
      <formula>0</formula>
    </cfRule>
  </conditionalFormatting>
  <conditionalFormatting sqref="N23">
    <cfRule type="cellIs" dxfId="24" priority="8" stopIfTrue="1" operator="lessThan">
      <formula>0</formula>
    </cfRule>
  </conditionalFormatting>
  <conditionalFormatting sqref="O23">
    <cfRule type="cellIs" dxfId="23" priority="6" stopIfTrue="1" operator="lessThan">
      <formula>0</formula>
    </cfRule>
  </conditionalFormatting>
  <conditionalFormatting sqref="P23">
    <cfRule type="cellIs" dxfId="22" priority="5" stopIfTrue="1" operator="lessThan">
      <formula>0</formula>
    </cfRule>
  </conditionalFormatting>
  <conditionalFormatting sqref="Q23">
    <cfRule type="cellIs" dxfId="21" priority="4" stopIfTrue="1" operator="lessThan">
      <formula>0</formula>
    </cfRule>
  </conditionalFormatting>
  <conditionalFormatting sqref="R23">
    <cfRule type="cellIs" dxfId="20" priority="3" stopIfTrue="1" operator="lessThan">
      <formula>0</formula>
    </cfRule>
  </conditionalFormatting>
  <conditionalFormatting sqref="S23">
    <cfRule type="cellIs" dxfId="19" priority="2" stopIfTrue="1" operator="lessThan">
      <formula>0</formula>
    </cfRule>
  </conditionalFormatting>
  <conditionalFormatting sqref="H23">
    <cfRule type="cellIs" dxfId="18" priority="1" stopIfTrue="1" operator="lessThan">
      <formula>0</formula>
    </cfRule>
  </conditionalFormatting>
  <dataValidations count="1">
    <dataValidation type="list" allowBlank="1" showInputMessage="1" showErrorMessage="1" sqref="H9:H22 H24:H34 H36:H37" xr:uid="{4B7133E1-6CC7-453D-BFE4-7E7A2B5F594C}">
      <formula1>"Only for EVE , Only for NII, Only for MVC, All metrics (EVE/NII/MVC)"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2:O65"/>
  <sheetViews>
    <sheetView zoomScale="70" zoomScaleNormal="70" workbookViewId="0">
      <selection activeCell="K38" sqref="K38"/>
    </sheetView>
  </sheetViews>
  <sheetFormatPr defaultColWidth="10.85546875" defaultRowHeight="15" x14ac:dyDescent="0.25"/>
  <cols>
    <col min="1" max="2" width="10.85546875" style="1"/>
    <col min="3" max="3" width="18.42578125" style="1" customWidth="1"/>
    <col min="4" max="4" width="10.85546875" style="1"/>
    <col min="5" max="14" width="16.28515625" style="1" customWidth="1"/>
    <col min="15" max="15" width="92" style="1" customWidth="1"/>
    <col min="16" max="23" width="16.28515625" style="1" customWidth="1"/>
    <col min="24" max="16384" width="10.85546875" style="1"/>
  </cols>
  <sheetData>
    <row r="2" spans="1:15" ht="55.5" customHeight="1" x14ac:dyDescent="0.25">
      <c r="A2" s="171" t="s">
        <v>220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</row>
    <row r="3" spans="1:15" ht="18" customHeight="1" x14ac:dyDescent="0.25">
      <c r="B3" s="33"/>
    </row>
    <row r="4" spans="1:15" ht="45" customHeight="1" x14ac:dyDescent="0.25">
      <c r="B4" s="143"/>
      <c r="C4" s="145" t="s">
        <v>188</v>
      </c>
      <c r="D4" s="146"/>
      <c r="E4" s="147"/>
      <c r="F4" s="176" t="s">
        <v>190</v>
      </c>
      <c r="G4" s="176"/>
      <c r="H4" s="176"/>
      <c r="I4" s="176"/>
      <c r="J4" s="176"/>
      <c r="K4" s="176"/>
      <c r="L4" s="176"/>
      <c r="M4" s="44"/>
      <c r="N4" s="44"/>
    </row>
    <row r="5" spans="1:15" ht="51.75" customHeight="1" x14ac:dyDescent="0.25">
      <c r="B5" s="144"/>
      <c r="C5" s="148"/>
      <c r="D5" s="149"/>
      <c r="E5" s="150"/>
      <c r="F5" s="158" t="s">
        <v>191</v>
      </c>
      <c r="G5" s="140" t="s">
        <v>192</v>
      </c>
      <c r="H5" s="141"/>
      <c r="I5" s="142"/>
      <c r="J5" s="173" t="s">
        <v>193</v>
      </c>
      <c r="K5" s="174"/>
      <c r="L5" s="175"/>
    </row>
    <row r="6" spans="1:15" ht="54" customHeight="1" x14ac:dyDescent="0.25">
      <c r="B6" s="144"/>
      <c r="C6" s="151"/>
      <c r="D6" s="152"/>
      <c r="E6" s="153"/>
      <c r="F6" s="159"/>
      <c r="G6" s="35" t="s">
        <v>222</v>
      </c>
      <c r="H6" s="35" t="s">
        <v>223</v>
      </c>
      <c r="I6" s="35" t="s">
        <v>194</v>
      </c>
      <c r="J6" s="35" t="s">
        <v>195</v>
      </c>
      <c r="K6" s="35" t="s">
        <v>196</v>
      </c>
      <c r="L6" s="35" t="s">
        <v>197</v>
      </c>
    </row>
    <row r="7" spans="1:15" x14ac:dyDescent="0.25">
      <c r="B7" s="180" t="s">
        <v>0</v>
      </c>
      <c r="C7" s="183" t="s">
        <v>198</v>
      </c>
      <c r="D7" s="184"/>
      <c r="E7" s="185"/>
      <c r="F7" s="36"/>
      <c r="G7" s="36"/>
      <c r="H7" s="36"/>
      <c r="I7" s="36"/>
      <c r="J7" s="36" t="s">
        <v>219</v>
      </c>
      <c r="K7" s="36"/>
      <c r="L7" s="36"/>
      <c r="N7" s="37"/>
      <c r="O7" s="1" t="s">
        <v>199</v>
      </c>
    </row>
    <row r="8" spans="1:15" x14ac:dyDescent="0.25">
      <c r="B8" s="181"/>
      <c r="C8" s="183" t="s">
        <v>2</v>
      </c>
      <c r="D8" s="184"/>
      <c r="E8" s="185"/>
      <c r="F8" s="38"/>
      <c r="G8" s="38"/>
      <c r="H8" s="38"/>
      <c r="I8" s="38"/>
      <c r="J8" s="38"/>
      <c r="K8" s="38"/>
      <c r="L8" s="38"/>
      <c r="N8" s="39"/>
      <c r="O8" s="1" t="s">
        <v>200</v>
      </c>
    </row>
    <row r="9" spans="1:15" x14ac:dyDescent="0.25">
      <c r="B9" s="181"/>
      <c r="C9" s="186" t="s">
        <v>201</v>
      </c>
      <c r="D9" s="187"/>
      <c r="E9" s="188"/>
      <c r="F9" s="38"/>
      <c r="G9" s="38"/>
      <c r="H9" s="38"/>
      <c r="I9" s="38"/>
      <c r="J9" s="38"/>
      <c r="K9" s="38"/>
      <c r="L9" s="38"/>
      <c r="N9" s="40"/>
      <c r="O9" s="1" t="s">
        <v>202</v>
      </c>
    </row>
    <row r="10" spans="1:15" x14ac:dyDescent="0.25">
      <c r="B10" s="181"/>
      <c r="C10" s="154" t="s">
        <v>203</v>
      </c>
      <c r="D10" s="155"/>
      <c r="E10" s="155"/>
      <c r="F10" s="38"/>
      <c r="G10" s="38"/>
      <c r="H10" s="38"/>
      <c r="I10" s="38"/>
      <c r="J10" s="38"/>
      <c r="K10" s="38"/>
      <c r="L10" s="38"/>
    </row>
    <row r="11" spans="1:15" x14ac:dyDescent="0.25">
      <c r="B11" s="181"/>
      <c r="C11" s="156" t="s">
        <v>1</v>
      </c>
      <c r="D11" s="157"/>
      <c r="E11" s="157"/>
      <c r="F11" s="38"/>
      <c r="G11" s="38"/>
      <c r="H11" s="38"/>
      <c r="I11" s="38"/>
      <c r="J11" s="38"/>
      <c r="K11" s="38"/>
      <c r="L11" s="38"/>
    </row>
    <row r="12" spans="1:15" x14ac:dyDescent="0.25">
      <c r="B12" s="181"/>
      <c r="C12" s="154" t="s">
        <v>204</v>
      </c>
      <c r="D12" s="155"/>
      <c r="E12" s="155"/>
      <c r="F12" s="38"/>
      <c r="G12" s="38"/>
      <c r="H12" s="38"/>
      <c r="I12" s="38"/>
      <c r="J12" s="38"/>
      <c r="K12" s="38"/>
      <c r="L12" s="38"/>
      <c r="N12" s="33"/>
    </row>
    <row r="13" spans="1:15" x14ac:dyDescent="0.25">
      <c r="B13" s="181"/>
      <c r="C13" s="154" t="s">
        <v>205</v>
      </c>
      <c r="D13" s="155"/>
      <c r="E13" s="155"/>
      <c r="F13" s="38"/>
      <c r="G13" s="38"/>
      <c r="H13" s="38"/>
      <c r="I13" s="38"/>
      <c r="J13" s="38"/>
      <c r="K13" s="38"/>
      <c r="L13" s="38"/>
    </row>
    <row r="14" spans="1:15" x14ac:dyDescent="0.25">
      <c r="B14" s="181"/>
      <c r="C14" s="154" t="s">
        <v>206</v>
      </c>
      <c r="D14" s="155"/>
      <c r="E14" s="155"/>
      <c r="F14" s="38"/>
      <c r="G14" s="38"/>
      <c r="H14" s="38"/>
      <c r="I14" s="38"/>
      <c r="J14" s="38"/>
      <c r="K14" s="38"/>
      <c r="L14" s="38"/>
    </row>
    <row r="15" spans="1:15" x14ac:dyDescent="0.25">
      <c r="B15" s="181"/>
      <c r="C15" s="167" t="s">
        <v>207</v>
      </c>
      <c r="D15" s="167"/>
      <c r="E15" s="168"/>
      <c r="F15" s="38"/>
      <c r="G15" s="38"/>
      <c r="H15" s="38"/>
      <c r="I15" s="38"/>
      <c r="J15" s="38"/>
      <c r="K15" s="38"/>
      <c r="L15" s="38"/>
    </row>
    <row r="16" spans="1:15" x14ac:dyDescent="0.25">
      <c r="B16" s="181"/>
      <c r="C16" s="156" t="s">
        <v>208</v>
      </c>
      <c r="D16" s="157"/>
      <c r="E16" s="157"/>
      <c r="F16" s="38"/>
      <c r="G16" s="38"/>
      <c r="H16" s="38"/>
      <c r="I16" s="38"/>
      <c r="J16" s="38"/>
      <c r="K16" s="38"/>
      <c r="L16" s="38"/>
    </row>
    <row r="17" spans="2:12" x14ac:dyDescent="0.25">
      <c r="B17" s="181"/>
      <c r="C17" s="156" t="s">
        <v>209</v>
      </c>
      <c r="D17" s="157"/>
      <c r="E17" s="157"/>
      <c r="F17" s="41"/>
      <c r="G17" s="41"/>
      <c r="H17" s="41"/>
      <c r="I17" s="41"/>
      <c r="J17" s="41"/>
      <c r="K17" s="41"/>
      <c r="L17" s="41"/>
    </row>
    <row r="18" spans="2:12" x14ac:dyDescent="0.25">
      <c r="B18" s="181"/>
      <c r="C18" s="160" t="s">
        <v>217</v>
      </c>
      <c r="D18" s="160"/>
      <c r="E18" s="161"/>
      <c r="F18" s="38"/>
      <c r="G18" s="38"/>
      <c r="H18" s="38"/>
      <c r="I18" s="38"/>
      <c r="J18" s="38"/>
      <c r="K18" s="38"/>
      <c r="L18" s="38"/>
    </row>
    <row r="19" spans="2:12" x14ac:dyDescent="0.25">
      <c r="B19" s="182"/>
      <c r="C19" s="178" t="s">
        <v>210</v>
      </c>
      <c r="D19" s="179"/>
      <c r="E19" s="179"/>
      <c r="F19" s="38"/>
      <c r="G19" s="38"/>
      <c r="H19" s="38"/>
      <c r="I19" s="38"/>
      <c r="J19" s="38"/>
      <c r="K19" s="38"/>
      <c r="L19" s="38"/>
    </row>
    <row r="20" spans="2:12" x14ac:dyDescent="0.25">
      <c r="B20" s="177" t="s">
        <v>211</v>
      </c>
      <c r="C20" s="163"/>
      <c r="D20" s="163"/>
      <c r="E20" s="163"/>
      <c r="F20" s="38">
        <f>+F7+F8+F11+F15+F16+F19</f>
        <v>0</v>
      </c>
      <c r="G20" s="38"/>
      <c r="H20" s="38"/>
      <c r="I20" s="38"/>
      <c r="J20" s="38"/>
      <c r="K20" s="38"/>
      <c r="L20" s="38"/>
    </row>
    <row r="21" spans="2:12" x14ac:dyDescent="0.25">
      <c r="B21" s="164" t="s">
        <v>3</v>
      </c>
      <c r="C21" s="167" t="s">
        <v>198</v>
      </c>
      <c r="D21" s="167"/>
      <c r="E21" s="168"/>
      <c r="F21" s="38"/>
      <c r="G21" s="38"/>
      <c r="H21" s="38"/>
      <c r="I21" s="38"/>
      <c r="J21" s="38"/>
      <c r="K21" s="42"/>
      <c r="L21" s="42"/>
    </row>
    <row r="22" spans="2:12" x14ac:dyDescent="0.25">
      <c r="B22" s="165"/>
      <c r="C22" s="167" t="s">
        <v>212</v>
      </c>
      <c r="D22" s="167"/>
      <c r="E22" s="168"/>
      <c r="F22" s="38"/>
      <c r="G22" s="38"/>
      <c r="H22" s="38"/>
      <c r="I22" s="38"/>
      <c r="J22" s="38"/>
      <c r="K22" s="42"/>
      <c r="L22" s="42"/>
    </row>
    <row r="23" spans="2:12" x14ac:dyDescent="0.25">
      <c r="B23" s="165"/>
      <c r="C23" s="160" t="s">
        <v>201</v>
      </c>
      <c r="D23" s="160"/>
      <c r="E23" s="161"/>
      <c r="F23" s="38"/>
      <c r="G23" s="38"/>
      <c r="H23" s="38"/>
      <c r="I23" s="38"/>
      <c r="J23" s="38"/>
      <c r="K23" s="38"/>
      <c r="L23" s="38"/>
    </row>
    <row r="24" spans="2:12" ht="15" customHeight="1" x14ac:dyDescent="0.25">
      <c r="B24" s="165"/>
      <c r="C24" s="160" t="s">
        <v>203</v>
      </c>
      <c r="D24" s="160"/>
      <c r="E24" s="161"/>
      <c r="F24" s="38"/>
      <c r="G24" s="38"/>
      <c r="H24" s="38"/>
      <c r="I24" s="38"/>
      <c r="J24" s="38"/>
      <c r="K24" s="38"/>
      <c r="L24" s="38"/>
    </row>
    <row r="25" spans="2:12" x14ac:dyDescent="0.25">
      <c r="B25" s="165"/>
      <c r="C25" s="169" t="s">
        <v>1</v>
      </c>
      <c r="D25" s="170"/>
      <c r="E25" s="170"/>
      <c r="F25" s="38"/>
      <c r="G25" s="38"/>
      <c r="H25" s="38"/>
      <c r="I25" s="38"/>
      <c r="J25" s="38"/>
      <c r="K25" s="38"/>
      <c r="L25" s="38"/>
    </row>
    <row r="26" spans="2:12" x14ac:dyDescent="0.25">
      <c r="B26" s="165"/>
      <c r="C26" s="167" t="s">
        <v>207</v>
      </c>
      <c r="D26" s="167"/>
      <c r="E26" s="168"/>
      <c r="F26" s="38"/>
      <c r="G26" s="38"/>
      <c r="H26" s="38"/>
      <c r="I26" s="38"/>
      <c r="J26" s="38"/>
      <c r="K26" s="42"/>
      <c r="L26" s="42"/>
    </row>
    <row r="27" spans="2:12" ht="14.25" customHeight="1" x14ac:dyDescent="0.25">
      <c r="B27" s="165"/>
      <c r="C27" s="156" t="s">
        <v>208</v>
      </c>
      <c r="D27" s="157"/>
      <c r="E27" s="157"/>
      <c r="F27" s="38"/>
      <c r="G27" s="38"/>
      <c r="H27" s="38"/>
      <c r="I27" s="38"/>
      <c r="J27" s="38"/>
      <c r="K27" s="42"/>
      <c r="L27" s="42"/>
    </row>
    <row r="28" spans="2:12" x14ac:dyDescent="0.25">
      <c r="B28" s="165"/>
      <c r="C28" s="156" t="s">
        <v>209</v>
      </c>
      <c r="D28" s="157"/>
      <c r="E28" s="157"/>
      <c r="F28" s="41"/>
      <c r="G28" s="41"/>
      <c r="H28" s="41"/>
      <c r="I28" s="41"/>
      <c r="J28" s="41"/>
      <c r="K28" s="43"/>
      <c r="L28" s="43"/>
    </row>
    <row r="29" spans="2:12" x14ac:dyDescent="0.25">
      <c r="B29" s="165"/>
      <c r="C29" s="160" t="s">
        <v>217</v>
      </c>
      <c r="D29" s="160"/>
      <c r="E29" s="161"/>
      <c r="F29" s="38"/>
      <c r="G29" s="38"/>
      <c r="H29" s="38"/>
      <c r="I29" s="38"/>
      <c r="J29" s="38"/>
      <c r="K29" s="42"/>
      <c r="L29" s="42"/>
    </row>
    <row r="30" spans="2:12" x14ac:dyDescent="0.25">
      <c r="B30" s="166"/>
      <c r="C30" s="156" t="s">
        <v>213</v>
      </c>
      <c r="D30" s="157"/>
      <c r="E30" s="157"/>
      <c r="F30" s="38"/>
      <c r="G30" s="38"/>
      <c r="H30" s="38"/>
      <c r="I30" s="38"/>
      <c r="J30" s="38"/>
      <c r="K30" s="42"/>
      <c r="L30" s="42"/>
    </row>
    <row r="31" spans="2:12" x14ac:dyDescent="0.25">
      <c r="B31" s="162" t="s">
        <v>214</v>
      </c>
      <c r="C31" s="163"/>
      <c r="D31" s="163"/>
      <c r="E31" s="163"/>
      <c r="F31" s="38">
        <f>+F21+F22+F25+F26+F27+F30</f>
        <v>0</v>
      </c>
      <c r="G31" s="38"/>
      <c r="H31" s="38"/>
      <c r="I31" s="38"/>
      <c r="J31" s="38"/>
      <c r="K31" s="42"/>
      <c r="L31" s="4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ht="27" customHeight="1" x14ac:dyDescent="0.25">
      <c r="A36"/>
      <c r="B36"/>
      <c r="C36"/>
      <c r="D36"/>
      <c r="E36"/>
      <c r="F36"/>
      <c r="G36"/>
    </row>
    <row r="37" spans="1:7" ht="15" customHeight="1" x14ac:dyDescent="0.25">
      <c r="A37"/>
      <c r="B37"/>
      <c r="C37"/>
      <c r="D37"/>
      <c r="E37"/>
      <c r="F37"/>
      <c r="G37"/>
    </row>
    <row r="38" spans="1:7" ht="30" customHeight="1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ht="15" customHeight="1" x14ac:dyDescent="0.25">
      <c r="A52"/>
      <c r="B52"/>
      <c r="C52"/>
      <c r="D52"/>
      <c r="E52"/>
      <c r="F52"/>
      <c r="G52"/>
    </row>
    <row r="53" spans="1:7" ht="15" customHeight="1" x14ac:dyDescent="0.25">
      <c r="A53"/>
      <c r="B53"/>
      <c r="C53"/>
      <c r="D53"/>
      <c r="E53"/>
      <c r="F53"/>
      <c r="G53"/>
    </row>
    <row r="54" spans="1:7" ht="15" customHeight="1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ht="15" customHeight="1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</sheetData>
  <mergeCells count="34">
    <mergeCell ref="A2:L2"/>
    <mergeCell ref="J5:L5"/>
    <mergeCell ref="F4:L4"/>
    <mergeCell ref="C26:E26"/>
    <mergeCell ref="C27:E27"/>
    <mergeCell ref="B20:E20"/>
    <mergeCell ref="C14:E14"/>
    <mergeCell ref="C15:E15"/>
    <mergeCell ref="C16:E16"/>
    <mergeCell ref="C17:E17"/>
    <mergeCell ref="C18:E18"/>
    <mergeCell ref="C19:E19"/>
    <mergeCell ref="B7:B19"/>
    <mergeCell ref="C7:E7"/>
    <mergeCell ref="C8:E8"/>
    <mergeCell ref="C9:E9"/>
    <mergeCell ref="C30:E30"/>
    <mergeCell ref="B31:E31"/>
    <mergeCell ref="B21:B30"/>
    <mergeCell ref="C21:E21"/>
    <mergeCell ref="C22:E22"/>
    <mergeCell ref="C23:E23"/>
    <mergeCell ref="C24:E24"/>
    <mergeCell ref="C25:E25"/>
    <mergeCell ref="C12:E12"/>
    <mergeCell ref="C13:E13"/>
    <mergeCell ref="F5:F6"/>
    <mergeCell ref="C28:E28"/>
    <mergeCell ref="C29:E29"/>
    <mergeCell ref="G5:I5"/>
    <mergeCell ref="B4:B6"/>
    <mergeCell ref="C4:E6"/>
    <mergeCell ref="C10:E10"/>
    <mergeCell ref="C11:E11"/>
  </mergeCells>
  <conditionalFormatting sqref="G5:H5 F7:L8 F26:F30 F11:F22 G10:L22 G26:L31">
    <cfRule type="cellIs" dxfId="17" priority="173" stopIfTrue="1" operator="lessThan">
      <formula>0</formula>
    </cfRule>
  </conditionalFormatting>
  <conditionalFormatting sqref="F10">
    <cfRule type="cellIs" dxfId="16" priority="155" stopIfTrue="1" operator="lessThan">
      <formula>0</formula>
    </cfRule>
  </conditionalFormatting>
  <conditionalFormatting sqref="F10">
    <cfRule type="cellIs" dxfId="15" priority="154" stopIfTrue="1" operator="lessThan">
      <formula>0</formula>
    </cfRule>
  </conditionalFormatting>
  <conditionalFormatting sqref="F31">
    <cfRule type="cellIs" dxfId="14" priority="145" stopIfTrue="1" operator="lessThan">
      <formula>0</formula>
    </cfRule>
  </conditionalFormatting>
  <conditionalFormatting sqref="F31">
    <cfRule type="cellIs" dxfId="13" priority="146" stopIfTrue="1" operator="lessThan">
      <formula>0</formula>
    </cfRule>
  </conditionalFormatting>
  <conditionalFormatting sqref="F10">
    <cfRule type="cellIs" dxfId="12" priority="133" stopIfTrue="1" operator="lessThan">
      <formula>0</formula>
    </cfRule>
  </conditionalFormatting>
  <conditionalFormatting sqref="F10">
    <cfRule type="cellIs" dxfId="11" priority="134" stopIfTrue="1" operator="lessThan">
      <formula>0</formula>
    </cfRule>
  </conditionalFormatting>
  <conditionalFormatting sqref="F31">
    <cfRule type="cellIs" dxfId="10" priority="129" stopIfTrue="1" operator="lessThan">
      <formula>0</formula>
    </cfRule>
  </conditionalFormatting>
  <conditionalFormatting sqref="F31">
    <cfRule type="cellIs" dxfId="9" priority="128" stopIfTrue="1" operator="lessThan">
      <formula>0</formula>
    </cfRule>
  </conditionalFormatting>
  <conditionalFormatting sqref="F9:L9">
    <cfRule type="cellIs" dxfId="8" priority="3" stopIfTrue="1" operator="lessThan">
      <formula>0</formula>
    </cfRule>
  </conditionalFormatting>
  <conditionalFormatting sqref="F23:L24">
    <cfRule type="cellIs" dxfId="7" priority="2" stopIfTrue="1" operator="lessThan">
      <formula>0</formula>
    </cfRule>
  </conditionalFormatting>
  <conditionalFormatting sqref="F25:L25">
    <cfRule type="cellIs" dxfId="6" priority="1" stopIfTrue="1" operator="less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66FA-5E85-4245-9C32-050E0040A58D}">
  <sheetPr>
    <tabColor rgb="FFFF0000"/>
  </sheetPr>
  <dimension ref="A1:Z52"/>
  <sheetViews>
    <sheetView showGridLines="0" zoomScale="70" zoomScaleNormal="70" workbookViewId="0"/>
  </sheetViews>
  <sheetFormatPr defaultColWidth="0" defaultRowHeight="15" zeroHeight="1" outlineLevelRow="1" x14ac:dyDescent="0.25"/>
  <cols>
    <col min="1" max="1" width="4.5703125" style="2" customWidth="1"/>
    <col min="2" max="3" width="16.28515625" style="209" customWidth="1"/>
    <col min="4" max="4" width="18.7109375" style="209" customWidth="1"/>
    <col min="5" max="5" width="10.7109375" style="209" customWidth="1"/>
    <col min="6" max="6" width="25.42578125" style="209" customWidth="1"/>
    <col min="7" max="9" width="18.85546875" style="209" customWidth="1"/>
    <col min="10" max="15" width="20.140625" style="209" customWidth="1"/>
    <col min="16" max="16" width="4.5703125" style="2" customWidth="1"/>
    <col min="17" max="18" width="20.140625" style="209" hidden="1" customWidth="1"/>
    <col min="19" max="19" width="19.5703125" style="209" hidden="1" customWidth="1"/>
    <col min="20" max="20" width="9.5703125" style="209" hidden="1" customWidth="1"/>
    <col min="21" max="21" width="8.85546875" style="209" hidden="1" customWidth="1"/>
    <col min="22" max="22" width="9.28515625" style="209" hidden="1" customWidth="1"/>
    <col min="23" max="23" width="20.140625" style="209" hidden="1" customWidth="1"/>
    <col min="24" max="26" width="0" style="209" hidden="1" customWidth="1"/>
    <col min="27" max="16384" width="16.28515625" style="209" hidden="1"/>
  </cols>
  <sheetData>
    <row r="1" spans="1:26" ht="15.75" thickBot="1" x14ac:dyDescent="0.3">
      <c r="A1" s="3"/>
      <c r="P1" s="3"/>
    </row>
    <row r="2" spans="1:26" ht="38.25" customHeight="1" thickBot="1" x14ac:dyDescent="0.3">
      <c r="A2" s="3"/>
      <c r="B2" s="206" t="s">
        <v>382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  <c r="P2" s="3"/>
    </row>
    <row r="3" spans="1:26" s="204" customFormat="1" ht="18" customHeight="1" x14ac:dyDescent="0.25">
      <c r="A3" s="3"/>
      <c r="B3" s="210"/>
      <c r="P3" s="3"/>
      <c r="T3" s="3"/>
    </row>
    <row r="4" spans="1:26" x14ac:dyDescent="0.25">
      <c r="A4" s="3"/>
      <c r="B4" s="285" t="s">
        <v>215</v>
      </c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3"/>
      <c r="T4" s="66"/>
      <c r="U4" s="66"/>
      <c r="V4" s="66"/>
      <c r="W4" s="66"/>
      <c r="X4" s="66"/>
      <c r="Y4" s="66"/>
      <c r="Z4" s="66"/>
    </row>
    <row r="5" spans="1:26" ht="15" customHeight="1" x14ac:dyDescent="0.25">
      <c r="A5" s="3"/>
      <c r="B5" s="286"/>
      <c r="C5" s="286"/>
      <c r="D5" s="286"/>
      <c r="E5" s="286"/>
      <c r="F5" s="215" t="s">
        <v>331</v>
      </c>
      <c r="G5" s="216"/>
      <c r="H5" s="216"/>
      <c r="I5" s="216"/>
      <c r="J5" s="216"/>
      <c r="K5" s="216"/>
      <c r="L5" s="216"/>
      <c r="M5" s="216"/>
      <c r="N5" s="216"/>
      <c r="O5" s="217"/>
    </row>
    <row r="6" spans="1:26" ht="28.5" customHeight="1" x14ac:dyDescent="0.25">
      <c r="A6" s="3"/>
      <c r="B6" s="286"/>
      <c r="C6" s="286"/>
      <c r="D6" s="286"/>
      <c r="E6" s="286"/>
      <c r="F6" s="214" t="s">
        <v>433</v>
      </c>
      <c r="G6" s="214"/>
      <c r="H6" s="214"/>
      <c r="I6" s="214"/>
      <c r="J6" s="214" t="s">
        <v>434</v>
      </c>
      <c r="K6" s="214"/>
      <c r="L6" s="214"/>
      <c r="M6" s="214" t="s">
        <v>437</v>
      </c>
      <c r="N6" s="214"/>
      <c r="O6" s="214"/>
    </row>
    <row r="7" spans="1:26" ht="49.5" customHeight="1" x14ac:dyDescent="0.25">
      <c r="A7" s="3"/>
      <c r="B7" s="286"/>
      <c r="C7" s="286"/>
      <c r="D7" s="286"/>
      <c r="E7" s="286"/>
      <c r="F7" s="287" t="s">
        <v>381</v>
      </c>
      <c r="G7" s="287" t="s">
        <v>321</v>
      </c>
      <c r="H7" s="287" t="s">
        <v>330</v>
      </c>
      <c r="I7" s="287" t="s">
        <v>377</v>
      </c>
      <c r="J7" s="287" t="s">
        <v>322</v>
      </c>
      <c r="K7" s="287" t="s">
        <v>329</v>
      </c>
      <c r="L7" s="287" t="s">
        <v>373</v>
      </c>
      <c r="M7" s="287" t="s">
        <v>323</v>
      </c>
      <c r="N7" s="287" t="s">
        <v>328</v>
      </c>
      <c r="O7" s="287" t="s">
        <v>374</v>
      </c>
    </row>
    <row r="8" spans="1:26" ht="22.5" customHeight="1" x14ac:dyDescent="0.25">
      <c r="A8" s="3"/>
      <c r="B8" s="286"/>
      <c r="C8" s="286"/>
      <c r="D8" s="286"/>
      <c r="E8" s="286"/>
      <c r="F8" s="288" t="s">
        <v>392</v>
      </c>
      <c r="G8" s="288" t="s">
        <v>393</v>
      </c>
      <c r="H8" s="288" t="s">
        <v>394</v>
      </c>
      <c r="I8" s="288" t="s">
        <v>395</v>
      </c>
      <c r="J8" s="288" t="s">
        <v>396</v>
      </c>
      <c r="K8" s="288" t="s">
        <v>397</v>
      </c>
      <c r="L8" s="288" t="s">
        <v>398</v>
      </c>
      <c r="M8" s="288" t="s">
        <v>399</v>
      </c>
      <c r="N8" s="288" t="s">
        <v>400</v>
      </c>
      <c r="O8" s="288" t="s">
        <v>401</v>
      </c>
    </row>
    <row r="9" spans="1:26" outlineLevel="1" x14ac:dyDescent="0.25">
      <c r="A9" s="3"/>
      <c r="B9" s="214" t="s">
        <v>324</v>
      </c>
      <c r="C9" s="214"/>
      <c r="D9" s="214"/>
      <c r="E9" s="289" t="s">
        <v>392</v>
      </c>
      <c r="F9" s="69">
        <f>+F10+F11+F12+F15+F19+F20+F21+F23</f>
        <v>0</v>
      </c>
      <c r="G9" s="49">
        <f>+G10+G11+G12+G15+G19+G20+G21+G23</f>
        <v>0</v>
      </c>
      <c r="H9" s="49">
        <f>+H10+H11+H12+H15+H19+H20+H21+H23</f>
        <v>0</v>
      </c>
      <c r="I9" s="49">
        <f t="shared" ref="I9:K9" si="0">+I10+I11+I12+I15+I19+I20+I21+I23</f>
        <v>0</v>
      </c>
      <c r="J9" s="49">
        <f t="shared" si="0"/>
        <v>0</v>
      </c>
      <c r="K9" s="49">
        <f t="shared" si="0"/>
        <v>0</v>
      </c>
      <c r="L9" s="49">
        <f>+IL10+L11+L12+L15+L19+L20+L21+L23</f>
        <v>0</v>
      </c>
      <c r="M9" s="49">
        <f>+M10+M11+M12+M15+M19+M20+M21+M23</f>
        <v>0</v>
      </c>
      <c r="N9" s="49">
        <f>+N10+N11+N12+N15+N19+N20+N21+N23</f>
        <v>0</v>
      </c>
      <c r="O9" s="49">
        <f>+O10+O11+O12+O15+O19+O20+O21+O23</f>
        <v>0</v>
      </c>
    </row>
    <row r="10" spans="1:26" outlineLevel="1" x14ac:dyDescent="0.25">
      <c r="A10" s="3"/>
      <c r="B10" s="290" t="s">
        <v>352</v>
      </c>
      <c r="C10" s="290"/>
      <c r="D10" s="290"/>
      <c r="E10" s="289" t="s">
        <v>393</v>
      </c>
      <c r="F10" s="63"/>
      <c r="G10" s="63"/>
      <c r="H10" s="63"/>
      <c r="I10" s="63"/>
      <c r="J10" s="63"/>
      <c r="K10" s="63"/>
      <c r="L10" s="63"/>
      <c r="M10" s="291"/>
      <c r="N10" s="291"/>
      <c r="O10" s="291"/>
    </row>
    <row r="11" spans="1:26" outlineLevel="1" x14ac:dyDescent="0.25">
      <c r="A11" s="3"/>
      <c r="B11" s="292" t="s">
        <v>364</v>
      </c>
      <c r="C11" s="292"/>
      <c r="D11" s="292"/>
      <c r="E11" s="289" t="s">
        <v>394</v>
      </c>
      <c r="F11" s="63"/>
      <c r="G11" s="63"/>
      <c r="H11" s="63"/>
      <c r="I11" s="63"/>
      <c r="J11" s="63"/>
      <c r="K11" s="63"/>
      <c r="L11" s="63"/>
      <c r="M11" s="291"/>
      <c r="N11" s="291"/>
      <c r="O11" s="291"/>
    </row>
    <row r="12" spans="1:26" ht="15" customHeight="1" outlineLevel="1" x14ac:dyDescent="0.25">
      <c r="A12" s="3"/>
      <c r="B12" s="292" t="s">
        <v>2</v>
      </c>
      <c r="C12" s="292"/>
      <c r="D12" s="292"/>
      <c r="E12" s="289" t="s">
        <v>395</v>
      </c>
      <c r="F12" s="63"/>
      <c r="G12" s="63"/>
      <c r="H12" s="63"/>
      <c r="I12" s="63"/>
      <c r="J12" s="63"/>
      <c r="K12" s="63"/>
      <c r="L12" s="63"/>
      <c r="M12" s="291"/>
      <c r="N12" s="291"/>
      <c r="O12" s="291"/>
    </row>
    <row r="13" spans="1:26" outlineLevel="1" x14ac:dyDescent="0.25">
      <c r="A13" s="3"/>
      <c r="B13" s="293" t="s">
        <v>386</v>
      </c>
      <c r="C13" s="293"/>
      <c r="D13" s="293"/>
      <c r="E13" s="289" t="s">
        <v>396</v>
      </c>
      <c r="F13" s="63"/>
      <c r="G13" s="63"/>
      <c r="H13" s="63"/>
      <c r="I13" s="63"/>
      <c r="J13" s="63"/>
      <c r="K13" s="63"/>
      <c r="L13" s="63"/>
      <c r="M13" s="294"/>
      <c r="N13" s="294"/>
      <c r="O13" s="294"/>
    </row>
    <row r="14" spans="1:26" outlineLevel="1" x14ac:dyDescent="0.25">
      <c r="A14" s="3"/>
      <c r="B14" s="293" t="s">
        <v>387</v>
      </c>
      <c r="C14" s="293"/>
      <c r="D14" s="293"/>
      <c r="E14" s="289" t="s">
        <v>397</v>
      </c>
      <c r="F14" s="63"/>
      <c r="G14" s="63"/>
      <c r="H14" s="63"/>
      <c r="I14" s="63"/>
      <c r="J14" s="63"/>
      <c r="K14" s="63"/>
      <c r="L14" s="63"/>
      <c r="M14" s="294"/>
      <c r="N14" s="294"/>
      <c r="O14" s="294"/>
    </row>
    <row r="15" spans="1:26" outlineLevel="1" x14ac:dyDescent="0.25">
      <c r="A15" s="3"/>
      <c r="B15" s="293" t="s">
        <v>1</v>
      </c>
      <c r="C15" s="293"/>
      <c r="D15" s="293"/>
      <c r="E15" s="289" t="s">
        <v>398</v>
      </c>
      <c r="F15" s="63"/>
      <c r="G15" s="63"/>
      <c r="H15" s="63"/>
      <c r="I15" s="63"/>
      <c r="J15" s="63"/>
      <c r="K15" s="63"/>
      <c r="L15" s="63"/>
      <c r="M15" s="291"/>
      <c r="N15" s="291"/>
      <c r="O15" s="291"/>
    </row>
    <row r="16" spans="1:26" outlineLevel="1" x14ac:dyDescent="0.25">
      <c r="A16" s="3"/>
      <c r="B16" s="189" t="s">
        <v>390</v>
      </c>
      <c r="C16" s="295"/>
      <c r="D16" s="295"/>
      <c r="E16" s="289" t="s">
        <v>399</v>
      </c>
      <c r="F16" s="63"/>
      <c r="G16" s="63"/>
      <c r="H16" s="63"/>
      <c r="I16" s="63"/>
      <c r="J16" s="63"/>
      <c r="K16" s="63"/>
      <c r="L16" s="63"/>
      <c r="M16" s="291"/>
      <c r="N16" s="291"/>
      <c r="O16" s="291"/>
    </row>
    <row r="17" spans="1:16" outlineLevel="1" x14ac:dyDescent="0.25">
      <c r="A17" s="3"/>
      <c r="B17" s="189" t="s">
        <v>351</v>
      </c>
      <c r="C17" s="295"/>
      <c r="D17" s="295"/>
      <c r="E17" s="289" t="s">
        <v>400</v>
      </c>
      <c r="F17" s="63"/>
      <c r="G17" s="63"/>
      <c r="H17" s="63"/>
      <c r="I17" s="63"/>
      <c r="J17" s="63"/>
      <c r="K17" s="63"/>
      <c r="L17" s="63"/>
      <c r="M17" s="291"/>
      <c r="N17" s="291"/>
      <c r="O17" s="291"/>
    </row>
    <row r="18" spans="1:16" outlineLevel="1" x14ac:dyDescent="0.25">
      <c r="A18" s="3"/>
      <c r="B18" s="189" t="s">
        <v>206</v>
      </c>
      <c r="C18" s="295"/>
      <c r="D18" s="295"/>
      <c r="E18" s="289" t="s">
        <v>401</v>
      </c>
      <c r="F18" s="63"/>
      <c r="G18" s="63"/>
      <c r="H18" s="63"/>
      <c r="I18" s="63"/>
      <c r="J18" s="63"/>
      <c r="K18" s="63"/>
      <c r="L18" s="63"/>
      <c r="M18" s="291"/>
      <c r="N18" s="291"/>
      <c r="O18" s="291"/>
    </row>
    <row r="19" spans="1:16" outlineLevel="1" x14ac:dyDescent="0.25">
      <c r="A19" s="3"/>
      <c r="B19" s="293" t="s">
        <v>207</v>
      </c>
      <c r="C19" s="293"/>
      <c r="D19" s="293"/>
      <c r="E19" s="289" t="s">
        <v>402</v>
      </c>
      <c r="F19" s="67"/>
      <c r="G19" s="67"/>
      <c r="H19" s="67"/>
      <c r="I19" s="67"/>
      <c r="J19" s="67"/>
      <c r="K19" s="67"/>
      <c r="L19" s="67"/>
      <c r="M19" s="291"/>
      <c r="N19" s="291"/>
      <c r="O19" s="291"/>
    </row>
    <row r="20" spans="1:16" outlineLevel="1" x14ac:dyDescent="0.25">
      <c r="A20" s="3"/>
      <c r="B20" s="293" t="s">
        <v>208</v>
      </c>
      <c r="C20" s="293"/>
      <c r="D20" s="293"/>
      <c r="E20" s="289" t="s">
        <v>403</v>
      </c>
      <c r="F20" s="67"/>
      <c r="G20" s="67"/>
      <c r="H20" s="67"/>
      <c r="I20" s="67"/>
      <c r="J20" s="67"/>
      <c r="K20" s="67"/>
      <c r="L20" s="67"/>
      <c r="M20" s="291"/>
      <c r="N20" s="291"/>
      <c r="O20" s="291"/>
    </row>
    <row r="21" spans="1:16" outlineLevel="1" x14ac:dyDescent="0.25">
      <c r="A21" s="3"/>
      <c r="B21" s="293" t="s">
        <v>209</v>
      </c>
      <c r="C21" s="293"/>
      <c r="D21" s="293"/>
      <c r="E21" s="289" t="s">
        <v>404</v>
      </c>
      <c r="F21" s="63"/>
      <c r="G21" s="63"/>
      <c r="H21" s="63"/>
      <c r="I21" s="63"/>
      <c r="J21" s="63"/>
      <c r="K21" s="63"/>
      <c r="L21" s="63"/>
      <c r="M21" s="291"/>
      <c r="N21" s="291"/>
      <c r="O21" s="291"/>
    </row>
    <row r="22" spans="1:16" outlineLevel="1" x14ac:dyDescent="0.25">
      <c r="A22" s="3"/>
      <c r="B22" s="295" t="s">
        <v>216</v>
      </c>
      <c r="C22" s="295"/>
      <c r="D22" s="295"/>
      <c r="E22" s="289" t="s">
        <v>405</v>
      </c>
      <c r="F22" s="63"/>
      <c r="G22" s="63"/>
      <c r="H22" s="63"/>
      <c r="I22" s="63"/>
      <c r="J22" s="63"/>
      <c r="K22" s="63"/>
      <c r="L22" s="63"/>
      <c r="M22" s="291"/>
      <c r="N22" s="291"/>
      <c r="O22" s="291"/>
    </row>
    <row r="23" spans="1:16" outlineLevel="1" x14ac:dyDescent="0.25">
      <c r="A23" s="3"/>
      <c r="B23" s="293" t="s">
        <v>210</v>
      </c>
      <c r="C23" s="293"/>
      <c r="D23" s="293"/>
      <c r="E23" s="289" t="s">
        <v>406</v>
      </c>
      <c r="F23" s="296"/>
      <c r="G23" s="296"/>
      <c r="H23" s="296"/>
      <c r="I23" s="296"/>
      <c r="J23" s="296"/>
      <c r="K23" s="296"/>
      <c r="L23" s="296"/>
      <c r="M23" s="291"/>
      <c r="N23" s="291"/>
      <c r="O23" s="291"/>
    </row>
    <row r="24" spans="1:16" ht="15" customHeight="1" outlineLevel="1" x14ac:dyDescent="0.25">
      <c r="A24" s="3"/>
      <c r="B24" s="214" t="s">
        <v>325</v>
      </c>
      <c r="C24" s="214"/>
      <c r="D24" s="214"/>
      <c r="E24" s="289" t="s">
        <v>407</v>
      </c>
      <c r="F24" s="69">
        <f>+F25+F26+F27+F2+F29+F30+F31+F32+F34</f>
        <v>0</v>
      </c>
      <c r="G24" s="69">
        <f>+G25+G26+G27+G2+G29+G30+G31+G32+G34</f>
        <v>0</v>
      </c>
      <c r="H24" s="69">
        <f t="shared" ref="H24:O24" si="1">+H25+H26+H27+H29+H30+H31+H32+H34</f>
        <v>0</v>
      </c>
      <c r="I24" s="69">
        <f t="shared" si="1"/>
        <v>0</v>
      </c>
      <c r="J24" s="69">
        <f t="shared" si="1"/>
        <v>0</v>
      </c>
      <c r="K24" s="69">
        <f t="shared" si="1"/>
        <v>0</v>
      </c>
      <c r="L24" s="69">
        <f t="shared" si="1"/>
        <v>0</v>
      </c>
      <c r="M24" s="69">
        <f t="shared" si="1"/>
        <v>0</v>
      </c>
      <c r="N24" s="69">
        <f t="shared" si="1"/>
        <v>0</v>
      </c>
      <c r="O24" s="69">
        <f t="shared" si="1"/>
        <v>0</v>
      </c>
    </row>
    <row r="25" spans="1:16" outlineLevel="1" x14ac:dyDescent="0.25">
      <c r="A25" s="3"/>
      <c r="B25" s="293" t="s">
        <v>352</v>
      </c>
      <c r="C25" s="293"/>
      <c r="D25" s="293"/>
      <c r="E25" s="289" t="s">
        <v>408</v>
      </c>
      <c r="F25" s="63"/>
      <c r="G25" s="63"/>
      <c r="H25" s="63"/>
      <c r="I25" s="63"/>
      <c r="J25" s="63"/>
      <c r="K25" s="63"/>
      <c r="L25" s="63"/>
      <c r="M25" s="291"/>
      <c r="N25" s="291"/>
      <c r="O25" s="291"/>
    </row>
    <row r="26" spans="1:16" outlineLevel="1" x14ac:dyDescent="0.25">
      <c r="A26" s="3"/>
      <c r="B26" s="293" t="s">
        <v>366</v>
      </c>
      <c r="C26" s="293"/>
      <c r="D26" s="293"/>
      <c r="E26" s="289" t="s">
        <v>409</v>
      </c>
      <c r="F26" s="63"/>
      <c r="G26" s="63"/>
      <c r="H26" s="63"/>
      <c r="I26" s="63"/>
      <c r="J26" s="63"/>
      <c r="K26" s="63"/>
      <c r="L26" s="63"/>
      <c r="M26" s="291"/>
      <c r="N26" s="291"/>
      <c r="O26" s="291"/>
    </row>
    <row r="27" spans="1:16" outlineLevel="1" x14ac:dyDescent="0.25">
      <c r="A27" s="3"/>
      <c r="B27" s="292" t="s">
        <v>212</v>
      </c>
      <c r="C27" s="292"/>
      <c r="D27" s="292"/>
      <c r="E27" s="289" t="s">
        <v>410</v>
      </c>
      <c r="F27" s="63"/>
      <c r="G27" s="63"/>
      <c r="H27" s="63"/>
      <c r="I27" s="63"/>
      <c r="J27" s="63"/>
      <c r="K27" s="63"/>
      <c r="L27" s="63"/>
      <c r="M27" s="291"/>
      <c r="N27" s="291"/>
      <c r="O27" s="291"/>
      <c r="P27" s="16"/>
    </row>
    <row r="28" spans="1:16" outlineLevel="1" x14ac:dyDescent="0.25">
      <c r="B28" s="297" t="s">
        <v>388</v>
      </c>
      <c r="C28" s="297"/>
      <c r="D28" s="297"/>
      <c r="E28" s="289" t="s">
        <v>411</v>
      </c>
      <c r="F28" s="63"/>
      <c r="G28" s="63"/>
      <c r="H28" s="63"/>
      <c r="I28" s="63"/>
      <c r="J28" s="63"/>
      <c r="K28" s="63"/>
      <c r="L28" s="63"/>
      <c r="M28" s="294"/>
      <c r="N28" s="294"/>
      <c r="O28" s="294"/>
    </row>
    <row r="29" spans="1:16" outlineLevel="1" x14ac:dyDescent="0.25">
      <c r="B29" s="293" t="s">
        <v>4</v>
      </c>
      <c r="C29" s="293"/>
      <c r="D29" s="293"/>
      <c r="E29" s="289" t="s">
        <v>412</v>
      </c>
      <c r="F29" s="63"/>
      <c r="G29" s="63"/>
      <c r="H29" s="63"/>
      <c r="I29" s="63"/>
      <c r="J29" s="63"/>
      <c r="K29" s="63"/>
      <c r="L29" s="63"/>
      <c r="M29" s="291"/>
      <c r="N29" s="291"/>
      <c r="O29" s="291"/>
    </row>
    <row r="30" spans="1:16" outlineLevel="1" x14ac:dyDescent="0.25">
      <c r="B30" s="293" t="s">
        <v>207</v>
      </c>
      <c r="C30" s="293"/>
      <c r="D30" s="293"/>
      <c r="E30" s="289" t="s">
        <v>413</v>
      </c>
      <c r="F30" s="63"/>
      <c r="G30" s="63"/>
      <c r="H30" s="63"/>
      <c r="I30" s="63"/>
      <c r="J30" s="63"/>
      <c r="K30" s="63"/>
      <c r="L30" s="63"/>
      <c r="M30" s="291"/>
      <c r="N30" s="291"/>
      <c r="O30" s="291"/>
    </row>
    <row r="31" spans="1:16" outlineLevel="1" x14ac:dyDescent="0.25">
      <c r="B31" s="293" t="s">
        <v>208</v>
      </c>
      <c r="C31" s="293"/>
      <c r="D31" s="293"/>
      <c r="E31" s="289" t="s">
        <v>414</v>
      </c>
      <c r="F31" s="63"/>
      <c r="G31" s="63"/>
      <c r="H31" s="63"/>
      <c r="I31" s="63"/>
      <c r="J31" s="63"/>
      <c r="K31" s="63"/>
      <c r="L31" s="63"/>
      <c r="M31" s="291"/>
      <c r="N31" s="291"/>
      <c r="O31" s="291"/>
    </row>
    <row r="32" spans="1:16" outlineLevel="1" x14ac:dyDescent="0.25">
      <c r="B32" s="293" t="s">
        <v>209</v>
      </c>
      <c r="C32" s="293"/>
      <c r="D32" s="293"/>
      <c r="E32" s="289" t="s">
        <v>415</v>
      </c>
      <c r="F32" s="63"/>
      <c r="G32" s="63"/>
      <c r="H32" s="63"/>
      <c r="I32" s="63"/>
      <c r="J32" s="63"/>
      <c r="K32" s="63"/>
      <c r="L32" s="63"/>
      <c r="M32" s="291"/>
      <c r="N32" s="291"/>
      <c r="O32" s="291"/>
    </row>
    <row r="33" spans="2:15" outlineLevel="1" x14ac:dyDescent="0.25">
      <c r="B33" s="293" t="s">
        <v>389</v>
      </c>
      <c r="C33" s="293"/>
      <c r="D33" s="293"/>
      <c r="E33" s="289" t="s">
        <v>416</v>
      </c>
      <c r="F33" s="63"/>
      <c r="G33" s="63"/>
      <c r="H33" s="63"/>
      <c r="I33" s="63"/>
      <c r="J33" s="63"/>
      <c r="K33" s="63"/>
      <c r="L33" s="63"/>
      <c r="M33" s="291"/>
      <c r="N33" s="291"/>
      <c r="O33" s="291"/>
    </row>
    <row r="34" spans="2:15" outlineLevel="1" x14ac:dyDescent="0.25">
      <c r="B34" s="293" t="s">
        <v>213</v>
      </c>
      <c r="C34" s="293"/>
      <c r="D34" s="293"/>
      <c r="E34" s="289" t="s">
        <v>417</v>
      </c>
      <c r="F34" s="63"/>
      <c r="G34" s="63"/>
      <c r="H34" s="63"/>
      <c r="I34" s="63"/>
      <c r="J34" s="63"/>
      <c r="K34" s="63"/>
      <c r="L34" s="63"/>
      <c r="M34" s="291"/>
      <c r="N34" s="291"/>
      <c r="O34" s="291"/>
    </row>
    <row r="35" spans="2:15" ht="25.5" customHeight="1" x14ac:dyDescent="0.25">
      <c r="B35" s="215" t="s">
        <v>326</v>
      </c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7"/>
    </row>
    <row r="36" spans="2:15" ht="15" customHeight="1" x14ac:dyDescent="0.25">
      <c r="B36" s="293" t="s">
        <v>365</v>
      </c>
      <c r="C36" s="293"/>
      <c r="D36" s="293"/>
      <c r="E36" s="289" t="s">
        <v>418</v>
      </c>
      <c r="F36" s="298"/>
      <c r="G36" s="299"/>
      <c r="H36" s="299"/>
      <c r="I36" s="299"/>
      <c r="J36" s="291"/>
      <c r="K36" s="291"/>
      <c r="L36" s="291"/>
      <c r="M36" s="294"/>
      <c r="N36" s="294"/>
      <c r="O36" s="294"/>
    </row>
    <row r="37" spans="2:15" ht="15" customHeight="1" x14ac:dyDescent="0.25">
      <c r="B37" s="293" t="s">
        <v>435</v>
      </c>
      <c r="C37" s="293"/>
      <c r="D37" s="293"/>
      <c r="E37" s="289" t="s">
        <v>419</v>
      </c>
      <c r="F37" s="298"/>
      <c r="G37" s="299"/>
      <c r="H37" s="299"/>
      <c r="I37" s="299"/>
      <c r="J37" s="291"/>
      <c r="K37" s="291"/>
      <c r="L37" s="291"/>
      <c r="M37" s="294"/>
      <c r="N37" s="294"/>
      <c r="O37" s="294"/>
    </row>
    <row r="38" spans="2:15" ht="15" customHeight="1" x14ac:dyDescent="0.25">
      <c r="B38" s="293" t="s">
        <v>436</v>
      </c>
      <c r="C38" s="293"/>
      <c r="D38" s="293"/>
      <c r="E38" s="289" t="s">
        <v>420</v>
      </c>
      <c r="F38" s="298"/>
      <c r="G38" s="299"/>
      <c r="H38" s="299"/>
      <c r="I38" s="299"/>
      <c r="J38" s="291"/>
      <c r="K38" s="291"/>
      <c r="L38" s="291"/>
      <c r="M38" s="294"/>
      <c r="N38" s="294"/>
      <c r="O38" s="294"/>
    </row>
    <row r="39" spans="2:15" x14ac:dyDescent="0.25">
      <c r="B39" s="300" t="s">
        <v>542</v>
      </c>
      <c r="C39" s="300"/>
      <c r="D39" s="300"/>
      <c r="E39" s="289" t="s">
        <v>440</v>
      </c>
      <c r="F39" s="301"/>
      <c r="G39" s="299"/>
      <c r="H39" s="299"/>
      <c r="I39" s="299"/>
      <c r="J39" s="291"/>
      <c r="K39" s="291"/>
      <c r="L39" s="291"/>
      <c r="M39" s="294"/>
      <c r="N39" s="294"/>
      <c r="O39" s="294"/>
    </row>
    <row r="40" spans="2:15" hidden="1" x14ac:dyDescent="0.25">
      <c r="B40" s="300"/>
      <c r="C40" s="300"/>
      <c r="D40" s="300"/>
      <c r="E40" s="289" t="s">
        <v>441</v>
      </c>
      <c r="F40" s="301"/>
      <c r="G40" s="299"/>
      <c r="H40" s="299"/>
      <c r="I40" s="299"/>
      <c r="J40" s="291"/>
      <c r="K40" s="291"/>
      <c r="L40" s="291"/>
      <c r="M40" s="294"/>
      <c r="N40" s="294"/>
      <c r="O40" s="294"/>
    </row>
    <row r="41" spans="2:15" hidden="1" x14ac:dyDescent="0.25">
      <c r="B41" s="300"/>
      <c r="C41" s="300"/>
      <c r="D41" s="300"/>
      <c r="E41" s="289" t="s">
        <v>442</v>
      </c>
      <c r="F41" s="301"/>
      <c r="G41" s="299"/>
      <c r="H41" s="299"/>
      <c r="I41" s="299"/>
      <c r="J41" s="291"/>
      <c r="K41" s="291"/>
      <c r="L41" s="291"/>
      <c r="M41" s="294"/>
      <c r="N41" s="294"/>
      <c r="O41" s="294"/>
    </row>
    <row r="42" spans="2:15" x14ac:dyDescent="0.25">
      <c r="B42" s="300" t="s">
        <v>543</v>
      </c>
      <c r="C42" s="300"/>
      <c r="D42" s="300"/>
      <c r="E42" s="289" t="s">
        <v>441</v>
      </c>
      <c r="F42" s="301"/>
      <c r="G42" s="299"/>
      <c r="H42" s="299"/>
      <c r="I42" s="299"/>
      <c r="J42" s="291"/>
      <c r="K42" s="291"/>
      <c r="L42" s="291"/>
      <c r="M42" s="294"/>
      <c r="N42" s="294"/>
      <c r="O42" s="294"/>
    </row>
    <row r="43" spans="2:15" x14ac:dyDescent="0.25"/>
    <row r="44" spans="2:15" hidden="1" x14ac:dyDescent="0.25">
      <c r="B44" s="68"/>
    </row>
    <row r="45" spans="2:15" x14ac:dyDescent="0.25"/>
    <row r="46" spans="2:15" x14ac:dyDescent="0.25"/>
    <row r="47" spans="2:15" x14ac:dyDescent="0.25"/>
    <row r="48" spans="2:15" x14ac:dyDescent="0.25"/>
    <row r="52" x14ac:dyDescent="0.25"/>
  </sheetData>
  <mergeCells count="37">
    <mergeCell ref="B37:D37"/>
    <mergeCell ref="B38:D38"/>
    <mergeCell ref="B32:D32"/>
    <mergeCell ref="B33:D33"/>
    <mergeCell ref="B34:D34"/>
    <mergeCell ref="B36:D36"/>
    <mergeCell ref="B35:O35"/>
    <mergeCell ref="B31:D31"/>
    <mergeCell ref="B28:D28"/>
    <mergeCell ref="B17:D17"/>
    <mergeCell ref="B18:D18"/>
    <mergeCell ref="B20:D20"/>
    <mergeCell ref="B19:D19"/>
    <mergeCell ref="B21:D21"/>
    <mergeCell ref="B22:D22"/>
    <mergeCell ref="B25:D25"/>
    <mergeCell ref="B26:D26"/>
    <mergeCell ref="B27:D27"/>
    <mergeCell ref="B29:D29"/>
    <mergeCell ref="B30:D30"/>
    <mergeCell ref="B9:D9"/>
    <mergeCell ref="B24:D24"/>
    <mergeCell ref="B10:D10"/>
    <mergeCell ref="B11:D11"/>
    <mergeCell ref="B12:D12"/>
    <mergeCell ref="B13:D13"/>
    <mergeCell ref="B14:D14"/>
    <mergeCell ref="B15:D15"/>
    <mergeCell ref="B16:D16"/>
    <mergeCell ref="B23:D23"/>
    <mergeCell ref="B5:E8"/>
    <mergeCell ref="B2:O2"/>
    <mergeCell ref="J6:L6"/>
    <mergeCell ref="M6:O6"/>
    <mergeCell ref="B4:O4"/>
    <mergeCell ref="F6:I6"/>
    <mergeCell ref="F5:O5"/>
  </mergeCells>
  <phoneticPr fontId="32" type="noConversion"/>
  <conditionalFormatting sqref="G10:L22 G25:L34">
    <cfRule type="cellIs" dxfId="5" priority="9" stopIfTrue="1" operator="lessThan">
      <formula>0</formula>
    </cfRule>
  </conditionalFormatting>
  <conditionalFormatting sqref="G9:O9">
    <cfRule type="cellIs" dxfId="4" priority="3" stopIfTrue="1" operator="lessThan">
      <formula>0</formula>
    </cfRule>
  </conditionalFormatting>
  <conditionalFormatting sqref="F10:F22">
    <cfRule type="cellIs" dxfId="3" priority="2" stopIfTrue="1" operator="lessThan">
      <formula>0</formula>
    </cfRule>
  </conditionalFormatting>
  <conditionalFormatting sqref="F25:F34">
    <cfRule type="cellIs" dxfId="2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C12A-C37D-4669-A973-AF1AAD1035A8}">
  <sheetPr>
    <tabColor rgb="FFFF0000"/>
    <outlinePr summaryBelow="0" summaryRight="0"/>
    <pageSetUpPr fitToPage="1"/>
  </sheetPr>
  <dimension ref="A1:R33"/>
  <sheetViews>
    <sheetView showGridLines="0" zoomScale="85" zoomScaleNormal="85" workbookViewId="0">
      <pane xSplit="2" ySplit="7" topLeftCell="C14" activePane="bottomRight" state="frozen"/>
      <selection pane="topRight" activeCell="C1" sqref="C1"/>
      <selection pane="bottomLeft" activeCell="A5" sqref="A5"/>
      <selection pane="bottomRight" activeCell="D14" sqref="D14"/>
    </sheetView>
  </sheetViews>
  <sheetFormatPr defaultColWidth="8.7109375" defaultRowHeight="15" outlineLevelRow="2" x14ac:dyDescent="0.25"/>
  <cols>
    <col min="1" max="1" width="3.5703125" style="1" customWidth="1"/>
    <col min="2" max="2" width="44.85546875" style="1" customWidth="1" collapsed="1"/>
    <col min="3" max="7" width="19.42578125" style="1" customWidth="1" collapsed="1"/>
    <col min="8" max="10" width="19.42578125" style="1" customWidth="1"/>
    <col min="11" max="11" width="19.42578125" style="58" customWidth="1"/>
    <col min="12" max="12" width="19.42578125" style="1" customWidth="1"/>
    <col min="13" max="15" width="19.42578125" style="1" customWidth="1" collapsed="1"/>
    <col min="16" max="16384" width="8.7109375" style="1"/>
  </cols>
  <sheetData>
    <row r="1" spans="1:15" ht="15.75" thickBot="1" x14ac:dyDescent="0.3"/>
    <row r="2" spans="1:15" ht="38.25" customHeight="1" thickBot="1" x14ac:dyDescent="0.3">
      <c r="A2" s="190" t="s">
        <v>220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2"/>
    </row>
    <row r="3" spans="1:15" customFormat="1" x14ac:dyDescent="0.25"/>
    <row r="4" spans="1:15" ht="68.25" x14ac:dyDescent="0.25">
      <c r="C4" s="47" t="s">
        <v>320</v>
      </c>
      <c r="D4" s="198" t="s">
        <v>319</v>
      </c>
      <c r="E4" s="198"/>
      <c r="F4" s="198"/>
      <c r="G4" s="198"/>
      <c r="H4" s="47"/>
      <c r="I4" s="47"/>
      <c r="J4" s="47"/>
      <c r="K4" s="57"/>
      <c r="L4" s="47"/>
      <c r="M4" s="198"/>
      <c r="N4" s="198"/>
      <c r="O4" s="198"/>
    </row>
    <row r="5" spans="1:15" x14ac:dyDescent="0.25">
      <c r="C5" s="46" t="s">
        <v>318</v>
      </c>
      <c r="D5" s="46" t="s">
        <v>317</v>
      </c>
      <c r="E5" s="195" t="s">
        <v>316</v>
      </c>
      <c r="F5" s="196"/>
      <c r="G5" s="197"/>
      <c r="H5" s="195" t="s">
        <v>315</v>
      </c>
      <c r="I5" s="196"/>
      <c r="J5" s="196"/>
      <c r="K5" s="196"/>
      <c r="L5" s="197"/>
      <c r="M5" s="195" t="s">
        <v>193</v>
      </c>
      <c r="N5" s="196"/>
      <c r="O5" s="197"/>
    </row>
    <row r="6" spans="1:15" ht="60" x14ac:dyDescent="0.25">
      <c r="C6" s="45"/>
      <c r="D6" s="45"/>
      <c r="E6" s="65" t="s">
        <v>314</v>
      </c>
      <c r="F6" s="65" t="s">
        <v>313</v>
      </c>
      <c r="G6" s="54" t="s">
        <v>312</v>
      </c>
      <c r="H6" s="54" t="s">
        <v>311</v>
      </c>
      <c r="I6" s="55" t="s">
        <v>310</v>
      </c>
      <c r="J6" s="55" t="s">
        <v>333</v>
      </c>
      <c r="K6" s="56" t="s">
        <v>309</v>
      </c>
      <c r="L6" s="54" t="s">
        <v>353</v>
      </c>
      <c r="M6" s="54" t="s">
        <v>195</v>
      </c>
      <c r="N6" s="65" t="s">
        <v>308</v>
      </c>
      <c r="O6" s="65" t="s">
        <v>307</v>
      </c>
    </row>
    <row r="7" spans="1:15" x14ac:dyDescent="0.25">
      <c r="B7" s="193" t="s">
        <v>306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</row>
    <row r="8" spans="1:15" ht="33.75" outlineLevel="1" x14ac:dyDescent="0.25">
      <c r="B8" s="62" t="s">
        <v>305</v>
      </c>
      <c r="C8" s="50" t="s">
        <v>304</v>
      </c>
      <c r="D8" s="50" t="s">
        <v>303</v>
      </c>
      <c r="E8" s="50" t="s">
        <v>300</v>
      </c>
      <c r="F8" s="50" t="s">
        <v>299</v>
      </c>
      <c r="G8" s="50" t="s">
        <v>298</v>
      </c>
      <c r="H8" s="50" t="s">
        <v>302</v>
      </c>
      <c r="I8" s="50" t="s">
        <v>301</v>
      </c>
      <c r="J8" s="50"/>
      <c r="K8" s="50"/>
      <c r="L8" s="50"/>
      <c r="M8" s="50" t="s">
        <v>300</v>
      </c>
      <c r="N8" s="50" t="s">
        <v>299</v>
      </c>
      <c r="O8" s="50" t="s">
        <v>298</v>
      </c>
    </row>
    <row r="9" spans="1:15" ht="22.5" outlineLevel="1" x14ac:dyDescent="0.25">
      <c r="B9" s="59" t="s">
        <v>297</v>
      </c>
      <c r="C9" s="50" t="s">
        <v>296</v>
      </c>
      <c r="D9" s="50" t="s">
        <v>295</v>
      </c>
      <c r="E9" s="50" t="s">
        <v>294</v>
      </c>
      <c r="F9" s="50" t="s">
        <v>293</v>
      </c>
      <c r="G9" s="50" t="s">
        <v>292</v>
      </c>
      <c r="H9" s="50"/>
      <c r="I9" s="50"/>
      <c r="J9" s="50"/>
      <c r="K9" s="50"/>
      <c r="L9" s="50"/>
      <c r="M9" s="50" t="s">
        <v>294</v>
      </c>
      <c r="N9" s="50" t="s">
        <v>293</v>
      </c>
      <c r="O9" s="50" t="s">
        <v>292</v>
      </c>
    </row>
    <row r="10" spans="1:15" ht="22.5" outlineLevel="1" x14ac:dyDescent="0.25">
      <c r="B10" s="60" t="s">
        <v>291</v>
      </c>
      <c r="C10" s="50" t="s">
        <v>290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2.5" outlineLevel="1" x14ac:dyDescent="0.25">
      <c r="B11" s="60" t="s">
        <v>289</v>
      </c>
      <c r="C11" s="50" t="s">
        <v>288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2.5" outlineLevel="1" x14ac:dyDescent="0.25">
      <c r="B12" s="60" t="s">
        <v>287</v>
      </c>
      <c r="C12" s="50" t="s">
        <v>286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2.5" outlineLevel="1" x14ac:dyDescent="0.25">
      <c r="B13" s="60" t="s">
        <v>285</v>
      </c>
      <c r="C13" s="50" t="s">
        <v>284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33.75" outlineLevel="2" x14ac:dyDescent="0.25">
      <c r="B14" s="53" t="s">
        <v>1</v>
      </c>
      <c r="C14" s="64" t="s">
        <v>283</v>
      </c>
      <c r="D14" s="64" t="s">
        <v>282</v>
      </c>
      <c r="E14" s="64" t="s">
        <v>281</v>
      </c>
      <c r="F14" s="64" t="s">
        <v>280</v>
      </c>
      <c r="G14" s="64" t="s">
        <v>279</v>
      </c>
      <c r="H14" s="64"/>
      <c r="I14" s="50"/>
      <c r="J14" s="50"/>
      <c r="K14" s="64"/>
      <c r="L14" s="64"/>
      <c r="M14" s="64" t="s">
        <v>281</v>
      </c>
      <c r="N14" s="64" t="s">
        <v>280</v>
      </c>
      <c r="O14" s="64" t="s">
        <v>279</v>
      </c>
    </row>
    <row r="15" spans="1:15" ht="33.75" outlineLevel="2" x14ac:dyDescent="0.25">
      <c r="B15" s="52" t="s">
        <v>268</v>
      </c>
      <c r="C15" s="64" t="s">
        <v>278</v>
      </c>
      <c r="D15" s="64"/>
      <c r="E15" s="64"/>
      <c r="F15" s="64"/>
      <c r="G15" s="64"/>
      <c r="H15" s="64"/>
      <c r="I15" s="50"/>
      <c r="J15" s="50"/>
      <c r="K15" s="64"/>
      <c r="L15" s="64"/>
      <c r="M15" s="64"/>
      <c r="N15" s="64"/>
      <c r="O15" s="64"/>
    </row>
    <row r="16" spans="1:15" ht="33.75" outlineLevel="2" x14ac:dyDescent="0.25">
      <c r="B16" s="52" t="s">
        <v>266</v>
      </c>
      <c r="C16" s="64" t="s">
        <v>277</v>
      </c>
      <c r="D16" s="64"/>
      <c r="E16" s="64"/>
      <c r="F16" s="64"/>
      <c r="G16" s="64"/>
      <c r="H16" s="64"/>
      <c r="I16" s="50"/>
      <c r="J16" s="50"/>
      <c r="K16" s="64"/>
      <c r="L16" s="64"/>
      <c r="M16" s="64"/>
      <c r="N16" s="64"/>
      <c r="O16" s="64"/>
    </row>
    <row r="17" spans="1:18" ht="33.75" outlineLevel="2" x14ac:dyDescent="0.25">
      <c r="B17" s="52" t="s">
        <v>264</v>
      </c>
      <c r="C17" s="64" t="s">
        <v>276</v>
      </c>
      <c r="D17" s="64"/>
      <c r="E17" s="64"/>
      <c r="F17" s="64"/>
      <c r="G17" s="64"/>
      <c r="H17" s="64"/>
      <c r="I17" s="50"/>
      <c r="J17" s="50"/>
      <c r="K17" s="64"/>
      <c r="L17" s="64"/>
      <c r="M17" s="64"/>
      <c r="N17" s="64"/>
      <c r="O17" s="64"/>
    </row>
    <row r="18" spans="1:18" ht="33.75" outlineLevel="2" x14ac:dyDescent="0.25">
      <c r="B18" s="52" t="s">
        <v>262</v>
      </c>
      <c r="C18" s="64" t="s">
        <v>275</v>
      </c>
      <c r="D18" s="64"/>
      <c r="E18" s="64"/>
      <c r="F18" s="64"/>
      <c r="G18" s="64"/>
      <c r="H18" s="64"/>
      <c r="I18" s="50"/>
      <c r="J18" s="50"/>
      <c r="K18" s="64"/>
      <c r="L18" s="64"/>
      <c r="M18" s="64"/>
      <c r="N18" s="64"/>
      <c r="O18" s="64"/>
    </row>
    <row r="19" spans="1:18" ht="33.75" outlineLevel="2" x14ac:dyDescent="0.25">
      <c r="B19" s="52" t="s">
        <v>260</v>
      </c>
      <c r="C19" s="64" t="s">
        <v>274</v>
      </c>
      <c r="D19" s="64"/>
      <c r="E19" s="64"/>
      <c r="F19" s="64"/>
      <c r="G19" s="64"/>
      <c r="H19" s="64"/>
      <c r="I19" s="50"/>
      <c r="J19" s="50"/>
      <c r="K19" s="64"/>
      <c r="L19" s="64"/>
      <c r="M19" s="64"/>
      <c r="N19" s="64"/>
      <c r="O19" s="64"/>
    </row>
    <row r="20" spans="1:18" ht="33.75" outlineLevel="2" x14ac:dyDescent="0.25">
      <c r="A20" s="48"/>
      <c r="B20" s="59" t="s">
        <v>2</v>
      </c>
      <c r="C20" s="50" t="s">
        <v>273</v>
      </c>
      <c r="D20" s="50" t="s">
        <v>272</v>
      </c>
      <c r="E20" s="51" t="s">
        <v>271</v>
      </c>
      <c r="F20" s="50" t="s">
        <v>270</v>
      </c>
      <c r="G20" s="50" t="s">
        <v>269</v>
      </c>
      <c r="H20" s="50"/>
      <c r="I20" s="50"/>
      <c r="J20" s="50"/>
      <c r="K20" s="50"/>
      <c r="L20" s="50"/>
      <c r="M20" s="51" t="s">
        <v>271</v>
      </c>
      <c r="N20" s="50" t="s">
        <v>270</v>
      </c>
      <c r="O20" s="50" t="s">
        <v>269</v>
      </c>
      <c r="Q20" s="37"/>
      <c r="R20" s="1" t="s">
        <v>199</v>
      </c>
    </row>
    <row r="21" spans="1:18" ht="33.75" outlineLevel="2" x14ac:dyDescent="0.25">
      <c r="A21" s="48"/>
      <c r="B21" s="60" t="s">
        <v>268</v>
      </c>
      <c r="C21" s="50" t="s">
        <v>267</v>
      </c>
      <c r="D21" s="50"/>
      <c r="E21" s="51"/>
      <c r="F21" s="50"/>
      <c r="G21" s="50"/>
      <c r="H21" s="50"/>
      <c r="I21" s="50"/>
      <c r="J21" s="50"/>
      <c r="K21" s="50"/>
      <c r="L21" s="50"/>
      <c r="M21" s="51"/>
      <c r="N21" s="50"/>
      <c r="O21" s="50"/>
      <c r="Q21" s="39"/>
      <c r="R21" s="1" t="s">
        <v>200</v>
      </c>
    </row>
    <row r="22" spans="1:18" ht="33.75" outlineLevel="2" x14ac:dyDescent="0.25">
      <c r="A22" s="48"/>
      <c r="B22" s="60" t="s">
        <v>266</v>
      </c>
      <c r="C22" s="50" t="s">
        <v>265</v>
      </c>
      <c r="D22" s="50"/>
      <c r="E22" s="51"/>
      <c r="F22" s="50"/>
      <c r="G22" s="50"/>
      <c r="H22" s="50"/>
      <c r="I22" s="50"/>
      <c r="J22" s="50"/>
      <c r="K22" s="50"/>
      <c r="L22" s="50"/>
      <c r="M22" s="51"/>
      <c r="N22" s="50"/>
      <c r="O22" s="50"/>
      <c r="Q22" s="40"/>
      <c r="R22" s="1" t="s">
        <v>202</v>
      </c>
    </row>
    <row r="23" spans="1:18" ht="33.75" outlineLevel="2" x14ac:dyDescent="0.25">
      <c r="A23" s="48"/>
      <c r="B23" s="60" t="s">
        <v>264</v>
      </c>
      <c r="C23" s="50" t="s">
        <v>263</v>
      </c>
      <c r="D23" s="50"/>
      <c r="E23" s="51"/>
      <c r="F23" s="50"/>
      <c r="G23" s="50"/>
      <c r="H23" s="50"/>
      <c r="I23" s="50"/>
      <c r="J23" s="50"/>
      <c r="K23" s="50"/>
      <c r="L23" s="50"/>
      <c r="M23" s="51"/>
      <c r="N23" s="50"/>
      <c r="O23" s="50"/>
    </row>
    <row r="24" spans="1:18" ht="33.75" outlineLevel="2" x14ac:dyDescent="0.25">
      <c r="A24" s="48"/>
      <c r="B24" s="60" t="s">
        <v>262</v>
      </c>
      <c r="C24" s="50" t="s">
        <v>261</v>
      </c>
      <c r="D24" s="50"/>
      <c r="E24" s="51"/>
      <c r="F24" s="50"/>
      <c r="G24" s="50"/>
      <c r="H24" s="50"/>
      <c r="I24" s="50"/>
      <c r="J24" s="50"/>
      <c r="K24" s="50"/>
      <c r="L24" s="50"/>
      <c r="M24" s="51"/>
      <c r="N24" s="50"/>
      <c r="O24" s="50"/>
    </row>
    <row r="25" spans="1:18" ht="33.75" outlineLevel="2" x14ac:dyDescent="0.25">
      <c r="A25" s="48"/>
      <c r="B25" s="60" t="s">
        <v>260</v>
      </c>
      <c r="C25" s="50" t="s">
        <v>259</v>
      </c>
      <c r="D25" s="50"/>
      <c r="E25" s="51"/>
      <c r="F25" s="50"/>
      <c r="G25" s="50"/>
      <c r="H25" s="50"/>
      <c r="I25" s="50"/>
      <c r="J25" s="50"/>
      <c r="K25" s="50"/>
      <c r="L25" s="50"/>
      <c r="M25" s="51"/>
      <c r="N25" s="50"/>
      <c r="O25" s="50"/>
    </row>
    <row r="26" spans="1:18" ht="33.75" outlineLevel="2" x14ac:dyDescent="0.25">
      <c r="A26" s="48"/>
      <c r="B26" s="61" t="s">
        <v>258</v>
      </c>
      <c r="C26" s="50" t="s">
        <v>257</v>
      </c>
      <c r="D26" s="50"/>
      <c r="E26" s="51"/>
      <c r="F26" s="50"/>
      <c r="G26" s="50"/>
      <c r="H26" s="50"/>
      <c r="I26" s="50"/>
      <c r="J26" s="50"/>
      <c r="K26" s="50"/>
      <c r="L26" s="50"/>
      <c r="M26" s="51"/>
      <c r="N26" s="50"/>
      <c r="O26" s="50"/>
    </row>
    <row r="27" spans="1:18" ht="33.75" outlineLevel="2" x14ac:dyDescent="0.25">
      <c r="A27" s="48"/>
      <c r="B27" s="60" t="s">
        <v>256</v>
      </c>
      <c r="C27" s="50" t="s">
        <v>255</v>
      </c>
      <c r="D27" s="50"/>
      <c r="E27" s="51"/>
      <c r="F27" s="50"/>
      <c r="G27" s="50"/>
      <c r="H27" s="50"/>
      <c r="I27" s="50"/>
      <c r="J27" s="50"/>
      <c r="K27" s="50"/>
      <c r="L27" s="50"/>
      <c r="M27" s="51"/>
      <c r="N27" s="50"/>
      <c r="O27" s="50"/>
    </row>
    <row r="28" spans="1:18" x14ac:dyDescent="0.25">
      <c r="B28" s="194" t="s">
        <v>254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</row>
    <row r="29" spans="1:18" ht="30" outlineLevel="1" x14ac:dyDescent="0.25">
      <c r="B29" s="62" t="s">
        <v>253</v>
      </c>
      <c r="C29" s="50" t="s">
        <v>252</v>
      </c>
      <c r="D29" s="50" t="s">
        <v>251</v>
      </c>
      <c r="E29" s="50" t="s">
        <v>248</v>
      </c>
      <c r="F29" s="50" t="s">
        <v>247</v>
      </c>
      <c r="G29" s="50" t="s">
        <v>246</v>
      </c>
      <c r="H29" s="50" t="s">
        <v>250</v>
      </c>
      <c r="I29" s="50" t="s">
        <v>249</v>
      </c>
      <c r="J29" s="50"/>
      <c r="K29" s="50"/>
      <c r="L29" s="50"/>
      <c r="M29" s="50" t="s">
        <v>248</v>
      </c>
      <c r="N29" s="50" t="s">
        <v>247</v>
      </c>
      <c r="O29" s="50" t="s">
        <v>246</v>
      </c>
    </row>
    <row r="30" spans="1:18" ht="22.5" outlineLevel="2" x14ac:dyDescent="0.25">
      <c r="B30" s="59" t="s">
        <v>212</v>
      </c>
      <c r="C30" s="50" t="s">
        <v>245</v>
      </c>
      <c r="D30" s="50" t="s">
        <v>244</v>
      </c>
      <c r="E30" s="50" t="s">
        <v>243</v>
      </c>
      <c r="F30" s="50" t="s">
        <v>242</v>
      </c>
      <c r="G30" s="50" t="s">
        <v>241</v>
      </c>
      <c r="H30" s="50"/>
      <c r="I30" s="50"/>
      <c r="J30" s="50"/>
      <c r="K30" s="50"/>
      <c r="L30" s="50"/>
      <c r="M30" s="50" t="s">
        <v>243</v>
      </c>
      <c r="N30" s="50" t="s">
        <v>242</v>
      </c>
      <c r="O30" s="50" t="s">
        <v>241</v>
      </c>
    </row>
    <row r="31" spans="1:18" outlineLevel="2" x14ac:dyDescent="0.25">
      <c r="B31" s="59" t="s">
        <v>332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1:18" ht="22.5" outlineLevel="2" x14ac:dyDescent="0.25">
      <c r="B32" s="59" t="s">
        <v>4</v>
      </c>
      <c r="C32" s="50" t="s">
        <v>240</v>
      </c>
      <c r="D32" s="50" t="s">
        <v>239</v>
      </c>
      <c r="E32" s="50" t="s">
        <v>238</v>
      </c>
      <c r="F32" s="50" t="s">
        <v>237</v>
      </c>
      <c r="G32" s="50" t="s">
        <v>236</v>
      </c>
      <c r="H32" s="50"/>
      <c r="I32" s="50"/>
      <c r="J32" s="50"/>
      <c r="K32" s="50"/>
      <c r="L32" s="50"/>
      <c r="M32" s="50" t="s">
        <v>238</v>
      </c>
      <c r="N32" s="50" t="s">
        <v>237</v>
      </c>
      <c r="O32" s="50" t="s">
        <v>236</v>
      </c>
    </row>
    <row r="33" spans="2:15" ht="22.5" outlineLevel="2" x14ac:dyDescent="0.25">
      <c r="B33" s="59" t="s">
        <v>235</v>
      </c>
      <c r="C33" s="50" t="s">
        <v>234</v>
      </c>
      <c r="D33" s="50" t="s">
        <v>233</v>
      </c>
      <c r="E33" s="50" t="s">
        <v>232</v>
      </c>
      <c r="F33" s="50" t="s">
        <v>231</v>
      </c>
      <c r="G33" s="50" t="s">
        <v>230</v>
      </c>
      <c r="H33" s="50"/>
      <c r="I33" s="50"/>
      <c r="J33" s="50"/>
      <c r="K33" s="50"/>
      <c r="L33" s="50"/>
      <c r="M33" s="50" t="s">
        <v>232</v>
      </c>
      <c r="N33" s="50" t="s">
        <v>231</v>
      </c>
      <c r="O33" s="50" t="s">
        <v>230</v>
      </c>
    </row>
  </sheetData>
  <mergeCells count="8">
    <mergeCell ref="A2:O2"/>
    <mergeCell ref="B7:O7"/>
    <mergeCell ref="B28:O28"/>
    <mergeCell ref="E5:G5"/>
    <mergeCell ref="D4:G4"/>
    <mergeCell ref="M4:O4"/>
    <mergeCell ref="M5:O5"/>
    <mergeCell ref="H5:L5"/>
  </mergeCells>
  <pageMargins left="0.7" right="0.7" top="0.75" bottom="0.75" header="0.3" footer="0.3"/>
  <pageSetup paperSize="9" scale="60" orientation="landscape" r:id="rId1"/>
  <headerFooter>
    <oddHeader>&amp;L&amp;"Calibri"&amp;12&amp;K000000 EBA Regular Use&amp;1#_x000D_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93CB-BD33-4CAB-8C93-7F709A89132F}">
  <sheetPr>
    <tabColor rgb="FFFF0000"/>
    <outlinePr summaryBelow="0" summaryRight="0"/>
    <pageSetUpPr fitToPage="1"/>
  </sheetPr>
  <dimension ref="A1:V40"/>
  <sheetViews>
    <sheetView showGridLines="0" zoomScale="85" zoomScaleNormal="85" workbookViewId="0"/>
  </sheetViews>
  <sheetFormatPr defaultColWidth="0" defaultRowHeight="15" zeroHeight="1" x14ac:dyDescent="0.25"/>
  <cols>
    <col min="1" max="1" width="4.5703125" style="2" customWidth="1"/>
    <col min="2" max="2" width="11" style="204" customWidth="1"/>
    <col min="3" max="3" width="25.85546875" style="204" bestFit="1" customWidth="1" collapsed="1"/>
    <col min="4" max="4" width="7.28515625" style="204" customWidth="1"/>
    <col min="5" max="6" width="18.42578125" style="204" customWidth="1" collapsed="1"/>
    <col min="7" max="9" width="18.42578125" style="204" customWidth="1"/>
    <col min="10" max="10" width="16.5703125" style="204" bestFit="1" customWidth="1"/>
    <col min="11" max="11" width="18.42578125" style="204" customWidth="1"/>
    <col min="12" max="12" width="26.85546875" style="204" customWidth="1"/>
    <col min="13" max="13" width="22.7109375" style="204" customWidth="1"/>
    <col min="14" max="14" width="9.140625" style="205" customWidth="1"/>
    <col min="15" max="15" width="19.42578125" style="204" hidden="1" customWidth="1"/>
    <col min="16" max="18" width="19.42578125" style="204" hidden="1" customWidth="1" collapsed="1"/>
    <col min="19" max="16384" width="8.7109375" style="204" hidden="1"/>
  </cols>
  <sheetData>
    <row r="1" spans="1:22" ht="15.75" thickBot="1" x14ac:dyDescent="0.3">
      <c r="A1" s="3"/>
    </row>
    <row r="2" spans="1:22" ht="38.25" customHeight="1" thickBot="1" x14ac:dyDescent="0.3">
      <c r="A2" s="3"/>
      <c r="B2" s="206" t="s">
        <v>383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8"/>
      <c r="N2" s="209"/>
    </row>
    <row r="3" spans="1:22" ht="18" customHeight="1" x14ac:dyDescent="0.25">
      <c r="A3" s="3"/>
      <c r="B3" s="210"/>
      <c r="N3" s="204"/>
      <c r="R3" s="3"/>
      <c r="V3" s="3"/>
    </row>
    <row r="4" spans="1:22" ht="18" customHeight="1" x14ac:dyDescent="0.25">
      <c r="A4" s="3"/>
      <c r="B4" s="211" t="s">
        <v>391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3"/>
      <c r="N4" s="209"/>
      <c r="R4" s="3"/>
      <c r="V4" s="3"/>
    </row>
    <row r="5" spans="1:22" ht="33.6" customHeight="1" x14ac:dyDescent="0.25">
      <c r="A5" s="3"/>
      <c r="B5" s="209"/>
      <c r="C5" s="209"/>
      <c r="D5" s="209"/>
      <c r="E5" s="214" t="s">
        <v>318</v>
      </c>
      <c r="F5" s="214" t="s">
        <v>189</v>
      </c>
      <c r="G5" s="215" t="s">
        <v>539</v>
      </c>
      <c r="H5" s="216"/>
      <c r="I5" s="216"/>
      <c r="J5" s="217"/>
      <c r="K5" s="214" t="s">
        <v>540</v>
      </c>
      <c r="L5" s="214"/>
      <c r="M5" s="209"/>
      <c r="N5" s="218"/>
    </row>
    <row r="6" spans="1:22" ht="30" customHeight="1" x14ac:dyDescent="0.25">
      <c r="A6" s="3"/>
      <c r="B6" s="209"/>
      <c r="C6" s="209"/>
      <c r="D6" s="209"/>
      <c r="E6" s="214"/>
      <c r="F6" s="214"/>
      <c r="G6" s="219" t="s">
        <v>529</v>
      </c>
      <c r="H6" s="220"/>
      <c r="I6" s="220"/>
      <c r="J6" s="221"/>
      <c r="K6" s="222" t="s">
        <v>376</v>
      </c>
      <c r="L6" s="222" t="s">
        <v>541</v>
      </c>
      <c r="M6" s="356" t="s">
        <v>538</v>
      </c>
    </row>
    <row r="7" spans="1:22" ht="66" customHeight="1" x14ac:dyDescent="0.25">
      <c r="A7" s="3"/>
      <c r="B7" s="209"/>
      <c r="C7" s="209"/>
      <c r="D7" s="209"/>
      <c r="E7" s="214"/>
      <c r="F7" s="214"/>
      <c r="G7" s="223"/>
      <c r="H7" s="224" t="s">
        <v>536</v>
      </c>
      <c r="I7" s="224" t="s">
        <v>537</v>
      </c>
      <c r="J7" s="225" t="s">
        <v>530</v>
      </c>
      <c r="K7" s="222"/>
      <c r="L7" s="222"/>
      <c r="M7" s="357"/>
    </row>
    <row r="8" spans="1:22" x14ac:dyDescent="0.25">
      <c r="A8" s="3"/>
      <c r="B8" s="209"/>
      <c r="C8" s="209"/>
      <c r="D8" s="209"/>
      <c r="E8" s="227" t="s">
        <v>392</v>
      </c>
      <c r="F8" s="227" t="s">
        <v>393</v>
      </c>
      <c r="G8" s="227" t="s">
        <v>394</v>
      </c>
      <c r="H8" s="227" t="s">
        <v>395</v>
      </c>
      <c r="I8" s="227" t="s">
        <v>396</v>
      </c>
      <c r="J8" s="227" t="s">
        <v>397</v>
      </c>
      <c r="K8" s="227" t="s">
        <v>398</v>
      </c>
      <c r="L8" s="228" t="s">
        <v>399</v>
      </c>
      <c r="M8" s="228" t="s">
        <v>400</v>
      </c>
    </row>
    <row r="9" spans="1:22" x14ac:dyDescent="0.25">
      <c r="A9" s="3"/>
      <c r="B9" s="209"/>
      <c r="C9" s="229" t="s">
        <v>549</v>
      </c>
      <c r="D9" s="230" t="s">
        <v>392</v>
      </c>
      <c r="E9" s="236"/>
      <c r="F9" s="236"/>
      <c r="G9" s="236"/>
      <c r="H9" s="236"/>
      <c r="I9" s="236"/>
      <c r="J9" s="236"/>
      <c r="K9" s="236"/>
      <c r="L9" s="236"/>
      <c r="M9" s="226">
        <f>M10-M14</f>
        <v>0</v>
      </c>
    </row>
    <row r="10" spans="1:22" x14ac:dyDescent="0.25">
      <c r="A10" s="3"/>
      <c r="B10" s="209"/>
      <c r="C10" s="229" t="s">
        <v>455</v>
      </c>
      <c r="D10" s="230" t="s">
        <v>393</v>
      </c>
      <c r="E10" s="69">
        <f>E11+E12+E13</f>
        <v>0</v>
      </c>
      <c r="F10" s="69">
        <f t="shared" ref="F10:J10" si="0">F11+F12+F13</f>
        <v>0</v>
      </c>
      <c r="G10" s="69">
        <f t="shared" si="0"/>
        <v>0</v>
      </c>
      <c r="H10" s="69">
        <f t="shared" si="0"/>
        <v>0</v>
      </c>
      <c r="I10" s="69">
        <f t="shared" si="0"/>
        <v>0</v>
      </c>
      <c r="J10" s="69">
        <f t="shared" si="0"/>
        <v>0</v>
      </c>
      <c r="K10" s="231"/>
      <c r="L10" s="231"/>
      <c r="M10" s="232">
        <f>SUM(M11:M13)</f>
        <v>0</v>
      </c>
    </row>
    <row r="11" spans="1:22" x14ac:dyDescent="0.25">
      <c r="A11" s="3"/>
      <c r="B11" s="209"/>
      <c r="C11" s="233" t="s">
        <v>525</v>
      </c>
      <c r="D11" s="230" t="s">
        <v>394</v>
      </c>
      <c r="E11" s="234"/>
      <c r="F11" s="231"/>
      <c r="G11" s="231"/>
      <c r="H11" s="231"/>
      <c r="I11" s="231"/>
      <c r="J11" s="235"/>
      <c r="K11" s="236"/>
      <c r="L11" s="236"/>
      <c r="M11" s="232">
        <f>MIN(0,F11-E11+I11+J11)</f>
        <v>0</v>
      </c>
    </row>
    <row r="12" spans="1:22" x14ac:dyDescent="0.25">
      <c r="A12" s="3"/>
      <c r="B12" s="209"/>
      <c r="C12" s="233" t="s">
        <v>2</v>
      </c>
      <c r="D12" s="230" t="s">
        <v>395</v>
      </c>
      <c r="E12" s="237"/>
      <c r="F12" s="238"/>
      <c r="G12" s="238"/>
      <c r="H12" s="238"/>
      <c r="I12" s="238"/>
      <c r="J12" s="238"/>
      <c r="K12" s="239"/>
      <c r="L12" s="239"/>
      <c r="M12" s="232">
        <f t="shared" ref="M12:M13" si="1">MIN(0,F12-E12+I12+J12)</f>
        <v>0</v>
      </c>
    </row>
    <row r="13" spans="1:22" x14ac:dyDescent="0.25">
      <c r="A13" s="3"/>
      <c r="B13" s="209"/>
      <c r="C13" s="233" t="s">
        <v>210</v>
      </c>
      <c r="D13" s="230" t="s">
        <v>396</v>
      </c>
      <c r="E13" s="237"/>
      <c r="F13" s="238"/>
      <c r="G13" s="238"/>
      <c r="H13" s="238"/>
      <c r="I13" s="238"/>
      <c r="J13" s="238"/>
      <c r="K13" s="239"/>
      <c r="L13" s="239"/>
      <c r="M13" s="232">
        <f t="shared" si="1"/>
        <v>0</v>
      </c>
    </row>
    <row r="14" spans="1:22" x14ac:dyDescent="0.25">
      <c r="A14" s="3"/>
      <c r="B14" s="209"/>
      <c r="C14" s="229" t="s">
        <v>456</v>
      </c>
      <c r="D14" s="230" t="s">
        <v>397</v>
      </c>
      <c r="E14" s="69">
        <f>E15+E16+E17</f>
        <v>0</v>
      </c>
      <c r="F14" s="69">
        <f t="shared" ref="F14:J14" si="2">F15+F16+F17</f>
        <v>0</v>
      </c>
      <c r="G14" s="69">
        <f t="shared" si="2"/>
        <v>0</v>
      </c>
      <c r="H14" s="69">
        <f t="shared" si="2"/>
        <v>0</v>
      </c>
      <c r="I14" s="69">
        <f t="shared" si="2"/>
        <v>0</v>
      </c>
      <c r="J14" s="69">
        <f t="shared" si="2"/>
        <v>0</v>
      </c>
      <c r="K14" s="231"/>
      <c r="L14" s="231"/>
      <c r="M14" s="232">
        <f>SUM(M15:M17)</f>
        <v>0</v>
      </c>
    </row>
    <row r="15" spans="1:22" x14ac:dyDescent="0.25">
      <c r="A15" s="3"/>
      <c r="B15" s="209"/>
      <c r="C15" s="240" t="s">
        <v>212</v>
      </c>
      <c r="D15" s="230" t="s">
        <v>398</v>
      </c>
      <c r="E15" s="231"/>
      <c r="F15" s="231"/>
      <c r="G15" s="231"/>
      <c r="H15" s="231"/>
      <c r="I15" s="231"/>
      <c r="J15" s="231"/>
      <c r="K15" s="231"/>
      <c r="L15" s="241"/>
      <c r="M15" s="232">
        <f>MIN(0,F15-E15+I15+J15)</f>
        <v>0</v>
      </c>
    </row>
    <row r="16" spans="1:22" x14ac:dyDescent="0.25">
      <c r="A16" s="3"/>
      <c r="B16" s="209"/>
      <c r="C16" s="240" t="s">
        <v>367</v>
      </c>
      <c r="D16" s="230" t="s">
        <v>399</v>
      </c>
      <c r="E16" s="231"/>
      <c r="F16" s="231"/>
      <c r="G16" s="231"/>
      <c r="H16" s="231"/>
      <c r="I16" s="231"/>
      <c r="J16" s="231"/>
      <c r="K16" s="241"/>
      <c r="L16" s="241"/>
      <c r="M16" s="232">
        <f>MIN(0,F16-E16+I16+J16)</f>
        <v>0</v>
      </c>
    </row>
    <row r="17" spans="1:18" x14ac:dyDescent="0.25">
      <c r="A17" s="3"/>
      <c r="B17" s="209"/>
      <c r="C17" s="240" t="s">
        <v>235</v>
      </c>
      <c r="D17" s="230" t="s">
        <v>400</v>
      </c>
      <c r="E17" s="231"/>
      <c r="F17" s="231"/>
      <c r="G17" s="231"/>
      <c r="H17" s="231"/>
      <c r="I17" s="231"/>
      <c r="J17" s="231"/>
      <c r="K17" s="241"/>
      <c r="L17" s="241"/>
      <c r="M17" s="232">
        <f>MIN(0,F17-E17+I17+J17)</f>
        <v>0</v>
      </c>
      <c r="N17" s="204"/>
    </row>
    <row r="18" spans="1:18" s="209" customFormat="1" x14ac:dyDescent="0.25">
      <c r="A18" s="2"/>
      <c r="R18" s="2"/>
    </row>
    <row r="19" spans="1:18" hidden="1" x14ac:dyDescent="0.25">
      <c r="A19" s="3"/>
      <c r="N19" s="204"/>
    </row>
    <row r="20" spans="1:18" hidden="1" x14ac:dyDescent="0.25">
      <c r="A20" s="3"/>
      <c r="N20" s="204"/>
    </row>
    <row r="21" spans="1:18" hidden="1" x14ac:dyDescent="0.25">
      <c r="A21" s="3"/>
      <c r="N21" s="204"/>
    </row>
    <row r="22" spans="1:18" hidden="1" x14ac:dyDescent="0.25">
      <c r="A22" s="3"/>
      <c r="N22" s="204"/>
    </row>
    <row r="23" spans="1:18" hidden="1" x14ac:dyDescent="0.25">
      <c r="A23" s="3"/>
      <c r="N23" s="204"/>
    </row>
    <row r="24" spans="1:18" hidden="1" x14ac:dyDescent="0.25">
      <c r="A24" s="3"/>
      <c r="N24" s="204"/>
    </row>
    <row r="25" spans="1:18" hidden="1" x14ac:dyDescent="0.25">
      <c r="A25" s="3"/>
      <c r="N25" s="204"/>
    </row>
    <row r="26" spans="1:18" hidden="1" x14ac:dyDescent="0.25">
      <c r="A26" s="3"/>
      <c r="N26" s="204"/>
    </row>
    <row r="27" spans="1:18" hidden="1" x14ac:dyDescent="0.25">
      <c r="A27" s="3"/>
      <c r="N27" s="204"/>
    </row>
    <row r="28" spans="1:18" hidden="1" x14ac:dyDescent="0.25">
      <c r="A28" s="3"/>
      <c r="B28" s="242"/>
      <c r="N28" s="204"/>
    </row>
    <row r="29" spans="1:18" hidden="1" x14ac:dyDescent="0.25">
      <c r="A29" s="3"/>
      <c r="B29" s="242"/>
    </row>
    <row r="30" spans="1:18" hidden="1" x14ac:dyDescent="0.25">
      <c r="A30" s="3"/>
      <c r="B30" s="242"/>
    </row>
    <row r="31" spans="1:18" hidden="1" x14ac:dyDescent="0.25">
      <c r="B31" s="242"/>
    </row>
    <row r="32" spans="1:18" hidden="1" x14ac:dyDescent="0.25">
      <c r="B32" s="242"/>
    </row>
    <row r="33" spans="2:2" hidden="1" x14ac:dyDescent="0.25">
      <c r="B33" s="242"/>
    </row>
    <row r="34" spans="2:2" hidden="1" x14ac:dyDescent="0.25">
      <c r="B34" s="242"/>
    </row>
    <row r="35" spans="2:2" hidden="1" x14ac:dyDescent="0.25">
      <c r="B35" s="242"/>
    </row>
    <row r="36" spans="2:2" hidden="1" x14ac:dyDescent="0.25">
      <c r="B36" s="242"/>
    </row>
    <row r="37" spans="2:2" hidden="1" x14ac:dyDescent="0.25">
      <c r="B37" s="242"/>
    </row>
    <row r="38" spans="2:2" x14ac:dyDescent="0.25"/>
    <row r="39" spans="2:2" x14ac:dyDescent="0.25"/>
    <row r="40" spans="2:2" x14ac:dyDescent="0.25"/>
  </sheetData>
  <mergeCells count="10">
    <mergeCell ref="E5:E7"/>
    <mergeCell ref="G5:J5"/>
    <mergeCell ref="B2:M2"/>
    <mergeCell ref="B4:M4"/>
    <mergeCell ref="K5:L5"/>
    <mergeCell ref="G6:J6"/>
    <mergeCell ref="F5:F7"/>
    <mergeCell ref="L6:L7"/>
    <mergeCell ref="K6:K7"/>
    <mergeCell ref="M6:M7"/>
  </mergeCells>
  <phoneticPr fontId="32" type="noConversion"/>
  <pageMargins left="0.7" right="0.7" top="0.75" bottom="0.75" header="0.3" footer="0.3"/>
  <pageSetup paperSize="9" scale="60" orientation="landscape" r:id="rId1"/>
  <headerFooter>
    <oddHeader>&amp;L&amp;"Calibri"&amp;12&amp;K000000 EBA Regular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4FA0-AE1F-4718-B92C-599B633FE53C}">
  <sheetPr>
    <tabColor rgb="FFFF0000"/>
  </sheetPr>
  <dimension ref="A1:T52"/>
  <sheetViews>
    <sheetView showGridLines="0" zoomScale="85" zoomScaleNormal="85" workbookViewId="0"/>
  </sheetViews>
  <sheetFormatPr defaultColWidth="0" defaultRowHeight="15" zeroHeight="1" x14ac:dyDescent="0.25"/>
  <cols>
    <col min="1" max="1" width="4.5703125" style="2" customWidth="1"/>
    <col min="2" max="2" width="13.42578125" style="204" customWidth="1"/>
    <col min="3" max="3" width="66.140625" style="318" customWidth="1"/>
    <col min="4" max="4" width="7.85546875" style="318" customWidth="1"/>
    <col min="5" max="5" width="29.5703125" style="318" customWidth="1"/>
    <col min="6" max="6" width="4.5703125" style="2" customWidth="1"/>
    <col min="7" max="14" width="0" style="209" hidden="1" customWidth="1"/>
    <col min="15" max="16384" width="9.140625" style="209" hidden="1"/>
  </cols>
  <sheetData>
    <row r="1" spans="1:20" ht="15.75" thickBot="1" x14ac:dyDescent="0.3">
      <c r="A1" s="3"/>
      <c r="B1" s="302"/>
      <c r="C1" s="303"/>
      <c r="D1" s="303"/>
      <c r="E1" s="303"/>
      <c r="F1" s="3"/>
    </row>
    <row r="2" spans="1:20" ht="39" customHeight="1" thickBot="1" x14ac:dyDescent="0.3">
      <c r="A2" s="3"/>
      <c r="B2" s="304" t="s">
        <v>384</v>
      </c>
      <c r="C2" s="305"/>
      <c r="D2" s="305"/>
      <c r="E2" s="306"/>
      <c r="F2" s="3"/>
    </row>
    <row r="3" spans="1:20" s="204" customFormat="1" ht="18" customHeight="1" x14ac:dyDescent="0.25">
      <c r="A3" s="3"/>
      <c r="B3" s="210"/>
      <c r="P3" s="3"/>
      <c r="T3" s="3"/>
    </row>
    <row r="4" spans="1:20" ht="15.75" customHeight="1" x14ac:dyDescent="0.25">
      <c r="A4" s="3"/>
      <c r="B4" s="215" t="s">
        <v>334</v>
      </c>
      <c r="C4" s="216"/>
      <c r="D4" s="216"/>
      <c r="E4" s="217"/>
    </row>
    <row r="5" spans="1:20" x14ac:dyDescent="0.25">
      <c r="A5" s="3"/>
      <c r="B5" s="302"/>
      <c r="C5" s="307"/>
      <c r="D5" s="307"/>
      <c r="E5" s="204"/>
    </row>
    <row r="6" spans="1:20" ht="25.5" x14ac:dyDescent="0.25">
      <c r="A6" s="3"/>
      <c r="B6" s="214" t="s">
        <v>370</v>
      </c>
      <c r="C6" s="308" t="s">
        <v>349</v>
      </c>
      <c r="D6" s="309"/>
      <c r="E6" s="227" t="s">
        <v>392</v>
      </c>
    </row>
    <row r="7" spans="1:20" x14ac:dyDescent="0.25">
      <c r="A7" s="3"/>
      <c r="B7" s="214"/>
      <c r="C7" s="310" t="s">
        <v>335</v>
      </c>
      <c r="D7" s="230" t="s">
        <v>392</v>
      </c>
      <c r="E7" s="311"/>
    </row>
    <row r="8" spans="1:20" x14ac:dyDescent="0.25">
      <c r="A8" s="3"/>
      <c r="B8" s="214"/>
      <c r="C8" s="310" t="s">
        <v>336</v>
      </c>
      <c r="D8" s="230" t="s">
        <v>393</v>
      </c>
      <c r="E8" s="311"/>
    </row>
    <row r="9" spans="1:20" x14ac:dyDescent="0.25">
      <c r="A9" s="3"/>
      <c r="B9" s="214"/>
      <c r="C9" s="310" t="s">
        <v>337</v>
      </c>
      <c r="D9" s="230" t="s">
        <v>394</v>
      </c>
      <c r="E9" s="311"/>
    </row>
    <row r="10" spans="1:20" x14ac:dyDescent="0.25">
      <c r="A10" s="3"/>
      <c r="B10" s="214"/>
      <c r="C10" s="310" t="s">
        <v>338</v>
      </c>
      <c r="D10" s="230" t="s">
        <v>395</v>
      </c>
      <c r="E10" s="311"/>
    </row>
    <row r="11" spans="1:20" x14ac:dyDescent="0.25">
      <c r="A11" s="3"/>
      <c r="B11" s="214"/>
      <c r="C11" s="310" t="s">
        <v>439</v>
      </c>
      <c r="D11" s="230" t="s">
        <v>396</v>
      </c>
      <c r="E11" s="311"/>
    </row>
    <row r="12" spans="1:20" x14ac:dyDescent="0.25">
      <c r="A12" s="3"/>
      <c r="B12" s="214"/>
      <c r="C12" s="310" t="s">
        <v>438</v>
      </c>
      <c r="D12" s="230" t="s">
        <v>397</v>
      </c>
      <c r="E12" s="312" t="s">
        <v>452</v>
      </c>
    </row>
    <row r="13" spans="1:20" ht="25.5" x14ac:dyDescent="0.25">
      <c r="A13" s="3"/>
      <c r="B13" s="214"/>
      <c r="C13" s="308" t="s">
        <v>350</v>
      </c>
      <c r="D13" s="230" t="s">
        <v>398</v>
      </c>
      <c r="E13" s="312" t="s">
        <v>354</v>
      </c>
    </row>
    <row r="14" spans="1:20" ht="29.45" customHeight="1" x14ac:dyDescent="0.25">
      <c r="A14" s="3"/>
      <c r="B14" s="214"/>
      <c r="C14" s="308" t="s">
        <v>459</v>
      </c>
      <c r="D14" s="230" t="s">
        <v>399</v>
      </c>
      <c r="E14" s="311"/>
    </row>
    <row r="15" spans="1:20" x14ac:dyDescent="0.25">
      <c r="A15" s="3"/>
      <c r="B15" s="214"/>
      <c r="C15" s="310" t="s">
        <v>457</v>
      </c>
      <c r="D15" s="230" t="s">
        <v>400</v>
      </c>
      <c r="E15" s="313" t="s">
        <v>354</v>
      </c>
    </row>
    <row r="16" spans="1:20" ht="51" x14ac:dyDescent="0.25">
      <c r="B16" s="246" t="s">
        <v>348</v>
      </c>
      <c r="C16" s="308" t="s">
        <v>421</v>
      </c>
      <c r="D16" s="230" t="s">
        <v>401</v>
      </c>
      <c r="E16" s="313" t="s">
        <v>354</v>
      </c>
      <c r="F16" s="209"/>
    </row>
    <row r="17" spans="1:6" x14ac:dyDescent="0.25">
      <c r="A17" s="3"/>
      <c r="B17" s="251"/>
      <c r="C17" s="308" t="s">
        <v>422</v>
      </c>
      <c r="D17" s="314"/>
      <c r="E17" s="314"/>
    </row>
    <row r="18" spans="1:6" x14ac:dyDescent="0.25">
      <c r="A18" s="3"/>
      <c r="B18" s="251"/>
      <c r="C18" s="310" t="s">
        <v>340</v>
      </c>
      <c r="D18" s="230" t="s">
        <v>402</v>
      </c>
      <c r="E18" s="311"/>
    </row>
    <row r="19" spans="1:6" x14ac:dyDescent="0.25">
      <c r="A19" s="3"/>
      <c r="B19" s="251"/>
      <c r="C19" s="310" t="s">
        <v>341</v>
      </c>
      <c r="D19" s="230" t="s">
        <v>403</v>
      </c>
      <c r="E19" s="311"/>
    </row>
    <row r="20" spans="1:6" x14ac:dyDescent="0.25">
      <c r="A20" s="3"/>
      <c r="B20" s="251"/>
      <c r="C20" s="310" t="s">
        <v>342</v>
      </c>
      <c r="D20" s="230" t="s">
        <v>404</v>
      </c>
      <c r="E20" s="311"/>
    </row>
    <row r="21" spans="1:6" x14ac:dyDescent="0.25">
      <c r="A21" s="3"/>
      <c r="B21" s="251"/>
      <c r="C21" s="310" t="s">
        <v>439</v>
      </c>
      <c r="D21" s="230" t="s">
        <v>405</v>
      </c>
      <c r="E21" s="311"/>
    </row>
    <row r="22" spans="1:6" x14ac:dyDescent="0.25">
      <c r="A22" s="3"/>
      <c r="B22" s="251"/>
      <c r="C22" s="310" t="s">
        <v>438</v>
      </c>
      <c r="D22" s="230" t="s">
        <v>406</v>
      </c>
      <c r="E22" s="312" t="s">
        <v>448</v>
      </c>
    </row>
    <row r="23" spans="1:6" ht="25.5" x14ac:dyDescent="0.25">
      <c r="A23" s="3"/>
      <c r="B23" s="251"/>
      <c r="C23" s="308" t="s">
        <v>423</v>
      </c>
      <c r="D23" s="230" t="s">
        <v>407</v>
      </c>
      <c r="E23" s="311"/>
    </row>
    <row r="24" spans="1:6" x14ac:dyDescent="0.25">
      <c r="A24" s="3"/>
      <c r="B24" s="251"/>
      <c r="C24" s="310" t="s">
        <v>449</v>
      </c>
      <c r="D24" s="230" t="s">
        <v>408</v>
      </c>
      <c r="E24" s="312" t="s">
        <v>450</v>
      </c>
    </row>
    <row r="25" spans="1:6" x14ac:dyDescent="0.25">
      <c r="A25" s="3"/>
      <c r="B25" s="251"/>
      <c r="C25" s="308" t="s">
        <v>424</v>
      </c>
      <c r="D25" s="230" t="s">
        <v>409</v>
      </c>
      <c r="E25" s="315"/>
    </row>
    <row r="26" spans="1:6" x14ac:dyDescent="0.25">
      <c r="A26" s="3"/>
      <c r="B26" s="251"/>
      <c r="C26" s="310" t="s">
        <v>438</v>
      </c>
      <c r="D26" s="230" t="s">
        <v>410</v>
      </c>
      <c r="E26" s="313" t="s">
        <v>451</v>
      </c>
    </row>
    <row r="27" spans="1:6" ht="25.5" x14ac:dyDescent="0.25">
      <c r="A27" s="3"/>
      <c r="B27" s="251"/>
      <c r="C27" s="308" t="s">
        <v>425</v>
      </c>
      <c r="D27" s="314"/>
      <c r="E27" s="314"/>
    </row>
    <row r="28" spans="1:6" x14ac:dyDescent="0.25">
      <c r="A28" s="3"/>
      <c r="B28" s="251"/>
      <c r="C28" s="310" t="s">
        <v>343</v>
      </c>
      <c r="D28" s="230" t="s">
        <v>411</v>
      </c>
      <c r="E28" s="311"/>
    </row>
    <row r="29" spans="1:6" x14ac:dyDescent="0.25">
      <c r="A29" s="3"/>
      <c r="B29" s="251"/>
      <c r="C29" s="310" t="s">
        <v>344</v>
      </c>
      <c r="D29" s="230" t="s">
        <v>412</v>
      </c>
      <c r="E29" s="311"/>
      <c r="F29" s="16"/>
    </row>
    <row r="30" spans="1:6" x14ac:dyDescent="0.25">
      <c r="A30" s="3"/>
      <c r="B30" s="251"/>
      <c r="C30" s="310" t="s">
        <v>339</v>
      </c>
      <c r="D30" s="230" t="s">
        <v>413</v>
      </c>
      <c r="E30" s="311"/>
      <c r="F30" s="16"/>
    </row>
    <row r="31" spans="1:6" x14ac:dyDescent="0.25">
      <c r="A31" s="3"/>
      <c r="B31" s="251"/>
      <c r="C31" s="310" t="s">
        <v>438</v>
      </c>
      <c r="D31" s="230" t="s">
        <v>414</v>
      </c>
      <c r="E31" s="313" t="s">
        <v>354</v>
      </c>
    </row>
    <row r="32" spans="1:6" ht="38.25" x14ac:dyDescent="0.25">
      <c r="B32" s="251"/>
      <c r="C32" s="308" t="s">
        <v>426</v>
      </c>
      <c r="D32" s="230" t="s">
        <v>415</v>
      </c>
      <c r="E32" s="311"/>
    </row>
    <row r="33" spans="2:5" x14ac:dyDescent="0.25">
      <c r="B33" s="251"/>
      <c r="C33" s="308" t="s">
        <v>427</v>
      </c>
      <c r="D33" s="314"/>
      <c r="E33" s="314"/>
    </row>
    <row r="34" spans="2:5" x14ac:dyDescent="0.25">
      <c r="B34" s="251"/>
      <c r="C34" s="310" t="s">
        <v>345</v>
      </c>
      <c r="D34" s="230" t="s">
        <v>416</v>
      </c>
      <c r="E34" s="311"/>
    </row>
    <row r="35" spans="2:5" x14ac:dyDescent="0.25">
      <c r="B35" s="251"/>
      <c r="C35" s="310" t="s">
        <v>346</v>
      </c>
      <c r="D35" s="230" t="s">
        <v>417</v>
      </c>
      <c r="E35" s="311"/>
    </row>
    <row r="36" spans="2:5" x14ac:dyDescent="0.25">
      <c r="B36" s="251"/>
      <c r="C36" s="310" t="s">
        <v>347</v>
      </c>
      <c r="D36" s="230" t="s">
        <v>418</v>
      </c>
      <c r="E36" s="311"/>
    </row>
    <row r="37" spans="2:5" x14ac:dyDescent="0.25">
      <c r="B37" s="251"/>
      <c r="C37" s="310" t="s">
        <v>339</v>
      </c>
      <c r="D37" s="230" t="s">
        <v>419</v>
      </c>
      <c r="E37" s="313" t="s">
        <v>354</v>
      </c>
    </row>
    <row r="38" spans="2:5" x14ac:dyDescent="0.25">
      <c r="B38" s="251"/>
      <c r="C38" s="308" t="s">
        <v>428</v>
      </c>
      <c r="D38" s="230" t="s">
        <v>420</v>
      </c>
      <c r="E38" s="315"/>
    </row>
    <row r="39" spans="2:5" ht="25.5" x14ac:dyDescent="0.25">
      <c r="B39" s="251"/>
      <c r="C39" s="308" t="s">
        <v>429</v>
      </c>
      <c r="D39" s="314"/>
      <c r="E39" s="314"/>
    </row>
    <row r="40" spans="2:5" x14ac:dyDescent="0.25">
      <c r="B40" s="251"/>
      <c r="C40" s="316" t="s">
        <v>361</v>
      </c>
      <c r="D40" s="230" t="s">
        <v>440</v>
      </c>
      <c r="E40" s="315"/>
    </row>
    <row r="41" spans="2:5" x14ac:dyDescent="0.25">
      <c r="B41" s="251"/>
      <c r="C41" s="316" t="s">
        <v>362</v>
      </c>
      <c r="D41" s="230" t="s">
        <v>441</v>
      </c>
      <c r="E41" s="313" t="s">
        <v>354</v>
      </c>
    </row>
    <row r="42" spans="2:5" ht="25.5" x14ac:dyDescent="0.25">
      <c r="B42" s="251"/>
      <c r="C42" s="308" t="s">
        <v>430</v>
      </c>
      <c r="D42" s="314"/>
      <c r="E42" s="314"/>
    </row>
    <row r="43" spans="2:5" x14ac:dyDescent="0.25">
      <c r="B43" s="251"/>
      <c r="C43" s="316" t="s">
        <v>361</v>
      </c>
      <c r="D43" s="230" t="s">
        <v>442</v>
      </c>
      <c r="E43" s="317"/>
    </row>
    <row r="44" spans="2:5" x14ac:dyDescent="0.25">
      <c r="B44" s="251"/>
      <c r="C44" s="316" t="s">
        <v>362</v>
      </c>
      <c r="D44" s="230" t="s">
        <v>443</v>
      </c>
      <c r="E44" s="313" t="s">
        <v>354</v>
      </c>
    </row>
    <row r="45" spans="2:5" ht="25.5" x14ac:dyDescent="0.25">
      <c r="B45" s="251"/>
      <c r="C45" s="308" t="s">
        <v>431</v>
      </c>
      <c r="D45" s="314"/>
      <c r="E45" s="314"/>
    </row>
    <row r="46" spans="2:5" x14ac:dyDescent="0.25">
      <c r="B46" s="251"/>
      <c r="C46" s="316" t="s">
        <v>361</v>
      </c>
      <c r="D46" s="230" t="s">
        <v>444</v>
      </c>
      <c r="E46" s="315"/>
    </row>
    <row r="47" spans="2:5" x14ac:dyDescent="0.25">
      <c r="B47" s="251"/>
      <c r="C47" s="316" t="s">
        <v>362</v>
      </c>
      <c r="D47" s="230" t="s">
        <v>445</v>
      </c>
      <c r="E47" s="313" t="s">
        <v>354</v>
      </c>
    </row>
    <row r="48" spans="2:5" x14ac:dyDescent="0.25">
      <c r="B48" s="251"/>
      <c r="C48" s="308" t="s">
        <v>432</v>
      </c>
      <c r="D48" s="314"/>
      <c r="E48" s="314"/>
    </row>
    <row r="49" spans="2:5" x14ac:dyDescent="0.25">
      <c r="B49" s="251"/>
      <c r="C49" s="316" t="s">
        <v>380</v>
      </c>
      <c r="D49" s="230" t="s">
        <v>446</v>
      </c>
      <c r="E49" s="313"/>
    </row>
    <row r="50" spans="2:5" ht="25.5" x14ac:dyDescent="0.25">
      <c r="B50" s="251"/>
      <c r="C50" s="308" t="s">
        <v>544</v>
      </c>
    </row>
    <row r="51" spans="2:5" x14ac:dyDescent="0.25">
      <c r="B51" s="251"/>
      <c r="C51" s="316" t="s">
        <v>362</v>
      </c>
      <c r="D51" s="230" t="s">
        <v>447</v>
      </c>
      <c r="E51" s="313" t="s">
        <v>354</v>
      </c>
    </row>
    <row r="52" spans="2:5" x14ac:dyDescent="0.25"/>
  </sheetData>
  <mergeCells count="11">
    <mergeCell ref="D42:E42"/>
    <mergeCell ref="D45:E45"/>
    <mergeCell ref="D48:E48"/>
    <mergeCell ref="B4:E4"/>
    <mergeCell ref="B2:E2"/>
    <mergeCell ref="B6:B15"/>
    <mergeCell ref="D17:E17"/>
    <mergeCell ref="D27:E27"/>
    <mergeCell ref="D33:E33"/>
    <mergeCell ref="D39:E39"/>
    <mergeCell ref="B16:B51"/>
  </mergeCells>
  <phoneticPr fontId="32" type="noConversion"/>
  <dataValidations count="5">
    <dataValidation type="list" allowBlank="1" showInputMessage="1" showErrorMessage="1" sqref="E40 E43 E46" xr:uid="{6C50520A-0157-400C-A898-C79FD56CD2D0}">
      <formula1>"constant balance sheet, dynamic balance sheet"</formula1>
    </dataValidation>
    <dataValidation type="list" allowBlank="1" showInputMessage="1" showErrorMessage="1" sqref="E34:E36 E38" xr:uid="{9DC8632A-BA31-416F-8EA5-CC152B0BE50C}">
      <formula1>"Every year, Every 2yr, Every 5yr, Less than every 5yr"</formula1>
    </dataValidation>
    <dataValidation type="list" allowBlank="1" showInputMessage="1" showErrorMessage="1" sqref="E25" xr:uid="{3C711562-88B5-4671-B604-65ED070E3414}">
      <formula1>"Daily, Weekly, Monthly, Other (specify)"</formula1>
    </dataValidation>
    <dataValidation type="list" allowBlank="1" showInputMessage="1" showErrorMessage="1" sqref="E7:E11 E14 E32 E28:E30 E18:E21 E23" xr:uid="{C6403047-96C1-46F9-970B-F1299262ACD9}">
      <formula1>"Yes, No"</formula1>
    </dataValidation>
    <dataValidation type="list" allowBlank="1" showInputMessage="1" showErrorMessage="1" sqref="E49" xr:uid="{2A5BBC50-2F79-4F20-99E8-EDC382FF96E1}">
      <formula1>"Included,  Excluded"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4E38-DEE8-45CC-AE42-50392F5796FE}">
  <sheetPr>
    <tabColor rgb="FFFF0000"/>
  </sheetPr>
  <dimension ref="A1:P29"/>
  <sheetViews>
    <sheetView showGridLines="0" zoomScaleNormal="100" workbookViewId="0"/>
  </sheetViews>
  <sheetFormatPr defaultColWidth="0" defaultRowHeight="15" zeroHeight="1" x14ac:dyDescent="0.25"/>
  <cols>
    <col min="1" max="1" width="4.5703125" style="2" customWidth="1"/>
    <col min="2" max="2" width="73.28515625" style="204" customWidth="1"/>
    <col min="3" max="3" width="7.28515625" style="204" customWidth="1"/>
    <col min="4" max="4" width="26.85546875" style="204" customWidth="1"/>
    <col min="5" max="5" width="4.5703125" style="2" customWidth="1"/>
    <col min="6" max="10" width="0" style="204" hidden="1" customWidth="1"/>
    <col min="11" max="16384" width="49.7109375" style="204" hidden="1"/>
  </cols>
  <sheetData>
    <row r="1" spans="1:16" ht="15.75" thickBot="1" x14ac:dyDescent="0.3">
      <c r="A1" s="3"/>
      <c r="E1" s="3"/>
      <c r="H1" s="205"/>
    </row>
    <row r="2" spans="1:16" ht="15.75" thickBot="1" x14ac:dyDescent="0.3">
      <c r="A2" s="3"/>
      <c r="B2" s="206" t="s">
        <v>385</v>
      </c>
      <c r="C2" s="207"/>
      <c r="D2" s="208"/>
      <c r="E2" s="3"/>
    </row>
    <row r="3" spans="1:16" ht="12.75" x14ac:dyDescent="0.2">
      <c r="A3" s="302"/>
      <c r="B3" s="319"/>
      <c r="C3" s="320"/>
      <c r="D3" s="320"/>
      <c r="E3" s="320"/>
      <c r="F3" s="320"/>
      <c r="G3" s="320"/>
      <c r="H3" s="320"/>
      <c r="I3" s="320"/>
      <c r="J3" s="320"/>
    </row>
    <row r="4" spans="1:16" ht="15" customHeight="1" x14ac:dyDescent="0.25">
      <c r="A4" s="3"/>
      <c r="B4" s="321"/>
      <c r="C4" s="321"/>
      <c r="D4" s="322" t="s">
        <v>37</v>
      </c>
    </row>
    <row r="5" spans="1:16" ht="15" customHeight="1" x14ac:dyDescent="0.25">
      <c r="A5" s="3"/>
      <c r="B5" s="321"/>
      <c r="C5" s="321"/>
      <c r="D5" s="227" t="s">
        <v>392</v>
      </c>
    </row>
    <row r="6" spans="1:16" x14ac:dyDescent="0.25">
      <c r="A6" s="3"/>
      <c r="B6" s="323" t="s">
        <v>355</v>
      </c>
      <c r="C6" s="264" t="s">
        <v>392</v>
      </c>
      <c r="D6" s="324">
        <f>+D7+D11</f>
        <v>0</v>
      </c>
    </row>
    <row r="7" spans="1:16" x14ac:dyDescent="0.25">
      <c r="A7" s="3"/>
      <c r="B7" s="325" t="s">
        <v>356</v>
      </c>
      <c r="C7" s="264" t="s">
        <v>393</v>
      </c>
      <c r="D7" s="324">
        <f>SUM(D8:D10)</f>
        <v>0</v>
      </c>
    </row>
    <row r="8" spans="1:16" x14ac:dyDescent="0.25">
      <c r="A8" s="3"/>
      <c r="B8" s="326" t="s">
        <v>371</v>
      </c>
      <c r="C8" s="264" t="s">
        <v>394</v>
      </c>
      <c r="D8" s="327"/>
    </row>
    <row r="9" spans="1:16" x14ac:dyDescent="0.25">
      <c r="A9" s="3"/>
      <c r="B9" s="326" t="s">
        <v>545</v>
      </c>
      <c r="C9" s="264" t="s">
        <v>395</v>
      </c>
      <c r="D9" s="328"/>
    </row>
    <row r="10" spans="1:16" x14ac:dyDescent="0.25">
      <c r="A10" s="3"/>
      <c r="B10" s="326" t="s">
        <v>546</v>
      </c>
      <c r="C10" s="264" t="s">
        <v>396</v>
      </c>
      <c r="D10" s="328"/>
    </row>
    <row r="11" spans="1:16" x14ac:dyDescent="0.25">
      <c r="A11" s="3"/>
      <c r="B11" s="325" t="s">
        <v>357</v>
      </c>
      <c r="C11" s="264" t="s">
        <v>397</v>
      </c>
      <c r="D11" s="329">
        <f>SUM(D12:D15)</f>
        <v>0</v>
      </c>
    </row>
    <row r="12" spans="1:16" x14ac:dyDescent="0.25">
      <c r="A12" s="3"/>
      <c r="B12" s="330" t="s">
        <v>358</v>
      </c>
      <c r="C12" s="264" t="s">
        <v>398</v>
      </c>
      <c r="D12" s="327"/>
    </row>
    <row r="13" spans="1:16" x14ac:dyDescent="0.25">
      <c r="A13" s="3"/>
      <c r="B13" s="326" t="s">
        <v>372</v>
      </c>
      <c r="C13" s="264" t="s">
        <v>399</v>
      </c>
      <c r="D13" s="327"/>
    </row>
    <row r="14" spans="1:16" x14ac:dyDescent="0.25">
      <c r="A14" s="3"/>
      <c r="B14" s="326" t="s">
        <v>547</v>
      </c>
      <c r="C14" s="264" t="s">
        <v>400</v>
      </c>
      <c r="D14" s="327"/>
    </row>
    <row r="15" spans="1:16" x14ac:dyDescent="0.25">
      <c r="A15" s="3"/>
      <c r="B15" s="326" t="s">
        <v>548</v>
      </c>
      <c r="C15" s="264" t="s">
        <v>401</v>
      </c>
      <c r="D15" s="327"/>
    </row>
    <row r="16" spans="1:16" s="209" customFormat="1" x14ac:dyDescent="0.25">
      <c r="A16" s="2"/>
      <c r="E16" s="2"/>
      <c r="P16" s="2"/>
    </row>
    <row r="17" spans="1:5" hidden="1" x14ac:dyDescent="0.25">
      <c r="A17" s="3"/>
    </row>
    <row r="18" spans="1:5" hidden="1" x14ac:dyDescent="0.25">
      <c r="A18" s="3"/>
    </row>
    <row r="19" spans="1:5" hidden="1" x14ac:dyDescent="0.25">
      <c r="A19" s="3"/>
    </row>
    <row r="20" spans="1:5" hidden="1" x14ac:dyDescent="0.25">
      <c r="A20" s="3"/>
    </row>
    <row r="21" spans="1:5" hidden="1" x14ac:dyDescent="0.25">
      <c r="A21" s="3"/>
    </row>
    <row r="22" spans="1:5" hidden="1" x14ac:dyDescent="0.25">
      <c r="A22" s="3"/>
    </row>
    <row r="23" spans="1:5" hidden="1" x14ac:dyDescent="0.25">
      <c r="A23" s="3"/>
    </row>
    <row r="24" spans="1:5" hidden="1" x14ac:dyDescent="0.25">
      <c r="A24" s="3"/>
    </row>
    <row r="25" spans="1:5" hidden="1" x14ac:dyDescent="0.25">
      <c r="A25" s="3"/>
    </row>
    <row r="26" spans="1:5" hidden="1" x14ac:dyDescent="0.25">
      <c r="A26" s="3"/>
    </row>
    <row r="27" spans="1:5" hidden="1" x14ac:dyDescent="0.25">
      <c r="A27" s="3"/>
    </row>
    <row r="28" spans="1:5" hidden="1" x14ac:dyDescent="0.25">
      <c r="A28" s="3"/>
      <c r="E28" s="16"/>
    </row>
    <row r="29" spans="1:5" x14ac:dyDescent="0.25"/>
  </sheetData>
  <mergeCells count="1">
    <mergeCell ref="B2:D2"/>
  </mergeCells>
  <phoneticPr fontId="32" type="noConversion"/>
  <conditionalFormatting sqref="D12:D14 D8:D10">
    <cfRule type="cellIs" dxfId="1" priority="7" stopIfTrue="1" operator="lessThan">
      <formula>0</formula>
    </cfRule>
  </conditionalFormatting>
  <conditionalFormatting sqref="D15">
    <cfRule type="cellIs" dxfId="0" priority="3" stopIfTrue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D0F6-0FCB-42CB-B48C-E9F00854D72D}">
  <sheetPr>
    <tabColor rgb="FFFF0000"/>
  </sheetPr>
  <dimension ref="A1:K81"/>
  <sheetViews>
    <sheetView zoomScale="55" zoomScaleNormal="55" workbookViewId="0"/>
  </sheetViews>
  <sheetFormatPr defaultColWidth="0" defaultRowHeight="15" zeroHeight="1" x14ac:dyDescent="0.25"/>
  <cols>
    <col min="1" max="1" width="4.5703125" style="209" customWidth="1"/>
    <col min="2" max="2" width="26.5703125" style="209" customWidth="1"/>
    <col min="3" max="3" width="96.42578125" style="209" customWidth="1"/>
    <col min="4" max="4" width="19.85546875" style="209" customWidth="1"/>
    <col min="5" max="10" width="24.140625" style="209" customWidth="1"/>
    <col min="11" max="11" width="4.5703125" style="209" customWidth="1"/>
    <col min="12" max="16384" width="8.85546875" style="209" hidden="1"/>
  </cols>
  <sheetData>
    <row r="1" spans="1:11" ht="17.100000000000001" customHeight="1" thickBot="1" x14ac:dyDescent="0.3"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26.1" customHeight="1" thickBot="1" x14ac:dyDescent="0.3">
      <c r="A2" s="81"/>
      <c r="B2" s="331" t="s">
        <v>460</v>
      </c>
      <c r="C2" s="332"/>
      <c r="D2" s="332"/>
      <c r="E2" s="332"/>
      <c r="F2" s="332"/>
      <c r="G2" s="332"/>
      <c r="H2" s="332"/>
      <c r="I2" s="332"/>
      <c r="J2" s="333"/>
      <c r="K2" s="81"/>
    </row>
    <row r="3" spans="1:11" ht="17.100000000000001" customHeight="1" x14ac:dyDescent="0.25">
      <c r="A3" s="81"/>
      <c r="B3" s="200"/>
      <c r="C3" s="200"/>
      <c r="D3" s="200"/>
      <c r="E3" s="200"/>
      <c r="F3" s="82"/>
      <c r="G3" s="82"/>
      <c r="H3" s="82"/>
      <c r="I3" s="82"/>
      <c r="J3" s="82"/>
      <c r="K3" s="81"/>
    </row>
    <row r="4" spans="1:11" ht="26.1" customHeight="1" x14ac:dyDescent="0.25">
      <c r="A4" s="81"/>
      <c r="B4" s="201" t="s">
        <v>527</v>
      </c>
      <c r="C4" s="201"/>
      <c r="D4" s="201"/>
      <c r="E4" s="201"/>
      <c r="F4" s="83"/>
      <c r="G4" s="83"/>
      <c r="H4" s="83"/>
      <c r="I4" s="83"/>
      <c r="J4" s="84"/>
      <c r="K4" s="81"/>
    </row>
    <row r="5" spans="1:11" ht="26.1" customHeight="1" x14ac:dyDescent="0.25">
      <c r="A5" s="81"/>
      <c r="B5" s="85" t="s">
        <v>528</v>
      </c>
      <c r="C5" s="85"/>
      <c r="D5" s="85"/>
      <c r="E5" s="85"/>
      <c r="F5" s="85"/>
      <c r="G5" s="85"/>
      <c r="H5" s="85"/>
      <c r="I5" s="85"/>
      <c r="J5" s="85"/>
      <c r="K5" s="81"/>
    </row>
    <row r="6" spans="1:11" ht="26.1" customHeight="1" x14ac:dyDescent="0.25">
      <c r="A6" s="81"/>
      <c r="B6" s="86"/>
      <c r="C6" s="83"/>
      <c r="D6" s="83"/>
      <c r="E6" s="83"/>
      <c r="F6" s="334" t="s">
        <v>461</v>
      </c>
      <c r="G6" s="335"/>
      <c r="H6" s="335"/>
      <c r="I6" s="335"/>
      <c r="J6" s="336"/>
    </row>
    <row r="7" spans="1:11" ht="26.1" customHeight="1" x14ac:dyDescent="0.25">
      <c r="A7" s="87"/>
      <c r="B7" s="86"/>
      <c r="C7" s="83"/>
      <c r="D7" s="83"/>
      <c r="E7" s="83"/>
      <c r="F7" s="337" t="str">
        <f>'[1]2_IRRBB_Material_Currency_1'!$C$2</f>
        <v>-</v>
      </c>
      <c r="G7" s="337" t="str">
        <f>'[1]3_IRRBB_Material Currency_2'!$C$2</f>
        <v>-</v>
      </c>
      <c r="H7" s="337" t="str">
        <f>'[1]4_IRRBB_Material_Currency_3'!$C$2</f>
        <v>-</v>
      </c>
      <c r="I7" s="337" t="str">
        <f>'[1]0_Identification'!C22</f>
        <v>-</v>
      </c>
      <c r="J7" s="337" t="s">
        <v>462</v>
      </c>
    </row>
    <row r="8" spans="1:11" ht="26.1" customHeight="1" x14ac:dyDescent="0.25">
      <c r="A8" s="87"/>
      <c r="B8" s="338" t="s">
        <v>463</v>
      </c>
      <c r="C8" s="339" t="s">
        <v>464</v>
      </c>
      <c r="D8" s="83"/>
      <c r="E8" s="337" t="s">
        <v>37</v>
      </c>
      <c r="F8" s="337" t="s">
        <v>37</v>
      </c>
      <c r="G8" s="337" t="s">
        <v>37</v>
      </c>
      <c r="H8" s="337" t="s">
        <v>37</v>
      </c>
      <c r="I8" s="337" t="s">
        <v>37</v>
      </c>
      <c r="J8" s="337" t="s">
        <v>37</v>
      </c>
    </row>
    <row r="9" spans="1:11" ht="26.1" customHeight="1" x14ac:dyDescent="0.25">
      <c r="A9" s="87"/>
      <c r="B9" s="340"/>
      <c r="C9" s="339"/>
      <c r="D9" s="83"/>
      <c r="E9" s="341" t="s">
        <v>392</v>
      </c>
      <c r="F9" s="341" t="s">
        <v>393</v>
      </c>
      <c r="G9" s="341" t="s">
        <v>394</v>
      </c>
      <c r="H9" s="341" t="s">
        <v>395</v>
      </c>
      <c r="I9" s="341" t="s">
        <v>396</v>
      </c>
      <c r="J9" s="341" t="s">
        <v>397</v>
      </c>
    </row>
    <row r="10" spans="1:11" ht="26.1" customHeight="1" x14ac:dyDescent="0.25">
      <c r="A10" s="87"/>
      <c r="B10" s="337">
        <v>1</v>
      </c>
      <c r="C10" s="88" t="s">
        <v>465</v>
      </c>
      <c r="D10" s="342" t="s">
        <v>392</v>
      </c>
      <c r="E10" s="89"/>
      <c r="F10" s="89"/>
      <c r="G10" s="89"/>
      <c r="H10" s="89"/>
      <c r="I10" s="90"/>
      <c r="J10" s="90"/>
    </row>
    <row r="11" spans="1:11" s="48" customFormat="1" ht="26.1" customHeight="1" x14ac:dyDescent="0.25">
      <c r="A11" s="91"/>
      <c r="B11" s="86"/>
      <c r="C11" s="83"/>
      <c r="D11" s="92"/>
      <c r="E11" s="84"/>
      <c r="F11" s="84"/>
      <c r="G11" s="84"/>
      <c r="H11" s="84"/>
      <c r="I11" s="84"/>
      <c r="J11" s="84"/>
    </row>
    <row r="12" spans="1:11" s="48" customFormat="1" ht="26.1" customHeight="1" x14ac:dyDescent="0.25">
      <c r="A12" s="91"/>
      <c r="B12" s="86"/>
      <c r="C12" s="88" t="s">
        <v>506</v>
      </c>
      <c r="D12" s="84"/>
      <c r="E12" s="84"/>
      <c r="F12" s="84"/>
      <c r="G12" s="84"/>
      <c r="H12" s="84"/>
      <c r="I12" s="84"/>
      <c r="J12" s="84"/>
    </row>
    <row r="13" spans="1:11" s="48" customFormat="1" ht="26.1" customHeight="1" x14ac:dyDescent="0.25">
      <c r="A13" s="91"/>
      <c r="B13" s="337">
        <v>2</v>
      </c>
      <c r="C13" s="88" t="s">
        <v>466</v>
      </c>
      <c r="D13" s="289" t="s">
        <v>393</v>
      </c>
      <c r="E13" s="84"/>
      <c r="F13" s="93"/>
      <c r="G13" s="93"/>
      <c r="H13" s="93"/>
      <c r="I13" s="93"/>
      <c r="J13" s="84"/>
    </row>
    <row r="14" spans="1:11" ht="26.1" customHeight="1" x14ac:dyDescent="0.25">
      <c r="A14" s="87"/>
      <c r="B14" s="337">
        <v>3</v>
      </c>
      <c r="C14" s="88" t="s">
        <v>181</v>
      </c>
      <c r="D14" s="289" t="s">
        <v>394</v>
      </c>
      <c r="E14" s="84"/>
      <c r="F14" s="93"/>
      <c r="G14" s="93"/>
      <c r="H14" s="93"/>
      <c r="I14" s="93"/>
      <c r="J14" s="84"/>
    </row>
    <row r="15" spans="1:11" ht="26.1" customHeight="1" x14ac:dyDescent="0.25">
      <c r="A15" s="87"/>
      <c r="B15" s="337">
        <v>4</v>
      </c>
      <c r="C15" s="88" t="s">
        <v>182</v>
      </c>
      <c r="D15" s="289" t="s">
        <v>395</v>
      </c>
      <c r="E15" s="84"/>
      <c r="F15" s="93"/>
      <c r="G15" s="93"/>
      <c r="H15" s="93"/>
      <c r="I15" s="93"/>
      <c r="J15" s="84"/>
      <c r="K15" s="94"/>
    </row>
    <row r="16" spans="1:11" ht="26.1" customHeight="1" x14ac:dyDescent="0.25">
      <c r="A16" s="87"/>
      <c r="B16" s="81"/>
      <c r="C16" s="95"/>
      <c r="D16" s="92"/>
      <c r="E16" s="81"/>
      <c r="F16" s="81"/>
      <c r="G16" s="81"/>
      <c r="H16" s="81"/>
      <c r="I16" s="81"/>
      <c r="J16" s="84"/>
      <c r="K16" s="94"/>
    </row>
    <row r="17" spans="1:11" ht="26.1" customHeight="1" x14ac:dyDescent="0.25">
      <c r="A17" s="87"/>
      <c r="B17" s="337">
        <v>5</v>
      </c>
      <c r="C17" s="96" t="s">
        <v>505</v>
      </c>
      <c r="D17" s="289" t="s">
        <v>396</v>
      </c>
      <c r="E17" s="97">
        <f>+MIN(E18:E23)</f>
        <v>0</v>
      </c>
      <c r="G17" s="98"/>
      <c r="H17" s="98"/>
      <c r="I17" s="98"/>
      <c r="J17" s="84"/>
      <c r="K17" s="94"/>
    </row>
    <row r="18" spans="1:11" ht="26.1" customHeight="1" x14ac:dyDescent="0.25">
      <c r="A18" s="87"/>
      <c r="B18" s="337">
        <v>6</v>
      </c>
      <c r="C18" s="99" t="s">
        <v>467</v>
      </c>
      <c r="D18" s="289" t="s">
        <v>397</v>
      </c>
      <c r="E18" s="97">
        <f t="shared" ref="E18:E23" si="0">+SUMIF(F18:I18,"&lt;0")+0.5*SUMIF(F18:I18,"&gt;0")+J18</f>
        <v>0</v>
      </c>
      <c r="F18" s="89"/>
      <c r="G18" s="90"/>
      <c r="H18" s="90"/>
      <c r="I18" s="90"/>
      <c r="J18" s="89"/>
      <c r="K18" s="94"/>
    </row>
    <row r="19" spans="1:11" ht="26.1" customHeight="1" x14ac:dyDescent="0.25">
      <c r="A19" s="87"/>
      <c r="B19" s="337">
        <v>7</v>
      </c>
      <c r="C19" s="99" t="s">
        <v>468</v>
      </c>
      <c r="D19" s="289" t="s">
        <v>398</v>
      </c>
      <c r="E19" s="97">
        <f t="shared" si="0"/>
        <v>0</v>
      </c>
      <c r="F19" s="89"/>
      <c r="G19" s="89"/>
      <c r="H19" s="89"/>
      <c r="I19" s="89"/>
      <c r="J19" s="89"/>
      <c r="K19" s="94"/>
    </row>
    <row r="20" spans="1:11" ht="26.1" customHeight="1" x14ac:dyDescent="0.25">
      <c r="A20" s="87"/>
      <c r="B20" s="337">
        <v>8</v>
      </c>
      <c r="C20" s="99" t="s">
        <v>469</v>
      </c>
      <c r="D20" s="289" t="s">
        <v>399</v>
      </c>
      <c r="E20" s="97">
        <f t="shared" si="0"/>
        <v>0</v>
      </c>
      <c r="F20" s="89"/>
      <c r="G20" s="90"/>
      <c r="H20" s="90"/>
      <c r="I20" s="90"/>
      <c r="J20" s="89"/>
      <c r="K20" s="94"/>
    </row>
    <row r="21" spans="1:11" ht="26.1" customHeight="1" x14ac:dyDescent="0.25">
      <c r="A21" s="87"/>
      <c r="B21" s="337">
        <v>9</v>
      </c>
      <c r="C21" s="99" t="s">
        <v>470</v>
      </c>
      <c r="D21" s="289" t="s">
        <v>400</v>
      </c>
      <c r="E21" s="97">
        <f t="shared" si="0"/>
        <v>0</v>
      </c>
      <c r="F21" s="89"/>
      <c r="G21" s="89"/>
      <c r="H21" s="89"/>
      <c r="I21" s="89"/>
      <c r="J21" s="89"/>
      <c r="K21" s="94"/>
    </row>
    <row r="22" spans="1:11" ht="26.1" customHeight="1" x14ac:dyDescent="0.25">
      <c r="A22" s="87"/>
      <c r="B22" s="337">
        <v>10</v>
      </c>
      <c r="C22" s="99" t="s">
        <v>471</v>
      </c>
      <c r="D22" s="289" t="s">
        <v>401</v>
      </c>
      <c r="E22" s="97">
        <f t="shared" si="0"/>
        <v>0</v>
      </c>
      <c r="F22" s="89"/>
      <c r="G22" s="90"/>
      <c r="H22" s="90"/>
      <c r="I22" s="90"/>
      <c r="J22" s="89"/>
      <c r="K22" s="94"/>
    </row>
    <row r="23" spans="1:11" ht="26.1" customHeight="1" x14ac:dyDescent="0.25">
      <c r="A23" s="87"/>
      <c r="B23" s="337">
        <v>11</v>
      </c>
      <c r="C23" s="99" t="s">
        <v>472</v>
      </c>
      <c r="D23" s="289" t="s">
        <v>402</v>
      </c>
      <c r="E23" s="97">
        <f t="shared" si="0"/>
        <v>0</v>
      </c>
      <c r="F23" s="89"/>
      <c r="G23" s="89"/>
      <c r="H23" s="89"/>
      <c r="I23" s="89"/>
      <c r="J23" s="89"/>
      <c r="K23" s="94"/>
    </row>
    <row r="24" spans="1:11" ht="26.1" customHeight="1" x14ac:dyDescent="0.25">
      <c r="A24" s="87"/>
      <c r="B24" s="81"/>
      <c r="C24" s="95"/>
      <c r="D24" s="100"/>
      <c r="E24" s="81"/>
      <c r="F24" s="81"/>
      <c r="G24" s="81"/>
      <c r="H24" s="81"/>
      <c r="I24" s="81"/>
      <c r="K24" s="94"/>
    </row>
    <row r="25" spans="1:11" ht="26.1" customHeight="1" x14ac:dyDescent="0.25">
      <c r="A25" s="87"/>
      <c r="B25" s="337">
        <v>12</v>
      </c>
      <c r="C25" s="99" t="s">
        <v>473</v>
      </c>
      <c r="D25" s="289" t="s">
        <v>403</v>
      </c>
      <c r="E25" s="89"/>
      <c r="F25" s="89"/>
      <c r="G25" s="89"/>
      <c r="H25" s="89"/>
      <c r="I25" s="89"/>
      <c r="J25" s="89"/>
      <c r="K25" s="94"/>
    </row>
    <row r="26" spans="1:11" ht="26.1" customHeight="1" x14ac:dyDescent="0.25">
      <c r="A26" s="87"/>
      <c r="B26" s="337">
        <v>13</v>
      </c>
      <c r="C26" s="88" t="s">
        <v>474</v>
      </c>
      <c r="D26" s="289" t="s">
        <v>404</v>
      </c>
      <c r="E26" s="89"/>
      <c r="F26" s="89"/>
      <c r="G26" s="89"/>
      <c r="H26" s="89"/>
      <c r="I26" s="89"/>
      <c r="J26" s="89"/>
      <c r="K26" s="94"/>
    </row>
    <row r="27" spans="1:11" ht="26.1" customHeight="1" x14ac:dyDescent="0.25">
      <c r="A27" s="87"/>
      <c r="B27" s="81"/>
      <c r="C27" s="95"/>
      <c r="D27" s="100"/>
      <c r="E27" s="101"/>
      <c r="F27" s="101"/>
      <c r="G27" s="101"/>
      <c r="H27" s="101"/>
      <c r="I27" s="101"/>
      <c r="J27" s="101"/>
      <c r="K27" s="94"/>
    </row>
    <row r="28" spans="1:11" ht="26.1" customHeight="1" x14ac:dyDescent="0.25">
      <c r="A28" s="87"/>
      <c r="B28" s="337">
        <v>14</v>
      </c>
      <c r="C28" s="88" t="s">
        <v>475</v>
      </c>
      <c r="D28" s="289" t="s">
        <v>405</v>
      </c>
      <c r="E28" s="89"/>
      <c r="F28" s="89"/>
      <c r="G28" s="89"/>
      <c r="H28" s="89"/>
      <c r="I28" s="89"/>
      <c r="J28" s="89"/>
      <c r="K28" s="94"/>
    </row>
    <row r="29" spans="1:11" ht="26.1" customHeight="1" x14ac:dyDescent="0.25">
      <c r="A29" s="87"/>
      <c r="B29" s="86"/>
      <c r="C29" s="88" t="s">
        <v>476</v>
      </c>
      <c r="D29" s="289" t="s">
        <v>406</v>
      </c>
      <c r="E29" s="97">
        <f t="shared" ref="E29:J29" si="1">+E25+E28</f>
        <v>0</v>
      </c>
      <c r="F29" s="97">
        <f t="shared" si="1"/>
        <v>0</v>
      </c>
      <c r="G29" s="97">
        <f t="shared" si="1"/>
        <v>0</v>
      </c>
      <c r="H29" s="97">
        <f t="shared" si="1"/>
        <v>0</v>
      </c>
      <c r="I29" s="97">
        <f t="shared" si="1"/>
        <v>0</v>
      </c>
      <c r="J29" s="97">
        <f t="shared" si="1"/>
        <v>0</v>
      </c>
      <c r="K29" s="94"/>
    </row>
    <row r="30" spans="1:11" ht="26.1" customHeight="1" x14ac:dyDescent="0.25">
      <c r="A30" s="87"/>
      <c r="B30" s="86"/>
      <c r="C30" s="102"/>
      <c r="D30" s="103"/>
      <c r="E30" s="104"/>
      <c r="F30" s="104"/>
      <c r="G30" s="105"/>
      <c r="H30" s="105"/>
      <c r="I30" s="105"/>
      <c r="J30" s="343"/>
      <c r="K30" s="81"/>
    </row>
    <row r="31" spans="1:11" ht="26.1" customHeight="1" x14ac:dyDescent="0.25">
      <c r="A31" s="87"/>
      <c r="B31" s="337">
        <v>15</v>
      </c>
      <c r="C31" s="88" t="s">
        <v>477</v>
      </c>
      <c r="D31" s="289" t="s">
        <v>407</v>
      </c>
      <c r="E31" s="89"/>
      <c r="F31" s="89"/>
      <c r="G31" s="89"/>
      <c r="H31" s="89"/>
      <c r="I31" s="89"/>
      <c r="J31" s="89"/>
      <c r="K31" s="94"/>
    </row>
    <row r="32" spans="1:11" ht="26.1" customHeight="1" x14ac:dyDescent="0.25">
      <c r="A32" s="87"/>
      <c r="B32" s="106">
        <v>17</v>
      </c>
      <c r="C32" s="88" t="s">
        <v>478</v>
      </c>
      <c r="D32" s="289" t="s">
        <v>408</v>
      </c>
      <c r="E32" s="97">
        <f t="shared" ref="E32:J32" si="2">+E25+E31</f>
        <v>0</v>
      </c>
      <c r="F32" s="97">
        <f t="shared" si="2"/>
        <v>0</v>
      </c>
      <c r="G32" s="97">
        <f t="shared" si="2"/>
        <v>0</v>
      </c>
      <c r="H32" s="97">
        <f t="shared" si="2"/>
        <v>0</v>
      </c>
      <c r="I32" s="97">
        <f t="shared" si="2"/>
        <v>0</v>
      </c>
      <c r="J32" s="97">
        <f t="shared" si="2"/>
        <v>0</v>
      </c>
      <c r="K32" s="94"/>
    </row>
    <row r="33" spans="1:11" ht="26.1" customHeight="1" x14ac:dyDescent="0.25">
      <c r="A33" s="87"/>
      <c r="B33" s="107"/>
      <c r="C33" s="108"/>
      <c r="D33" s="109"/>
      <c r="E33" s="110"/>
      <c r="F33" s="111"/>
      <c r="G33" s="110"/>
      <c r="H33" s="110"/>
      <c r="I33" s="110"/>
      <c r="J33" s="343"/>
      <c r="K33" s="94"/>
    </row>
    <row r="34" spans="1:11" ht="26.1" customHeight="1" x14ac:dyDescent="0.25">
      <c r="A34" s="87"/>
      <c r="B34" s="337">
        <v>16</v>
      </c>
      <c r="C34" s="99" t="s">
        <v>495</v>
      </c>
      <c r="D34" s="289" t="s">
        <v>409</v>
      </c>
      <c r="E34" s="89"/>
      <c r="F34" s="89"/>
      <c r="G34" s="89"/>
      <c r="H34" s="89"/>
      <c r="I34" s="89"/>
      <c r="J34" s="89"/>
      <c r="K34" s="94"/>
    </row>
    <row r="35" spans="1:11" ht="26.1" customHeight="1" x14ac:dyDescent="0.25">
      <c r="A35" s="87"/>
      <c r="B35" s="86"/>
      <c r="C35" s="83"/>
      <c r="D35" s="92"/>
      <c r="E35" s="112"/>
      <c r="F35" s="104"/>
      <c r="G35" s="104"/>
      <c r="H35" s="104"/>
      <c r="I35" s="104"/>
      <c r="J35" s="104"/>
      <c r="K35" s="94"/>
    </row>
    <row r="36" spans="1:11" ht="26.1" customHeight="1" x14ac:dyDescent="0.25">
      <c r="A36" s="87"/>
      <c r="B36" s="337">
        <v>17</v>
      </c>
      <c r="C36" s="88" t="s">
        <v>496</v>
      </c>
      <c r="D36" s="289" t="s">
        <v>410</v>
      </c>
      <c r="E36" s="89"/>
      <c r="F36" s="89"/>
      <c r="G36" s="89"/>
      <c r="H36" s="89"/>
      <c r="I36" s="89"/>
      <c r="J36" s="89"/>
      <c r="K36" s="94"/>
    </row>
    <row r="37" spans="1:11" ht="26.1" customHeight="1" x14ac:dyDescent="0.25">
      <c r="B37" s="106"/>
      <c r="C37" s="88" t="s">
        <v>499</v>
      </c>
      <c r="D37" s="289" t="s">
        <v>411</v>
      </c>
      <c r="E37" s="113">
        <f t="shared" ref="E37:J37" si="3">+E34+E36</f>
        <v>0</v>
      </c>
      <c r="F37" s="97">
        <f t="shared" si="3"/>
        <v>0</v>
      </c>
      <c r="G37" s="97">
        <f t="shared" si="3"/>
        <v>0</v>
      </c>
      <c r="H37" s="97">
        <f t="shared" si="3"/>
        <v>0</v>
      </c>
      <c r="I37" s="97">
        <f t="shared" si="3"/>
        <v>0</v>
      </c>
      <c r="J37" s="97">
        <f t="shared" si="3"/>
        <v>0</v>
      </c>
      <c r="K37" s="94"/>
    </row>
    <row r="38" spans="1:11" ht="26.1" customHeight="1" x14ac:dyDescent="0.25">
      <c r="B38" s="86"/>
      <c r="C38" s="102"/>
      <c r="D38" s="103"/>
      <c r="E38" s="114"/>
      <c r="F38" s="115"/>
      <c r="G38" s="114"/>
      <c r="H38" s="114"/>
      <c r="I38" s="114"/>
      <c r="J38" s="343"/>
      <c r="K38" s="94"/>
    </row>
    <row r="39" spans="1:11" ht="26.1" customHeight="1" x14ac:dyDescent="0.25">
      <c r="B39" s="337">
        <v>18</v>
      </c>
      <c r="C39" s="88" t="s">
        <v>497</v>
      </c>
      <c r="D39" s="289" t="s">
        <v>412</v>
      </c>
      <c r="E39" s="89"/>
      <c r="F39" s="89"/>
      <c r="G39" s="89"/>
      <c r="H39" s="89"/>
      <c r="I39" s="89"/>
      <c r="J39" s="89"/>
      <c r="K39" s="94"/>
    </row>
    <row r="40" spans="1:11" ht="26.1" customHeight="1" x14ac:dyDescent="0.25">
      <c r="C40" s="88" t="s">
        <v>498</v>
      </c>
      <c r="D40" s="289" t="s">
        <v>413</v>
      </c>
      <c r="E40" s="97">
        <f t="shared" ref="E40:J40" si="4">+E34+E39</f>
        <v>0</v>
      </c>
      <c r="F40" s="97">
        <f t="shared" si="4"/>
        <v>0</v>
      </c>
      <c r="G40" s="97">
        <f t="shared" si="4"/>
        <v>0</v>
      </c>
      <c r="H40" s="97">
        <f t="shared" si="4"/>
        <v>0</v>
      </c>
      <c r="I40" s="97">
        <f t="shared" si="4"/>
        <v>0</v>
      </c>
      <c r="J40" s="97">
        <f t="shared" si="4"/>
        <v>0</v>
      </c>
      <c r="K40" s="94"/>
    </row>
    <row r="41" spans="1:11" ht="26.1" customHeight="1" x14ac:dyDescent="0.25">
      <c r="D41" s="344"/>
      <c r="K41" s="94"/>
    </row>
    <row r="42" spans="1:11" ht="26.1" customHeight="1" x14ac:dyDescent="0.25">
      <c r="B42" s="337">
        <v>19</v>
      </c>
      <c r="C42" s="88" t="s">
        <v>479</v>
      </c>
      <c r="D42" s="289" t="s">
        <v>414</v>
      </c>
      <c r="E42" s="102"/>
      <c r="F42" s="89"/>
      <c r="G42" s="89"/>
      <c r="H42" s="89"/>
      <c r="I42" s="89"/>
      <c r="J42" s="89"/>
      <c r="K42" s="94"/>
    </row>
    <row r="43" spans="1:11" ht="26.1" customHeight="1" x14ac:dyDescent="0.25">
      <c r="B43" s="337">
        <v>20</v>
      </c>
      <c r="C43" s="88" t="s">
        <v>480</v>
      </c>
      <c r="D43" s="289" t="s">
        <v>415</v>
      </c>
      <c r="E43" s="102"/>
      <c r="F43" s="89"/>
      <c r="G43" s="89"/>
      <c r="H43" s="89"/>
      <c r="I43" s="89"/>
      <c r="J43" s="89"/>
      <c r="K43" s="94"/>
    </row>
    <row r="44" spans="1:11" ht="26.1" customHeight="1" x14ac:dyDescent="0.25">
      <c r="A44" s="87"/>
      <c r="B44" s="116"/>
      <c r="C44" s="117"/>
      <c r="D44" s="118"/>
      <c r="E44" s="117"/>
      <c r="F44" s="117"/>
      <c r="G44" s="117"/>
      <c r="H44" s="117"/>
      <c r="I44" s="117"/>
      <c r="J44" s="117"/>
      <c r="K44" s="94"/>
    </row>
    <row r="45" spans="1:11" ht="26.1" customHeight="1" x14ac:dyDescent="0.25">
      <c r="A45" s="87"/>
      <c r="B45" s="337">
        <v>21</v>
      </c>
      <c r="C45" s="88" t="s">
        <v>481</v>
      </c>
      <c r="D45" s="289" t="s">
        <v>416</v>
      </c>
      <c r="E45" s="102"/>
      <c r="F45" s="89"/>
      <c r="G45" s="89"/>
      <c r="H45" s="89"/>
      <c r="I45" s="89"/>
      <c r="J45" s="89"/>
      <c r="K45" s="94"/>
    </row>
    <row r="46" spans="1:11" ht="26.1" customHeight="1" x14ac:dyDescent="0.25">
      <c r="A46" s="87"/>
      <c r="B46" s="106"/>
      <c r="C46" s="88" t="s">
        <v>482</v>
      </c>
      <c r="D46" s="289" t="s">
        <v>417</v>
      </c>
      <c r="E46" s="102"/>
      <c r="F46" s="119" t="e">
        <f>F45/F42</f>
        <v>#DIV/0!</v>
      </c>
      <c r="G46" s="119" t="e">
        <f>G45/G42</f>
        <v>#DIV/0!</v>
      </c>
      <c r="H46" s="119" t="e">
        <f>H45/H42</f>
        <v>#DIV/0!</v>
      </c>
      <c r="I46" s="119" t="e">
        <f>I45/I42</f>
        <v>#DIV/0!</v>
      </c>
      <c r="J46" s="119" t="e">
        <f>J45/J42</f>
        <v>#DIV/0!</v>
      </c>
      <c r="K46" s="94"/>
    </row>
    <row r="47" spans="1:11" ht="26.1" customHeight="1" x14ac:dyDescent="0.25">
      <c r="A47" s="87"/>
      <c r="B47" s="337">
        <v>22</v>
      </c>
      <c r="C47" s="88" t="s">
        <v>483</v>
      </c>
      <c r="D47" s="289" t="s">
        <v>418</v>
      </c>
      <c r="E47" s="102"/>
      <c r="F47" s="89"/>
      <c r="G47" s="89"/>
      <c r="H47" s="89"/>
      <c r="I47" s="89"/>
      <c r="J47" s="89"/>
      <c r="K47" s="120"/>
    </row>
    <row r="48" spans="1:11" ht="26.1" customHeight="1" x14ac:dyDescent="0.25">
      <c r="A48" s="87"/>
      <c r="B48" s="106"/>
      <c r="C48" s="88" t="s">
        <v>484</v>
      </c>
      <c r="D48" s="289" t="s">
        <v>419</v>
      </c>
      <c r="E48" s="102"/>
      <c r="F48" s="119" t="e">
        <f>F47/F43</f>
        <v>#DIV/0!</v>
      </c>
      <c r="G48" s="119" t="e">
        <f>G47/G43</f>
        <v>#DIV/0!</v>
      </c>
      <c r="H48" s="119" t="e">
        <f>H47/H43</f>
        <v>#DIV/0!</v>
      </c>
      <c r="I48" s="119" t="e">
        <f>I47/I43</f>
        <v>#DIV/0!</v>
      </c>
      <c r="J48" s="119" t="e">
        <f>J47/J43</f>
        <v>#DIV/0!</v>
      </c>
      <c r="K48" s="94"/>
    </row>
    <row r="49" spans="1:11" ht="26.1" customHeight="1" x14ac:dyDescent="0.25">
      <c r="A49" s="87"/>
      <c r="B49" s="337">
        <v>23</v>
      </c>
      <c r="C49" s="88" t="s">
        <v>485</v>
      </c>
      <c r="D49" s="289" t="s">
        <v>420</v>
      </c>
      <c r="E49" s="102"/>
      <c r="F49" s="89"/>
      <c r="G49" s="89"/>
      <c r="H49" s="89"/>
      <c r="I49" s="89"/>
      <c r="J49" s="89"/>
      <c r="K49" s="94"/>
    </row>
    <row r="50" spans="1:11" ht="26.1" customHeight="1" x14ac:dyDescent="0.25">
      <c r="A50" s="87"/>
      <c r="B50" s="106"/>
      <c r="C50" s="88" t="s">
        <v>486</v>
      </c>
      <c r="D50" s="289" t="s">
        <v>440</v>
      </c>
      <c r="E50" s="102"/>
      <c r="F50" s="119" t="e">
        <f>F49/F42</f>
        <v>#DIV/0!</v>
      </c>
      <c r="G50" s="119" t="e">
        <f>G49/G42</f>
        <v>#DIV/0!</v>
      </c>
      <c r="H50" s="119" t="e">
        <f>H49/H42</f>
        <v>#DIV/0!</v>
      </c>
      <c r="I50" s="119" t="e">
        <f>I49/I42</f>
        <v>#DIV/0!</v>
      </c>
      <c r="J50" s="119" t="e">
        <f>J49/J42</f>
        <v>#DIV/0!</v>
      </c>
      <c r="K50" s="94"/>
    </row>
    <row r="51" spans="1:11" ht="26.1" customHeight="1" x14ac:dyDescent="0.25">
      <c r="A51" s="87"/>
      <c r="B51" s="337">
        <v>24</v>
      </c>
      <c r="C51" s="88" t="s">
        <v>487</v>
      </c>
      <c r="D51" s="289" t="s">
        <v>441</v>
      </c>
      <c r="E51" s="102"/>
      <c r="F51" s="89"/>
      <c r="G51" s="89"/>
      <c r="H51" s="89"/>
      <c r="I51" s="89"/>
      <c r="J51" s="89"/>
      <c r="K51" s="94"/>
    </row>
    <row r="52" spans="1:11" ht="26.1" customHeight="1" x14ac:dyDescent="0.25">
      <c r="A52" s="87"/>
      <c r="B52" s="106"/>
      <c r="C52" s="88" t="s">
        <v>488</v>
      </c>
      <c r="D52" s="289" t="s">
        <v>442</v>
      </c>
      <c r="E52" s="102"/>
      <c r="F52" s="119" t="e">
        <f>F51/F43</f>
        <v>#DIV/0!</v>
      </c>
      <c r="G52" s="119" t="e">
        <f>G51/G43</f>
        <v>#DIV/0!</v>
      </c>
      <c r="H52" s="119" t="e">
        <f>H51/H43</f>
        <v>#DIV/0!</v>
      </c>
      <c r="I52" s="119" t="e">
        <f>I51/I43</f>
        <v>#DIV/0!</v>
      </c>
      <c r="J52" s="119" t="e">
        <f>J51/J43</f>
        <v>#DIV/0!</v>
      </c>
      <c r="K52" s="94"/>
    </row>
    <row r="53" spans="1:11" ht="15" customHeight="1" thickBot="1" x14ac:dyDescent="0.3">
      <c r="A53" s="81"/>
      <c r="B53" s="86"/>
      <c r="C53" s="102"/>
      <c r="D53" s="102"/>
      <c r="E53" s="102"/>
      <c r="F53" s="102"/>
      <c r="G53" s="102"/>
      <c r="H53" s="102"/>
      <c r="I53" s="102"/>
      <c r="J53" s="102"/>
      <c r="K53" s="94"/>
    </row>
    <row r="54" spans="1:11" ht="21.75" customHeight="1" thickBot="1" x14ac:dyDescent="0.3">
      <c r="A54" s="81"/>
      <c r="B54" s="331" t="s">
        <v>489</v>
      </c>
      <c r="C54" s="332"/>
      <c r="D54" s="332"/>
      <c r="E54" s="332"/>
      <c r="F54" s="332"/>
      <c r="G54" s="332"/>
      <c r="H54" s="332"/>
      <c r="I54" s="332"/>
      <c r="J54" s="333"/>
      <c r="K54" s="94"/>
    </row>
    <row r="55" spans="1:11" ht="15" customHeight="1" x14ac:dyDescent="0.25">
      <c r="A55" s="81"/>
      <c r="B55" s="121"/>
      <c r="C55" s="102"/>
      <c r="D55" s="102"/>
      <c r="E55" s="85"/>
      <c r="K55" s="94"/>
    </row>
    <row r="56" spans="1:11" ht="15" customHeight="1" x14ac:dyDescent="0.25">
      <c r="A56" s="81"/>
      <c r="B56" s="345" t="s">
        <v>490</v>
      </c>
      <c r="C56" s="346"/>
      <c r="D56" s="346"/>
      <c r="E56" s="346"/>
      <c r="F56" s="346"/>
      <c r="G56" s="346"/>
      <c r="H56" s="346"/>
      <c r="I56" s="346"/>
      <c r="J56" s="347"/>
      <c r="K56" s="94"/>
    </row>
    <row r="57" spans="1:11" ht="15.75" customHeight="1" x14ac:dyDescent="0.25">
      <c r="A57" s="81"/>
      <c r="B57" s="348" t="s">
        <v>535</v>
      </c>
      <c r="C57" s="349"/>
      <c r="D57" s="349"/>
      <c r="E57" s="349"/>
      <c r="F57" s="349"/>
      <c r="G57" s="349"/>
      <c r="H57" s="349"/>
      <c r="I57" s="349"/>
      <c r="J57" s="350"/>
      <c r="K57" s="94"/>
    </row>
    <row r="58" spans="1:11" ht="15.75" x14ac:dyDescent="0.25">
      <c r="A58" s="81"/>
      <c r="B58" s="351"/>
      <c r="C58" s="352"/>
      <c r="D58" s="352"/>
      <c r="E58" s="352"/>
      <c r="F58" s="352"/>
      <c r="G58" s="352"/>
      <c r="H58" s="352"/>
      <c r="I58" s="352"/>
      <c r="J58" s="353"/>
      <c r="K58" s="94"/>
    </row>
    <row r="59" spans="1:11" s="354" customFormat="1" ht="15.75" x14ac:dyDescent="0.25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4"/>
    </row>
    <row r="60" spans="1:11" s="354" customFormat="1" ht="15.75" x14ac:dyDescent="0.25">
      <c r="A60" s="122"/>
      <c r="B60" s="124"/>
      <c r="C60" s="124"/>
      <c r="D60" s="124"/>
      <c r="E60" s="341" t="s">
        <v>392</v>
      </c>
      <c r="F60" s="124"/>
      <c r="G60" s="124"/>
      <c r="H60" s="124"/>
      <c r="I60" s="124"/>
      <c r="J60" s="124"/>
      <c r="K60" s="124"/>
    </row>
    <row r="61" spans="1:11" s="354" customFormat="1" ht="15.75" customHeight="1" x14ac:dyDescent="0.25">
      <c r="A61" s="122"/>
      <c r="B61" s="345" t="s">
        <v>532</v>
      </c>
      <c r="C61" s="346"/>
      <c r="D61" s="289" t="s">
        <v>443</v>
      </c>
      <c r="E61" s="125"/>
      <c r="F61" s="126"/>
      <c r="G61" s="126"/>
      <c r="H61" s="126"/>
      <c r="I61" s="126"/>
      <c r="J61" s="126"/>
      <c r="K61" s="124"/>
    </row>
    <row r="62" spans="1:11" s="354" customFormat="1" ht="43.5" customHeight="1" x14ac:dyDescent="0.25">
      <c r="A62" s="122"/>
      <c r="B62" s="199" t="s">
        <v>531</v>
      </c>
      <c r="C62" s="199"/>
      <c r="D62" s="289" t="s">
        <v>444</v>
      </c>
      <c r="E62" s="127"/>
      <c r="F62" s="126"/>
      <c r="G62" s="126"/>
      <c r="H62" s="126"/>
      <c r="I62" s="126"/>
      <c r="J62" s="126"/>
      <c r="K62" s="124"/>
    </row>
    <row r="63" spans="1:11" s="354" customFormat="1" ht="78" customHeight="1" x14ac:dyDescent="0.25">
      <c r="A63" s="122"/>
      <c r="B63" s="345" t="s">
        <v>507</v>
      </c>
      <c r="C63" s="346"/>
      <c r="D63" s="289" t="s">
        <v>445</v>
      </c>
      <c r="E63" s="127" t="s">
        <v>354</v>
      </c>
      <c r="F63" s="126"/>
      <c r="G63" s="126"/>
      <c r="H63" s="126"/>
      <c r="I63" s="126"/>
      <c r="J63" s="126"/>
      <c r="K63" s="124"/>
    </row>
    <row r="64" spans="1:11" s="354" customFormat="1" ht="33" customHeight="1" x14ac:dyDescent="0.25">
      <c r="A64" s="122"/>
      <c r="B64" s="355" t="s">
        <v>533</v>
      </c>
      <c r="C64" s="355"/>
      <c r="D64" s="209"/>
      <c r="E64" s="209"/>
      <c r="F64" s="209"/>
      <c r="G64" s="209"/>
      <c r="H64" s="209"/>
      <c r="I64" s="209"/>
      <c r="J64" s="209"/>
      <c r="K64" s="124"/>
    </row>
    <row r="65" spans="1:11" s="354" customFormat="1" ht="15.75" x14ac:dyDescent="0.25">
      <c r="A65" s="122"/>
      <c r="B65" s="199" t="s">
        <v>491</v>
      </c>
      <c r="C65" s="199"/>
      <c r="D65" s="342" t="s">
        <v>446</v>
      </c>
      <c r="E65" s="125"/>
      <c r="F65" s="209"/>
      <c r="G65" s="209"/>
      <c r="H65" s="209"/>
      <c r="I65" s="209"/>
      <c r="J65" s="209"/>
      <c r="K65" s="124"/>
    </row>
    <row r="66" spans="1:11" s="354" customFormat="1" ht="15.75" x14ac:dyDescent="0.25">
      <c r="A66" s="122"/>
      <c r="B66" s="199" t="s">
        <v>492</v>
      </c>
      <c r="C66" s="199"/>
      <c r="D66" s="342" t="s">
        <v>447</v>
      </c>
      <c r="E66" s="127" t="s">
        <v>354</v>
      </c>
      <c r="F66" s="209"/>
      <c r="G66" s="209"/>
      <c r="H66" s="209"/>
      <c r="I66" s="209"/>
      <c r="J66" s="209"/>
      <c r="K66" s="128"/>
    </row>
    <row r="67" spans="1:11" s="354" customFormat="1" ht="15.75" x14ac:dyDescent="0.25">
      <c r="A67" s="122"/>
      <c r="B67" s="199" t="s">
        <v>493</v>
      </c>
      <c r="C67" s="199"/>
      <c r="D67" s="342" t="s">
        <v>508</v>
      </c>
      <c r="E67" s="125"/>
      <c r="F67" s="209"/>
      <c r="G67" s="209"/>
      <c r="H67" s="209"/>
      <c r="I67" s="209"/>
      <c r="J67" s="209"/>
      <c r="K67" s="128"/>
    </row>
    <row r="68" spans="1:11" s="354" customFormat="1" ht="15.75" x14ac:dyDescent="0.25">
      <c r="A68" s="122"/>
      <c r="B68" s="199" t="s">
        <v>492</v>
      </c>
      <c r="C68" s="199"/>
      <c r="D68" s="342" t="s">
        <v>509</v>
      </c>
      <c r="E68" s="127" t="s">
        <v>354</v>
      </c>
      <c r="F68" s="209"/>
      <c r="G68" s="209"/>
      <c r="H68" s="209"/>
      <c r="I68" s="209"/>
      <c r="J68" s="209"/>
      <c r="K68" s="124"/>
    </row>
    <row r="69" spans="1:11" s="354" customFormat="1" ht="15.75" customHeight="1" x14ac:dyDescent="0.25">
      <c r="A69" s="122"/>
      <c r="B69" s="345" t="s">
        <v>510</v>
      </c>
      <c r="C69" s="346"/>
      <c r="D69" s="342" t="s">
        <v>511</v>
      </c>
      <c r="E69" s="125"/>
      <c r="F69" s="209"/>
      <c r="G69" s="209"/>
      <c r="H69" s="209"/>
      <c r="I69" s="209"/>
      <c r="J69" s="209"/>
      <c r="K69" s="124"/>
    </row>
    <row r="70" spans="1:11" s="354" customFormat="1" ht="70.349999999999994" customHeight="1" x14ac:dyDescent="0.25">
      <c r="A70" s="122"/>
      <c r="B70" s="199" t="s">
        <v>512</v>
      </c>
      <c r="C70" s="199"/>
      <c r="D70" s="342" t="s">
        <v>513</v>
      </c>
      <c r="E70" s="127"/>
      <c r="F70" s="209"/>
      <c r="G70" s="209"/>
      <c r="H70" s="209"/>
      <c r="I70" s="209"/>
      <c r="J70" s="209"/>
      <c r="K70" s="124"/>
    </row>
    <row r="71" spans="1:11" s="354" customFormat="1" ht="37.5" customHeight="1" x14ac:dyDescent="0.25">
      <c r="A71" s="122"/>
      <c r="B71" s="345" t="s">
        <v>514</v>
      </c>
      <c r="C71" s="346"/>
      <c r="D71" s="342" t="s">
        <v>515</v>
      </c>
      <c r="E71" s="125"/>
      <c r="F71" s="209"/>
      <c r="G71" s="209"/>
      <c r="H71" s="209"/>
      <c r="I71" s="209"/>
      <c r="J71" s="209"/>
      <c r="K71" s="124"/>
    </row>
    <row r="72" spans="1:11" s="354" customFormat="1" ht="70.349999999999994" customHeight="1" x14ac:dyDescent="0.25">
      <c r="A72" s="122"/>
      <c r="B72" s="199" t="s">
        <v>516</v>
      </c>
      <c r="C72" s="199"/>
      <c r="D72" s="342" t="s">
        <v>517</v>
      </c>
      <c r="E72" s="127" t="s">
        <v>354</v>
      </c>
      <c r="F72" s="209"/>
      <c r="G72" s="209"/>
      <c r="H72" s="209"/>
      <c r="I72" s="209"/>
      <c r="J72" s="209"/>
      <c r="K72" s="124"/>
    </row>
    <row r="73" spans="1:11" s="354" customFormat="1" ht="38.25" customHeight="1" x14ac:dyDescent="0.25">
      <c r="A73" s="122"/>
      <c r="B73" s="345" t="s">
        <v>518</v>
      </c>
      <c r="C73" s="346"/>
      <c r="D73" s="342" t="s">
        <v>519</v>
      </c>
      <c r="E73" s="125"/>
      <c r="F73" s="209"/>
      <c r="G73" s="209"/>
      <c r="H73" s="209"/>
      <c r="I73" s="209"/>
      <c r="J73" s="209"/>
      <c r="K73" s="129"/>
    </row>
    <row r="74" spans="1:11" s="354" customFormat="1" ht="70.349999999999994" customHeight="1" x14ac:dyDescent="0.25">
      <c r="A74" s="122"/>
      <c r="B74" s="199" t="s">
        <v>534</v>
      </c>
      <c r="C74" s="199"/>
      <c r="D74" s="342" t="s">
        <v>520</v>
      </c>
      <c r="E74" s="127" t="s">
        <v>354</v>
      </c>
      <c r="F74" s="209"/>
      <c r="G74" s="209"/>
      <c r="H74" s="209"/>
      <c r="I74" s="209"/>
      <c r="J74" s="209"/>
      <c r="K74" s="129"/>
    </row>
    <row r="75" spans="1:11" s="354" customFormat="1" ht="69.75" customHeight="1" x14ac:dyDescent="0.25">
      <c r="A75" s="122"/>
      <c r="B75" s="345" t="s">
        <v>526</v>
      </c>
      <c r="C75" s="346"/>
      <c r="F75" s="209"/>
      <c r="G75" s="209"/>
      <c r="H75" s="209"/>
      <c r="I75" s="209"/>
      <c r="J75" s="209"/>
      <c r="K75" s="129"/>
    </row>
    <row r="76" spans="1:11" s="354" customFormat="1" ht="69.75" customHeight="1" x14ac:dyDescent="0.25">
      <c r="A76" s="122"/>
      <c r="B76" s="199" t="s">
        <v>523</v>
      </c>
      <c r="C76" s="199"/>
      <c r="D76" s="289" t="s">
        <v>521</v>
      </c>
      <c r="E76" s="127" t="s">
        <v>354</v>
      </c>
      <c r="F76" s="209"/>
      <c r="G76" s="209"/>
      <c r="H76" s="209"/>
      <c r="I76" s="209"/>
      <c r="J76" s="209"/>
      <c r="K76" s="129"/>
    </row>
    <row r="77" spans="1:11" s="354" customFormat="1" ht="69.75" customHeight="1" x14ac:dyDescent="0.25">
      <c r="A77" s="122"/>
      <c r="B77" s="199" t="s">
        <v>524</v>
      </c>
      <c r="C77" s="199"/>
      <c r="D77" s="289" t="s">
        <v>522</v>
      </c>
      <c r="E77" s="127" t="s">
        <v>354</v>
      </c>
      <c r="F77" s="209"/>
      <c r="G77" s="209"/>
      <c r="H77" s="209"/>
      <c r="I77" s="209"/>
      <c r="J77" s="209"/>
      <c r="K77" s="124"/>
    </row>
    <row r="78" spans="1:11" ht="15.75" hidden="1" x14ac:dyDescent="0.25">
      <c r="B78" s="199" t="s">
        <v>494</v>
      </c>
      <c r="C78" s="199"/>
      <c r="D78" s="342" t="s">
        <v>520</v>
      </c>
      <c r="E78" s="127" t="s">
        <v>354</v>
      </c>
    </row>
    <row r="79" spans="1:11" x14ac:dyDescent="0.25"/>
    <row r="80" spans="1:11" x14ac:dyDescent="0.25"/>
    <row r="81" s="209" customFormat="1" x14ac:dyDescent="0.25"/>
  </sheetData>
  <mergeCells count="27">
    <mergeCell ref="B2:J2"/>
    <mergeCell ref="B3:E3"/>
    <mergeCell ref="B4:E4"/>
    <mergeCell ref="F6:J6"/>
    <mergeCell ref="B8:B9"/>
    <mergeCell ref="C8:C9"/>
    <mergeCell ref="B68:C68"/>
    <mergeCell ref="B54:J54"/>
    <mergeCell ref="B56:J56"/>
    <mergeCell ref="B57:J58"/>
    <mergeCell ref="B61:C61"/>
    <mergeCell ref="B62:C62"/>
    <mergeCell ref="B63:C63"/>
    <mergeCell ref="B64:C64"/>
    <mergeCell ref="B65:C65"/>
    <mergeCell ref="B66:C66"/>
    <mergeCell ref="B67:C67"/>
    <mergeCell ref="B75:C75"/>
    <mergeCell ref="B78:C78"/>
    <mergeCell ref="B76:C76"/>
    <mergeCell ref="B77:C77"/>
    <mergeCell ref="B69:C69"/>
    <mergeCell ref="B70:C70"/>
    <mergeCell ref="B71:C71"/>
    <mergeCell ref="B72:C72"/>
    <mergeCell ref="B73:C73"/>
    <mergeCell ref="B74:C74"/>
  </mergeCells>
  <dataValidations count="5">
    <dataValidation type="list" allowBlank="1" showInputMessage="1" showErrorMessage="1" sqref="E65 E67" xr:uid="{5C04AF55-F731-4840-94F6-CC1567AE93BC}">
      <formula1>"Unconditional cash flows, Cash flows partially or fully conditional on interest rate scenario"</formula1>
    </dataValidation>
    <dataValidation type="whole" allowBlank="1" showInputMessage="1" showErrorMessage="1" error="Value must be between 100 bps and 300 bps for the size of the Long term shock according to the Annex III of the EBA/GL/2018/02." sqref="F15:I15" xr:uid="{D2CC1B9D-B831-4506-ADB4-54359BC2236F}">
      <formula1>100</formula1>
      <formula2>300</formula2>
    </dataValidation>
    <dataValidation type="whole" allowBlank="1" showInputMessage="1" showErrorMessage="1" error="Value must be between 100 bps and 500 bps for the size of the Short term shock according to the Annex III of the EBA/GL/2018/02." sqref="F14:I14" xr:uid="{877BB1D7-26D0-4181-B39C-E052214F0113}">
      <formula1>100</formula1>
      <formula2>500</formula2>
    </dataValidation>
    <dataValidation type="whole" allowBlank="1" showInputMessage="1" showErrorMessage="1" error="Value must be between 100 bps and 400 bps for the size of the Parallel shock according to the Annex III of the EBA/GL/2018/02." sqref="F13:I13" xr:uid="{8B883760-A93D-48B6-A59B-AC6C146BA7DB}">
      <formula1>100</formula1>
      <formula2>400</formula2>
    </dataValidation>
    <dataValidation type="list" allowBlank="1" showInputMessage="1" showErrorMessage="1" sqref="E61 E69 E71 E73" xr:uid="{3C58109D-14A2-4332-B78F-5CB4944CB368}">
      <formula1>"Yes, 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2:F279"/>
  <sheetViews>
    <sheetView workbookViewId="0">
      <selection activeCell="A10" sqref="A10"/>
    </sheetView>
  </sheetViews>
  <sheetFormatPr defaultColWidth="8.85546875" defaultRowHeight="15" x14ac:dyDescent="0.25"/>
  <cols>
    <col min="1" max="1" width="2.5703125" style="1" customWidth="1"/>
    <col min="2" max="2" width="43.42578125" style="1" customWidth="1"/>
    <col min="3" max="5" width="11.5703125" style="1" customWidth="1"/>
    <col min="6" max="16384" width="8.85546875" style="1"/>
  </cols>
  <sheetData>
    <row r="2" spans="1:6" ht="15.75" thickBot="1" x14ac:dyDescent="0.3"/>
    <row r="3" spans="1:6" x14ac:dyDescent="0.25">
      <c r="A3" s="17"/>
      <c r="B3" s="21" t="s">
        <v>183</v>
      </c>
      <c r="C3" s="202" t="s">
        <v>186</v>
      </c>
      <c r="D3" s="202"/>
      <c r="E3" s="203"/>
      <c r="F3" s="17"/>
    </row>
    <row r="4" spans="1:6" x14ac:dyDescent="0.25">
      <c r="A4" s="17"/>
      <c r="B4" s="18" t="s">
        <v>184</v>
      </c>
      <c r="C4" s="28" t="s">
        <v>180</v>
      </c>
      <c r="D4" s="28" t="s">
        <v>181</v>
      </c>
      <c r="E4" s="29" t="s">
        <v>182</v>
      </c>
      <c r="F4" s="17"/>
    </row>
    <row r="5" spans="1:6" x14ac:dyDescent="0.25">
      <c r="A5" s="17"/>
      <c r="B5" s="19" t="s">
        <v>185</v>
      </c>
      <c r="C5" s="22"/>
      <c r="D5" s="22"/>
      <c r="E5" s="23"/>
      <c r="F5" s="17"/>
    </row>
    <row r="6" spans="1:6" x14ac:dyDescent="0.25">
      <c r="A6" s="17"/>
      <c r="B6" s="19" t="s">
        <v>168</v>
      </c>
      <c r="C6" s="22"/>
      <c r="D6" s="22"/>
      <c r="E6" s="23"/>
      <c r="F6" s="17"/>
    </row>
    <row r="7" spans="1:6" x14ac:dyDescent="0.25">
      <c r="A7" s="17"/>
      <c r="B7" s="19" t="s">
        <v>49</v>
      </c>
      <c r="C7" s="22"/>
      <c r="D7" s="22"/>
      <c r="E7" s="23"/>
      <c r="F7" s="17"/>
    </row>
    <row r="8" spans="1:6" x14ac:dyDescent="0.25">
      <c r="A8" s="17"/>
      <c r="B8" s="19" t="s">
        <v>13</v>
      </c>
      <c r="C8" s="22"/>
      <c r="D8" s="22"/>
      <c r="E8" s="23"/>
      <c r="F8" s="17"/>
    </row>
    <row r="9" spans="1:6" x14ac:dyDescent="0.25">
      <c r="A9" s="17"/>
      <c r="B9" s="19" t="s">
        <v>52</v>
      </c>
      <c r="C9" s="22"/>
      <c r="D9" s="22"/>
      <c r="E9" s="23"/>
      <c r="F9" s="17"/>
    </row>
    <row r="10" spans="1:6" x14ac:dyDescent="0.25">
      <c r="A10" s="17"/>
      <c r="B10" s="19" t="s">
        <v>82</v>
      </c>
      <c r="C10" s="22"/>
      <c r="D10" s="22"/>
      <c r="E10" s="23"/>
      <c r="F10" s="17"/>
    </row>
    <row r="11" spans="1:6" x14ac:dyDescent="0.25">
      <c r="A11" s="17"/>
      <c r="B11" s="19" t="s">
        <v>51</v>
      </c>
      <c r="C11" s="22"/>
      <c r="D11" s="22"/>
      <c r="E11" s="23"/>
      <c r="F11" s="17"/>
    </row>
    <row r="12" spans="1:6" x14ac:dyDescent="0.25">
      <c r="A12" s="17"/>
      <c r="B12" s="19" t="s">
        <v>17</v>
      </c>
      <c r="C12" s="22">
        <v>400</v>
      </c>
      <c r="D12" s="22">
        <v>500</v>
      </c>
      <c r="E12" s="23">
        <v>300</v>
      </c>
      <c r="F12" s="17"/>
    </row>
    <row r="13" spans="1:6" x14ac:dyDescent="0.25">
      <c r="A13" s="17"/>
      <c r="B13" s="19" t="s">
        <v>10</v>
      </c>
      <c r="C13" s="22">
        <v>300</v>
      </c>
      <c r="D13" s="22">
        <v>450</v>
      </c>
      <c r="E13" s="23">
        <v>200</v>
      </c>
      <c r="F13" s="17"/>
    </row>
    <row r="14" spans="1:6" x14ac:dyDescent="0.25">
      <c r="A14" s="17"/>
      <c r="B14" s="19" t="s">
        <v>53</v>
      </c>
      <c r="C14" s="22"/>
      <c r="D14" s="22"/>
      <c r="E14" s="23"/>
      <c r="F14" s="17"/>
    </row>
    <row r="15" spans="1:6" x14ac:dyDescent="0.25">
      <c r="A15" s="17"/>
      <c r="B15" s="19" t="s">
        <v>54</v>
      </c>
      <c r="C15" s="22"/>
      <c r="D15" s="22"/>
      <c r="E15" s="23"/>
      <c r="F15" s="17"/>
    </row>
    <row r="16" spans="1:6" x14ac:dyDescent="0.25">
      <c r="A16" s="17"/>
      <c r="B16" s="19" t="s">
        <v>66</v>
      </c>
      <c r="C16" s="22"/>
      <c r="D16" s="22"/>
      <c r="E16" s="23"/>
      <c r="F16" s="17"/>
    </row>
    <row r="17" spans="1:6" x14ac:dyDescent="0.25">
      <c r="A17" s="17"/>
      <c r="B17" s="19" t="s">
        <v>58</v>
      </c>
      <c r="C17" s="22"/>
      <c r="D17" s="22"/>
      <c r="E17" s="23"/>
      <c r="F17" s="17"/>
    </row>
    <row r="18" spans="1:6" x14ac:dyDescent="0.25">
      <c r="A18" s="17"/>
      <c r="B18" s="19" t="s">
        <v>57</v>
      </c>
      <c r="C18" s="22"/>
      <c r="D18" s="22"/>
      <c r="E18" s="23"/>
      <c r="F18" s="17"/>
    </row>
    <row r="19" spans="1:6" x14ac:dyDescent="0.25">
      <c r="A19" s="17"/>
      <c r="B19" s="19" t="s">
        <v>30</v>
      </c>
      <c r="C19" s="22">
        <v>250</v>
      </c>
      <c r="D19" s="22">
        <v>350</v>
      </c>
      <c r="E19" s="23">
        <v>150</v>
      </c>
      <c r="F19" s="17"/>
    </row>
    <row r="20" spans="1:6" x14ac:dyDescent="0.25">
      <c r="A20" s="17"/>
      <c r="B20" s="19" t="s">
        <v>56</v>
      </c>
      <c r="C20" s="22"/>
      <c r="D20" s="22"/>
      <c r="E20" s="23"/>
      <c r="F20" s="17"/>
    </row>
    <row r="21" spans="1:6" x14ac:dyDescent="0.25">
      <c r="A21" s="17"/>
      <c r="B21" s="19" t="s">
        <v>69</v>
      </c>
      <c r="C21" s="22"/>
      <c r="D21" s="22"/>
      <c r="E21" s="23"/>
      <c r="F21" s="17"/>
    </row>
    <row r="22" spans="1:6" x14ac:dyDescent="0.25">
      <c r="A22" s="17"/>
      <c r="B22" s="19" t="s">
        <v>61</v>
      </c>
      <c r="C22" s="22"/>
      <c r="D22" s="22"/>
      <c r="E22" s="23"/>
      <c r="F22" s="17"/>
    </row>
    <row r="23" spans="1:6" x14ac:dyDescent="0.25">
      <c r="A23" s="17"/>
      <c r="B23" s="19" t="s">
        <v>68</v>
      </c>
      <c r="C23" s="22"/>
      <c r="D23" s="22"/>
      <c r="E23" s="23"/>
      <c r="F23" s="17"/>
    </row>
    <row r="24" spans="1:6" x14ac:dyDescent="0.25">
      <c r="A24" s="17"/>
      <c r="B24" s="19" t="s">
        <v>64</v>
      </c>
      <c r="C24" s="22"/>
      <c r="D24" s="22"/>
      <c r="E24" s="23"/>
      <c r="F24" s="17"/>
    </row>
    <row r="25" spans="1:6" x14ac:dyDescent="0.25">
      <c r="A25" s="17"/>
      <c r="B25" s="19" t="s">
        <v>65</v>
      </c>
      <c r="C25" s="22"/>
      <c r="D25" s="22"/>
      <c r="E25" s="23"/>
      <c r="F25" s="17"/>
    </row>
    <row r="26" spans="1:6" x14ac:dyDescent="0.25">
      <c r="A26" s="17"/>
      <c r="B26" s="19" t="s">
        <v>18</v>
      </c>
      <c r="C26" s="22">
        <v>400</v>
      </c>
      <c r="D26" s="22">
        <v>500</v>
      </c>
      <c r="E26" s="23">
        <v>300</v>
      </c>
      <c r="F26" s="17"/>
    </row>
    <row r="27" spans="1:6" x14ac:dyDescent="0.25">
      <c r="A27" s="17"/>
      <c r="B27" s="19" t="s">
        <v>55</v>
      </c>
      <c r="C27" s="22"/>
      <c r="D27" s="22"/>
      <c r="E27" s="23"/>
      <c r="F27" s="17"/>
    </row>
    <row r="28" spans="1:6" x14ac:dyDescent="0.25">
      <c r="A28" s="17"/>
      <c r="B28" s="19" t="s">
        <v>63</v>
      </c>
      <c r="C28" s="22"/>
      <c r="D28" s="22"/>
      <c r="E28" s="23"/>
      <c r="F28" s="17"/>
    </row>
    <row r="29" spans="1:6" x14ac:dyDescent="0.25">
      <c r="A29" s="17"/>
      <c r="B29" s="19" t="s">
        <v>67</v>
      </c>
      <c r="C29" s="22"/>
      <c r="D29" s="22"/>
      <c r="E29" s="23"/>
      <c r="F29" s="17"/>
    </row>
    <row r="30" spans="1:6" x14ac:dyDescent="0.25">
      <c r="A30" s="17"/>
      <c r="B30" s="19" t="s">
        <v>59</v>
      </c>
      <c r="C30" s="22"/>
      <c r="D30" s="22"/>
      <c r="E30" s="23"/>
      <c r="F30" s="17"/>
    </row>
    <row r="31" spans="1:6" x14ac:dyDescent="0.25">
      <c r="A31" s="17"/>
      <c r="B31" s="19" t="s">
        <v>60</v>
      </c>
      <c r="C31" s="22"/>
      <c r="D31" s="22"/>
      <c r="E31" s="23"/>
      <c r="F31" s="17"/>
    </row>
    <row r="32" spans="1:6" x14ac:dyDescent="0.25">
      <c r="A32" s="17"/>
      <c r="B32" s="19" t="s">
        <v>11</v>
      </c>
      <c r="C32" s="22">
        <v>200</v>
      </c>
      <c r="D32" s="22">
        <v>300</v>
      </c>
      <c r="E32" s="23">
        <v>150</v>
      </c>
      <c r="F32" s="17"/>
    </row>
    <row r="33" spans="1:6" x14ac:dyDescent="0.25">
      <c r="A33" s="17"/>
      <c r="B33" s="19" t="s">
        <v>78</v>
      </c>
      <c r="C33" s="22"/>
      <c r="D33" s="22"/>
      <c r="E33" s="23"/>
      <c r="F33" s="17"/>
    </row>
    <row r="34" spans="1:6" x14ac:dyDescent="0.25">
      <c r="A34" s="17"/>
      <c r="B34" s="19" t="s">
        <v>157</v>
      </c>
      <c r="C34" s="22"/>
      <c r="D34" s="22"/>
      <c r="E34" s="23"/>
      <c r="F34" s="17"/>
    </row>
    <row r="35" spans="1:6" x14ac:dyDescent="0.25">
      <c r="A35" s="17"/>
      <c r="B35" s="19" t="s">
        <v>6</v>
      </c>
      <c r="C35" s="22">
        <v>100</v>
      </c>
      <c r="D35" s="22">
        <v>150</v>
      </c>
      <c r="E35" s="23">
        <v>100</v>
      </c>
      <c r="F35" s="17"/>
    </row>
    <row r="36" spans="1:6" x14ac:dyDescent="0.25">
      <c r="A36" s="17"/>
      <c r="B36" s="19" t="s">
        <v>158</v>
      </c>
      <c r="C36" s="22"/>
      <c r="D36" s="22"/>
      <c r="E36" s="23"/>
      <c r="F36" s="17"/>
    </row>
    <row r="37" spans="1:6" x14ac:dyDescent="0.25">
      <c r="A37" s="17"/>
      <c r="B37" s="19" t="s">
        <v>74</v>
      </c>
      <c r="C37" s="22"/>
      <c r="D37" s="22"/>
      <c r="E37" s="23"/>
      <c r="F37" s="17"/>
    </row>
    <row r="38" spans="1:6" x14ac:dyDescent="0.25">
      <c r="A38" s="17"/>
      <c r="B38" s="19" t="s">
        <v>73</v>
      </c>
      <c r="C38" s="22"/>
      <c r="D38" s="22"/>
      <c r="E38" s="23"/>
      <c r="F38" s="17"/>
    </row>
    <row r="39" spans="1:6" x14ac:dyDescent="0.25">
      <c r="A39" s="17"/>
      <c r="B39" s="19" t="s">
        <v>26</v>
      </c>
      <c r="C39" s="22">
        <v>250</v>
      </c>
      <c r="D39" s="22">
        <v>300</v>
      </c>
      <c r="E39" s="23">
        <v>150</v>
      </c>
      <c r="F39" s="17"/>
    </row>
    <row r="40" spans="1:6" x14ac:dyDescent="0.25">
      <c r="A40" s="17"/>
      <c r="B40" s="19" t="s">
        <v>75</v>
      </c>
      <c r="C40" s="22"/>
      <c r="D40" s="22"/>
      <c r="E40" s="23"/>
      <c r="F40" s="17"/>
    </row>
    <row r="41" spans="1:6" x14ac:dyDescent="0.25">
      <c r="A41" s="17"/>
      <c r="B41" s="19" t="s">
        <v>76</v>
      </c>
      <c r="C41" s="22"/>
      <c r="D41" s="22"/>
      <c r="E41" s="23"/>
      <c r="F41" s="17"/>
    </row>
    <row r="42" spans="1:6" x14ac:dyDescent="0.25">
      <c r="A42" s="17"/>
      <c r="B42" s="19" t="s">
        <v>79</v>
      </c>
      <c r="C42" s="22"/>
      <c r="D42" s="22"/>
      <c r="E42" s="23"/>
      <c r="F42" s="17"/>
    </row>
    <row r="43" spans="1:6" x14ac:dyDescent="0.25">
      <c r="A43" s="17"/>
      <c r="B43" s="19" t="s">
        <v>81</v>
      </c>
      <c r="C43" s="22"/>
      <c r="D43" s="22"/>
      <c r="E43" s="23"/>
      <c r="F43" s="17"/>
    </row>
    <row r="44" spans="1:6" x14ac:dyDescent="0.25">
      <c r="A44" s="17"/>
      <c r="B44" s="19" t="s">
        <v>80</v>
      </c>
      <c r="C44" s="22"/>
      <c r="D44" s="22"/>
      <c r="E44" s="23"/>
      <c r="F44" s="17"/>
    </row>
    <row r="45" spans="1:6" x14ac:dyDescent="0.25">
      <c r="A45" s="17"/>
      <c r="B45" s="19" t="s">
        <v>70</v>
      </c>
      <c r="C45" s="22"/>
      <c r="D45" s="22"/>
      <c r="E45" s="23"/>
      <c r="F45" s="17"/>
    </row>
    <row r="46" spans="1:6" x14ac:dyDescent="0.25">
      <c r="A46" s="17"/>
      <c r="B46" s="19" t="s">
        <v>33</v>
      </c>
      <c r="C46" s="22">
        <v>200</v>
      </c>
      <c r="D46" s="22">
        <v>250</v>
      </c>
      <c r="E46" s="23">
        <v>100</v>
      </c>
      <c r="F46" s="17"/>
    </row>
    <row r="47" spans="1:6" x14ac:dyDescent="0.25">
      <c r="A47" s="17"/>
      <c r="B47" s="19" t="s">
        <v>83</v>
      </c>
      <c r="C47" s="22"/>
      <c r="D47" s="22"/>
      <c r="E47" s="23"/>
      <c r="F47" s="17"/>
    </row>
    <row r="48" spans="1:6" x14ac:dyDescent="0.25">
      <c r="A48" s="17"/>
      <c r="B48" s="19" t="s">
        <v>34</v>
      </c>
      <c r="C48" s="22">
        <v>200</v>
      </c>
      <c r="D48" s="22">
        <v>250</v>
      </c>
      <c r="E48" s="23">
        <v>150</v>
      </c>
      <c r="F48" s="17"/>
    </row>
    <row r="49" spans="1:6" x14ac:dyDescent="0.25">
      <c r="A49" s="17"/>
      <c r="B49" s="19" t="s">
        <v>84</v>
      </c>
      <c r="C49" s="22"/>
      <c r="D49" s="22"/>
      <c r="E49" s="23"/>
      <c r="F49" s="17"/>
    </row>
    <row r="50" spans="1:6" x14ac:dyDescent="0.25">
      <c r="A50" s="17"/>
      <c r="B50" s="19" t="s">
        <v>50</v>
      </c>
      <c r="C50" s="22"/>
      <c r="D50" s="22"/>
      <c r="E50" s="23"/>
      <c r="F50" s="17"/>
    </row>
    <row r="51" spans="1:6" x14ac:dyDescent="0.25">
      <c r="A51" s="17"/>
      <c r="B51" s="19" t="s">
        <v>16</v>
      </c>
      <c r="C51" s="22"/>
      <c r="D51" s="22"/>
      <c r="E51" s="23"/>
      <c r="F51" s="17"/>
    </row>
    <row r="52" spans="1:6" x14ac:dyDescent="0.25">
      <c r="A52" s="17"/>
      <c r="B52" s="19" t="s">
        <v>86</v>
      </c>
      <c r="C52" s="22"/>
      <c r="D52" s="22"/>
      <c r="E52" s="23"/>
      <c r="F52" s="17"/>
    </row>
    <row r="53" spans="1:6" x14ac:dyDescent="0.25">
      <c r="A53" s="17"/>
      <c r="B53" s="19" t="s">
        <v>87</v>
      </c>
      <c r="C53" s="22"/>
      <c r="D53" s="22"/>
      <c r="E53" s="23"/>
      <c r="F53" s="17"/>
    </row>
    <row r="54" spans="1:6" x14ac:dyDescent="0.25">
      <c r="A54" s="17"/>
      <c r="B54" s="19" t="s">
        <v>27</v>
      </c>
      <c r="C54" s="22">
        <v>200</v>
      </c>
      <c r="D54" s="22">
        <v>250</v>
      </c>
      <c r="E54" s="23">
        <v>100</v>
      </c>
      <c r="F54" s="17"/>
    </row>
    <row r="55" spans="1:6" x14ac:dyDescent="0.25">
      <c r="A55" s="17"/>
      <c r="B55" s="19" t="s">
        <v>89</v>
      </c>
      <c r="C55" s="22"/>
      <c r="D55" s="22"/>
      <c r="E55" s="23"/>
      <c r="F55" s="17"/>
    </row>
    <row r="56" spans="1:6" x14ac:dyDescent="0.25">
      <c r="A56" s="17"/>
      <c r="B56" s="19" t="s">
        <v>88</v>
      </c>
      <c r="C56" s="22"/>
      <c r="D56" s="22"/>
      <c r="E56" s="23"/>
      <c r="F56" s="17"/>
    </row>
    <row r="57" spans="1:6" x14ac:dyDescent="0.25">
      <c r="A57" s="17"/>
      <c r="B57" s="19" t="s">
        <v>36</v>
      </c>
      <c r="C57" s="22">
        <v>250</v>
      </c>
      <c r="D57" s="22">
        <v>300</v>
      </c>
      <c r="E57" s="23">
        <v>150</v>
      </c>
      <c r="F57" s="17"/>
    </row>
    <row r="58" spans="1:6" x14ac:dyDescent="0.25">
      <c r="A58" s="17"/>
      <c r="B58" s="19" t="s">
        <v>92</v>
      </c>
      <c r="C58" s="22"/>
      <c r="D58" s="22"/>
      <c r="E58" s="23"/>
      <c r="F58" s="17"/>
    </row>
    <row r="59" spans="1:6" x14ac:dyDescent="0.25">
      <c r="A59" s="17"/>
      <c r="B59" s="19" t="s">
        <v>93</v>
      </c>
      <c r="C59" s="22"/>
      <c r="D59" s="22"/>
      <c r="E59" s="23"/>
      <c r="F59" s="17"/>
    </row>
    <row r="60" spans="1:6" x14ac:dyDescent="0.25">
      <c r="A60" s="17"/>
      <c r="B60" s="19" t="s">
        <v>94</v>
      </c>
      <c r="C60" s="22"/>
      <c r="D60" s="22"/>
      <c r="E60" s="23"/>
      <c r="F60" s="17"/>
    </row>
    <row r="61" spans="1:6" x14ac:dyDescent="0.25">
      <c r="A61" s="17"/>
      <c r="B61" s="19" t="s">
        <v>91</v>
      </c>
      <c r="C61" s="22"/>
      <c r="D61" s="22"/>
      <c r="E61" s="23"/>
      <c r="F61" s="17"/>
    </row>
    <row r="62" spans="1:6" x14ac:dyDescent="0.25">
      <c r="A62" s="17"/>
      <c r="B62" s="19" t="s">
        <v>96</v>
      </c>
      <c r="C62" s="22"/>
      <c r="D62" s="22"/>
      <c r="E62" s="23"/>
      <c r="F62" s="17"/>
    </row>
    <row r="63" spans="1:6" x14ac:dyDescent="0.25">
      <c r="A63" s="17"/>
      <c r="B63" s="19" t="s">
        <v>95</v>
      </c>
      <c r="C63" s="22"/>
      <c r="D63" s="22"/>
      <c r="E63" s="23"/>
      <c r="F63" s="17"/>
    </row>
    <row r="64" spans="1:6" x14ac:dyDescent="0.25">
      <c r="A64" s="17"/>
      <c r="B64" s="19" t="s">
        <v>97</v>
      </c>
      <c r="C64" s="22"/>
      <c r="D64" s="22"/>
      <c r="E64" s="23"/>
      <c r="F64" s="17"/>
    </row>
    <row r="65" spans="1:6" x14ac:dyDescent="0.25">
      <c r="A65" s="17"/>
      <c r="B65" s="19" t="s">
        <v>20</v>
      </c>
      <c r="C65" s="22">
        <v>200</v>
      </c>
      <c r="D65" s="22">
        <v>250</v>
      </c>
      <c r="E65" s="23">
        <v>100</v>
      </c>
      <c r="F65" s="17"/>
    </row>
    <row r="66" spans="1:6" x14ac:dyDescent="0.25">
      <c r="A66" s="17"/>
      <c r="B66" s="19" t="s">
        <v>99</v>
      </c>
      <c r="C66" s="22"/>
      <c r="D66" s="22"/>
      <c r="E66" s="23"/>
      <c r="F66" s="17"/>
    </row>
    <row r="67" spans="1:6" x14ac:dyDescent="0.25">
      <c r="A67" s="17"/>
      <c r="B67" s="19" t="s">
        <v>28</v>
      </c>
      <c r="C67" s="22">
        <v>250</v>
      </c>
      <c r="D67" s="22">
        <v>400</v>
      </c>
      <c r="E67" s="23">
        <v>200</v>
      </c>
      <c r="F67" s="17"/>
    </row>
    <row r="68" spans="1:6" x14ac:dyDescent="0.25">
      <c r="A68" s="17"/>
      <c r="B68" s="19" t="s">
        <v>98</v>
      </c>
      <c r="C68" s="22"/>
      <c r="D68" s="22"/>
      <c r="E68" s="23"/>
      <c r="F68" s="17"/>
    </row>
    <row r="69" spans="1:6" x14ac:dyDescent="0.25">
      <c r="A69" s="17"/>
      <c r="B69" s="19" t="s">
        <v>29</v>
      </c>
      <c r="C69" s="22">
        <v>300</v>
      </c>
      <c r="D69" s="22">
        <v>450</v>
      </c>
      <c r="E69" s="23">
        <v>200</v>
      </c>
      <c r="F69" s="17"/>
    </row>
    <row r="70" spans="1:6" x14ac:dyDescent="0.25">
      <c r="A70" s="17"/>
      <c r="B70" s="19" t="s">
        <v>101</v>
      </c>
      <c r="C70" s="24">
        <v>400</v>
      </c>
      <c r="D70" s="24">
        <v>500</v>
      </c>
      <c r="E70" s="25">
        <v>350</v>
      </c>
      <c r="F70" s="17"/>
    </row>
    <row r="71" spans="1:6" x14ac:dyDescent="0.25">
      <c r="A71" s="17"/>
      <c r="B71" s="19" t="s">
        <v>104</v>
      </c>
      <c r="C71" s="22"/>
      <c r="D71" s="22"/>
      <c r="E71" s="23"/>
      <c r="F71" s="17"/>
    </row>
    <row r="72" spans="1:6" x14ac:dyDescent="0.25">
      <c r="A72" s="17"/>
      <c r="B72" s="19" t="s">
        <v>62</v>
      </c>
      <c r="C72" s="24">
        <v>400</v>
      </c>
      <c r="D72" s="24">
        <v>500</v>
      </c>
      <c r="E72" s="25">
        <v>300</v>
      </c>
      <c r="F72" s="17"/>
    </row>
    <row r="73" spans="1:6" x14ac:dyDescent="0.25">
      <c r="A73" s="17"/>
      <c r="B73" s="19" t="s">
        <v>103</v>
      </c>
      <c r="C73" s="22"/>
      <c r="D73" s="22"/>
      <c r="E73" s="23"/>
      <c r="F73" s="17"/>
    </row>
    <row r="74" spans="1:6" x14ac:dyDescent="0.25">
      <c r="A74" s="17"/>
      <c r="B74" s="19" t="s">
        <v>102</v>
      </c>
      <c r="C74" s="22"/>
      <c r="D74" s="22"/>
      <c r="E74" s="23"/>
      <c r="F74" s="17"/>
    </row>
    <row r="75" spans="1:6" x14ac:dyDescent="0.25">
      <c r="A75" s="17"/>
      <c r="B75" s="19" t="s">
        <v>100</v>
      </c>
      <c r="C75" s="22"/>
      <c r="D75" s="22"/>
      <c r="E75" s="23"/>
      <c r="F75" s="17"/>
    </row>
    <row r="76" spans="1:6" x14ac:dyDescent="0.25">
      <c r="A76" s="17"/>
      <c r="B76" s="19" t="s">
        <v>105</v>
      </c>
      <c r="C76" s="22"/>
      <c r="D76" s="22"/>
      <c r="E76" s="23"/>
      <c r="F76" s="17"/>
    </row>
    <row r="77" spans="1:6" x14ac:dyDescent="0.25">
      <c r="A77" s="17"/>
      <c r="B77" s="19" t="s">
        <v>106</v>
      </c>
      <c r="C77" s="22"/>
      <c r="D77" s="22"/>
      <c r="E77" s="23"/>
      <c r="F77" s="17"/>
    </row>
    <row r="78" spans="1:6" x14ac:dyDescent="0.25">
      <c r="A78" s="17"/>
      <c r="B78" s="19" t="s">
        <v>7</v>
      </c>
      <c r="C78" s="22">
        <v>100</v>
      </c>
      <c r="D78" s="22">
        <v>100</v>
      </c>
      <c r="E78" s="23">
        <v>100</v>
      </c>
      <c r="F78" s="17"/>
    </row>
    <row r="79" spans="1:6" x14ac:dyDescent="0.25">
      <c r="A79" s="17"/>
      <c r="B79" s="19" t="s">
        <v>108</v>
      </c>
      <c r="C79" s="22"/>
      <c r="D79" s="22"/>
      <c r="E79" s="23"/>
      <c r="F79" s="17"/>
    </row>
    <row r="80" spans="1:6" x14ac:dyDescent="0.25">
      <c r="A80" s="17"/>
      <c r="B80" s="19" t="s">
        <v>111</v>
      </c>
      <c r="C80" s="22"/>
      <c r="D80" s="22"/>
      <c r="E80" s="23"/>
      <c r="F80" s="17"/>
    </row>
    <row r="81" spans="1:6" x14ac:dyDescent="0.25">
      <c r="A81" s="17"/>
      <c r="B81" s="19" t="s">
        <v>71</v>
      </c>
      <c r="C81" s="22"/>
      <c r="D81" s="22"/>
      <c r="E81" s="23"/>
      <c r="F81" s="17"/>
    </row>
    <row r="82" spans="1:6" x14ac:dyDescent="0.25">
      <c r="A82" s="17"/>
      <c r="B82" s="19" t="s">
        <v>77</v>
      </c>
      <c r="C82" s="22"/>
      <c r="D82" s="22"/>
      <c r="E82" s="23"/>
      <c r="F82" s="17"/>
    </row>
    <row r="83" spans="1:6" x14ac:dyDescent="0.25">
      <c r="A83" s="17"/>
      <c r="B83" s="19" t="s">
        <v>109</v>
      </c>
      <c r="C83" s="22"/>
      <c r="D83" s="22"/>
      <c r="E83" s="23"/>
      <c r="F83" s="17"/>
    </row>
    <row r="84" spans="1:6" x14ac:dyDescent="0.25">
      <c r="A84" s="17"/>
      <c r="B84" s="19" t="s">
        <v>25</v>
      </c>
      <c r="C84" s="22">
        <v>300</v>
      </c>
      <c r="D84" s="22">
        <v>400</v>
      </c>
      <c r="E84" s="23">
        <v>200</v>
      </c>
      <c r="F84" s="17"/>
    </row>
    <row r="85" spans="1:6" x14ac:dyDescent="0.25">
      <c r="A85" s="17"/>
      <c r="B85" s="19" t="s">
        <v>110</v>
      </c>
      <c r="C85" s="22"/>
      <c r="D85" s="22"/>
      <c r="E85" s="23"/>
      <c r="F85" s="17"/>
    </row>
    <row r="86" spans="1:6" x14ac:dyDescent="0.25">
      <c r="A86" s="17"/>
      <c r="B86" s="19" t="s">
        <v>72</v>
      </c>
      <c r="C86" s="22"/>
      <c r="D86" s="22"/>
      <c r="E86" s="23"/>
      <c r="F86" s="17"/>
    </row>
    <row r="87" spans="1:6" x14ac:dyDescent="0.25">
      <c r="A87" s="17"/>
      <c r="B87" s="19" t="s">
        <v>107</v>
      </c>
      <c r="C87" s="22"/>
      <c r="D87" s="22"/>
      <c r="E87" s="23"/>
      <c r="F87" s="17"/>
    </row>
    <row r="88" spans="1:6" x14ac:dyDescent="0.25">
      <c r="A88" s="17"/>
      <c r="B88" s="19" t="s">
        <v>112</v>
      </c>
      <c r="C88" s="22"/>
      <c r="D88" s="22"/>
      <c r="E88" s="23"/>
      <c r="F88" s="17"/>
    </row>
    <row r="89" spans="1:6" x14ac:dyDescent="0.25">
      <c r="A89" s="17"/>
      <c r="B89" s="19" t="s">
        <v>113</v>
      </c>
      <c r="C89" s="22"/>
      <c r="D89" s="22"/>
      <c r="E89" s="23"/>
      <c r="F89" s="17"/>
    </row>
    <row r="90" spans="1:6" x14ac:dyDescent="0.25">
      <c r="A90" s="17"/>
      <c r="B90" s="19" t="s">
        <v>153</v>
      </c>
      <c r="C90" s="22"/>
      <c r="D90" s="22"/>
      <c r="E90" s="23"/>
      <c r="F90" s="17"/>
    </row>
    <row r="91" spans="1:6" x14ac:dyDescent="0.25">
      <c r="A91" s="17"/>
      <c r="B91" s="19" t="s">
        <v>116</v>
      </c>
      <c r="C91" s="22"/>
      <c r="D91" s="22"/>
      <c r="E91" s="23"/>
      <c r="F91" s="17"/>
    </row>
    <row r="92" spans="1:6" x14ac:dyDescent="0.25">
      <c r="A92" s="17"/>
      <c r="B92" s="19" t="s">
        <v>114</v>
      </c>
      <c r="C92" s="22"/>
      <c r="D92" s="22"/>
      <c r="E92" s="23"/>
      <c r="F92" s="17"/>
    </row>
    <row r="93" spans="1:6" x14ac:dyDescent="0.25">
      <c r="A93" s="17"/>
      <c r="B93" s="19" t="s">
        <v>117</v>
      </c>
      <c r="C93" s="22"/>
      <c r="D93" s="22"/>
      <c r="E93" s="23"/>
      <c r="F93" s="17"/>
    </row>
    <row r="94" spans="1:6" x14ac:dyDescent="0.25">
      <c r="A94" s="17"/>
      <c r="B94" s="19" t="s">
        <v>128</v>
      </c>
      <c r="C94" s="22"/>
      <c r="D94" s="22"/>
      <c r="E94" s="23"/>
      <c r="F94" s="17"/>
    </row>
    <row r="95" spans="1:6" x14ac:dyDescent="0.25">
      <c r="A95" s="17"/>
      <c r="B95" s="19" t="s">
        <v>126</v>
      </c>
      <c r="C95" s="22"/>
      <c r="D95" s="22"/>
      <c r="E95" s="23"/>
      <c r="F95" s="17"/>
    </row>
    <row r="96" spans="1:6" x14ac:dyDescent="0.25">
      <c r="A96" s="17"/>
      <c r="B96" s="19" t="s">
        <v>119</v>
      </c>
      <c r="C96" s="22"/>
      <c r="D96" s="22"/>
      <c r="E96" s="23"/>
      <c r="F96" s="17"/>
    </row>
    <row r="97" spans="1:6" x14ac:dyDescent="0.25">
      <c r="A97" s="17"/>
      <c r="B97" s="19" t="s">
        <v>15</v>
      </c>
      <c r="C97" s="22"/>
      <c r="D97" s="22"/>
      <c r="E97" s="23"/>
      <c r="F97" s="17"/>
    </row>
    <row r="98" spans="1:6" x14ac:dyDescent="0.25">
      <c r="A98" s="17"/>
      <c r="B98" s="19" t="s">
        <v>130</v>
      </c>
      <c r="C98" s="22"/>
      <c r="D98" s="22"/>
      <c r="E98" s="23"/>
      <c r="F98" s="17"/>
    </row>
    <row r="99" spans="1:6" x14ac:dyDescent="0.25">
      <c r="A99" s="17"/>
      <c r="B99" s="19" t="s">
        <v>127</v>
      </c>
      <c r="C99" s="22"/>
      <c r="D99" s="22"/>
      <c r="E99" s="23"/>
      <c r="F99" s="17"/>
    </row>
    <row r="100" spans="1:6" x14ac:dyDescent="0.25">
      <c r="A100" s="17"/>
      <c r="B100" s="19" t="s">
        <v>118</v>
      </c>
      <c r="C100" s="22"/>
      <c r="D100" s="22"/>
      <c r="E100" s="23"/>
      <c r="F100" s="17"/>
    </row>
    <row r="101" spans="1:6" x14ac:dyDescent="0.25">
      <c r="A101" s="17"/>
      <c r="B101" s="19" t="s">
        <v>123</v>
      </c>
      <c r="C101" s="22"/>
      <c r="D101" s="22"/>
      <c r="E101" s="23"/>
      <c r="F101" s="17"/>
    </row>
    <row r="102" spans="1:6" x14ac:dyDescent="0.25">
      <c r="A102" s="17"/>
      <c r="B102" s="19" t="s">
        <v>124</v>
      </c>
      <c r="C102" s="22"/>
      <c r="D102" s="22"/>
      <c r="E102" s="23"/>
      <c r="F102" s="17"/>
    </row>
    <row r="103" spans="1:6" x14ac:dyDescent="0.25">
      <c r="A103" s="17"/>
      <c r="B103" s="19" t="s">
        <v>122</v>
      </c>
      <c r="C103" s="22"/>
      <c r="D103" s="22"/>
      <c r="E103" s="23"/>
      <c r="F103" s="17"/>
    </row>
    <row r="104" spans="1:6" x14ac:dyDescent="0.25">
      <c r="A104" s="17"/>
      <c r="B104" s="19" t="s">
        <v>120</v>
      </c>
      <c r="C104" s="22"/>
      <c r="D104" s="22"/>
      <c r="E104" s="23"/>
      <c r="F104" s="17"/>
    </row>
    <row r="105" spans="1:6" x14ac:dyDescent="0.25">
      <c r="A105" s="17"/>
      <c r="B105" s="19" t="s">
        <v>19</v>
      </c>
      <c r="C105" s="22">
        <v>400</v>
      </c>
      <c r="D105" s="22">
        <v>500</v>
      </c>
      <c r="E105" s="23">
        <v>300</v>
      </c>
      <c r="F105" s="17"/>
    </row>
    <row r="106" spans="1:6" x14ac:dyDescent="0.25">
      <c r="A106" s="17"/>
      <c r="B106" s="19" t="s">
        <v>125</v>
      </c>
      <c r="C106" s="22"/>
      <c r="D106" s="22"/>
      <c r="E106" s="23"/>
      <c r="F106" s="17"/>
    </row>
    <row r="107" spans="1:6" x14ac:dyDescent="0.25">
      <c r="A107" s="17"/>
      <c r="B107" s="19" t="s">
        <v>121</v>
      </c>
      <c r="C107" s="22"/>
      <c r="D107" s="22"/>
      <c r="E107" s="23"/>
      <c r="F107" s="17"/>
    </row>
    <row r="108" spans="1:6" x14ac:dyDescent="0.25">
      <c r="A108" s="17"/>
      <c r="B108" s="19" t="s">
        <v>129</v>
      </c>
      <c r="C108" s="22"/>
      <c r="D108" s="22"/>
      <c r="E108" s="23"/>
      <c r="F108" s="17"/>
    </row>
    <row r="109" spans="1:6" x14ac:dyDescent="0.25">
      <c r="A109" s="17"/>
      <c r="B109" s="19" t="s">
        <v>131</v>
      </c>
      <c r="C109" s="22"/>
      <c r="D109" s="22"/>
      <c r="E109" s="23"/>
      <c r="F109" s="17"/>
    </row>
    <row r="110" spans="1:6" x14ac:dyDescent="0.25">
      <c r="A110" s="17"/>
      <c r="B110" s="19" t="s">
        <v>134</v>
      </c>
      <c r="C110" s="22"/>
      <c r="D110" s="22"/>
      <c r="E110" s="23"/>
      <c r="F110" s="17"/>
    </row>
    <row r="111" spans="1:6" x14ac:dyDescent="0.25">
      <c r="A111" s="17"/>
      <c r="B111" s="19" t="s">
        <v>133</v>
      </c>
      <c r="C111" s="22"/>
      <c r="D111" s="22"/>
      <c r="E111" s="23"/>
      <c r="F111" s="17"/>
    </row>
    <row r="112" spans="1:6" x14ac:dyDescent="0.25">
      <c r="A112" s="17"/>
      <c r="B112" s="19" t="s">
        <v>23</v>
      </c>
      <c r="C112" s="22"/>
      <c r="D112" s="22"/>
      <c r="E112" s="23"/>
      <c r="F112" s="17"/>
    </row>
    <row r="113" spans="1:6" x14ac:dyDescent="0.25">
      <c r="A113" s="17"/>
      <c r="B113" s="19" t="s">
        <v>132</v>
      </c>
      <c r="C113" s="22"/>
      <c r="D113" s="22"/>
      <c r="E113" s="23"/>
      <c r="F113" s="17"/>
    </row>
    <row r="114" spans="1:6" x14ac:dyDescent="0.25">
      <c r="A114" s="17"/>
      <c r="B114" s="19" t="s">
        <v>22</v>
      </c>
      <c r="C114" s="22"/>
      <c r="D114" s="22"/>
      <c r="E114" s="23"/>
      <c r="F114" s="17"/>
    </row>
    <row r="115" spans="1:6" x14ac:dyDescent="0.25">
      <c r="A115" s="17"/>
      <c r="B115" s="19" t="s">
        <v>135</v>
      </c>
      <c r="C115" s="22"/>
      <c r="D115" s="22"/>
      <c r="E115" s="23"/>
      <c r="F115" s="17"/>
    </row>
    <row r="116" spans="1:6" x14ac:dyDescent="0.25">
      <c r="A116" s="17"/>
      <c r="B116" s="19" t="s">
        <v>137</v>
      </c>
      <c r="C116" s="22"/>
      <c r="D116" s="22"/>
      <c r="E116" s="23"/>
      <c r="F116" s="17"/>
    </row>
    <row r="117" spans="1:6" x14ac:dyDescent="0.25">
      <c r="A117" s="17"/>
      <c r="B117" s="19" t="s">
        <v>140</v>
      </c>
      <c r="C117" s="22"/>
      <c r="D117" s="22"/>
      <c r="E117" s="23"/>
      <c r="F117" s="17"/>
    </row>
    <row r="118" spans="1:6" x14ac:dyDescent="0.25">
      <c r="A118" s="17"/>
      <c r="B118" s="19" t="s">
        <v>138</v>
      </c>
      <c r="C118" s="22"/>
      <c r="D118" s="22"/>
      <c r="E118" s="23"/>
      <c r="F118" s="17"/>
    </row>
    <row r="119" spans="1:6" x14ac:dyDescent="0.25">
      <c r="A119" s="17"/>
      <c r="B119" s="19" t="s">
        <v>141</v>
      </c>
      <c r="C119" s="22"/>
      <c r="D119" s="22"/>
      <c r="E119" s="23"/>
      <c r="F119" s="17"/>
    </row>
    <row r="120" spans="1:6" x14ac:dyDescent="0.25">
      <c r="A120" s="17"/>
      <c r="B120" s="19" t="s">
        <v>136</v>
      </c>
      <c r="C120" s="22"/>
      <c r="D120" s="22"/>
      <c r="E120" s="23"/>
      <c r="F120" s="17"/>
    </row>
    <row r="121" spans="1:6" x14ac:dyDescent="0.25">
      <c r="A121" s="17"/>
      <c r="B121" s="19" t="s">
        <v>31</v>
      </c>
      <c r="C121" s="22">
        <v>250</v>
      </c>
      <c r="D121" s="22">
        <v>350</v>
      </c>
      <c r="E121" s="23">
        <v>150</v>
      </c>
      <c r="F121" s="17"/>
    </row>
    <row r="122" spans="1:6" x14ac:dyDescent="0.25">
      <c r="A122" s="17"/>
      <c r="B122" s="19" t="s">
        <v>139</v>
      </c>
      <c r="C122" s="22"/>
      <c r="D122" s="22"/>
      <c r="E122" s="23"/>
      <c r="F122" s="17"/>
    </row>
    <row r="123" spans="1:6" x14ac:dyDescent="0.25">
      <c r="A123" s="17"/>
      <c r="B123" s="19" t="s">
        <v>142</v>
      </c>
      <c r="C123" s="22"/>
      <c r="D123" s="22"/>
      <c r="E123" s="23"/>
      <c r="F123" s="17"/>
    </row>
    <row r="124" spans="1:6" x14ac:dyDescent="0.25">
      <c r="A124" s="17"/>
      <c r="B124" s="19" t="s">
        <v>35</v>
      </c>
      <c r="C124" s="22">
        <v>350</v>
      </c>
      <c r="D124" s="22">
        <v>500</v>
      </c>
      <c r="E124" s="23">
        <v>250</v>
      </c>
      <c r="F124" s="17"/>
    </row>
    <row r="125" spans="1:6" x14ac:dyDescent="0.25">
      <c r="A125" s="17"/>
      <c r="B125" s="19" t="s">
        <v>12</v>
      </c>
      <c r="C125" s="22"/>
      <c r="D125" s="22"/>
      <c r="E125" s="23"/>
      <c r="F125" s="17"/>
    </row>
    <row r="126" spans="1:6" x14ac:dyDescent="0.25">
      <c r="A126" s="17"/>
      <c r="B126" s="19" t="s">
        <v>8</v>
      </c>
      <c r="C126" s="22">
        <v>400</v>
      </c>
      <c r="D126" s="22">
        <v>500</v>
      </c>
      <c r="E126" s="23">
        <v>300</v>
      </c>
      <c r="F126" s="17"/>
    </row>
    <row r="127" spans="1:6" x14ac:dyDescent="0.25">
      <c r="A127" s="17"/>
      <c r="B127" s="19" t="s">
        <v>143</v>
      </c>
      <c r="C127" s="22"/>
      <c r="D127" s="22"/>
      <c r="E127" s="23"/>
      <c r="F127" s="17"/>
    </row>
    <row r="128" spans="1:6" x14ac:dyDescent="0.25">
      <c r="A128" s="17"/>
      <c r="B128" s="19" t="s">
        <v>147</v>
      </c>
      <c r="C128" s="22">
        <v>200</v>
      </c>
      <c r="D128" s="22">
        <v>300</v>
      </c>
      <c r="E128" s="23">
        <v>150</v>
      </c>
      <c r="F128" s="17"/>
    </row>
    <row r="129" spans="1:6" x14ac:dyDescent="0.25">
      <c r="A129" s="17"/>
      <c r="B129" s="19" t="s">
        <v>150</v>
      </c>
      <c r="C129" s="22"/>
      <c r="D129" s="22"/>
      <c r="E129" s="23"/>
      <c r="F129" s="17"/>
    </row>
    <row r="130" spans="1:6" x14ac:dyDescent="0.25">
      <c r="A130" s="17"/>
      <c r="B130" s="19" t="s">
        <v>148</v>
      </c>
      <c r="C130" s="22"/>
      <c r="D130" s="22"/>
      <c r="E130" s="23"/>
      <c r="F130" s="17"/>
    </row>
    <row r="131" spans="1:6" x14ac:dyDescent="0.25">
      <c r="A131" s="17"/>
      <c r="B131" s="19" t="s">
        <v>154</v>
      </c>
      <c r="C131" s="22"/>
      <c r="D131" s="22"/>
      <c r="E131" s="23"/>
      <c r="F131" s="17"/>
    </row>
    <row r="132" spans="1:6" x14ac:dyDescent="0.25">
      <c r="A132" s="17"/>
      <c r="B132" s="19" t="s">
        <v>32</v>
      </c>
      <c r="C132" s="22">
        <v>200</v>
      </c>
      <c r="D132" s="22">
        <v>300</v>
      </c>
      <c r="E132" s="23">
        <v>150</v>
      </c>
      <c r="F132" s="17"/>
    </row>
    <row r="133" spans="1:6" x14ac:dyDescent="0.25">
      <c r="A133" s="17"/>
      <c r="B133" s="19" t="s">
        <v>24</v>
      </c>
      <c r="C133" s="22">
        <v>150</v>
      </c>
      <c r="D133" s="22">
        <v>200</v>
      </c>
      <c r="E133" s="23">
        <v>100</v>
      </c>
      <c r="F133" s="17"/>
    </row>
    <row r="134" spans="1:6" x14ac:dyDescent="0.25">
      <c r="A134" s="17"/>
      <c r="B134" s="19" t="s">
        <v>144</v>
      </c>
      <c r="C134" s="22"/>
      <c r="D134" s="22"/>
      <c r="E134" s="23"/>
      <c r="F134" s="17"/>
    </row>
    <row r="135" spans="1:6" x14ac:dyDescent="0.25">
      <c r="A135" s="17"/>
      <c r="B135" s="19" t="s">
        <v>149</v>
      </c>
      <c r="C135" s="22"/>
      <c r="D135" s="22"/>
      <c r="E135" s="23"/>
      <c r="F135" s="17"/>
    </row>
    <row r="136" spans="1:6" x14ac:dyDescent="0.25">
      <c r="A136" s="17"/>
      <c r="B136" s="19" t="s">
        <v>151</v>
      </c>
      <c r="C136" s="22"/>
      <c r="D136" s="22"/>
      <c r="E136" s="23"/>
      <c r="F136" s="17"/>
    </row>
    <row r="137" spans="1:6" x14ac:dyDescent="0.25">
      <c r="A137" s="17"/>
      <c r="B137" s="19" t="s">
        <v>155</v>
      </c>
      <c r="C137" s="22"/>
      <c r="D137" s="22"/>
      <c r="E137" s="23"/>
      <c r="F137" s="17"/>
    </row>
    <row r="138" spans="1:6" x14ac:dyDescent="0.25">
      <c r="A138" s="17"/>
      <c r="B138" s="19" t="s">
        <v>152</v>
      </c>
      <c r="C138" s="22"/>
      <c r="D138" s="22"/>
      <c r="E138" s="23"/>
      <c r="F138" s="17"/>
    </row>
    <row r="139" spans="1:6" x14ac:dyDescent="0.25">
      <c r="A139" s="17"/>
      <c r="B139" s="19" t="s">
        <v>146</v>
      </c>
      <c r="C139" s="22"/>
      <c r="D139" s="22"/>
      <c r="E139" s="23"/>
      <c r="F139" s="17"/>
    </row>
    <row r="140" spans="1:6" x14ac:dyDescent="0.25">
      <c r="A140" s="17"/>
      <c r="B140" s="19" t="s">
        <v>85</v>
      </c>
      <c r="C140" s="22"/>
      <c r="D140" s="22"/>
      <c r="E140" s="23"/>
      <c r="F140" s="17"/>
    </row>
    <row r="141" spans="1:6" x14ac:dyDescent="0.25">
      <c r="A141" s="17"/>
      <c r="B141" s="19" t="s">
        <v>159</v>
      </c>
      <c r="C141" s="22"/>
      <c r="D141" s="22"/>
      <c r="E141" s="23"/>
      <c r="F141" s="17"/>
    </row>
    <row r="142" spans="1:6" x14ac:dyDescent="0.25">
      <c r="A142" s="17"/>
      <c r="B142" s="19" t="s">
        <v>156</v>
      </c>
      <c r="C142" s="22"/>
      <c r="D142" s="22"/>
      <c r="E142" s="23"/>
      <c r="F142" s="17"/>
    </row>
    <row r="143" spans="1:6" x14ac:dyDescent="0.25">
      <c r="A143" s="17"/>
      <c r="B143" s="19" t="s">
        <v>162</v>
      </c>
      <c r="C143" s="22"/>
      <c r="D143" s="22"/>
      <c r="E143" s="23"/>
      <c r="F143" s="17"/>
    </row>
    <row r="144" spans="1:6" x14ac:dyDescent="0.25">
      <c r="A144" s="17"/>
      <c r="B144" s="19" t="s">
        <v>160</v>
      </c>
      <c r="C144" s="22"/>
      <c r="D144" s="22"/>
      <c r="E144" s="23"/>
      <c r="F144" s="17"/>
    </row>
    <row r="145" spans="1:6" x14ac:dyDescent="0.25">
      <c r="A145" s="17"/>
      <c r="B145" s="19" t="s">
        <v>166</v>
      </c>
      <c r="C145" s="22"/>
      <c r="D145" s="22"/>
      <c r="E145" s="23"/>
      <c r="F145" s="17"/>
    </row>
    <row r="146" spans="1:6" x14ac:dyDescent="0.25">
      <c r="A146" s="17"/>
      <c r="B146" s="19" t="s">
        <v>165</v>
      </c>
      <c r="C146" s="22"/>
      <c r="D146" s="22"/>
      <c r="E146" s="23"/>
      <c r="F146" s="17"/>
    </row>
    <row r="147" spans="1:6" x14ac:dyDescent="0.25">
      <c r="A147" s="17"/>
      <c r="B147" s="19" t="s">
        <v>163</v>
      </c>
      <c r="C147" s="22"/>
      <c r="D147" s="22"/>
      <c r="E147" s="23"/>
      <c r="F147" s="17"/>
    </row>
    <row r="148" spans="1:6" x14ac:dyDescent="0.25">
      <c r="A148" s="17"/>
      <c r="B148" s="19" t="s">
        <v>9</v>
      </c>
      <c r="C148" s="22">
        <v>400</v>
      </c>
      <c r="D148" s="22">
        <v>500</v>
      </c>
      <c r="E148" s="23">
        <v>300</v>
      </c>
      <c r="F148" s="17"/>
    </row>
    <row r="149" spans="1:6" x14ac:dyDescent="0.25">
      <c r="A149" s="17"/>
      <c r="B149" s="19" t="s">
        <v>164</v>
      </c>
      <c r="C149" s="22"/>
      <c r="D149" s="22"/>
      <c r="E149" s="23"/>
      <c r="F149" s="17"/>
    </row>
    <row r="150" spans="1:6" x14ac:dyDescent="0.25">
      <c r="A150" s="17"/>
      <c r="B150" s="19" t="s">
        <v>21</v>
      </c>
      <c r="C150" s="22"/>
      <c r="D150" s="22"/>
      <c r="E150" s="23"/>
      <c r="F150" s="17"/>
    </row>
    <row r="151" spans="1:6" x14ac:dyDescent="0.25">
      <c r="A151" s="17"/>
      <c r="B151" s="19" t="s">
        <v>161</v>
      </c>
      <c r="C151" s="22"/>
      <c r="D151" s="22"/>
      <c r="E151" s="23"/>
      <c r="F151" s="17"/>
    </row>
    <row r="152" spans="1:6" x14ac:dyDescent="0.25">
      <c r="A152" s="17"/>
      <c r="B152" s="19" t="s">
        <v>14</v>
      </c>
      <c r="C152" s="22"/>
      <c r="D152" s="22"/>
      <c r="E152" s="23"/>
      <c r="F152" s="17"/>
    </row>
    <row r="153" spans="1:6" x14ac:dyDescent="0.25">
      <c r="A153" s="17"/>
      <c r="B153" s="19" t="s">
        <v>167</v>
      </c>
      <c r="C153" s="22"/>
      <c r="D153" s="22"/>
      <c r="E153" s="23"/>
      <c r="F153" s="17"/>
    </row>
    <row r="154" spans="1:6" x14ac:dyDescent="0.25">
      <c r="A154" s="17"/>
      <c r="B154" s="19" t="s">
        <v>5</v>
      </c>
      <c r="C154" s="22">
        <v>200</v>
      </c>
      <c r="D154" s="22">
        <v>300</v>
      </c>
      <c r="E154" s="23">
        <v>150</v>
      </c>
      <c r="F154" s="17"/>
    </row>
    <row r="155" spans="1:6" x14ac:dyDescent="0.25">
      <c r="A155" s="17"/>
      <c r="B155" s="19" t="s">
        <v>169</v>
      </c>
      <c r="C155" s="22"/>
      <c r="D155" s="22"/>
      <c r="E155" s="23"/>
      <c r="F155" s="17"/>
    </row>
    <row r="156" spans="1:6" x14ac:dyDescent="0.25">
      <c r="A156" s="17"/>
      <c r="B156" s="19" t="s">
        <v>171</v>
      </c>
      <c r="C156" s="22"/>
      <c r="D156" s="22"/>
      <c r="E156" s="23"/>
      <c r="F156" s="17"/>
    </row>
    <row r="157" spans="1:6" x14ac:dyDescent="0.25">
      <c r="A157" s="17"/>
      <c r="B157" s="19" t="s">
        <v>170</v>
      </c>
      <c r="C157" s="22"/>
      <c r="D157" s="22"/>
      <c r="E157" s="23"/>
      <c r="F157" s="17"/>
    </row>
    <row r="158" spans="1:6" x14ac:dyDescent="0.25">
      <c r="A158" s="17"/>
      <c r="B158" s="19" t="s">
        <v>172</v>
      </c>
      <c r="C158" s="22"/>
      <c r="D158" s="22"/>
      <c r="E158" s="23"/>
      <c r="F158" s="17"/>
    </row>
    <row r="159" spans="1:6" x14ac:dyDescent="0.25">
      <c r="A159" s="17"/>
      <c r="B159" s="19" t="s">
        <v>173</v>
      </c>
      <c r="C159" s="22"/>
      <c r="D159" s="22"/>
      <c r="E159" s="23"/>
      <c r="F159" s="17"/>
    </row>
    <row r="160" spans="1:6" x14ac:dyDescent="0.25">
      <c r="A160" s="17"/>
      <c r="B160" s="19" t="s">
        <v>175</v>
      </c>
      <c r="C160" s="22"/>
      <c r="D160" s="22"/>
      <c r="E160" s="23"/>
      <c r="F160" s="17"/>
    </row>
    <row r="161" spans="1:6" x14ac:dyDescent="0.25">
      <c r="A161" s="17"/>
      <c r="B161" s="19" t="s">
        <v>176</v>
      </c>
      <c r="C161" s="22"/>
      <c r="D161" s="22"/>
      <c r="E161" s="23"/>
      <c r="F161" s="17"/>
    </row>
    <row r="162" spans="1:6" x14ac:dyDescent="0.25">
      <c r="A162" s="17"/>
      <c r="B162" s="19" t="s">
        <v>174</v>
      </c>
      <c r="C162" s="22"/>
      <c r="D162" s="22"/>
      <c r="E162" s="23"/>
      <c r="F162" s="17"/>
    </row>
    <row r="163" spans="1:6" x14ac:dyDescent="0.25">
      <c r="A163" s="17"/>
      <c r="B163" s="19" t="s">
        <v>145</v>
      </c>
      <c r="C163" s="22"/>
      <c r="D163" s="22"/>
      <c r="E163" s="23"/>
      <c r="F163" s="17"/>
    </row>
    <row r="164" spans="1:6" x14ac:dyDescent="0.25">
      <c r="A164" s="17"/>
      <c r="B164" s="19" t="s">
        <v>90</v>
      </c>
      <c r="C164" s="22"/>
      <c r="D164" s="22"/>
      <c r="E164" s="23"/>
      <c r="F164" s="17"/>
    </row>
    <row r="165" spans="1:6" x14ac:dyDescent="0.25">
      <c r="A165" s="17"/>
      <c r="B165" s="19" t="s">
        <v>177</v>
      </c>
      <c r="C165" s="22"/>
      <c r="D165" s="22"/>
      <c r="E165" s="23"/>
      <c r="F165" s="17"/>
    </row>
    <row r="166" spans="1:6" x14ac:dyDescent="0.25">
      <c r="A166" s="17"/>
      <c r="B166" s="19" t="s">
        <v>115</v>
      </c>
      <c r="C166" s="22">
        <v>400</v>
      </c>
      <c r="D166" s="22">
        <v>500</v>
      </c>
      <c r="E166" s="23">
        <v>300</v>
      </c>
      <c r="F166" s="17"/>
    </row>
    <row r="167" spans="1:6" x14ac:dyDescent="0.25">
      <c r="A167" s="17"/>
      <c r="B167" s="19" t="s">
        <v>178</v>
      </c>
      <c r="C167" s="22"/>
      <c r="D167" s="22"/>
      <c r="E167" s="23"/>
      <c r="F167" s="17"/>
    </row>
    <row r="168" spans="1:6" ht="15.75" thickBot="1" x14ac:dyDescent="0.3">
      <c r="A168" s="17"/>
      <c r="B168" s="20" t="s">
        <v>179</v>
      </c>
      <c r="C168" s="26"/>
      <c r="D168" s="26"/>
      <c r="E168" s="27"/>
      <c r="F168" s="17"/>
    </row>
    <row r="169" spans="1:6" x14ac:dyDescent="0.25">
      <c r="A169" s="17"/>
      <c r="B169"/>
      <c r="C169" s="17"/>
      <c r="D169" s="17"/>
      <c r="E169" s="17"/>
      <c r="F169" s="17"/>
    </row>
    <row r="170" spans="1:6" x14ac:dyDescent="0.25">
      <c r="A170" s="17"/>
      <c r="B170"/>
      <c r="C170" s="17"/>
      <c r="D170" s="17"/>
      <c r="E170" s="17"/>
      <c r="F170" s="17"/>
    </row>
    <row r="171" spans="1:6" x14ac:dyDescent="0.25">
      <c r="A171" s="17"/>
      <c r="B171"/>
      <c r="C171" s="17"/>
      <c r="D171" s="17"/>
      <c r="E171" s="17"/>
      <c r="F171" s="17"/>
    </row>
    <row r="172" spans="1:6" x14ac:dyDescent="0.25">
      <c r="A172" s="17"/>
      <c r="B172"/>
      <c r="C172" s="17"/>
      <c r="D172" s="17"/>
      <c r="E172" s="17"/>
      <c r="F172" s="17"/>
    </row>
    <row r="173" spans="1:6" x14ac:dyDescent="0.25">
      <c r="A173" s="17"/>
      <c r="B173"/>
      <c r="C173" s="17"/>
      <c r="D173" s="17"/>
      <c r="E173" s="17"/>
      <c r="F173" s="17"/>
    </row>
    <row r="174" spans="1:6" x14ac:dyDescent="0.25">
      <c r="A174" s="17"/>
      <c r="B174"/>
      <c r="C174" s="17"/>
      <c r="D174" s="17"/>
      <c r="E174" s="17"/>
      <c r="F174" s="17"/>
    </row>
    <row r="175" spans="1:6" x14ac:dyDescent="0.25">
      <c r="A175" s="17"/>
      <c r="B175"/>
      <c r="C175" s="17"/>
      <c r="D175" s="17"/>
      <c r="E175" s="17"/>
      <c r="F175" s="17"/>
    </row>
    <row r="176" spans="1:6" x14ac:dyDescent="0.25">
      <c r="A176" s="17"/>
      <c r="B176"/>
      <c r="C176" s="17"/>
      <c r="D176" s="17"/>
      <c r="E176" s="17"/>
      <c r="F176" s="17"/>
    </row>
    <row r="177" spans="1:6" x14ac:dyDescent="0.25">
      <c r="A177" s="17"/>
      <c r="B177"/>
      <c r="C177" s="17"/>
      <c r="D177" s="17"/>
      <c r="E177" s="17"/>
      <c r="F177" s="17"/>
    </row>
    <row r="178" spans="1:6" x14ac:dyDescent="0.25">
      <c r="A178" s="17"/>
      <c r="B178"/>
      <c r="C178" s="17"/>
      <c r="D178" s="17"/>
      <c r="E178" s="17"/>
      <c r="F178" s="17"/>
    </row>
    <row r="179" spans="1:6" x14ac:dyDescent="0.25">
      <c r="A179" s="17"/>
      <c r="B179"/>
      <c r="C179" s="17"/>
      <c r="D179" s="17"/>
      <c r="E179" s="17"/>
      <c r="F179" s="17"/>
    </row>
    <row r="180" spans="1:6" x14ac:dyDescent="0.25">
      <c r="A180" s="17"/>
      <c r="B180"/>
      <c r="C180" s="17"/>
      <c r="D180" s="17"/>
      <c r="E180" s="17"/>
      <c r="F180" s="17"/>
    </row>
    <row r="181" spans="1:6" x14ac:dyDescent="0.25">
      <c r="A181" s="17"/>
      <c r="B181"/>
      <c r="C181" s="17"/>
      <c r="D181" s="17"/>
      <c r="E181" s="17"/>
      <c r="F181" s="17"/>
    </row>
    <row r="182" spans="1:6" x14ac:dyDescent="0.25">
      <c r="A182" s="17"/>
      <c r="B182"/>
      <c r="C182" s="17"/>
      <c r="D182" s="17"/>
      <c r="E182" s="17"/>
      <c r="F182" s="17"/>
    </row>
    <row r="183" spans="1:6" x14ac:dyDescent="0.25">
      <c r="A183" s="17"/>
      <c r="B183"/>
      <c r="C183" s="17"/>
      <c r="D183" s="17"/>
      <c r="E183" s="17"/>
      <c r="F183" s="17"/>
    </row>
    <row r="184" spans="1:6" x14ac:dyDescent="0.25">
      <c r="A184" s="17"/>
      <c r="B184"/>
      <c r="C184" s="17"/>
      <c r="D184" s="17"/>
      <c r="E184" s="17"/>
      <c r="F184" s="17"/>
    </row>
    <row r="185" spans="1:6" x14ac:dyDescent="0.25">
      <c r="A185" s="17"/>
      <c r="B185"/>
      <c r="C185" s="17"/>
      <c r="D185" s="17"/>
      <c r="E185" s="17"/>
      <c r="F185" s="17"/>
    </row>
    <row r="186" spans="1:6" x14ac:dyDescent="0.25">
      <c r="A186" s="17"/>
      <c r="B186"/>
      <c r="C186" s="17"/>
      <c r="D186" s="17"/>
      <c r="E186" s="17"/>
      <c r="F186" s="17"/>
    </row>
    <row r="187" spans="1:6" x14ac:dyDescent="0.25">
      <c r="A187" s="17"/>
      <c r="B187"/>
      <c r="C187" s="17"/>
      <c r="D187" s="17"/>
      <c r="E187" s="17"/>
      <c r="F187" s="17"/>
    </row>
    <row r="188" spans="1:6" x14ac:dyDescent="0.25">
      <c r="A188" s="17"/>
      <c r="B188"/>
      <c r="C188" s="17"/>
      <c r="D188" s="17"/>
      <c r="E188" s="17"/>
      <c r="F188" s="17"/>
    </row>
    <row r="189" spans="1:6" x14ac:dyDescent="0.25">
      <c r="A189" s="17"/>
      <c r="B189"/>
      <c r="C189" s="17"/>
      <c r="D189" s="17"/>
      <c r="E189" s="17"/>
      <c r="F189" s="17"/>
    </row>
    <row r="190" spans="1:6" x14ac:dyDescent="0.25">
      <c r="A190" s="17"/>
      <c r="B190"/>
      <c r="C190" s="17"/>
      <c r="D190" s="17"/>
      <c r="E190" s="17"/>
      <c r="F190" s="17"/>
    </row>
    <row r="191" spans="1:6" x14ac:dyDescent="0.25">
      <c r="A191" s="17"/>
      <c r="B191"/>
      <c r="C191" s="17"/>
      <c r="D191" s="17"/>
      <c r="E191" s="17"/>
      <c r="F191" s="17"/>
    </row>
    <row r="192" spans="1:6" x14ac:dyDescent="0.25">
      <c r="A192" s="17"/>
      <c r="B192"/>
      <c r="C192" s="17"/>
      <c r="D192" s="17"/>
      <c r="E192" s="17"/>
      <c r="F192" s="17"/>
    </row>
    <row r="193" spans="1:6" x14ac:dyDescent="0.25">
      <c r="A193" s="17"/>
      <c r="B193"/>
      <c r="C193" s="17"/>
      <c r="D193" s="17"/>
      <c r="E193" s="17"/>
      <c r="F193" s="17"/>
    </row>
    <row r="194" spans="1:6" x14ac:dyDescent="0.25">
      <c r="A194" s="17"/>
      <c r="B194"/>
      <c r="C194" s="17"/>
      <c r="D194" s="17"/>
      <c r="E194" s="17"/>
      <c r="F194" s="17"/>
    </row>
    <row r="195" spans="1:6" x14ac:dyDescent="0.25">
      <c r="A195" s="17"/>
      <c r="B195"/>
      <c r="C195" s="17"/>
      <c r="D195" s="17"/>
      <c r="E195" s="17"/>
      <c r="F195" s="17"/>
    </row>
    <row r="196" spans="1:6" x14ac:dyDescent="0.25">
      <c r="A196" s="17"/>
      <c r="B196"/>
      <c r="C196" s="17"/>
      <c r="D196" s="17"/>
      <c r="E196" s="17"/>
      <c r="F196" s="17"/>
    </row>
    <row r="197" spans="1:6" x14ac:dyDescent="0.25">
      <c r="A197" s="17"/>
      <c r="B197"/>
      <c r="C197" s="17"/>
      <c r="D197" s="17"/>
      <c r="E197" s="17"/>
      <c r="F197" s="17"/>
    </row>
    <row r="198" spans="1:6" x14ac:dyDescent="0.25">
      <c r="A198" s="17"/>
      <c r="B198"/>
      <c r="C198" s="17"/>
      <c r="D198" s="17"/>
      <c r="E198" s="17"/>
      <c r="F198" s="17"/>
    </row>
    <row r="199" spans="1:6" x14ac:dyDescent="0.25">
      <c r="A199" s="17"/>
      <c r="B199"/>
      <c r="C199" s="17"/>
      <c r="D199" s="17"/>
      <c r="E199" s="17"/>
      <c r="F199" s="17"/>
    </row>
    <row r="200" spans="1:6" x14ac:dyDescent="0.25">
      <c r="A200" s="17"/>
      <c r="B200"/>
      <c r="C200" s="17"/>
      <c r="D200" s="17"/>
      <c r="E200" s="17"/>
      <c r="F200" s="17"/>
    </row>
    <row r="201" spans="1:6" x14ac:dyDescent="0.25">
      <c r="A201" s="17"/>
      <c r="B201"/>
      <c r="C201" s="17"/>
      <c r="D201" s="17"/>
      <c r="E201" s="17"/>
      <c r="F201" s="17"/>
    </row>
    <row r="202" spans="1:6" x14ac:dyDescent="0.25">
      <c r="A202" s="17"/>
      <c r="B202"/>
      <c r="C202" s="17"/>
      <c r="D202" s="17"/>
      <c r="E202" s="17"/>
      <c r="F202" s="17"/>
    </row>
    <row r="203" spans="1:6" x14ac:dyDescent="0.25">
      <c r="A203" s="17"/>
      <c r="B203"/>
      <c r="C203" s="17"/>
      <c r="D203" s="17"/>
      <c r="E203" s="17"/>
      <c r="F203" s="17"/>
    </row>
    <row r="204" spans="1:6" x14ac:dyDescent="0.25">
      <c r="A204" s="17"/>
      <c r="B204"/>
      <c r="C204" s="17"/>
      <c r="D204" s="17"/>
      <c r="E204" s="17"/>
      <c r="F204" s="17"/>
    </row>
    <row r="205" spans="1:6" x14ac:dyDescent="0.25">
      <c r="A205" s="17"/>
      <c r="B205"/>
      <c r="C205" s="17"/>
      <c r="D205" s="17"/>
      <c r="E205" s="17"/>
      <c r="F205" s="17"/>
    </row>
    <row r="206" spans="1:6" x14ac:dyDescent="0.25">
      <c r="A206" s="17"/>
      <c r="B206"/>
      <c r="C206" s="17"/>
      <c r="D206" s="17"/>
      <c r="E206" s="17"/>
      <c r="F206" s="17"/>
    </row>
    <row r="207" spans="1:6" x14ac:dyDescent="0.25">
      <c r="A207" s="17"/>
      <c r="B207"/>
      <c r="C207" s="17"/>
      <c r="D207" s="17"/>
      <c r="E207" s="17"/>
      <c r="F207" s="17"/>
    </row>
    <row r="208" spans="1:6" x14ac:dyDescent="0.25">
      <c r="A208" s="17"/>
      <c r="B208"/>
      <c r="C208" s="17"/>
      <c r="D208" s="17"/>
      <c r="E208" s="17"/>
      <c r="F208" s="17"/>
    </row>
    <row r="209" spans="1:6" x14ac:dyDescent="0.25">
      <c r="A209" s="17"/>
      <c r="B209"/>
      <c r="C209" s="17"/>
      <c r="D209" s="17"/>
      <c r="E209" s="17"/>
      <c r="F209" s="17"/>
    </row>
    <row r="210" spans="1:6" x14ac:dyDescent="0.25">
      <c r="A210" s="17"/>
      <c r="B210"/>
      <c r="C210" s="17"/>
      <c r="D210" s="17"/>
      <c r="E210" s="17"/>
      <c r="F210" s="17"/>
    </row>
    <row r="211" spans="1:6" x14ac:dyDescent="0.25">
      <c r="A211" s="17"/>
      <c r="B211"/>
      <c r="C211" s="17"/>
      <c r="D211" s="17"/>
      <c r="E211" s="17"/>
      <c r="F211" s="17"/>
    </row>
    <row r="212" spans="1:6" x14ac:dyDescent="0.25">
      <c r="A212" s="17"/>
      <c r="B212"/>
      <c r="C212" s="17"/>
      <c r="D212" s="17"/>
      <c r="E212" s="17"/>
      <c r="F212" s="17"/>
    </row>
    <row r="213" spans="1:6" x14ac:dyDescent="0.25">
      <c r="A213" s="17"/>
      <c r="B213"/>
      <c r="C213" s="17"/>
      <c r="D213" s="17"/>
      <c r="E213" s="17"/>
      <c r="F213" s="17"/>
    </row>
    <row r="214" spans="1:6" x14ac:dyDescent="0.25">
      <c r="A214" s="17"/>
      <c r="B214"/>
      <c r="C214" s="17"/>
      <c r="D214" s="17"/>
      <c r="E214" s="17"/>
      <c r="F214" s="17"/>
    </row>
    <row r="215" spans="1:6" x14ac:dyDescent="0.25">
      <c r="A215" s="17"/>
      <c r="B215"/>
      <c r="C215" s="17"/>
      <c r="D215" s="17"/>
      <c r="E215" s="17"/>
      <c r="F215" s="17"/>
    </row>
    <row r="216" spans="1:6" x14ac:dyDescent="0.25">
      <c r="A216" s="17"/>
      <c r="B216"/>
      <c r="C216" s="17"/>
      <c r="D216" s="17"/>
      <c r="E216" s="17"/>
      <c r="F216" s="17"/>
    </row>
    <row r="217" spans="1:6" x14ac:dyDescent="0.25">
      <c r="A217" s="17"/>
      <c r="B217"/>
      <c r="C217" s="17"/>
      <c r="D217" s="17"/>
      <c r="E217" s="17"/>
      <c r="F217" s="17"/>
    </row>
    <row r="218" spans="1:6" x14ac:dyDescent="0.25">
      <c r="A218" s="17"/>
      <c r="B218"/>
      <c r="C218" s="17"/>
      <c r="D218" s="17"/>
      <c r="E218" s="17"/>
      <c r="F218" s="17"/>
    </row>
    <row r="219" spans="1:6" x14ac:dyDescent="0.25">
      <c r="A219" s="17"/>
      <c r="B219"/>
      <c r="C219" s="17"/>
      <c r="D219" s="17"/>
      <c r="E219" s="17"/>
      <c r="F219" s="17"/>
    </row>
    <row r="220" spans="1:6" x14ac:dyDescent="0.25">
      <c r="A220" s="17"/>
      <c r="B220"/>
      <c r="C220" s="17"/>
      <c r="D220" s="17"/>
      <c r="E220" s="17"/>
      <c r="F220" s="17"/>
    </row>
    <row r="221" spans="1:6" x14ac:dyDescent="0.25">
      <c r="A221" s="17"/>
      <c r="B221"/>
      <c r="C221" s="17"/>
      <c r="D221" s="17"/>
      <c r="E221" s="17"/>
      <c r="F221" s="17"/>
    </row>
    <row r="222" spans="1:6" x14ac:dyDescent="0.25">
      <c r="A222" s="17"/>
      <c r="B222"/>
      <c r="C222" s="17"/>
      <c r="D222" s="17"/>
      <c r="E222" s="17"/>
      <c r="F222" s="17"/>
    </row>
    <row r="223" spans="1:6" x14ac:dyDescent="0.25">
      <c r="A223" s="17"/>
      <c r="B223"/>
      <c r="C223" s="17"/>
      <c r="D223" s="17"/>
      <c r="E223" s="17"/>
      <c r="F223" s="17"/>
    </row>
    <row r="224" spans="1:6" x14ac:dyDescent="0.25">
      <c r="A224" s="17"/>
      <c r="B224"/>
      <c r="C224" s="17"/>
      <c r="D224" s="17"/>
      <c r="E224" s="17"/>
      <c r="F224" s="17"/>
    </row>
    <row r="225" spans="1:6" x14ac:dyDescent="0.25">
      <c r="A225" s="17"/>
      <c r="B225"/>
      <c r="C225" s="17"/>
      <c r="D225" s="17"/>
      <c r="E225" s="17"/>
      <c r="F225" s="17"/>
    </row>
    <row r="226" spans="1:6" x14ac:dyDescent="0.25">
      <c r="A226" s="17"/>
      <c r="B226"/>
      <c r="C226" s="17"/>
      <c r="D226" s="17"/>
      <c r="E226" s="17"/>
      <c r="F226" s="17"/>
    </row>
    <row r="227" spans="1:6" x14ac:dyDescent="0.25">
      <c r="A227" s="17"/>
      <c r="B227"/>
      <c r="C227" s="17"/>
      <c r="D227" s="17"/>
      <c r="E227" s="17"/>
      <c r="F227" s="17"/>
    </row>
    <row r="228" spans="1:6" x14ac:dyDescent="0.25">
      <c r="A228" s="17"/>
      <c r="B228"/>
      <c r="C228" s="17"/>
      <c r="D228" s="17"/>
      <c r="E228" s="17"/>
      <c r="F228" s="17"/>
    </row>
    <row r="229" spans="1:6" x14ac:dyDescent="0.25">
      <c r="A229" s="17"/>
      <c r="B229"/>
      <c r="C229" s="17"/>
      <c r="D229" s="17"/>
      <c r="E229" s="17"/>
      <c r="F229" s="17"/>
    </row>
    <row r="230" spans="1:6" x14ac:dyDescent="0.25">
      <c r="A230" s="17"/>
      <c r="B230"/>
      <c r="C230" s="17"/>
      <c r="D230" s="17"/>
      <c r="E230" s="17"/>
      <c r="F230" s="17"/>
    </row>
    <row r="231" spans="1:6" x14ac:dyDescent="0.25">
      <c r="A231" s="17"/>
      <c r="B231"/>
      <c r="C231" s="17"/>
      <c r="D231" s="17"/>
      <c r="E231" s="17"/>
      <c r="F231" s="17"/>
    </row>
    <row r="232" spans="1:6" x14ac:dyDescent="0.25">
      <c r="A232" s="17"/>
      <c r="B232"/>
      <c r="C232" s="17"/>
      <c r="D232" s="17"/>
      <c r="E232" s="17"/>
      <c r="F232" s="17"/>
    </row>
    <row r="233" spans="1:6" x14ac:dyDescent="0.25">
      <c r="A233" s="17"/>
      <c r="B233"/>
      <c r="C233" s="17"/>
      <c r="D233" s="17"/>
      <c r="E233" s="17"/>
      <c r="F233" s="17"/>
    </row>
    <row r="234" spans="1:6" x14ac:dyDescent="0.25">
      <c r="A234" s="17"/>
      <c r="B234"/>
      <c r="C234" s="17"/>
      <c r="D234" s="17"/>
      <c r="E234" s="17"/>
      <c r="F234" s="17"/>
    </row>
    <row r="235" spans="1:6" x14ac:dyDescent="0.25">
      <c r="A235" s="17"/>
      <c r="B235"/>
      <c r="C235" s="17"/>
      <c r="D235" s="17"/>
      <c r="E235" s="17"/>
      <c r="F235" s="17"/>
    </row>
    <row r="236" spans="1:6" x14ac:dyDescent="0.25">
      <c r="A236" s="17"/>
      <c r="B236"/>
      <c r="C236" s="17"/>
      <c r="D236" s="17"/>
      <c r="E236" s="17"/>
      <c r="F236" s="17"/>
    </row>
    <row r="237" spans="1:6" x14ac:dyDescent="0.25">
      <c r="A237" s="17"/>
      <c r="B237"/>
      <c r="C237" s="17"/>
      <c r="D237" s="17"/>
      <c r="E237" s="17"/>
      <c r="F237" s="17"/>
    </row>
    <row r="238" spans="1:6" x14ac:dyDescent="0.25">
      <c r="A238" s="17"/>
      <c r="B238"/>
      <c r="C238" s="17"/>
      <c r="D238" s="17"/>
      <c r="E238" s="17"/>
      <c r="F238" s="17"/>
    </row>
    <row r="239" spans="1:6" x14ac:dyDescent="0.25">
      <c r="A239" s="17"/>
      <c r="B239"/>
      <c r="C239" s="17"/>
      <c r="D239" s="17"/>
      <c r="E239" s="17"/>
      <c r="F239" s="17"/>
    </row>
    <row r="240" spans="1:6" x14ac:dyDescent="0.25">
      <c r="A240" s="17"/>
      <c r="B240"/>
      <c r="C240" s="17"/>
      <c r="D240" s="17"/>
      <c r="E240" s="17"/>
      <c r="F240" s="17"/>
    </row>
    <row r="241" spans="1:6" x14ac:dyDescent="0.25">
      <c r="A241" s="17"/>
      <c r="B241"/>
      <c r="C241" s="17"/>
      <c r="D241" s="17"/>
      <c r="E241" s="17"/>
      <c r="F241" s="17"/>
    </row>
    <row r="242" spans="1:6" x14ac:dyDescent="0.25">
      <c r="A242" s="17"/>
      <c r="B242"/>
      <c r="C242" s="17"/>
      <c r="D242" s="17"/>
      <c r="E242" s="17"/>
      <c r="F242" s="17"/>
    </row>
    <row r="243" spans="1:6" x14ac:dyDescent="0.25">
      <c r="A243" s="17"/>
      <c r="B243"/>
      <c r="C243" s="17"/>
      <c r="D243" s="17"/>
      <c r="E243" s="17"/>
      <c r="F243" s="17"/>
    </row>
    <row r="244" spans="1:6" x14ac:dyDescent="0.25">
      <c r="A244" s="17"/>
      <c r="B244"/>
      <c r="C244" s="17"/>
      <c r="D244" s="17"/>
      <c r="E244" s="17"/>
      <c r="F244" s="17"/>
    </row>
    <row r="245" spans="1:6" x14ac:dyDescent="0.25">
      <c r="A245" s="17"/>
      <c r="B245"/>
      <c r="C245" s="17"/>
      <c r="D245" s="17"/>
      <c r="E245" s="17"/>
      <c r="F245" s="17"/>
    </row>
    <row r="246" spans="1:6" x14ac:dyDescent="0.25">
      <c r="A246" s="17"/>
      <c r="B246"/>
      <c r="C246" s="17"/>
      <c r="D246" s="17"/>
      <c r="E246" s="17"/>
      <c r="F246" s="17"/>
    </row>
    <row r="247" spans="1:6" x14ac:dyDescent="0.25">
      <c r="A247" s="17"/>
      <c r="B247"/>
      <c r="C247" s="17"/>
      <c r="D247" s="17"/>
      <c r="E247" s="17"/>
      <c r="F247" s="17"/>
    </row>
    <row r="248" spans="1:6" x14ac:dyDescent="0.25">
      <c r="A248" s="17"/>
      <c r="B248"/>
      <c r="C248" s="17"/>
      <c r="D248" s="17"/>
      <c r="E248" s="17"/>
      <c r="F248" s="17"/>
    </row>
    <row r="249" spans="1:6" x14ac:dyDescent="0.25">
      <c r="A249" s="17"/>
      <c r="B249"/>
      <c r="C249" s="17"/>
      <c r="D249" s="17"/>
      <c r="E249" s="17"/>
      <c r="F249" s="17"/>
    </row>
    <row r="250" spans="1:6" x14ac:dyDescent="0.25">
      <c r="A250" s="17"/>
      <c r="B250"/>
      <c r="C250" s="17"/>
      <c r="D250" s="17"/>
      <c r="E250" s="17"/>
      <c r="F250" s="17"/>
    </row>
    <row r="251" spans="1:6" x14ac:dyDescent="0.25">
      <c r="A251" s="17"/>
      <c r="B251"/>
      <c r="C251" s="17"/>
      <c r="D251" s="17"/>
      <c r="E251" s="17"/>
      <c r="F251" s="17"/>
    </row>
    <row r="252" spans="1:6" x14ac:dyDescent="0.25">
      <c r="A252" s="17"/>
      <c r="B252"/>
      <c r="C252" s="17"/>
      <c r="D252" s="17"/>
      <c r="E252" s="17"/>
      <c r="F252" s="17"/>
    </row>
    <row r="253" spans="1:6" x14ac:dyDescent="0.25">
      <c r="A253" s="17"/>
      <c r="B253"/>
      <c r="C253" s="17"/>
      <c r="D253" s="17"/>
      <c r="E253" s="17"/>
      <c r="F253" s="17"/>
    </row>
    <row r="254" spans="1:6" x14ac:dyDescent="0.25">
      <c r="A254" s="17"/>
      <c r="B254"/>
      <c r="C254" s="17"/>
      <c r="D254" s="17"/>
      <c r="E254" s="17"/>
      <c r="F254" s="17"/>
    </row>
    <row r="255" spans="1:6" x14ac:dyDescent="0.25">
      <c r="A255" s="17"/>
      <c r="B255"/>
      <c r="C255" s="17"/>
      <c r="D255" s="17"/>
      <c r="E255" s="17"/>
      <c r="F255" s="17"/>
    </row>
    <row r="256" spans="1:6" x14ac:dyDescent="0.25">
      <c r="A256" s="17"/>
      <c r="B256"/>
      <c r="C256" s="17"/>
      <c r="D256" s="17"/>
      <c r="E256" s="17"/>
      <c r="F256" s="17"/>
    </row>
    <row r="257" spans="1:6" x14ac:dyDescent="0.25">
      <c r="A257" s="17"/>
      <c r="B257"/>
      <c r="C257" s="17"/>
      <c r="D257" s="17"/>
      <c r="E257" s="17"/>
      <c r="F257" s="17"/>
    </row>
    <row r="258" spans="1:6" x14ac:dyDescent="0.25">
      <c r="A258" s="17"/>
      <c r="B258"/>
      <c r="C258" s="17"/>
      <c r="D258" s="17"/>
      <c r="E258" s="17"/>
      <c r="F258" s="17"/>
    </row>
    <row r="259" spans="1:6" x14ac:dyDescent="0.25">
      <c r="A259" s="17"/>
      <c r="B259"/>
      <c r="C259" s="17"/>
      <c r="D259" s="17"/>
      <c r="E259" s="17"/>
      <c r="F259" s="17"/>
    </row>
    <row r="260" spans="1:6" x14ac:dyDescent="0.25">
      <c r="A260" s="17"/>
      <c r="B260"/>
      <c r="C260" s="17"/>
      <c r="D260" s="17"/>
      <c r="E260" s="17"/>
      <c r="F260" s="17"/>
    </row>
    <row r="261" spans="1:6" x14ac:dyDescent="0.25">
      <c r="A261" s="17"/>
      <c r="B261"/>
      <c r="C261" s="17"/>
      <c r="D261" s="17"/>
      <c r="E261" s="17"/>
      <c r="F261" s="17"/>
    </row>
    <row r="262" spans="1:6" x14ac:dyDescent="0.25">
      <c r="A262" s="17"/>
      <c r="B262"/>
      <c r="C262" s="17"/>
      <c r="D262" s="17"/>
      <c r="E262" s="17"/>
      <c r="F262" s="17"/>
    </row>
    <row r="263" spans="1:6" x14ac:dyDescent="0.25">
      <c r="A263" s="17"/>
      <c r="B263"/>
      <c r="C263" s="17"/>
      <c r="D263" s="17"/>
      <c r="E263" s="17"/>
      <c r="F263" s="17"/>
    </row>
    <row r="264" spans="1:6" x14ac:dyDescent="0.25">
      <c r="A264" s="17"/>
      <c r="B264"/>
      <c r="C264" s="17"/>
      <c r="D264" s="17"/>
      <c r="E264" s="17"/>
      <c r="F264" s="17"/>
    </row>
    <row r="265" spans="1:6" x14ac:dyDescent="0.25">
      <c r="A265" s="17"/>
      <c r="B265"/>
      <c r="C265" s="17"/>
      <c r="D265" s="17"/>
      <c r="E265" s="17"/>
      <c r="F265" s="17"/>
    </row>
    <row r="266" spans="1:6" x14ac:dyDescent="0.25">
      <c r="A266" s="17"/>
      <c r="B266"/>
      <c r="C266" s="17"/>
      <c r="D266" s="17"/>
      <c r="E266" s="17"/>
      <c r="F266" s="17"/>
    </row>
    <row r="267" spans="1:6" x14ac:dyDescent="0.25">
      <c r="A267" s="17"/>
      <c r="B267"/>
      <c r="C267" s="17"/>
      <c r="D267" s="17"/>
      <c r="E267" s="17"/>
      <c r="F267" s="17"/>
    </row>
    <row r="268" spans="1:6" x14ac:dyDescent="0.25">
      <c r="A268" s="17"/>
      <c r="B268"/>
      <c r="C268" s="17"/>
      <c r="D268" s="17"/>
      <c r="E268" s="17"/>
      <c r="F268" s="17"/>
    </row>
    <row r="269" spans="1:6" x14ac:dyDescent="0.25">
      <c r="A269" s="17"/>
      <c r="B269" s="17"/>
      <c r="C269" s="17"/>
      <c r="D269" s="17"/>
      <c r="E269" s="17"/>
      <c r="F269" s="17"/>
    </row>
    <row r="270" spans="1:6" x14ac:dyDescent="0.25">
      <c r="A270" s="17"/>
      <c r="B270" s="17"/>
      <c r="C270" s="17"/>
      <c r="D270" s="17"/>
      <c r="E270" s="17"/>
      <c r="F270" s="17"/>
    </row>
    <row r="271" spans="1:6" x14ac:dyDescent="0.25">
      <c r="A271" s="17"/>
      <c r="B271" s="17"/>
      <c r="C271" s="17"/>
      <c r="D271" s="17"/>
      <c r="E271" s="17"/>
      <c r="F271" s="17"/>
    </row>
    <row r="272" spans="1:6" x14ac:dyDescent="0.25">
      <c r="A272" s="17"/>
      <c r="B272" s="17"/>
      <c r="C272" s="17"/>
      <c r="D272" s="17"/>
      <c r="E272" s="17"/>
      <c r="F272" s="17"/>
    </row>
    <row r="273" spans="1:6" x14ac:dyDescent="0.25">
      <c r="A273" s="17"/>
      <c r="B273" s="17"/>
      <c r="C273" s="17"/>
      <c r="D273" s="17"/>
      <c r="E273" s="17"/>
      <c r="F273" s="17"/>
    </row>
    <row r="274" spans="1:6" x14ac:dyDescent="0.25">
      <c r="A274" s="17"/>
      <c r="B274" s="17"/>
      <c r="C274" s="17"/>
      <c r="D274" s="17"/>
      <c r="E274" s="17"/>
      <c r="F274" s="17"/>
    </row>
    <row r="275" spans="1:6" x14ac:dyDescent="0.25">
      <c r="A275" s="17"/>
      <c r="B275" s="17"/>
      <c r="C275" s="17"/>
      <c r="D275" s="17"/>
      <c r="E275" s="17"/>
      <c r="F275" s="17"/>
    </row>
    <row r="276" spans="1:6" x14ac:dyDescent="0.25">
      <c r="A276" s="17"/>
      <c r="B276" s="17"/>
      <c r="C276" s="17"/>
      <c r="D276" s="17"/>
      <c r="E276" s="17"/>
      <c r="F276" s="17"/>
    </row>
    <row r="277" spans="1:6" x14ac:dyDescent="0.25">
      <c r="A277" s="17"/>
      <c r="B277" s="17"/>
      <c r="C277" s="17"/>
      <c r="D277" s="17"/>
      <c r="E277" s="17"/>
      <c r="F277" s="17"/>
    </row>
    <row r="278" spans="1:6" x14ac:dyDescent="0.25">
      <c r="A278" s="17"/>
      <c r="B278" s="17"/>
      <c r="C278" s="17"/>
      <c r="D278" s="17"/>
      <c r="E278" s="17"/>
      <c r="F278" s="17"/>
    </row>
    <row r="279" spans="1:6" x14ac:dyDescent="0.25">
      <c r="A279" s="17"/>
      <c r="B279" s="17"/>
      <c r="C279" s="17"/>
      <c r="D279" s="17"/>
      <c r="E279" s="17"/>
      <c r="F279" s="17"/>
    </row>
  </sheetData>
  <sheetProtection password="9E77" sheet="1" objects="1" scenarios="1"/>
  <mergeCells count="1">
    <mergeCell ref="C3:E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930CD76-1302-4242-A19F-489FE784F869}"/>
</file>

<file path=customXml/itemProps2.xml><?xml version="1.0" encoding="utf-8"?>
<ds:datastoreItem xmlns:ds="http://schemas.openxmlformats.org/officeDocument/2006/customXml" ds:itemID="{18688D51-E5A4-4325-9463-B1AD4132B500}"/>
</file>

<file path=customXml/itemProps3.xml><?xml version="1.0" encoding="utf-8"?>
<ds:datastoreItem xmlns:ds="http://schemas.openxmlformats.org/officeDocument/2006/customXml" ds:itemID="{6C8D8357-77FD-44A3-93EF-18BEE8FEB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0_ReadMe</vt:lpstr>
      <vt:lpstr>0_Identification</vt:lpstr>
      <vt:lpstr>1_IRRBB_CSRBB_mapping</vt:lpstr>
      <vt:lpstr>10_Unrealised losses (old)</vt:lpstr>
      <vt:lpstr>2_CSRBB_sensitivities</vt:lpstr>
      <vt:lpstr>10_Unrealised losses_(new)</vt:lpstr>
      <vt:lpstr>3_Unrealised losses</vt:lpstr>
      <vt:lpstr>4_CSRBB_Additional</vt:lpstr>
      <vt:lpstr>5_NMD_Stratification</vt:lpstr>
      <vt:lpstr>6_IRRBB_Additional</vt:lpstr>
      <vt:lpstr>'10_Unrealised losses_(new)'!Print_Area</vt:lpstr>
      <vt:lpstr>'3_Unrealised losses'!Print_Area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Joana.Peralta@ecb.europa.eu</dc:creator>
  <cp:lastModifiedBy>ECB</cp:lastModifiedBy>
  <dcterms:created xsi:type="dcterms:W3CDTF">2018-11-19T10:27:12Z</dcterms:created>
  <dcterms:modified xsi:type="dcterms:W3CDTF">2023-10-06T10:00:47Z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{C2D054DF-548A-4C65-AE09-9431DEC7B4EA}</vt:lpwstr>
  </property>
  <property fmtid="{D5CDD505-2E9C-101B-9397-08002B2CF9AE}" pid="3" name="ContentTypeId">
    <vt:lpwstr>0x010100845A6BCA4ACA584C9A1C03FD3956D51C</vt:lpwstr>
  </property>
</Properties>
</file>