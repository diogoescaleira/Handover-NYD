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codeName="ThisWorkbook" defaultThemeVersion="124226"/>
  <xr:revisionPtr revIDLastSave="0" documentId="13_ncr:1_{A8C3837A-CC7A-422F-B89E-10C286CEB67C}" xr6:coauthVersionLast="47" xr6:coauthVersionMax="47" xr10:uidLastSave="{00000000-0000-0000-0000-000000000000}"/>
  <bookViews>
    <workbookView xWindow="-108" yWindow="-108" windowWidth="23256" windowHeight="13896" tabRatio="758" activeTab="8" xr2:uid="{00000000-000D-0000-FFFF-FFFF00000000}"/>
  </bookViews>
  <sheets>
    <sheet name="0_ReadMe" sheetId="62" r:id="rId1"/>
    <sheet name="0_ID" sheetId="63" r:id="rId2"/>
    <sheet name="1_Overall Framework" sheetId="59" r:id="rId3"/>
    <sheet name="2_Digital Business" sheetId="64" r:id="rId4"/>
    <sheet name="3_Fintech Initiatives" sheetId="60" r:id="rId5"/>
    <sheet name="4_Technology &amp; Use Cases" sheetId="57" r:id="rId6"/>
    <sheet name="5_Digital Assets" sheetId="68" r:id="rId7"/>
    <sheet name="Datapoints" sheetId="67" state="hidden" r:id="rId8"/>
    <sheet name="List" sheetId="58" r:id="rId9"/>
  </sheets>
  <definedNames>
    <definedName name="_xlnm._FilterDatabase" localSheetId="3" hidden="1">'2_Digital Business'!#REF!</definedName>
    <definedName name="_xlnm._FilterDatabase" localSheetId="8" hidden="1">List!$K$59:$K$68</definedName>
    <definedName name="AI">List!$C$105:$C$115</definedName>
    <definedName name="API">List!$C$116:$C$117</definedName>
    <definedName name="BM">#REF!</definedName>
    <definedName name="CIQWBGuid" hidden="1">"03f4930e-b33c-4382-a597-a94ab15a402c"</definedName>
    <definedName name="DLT">List!$C$118:$C$123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Other">List!$C$124:$C$127</definedName>
    <definedName name="Technologies">List!$A$131:$A$134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7" l="1"/>
  <c r="E10" i="67"/>
  <c r="G5" i="67"/>
  <c r="G6" i="67"/>
  <c r="G7" i="67"/>
  <c r="G8" i="67"/>
  <c r="G9" i="67"/>
  <c r="AB5" i="58"/>
  <c r="AB6" i="58"/>
  <c r="AB7" i="58"/>
  <c r="AB8" i="58"/>
  <c r="AB9" i="58"/>
  <c r="AB10" i="58"/>
  <c r="AB11" i="58"/>
  <c r="AB12" i="58"/>
  <c r="AB13" i="58"/>
  <c r="AB14" i="58"/>
  <c r="AB15" i="58"/>
  <c r="AB16" i="58"/>
  <c r="AB17" i="58"/>
  <c r="AB18" i="58"/>
  <c r="AB19" i="58"/>
  <c r="AB20" i="58"/>
  <c r="AB21" i="58"/>
  <c r="AB22" i="58"/>
  <c r="AB23" i="58"/>
  <c r="AB24" i="58"/>
  <c r="AB25" i="58"/>
  <c r="AB26" i="58"/>
  <c r="AB27" i="58"/>
  <c r="AB28" i="58"/>
  <c r="AB29" i="58"/>
  <c r="AB30" i="58"/>
  <c r="AB31" i="58"/>
  <c r="AB32" i="58"/>
  <c r="AB33" i="58"/>
  <c r="AB34" i="58"/>
  <c r="AB35" i="58"/>
  <c r="AB36" i="58"/>
  <c r="AB37" i="58"/>
  <c r="AB38" i="58"/>
  <c r="AB39" i="58"/>
  <c r="AB40" i="58"/>
  <c r="AB41" i="58"/>
  <c r="AB42" i="58"/>
  <c r="AB43" i="58"/>
  <c r="AB44" i="58"/>
  <c r="AB45" i="58"/>
  <c r="AB46" i="58"/>
  <c r="AB47" i="58"/>
  <c r="AB48" i="58"/>
  <c r="AB49" i="58"/>
  <c r="AB50" i="58"/>
  <c r="AB51" i="58"/>
  <c r="AB52" i="58"/>
  <c r="AB53" i="58"/>
  <c r="AB54" i="58"/>
  <c r="AB55" i="58"/>
  <c r="AB56" i="58"/>
  <c r="AB57" i="58"/>
  <c r="AB58" i="58"/>
  <c r="AB59" i="58"/>
  <c r="AB60" i="58"/>
  <c r="AB61" i="58"/>
  <c r="AB62" i="58"/>
  <c r="AB63" i="58"/>
  <c r="AB64" i="58"/>
  <c r="AB65" i="58"/>
  <c r="AB66" i="58"/>
  <c r="AB67" i="58"/>
  <c r="AB68" i="58"/>
  <c r="AB69" i="58"/>
  <c r="AB70" i="58"/>
  <c r="AB71" i="58"/>
  <c r="AB72" i="58"/>
  <c r="AB73" i="58"/>
  <c r="AB74" i="58"/>
  <c r="AB75" i="58"/>
  <c r="AB76" i="58"/>
  <c r="AB77" i="58"/>
  <c r="AB78" i="58"/>
  <c r="AB79" i="58"/>
  <c r="AB80" i="58"/>
  <c r="AB81" i="58"/>
  <c r="AB82" i="58"/>
  <c r="AB83" i="58"/>
  <c r="AB84" i="58"/>
  <c r="AB85" i="58"/>
  <c r="AB86" i="58"/>
  <c r="AB87" i="58"/>
  <c r="AB88" i="58"/>
  <c r="AB89" i="58"/>
  <c r="AB90" i="58"/>
  <c r="AB91" i="58"/>
  <c r="AB92" i="58"/>
  <c r="AB93" i="58"/>
  <c r="AB94" i="58"/>
  <c r="AB95" i="58"/>
  <c r="AB96" i="58"/>
  <c r="AB97" i="58"/>
  <c r="AB98" i="58"/>
  <c r="AB99" i="58"/>
  <c r="AB100" i="58"/>
  <c r="AB101" i="58"/>
  <c r="AB102" i="58"/>
  <c r="AB103" i="58"/>
  <c r="AB104" i="58"/>
  <c r="AB105" i="58"/>
  <c r="AB106" i="58"/>
  <c r="AB107" i="58"/>
  <c r="AB108" i="58"/>
  <c r="AB109" i="58"/>
  <c r="AB110" i="58"/>
  <c r="AB111" i="58"/>
  <c r="AB112" i="58"/>
  <c r="AB113" i="58"/>
  <c r="AB114" i="58"/>
  <c r="AB115" i="58"/>
  <c r="AB116" i="58"/>
  <c r="AB117" i="58"/>
  <c r="AB118" i="58"/>
  <c r="AB119" i="58"/>
  <c r="AB120" i="58"/>
  <c r="AB121" i="58"/>
  <c r="AB122" i="58"/>
  <c r="AB123" i="58"/>
  <c r="AB124" i="58"/>
  <c r="AB125" i="58"/>
  <c r="AB126" i="58"/>
  <c r="AB127" i="58"/>
  <c r="AB128" i="58"/>
  <c r="AB129" i="58"/>
  <c r="AB130" i="58"/>
  <c r="AB131" i="58"/>
  <c r="AB132" i="58"/>
  <c r="AB133" i="58"/>
  <c r="AB134" i="58"/>
  <c r="AB135" i="58"/>
  <c r="AB136" i="58"/>
  <c r="AB137" i="58"/>
  <c r="AB138" i="58"/>
  <c r="AB139" i="58"/>
  <c r="AB140" i="58"/>
  <c r="AB141" i="58"/>
  <c r="AB142" i="58"/>
  <c r="AB143" i="58"/>
  <c r="AB144" i="58"/>
  <c r="AB145" i="58"/>
  <c r="AB146" i="58"/>
  <c r="AB147" i="58"/>
  <c r="AB148" i="58"/>
  <c r="AB149" i="58"/>
  <c r="AB150" i="58"/>
  <c r="AB151" i="58"/>
  <c r="AB152" i="58"/>
  <c r="AB153" i="58"/>
  <c r="AB154" i="58"/>
  <c r="AB155" i="58"/>
  <c r="AB156" i="58"/>
  <c r="AB157" i="58"/>
  <c r="AB158" i="58"/>
  <c r="AB159" i="58"/>
  <c r="AB160" i="58"/>
  <c r="AB161" i="58"/>
  <c r="AB162" i="58"/>
  <c r="AB163" i="58"/>
  <c r="AB164" i="58"/>
  <c r="AB165" i="58"/>
  <c r="AB166" i="58"/>
  <c r="AB167" i="58"/>
  <c r="AB168" i="58"/>
  <c r="AB169" i="58"/>
  <c r="AB170" i="58"/>
  <c r="AB171" i="58"/>
  <c r="AB172" i="58"/>
  <c r="AB173" i="58"/>
  <c r="AB174" i="58"/>
  <c r="AB175" i="58"/>
  <c r="AB176" i="58"/>
  <c r="AB177" i="58"/>
  <c r="AB178" i="58"/>
  <c r="AB179" i="58"/>
  <c r="AB180" i="58"/>
  <c r="AB181" i="58"/>
  <c r="AB182" i="58"/>
  <c r="AB183" i="58"/>
  <c r="AB184" i="58"/>
  <c r="AB185" i="58"/>
  <c r="AB186" i="58"/>
  <c r="AB187" i="58"/>
  <c r="AB188" i="58"/>
  <c r="AB189" i="58"/>
  <c r="AB190" i="58"/>
  <c r="AB191" i="58"/>
  <c r="AB192" i="58"/>
  <c r="AB193" i="58"/>
  <c r="AB194" i="58"/>
  <c r="AB195" i="58"/>
  <c r="AB196" i="58"/>
  <c r="AB197" i="58"/>
  <c r="AB198" i="58"/>
  <c r="AB199" i="58"/>
  <c r="AB200" i="58"/>
  <c r="AB201" i="58"/>
  <c r="AB202" i="58"/>
  <c r="AB203" i="58"/>
  <c r="AB204" i="58"/>
  <c r="AB205" i="58"/>
  <c r="AB206" i="58"/>
  <c r="AB207" i="58"/>
  <c r="AB208" i="58"/>
  <c r="AB209" i="58"/>
  <c r="AB210" i="58"/>
  <c r="AB211" i="58"/>
  <c r="AB212" i="58"/>
  <c r="AB213" i="58"/>
  <c r="AB214" i="58"/>
  <c r="AB215" i="58"/>
  <c r="AB216" i="58"/>
  <c r="AB217" i="58"/>
  <c r="AB218" i="58"/>
  <c r="AB219" i="58"/>
  <c r="AB220" i="58"/>
  <c r="AB221" i="58"/>
  <c r="AB222" i="58"/>
  <c r="AB223" i="58"/>
  <c r="AB224" i="58"/>
  <c r="AB225" i="58"/>
  <c r="AB226" i="58"/>
  <c r="AB227" i="58"/>
  <c r="AB228" i="58"/>
  <c r="AB229" i="58"/>
  <c r="AB230" i="58"/>
  <c r="AB231" i="58"/>
  <c r="AB232" i="58"/>
  <c r="AB233" i="58"/>
  <c r="AB234" i="58"/>
  <c r="AB235" i="58"/>
  <c r="AB236" i="58"/>
  <c r="AB237" i="58"/>
  <c r="AB238" i="58"/>
  <c r="AB239" i="58"/>
  <c r="AB240" i="58"/>
  <c r="AB241" i="58"/>
  <c r="AB242" i="58"/>
  <c r="AB243" i="58"/>
  <c r="AB244" i="58"/>
  <c r="AB245" i="58"/>
  <c r="AB246" i="58"/>
  <c r="AB247" i="58"/>
  <c r="AB248" i="58"/>
  <c r="AB249" i="58"/>
  <c r="AB250" i="58"/>
  <c r="AB251" i="58"/>
  <c r="AB252" i="58"/>
  <c r="AB4" i="58"/>
  <c r="G10" i="67" l="1"/>
</calcChain>
</file>

<file path=xl/sharedStrings.xml><?xml version="1.0" encoding="utf-8"?>
<sst xmlns="http://schemas.openxmlformats.org/spreadsheetml/2006/main" count="1461" uniqueCount="1009">
  <si>
    <t>Tab Technologies</t>
  </si>
  <si>
    <t>Use of Technologies (AI, API, DLT,…) for …</t>
  </si>
  <si>
    <t>Consortia</t>
  </si>
  <si>
    <t>Please select</t>
  </si>
  <si>
    <t>Payments</t>
  </si>
  <si>
    <t>Ownership of technological solution</t>
  </si>
  <si>
    <t>Credit granting - (partial) automation of credit file review process (to support the banks' credit department(s)) (regardless of client segment)</t>
  </si>
  <si>
    <t>Robo-/Automated advice</t>
  </si>
  <si>
    <t>Marketing (customer profiling, behaviour analysis, predict client needs)(for any product/instrument) (if not already covered above)</t>
  </si>
  <si>
    <t>Chatbots and virtual assistants</t>
  </si>
  <si>
    <t>KYC processes / client authentication and identification</t>
  </si>
  <si>
    <t>AML prevention and detection</t>
  </si>
  <si>
    <t>Financial, risk and regulatory reporting</t>
  </si>
  <si>
    <t>Provision/Use of APIs for payment related services (please specify in comments)</t>
  </si>
  <si>
    <t>RPA (robotic process automation) (please specify in comments)</t>
  </si>
  <si>
    <t>Use of "big data" (please specify in comments)</t>
  </si>
  <si>
    <t>Insurance</t>
  </si>
  <si>
    <t>Algorithmic Trading (e.g. executing orders applying automated trading instructions,…)</t>
  </si>
  <si>
    <t>Provision/Use of APIs for account information related services (please specify in comments)</t>
  </si>
  <si>
    <t>Quantum computing</t>
  </si>
  <si>
    <t>BM</t>
  </si>
  <si>
    <t>o.w. Internal</t>
  </si>
  <si>
    <t>Please Select</t>
  </si>
  <si>
    <t>Fraud &amp; cybercrime prevention and detection</t>
  </si>
  <si>
    <t>Credit Scoring</t>
  </si>
  <si>
    <t>Generative AI</t>
  </si>
  <si>
    <t>Other innovative technologies (please list some innovative technologies not included in the survey that have relevance or potential relevance for your bank, if any)</t>
  </si>
  <si>
    <t>AI</t>
  </si>
  <si>
    <t>Other</t>
  </si>
  <si>
    <t>Name</t>
  </si>
  <si>
    <t>LEI Code</t>
  </si>
  <si>
    <t>Main activity</t>
  </si>
  <si>
    <t>Type of Investee</t>
  </si>
  <si>
    <t>Type of Partner</t>
  </si>
  <si>
    <t>o.w. External</t>
  </si>
  <si>
    <t>o.w. Mortgages</t>
  </si>
  <si>
    <t>Others</t>
  </si>
  <si>
    <t>Target Value</t>
  </si>
  <si>
    <t>Reporting Frequency</t>
  </si>
  <si>
    <t>Bank's comments:</t>
  </si>
  <si>
    <t>&lt;Please indicate Financial KPI No.1&gt;</t>
  </si>
  <si>
    <t>&lt;Please indicate Financial KPI No.2&gt;</t>
  </si>
  <si>
    <t>&lt;Please indicate Financial KPI No.3&gt;</t>
  </si>
  <si>
    <t>&lt;Please indicate Financial KPI No.4&gt;</t>
  </si>
  <si>
    <t>&lt;Please indicate Financial KPI No.5&gt;</t>
  </si>
  <si>
    <t>&lt;Please indicate Non-Financial KPI No.1&gt;</t>
  </si>
  <si>
    <t>&lt;Please indicate Non-Financial KPI No.2&gt;</t>
  </si>
  <si>
    <t>&lt;Please indicate Non-Financial KPI No.3&gt;</t>
  </si>
  <si>
    <t>&lt;Please indicate Non-Financial KPI No.4&gt;</t>
  </si>
  <si>
    <t>&lt;Please indicate Non-Financial KPI No.5&gt;</t>
  </si>
  <si>
    <r>
      <t xml:space="preserve">Notes: 
</t>
    </r>
    <r>
      <rPr>
        <i/>
        <vertAlign val="superscript"/>
        <sz val="9"/>
        <color theme="1"/>
        <rFont val="Calibri"/>
        <family val="2"/>
        <scheme val="minor"/>
      </rPr>
      <t>1.</t>
    </r>
    <r>
      <rPr>
        <i/>
        <sz val="9"/>
        <color theme="1"/>
        <rFont val="Calibri"/>
        <family val="2"/>
        <scheme val="minor"/>
      </rPr>
      <t xml:space="preserve">These performance indicators must reflect whether the initiatives designed to achieve the strategy are on track.
</t>
    </r>
    <r>
      <rPr>
        <i/>
        <vertAlign val="superscript"/>
        <sz val="9"/>
        <color theme="1"/>
        <rFont val="Calibri"/>
        <family val="2"/>
        <scheme val="minor"/>
      </rPr>
      <t>2.</t>
    </r>
    <r>
      <rPr>
        <i/>
        <sz val="9"/>
        <color theme="1"/>
        <rFont val="Calibri"/>
        <family val="2"/>
        <scheme val="minor"/>
      </rPr>
      <t xml:space="preserve"> Financial KPIs measure impacts of digitalisation over P&amp;L. Examples: Income from sales of digital products; Income from platform fees; Cost reduction of running the bank due to digitalisation (e.g. savings per service provider, process cost efficiency in the retail segment); etc.
</t>
    </r>
    <r>
      <rPr>
        <i/>
        <vertAlign val="superscript"/>
        <sz val="9"/>
        <color theme="1"/>
        <rFont val="Calibri"/>
        <family val="2"/>
        <scheme val="minor"/>
      </rPr>
      <t xml:space="preserve">3. </t>
    </r>
    <r>
      <rPr>
        <i/>
        <sz val="9"/>
        <color theme="1"/>
        <rFont val="Calibri"/>
        <family val="2"/>
        <scheme val="minor"/>
      </rPr>
      <t>Non-Financial KPIs track implementation of strategy. Examples: Number of digital channels; customer satisfaction; Net Promoter Score; digital customers; on-boarding time; automation or simplification of processes; reducing customer churn; improvements in fraude risk management; etc.</t>
    </r>
  </si>
  <si>
    <t>Issuance of stablecoins</t>
  </si>
  <si>
    <t>Use status</t>
  </si>
  <si>
    <t>Isolate Digital Business - Development of a new separate digital banking business</t>
  </si>
  <si>
    <t>Holistic Transformaton of the Business - Comprehensive replacement of existing business via full integration of digital technology throughout the organisation</t>
  </si>
  <si>
    <t>Registered office (country)</t>
  </si>
  <si>
    <t>BNPL</t>
  </si>
  <si>
    <t>Digital wallets</t>
  </si>
  <si>
    <t>P2P transfers</t>
  </si>
  <si>
    <t>Instant payments</t>
  </si>
  <si>
    <t>Regtech - compliance</t>
  </si>
  <si>
    <t>Back office</t>
  </si>
  <si>
    <t>Open banking</t>
  </si>
  <si>
    <t>Biometrics</t>
  </si>
  <si>
    <t>DLT/Blockchain</t>
  </si>
  <si>
    <t>Open standard API</t>
  </si>
  <si>
    <t>Digital signature</t>
  </si>
  <si>
    <t>Fintech firm</t>
  </si>
  <si>
    <t>Bigtech company</t>
  </si>
  <si>
    <t>Consulting company</t>
  </si>
  <si>
    <t>Incubator</t>
  </si>
  <si>
    <t>Accelerator</t>
  </si>
  <si>
    <t>Fintech district</t>
  </si>
  <si>
    <t>University/research entity</t>
  </si>
  <si>
    <t>Direct</t>
  </si>
  <si>
    <t>Indirect via fund</t>
  </si>
  <si>
    <t>Indirect via group's controlled entity</t>
  </si>
  <si>
    <t>Cross-licensing</t>
  </si>
  <si>
    <t>Licensing out</t>
  </si>
  <si>
    <t>Licensing in</t>
  </si>
  <si>
    <t>R&amp;D</t>
  </si>
  <si>
    <t>IT development</t>
  </si>
  <si>
    <t>Embedded finance</t>
  </si>
  <si>
    <t>Asset management</t>
  </si>
  <si>
    <t>Brokerage&amp;Trading</t>
  </si>
  <si>
    <t>Retail lending</t>
  </si>
  <si>
    <t>Corporate/SMEs lending solutions</t>
  </si>
  <si>
    <t>Maintain separation</t>
  </si>
  <si>
    <t>Terminate</t>
  </si>
  <si>
    <t>Number of FTEs working in Digitalisation Projects</t>
  </si>
  <si>
    <t>o.w. Corporate Loans</t>
  </si>
  <si>
    <t>o.w. from Digital Payment Processing Fees</t>
  </si>
  <si>
    <t>o.w. from Digital Loan Origination</t>
  </si>
  <si>
    <t>o.w. from Digital Investment and Wealth Management</t>
  </si>
  <si>
    <t>STRATEGY</t>
  </si>
  <si>
    <t>All banking services</t>
  </si>
  <si>
    <t>E-Mortgages</t>
  </si>
  <si>
    <t>Corporate VC</t>
  </si>
  <si>
    <t>Innovation Hub</t>
  </si>
  <si>
    <t xml:space="preserve">Digital wallets </t>
  </si>
  <si>
    <t xml:space="preserve">Type of collaboration </t>
  </si>
  <si>
    <t>Frequency</t>
  </si>
  <si>
    <t>Monthly</t>
  </si>
  <si>
    <t>Quarterly</t>
  </si>
  <si>
    <t>Semiannual</t>
  </si>
  <si>
    <t>Yearly</t>
  </si>
  <si>
    <t>GENERAL INSTRUCTIONS</t>
  </si>
  <si>
    <t xml:space="preserve">Where your internal budgeting items differ, please map your management data to the regulatory template on a best effort basis. </t>
  </si>
  <si>
    <t>Data shall be reported in thousands of euros, i.e. EUR 1 million is to be reported as 1000. Amounts should be rounded to the nearest thousand of euros, i.e. the number should not contain decimals. Numbers should not use thousand separators (no spaces or commas).</t>
  </si>
  <si>
    <t>Values have to be set to:</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</si>
  <si>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</si>
  <si>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blank (empty) when the phenomenon is not applicable or not available</t>
  </si>
  <si>
    <t>Sign convention:</t>
  </si>
  <si>
    <t>Expenses/costs: Positive</t>
  </si>
  <si>
    <t>Income: Positive</t>
  </si>
  <si>
    <t>Profit: Positive</t>
  </si>
  <si>
    <r>
      <t xml:space="preserve">Loss: </t>
    </r>
    <r>
      <rPr>
        <b/>
        <sz val="11"/>
        <color indexed="8"/>
        <rFont val="Calibri"/>
        <family val="2"/>
        <scheme val="minor"/>
      </rPr>
      <t>Negative</t>
    </r>
  </si>
  <si>
    <t>Color codes:</t>
  </si>
  <si>
    <t>Numeric value expected</t>
  </si>
  <si>
    <t>Drop Down menu/free text</t>
  </si>
  <si>
    <t>Comment field</t>
  </si>
  <si>
    <t>Cell not to be filled in</t>
  </si>
  <si>
    <t>DETAILS</t>
  </si>
  <si>
    <t>Explanations of the columns</t>
  </si>
  <si>
    <t>General information about the institution is requested in sheet "0_Identification".</t>
  </si>
  <si>
    <t xml:space="preserve">
If your financial year differs from the calendar year, please mention it in the comment box below the data and use your last available full financial year data as year T. 
Example: for June 2016 remittance, T is the calendar year 2015. However, if the financial year of your institution is 'April 2015 - March 2016' and if the data is available for this period, you should use this specific period for year T.</t>
  </si>
  <si>
    <t>Comment box</t>
  </si>
  <si>
    <t>The comment box can be used for any comment.</t>
  </si>
  <si>
    <t>DIGITALISATION PROFITABILITY ASSESSMENT</t>
  </si>
  <si>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</si>
  <si>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</si>
  <si>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</si>
  <si>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t>Bank LEI code:</t>
  </si>
  <si>
    <r>
      <t xml:space="preserve">Bank: </t>
    </r>
    <r>
      <rPr>
        <sz val="12"/>
        <color indexed="8"/>
        <rFont val="Calibri"/>
        <family val="2"/>
        <scheme val="minor"/>
      </rPr>
      <t>(name)</t>
    </r>
  </si>
  <si>
    <r>
      <t>Reference date:</t>
    </r>
    <r>
      <rPr>
        <sz val="12"/>
        <color indexed="8"/>
        <rFont val="Calibri"/>
        <family val="2"/>
        <scheme val="minor"/>
      </rPr>
      <t xml:space="preserve"> T (dd/mm/yyyy format)</t>
    </r>
  </si>
  <si>
    <t>Level of consolidation:</t>
  </si>
  <si>
    <t>Coordination/Governance of Fintech Initiatives</t>
  </si>
  <si>
    <t>1. Overall Framework</t>
  </si>
  <si>
    <t>1.1 Digitalisation Stratey Execution Model</t>
  </si>
  <si>
    <t>Other (please specify in the comment box)</t>
  </si>
  <si>
    <t>Identification of Execution Model</t>
  </si>
  <si>
    <t>T</t>
  </si>
  <si>
    <t>Number of non-executive/MBSF members (out of total number of members) with knowledge, skills, experience in digitalisation. Please specify the details in the comment box.</t>
  </si>
  <si>
    <t>Number of executive members/MBMF members (out of total number of members) with knowledge, skills, experience in digitalisation. Please specify the details in the comment box.</t>
  </si>
  <si>
    <t>N. of customers</t>
  </si>
  <si>
    <t>Total Customers</t>
  </si>
  <si>
    <t>Measure Name</t>
  </si>
  <si>
    <t>Please indicate which model better describes your bank's execution of the digitalisation strategy.</t>
  </si>
  <si>
    <t>Test &amp; Integrate - Gradual integration of digital innovation testing pilots within the mantained traditional banking business</t>
  </si>
  <si>
    <t>Independent Business Unit</t>
  </si>
  <si>
    <t>(blockchain systems, data analytics, security, compliance and data protection, RegTech)</t>
  </si>
  <si>
    <t>Digital Subsidiary</t>
  </si>
  <si>
    <t>Corporate Finance</t>
  </si>
  <si>
    <t>Trading and Sales</t>
  </si>
  <si>
    <t>Retail Banking</t>
  </si>
  <si>
    <t>Commercial Banking</t>
  </si>
  <si>
    <t>Payment and Settlement</t>
  </si>
  <si>
    <t>Agency Services</t>
  </si>
  <si>
    <t>Asset Management</t>
  </si>
  <si>
    <t>Retail Brokerage</t>
  </si>
  <si>
    <t>Predominant business involved</t>
  </si>
  <si>
    <t>Not planned yet</t>
  </si>
  <si>
    <t>Integrate into Parent</t>
  </si>
  <si>
    <t>Predominant activity involved</t>
  </si>
  <si>
    <t>Expenses for Digital Training and Skills</t>
  </si>
  <si>
    <t>1.2 Governance Arrangements in Digitalisation</t>
  </si>
  <si>
    <t>Project ID</t>
  </si>
  <si>
    <t>Data &amp; Reporting</t>
  </si>
  <si>
    <t>DLT</t>
  </si>
  <si>
    <t>1 - Not used and not explored</t>
  </si>
  <si>
    <t>2 - In exploration, planning or pilot phase</t>
  </si>
  <si>
    <t>3 - Going live expected within 3-6 months</t>
  </si>
  <si>
    <t>4 - In use</t>
  </si>
  <si>
    <t>Risk Management</t>
  </si>
  <si>
    <t>Cybersecurity &amp; Resilience</t>
  </si>
  <si>
    <t>P.01</t>
  </si>
  <si>
    <t>P.02</t>
  </si>
  <si>
    <t>P.03</t>
  </si>
  <si>
    <t>P.04</t>
  </si>
  <si>
    <t>P.05</t>
  </si>
  <si>
    <t>P.06</t>
  </si>
  <si>
    <t>Project ID P.01</t>
  </si>
  <si>
    <t>Project ID P.02</t>
  </si>
  <si>
    <t>Project ID P.03</t>
  </si>
  <si>
    <t>Project ID P.04</t>
  </si>
  <si>
    <t>Project ID P.05</t>
  </si>
  <si>
    <t>Project ID P.06</t>
  </si>
  <si>
    <t>All other digitalisation projects</t>
  </si>
  <si>
    <t>Sourcing Model / Ownership of technological solution</t>
  </si>
  <si>
    <t>Other (please specify)</t>
  </si>
  <si>
    <t>Supervised entity</t>
  </si>
  <si>
    <t>IT supplier</t>
  </si>
  <si>
    <t>Joint Venture</t>
  </si>
  <si>
    <t>Lending crowdfunding</t>
  </si>
  <si>
    <t>Buy now pay later</t>
  </si>
  <si>
    <t>Credit scoring</t>
  </si>
  <si>
    <t>NPL management</t>
  </si>
  <si>
    <t>Peer-to-peer transfers</t>
  </si>
  <si>
    <t>Digital invoice</t>
  </si>
  <si>
    <t>Contactelss, e-money and tokenised payments</t>
  </si>
  <si>
    <t>Other payments</t>
  </si>
  <si>
    <t>Settlement services</t>
  </si>
  <si>
    <t>Wealth&amp;Investment management - Robo-advice</t>
  </si>
  <si>
    <t>Wealth&amp;Investment management - Other services</t>
  </si>
  <si>
    <t>Copy trading</t>
  </si>
  <si>
    <t>Asset tokenization</t>
  </si>
  <si>
    <t>HFT</t>
  </si>
  <si>
    <t>Equity crowdfunding</t>
  </si>
  <si>
    <t>Proptech&amp;Real estate</t>
  </si>
  <si>
    <t>Market risk</t>
  </si>
  <si>
    <t>Credit risk</t>
  </si>
  <si>
    <t>Operational risk</t>
  </si>
  <si>
    <t>ICT risk</t>
  </si>
  <si>
    <t>Management control</t>
  </si>
  <si>
    <t>Audit</t>
  </si>
  <si>
    <t>Regtech - AML&amp;Fraud</t>
  </si>
  <si>
    <t>Customer support</t>
  </si>
  <si>
    <t>Business support</t>
  </si>
  <si>
    <t>Digital ID</t>
  </si>
  <si>
    <t>Open finance</t>
  </si>
  <si>
    <t>Insurtech</t>
  </si>
  <si>
    <t>Cybersecurity&amp;Resilience</t>
  </si>
  <si>
    <t>Data analytics</t>
  </si>
  <si>
    <t>Core banking platforms</t>
  </si>
  <si>
    <t>Big data&amp;advanced analytics</t>
  </si>
  <si>
    <t>Robotic Process Automation</t>
  </si>
  <si>
    <t>Artificial Intelligence - Machine Learning</t>
  </si>
  <si>
    <t>Artificial Intelligence - Natural Language Processing</t>
  </si>
  <si>
    <t>Artificial Intelligence - Automated Reasoning</t>
  </si>
  <si>
    <t>Internet of Things</t>
  </si>
  <si>
    <t>Cloud computing - IaaS</t>
  </si>
  <si>
    <t>Cloud computing - PaaS</t>
  </si>
  <si>
    <t>Cloud computing - SaaS</t>
  </si>
  <si>
    <t>Advanced cryptography</t>
  </si>
  <si>
    <t>Augmented or virtual reality</t>
  </si>
  <si>
    <t>Optical character recognition</t>
  </si>
  <si>
    <t>Web - mobile application</t>
  </si>
  <si>
    <t>Sale of your bank's products to partner's clients</t>
  </si>
  <si>
    <t>Sale of partner's products to your bank's clients</t>
  </si>
  <si>
    <t>Cross selling</t>
  </si>
  <si>
    <t>Supply of partner's services to your bank</t>
  </si>
  <si>
    <t>R&amp;D commissioned by your bank</t>
  </si>
  <si>
    <t>R&amp;D jointly carried out</t>
  </si>
  <si>
    <t>None</t>
  </si>
  <si>
    <t>Afghanistan</t>
  </si>
  <si>
    <t>AF</t>
  </si>
  <si>
    <t>Albania</t>
  </si>
  <si>
    <t>AL</t>
  </si>
  <si>
    <t>Algeria</t>
  </si>
  <si>
    <t>DZ</t>
  </si>
  <si>
    <t>American Samoa</t>
  </si>
  <si>
    <t>AS</t>
  </si>
  <si>
    <t>Andorra</t>
  </si>
  <si>
    <t>AD</t>
  </si>
  <si>
    <t>Angola</t>
  </si>
  <si>
    <t>AO</t>
  </si>
  <si>
    <t>Anguilla</t>
  </si>
  <si>
    <t>Antarctica</t>
  </si>
  <si>
    <t>AQ</t>
  </si>
  <si>
    <t>Antigua and Barbuda</t>
  </si>
  <si>
    <t>AG</t>
  </si>
  <si>
    <t>Argentina</t>
  </si>
  <si>
    <t>AR</t>
  </si>
  <si>
    <t>Armenia</t>
  </si>
  <si>
    <t>AM</t>
  </si>
  <si>
    <t>Aruba</t>
  </si>
  <si>
    <t>AW</t>
  </si>
  <si>
    <t>Australia</t>
  </si>
  <si>
    <t>AU</t>
  </si>
  <si>
    <t>Austria</t>
  </si>
  <si>
    <t>AT</t>
  </si>
  <si>
    <t>Azerbaijan</t>
  </si>
  <si>
    <t>AZ</t>
  </si>
  <si>
    <t>Bahamas (the)</t>
  </si>
  <si>
    <t>BS</t>
  </si>
  <si>
    <t>Bahrain</t>
  </si>
  <si>
    <t>BH</t>
  </si>
  <si>
    <t>Bangladesh</t>
  </si>
  <si>
    <t>BD</t>
  </si>
  <si>
    <t>Barbados</t>
  </si>
  <si>
    <t>BB</t>
  </si>
  <si>
    <t>Belarus</t>
  </si>
  <si>
    <t>BY</t>
  </si>
  <si>
    <t>Belgium</t>
  </si>
  <si>
    <t>BE</t>
  </si>
  <si>
    <t>Belize</t>
  </si>
  <si>
    <t>BZ</t>
  </si>
  <si>
    <t>Benin</t>
  </si>
  <si>
    <t>BJ</t>
  </si>
  <si>
    <t>Bermuda</t>
  </si>
  <si>
    <t>Bhutan</t>
  </si>
  <si>
    <t>BT</t>
  </si>
  <si>
    <t>Bolivia (Plurinational State of)</t>
  </si>
  <si>
    <t>BO</t>
  </si>
  <si>
    <t>Bonaire, Sint Eustatius and Saba</t>
  </si>
  <si>
    <t>BQ</t>
  </si>
  <si>
    <t>Bosnia and Herzegovina</t>
  </si>
  <si>
    <t>BA</t>
  </si>
  <si>
    <t>Botswana</t>
  </si>
  <si>
    <t>BW</t>
  </si>
  <si>
    <t>Bouvet Island</t>
  </si>
  <si>
    <t>BV</t>
  </si>
  <si>
    <t>Brazil</t>
  </si>
  <si>
    <t>BR</t>
  </si>
  <si>
    <t>British Indian Ocean Territory (the)</t>
  </si>
  <si>
    <t>IO</t>
  </si>
  <si>
    <t>Brunei Darussalam</t>
  </si>
  <si>
    <t>BN</t>
  </si>
  <si>
    <t>Bulgaria</t>
  </si>
  <si>
    <t>BG</t>
  </si>
  <si>
    <t>Burkina Faso</t>
  </si>
  <si>
    <t>BF</t>
  </si>
  <si>
    <t>Burundi</t>
  </si>
  <si>
    <t>BI</t>
  </si>
  <si>
    <t>Cabo Verde</t>
  </si>
  <si>
    <t>CV</t>
  </si>
  <si>
    <t>Cambodia</t>
  </si>
  <si>
    <t>KH</t>
  </si>
  <si>
    <t>Cameroon</t>
  </si>
  <si>
    <t>CM</t>
  </si>
  <si>
    <t>Canada</t>
  </si>
  <si>
    <t>CA</t>
  </si>
  <si>
    <t>Cayman Islands (the)</t>
  </si>
  <si>
    <t>KY</t>
  </si>
  <si>
    <t>Central African Republic (the)</t>
  </si>
  <si>
    <t>CF</t>
  </si>
  <si>
    <t>Chad</t>
  </si>
  <si>
    <t>TD</t>
  </si>
  <si>
    <t>Chile</t>
  </si>
  <si>
    <t>CL</t>
  </si>
  <si>
    <t>China</t>
  </si>
  <si>
    <t>CN</t>
  </si>
  <si>
    <t>Christmas Island</t>
  </si>
  <si>
    <t>CX</t>
  </si>
  <si>
    <t>Cocos (Keeling) Islands (the)</t>
  </si>
  <si>
    <t>CC</t>
  </si>
  <si>
    <t>Colombia</t>
  </si>
  <si>
    <t>CO</t>
  </si>
  <si>
    <t>Comoros (the)</t>
  </si>
  <si>
    <t>KM</t>
  </si>
  <si>
    <t>Congo (the Democratic Republic of the)</t>
  </si>
  <si>
    <t>CD</t>
  </si>
  <si>
    <t>Congo (the)</t>
  </si>
  <si>
    <t>CG</t>
  </si>
  <si>
    <t>Cook Islands (the)</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</si>
  <si>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</si>
  <si>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</si>
  <si>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</si>
  <si>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</si>
  <si>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</si>
  <si>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</si>
  <si>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</si>
  <si>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</si>
  <si>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</si>
  <si>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</si>
  <si>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</si>
  <si>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</si>
  <si>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</si>
  <si>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</si>
  <si>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</si>
  <si>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</si>
  <si>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</si>
  <si>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</si>
  <si>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</si>
  <si>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</si>
  <si>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</si>
  <si>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 (the)</t>
  </si>
  <si>
    <t>DO</t>
  </si>
  <si>
    <t>Ecuador</t>
  </si>
  <si>
    <t>EC</t>
  </si>
  <si>
    <t>Egypt</t>
  </si>
  <si>
    <t>EG</t>
  </si>
  <si>
    <t>El Salvador</t>
  </si>
  <si>
    <t>SV</t>
  </si>
  <si>
    <t>Equatorial Guinea</t>
  </si>
  <si>
    <t>GQ</t>
  </si>
  <si>
    <t>Eritrea</t>
  </si>
  <si>
    <t>ER</t>
  </si>
  <si>
    <t>Estonia</t>
  </si>
  <si>
    <t>EE</t>
  </si>
  <si>
    <t>Eswatini</t>
  </si>
  <si>
    <t>SZ</t>
  </si>
  <si>
    <t>Ethiopia</t>
  </si>
  <si>
    <t>ET</t>
  </si>
  <si>
    <t>Falkland Islands (the) [Malvinas]</t>
  </si>
  <si>
    <t>FK</t>
  </si>
  <si>
    <t>Faroe Islands (the)</t>
  </si>
  <si>
    <t>FO</t>
  </si>
  <si>
    <t>Fiji</t>
  </si>
  <si>
    <t>FJ</t>
  </si>
  <si>
    <t>Finland</t>
  </si>
  <si>
    <t>FI</t>
  </si>
  <si>
    <t>France</t>
  </si>
  <si>
    <t>FR</t>
  </si>
  <si>
    <t>French Guiana</t>
  </si>
  <si>
    <t>GF</t>
  </si>
  <si>
    <t>French Polynesia</t>
  </si>
  <si>
    <t>PF</t>
  </si>
  <si>
    <t>French Southern Territories (the)</t>
  </si>
  <si>
    <t>TF</t>
  </si>
  <si>
    <t>Gabon</t>
  </si>
  <si>
    <t>GA</t>
  </si>
  <si>
    <t>Gambia (the)</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</si>
  <si>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</si>
  <si>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</si>
  <si>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</si>
  <si>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</si>
  <si>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</si>
  <si>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</si>
  <si>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</si>
  <si>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</si>
  <si>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</si>
  <si>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</si>
  <si>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</si>
  <si>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</si>
  <si>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</si>
  <si>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</si>
  <si>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</si>
  <si>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</si>
  <si>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</si>
  <si>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</si>
  <si>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</si>
  <si>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</si>
  <si>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</si>
  <si>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</si>
  <si>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</si>
  <si>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</si>
  <si>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</si>
  <si>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</si>
  <si>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</si>
  <si>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</si>
  <si>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</si>
  <si>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</si>
  <si>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</si>
  <si>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</si>
  <si>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</si>
  <si>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 (the)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</si>
  <si>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</si>
  <si>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</si>
  <si>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</si>
  <si>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</si>
  <si>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</si>
  <si>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</si>
  <si>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</si>
  <si>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</si>
  <si>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</si>
  <si>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</si>
  <si>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</si>
  <si>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</si>
  <si>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</si>
  <si>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</si>
  <si>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</si>
  <si>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</si>
  <si>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</si>
  <si>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</si>
  <si>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</si>
  <si>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</si>
  <si>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</si>
  <si>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</si>
  <si>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</si>
  <si>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</si>
  <si>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</si>
  <si>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</si>
  <si>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</si>
  <si>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</si>
  <si>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</si>
  <si>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</si>
  <si>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</si>
  <si>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</si>
  <si>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</si>
  <si>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</si>
  <si>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</si>
  <si>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</si>
  <si>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</si>
  <si>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</si>
  <si>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</si>
  <si>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</si>
  <si>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</si>
  <si>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Korea (the Republic of)</t>
  </si>
  <si>
    <t>KR</t>
  </si>
  <si>
    <t>Kuwait</t>
  </si>
  <si>
    <t>KW</t>
  </si>
  <si>
    <t>Kyrgyzstan</t>
  </si>
  <si>
    <t>KG</t>
  </si>
  <si>
    <t>Lao People's Democratic Republic (the)</t>
  </si>
  <si>
    <t>LA</t>
  </si>
  <si>
    <t>Latvia</t>
  </si>
  <si>
    <t>LV</t>
  </si>
  <si>
    <t>Lebanon</t>
  </si>
  <si>
    <t>LB</t>
  </si>
  <si>
    <t>Lesotho</t>
  </si>
  <si>
    <t>LS</t>
  </si>
  <si>
    <t>Liberia</t>
  </si>
  <si>
    <t>LR</t>
  </si>
  <si>
    <t>Libya</t>
  </si>
  <si>
    <t>LY</t>
  </si>
  <si>
    <t>Liechtenstein</t>
  </si>
  <si>
    <t>LI</t>
  </si>
  <si>
    <t>Lithuania</t>
  </si>
  <si>
    <t>LT</t>
  </si>
  <si>
    <t>Luxembourg</t>
  </si>
  <si>
    <t>LU</t>
  </si>
  <si>
    <t>Macao</t>
  </si>
  <si>
    <t>MO</t>
  </si>
  <si>
    <t>Madagascar</t>
  </si>
  <si>
    <t>MG</t>
  </si>
  <si>
    <t>Malawi</t>
  </si>
  <si>
    <t>MW</t>
  </si>
  <si>
    <t>Malaysia</t>
  </si>
  <si>
    <t>MY</t>
  </si>
  <si>
    <t>Maldives</t>
  </si>
  <si>
    <t>MV</t>
  </si>
  <si>
    <t>Mali</t>
  </si>
  <si>
    <t>ML</t>
  </si>
  <si>
    <t>Malta</t>
  </si>
  <si>
    <t>MT</t>
  </si>
  <si>
    <t>Marshall Islands (the)</t>
  </si>
  <si>
    <t>MH</t>
  </si>
  <si>
    <t>Martinique</t>
  </si>
  <si>
    <t>MQ</t>
  </si>
  <si>
    <t>Mauritania</t>
  </si>
  <si>
    <t>MR</t>
  </si>
  <si>
    <t>Mauritius</t>
  </si>
  <si>
    <t>MU</t>
  </si>
  <si>
    <t>Mayotte</t>
  </si>
  <si>
    <t>YT</t>
  </si>
  <si>
    <t>Mexico</t>
  </si>
  <si>
    <t>MX</t>
  </si>
  <si>
    <t>Micronesia (Federated States of)</t>
  </si>
  <si>
    <t>FM</t>
  </si>
  <si>
    <t>Moldova (the Republic of)</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</si>
  <si>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</si>
  <si>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</si>
  <si>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</si>
  <si>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</si>
  <si>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</si>
  <si>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</si>
  <si>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</si>
  <si>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</si>
  <si>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</si>
  <si>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</si>
  <si>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</si>
  <si>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</si>
  <si>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</si>
  <si>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</si>
  <si>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</si>
  <si>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</si>
  <si>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</si>
  <si>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</si>
  <si>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</si>
  <si>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</si>
  <si>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</si>
  <si>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 (the)</t>
  </si>
  <si>
    <t>NL</t>
  </si>
  <si>
    <t>New Caledonia</t>
  </si>
  <si>
    <t>NC</t>
  </si>
  <si>
    <t>New Zealand</t>
  </si>
  <si>
    <t>NZ</t>
  </si>
  <si>
    <t>Nicaragua</t>
  </si>
  <si>
    <t>NI</t>
  </si>
  <si>
    <t>Niger (the)</t>
  </si>
  <si>
    <t>NE</t>
  </si>
  <si>
    <t>Nigeria</t>
  </si>
  <si>
    <t>NG</t>
  </si>
  <si>
    <t>Niue</t>
  </si>
  <si>
    <t>NU</t>
  </si>
  <si>
    <t>Norfolk Island</t>
  </si>
  <si>
    <t>NF</t>
  </si>
  <si>
    <t>Northern Mariana Islands (the)</t>
  </si>
  <si>
    <t>MP</t>
  </si>
  <si>
    <t>Norway</t>
  </si>
  <si>
    <t>NO</t>
  </si>
  <si>
    <t>Oman</t>
  </si>
  <si>
    <t>OM</t>
  </si>
  <si>
    <t>Pakistan</t>
  </si>
  <si>
    <t>PK</t>
  </si>
  <si>
    <t>Palau</t>
  </si>
  <si>
    <t>PW</t>
  </si>
  <si>
    <t>Palestine, State of</t>
  </si>
  <si>
    <t>PS</t>
  </si>
  <si>
    <t>Panama</t>
  </si>
  <si>
    <t>PA</t>
  </si>
  <si>
    <t>Papua New Guinea</t>
  </si>
  <si>
    <t>PG</t>
  </si>
  <si>
    <t>Paraguay</t>
  </si>
  <si>
    <t>PY</t>
  </si>
  <si>
    <t>Peru</t>
  </si>
  <si>
    <t>PE</t>
  </si>
  <si>
    <t>Philippines (the)</t>
  </si>
  <si>
    <t>PH</t>
  </si>
  <si>
    <t>Pitcairn</t>
  </si>
  <si>
    <t>PN</t>
  </si>
  <si>
    <t>Poland</t>
  </si>
  <si>
    <t>PL</t>
  </si>
  <si>
    <t>Portugal</t>
  </si>
  <si>
    <t>PT</t>
  </si>
  <si>
    <t>Puerto Rico</t>
  </si>
  <si>
    <t>PR</t>
  </si>
  <si>
    <t>Qatar</t>
  </si>
  <si>
    <t>QA</t>
  </si>
  <si>
    <t>Republic of North Macedonia</t>
  </si>
  <si>
    <t>MK</t>
  </si>
  <si>
    <t>Romania</t>
  </si>
  <si>
    <t>RO</t>
  </si>
  <si>
    <t>Russian Federation (the)</t>
  </si>
  <si>
    <t>RU</t>
  </si>
  <si>
    <t>Rwanda</t>
  </si>
  <si>
    <t>RW</t>
  </si>
  <si>
    <t>Réunion</t>
  </si>
  <si>
    <t>RE</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</si>
  <si>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</si>
  <si>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</si>
  <si>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</si>
  <si>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</si>
  <si>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</si>
  <si>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</si>
  <si>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</si>
  <si>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</si>
  <si>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</si>
  <si>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</si>
  <si>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</si>
  <si>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</si>
  <si>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</si>
  <si>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</si>
  <si>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</si>
  <si>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</si>
  <si>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San Marino</t>
  </si>
  <si>
    <t>SM</t>
  </si>
  <si>
    <t>Sao Tome and Principe</t>
  </si>
  <si>
    <t>ST</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</si>
  <si>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</si>
  <si>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</si>
  <si>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</si>
  <si>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</si>
  <si>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</si>
  <si>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</si>
  <si>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</si>
  <si>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</si>
  <si>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</si>
  <si>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</si>
  <si>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</si>
  <si>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</si>
  <si>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</si>
  <si>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</si>
  <si>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</si>
  <si>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</si>
  <si>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</si>
  <si>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</si>
  <si>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</si>
  <si>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</si>
  <si>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</si>
  <si>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</si>
  <si>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</si>
  <si>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</si>
  <si>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</si>
  <si>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</si>
  <si>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</si>
  <si>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</si>
  <si>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</si>
  <si>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</si>
  <si>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</si>
  <si>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</si>
  <si>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 (the)</t>
  </si>
  <si>
    <t>SD</t>
  </si>
  <si>
    <t>Suriname</t>
  </si>
  <si>
    <t>SR</t>
  </si>
  <si>
    <t>Svalbard and Jan Mayen</t>
  </si>
  <si>
    <t>SJ</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</si>
  <si>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</si>
  <si>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</si>
  <si>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</si>
  <si>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</si>
  <si>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</si>
  <si>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</si>
  <si>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</si>
  <si>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</si>
  <si>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</si>
  <si>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</si>
  <si>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</si>
  <si>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</si>
  <si>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</si>
  <si>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</si>
  <si>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</si>
  <si>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</si>
  <si>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</si>
  <si>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</si>
  <si>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</si>
  <si>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</si>
  <si>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</si>
  <si>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</si>
  <si>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</si>
  <si>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</si>
  <si>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</si>
  <si>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</si>
  <si>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</si>
  <si>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</si>
  <si>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</si>
  <si>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</si>
  <si>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 (the)</t>
  </si>
  <si>
    <t>TC</t>
  </si>
  <si>
    <t>Tuvalu</t>
  </si>
  <si>
    <t>TV</t>
  </si>
  <si>
    <t>Uganda</t>
  </si>
  <si>
    <t>UG</t>
  </si>
  <si>
    <t>Ukraine</t>
  </si>
  <si>
    <t>UA</t>
  </si>
  <si>
    <t>United Arab Emirates (the)</t>
  </si>
  <si>
    <t>AE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</si>
  <si>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</si>
  <si>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</si>
  <si>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</si>
  <si>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</si>
  <si>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</si>
  <si>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</si>
  <si>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</si>
  <si>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</si>
  <si>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</si>
  <si>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</si>
  <si>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</si>
  <si>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</si>
  <si>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</si>
  <si>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</si>
  <si>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</si>
  <si>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VN</t>
  </si>
  <si>
    <t>Virgin Islands (British)</t>
  </si>
  <si>
    <t>VG</t>
  </si>
  <si>
    <t>Virgin Islands (U.S.)</t>
  </si>
  <si>
    <t>VI</t>
  </si>
  <si>
    <t>Wallis and Futuna</t>
  </si>
  <si>
    <t>WF</t>
  </si>
  <si>
    <t>Western Sahara</t>
  </si>
  <si>
    <t>EH</t>
  </si>
  <si>
    <t>Yemen</t>
  </si>
  <si>
    <t>YE</t>
  </si>
  <si>
    <t>Zambia</t>
  </si>
  <si>
    <t>ZM</t>
  </si>
  <si>
    <t>Zimbabwe</t>
  </si>
  <si>
    <t>ZW</t>
  </si>
  <si>
    <t>Åland Islands</t>
  </si>
  <si>
    <t>AX</t>
  </si>
  <si>
    <t xml:space="preserve">Project ID involved </t>
  </si>
  <si>
    <t>Project ID involved</t>
  </si>
  <si>
    <t>API</t>
  </si>
  <si>
    <t>0 - Not used and not explored</t>
  </si>
  <si>
    <t xml:space="preserve">1 - In exploration phase </t>
  </si>
  <si>
    <t>2 - In development phase</t>
  </si>
  <si>
    <t>3 - In testing phase</t>
  </si>
  <si>
    <t>4 - Already in use, but low business relevance</t>
  </si>
  <si>
    <t>5 - Already in use, with high business relevance</t>
  </si>
  <si>
    <t>0 - Not applicable as not used and not explored</t>
  </si>
  <si>
    <t>1 - Technological solution largely developed and owned by the bank</t>
  </si>
  <si>
    <t>2 - Technological solution bought from third party</t>
  </si>
  <si>
    <t>3 - Technological solution used via partnership with third party</t>
  </si>
  <si>
    <t>4 - Partially developed in-house and partially bought</t>
  </si>
  <si>
    <t xml:space="preserve">5 - Partially developed in-house and partially used via partnership </t>
  </si>
  <si>
    <t>SUB-BRAND'S STRATEGY</t>
  </si>
  <si>
    <t>TYPE OF SEPARATED ENTITY-Banking</t>
  </si>
  <si>
    <t>TYPE OF SEPARATED ENTITY-Non Banking</t>
  </si>
  <si>
    <t>BUSINESS /Activity Involved</t>
  </si>
  <si>
    <t>PROJECTS ID</t>
  </si>
  <si>
    <t>COUNTRY CODES</t>
  </si>
  <si>
    <t>COUNTRY</t>
  </si>
  <si>
    <t>BUSINESS ACTIVITIES</t>
  </si>
  <si>
    <t>KPIS MONITORING FREQUENCY</t>
  </si>
  <si>
    <t>NON-BUSINESS ACTIVITY INVOLVED</t>
  </si>
  <si>
    <t>FINTECH MAIN ACTIVITY</t>
  </si>
  <si>
    <t>FINTECH PREVAILING TECH</t>
  </si>
  <si>
    <t>FINTECH TYPE OF INVESTEE</t>
  </si>
  <si>
    <t>FINTECH TYPE OF PARTICIPTION</t>
  </si>
  <si>
    <t xml:space="preserve">FINTECH CollaborationTYPE </t>
  </si>
  <si>
    <t xml:space="preserve">For the instructions of this template, please refer to the dedicated word document (" STE for SREP - READ ME Digitalisation - reporting instructions"), which is part of the Short Term Exercise for SREP data collection package.  </t>
  </si>
  <si>
    <t>Explanations of the rows</t>
  </si>
  <si>
    <t>Reference date is 31/12/2023 as in 0_Identification, hence year T is 2023.</t>
  </si>
  <si>
    <t xml:space="preserve">How often  was there a discussion at executive/MBMF level on digitalization (out of the total number of executive/MBMF meetings)?  </t>
  </si>
  <si>
    <t>Number of white label partners (companies relying on the BaaS institution licence to embed financial services in its offer to end-users. While label partners may be non-regulated entities or regulated entities)</t>
  </si>
  <si>
    <t>o.w. Buy now pay later</t>
  </si>
  <si>
    <t>o.w. via third party wallets/superapps</t>
  </si>
  <si>
    <t>Value of Digital Transactions</t>
  </si>
  <si>
    <t>Value of Total Transactions</t>
  </si>
  <si>
    <t>o.w. Executive members of the MB</t>
  </si>
  <si>
    <t>o.w. Consumer / Personal Loans</t>
  </si>
  <si>
    <t>Value of New Loans Digitally Originated</t>
  </si>
  <si>
    <t>Number of New Digitally Onboarded Customers</t>
  </si>
  <si>
    <t>Name and Description</t>
  </si>
  <si>
    <t>Please comment and briefly explain the brand's market target.</t>
  </si>
  <si>
    <t>Total Project Expenses</t>
  </si>
  <si>
    <t>Stocktake on DLT and Digital Assets based Activities</t>
  </si>
  <si>
    <t>4 - In use - ART</t>
  </si>
  <si>
    <t>5 - In use - EMT</t>
  </si>
  <si>
    <t>Provision/Use of DLT based solutions for fiat money payments and FX transactions</t>
  </si>
  <si>
    <t>Provision/Use of DLT based solutions for clearing purposes</t>
  </si>
  <si>
    <t>Provision/Use of DLT based solutions for settlement purposes</t>
  </si>
  <si>
    <t>Provision/Use of DeFi applications (please specify in comments)</t>
  </si>
  <si>
    <t>Provision/Use of DLT based solutions for smart contracts</t>
  </si>
  <si>
    <t>Other DLT use (e.g. for communication, data storage, please specify in comments)</t>
  </si>
  <si>
    <t>Revenue from Banking/Payments as a service (i.e. providing banking and financial services to end-users through white label partners)</t>
  </si>
  <si>
    <t>What do you consider the most relevant technologies and use cases (top 3)</t>
  </si>
  <si>
    <t>Most relevant technology</t>
  </si>
  <si>
    <t>2nd most relevant technology and use case</t>
  </si>
  <si>
    <t>3rd most relevant technology and use case</t>
  </si>
  <si>
    <t>1st most relevant technology and use case</t>
  </si>
  <si>
    <t>Value of Automated Digital Savings</t>
  </si>
  <si>
    <t>Start of Collaboration (yyyy)</t>
  </si>
  <si>
    <t>Expenses with External Staff</t>
  </si>
  <si>
    <t>Project Expenses</t>
  </si>
  <si>
    <t>General Expenses</t>
  </si>
  <si>
    <t>Other Staff</t>
  </si>
  <si>
    <t>Target Date (yyyy)</t>
  </si>
  <si>
    <r>
      <rPr>
        <b/>
        <i/>
        <sz val="9"/>
        <rFont val="Calibri"/>
        <family val="2"/>
        <scheme val="minor"/>
      </rPr>
      <t>Non-Financial KPIs Reported at executive/MBMF level</t>
    </r>
    <r>
      <rPr>
        <b/>
        <sz val="9"/>
        <rFont val="Calibri"/>
        <family val="2"/>
        <scheme val="minor"/>
      </rPr>
      <t xml:space="preserve">:
</t>
    </r>
    <r>
      <rPr>
        <sz val="9"/>
        <rFont val="Calibri"/>
        <family val="2"/>
        <scheme val="minor"/>
      </rPr>
      <t>Please List the Top-5 Most Relevant Non-Financial KPIs Monitored to Execute the Digitalisation Strategy</t>
    </r>
  </si>
  <si>
    <r>
      <rPr>
        <b/>
        <i/>
        <sz val="9"/>
        <rFont val="Calibri"/>
        <family val="2"/>
        <scheme val="minor"/>
      </rPr>
      <t>Financial KPIs Reported at executive/MBMF level</t>
    </r>
    <r>
      <rPr>
        <b/>
        <sz val="9"/>
        <rFont val="Calibri"/>
        <family val="2"/>
        <scheme val="minor"/>
      </rPr>
      <t xml:space="preserve">:
</t>
    </r>
    <r>
      <rPr>
        <sz val="9"/>
        <rFont val="Calibri"/>
        <family val="2"/>
        <scheme val="minor"/>
      </rPr>
      <t>Please List the Top-5 Most Relevant Financial KPIs Monitored to Execute the Digitalisation Strategy</t>
    </r>
  </si>
  <si>
    <r>
      <t xml:space="preserve">Most relevant use case of the technology (Please </t>
    </r>
    <r>
      <rPr>
        <b/>
        <u/>
        <sz val="11"/>
        <rFont val="Calibri"/>
        <family val="2"/>
        <scheme val="minor"/>
      </rPr>
      <t>select the technology first</t>
    </r>
    <r>
      <rPr>
        <b/>
        <sz val="11"/>
        <rFont val="Calibri"/>
        <family val="2"/>
        <scheme val="minor"/>
      </rPr>
      <t>)</t>
    </r>
  </si>
  <si>
    <t>Number of times an issue related to digitalization was escalated to the MBMF. Please specify the type of issues (e.g. missing targets) in the comment box.</t>
  </si>
  <si>
    <t>At group level, please list the top-3 digitalisation projects or initiatives currently ongoing with the objective to develop the digitalisation of a banking (business) activity.</t>
  </si>
  <si>
    <t>3 - Going live expected within the next 6 months</t>
  </si>
  <si>
    <t>Use Status</t>
  </si>
  <si>
    <t>At group level, please list the top-3  digitalisation projects or initiatives currently ongoing with the objective to develop technological (or other) yet non-banking activities which will be functional or instrumental to digital banking (business) activities.</t>
  </si>
  <si>
    <t>Columns requesting for values in T, refer to actual values for the reference date T.</t>
  </si>
  <si>
    <t>Quota in T</t>
  </si>
  <si>
    <t>Digitalisation FTEs</t>
  </si>
  <si>
    <t>Current Value in T</t>
  </si>
  <si>
    <t>Nominal Value in T</t>
  </si>
  <si>
    <t>Value of Automated Digital Investments</t>
  </si>
  <si>
    <t>Revenue from selling services from other financial institutions in own platform</t>
  </si>
  <si>
    <t>Bank's Comments:</t>
  </si>
  <si>
    <t>Key Data Intagible Assets</t>
  </si>
  <si>
    <t>Patented technology</t>
  </si>
  <si>
    <t>Computer software and database</t>
  </si>
  <si>
    <t>Intellectual domains, video domains and any other audiovisual material</t>
  </si>
  <si>
    <t>Licences, trademarks and patents</t>
  </si>
  <si>
    <t>Relationship between customer and supplier</t>
  </si>
  <si>
    <t>Intellectual capital, scientific knowledge</t>
  </si>
  <si>
    <t>Rights such as marketing and brand</t>
  </si>
  <si>
    <t>Number of subsidiaries (out of the total number of subsidiaries) to which the group's digitalisation strategy is rolled-out consistently. Please specify which, if any, of the markets require an ad-hoc approach in the comment box.</t>
  </si>
  <si>
    <t>010</t>
  </si>
  <si>
    <t>020</t>
  </si>
  <si>
    <t>030</t>
  </si>
  <si>
    <t>040</t>
  </si>
  <si>
    <t>050</t>
  </si>
  <si>
    <t>060</t>
  </si>
  <si>
    <t>070</t>
  </si>
  <si>
    <t xml:space="preserve">Digital Customers </t>
  </si>
  <si>
    <t>080</t>
  </si>
  <si>
    <t>090</t>
  </si>
  <si>
    <t>100</t>
  </si>
  <si>
    <t>110</t>
  </si>
  <si>
    <t>120</t>
  </si>
  <si>
    <t>130</t>
  </si>
  <si>
    <t>o.w. Customer Related</t>
  </si>
  <si>
    <t>o.w. Marketing Related (brand outside goodwill)</t>
  </si>
  <si>
    <t>o.w. Other (Please Specify)</t>
  </si>
  <si>
    <t>Finite Life</t>
  </si>
  <si>
    <t>Indefinite Life</t>
  </si>
  <si>
    <r>
      <t xml:space="preserve">Note: 
1. When asked to report a number out of the total please insert the percentage for the corresponding questions (e.g. 10% to be reported as </t>
    </r>
    <r>
      <rPr>
        <b/>
        <i/>
        <sz val="9"/>
        <rFont val="Calibri"/>
        <family val="2"/>
        <scheme val="minor"/>
      </rPr>
      <t>0.10</t>
    </r>
    <r>
      <rPr>
        <i/>
        <sz val="9"/>
        <rFont val="Calibri"/>
        <family val="2"/>
        <scheme val="minor"/>
      </rPr>
      <t>)</t>
    </r>
  </si>
  <si>
    <t>T+1</t>
  </si>
  <si>
    <t>Other (Please specify in comments)</t>
  </si>
  <si>
    <t>5. Digital Assets related Activities and Aggregated Exposure</t>
  </si>
  <si>
    <t>5.1 Group Aggregated Direct and Indirect Exposure</t>
  </si>
  <si>
    <t xml:space="preserve">5.2 Activities breakdown for digital assets related services: Status and activity measures </t>
  </si>
  <si>
    <t>Tab Digital Assets</t>
  </si>
  <si>
    <r>
      <t xml:space="preserve">Notes: 
</t>
    </r>
    <r>
      <rPr>
        <i/>
        <vertAlign val="superscript"/>
        <sz val="9"/>
        <color theme="1"/>
        <rFont val="Calibri"/>
        <family val="2"/>
        <scheme val="minor"/>
      </rPr>
      <t xml:space="preserve">1. </t>
    </r>
    <r>
      <rPr>
        <i/>
        <sz val="9"/>
        <color theme="1"/>
        <rFont val="Calibri"/>
        <family val="2"/>
        <scheme val="minor"/>
      </rPr>
      <t>Please refer to the reporting instructions for the datapoints definitions and boundaries.</t>
    </r>
  </si>
  <si>
    <r>
      <t xml:space="preserve">Notes: 
</t>
    </r>
    <r>
      <rPr>
        <i/>
        <vertAlign val="superscript"/>
        <sz val="9"/>
        <color theme="1"/>
        <rFont val="Calibri"/>
        <family val="2"/>
        <scheme val="minor"/>
      </rPr>
      <t xml:space="preserve">1. </t>
    </r>
    <r>
      <rPr>
        <i/>
        <sz val="9"/>
        <color theme="1"/>
        <rFont val="Calibri"/>
        <family val="2"/>
        <scheme val="minor"/>
      </rPr>
      <t>All variables are to be reported as flow values in the reference period, i.e. 01/01/202X - 31/12/202X.</t>
    </r>
    <r>
      <rPr>
        <i/>
        <vertAlign val="superscript"/>
        <sz val="9"/>
        <color theme="1"/>
        <rFont val="Calibri"/>
        <family val="2"/>
        <scheme val="minor"/>
      </rPr>
      <t xml:space="preserve">
2. </t>
    </r>
    <r>
      <rPr>
        <i/>
        <sz val="9"/>
        <color theme="1"/>
        <rFont val="Calibri"/>
        <family val="2"/>
        <scheme val="minor"/>
      </rPr>
      <t>Please refer to the reporting instructions for the datapoints definitions and boundaries.</t>
    </r>
  </si>
  <si>
    <t>2.1 Digitalisation Projects</t>
  </si>
  <si>
    <t>2. Digital Business</t>
  </si>
  <si>
    <t>2.2 Digitalisation Investment and Resources</t>
  </si>
  <si>
    <t>2.3 Digital Business</t>
  </si>
  <si>
    <t>2.4 Digital Revenues Breakdown</t>
  </si>
  <si>
    <t>Front  Office</t>
  </si>
  <si>
    <t>Back Office</t>
  </si>
  <si>
    <t>3. Fintech Initiatives</t>
  </si>
  <si>
    <t>3.1 Equity Investments</t>
  </si>
  <si>
    <t>3.2 Fintech Collaborations</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</si>
  <si>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</si>
  <si>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</si>
  <si>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</si>
  <si>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</si>
  <si>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</si>
  <si>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</si>
  <si>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</si>
  <si>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</si>
  <si>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</si>
  <si>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</si>
  <si>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</si>
  <si>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</si>
  <si>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</si>
  <si>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</si>
  <si>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</si>
  <si>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</si>
  <si>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</si>
  <si>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</si>
  <si>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</si>
  <si>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</si>
  <si>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</si>
  <si>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</si>
  <si>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</si>
  <si>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</si>
  <si>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</si>
  <si>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</si>
  <si>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</si>
  <si>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 Use of Technologies</t>
  </si>
  <si>
    <t>4.1 General Technologies and Use cases</t>
  </si>
  <si>
    <t>4.2 Artificial Intelligence Use Cases</t>
  </si>
  <si>
    <t>4.3 API Use Cases</t>
  </si>
  <si>
    <t>4.4 DLT Use cases</t>
  </si>
  <si>
    <t>4.5 Other Technologies Use cases</t>
  </si>
  <si>
    <t>Multiple (Please specify in comments)</t>
  </si>
  <si>
    <t>1.3 Key Performance Indicators</t>
  </si>
  <si>
    <t>1.4 Legal Structure due to Digitalisation Strategy Execution</t>
  </si>
  <si>
    <t>1.5 Commercial Structure due to Digitalisation Strategy Execution</t>
  </si>
  <si>
    <t>Net Revenues generated in year T</t>
  </si>
  <si>
    <t>Net Expected Revenues in year T+1</t>
  </si>
  <si>
    <t>Net Revenues / Synergies expected in year T+1</t>
  </si>
  <si>
    <t>Net Revenues / Synergies generated in T</t>
  </si>
  <si>
    <t>Gross Revenues generated in year T</t>
  </si>
  <si>
    <t>Expected Gross Revenues in year T+1</t>
  </si>
  <si>
    <t>Notes: 
1. This section requires to list  the number of digital brands, which entails a bank-specific amount. Thus: If your bank identifies less than 5 digital brands please leave blank the remaining rows; if your bank identifies more than 5 digital brands please list only the top-5 ones according to the column's "Gross Revenues generated in T" value.
2. In the comment section briefly explain each brand's market target.</t>
  </si>
  <si>
    <t>Gross \Revenues generated in year T</t>
  </si>
  <si>
    <t>Gross Synergies generated in year T</t>
  </si>
  <si>
    <t>Gross Synergies expected in year T+1</t>
  </si>
  <si>
    <r>
      <t xml:space="preserve">Notes: 
</t>
    </r>
    <r>
      <rPr>
        <i/>
        <vertAlign val="superscript"/>
        <sz val="9"/>
        <color theme="1"/>
        <rFont val="Calibri"/>
        <family val="2"/>
        <scheme val="minor"/>
      </rPr>
      <t xml:space="preserve">1 </t>
    </r>
    <r>
      <rPr>
        <i/>
        <sz val="9"/>
        <color theme="1"/>
        <rFont val="Calibri"/>
        <family val="2"/>
        <scheme val="minor"/>
      </rPr>
      <t xml:space="preserve">In the Name and Description please provide a brief description of  expected products / services/ deliverables.
</t>
    </r>
    <r>
      <rPr>
        <i/>
        <vertAlign val="superscript"/>
        <sz val="9"/>
        <color theme="1"/>
        <rFont val="Calibri"/>
        <family val="2"/>
        <scheme val="minor"/>
      </rPr>
      <t>2</t>
    </r>
    <r>
      <rPr>
        <i/>
        <sz val="9"/>
        <color theme="1"/>
        <rFont val="Calibri"/>
        <family val="2"/>
        <scheme val="minor"/>
      </rPr>
      <t xml:space="preserve"> When selecting the option "Other (please specify)" in the columns "Predominant business involved" and "Predominant activity involved" please specify the answer in the outright comment box. 
</t>
    </r>
    <r>
      <rPr>
        <i/>
        <vertAlign val="superscript"/>
        <sz val="9"/>
        <color theme="1"/>
        <rFont val="Calibri"/>
        <family val="2"/>
        <scheme val="minor"/>
      </rPr>
      <t>3</t>
    </r>
    <r>
      <rPr>
        <i/>
        <sz val="9"/>
        <color theme="1"/>
        <rFont val="Calibri"/>
        <family val="2"/>
        <scheme val="minor"/>
      </rPr>
      <t xml:space="preserve"> Please reserve the last out of the 3 non-banking activities projects for the reporting entity's most important initiative concerning Core Systems Transformation, as indicated in the cell Name and Description "o.w. Core Systems Transformation".</t>
    </r>
  </si>
  <si>
    <t xml:space="preserve">Gross Revenues from the Sale of Digital Products and Services </t>
  </si>
  <si>
    <t>2.5 Other Intangible Assets</t>
  </si>
  <si>
    <t>Other Intangible Assets (excluding Goodwill)</t>
  </si>
  <si>
    <t>Bank's Comments</t>
  </si>
  <si>
    <t>Carrying Amount in T</t>
  </si>
  <si>
    <t>Amortisation in T</t>
  </si>
  <si>
    <t>Avg. Amortization Period (years) in T</t>
  </si>
  <si>
    <t>Impairment in T</t>
  </si>
  <si>
    <r>
      <t>For the purposes of this STE, digitalisation is defined as the use of digital technology solutions</t>
    </r>
    <r>
      <rPr>
        <b/>
        <vertAlign val="superscript"/>
        <sz val="11"/>
        <color theme="1"/>
        <rFont val="Calibri"/>
        <family val="2"/>
        <scheme val="minor"/>
      </rPr>
      <t>1</t>
    </r>
    <r>
      <rPr>
        <b/>
        <sz val="11"/>
        <color theme="1"/>
        <rFont val="Calibri"/>
        <family val="2"/>
        <scheme val="minor"/>
      </rPr>
      <t>, enabling the delivery on banks’ objectives to improve operational processes</t>
    </r>
    <r>
      <rPr>
        <b/>
        <vertAlign val="superscript"/>
        <sz val="11"/>
        <color theme="1"/>
        <rFont val="Calibri"/>
        <family val="2"/>
        <scheme val="minor"/>
      </rPr>
      <t>2</t>
    </r>
    <r>
      <rPr>
        <b/>
        <sz val="11"/>
        <color theme="1"/>
        <rFont val="Calibri"/>
        <family val="2"/>
        <scheme val="minor"/>
      </rPr>
      <t xml:space="preserve"> or provide additional support</t>
    </r>
    <r>
      <rPr>
        <b/>
        <vertAlign val="superscript"/>
        <sz val="11"/>
        <color theme="1"/>
        <rFont val="Calibri"/>
        <family val="2"/>
        <scheme val="minor"/>
      </rPr>
      <t>3</t>
    </r>
    <r>
      <rPr>
        <b/>
        <sz val="11"/>
        <color theme="1"/>
        <rFont val="Calibri"/>
        <family val="2"/>
        <scheme val="minor"/>
      </rPr>
      <t xml:space="preserve"> to business.</t>
    </r>
  </si>
  <si>
    <r>
      <rPr>
        <vertAlign val="superscript"/>
        <sz val="11"/>
        <color theme="1"/>
        <rFont val="Calibri"/>
        <family val="2"/>
        <scheme val="minor"/>
      </rPr>
      <t>1</t>
    </r>
    <r>
      <rPr>
        <sz val="11"/>
        <color theme="1"/>
        <rFont val="Calibri"/>
        <family val="2"/>
        <scheme val="minor"/>
      </rPr>
      <t xml:space="preserve"> digital technology solutions means any kind of innovative solutions, paradigms, software, hardware, services which could be in cooperation with third parties;
</t>
    </r>
    <r>
      <rPr>
        <vertAlign val="superscript"/>
        <sz val="11"/>
        <color theme="1"/>
        <rFont val="Calibri"/>
        <family val="2"/>
        <scheme val="minor"/>
      </rPr>
      <t>2</t>
    </r>
    <r>
      <rPr>
        <sz val="11"/>
        <color theme="1"/>
        <rFont val="Calibri"/>
        <family val="2"/>
        <scheme val="minor"/>
      </rPr>
      <t xml:space="preserve"> operational process means any activity that is being carried out to satisfy the operations of a bank in terms sales, processing, risk;
</t>
    </r>
    <r>
      <rPr>
        <vertAlign val="superscript"/>
        <sz val="11"/>
        <color theme="1"/>
        <rFont val="Calibri"/>
        <family val="2"/>
        <scheme val="minor"/>
      </rPr>
      <t>3</t>
    </r>
    <r>
      <rPr>
        <sz val="11"/>
        <color theme="1"/>
        <rFont val="Calibri"/>
        <family val="2"/>
        <scheme val="minor"/>
      </rPr>
      <t xml:space="preserve"> to exclude case of pure one-to-one replacement.</t>
    </r>
  </si>
  <si>
    <t>Notes: 
1. This section requires to list  the number of entities separated due to digitalisation, which entails a bank-specific amount. Thus, for each of the two sub-sections: If your bank identifies less than 5 separated entities please leave blank the remaining rows; if your bank identifies more than 5 separated entities please list only the top-5 ones according to the column's "Net Revenues (or Synergies) generated in T" value.
2. When selecting the option "Other (please specify)" in the columns "Predominant business involved" and "Predominant activity involved" please specify the answer in the comments box.
3. Examples of "digitally-conducted banking activities":  loans, personal finance, trading platforms, wealth management, payments, insurance services, etc.</t>
  </si>
  <si>
    <r>
      <t xml:space="preserve">With reference to the </t>
    </r>
    <r>
      <rPr>
        <b/>
        <i/>
        <sz val="9"/>
        <rFont val="Calibri"/>
        <family val="2"/>
        <scheme val="minor"/>
      </rPr>
      <t xml:space="preserve">commercial structure </t>
    </r>
    <r>
      <rPr>
        <sz val="9"/>
        <rFont val="Calibri"/>
        <family val="2"/>
        <scheme val="minor"/>
      </rPr>
      <t xml:space="preserve">of your bank, please list </t>
    </r>
    <r>
      <rPr>
        <b/>
        <sz val="9"/>
        <rFont val="Calibri"/>
        <family val="2"/>
        <scheme val="minor"/>
      </rPr>
      <t>any digital-only sub-branding initiatives</t>
    </r>
    <r>
      <rPr>
        <sz val="9"/>
        <rFont val="Calibri"/>
        <family val="2"/>
        <scheme val="minor"/>
      </rPr>
      <t xml:space="preserve"> that was a deliberate part of the group's digitalisation strategy.</t>
    </r>
  </si>
  <si>
    <r>
      <t xml:space="preserve">Notes: 
</t>
    </r>
    <r>
      <rPr>
        <i/>
        <vertAlign val="superscript"/>
        <sz val="9"/>
        <color theme="1"/>
        <rFont val="Calibri"/>
        <family val="2"/>
        <scheme val="minor"/>
      </rPr>
      <t xml:space="preserve">1. </t>
    </r>
    <r>
      <rPr>
        <i/>
        <sz val="9"/>
        <color theme="1"/>
        <rFont val="Calibri"/>
        <family val="2"/>
        <scheme val="minor"/>
      </rPr>
      <t xml:space="preserve">Please list the number of collaborations established in the fintech field. If the bank identifies +10 collaborations in the fintech field, </t>
    </r>
    <r>
      <rPr>
        <b/>
        <i/>
        <sz val="9"/>
        <color theme="1"/>
        <rFont val="Calibri"/>
        <family val="2"/>
        <scheme val="minor"/>
      </rPr>
      <t>please list the top-10 according to the highest relevance for your bank. Please leave blank excessive rows</t>
    </r>
    <r>
      <rPr>
        <i/>
        <sz val="9"/>
        <color theme="1"/>
        <rFont val="Calibri"/>
        <family val="2"/>
        <scheme val="minor"/>
      </rPr>
      <t xml:space="preserve">, i.e. if the bank identifies &lt;10 collaborations established in the fintech field leave the remaining rows blank.
</t>
    </r>
    <r>
      <rPr>
        <i/>
        <vertAlign val="superscript"/>
        <sz val="9"/>
        <color theme="1"/>
        <rFont val="Calibri"/>
        <family val="2"/>
        <scheme val="minor"/>
      </rPr>
      <t>2.</t>
    </r>
    <r>
      <rPr>
        <i/>
        <sz val="9"/>
        <color theme="1"/>
        <rFont val="Calibri"/>
        <family val="2"/>
        <scheme val="minor"/>
      </rPr>
      <t xml:space="preserve"> When selecting the option "</t>
    </r>
    <r>
      <rPr>
        <b/>
        <i/>
        <sz val="9"/>
        <color theme="1"/>
        <rFont val="Calibri"/>
        <family val="2"/>
        <scheme val="minor"/>
      </rPr>
      <t>Other (please specify in comments)</t>
    </r>
    <r>
      <rPr>
        <i/>
        <sz val="9"/>
        <color theme="1"/>
        <rFont val="Calibri"/>
        <family val="2"/>
        <scheme val="minor"/>
      </rPr>
      <t>" in the columns "Main activity", "Type of partner", "Type of collaboration" and "Project ID involved" please specify the answer in the rightmost columns in the comments.</t>
    </r>
  </si>
  <si>
    <r>
      <rPr>
        <sz val="10"/>
        <rFont val="Calibri"/>
        <family val="2"/>
        <scheme val="minor"/>
      </rPr>
      <t xml:space="preserve">With reference to any </t>
    </r>
    <r>
      <rPr>
        <b/>
        <i/>
        <sz val="10"/>
        <rFont val="Calibri"/>
        <family val="2"/>
        <scheme val="minor"/>
      </rPr>
      <t xml:space="preserve">collaboration in the fintech field, </t>
    </r>
    <r>
      <rPr>
        <sz val="10"/>
        <rFont val="Calibri"/>
        <family val="2"/>
        <scheme val="minor"/>
      </rPr>
      <t xml:space="preserve">please list the </t>
    </r>
    <r>
      <rPr>
        <b/>
        <i/>
        <sz val="10"/>
        <rFont val="Calibri"/>
        <family val="2"/>
        <scheme val="minor"/>
      </rPr>
      <t xml:space="preserve">top-10 most relevant collaborations </t>
    </r>
    <r>
      <rPr>
        <sz val="10"/>
        <rFont val="Calibri"/>
        <family val="2"/>
        <scheme val="minor"/>
      </rPr>
      <t xml:space="preserve">and with reference to the partner subject indicate: </t>
    </r>
    <r>
      <rPr>
        <sz val="9"/>
        <rFont val="Calibri"/>
        <family val="2"/>
        <scheme val="minor"/>
      </rPr>
      <t xml:space="preserve">
(These collaborations may be related with third parties, including commercial, distribution suppliers, R&amp;D partners, universities, incubators, accelerators, districts, (etc.), in national or foreign markets.)</t>
    </r>
  </si>
  <si>
    <r>
      <rPr>
        <sz val="10"/>
        <rFont val="Calibri"/>
        <family val="2"/>
        <scheme val="minor"/>
      </rPr>
      <t xml:space="preserve">With reference to any </t>
    </r>
    <r>
      <rPr>
        <b/>
        <i/>
        <sz val="10"/>
        <rFont val="Calibri"/>
        <family val="2"/>
        <scheme val="minor"/>
      </rPr>
      <t>equity investment</t>
    </r>
    <r>
      <rPr>
        <sz val="10"/>
        <rFont val="Calibri"/>
        <family val="2"/>
        <scheme val="minor"/>
      </rPr>
      <t xml:space="preserve"> held in the equity/ownership of </t>
    </r>
    <r>
      <rPr>
        <b/>
        <i/>
        <sz val="10"/>
        <rFont val="Calibri"/>
        <family val="2"/>
        <scheme val="minor"/>
      </rPr>
      <t>Fintech entities</t>
    </r>
    <r>
      <rPr>
        <sz val="10"/>
        <rFont val="Calibri"/>
        <family val="2"/>
        <scheme val="minor"/>
      </rPr>
      <t xml:space="preserve"> (home market or foreign). </t>
    </r>
    <r>
      <rPr>
        <sz val="9"/>
        <rFont val="Calibri"/>
        <family val="2"/>
        <scheme val="minor"/>
      </rPr>
      <t xml:space="preserve">
These shall dentified based on their nominal value, please</t>
    </r>
    <r>
      <rPr>
        <b/>
        <i/>
        <sz val="9"/>
        <rFont val="Calibri"/>
        <family val="2"/>
        <scheme val="minor"/>
      </rPr>
      <t xml:space="preserve"> </t>
    </r>
    <r>
      <rPr>
        <sz val="9"/>
        <rFont val="Calibri"/>
        <family val="2"/>
        <scheme val="minor"/>
      </rPr>
      <t>list</t>
    </r>
    <r>
      <rPr>
        <b/>
        <i/>
        <sz val="9"/>
        <rFont val="Calibri"/>
        <family val="2"/>
        <scheme val="minor"/>
      </rPr>
      <t xml:space="preserve"> the top-10 Holdings</t>
    </r>
    <r>
      <rPr>
        <sz val="9"/>
        <rFont val="Calibri"/>
        <family val="2"/>
        <scheme val="minor"/>
      </rPr>
      <t xml:space="preserve"> and provide in reference to the investee the following information:</t>
    </r>
  </si>
  <si>
    <t>o.w. Core Systems Transformation - Please report here</t>
  </si>
  <si>
    <t>111</t>
  </si>
  <si>
    <t>112</t>
  </si>
  <si>
    <t>121</t>
  </si>
  <si>
    <t>191</t>
  </si>
  <si>
    <t>251</t>
  </si>
  <si>
    <t>252</t>
  </si>
  <si>
    <t>253</t>
  </si>
  <si>
    <t>254</t>
  </si>
  <si>
    <t>Sheet</t>
  </si>
  <si>
    <t>Mandatory</t>
  </si>
  <si>
    <t>Optional</t>
  </si>
  <si>
    <t>Total</t>
  </si>
  <si>
    <t>o.w. Technology Related</t>
  </si>
  <si>
    <r>
      <t xml:space="preserve">Notes: 
</t>
    </r>
    <r>
      <rPr>
        <i/>
        <vertAlign val="superscript"/>
        <sz val="9"/>
        <color theme="1"/>
        <rFont val="Calibri"/>
        <family val="2"/>
        <scheme val="minor"/>
      </rPr>
      <t>1.</t>
    </r>
    <r>
      <rPr>
        <i/>
        <sz val="9"/>
        <color theme="1"/>
        <rFont val="Calibri"/>
        <family val="2"/>
        <scheme val="minor"/>
      </rPr>
      <t xml:space="preserve"> Please refer to the reporting instructions for the datapoints definitions and boundaries</t>
    </r>
  </si>
  <si>
    <t>Stock Deposit Value of Digitally Opened Accounts</t>
  </si>
  <si>
    <t>Quantitative Measure</t>
  </si>
  <si>
    <t>Number of initiatives launched across the bank and its subsidiaries for enhancing the skills of its staff in context of digitalisation topics. Please the type of initiatives (e.g. training) in the comment box.</t>
  </si>
  <si>
    <r>
      <t xml:space="preserve">With reference to the </t>
    </r>
    <r>
      <rPr>
        <b/>
        <i/>
        <sz val="9"/>
        <rFont val="Calibri"/>
        <family val="2"/>
        <scheme val="minor"/>
      </rPr>
      <t>legal structure</t>
    </r>
    <r>
      <rPr>
        <sz val="9"/>
        <rFont val="Calibri"/>
        <family val="2"/>
        <scheme val="minor"/>
      </rPr>
      <t xml:space="preserve"> of the institution, please list </t>
    </r>
    <r>
      <rPr>
        <b/>
        <sz val="9"/>
        <rFont val="Calibri"/>
        <family val="2"/>
        <scheme val="minor"/>
      </rPr>
      <t xml:space="preserve">any separated entities </t>
    </r>
    <r>
      <rPr>
        <sz val="9"/>
        <rFont val="Calibri"/>
        <family val="2"/>
        <scheme val="minor"/>
      </rPr>
      <t xml:space="preserve">(e.g. Venture Capital, Innovation Hub, etc.) </t>
    </r>
    <r>
      <rPr>
        <b/>
        <sz val="9"/>
        <rFont val="Calibri"/>
        <family val="2"/>
        <scheme val="minor"/>
      </rPr>
      <t xml:space="preserve">aimed at developing non-banking </t>
    </r>
    <r>
      <rPr>
        <sz val="9"/>
        <rFont val="Calibri"/>
        <family val="2"/>
        <scheme val="minor"/>
      </rPr>
      <t>but technological or other activities functional or instrumental to digitally-conducted banking activities. The separation of these legal entities was a deliberate part of the group's digitalisation strategy execution.</t>
    </r>
  </si>
  <si>
    <r>
      <t xml:space="preserve">With reference to the </t>
    </r>
    <r>
      <rPr>
        <b/>
        <i/>
        <sz val="9"/>
        <rFont val="Calibri"/>
        <family val="2"/>
        <scheme val="minor"/>
      </rPr>
      <t>legal</t>
    </r>
    <r>
      <rPr>
        <b/>
        <sz val="9"/>
        <rFont val="Calibri"/>
        <family val="2"/>
        <scheme val="minor"/>
      </rPr>
      <t xml:space="preserve"> </t>
    </r>
    <r>
      <rPr>
        <b/>
        <i/>
        <sz val="9"/>
        <rFont val="Calibri"/>
        <family val="2"/>
        <scheme val="minor"/>
      </rPr>
      <t>structure</t>
    </r>
    <r>
      <rPr>
        <sz val="9"/>
        <rFont val="Calibri"/>
        <family val="2"/>
        <scheme val="minor"/>
      </rPr>
      <t xml:space="preserve"> of the institution, please list</t>
    </r>
    <r>
      <rPr>
        <b/>
        <sz val="9"/>
        <rFont val="Calibri"/>
        <family val="2"/>
        <scheme val="minor"/>
      </rPr>
      <t xml:space="preserve"> any separated entities</t>
    </r>
    <r>
      <rPr>
        <sz val="9"/>
        <rFont val="Calibri"/>
        <family val="2"/>
        <scheme val="minor"/>
      </rPr>
      <t xml:space="preserve"> (e.g. independent business units, subsidiaries) </t>
    </r>
    <r>
      <rPr>
        <b/>
        <sz val="9"/>
        <rFont val="Calibri"/>
        <family val="2"/>
        <scheme val="minor"/>
      </rPr>
      <t>aimed at developing digitally-conducted banking activities</t>
    </r>
    <r>
      <rPr>
        <b/>
        <vertAlign val="superscript"/>
        <sz val="9"/>
        <rFont val="Calibri"/>
        <family val="2"/>
        <scheme val="minor"/>
      </rPr>
      <t>3</t>
    </r>
    <r>
      <rPr>
        <sz val="9"/>
        <rFont val="Calibri"/>
        <family val="2"/>
        <scheme val="minor"/>
      </rPr>
      <t>. The separation of these legal entities was a deliberate part of the group's digitalisation strategy execution.</t>
    </r>
  </si>
  <si>
    <t>Number of Staff in Digitalisation ad-hoc Coordination Bodies/Committees</t>
  </si>
  <si>
    <r>
      <t xml:space="preserve">Notes: 
1. Please list the number of equity investments held in fintech companies. If the bank identifies +10 equity investments held in fintech companies </t>
    </r>
    <r>
      <rPr>
        <b/>
        <i/>
        <sz val="9"/>
        <color theme="1"/>
        <rFont val="Calibri"/>
        <family val="2"/>
        <scheme val="minor"/>
      </rPr>
      <t>please list only the top-10 ones according to the column's "Value Nominal" value.</t>
    </r>
    <r>
      <rPr>
        <i/>
        <sz val="9"/>
        <color theme="1"/>
        <rFont val="Calibri"/>
        <family val="2"/>
        <scheme val="minor"/>
      </rPr>
      <t xml:space="preserve"> </t>
    </r>
    <r>
      <rPr>
        <b/>
        <i/>
        <sz val="9"/>
        <color theme="1"/>
        <rFont val="Calibri"/>
        <family val="2"/>
        <scheme val="minor"/>
      </rPr>
      <t>Please leave blank excessive rows</t>
    </r>
    <r>
      <rPr>
        <i/>
        <sz val="9"/>
        <color theme="1"/>
        <rFont val="Calibri"/>
        <family val="2"/>
        <scheme val="minor"/>
      </rPr>
      <t>, i.e. if the bank identifies &lt;10 equity investments held in fintech companies please leave the remaining rows blank.
2. When selecting the option "</t>
    </r>
    <r>
      <rPr>
        <b/>
        <i/>
        <sz val="9"/>
        <color theme="1"/>
        <rFont val="Calibri"/>
        <family val="2"/>
        <scheme val="minor"/>
      </rPr>
      <t>Other (please specify in comments)</t>
    </r>
    <r>
      <rPr>
        <i/>
        <sz val="9"/>
        <color theme="1"/>
        <rFont val="Calibri"/>
        <family val="2"/>
        <scheme val="minor"/>
      </rPr>
      <t>" in the columns "Main activity", "Type of investee", " and "</t>
    </r>
    <r>
      <rPr>
        <i/>
        <sz val="9"/>
        <rFont val="Calibri"/>
        <family val="2"/>
        <scheme val="minor"/>
      </rPr>
      <t>Project ID involved"</t>
    </r>
    <r>
      <rPr>
        <i/>
        <sz val="9"/>
        <color theme="1"/>
        <rFont val="Calibri"/>
        <family val="2"/>
        <scheme val="minor"/>
      </rPr>
      <t xml:space="preserve"> please specify the answer in the rightmost columns in the comments.
3. When asked to the quotas (column 060) please insert the percentage for the corresponding questions (e.g. 10% to be reported as 0.10)</t>
    </r>
  </si>
  <si>
    <r>
      <t xml:space="preserve">Notes: 
</t>
    </r>
    <r>
      <rPr>
        <i/>
        <vertAlign val="superscript"/>
        <sz val="9"/>
        <color theme="1"/>
        <rFont val="Calibri"/>
        <family val="2"/>
        <scheme val="minor"/>
      </rPr>
      <t>1.</t>
    </r>
    <r>
      <rPr>
        <i/>
        <sz val="9"/>
        <color theme="1"/>
        <rFont val="Calibri"/>
        <family val="2"/>
        <scheme val="minor"/>
      </rPr>
      <t xml:space="preserve">Please refer to the reporting instructions for the datapoints definitions and boundaries
</t>
    </r>
    <r>
      <rPr>
        <i/>
        <vertAlign val="superscript"/>
        <sz val="9"/>
        <color theme="1"/>
        <rFont val="Calibri"/>
        <family val="2"/>
        <scheme val="minor"/>
      </rPr>
      <t>2.</t>
    </r>
    <r>
      <rPr>
        <i/>
        <sz val="9"/>
        <color theme="1"/>
        <rFont val="Calibri"/>
        <family val="2"/>
        <scheme val="minor"/>
      </rPr>
      <t xml:space="preserve"> Please note that the Project IDs P.01, P.02, P.03, P.04, P.05, P.06 refer to the same projects listed in the section 2.1
</t>
    </r>
    <r>
      <rPr>
        <i/>
        <vertAlign val="superscript"/>
        <sz val="9"/>
        <color theme="1"/>
        <rFont val="Calibri"/>
        <family val="2"/>
        <scheme val="minor"/>
      </rPr>
      <t>3.</t>
    </r>
    <r>
      <rPr>
        <i/>
        <sz val="9"/>
        <color theme="1"/>
        <rFont val="Calibri"/>
        <family val="2"/>
        <scheme val="minor"/>
      </rPr>
      <t xml:space="preserve"> Expenses (Project and General) shall consider the flow in the reference period (and T+1 when requested). FTEs and Staff sections shall .</t>
    </r>
  </si>
  <si>
    <t>Crypto assets on the asset side - banking book (Exposure value)</t>
  </si>
  <si>
    <t>TEXT</t>
  </si>
  <si>
    <t>Crypto assets on the asset side - trading book (Market value)</t>
  </si>
  <si>
    <t>Crypto assets on the liability side - trading book (Market value)</t>
  </si>
  <si>
    <t>Crypto assets on the liability side - non-trading book (Booking value)</t>
  </si>
  <si>
    <t>Derivatives linked to crypto assets - asset side (Notional amount)</t>
  </si>
  <si>
    <t>Deposits collected from any entity running a business related to crypto-assets or DLT? (Booking value)</t>
  </si>
  <si>
    <t>Loans provided to any entity running a business related to crypto-assets or DLT? (Exposure value)</t>
  </si>
  <si>
    <t>Any other direct or indirect exposure (Exposure value, please also specify in the comments field)</t>
  </si>
  <si>
    <t>Value of Quantitative Activity Measure</t>
  </si>
  <si>
    <t>Issuance of stablecoins (Amount in circulation)</t>
  </si>
  <si>
    <t>Issuance of tokenized traditional financial instruments for own purposes (Amount in circulation)</t>
  </si>
  <si>
    <t>Issuance of tokenized traditional financial instruments for others (Amount in circulation)</t>
  </si>
  <si>
    <t>Issuance of utility tokens (Amount in circulation)</t>
  </si>
  <si>
    <t>Issuance of any other crypto assets (Amount in circulation)</t>
  </si>
  <si>
    <t>Placing of crypto assets different to issuance (Amount in circulation)</t>
  </si>
  <si>
    <t>Use for transfer of value for internal purposes (Value transferred internally)</t>
  </si>
  <si>
    <t>Provision of payment services (Value transferred externally)</t>
  </si>
  <si>
    <t>Crypto asset staking (Exposure value)</t>
  </si>
  <si>
    <t>Crypto asset lending in terms of lending fiat against crypto-assets as collateral (Exposure value)</t>
  </si>
  <si>
    <t>Crypto asset lending in terms of lending crypto-assets (Exposure value)</t>
  </si>
  <si>
    <t>Operation of a trading platform for crypto-assets (Number of trading platforms)</t>
  </si>
  <si>
    <t>Trading on an agency basis - Crypto assets (Gross amount of absolute market value intermediated)</t>
  </si>
  <si>
    <t>Trading on an agency basis - Derivatives linked to crypto assets (Gross amount of absolute notional intermediated)</t>
  </si>
  <si>
    <t>Trading on a principal basis - Crypto assets (Sum of absolute market values on asset and liability side)</t>
  </si>
  <si>
    <t>Trading on an principal basis - Derivatives linked to crypto assets (Sum of absolute notional amount on asset and liability side)</t>
  </si>
  <si>
    <t>Clearing of derivatives linked to crypto assets for others (Absolute notional amount cleared for others)</t>
  </si>
  <si>
    <t>Use of DLT based solutions for clearing for internal purposes (Transaction amount cleared internally)</t>
  </si>
  <si>
    <t>Settlement of derivatives linked to crypto assets for others (Absolute notional exposure settled for others)</t>
  </si>
  <si>
    <t>Use of DLT based solutions for settlement for internal purposes (Transaction amount settled internally)</t>
  </si>
  <si>
    <t>Custody and administration of crypto-assets on behalf of third parties (Assets under custody)</t>
  </si>
  <si>
    <t>Providing portfolio management on crypto-assets, and related services (Assets under management)</t>
  </si>
  <si>
    <t>Ìnvestment in crypto assets for own purpose (Amounts invested)</t>
  </si>
  <si>
    <t>Investment in crypto asset related companies or DeFi applications (Amounts invested)</t>
  </si>
  <si>
    <t>Providing advice on crypto-assets to retail clients (Number of retail clients)</t>
  </si>
  <si>
    <t>Providing advice on crypto-assets to wholesale clients (Number of wholesale clients)</t>
  </si>
  <si>
    <t>Provision or use of DeFi applications (Number of DeFi applicatios)</t>
  </si>
  <si>
    <t>Cooperations with crypto asset related companies or DeFi applications (Number of cooperations)</t>
  </si>
  <si>
    <t>Issuance or service provision related to non-fungible-tokens (NFTs) (Amount in circulation of NFTs issued)</t>
  </si>
  <si>
    <t>Involvement in CBDC related projects (Number of projects involved, please also specify in comments field)</t>
  </si>
  <si>
    <t>Participation in the pilot regime for DLT based market infrastructures (Number of infrastructures, please also specify in comments field)</t>
  </si>
  <si>
    <t>Any other DLT related activities (Number of other activities, please also specify in comments field)</t>
  </si>
  <si>
    <t>410</t>
  </si>
  <si>
    <t>NUMBER/UNITS</t>
  </si>
  <si>
    <t>EURO/THOUSANDS</t>
  </si>
  <si>
    <t>6 - In use - ART and EMT</t>
  </si>
  <si>
    <t>Other Activities</t>
  </si>
  <si>
    <t>1 - Yes</t>
  </si>
  <si>
    <t>2 - No</t>
  </si>
  <si>
    <t>Derivatives linked to crypto assets - liability side (Notional amount)</t>
  </si>
  <si>
    <t>Digital Native - Leverage on existing (born digital) organizational and business structures</t>
  </si>
  <si>
    <t>Use of big data (please specify in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</si>
</sst>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4" formatCode="_-&quot;€&quot;* #,##0.00_-;\-&quot;€&quot;* #,##0.00_-;_-&quot;€&quot;* &quot;-&quot;??_-;_-@_-"/>
    <numFmt numFmtId="164" formatCode="#,##0_._0_0"/>
    <numFmt numFmtId="165" formatCode="dd/mm/yyyy;@"/>
  </numFmts>
  <fonts count="42" x14ac:knownFonts="1">
    <font>
      <sz val="11"/>
      <color theme="1"/>
      <name val="Calibri"/>
      <family val="2"/>
      <scheme val="minor"/>
    </font>
    <font>
      <sz val="11"/>
      <color theme="0"/>
      <name val="Calibri"/>
      <family val="2"/>
      <scheme val="minor"/>
    </font>
    <font>
      <b/>
      <sz val="11"/>
      <color theme="1"/>
      <name val="Calibri"/>
      <family val="2"/>
      <scheme val="minor"/>
    </font>
    <font>
      <b/>
      <u/>
      <sz val="11"/>
      <color theme="1"/>
      <name val="Calibri"/>
      <family val="2"/>
      <scheme val="minor"/>
    </font>
    <font>
      <sz val="8"/>
      <name val="Calibri"/>
      <family val="2"/>
      <scheme val="minor"/>
    </font>
    <font>
      <sz val="11"/>
      <name val="Calibri"/>
      <family val="2"/>
      <scheme val="minor"/>
    </font>
    <font>
      <b/>
      <sz val="11"/>
      <name val="Calibri"/>
      <family val="2"/>
      <scheme val="minor"/>
    </font>
    <font>
      <b/>
      <sz val="16"/>
      <color theme="0"/>
      <name val="Calibri"/>
      <family val="2"/>
      <scheme val="minor"/>
    </font>
    <font>
      <sz val="11"/>
      <color theme="0" tint="-0.499984740745262"/>
      <name val="Calibri"/>
      <family val="2"/>
      <scheme val="minor"/>
    </font>
    <font>
      <b/>
      <sz val="11"/>
      <color rgb="FFFF0000"/>
      <name val="Calibri"/>
      <family val="2"/>
      <scheme val="minor"/>
    </font>
    <font>
      <b/>
      <sz val="11"/>
      <color rgb="FF000000"/>
      <name val="Calibri"/>
      <family val="2"/>
      <scheme val="minor"/>
    </font>
    <font>
      <sz val="11"/>
      <color theme="1"/>
      <name val="Calibri"/>
      <family val="2"/>
      <scheme val="minor"/>
    </font>
    <font>
      <b/>
      <sz val="16"/>
      <color theme="1"/>
      <name val="Calibri"/>
      <family val="2"/>
      <scheme val="minor"/>
    </font>
    <font>
      <i/>
      <sz val="11"/>
      <color theme="1"/>
      <name val="Calibri"/>
      <family val="2"/>
      <scheme val="minor"/>
    </font>
    <font>
      <b/>
      <sz val="9"/>
      <name val="Calibri"/>
      <family val="2"/>
      <scheme val="minor"/>
    </font>
    <font>
      <sz val="9"/>
      <color theme="1"/>
      <name val="Calibri"/>
      <family val="2"/>
      <scheme val="minor"/>
    </font>
    <font>
      <i/>
      <sz val="9"/>
      <name val="Calibri"/>
      <family val="2"/>
      <scheme val="minor"/>
    </font>
    <font>
      <i/>
      <sz val="9"/>
      <color theme="1"/>
      <name val="Calibri"/>
      <family val="2"/>
      <scheme val="minor"/>
    </font>
    <font>
      <i/>
      <vertAlign val="superscript"/>
      <sz val="9"/>
      <color theme="1"/>
      <name val="Calibri"/>
      <family val="2"/>
      <scheme val="minor"/>
    </font>
    <font>
      <b/>
      <i/>
      <sz val="9"/>
      <name val="Calibri"/>
      <family val="2"/>
      <scheme val="minor"/>
    </font>
    <font>
      <b/>
      <sz val="16"/>
      <color indexed="8"/>
      <name val="Calibri"/>
      <family val="2"/>
      <scheme val="minor"/>
    </font>
    <font>
      <sz val="7"/>
      <color indexed="8"/>
      <name val="Calibri"/>
      <family val="2"/>
      <scheme val="minor"/>
    </font>
    <font>
      <b/>
      <sz val="11"/>
      <color indexed="8"/>
      <name val="Calibri"/>
      <family val="2"/>
      <scheme val="minor"/>
    </font>
    <font>
      <b/>
      <i/>
      <sz val="11"/>
      <color theme="1"/>
      <name val="Calibri"/>
      <family val="2"/>
      <scheme val="minor"/>
    </font>
    <font>
      <i/>
      <sz val="11"/>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sz val="11"/>
      <color indexed="8"/>
      <name val="Calibri"/>
      <family val="2"/>
      <scheme val="minor"/>
    </font>
    <font>
      <sz val="9"/>
      <name val="Calibri"/>
      <family val="2"/>
      <scheme val="minor"/>
    </font>
    <font>
      <b/>
      <sz val="12"/>
      <name val="Calibri"/>
      <family val="2"/>
      <scheme val="minor"/>
    </font>
    <font>
      <i/>
      <sz val="8"/>
      <color theme="1"/>
      <name val="Calibri"/>
      <family val="2"/>
      <scheme val="minor"/>
    </font>
    <font>
      <sz val="8"/>
      <color theme="1"/>
      <name val="Calibri"/>
      <family val="2"/>
      <scheme val="minor"/>
    </font>
    <font>
      <b/>
      <i/>
      <sz val="9"/>
      <color theme="1"/>
      <name val="Calibri"/>
      <family val="2"/>
      <scheme val="minor"/>
    </font>
    <font>
      <b/>
      <u/>
      <sz val="11"/>
      <name val="Calibri"/>
      <family val="2"/>
      <scheme val="minor"/>
    </font>
    <font>
      <sz val="10"/>
      <name val="Calibri"/>
      <family val="2"/>
      <scheme val="minor"/>
    </font>
    <font>
      <sz val="10"/>
      <color theme="1"/>
      <name val="Calibri"/>
      <family val="2"/>
      <scheme val="minor"/>
    </font>
    <font>
      <vertAlign val="superscript"/>
      <sz val="11"/>
      <color theme="1"/>
      <name val="Calibri"/>
      <family val="2"/>
      <scheme val="minor"/>
    </font>
    <font>
      <b/>
      <vertAlign val="superscript"/>
      <sz val="11"/>
      <color theme="1"/>
      <name val="Calibri"/>
      <family val="2"/>
      <scheme val="minor"/>
    </font>
    <font>
      <b/>
      <sz val="9"/>
      <color theme="1"/>
      <name val="Calibri"/>
      <family val="2"/>
      <scheme val="minor"/>
    </font>
    <font>
      <b/>
      <vertAlign val="superscript"/>
      <sz val="9"/>
      <name val="Calibri"/>
      <family val="2"/>
      <scheme val="minor"/>
    </font>
    <font>
      <b/>
      <i/>
      <sz val="1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FFCC"/>
        <bgColor indexed="64"/>
      </patternFill>
    </fill>
    <fill>
      <patternFill patternType="solid">
        <fgColor rgb="FFFFFF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55"/>
        <bgColor indexed="64"/>
      </patternFill>
    </fill>
    <fill>
      <patternFill patternType="solid">
        <fgColor indexed="9"/>
        <bgColor indexed="64"/>
      </patternFill>
    </fill>
    <fill>
      <patternFill patternType="solid">
        <fgColor indexed="13"/>
        <bgColor indexed="64"/>
      </patternFill>
    </fill>
    <fill>
      <patternFill patternType="solid">
        <fgColor theme="9" tint="0.59999389629810485"/>
        <bgColor indexed="64"/>
      </patternFill>
    </fill>
    <fill>
      <patternFill patternType="solid">
        <fgColor rgb="FFFFFFFF"/>
        <bgColor rgb="FF000000"/>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bottom style="thin">
        <color indexed="64"/>
      </bottom>
      <diagonal/>
    </border>
    <border>
      <left/>
      <right/>
      <top style="thin">
        <color indexed="64"/>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164"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cellStyleXfs>
  <cellXfs count="471">
    <xf numFmtId="0" fontId="0" fillId="0" borderId="0" xfId="0"/>
    <xf numFmtId="49" fontId="0" fillId="0" borderId="0" xfId="0" applyNumberFormat="1"/>
    <xf numFmtId="49" fontId="0" fillId="0" borderId="0" xfId="0" applyNumberFormat="1" applyAlignment="1">
      <alignment wrapText="1"/>
    </xf>
    <xf numFmtId="49" fontId="0" fillId="0" borderId="0" xfId="0" applyNumberFormat="1" applyAlignment="1">
      <alignment horizontal="left" vertical="center"/>
    </xf>
    <xf numFmtId="49" fontId="3" fillId="0" borderId="0" xfId="0" applyNumberFormat="1" applyFont="1"/>
    <xf numFmtId="49" fontId="2" fillId="0" borderId="0" xfId="0" applyNumberFormat="1" applyFont="1"/>
    <xf numFmtId="49" fontId="10" fillId="0" borderId="0" xfId="0" applyNumberFormat="1" applyFont="1" applyAlignment="1">
      <alignment vertical="center"/>
    </xf>
    <xf numFmtId="0" fontId="16" fillId="0" borderId="0" xfId="0" applyFont="1" applyFill="1" applyBorder="1" applyAlignment="1">
      <alignment horizontal="right" vertical="center" wrapText="1"/>
    </xf>
    <xf numFmtId="0" fontId="17" fillId="0" borderId="0" xfId="0" applyFont="1" applyFill="1" applyBorder="1" applyAlignment="1" applyProtection="1">
      <alignment wrapText="1"/>
      <protection locked="0"/>
    </xf>
    <xf numFmtId="0" fontId="0" fillId="2" borderId="0" xfId="0" applyFill="1" applyAlignment="1">
      <alignment wrapText="1"/>
    </xf>
    <xf numFmtId="0" fontId="20" fillId="11" borderId="0" xfId="0" applyFont="1" applyFill="1" applyAlignment="1">
      <alignment horizontal="center" vertical="center" wrapText="1"/>
    </xf>
    <xf numFmtId="0" fontId="0" fillId="0" borderId="0" xfId="0" applyAlignment="1">
      <alignment wrapText="1"/>
    </xf>
    <xf numFmtId="0" fontId="0" fillId="12" borderId="0" xfId="0" applyFill="1" applyAlignment="1">
      <alignment wrapText="1"/>
    </xf>
    <xf numFmtId="0" fontId="2" fillId="7" borderId="0" xfId="0" applyFont="1" applyFill="1" applyAlignment="1">
      <alignment wrapText="1"/>
    </xf>
    <xf numFmtId="0" fontId="0" fillId="2" borderId="0" xfId="0" applyFill="1"/>
    <xf numFmtId="0" fontId="9" fillId="2" borderId="0" xfId="0" applyFont="1" applyFill="1" applyAlignment="1">
      <alignment horizontal="center"/>
    </xf>
    <xf numFmtId="0" fontId="2" fillId="10" borderId="0" xfId="0" applyFont="1" applyFill="1" applyAlignment="1">
      <alignment wrapText="1"/>
    </xf>
    <xf numFmtId="0" fontId="5" fillId="12" borderId="0" xfId="0" applyFont="1" applyFill="1" applyAlignment="1">
      <alignment wrapText="1"/>
    </xf>
    <xf numFmtId="0" fontId="8" fillId="12" borderId="0" xfId="0" applyFont="1" applyFill="1" applyAlignment="1">
      <alignment wrapText="1"/>
    </xf>
    <xf numFmtId="0" fontId="5" fillId="12" borderId="0" xfId="0" applyFont="1" applyFill="1" applyAlignment="1">
      <alignment vertical="top" wrapText="1"/>
    </xf>
    <xf numFmtId="0" fontId="6" fillId="10" borderId="0" xfId="0" applyFont="1" applyFill="1" applyAlignment="1">
      <alignment wrapText="1"/>
    </xf>
    <xf numFmtId="0" fontId="2" fillId="2" borderId="0" xfId="0" applyFont="1" applyFill="1" applyAlignment="1">
      <alignment wrapText="1"/>
    </xf>
    <xf numFmtId="0" fontId="5" fillId="2" borderId="0" xfId="0" applyFont="1" applyFill="1" applyAlignment="1">
      <alignment wrapText="1"/>
    </xf>
    <xf numFmtId="0" fontId="8" fillId="2" borderId="0" xfId="0" applyFont="1" applyFill="1" applyAlignment="1">
      <alignment wrapText="1"/>
    </xf>
    <xf numFmtId="0" fontId="6" fillId="2" borderId="0" xfId="0" applyFont="1" applyFill="1" applyAlignment="1">
      <alignment wrapText="1"/>
    </xf>
    <xf numFmtId="0" fontId="5" fillId="2" borderId="0" xfId="0" applyFont="1" applyFill="1" applyAlignment="1">
      <alignment horizontal="justify" vertical="center" wrapText="1"/>
    </xf>
    <xf numFmtId="0" fontId="8" fillId="2" borderId="0" xfId="0" applyFont="1" applyFill="1" applyAlignment="1">
      <alignment horizontal="justify" vertical="center" wrapText="1"/>
    </xf>
    <xf numFmtId="0" fontId="1" fillId="12" borderId="0" xfId="0" applyFont="1" applyFill="1"/>
    <xf numFmtId="0" fontId="25" fillId="12" borderId="0" xfId="0" applyFont="1" applyFill="1"/>
    <xf numFmtId="0" fontId="20" fillId="12" borderId="0" xfId="0" applyFont="1" applyFill="1"/>
    <xf numFmtId="0" fontId="26" fillId="12" borderId="0" xfId="0" applyFont="1" applyFill="1"/>
    <xf numFmtId="0" fontId="27" fillId="12" borderId="0" xfId="0" applyFont="1" applyFill="1"/>
    <xf numFmtId="0" fontId="22" fillId="12" borderId="0" xfId="0" applyFont="1" applyFill="1" applyAlignment="1">
      <alignment horizontal="left"/>
    </xf>
    <xf numFmtId="49" fontId="28" fillId="13" borderId="20" xfId="0" applyNumberFormat="1" applyFont="1" applyFill="1" applyBorder="1" applyProtection="1">
      <protection locked="0"/>
    </xf>
    <xf numFmtId="0" fontId="28" fillId="12" borderId="0" xfId="0" applyFont="1" applyFill="1"/>
    <xf numFmtId="0" fontId="10" fillId="15" borderId="0" xfId="0" applyFont="1" applyFill="1"/>
    <xf numFmtId="0" fontId="10" fillId="15" borderId="0" xfId="0" applyFont="1" applyFill="1" applyAlignment="1">
      <alignment horizontal="left"/>
    </xf>
    <xf numFmtId="0" fontId="28" fillId="12" borderId="0" xfId="0" applyFont="1" applyFill="1" applyAlignment="1">
      <alignment horizontal="left"/>
    </xf>
    <xf numFmtId="165" fontId="28" fillId="13" borderId="20" xfId="0" applyNumberFormat="1" applyFont="1" applyFill="1" applyBorder="1" applyProtection="1">
      <protection locked="0"/>
    </xf>
    <xf numFmtId="49" fontId="28" fillId="2" borderId="0" xfId="0" applyNumberFormat="1" applyFont="1" applyFill="1"/>
    <xf numFmtId="49" fontId="28" fillId="0" borderId="0" xfId="0" applyNumberFormat="1" applyFont="1"/>
    <xf numFmtId="0" fontId="28" fillId="2" borderId="0" xfId="0" applyFont="1" applyFill="1"/>
    <xf numFmtId="0" fontId="27" fillId="2" borderId="0" xfId="0" applyFont="1" applyFill="1"/>
    <xf numFmtId="0" fontId="15" fillId="0" borderId="0" xfId="0" applyFont="1"/>
    <xf numFmtId="0" fontId="17" fillId="4" borderId="11" xfId="0" applyFont="1" applyFill="1" applyBorder="1" applyAlignment="1">
      <alignment horizontal="left" vertical="top" wrapText="1"/>
    </xf>
    <xf numFmtId="0" fontId="29" fillId="9" borderId="11" xfId="0" applyFont="1" applyFill="1" applyBorder="1" applyProtection="1">
      <protection locked="0"/>
    </xf>
    <xf numFmtId="0" fontId="29" fillId="9" borderId="15" xfId="0" applyFont="1" applyFill="1" applyBorder="1" applyProtection="1">
      <protection locked="0"/>
    </xf>
    <xf numFmtId="0" fontId="17" fillId="0" borderId="0" xfId="0" applyFont="1" applyFill="1" applyBorder="1" applyAlignment="1">
      <alignment wrapText="1"/>
    </xf>
    <xf numFmtId="0" fontId="29" fillId="0" borderId="0" xfId="0" applyFont="1" applyFill="1" applyBorder="1" applyProtection="1">
      <protection locked="0"/>
    </xf>
    <xf numFmtId="0" fontId="5" fillId="9" borderId="11" xfId="0" applyFont="1" applyFill="1" applyBorder="1" applyAlignment="1" applyProtection="1">
      <alignment vertical="center"/>
      <protection locked="0"/>
    </xf>
    <xf numFmtId="0" fontId="5" fillId="4" borderId="11" xfId="0" applyFont="1" applyFill="1" applyBorder="1" applyAlignment="1" applyProtection="1">
      <alignment vertical="center"/>
      <protection locked="0"/>
    </xf>
    <xf numFmtId="1" fontId="19" fillId="10" borderId="38" xfId="0" applyNumberFormat="1" applyFont="1" applyFill="1" applyBorder="1" applyAlignment="1">
      <alignment wrapText="1"/>
    </xf>
    <xf numFmtId="0" fontId="31" fillId="14" borderId="22" xfId="0" applyFont="1" applyFill="1" applyBorder="1" applyProtection="1">
      <protection locked="0"/>
    </xf>
    <xf numFmtId="0" fontId="17" fillId="0" borderId="0" xfId="0" applyFont="1" applyAlignment="1">
      <alignment horizontal="center" wrapText="1"/>
    </xf>
    <xf numFmtId="0" fontId="16" fillId="10" borderId="0" xfId="0" applyFont="1" applyFill="1" applyBorder="1" applyAlignment="1">
      <alignment vertical="center" wrapText="1"/>
    </xf>
    <xf numFmtId="44" fontId="15" fillId="10" borderId="0" xfId="2" applyFont="1" applyFill="1" applyBorder="1" applyAlignment="1" applyProtection="1">
      <alignment vertical="center"/>
      <protection locked="0"/>
    </xf>
    <xf numFmtId="0" fontId="15" fillId="10" borderId="0" xfId="0" applyFont="1" applyFill="1" applyBorder="1" applyAlignment="1" applyProtection="1">
      <alignment vertical="center"/>
      <protection locked="0"/>
    </xf>
    <xf numFmtId="0" fontId="16" fillId="10" borderId="5" xfId="0" applyFont="1" applyFill="1" applyBorder="1" applyAlignment="1">
      <alignment vertical="center" wrapText="1"/>
    </xf>
    <xf numFmtId="0" fontId="31" fillId="10" borderId="5" xfId="0" applyFont="1" applyFill="1" applyBorder="1" applyProtection="1">
      <protection locked="0"/>
    </xf>
    <xf numFmtId="0" fontId="15" fillId="10" borderId="5" xfId="0" applyFont="1" applyFill="1" applyBorder="1" applyProtection="1">
      <protection locked="0"/>
    </xf>
    <xf numFmtId="0" fontId="15" fillId="10" borderId="6" xfId="0" applyFont="1" applyFill="1" applyBorder="1" applyAlignment="1" applyProtection="1">
      <alignment vertical="center"/>
      <protection locked="0"/>
    </xf>
    <xf numFmtId="0" fontId="15" fillId="10" borderId="7" xfId="0" applyFont="1" applyFill="1" applyBorder="1" applyProtection="1">
      <protection locked="0"/>
    </xf>
    <xf numFmtId="0" fontId="15" fillId="0" borderId="0" xfId="0" applyFont="1" applyFill="1"/>
    <xf numFmtId="1" fontId="19" fillId="10" borderId="5" xfId="0" applyNumberFormat="1" applyFont="1" applyFill="1" applyBorder="1" applyAlignment="1">
      <alignment wrapText="1"/>
    </xf>
    <xf numFmtId="0" fontId="0" fillId="5" borderId="0" xfId="0" applyFill="1"/>
    <xf numFmtId="49" fontId="7" fillId="2" borderId="0" xfId="0" applyNumberFormat="1" applyFont="1" applyFill="1" applyBorder="1" applyAlignment="1">
      <alignment horizontal="center" vertical="center" wrapText="1"/>
    </xf>
    <xf numFmtId="0" fontId="29" fillId="14" borderId="22" xfId="0" applyFont="1" applyFill="1" applyBorder="1" applyAlignment="1" applyProtection="1">
      <alignment horizontal="center" vertical="center"/>
      <protection locked="0"/>
    </xf>
    <xf numFmtId="0" fontId="29" fillId="14" borderId="25" xfId="0" applyFont="1" applyFill="1" applyBorder="1" applyAlignment="1" applyProtection="1">
      <alignment horizontal="center" vertical="center"/>
      <protection locked="0"/>
    </xf>
    <xf numFmtId="49" fontId="15" fillId="0" borderId="0" xfId="0" applyNumberFormat="1" applyFont="1" applyAlignment="1">
      <alignment wrapText="1"/>
    </xf>
    <xf numFmtId="49" fontId="15" fillId="0" borderId="0" xfId="0" applyNumberFormat="1" applyFont="1"/>
    <xf numFmtId="0" fontId="3" fillId="0" borderId="0" xfId="0" applyFont="1"/>
    <xf numFmtId="0" fontId="3" fillId="5" borderId="0" xfId="0" applyFont="1" applyFill="1"/>
    <xf numFmtId="0" fontId="6" fillId="12" borderId="0" xfId="0" applyFont="1" applyFill="1" applyAlignment="1">
      <alignment vertical="top" wrapText="1"/>
    </xf>
    <xf numFmtId="0" fontId="0" fillId="0" borderId="0" xfId="0" applyBorder="1"/>
    <xf numFmtId="0" fontId="0" fillId="2" borderId="0" xfId="0" applyFill="1" applyBorder="1" applyAlignment="1">
      <alignment wrapText="1"/>
    </xf>
    <xf numFmtId="0" fontId="0" fillId="0" borderId="0" xfId="0" applyFont="1"/>
    <xf numFmtId="1" fontId="14" fillId="10" borderId="26" xfId="0" applyNumberFormat="1" applyFont="1" applyFill="1" applyBorder="1" applyAlignment="1">
      <alignment horizontal="left" vertical="center" wrapText="1"/>
    </xf>
    <xf numFmtId="0" fontId="29" fillId="9" borderId="15" xfId="0" applyFont="1" applyFill="1" applyBorder="1" applyAlignment="1" applyProtection="1">
      <alignment vertical="center"/>
      <protection locked="0"/>
    </xf>
    <xf numFmtId="0" fontId="14" fillId="6" borderId="11" xfId="0" applyFont="1" applyFill="1" applyBorder="1" applyAlignment="1">
      <alignment horizontal="center" vertical="center" wrapText="1"/>
    </xf>
    <xf numFmtId="0" fontId="14" fillId="6" borderId="11" xfId="0" applyFont="1" applyFill="1" applyBorder="1" applyAlignment="1">
      <alignment horizontal="left" vertical="center" wrapText="1"/>
    </xf>
    <xf numFmtId="0" fontId="16" fillId="10" borderId="11" xfId="0" applyNumberFormat="1" applyFont="1" applyFill="1" applyBorder="1" applyAlignment="1" applyProtection="1">
      <alignment horizontal="left" vertical="center"/>
      <protection locked="0"/>
    </xf>
    <xf numFmtId="0" fontId="16" fillId="10" borderId="11" xfId="0" applyFont="1" applyFill="1" applyBorder="1" applyAlignment="1" applyProtection="1">
      <alignment horizontal="left" vertical="center"/>
      <protection locked="0"/>
    </xf>
    <xf numFmtId="0" fontId="29" fillId="9" borderId="11" xfId="0" applyFont="1" applyFill="1" applyBorder="1" applyAlignment="1" applyProtection="1">
      <alignment horizontal="left" vertical="center"/>
      <protection locked="0"/>
    </xf>
    <xf numFmtId="0" fontId="6" fillId="6" borderId="14" xfId="0" applyFont="1" applyFill="1" applyBorder="1" applyAlignment="1">
      <alignment horizontal="center" vertical="center" wrapText="1"/>
    </xf>
    <xf numFmtId="0" fontId="16" fillId="6" borderId="23" xfId="0" applyFont="1" applyFill="1" applyBorder="1" applyAlignment="1">
      <alignment horizontal="left" vertical="center" wrapText="1"/>
    </xf>
    <xf numFmtId="0" fontId="16" fillId="6" borderId="24" xfId="0" applyFont="1" applyFill="1" applyBorder="1" applyAlignment="1">
      <alignment horizontal="left" vertical="center" wrapText="1"/>
    </xf>
    <xf numFmtId="0" fontId="16" fillId="10" borderId="4" xfId="0" applyFont="1" applyFill="1" applyBorder="1" applyAlignment="1">
      <alignment vertical="center" wrapText="1"/>
    </xf>
    <xf numFmtId="0" fontId="16" fillId="6" borderId="39" xfId="0" applyFont="1" applyFill="1" applyBorder="1" applyAlignment="1">
      <alignment horizontal="left" vertical="center" wrapText="1"/>
    </xf>
    <xf numFmtId="0" fontId="16" fillId="6" borderId="23" xfId="0" applyFont="1" applyFill="1" applyBorder="1" applyAlignment="1">
      <alignment horizontal="left" vertical="center" wrapText="1" indent="2"/>
    </xf>
    <xf numFmtId="0" fontId="16" fillId="6" borderId="23" xfId="0" applyFont="1" applyFill="1" applyBorder="1" applyAlignment="1">
      <alignment horizontal="left" vertical="center" wrapText="1" indent="5"/>
    </xf>
    <xf numFmtId="0" fontId="0" fillId="10" borderId="0" xfId="0" applyFill="1" applyBorder="1"/>
    <xf numFmtId="0" fontId="15" fillId="10" borderId="5" xfId="0" applyFont="1" applyFill="1" applyBorder="1"/>
    <xf numFmtId="0" fontId="35" fillId="4" borderId="11" xfId="0" applyFont="1" applyFill="1" applyBorder="1" applyAlignment="1" applyProtection="1">
      <alignment horizontal="left" vertical="center"/>
      <protection locked="0"/>
    </xf>
    <xf numFmtId="0" fontId="36" fillId="4" borderId="11" xfId="0" applyFont="1" applyFill="1" applyBorder="1" applyAlignment="1">
      <alignment horizontal="left" vertical="center"/>
    </xf>
    <xf numFmtId="0" fontId="36" fillId="4" borderId="15" xfId="0" applyFont="1" applyFill="1" applyBorder="1" applyAlignment="1">
      <alignment horizontal="left" vertical="center"/>
    </xf>
    <xf numFmtId="0" fontId="35" fillId="4" borderId="15" xfId="0" applyFont="1" applyFill="1" applyBorder="1" applyAlignment="1" applyProtection="1">
      <alignment horizontal="left" vertical="center"/>
      <protection locked="0"/>
    </xf>
    <xf numFmtId="0" fontId="14" fillId="2" borderId="0" xfId="0" applyFont="1" applyFill="1" applyBorder="1" applyAlignment="1">
      <alignment horizontal="left" vertical="center" wrapText="1"/>
    </xf>
    <xf numFmtId="0" fontId="29" fillId="2" borderId="0" xfId="0" applyFont="1" applyFill="1" applyBorder="1" applyAlignment="1" applyProtection="1">
      <alignment horizontal="center" vertical="center"/>
      <protection locked="0"/>
    </xf>
    <xf numFmtId="0" fontId="14" fillId="6" borderId="41" xfId="0" applyFont="1" applyFill="1" applyBorder="1" applyAlignment="1">
      <alignment horizontal="center" vertical="center" wrapText="1"/>
    </xf>
    <xf numFmtId="0" fontId="0" fillId="0" borderId="48" xfId="0" applyBorder="1"/>
    <xf numFmtId="0" fontId="0" fillId="0" borderId="19" xfId="0" applyBorder="1"/>
    <xf numFmtId="0" fontId="14" fillId="6" borderId="23" xfId="0" applyFont="1" applyFill="1" applyBorder="1" applyAlignment="1">
      <alignment vertical="center" wrapText="1"/>
    </xf>
    <xf numFmtId="0" fontId="16" fillId="6" borderId="13" xfId="0" quotePrefix="1" applyFont="1" applyFill="1" applyBorder="1" applyAlignment="1">
      <alignment horizontal="left" vertical="center" wrapText="1"/>
    </xf>
    <xf numFmtId="16" fontId="0" fillId="0" borderId="0" xfId="0" applyNumberFormat="1"/>
    <xf numFmtId="0" fontId="16" fillId="6" borderId="24" xfId="0" applyFont="1" applyFill="1" applyBorder="1" applyAlignment="1">
      <alignment horizontal="left" vertical="center" wrapText="1" indent="2"/>
    </xf>
    <xf numFmtId="0" fontId="14" fillId="6" borderId="12" xfId="0" applyFont="1" applyFill="1" applyBorder="1" applyAlignment="1">
      <alignment horizontal="center" vertical="center" wrapText="1"/>
    </xf>
    <xf numFmtId="0" fontId="14" fillId="6" borderId="11" xfId="0" applyFont="1" applyFill="1" applyBorder="1" applyAlignment="1">
      <alignment horizontal="center" vertical="center" wrapText="1"/>
    </xf>
    <xf numFmtId="0" fontId="14" fillId="6" borderId="36" xfId="0" applyFont="1" applyFill="1" applyBorder="1" applyAlignment="1">
      <alignment horizontal="center" vertical="center" wrapText="1"/>
    </xf>
    <xf numFmtId="49" fontId="16" fillId="6" borderId="11" xfId="0" quotePrefix="1" applyNumberFormat="1" applyFont="1" applyFill="1" applyBorder="1" applyAlignment="1">
      <alignment horizontal="center" vertical="center" wrapText="1"/>
    </xf>
    <xf numFmtId="0" fontId="16" fillId="6" borderId="13" xfId="0" quotePrefix="1" applyFont="1" applyFill="1" applyBorder="1" applyAlignment="1">
      <alignment horizontal="center" vertical="center" wrapText="1"/>
    </xf>
    <xf numFmtId="0" fontId="29" fillId="9" borderId="11" xfId="0" applyFont="1" applyFill="1" applyBorder="1" applyAlignment="1" applyProtection="1">
      <alignment vertical="center"/>
      <protection locked="0"/>
    </xf>
    <xf numFmtId="0" fontId="29" fillId="4" borderId="11" xfId="0" applyFont="1" applyFill="1" applyBorder="1" applyAlignment="1" applyProtection="1">
      <alignment vertical="center"/>
      <protection locked="0"/>
    </xf>
    <xf numFmtId="9" fontId="29" fillId="9" borderId="11" xfId="3" applyFont="1" applyFill="1" applyBorder="1" applyAlignment="1" applyProtection="1">
      <alignment vertical="center"/>
      <protection locked="0"/>
    </xf>
    <xf numFmtId="42" fontId="29" fillId="9" borderId="11" xfId="2" applyNumberFormat="1" applyFont="1" applyFill="1" applyBorder="1" applyAlignment="1" applyProtection="1">
      <alignment vertical="center"/>
      <protection locked="0"/>
    </xf>
    <xf numFmtId="0" fontId="15" fillId="4" borderId="11" xfId="0" applyFont="1" applyFill="1" applyBorder="1" applyAlignment="1">
      <alignment horizontal="left" vertical="center"/>
    </xf>
    <xf numFmtId="0" fontId="14" fillId="6" borderId="53" xfId="0" applyFont="1" applyFill="1" applyBorder="1" applyAlignment="1">
      <alignment horizontal="center" vertical="center" wrapText="1"/>
    </xf>
    <xf numFmtId="0" fontId="17" fillId="4" borderId="11" xfId="0" applyFont="1" applyFill="1" applyBorder="1" applyAlignment="1">
      <alignment horizontal="left" vertical="center"/>
    </xf>
    <xf numFmtId="0" fontId="14" fillId="6" borderId="19" xfId="0" applyFont="1" applyFill="1" applyBorder="1" applyAlignment="1">
      <alignment horizontal="left" vertical="center" wrapText="1"/>
    </xf>
    <xf numFmtId="0" fontId="31" fillId="14" borderId="22" xfId="0" applyFont="1" applyFill="1" applyBorder="1" applyAlignment="1" applyProtection="1">
      <alignment horizontal="left"/>
      <protection locked="0"/>
    </xf>
    <xf numFmtId="0" fontId="31" fillId="14" borderId="25" xfId="0" applyFont="1" applyFill="1" applyBorder="1" applyAlignment="1" applyProtection="1">
      <alignment horizontal="left"/>
      <protection locked="0"/>
    </xf>
    <xf numFmtId="49" fontId="15" fillId="0" borderId="0" xfId="0" applyNumberFormat="1" applyFont="1" applyAlignment="1">
      <alignment horizontal="left"/>
    </xf>
    <xf numFmtId="0" fontId="29" fillId="4" borderId="11" xfId="0" applyFont="1" applyFill="1" applyBorder="1" applyAlignment="1" applyProtection="1">
      <alignment horizontal="left" vertical="center"/>
      <protection locked="0"/>
    </xf>
    <xf numFmtId="0" fontId="29" fillId="4" borderId="15" xfId="0" applyFont="1" applyFill="1" applyBorder="1" applyAlignment="1" applyProtection="1">
      <alignment horizontal="left" vertical="center"/>
      <protection locked="0"/>
    </xf>
    <xf numFmtId="0" fontId="0" fillId="0" borderId="0" xfId="0" applyAlignment="1">
      <alignment horizontal="left"/>
    </xf>
    <xf numFmtId="49" fontId="0" fillId="0" borderId="0" xfId="0" applyNumberFormat="1" applyAlignment="1">
      <alignment horizontal="left"/>
    </xf>
    <xf numFmtId="0" fontId="16" fillId="6" borderId="30" xfId="0" quotePrefix="1" applyFont="1" applyFill="1" applyBorder="1" applyAlignment="1">
      <alignment horizontal="center" vertical="center" wrapText="1"/>
    </xf>
    <xf numFmtId="0" fontId="29" fillId="6" borderId="23" xfId="0" applyFont="1" applyFill="1" applyBorder="1" applyAlignment="1">
      <alignment horizontal="left" vertical="center" wrapText="1"/>
    </xf>
    <xf numFmtId="0" fontId="29" fillId="6" borderId="24" xfId="0" applyFont="1" applyFill="1" applyBorder="1" applyAlignment="1">
      <alignment horizontal="left" vertical="center" wrapText="1"/>
    </xf>
    <xf numFmtId="0" fontId="17" fillId="0" borderId="0" xfId="0" applyFont="1" applyAlignment="1">
      <alignment horizontal="center"/>
    </xf>
    <xf numFmtId="0" fontId="16" fillId="10" borderId="0" xfId="0" applyFont="1" applyFill="1" applyBorder="1" applyAlignment="1">
      <alignment horizontal="center" vertical="center" wrapText="1"/>
    </xf>
    <xf numFmtId="0" fontId="16" fillId="6" borderId="47" xfId="0" quotePrefix="1"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3" fillId="0" borderId="0" xfId="0" applyFont="1" applyAlignment="1">
      <alignment horizontal="center"/>
    </xf>
    <xf numFmtId="0" fontId="29" fillId="6" borderId="11" xfId="0" applyFont="1" applyFill="1" applyBorder="1" applyAlignment="1">
      <alignment horizontal="center" vertical="center" wrapText="1"/>
    </xf>
    <xf numFmtId="0" fontId="14" fillId="6" borderId="19" xfId="0" applyFont="1" applyFill="1" applyBorder="1" applyAlignment="1">
      <alignment vertical="center" wrapText="1"/>
    </xf>
    <xf numFmtId="0" fontId="14" fillId="6" borderId="23" xfId="0" applyFont="1" applyFill="1" applyBorder="1" applyAlignment="1">
      <alignment horizontal="left" vertical="center" wrapText="1"/>
    </xf>
    <xf numFmtId="0" fontId="14" fillId="6" borderId="11" xfId="0" applyFont="1" applyFill="1" applyBorder="1" applyAlignment="1">
      <alignment horizontal="center" vertical="center" wrapText="1"/>
    </xf>
    <xf numFmtId="0" fontId="14" fillId="6" borderId="12" xfId="0" applyFont="1" applyFill="1" applyBorder="1" applyAlignment="1">
      <alignment horizontal="center" vertical="center" wrapText="1"/>
    </xf>
    <xf numFmtId="1" fontId="14" fillId="10" borderId="38" xfId="0" applyNumberFormat="1" applyFont="1" applyFill="1" applyBorder="1" applyAlignment="1">
      <alignment horizontal="left" vertical="center" wrapText="1"/>
    </xf>
    <xf numFmtId="1" fontId="14" fillId="10" borderId="22" xfId="0" applyNumberFormat="1" applyFont="1" applyFill="1" applyBorder="1" applyAlignment="1">
      <alignment horizontal="left" vertical="center" wrapText="1"/>
    </xf>
    <xf numFmtId="1" fontId="19" fillId="10" borderId="12" xfId="0" applyNumberFormat="1" applyFont="1" applyFill="1" applyBorder="1" applyAlignment="1">
      <alignment horizontal="left" vertical="top" wrapText="1"/>
    </xf>
    <xf numFmtId="1" fontId="19" fillId="10" borderId="13" xfId="0" applyNumberFormat="1" applyFont="1" applyFill="1" applyBorder="1" applyAlignment="1">
      <alignment horizontal="left" vertical="top" wrapText="1"/>
    </xf>
    <xf numFmtId="0" fontId="14" fillId="6" borderId="19" xfId="0" applyFont="1" applyFill="1" applyBorder="1" applyAlignment="1">
      <alignment horizontal="center" vertical="center" wrapText="1"/>
    </xf>
    <xf numFmtId="0" fontId="17" fillId="4" borderId="12" xfId="0" applyFont="1" applyFill="1" applyBorder="1" applyAlignment="1">
      <alignment horizontal="center" vertical="top" wrapText="1"/>
    </xf>
    <xf numFmtId="0" fontId="14" fillId="6" borderId="19" xfId="0" applyFont="1" applyFill="1" applyBorder="1" applyAlignment="1">
      <alignment horizontal="center" vertical="center" wrapText="1"/>
    </xf>
    <xf numFmtId="0" fontId="14" fillId="6" borderId="24" xfId="0" applyFont="1" applyFill="1" applyBorder="1" applyAlignment="1">
      <alignment vertical="top" wrapText="1"/>
    </xf>
    <xf numFmtId="0" fontId="16" fillId="6" borderId="15" xfId="0" quotePrefix="1" applyFont="1" applyFill="1" applyBorder="1" applyAlignment="1">
      <alignment horizontal="center" vertical="center" wrapText="1"/>
    </xf>
    <xf numFmtId="0" fontId="16" fillId="6" borderId="15" xfId="0" quotePrefix="1" applyFont="1" applyFill="1" applyBorder="1" applyAlignment="1">
      <alignment horizontal="left" vertical="center" wrapText="1"/>
    </xf>
    <xf numFmtId="0" fontId="16" fillId="6" borderId="11" xfId="0" quotePrefix="1" applyFont="1" applyFill="1" applyBorder="1" applyAlignment="1">
      <alignment horizontal="center" vertical="center" wrapText="1"/>
    </xf>
    <xf numFmtId="0" fontId="16" fillId="6" borderId="11" xfId="0" quotePrefix="1" applyFont="1" applyFill="1" applyBorder="1" applyAlignment="1">
      <alignment horizontal="left" vertical="center" wrapText="1"/>
    </xf>
    <xf numFmtId="0" fontId="16" fillId="6" borderId="27" xfId="0" quotePrefix="1" applyFont="1" applyFill="1" applyBorder="1" applyAlignment="1">
      <alignment horizontal="left" vertical="center" wrapText="1"/>
    </xf>
    <xf numFmtId="0" fontId="0" fillId="0" borderId="0" xfId="0" applyAlignment="1">
      <alignment vertical="top"/>
    </xf>
    <xf numFmtId="0" fontId="16" fillId="6" borderId="13" xfId="0" quotePrefix="1" applyFont="1" applyFill="1" applyBorder="1" applyAlignment="1">
      <alignment horizontal="left" vertical="top" wrapText="1"/>
    </xf>
    <xf numFmtId="0" fontId="15" fillId="0" borderId="0" xfId="0" applyFont="1" applyAlignment="1">
      <alignment vertical="top"/>
    </xf>
    <xf numFmtId="0" fontId="17" fillId="4" borderId="12" xfId="0" applyFont="1" applyFill="1" applyBorder="1" applyAlignment="1">
      <alignment vertical="top" wrapText="1"/>
    </xf>
    <xf numFmtId="0" fontId="17" fillId="4" borderId="37" xfId="0" applyFont="1" applyFill="1" applyBorder="1" applyAlignment="1">
      <alignment vertical="top" wrapText="1"/>
    </xf>
    <xf numFmtId="0" fontId="2" fillId="0" borderId="0" xfId="0" applyFont="1"/>
    <xf numFmtId="0" fontId="39" fillId="0" borderId="0" xfId="0" applyFont="1"/>
    <xf numFmtId="0" fontId="14" fillId="6" borderId="11" xfId="0" applyFont="1" applyFill="1" applyBorder="1" applyAlignment="1">
      <alignment horizontal="center" vertical="top" wrapText="1"/>
    </xf>
    <xf numFmtId="0" fontId="14" fillId="6" borderId="12" xfId="0" applyFont="1" applyFill="1" applyBorder="1" applyAlignment="1">
      <alignment horizontal="center" vertical="top" wrapText="1"/>
    </xf>
    <xf numFmtId="0" fontId="16" fillId="6" borderId="19" xfId="0" quotePrefix="1" applyFont="1" applyFill="1" applyBorder="1" applyAlignment="1">
      <alignment horizontal="center" vertical="center" wrapText="1"/>
    </xf>
    <xf numFmtId="0" fontId="16" fillId="6" borderId="30" xfId="0" quotePrefix="1" applyFont="1" applyFill="1" applyBorder="1" applyAlignment="1">
      <alignment horizontal="left" vertical="center" wrapText="1"/>
    </xf>
    <xf numFmtId="0" fontId="6" fillId="6" borderId="19"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29" fillId="6" borderId="11" xfId="0" quotePrefix="1" applyFont="1" applyFill="1" applyBorder="1" applyAlignment="1">
      <alignment horizontal="left" vertical="center" wrapText="1"/>
    </xf>
    <xf numFmtId="1" fontId="16" fillId="10" borderId="22" xfId="0" quotePrefix="1" applyNumberFormat="1" applyFont="1" applyFill="1" applyBorder="1" applyAlignment="1">
      <alignment horizontal="left" vertical="center" wrapText="1"/>
    </xf>
    <xf numFmtId="0" fontId="29" fillId="6" borderId="15" xfId="0" quotePrefix="1" applyFont="1" applyFill="1" applyBorder="1" applyAlignment="1">
      <alignment horizontal="left" vertical="center" wrapText="1"/>
    </xf>
    <xf numFmtId="0" fontId="29" fillId="6" borderId="35" xfId="0" applyFont="1" applyFill="1" applyBorder="1" applyAlignment="1">
      <alignment horizontal="left" vertical="center" wrapText="1"/>
    </xf>
    <xf numFmtId="0" fontId="35" fillId="4" borderId="19" xfId="0" applyFont="1" applyFill="1" applyBorder="1" applyAlignment="1" applyProtection="1">
      <alignment horizontal="left" vertical="center"/>
      <protection locked="0"/>
    </xf>
    <xf numFmtId="0" fontId="36" fillId="4" borderId="19" xfId="0" applyFont="1" applyFill="1" applyBorder="1" applyAlignment="1">
      <alignment horizontal="left" vertical="center"/>
    </xf>
    <xf numFmtId="0" fontId="29" fillId="14" borderId="38" xfId="0" applyFont="1" applyFill="1" applyBorder="1" applyAlignment="1" applyProtection="1">
      <alignment horizontal="center" vertical="center"/>
      <protection locked="0"/>
    </xf>
    <xf numFmtId="0" fontId="6" fillId="6" borderId="48" xfId="0" applyFont="1" applyFill="1" applyBorder="1" applyAlignment="1">
      <alignment horizontal="center" vertical="center" wrapText="1"/>
    </xf>
    <xf numFmtId="1" fontId="14" fillId="10" borderId="63" xfId="0" applyNumberFormat="1" applyFont="1" applyFill="1" applyBorder="1" applyAlignment="1">
      <alignment vertical="center" wrapText="1"/>
    </xf>
    <xf numFmtId="0" fontId="16" fillId="6" borderId="13" xfId="0" applyFont="1" applyFill="1" applyBorder="1" applyAlignment="1">
      <alignment horizontal="left" vertical="center" wrapText="1"/>
    </xf>
    <xf numFmtId="49" fontId="7" fillId="2" borderId="0" xfId="0" applyNumberFormat="1" applyFont="1" applyFill="1" applyBorder="1" applyAlignment="1">
      <alignment horizontal="left" vertical="center" wrapText="1"/>
    </xf>
    <xf numFmtId="49" fontId="0" fillId="0" borderId="0" xfId="0" applyNumberFormat="1" applyAlignment="1">
      <alignment horizontal="left" wrapText="1"/>
    </xf>
    <xf numFmtId="0" fontId="16" fillId="6" borderId="30" xfId="0" applyFont="1" applyFill="1" applyBorder="1" applyAlignment="1">
      <alignment horizontal="left" vertical="center" wrapText="1"/>
    </xf>
    <xf numFmtId="49" fontId="15" fillId="0" borderId="0" xfId="0" applyNumberFormat="1" applyFont="1" applyAlignment="1">
      <alignment horizontal="left" wrapText="1"/>
    </xf>
    <xf numFmtId="1" fontId="14" fillId="10" borderId="38" xfId="0" applyNumberFormat="1" applyFont="1" applyFill="1" applyBorder="1" applyAlignment="1">
      <alignment vertical="center" wrapText="1"/>
    </xf>
    <xf numFmtId="0" fontId="16" fillId="10" borderId="38" xfId="0" quotePrefix="1" applyFont="1" applyFill="1" applyBorder="1" applyAlignment="1">
      <alignment horizontal="left" vertical="center"/>
    </xf>
    <xf numFmtId="1" fontId="19" fillId="10" borderId="22" xfId="0" applyNumberFormat="1" applyFont="1" applyFill="1" applyBorder="1" applyAlignment="1">
      <alignment wrapText="1"/>
    </xf>
    <xf numFmtId="0" fontId="16" fillId="10" borderId="15" xfId="0" applyNumberFormat="1" applyFont="1" applyFill="1" applyBorder="1" applyAlignment="1" applyProtection="1">
      <alignment horizontal="left" vertical="center"/>
      <protection locked="0"/>
    </xf>
    <xf numFmtId="0" fontId="17" fillId="4" borderId="15" xfId="0" applyFont="1" applyFill="1" applyBorder="1" applyAlignment="1">
      <alignment horizontal="left" vertical="center"/>
    </xf>
    <xf numFmtId="0" fontId="16" fillId="6" borderId="13" xfId="0" quotePrefix="1" applyFont="1" applyFill="1" applyBorder="1" applyAlignment="1">
      <alignment horizontal="left" vertical="center" wrapText="1"/>
    </xf>
    <xf numFmtId="0" fontId="16" fillId="6" borderId="12" xfId="0" quotePrefix="1" applyFont="1" applyFill="1" applyBorder="1" applyAlignment="1">
      <alignment horizontal="left" vertical="center" wrapText="1"/>
    </xf>
    <xf numFmtId="0" fontId="0" fillId="10" borderId="54" xfId="0" applyFill="1" applyBorder="1" applyAlignment="1"/>
    <xf numFmtId="0" fontId="0" fillId="10" borderId="5" xfId="0" applyFill="1" applyBorder="1" applyAlignment="1"/>
    <xf numFmtId="49" fontId="16" fillId="6" borderId="11" xfId="0" quotePrefix="1" applyNumberFormat="1" applyFont="1" applyFill="1" applyBorder="1" applyAlignment="1">
      <alignment horizontal="left" vertical="center" wrapText="1"/>
    </xf>
    <xf numFmtId="0" fontId="15" fillId="0" borderId="0" xfId="0" applyFont="1" applyAlignment="1">
      <alignment horizontal="left"/>
    </xf>
    <xf numFmtId="0" fontId="23" fillId="8" borderId="64" xfId="0" applyFont="1" applyFill="1" applyBorder="1"/>
    <xf numFmtId="1" fontId="24" fillId="13" borderId="65" xfId="0" applyNumberFormat="1" applyFont="1" applyFill="1" applyBorder="1" applyAlignment="1">
      <alignment wrapText="1"/>
    </xf>
    <xf numFmtId="0" fontId="13" fillId="4" borderId="65" xfId="0" applyFont="1" applyFill="1" applyBorder="1" applyAlignment="1">
      <alignment wrapText="1"/>
    </xf>
    <xf numFmtId="0" fontId="13" fillId="14" borderId="65" xfId="0" applyFont="1" applyFill="1" applyBorder="1" applyAlignment="1">
      <alignment wrapText="1"/>
    </xf>
    <xf numFmtId="1" fontId="24" fillId="10" borderId="66" xfId="0" applyNumberFormat="1" applyFont="1" applyFill="1" applyBorder="1" applyAlignment="1">
      <alignment wrapText="1"/>
    </xf>
    <xf numFmtId="0" fontId="16" fillId="10" borderId="11" xfId="0" quotePrefix="1" applyFont="1" applyFill="1" applyBorder="1" applyAlignment="1">
      <alignment horizontal="left" vertical="center" wrapText="1"/>
    </xf>
    <xf numFmtId="49" fontId="5" fillId="4" borderId="11" xfId="0" applyNumberFormat="1" applyFont="1" applyFill="1" applyBorder="1" applyAlignment="1" applyProtection="1">
      <alignment vertical="center"/>
      <protection locked="0"/>
    </xf>
    <xf numFmtId="49" fontId="29" fillId="4" borderId="11" xfId="0" applyNumberFormat="1" applyFont="1" applyFill="1" applyBorder="1" applyAlignment="1" applyProtection="1">
      <alignment vertical="center"/>
      <protection locked="0"/>
    </xf>
    <xf numFmtId="0" fontId="14" fillId="6" borderId="11" xfId="0" applyFont="1" applyFill="1" applyBorder="1" applyAlignment="1">
      <alignment horizontal="center" vertical="center" wrapText="1"/>
    </xf>
    <xf numFmtId="0" fontId="16" fillId="6" borderId="13" xfId="0" quotePrefix="1" applyFont="1" applyFill="1" applyBorder="1" applyAlignment="1">
      <alignment horizontal="left" vertical="center" wrapText="1"/>
    </xf>
    <xf numFmtId="0" fontId="14" fillId="6" borderId="14" xfId="0" applyFont="1" applyFill="1" applyBorder="1" applyAlignment="1">
      <alignment horizontal="center" vertical="center" wrapText="1"/>
    </xf>
    <xf numFmtId="0" fontId="17" fillId="4" borderId="15" xfId="0" applyFont="1" applyFill="1" applyBorder="1" applyAlignment="1">
      <alignment horizontal="left" vertical="top" wrapText="1"/>
    </xf>
    <xf numFmtId="0" fontId="29" fillId="9" borderId="11" xfId="0" applyNumberFormat="1" applyFont="1" applyFill="1" applyBorder="1" applyProtection="1">
      <protection locked="0"/>
    </xf>
    <xf numFmtId="0" fontId="29" fillId="9" borderId="15" xfId="0" applyNumberFormat="1" applyFont="1" applyFill="1" applyBorder="1" applyProtection="1">
      <protection locked="0"/>
    </xf>
    <xf numFmtId="0" fontId="15" fillId="9" borderId="11" xfId="2" applyNumberFormat="1" applyFont="1" applyFill="1" applyBorder="1" applyAlignment="1" applyProtection="1">
      <alignment vertical="center"/>
      <protection locked="0"/>
    </xf>
    <xf numFmtId="0" fontId="15" fillId="9" borderId="15" xfId="2" applyNumberFormat="1" applyFont="1" applyFill="1" applyBorder="1" applyAlignment="1" applyProtection="1">
      <alignment vertical="center"/>
      <protection locked="0"/>
    </xf>
    <xf numFmtId="0" fontId="17" fillId="9" borderId="11" xfId="0" applyNumberFormat="1" applyFont="1" applyFill="1" applyBorder="1" applyAlignment="1">
      <alignment horizontal="left" vertical="top" wrapText="1"/>
    </xf>
    <xf numFmtId="0" fontId="29" fillId="9" borderId="11" xfId="2" applyNumberFormat="1" applyFont="1" applyFill="1" applyBorder="1" applyProtection="1">
      <protection locked="0"/>
    </xf>
    <xf numFmtId="0" fontId="17" fillId="9" borderId="15" xfId="0" applyNumberFormat="1" applyFont="1" applyFill="1" applyBorder="1" applyAlignment="1">
      <alignment horizontal="left" vertical="top" wrapText="1"/>
    </xf>
    <xf numFmtId="0" fontId="29" fillId="9" borderId="11" xfId="2" applyNumberFormat="1" applyFont="1" applyFill="1" applyBorder="1" applyAlignment="1" applyProtection="1">
      <protection locked="0"/>
    </xf>
    <xf numFmtId="0" fontId="29" fillId="9" borderId="11" xfId="0" applyNumberFormat="1" applyFont="1" applyFill="1" applyBorder="1" applyAlignment="1" applyProtection="1">
      <protection locked="0"/>
    </xf>
    <xf numFmtId="0" fontId="29" fillId="9" borderId="15" xfId="2" applyNumberFormat="1" applyFont="1" applyFill="1" applyBorder="1" applyAlignment="1" applyProtection="1">
      <protection locked="0"/>
    </xf>
    <xf numFmtId="0" fontId="29" fillId="9" borderId="15" xfId="0" applyNumberFormat="1" applyFont="1" applyFill="1" applyBorder="1" applyAlignment="1" applyProtection="1">
      <protection locked="0"/>
    </xf>
    <xf numFmtId="0" fontId="17" fillId="9" borderId="11" xfId="0" applyNumberFormat="1" applyFont="1" applyFill="1" applyBorder="1" applyAlignment="1">
      <alignment horizontal="center" vertical="center" wrapText="1"/>
    </xf>
    <xf numFmtId="0" fontId="17" fillId="9" borderId="15" xfId="0" applyNumberFormat="1" applyFont="1" applyFill="1" applyBorder="1" applyAlignment="1">
      <alignment horizontal="center" vertical="center" wrapText="1"/>
    </xf>
    <xf numFmtId="0" fontId="15" fillId="9" borderId="12" xfId="2" applyNumberFormat="1" applyFont="1" applyFill="1" applyBorder="1" applyAlignment="1" applyProtection="1">
      <alignment vertical="center"/>
      <protection locked="0"/>
    </xf>
    <xf numFmtId="0" fontId="15" fillId="9" borderId="11" xfId="0" applyNumberFormat="1" applyFont="1" applyFill="1" applyBorder="1" applyAlignment="1" applyProtection="1">
      <alignment vertical="center"/>
      <protection locked="0"/>
    </xf>
    <xf numFmtId="0" fontId="15" fillId="9" borderId="27" xfId="2" applyNumberFormat="1" applyFont="1" applyFill="1" applyBorder="1" applyAlignment="1" applyProtection="1">
      <alignment vertical="center"/>
      <protection locked="0"/>
    </xf>
    <xf numFmtId="0" fontId="14" fillId="6" borderId="11" xfId="0" applyFont="1" applyFill="1" applyBorder="1" applyAlignment="1">
      <alignment horizontal="center" vertical="center" wrapText="1"/>
    </xf>
    <xf numFmtId="0" fontId="16" fillId="6" borderId="13" xfId="0" quotePrefix="1" applyFont="1" applyFill="1" applyBorder="1" applyAlignment="1">
      <alignment horizontal="left" vertical="center" wrapText="1"/>
    </xf>
    <xf numFmtId="0" fontId="16" fillId="10" borderId="28" xfId="0" quotePrefix="1" applyFont="1" applyFill="1" applyBorder="1" applyAlignment="1">
      <alignment horizontal="left" vertical="center" wrapText="1"/>
    </xf>
    <xf numFmtId="0" fontId="14" fillId="6" borderId="32" xfId="0" applyFont="1" applyFill="1" applyBorder="1" applyAlignment="1">
      <alignment horizontal="center" vertical="center" wrapText="1"/>
    </xf>
    <xf numFmtId="0" fontId="14" fillId="6" borderId="36" xfId="0" applyFont="1" applyFill="1" applyBorder="1" applyAlignment="1">
      <alignment horizontal="center" vertical="top" wrapText="1"/>
    </xf>
    <xf numFmtId="0" fontId="14" fillId="6" borderId="14" xfId="0" applyFont="1" applyFill="1" applyBorder="1" applyAlignment="1">
      <alignment horizontal="center" vertical="top" wrapText="1"/>
    </xf>
    <xf numFmtId="49" fontId="3" fillId="9" borderId="0" xfId="0" applyNumberFormat="1" applyFont="1" applyFill="1"/>
    <xf numFmtId="0" fontId="0" fillId="9" borderId="0" xfId="0" applyFill="1"/>
    <xf numFmtId="49" fontId="2" fillId="9" borderId="0" xfId="0" applyNumberFormat="1" applyFont="1" applyFill="1"/>
    <xf numFmtId="49" fontId="0" fillId="9" borderId="0" xfId="0" applyNumberFormat="1" applyFill="1"/>
    <xf numFmtId="0" fontId="14" fillId="6" borderId="14" xfId="0" applyFont="1" applyFill="1" applyBorder="1" applyAlignment="1">
      <alignment horizontal="left" vertical="center" wrapText="1"/>
    </xf>
    <xf numFmtId="0" fontId="2" fillId="12" borderId="0" xfId="0" applyFont="1" applyFill="1" applyAlignment="1">
      <alignment horizontal="left" wrapText="1"/>
    </xf>
    <xf numFmtId="49" fontId="28" fillId="13" borderId="10" xfId="0" applyNumberFormat="1" applyFont="1" applyFill="1" applyBorder="1" applyAlignment="1" applyProtection="1">
      <alignment horizontal="left"/>
      <protection locked="0"/>
    </xf>
    <xf numFmtId="49" fontId="28" fillId="13" borderId="9" xfId="0" applyNumberFormat="1" applyFont="1" applyFill="1" applyBorder="1" applyAlignment="1" applyProtection="1">
      <alignment horizontal="left"/>
      <protection locked="0"/>
    </xf>
    <xf numFmtId="49" fontId="28" fillId="13" borderId="8" xfId="0" applyNumberFormat="1" applyFont="1" applyFill="1" applyBorder="1" applyAlignment="1" applyProtection="1">
      <alignment horizontal="left"/>
      <protection locked="0"/>
    </xf>
    <xf numFmtId="0" fontId="20" fillId="11" borderId="0" xfId="0" applyFont="1" applyFill="1" applyAlignment="1">
      <alignment horizontal="center" vertical="center"/>
    </xf>
    <xf numFmtId="0" fontId="17" fillId="8" borderId="44" xfId="0" applyFont="1" applyFill="1" applyBorder="1" applyAlignment="1">
      <alignment horizontal="left" vertical="top" wrapText="1"/>
    </xf>
    <xf numFmtId="0" fontId="17" fillId="8" borderId="6" xfId="0" applyFont="1" applyFill="1" applyBorder="1" applyAlignment="1">
      <alignment horizontal="left" vertical="top" wrapText="1"/>
    </xf>
    <xf numFmtId="0" fontId="17" fillId="8" borderId="7" xfId="0" applyFont="1" applyFill="1" applyBorder="1" applyAlignment="1">
      <alignment horizontal="left" vertical="top" wrapText="1"/>
    </xf>
    <xf numFmtId="0" fontId="6" fillId="3" borderId="57" xfId="0" applyFont="1" applyFill="1" applyBorder="1" applyAlignment="1">
      <alignment horizontal="left" vertical="top" wrapText="1"/>
    </xf>
    <xf numFmtId="0" fontId="6" fillId="3" borderId="58" xfId="0" applyFont="1" applyFill="1" applyBorder="1" applyAlignment="1">
      <alignment horizontal="left" vertical="top" wrapText="1"/>
    </xf>
    <xf numFmtId="0" fontId="6" fillId="3" borderId="59" xfId="0" applyFont="1" applyFill="1" applyBorder="1" applyAlignment="1">
      <alignment horizontal="left" vertical="top" wrapText="1"/>
    </xf>
    <xf numFmtId="0" fontId="17" fillId="14" borderId="11" xfId="0" applyFont="1" applyFill="1" applyBorder="1" applyAlignment="1" applyProtection="1">
      <alignment wrapText="1"/>
      <protection locked="0"/>
    </xf>
    <xf numFmtId="0" fontId="17" fillId="14" borderId="22" xfId="0" applyFont="1" applyFill="1" applyBorder="1" applyAlignment="1" applyProtection="1">
      <alignment wrapText="1"/>
      <protection locked="0"/>
    </xf>
    <xf numFmtId="0" fontId="17" fillId="14" borderId="15" xfId="0" applyFont="1" applyFill="1" applyBorder="1" applyAlignment="1" applyProtection="1">
      <alignment wrapText="1"/>
      <protection locked="0"/>
    </xf>
    <xf numFmtId="0" fontId="17" fillId="14" borderId="25" xfId="0" applyFont="1" applyFill="1" applyBorder="1" applyAlignment="1" applyProtection="1">
      <alignment wrapText="1"/>
      <protection locked="0"/>
    </xf>
    <xf numFmtId="0" fontId="29" fillId="4" borderId="12" xfId="0" applyFont="1" applyFill="1" applyBorder="1" applyAlignment="1" applyProtection="1">
      <protection locked="0"/>
    </xf>
    <xf numFmtId="0" fontId="29" fillId="4" borderId="13" xfId="0" applyFont="1" applyFill="1" applyBorder="1" applyAlignment="1" applyProtection="1">
      <protection locked="0"/>
    </xf>
    <xf numFmtId="0" fontId="29" fillId="4" borderId="37" xfId="0" applyFont="1" applyFill="1" applyBorder="1" applyAlignment="1" applyProtection="1">
      <protection locked="0"/>
    </xf>
    <xf numFmtId="0" fontId="29" fillId="4" borderId="30" xfId="0" applyFont="1" applyFill="1" applyBorder="1" applyAlignment="1" applyProtection="1">
      <protection locked="0"/>
    </xf>
    <xf numFmtId="0" fontId="29" fillId="6" borderId="39" xfId="0" applyFont="1" applyFill="1" applyBorder="1" applyAlignment="1">
      <alignment horizontal="center" vertical="center" wrapText="1"/>
    </xf>
    <xf numFmtId="0" fontId="29" fillId="6" borderId="49" xfId="0" applyFont="1" applyFill="1" applyBorder="1" applyAlignment="1">
      <alignment horizontal="center" vertical="center" wrapText="1"/>
    </xf>
    <xf numFmtId="0" fontId="29" fillId="6" borderId="50" xfId="0" applyFont="1" applyFill="1" applyBorder="1" applyAlignment="1">
      <alignment horizontal="center" vertical="center" wrapText="1"/>
    </xf>
    <xf numFmtId="0" fontId="29" fillId="6" borderId="23" xfId="0" applyFont="1" applyFill="1" applyBorder="1" applyAlignment="1">
      <alignment horizontal="center" vertical="center" wrapText="1"/>
    </xf>
    <xf numFmtId="0" fontId="29" fillId="6" borderId="24" xfId="0" applyFont="1" applyFill="1" applyBorder="1" applyAlignment="1">
      <alignment horizontal="center" vertical="center" wrapText="1"/>
    </xf>
    <xf numFmtId="0" fontId="2" fillId="10" borderId="4" xfId="0" applyFont="1" applyFill="1" applyBorder="1" applyAlignment="1">
      <alignment horizontal="center"/>
    </xf>
    <xf numFmtId="0" fontId="2" fillId="10" borderId="61" xfId="0" applyFont="1" applyFill="1" applyBorder="1" applyAlignment="1">
      <alignment horizontal="center"/>
    </xf>
    <xf numFmtId="0" fontId="29" fillId="4" borderId="11" xfId="0" applyFont="1" applyFill="1" applyBorder="1" applyAlignment="1" applyProtection="1">
      <protection locked="0"/>
    </xf>
    <xf numFmtId="0" fontId="29" fillId="4" borderId="15" xfId="0" applyFont="1" applyFill="1" applyBorder="1" applyAlignment="1" applyProtection="1">
      <protection locked="0"/>
    </xf>
    <xf numFmtId="0" fontId="14" fillId="6" borderId="53" xfId="0" applyFont="1" applyFill="1" applyBorder="1" applyAlignment="1">
      <alignment vertical="center" wrapText="1"/>
    </xf>
    <xf numFmtId="0" fontId="14" fillId="6" borderId="46" xfId="0" applyFont="1" applyFill="1" applyBorder="1" applyAlignment="1">
      <alignment vertical="center" wrapText="1"/>
    </xf>
    <xf numFmtId="0" fontId="16" fillId="6" borderId="11" xfId="0" quotePrefix="1" applyFont="1" applyFill="1" applyBorder="1" applyAlignment="1">
      <alignment vertical="top" wrapText="1"/>
    </xf>
    <xf numFmtId="1" fontId="14" fillId="10" borderId="14" xfId="0" applyNumberFormat="1" applyFont="1" applyFill="1" applyBorder="1" applyAlignment="1">
      <alignment horizontal="left" vertical="center" wrapText="1"/>
    </xf>
    <xf numFmtId="1" fontId="14" fillId="10" borderId="26" xfId="0" applyNumberFormat="1" applyFont="1" applyFill="1" applyBorder="1" applyAlignment="1">
      <alignment horizontal="left" vertical="center" wrapText="1"/>
    </xf>
    <xf numFmtId="1" fontId="16" fillId="10" borderId="11" xfId="0" quotePrefix="1" applyNumberFormat="1" applyFont="1" applyFill="1" applyBorder="1" applyAlignment="1">
      <alignment vertical="top" wrapText="1"/>
    </xf>
    <xf numFmtId="1" fontId="16" fillId="10" borderId="22" xfId="0" quotePrefix="1" applyNumberFormat="1" applyFont="1" applyFill="1" applyBorder="1" applyAlignment="1">
      <alignment vertical="top" wrapText="1"/>
    </xf>
    <xf numFmtId="1" fontId="14" fillId="10" borderId="11" xfId="0" applyNumberFormat="1" applyFont="1" applyFill="1" applyBorder="1" applyAlignment="1">
      <alignment horizontal="left" vertical="center" wrapText="1"/>
    </xf>
    <xf numFmtId="1" fontId="14" fillId="10" borderId="22" xfId="0" applyNumberFormat="1" applyFont="1" applyFill="1" applyBorder="1" applyAlignment="1">
      <alignment horizontal="left" vertical="center" wrapText="1"/>
    </xf>
    <xf numFmtId="1" fontId="14" fillId="10" borderId="19" xfId="0" applyNumberFormat="1" applyFont="1" applyFill="1" applyBorder="1" applyAlignment="1">
      <alignment wrapText="1"/>
    </xf>
    <xf numFmtId="1" fontId="14" fillId="10" borderId="38" xfId="0" applyNumberFormat="1" applyFont="1" applyFill="1" applyBorder="1" applyAlignment="1">
      <alignment wrapText="1"/>
    </xf>
    <xf numFmtId="1" fontId="16" fillId="10" borderId="12" xfId="0" quotePrefix="1" applyNumberFormat="1" applyFont="1" applyFill="1" applyBorder="1" applyAlignment="1">
      <alignment horizontal="left" wrapText="1"/>
    </xf>
    <xf numFmtId="1" fontId="16" fillId="10" borderId="18" xfId="0" applyNumberFormat="1" applyFont="1" applyFill="1" applyBorder="1" applyAlignment="1">
      <alignment horizontal="left" wrapText="1"/>
    </xf>
    <xf numFmtId="1" fontId="16" fillId="10" borderId="28" xfId="0" applyNumberFormat="1" applyFont="1" applyFill="1" applyBorder="1" applyAlignment="1">
      <alignment horizontal="left" wrapText="1"/>
    </xf>
    <xf numFmtId="0" fontId="12" fillId="7" borderId="10"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6" fillId="3" borderId="21" xfId="0" applyFont="1" applyFill="1" applyBorder="1" applyAlignment="1">
      <alignment horizontal="left" vertical="top" wrapText="1"/>
    </xf>
    <xf numFmtId="0" fontId="6" fillId="3" borderId="14" xfId="0" applyFont="1" applyFill="1" applyBorder="1" applyAlignment="1">
      <alignment horizontal="left" vertical="top" wrapText="1"/>
    </xf>
    <xf numFmtId="0" fontId="6" fillId="3" borderId="26" xfId="0" applyFont="1" applyFill="1" applyBorder="1" applyAlignment="1">
      <alignment horizontal="left" vertical="top" wrapText="1"/>
    </xf>
    <xf numFmtId="0" fontId="6" fillId="3" borderId="45" xfId="0" applyFont="1" applyFill="1" applyBorder="1" applyAlignment="1">
      <alignment horizontal="left" vertical="top" wrapText="1"/>
    </xf>
    <xf numFmtId="0" fontId="6" fillId="3" borderId="31" xfId="0" applyFont="1" applyFill="1" applyBorder="1" applyAlignment="1">
      <alignment horizontal="left" vertical="top" wrapText="1"/>
    </xf>
    <xf numFmtId="0" fontId="6" fillId="3" borderId="33" xfId="0" applyFont="1" applyFill="1" applyBorder="1" applyAlignment="1">
      <alignment horizontal="left" vertical="top" wrapText="1"/>
    </xf>
    <xf numFmtId="0" fontId="14" fillId="6" borderId="11" xfId="0" applyFont="1" applyFill="1" applyBorder="1" applyAlignment="1">
      <alignment vertical="center" wrapText="1"/>
    </xf>
    <xf numFmtId="0" fontId="17" fillId="4" borderId="15" xfId="0" applyFont="1" applyFill="1" applyBorder="1" applyAlignment="1">
      <alignment vertical="center" wrapText="1"/>
    </xf>
    <xf numFmtId="1" fontId="14" fillId="10" borderId="11" xfId="0" applyNumberFormat="1" applyFont="1" applyFill="1" applyBorder="1" applyAlignment="1">
      <alignment horizontal="left" wrapText="1"/>
    </xf>
    <xf numFmtId="1" fontId="14" fillId="10" borderId="22" xfId="0" applyNumberFormat="1" applyFont="1" applyFill="1" applyBorder="1" applyAlignment="1">
      <alignment horizontal="left" wrapText="1"/>
    </xf>
    <xf numFmtId="0" fontId="15" fillId="14" borderId="15" xfId="0" applyFont="1" applyFill="1" applyBorder="1" applyAlignment="1" applyProtection="1">
      <alignment horizontal="right"/>
      <protection locked="0"/>
    </xf>
    <xf numFmtId="0" fontId="15" fillId="14" borderId="25" xfId="0" applyFont="1" applyFill="1" applyBorder="1" applyAlignment="1" applyProtection="1">
      <alignment horizontal="right"/>
      <protection locked="0"/>
    </xf>
    <xf numFmtId="1" fontId="14" fillId="10" borderId="11" xfId="0" applyNumberFormat="1" applyFont="1" applyFill="1" applyBorder="1" applyAlignment="1">
      <alignment wrapText="1"/>
    </xf>
    <xf numFmtId="1" fontId="14" fillId="10" borderId="22" xfId="0" applyNumberFormat="1" applyFont="1" applyFill="1" applyBorder="1" applyAlignment="1">
      <alignment wrapText="1"/>
    </xf>
    <xf numFmtId="0" fontId="17" fillId="14" borderId="11" xfId="0" applyFont="1" applyFill="1" applyBorder="1" applyAlignment="1" applyProtection="1">
      <alignment horizontal="center" wrapText="1"/>
      <protection locked="0"/>
    </xf>
    <xf numFmtId="0" fontId="17" fillId="14" borderId="22" xfId="0" applyFont="1" applyFill="1" applyBorder="1" applyAlignment="1" applyProtection="1">
      <alignment horizontal="center" wrapText="1"/>
      <protection locked="0"/>
    </xf>
    <xf numFmtId="0" fontId="17" fillId="8" borderId="44" xfId="0" applyFont="1" applyFill="1" applyBorder="1" applyAlignment="1">
      <alignment horizontal="left" wrapText="1"/>
    </xf>
    <xf numFmtId="0" fontId="17" fillId="8" borderId="6" xfId="0" applyFont="1" applyFill="1" applyBorder="1" applyAlignment="1">
      <alignment horizontal="left" wrapText="1"/>
    </xf>
    <xf numFmtId="0" fontId="17" fillId="8" borderId="7" xfId="0" applyFont="1" applyFill="1" applyBorder="1" applyAlignment="1">
      <alignment horizontal="left" wrapText="1"/>
    </xf>
    <xf numFmtId="0" fontId="14" fillId="6" borderId="23" xfId="0" applyFont="1" applyFill="1" applyBorder="1" applyAlignment="1">
      <alignment horizontal="center" vertical="center" wrapText="1"/>
    </xf>
    <xf numFmtId="0" fontId="14" fillId="6" borderId="24" xfId="0" applyFont="1" applyFill="1" applyBorder="1" applyAlignment="1">
      <alignment horizontal="center" vertical="center" wrapText="1"/>
    </xf>
    <xf numFmtId="0" fontId="6" fillId="3" borderId="1"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1" fontId="14" fillId="10" borderId="14" xfId="0" applyNumberFormat="1" applyFont="1" applyFill="1" applyBorder="1" applyAlignment="1">
      <alignment wrapText="1"/>
    </xf>
    <xf numFmtId="1" fontId="14" fillId="10" borderId="26" xfId="0" applyNumberFormat="1" applyFont="1" applyFill="1" applyBorder="1" applyAlignment="1">
      <alignment wrapText="1"/>
    </xf>
    <xf numFmtId="1" fontId="16" fillId="10" borderId="12" xfId="0" quotePrefix="1" applyNumberFormat="1" applyFont="1" applyFill="1" applyBorder="1" applyAlignment="1">
      <alignment horizontal="left" vertical="center" wrapText="1"/>
    </xf>
    <xf numFmtId="1" fontId="16" fillId="10" borderId="18" xfId="0" applyNumberFormat="1" applyFont="1" applyFill="1" applyBorder="1" applyAlignment="1">
      <alignment horizontal="left" vertical="center" wrapText="1"/>
    </xf>
    <xf numFmtId="1" fontId="16" fillId="10" borderId="28" xfId="0" applyNumberFormat="1" applyFont="1" applyFill="1" applyBorder="1" applyAlignment="1">
      <alignment horizontal="left" vertical="center" wrapText="1"/>
    </xf>
    <xf numFmtId="0" fontId="14" fillId="6" borderId="16" xfId="0" applyFont="1" applyFill="1" applyBorder="1" applyAlignment="1">
      <alignment horizontal="left" vertical="top" wrapText="1"/>
    </xf>
    <xf numFmtId="0" fontId="14" fillId="6" borderId="18" xfId="0" applyFont="1" applyFill="1" applyBorder="1" applyAlignment="1">
      <alignment horizontal="left" vertical="top" wrapText="1"/>
    </xf>
    <xf numFmtId="0" fontId="14" fillId="6" borderId="13" xfId="0" applyFont="1" applyFill="1" applyBorder="1" applyAlignment="1">
      <alignment horizontal="left" vertical="top" wrapText="1"/>
    </xf>
    <xf numFmtId="0" fontId="14" fillId="6" borderId="17" xfId="0" applyFont="1" applyFill="1" applyBorder="1" applyAlignment="1">
      <alignment horizontal="left" vertical="top" wrapText="1"/>
    </xf>
    <xf numFmtId="0" fontId="14" fillId="6" borderId="29" xfId="0" applyFont="1" applyFill="1" applyBorder="1" applyAlignment="1">
      <alignment horizontal="left" vertical="top" wrapText="1"/>
    </xf>
    <xf numFmtId="0" fontId="14" fillId="6" borderId="30" xfId="0" applyFont="1" applyFill="1" applyBorder="1" applyAlignment="1">
      <alignment horizontal="left" vertical="top" wrapText="1"/>
    </xf>
    <xf numFmtId="0" fontId="14" fillId="10" borderId="56" xfId="0" applyFont="1" applyFill="1" applyBorder="1" applyAlignment="1">
      <alignment horizontal="center" vertical="center" wrapText="1"/>
    </xf>
    <xf numFmtId="0" fontId="14" fillId="10" borderId="47" xfId="0" applyFont="1" applyFill="1" applyBorder="1" applyAlignment="1">
      <alignment horizontal="center" vertical="center" wrapText="1"/>
    </xf>
    <xf numFmtId="0" fontId="14" fillId="10" borderId="62" xfId="0" applyFont="1" applyFill="1" applyBorder="1" applyAlignment="1">
      <alignment horizontal="center" vertical="center" wrapText="1"/>
    </xf>
    <xf numFmtId="0" fontId="14" fillId="10" borderId="46" xfId="0" applyFont="1" applyFill="1" applyBorder="1" applyAlignment="1">
      <alignment horizontal="center" vertical="center" wrapText="1"/>
    </xf>
    <xf numFmtId="0" fontId="14" fillId="6" borderId="36" xfId="0" applyFont="1" applyFill="1" applyBorder="1" applyAlignment="1">
      <alignment horizontal="center" vertical="center"/>
    </xf>
    <xf numFmtId="0" fontId="14" fillId="6" borderId="32" xfId="0" applyFont="1" applyFill="1" applyBorder="1" applyAlignment="1">
      <alignment horizontal="center" vertical="center"/>
    </xf>
    <xf numFmtId="0" fontId="16" fillId="6" borderId="54" xfId="0" quotePrefix="1" applyFont="1" applyFill="1" applyBorder="1" applyAlignment="1">
      <alignment horizontal="left" vertical="top" wrapText="1"/>
    </xf>
    <xf numFmtId="0" fontId="16" fillId="6" borderId="0" xfId="0" quotePrefix="1" applyFont="1" applyFill="1" applyBorder="1" applyAlignment="1">
      <alignment horizontal="left" vertical="top" wrapText="1"/>
    </xf>
    <xf numFmtId="0" fontId="16" fillId="4" borderId="11" xfId="0" applyFont="1" applyFill="1" applyBorder="1" applyAlignment="1">
      <alignment horizontal="right" vertical="center" wrapText="1"/>
    </xf>
    <xf numFmtId="0" fontId="14" fillId="6" borderId="11" xfId="0" applyFont="1" applyFill="1" applyBorder="1" applyAlignment="1">
      <alignment horizontal="center" vertical="center"/>
    </xf>
    <xf numFmtId="0" fontId="17" fillId="14" borderId="15" xfId="0" applyFont="1" applyFill="1" applyBorder="1" applyAlignment="1" applyProtection="1">
      <alignment horizontal="center" wrapText="1"/>
      <protection locked="0"/>
    </xf>
    <xf numFmtId="0" fontId="17" fillId="14" borderId="25" xfId="0" applyFont="1" applyFill="1" applyBorder="1" applyAlignment="1" applyProtection="1">
      <alignment horizontal="center" wrapText="1"/>
      <protection locked="0"/>
    </xf>
    <xf numFmtId="0" fontId="14" fillId="6" borderId="14" xfId="0" applyFont="1" applyFill="1" applyBorder="1" applyAlignment="1">
      <alignment horizontal="center" vertical="center" wrapText="1"/>
    </xf>
    <xf numFmtId="1" fontId="24" fillId="4" borderId="11" xfId="0" applyNumberFormat="1" applyFont="1" applyFill="1" applyBorder="1" applyAlignment="1">
      <alignment wrapText="1"/>
    </xf>
    <xf numFmtId="0" fontId="14" fillId="6" borderId="11" xfId="0" applyFont="1" applyFill="1" applyBorder="1" applyAlignment="1">
      <alignment horizontal="center" vertical="center" wrapText="1"/>
    </xf>
    <xf numFmtId="0" fontId="16" fillId="6" borderId="12" xfId="0" quotePrefix="1" applyFont="1" applyFill="1" applyBorder="1" applyAlignment="1">
      <alignment horizontal="left" vertical="center" wrapText="1"/>
    </xf>
    <xf numFmtId="0" fontId="16" fillId="6" borderId="18" xfId="0" applyFont="1" applyFill="1" applyBorder="1" applyAlignment="1">
      <alignment horizontal="left" vertical="center" wrapText="1"/>
    </xf>
    <xf numFmtId="0" fontId="16" fillId="6" borderId="13" xfId="0" applyFont="1" applyFill="1" applyBorder="1" applyAlignment="1">
      <alignment horizontal="left" vertical="center" wrapText="1"/>
    </xf>
    <xf numFmtId="0" fontId="14" fillId="10" borderId="56" xfId="0" applyFont="1" applyFill="1" applyBorder="1" applyAlignment="1">
      <alignment horizontal="center" vertical="top" wrapText="1"/>
    </xf>
    <xf numFmtId="0" fontId="14" fillId="10" borderId="43" xfId="0" applyFont="1" applyFill="1" applyBorder="1" applyAlignment="1">
      <alignment horizontal="center" vertical="top" wrapText="1"/>
    </xf>
    <xf numFmtId="0" fontId="14" fillId="10" borderId="47" xfId="0" applyFont="1" applyFill="1" applyBorder="1" applyAlignment="1">
      <alignment horizontal="center" vertical="top" wrapText="1"/>
    </xf>
    <xf numFmtId="0" fontId="14" fillId="10" borderId="62" xfId="0" applyFont="1" applyFill="1" applyBorder="1" applyAlignment="1">
      <alignment horizontal="center" vertical="top" wrapText="1"/>
    </xf>
    <xf numFmtId="0" fontId="14" fillId="10" borderId="55" xfId="0" applyFont="1" applyFill="1" applyBorder="1" applyAlignment="1">
      <alignment horizontal="center" vertical="top" wrapText="1"/>
    </xf>
    <xf numFmtId="0" fontId="14" fillId="10" borderId="46" xfId="0" applyFont="1" applyFill="1" applyBorder="1" applyAlignment="1">
      <alignment horizontal="center" vertical="top" wrapText="1"/>
    </xf>
    <xf numFmtId="0" fontId="14" fillId="6" borderId="49" xfId="0" applyFont="1" applyFill="1" applyBorder="1" applyAlignment="1">
      <alignment horizontal="center" vertical="center" wrapText="1"/>
    </xf>
    <xf numFmtId="0" fontId="14" fillId="6" borderId="35" xfId="0" applyFont="1" applyFill="1" applyBorder="1" applyAlignment="1">
      <alignment horizontal="center" vertical="center" wrapText="1"/>
    </xf>
    <xf numFmtId="0" fontId="14" fillId="10" borderId="1" xfId="0" applyFont="1" applyFill="1" applyBorder="1" applyAlignment="1">
      <alignment horizontal="center" vertical="top" wrapText="1"/>
    </xf>
    <xf numFmtId="0" fontId="14" fillId="10" borderId="2" xfId="0" applyFont="1" applyFill="1" applyBorder="1" applyAlignment="1">
      <alignment horizontal="center" vertical="top" wrapText="1"/>
    </xf>
    <xf numFmtId="0" fontId="29" fillId="6" borderId="35" xfId="0" applyFont="1" applyFill="1" applyBorder="1" applyAlignment="1">
      <alignment horizontal="center" vertical="center" wrapText="1"/>
    </xf>
    <xf numFmtId="0" fontId="2" fillId="10" borderId="16" xfId="0" applyFont="1" applyFill="1" applyBorder="1" applyAlignment="1">
      <alignment horizontal="center"/>
    </xf>
    <xf numFmtId="0" fontId="2" fillId="10" borderId="13" xfId="0" applyFont="1" applyFill="1" applyBorder="1" applyAlignment="1">
      <alignment horizontal="center"/>
    </xf>
    <xf numFmtId="0" fontId="16" fillId="4" borderId="15" xfId="0" applyFont="1" applyFill="1" applyBorder="1" applyAlignment="1">
      <alignment horizontal="right" vertical="center" wrapText="1"/>
    </xf>
    <xf numFmtId="0" fontId="17" fillId="8" borderId="10" xfId="0" applyFont="1" applyFill="1" applyBorder="1" applyAlignment="1">
      <alignment horizontal="left" vertical="center" wrapText="1"/>
    </xf>
    <xf numFmtId="0" fontId="17" fillId="8" borderId="8" xfId="0" applyFont="1" applyFill="1" applyBorder="1" applyAlignment="1">
      <alignment horizontal="left" vertical="center" wrapText="1"/>
    </xf>
    <xf numFmtId="0" fontId="17" fillId="8" borderId="9" xfId="0" applyFont="1" applyFill="1" applyBorder="1" applyAlignment="1">
      <alignment horizontal="left" vertical="center" wrapText="1"/>
    </xf>
    <xf numFmtId="0" fontId="15" fillId="14" borderId="11" xfId="0" applyFont="1" applyFill="1" applyBorder="1" applyAlignment="1" applyProtection="1">
      <alignment horizontal="center"/>
      <protection locked="0"/>
    </xf>
    <xf numFmtId="0" fontId="15" fillId="14" borderId="22" xfId="0" applyFont="1" applyFill="1" applyBorder="1" applyAlignment="1" applyProtection="1">
      <alignment horizontal="center"/>
      <protection locked="0"/>
    </xf>
    <xf numFmtId="0" fontId="15" fillId="14" borderId="27" xfId="0" applyFont="1" applyFill="1" applyBorder="1" applyAlignment="1" applyProtection="1">
      <alignment horizontal="center"/>
      <protection locked="0"/>
    </xf>
    <xf numFmtId="0" fontId="15" fillId="14" borderId="40" xfId="0" applyFont="1" applyFill="1" applyBorder="1" applyAlignment="1" applyProtection="1">
      <alignment horizontal="center"/>
      <protection locked="0"/>
    </xf>
    <xf numFmtId="1" fontId="19" fillId="10" borderId="19" xfId="0" applyNumberFormat="1" applyFont="1" applyFill="1" applyBorder="1" applyAlignment="1">
      <alignment horizontal="left" wrapText="1"/>
    </xf>
    <xf numFmtId="1" fontId="19" fillId="10" borderId="38" xfId="0" applyNumberFormat="1" applyFont="1" applyFill="1" applyBorder="1" applyAlignment="1">
      <alignment horizontal="left" wrapText="1"/>
    </xf>
    <xf numFmtId="0" fontId="15" fillId="14" borderId="15" xfId="0" applyFont="1" applyFill="1" applyBorder="1" applyAlignment="1" applyProtection="1">
      <alignment horizontal="center"/>
      <protection locked="0"/>
    </xf>
    <xf numFmtId="0" fontId="15" fillId="14" borderId="25" xfId="0" applyFont="1" applyFill="1" applyBorder="1" applyAlignment="1" applyProtection="1">
      <alignment horizontal="center"/>
      <protection locked="0"/>
    </xf>
    <xf numFmtId="0" fontId="17" fillId="0" borderId="0" xfId="0" applyFont="1" applyAlignment="1">
      <alignment horizontal="center" wrapText="1"/>
    </xf>
    <xf numFmtId="0" fontId="6" fillId="3" borderId="10" xfId="0" applyFont="1" applyFill="1" applyBorder="1" applyAlignment="1">
      <alignment horizontal="left"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1" fontId="16" fillId="10" borderId="28" xfId="0" quotePrefix="1" applyNumberFormat="1" applyFont="1" applyFill="1" applyBorder="1" applyAlignment="1">
      <alignment horizontal="left" vertical="center" wrapText="1"/>
    </xf>
    <xf numFmtId="0" fontId="6" fillId="10" borderId="4" xfId="0" applyFont="1" applyFill="1" applyBorder="1" applyAlignment="1">
      <alignment horizontal="center" vertical="center"/>
    </xf>
    <xf numFmtId="0" fontId="6" fillId="10" borderId="61" xfId="0" applyFont="1" applyFill="1" applyBorder="1" applyAlignment="1">
      <alignment horizontal="center" vertical="center"/>
    </xf>
    <xf numFmtId="0" fontId="6" fillId="10" borderId="62" xfId="0" applyFont="1" applyFill="1" applyBorder="1" applyAlignment="1">
      <alignment horizontal="center" vertical="center"/>
    </xf>
    <xf numFmtId="0" fontId="6" fillId="10" borderId="46" xfId="0" applyFont="1" applyFill="1" applyBorder="1" applyAlignment="1">
      <alignment horizontal="center" vertical="center"/>
    </xf>
    <xf numFmtId="1" fontId="19" fillId="10" borderId="12" xfId="0" applyNumberFormat="1" applyFont="1" applyFill="1" applyBorder="1" applyAlignment="1">
      <alignment horizontal="left" vertical="top" wrapText="1"/>
    </xf>
    <xf numFmtId="1" fontId="19" fillId="10" borderId="13" xfId="0" applyNumberFormat="1" applyFont="1" applyFill="1" applyBorder="1" applyAlignment="1">
      <alignment horizontal="left" vertical="top" wrapText="1"/>
    </xf>
    <xf numFmtId="0" fontId="15" fillId="14" borderId="12" xfId="0" applyFont="1" applyFill="1" applyBorder="1" applyAlignment="1" applyProtection="1">
      <protection locked="0"/>
    </xf>
    <xf numFmtId="0" fontId="15" fillId="14" borderId="13" xfId="0" applyFont="1" applyFill="1" applyBorder="1" applyAlignment="1" applyProtection="1">
      <protection locked="0"/>
    </xf>
    <xf numFmtId="0" fontId="32" fillId="14" borderId="11" xfId="0" applyFont="1" applyFill="1" applyBorder="1" applyAlignment="1" applyProtection="1">
      <alignment horizontal="left" vertical="top"/>
      <protection locked="0"/>
    </xf>
    <xf numFmtId="0" fontId="32" fillId="14" borderId="22" xfId="0" applyFont="1" applyFill="1" applyBorder="1" applyAlignment="1" applyProtection="1">
      <alignment horizontal="left" vertical="top"/>
      <protection locked="0"/>
    </xf>
    <xf numFmtId="0" fontId="14" fillId="6" borderId="23" xfId="0" applyFont="1" applyFill="1" applyBorder="1" applyAlignment="1">
      <alignment horizontal="left" vertical="top" wrapText="1"/>
    </xf>
    <xf numFmtId="0" fontId="14" fillId="6" borderId="24" xfId="0" applyFont="1" applyFill="1" applyBorder="1" applyAlignment="1">
      <alignment horizontal="left" vertical="top" wrapText="1"/>
    </xf>
    <xf numFmtId="1" fontId="14" fillId="10" borderId="19" xfId="0" applyNumberFormat="1" applyFont="1" applyFill="1" applyBorder="1" applyAlignment="1">
      <alignment horizontal="left" vertical="center" wrapText="1"/>
    </xf>
    <xf numFmtId="1" fontId="14" fillId="10" borderId="38" xfId="0" applyNumberFormat="1" applyFont="1" applyFill="1" applyBorder="1" applyAlignment="1">
      <alignment horizontal="left" vertical="center" wrapText="1"/>
    </xf>
    <xf numFmtId="1" fontId="16" fillId="10" borderId="11" xfId="0" quotePrefix="1" applyNumberFormat="1" applyFont="1" applyFill="1" applyBorder="1" applyAlignment="1">
      <alignment horizontal="left" vertical="center" wrapText="1"/>
    </xf>
    <xf numFmtId="1" fontId="16" fillId="10" borderId="22" xfId="0" applyNumberFormat="1" applyFont="1" applyFill="1" applyBorder="1" applyAlignment="1">
      <alignment horizontal="left" vertical="center" wrapText="1"/>
    </xf>
    <xf numFmtId="0" fontId="17" fillId="14" borderId="11" xfId="0" applyFont="1" applyFill="1" applyBorder="1" applyAlignment="1" applyProtection="1">
      <alignment horizontal="left" vertical="center" wrapText="1"/>
      <protection locked="0"/>
    </xf>
    <xf numFmtId="0" fontId="17" fillId="14" borderId="22" xfId="0" applyFont="1" applyFill="1" applyBorder="1" applyAlignment="1" applyProtection="1">
      <alignment horizontal="left" vertical="center" wrapText="1"/>
      <protection locked="0"/>
    </xf>
    <xf numFmtId="0" fontId="14" fillId="6" borderId="12" xfId="0" applyFont="1" applyFill="1" applyBorder="1" applyAlignment="1">
      <alignment horizontal="left" vertical="center" wrapText="1"/>
    </xf>
    <xf numFmtId="0" fontId="14" fillId="6" borderId="18" xfId="0" applyFont="1" applyFill="1" applyBorder="1" applyAlignment="1">
      <alignment horizontal="left" vertical="center" wrapText="1"/>
    </xf>
    <xf numFmtId="0" fontId="14" fillId="6" borderId="13" xfId="0" applyFont="1" applyFill="1" applyBorder="1" applyAlignment="1">
      <alignment horizontal="left" vertical="center" wrapText="1"/>
    </xf>
    <xf numFmtId="0" fontId="17" fillId="8" borderId="50" xfId="0" applyFont="1" applyFill="1" applyBorder="1" applyAlignment="1">
      <alignment horizontal="left" vertical="center" wrapText="1"/>
    </xf>
    <xf numFmtId="0" fontId="17" fillId="8" borderId="51" xfId="0" applyFont="1" applyFill="1" applyBorder="1" applyAlignment="1">
      <alignment horizontal="left" vertical="center" wrapText="1"/>
    </xf>
    <xf numFmtId="0" fontId="17" fillId="8" borderId="52" xfId="0" applyFont="1" applyFill="1" applyBorder="1" applyAlignment="1">
      <alignment horizontal="left" vertical="center" wrapText="1"/>
    </xf>
    <xf numFmtId="1" fontId="19" fillId="10" borderId="11" xfId="0" applyNumberFormat="1" applyFont="1" applyFill="1" applyBorder="1" applyAlignment="1">
      <alignment horizontal="left" wrapText="1"/>
    </xf>
    <xf numFmtId="1" fontId="19" fillId="10" borderId="12" xfId="0" applyNumberFormat="1" applyFont="1" applyFill="1" applyBorder="1" applyAlignment="1">
      <alignment horizontal="left" wrapText="1"/>
    </xf>
    <xf numFmtId="1" fontId="19" fillId="10" borderId="13" xfId="0" applyNumberFormat="1" applyFont="1" applyFill="1" applyBorder="1" applyAlignment="1">
      <alignment horizontal="left" wrapText="1"/>
    </xf>
    <xf numFmtId="0" fontId="31" fillId="14" borderId="12" xfId="0" applyFont="1" applyFill="1" applyBorder="1" applyAlignment="1" applyProtection="1">
      <alignment horizontal="left"/>
      <protection locked="0"/>
    </xf>
    <xf numFmtId="0" fontId="31" fillId="14" borderId="13" xfId="0" applyFont="1" applyFill="1" applyBorder="1" applyAlignment="1" applyProtection="1">
      <alignment horizontal="left"/>
      <protection locked="0"/>
    </xf>
    <xf numFmtId="0" fontId="31" fillId="14" borderId="37" xfId="0" applyFont="1" applyFill="1" applyBorder="1" applyAlignment="1" applyProtection="1">
      <alignment horizontal="left"/>
      <protection locked="0"/>
    </xf>
    <xf numFmtId="0" fontId="31" fillId="14" borderId="30" xfId="0" applyFont="1" applyFill="1" applyBorder="1" applyAlignment="1" applyProtection="1">
      <alignment horizontal="left"/>
      <protection locked="0"/>
    </xf>
    <xf numFmtId="0" fontId="6" fillId="10" borderId="35" xfId="0" applyFont="1" applyFill="1" applyBorder="1" applyAlignment="1">
      <alignment horizontal="center" vertical="top"/>
    </xf>
    <xf numFmtId="0" fontId="6" fillId="10" borderId="19" xfId="0" applyFont="1" applyFill="1" applyBorder="1" applyAlignment="1">
      <alignment horizontal="center" vertical="top"/>
    </xf>
    <xf numFmtId="0" fontId="6" fillId="10" borderId="23" xfId="0" applyFont="1" applyFill="1" applyBorder="1" applyAlignment="1">
      <alignment horizontal="center" vertical="top"/>
    </xf>
    <xf numFmtId="0" fontId="6" fillId="10" borderId="11" xfId="0" applyFont="1" applyFill="1" applyBorder="1" applyAlignment="1">
      <alignment horizontal="center" vertical="top"/>
    </xf>
    <xf numFmtId="0" fontId="6" fillId="3" borderId="57" xfId="0" applyFont="1" applyFill="1" applyBorder="1" applyAlignment="1">
      <alignment horizontal="left" vertical="center"/>
    </xf>
    <xf numFmtId="0" fontId="6" fillId="3" borderId="58" xfId="0" applyFont="1" applyFill="1" applyBorder="1" applyAlignment="1">
      <alignment horizontal="left" vertical="center"/>
    </xf>
    <xf numFmtId="0" fontId="6" fillId="3" borderId="59" xfId="0" applyFont="1" applyFill="1" applyBorder="1" applyAlignment="1">
      <alignment horizontal="left" vertical="center"/>
    </xf>
    <xf numFmtId="0" fontId="14" fillId="6" borderId="19" xfId="0" applyFont="1" applyFill="1" applyBorder="1" applyAlignment="1">
      <alignment horizontal="center" vertical="center" wrapText="1"/>
    </xf>
    <xf numFmtId="1" fontId="19" fillId="10" borderId="53" xfId="0" applyNumberFormat="1" applyFont="1" applyFill="1" applyBorder="1" applyAlignment="1">
      <alignment horizontal="left" wrapText="1"/>
    </xf>
    <xf numFmtId="1" fontId="19" fillId="10" borderId="42" xfId="0" applyNumberFormat="1" applyFont="1" applyFill="1" applyBorder="1" applyAlignment="1">
      <alignment horizontal="left" wrapText="1"/>
    </xf>
    <xf numFmtId="0" fontId="6" fillId="10" borderId="0" xfId="0" applyFont="1" applyFill="1" applyBorder="1" applyAlignment="1">
      <alignment horizontal="center" vertical="center"/>
    </xf>
    <xf numFmtId="0" fontId="6" fillId="10" borderId="55" xfId="0" applyFont="1" applyFill="1" applyBorder="1" applyAlignment="1">
      <alignment horizontal="center" vertical="center"/>
    </xf>
    <xf numFmtId="0" fontId="15" fillId="10" borderId="1" xfId="0" applyFont="1" applyFill="1" applyBorder="1" applyAlignment="1">
      <alignment horizontal="center"/>
    </xf>
    <xf numFmtId="0" fontId="15" fillId="10" borderId="60" xfId="0" applyFont="1" applyFill="1" applyBorder="1" applyAlignment="1">
      <alignment horizontal="center"/>
    </xf>
    <xf numFmtId="0" fontId="6" fillId="3" borderId="10" xfId="0" applyFont="1" applyFill="1" applyBorder="1" applyAlignment="1">
      <alignment horizontal="left" vertical="top" wrapText="1"/>
    </xf>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xf numFmtId="0" fontId="17" fillId="4" borderId="12" xfId="0" applyFont="1" applyFill="1" applyBorder="1" applyAlignment="1">
      <alignment horizontal="left" vertical="center" wrapText="1"/>
    </xf>
    <xf numFmtId="0" fontId="17" fillId="4" borderId="18" xfId="0" applyFont="1" applyFill="1" applyBorder="1" applyAlignment="1">
      <alignment horizontal="left" vertical="center" wrapText="1"/>
    </xf>
    <xf numFmtId="0" fontId="17" fillId="4" borderId="13" xfId="0" applyFont="1" applyFill="1" applyBorder="1" applyAlignment="1">
      <alignment horizontal="left" vertical="center" wrapText="1"/>
    </xf>
    <xf numFmtId="0" fontId="14" fillId="6" borderId="53" xfId="0" applyFont="1" applyFill="1" applyBorder="1" applyAlignment="1">
      <alignment horizontal="left" vertical="center" wrapText="1"/>
    </xf>
    <xf numFmtId="0" fontId="14" fillId="6" borderId="55" xfId="0" applyFont="1" applyFill="1" applyBorder="1" applyAlignment="1">
      <alignment horizontal="left" vertical="center" wrapText="1"/>
    </xf>
    <xf numFmtId="0" fontId="14" fillId="6" borderId="46" xfId="0" applyFont="1" applyFill="1" applyBorder="1" applyAlignment="1">
      <alignment horizontal="left" vertical="center" wrapText="1"/>
    </xf>
    <xf numFmtId="0" fontId="16" fillId="6" borderId="18" xfId="0" quotePrefix="1" applyFont="1" applyFill="1" applyBorder="1" applyAlignment="1">
      <alignment horizontal="left" vertical="center" wrapText="1"/>
    </xf>
    <xf numFmtId="0" fontId="16" fillId="6" borderId="13" xfId="0" quotePrefix="1" applyFont="1" applyFill="1" applyBorder="1" applyAlignment="1">
      <alignment horizontal="left" vertical="center" wrapText="1"/>
    </xf>
    <xf numFmtId="0" fontId="17" fillId="4" borderId="37" xfId="0" applyFont="1" applyFill="1" applyBorder="1" applyAlignment="1">
      <alignment horizontal="left" vertical="center" wrapText="1"/>
    </xf>
    <xf numFmtId="0" fontId="17" fillId="4" borderId="29" xfId="0" applyFont="1" applyFill="1" applyBorder="1" applyAlignment="1">
      <alignment horizontal="left" vertical="center" wrapText="1"/>
    </xf>
    <xf numFmtId="0" fontId="17" fillId="4" borderId="30" xfId="0" applyFont="1" applyFill="1" applyBorder="1" applyAlignment="1">
      <alignment horizontal="left" vertical="center" wrapText="1"/>
    </xf>
    <xf numFmtId="0" fontId="14" fillId="6" borderId="16" xfId="0" applyFont="1" applyFill="1" applyBorder="1" applyAlignment="1">
      <alignment horizontal="left" vertical="center" wrapText="1"/>
    </xf>
    <xf numFmtId="0" fontId="14" fillId="6" borderId="56" xfId="0" applyFont="1" applyFill="1" applyBorder="1" applyAlignment="1">
      <alignment horizontal="left" vertical="center" wrapText="1"/>
    </xf>
    <xf numFmtId="0" fontId="14" fillId="6" borderId="47" xfId="0" applyFont="1" applyFill="1" applyBorder="1" applyAlignment="1">
      <alignment horizontal="left" vertical="center" wrapText="1"/>
    </xf>
    <xf numFmtId="0" fontId="14" fillId="6" borderId="62"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10" borderId="1" xfId="0" applyFont="1" applyFill="1" applyBorder="1" applyAlignment="1">
      <alignment horizontal="center" vertical="center"/>
    </xf>
    <xf numFmtId="0" fontId="6" fillId="10" borderId="60" xfId="0" applyFont="1" applyFill="1" applyBorder="1" applyAlignment="1">
      <alignment horizontal="center" vertical="center"/>
    </xf>
    <xf numFmtId="0" fontId="31" fillId="14" borderId="12" xfId="0" applyFont="1" applyFill="1" applyBorder="1" applyAlignment="1" applyProtection="1">
      <alignment horizontal="center"/>
      <protection locked="0"/>
    </xf>
    <xf numFmtId="0" fontId="31" fillId="14" borderId="13" xfId="0" applyFont="1" applyFill="1" applyBorder="1" applyAlignment="1" applyProtection="1">
      <alignment horizontal="center"/>
      <protection locked="0"/>
    </xf>
    <xf numFmtId="0" fontId="31" fillId="14" borderId="11" xfId="0" applyFont="1" applyFill="1" applyBorder="1" applyAlignment="1" applyProtection="1">
      <alignment horizontal="left"/>
      <protection locked="0"/>
    </xf>
    <xf numFmtId="0" fontId="0" fillId="10" borderId="4" xfId="0" applyFill="1" applyBorder="1" applyAlignment="1">
      <alignment horizontal="center"/>
    </xf>
    <xf numFmtId="0" fontId="0" fillId="10" borderId="61" xfId="0" applyFill="1" applyBorder="1" applyAlignment="1">
      <alignment horizontal="center"/>
    </xf>
    <xf numFmtId="0" fontId="0" fillId="10" borderId="62" xfId="0" applyFill="1" applyBorder="1" applyAlignment="1">
      <alignment horizontal="center"/>
    </xf>
    <xf numFmtId="0" fontId="0" fillId="10" borderId="46" xfId="0" applyFill="1" applyBorder="1" applyAlignment="1">
      <alignment horizontal="center"/>
    </xf>
    <xf numFmtId="0" fontId="17" fillId="14" borderId="12" xfId="0" applyFont="1" applyFill="1" applyBorder="1" applyAlignment="1" applyProtection="1">
      <alignment horizontal="center" vertical="center" wrapText="1"/>
      <protection locked="0"/>
    </xf>
    <xf numFmtId="0" fontId="17" fillId="14" borderId="28" xfId="0" applyFont="1" applyFill="1" applyBorder="1" applyAlignment="1" applyProtection="1">
      <alignment horizontal="center" vertical="center" wrapText="1"/>
      <protection locked="0"/>
    </xf>
    <xf numFmtId="0" fontId="30" fillId="3" borderId="10" xfId="0" applyFont="1" applyFill="1" applyBorder="1" applyAlignment="1">
      <alignment horizontal="left" vertical="top" wrapText="1"/>
    </xf>
    <xf numFmtId="0" fontId="30" fillId="3" borderId="8" xfId="0" applyFont="1" applyFill="1" applyBorder="1" applyAlignment="1">
      <alignment horizontal="left" vertical="top" wrapText="1"/>
    </xf>
    <xf numFmtId="0" fontId="30" fillId="3" borderId="9" xfId="0" applyFont="1" applyFill="1" applyBorder="1" applyAlignment="1">
      <alignment horizontal="left" vertical="top" wrapText="1"/>
    </xf>
    <xf numFmtId="1" fontId="19" fillId="10" borderId="53" xfId="0" applyNumberFormat="1" applyFont="1" applyFill="1" applyBorder="1" applyAlignment="1">
      <alignment horizontal="left" vertical="center" wrapText="1"/>
    </xf>
    <xf numFmtId="1" fontId="19" fillId="10" borderId="42" xfId="0" applyNumberFormat="1" applyFont="1" applyFill="1" applyBorder="1" applyAlignment="1">
      <alignment horizontal="left" vertical="center" wrapText="1"/>
    </xf>
    <xf numFmtId="1" fontId="19" fillId="10" borderId="12" xfId="0" applyNumberFormat="1" applyFont="1" applyFill="1" applyBorder="1" applyAlignment="1">
      <alignment horizontal="left" vertical="center" wrapText="1"/>
    </xf>
    <xf numFmtId="1" fontId="19" fillId="10" borderId="28" xfId="0" applyNumberFormat="1" applyFont="1" applyFill="1" applyBorder="1" applyAlignment="1">
      <alignment horizontal="left" vertical="center" wrapText="1"/>
    </xf>
    <xf numFmtId="0" fontId="30" fillId="3" borderId="45" xfId="0" applyFont="1" applyFill="1" applyBorder="1" applyAlignment="1">
      <alignment horizontal="left" vertical="top" wrapText="1"/>
    </xf>
    <xf numFmtId="0" fontId="30" fillId="3" borderId="31" xfId="0" applyFont="1" applyFill="1" applyBorder="1" applyAlignment="1">
      <alignment horizontal="left" vertical="top" wrapText="1"/>
    </xf>
    <xf numFmtId="0" fontId="30" fillId="3" borderId="33" xfId="0" applyFont="1" applyFill="1" applyBorder="1" applyAlignment="1">
      <alignment horizontal="left" vertical="top" wrapText="1"/>
    </xf>
    <xf numFmtId="0" fontId="17" fillId="8" borderId="17" xfId="0" applyFont="1" applyFill="1" applyBorder="1" applyAlignment="1">
      <alignment horizontal="left" vertical="top" wrapText="1"/>
    </xf>
    <xf numFmtId="0" fontId="17" fillId="8" borderId="29" xfId="0" applyFont="1" applyFill="1" applyBorder="1" applyAlignment="1">
      <alignment horizontal="left" vertical="top" wrapText="1"/>
    </xf>
    <xf numFmtId="0" fontId="17" fillId="8" borderId="34" xfId="0" applyFont="1" applyFill="1" applyBorder="1" applyAlignment="1">
      <alignment horizontal="left" vertical="top" wrapText="1"/>
    </xf>
    <xf numFmtId="0" fontId="29" fillId="10" borderId="11" xfId="0" applyFont="1" applyFill="1" applyBorder="1" applyAlignment="1" applyProtection="1">
      <alignment horizontal="center" vertical="center"/>
      <protection locked="0"/>
    </xf>
    <xf numFmtId="0" fontId="29" fillId="10" borderId="15" xfId="0" applyFont="1" applyFill="1" applyBorder="1" applyAlignment="1" applyProtection="1">
      <alignment horizontal="center" vertical="center"/>
      <protection locked="0"/>
    </xf>
    <xf numFmtId="49" fontId="0" fillId="10" borderId="23" xfId="0" applyNumberFormat="1" applyFill="1" applyBorder="1" applyAlignment="1">
      <alignment horizontal="center" wrapText="1"/>
    </xf>
    <xf numFmtId="49" fontId="0" fillId="10" borderId="11" xfId="0" applyNumberFormat="1" applyFill="1" applyBorder="1" applyAlignment="1">
      <alignment horizontal="center" wrapText="1"/>
    </xf>
    <xf numFmtId="0" fontId="0" fillId="10" borderId="21" xfId="0" applyFill="1" applyBorder="1" applyAlignment="1">
      <alignment horizontal="center"/>
    </xf>
    <xf numFmtId="0" fontId="0" fillId="10" borderId="14" xfId="0" applyFill="1" applyBorder="1" applyAlignment="1">
      <alignment horizontal="center"/>
    </xf>
    <xf numFmtId="0" fontId="0" fillId="10" borderId="23" xfId="0" applyFill="1" applyBorder="1" applyAlignment="1">
      <alignment horizontal="center"/>
    </xf>
    <xf numFmtId="0" fontId="0" fillId="10" borderId="11" xfId="0" applyFill="1" applyBorder="1" applyAlignment="1">
      <alignment horizontal="center"/>
    </xf>
    <xf numFmtId="0" fontId="30" fillId="3" borderId="1" xfId="0" applyFont="1" applyFill="1" applyBorder="1" applyAlignment="1">
      <alignment horizontal="left" vertical="top" wrapText="1"/>
    </xf>
    <xf numFmtId="0" fontId="30" fillId="3" borderId="2" xfId="0" applyFont="1" applyFill="1" applyBorder="1" applyAlignment="1">
      <alignment horizontal="left" vertical="top" wrapText="1"/>
    </xf>
    <xf numFmtId="0" fontId="30" fillId="3" borderId="3" xfId="0" applyFont="1" applyFill="1" applyBorder="1" applyAlignment="1">
      <alignment horizontal="left" vertical="top" wrapText="1"/>
    </xf>
    <xf numFmtId="0" fontId="31" fillId="14" borderId="28" xfId="0" applyFont="1" applyFill="1" applyBorder="1" applyAlignment="1" applyProtection="1">
      <alignment horizontal="left"/>
      <protection locked="0"/>
    </xf>
    <xf numFmtId="0" fontId="30" fillId="3" borderId="67" xfId="0" applyFont="1" applyFill="1" applyBorder="1" applyAlignment="1">
      <alignment horizontal="left" vertical="top" wrapText="1"/>
    </xf>
    <xf numFmtId="0" fontId="30" fillId="3" borderId="68" xfId="0" applyFont="1" applyFill="1" applyBorder="1" applyAlignment="1">
      <alignment horizontal="left" vertical="top" wrapText="1"/>
    </xf>
    <xf numFmtId="0" fontId="30" fillId="3" borderId="69" xfId="0" applyFont="1" applyFill="1" applyBorder="1" applyAlignment="1">
      <alignment horizontal="left" vertical="top" wrapText="1"/>
    </xf>
    <xf numFmtId="0" fontId="14" fillId="10" borderId="1" xfId="0" applyFont="1" applyFill="1" applyBorder="1" applyAlignment="1">
      <alignment horizontal="center" vertical="center" wrapText="1"/>
    </xf>
    <xf numFmtId="0" fontId="14" fillId="10" borderId="60" xfId="0" applyFont="1" applyFill="1" applyBorder="1" applyAlignment="1">
      <alignment horizontal="center" vertical="center" wrapText="1"/>
    </xf>
    <xf numFmtId="0" fontId="30" fillId="10" borderId="1" xfId="0" applyFont="1" applyFill="1" applyBorder="1" applyAlignment="1">
      <alignment horizontal="center" vertical="top" wrapText="1"/>
    </xf>
    <xf numFmtId="0" fontId="30" fillId="10" borderId="60" xfId="0" applyFont="1" applyFill="1" applyBorder="1" applyAlignment="1">
      <alignment horizontal="center" vertical="top" wrapText="1"/>
    </xf>
    <xf numFmtId="0" fontId="30" fillId="10" borderId="62" xfId="0" applyFont="1" applyFill="1" applyBorder="1" applyAlignment="1">
      <alignment horizontal="center" vertical="top" wrapText="1"/>
    </xf>
    <xf numFmtId="0" fontId="30" fillId="10" borderId="46" xfId="0" applyFont="1" applyFill="1" applyBorder="1" applyAlignment="1">
      <alignment horizontal="center" vertical="top" wrapText="1"/>
    </xf>
    <xf numFmtId="1" fontId="14" fillId="10" borderId="36" xfId="0" applyNumberFormat="1" applyFont="1" applyFill="1" applyBorder="1" applyAlignment="1">
      <alignment horizontal="left" vertical="center" wrapText="1"/>
    </xf>
    <xf numFmtId="1" fontId="14" fillId="10" borderId="33" xfId="0" applyNumberFormat="1" applyFont="1" applyFill="1" applyBorder="1" applyAlignment="1">
      <alignment horizontal="left" vertical="center" wrapText="1"/>
    </xf>
    <xf numFmtId="0" fontId="16" fillId="10" borderId="12" xfId="0" quotePrefix="1" applyFont="1" applyFill="1" applyBorder="1" applyAlignment="1">
      <alignment horizontal="left" vertical="center" wrapText="1"/>
    </xf>
    <xf numFmtId="0" fontId="16" fillId="10" borderId="28" xfId="0" quotePrefix="1" applyFont="1" applyFill="1" applyBorder="1" applyAlignment="1">
      <alignment horizontal="left" vertical="center" wrapText="1"/>
    </xf>
  </cellXfs>
  <cellStyles count="4">
    <cellStyle name="BvDAddIn_Currency" xfId="1" xr:uid="{00000000-0005-0000-0000-000000000000}"/>
    <cellStyle name="Currency" xfId="2" builtinId="4"/>
    <cellStyle name="Normal" xfId="0" builtinId="0"/>
    <cellStyle name="Percent" xfId="3" builtinId="5"/>
  </cellStyles>
  <dxfs count="5">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FFFF99"/>
      <color rgb="FFFFECDD"/>
      <color rgb="FFFED6CA"/>
      <color rgb="FFFF9933"/>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97AE-C2C9-4BC8-8902-FFA9B3914EC2}">
  <sheetPr>
    <tabColor theme="0" tint="-0.14999847407452621"/>
  </sheetPr>
  <dimension ref="A1:D129"/>
  <sheetViews>
    <sheetView zoomScaleNormal="100" workbookViewId="0"/>
  </sheetViews>
  <sheetFormatPr defaultColWidth="0" defaultRowHeight="14.4" zeroHeight="1" x14ac:dyDescent="0.3"/>
  <cols>
    <col min="1" max="1" width="3.5546875" style="14" customWidth="1"/>
    <col min="2" max="2" width="140.5546875" customWidth="1"/>
    <col min="3" max="3" width="3.5546875" style="14" customWidth="1"/>
    <col min="4" max="4" width="0" hidden="1" customWidth="1"/>
    <col min="5" max="16384" width="9.33203125" hidden="1"/>
  </cols>
  <sheetData>
    <row r="1" spans="1:4" ht="21" x14ac:dyDescent="0.3">
      <c r="A1" s="9"/>
      <c r="B1" s="10" t="s">
        <v>128</v>
      </c>
      <c r="C1" s="9"/>
      <c r="D1" s="11"/>
    </row>
    <row r="2" spans="1:4" x14ac:dyDescent="0.3">
      <c r="A2" s="9"/>
      <c r="B2" s="12"/>
      <c r="C2" s="9"/>
      <c r="D2" s="11"/>
    </row>
    <row r="3" spans="1:4" x14ac:dyDescent="0.3">
      <c r="A3" s="9"/>
      <c r="B3" s="228" t="s">
        <v>927</v>
      </c>
      <c r="C3" s="9"/>
      <c r="D3" s="11"/>
    </row>
    <row r="4" spans="1:4" x14ac:dyDescent="0.3">
      <c r="A4" s="9"/>
      <c r="B4" s="228"/>
      <c r="C4" s="9"/>
      <c r="D4" s="11"/>
    </row>
    <row r="5" spans="1:4" ht="48.6" x14ac:dyDescent="0.3">
      <c r="A5" s="9"/>
      <c r="B5" s="12" t="s">
        <v>928</v>
      </c>
      <c r="C5" s="9"/>
      <c r="D5" s="11"/>
    </row>
    <row r="6" spans="1:4" x14ac:dyDescent="0.3">
      <c r="A6" s="9"/>
      <c r="B6" s="12"/>
      <c r="C6" s="9"/>
      <c r="D6" s="11"/>
    </row>
    <row r="7" spans="1:4" x14ac:dyDescent="0.3">
      <c r="A7" s="9"/>
      <c r="B7" s="13" t="s">
        <v>106</v>
      </c>
      <c r="C7" s="9"/>
      <c r="D7" s="11"/>
    </row>
    <row r="8" spans="1:4" x14ac:dyDescent="0.3">
      <c r="A8" s="9"/>
      <c r="B8" s="12"/>
      <c r="C8" s="9"/>
      <c r="D8" s="11"/>
    </row>
    <row r="9" spans="1:4" ht="28.8" x14ac:dyDescent="0.3">
      <c r="A9" s="9"/>
      <c r="B9" s="12" t="s">
        <v>770</v>
      </c>
      <c r="C9" s="9"/>
      <c r="D9" s="11"/>
    </row>
    <row r="10" spans="1:4" x14ac:dyDescent="0.3">
      <c r="A10" s="9"/>
      <c r="B10" s="12"/>
      <c r="C10" s="9"/>
      <c r="D10" s="11"/>
    </row>
    <row r="11" spans="1:4" x14ac:dyDescent="0.3">
      <c r="A11" s="9"/>
      <c r="B11" s="12" t="s">
        <v>107</v>
      </c>
      <c r="C11" s="9"/>
      <c r="D11" s="11"/>
    </row>
    <row r="12" spans="1:4" x14ac:dyDescent="0.3">
      <c r="A12" s="9"/>
      <c r="B12" s="12"/>
      <c r="C12" s="9"/>
      <c r="D12" s="11"/>
    </row>
    <row r="13" spans="1:4" ht="28.8" x14ac:dyDescent="0.3">
      <c r="A13" s="9"/>
      <c r="B13" s="12" t="s">
        <v>108</v>
      </c>
      <c r="C13" s="9"/>
      <c r="D13" s="11"/>
    </row>
    <row r="14" spans="1:4" x14ac:dyDescent="0.3">
      <c r="A14" s="9"/>
      <c r="B14" s="12"/>
      <c r="C14" s="9"/>
      <c r="D14" s="11"/>
    </row>
    <row r="15" spans="1:4" ht="43.2" x14ac:dyDescent="0.3">
      <c r="A15" s="9"/>
      <c r="B15" s="72" t="s">
        <v>129</v>
      </c>
      <c r="C15" s="9"/>
      <c r="D15" s="11"/>
    </row>
    <row r="16" spans="1:4" x14ac:dyDescent="0.3">
      <c r="A16" s="9"/>
      <c r="B16" s="12"/>
      <c r="C16" s="9"/>
      <c r="D16" s="11"/>
    </row>
    <row r="17" spans="1:4" x14ac:dyDescent="0.3">
      <c r="A17" s="9"/>
      <c r="B17" s="12" t="s">
        <v>109</v>
      </c>
      <c r="C17" s="9"/>
      <c r="D17" s="11"/>
    </row>
    <row r="18" spans="1:4" x14ac:dyDescent="0.3">
      <c r="A18" s="9"/>
      <c r="B18" s="12" t="s">
        <v>110</v>
      </c>
      <c r="C18" s="9"/>
      <c r="D18" s="11"/>
    </row>
    <row r="19" spans="1:4" x14ac:dyDescent="0.3">
      <c r="A19" s="9"/>
      <c r="B19" s="12" t="s">
        <v>111</v>
      </c>
      <c r="C19" s="9"/>
      <c r="D19" s="11"/>
    </row>
    <row r="20" spans="1:4" x14ac:dyDescent="0.3">
      <c r="A20" s="9"/>
      <c r="B20" s="12"/>
      <c r="C20" s="9"/>
      <c r="D20" s="11"/>
    </row>
    <row r="21" spans="1:4" x14ac:dyDescent="0.3">
      <c r="A21" s="9"/>
      <c r="B21" s="12" t="s">
        <v>112</v>
      </c>
      <c r="C21" s="9"/>
      <c r="D21" s="11"/>
    </row>
    <row r="22" spans="1:4" x14ac:dyDescent="0.3">
      <c r="A22" s="9"/>
      <c r="B22" s="12" t="s">
        <v>113</v>
      </c>
      <c r="C22" s="9"/>
      <c r="D22" s="11"/>
    </row>
    <row r="23" spans="1:4" x14ac:dyDescent="0.3">
      <c r="A23" s="9"/>
      <c r="B23" s="12" t="s">
        <v>114</v>
      </c>
      <c r="C23" s="9"/>
      <c r="D23" s="11"/>
    </row>
    <row r="24" spans="1:4" x14ac:dyDescent="0.3">
      <c r="A24" s="9"/>
      <c r="B24" s="12" t="s">
        <v>115</v>
      </c>
      <c r="C24" s="9"/>
      <c r="D24" s="11"/>
    </row>
    <row r="25" spans="1:4" x14ac:dyDescent="0.3">
      <c r="A25" s="9"/>
      <c r="B25" s="12" t="s">
        <v>116</v>
      </c>
      <c r="C25" s="9"/>
      <c r="D25" s="11"/>
    </row>
    <row r="26" spans="1:4" ht="15" thickBot="1" x14ac:dyDescent="0.35">
      <c r="A26" s="9"/>
      <c r="B26" s="12"/>
      <c r="C26" s="9"/>
      <c r="D26" s="11"/>
    </row>
    <row r="27" spans="1:4" x14ac:dyDescent="0.3">
      <c r="B27" s="189" t="s">
        <v>117</v>
      </c>
    </row>
    <row r="28" spans="1:4" x14ac:dyDescent="0.3">
      <c r="B28" s="190" t="s">
        <v>118</v>
      </c>
    </row>
    <row r="29" spans="1:4" x14ac:dyDescent="0.3">
      <c r="B29" s="191" t="s">
        <v>119</v>
      </c>
    </row>
    <row r="30" spans="1:4" x14ac:dyDescent="0.3">
      <c r="B30" s="192" t="s">
        <v>120</v>
      </c>
    </row>
    <row r="31" spans="1:4" ht="15" thickBot="1" x14ac:dyDescent="0.35">
      <c r="B31" s="193" t="s">
        <v>121</v>
      </c>
    </row>
    <row r="32" spans="1:4" x14ac:dyDescent="0.3">
      <c r="B32" s="12"/>
    </row>
    <row r="33" spans="1:4" x14ac:dyDescent="0.3">
      <c r="B33" s="13" t="s">
        <v>122</v>
      </c>
    </row>
    <row r="34" spans="1:4" x14ac:dyDescent="0.3">
      <c r="B34" s="15"/>
    </row>
    <row r="35" spans="1:4" x14ac:dyDescent="0.3">
      <c r="B35" s="16" t="s">
        <v>123</v>
      </c>
    </row>
    <row r="36" spans="1:4" x14ac:dyDescent="0.3">
      <c r="A36" s="9"/>
      <c r="B36" s="12"/>
      <c r="C36" s="9"/>
      <c r="D36" s="11"/>
    </row>
    <row r="37" spans="1:4" x14ac:dyDescent="0.3">
      <c r="A37" s="9"/>
      <c r="B37" s="17" t="s">
        <v>124</v>
      </c>
      <c r="C37" s="9"/>
      <c r="D37" s="11"/>
    </row>
    <row r="38" spans="1:4" x14ac:dyDescent="0.3">
      <c r="A38" s="9"/>
      <c r="B38" s="18"/>
      <c r="C38" s="9"/>
      <c r="D38" s="11"/>
    </row>
    <row r="39" spans="1:4" x14ac:dyDescent="0.3">
      <c r="A39" s="9"/>
      <c r="B39" s="17" t="s">
        <v>772</v>
      </c>
      <c r="C39" s="9"/>
      <c r="D39" s="11"/>
    </row>
    <row r="40" spans="1:4" x14ac:dyDescent="0.3">
      <c r="A40" s="9"/>
      <c r="B40" s="17" t="s">
        <v>816</v>
      </c>
      <c r="C40" s="9"/>
      <c r="D40" s="11"/>
    </row>
    <row r="41" spans="1:4" ht="57.6" x14ac:dyDescent="0.3">
      <c r="A41" s="9"/>
      <c r="B41" s="19" t="s">
        <v>125</v>
      </c>
      <c r="C41" s="9"/>
      <c r="D41" s="11"/>
    </row>
    <row r="42" spans="1:4" x14ac:dyDescent="0.3">
      <c r="A42" s="9"/>
      <c r="B42" s="12"/>
      <c r="C42" s="9"/>
      <c r="D42" s="11"/>
    </row>
    <row r="43" spans="1:4" x14ac:dyDescent="0.3">
      <c r="A43" s="9"/>
      <c r="B43" s="20" t="s">
        <v>126</v>
      </c>
      <c r="C43" s="9"/>
      <c r="D43" s="11"/>
    </row>
    <row r="44" spans="1:4" x14ac:dyDescent="0.3">
      <c r="A44" s="9"/>
      <c r="B44" s="17"/>
      <c r="C44" s="9"/>
      <c r="D44" s="11"/>
    </row>
    <row r="45" spans="1:4" x14ac:dyDescent="0.3">
      <c r="A45" s="9"/>
      <c r="B45" s="17" t="s">
        <v>127</v>
      </c>
      <c r="C45" s="9"/>
      <c r="D45" s="11"/>
    </row>
    <row r="46" spans="1:4" x14ac:dyDescent="0.3">
      <c r="A46" s="9"/>
      <c r="B46" s="12"/>
      <c r="C46" s="9"/>
      <c r="D46" s="11"/>
    </row>
    <row r="47" spans="1:4" hidden="1" x14ac:dyDescent="0.3">
      <c r="A47" s="9"/>
      <c r="B47" s="16" t="s">
        <v>771</v>
      </c>
      <c r="C47" s="9"/>
      <c r="D47" s="11"/>
    </row>
    <row r="48" spans="1:4" hidden="1" x14ac:dyDescent="0.3">
      <c r="A48" s="9"/>
      <c r="B48" s="21"/>
      <c r="C48" s="9"/>
      <c r="D48" s="11"/>
    </row>
    <row r="49" spans="1:4" hidden="1" x14ac:dyDescent="0.3">
      <c r="A49" s="9"/>
      <c r="B49" s="9"/>
      <c r="C49" s="9"/>
      <c r="D49" s="11"/>
    </row>
    <row r="50" spans="1:4" hidden="1" x14ac:dyDescent="0.3">
      <c r="A50" s="9"/>
      <c r="B50" s="9"/>
      <c r="C50" s="9"/>
      <c r="D50" s="11"/>
    </row>
    <row r="51" spans="1:4" hidden="1" x14ac:dyDescent="0.3">
      <c r="A51" s="9"/>
      <c r="B51" s="22"/>
      <c r="C51" s="9"/>
      <c r="D51" s="11"/>
    </row>
    <row r="52" spans="1:4" hidden="1" x14ac:dyDescent="0.3">
      <c r="A52" s="9"/>
      <c r="B52" s="23"/>
      <c r="C52" s="9"/>
      <c r="D52" s="11"/>
    </row>
    <row r="53" spans="1:4" hidden="1" x14ac:dyDescent="0.3">
      <c r="A53" s="9"/>
      <c r="B53" s="24"/>
      <c r="C53" s="9"/>
      <c r="D53" s="11"/>
    </row>
    <row r="54" spans="1:4" hidden="1" x14ac:dyDescent="0.3">
      <c r="A54" s="9"/>
      <c r="B54" s="22"/>
      <c r="C54" s="9"/>
      <c r="D54" s="11"/>
    </row>
    <row r="55" spans="1:4" hidden="1" x14ac:dyDescent="0.3">
      <c r="A55" s="9"/>
      <c r="B55" s="23"/>
      <c r="C55" s="9"/>
      <c r="D55" s="11"/>
    </row>
    <row r="56" spans="1:4" hidden="1" x14ac:dyDescent="0.3">
      <c r="A56" s="9"/>
      <c r="B56" s="24"/>
      <c r="C56" s="9"/>
      <c r="D56" s="11"/>
    </row>
    <row r="57" spans="1:4" hidden="1" x14ac:dyDescent="0.3">
      <c r="A57" s="9"/>
      <c r="B57" s="22"/>
      <c r="C57" s="9"/>
      <c r="D57" s="11"/>
    </row>
    <row r="58" spans="1:4" hidden="1" x14ac:dyDescent="0.3">
      <c r="A58" s="9"/>
      <c r="B58" s="23"/>
      <c r="C58" s="9"/>
      <c r="D58" s="11"/>
    </row>
    <row r="59" spans="1:4" hidden="1" x14ac:dyDescent="0.3">
      <c r="A59" s="9"/>
      <c r="B59" s="24"/>
      <c r="C59" s="9"/>
      <c r="D59" s="11"/>
    </row>
    <row r="60" spans="1:4" hidden="1" x14ac:dyDescent="0.3">
      <c r="A60" s="9"/>
      <c r="B60" s="22"/>
      <c r="C60" s="9"/>
      <c r="D60" s="11"/>
    </row>
    <row r="61" spans="1:4" hidden="1" x14ac:dyDescent="0.3">
      <c r="A61" s="9"/>
      <c r="B61" s="22"/>
      <c r="C61" s="9"/>
      <c r="D61" s="11"/>
    </row>
    <row r="62" spans="1:4" hidden="1" x14ac:dyDescent="0.3">
      <c r="A62" s="9"/>
      <c r="B62" s="24"/>
      <c r="C62" s="9"/>
      <c r="D62" s="11"/>
    </row>
    <row r="63" spans="1:4" hidden="1" x14ac:dyDescent="0.3">
      <c r="A63" s="9"/>
      <c r="B63" s="25"/>
      <c r="C63" s="9"/>
      <c r="D63" s="11"/>
    </row>
    <row r="64" spans="1:4" hidden="1" x14ac:dyDescent="0.3">
      <c r="A64" s="9"/>
      <c r="B64" s="26"/>
      <c r="C64" s="9"/>
      <c r="D64" s="11"/>
    </row>
    <row r="65" spans="1:4" hidden="1" x14ac:dyDescent="0.3">
      <c r="A65" s="9"/>
      <c r="B65" s="24"/>
      <c r="C65" s="9"/>
      <c r="D65" s="11"/>
    </row>
    <row r="66" spans="1:4" hidden="1" x14ac:dyDescent="0.3">
      <c r="A66" s="9"/>
      <c r="B66" s="22"/>
      <c r="C66" s="9"/>
      <c r="D66" s="11"/>
    </row>
    <row r="67" spans="1:4" hidden="1" x14ac:dyDescent="0.3">
      <c r="A67" s="9"/>
      <c r="B67" s="26"/>
      <c r="C67" s="9"/>
      <c r="D67" s="11"/>
    </row>
    <row r="68" spans="1:4" hidden="1" x14ac:dyDescent="0.3">
      <c r="A68" s="9"/>
      <c r="B68" s="24"/>
      <c r="C68" s="9"/>
      <c r="D68" s="11"/>
    </row>
    <row r="69" spans="1:4" hidden="1" x14ac:dyDescent="0.3">
      <c r="A69" s="9"/>
      <c r="B69" s="22"/>
      <c r="C69" s="9"/>
      <c r="D69" s="11"/>
    </row>
    <row r="70" spans="1:4" hidden="1" x14ac:dyDescent="0.3">
      <c r="A70" s="9"/>
      <c r="B70" s="9"/>
      <c r="C70" s="9"/>
      <c r="D70" s="11"/>
    </row>
    <row r="71" spans="1:4" hidden="1" x14ac:dyDescent="0.3">
      <c r="A71" s="9"/>
      <c r="B71" s="21"/>
      <c r="C71" s="9"/>
      <c r="D71" s="11"/>
    </row>
    <row r="72" spans="1:4" hidden="1" x14ac:dyDescent="0.3">
      <c r="A72" s="9"/>
      <c r="B72" s="21"/>
      <c r="C72" s="9"/>
      <c r="D72" s="11"/>
    </row>
    <row r="73" spans="1:4" hidden="1" x14ac:dyDescent="0.3">
      <c r="A73" s="9"/>
      <c r="B73" s="9"/>
      <c r="C73" s="9"/>
      <c r="D73" s="11"/>
    </row>
    <row r="74" spans="1:4" hidden="1" x14ac:dyDescent="0.3">
      <c r="A74" s="9"/>
      <c r="B74" s="9"/>
      <c r="C74" s="9"/>
      <c r="D74" s="11"/>
    </row>
    <row r="75" spans="1:4" hidden="1" x14ac:dyDescent="0.3">
      <c r="A75" s="9"/>
      <c r="B75" s="9"/>
      <c r="C75" s="9"/>
      <c r="D75" s="11"/>
    </row>
    <row r="76" spans="1:4" hidden="1" x14ac:dyDescent="0.3">
      <c r="A76" s="9"/>
      <c r="B76" s="9"/>
      <c r="C76" s="9"/>
      <c r="D76" s="11"/>
    </row>
    <row r="77" spans="1:4" hidden="1" x14ac:dyDescent="0.3">
      <c r="A77" s="9"/>
      <c r="B77" s="9"/>
      <c r="C77" s="9"/>
      <c r="D77" s="11"/>
    </row>
    <row r="78" spans="1:4" hidden="1" x14ac:dyDescent="0.3">
      <c r="A78" s="9"/>
      <c r="B78" s="9"/>
      <c r="C78" s="9"/>
      <c r="D78" s="11"/>
    </row>
    <row r="79" spans="1:4" hidden="1" x14ac:dyDescent="0.3">
      <c r="A79" s="9"/>
      <c r="B79" s="9"/>
      <c r="C79" s="9"/>
      <c r="D79" s="11"/>
    </row>
    <row r="80" spans="1:4" hidden="1" x14ac:dyDescent="0.3">
      <c r="A80" s="9"/>
      <c r="B80" s="9"/>
      <c r="C80" s="9"/>
      <c r="D80" s="11"/>
    </row>
    <row r="81" spans="1:4" hidden="1" x14ac:dyDescent="0.3">
      <c r="A81" s="9"/>
      <c r="B81" s="9"/>
      <c r="C81" s="9"/>
      <c r="D81" s="11"/>
    </row>
    <row r="82" spans="1:4" hidden="1" x14ac:dyDescent="0.3">
      <c r="A82" s="9"/>
      <c r="B82" s="9"/>
      <c r="C82" s="9"/>
      <c r="D82" s="11"/>
    </row>
    <row r="83" spans="1:4" hidden="1" x14ac:dyDescent="0.3">
      <c r="A83" s="9"/>
      <c r="B83" s="9"/>
      <c r="C83" s="9"/>
      <c r="D83" s="11"/>
    </row>
    <row r="84" spans="1:4" hidden="1" x14ac:dyDescent="0.3">
      <c r="A84" s="9"/>
      <c r="B84" s="9"/>
      <c r="C84" s="9"/>
      <c r="D84" s="11"/>
    </row>
    <row r="85" spans="1:4" hidden="1" x14ac:dyDescent="0.3">
      <c r="A85" s="9"/>
      <c r="B85" s="9"/>
      <c r="C85" s="9"/>
      <c r="D85" s="11"/>
    </row>
    <row r="86" spans="1:4" hidden="1" x14ac:dyDescent="0.3">
      <c r="A86" s="9"/>
      <c r="B86" s="9"/>
      <c r="C86" s="9"/>
      <c r="D86" s="11"/>
    </row>
    <row r="87" spans="1:4" hidden="1" x14ac:dyDescent="0.3">
      <c r="A87" s="9"/>
      <c r="B87" s="9"/>
      <c r="C87" s="9"/>
      <c r="D87" s="11"/>
    </row>
    <row r="88" spans="1:4" hidden="1" x14ac:dyDescent="0.3">
      <c r="A88" s="9"/>
      <c r="B88" s="9"/>
      <c r="C88" s="9"/>
      <c r="D88" s="11"/>
    </row>
    <row r="89" spans="1:4" hidden="1" x14ac:dyDescent="0.3">
      <c r="A89" s="9"/>
      <c r="B89" s="9"/>
      <c r="C89" s="9"/>
      <c r="D89" s="11"/>
    </row>
    <row r="90" spans="1:4" hidden="1" x14ac:dyDescent="0.3">
      <c r="A90" s="9"/>
      <c r="B90" s="9"/>
      <c r="C90" s="9"/>
      <c r="D90" s="11"/>
    </row>
    <row r="91" spans="1:4" hidden="1" x14ac:dyDescent="0.3">
      <c r="A91" s="9"/>
      <c r="B91" s="9"/>
      <c r="C91" s="9"/>
      <c r="D91" s="11"/>
    </row>
    <row r="92" spans="1:4" hidden="1" x14ac:dyDescent="0.3">
      <c r="A92" s="9"/>
      <c r="B92" s="9"/>
      <c r="C92" s="9"/>
      <c r="D92" s="11"/>
    </row>
    <row r="93" spans="1:4" hidden="1" x14ac:dyDescent="0.3">
      <c r="A93" s="9"/>
      <c r="B93" s="9"/>
      <c r="C93" s="9"/>
      <c r="D93" s="11"/>
    </row>
    <row r="94" spans="1:4" hidden="1" x14ac:dyDescent="0.3">
      <c r="A94" s="9"/>
      <c r="B94" s="9"/>
      <c r="C94" s="9"/>
      <c r="D94" s="11"/>
    </row>
    <row r="95" spans="1:4" hidden="1" x14ac:dyDescent="0.3">
      <c r="A95" s="9"/>
      <c r="B95" s="9"/>
      <c r="C95" s="9"/>
      <c r="D95" s="11"/>
    </row>
    <row r="96" spans="1:4" hidden="1" x14ac:dyDescent="0.3">
      <c r="A96" s="9"/>
      <c r="B96" s="9"/>
      <c r="C96" s="9"/>
      <c r="D96" s="11"/>
    </row>
    <row r="97" spans="1:4" hidden="1" x14ac:dyDescent="0.3">
      <c r="A97" s="9"/>
      <c r="B97" s="9"/>
      <c r="C97" s="9"/>
      <c r="D97" s="11"/>
    </row>
    <row r="98" spans="1:4" hidden="1" x14ac:dyDescent="0.3">
      <c r="A98" s="9"/>
      <c r="B98" s="9"/>
      <c r="C98" s="9"/>
      <c r="D98" s="11"/>
    </row>
    <row r="99" spans="1:4" hidden="1" x14ac:dyDescent="0.3">
      <c r="A99" s="9"/>
      <c r="B99" s="9"/>
      <c r="C99" s="9"/>
      <c r="D99" s="11"/>
    </row>
    <row r="100" spans="1:4" hidden="1" x14ac:dyDescent="0.3">
      <c r="A100" s="9"/>
      <c r="B100" s="9"/>
      <c r="C100" s="9"/>
      <c r="D100" s="11"/>
    </row>
    <row r="101" spans="1:4" hidden="1" x14ac:dyDescent="0.3">
      <c r="A101" s="9"/>
      <c r="B101" s="9"/>
      <c r="C101" s="9"/>
      <c r="D101" s="11"/>
    </row>
    <row r="102" spans="1:4" hidden="1" x14ac:dyDescent="0.3">
      <c r="A102" s="9"/>
      <c r="B102" s="9"/>
      <c r="C102" s="9"/>
      <c r="D102" s="11"/>
    </row>
    <row r="103" spans="1:4" hidden="1" x14ac:dyDescent="0.3">
      <c r="A103" s="9"/>
      <c r="B103" s="9"/>
      <c r="C103" s="9"/>
      <c r="D103" s="11"/>
    </row>
    <row r="104" spans="1:4" hidden="1" x14ac:dyDescent="0.3">
      <c r="A104" s="9"/>
      <c r="B104" s="9"/>
      <c r="C104" s="9"/>
      <c r="D104" s="11"/>
    </row>
    <row r="105" spans="1:4" hidden="1" x14ac:dyDescent="0.3">
      <c r="A105" s="9"/>
      <c r="B105" s="9"/>
      <c r="C105" s="9"/>
      <c r="D105" s="11"/>
    </row>
    <row r="106" spans="1:4" hidden="1" x14ac:dyDescent="0.3">
      <c r="A106" s="9"/>
      <c r="B106" s="9"/>
      <c r="C106" s="9"/>
      <c r="D106" s="11"/>
    </row>
    <row r="107" spans="1:4" hidden="1" x14ac:dyDescent="0.3">
      <c r="A107" s="9"/>
      <c r="B107" s="9"/>
      <c r="C107" s="9"/>
      <c r="D107" s="11"/>
    </row>
    <row r="108" spans="1:4" hidden="1" x14ac:dyDescent="0.3">
      <c r="A108" s="9"/>
      <c r="B108" s="9"/>
      <c r="C108" s="9"/>
      <c r="D108" s="11"/>
    </row>
    <row r="109" spans="1:4" hidden="1" x14ac:dyDescent="0.3">
      <c r="A109" s="9"/>
      <c r="B109" s="9"/>
      <c r="C109" s="9"/>
      <c r="D109" s="11"/>
    </row>
    <row r="110" spans="1:4" hidden="1" x14ac:dyDescent="0.3">
      <c r="A110" s="9"/>
      <c r="B110" s="74"/>
      <c r="C110" s="9"/>
      <c r="D110" s="11"/>
    </row>
    <row r="111" spans="1:4" hidden="1" x14ac:dyDescent="0.3">
      <c r="A111" s="9"/>
      <c r="B111" s="74"/>
      <c r="C111" s="9"/>
      <c r="D111" s="11"/>
    </row>
    <row r="112" spans="1:4" hidden="1" x14ac:dyDescent="0.3">
      <c r="A112" s="9"/>
      <c r="B112" s="73"/>
      <c r="C112" s="9"/>
      <c r="D112" s="11"/>
    </row>
    <row r="113" spans="1:4" hidden="1" x14ac:dyDescent="0.3">
      <c r="A113" s="9"/>
      <c r="B113" s="73"/>
      <c r="C113" s="9"/>
      <c r="D113" s="11"/>
    </row>
    <row r="114" spans="1:4" hidden="1" x14ac:dyDescent="0.3">
      <c r="B114" s="73"/>
    </row>
    <row r="115" spans="1:4" hidden="1" x14ac:dyDescent="0.3">
      <c r="B115" s="73"/>
    </row>
    <row r="116" spans="1:4" hidden="1" x14ac:dyDescent="0.3">
      <c r="B116" s="73"/>
    </row>
    <row r="117" spans="1:4" hidden="1" x14ac:dyDescent="0.3">
      <c r="B117" s="73"/>
    </row>
    <row r="118" spans="1:4" hidden="1" x14ac:dyDescent="0.3">
      <c r="B118" s="73"/>
    </row>
    <row r="119" spans="1:4" hidden="1" x14ac:dyDescent="0.3">
      <c r="B119" s="73"/>
    </row>
    <row r="120" spans="1:4" hidden="1" x14ac:dyDescent="0.3">
      <c r="B120" s="73"/>
    </row>
    <row r="121" spans="1:4" hidden="1" x14ac:dyDescent="0.3">
      <c r="B121" s="73"/>
    </row>
    <row r="122" spans="1:4" hidden="1" x14ac:dyDescent="0.3">
      <c r="B122" s="73"/>
    </row>
    <row r="123" spans="1:4" hidden="1" x14ac:dyDescent="0.3">
      <c r="B123" s="73"/>
    </row>
    <row r="124" spans="1:4" hidden="1" x14ac:dyDescent="0.3">
      <c r="B124" s="73"/>
    </row>
    <row r="125" spans="1:4" hidden="1" x14ac:dyDescent="0.3">
      <c r="B125" s="73"/>
    </row>
    <row r="126" spans="1:4" hidden="1" x14ac:dyDescent="0.3">
      <c r="B126" s="73"/>
    </row>
    <row r="127" spans="1:4" hidden="1" x14ac:dyDescent="0.3">
      <c r="B127" s="73"/>
    </row>
    <row r="128" spans="1:4" hidden="1" x14ac:dyDescent="0.3">
      <c r="B128" s="73"/>
    </row>
    <row r="129" x14ac:dyDescent="0.3"/>
  </sheetData>
  <mergeCells count="1">
    <mergeCell ref="B3:B4"/>
  </mergeCells>
  <dataValidations count="2">
    <dataValidation allowBlank="1" showInputMessage="1" sqref="B28" xr:uid="{77AEE9EE-4A69-43DF-B75E-5C2D45C9DA45}"/>
    <dataValidation type="custom" allowBlank="1" showInputMessage="1" showErrorMessage="1" errorTitle="Incorrect data entered" error="A positive number, or .v (if the value for this item is not available), must be entered." sqref="B31 B27" xr:uid="{06D6CBCD-88DA-4F65-8D76-C4AC35B2668F}">
      <formula1>OR(B27&gt;=0,LOWER(B27)=".v")</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0D3B-AF43-4DB3-BA7B-53BEBFF7FC91}">
  <sheetPr>
    <tabColor theme="0" tint="-0.14999847407452621"/>
  </sheetPr>
  <dimension ref="A1:H14"/>
  <sheetViews>
    <sheetView showGridLines="0" zoomScaleNormal="100" workbookViewId="0">
      <selection activeCell="D13" sqref="D13"/>
    </sheetView>
  </sheetViews>
  <sheetFormatPr defaultColWidth="0" defaultRowHeight="14.4" zeroHeight="1" x14ac:dyDescent="0.3"/>
  <cols>
    <col min="1" max="1" width="3.5546875" customWidth="1"/>
    <col min="2" max="2" width="37.44140625" bestFit="1" customWidth="1"/>
    <col min="3" max="3" width="8.5546875" customWidth="1"/>
    <col min="4" max="4" width="34.6640625" customWidth="1"/>
    <col min="5" max="7" width="8.5546875" customWidth="1"/>
    <col min="8" max="8" width="3.5546875" customWidth="1"/>
    <col min="9" max="16384" width="8.5546875" hidden="1"/>
  </cols>
  <sheetData>
    <row r="1" spans="1:7" ht="21" x14ac:dyDescent="0.3">
      <c r="A1" s="27"/>
      <c r="B1" s="232" t="s">
        <v>128</v>
      </c>
      <c r="C1" s="232"/>
      <c r="D1" s="232"/>
      <c r="E1" s="232"/>
      <c r="F1" s="232"/>
      <c r="G1" s="232"/>
    </row>
    <row r="2" spans="1:7" ht="21.6" thickBot="1" x14ac:dyDescent="0.45">
      <c r="A2" s="28"/>
      <c r="B2" s="29"/>
      <c r="C2" s="30"/>
      <c r="D2" s="31"/>
      <c r="E2" s="31"/>
      <c r="F2" s="31"/>
      <c r="G2" s="31"/>
    </row>
    <row r="3" spans="1:7" ht="16.2" thickBot="1" x14ac:dyDescent="0.35">
      <c r="A3" s="28"/>
      <c r="B3" s="30" t="s">
        <v>130</v>
      </c>
      <c r="C3" s="32"/>
      <c r="D3" s="33"/>
      <c r="E3" s="34"/>
      <c r="F3" s="31"/>
      <c r="G3" s="31"/>
    </row>
    <row r="4" spans="1:7" ht="16.2" thickBot="1" x14ac:dyDescent="0.35">
      <c r="A4" s="28"/>
      <c r="B4" s="30"/>
      <c r="C4" s="32"/>
      <c r="D4" s="34"/>
      <c r="E4" s="34"/>
      <c r="F4" s="31"/>
      <c r="G4" s="31"/>
    </row>
    <row r="5" spans="1:7" ht="16.2" thickBot="1" x14ac:dyDescent="0.35">
      <c r="A5" s="28"/>
      <c r="B5" s="30" t="s">
        <v>131</v>
      </c>
      <c r="C5" s="32"/>
      <c r="D5" s="229"/>
      <c r="E5" s="230"/>
      <c r="F5" s="31"/>
      <c r="G5" s="31"/>
    </row>
    <row r="6" spans="1:7" ht="16.2" thickBot="1" x14ac:dyDescent="0.35">
      <c r="A6" s="28"/>
      <c r="B6" s="30"/>
      <c r="C6" s="32"/>
      <c r="D6" s="34"/>
      <c r="E6" s="34"/>
      <c r="F6" s="31"/>
      <c r="G6" s="31"/>
    </row>
    <row r="7" spans="1:7" ht="16.2" thickBot="1" x14ac:dyDescent="0.35">
      <c r="A7" s="28"/>
      <c r="B7" s="35" t="s">
        <v>132</v>
      </c>
      <c r="C7" s="36"/>
      <c r="D7" s="229"/>
      <c r="E7" s="230"/>
      <c r="F7" s="31"/>
      <c r="G7" s="31"/>
    </row>
    <row r="8" spans="1:7" ht="16.2" thickBot="1" x14ac:dyDescent="0.35">
      <c r="A8" s="28"/>
      <c r="B8" s="30"/>
      <c r="C8" s="32"/>
      <c r="D8" s="34"/>
      <c r="E8" s="34"/>
      <c r="F8" s="31"/>
      <c r="G8" s="31"/>
    </row>
    <row r="9" spans="1:7" ht="16.2" thickBot="1" x14ac:dyDescent="0.35">
      <c r="A9" s="28"/>
      <c r="B9" s="30" t="s">
        <v>133</v>
      </c>
      <c r="C9" s="37"/>
      <c r="D9" s="229"/>
      <c r="E9" s="231"/>
      <c r="F9" s="231"/>
      <c r="G9" s="230"/>
    </row>
    <row r="10" spans="1:7" ht="16.2" thickBot="1" x14ac:dyDescent="0.35">
      <c r="A10" s="28"/>
      <c r="B10" s="30"/>
      <c r="C10" s="32"/>
      <c r="D10" s="34"/>
      <c r="E10" s="34"/>
      <c r="F10" s="31"/>
      <c r="G10" s="31"/>
    </row>
    <row r="11" spans="1:7" ht="16.2" thickBot="1" x14ac:dyDescent="0.35">
      <c r="A11" s="28"/>
      <c r="B11" s="30" t="s">
        <v>134</v>
      </c>
      <c r="C11" s="37"/>
      <c r="D11" s="38"/>
      <c r="E11" s="39"/>
      <c r="F11" s="39"/>
      <c r="G11" s="40"/>
    </row>
    <row r="12" spans="1:7" ht="16.2" thickBot="1" x14ac:dyDescent="0.35">
      <c r="A12" s="28"/>
      <c r="B12" s="30"/>
      <c r="C12" s="32"/>
      <c r="D12" s="34"/>
      <c r="E12" s="41"/>
      <c r="F12" s="42"/>
      <c r="G12" s="31"/>
    </row>
    <row r="13" spans="1:7" ht="16.2" thickBot="1" x14ac:dyDescent="0.35">
      <c r="A13" s="28"/>
      <c r="B13" s="30" t="s">
        <v>135</v>
      </c>
      <c r="C13" s="37"/>
      <c r="D13" s="33"/>
      <c r="E13" s="39"/>
      <c r="F13" s="39"/>
      <c r="G13" s="40"/>
    </row>
    <row r="14" spans="1:7" ht="15.6" x14ac:dyDescent="0.3">
      <c r="A14" s="28"/>
      <c r="B14" s="30"/>
      <c r="C14" s="37"/>
      <c r="D14" s="37"/>
      <c r="E14" s="37"/>
      <c r="F14" s="31"/>
      <c r="G14" s="31"/>
    </row>
  </sheetData>
  <mergeCells count="4">
    <mergeCell ref="D5:E5"/>
    <mergeCell ref="D7:E7"/>
    <mergeCell ref="D9:G9"/>
    <mergeCell ref="B1:G1"/>
  </mergeCells>
  <dataValidations count="4">
    <dataValidation type="list" allowBlank="1" showInputMessage="1" showErrorMessage="1" sqref="D3" xr:uid="{D7B37E52-A2E8-496C-97F0-1194D8009819}">
      <formula1>"AT,BE,BG,CY,DE,EE,ES,FI,FR,GR,HR,IE,IT,LU,LT,LV,MT,NL,PT,SI,SK"</formula1>
    </dataValidation>
    <dataValidation type="list" allowBlank="1" showInputMessage="1" showErrorMessage="1" sqref="D11" xr:uid="{20E8A8F6-AB51-42BA-B3E5-7B2B5D737028}">
      <formula1>"31/12/2023"</formula1>
    </dataValidation>
    <dataValidation type="list" allowBlank="1" showInputMessage="1" showErrorMessage="1" sqref="D13" xr:uid="{729AD1CE-20B9-4DCB-BEDE-52E905AB19DD}">
      <formula1>"CONS,SOLO"</formula1>
    </dataValidation>
    <dataValidation type="custom" allowBlank="1" showInputMessage="1" showErrorMessage="1" errorTitle="Error - string size" error="LEI code must have exactly 20 characters." sqref="D7:E7" xr:uid="{8F292C72-69B5-4230-A161-D54DF67F5BE5}">
      <formula1>LEN(D7)=20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09F2-E134-4134-AF0C-160E95569CA6}">
  <sheetPr>
    <tabColor theme="3"/>
  </sheetPr>
  <dimension ref="A1:L81"/>
  <sheetViews>
    <sheetView showGridLines="0" zoomScaleNormal="100" workbookViewId="0">
      <selection activeCell="B36" sqref="B36:K48"/>
    </sheetView>
  </sheetViews>
  <sheetFormatPr defaultColWidth="0" defaultRowHeight="14.4" zeroHeight="1" x14ac:dyDescent="0.3"/>
  <cols>
    <col min="1" max="1" width="3.5546875" customWidth="1"/>
    <col min="2" max="2" width="52.33203125" style="43" customWidth="1"/>
    <col min="3" max="3" width="4.33203125" style="43" customWidth="1"/>
    <col min="4" max="11" width="18.6640625" style="43" customWidth="1"/>
    <col min="12" max="12" width="3.5546875" style="43" customWidth="1"/>
    <col min="13" max="16384" width="8.6640625" hidden="1"/>
  </cols>
  <sheetData>
    <row r="1" spans="1:11" ht="21.6" thickBot="1" x14ac:dyDescent="0.35">
      <c r="B1" s="270" t="s">
        <v>137</v>
      </c>
      <c r="C1" s="271"/>
      <c r="D1" s="271"/>
      <c r="E1" s="271"/>
      <c r="F1" s="271"/>
      <c r="G1" s="271"/>
      <c r="H1" s="271"/>
      <c r="I1" s="271"/>
      <c r="J1" s="271"/>
      <c r="K1" s="272"/>
    </row>
    <row r="2" spans="1:11" ht="15" thickBot="1" x14ac:dyDescent="0.35"/>
    <row r="3" spans="1:11" x14ac:dyDescent="0.3">
      <c r="A3" s="73"/>
      <c r="B3" s="276" t="s">
        <v>138</v>
      </c>
      <c r="C3" s="277"/>
      <c r="D3" s="277"/>
      <c r="E3" s="277"/>
      <c r="F3" s="277"/>
      <c r="G3" s="277"/>
      <c r="H3" s="277"/>
      <c r="I3" s="277"/>
      <c r="J3" s="277"/>
      <c r="K3" s="278"/>
    </row>
    <row r="4" spans="1:11" ht="14.7" customHeight="1" x14ac:dyDescent="0.3">
      <c r="A4" s="73"/>
      <c r="B4" s="308"/>
      <c r="C4" s="309"/>
      <c r="D4" s="279" t="s">
        <v>140</v>
      </c>
      <c r="E4" s="279"/>
      <c r="F4" s="279"/>
      <c r="G4" s="279"/>
      <c r="H4" s="279"/>
      <c r="I4" s="281" t="s">
        <v>39</v>
      </c>
      <c r="J4" s="281"/>
      <c r="K4" s="282"/>
    </row>
    <row r="5" spans="1:11" ht="12" customHeight="1" x14ac:dyDescent="0.3">
      <c r="A5" s="73"/>
      <c r="B5" s="310"/>
      <c r="C5" s="311"/>
      <c r="D5" s="323" t="s">
        <v>833</v>
      </c>
      <c r="E5" s="324"/>
      <c r="F5" s="324"/>
      <c r="G5" s="324"/>
      <c r="H5" s="325"/>
      <c r="I5" s="299" t="s">
        <v>834</v>
      </c>
      <c r="J5" s="300"/>
      <c r="K5" s="301"/>
    </row>
    <row r="6" spans="1:11" ht="24.6" thickBot="1" x14ac:dyDescent="0.35">
      <c r="A6" s="73"/>
      <c r="B6" s="145" t="s">
        <v>147</v>
      </c>
      <c r="C6" s="147" t="s">
        <v>833</v>
      </c>
      <c r="D6" s="280"/>
      <c r="E6" s="280"/>
      <c r="F6" s="280"/>
      <c r="G6" s="280"/>
      <c r="H6" s="280"/>
      <c r="I6" s="283"/>
      <c r="J6" s="283"/>
      <c r="K6" s="284"/>
    </row>
    <row r="7" spans="1:11" ht="15" thickBot="1" x14ac:dyDescent="0.35"/>
    <row r="8" spans="1:11" x14ac:dyDescent="0.3">
      <c r="B8" s="273" t="s">
        <v>165</v>
      </c>
      <c r="C8" s="274"/>
      <c r="D8" s="274"/>
      <c r="E8" s="274"/>
      <c r="F8" s="274"/>
      <c r="G8" s="274"/>
      <c r="H8" s="274"/>
      <c r="I8" s="274"/>
      <c r="J8" s="274"/>
      <c r="K8" s="275"/>
    </row>
    <row r="9" spans="1:11" x14ac:dyDescent="0.3">
      <c r="B9" s="326"/>
      <c r="C9" s="327"/>
      <c r="D9" s="327"/>
      <c r="E9" s="327"/>
      <c r="F9" s="327"/>
      <c r="G9" s="328"/>
      <c r="H9" s="78" t="s">
        <v>141</v>
      </c>
      <c r="I9" s="285" t="s">
        <v>39</v>
      </c>
      <c r="J9" s="285"/>
      <c r="K9" s="286"/>
    </row>
    <row r="10" spans="1:11" ht="12" customHeight="1" x14ac:dyDescent="0.3">
      <c r="B10" s="329"/>
      <c r="C10" s="330"/>
      <c r="D10" s="330"/>
      <c r="E10" s="330"/>
      <c r="F10" s="330"/>
      <c r="G10" s="331"/>
      <c r="H10" s="149" t="s">
        <v>833</v>
      </c>
      <c r="I10" s="299" t="s">
        <v>834</v>
      </c>
      <c r="J10" s="300"/>
      <c r="K10" s="301"/>
    </row>
    <row r="11" spans="1:11" ht="25.2" customHeight="1" x14ac:dyDescent="0.3">
      <c r="B11" s="302" t="s">
        <v>142</v>
      </c>
      <c r="C11" s="303"/>
      <c r="D11" s="303"/>
      <c r="E11" s="303"/>
      <c r="F11" s="304"/>
      <c r="G11" s="150" t="s">
        <v>834</v>
      </c>
      <c r="H11" s="212"/>
      <c r="I11" s="287"/>
      <c r="J11" s="287"/>
      <c r="K11" s="288"/>
    </row>
    <row r="12" spans="1:11" ht="25.2" customHeight="1" x14ac:dyDescent="0.3">
      <c r="B12" s="302" t="s">
        <v>143</v>
      </c>
      <c r="C12" s="303"/>
      <c r="D12" s="303"/>
      <c r="E12" s="303"/>
      <c r="F12" s="304"/>
      <c r="G12" s="149" t="s">
        <v>835</v>
      </c>
      <c r="H12" s="212"/>
      <c r="I12" s="287"/>
      <c r="J12" s="287"/>
      <c r="K12" s="288"/>
    </row>
    <row r="13" spans="1:11" ht="25.2" customHeight="1" x14ac:dyDescent="0.3">
      <c r="B13" s="302" t="s">
        <v>773</v>
      </c>
      <c r="C13" s="303"/>
      <c r="D13" s="303"/>
      <c r="E13" s="303"/>
      <c r="F13" s="304"/>
      <c r="G13" s="150" t="s">
        <v>836</v>
      </c>
      <c r="H13" s="212"/>
      <c r="I13" s="287"/>
      <c r="J13" s="287"/>
      <c r="K13" s="288"/>
    </row>
    <row r="14" spans="1:11" ht="25.2" customHeight="1" x14ac:dyDescent="0.3">
      <c r="B14" s="302" t="s">
        <v>811</v>
      </c>
      <c r="C14" s="303"/>
      <c r="D14" s="303"/>
      <c r="E14" s="303"/>
      <c r="F14" s="304"/>
      <c r="G14" s="149" t="s">
        <v>837</v>
      </c>
      <c r="H14" s="212"/>
      <c r="I14" s="287"/>
      <c r="J14" s="287"/>
      <c r="K14" s="288"/>
    </row>
    <row r="15" spans="1:11" ht="25.2" customHeight="1" x14ac:dyDescent="0.3">
      <c r="B15" s="302" t="s">
        <v>951</v>
      </c>
      <c r="C15" s="303"/>
      <c r="D15" s="303"/>
      <c r="E15" s="303"/>
      <c r="F15" s="304"/>
      <c r="G15" s="150" t="s">
        <v>838</v>
      </c>
      <c r="H15" s="212"/>
      <c r="I15" s="287"/>
      <c r="J15" s="287"/>
      <c r="K15" s="288"/>
    </row>
    <row r="16" spans="1:11" ht="25.2" customHeight="1" thickBot="1" x14ac:dyDescent="0.35">
      <c r="A16" s="75"/>
      <c r="B16" s="305" t="s">
        <v>832</v>
      </c>
      <c r="C16" s="306"/>
      <c r="D16" s="306"/>
      <c r="E16" s="306"/>
      <c r="F16" s="307"/>
      <c r="G16" s="149" t="s">
        <v>839</v>
      </c>
      <c r="H16" s="213"/>
      <c r="I16" s="318"/>
      <c r="J16" s="318"/>
      <c r="K16" s="319"/>
    </row>
    <row r="17" spans="2:12" ht="25.2" customHeight="1" thickBot="1" x14ac:dyDescent="0.35">
      <c r="B17" s="233" t="s">
        <v>852</v>
      </c>
      <c r="C17" s="234"/>
      <c r="D17" s="234"/>
      <c r="E17" s="234"/>
      <c r="F17" s="234"/>
      <c r="G17" s="234"/>
      <c r="H17" s="234"/>
      <c r="I17" s="234"/>
      <c r="J17" s="234"/>
      <c r="K17" s="235"/>
    </row>
    <row r="18" spans="2:12" ht="15" thickBot="1" x14ac:dyDescent="0.35"/>
    <row r="19" spans="2:12" ht="15" thickBot="1" x14ac:dyDescent="0.35">
      <c r="B19" s="294" t="s">
        <v>905</v>
      </c>
      <c r="C19" s="295"/>
      <c r="D19" s="295"/>
      <c r="E19" s="295"/>
      <c r="F19" s="295"/>
      <c r="G19" s="295"/>
      <c r="H19" s="295"/>
      <c r="I19" s="295"/>
      <c r="J19" s="295"/>
      <c r="K19" s="296"/>
    </row>
    <row r="20" spans="2:12" ht="14.4" customHeight="1" x14ac:dyDescent="0.3">
      <c r="B20" s="334"/>
      <c r="C20" s="335"/>
      <c r="D20" s="312" t="s">
        <v>146</v>
      </c>
      <c r="E20" s="313"/>
      <c r="F20" s="199" t="s">
        <v>819</v>
      </c>
      <c r="G20" s="199" t="s">
        <v>37</v>
      </c>
      <c r="H20" s="199" t="s">
        <v>807</v>
      </c>
      <c r="I20" s="107" t="s">
        <v>38</v>
      </c>
      <c r="J20" s="297" t="s">
        <v>39</v>
      </c>
      <c r="K20" s="298"/>
    </row>
    <row r="21" spans="2:12" s="151" customFormat="1" ht="12" customHeight="1" x14ac:dyDescent="0.3">
      <c r="B21" s="329"/>
      <c r="C21" s="330"/>
      <c r="D21" s="314" t="s">
        <v>833</v>
      </c>
      <c r="E21" s="315"/>
      <c r="F21" s="152" t="s">
        <v>834</v>
      </c>
      <c r="G21" s="152" t="s">
        <v>835</v>
      </c>
      <c r="H21" s="152" t="s">
        <v>836</v>
      </c>
      <c r="I21" s="152" t="s">
        <v>837</v>
      </c>
      <c r="J21" s="261" t="s">
        <v>838</v>
      </c>
      <c r="K21" s="262"/>
      <c r="L21" s="153"/>
    </row>
    <row r="22" spans="2:12" x14ac:dyDescent="0.3">
      <c r="B22" s="332" t="s">
        <v>809</v>
      </c>
      <c r="C22" s="198" t="s">
        <v>841</v>
      </c>
      <c r="D22" s="316" t="s">
        <v>40</v>
      </c>
      <c r="E22" s="316"/>
      <c r="F22" s="201"/>
      <c r="G22" s="201"/>
      <c r="H22" s="45"/>
      <c r="I22" s="44"/>
      <c r="J22" s="239"/>
      <c r="K22" s="240"/>
    </row>
    <row r="23" spans="2:12" x14ac:dyDescent="0.3">
      <c r="B23" s="332"/>
      <c r="C23" s="198" t="s">
        <v>842</v>
      </c>
      <c r="D23" s="316" t="s">
        <v>41</v>
      </c>
      <c r="E23" s="316"/>
      <c r="F23" s="201"/>
      <c r="G23" s="201"/>
      <c r="H23" s="45"/>
      <c r="I23" s="44"/>
      <c r="J23" s="239"/>
      <c r="K23" s="240"/>
    </row>
    <row r="24" spans="2:12" x14ac:dyDescent="0.3">
      <c r="B24" s="332"/>
      <c r="C24" s="198" t="s">
        <v>843</v>
      </c>
      <c r="D24" s="316" t="s">
        <v>42</v>
      </c>
      <c r="E24" s="316"/>
      <c r="F24" s="201"/>
      <c r="G24" s="201"/>
      <c r="H24" s="45"/>
      <c r="I24" s="44"/>
      <c r="J24" s="239"/>
      <c r="K24" s="240"/>
    </row>
    <row r="25" spans="2:12" x14ac:dyDescent="0.3">
      <c r="B25" s="332"/>
      <c r="C25" s="198" t="s">
        <v>844</v>
      </c>
      <c r="D25" s="316" t="s">
        <v>43</v>
      </c>
      <c r="E25" s="316"/>
      <c r="F25" s="201"/>
      <c r="G25" s="201"/>
      <c r="H25" s="45"/>
      <c r="I25" s="44"/>
      <c r="J25" s="239"/>
      <c r="K25" s="240"/>
    </row>
    <row r="26" spans="2:12" x14ac:dyDescent="0.3">
      <c r="B26" s="333"/>
      <c r="C26" s="198" t="s">
        <v>845</v>
      </c>
      <c r="D26" s="316" t="s">
        <v>44</v>
      </c>
      <c r="E26" s="316"/>
      <c r="F26" s="201"/>
      <c r="G26" s="201"/>
      <c r="H26" s="45"/>
      <c r="I26" s="44"/>
      <c r="J26" s="239"/>
      <c r="K26" s="240"/>
    </row>
    <row r="27" spans="2:12" x14ac:dyDescent="0.3">
      <c r="B27" s="292" t="s">
        <v>808</v>
      </c>
      <c r="C27" s="198"/>
      <c r="D27" s="317" t="s">
        <v>146</v>
      </c>
      <c r="E27" s="317"/>
      <c r="F27" s="197" t="s">
        <v>819</v>
      </c>
      <c r="G27" s="197" t="s">
        <v>37</v>
      </c>
      <c r="H27" s="197" t="s">
        <v>807</v>
      </c>
      <c r="I27" s="137" t="s">
        <v>38</v>
      </c>
      <c r="J27" s="285" t="s">
        <v>39</v>
      </c>
      <c r="K27" s="286"/>
    </row>
    <row r="28" spans="2:12" x14ac:dyDescent="0.3">
      <c r="B28" s="292"/>
      <c r="C28" s="198" t="s">
        <v>846</v>
      </c>
      <c r="D28" s="316" t="s">
        <v>45</v>
      </c>
      <c r="E28" s="316"/>
      <c r="F28" s="201"/>
      <c r="G28" s="201"/>
      <c r="H28" s="45"/>
      <c r="I28" s="44"/>
      <c r="J28" s="239"/>
      <c r="K28" s="240"/>
    </row>
    <row r="29" spans="2:12" x14ac:dyDescent="0.3">
      <c r="B29" s="292"/>
      <c r="C29" s="198" t="s">
        <v>871</v>
      </c>
      <c r="D29" s="316" t="s">
        <v>46</v>
      </c>
      <c r="E29" s="316"/>
      <c r="F29" s="201"/>
      <c r="G29" s="201"/>
      <c r="H29" s="45"/>
      <c r="I29" s="44"/>
      <c r="J29" s="239"/>
      <c r="K29" s="240"/>
    </row>
    <row r="30" spans="2:12" x14ac:dyDescent="0.3">
      <c r="B30" s="292"/>
      <c r="C30" s="198" t="s">
        <v>872</v>
      </c>
      <c r="D30" s="316" t="s">
        <v>47</v>
      </c>
      <c r="E30" s="316"/>
      <c r="F30" s="201"/>
      <c r="G30" s="201"/>
      <c r="H30" s="45"/>
      <c r="I30" s="44"/>
      <c r="J30" s="239"/>
      <c r="K30" s="240"/>
    </row>
    <row r="31" spans="2:12" x14ac:dyDescent="0.3">
      <c r="B31" s="292"/>
      <c r="C31" s="198" t="s">
        <v>873</v>
      </c>
      <c r="D31" s="316" t="s">
        <v>48</v>
      </c>
      <c r="E31" s="316"/>
      <c r="F31" s="201"/>
      <c r="G31" s="201"/>
      <c r="H31" s="45"/>
      <c r="I31" s="44"/>
      <c r="J31" s="239"/>
      <c r="K31" s="240"/>
    </row>
    <row r="32" spans="2:12" ht="15" thickBot="1" x14ac:dyDescent="0.35">
      <c r="B32" s="293"/>
      <c r="C32" s="161" t="s">
        <v>874</v>
      </c>
      <c r="D32" s="339" t="s">
        <v>49</v>
      </c>
      <c r="E32" s="339"/>
      <c r="F32" s="202"/>
      <c r="G32" s="202"/>
      <c r="H32" s="46"/>
      <c r="I32" s="200"/>
      <c r="J32" s="241"/>
      <c r="K32" s="242"/>
    </row>
    <row r="33" spans="2:12" ht="55.2" customHeight="1" thickBot="1" x14ac:dyDescent="0.35">
      <c r="B33" s="289" t="s">
        <v>50</v>
      </c>
      <c r="C33" s="290"/>
      <c r="D33" s="290"/>
      <c r="E33" s="290"/>
      <c r="F33" s="290"/>
      <c r="G33" s="290"/>
      <c r="H33" s="290"/>
      <c r="I33" s="290"/>
      <c r="J33" s="290"/>
      <c r="K33" s="291"/>
    </row>
    <row r="34" spans="2:12" ht="15" thickBot="1" x14ac:dyDescent="0.35"/>
    <row r="35" spans="2:12" ht="15" customHeight="1" thickBot="1" x14ac:dyDescent="0.35">
      <c r="B35" s="236" t="s">
        <v>906</v>
      </c>
      <c r="C35" s="237"/>
      <c r="D35" s="237"/>
      <c r="E35" s="237"/>
      <c r="F35" s="237"/>
      <c r="G35" s="237"/>
      <c r="H35" s="237"/>
      <c r="I35" s="237"/>
      <c r="J35" s="237"/>
      <c r="K35" s="238"/>
    </row>
    <row r="36" spans="2:12" ht="24" customHeight="1" x14ac:dyDescent="0.3">
      <c r="B36" s="334"/>
      <c r="C36" s="335"/>
      <c r="D36" s="320" t="s">
        <v>29</v>
      </c>
      <c r="E36" s="320"/>
      <c r="F36" s="220" t="s">
        <v>30</v>
      </c>
      <c r="G36" s="221" t="s">
        <v>160</v>
      </c>
      <c r="H36" s="222" t="s">
        <v>908</v>
      </c>
      <c r="I36" s="222" t="s">
        <v>909</v>
      </c>
      <c r="J36" s="259" t="s">
        <v>39</v>
      </c>
      <c r="K36" s="260"/>
    </row>
    <row r="37" spans="2:12" ht="12" customHeight="1" x14ac:dyDescent="0.3">
      <c r="B37" s="329"/>
      <c r="C37" s="330"/>
      <c r="D37" s="258" t="s">
        <v>833</v>
      </c>
      <c r="E37" s="258"/>
      <c r="F37" s="152" t="s">
        <v>834</v>
      </c>
      <c r="G37" s="152" t="s">
        <v>835</v>
      </c>
      <c r="H37" s="152" t="s">
        <v>836</v>
      </c>
      <c r="I37" s="152" t="s">
        <v>837</v>
      </c>
      <c r="J37" s="261" t="s">
        <v>838</v>
      </c>
      <c r="K37" s="262"/>
    </row>
    <row r="38" spans="2:12" ht="15.6" customHeight="1" x14ac:dyDescent="0.3">
      <c r="B38" s="247" t="s">
        <v>953</v>
      </c>
      <c r="C38" s="218" t="s">
        <v>875</v>
      </c>
      <c r="D38" s="321"/>
      <c r="E38" s="321"/>
      <c r="F38" s="154"/>
      <c r="G38" s="154"/>
      <c r="H38" s="205"/>
      <c r="I38" s="206"/>
      <c r="J38" s="239"/>
      <c r="K38" s="240"/>
    </row>
    <row r="39" spans="2:12" x14ac:dyDescent="0.3">
      <c r="B39" s="248"/>
      <c r="C39" s="218" t="s">
        <v>876</v>
      </c>
      <c r="D39" s="254"/>
      <c r="E39" s="254"/>
      <c r="F39" s="154"/>
      <c r="G39" s="154"/>
      <c r="H39" s="205"/>
      <c r="I39" s="206"/>
      <c r="J39" s="239"/>
      <c r="K39" s="240"/>
    </row>
    <row r="40" spans="2:12" x14ac:dyDescent="0.3">
      <c r="B40" s="248"/>
      <c r="C40" s="218" t="s">
        <v>877</v>
      </c>
      <c r="D40" s="254"/>
      <c r="E40" s="254"/>
      <c r="F40" s="154"/>
      <c r="G40" s="154"/>
      <c r="H40" s="205"/>
      <c r="I40" s="206"/>
      <c r="J40" s="239"/>
      <c r="K40" s="240"/>
    </row>
    <row r="41" spans="2:12" x14ac:dyDescent="0.3">
      <c r="B41" s="248"/>
      <c r="C41" s="218" t="s">
        <v>878</v>
      </c>
      <c r="D41" s="254"/>
      <c r="E41" s="254"/>
      <c r="F41" s="154"/>
      <c r="G41" s="154"/>
      <c r="H41" s="205"/>
      <c r="I41" s="206"/>
      <c r="J41" s="239"/>
      <c r="K41" s="240"/>
    </row>
    <row r="42" spans="2:12" x14ac:dyDescent="0.3">
      <c r="B42" s="336"/>
      <c r="C42" s="218" t="s">
        <v>879</v>
      </c>
      <c r="D42" s="254"/>
      <c r="E42" s="254"/>
      <c r="F42" s="154"/>
      <c r="G42" s="154"/>
      <c r="H42" s="205"/>
      <c r="I42" s="206"/>
      <c r="J42" s="239"/>
      <c r="K42" s="240"/>
    </row>
    <row r="43" spans="2:12" s="156" customFormat="1" ht="34.950000000000003" customHeight="1" x14ac:dyDescent="0.3">
      <c r="B43" s="337"/>
      <c r="C43" s="338"/>
      <c r="D43" s="322" t="s">
        <v>29</v>
      </c>
      <c r="E43" s="322"/>
      <c r="F43" s="217" t="s">
        <v>30</v>
      </c>
      <c r="G43" s="159" t="s">
        <v>163</v>
      </c>
      <c r="H43" s="158" t="s">
        <v>911</v>
      </c>
      <c r="I43" s="158" t="s">
        <v>910</v>
      </c>
      <c r="J43" s="263" t="s">
        <v>39</v>
      </c>
      <c r="K43" s="264"/>
      <c r="L43" s="157"/>
    </row>
    <row r="44" spans="2:12" x14ac:dyDescent="0.3">
      <c r="B44" s="247" t="s">
        <v>952</v>
      </c>
      <c r="C44" s="218" t="s">
        <v>880</v>
      </c>
      <c r="D44" s="254"/>
      <c r="E44" s="254"/>
      <c r="F44" s="154"/>
      <c r="G44" s="143"/>
      <c r="H44" s="205"/>
      <c r="I44" s="201"/>
      <c r="J44" s="239"/>
      <c r="K44" s="240"/>
    </row>
    <row r="45" spans="2:12" x14ac:dyDescent="0.3">
      <c r="B45" s="248"/>
      <c r="C45" s="218" t="s">
        <v>881</v>
      </c>
      <c r="D45" s="254"/>
      <c r="E45" s="254"/>
      <c r="F45" s="154"/>
      <c r="G45" s="154"/>
      <c r="H45" s="205"/>
      <c r="I45" s="201"/>
      <c r="J45" s="239"/>
      <c r="K45" s="240"/>
    </row>
    <row r="46" spans="2:12" ht="14.4" customHeight="1" x14ac:dyDescent="0.3">
      <c r="B46" s="248"/>
      <c r="C46" s="218" t="s">
        <v>882</v>
      </c>
      <c r="D46" s="254"/>
      <c r="E46" s="254"/>
      <c r="F46" s="154"/>
      <c r="G46" s="44"/>
      <c r="H46" s="205"/>
      <c r="I46" s="201"/>
      <c r="J46" s="239"/>
      <c r="K46" s="240"/>
    </row>
    <row r="47" spans="2:12" x14ac:dyDescent="0.3">
      <c r="B47" s="248"/>
      <c r="C47" s="218" t="s">
        <v>883</v>
      </c>
      <c r="D47" s="254"/>
      <c r="E47" s="254"/>
      <c r="F47" s="154"/>
      <c r="G47" s="154"/>
      <c r="H47" s="205"/>
      <c r="I47" s="201"/>
      <c r="J47" s="239"/>
      <c r="K47" s="240"/>
    </row>
    <row r="48" spans="2:12" ht="15" thickBot="1" x14ac:dyDescent="0.35">
      <c r="B48" s="249"/>
      <c r="C48" s="161" t="s">
        <v>884</v>
      </c>
      <c r="D48" s="255"/>
      <c r="E48" s="255"/>
      <c r="F48" s="155"/>
      <c r="G48" s="155"/>
      <c r="H48" s="207"/>
      <c r="I48" s="202"/>
      <c r="J48" s="241"/>
      <c r="K48" s="242"/>
    </row>
    <row r="49" spans="2:11" ht="64.95" customHeight="1" thickBot="1" x14ac:dyDescent="0.35">
      <c r="B49" s="233" t="s">
        <v>929</v>
      </c>
      <c r="C49" s="234"/>
      <c r="D49" s="234"/>
      <c r="E49" s="234"/>
      <c r="F49" s="234"/>
      <c r="G49" s="234"/>
      <c r="H49" s="234"/>
      <c r="I49" s="234"/>
      <c r="J49" s="234"/>
      <c r="K49" s="235"/>
    </row>
    <row r="50" spans="2:11" ht="15" thickBot="1" x14ac:dyDescent="0.35">
      <c r="B50" s="7"/>
      <c r="C50" s="47"/>
      <c r="D50" s="47"/>
      <c r="E50" s="48"/>
      <c r="F50" s="48"/>
      <c r="G50" s="48"/>
      <c r="H50" s="48"/>
      <c r="I50" s="48"/>
      <c r="J50" s="47"/>
      <c r="K50" s="8"/>
    </row>
    <row r="51" spans="2:11" ht="15" thickBot="1" x14ac:dyDescent="0.35">
      <c r="B51" s="236" t="s">
        <v>907</v>
      </c>
      <c r="C51" s="237"/>
      <c r="D51" s="237"/>
      <c r="E51" s="237"/>
      <c r="F51" s="237"/>
      <c r="G51" s="237"/>
      <c r="H51" s="237"/>
      <c r="I51" s="237"/>
      <c r="J51" s="237"/>
      <c r="K51" s="238"/>
    </row>
    <row r="52" spans="2:11" ht="24" customHeight="1" x14ac:dyDescent="0.3">
      <c r="B52" s="252"/>
      <c r="C52" s="253"/>
      <c r="D52" s="256" t="s">
        <v>29</v>
      </c>
      <c r="E52" s="257"/>
      <c r="F52" s="144" t="s">
        <v>144</v>
      </c>
      <c r="G52" s="144" t="s">
        <v>912</v>
      </c>
      <c r="H52" s="144" t="s">
        <v>913</v>
      </c>
      <c r="I52" s="265" t="s">
        <v>39</v>
      </c>
      <c r="J52" s="265"/>
      <c r="K52" s="266"/>
    </row>
    <row r="53" spans="2:11" ht="12" customHeight="1" x14ac:dyDescent="0.3">
      <c r="B53" s="252"/>
      <c r="C53" s="253"/>
      <c r="D53" s="258" t="s">
        <v>833</v>
      </c>
      <c r="E53" s="258"/>
      <c r="F53" s="152" t="s">
        <v>834</v>
      </c>
      <c r="G53" s="152" t="s">
        <v>835</v>
      </c>
      <c r="H53" s="152" t="s">
        <v>836</v>
      </c>
      <c r="I53" s="267" t="s">
        <v>837</v>
      </c>
      <c r="J53" s="268"/>
      <c r="K53" s="269"/>
    </row>
    <row r="54" spans="2:11" x14ac:dyDescent="0.3">
      <c r="B54" s="250" t="s">
        <v>930</v>
      </c>
      <c r="C54" s="183" t="s">
        <v>885</v>
      </c>
      <c r="D54" s="243"/>
      <c r="E54" s="244"/>
      <c r="F54" s="201"/>
      <c r="G54" s="208"/>
      <c r="H54" s="209"/>
      <c r="I54" s="239" t="s">
        <v>784</v>
      </c>
      <c r="J54" s="239"/>
      <c r="K54" s="240"/>
    </row>
    <row r="55" spans="2:11" x14ac:dyDescent="0.3">
      <c r="B55" s="250"/>
      <c r="C55" s="183" t="s">
        <v>886</v>
      </c>
      <c r="D55" s="243"/>
      <c r="E55" s="244"/>
      <c r="F55" s="201"/>
      <c r="G55" s="208"/>
      <c r="H55" s="209"/>
      <c r="I55" s="239" t="s">
        <v>784</v>
      </c>
      <c r="J55" s="239"/>
      <c r="K55" s="240"/>
    </row>
    <row r="56" spans="2:11" x14ac:dyDescent="0.3">
      <c r="B56" s="250"/>
      <c r="C56" s="183" t="s">
        <v>887</v>
      </c>
      <c r="D56" s="243"/>
      <c r="E56" s="244"/>
      <c r="F56" s="201"/>
      <c r="G56" s="208"/>
      <c r="H56" s="209"/>
      <c r="I56" s="239" t="s">
        <v>784</v>
      </c>
      <c r="J56" s="239"/>
      <c r="K56" s="240"/>
    </row>
    <row r="57" spans="2:11" x14ac:dyDescent="0.3">
      <c r="B57" s="250"/>
      <c r="C57" s="183" t="s">
        <v>888</v>
      </c>
      <c r="D57" s="243"/>
      <c r="E57" s="244"/>
      <c r="F57" s="201"/>
      <c r="G57" s="208"/>
      <c r="H57" s="209"/>
      <c r="I57" s="239" t="s">
        <v>784</v>
      </c>
      <c r="J57" s="239"/>
      <c r="K57" s="240"/>
    </row>
    <row r="58" spans="2:11" ht="15" thickBot="1" x14ac:dyDescent="0.35">
      <c r="B58" s="251"/>
      <c r="C58" s="161" t="s">
        <v>889</v>
      </c>
      <c r="D58" s="245"/>
      <c r="E58" s="246"/>
      <c r="F58" s="202"/>
      <c r="G58" s="210"/>
      <c r="H58" s="211"/>
      <c r="I58" s="241" t="s">
        <v>784</v>
      </c>
      <c r="J58" s="241"/>
      <c r="K58" s="242"/>
    </row>
    <row r="59" spans="2:11" ht="51.6" customHeight="1" thickBot="1" x14ac:dyDescent="0.35">
      <c r="B59" s="233" t="s">
        <v>914</v>
      </c>
      <c r="C59" s="234"/>
      <c r="D59" s="234"/>
      <c r="E59" s="234"/>
      <c r="F59" s="234"/>
      <c r="G59" s="234"/>
      <c r="H59" s="234"/>
      <c r="I59" s="234"/>
      <c r="J59" s="234"/>
      <c r="K59" s="235"/>
    </row>
    <row r="60" spans="2:11" ht="19.5" customHeight="1" x14ac:dyDescent="0.3"/>
    <row r="75" ht="54.6" hidden="1" customHeight="1" x14ac:dyDescent="0.3"/>
    <row r="80" ht="24.6" hidden="1" customHeight="1" x14ac:dyDescent="0.3"/>
    <row r="81" ht="28.2" hidden="1" customHeight="1" x14ac:dyDescent="0.3"/>
  </sheetData>
  <mergeCells count="107">
    <mergeCell ref="D37:E37"/>
    <mergeCell ref="D36:E36"/>
    <mergeCell ref="D38:E38"/>
    <mergeCell ref="D39:E39"/>
    <mergeCell ref="D40:E40"/>
    <mergeCell ref="D41:E41"/>
    <mergeCell ref="D42:E42"/>
    <mergeCell ref="D43:E43"/>
    <mergeCell ref="D5:H5"/>
    <mergeCell ref="B9:G10"/>
    <mergeCell ref="B22:B26"/>
    <mergeCell ref="B20:C21"/>
    <mergeCell ref="B38:B42"/>
    <mergeCell ref="B36:C37"/>
    <mergeCell ref="B43:C43"/>
    <mergeCell ref="D29:E29"/>
    <mergeCell ref="D30:E30"/>
    <mergeCell ref="D31:E31"/>
    <mergeCell ref="D32:E32"/>
    <mergeCell ref="I5:K5"/>
    <mergeCell ref="I10:K10"/>
    <mergeCell ref="B11:F11"/>
    <mergeCell ref="B12:F12"/>
    <mergeCell ref="B13:F13"/>
    <mergeCell ref="B14:F14"/>
    <mergeCell ref="B15:F15"/>
    <mergeCell ref="B16:F16"/>
    <mergeCell ref="J29:K29"/>
    <mergeCell ref="B4:C5"/>
    <mergeCell ref="D20:E20"/>
    <mergeCell ref="D21:E21"/>
    <mergeCell ref="D22:E22"/>
    <mergeCell ref="D23:E23"/>
    <mergeCell ref="D24:E24"/>
    <mergeCell ref="D25:E25"/>
    <mergeCell ref="D26:E26"/>
    <mergeCell ref="D27:E27"/>
    <mergeCell ref="D28:E28"/>
    <mergeCell ref="I16:K16"/>
    <mergeCell ref="J24:K24"/>
    <mergeCell ref="J25:K25"/>
    <mergeCell ref="J26:K26"/>
    <mergeCell ref="J27:K27"/>
    <mergeCell ref="B1:K1"/>
    <mergeCell ref="B35:K35"/>
    <mergeCell ref="B8:K8"/>
    <mergeCell ref="B17:K17"/>
    <mergeCell ref="B3:K3"/>
    <mergeCell ref="D4:H4"/>
    <mergeCell ref="D6:H6"/>
    <mergeCell ref="I4:K4"/>
    <mergeCell ref="I6:K6"/>
    <mergeCell ref="I9:K9"/>
    <mergeCell ref="I11:K11"/>
    <mergeCell ref="B33:K33"/>
    <mergeCell ref="B27:B32"/>
    <mergeCell ref="B19:K19"/>
    <mergeCell ref="J20:K20"/>
    <mergeCell ref="J21:K21"/>
    <mergeCell ref="J22:K22"/>
    <mergeCell ref="J23:K23"/>
    <mergeCell ref="I12:K12"/>
    <mergeCell ref="I13:K13"/>
    <mergeCell ref="I14:K14"/>
    <mergeCell ref="I15:K15"/>
    <mergeCell ref="J30:K30"/>
    <mergeCell ref="J31:K31"/>
    <mergeCell ref="J28:K28"/>
    <mergeCell ref="J36:K36"/>
    <mergeCell ref="J38:K38"/>
    <mergeCell ref="J39:K39"/>
    <mergeCell ref="J32:K32"/>
    <mergeCell ref="J37:K37"/>
    <mergeCell ref="I55:K55"/>
    <mergeCell ref="I56:K56"/>
    <mergeCell ref="I57:K57"/>
    <mergeCell ref="J40:K40"/>
    <mergeCell ref="J41:K41"/>
    <mergeCell ref="J42:K42"/>
    <mergeCell ref="J43:K43"/>
    <mergeCell ref="J44:K44"/>
    <mergeCell ref="J45:K45"/>
    <mergeCell ref="I52:K52"/>
    <mergeCell ref="I54:K54"/>
    <mergeCell ref="I53:K53"/>
    <mergeCell ref="B59:K59"/>
    <mergeCell ref="B51:K51"/>
    <mergeCell ref="B49:K49"/>
    <mergeCell ref="J46:K46"/>
    <mergeCell ref="J47:K47"/>
    <mergeCell ref="J48:K48"/>
    <mergeCell ref="D55:E55"/>
    <mergeCell ref="D56:E56"/>
    <mergeCell ref="D57:E57"/>
    <mergeCell ref="D58:E58"/>
    <mergeCell ref="B44:B48"/>
    <mergeCell ref="B54:B58"/>
    <mergeCell ref="B52:C53"/>
    <mergeCell ref="D44:E44"/>
    <mergeCell ref="D45:E45"/>
    <mergeCell ref="D46:E46"/>
    <mergeCell ref="D47:E47"/>
    <mergeCell ref="D48:E48"/>
    <mergeCell ref="D52:E52"/>
    <mergeCell ref="D53:E53"/>
    <mergeCell ref="D54:E54"/>
    <mergeCell ref="I58:K58"/>
  </mergeCells>
  <phoneticPr fontId="4" type="noConversion"/>
  <conditionalFormatting sqref="H44">
    <cfRule type="expression" dxfId="4" priority="43">
      <formula>#REF!="Other (please specify)"</formula>
    </cfRule>
  </conditionalFormatting>
  <conditionalFormatting sqref="H45">
    <cfRule type="expression" dxfId="3" priority="44">
      <formula>#REF!="Other (please specify)"</formula>
    </cfRule>
  </conditionalFormatting>
  <conditionalFormatting sqref="H46">
    <cfRule type="expression" dxfId="2" priority="45">
      <formula>#REF!="Other (please specify)"</formula>
    </cfRule>
  </conditionalFormatting>
  <conditionalFormatting sqref="H47">
    <cfRule type="expression" dxfId="1" priority="46">
      <formula>#REF!="Other (please specify)"</formula>
    </cfRule>
  </conditionalFormatting>
  <conditionalFormatting sqref="H48">
    <cfRule type="expression" dxfId="0" priority="47">
      <formula>#REF!="Other (please specify)"</formula>
    </cfRule>
  </conditionalFormatting>
  <dataValidations count="8">
    <dataValidation type="decimal" operator="greaterThanOrEqual" allowBlank="1" showInputMessage="1" showErrorMessage="1" errorTitle="Incorrect data entered" error="A positive number must be entered" sqref="D54:D58 E50:I50" xr:uid="{A8EF2DF7-6F8C-439B-87B2-C5AFBDDD621E}">
      <formula1>0</formula1>
    </dataValidation>
    <dataValidation type="decimal" allowBlank="1" showInputMessage="1" showErrorMessage="1" error="The inserted value shall be between 0 ≤ X ≤ 1 formatted as percentage with 2 decimal places." sqref="H11:H13 H16" xr:uid="{C7AC9216-996D-4876-A824-23D367810D2E}">
      <formula1>0</formula1>
      <formula2>1</formula2>
    </dataValidation>
    <dataValidation type="whole" operator="greaterThanOrEqual" allowBlank="1" showInputMessage="1" showErrorMessage="1" error="The inserted value shall be numeric and non-negative, shall not contain decimals or use separators." sqref="H14 H15" xr:uid="{2664B08B-F3E5-447E-A72C-A639AF5E0904}">
      <formula1>0</formula1>
    </dataValidation>
    <dataValidation type="whole" allowBlank="1" showInputMessage="1" showErrorMessage="1" errorTitle="Incorrect data entered" error="A YYYY format shall be used." sqref="H28:H32 H23:H26 H22" xr:uid="{9D728A7D-704B-47FE-B410-FFE24D9AAA66}">
      <formula1>1900</formula1>
      <formula2>2100</formula2>
    </dataValidation>
    <dataValidation type="whole" operator="greaterThanOrEqual" allowBlank="1" showInputMessage="1" showErrorMessage="1" errorTitle="Incorrect data entered" error="The inserted value shall be numeric and non-negative, shall not contain decimals or use separators." sqref="F38 F44:F48 G54 H54:H58 G55:G58 F54:F58 F40:F42 F39" xr:uid="{CDDD321B-D2B8-41F6-B8DD-E7FAF536206C}">
      <formula1>0</formula1>
    </dataValidation>
    <dataValidation type="custom" allowBlank="1" showInputMessage="1" showErrorMessage="1" error="The inserted value shall be numeric and shall not contain decimals or use separators." sqref="F22 F23 F24 F25 F26 F28 F29 F30 F31 F32 G22 G23 G24 G25 G26 G28 G29 G30 G31 G32" xr:uid="{2C1E2703-B040-4BE1-9064-9C95E76C9DC3}">
      <formula1>ISNUMBER(F22)</formula1>
    </dataValidation>
    <dataValidation type="custom" operator="greaterThanOrEqual" allowBlank="1" showInputMessage="1" showErrorMessage="1" errorTitle="Incorrect data entered" error="The inserted value shall be numeric and shall not contain decimals or use separators." sqref="H38 H40 H41 H42 H44 H45 H46 H47 H48 I38 I39 I40 I41 I42 I44 I45 I48 I47 I46" xr:uid="{E31E8EA2-A52F-4EF0-B234-AF829FA775B7}">
      <formula1>ISNUMBER(H38)</formula1>
    </dataValidation>
    <dataValidation type="custom" operator="greaterThanOrEqual" allowBlank="1" showInputMessage="1" showErrorMessage="1" errorTitle="Incorrect data entered" error="The inserted value shall be numeric and non-negative, shall not contain decimals or use separators." sqref="H39" xr:uid="{7AFB805B-87CA-48C9-83E3-03780C34FE5C}">
      <formula1>ISNUMBER(H39)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804CB7E-3E99-42D3-8579-A0902F5052CB}">
          <x14:formula1>
            <xm:f>List!$A$3:$A$7</xm:f>
          </x14:formula1>
          <xm:sqref>D6</xm:sqref>
        </x14:dataValidation>
        <x14:dataValidation type="list" allowBlank="1" showInputMessage="1" showErrorMessage="1" xr:uid="{D0C799CD-06E5-4A88-AD54-A6AFC9CC1E41}">
          <x14:formula1>
            <xm:f>List!$D$18:$D$27</xm:f>
          </x14:formula1>
          <xm:sqref>G38:G42</xm:sqref>
        </x14:dataValidation>
        <x14:dataValidation type="list" allowBlank="1" showInputMessage="1" showErrorMessage="1" xr:uid="{10E358BC-8571-4F3E-8B86-DF9C23CB7279}">
          <x14:formula1>
            <xm:f>List!$M$34:$M$38</xm:f>
          </x14:formula1>
          <xm:sqref>I28:I32 I22:I26</xm:sqref>
        </x14:dataValidation>
        <x14:dataValidation type="list" allowBlank="1" showInputMessage="1" showErrorMessage="1" xr:uid="{1CC09A80-87AF-43F8-8D4A-2A16CD2D9DD3}">
          <x14:formula1>
            <xm:f>List!$C$35:$C$43</xm:f>
          </x14:formula1>
          <xm:sqref>G44:G48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D02B-7E22-41C7-ACE5-D06B178FE68D}">
  <sheetPr>
    <tabColor theme="3"/>
  </sheetPr>
  <dimension ref="A1:S77"/>
  <sheetViews>
    <sheetView showGridLines="0" zoomScaleNormal="100" workbookViewId="0">
      <selection activeCell="E9" sqref="E9:G9"/>
    </sheetView>
  </sheetViews>
  <sheetFormatPr defaultColWidth="0" defaultRowHeight="14.4" zeroHeight="1" x14ac:dyDescent="0.3"/>
  <cols>
    <col min="1" max="1" width="3.33203125" customWidth="1"/>
    <col min="2" max="2" width="38.6640625" customWidth="1"/>
    <col min="3" max="3" width="4.5546875" style="132" customWidth="1"/>
    <col min="4" max="17" width="18.6640625" customWidth="1"/>
    <col min="18" max="18" width="32.33203125" bestFit="1" customWidth="1"/>
    <col min="19" max="19" width="3.5546875" customWidth="1"/>
    <col min="20" max="16384" width="8.6640625" hidden="1"/>
  </cols>
  <sheetData>
    <row r="1" spans="2:19" ht="21.6" thickBot="1" x14ac:dyDescent="0.35">
      <c r="B1" s="270" t="s">
        <v>862</v>
      </c>
      <c r="C1" s="271"/>
      <c r="D1" s="271"/>
      <c r="E1" s="271"/>
      <c r="F1" s="271"/>
      <c r="G1" s="271"/>
      <c r="H1" s="271"/>
      <c r="I1" s="271"/>
      <c r="J1" s="271"/>
      <c r="K1" s="271"/>
      <c r="L1" s="271"/>
      <c r="M1" s="271"/>
      <c r="N1" s="271"/>
      <c r="O1" s="271"/>
      <c r="P1" s="271"/>
      <c r="Q1" s="271"/>
      <c r="R1" s="272"/>
    </row>
    <row r="2" spans="2:19" s="43" customFormat="1" ht="13.35" customHeight="1" thickBot="1" x14ac:dyDescent="0.3">
      <c r="C2" s="128"/>
    </row>
    <row r="3" spans="2:19" s="43" customFormat="1" ht="15" thickBot="1" x14ac:dyDescent="0.3">
      <c r="B3" s="401" t="s">
        <v>861</v>
      </c>
      <c r="C3" s="402"/>
      <c r="D3" s="402"/>
      <c r="E3" s="402"/>
      <c r="F3" s="402"/>
      <c r="G3" s="402"/>
      <c r="H3" s="402"/>
      <c r="I3" s="402"/>
      <c r="J3" s="402"/>
      <c r="K3" s="402"/>
      <c r="L3" s="403"/>
    </row>
    <row r="4" spans="2:19" s="43" customFormat="1" ht="24" customHeight="1" x14ac:dyDescent="0.25">
      <c r="B4" s="399"/>
      <c r="C4" s="400"/>
      <c r="D4" s="117" t="s">
        <v>166</v>
      </c>
      <c r="E4" s="407" t="s">
        <v>783</v>
      </c>
      <c r="F4" s="408"/>
      <c r="G4" s="409"/>
      <c r="H4" s="115" t="s">
        <v>160</v>
      </c>
      <c r="I4" s="142" t="s">
        <v>915</v>
      </c>
      <c r="J4" s="142" t="s">
        <v>913</v>
      </c>
      <c r="K4" s="368" t="s">
        <v>39</v>
      </c>
      <c r="L4" s="369"/>
    </row>
    <row r="5" spans="2:19" s="43" customFormat="1" ht="12" customHeight="1" x14ac:dyDescent="0.25">
      <c r="B5" s="366" t="s">
        <v>812</v>
      </c>
      <c r="C5" s="109"/>
      <c r="D5" s="194"/>
      <c r="E5" s="323" t="s">
        <v>833</v>
      </c>
      <c r="F5" s="410"/>
      <c r="G5" s="411"/>
      <c r="H5" s="184" t="s">
        <v>834</v>
      </c>
      <c r="I5" s="149" t="s">
        <v>835</v>
      </c>
      <c r="J5" s="149" t="s">
        <v>836</v>
      </c>
      <c r="K5" s="370" t="s">
        <v>837</v>
      </c>
      <c r="L5" s="371"/>
    </row>
    <row r="6" spans="2:19" s="43" customFormat="1" ht="13.35" customHeight="1" x14ac:dyDescent="0.25">
      <c r="B6" s="366"/>
      <c r="C6" s="109" t="s">
        <v>833</v>
      </c>
      <c r="D6" s="80" t="s">
        <v>175</v>
      </c>
      <c r="E6" s="404"/>
      <c r="F6" s="405"/>
      <c r="G6" s="406"/>
      <c r="H6" s="116"/>
      <c r="I6" s="82"/>
      <c r="J6" s="82"/>
      <c r="K6" s="372"/>
      <c r="L6" s="373"/>
    </row>
    <row r="7" spans="2:19" s="43" customFormat="1" ht="13.35" customHeight="1" x14ac:dyDescent="0.25">
      <c r="B7" s="366"/>
      <c r="C7" s="109" t="s">
        <v>834</v>
      </c>
      <c r="D7" s="81" t="s">
        <v>176</v>
      </c>
      <c r="E7" s="404"/>
      <c r="F7" s="405"/>
      <c r="G7" s="406"/>
      <c r="H7" s="116"/>
      <c r="I7" s="82"/>
      <c r="J7" s="82"/>
      <c r="K7" s="372"/>
      <c r="L7" s="373"/>
    </row>
    <row r="8" spans="2:19" s="43" customFormat="1" ht="13.35" customHeight="1" x14ac:dyDescent="0.25">
      <c r="B8" s="366"/>
      <c r="C8" s="109" t="s">
        <v>835</v>
      </c>
      <c r="D8" s="81" t="s">
        <v>177</v>
      </c>
      <c r="E8" s="404"/>
      <c r="F8" s="405"/>
      <c r="G8" s="406"/>
      <c r="H8" s="116"/>
      <c r="I8" s="82"/>
      <c r="J8" s="82"/>
      <c r="K8" s="372"/>
      <c r="L8" s="373"/>
    </row>
    <row r="9" spans="2:19" s="43" customFormat="1" ht="24" x14ac:dyDescent="0.25">
      <c r="B9" s="366" t="s">
        <v>815</v>
      </c>
      <c r="C9" s="109"/>
      <c r="D9" s="79" t="s">
        <v>166</v>
      </c>
      <c r="E9" s="374" t="s">
        <v>783</v>
      </c>
      <c r="F9" s="375"/>
      <c r="G9" s="376"/>
      <c r="H9" s="137" t="s">
        <v>163</v>
      </c>
      <c r="I9" s="136" t="s">
        <v>916</v>
      </c>
      <c r="J9" s="136" t="s">
        <v>917</v>
      </c>
      <c r="K9" s="263" t="s">
        <v>39</v>
      </c>
      <c r="L9" s="264"/>
    </row>
    <row r="10" spans="2:19" s="43" customFormat="1" ht="13.35" customHeight="1" x14ac:dyDescent="0.25">
      <c r="B10" s="366"/>
      <c r="C10" s="109" t="s">
        <v>836</v>
      </c>
      <c r="D10" s="80" t="s">
        <v>178</v>
      </c>
      <c r="E10" s="404"/>
      <c r="F10" s="405"/>
      <c r="G10" s="406"/>
      <c r="H10" s="116"/>
      <c r="I10" s="45"/>
      <c r="J10" s="45"/>
      <c r="K10" s="239"/>
      <c r="L10" s="240"/>
    </row>
    <row r="11" spans="2:19" s="43" customFormat="1" ht="13.35" customHeight="1" x14ac:dyDescent="0.25">
      <c r="B11" s="366"/>
      <c r="C11" s="109" t="s">
        <v>837</v>
      </c>
      <c r="D11" s="80" t="s">
        <v>179</v>
      </c>
      <c r="E11" s="404"/>
      <c r="F11" s="405"/>
      <c r="G11" s="406"/>
      <c r="H11" s="116"/>
      <c r="I11" s="45"/>
      <c r="J11" s="45"/>
      <c r="K11" s="239"/>
      <c r="L11" s="240"/>
    </row>
    <row r="12" spans="2:19" s="43" customFormat="1" ht="13.35" customHeight="1" thickBot="1" x14ac:dyDescent="0.3">
      <c r="B12" s="367"/>
      <c r="C12" s="125" t="s">
        <v>838</v>
      </c>
      <c r="D12" s="181" t="s">
        <v>180</v>
      </c>
      <c r="E12" s="412" t="s">
        <v>934</v>
      </c>
      <c r="F12" s="413"/>
      <c r="G12" s="414"/>
      <c r="H12" s="182"/>
      <c r="I12" s="46"/>
      <c r="J12" s="46"/>
      <c r="K12" s="241"/>
      <c r="L12" s="242"/>
    </row>
    <row r="13" spans="2:19" s="43" customFormat="1" ht="57.6" customHeight="1" thickBot="1" x14ac:dyDescent="0.3">
      <c r="B13" s="233" t="s">
        <v>918</v>
      </c>
      <c r="C13" s="234"/>
      <c r="D13" s="234"/>
      <c r="E13" s="234"/>
      <c r="F13" s="234"/>
      <c r="G13" s="234"/>
      <c r="H13" s="234"/>
      <c r="I13" s="234"/>
      <c r="J13" s="234"/>
      <c r="K13" s="234"/>
      <c r="L13" s="235"/>
    </row>
    <row r="14" spans="2:19" s="43" customFormat="1" ht="13.35" customHeight="1" thickBot="1" x14ac:dyDescent="0.3">
      <c r="C14" s="128"/>
    </row>
    <row r="15" spans="2:19" s="43" customFormat="1" ht="15" customHeight="1" thickBot="1" x14ac:dyDescent="0.35">
      <c r="B15" s="352" t="s">
        <v>863</v>
      </c>
      <c r="C15" s="353"/>
      <c r="D15" s="353"/>
      <c r="E15" s="353"/>
      <c r="F15" s="353"/>
      <c r="G15" s="353"/>
      <c r="H15" s="353"/>
      <c r="I15" s="353"/>
      <c r="J15" s="353"/>
      <c r="K15" s="353"/>
      <c r="L15" s="353"/>
      <c r="M15" s="353"/>
      <c r="N15" s="353"/>
      <c r="O15" s="353"/>
      <c r="P15" s="353"/>
      <c r="Q15" s="353"/>
      <c r="R15" s="354"/>
      <c r="S15"/>
    </row>
    <row r="16" spans="2:19" s="43" customFormat="1" ht="12" customHeight="1" x14ac:dyDescent="0.3">
      <c r="B16" s="356"/>
      <c r="C16" s="397"/>
      <c r="D16" s="160" t="s">
        <v>833</v>
      </c>
      <c r="E16" s="160" t="s">
        <v>834</v>
      </c>
      <c r="F16" s="160" t="s">
        <v>835</v>
      </c>
      <c r="G16" s="160" t="s">
        <v>836</v>
      </c>
      <c r="H16" s="160" t="s">
        <v>837</v>
      </c>
      <c r="I16" s="160" t="s">
        <v>838</v>
      </c>
      <c r="J16" s="160" t="s">
        <v>839</v>
      </c>
      <c r="K16" s="160" t="s">
        <v>841</v>
      </c>
      <c r="L16" s="160" t="s">
        <v>842</v>
      </c>
      <c r="M16" s="160" t="s">
        <v>843</v>
      </c>
      <c r="N16" s="160" t="s">
        <v>844</v>
      </c>
      <c r="O16" s="160" t="s">
        <v>845</v>
      </c>
      <c r="P16" s="160" t="s">
        <v>846</v>
      </c>
      <c r="Q16" s="160" t="s">
        <v>871</v>
      </c>
      <c r="R16" s="179" t="s">
        <v>872</v>
      </c>
      <c r="S16"/>
    </row>
    <row r="17" spans="1:19" s="43" customFormat="1" x14ac:dyDescent="0.3">
      <c r="B17" s="358"/>
      <c r="C17" s="398"/>
      <c r="D17" s="322" t="s">
        <v>181</v>
      </c>
      <c r="E17" s="322"/>
      <c r="F17" s="322" t="s">
        <v>182</v>
      </c>
      <c r="G17" s="322"/>
      <c r="H17" s="322" t="s">
        <v>183</v>
      </c>
      <c r="I17" s="322"/>
      <c r="J17" s="322" t="s">
        <v>184</v>
      </c>
      <c r="K17" s="322"/>
      <c r="L17" s="322" t="s">
        <v>185</v>
      </c>
      <c r="M17" s="322"/>
      <c r="N17" s="322" t="s">
        <v>186</v>
      </c>
      <c r="O17" s="322"/>
      <c r="P17" s="322" t="s">
        <v>187</v>
      </c>
      <c r="Q17" s="322"/>
      <c r="R17" s="180"/>
      <c r="S17"/>
    </row>
    <row r="18" spans="1:19" s="43" customFormat="1" x14ac:dyDescent="0.3">
      <c r="B18" s="415" t="s">
        <v>804</v>
      </c>
      <c r="C18" s="376"/>
      <c r="D18" s="136" t="s">
        <v>141</v>
      </c>
      <c r="E18" s="142" t="s">
        <v>853</v>
      </c>
      <c r="F18" s="136" t="s">
        <v>141</v>
      </c>
      <c r="G18" s="142" t="s">
        <v>853</v>
      </c>
      <c r="H18" s="136" t="s">
        <v>141</v>
      </c>
      <c r="I18" s="142" t="s">
        <v>853</v>
      </c>
      <c r="J18" s="136" t="s">
        <v>141</v>
      </c>
      <c r="K18" s="142" t="s">
        <v>853</v>
      </c>
      <c r="L18" s="136" t="s">
        <v>141</v>
      </c>
      <c r="M18" s="142" t="s">
        <v>853</v>
      </c>
      <c r="N18" s="136" t="s">
        <v>141</v>
      </c>
      <c r="O18" s="142" t="s">
        <v>853</v>
      </c>
      <c r="P18" s="136" t="s">
        <v>141</v>
      </c>
      <c r="Q18" s="142" t="s">
        <v>853</v>
      </c>
      <c r="R18" s="51" t="s">
        <v>39</v>
      </c>
      <c r="S18"/>
    </row>
    <row r="19" spans="1:19" s="43" customFormat="1" x14ac:dyDescent="0.3">
      <c r="B19" s="84" t="s">
        <v>785</v>
      </c>
      <c r="C19" s="109" t="s">
        <v>839</v>
      </c>
      <c r="D19" s="203"/>
      <c r="E19" s="203"/>
      <c r="F19" s="214"/>
      <c r="G19" s="214"/>
      <c r="H19" s="214"/>
      <c r="I19" s="214"/>
      <c r="J19" s="214"/>
      <c r="K19" s="214"/>
      <c r="L19" s="214"/>
      <c r="M19" s="214"/>
      <c r="N19" s="214"/>
      <c r="O19" s="214"/>
      <c r="P19" s="214"/>
      <c r="Q19" s="214"/>
      <c r="R19" s="52"/>
      <c r="S19"/>
    </row>
    <row r="20" spans="1:19" s="43" customFormat="1" x14ac:dyDescent="0.3">
      <c r="B20" s="86"/>
      <c r="C20" s="129"/>
      <c r="D20" s="54"/>
      <c r="E20" s="54"/>
      <c r="F20" s="54"/>
      <c r="G20" s="54"/>
      <c r="H20" s="54"/>
      <c r="I20" s="54"/>
      <c r="J20" s="54"/>
      <c r="K20" s="54"/>
      <c r="L20" s="54"/>
      <c r="M20" s="54"/>
      <c r="N20" s="54"/>
      <c r="O20" s="54"/>
      <c r="P20" s="54"/>
      <c r="Q20" s="54"/>
      <c r="R20" s="57"/>
      <c r="S20"/>
    </row>
    <row r="21" spans="1:19" s="43" customFormat="1" x14ac:dyDescent="0.3">
      <c r="B21" s="415" t="s">
        <v>805</v>
      </c>
      <c r="C21" s="376"/>
      <c r="D21" s="136" t="s">
        <v>141</v>
      </c>
      <c r="E21" s="136" t="s">
        <v>853</v>
      </c>
      <c r="F21" s="380" t="s">
        <v>39</v>
      </c>
      <c r="G21" s="380"/>
      <c r="H21" s="54"/>
      <c r="I21" s="54"/>
      <c r="J21" s="54"/>
      <c r="K21" s="54"/>
      <c r="L21" s="54"/>
      <c r="M21" s="54"/>
      <c r="N21" s="54"/>
      <c r="O21" s="54"/>
      <c r="P21" s="54"/>
      <c r="Q21" s="54"/>
      <c r="R21" s="57"/>
      <c r="S21"/>
    </row>
    <row r="22" spans="1:19" s="43" customFormat="1" x14ac:dyDescent="0.3">
      <c r="B22" s="84" t="s">
        <v>164</v>
      </c>
      <c r="C22" s="109" t="s">
        <v>841</v>
      </c>
      <c r="D22" s="203"/>
      <c r="E22" s="214"/>
      <c r="F22" s="426"/>
      <c r="G22" s="426"/>
      <c r="H22" s="55"/>
      <c r="I22" s="55"/>
      <c r="J22" s="55"/>
      <c r="K22" s="55"/>
      <c r="L22" s="55"/>
      <c r="M22" s="55"/>
      <c r="N22" s="55"/>
      <c r="O22" s="55"/>
      <c r="P22" s="55"/>
      <c r="Q22" s="55"/>
      <c r="R22" s="58"/>
      <c r="S22"/>
    </row>
    <row r="23" spans="1:19" s="43" customFormat="1" x14ac:dyDescent="0.3">
      <c r="B23" s="84" t="s">
        <v>803</v>
      </c>
      <c r="C23" s="109" t="s">
        <v>842</v>
      </c>
      <c r="D23" s="203"/>
      <c r="E23" s="214"/>
      <c r="F23" s="424"/>
      <c r="G23" s="425"/>
      <c r="H23" s="55"/>
      <c r="I23" s="55"/>
      <c r="J23" s="55"/>
      <c r="K23" s="55"/>
      <c r="L23" s="55"/>
      <c r="M23" s="55"/>
      <c r="N23" s="55"/>
      <c r="O23" s="55"/>
      <c r="P23" s="55"/>
      <c r="Q23" s="55"/>
      <c r="R23" s="58"/>
      <c r="S23"/>
    </row>
    <row r="24" spans="1:19" s="43" customFormat="1" x14ac:dyDescent="0.3">
      <c r="A24" s="62"/>
      <c r="B24" s="84" t="s">
        <v>36</v>
      </c>
      <c r="C24" s="109" t="s">
        <v>843</v>
      </c>
      <c r="D24" s="203"/>
      <c r="E24" s="214"/>
      <c r="F24" s="426"/>
      <c r="G24" s="426"/>
      <c r="H24" s="55"/>
      <c r="I24" s="55"/>
      <c r="J24" s="55"/>
      <c r="K24" s="55"/>
      <c r="L24" s="55"/>
      <c r="M24" s="55"/>
      <c r="N24" s="55"/>
      <c r="O24" s="55"/>
      <c r="P24" s="55"/>
      <c r="Q24" s="55"/>
      <c r="R24" s="58"/>
      <c r="S24"/>
    </row>
    <row r="25" spans="1:19" s="43" customFormat="1" x14ac:dyDescent="0.3">
      <c r="B25" s="86"/>
      <c r="C25" s="129"/>
      <c r="D25" s="54"/>
      <c r="E25" s="54"/>
      <c r="F25" s="54"/>
      <c r="G25" s="54"/>
      <c r="H25" s="54"/>
      <c r="I25" s="54"/>
      <c r="J25" s="54"/>
      <c r="K25" s="54"/>
      <c r="L25" s="54"/>
      <c r="M25" s="54"/>
      <c r="N25" s="54"/>
      <c r="O25" s="54"/>
      <c r="P25" s="54"/>
      <c r="Q25" s="54"/>
      <c r="R25" s="57"/>
      <c r="S25"/>
    </row>
    <row r="26" spans="1:19" s="43" customFormat="1" ht="24" x14ac:dyDescent="0.3">
      <c r="B26" s="416" t="s">
        <v>818</v>
      </c>
      <c r="C26" s="417"/>
      <c r="D26" s="136" t="s">
        <v>181</v>
      </c>
      <c r="E26" s="136" t="s">
        <v>182</v>
      </c>
      <c r="F26" s="136" t="s">
        <v>183</v>
      </c>
      <c r="G26" s="136" t="s">
        <v>184</v>
      </c>
      <c r="H26" s="136" t="s">
        <v>185</v>
      </c>
      <c r="I26" s="136" t="s">
        <v>186</v>
      </c>
      <c r="J26" s="136" t="s">
        <v>187</v>
      </c>
      <c r="K26" s="360" t="s">
        <v>39</v>
      </c>
      <c r="L26" s="361"/>
      <c r="M26" s="90"/>
      <c r="N26" s="90"/>
      <c r="O26" s="90"/>
      <c r="P26" s="90"/>
      <c r="Q26" s="90"/>
      <c r="R26" s="63"/>
      <c r="S26"/>
    </row>
    <row r="27" spans="1:19" s="43" customFormat="1" x14ac:dyDescent="0.3">
      <c r="B27" s="418"/>
      <c r="C27" s="409"/>
      <c r="D27" s="136" t="s">
        <v>141</v>
      </c>
      <c r="E27" s="136" t="s">
        <v>141</v>
      </c>
      <c r="F27" s="136" t="s">
        <v>141</v>
      </c>
      <c r="G27" s="136" t="s">
        <v>141</v>
      </c>
      <c r="H27" s="136" t="s">
        <v>141</v>
      </c>
      <c r="I27" s="136" t="s">
        <v>141</v>
      </c>
      <c r="J27" s="136" t="s">
        <v>141</v>
      </c>
      <c r="K27" s="140"/>
      <c r="L27" s="141"/>
      <c r="M27" s="90"/>
      <c r="N27" s="90"/>
      <c r="O27" s="90"/>
      <c r="P27" s="90"/>
      <c r="Q27" s="90"/>
      <c r="R27" s="63"/>
      <c r="S27"/>
    </row>
    <row r="28" spans="1:19" s="43" customFormat="1" x14ac:dyDescent="0.3">
      <c r="B28" s="84" t="s">
        <v>89</v>
      </c>
      <c r="C28" s="109" t="s">
        <v>844</v>
      </c>
      <c r="D28" s="203"/>
      <c r="E28" s="203"/>
      <c r="F28" s="203"/>
      <c r="G28" s="203"/>
      <c r="H28" s="203"/>
      <c r="I28" s="203"/>
      <c r="J28" s="203"/>
      <c r="K28" s="362"/>
      <c r="L28" s="363"/>
      <c r="M28" s="90"/>
      <c r="N28" s="90"/>
      <c r="O28" s="90"/>
      <c r="P28" s="90"/>
      <c r="Q28" s="90"/>
      <c r="R28" s="91"/>
      <c r="S28"/>
    </row>
    <row r="29" spans="1:19" s="43" customFormat="1" x14ac:dyDescent="0.3">
      <c r="B29" s="88" t="s">
        <v>21</v>
      </c>
      <c r="C29" s="109" t="s">
        <v>935</v>
      </c>
      <c r="D29" s="203"/>
      <c r="E29" s="203"/>
      <c r="F29" s="203"/>
      <c r="G29" s="203"/>
      <c r="H29" s="203"/>
      <c r="I29" s="203"/>
      <c r="J29" s="203"/>
      <c r="K29" s="362"/>
      <c r="L29" s="363"/>
      <c r="M29" s="90"/>
      <c r="N29" s="90"/>
      <c r="O29" s="90"/>
      <c r="P29" s="90"/>
      <c r="Q29" s="90"/>
      <c r="R29" s="91"/>
      <c r="S29"/>
    </row>
    <row r="30" spans="1:19" s="43" customFormat="1" x14ac:dyDescent="0.3">
      <c r="B30" s="88" t="s">
        <v>34</v>
      </c>
      <c r="C30" s="109" t="s">
        <v>936</v>
      </c>
      <c r="D30" s="203"/>
      <c r="E30" s="203"/>
      <c r="F30" s="203"/>
      <c r="G30" s="203"/>
      <c r="H30" s="203"/>
      <c r="I30" s="203"/>
      <c r="J30" s="203"/>
      <c r="K30" s="362"/>
      <c r="L30" s="363"/>
      <c r="M30" s="90"/>
      <c r="N30" s="90"/>
      <c r="O30" s="90"/>
      <c r="P30" s="90"/>
      <c r="Q30" s="90"/>
      <c r="R30" s="91"/>
      <c r="S30"/>
    </row>
    <row r="31" spans="1:19" s="43" customFormat="1" x14ac:dyDescent="0.3">
      <c r="B31" s="86"/>
      <c r="C31" s="129"/>
      <c r="D31" s="54"/>
      <c r="E31" s="54"/>
      <c r="F31" s="54"/>
      <c r="G31" s="54"/>
      <c r="H31" s="54"/>
      <c r="I31" s="54"/>
      <c r="J31" s="54"/>
      <c r="K31" s="54"/>
      <c r="L31" s="54"/>
      <c r="M31" s="54"/>
      <c r="N31" s="54"/>
      <c r="O31" s="54"/>
      <c r="P31" s="54"/>
      <c r="Q31" s="54"/>
      <c r="R31" s="57"/>
      <c r="S31"/>
    </row>
    <row r="32" spans="1:19" s="43" customFormat="1" x14ac:dyDescent="0.3">
      <c r="B32" s="415" t="s">
        <v>806</v>
      </c>
      <c r="C32" s="376"/>
      <c r="D32" s="98" t="s">
        <v>141</v>
      </c>
      <c r="E32" s="381" t="s">
        <v>39</v>
      </c>
      <c r="F32" s="382"/>
      <c r="G32" s="56"/>
      <c r="H32" s="56"/>
      <c r="I32" s="56"/>
      <c r="J32" s="56"/>
      <c r="K32" s="56"/>
      <c r="L32" s="56"/>
      <c r="M32" s="56"/>
      <c r="N32" s="56"/>
      <c r="O32" s="56"/>
      <c r="P32" s="56"/>
      <c r="Q32" s="56"/>
      <c r="R32" s="59"/>
      <c r="S32"/>
    </row>
    <row r="33" spans="1:19" s="43" customFormat="1" ht="24" x14ac:dyDescent="0.3">
      <c r="B33" s="84" t="s">
        <v>954</v>
      </c>
      <c r="C33" s="109" t="s">
        <v>845</v>
      </c>
      <c r="D33" s="203"/>
      <c r="E33" s="383"/>
      <c r="F33" s="384"/>
      <c r="G33" s="56"/>
      <c r="H33" s="56"/>
      <c r="I33" s="56"/>
      <c r="J33" s="56"/>
      <c r="K33" s="56"/>
      <c r="L33" s="56"/>
      <c r="M33" s="56"/>
      <c r="N33" s="56"/>
      <c r="O33" s="56"/>
      <c r="P33" s="56"/>
      <c r="Q33" s="56"/>
      <c r="R33" s="59"/>
      <c r="S33"/>
    </row>
    <row r="34" spans="1:19" s="43" customFormat="1" x14ac:dyDescent="0.3">
      <c r="B34" s="88" t="s">
        <v>779</v>
      </c>
      <c r="C34" s="130" t="s">
        <v>937</v>
      </c>
      <c r="D34" s="203"/>
      <c r="E34" s="383"/>
      <c r="F34" s="384"/>
      <c r="G34" s="56"/>
      <c r="H34" s="56"/>
      <c r="I34" s="56"/>
      <c r="J34" s="56"/>
      <c r="K34" s="56"/>
      <c r="L34" s="56"/>
      <c r="M34" s="56"/>
      <c r="N34" s="56"/>
      <c r="O34" s="56"/>
      <c r="P34" s="56"/>
      <c r="Q34" s="56"/>
      <c r="R34" s="59"/>
      <c r="S34"/>
    </row>
    <row r="35" spans="1:19" s="43" customFormat="1" ht="15" customHeight="1" thickBot="1" x14ac:dyDescent="0.3">
      <c r="A35" s="62"/>
      <c r="B35" s="85" t="s">
        <v>36</v>
      </c>
      <c r="C35" s="125" t="s">
        <v>846</v>
      </c>
      <c r="D35" s="204"/>
      <c r="E35" s="385"/>
      <c r="F35" s="386"/>
      <c r="G35" s="60"/>
      <c r="H35" s="60"/>
      <c r="I35" s="60"/>
      <c r="J35" s="60"/>
      <c r="K35" s="60"/>
      <c r="L35" s="60"/>
      <c r="M35" s="60"/>
      <c r="N35" s="60"/>
      <c r="O35" s="60"/>
      <c r="P35" s="60"/>
      <c r="Q35" s="60"/>
      <c r="R35" s="61"/>
    </row>
    <row r="36" spans="1:19" s="43" customFormat="1" ht="55.2" customHeight="1" thickBot="1" x14ac:dyDescent="0.3">
      <c r="B36" s="340" t="s">
        <v>956</v>
      </c>
      <c r="C36" s="341"/>
      <c r="D36" s="341"/>
      <c r="E36" s="341"/>
      <c r="F36" s="341"/>
      <c r="G36" s="341"/>
      <c r="H36" s="341"/>
      <c r="I36" s="341"/>
      <c r="J36" s="341"/>
      <c r="K36" s="341"/>
      <c r="L36" s="341"/>
      <c r="M36" s="341"/>
      <c r="N36" s="341"/>
      <c r="O36" s="341"/>
      <c r="P36" s="341"/>
      <c r="Q36" s="341"/>
      <c r="R36" s="342"/>
    </row>
    <row r="37" spans="1:19" s="43" customFormat="1" ht="12.6" thickBot="1" x14ac:dyDescent="0.3">
      <c r="C37" s="128"/>
    </row>
    <row r="38" spans="1:19" s="43" customFormat="1" ht="15" customHeight="1" thickBot="1" x14ac:dyDescent="0.35">
      <c r="B38" s="419" t="s">
        <v>864</v>
      </c>
      <c r="C38" s="420"/>
      <c r="D38" s="420"/>
      <c r="E38" s="420"/>
      <c r="F38" s="421"/>
      <c r="G38"/>
      <c r="H38"/>
      <c r="I38"/>
      <c r="J38"/>
      <c r="K38"/>
      <c r="L38"/>
      <c r="M38"/>
      <c r="N38"/>
      <c r="O38"/>
      <c r="P38"/>
      <c r="Q38"/>
      <c r="R38"/>
    </row>
    <row r="39" spans="1:19" s="43" customFormat="1" ht="15" customHeight="1" x14ac:dyDescent="0.3">
      <c r="B39" s="422"/>
      <c r="C39" s="423"/>
      <c r="D39" s="142" t="s">
        <v>141</v>
      </c>
      <c r="E39" s="347" t="s">
        <v>39</v>
      </c>
      <c r="F39" s="348"/>
      <c r="G39"/>
      <c r="H39"/>
      <c r="I39"/>
      <c r="J39"/>
      <c r="K39"/>
      <c r="L39"/>
      <c r="M39"/>
      <c r="N39"/>
      <c r="O39"/>
      <c r="P39"/>
      <c r="Q39"/>
      <c r="R39"/>
    </row>
    <row r="40" spans="1:19" s="43" customFormat="1" ht="12" customHeight="1" x14ac:dyDescent="0.3">
      <c r="B40" s="358"/>
      <c r="C40" s="359"/>
      <c r="D40" s="149" t="s">
        <v>833</v>
      </c>
      <c r="E40" s="299" t="s">
        <v>834</v>
      </c>
      <c r="F40" s="355"/>
      <c r="G40"/>
      <c r="H40"/>
      <c r="I40"/>
      <c r="J40"/>
      <c r="K40"/>
      <c r="L40"/>
      <c r="M40"/>
      <c r="N40"/>
      <c r="O40"/>
      <c r="P40"/>
      <c r="Q40"/>
      <c r="R40"/>
    </row>
    <row r="41" spans="1:19" s="43" customFormat="1" x14ac:dyDescent="0.3">
      <c r="B41" s="84" t="s">
        <v>840</v>
      </c>
      <c r="C41" s="109" t="s">
        <v>871</v>
      </c>
      <c r="D41" s="215"/>
      <c r="E41" s="364"/>
      <c r="F41" s="365"/>
      <c r="G41"/>
      <c r="H41" s="103"/>
      <c r="J41"/>
      <c r="K41"/>
      <c r="L41"/>
      <c r="M41"/>
      <c r="N41"/>
      <c r="O41"/>
      <c r="P41"/>
      <c r="Q41"/>
      <c r="R41"/>
    </row>
    <row r="42" spans="1:19" s="43" customFormat="1" x14ac:dyDescent="0.3">
      <c r="B42" s="84" t="s">
        <v>145</v>
      </c>
      <c r="C42" s="109" t="s">
        <v>872</v>
      </c>
      <c r="D42" s="215"/>
      <c r="E42" s="343"/>
      <c r="F42" s="344"/>
      <c r="G42"/>
      <c r="H42"/>
      <c r="J42"/>
      <c r="K42"/>
      <c r="L42"/>
      <c r="M42"/>
      <c r="N42"/>
      <c r="O42"/>
      <c r="P42"/>
      <c r="Q42"/>
      <c r="R42"/>
    </row>
    <row r="43" spans="1:19" s="43" customFormat="1" x14ac:dyDescent="0.3">
      <c r="A43" s="62"/>
      <c r="B43" s="84" t="s">
        <v>782</v>
      </c>
      <c r="C43" s="109" t="s">
        <v>873</v>
      </c>
      <c r="D43" s="215"/>
      <c r="E43" s="343"/>
      <c r="F43" s="344"/>
      <c r="G43"/>
      <c r="H43"/>
      <c r="J43"/>
      <c r="K43"/>
      <c r="L43"/>
      <c r="M43"/>
      <c r="N43"/>
      <c r="O43"/>
      <c r="P43"/>
      <c r="Q43"/>
      <c r="R43"/>
    </row>
    <row r="44" spans="1:19" s="43" customFormat="1" x14ac:dyDescent="0.3">
      <c r="A44" s="62"/>
      <c r="B44" s="84" t="s">
        <v>949</v>
      </c>
      <c r="C44" s="109" t="s">
        <v>874</v>
      </c>
      <c r="D44" s="203"/>
      <c r="E44" s="343"/>
      <c r="F44" s="344"/>
      <c r="G44"/>
      <c r="H44"/>
      <c r="J44"/>
      <c r="K44"/>
      <c r="L44"/>
      <c r="M44"/>
      <c r="N44"/>
      <c r="O44"/>
      <c r="P44"/>
      <c r="Q44"/>
      <c r="R44"/>
    </row>
    <row r="45" spans="1:19" s="43" customFormat="1" x14ac:dyDescent="0.3">
      <c r="A45" s="62"/>
      <c r="B45" s="84" t="s">
        <v>781</v>
      </c>
      <c r="C45" s="109" t="s">
        <v>875</v>
      </c>
      <c r="D45" s="203"/>
      <c r="E45" s="343"/>
      <c r="F45" s="344"/>
      <c r="G45"/>
      <c r="H45"/>
      <c r="J45"/>
      <c r="K45"/>
      <c r="L45"/>
      <c r="M45"/>
      <c r="N45"/>
      <c r="O45"/>
      <c r="P45"/>
      <c r="Q45"/>
      <c r="R45"/>
    </row>
    <row r="46" spans="1:19" s="43" customFormat="1" x14ac:dyDescent="0.3">
      <c r="A46" s="62"/>
      <c r="B46" s="88" t="s">
        <v>35</v>
      </c>
      <c r="C46" s="131">
        <v>181</v>
      </c>
      <c r="D46" s="203"/>
      <c r="E46" s="343"/>
      <c r="F46" s="344"/>
      <c r="G46"/>
      <c r="H46"/>
      <c r="J46"/>
      <c r="K46"/>
      <c r="L46"/>
      <c r="M46"/>
      <c r="N46"/>
      <c r="O46"/>
      <c r="P46"/>
      <c r="Q46"/>
      <c r="R46"/>
    </row>
    <row r="47" spans="1:19" s="43" customFormat="1" x14ac:dyDescent="0.3">
      <c r="A47" s="62"/>
      <c r="B47" s="88" t="s">
        <v>90</v>
      </c>
      <c r="C47" s="131">
        <v>182</v>
      </c>
      <c r="D47" s="203"/>
      <c r="E47" s="343"/>
      <c r="F47" s="344"/>
      <c r="G47"/>
      <c r="H47"/>
      <c r="J47"/>
      <c r="K47"/>
      <c r="L47"/>
      <c r="M47"/>
      <c r="N47"/>
      <c r="O47"/>
      <c r="P47"/>
      <c r="Q47"/>
      <c r="R47"/>
    </row>
    <row r="48" spans="1:19" s="43" customFormat="1" x14ac:dyDescent="0.3">
      <c r="A48" s="62"/>
      <c r="B48" s="88" t="s">
        <v>780</v>
      </c>
      <c r="C48" s="131">
        <v>183</v>
      </c>
      <c r="D48" s="203"/>
      <c r="E48" s="343"/>
      <c r="F48" s="344"/>
      <c r="H48"/>
      <c r="J48"/>
      <c r="K48"/>
      <c r="L48"/>
      <c r="M48"/>
      <c r="N48"/>
      <c r="O48"/>
      <c r="P48"/>
      <c r="Q48"/>
      <c r="R48"/>
    </row>
    <row r="49" spans="1:18" s="43" customFormat="1" x14ac:dyDescent="0.3">
      <c r="A49" s="62"/>
      <c r="B49" s="89" t="s">
        <v>775</v>
      </c>
      <c r="C49" s="131">
        <v>184</v>
      </c>
      <c r="D49" s="203"/>
      <c r="E49" s="343"/>
      <c r="F49" s="344"/>
      <c r="H49"/>
      <c r="J49"/>
      <c r="K49"/>
      <c r="L49"/>
      <c r="M49"/>
      <c r="N49"/>
      <c r="O49"/>
      <c r="P49"/>
      <c r="Q49"/>
      <c r="R49"/>
    </row>
    <row r="50" spans="1:18" s="43" customFormat="1" x14ac:dyDescent="0.3">
      <c r="B50" s="84" t="s">
        <v>777</v>
      </c>
      <c r="C50" s="109" t="s">
        <v>876</v>
      </c>
      <c r="D50" s="203"/>
      <c r="E50" s="343"/>
      <c r="F50" s="344"/>
      <c r="G50"/>
      <c r="H50"/>
      <c r="J50"/>
      <c r="K50"/>
      <c r="L50"/>
      <c r="M50"/>
      <c r="N50"/>
      <c r="O50"/>
      <c r="P50"/>
      <c r="Q50"/>
      <c r="R50"/>
    </row>
    <row r="51" spans="1:18" s="43" customFormat="1" x14ac:dyDescent="0.3">
      <c r="B51" s="88" t="s">
        <v>776</v>
      </c>
      <c r="C51" s="109" t="s">
        <v>938</v>
      </c>
      <c r="D51" s="216"/>
      <c r="E51" s="343"/>
      <c r="F51" s="344"/>
      <c r="G51"/>
      <c r="H51"/>
      <c r="J51"/>
      <c r="K51"/>
      <c r="L51"/>
      <c r="M51"/>
      <c r="N51"/>
      <c r="O51"/>
      <c r="P51"/>
      <c r="Q51"/>
      <c r="R51"/>
    </row>
    <row r="52" spans="1:18" s="43" customFormat="1" x14ac:dyDescent="0.3">
      <c r="B52" s="87" t="s">
        <v>778</v>
      </c>
      <c r="C52" s="109" t="s">
        <v>877</v>
      </c>
      <c r="D52" s="216"/>
      <c r="E52" s="345"/>
      <c r="F52" s="346"/>
      <c r="G52"/>
      <c r="H52"/>
      <c r="J52"/>
      <c r="K52"/>
      <c r="L52"/>
      <c r="M52"/>
      <c r="N52"/>
      <c r="O52"/>
      <c r="P52"/>
      <c r="Q52"/>
      <c r="R52"/>
    </row>
    <row r="53" spans="1:18" s="43" customFormat="1" x14ac:dyDescent="0.3">
      <c r="A53" s="62"/>
      <c r="B53" s="87" t="s">
        <v>821</v>
      </c>
      <c r="C53" s="109" t="s">
        <v>878</v>
      </c>
      <c r="D53" s="203"/>
      <c r="E53" s="343"/>
      <c r="F53" s="344"/>
      <c r="G53"/>
      <c r="H53"/>
      <c r="J53"/>
      <c r="K53"/>
      <c r="L53"/>
      <c r="M53"/>
      <c r="N53"/>
      <c r="O53"/>
      <c r="P53"/>
      <c r="Q53"/>
      <c r="R53"/>
    </row>
    <row r="54" spans="1:18" s="43" customFormat="1" ht="15" thickBot="1" x14ac:dyDescent="0.35">
      <c r="A54" s="62"/>
      <c r="B54" s="85" t="s">
        <v>801</v>
      </c>
      <c r="C54" s="125" t="s">
        <v>879</v>
      </c>
      <c r="D54" s="204"/>
      <c r="E54" s="349"/>
      <c r="F54" s="350"/>
      <c r="G54"/>
      <c r="H54"/>
      <c r="J54"/>
      <c r="K54"/>
      <c r="L54"/>
      <c r="M54"/>
      <c r="N54"/>
      <c r="O54"/>
      <c r="P54"/>
      <c r="Q54"/>
      <c r="R54"/>
    </row>
    <row r="55" spans="1:18" s="43" customFormat="1" ht="27.6" customHeight="1" thickBot="1" x14ac:dyDescent="0.35">
      <c r="B55" s="340" t="s">
        <v>948</v>
      </c>
      <c r="C55" s="341"/>
      <c r="D55" s="341"/>
      <c r="E55" s="341"/>
      <c r="F55" s="342"/>
      <c r="G55"/>
      <c r="H55"/>
      <c r="I55"/>
      <c r="J55"/>
      <c r="K55"/>
      <c r="L55"/>
      <c r="M55"/>
      <c r="N55"/>
      <c r="O55"/>
      <c r="P55"/>
      <c r="Q55"/>
      <c r="R55"/>
    </row>
    <row r="56" spans="1:18" ht="15" thickBot="1" x14ac:dyDescent="0.35">
      <c r="B56" s="351"/>
      <c r="C56" s="351"/>
      <c r="D56" s="351"/>
      <c r="E56" s="351"/>
      <c r="F56" s="53"/>
      <c r="G56" s="53"/>
      <c r="J56" s="53"/>
      <c r="K56" s="53"/>
      <c r="L56" s="53"/>
      <c r="M56" s="53"/>
      <c r="N56" s="53"/>
      <c r="O56" s="53"/>
      <c r="P56" s="53"/>
      <c r="Q56" s="53"/>
    </row>
    <row r="57" spans="1:18" s="43" customFormat="1" ht="15" customHeight="1" thickBot="1" x14ac:dyDescent="0.35">
      <c r="B57" s="352" t="s">
        <v>865</v>
      </c>
      <c r="C57" s="353"/>
      <c r="D57" s="353"/>
      <c r="E57" s="353"/>
      <c r="F57" s="354"/>
      <c r="G57"/>
      <c r="H57"/>
      <c r="J57"/>
      <c r="K57"/>
      <c r="L57"/>
      <c r="M57"/>
      <c r="N57"/>
      <c r="O57"/>
      <c r="P57"/>
      <c r="Q57"/>
      <c r="R57"/>
    </row>
    <row r="58" spans="1:18" s="43" customFormat="1" ht="15" customHeight="1" x14ac:dyDescent="0.3">
      <c r="B58" s="356"/>
      <c r="C58" s="357"/>
      <c r="D58" s="142" t="s">
        <v>141</v>
      </c>
      <c r="E58" s="347" t="s">
        <v>39</v>
      </c>
      <c r="F58" s="348"/>
      <c r="G58"/>
      <c r="H58"/>
      <c r="J58"/>
      <c r="K58"/>
      <c r="L58"/>
      <c r="M58"/>
      <c r="N58"/>
      <c r="O58"/>
      <c r="P58"/>
      <c r="Q58"/>
      <c r="R58"/>
    </row>
    <row r="59" spans="1:18" s="188" customFormat="1" ht="12" customHeight="1" x14ac:dyDescent="0.3">
      <c r="B59" s="358"/>
      <c r="C59" s="359"/>
      <c r="D59" s="149" t="s">
        <v>833</v>
      </c>
      <c r="E59" s="299" t="s">
        <v>834</v>
      </c>
      <c r="F59" s="355"/>
      <c r="G59" s="123"/>
      <c r="H59" s="123"/>
      <c r="J59" s="123"/>
      <c r="K59" s="123"/>
      <c r="L59" s="123"/>
      <c r="M59" s="123"/>
      <c r="N59" s="123"/>
      <c r="O59" s="123"/>
      <c r="P59" s="123"/>
      <c r="Q59" s="123"/>
      <c r="R59" s="123"/>
    </row>
    <row r="60" spans="1:18" s="43" customFormat="1" ht="25.2" customHeight="1" x14ac:dyDescent="0.3">
      <c r="B60" s="84" t="s">
        <v>919</v>
      </c>
      <c r="C60" s="109" t="s">
        <v>880</v>
      </c>
      <c r="D60" s="203"/>
      <c r="E60" s="343"/>
      <c r="F60" s="344"/>
      <c r="G60"/>
      <c r="H60"/>
      <c r="J60"/>
      <c r="K60"/>
      <c r="L60"/>
      <c r="M60"/>
      <c r="N60"/>
      <c r="O60"/>
      <c r="P60"/>
      <c r="Q60"/>
      <c r="R60"/>
    </row>
    <row r="61" spans="1:18" s="43" customFormat="1" x14ac:dyDescent="0.3">
      <c r="B61" s="88" t="s">
        <v>91</v>
      </c>
      <c r="C61" s="131">
        <v>231</v>
      </c>
      <c r="D61" s="203"/>
      <c r="E61" s="343"/>
      <c r="F61" s="344"/>
      <c r="G61"/>
      <c r="H61"/>
      <c r="J61"/>
      <c r="K61"/>
      <c r="L61"/>
      <c r="M61"/>
      <c r="N61"/>
      <c r="O61"/>
      <c r="P61"/>
      <c r="Q61"/>
      <c r="R61"/>
    </row>
    <row r="62" spans="1:18" s="43" customFormat="1" x14ac:dyDescent="0.3">
      <c r="B62" s="88" t="s">
        <v>92</v>
      </c>
      <c r="C62" s="131">
        <v>232</v>
      </c>
      <c r="D62" s="203"/>
      <c r="E62" s="343"/>
      <c r="F62" s="344"/>
      <c r="G62"/>
      <c r="H62"/>
      <c r="J62"/>
      <c r="K62"/>
      <c r="L62"/>
      <c r="M62"/>
      <c r="N62"/>
      <c r="O62"/>
      <c r="P62"/>
      <c r="Q62"/>
      <c r="R62"/>
    </row>
    <row r="63" spans="1:18" s="43" customFormat="1" ht="24" x14ac:dyDescent="0.3">
      <c r="B63" s="88" t="s">
        <v>93</v>
      </c>
      <c r="C63" s="131">
        <v>233</v>
      </c>
      <c r="D63" s="203"/>
      <c r="E63" s="343"/>
      <c r="F63" s="344"/>
      <c r="G63"/>
      <c r="H63"/>
      <c r="J63"/>
      <c r="K63"/>
      <c r="L63"/>
      <c r="M63"/>
      <c r="N63"/>
      <c r="O63"/>
      <c r="P63"/>
      <c r="Q63"/>
      <c r="R63"/>
    </row>
    <row r="64" spans="1:18" s="43" customFormat="1" ht="15" thickBot="1" x14ac:dyDescent="0.35">
      <c r="B64" s="85" t="s">
        <v>36</v>
      </c>
      <c r="C64" s="125" t="s">
        <v>881</v>
      </c>
      <c r="D64" s="204"/>
      <c r="E64" s="349"/>
      <c r="F64" s="350"/>
      <c r="G64"/>
      <c r="H64"/>
      <c r="I64"/>
      <c r="J64"/>
      <c r="K64"/>
      <c r="L64"/>
      <c r="M64"/>
      <c r="N64"/>
      <c r="O64"/>
      <c r="P64"/>
      <c r="Q64"/>
      <c r="R64"/>
    </row>
    <row r="65" spans="2:18" s="43" customFormat="1" ht="45.6" customHeight="1" thickBot="1" x14ac:dyDescent="0.35">
      <c r="B65" s="340" t="s">
        <v>860</v>
      </c>
      <c r="C65" s="341"/>
      <c r="D65" s="341"/>
      <c r="E65" s="341"/>
      <c r="F65" s="342"/>
      <c r="G65"/>
      <c r="H65"/>
      <c r="I65"/>
      <c r="J65"/>
      <c r="K65"/>
      <c r="L65"/>
      <c r="M65"/>
      <c r="N65"/>
      <c r="O65"/>
      <c r="P65"/>
      <c r="Q65"/>
      <c r="R65"/>
    </row>
    <row r="66" spans="2:18" s="43" customFormat="1" ht="21.6" customHeight="1" thickBot="1" x14ac:dyDescent="0.3">
      <c r="C66" s="128"/>
    </row>
    <row r="67" spans="2:18" s="43" customFormat="1" ht="15" thickBot="1" x14ac:dyDescent="0.3">
      <c r="B67" s="391" t="s">
        <v>920</v>
      </c>
      <c r="C67" s="392"/>
      <c r="D67" s="392"/>
      <c r="E67" s="392"/>
      <c r="F67" s="392"/>
      <c r="G67" s="392"/>
      <c r="H67" s="392"/>
      <c r="I67" s="392"/>
      <c r="J67" s="392"/>
      <c r="K67" s="393"/>
    </row>
    <row r="68" spans="2:18" s="43" customFormat="1" ht="12" customHeight="1" x14ac:dyDescent="0.3">
      <c r="B68" s="387"/>
      <c r="C68" s="388"/>
      <c r="D68" s="394" t="s">
        <v>850</v>
      </c>
      <c r="E68" s="394"/>
      <c r="F68" s="394"/>
      <c r="G68" s="394"/>
      <c r="H68" s="394" t="s">
        <v>851</v>
      </c>
      <c r="I68" s="394"/>
      <c r="J68" s="185"/>
      <c r="K68" s="186"/>
    </row>
    <row r="69" spans="2:18" s="43" customFormat="1" ht="24" x14ac:dyDescent="0.25">
      <c r="B69" s="389"/>
      <c r="C69" s="390"/>
      <c r="D69" s="133" t="s">
        <v>923</v>
      </c>
      <c r="E69" s="133" t="s">
        <v>924</v>
      </c>
      <c r="F69" s="133" t="s">
        <v>925</v>
      </c>
      <c r="G69" s="133" t="s">
        <v>926</v>
      </c>
      <c r="H69" s="133" t="s">
        <v>923</v>
      </c>
      <c r="I69" s="133" t="s">
        <v>926</v>
      </c>
      <c r="J69" s="395" t="s">
        <v>823</v>
      </c>
      <c r="K69" s="396"/>
    </row>
    <row r="70" spans="2:18" s="188" customFormat="1" ht="12" customHeight="1" x14ac:dyDescent="0.25">
      <c r="B70" s="389"/>
      <c r="C70" s="390"/>
      <c r="D70" s="187" t="s">
        <v>833</v>
      </c>
      <c r="E70" s="187" t="s">
        <v>834</v>
      </c>
      <c r="F70" s="187" t="s">
        <v>835</v>
      </c>
      <c r="G70" s="187" t="s">
        <v>836</v>
      </c>
      <c r="H70" s="187" t="s">
        <v>837</v>
      </c>
      <c r="I70" s="187" t="s">
        <v>838</v>
      </c>
      <c r="J70" s="299" t="s">
        <v>839</v>
      </c>
      <c r="K70" s="355"/>
    </row>
    <row r="71" spans="2:18" s="43" customFormat="1" ht="12" x14ac:dyDescent="0.25">
      <c r="B71" s="101" t="s">
        <v>921</v>
      </c>
      <c r="C71" s="148" t="s">
        <v>882</v>
      </c>
      <c r="D71" s="203"/>
      <c r="E71" s="203"/>
      <c r="F71" s="203"/>
      <c r="G71" s="203"/>
      <c r="H71" s="203"/>
      <c r="I71" s="203"/>
      <c r="J71" s="343"/>
      <c r="K71" s="344"/>
    </row>
    <row r="72" spans="2:18" s="43" customFormat="1" ht="12" x14ac:dyDescent="0.25">
      <c r="B72" s="88" t="s">
        <v>947</v>
      </c>
      <c r="C72" s="148" t="s">
        <v>939</v>
      </c>
      <c r="D72" s="203"/>
      <c r="E72" s="203"/>
      <c r="F72" s="203"/>
      <c r="G72" s="203"/>
      <c r="H72" s="203"/>
      <c r="I72" s="203"/>
      <c r="J72" s="343"/>
      <c r="K72" s="344"/>
    </row>
    <row r="73" spans="2:18" x14ac:dyDescent="0.3">
      <c r="B73" s="88" t="s">
        <v>847</v>
      </c>
      <c r="C73" s="148" t="s">
        <v>940</v>
      </c>
      <c r="D73" s="203"/>
      <c r="E73" s="203"/>
      <c r="F73" s="203"/>
      <c r="G73" s="203"/>
      <c r="H73" s="203"/>
      <c r="I73" s="203"/>
      <c r="J73" s="343"/>
      <c r="K73" s="344"/>
    </row>
    <row r="74" spans="2:18" x14ac:dyDescent="0.3">
      <c r="B74" s="88" t="s">
        <v>848</v>
      </c>
      <c r="C74" s="148" t="s">
        <v>941</v>
      </c>
      <c r="D74" s="203"/>
      <c r="E74" s="203"/>
      <c r="F74" s="203"/>
      <c r="G74" s="203"/>
      <c r="H74" s="203"/>
      <c r="I74" s="203"/>
      <c r="J74" s="343"/>
      <c r="K74" s="344"/>
    </row>
    <row r="75" spans="2:18" ht="15" thickBot="1" x14ac:dyDescent="0.35">
      <c r="B75" s="104" t="s">
        <v>849</v>
      </c>
      <c r="C75" s="146" t="s">
        <v>942</v>
      </c>
      <c r="D75" s="204"/>
      <c r="E75" s="204"/>
      <c r="F75" s="204"/>
      <c r="G75" s="204"/>
      <c r="H75" s="204"/>
      <c r="I75" s="204"/>
      <c r="J75" s="349"/>
      <c r="K75" s="350"/>
    </row>
    <row r="76" spans="2:18" ht="28.2" customHeight="1" thickBot="1" x14ac:dyDescent="0.35">
      <c r="B76" s="377" t="s">
        <v>859</v>
      </c>
      <c r="C76" s="378"/>
      <c r="D76" s="378"/>
      <c r="E76" s="378"/>
      <c r="F76" s="378"/>
      <c r="G76" s="378"/>
      <c r="H76" s="378"/>
      <c r="I76" s="378"/>
      <c r="J76" s="378"/>
      <c r="K76" s="379"/>
    </row>
    <row r="77" spans="2:18" x14ac:dyDescent="0.3"/>
  </sheetData>
  <mergeCells count="92">
    <mergeCell ref="B18:C18"/>
    <mergeCell ref="B21:C21"/>
    <mergeCell ref="B26:C27"/>
    <mergeCell ref="B32:C32"/>
    <mergeCell ref="E40:F40"/>
    <mergeCell ref="B38:F38"/>
    <mergeCell ref="B39:C40"/>
    <mergeCell ref="F23:G23"/>
    <mergeCell ref="F22:G22"/>
    <mergeCell ref="F24:G24"/>
    <mergeCell ref="B16:C17"/>
    <mergeCell ref="B5:B8"/>
    <mergeCell ref="B4:C4"/>
    <mergeCell ref="B3:L3"/>
    <mergeCell ref="E6:G6"/>
    <mergeCell ref="E7:G7"/>
    <mergeCell ref="E8:G8"/>
    <mergeCell ref="E10:G10"/>
    <mergeCell ref="K10:L10"/>
    <mergeCell ref="K11:L11"/>
    <mergeCell ref="K12:L12"/>
    <mergeCell ref="E4:G4"/>
    <mergeCell ref="E5:G5"/>
    <mergeCell ref="E11:G11"/>
    <mergeCell ref="E12:G12"/>
    <mergeCell ref="J74:K74"/>
    <mergeCell ref="J75:K75"/>
    <mergeCell ref="D68:G68"/>
    <mergeCell ref="H68:I68"/>
    <mergeCell ref="J69:K69"/>
    <mergeCell ref="J70:K70"/>
    <mergeCell ref="B68:C70"/>
    <mergeCell ref="J71:K71"/>
    <mergeCell ref="J72:K72"/>
    <mergeCell ref="J73:K73"/>
    <mergeCell ref="B67:K67"/>
    <mergeCell ref="B76:K76"/>
    <mergeCell ref="E42:F42"/>
    <mergeCell ref="F21:G21"/>
    <mergeCell ref="D17:E17"/>
    <mergeCell ref="F17:G17"/>
    <mergeCell ref="E32:F32"/>
    <mergeCell ref="E33:F33"/>
    <mergeCell ref="E34:F34"/>
    <mergeCell ref="E35:F35"/>
    <mergeCell ref="E46:F46"/>
    <mergeCell ref="E47:F47"/>
    <mergeCell ref="E49:F49"/>
    <mergeCell ref="B55:F55"/>
    <mergeCell ref="E48:F48"/>
    <mergeCell ref="E51:F51"/>
    <mergeCell ref="E53:F53"/>
    <mergeCell ref="B1:R1"/>
    <mergeCell ref="B15:R15"/>
    <mergeCell ref="N17:O17"/>
    <mergeCell ref="P17:Q17"/>
    <mergeCell ref="L17:M17"/>
    <mergeCell ref="B9:B12"/>
    <mergeCell ref="H17:I17"/>
    <mergeCell ref="J17:K17"/>
    <mergeCell ref="B13:L13"/>
    <mergeCell ref="K4:L4"/>
    <mergeCell ref="K5:L5"/>
    <mergeCell ref="K6:L6"/>
    <mergeCell ref="K7:L7"/>
    <mergeCell ref="K8:L8"/>
    <mergeCell ref="K9:L9"/>
    <mergeCell ref="E9:G9"/>
    <mergeCell ref="E45:F45"/>
    <mergeCell ref="K26:L26"/>
    <mergeCell ref="K28:L28"/>
    <mergeCell ref="K29:L29"/>
    <mergeCell ref="K30:L30"/>
    <mergeCell ref="E43:F43"/>
    <mergeCell ref="B36:R36"/>
    <mergeCell ref="E39:F39"/>
    <mergeCell ref="E44:F44"/>
    <mergeCell ref="E41:F41"/>
    <mergeCell ref="B65:F65"/>
    <mergeCell ref="E50:F50"/>
    <mergeCell ref="E52:F52"/>
    <mergeCell ref="E58:F58"/>
    <mergeCell ref="E60:F60"/>
    <mergeCell ref="E61:F61"/>
    <mergeCell ref="E62:F62"/>
    <mergeCell ref="E63:F63"/>
    <mergeCell ref="E64:F64"/>
    <mergeCell ref="B56:E56"/>
    <mergeCell ref="E54:F54"/>
    <mergeCell ref="B57:F57"/>
    <mergeCell ref="E59:F59"/>
    <mergeCell ref="B58:C59"/>
  </mergeCells>
  <phoneticPr fontId="4" type="noConversion"/>
  <dataValidations count="3">
    <dataValidation type="whole" operator="greaterThan" allowBlank="1" showInputMessage="1" showErrorMessage="1" sqref="G32:Q35" xr:uid="{07BC64AA-1E86-466F-A581-F81DB42F496F}">
      <formula1>0</formula1>
    </dataValidation>
    <dataValidation type="whole" operator="greaterThanOrEqual" allowBlank="1" showInputMessage="1" showErrorMessage="1" errorTitle="Incorrect data entered" error="The inserted value shall be numeric and non-negative, shall not contain decimals or use separators." sqref="J6:J8 I6 I8 I7" xr:uid="{DAFDE337-9B9C-424F-9E7C-C3C5940769B4}">
      <formula1>0</formula1>
    </dataValidation>
    <dataValidation type="whole" operator="greaterThanOrEqual" allowBlank="1" showInputMessage="1" showErrorMessage="1" error="The inserted value shall be numeric and non-negative, shall not contain decimals or use separators." sqref="I10:J12 D19:Q19 D22:E24 D28:J30 D33:D35 D41:D54 D60:D64 D71:I75" xr:uid="{14C568D5-01F7-4C04-90CF-BC6D9EDAA691}">
      <formula1>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E40BD39-218E-443C-B3D2-F183528F8773}">
          <x14:formula1>
            <xm:f>List!$D$18:$D$27</xm:f>
          </x14:formula1>
          <xm:sqref>H6:H8</xm:sqref>
        </x14:dataValidation>
        <x14:dataValidation type="list" allowBlank="1" showInputMessage="1" showErrorMessage="1" xr:uid="{D8B2BB1F-492B-4D08-B0B3-021B496BC57C}">
          <x14:formula1>
            <xm:f>List!$C$35:$C$43</xm:f>
          </x14:formula1>
          <xm:sqref>H10:H12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7988-7F0A-49EE-854B-2B8E07F05475}">
  <sheetPr>
    <tabColor theme="3"/>
  </sheetPr>
  <dimension ref="A1:U41"/>
  <sheetViews>
    <sheetView showGridLines="0" zoomScaleNormal="100" workbookViewId="0">
      <selection activeCell="I25" sqref="I25"/>
    </sheetView>
  </sheetViews>
  <sheetFormatPr defaultColWidth="0" defaultRowHeight="0" customHeight="1" zeroHeight="1" x14ac:dyDescent="0.3"/>
  <cols>
    <col min="1" max="1" width="3.33203125" customWidth="1"/>
    <col min="2" max="2" width="39.109375" customWidth="1"/>
    <col min="3" max="3" width="4" bestFit="1" customWidth="1"/>
    <col min="4" max="4" width="18.6640625" customWidth="1"/>
    <col min="5" max="5" width="30.6640625" customWidth="1"/>
    <col min="6" max="13" width="18.6640625" customWidth="1"/>
    <col min="14" max="14" width="3.33203125" customWidth="1"/>
    <col min="15" max="21" width="0" hidden="1" customWidth="1"/>
    <col min="22" max="16384" width="8.6640625" hidden="1"/>
  </cols>
  <sheetData>
    <row r="1" spans="2:13" ht="21.6" thickBot="1" x14ac:dyDescent="0.35">
      <c r="B1" s="270" t="s">
        <v>868</v>
      </c>
      <c r="C1" s="271"/>
      <c r="D1" s="271"/>
      <c r="E1" s="271"/>
      <c r="F1" s="271"/>
      <c r="G1" s="271"/>
      <c r="H1" s="271"/>
      <c r="I1" s="271"/>
      <c r="J1" s="271"/>
      <c r="K1" s="271"/>
      <c r="L1" s="271"/>
      <c r="M1" s="272"/>
    </row>
    <row r="2" spans="2:13" ht="15" thickBot="1" x14ac:dyDescent="0.35"/>
    <row r="3" spans="2:13" ht="15" customHeight="1" thickBot="1" x14ac:dyDescent="0.35">
      <c r="B3" s="433" t="s">
        <v>869</v>
      </c>
      <c r="C3" s="434"/>
      <c r="D3" s="434"/>
      <c r="E3" s="434"/>
      <c r="F3" s="434"/>
      <c r="G3" s="434"/>
      <c r="H3" s="434"/>
      <c r="I3" s="434"/>
      <c r="J3" s="434"/>
      <c r="K3" s="434"/>
      <c r="L3" s="434"/>
      <c r="M3" s="435"/>
    </row>
    <row r="4" spans="2:13" ht="24" customHeight="1" x14ac:dyDescent="0.3">
      <c r="B4" s="427"/>
      <c r="C4" s="428"/>
      <c r="D4" s="142" t="s">
        <v>30</v>
      </c>
      <c r="E4" s="142" t="s">
        <v>29</v>
      </c>
      <c r="F4" s="142" t="s">
        <v>55</v>
      </c>
      <c r="G4" s="142" t="s">
        <v>31</v>
      </c>
      <c r="H4" s="134" t="s">
        <v>32</v>
      </c>
      <c r="I4" s="142" t="s">
        <v>817</v>
      </c>
      <c r="J4" s="142" t="s">
        <v>820</v>
      </c>
      <c r="K4" s="115" t="s">
        <v>740</v>
      </c>
      <c r="L4" s="436" t="s">
        <v>39</v>
      </c>
      <c r="M4" s="437"/>
    </row>
    <row r="5" spans="2:13" ht="12" customHeight="1" x14ac:dyDescent="0.3">
      <c r="B5" s="429"/>
      <c r="C5" s="430"/>
      <c r="D5" s="108" t="s">
        <v>833</v>
      </c>
      <c r="E5" s="108" t="s">
        <v>834</v>
      </c>
      <c r="F5" s="108" t="s">
        <v>835</v>
      </c>
      <c r="G5" s="108" t="s">
        <v>836</v>
      </c>
      <c r="H5" s="108" t="s">
        <v>837</v>
      </c>
      <c r="I5" s="108" t="s">
        <v>838</v>
      </c>
      <c r="J5" s="108" t="s">
        <v>839</v>
      </c>
      <c r="K5" s="108" t="s">
        <v>841</v>
      </c>
      <c r="L5" s="299" t="s">
        <v>842</v>
      </c>
      <c r="M5" s="355"/>
    </row>
    <row r="6" spans="2:13" ht="15.6" customHeight="1" x14ac:dyDescent="0.3">
      <c r="B6" s="247" t="s">
        <v>933</v>
      </c>
      <c r="C6" s="109" t="s">
        <v>833</v>
      </c>
      <c r="D6" s="196"/>
      <c r="E6" s="196"/>
      <c r="F6" s="111"/>
      <c r="G6" s="111"/>
      <c r="H6" s="111"/>
      <c r="I6" s="112"/>
      <c r="J6" s="113"/>
      <c r="K6" s="114"/>
      <c r="L6" s="431"/>
      <c r="M6" s="432"/>
    </row>
    <row r="7" spans="2:13" ht="14.4" x14ac:dyDescent="0.3">
      <c r="B7" s="248"/>
      <c r="C7" s="109" t="s">
        <v>834</v>
      </c>
      <c r="D7" s="196"/>
      <c r="E7" s="196"/>
      <c r="F7" s="111"/>
      <c r="G7" s="111"/>
      <c r="H7" s="111"/>
      <c r="I7" s="112"/>
      <c r="J7" s="113"/>
      <c r="K7" s="114"/>
      <c r="L7" s="431"/>
      <c r="M7" s="432"/>
    </row>
    <row r="8" spans="2:13" ht="14.4" x14ac:dyDescent="0.3">
      <c r="B8" s="248"/>
      <c r="C8" s="109" t="s">
        <v>835</v>
      </c>
      <c r="D8" s="196"/>
      <c r="E8" s="196"/>
      <c r="F8" s="111"/>
      <c r="G8" s="111"/>
      <c r="H8" s="111"/>
      <c r="I8" s="112"/>
      <c r="J8" s="113"/>
      <c r="K8" s="114"/>
      <c r="L8" s="431"/>
      <c r="M8" s="432"/>
    </row>
    <row r="9" spans="2:13" ht="14.4" x14ac:dyDescent="0.3">
      <c r="B9" s="248"/>
      <c r="C9" s="109" t="s">
        <v>836</v>
      </c>
      <c r="D9" s="196"/>
      <c r="E9" s="196"/>
      <c r="F9" s="111"/>
      <c r="G9" s="111"/>
      <c r="H9" s="111"/>
      <c r="I9" s="112"/>
      <c r="J9" s="113"/>
      <c r="K9" s="114"/>
      <c r="L9" s="431"/>
      <c r="M9" s="432"/>
    </row>
    <row r="10" spans="2:13" ht="14.4" x14ac:dyDescent="0.3">
      <c r="B10" s="248"/>
      <c r="C10" s="109" t="s">
        <v>837</v>
      </c>
      <c r="D10" s="196"/>
      <c r="E10" s="196"/>
      <c r="F10" s="111"/>
      <c r="G10" s="111"/>
      <c r="H10" s="111"/>
      <c r="I10" s="112"/>
      <c r="J10" s="113"/>
      <c r="K10" s="114"/>
      <c r="L10" s="431"/>
      <c r="M10" s="432"/>
    </row>
    <row r="11" spans="2:13" ht="14.4" x14ac:dyDescent="0.3">
      <c r="B11" s="248"/>
      <c r="C11" s="109" t="s">
        <v>838</v>
      </c>
      <c r="D11" s="196"/>
      <c r="E11" s="196"/>
      <c r="F11" s="111"/>
      <c r="G11" s="111"/>
      <c r="H11" s="111"/>
      <c r="I11" s="112"/>
      <c r="J11" s="113"/>
      <c r="K11" s="114"/>
      <c r="L11" s="431"/>
      <c r="M11" s="432"/>
    </row>
    <row r="12" spans="2:13" ht="14.4" x14ac:dyDescent="0.3">
      <c r="B12" s="248"/>
      <c r="C12" s="109" t="s">
        <v>839</v>
      </c>
      <c r="D12" s="196"/>
      <c r="E12" s="196"/>
      <c r="F12" s="111"/>
      <c r="G12" s="111"/>
      <c r="H12" s="111"/>
      <c r="I12" s="112"/>
      <c r="J12" s="113"/>
      <c r="K12" s="114"/>
      <c r="L12" s="431"/>
      <c r="M12" s="432"/>
    </row>
    <row r="13" spans="2:13" ht="14.4" x14ac:dyDescent="0.3">
      <c r="B13" s="248"/>
      <c r="C13" s="109" t="s">
        <v>841</v>
      </c>
      <c r="D13" s="196"/>
      <c r="E13" s="196"/>
      <c r="F13" s="111"/>
      <c r="G13" s="111"/>
      <c r="H13" s="111"/>
      <c r="I13" s="112"/>
      <c r="J13" s="113"/>
      <c r="K13" s="114"/>
      <c r="L13" s="431"/>
      <c r="M13" s="432"/>
    </row>
    <row r="14" spans="2:13" ht="14.4" x14ac:dyDescent="0.3">
      <c r="B14" s="248"/>
      <c r="C14" s="109" t="s">
        <v>842</v>
      </c>
      <c r="D14" s="196"/>
      <c r="E14" s="196"/>
      <c r="F14" s="111"/>
      <c r="G14" s="111"/>
      <c r="H14" s="111"/>
      <c r="I14" s="112"/>
      <c r="J14" s="113"/>
      <c r="K14" s="114"/>
      <c r="L14" s="431"/>
      <c r="M14" s="432"/>
    </row>
    <row r="15" spans="2:13" ht="14.4" x14ac:dyDescent="0.3">
      <c r="B15" s="336"/>
      <c r="C15" s="109" t="s">
        <v>843</v>
      </c>
      <c r="D15" s="196"/>
      <c r="E15" s="196"/>
      <c r="F15" s="111"/>
      <c r="G15" s="111"/>
      <c r="H15" s="111"/>
      <c r="I15" s="112"/>
      <c r="J15" s="113"/>
      <c r="K15" s="114"/>
      <c r="L15" s="431"/>
      <c r="M15" s="432"/>
    </row>
    <row r="16" spans="2:13" ht="54" customHeight="1" thickBot="1" x14ac:dyDescent="0.35">
      <c r="B16" s="443" t="s">
        <v>955</v>
      </c>
      <c r="C16" s="444"/>
      <c r="D16" s="444"/>
      <c r="E16" s="444"/>
      <c r="F16" s="444"/>
      <c r="G16" s="444"/>
      <c r="H16" s="444"/>
      <c r="I16" s="444"/>
      <c r="J16" s="444"/>
      <c r="K16" s="444"/>
      <c r="L16" s="444"/>
      <c r="M16" s="445"/>
    </row>
    <row r="17" spans="2:13" ht="15" thickBot="1" x14ac:dyDescent="0.35"/>
    <row r="18" spans="2:13" ht="15.6" x14ac:dyDescent="0.3">
      <c r="B18" s="440" t="s">
        <v>870</v>
      </c>
      <c r="C18" s="441"/>
      <c r="D18" s="441"/>
      <c r="E18" s="441"/>
      <c r="F18" s="441"/>
      <c r="G18" s="441"/>
      <c r="H18" s="441"/>
      <c r="I18" s="441"/>
      <c r="J18" s="441"/>
      <c r="K18" s="441"/>
      <c r="L18" s="441"/>
      <c r="M18" s="442"/>
    </row>
    <row r="19" spans="2:13" ht="24" customHeight="1" x14ac:dyDescent="0.3">
      <c r="B19" s="427"/>
      <c r="C19" s="428"/>
      <c r="D19" s="106" t="s">
        <v>30</v>
      </c>
      <c r="E19" s="106" t="s">
        <v>29</v>
      </c>
      <c r="F19" s="106" t="s">
        <v>55</v>
      </c>
      <c r="G19" s="106" t="s">
        <v>31</v>
      </c>
      <c r="H19" s="106" t="s">
        <v>33</v>
      </c>
      <c r="I19" s="106" t="s">
        <v>802</v>
      </c>
      <c r="J19" s="106" t="s">
        <v>100</v>
      </c>
      <c r="K19" s="105" t="s">
        <v>741</v>
      </c>
      <c r="L19" s="438" t="s">
        <v>39</v>
      </c>
      <c r="M19" s="439"/>
    </row>
    <row r="20" spans="2:13" ht="12" customHeight="1" x14ac:dyDescent="0.3">
      <c r="B20" s="429"/>
      <c r="C20" s="430"/>
      <c r="D20" s="109" t="s">
        <v>833</v>
      </c>
      <c r="E20" s="109" t="s">
        <v>834</v>
      </c>
      <c r="F20" s="109" t="s">
        <v>835</v>
      </c>
      <c r="G20" s="109" t="s">
        <v>836</v>
      </c>
      <c r="H20" s="109" t="s">
        <v>837</v>
      </c>
      <c r="I20" s="109" t="s">
        <v>838</v>
      </c>
      <c r="J20" s="109" t="s">
        <v>839</v>
      </c>
      <c r="K20" s="109" t="s">
        <v>841</v>
      </c>
      <c r="L20" s="299" t="s">
        <v>842</v>
      </c>
      <c r="M20" s="355"/>
    </row>
    <row r="21" spans="2:13" ht="14.4" x14ac:dyDescent="0.3">
      <c r="B21" s="247" t="s">
        <v>932</v>
      </c>
      <c r="C21" s="131">
        <v>110</v>
      </c>
      <c r="D21" s="196"/>
      <c r="E21" s="195"/>
      <c r="F21" s="50"/>
      <c r="G21" s="50"/>
      <c r="H21" s="50"/>
      <c r="I21" s="49"/>
      <c r="J21" s="50"/>
      <c r="K21" s="93"/>
      <c r="L21" s="431"/>
      <c r="M21" s="432"/>
    </row>
    <row r="22" spans="2:13" ht="14.4" x14ac:dyDescent="0.3">
      <c r="B22" s="248"/>
      <c r="C22" s="131">
        <v>120</v>
      </c>
      <c r="D22" s="196"/>
      <c r="E22" s="195"/>
      <c r="F22" s="50"/>
      <c r="G22" s="50"/>
      <c r="H22" s="50"/>
      <c r="I22" s="49"/>
      <c r="J22" s="50"/>
      <c r="K22" s="93"/>
      <c r="L22" s="431"/>
      <c r="M22" s="432"/>
    </row>
    <row r="23" spans="2:13" ht="14.4" x14ac:dyDescent="0.3">
      <c r="B23" s="248"/>
      <c r="C23" s="131">
        <v>130</v>
      </c>
      <c r="D23" s="196"/>
      <c r="E23" s="195"/>
      <c r="F23" s="50"/>
      <c r="G23" s="50"/>
      <c r="H23" s="50"/>
      <c r="I23" s="49"/>
      <c r="J23" s="50"/>
      <c r="K23" s="93"/>
      <c r="L23" s="431"/>
      <c r="M23" s="432"/>
    </row>
    <row r="24" spans="2:13" ht="14.4" x14ac:dyDescent="0.3">
      <c r="B24" s="248"/>
      <c r="C24" s="131">
        <v>140</v>
      </c>
      <c r="D24" s="196"/>
      <c r="E24" s="195"/>
      <c r="F24" s="50"/>
      <c r="G24" s="50"/>
      <c r="H24" s="50"/>
      <c r="I24" s="49"/>
      <c r="J24" s="50"/>
      <c r="K24" s="93"/>
      <c r="L24" s="431"/>
      <c r="M24" s="432"/>
    </row>
    <row r="25" spans="2:13" ht="14.4" x14ac:dyDescent="0.3">
      <c r="B25" s="248"/>
      <c r="C25" s="131">
        <v>150</v>
      </c>
      <c r="D25" s="196"/>
      <c r="E25" s="195"/>
      <c r="F25" s="50"/>
      <c r="G25" s="50"/>
      <c r="H25" s="50"/>
      <c r="I25" s="49"/>
      <c r="J25" s="50"/>
      <c r="K25" s="93"/>
      <c r="L25" s="431"/>
      <c r="M25" s="432"/>
    </row>
    <row r="26" spans="2:13" ht="14.4" x14ac:dyDescent="0.3">
      <c r="B26" s="248"/>
      <c r="C26" s="131">
        <v>160</v>
      </c>
      <c r="D26" s="196"/>
      <c r="E26" s="195"/>
      <c r="F26" s="50"/>
      <c r="G26" s="50"/>
      <c r="H26" s="50"/>
      <c r="I26" s="49"/>
      <c r="J26" s="50"/>
      <c r="K26" s="93"/>
      <c r="L26" s="431"/>
      <c r="M26" s="432"/>
    </row>
    <row r="27" spans="2:13" ht="14.4" x14ac:dyDescent="0.3">
      <c r="B27" s="248"/>
      <c r="C27" s="131">
        <v>170</v>
      </c>
      <c r="D27" s="196"/>
      <c r="E27" s="195"/>
      <c r="F27" s="50"/>
      <c r="G27" s="50"/>
      <c r="H27" s="50"/>
      <c r="I27" s="49"/>
      <c r="J27" s="50"/>
      <c r="K27" s="93"/>
      <c r="L27" s="431"/>
      <c r="M27" s="432"/>
    </row>
    <row r="28" spans="2:13" ht="14.4" x14ac:dyDescent="0.3">
      <c r="B28" s="248"/>
      <c r="C28" s="131">
        <v>180</v>
      </c>
      <c r="D28" s="196"/>
      <c r="E28" s="195"/>
      <c r="F28" s="50"/>
      <c r="G28" s="50"/>
      <c r="H28" s="50"/>
      <c r="I28" s="49"/>
      <c r="J28" s="50"/>
      <c r="K28" s="93"/>
      <c r="L28" s="431"/>
      <c r="M28" s="432"/>
    </row>
    <row r="29" spans="2:13" ht="14.4" x14ac:dyDescent="0.3">
      <c r="B29" s="248"/>
      <c r="C29" s="131">
        <v>190</v>
      </c>
      <c r="D29" s="196"/>
      <c r="E29" s="195"/>
      <c r="F29" s="50"/>
      <c r="G29" s="50"/>
      <c r="H29" s="50"/>
      <c r="I29" s="49"/>
      <c r="J29" s="50"/>
      <c r="K29" s="93"/>
      <c r="L29" s="431"/>
      <c r="M29" s="432"/>
    </row>
    <row r="30" spans="2:13" ht="14.4" x14ac:dyDescent="0.3">
      <c r="B30" s="336"/>
      <c r="C30" s="131">
        <v>200</v>
      </c>
      <c r="D30" s="196"/>
      <c r="E30" s="195"/>
      <c r="F30" s="50"/>
      <c r="G30" s="50"/>
      <c r="H30" s="50"/>
      <c r="I30" s="49"/>
      <c r="J30" s="50"/>
      <c r="K30" s="93"/>
      <c r="L30" s="431"/>
      <c r="M30" s="432"/>
    </row>
    <row r="31" spans="2:13" ht="41.4" customHeight="1" thickBot="1" x14ac:dyDescent="0.35">
      <c r="B31" s="443" t="s">
        <v>931</v>
      </c>
      <c r="C31" s="444"/>
      <c r="D31" s="444"/>
      <c r="E31" s="444"/>
      <c r="F31" s="444"/>
      <c r="G31" s="444"/>
      <c r="H31" s="444"/>
      <c r="I31" s="444"/>
      <c r="J31" s="444"/>
      <c r="K31" s="444"/>
      <c r="L31" s="444"/>
      <c r="M31" s="445"/>
    </row>
    <row r="32" spans="2:13" ht="27" customHeight="1" x14ac:dyDescent="0.3"/>
    <row r="33" ht="27" hidden="1" customHeight="1" x14ac:dyDescent="0.3"/>
    <row r="34" ht="27" hidden="1" customHeight="1" x14ac:dyDescent="0.3"/>
    <row r="35" ht="27" hidden="1" customHeight="1" x14ac:dyDescent="0.3"/>
    <row r="36" ht="27" hidden="1" customHeight="1" x14ac:dyDescent="0.3"/>
    <row r="37" ht="27" hidden="1" customHeight="1" x14ac:dyDescent="0.3"/>
    <row r="38" ht="27" hidden="1" customHeight="1" x14ac:dyDescent="0.3"/>
    <row r="39" ht="27" hidden="1" customHeight="1" x14ac:dyDescent="0.3"/>
    <row r="40" ht="27" hidden="1" customHeight="1" x14ac:dyDescent="0.3"/>
    <row r="41" ht="27" hidden="1" customHeight="1" x14ac:dyDescent="0.3"/>
  </sheetData>
  <mergeCells count="33">
    <mergeCell ref="B31:M31"/>
    <mergeCell ref="L28:M28"/>
    <mergeCell ref="L29:M29"/>
    <mergeCell ref="L30:M30"/>
    <mergeCell ref="L26:M26"/>
    <mergeCell ref="L27:M27"/>
    <mergeCell ref="L19:M19"/>
    <mergeCell ref="L20:M20"/>
    <mergeCell ref="L21:M21"/>
    <mergeCell ref="L22:M22"/>
    <mergeCell ref="L6:M6"/>
    <mergeCell ref="L7:M7"/>
    <mergeCell ref="L13:M13"/>
    <mergeCell ref="L8:M8"/>
    <mergeCell ref="B18:M18"/>
    <mergeCell ref="B16:M16"/>
    <mergeCell ref="B21:B30"/>
    <mergeCell ref="B19:C20"/>
    <mergeCell ref="L23:M23"/>
    <mergeCell ref="L24:M24"/>
    <mergeCell ref="L25:M25"/>
    <mergeCell ref="B4:C5"/>
    <mergeCell ref="L12:M12"/>
    <mergeCell ref="L14:M14"/>
    <mergeCell ref="L15:M15"/>
    <mergeCell ref="B1:M1"/>
    <mergeCell ref="B3:M3"/>
    <mergeCell ref="L4:M4"/>
    <mergeCell ref="L9:M9"/>
    <mergeCell ref="L10:M10"/>
    <mergeCell ref="L11:M11"/>
    <mergeCell ref="B6:B15"/>
    <mergeCell ref="L5:M5"/>
  </mergeCells>
  <phoneticPr fontId="4" type="noConversion"/>
  <dataValidations count="4">
    <dataValidation type="decimal" operator="greaterThanOrEqual" allowBlank="1" showInputMessage="1" showErrorMessage="1" errorTitle="Incorrect data entered" error="A positive number must be entered" sqref="E6:E15 E21:E30" xr:uid="{02202B57-1BCE-4B2D-B19F-55FA5DA32442}">
      <formula1>0</formula1>
    </dataValidation>
    <dataValidation type="whole" operator="greaterThanOrEqual" allowBlank="1" showInputMessage="1" showErrorMessage="1" errorTitle="Incorrect data entered" error="The inserted value shall be numeric and non-negative, shall not contain decimals or use separators." sqref="D6:D15 D21:D30 J6:J15" xr:uid="{357CC7E7-E112-41CE-A9F5-4F2B1BD15897}">
      <formula1>0</formula1>
    </dataValidation>
    <dataValidation type="decimal" operator="greaterThanOrEqual" allowBlank="1" showInputMessage="1" showErrorMessage="1" errorTitle="Incorrect data entered" error="The inserted value shall be between 0 ≤ X ≤ 1 formatted as percentage with 2 decimal places." sqref="I6:I15" xr:uid="{56B67DA3-59A1-4FD8-83F6-BA2E1ABE2F21}">
      <formula1>0</formula1>
    </dataValidation>
    <dataValidation type="whole" allowBlank="1" showInputMessage="1" showErrorMessage="1" errorTitle="Incorrect data entered" error="A YYYY format shall be used." sqref="I21:I30" xr:uid="{15017039-6DA7-4936-AE1A-ADF6AC6EBEC6}">
      <formula1>1900</formula1>
      <formula2>2100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operator="greaterThanOrEqual" allowBlank="1" showInputMessage="1" showErrorMessage="1" errorTitle="Incorrect data entered" error="A positive number must be entered" xr:uid="{5B328BDC-46CE-41B2-A4C6-20FAD09EBCB6}">
          <x14:formula1>
            <xm:f>List!$AB$4:$AB$252</xm:f>
          </x14:formula1>
          <xm:sqref>F6:F15 F21:F30</xm:sqref>
        </x14:dataValidation>
        <x14:dataValidation type="list" allowBlank="1" showInputMessage="1" showErrorMessage="1" xr:uid="{23C45835-A5D8-4C4E-942C-E791FAC88F14}">
          <x14:formula1>
            <xm:f>List!$S$4:$S$11</xm:f>
          </x14:formula1>
          <xm:sqref>K6:K15 K21:K30</xm:sqref>
        </x14:dataValidation>
        <x14:dataValidation type="list" operator="greaterThanOrEqual" allowBlank="1" showInputMessage="1" showErrorMessage="1" errorTitle="Incorrect data entered" error="A positive number must be entered" xr:uid="{0BF7F697-AC45-4EC0-B5F1-0C85B656D355}">
          <x14:formula1>
            <xm:f>List!$A$45:$A$81</xm:f>
          </x14:formula1>
          <xm:sqref>G6:G15 G21:G30</xm:sqref>
        </x14:dataValidation>
        <x14:dataValidation type="list" operator="greaterThanOrEqual" allowBlank="1" showInputMessage="1" showErrorMessage="1" errorTitle="Incorrect data entered" error="A positive number must be entered" xr:uid="{6A4D6E46-8CF3-4E19-8B72-AE83EF68D5E5}">
          <x14:formula1>
            <xm:f>List!$K$45:$K$56</xm:f>
          </x14:formula1>
          <xm:sqref>H6:H15 H21:H30</xm:sqref>
        </x14:dataValidation>
        <x14:dataValidation type="list" operator="greaterThanOrEqual" allowBlank="1" showInputMessage="1" showErrorMessage="1" errorTitle="Incorrect data entered" error="A positive number must be entered" xr:uid="{B306CE78-994E-4328-AA27-65EA846E271E}">
          <x14:formula1>
            <xm:f>List!$K$60:$K$69</xm:f>
          </x14:formula1>
          <xm:sqref>J21:J30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BB2E-DADC-4D42-A2BE-17AC64CE5FCF}">
  <sheetPr>
    <tabColor theme="3"/>
  </sheetPr>
  <dimension ref="A1:J103"/>
  <sheetViews>
    <sheetView showGridLines="0" zoomScale="90" zoomScaleNormal="90" workbookViewId="0"/>
  </sheetViews>
  <sheetFormatPr defaultColWidth="0" defaultRowHeight="14.4" zeroHeight="1" x14ac:dyDescent="0.3"/>
  <cols>
    <col min="1" max="1" width="3.33203125" customWidth="1"/>
    <col min="2" max="2" width="60.6640625" style="2" customWidth="1"/>
    <col min="3" max="3" width="4" style="175" customWidth="1"/>
    <col min="4" max="4" width="43" style="1" customWidth="1"/>
    <col min="5" max="5" width="70.6640625" style="1" customWidth="1"/>
    <col min="6" max="6" width="33.5546875" style="1" customWidth="1"/>
    <col min="7" max="7" width="3.33203125" customWidth="1"/>
    <col min="8" max="8" width="36.6640625" hidden="1" customWidth="1"/>
    <col min="9" max="9" width="33.5546875" hidden="1" customWidth="1"/>
    <col min="10" max="10" width="15.5546875" hidden="1" customWidth="1"/>
    <col min="11" max="16384" width="33.5546875" hidden="1"/>
  </cols>
  <sheetData>
    <row r="1" spans="2:6" ht="21.6" thickBot="1" x14ac:dyDescent="0.35">
      <c r="B1" s="270" t="s">
        <v>898</v>
      </c>
      <c r="C1" s="271"/>
      <c r="D1" s="271"/>
      <c r="E1" s="271"/>
      <c r="F1" s="272"/>
    </row>
    <row r="2" spans="2:6" ht="14.7" customHeight="1" thickBot="1" x14ac:dyDescent="0.35">
      <c r="B2" s="65"/>
      <c r="C2" s="174"/>
    </row>
    <row r="3" spans="2:6" ht="15.6" x14ac:dyDescent="0.3">
      <c r="B3" s="454" t="s">
        <v>899</v>
      </c>
      <c r="C3" s="455"/>
      <c r="D3" s="455"/>
      <c r="E3" s="455"/>
      <c r="F3" s="456"/>
    </row>
    <row r="4" spans="2:6" x14ac:dyDescent="0.3">
      <c r="B4" s="448"/>
      <c r="C4" s="449"/>
      <c r="D4" s="163" t="s">
        <v>797</v>
      </c>
      <c r="E4" s="163" t="s">
        <v>810</v>
      </c>
      <c r="F4" s="139" t="s">
        <v>39</v>
      </c>
    </row>
    <row r="5" spans="2:6" x14ac:dyDescent="0.3">
      <c r="B5" s="135" t="s">
        <v>796</v>
      </c>
      <c r="C5" s="79"/>
      <c r="D5" s="149" t="s">
        <v>833</v>
      </c>
      <c r="E5" s="149" t="s">
        <v>834</v>
      </c>
      <c r="F5" s="165" t="s">
        <v>835</v>
      </c>
    </row>
    <row r="6" spans="2:6" x14ac:dyDescent="0.3">
      <c r="B6" s="126" t="s">
        <v>800</v>
      </c>
      <c r="C6" s="164" t="s">
        <v>833</v>
      </c>
      <c r="D6" s="93"/>
      <c r="E6" s="93"/>
      <c r="F6" s="66"/>
    </row>
    <row r="7" spans="2:6" x14ac:dyDescent="0.3">
      <c r="B7" s="126" t="s">
        <v>798</v>
      </c>
      <c r="C7" s="164" t="s">
        <v>834</v>
      </c>
      <c r="D7" s="93"/>
      <c r="E7" s="93"/>
      <c r="F7" s="66"/>
    </row>
    <row r="8" spans="2:6" ht="15" thickBot="1" x14ac:dyDescent="0.35">
      <c r="B8" s="127" t="s">
        <v>799</v>
      </c>
      <c r="C8" s="166" t="s">
        <v>835</v>
      </c>
      <c r="D8" s="94"/>
      <c r="E8" s="94"/>
      <c r="F8" s="67"/>
    </row>
    <row r="9" spans="2:6" ht="16.2" customHeight="1" thickBot="1" x14ac:dyDescent="0.35">
      <c r="D9"/>
      <c r="E9"/>
      <c r="F9"/>
    </row>
    <row r="10" spans="2:6" ht="16.2" thickBot="1" x14ac:dyDescent="0.35">
      <c r="B10" s="433" t="s">
        <v>900</v>
      </c>
      <c r="C10" s="434"/>
      <c r="D10" s="434"/>
      <c r="E10" s="434"/>
      <c r="F10" s="435"/>
    </row>
    <row r="11" spans="2:6" x14ac:dyDescent="0.3">
      <c r="B11" s="427"/>
      <c r="C11" s="428"/>
      <c r="D11" s="162" t="s">
        <v>52</v>
      </c>
      <c r="E11" s="162" t="s">
        <v>188</v>
      </c>
      <c r="F11" s="138" t="s">
        <v>39</v>
      </c>
    </row>
    <row r="12" spans="2:6" ht="12" customHeight="1" x14ac:dyDescent="0.3">
      <c r="B12" s="429"/>
      <c r="C12" s="430"/>
      <c r="D12" s="149" t="s">
        <v>833</v>
      </c>
      <c r="E12" s="149" t="s">
        <v>834</v>
      </c>
      <c r="F12" s="165" t="s">
        <v>835</v>
      </c>
    </row>
    <row r="13" spans="2:6" x14ac:dyDescent="0.3">
      <c r="B13" s="126" t="s">
        <v>24</v>
      </c>
      <c r="C13" s="102" t="s">
        <v>836</v>
      </c>
      <c r="D13" s="92"/>
      <c r="E13" s="93"/>
      <c r="F13" s="66"/>
    </row>
    <row r="14" spans="2:6" ht="24" x14ac:dyDescent="0.3">
      <c r="B14" s="126" t="s">
        <v>6</v>
      </c>
      <c r="C14" s="102" t="s">
        <v>837</v>
      </c>
      <c r="D14" s="93"/>
      <c r="E14" s="93"/>
      <c r="F14" s="66"/>
    </row>
    <row r="15" spans="2:6" ht="27.6" customHeight="1" x14ac:dyDescent="0.3">
      <c r="B15" s="126" t="s">
        <v>17</v>
      </c>
      <c r="C15" s="102" t="s">
        <v>838</v>
      </c>
      <c r="D15" s="93"/>
      <c r="E15" s="93"/>
      <c r="F15" s="66"/>
    </row>
    <row r="16" spans="2:6" x14ac:dyDescent="0.3">
      <c r="B16" s="126" t="s">
        <v>7</v>
      </c>
      <c r="C16" s="102" t="s">
        <v>839</v>
      </c>
      <c r="D16" s="93"/>
      <c r="E16" s="93"/>
      <c r="F16" s="66"/>
    </row>
    <row r="17" spans="2:6" ht="24" x14ac:dyDescent="0.3">
      <c r="B17" s="126" t="s">
        <v>8</v>
      </c>
      <c r="C17" s="102" t="s">
        <v>841</v>
      </c>
      <c r="D17" s="93"/>
      <c r="E17" s="93"/>
      <c r="F17" s="66"/>
    </row>
    <row r="18" spans="2:6" x14ac:dyDescent="0.3">
      <c r="B18" s="126" t="s">
        <v>10</v>
      </c>
      <c r="C18" s="102" t="s">
        <v>842</v>
      </c>
      <c r="D18" s="93"/>
      <c r="E18" s="93"/>
      <c r="F18" s="66"/>
    </row>
    <row r="19" spans="2:6" x14ac:dyDescent="0.3">
      <c r="B19" s="126" t="s">
        <v>9</v>
      </c>
      <c r="C19" s="102" t="s">
        <v>843</v>
      </c>
      <c r="D19" s="93"/>
      <c r="E19" s="93"/>
      <c r="F19" s="66"/>
    </row>
    <row r="20" spans="2:6" x14ac:dyDescent="0.3">
      <c r="B20" s="126" t="s">
        <v>11</v>
      </c>
      <c r="C20" s="102" t="s">
        <v>844</v>
      </c>
      <c r="D20" s="93"/>
      <c r="E20" s="93"/>
      <c r="F20" s="66"/>
    </row>
    <row r="21" spans="2:6" x14ac:dyDescent="0.3">
      <c r="B21" s="126" t="s">
        <v>23</v>
      </c>
      <c r="C21" s="102" t="s">
        <v>845</v>
      </c>
      <c r="D21" s="93"/>
      <c r="E21" s="93"/>
      <c r="F21" s="66"/>
    </row>
    <row r="22" spans="2:6" x14ac:dyDescent="0.3">
      <c r="B22" s="126" t="s">
        <v>12</v>
      </c>
      <c r="C22" s="102" t="s">
        <v>846</v>
      </c>
      <c r="D22" s="93"/>
      <c r="E22" s="93"/>
      <c r="F22" s="66"/>
    </row>
    <row r="23" spans="2:6" ht="15" thickBot="1" x14ac:dyDescent="0.35">
      <c r="B23" s="127" t="s">
        <v>25</v>
      </c>
      <c r="C23" s="161" t="s">
        <v>871</v>
      </c>
      <c r="D23" s="94"/>
      <c r="E23" s="94"/>
      <c r="F23" s="67"/>
    </row>
    <row r="24" spans="2:6" ht="15" thickBot="1" x14ac:dyDescent="0.35">
      <c r="B24"/>
      <c r="C24" s="123"/>
      <c r="D24"/>
      <c r="E24"/>
      <c r="F24"/>
    </row>
    <row r="25" spans="2:6" ht="16.2" thickBot="1" x14ac:dyDescent="0.35">
      <c r="B25" s="454" t="s">
        <v>901</v>
      </c>
      <c r="C25" s="455"/>
      <c r="D25" s="455"/>
      <c r="E25" s="455"/>
      <c r="F25" s="456"/>
    </row>
    <row r="26" spans="2:6" x14ac:dyDescent="0.3">
      <c r="B26" s="450"/>
      <c r="C26" s="451"/>
      <c r="D26" s="83" t="s">
        <v>52</v>
      </c>
      <c r="E26" s="83" t="s">
        <v>188</v>
      </c>
      <c r="F26" s="76" t="s">
        <v>39</v>
      </c>
    </row>
    <row r="27" spans="2:6" ht="12" customHeight="1" x14ac:dyDescent="0.3">
      <c r="B27" s="452"/>
      <c r="C27" s="453"/>
      <c r="D27" s="149" t="s">
        <v>833</v>
      </c>
      <c r="E27" s="149" t="s">
        <v>834</v>
      </c>
      <c r="F27" s="165" t="s">
        <v>835</v>
      </c>
    </row>
    <row r="28" spans="2:6" ht="24.6" customHeight="1" x14ac:dyDescent="0.3">
      <c r="B28" s="126" t="s">
        <v>13</v>
      </c>
      <c r="C28" s="173">
        <v>150</v>
      </c>
      <c r="D28" s="92"/>
      <c r="E28" s="93"/>
      <c r="F28" s="66"/>
    </row>
    <row r="29" spans="2:6" ht="24" x14ac:dyDescent="0.3">
      <c r="B29" s="126" t="s">
        <v>18</v>
      </c>
      <c r="C29" s="173">
        <v>160</v>
      </c>
      <c r="D29" s="92"/>
      <c r="E29" s="93"/>
      <c r="F29" s="66"/>
    </row>
    <row r="30" spans="2:6" ht="24" x14ac:dyDescent="0.3">
      <c r="B30" s="126" t="s">
        <v>795</v>
      </c>
      <c r="C30" s="173">
        <v>170</v>
      </c>
      <c r="D30" s="113"/>
      <c r="E30" s="446"/>
      <c r="F30" s="66"/>
    </row>
    <row r="31" spans="2:6" ht="36" x14ac:dyDescent="0.3">
      <c r="B31" s="126" t="s">
        <v>774</v>
      </c>
      <c r="C31" s="173">
        <v>180</v>
      </c>
      <c r="D31" s="110"/>
      <c r="E31" s="446"/>
      <c r="F31" s="66"/>
    </row>
    <row r="32" spans="2:6" ht="15" thickBot="1" x14ac:dyDescent="0.35">
      <c r="B32" s="127" t="s">
        <v>822</v>
      </c>
      <c r="C32" s="176">
        <v>190</v>
      </c>
      <c r="D32" s="77"/>
      <c r="E32" s="447"/>
      <c r="F32" s="67"/>
    </row>
    <row r="33" spans="2:6" ht="15" thickBot="1" x14ac:dyDescent="0.35">
      <c r="B33"/>
      <c r="C33" s="123"/>
      <c r="D33"/>
      <c r="E33"/>
      <c r="F33"/>
    </row>
    <row r="34" spans="2:6" ht="16.2" thickBot="1" x14ac:dyDescent="0.35">
      <c r="B34" s="433" t="s">
        <v>902</v>
      </c>
      <c r="C34" s="434"/>
      <c r="D34" s="434"/>
      <c r="E34" s="434"/>
      <c r="F34" s="435"/>
    </row>
    <row r="35" spans="2:6" x14ac:dyDescent="0.3">
      <c r="B35" s="450"/>
      <c r="C35" s="451"/>
      <c r="D35" s="171" t="s">
        <v>52</v>
      </c>
      <c r="E35" s="171" t="s">
        <v>188</v>
      </c>
      <c r="F35" s="172" t="s">
        <v>39</v>
      </c>
    </row>
    <row r="36" spans="2:6" ht="12" customHeight="1" x14ac:dyDescent="0.3">
      <c r="B36" s="452"/>
      <c r="C36" s="453"/>
      <c r="D36" s="149" t="s">
        <v>833</v>
      </c>
      <c r="E36" s="149" t="s">
        <v>834</v>
      </c>
      <c r="F36" s="165" t="s">
        <v>835</v>
      </c>
    </row>
    <row r="37" spans="2:6" ht="27" customHeight="1" x14ac:dyDescent="0.3">
      <c r="B37" s="167" t="s">
        <v>789</v>
      </c>
      <c r="C37" s="173">
        <v>200</v>
      </c>
      <c r="D37" s="168"/>
      <c r="E37" s="169"/>
      <c r="F37" s="170"/>
    </row>
    <row r="38" spans="2:6" x14ac:dyDescent="0.3">
      <c r="B38" s="126" t="s">
        <v>793</v>
      </c>
      <c r="C38" s="218" t="s">
        <v>878</v>
      </c>
      <c r="D38" s="92"/>
      <c r="E38" s="93"/>
      <c r="F38" s="66"/>
    </row>
    <row r="39" spans="2:6" ht="30.6" customHeight="1" thickBot="1" x14ac:dyDescent="0.35">
      <c r="B39" s="127" t="s">
        <v>794</v>
      </c>
      <c r="C39" s="161" t="s">
        <v>879</v>
      </c>
      <c r="D39" s="95"/>
      <c r="E39" s="94"/>
      <c r="F39" s="67"/>
    </row>
    <row r="40" spans="2:6" ht="15" thickBot="1" x14ac:dyDescent="0.35">
      <c r="B40"/>
      <c r="C40" s="123"/>
      <c r="D40"/>
      <c r="E40"/>
      <c r="F40"/>
    </row>
    <row r="41" spans="2:6" ht="16.2" thickBot="1" x14ac:dyDescent="0.35">
      <c r="B41" s="433" t="s">
        <v>903</v>
      </c>
      <c r="C41" s="434"/>
      <c r="D41" s="434"/>
      <c r="E41" s="434"/>
      <c r="F41" s="435"/>
    </row>
    <row r="42" spans="2:6" x14ac:dyDescent="0.3">
      <c r="B42" s="450"/>
      <c r="C42" s="451"/>
      <c r="D42" s="162" t="s">
        <v>52</v>
      </c>
      <c r="E42" s="162" t="s">
        <v>188</v>
      </c>
      <c r="F42" s="178" t="s">
        <v>39</v>
      </c>
    </row>
    <row r="43" spans="2:6" ht="12" customHeight="1" x14ac:dyDescent="0.3">
      <c r="B43" s="452"/>
      <c r="C43" s="453"/>
      <c r="D43" s="149" t="s">
        <v>833</v>
      </c>
      <c r="E43" s="149" t="s">
        <v>834</v>
      </c>
      <c r="F43" s="165" t="s">
        <v>835</v>
      </c>
    </row>
    <row r="44" spans="2:6" x14ac:dyDescent="0.3">
      <c r="B44" s="126" t="s">
        <v>14</v>
      </c>
      <c r="C44" s="218" t="s">
        <v>880</v>
      </c>
      <c r="D44" s="92"/>
      <c r="E44" s="92"/>
      <c r="F44" s="66"/>
    </row>
    <row r="45" spans="2:6" x14ac:dyDescent="0.3">
      <c r="B45" s="126" t="s">
        <v>15</v>
      </c>
      <c r="C45" s="218" t="s">
        <v>881</v>
      </c>
      <c r="D45" s="92"/>
      <c r="E45" s="92"/>
      <c r="F45" s="66"/>
    </row>
    <row r="46" spans="2:6" x14ac:dyDescent="0.3">
      <c r="B46" s="126" t="s">
        <v>19</v>
      </c>
      <c r="C46" s="218" t="s">
        <v>882</v>
      </c>
      <c r="D46" s="92"/>
      <c r="E46" s="92"/>
      <c r="F46" s="66"/>
    </row>
    <row r="47" spans="2:6" ht="36.6" thickBot="1" x14ac:dyDescent="0.35">
      <c r="B47" s="127" t="s">
        <v>26</v>
      </c>
      <c r="C47" s="161" t="s">
        <v>883</v>
      </c>
      <c r="D47" s="95"/>
      <c r="E47" s="95"/>
      <c r="F47" s="67"/>
    </row>
    <row r="48" spans="2:6" s="14" customFormat="1" x14ac:dyDescent="0.3">
      <c r="B48" s="96"/>
      <c r="C48" s="96"/>
      <c r="D48" s="97"/>
      <c r="E48" s="97"/>
      <c r="F48" s="97"/>
    </row>
    <row r="49" spans="2:6" hidden="1" x14ac:dyDescent="0.3">
      <c r="B49" s="68"/>
      <c r="C49" s="177"/>
      <c r="D49" s="69"/>
      <c r="E49" s="69"/>
      <c r="F49" s="69"/>
    </row>
    <row r="50" spans="2:6" ht="19.5" hidden="1" customHeight="1" x14ac:dyDescent="0.3"/>
    <row r="51" spans="2:6" ht="19.5" hidden="1" customHeight="1" x14ac:dyDescent="0.3">
      <c r="B51"/>
      <c r="C51" s="123"/>
      <c r="D51"/>
      <c r="E51"/>
      <c r="F51"/>
    </row>
    <row r="52" spans="2:6" ht="19.5" hidden="1" customHeight="1" x14ac:dyDescent="0.3">
      <c r="B52"/>
      <c r="C52" s="123"/>
      <c r="D52"/>
      <c r="E52"/>
      <c r="F52"/>
    </row>
    <row r="53" spans="2:6" ht="19.5" hidden="1" customHeight="1" x14ac:dyDescent="0.3">
      <c r="B53"/>
      <c r="C53" s="123"/>
      <c r="D53"/>
      <c r="E53"/>
      <c r="F53"/>
    </row>
    <row r="54" spans="2:6" hidden="1" x14ac:dyDescent="0.3">
      <c r="B54"/>
      <c r="C54" s="123"/>
      <c r="D54"/>
      <c r="E54"/>
      <c r="F54"/>
    </row>
    <row r="55" spans="2:6" hidden="1" x14ac:dyDescent="0.3">
      <c r="B55"/>
      <c r="C55" s="123"/>
      <c r="D55"/>
      <c r="E55"/>
      <c r="F55"/>
    </row>
    <row r="56" spans="2:6" hidden="1" x14ac:dyDescent="0.3">
      <c r="B56"/>
      <c r="C56" s="123"/>
      <c r="D56"/>
      <c r="E56"/>
      <c r="F56"/>
    </row>
    <row r="57" spans="2:6" hidden="1" x14ac:dyDescent="0.3">
      <c r="B57"/>
      <c r="C57" s="123"/>
      <c r="D57"/>
      <c r="E57"/>
      <c r="F57"/>
    </row>
    <row r="58" spans="2:6" hidden="1" x14ac:dyDescent="0.3">
      <c r="B58"/>
      <c r="C58" s="123"/>
      <c r="D58"/>
      <c r="E58"/>
      <c r="F58"/>
    </row>
    <row r="59" spans="2:6" hidden="1" x14ac:dyDescent="0.3">
      <c r="B59"/>
      <c r="C59" s="123"/>
      <c r="D59"/>
      <c r="E59"/>
      <c r="F59"/>
    </row>
    <row r="60" spans="2:6" hidden="1" x14ac:dyDescent="0.3">
      <c r="B60"/>
      <c r="C60" s="123"/>
      <c r="D60"/>
      <c r="E60"/>
      <c r="F60"/>
    </row>
    <row r="61" spans="2:6" hidden="1" x14ac:dyDescent="0.3">
      <c r="B61"/>
      <c r="C61" s="123"/>
      <c r="D61"/>
      <c r="E61"/>
      <c r="F61"/>
    </row>
    <row r="62" spans="2:6" hidden="1" x14ac:dyDescent="0.3">
      <c r="B62"/>
      <c r="C62" s="123"/>
      <c r="D62"/>
      <c r="E62"/>
      <c r="F62"/>
    </row>
    <row r="63" spans="2:6" hidden="1" x14ac:dyDescent="0.3">
      <c r="B63"/>
      <c r="C63" s="123"/>
      <c r="D63"/>
      <c r="E63"/>
      <c r="F63"/>
    </row>
    <row r="64" spans="2:6" hidden="1" x14ac:dyDescent="0.3">
      <c r="B64"/>
      <c r="C64" s="123"/>
      <c r="D64"/>
      <c r="E64"/>
      <c r="F64"/>
    </row>
    <row r="65" spans="3:3" customFormat="1" hidden="1" x14ac:dyDescent="0.3">
      <c r="C65" s="123"/>
    </row>
    <row r="66" spans="3:3" customFormat="1" hidden="1" x14ac:dyDescent="0.3">
      <c r="C66" s="123"/>
    </row>
    <row r="67" spans="3:3" customFormat="1" hidden="1" x14ac:dyDescent="0.3">
      <c r="C67" s="123"/>
    </row>
    <row r="68" spans="3:3" customFormat="1" hidden="1" x14ac:dyDescent="0.3">
      <c r="C68" s="123"/>
    </row>
    <row r="69" spans="3:3" customFormat="1" hidden="1" x14ac:dyDescent="0.3">
      <c r="C69" s="123"/>
    </row>
    <row r="70" spans="3:3" customFormat="1" hidden="1" x14ac:dyDescent="0.3">
      <c r="C70" s="123"/>
    </row>
    <row r="71" spans="3:3" customFormat="1" hidden="1" x14ac:dyDescent="0.3">
      <c r="C71" s="123"/>
    </row>
    <row r="72" spans="3:3" customFormat="1" hidden="1" x14ac:dyDescent="0.3">
      <c r="C72" s="123"/>
    </row>
    <row r="73" spans="3:3" customFormat="1" hidden="1" x14ac:dyDescent="0.3">
      <c r="C73" s="123"/>
    </row>
    <row r="74" spans="3:3" customFormat="1" hidden="1" x14ac:dyDescent="0.3">
      <c r="C74" s="123"/>
    </row>
    <row r="75" spans="3:3" customFormat="1" hidden="1" x14ac:dyDescent="0.3">
      <c r="C75" s="123"/>
    </row>
    <row r="76" spans="3:3" customFormat="1" hidden="1" x14ac:dyDescent="0.3">
      <c r="C76" s="123"/>
    </row>
    <row r="77" spans="3:3" customFormat="1" hidden="1" x14ac:dyDescent="0.3">
      <c r="C77" s="123"/>
    </row>
    <row r="78" spans="3:3" customFormat="1" hidden="1" x14ac:dyDescent="0.3">
      <c r="C78" s="123"/>
    </row>
    <row r="79" spans="3:3" customFormat="1" hidden="1" x14ac:dyDescent="0.3">
      <c r="C79" s="123"/>
    </row>
    <row r="80" spans="3:3" customFormat="1" hidden="1" x14ac:dyDescent="0.3">
      <c r="C80" s="123"/>
    </row>
    <row r="81" spans="3:3" customFormat="1" hidden="1" x14ac:dyDescent="0.3">
      <c r="C81" s="123"/>
    </row>
    <row r="82" spans="3:3" customFormat="1" hidden="1" x14ac:dyDescent="0.3">
      <c r="C82" s="123"/>
    </row>
    <row r="83" spans="3:3" customFormat="1" hidden="1" x14ac:dyDescent="0.3">
      <c r="C83" s="123"/>
    </row>
    <row r="84" spans="3:3" customFormat="1" hidden="1" x14ac:dyDescent="0.3">
      <c r="C84" s="123"/>
    </row>
    <row r="85" spans="3:3" customFormat="1" hidden="1" x14ac:dyDescent="0.3">
      <c r="C85" s="123"/>
    </row>
    <row r="86" spans="3:3" customFormat="1" hidden="1" x14ac:dyDescent="0.3">
      <c r="C86" s="123"/>
    </row>
    <row r="87" spans="3:3" customFormat="1" hidden="1" x14ac:dyDescent="0.3">
      <c r="C87" s="123"/>
    </row>
    <row r="88" spans="3:3" customFormat="1" hidden="1" x14ac:dyDescent="0.3">
      <c r="C88" s="123"/>
    </row>
    <row r="89" spans="3:3" customFormat="1" hidden="1" x14ac:dyDescent="0.3">
      <c r="C89" s="123"/>
    </row>
    <row r="90" spans="3:3" customFormat="1" hidden="1" x14ac:dyDescent="0.3">
      <c r="C90" s="123"/>
    </row>
    <row r="91" spans="3:3" customFormat="1" hidden="1" x14ac:dyDescent="0.3">
      <c r="C91" s="123"/>
    </row>
    <row r="92" spans="3:3" customFormat="1" hidden="1" x14ac:dyDescent="0.3">
      <c r="C92" s="123"/>
    </row>
    <row r="93" spans="3:3" customFormat="1" hidden="1" x14ac:dyDescent="0.3">
      <c r="C93" s="123"/>
    </row>
    <row r="94" spans="3:3" customFormat="1" hidden="1" x14ac:dyDescent="0.3">
      <c r="C94" s="123"/>
    </row>
    <row r="95" spans="3:3" customFormat="1" hidden="1" x14ac:dyDescent="0.3">
      <c r="C95" s="123"/>
    </row>
    <row r="96" spans="3:3" customFormat="1" hidden="1" x14ac:dyDescent="0.3">
      <c r="C96" s="123"/>
    </row>
    <row r="97" spans="2:6" hidden="1" x14ac:dyDescent="0.3">
      <c r="B97"/>
      <c r="C97" s="123"/>
      <c r="D97"/>
      <c r="E97"/>
      <c r="F97"/>
    </row>
    <row r="98" spans="2:6" hidden="1" x14ac:dyDescent="0.3">
      <c r="B98"/>
      <c r="C98" s="123"/>
      <c r="D98"/>
      <c r="E98"/>
      <c r="F98"/>
    </row>
    <row r="99" spans="2:6" hidden="1" x14ac:dyDescent="0.3">
      <c r="B99"/>
      <c r="C99" s="123"/>
      <c r="D99"/>
      <c r="E99"/>
      <c r="F99"/>
    </row>
    <row r="100" spans="2:6" hidden="1" x14ac:dyDescent="0.3">
      <c r="B100"/>
      <c r="C100" s="123"/>
      <c r="D100"/>
      <c r="E100"/>
      <c r="F100"/>
    </row>
    <row r="101" spans="2:6" x14ac:dyDescent="0.3"/>
    <row r="102" spans="2:6" x14ac:dyDescent="0.3"/>
    <row r="103" spans="2:6" x14ac:dyDescent="0.3"/>
  </sheetData>
  <mergeCells count="12">
    <mergeCell ref="B34:F34"/>
    <mergeCell ref="B35:C36"/>
    <mergeCell ref="B41:F41"/>
    <mergeCell ref="B42:C43"/>
    <mergeCell ref="B3:F3"/>
    <mergeCell ref="B1:F1"/>
    <mergeCell ref="E30:E32"/>
    <mergeCell ref="B4:C4"/>
    <mergeCell ref="B10:F10"/>
    <mergeCell ref="B11:C12"/>
    <mergeCell ref="B26:C27"/>
    <mergeCell ref="B25:F25"/>
  </mergeCells>
  <phoneticPr fontId="4" type="noConversion"/>
  <dataValidations count="3">
    <dataValidation type="list" allowBlank="1" showInputMessage="1" showErrorMessage="1" sqref="E6:E8" xr:uid="{9B064B39-8BFE-4632-A22D-46764F4C67FB}">
      <formula1>INDIRECT(D6)</formula1>
    </dataValidation>
    <dataValidation type="list" allowBlank="1" showInputMessage="1" showErrorMessage="1" sqref="D6:D8" xr:uid="{61B6D91F-BCD2-4187-91CC-F53669D994FB}">
      <formula1>Technologies</formula1>
    </dataValidation>
    <dataValidation type="whole" operator="greaterThanOrEqual" allowBlank="1" showInputMessage="1" showErrorMessage="1" error="The inserted value shall be numeric and non-negative, shall not contain decimals or use separators." sqref="D30:D32" xr:uid="{7717E537-FD97-44AE-A9D3-6807A385F42A}">
      <formul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B20F829-976B-44AE-BCFF-0E725D1D46D1}">
          <x14:formula1>
            <xm:f>List!$A$92:$A$97</xm:f>
          </x14:formula1>
          <xm:sqref>D28:D29 D13:D23 D44:D46 D37:D39</xm:sqref>
        </x14:dataValidation>
        <x14:dataValidation type="list" allowBlank="1" showInputMessage="1" showErrorMessage="1" xr:uid="{6E106E18-0317-4F60-AE24-A3A7C89F14FF}">
          <x14:formula1>
            <xm:f>List!$G$90:$G$95</xm:f>
          </x14:formula1>
          <xm:sqref>E28:E29 E13:E23 E44:E46 E37:E39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1E24-A761-42A0-ADE5-73797F7E8023}">
  <sheetPr>
    <tabColor theme="3"/>
  </sheetPr>
  <dimension ref="A1:G52"/>
  <sheetViews>
    <sheetView showGridLines="0" zoomScaleNormal="100" workbookViewId="0">
      <selection activeCell="B11" sqref="B11"/>
    </sheetView>
  </sheetViews>
  <sheetFormatPr defaultColWidth="0" defaultRowHeight="14.4" zeroHeight="1" x14ac:dyDescent="0.3"/>
  <cols>
    <col min="1" max="1" width="3.33203125" customWidth="1"/>
    <col min="2" max="2" width="65.33203125" customWidth="1"/>
    <col min="3" max="3" width="4" bestFit="1" customWidth="1"/>
    <col min="4" max="4" width="35.109375" customWidth="1"/>
    <col min="5" max="5" width="49.44140625" style="123" bestFit="1" customWidth="1"/>
    <col min="6" max="6" width="22.6640625" customWidth="1"/>
    <col min="7" max="7" width="3.5546875" customWidth="1"/>
    <col min="8" max="16384" width="11.33203125" hidden="1"/>
  </cols>
  <sheetData>
    <row r="1" spans="1:6" ht="21.6" thickBot="1" x14ac:dyDescent="0.35">
      <c r="A1" s="1"/>
      <c r="B1" s="270" t="s">
        <v>855</v>
      </c>
      <c r="C1" s="271"/>
      <c r="D1" s="271"/>
      <c r="E1" s="271"/>
      <c r="F1" s="272"/>
    </row>
    <row r="2" spans="1:6" ht="15" thickBot="1" x14ac:dyDescent="0.35">
      <c r="A2" s="1"/>
      <c r="B2" s="68"/>
      <c r="C2" s="68"/>
      <c r="D2" s="69"/>
      <c r="E2" s="120"/>
      <c r="F2" s="69"/>
    </row>
    <row r="3" spans="1:6" ht="16.2" thickBot="1" x14ac:dyDescent="0.35">
      <c r="A3" s="1"/>
      <c r="B3" s="433" t="s">
        <v>856</v>
      </c>
      <c r="C3" s="434"/>
      <c r="D3" s="434"/>
      <c r="E3" s="434"/>
      <c r="F3" s="435"/>
    </row>
    <row r="4" spans="1:6" ht="15.6" customHeight="1" x14ac:dyDescent="0.3">
      <c r="A4" s="1"/>
      <c r="B4" s="463"/>
      <c r="C4" s="464"/>
      <c r="D4" s="117" t="s">
        <v>950</v>
      </c>
      <c r="E4" s="467" t="s">
        <v>922</v>
      </c>
      <c r="F4" s="468"/>
    </row>
    <row r="5" spans="1:6" ht="12" customHeight="1" x14ac:dyDescent="0.3">
      <c r="A5" s="1"/>
      <c r="B5" s="465"/>
      <c r="C5" s="466"/>
      <c r="D5" s="218" t="s">
        <v>833</v>
      </c>
      <c r="E5" s="469" t="s">
        <v>834</v>
      </c>
      <c r="F5" s="470"/>
    </row>
    <row r="6" spans="1:6" x14ac:dyDescent="0.3">
      <c r="A6" s="1"/>
      <c r="B6" s="126" t="s">
        <v>957</v>
      </c>
      <c r="C6" s="109" t="s">
        <v>833</v>
      </c>
      <c r="D6" s="113" t="s">
        <v>1001</v>
      </c>
      <c r="E6" s="383" t="s">
        <v>958</v>
      </c>
      <c r="F6" s="457"/>
    </row>
    <row r="7" spans="1:6" x14ac:dyDescent="0.3">
      <c r="A7" s="1"/>
      <c r="B7" s="126" t="s">
        <v>959</v>
      </c>
      <c r="C7" s="109" t="s">
        <v>834</v>
      </c>
      <c r="D7" s="113" t="s">
        <v>1001</v>
      </c>
      <c r="E7" s="383" t="s">
        <v>958</v>
      </c>
      <c r="F7" s="457"/>
    </row>
    <row r="8" spans="1:6" x14ac:dyDescent="0.3">
      <c r="A8" s="1"/>
      <c r="B8" s="126" t="s">
        <v>960</v>
      </c>
      <c r="C8" s="109" t="s">
        <v>835</v>
      </c>
      <c r="D8" s="113" t="s">
        <v>1001</v>
      </c>
      <c r="E8" s="383" t="s">
        <v>958</v>
      </c>
      <c r="F8" s="457"/>
    </row>
    <row r="9" spans="1:6" x14ac:dyDescent="0.3">
      <c r="A9" s="1"/>
      <c r="B9" s="126" t="s">
        <v>961</v>
      </c>
      <c r="C9" s="109" t="s">
        <v>836</v>
      </c>
      <c r="D9" s="113" t="s">
        <v>1001</v>
      </c>
      <c r="E9" s="383" t="s">
        <v>958</v>
      </c>
      <c r="F9" s="457"/>
    </row>
    <row r="10" spans="1:6" x14ac:dyDescent="0.3">
      <c r="A10" s="1"/>
      <c r="B10" s="126" t="s">
        <v>962</v>
      </c>
      <c r="C10" s="109" t="s">
        <v>837</v>
      </c>
      <c r="D10" s="113" t="s">
        <v>1001</v>
      </c>
      <c r="E10" s="383" t="s">
        <v>958</v>
      </c>
      <c r="F10" s="457"/>
    </row>
    <row r="11" spans="1:6" x14ac:dyDescent="0.3">
      <c r="A11" s="1"/>
      <c r="B11" s="126" t="s">
        <v>1006</v>
      </c>
      <c r="C11" s="109" t="s">
        <v>838</v>
      </c>
      <c r="D11" s="113" t="s">
        <v>1001</v>
      </c>
      <c r="E11" s="383" t="s">
        <v>958</v>
      </c>
      <c r="F11" s="457"/>
    </row>
    <row r="12" spans="1:6" ht="24" x14ac:dyDescent="0.3">
      <c r="A12" s="1"/>
      <c r="B12" s="126" t="s">
        <v>963</v>
      </c>
      <c r="C12" s="109" t="s">
        <v>839</v>
      </c>
      <c r="D12" s="113" t="s">
        <v>1001</v>
      </c>
      <c r="E12" s="383" t="s">
        <v>958</v>
      </c>
      <c r="F12" s="457"/>
    </row>
    <row r="13" spans="1:6" ht="24" x14ac:dyDescent="0.3">
      <c r="A13" s="1"/>
      <c r="B13" s="126" t="s">
        <v>964</v>
      </c>
      <c r="C13" s="109" t="s">
        <v>841</v>
      </c>
      <c r="D13" s="113" t="s">
        <v>1001</v>
      </c>
      <c r="E13" s="383" t="s">
        <v>958</v>
      </c>
      <c r="F13" s="457"/>
    </row>
    <row r="14" spans="1:6" ht="24.6" thickBot="1" x14ac:dyDescent="0.35">
      <c r="A14" s="1"/>
      <c r="B14" s="127" t="s">
        <v>965</v>
      </c>
      <c r="C14" s="125" t="s">
        <v>842</v>
      </c>
      <c r="D14" s="113" t="s">
        <v>1001</v>
      </c>
      <c r="E14" s="383" t="s">
        <v>958</v>
      </c>
      <c r="F14" s="457"/>
    </row>
    <row r="15" spans="1:6" ht="15" thickBot="1" x14ac:dyDescent="0.35">
      <c r="A15" s="1"/>
    </row>
    <row r="16" spans="1:6" ht="16.2" thickBot="1" x14ac:dyDescent="0.35">
      <c r="A16" s="1"/>
      <c r="B16" s="458" t="s">
        <v>857</v>
      </c>
      <c r="C16" s="459"/>
      <c r="D16" s="459"/>
      <c r="E16" s="459"/>
      <c r="F16" s="460"/>
    </row>
    <row r="17" spans="1:6" x14ac:dyDescent="0.3">
      <c r="A17" s="1"/>
      <c r="B17" s="461"/>
      <c r="C17" s="462"/>
      <c r="D17" s="227" t="s">
        <v>814</v>
      </c>
      <c r="E17" s="227" t="s">
        <v>966</v>
      </c>
      <c r="F17" s="76" t="s">
        <v>922</v>
      </c>
    </row>
    <row r="18" spans="1:6" ht="12" customHeight="1" x14ac:dyDescent="0.3">
      <c r="A18" s="1"/>
      <c r="B18" s="310"/>
      <c r="C18" s="311"/>
      <c r="D18" s="218" t="s">
        <v>833</v>
      </c>
      <c r="E18" s="218" t="s">
        <v>834</v>
      </c>
      <c r="F18" s="219" t="s">
        <v>835</v>
      </c>
    </row>
    <row r="19" spans="1:6" ht="25.8" customHeight="1" x14ac:dyDescent="0.3">
      <c r="A19" s="1"/>
      <c r="B19" s="126" t="s">
        <v>967</v>
      </c>
      <c r="C19" s="109" t="s">
        <v>843</v>
      </c>
      <c r="D19" s="121" t="s">
        <v>958</v>
      </c>
      <c r="E19" s="203" t="s">
        <v>1001</v>
      </c>
      <c r="F19" s="118" t="s">
        <v>958</v>
      </c>
    </row>
    <row r="20" spans="1:6" ht="25.8" customHeight="1" x14ac:dyDescent="0.3">
      <c r="A20" s="1"/>
      <c r="B20" s="126" t="s">
        <v>968</v>
      </c>
      <c r="C20" s="109" t="s">
        <v>844</v>
      </c>
      <c r="D20" s="121" t="s">
        <v>958</v>
      </c>
      <c r="E20" s="203" t="s">
        <v>1001</v>
      </c>
      <c r="F20" s="118" t="s">
        <v>958</v>
      </c>
    </row>
    <row r="21" spans="1:6" ht="25.8" customHeight="1" x14ac:dyDescent="0.3">
      <c r="A21" s="1"/>
      <c r="B21" s="126" t="s">
        <v>969</v>
      </c>
      <c r="C21" s="109" t="s">
        <v>845</v>
      </c>
      <c r="D21" s="121" t="s">
        <v>958</v>
      </c>
      <c r="E21" s="203" t="s">
        <v>1001</v>
      </c>
      <c r="F21" s="118" t="s">
        <v>958</v>
      </c>
    </row>
    <row r="22" spans="1:6" ht="25.8" customHeight="1" x14ac:dyDescent="0.3">
      <c r="A22" s="1"/>
      <c r="B22" s="126" t="s">
        <v>970</v>
      </c>
      <c r="C22" s="109" t="s">
        <v>846</v>
      </c>
      <c r="D22" s="121" t="s">
        <v>958</v>
      </c>
      <c r="E22" s="203" t="s">
        <v>1001</v>
      </c>
      <c r="F22" s="118" t="s">
        <v>958</v>
      </c>
    </row>
    <row r="23" spans="1:6" ht="25.8" customHeight="1" x14ac:dyDescent="0.3">
      <c r="A23" s="1"/>
      <c r="B23" s="126" t="s">
        <v>971</v>
      </c>
      <c r="C23" s="109" t="s">
        <v>871</v>
      </c>
      <c r="D23" s="121" t="s">
        <v>958</v>
      </c>
      <c r="E23" s="203" t="s">
        <v>1001</v>
      </c>
      <c r="F23" s="118" t="s">
        <v>958</v>
      </c>
    </row>
    <row r="24" spans="1:6" ht="25.8" customHeight="1" x14ac:dyDescent="0.3">
      <c r="A24" s="1"/>
      <c r="B24" s="126" t="s">
        <v>972</v>
      </c>
      <c r="C24" s="109" t="s">
        <v>872</v>
      </c>
      <c r="D24" s="121" t="s">
        <v>958</v>
      </c>
      <c r="E24" s="203" t="s">
        <v>1001</v>
      </c>
      <c r="F24" s="118" t="s">
        <v>958</v>
      </c>
    </row>
    <row r="25" spans="1:6" ht="25.8" customHeight="1" x14ac:dyDescent="0.3">
      <c r="A25" s="1"/>
      <c r="B25" s="126" t="s">
        <v>973</v>
      </c>
      <c r="C25" s="109" t="s">
        <v>873</v>
      </c>
      <c r="D25" s="121" t="s">
        <v>958</v>
      </c>
      <c r="E25" s="203" t="s">
        <v>1001</v>
      </c>
      <c r="F25" s="118" t="s">
        <v>958</v>
      </c>
    </row>
    <row r="26" spans="1:6" ht="25.8" customHeight="1" x14ac:dyDescent="0.3">
      <c r="A26" s="1"/>
      <c r="B26" s="126" t="s">
        <v>974</v>
      </c>
      <c r="C26" s="109" t="s">
        <v>874</v>
      </c>
      <c r="D26" s="121" t="s">
        <v>958</v>
      </c>
      <c r="E26" s="203" t="s">
        <v>1001</v>
      </c>
      <c r="F26" s="118" t="s">
        <v>958</v>
      </c>
    </row>
    <row r="27" spans="1:6" ht="25.8" customHeight="1" x14ac:dyDescent="0.3">
      <c r="A27" s="1"/>
      <c r="B27" s="126" t="s">
        <v>975</v>
      </c>
      <c r="C27" s="109" t="s">
        <v>875</v>
      </c>
      <c r="D27" s="121" t="s">
        <v>958</v>
      </c>
      <c r="E27" s="203" t="s">
        <v>1001</v>
      </c>
      <c r="F27" s="118" t="s">
        <v>958</v>
      </c>
    </row>
    <row r="28" spans="1:6" ht="25.8" customHeight="1" x14ac:dyDescent="0.3">
      <c r="A28" s="1"/>
      <c r="B28" s="126" t="s">
        <v>976</v>
      </c>
      <c r="C28" s="109" t="s">
        <v>876</v>
      </c>
      <c r="D28" s="121" t="s">
        <v>958</v>
      </c>
      <c r="E28" s="203" t="s">
        <v>1001</v>
      </c>
      <c r="F28" s="118" t="s">
        <v>958</v>
      </c>
    </row>
    <row r="29" spans="1:6" ht="25.8" customHeight="1" x14ac:dyDescent="0.3">
      <c r="A29" s="1"/>
      <c r="B29" s="126" t="s">
        <v>977</v>
      </c>
      <c r="C29" s="109" t="s">
        <v>877</v>
      </c>
      <c r="D29" s="121" t="s">
        <v>958</v>
      </c>
      <c r="E29" s="203" t="s">
        <v>1001</v>
      </c>
      <c r="F29" s="118" t="s">
        <v>958</v>
      </c>
    </row>
    <row r="30" spans="1:6" ht="25.8" customHeight="1" x14ac:dyDescent="0.3">
      <c r="A30" s="1"/>
      <c r="B30" s="126" t="s">
        <v>978</v>
      </c>
      <c r="C30" s="109" t="s">
        <v>878</v>
      </c>
      <c r="D30" s="121" t="s">
        <v>958</v>
      </c>
      <c r="E30" s="203" t="s">
        <v>1000</v>
      </c>
      <c r="F30" s="118" t="s">
        <v>958</v>
      </c>
    </row>
    <row r="31" spans="1:6" ht="25.8" customHeight="1" x14ac:dyDescent="0.3">
      <c r="A31" s="1"/>
      <c r="B31" s="126" t="s">
        <v>979</v>
      </c>
      <c r="C31" s="109" t="s">
        <v>879</v>
      </c>
      <c r="D31" s="121" t="s">
        <v>958</v>
      </c>
      <c r="E31" s="203" t="s">
        <v>1001</v>
      </c>
      <c r="F31" s="118" t="s">
        <v>958</v>
      </c>
    </row>
    <row r="32" spans="1:6" ht="25.8" customHeight="1" x14ac:dyDescent="0.3">
      <c r="A32" s="1"/>
      <c r="B32" s="126" t="s">
        <v>980</v>
      </c>
      <c r="C32" s="109" t="s">
        <v>880</v>
      </c>
      <c r="D32" s="121" t="s">
        <v>958</v>
      </c>
      <c r="E32" s="203" t="s">
        <v>1001</v>
      </c>
      <c r="F32" s="118" t="s">
        <v>958</v>
      </c>
    </row>
    <row r="33" spans="1:6" ht="25.8" customHeight="1" x14ac:dyDescent="0.3">
      <c r="A33" s="1"/>
      <c r="B33" s="126" t="s">
        <v>981</v>
      </c>
      <c r="C33" s="109" t="s">
        <v>881</v>
      </c>
      <c r="D33" s="121" t="s">
        <v>958</v>
      </c>
      <c r="E33" s="203" t="s">
        <v>1001</v>
      </c>
      <c r="F33" s="118" t="s">
        <v>958</v>
      </c>
    </row>
    <row r="34" spans="1:6" ht="25.8" customHeight="1" x14ac:dyDescent="0.3">
      <c r="A34" s="1"/>
      <c r="B34" s="126" t="s">
        <v>982</v>
      </c>
      <c r="C34" s="109" t="s">
        <v>882</v>
      </c>
      <c r="D34" s="121" t="s">
        <v>958</v>
      </c>
      <c r="E34" s="203" t="s">
        <v>1001</v>
      </c>
      <c r="F34" s="118" t="s">
        <v>958</v>
      </c>
    </row>
    <row r="35" spans="1:6" ht="25.8" customHeight="1" x14ac:dyDescent="0.3">
      <c r="A35" s="1"/>
      <c r="B35" s="126" t="s">
        <v>983</v>
      </c>
      <c r="C35" s="109" t="s">
        <v>883</v>
      </c>
      <c r="D35" s="121" t="s">
        <v>958</v>
      </c>
      <c r="E35" s="203" t="s">
        <v>1001</v>
      </c>
      <c r="F35" s="118" t="s">
        <v>958</v>
      </c>
    </row>
    <row r="36" spans="1:6" ht="25.8" customHeight="1" x14ac:dyDescent="0.3">
      <c r="A36" s="1"/>
      <c r="B36" s="126" t="s">
        <v>984</v>
      </c>
      <c r="C36" s="109" t="s">
        <v>884</v>
      </c>
      <c r="D36" s="121" t="s">
        <v>958</v>
      </c>
      <c r="E36" s="203" t="s">
        <v>1001</v>
      </c>
      <c r="F36" s="118" t="s">
        <v>958</v>
      </c>
    </row>
    <row r="37" spans="1:6" ht="25.8" customHeight="1" x14ac:dyDescent="0.3">
      <c r="A37" s="1"/>
      <c r="B37" s="126" t="s">
        <v>985</v>
      </c>
      <c r="C37" s="109" t="s">
        <v>885</v>
      </c>
      <c r="D37" s="121" t="s">
        <v>958</v>
      </c>
      <c r="E37" s="203" t="s">
        <v>1001</v>
      </c>
      <c r="F37" s="118" t="s">
        <v>958</v>
      </c>
    </row>
    <row r="38" spans="1:6" ht="25.8" customHeight="1" x14ac:dyDescent="0.3">
      <c r="A38" s="1"/>
      <c r="B38" s="126" t="s">
        <v>986</v>
      </c>
      <c r="C38" s="109" t="s">
        <v>886</v>
      </c>
      <c r="D38" s="121" t="s">
        <v>958</v>
      </c>
      <c r="E38" s="203" t="s">
        <v>1001</v>
      </c>
      <c r="F38" s="118" t="s">
        <v>958</v>
      </c>
    </row>
    <row r="39" spans="1:6" ht="25.8" customHeight="1" x14ac:dyDescent="0.3">
      <c r="A39" s="1"/>
      <c r="B39" s="126" t="s">
        <v>987</v>
      </c>
      <c r="C39" s="109" t="s">
        <v>887</v>
      </c>
      <c r="D39" s="121" t="s">
        <v>958</v>
      </c>
      <c r="E39" s="203" t="s">
        <v>1001</v>
      </c>
      <c r="F39" s="118" t="s">
        <v>958</v>
      </c>
    </row>
    <row r="40" spans="1:6" ht="25.8" customHeight="1" x14ac:dyDescent="0.3">
      <c r="A40" s="1"/>
      <c r="B40" s="126" t="s">
        <v>988</v>
      </c>
      <c r="C40" s="109" t="s">
        <v>888</v>
      </c>
      <c r="D40" s="121" t="s">
        <v>958</v>
      </c>
      <c r="E40" s="203" t="s">
        <v>1001</v>
      </c>
      <c r="F40" s="118" t="s">
        <v>958</v>
      </c>
    </row>
    <row r="41" spans="1:6" ht="25.8" customHeight="1" x14ac:dyDescent="0.3">
      <c r="A41" s="1"/>
      <c r="B41" s="126" t="s">
        <v>989</v>
      </c>
      <c r="C41" s="109" t="s">
        <v>889</v>
      </c>
      <c r="D41" s="121" t="s">
        <v>958</v>
      </c>
      <c r="E41" s="203" t="s">
        <v>1001</v>
      </c>
      <c r="F41" s="118" t="s">
        <v>958</v>
      </c>
    </row>
    <row r="42" spans="1:6" ht="25.8" customHeight="1" x14ac:dyDescent="0.3">
      <c r="A42" s="1"/>
      <c r="B42" s="126" t="s">
        <v>990</v>
      </c>
      <c r="C42" s="109" t="s">
        <v>890</v>
      </c>
      <c r="D42" s="121" t="s">
        <v>958</v>
      </c>
      <c r="E42" s="203" t="s">
        <v>1001</v>
      </c>
      <c r="F42" s="118" t="s">
        <v>958</v>
      </c>
    </row>
    <row r="43" spans="1:6" ht="25.8" customHeight="1" x14ac:dyDescent="0.3">
      <c r="A43" s="1"/>
      <c r="B43" s="126" t="s">
        <v>991</v>
      </c>
      <c r="C43" s="109" t="s">
        <v>891</v>
      </c>
      <c r="D43" s="121" t="s">
        <v>958</v>
      </c>
      <c r="E43" s="203" t="s">
        <v>1000</v>
      </c>
      <c r="F43" s="118" t="s">
        <v>958</v>
      </c>
    </row>
    <row r="44" spans="1:6" ht="25.8" customHeight="1" x14ac:dyDescent="0.3">
      <c r="A44" s="1"/>
      <c r="B44" s="126" t="s">
        <v>992</v>
      </c>
      <c r="C44" s="109" t="s">
        <v>892</v>
      </c>
      <c r="D44" s="121" t="s">
        <v>958</v>
      </c>
      <c r="E44" s="203" t="s">
        <v>1000</v>
      </c>
      <c r="F44" s="118" t="s">
        <v>958</v>
      </c>
    </row>
    <row r="45" spans="1:6" ht="25.8" customHeight="1" x14ac:dyDescent="0.3">
      <c r="A45" s="1"/>
      <c r="B45" s="126" t="s">
        <v>993</v>
      </c>
      <c r="C45" s="109" t="s">
        <v>893</v>
      </c>
      <c r="D45" s="121" t="s">
        <v>958</v>
      </c>
      <c r="E45" s="203" t="s">
        <v>1000</v>
      </c>
      <c r="F45" s="118" t="s">
        <v>958</v>
      </c>
    </row>
    <row r="46" spans="1:6" ht="25.8" customHeight="1" x14ac:dyDescent="0.3">
      <c r="A46" s="1"/>
      <c r="B46" s="126" t="s">
        <v>994</v>
      </c>
      <c r="C46" s="109" t="s">
        <v>894</v>
      </c>
      <c r="D46" s="121" t="s">
        <v>958</v>
      </c>
      <c r="E46" s="203" t="s">
        <v>1000</v>
      </c>
      <c r="F46" s="118" t="s">
        <v>958</v>
      </c>
    </row>
    <row r="47" spans="1:6" ht="25.8" customHeight="1" x14ac:dyDescent="0.3">
      <c r="A47" s="1"/>
      <c r="B47" s="126" t="s">
        <v>995</v>
      </c>
      <c r="C47" s="109" t="s">
        <v>895</v>
      </c>
      <c r="D47" s="121" t="s">
        <v>958</v>
      </c>
      <c r="E47" s="203" t="s">
        <v>1001</v>
      </c>
      <c r="F47" s="118" t="s">
        <v>958</v>
      </c>
    </row>
    <row r="48" spans="1:6" ht="25.8" customHeight="1" x14ac:dyDescent="0.3">
      <c r="A48" s="1"/>
      <c r="B48" s="126" t="s">
        <v>996</v>
      </c>
      <c r="C48" s="109" t="s">
        <v>896</v>
      </c>
      <c r="D48" s="121" t="s">
        <v>958</v>
      </c>
      <c r="E48" s="203" t="s">
        <v>1000</v>
      </c>
      <c r="F48" s="118" t="s">
        <v>958</v>
      </c>
    </row>
    <row r="49" spans="1:6" ht="25.8" customHeight="1" x14ac:dyDescent="0.3">
      <c r="A49" s="1"/>
      <c r="B49" s="126" t="s">
        <v>997</v>
      </c>
      <c r="C49" s="109" t="s">
        <v>897</v>
      </c>
      <c r="D49" s="121" t="s">
        <v>958</v>
      </c>
      <c r="E49" s="203" t="s">
        <v>1000</v>
      </c>
      <c r="F49" s="118" t="s">
        <v>958</v>
      </c>
    </row>
    <row r="50" spans="1:6" ht="25.8" customHeight="1" thickBot="1" x14ac:dyDescent="0.35">
      <c r="A50" s="1"/>
      <c r="B50" s="127" t="s">
        <v>998</v>
      </c>
      <c r="C50" s="125" t="s">
        <v>999</v>
      </c>
      <c r="D50" s="122" t="s">
        <v>958</v>
      </c>
      <c r="E50" s="204" t="s">
        <v>1000</v>
      </c>
      <c r="F50" s="119" t="s">
        <v>958</v>
      </c>
    </row>
    <row r="51" spans="1:6" x14ac:dyDescent="0.3">
      <c r="A51" s="1"/>
      <c r="B51" s="2"/>
      <c r="C51" s="2"/>
      <c r="D51" s="1"/>
      <c r="E51" s="124"/>
      <c r="F51" s="1"/>
    </row>
    <row r="52" spans="1:6" hidden="1" x14ac:dyDescent="0.3">
      <c r="A52" s="1"/>
      <c r="B52" s="2"/>
      <c r="C52" s="2"/>
      <c r="D52" s="1"/>
      <c r="E52" s="124"/>
      <c r="F52" s="1"/>
    </row>
  </sheetData>
  <mergeCells count="16">
    <mergeCell ref="E6:F6"/>
    <mergeCell ref="B1:F1"/>
    <mergeCell ref="B3:F3"/>
    <mergeCell ref="B4:C5"/>
    <mergeCell ref="E4:F4"/>
    <mergeCell ref="E5:F5"/>
    <mergeCell ref="E13:F13"/>
    <mergeCell ref="E14:F14"/>
    <mergeCell ref="B16:F16"/>
    <mergeCell ref="B17:C18"/>
    <mergeCell ref="E7:F7"/>
    <mergeCell ref="E8:F8"/>
    <mergeCell ref="E9:F9"/>
    <mergeCell ref="E10:F10"/>
    <mergeCell ref="E11:F11"/>
    <mergeCell ref="E12:F1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2C5F986E-9E79-410B-8B0E-A68A9A5F68CC}">
          <x14:formula1>
            <xm:f>List!$A$142:$A$147</xm:f>
          </x14:formula1>
          <xm:sqref>D19</xm:sqref>
        </x14:dataValidation>
        <x14:dataValidation type="list" allowBlank="1" showInputMessage="1" showErrorMessage="1" xr:uid="{E00CB18E-7635-40D6-8397-8538A8B82A01}">
          <x14:formula1>
            <xm:f>List!$A$151:$A$154</xm:f>
          </x14:formula1>
          <xm:sqref>D20:D47</xm:sqref>
        </x14:dataValidation>
        <x14:dataValidation type="list" allowBlank="1" showInputMessage="1" showErrorMessage="1" xr:uid="{C18DE881-26BC-4F0A-A51F-3CA044AF9484}">
          <x14:formula1>
            <xm:f>List!$A$158:$A$159</xm:f>
          </x14:formula1>
          <xm:sqref>D48:D50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0527-45FA-49D3-80DC-A0C21BFB6610}">
  <dimension ref="D4:G10"/>
  <sheetViews>
    <sheetView workbookViewId="0"/>
  </sheetViews>
  <sheetFormatPr defaultRowHeight="14.4" x14ac:dyDescent="0.3"/>
  <sheetData>
    <row r="4" spans="4:7" x14ac:dyDescent="0.3">
      <c r="D4" t="s">
        <v>943</v>
      </c>
      <c r="E4" t="s">
        <v>944</v>
      </c>
      <c r="F4" t="s">
        <v>945</v>
      </c>
      <c r="G4" t="s">
        <v>946</v>
      </c>
    </row>
    <row r="5" spans="4:7" x14ac:dyDescent="0.3">
      <c r="D5">
        <v>1</v>
      </c>
      <c r="E5">
        <v>57</v>
      </c>
      <c r="F5">
        <v>70</v>
      </c>
      <c r="G5">
        <f t="shared" ref="G5:G8" si="0">F5+E5</f>
        <v>127</v>
      </c>
    </row>
    <row r="6" spans="4:7" x14ac:dyDescent="0.3">
      <c r="D6">
        <v>2</v>
      </c>
      <c r="E6">
        <v>117</v>
      </c>
      <c r="G6">
        <f t="shared" si="0"/>
        <v>117</v>
      </c>
    </row>
    <row r="7" spans="4:7" x14ac:dyDescent="0.3">
      <c r="D7">
        <v>3</v>
      </c>
      <c r="F7">
        <v>160</v>
      </c>
      <c r="G7">
        <f t="shared" si="0"/>
        <v>160</v>
      </c>
    </row>
    <row r="8" spans="4:7" x14ac:dyDescent="0.3">
      <c r="D8">
        <v>4</v>
      </c>
      <c r="E8">
        <v>55</v>
      </c>
      <c r="G8">
        <f t="shared" si="0"/>
        <v>55</v>
      </c>
    </row>
    <row r="9" spans="4:7" x14ac:dyDescent="0.3">
      <c r="D9">
        <v>5</v>
      </c>
      <c r="E9">
        <v>42</v>
      </c>
      <c r="G9">
        <f>F9+E9</f>
        <v>42</v>
      </c>
    </row>
    <row r="10" spans="4:7" x14ac:dyDescent="0.3">
      <c r="D10" t="s">
        <v>946</v>
      </c>
      <c r="E10">
        <f>SUM(E5:E9)</f>
        <v>271</v>
      </c>
      <c r="F10">
        <f t="shared" ref="F10:G10" si="1">SUM(F5:F9)</f>
        <v>230</v>
      </c>
      <c r="G10">
        <f t="shared" si="1"/>
        <v>501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A19B-0757-47E2-B3FB-908D7650A640}">
  <dimension ref="A2:AB252"/>
  <sheetViews>
    <sheetView tabSelected="1" topLeftCell="A103" zoomScale="85" zoomScaleNormal="85" workbookViewId="0">
      <selection activeCell="T122" sqref="T122"/>
    </sheetView>
  </sheetViews>
  <sheetFormatPr defaultRowHeight="14.4" x14ac:dyDescent="0.3"/>
  <sheetData>
    <row r="2" spans="1:28" x14ac:dyDescent="0.3">
      <c r="A2" s="70" t="s">
        <v>94</v>
      </c>
    </row>
    <row r="3" spans="1:28" x14ac:dyDescent="0.3">
      <c r="A3" t="s">
        <v>53</v>
      </c>
      <c r="S3" s="70" t="s">
        <v>759</v>
      </c>
      <c r="Z3" s="70" t="s">
        <v>761</v>
      </c>
      <c r="AA3" s="70" t="s">
        <v>760</v>
      </c>
    </row>
    <row r="4" spans="1:28" x14ac:dyDescent="0.3">
      <c r="A4" t="s">
        <v>148</v>
      </c>
      <c r="S4" t="s">
        <v>243</v>
      </c>
      <c r="Z4" t="s">
        <v>252</v>
      </c>
      <c r="AA4" t="s">
        <v>253</v>
      </c>
      <c r="AB4" t="str">
        <f>AA4&amp;" - "&amp;Z4</f>
        <v>AD - Andorra</v>
      </c>
    </row>
    <row r="5" spans="1:28" x14ac:dyDescent="0.3">
      <c r="A5" t="s">
        <v>54</v>
      </c>
      <c r="S5" t="s">
        <v>175</v>
      </c>
      <c r="Z5" t="s">
        <v>706</v>
      </c>
      <c r="AA5" t="s">
        <v>707</v>
      </c>
      <c r="AB5" t="str">
        <f t="shared" ref="AB5:AB68" si="0">AA5&amp;" - "&amp;Z5</f>
        <v>AE - United Arab Emirates (the)</v>
      </c>
    </row>
    <row r="6" spans="1:28" x14ac:dyDescent="0.3">
      <c r="A6" t="s">
        <v>1007</v>
      </c>
      <c r="S6" t="s">
        <v>176</v>
      </c>
      <c r="Z6" t="s">
        <v>244</v>
      </c>
      <c r="AA6" t="s">
        <v>245</v>
      </c>
      <c r="AB6" t="str">
        <f t="shared" si="0"/>
        <v>AF - Afghanistan</v>
      </c>
    </row>
    <row r="7" spans="1:28" x14ac:dyDescent="0.3">
      <c r="A7" t="s">
        <v>139</v>
      </c>
      <c r="S7" t="s">
        <v>177</v>
      </c>
      <c r="Z7" t="s">
        <v>259</v>
      </c>
      <c r="AA7" t="s">
        <v>260</v>
      </c>
      <c r="AB7" t="str">
        <f t="shared" si="0"/>
        <v>AG - Antigua and Barbuda</v>
      </c>
    </row>
    <row r="8" spans="1:28" x14ac:dyDescent="0.3">
      <c r="S8" t="s">
        <v>178</v>
      </c>
      <c r="Z8" t="s">
        <v>256</v>
      </c>
      <c r="AA8" t="s">
        <v>27</v>
      </c>
      <c r="AB8" t="str">
        <f t="shared" si="0"/>
        <v>AI - Anguilla</v>
      </c>
    </row>
    <row r="9" spans="1:28" x14ac:dyDescent="0.3">
      <c r="S9" t="s">
        <v>179</v>
      </c>
      <c r="Z9" t="s">
        <v>246</v>
      </c>
      <c r="AA9" t="s">
        <v>247</v>
      </c>
      <c r="AB9" t="str">
        <f t="shared" si="0"/>
        <v>AL - Albania</v>
      </c>
    </row>
    <row r="10" spans="1:28" x14ac:dyDescent="0.3">
      <c r="A10" s="70" t="s">
        <v>755</v>
      </c>
      <c r="S10" t="s">
        <v>180</v>
      </c>
      <c r="Z10" t="s">
        <v>263</v>
      </c>
      <c r="AA10" t="s">
        <v>264</v>
      </c>
      <c r="AB10" t="str">
        <f t="shared" si="0"/>
        <v>AM - Armenia</v>
      </c>
    </row>
    <row r="11" spans="1:28" x14ac:dyDescent="0.3">
      <c r="A11" t="s">
        <v>162</v>
      </c>
      <c r="S11" t="s">
        <v>904</v>
      </c>
      <c r="Z11" t="s">
        <v>254</v>
      </c>
      <c r="AA11" t="s">
        <v>255</v>
      </c>
      <c r="AB11" t="str">
        <f t="shared" si="0"/>
        <v>AO - Angola</v>
      </c>
    </row>
    <row r="12" spans="1:28" x14ac:dyDescent="0.3">
      <c r="A12" t="s">
        <v>87</v>
      </c>
      <c r="Z12" t="s">
        <v>257</v>
      </c>
      <c r="AA12" t="s">
        <v>258</v>
      </c>
      <c r="AB12" t="str">
        <f t="shared" si="0"/>
        <v>AQ - Antarctica</v>
      </c>
    </row>
    <row r="13" spans="1:28" x14ac:dyDescent="0.3">
      <c r="A13" t="s">
        <v>88</v>
      </c>
      <c r="Z13" t="s">
        <v>261</v>
      </c>
      <c r="AA13" t="s">
        <v>262</v>
      </c>
      <c r="AB13" t="str">
        <f t="shared" si="0"/>
        <v>AR - Argentina</v>
      </c>
    </row>
    <row r="14" spans="1:28" x14ac:dyDescent="0.3">
      <c r="A14" t="s">
        <v>161</v>
      </c>
      <c r="Z14" t="s">
        <v>250</v>
      </c>
      <c r="AA14" t="s">
        <v>251</v>
      </c>
      <c r="AB14" t="str">
        <f t="shared" si="0"/>
        <v>AS - American Samoa</v>
      </c>
    </row>
    <row r="15" spans="1:28" x14ac:dyDescent="0.3">
      <c r="Z15" t="s">
        <v>269</v>
      </c>
      <c r="AA15" t="s">
        <v>270</v>
      </c>
      <c r="AB15" t="str">
        <f t="shared" si="0"/>
        <v>AT - Austria</v>
      </c>
    </row>
    <row r="16" spans="1:28" x14ac:dyDescent="0.3">
      <c r="S16" s="70" t="s">
        <v>762</v>
      </c>
      <c r="Z16" t="s">
        <v>267</v>
      </c>
      <c r="AA16" t="s">
        <v>268</v>
      </c>
      <c r="AB16" t="str">
        <f t="shared" si="0"/>
        <v>AU - Australia</v>
      </c>
    </row>
    <row r="17" spans="1:28" x14ac:dyDescent="0.3">
      <c r="A17" s="70" t="s">
        <v>756</v>
      </c>
      <c r="D17" s="70" t="s">
        <v>758</v>
      </c>
      <c r="S17" t="s">
        <v>95</v>
      </c>
      <c r="Z17" t="s">
        <v>265</v>
      </c>
      <c r="AA17" t="s">
        <v>266</v>
      </c>
      <c r="AB17" t="str">
        <f t="shared" si="0"/>
        <v>AW - Aruba</v>
      </c>
    </row>
    <row r="18" spans="1:28" x14ac:dyDescent="0.3">
      <c r="A18" t="s">
        <v>151</v>
      </c>
      <c r="D18" t="s">
        <v>152</v>
      </c>
      <c r="S18" t="s">
        <v>82</v>
      </c>
      <c r="Z18" t="s">
        <v>738</v>
      </c>
      <c r="AA18" t="s">
        <v>739</v>
      </c>
      <c r="AB18" t="str">
        <f t="shared" si="0"/>
        <v>AX - Åland Islands</v>
      </c>
    </row>
    <row r="19" spans="1:28" x14ac:dyDescent="0.3">
      <c r="A19" t="s">
        <v>149</v>
      </c>
      <c r="D19" t="s">
        <v>153</v>
      </c>
      <c r="S19" t="s">
        <v>96</v>
      </c>
      <c r="Z19" t="s">
        <v>271</v>
      </c>
      <c r="AA19" t="s">
        <v>272</v>
      </c>
      <c r="AB19" t="str">
        <f t="shared" si="0"/>
        <v>AZ - Azerbaijan</v>
      </c>
    </row>
    <row r="20" spans="1:28" x14ac:dyDescent="0.3">
      <c r="A20" t="s">
        <v>189</v>
      </c>
      <c r="D20" t="s">
        <v>154</v>
      </c>
      <c r="S20" t="s">
        <v>4</v>
      </c>
      <c r="Z20" t="s">
        <v>296</v>
      </c>
      <c r="AA20" t="s">
        <v>297</v>
      </c>
      <c r="AB20" t="str">
        <f t="shared" si="0"/>
        <v>BA - Bosnia and Herzegovina</v>
      </c>
    </row>
    <row r="21" spans="1:28" x14ac:dyDescent="0.3">
      <c r="D21" t="s">
        <v>155</v>
      </c>
      <c r="S21" t="s">
        <v>86</v>
      </c>
      <c r="Z21" t="s">
        <v>279</v>
      </c>
      <c r="AA21" t="s">
        <v>280</v>
      </c>
      <c r="AB21" t="str">
        <f t="shared" si="0"/>
        <v>BB - Barbados</v>
      </c>
    </row>
    <row r="22" spans="1:28" x14ac:dyDescent="0.3">
      <c r="D22" t="s">
        <v>156</v>
      </c>
      <c r="S22" t="s">
        <v>83</v>
      </c>
      <c r="Z22" t="s">
        <v>277</v>
      </c>
      <c r="AA22" t="s">
        <v>278</v>
      </c>
      <c r="AB22" t="str">
        <f t="shared" si="0"/>
        <v>BD - Bangladesh</v>
      </c>
    </row>
    <row r="23" spans="1:28" x14ac:dyDescent="0.3">
      <c r="D23" t="s">
        <v>157</v>
      </c>
      <c r="S23" t="s">
        <v>84</v>
      </c>
      <c r="Z23" t="s">
        <v>283</v>
      </c>
      <c r="AA23" t="s">
        <v>284</v>
      </c>
      <c r="AB23" t="str">
        <f t="shared" si="0"/>
        <v>BE - Belgium</v>
      </c>
    </row>
    <row r="24" spans="1:28" x14ac:dyDescent="0.3">
      <c r="D24" t="s">
        <v>158</v>
      </c>
      <c r="S24" t="s">
        <v>85</v>
      </c>
      <c r="Z24" t="s">
        <v>310</v>
      </c>
      <c r="AA24" t="s">
        <v>311</v>
      </c>
      <c r="AB24" t="str">
        <f t="shared" si="0"/>
        <v>BF - Burkina Faso</v>
      </c>
    </row>
    <row r="25" spans="1:28" x14ac:dyDescent="0.3">
      <c r="D25" t="s">
        <v>159</v>
      </c>
      <c r="S25" t="s">
        <v>28</v>
      </c>
      <c r="Z25" t="s">
        <v>308</v>
      </c>
      <c r="AA25" t="s">
        <v>309</v>
      </c>
      <c r="AB25" t="str">
        <f t="shared" si="0"/>
        <v>BG - Bulgaria</v>
      </c>
    </row>
    <row r="26" spans="1:28" x14ac:dyDescent="0.3">
      <c r="D26" t="s">
        <v>16</v>
      </c>
      <c r="S26" t="s">
        <v>99</v>
      </c>
      <c r="Z26" t="s">
        <v>275</v>
      </c>
      <c r="AA26" t="s">
        <v>276</v>
      </c>
      <c r="AB26" t="str">
        <f t="shared" si="0"/>
        <v>BH - Bahrain</v>
      </c>
    </row>
    <row r="27" spans="1:28" x14ac:dyDescent="0.3">
      <c r="D27" t="s">
        <v>854</v>
      </c>
      <c r="E27" t="s">
        <v>150</v>
      </c>
      <c r="S27" t="s">
        <v>58</v>
      </c>
      <c r="Z27" t="s">
        <v>312</v>
      </c>
      <c r="AA27" t="s">
        <v>313</v>
      </c>
      <c r="AB27" t="str">
        <f t="shared" si="0"/>
        <v>BI - Burundi</v>
      </c>
    </row>
    <row r="28" spans="1:28" x14ac:dyDescent="0.3">
      <c r="S28" t="s">
        <v>59</v>
      </c>
      <c r="Z28" t="s">
        <v>287</v>
      </c>
      <c r="AA28" t="s">
        <v>288</v>
      </c>
      <c r="AB28" t="str">
        <f t="shared" si="0"/>
        <v>BJ - Benin</v>
      </c>
    </row>
    <row r="29" spans="1:28" x14ac:dyDescent="0.3">
      <c r="S29" t="s">
        <v>60</v>
      </c>
      <c r="Z29" t="s">
        <v>610</v>
      </c>
      <c r="AA29" t="s">
        <v>611</v>
      </c>
      <c r="AB29" t="str">
        <f t="shared" si="0"/>
        <v>BL - Saint Barthélemy</v>
      </c>
    </row>
    <row r="30" spans="1:28" x14ac:dyDescent="0.3">
      <c r="S30" t="s">
        <v>56</v>
      </c>
      <c r="Z30" t="s">
        <v>289</v>
      </c>
      <c r="AA30" t="s">
        <v>20</v>
      </c>
      <c r="AB30" t="str">
        <f t="shared" si="0"/>
        <v>BM - Bermuda</v>
      </c>
    </row>
    <row r="31" spans="1:28" x14ac:dyDescent="0.3">
      <c r="Z31" t="s">
        <v>306</v>
      </c>
      <c r="AA31" t="s">
        <v>307</v>
      </c>
      <c r="AB31" t="str">
        <f t="shared" si="0"/>
        <v>BN - Brunei Darussalam</v>
      </c>
    </row>
    <row r="32" spans="1:28" x14ac:dyDescent="0.3">
      <c r="I32" s="70" t="s">
        <v>824</v>
      </c>
      <c r="M32" s="70" t="s">
        <v>763</v>
      </c>
      <c r="Z32" t="s">
        <v>292</v>
      </c>
      <c r="AA32" t="s">
        <v>293</v>
      </c>
      <c r="AB32" t="str">
        <f t="shared" si="0"/>
        <v>BO - Bolivia (Plurinational State of)</v>
      </c>
    </row>
    <row r="33" spans="1:28" x14ac:dyDescent="0.3">
      <c r="I33" s="99" t="s">
        <v>825</v>
      </c>
      <c r="M33" t="s">
        <v>101</v>
      </c>
      <c r="Z33" t="s">
        <v>294</v>
      </c>
      <c r="AA33" t="s">
        <v>295</v>
      </c>
      <c r="AB33" t="str">
        <f t="shared" si="0"/>
        <v>BQ - Bonaire, Sint Eustatius and Saba</v>
      </c>
    </row>
    <row r="34" spans="1:28" x14ac:dyDescent="0.3">
      <c r="A34" s="70" t="s">
        <v>757</v>
      </c>
      <c r="C34" s="71" t="s">
        <v>764</v>
      </c>
      <c r="I34" s="99" t="s">
        <v>826</v>
      </c>
      <c r="M34" t="s">
        <v>102</v>
      </c>
      <c r="Z34" t="s">
        <v>302</v>
      </c>
      <c r="AA34" t="s">
        <v>303</v>
      </c>
      <c r="AB34" t="str">
        <f t="shared" si="0"/>
        <v>BR - Brazil</v>
      </c>
    </row>
    <row r="35" spans="1:28" x14ac:dyDescent="0.3">
      <c r="A35" t="s">
        <v>97</v>
      </c>
      <c r="C35" s="64" t="s">
        <v>80</v>
      </c>
      <c r="I35" s="99" t="s">
        <v>827</v>
      </c>
      <c r="M35" t="s">
        <v>103</v>
      </c>
      <c r="Z35" t="s">
        <v>273</v>
      </c>
      <c r="AA35" t="s">
        <v>274</v>
      </c>
      <c r="AB35" t="str">
        <f t="shared" si="0"/>
        <v>BS - Bahamas (the)</v>
      </c>
    </row>
    <row r="36" spans="1:28" x14ac:dyDescent="0.3">
      <c r="A36" t="s">
        <v>98</v>
      </c>
      <c r="C36" s="64" t="s">
        <v>81</v>
      </c>
      <c r="I36" s="99" t="s">
        <v>828</v>
      </c>
      <c r="M36" t="s">
        <v>104</v>
      </c>
      <c r="Z36" t="s">
        <v>290</v>
      </c>
      <c r="AA36" t="s">
        <v>291</v>
      </c>
      <c r="AB36" t="str">
        <f t="shared" si="0"/>
        <v>BT - Bhutan</v>
      </c>
    </row>
    <row r="37" spans="1:28" x14ac:dyDescent="0.3">
      <c r="A37" t="s">
        <v>189</v>
      </c>
      <c r="C37" s="64" t="s">
        <v>173</v>
      </c>
      <c r="I37" s="99" t="s">
        <v>829</v>
      </c>
      <c r="M37" t="s">
        <v>105</v>
      </c>
      <c r="Z37" t="s">
        <v>300</v>
      </c>
      <c r="AA37" t="s">
        <v>301</v>
      </c>
      <c r="AB37" t="str">
        <f t="shared" si="0"/>
        <v>BV - Bouvet Island</v>
      </c>
    </row>
    <row r="38" spans="1:28" x14ac:dyDescent="0.3">
      <c r="C38" s="64" t="s">
        <v>136</v>
      </c>
      <c r="I38" s="99" t="s">
        <v>830</v>
      </c>
      <c r="M38" t="s">
        <v>189</v>
      </c>
      <c r="Z38" t="s">
        <v>298</v>
      </c>
      <c r="AA38" t="s">
        <v>299</v>
      </c>
      <c r="AB38" t="str">
        <f t="shared" si="0"/>
        <v>BW - Botswana</v>
      </c>
    </row>
    <row r="39" spans="1:28" x14ac:dyDescent="0.3">
      <c r="C39" s="64" t="s">
        <v>167</v>
      </c>
      <c r="I39" s="100" t="s">
        <v>831</v>
      </c>
      <c r="Z39" t="s">
        <v>281</v>
      </c>
      <c r="AA39" t="s">
        <v>282</v>
      </c>
      <c r="AB39" t="str">
        <f t="shared" si="0"/>
        <v>BY - Belarus</v>
      </c>
    </row>
    <row r="40" spans="1:28" x14ac:dyDescent="0.3">
      <c r="C40" s="64" t="s">
        <v>174</v>
      </c>
      <c r="Z40" t="s">
        <v>285</v>
      </c>
      <c r="AA40" t="s">
        <v>286</v>
      </c>
      <c r="AB40" t="str">
        <f t="shared" si="0"/>
        <v>BZ - Belize</v>
      </c>
    </row>
    <row r="41" spans="1:28" x14ac:dyDescent="0.3">
      <c r="C41" s="64" t="s">
        <v>867</v>
      </c>
      <c r="Z41" t="s">
        <v>320</v>
      </c>
      <c r="AA41" t="s">
        <v>321</v>
      </c>
      <c r="AB41" t="str">
        <f t="shared" si="0"/>
        <v>CA - Canada</v>
      </c>
    </row>
    <row r="42" spans="1:28" x14ac:dyDescent="0.3">
      <c r="C42" s="64" t="s">
        <v>866</v>
      </c>
      <c r="Z42" t="s">
        <v>334</v>
      </c>
      <c r="AA42" t="s">
        <v>335</v>
      </c>
      <c r="AB42" t="str">
        <f t="shared" si="0"/>
        <v>CC - Cocos (Keeling) Islands (the)</v>
      </c>
    </row>
    <row r="43" spans="1:28" x14ac:dyDescent="0.3">
      <c r="C43" s="64" t="s">
        <v>189</v>
      </c>
      <c r="Z43" t="s">
        <v>340</v>
      </c>
      <c r="AA43" t="s">
        <v>341</v>
      </c>
      <c r="AB43" t="str">
        <f t="shared" si="0"/>
        <v>CD - Congo (the Democratic Republic of the)</v>
      </c>
    </row>
    <row r="44" spans="1:28" x14ac:dyDescent="0.3">
      <c r="A44" s="70" t="s">
        <v>765</v>
      </c>
      <c r="F44" s="70" t="s">
        <v>766</v>
      </c>
      <c r="K44" s="70" t="s">
        <v>767</v>
      </c>
      <c r="Q44" s="70" t="s">
        <v>768</v>
      </c>
      <c r="Z44" t="s">
        <v>324</v>
      </c>
      <c r="AA44" t="s">
        <v>325</v>
      </c>
      <c r="AB44" t="str">
        <f t="shared" si="0"/>
        <v>CF - Central African Republic (the)</v>
      </c>
    </row>
    <row r="45" spans="1:28" x14ac:dyDescent="0.3">
      <c r="A45" t="s">
        <v>205</v>
      </c>
      <c r="B45" t="s">
        <v>22</v>
      </c>
      <c r="C45" t="s">
        <v>22</v>
      </c>
      <c r="D45" t="s">
        <v>22</v>
      </c>
      <c r="E45" t="s">
        <v>22</v>
      </c>
      <c r="F45" t="s">
        <v>233</v>
      </c>
      <c r="K45" t="s">
        <v>71</v>
      </c>
      <c r="Q45" t="s">
        <v>74</v>
      </c>
      <c r="Z45" t="s">
        <v>342</v>
      </c>
      <c r="AA45" t="s">
        <v>343</v>
      </c>
      <c r="AB45" t="str">
        <f t="shared" si="0"/>
        <v>CG - Congo (the)</v>
      </c>
    </row>
    <row r="46" spans="1:28" x14ac:dyDescent="0.3">
      <c r="A46" t="s">
        <v>214</v>
      </c>
      <c r="F46" t="s">
        <v>228</v>
      </c>
      <c r="K46" t="s">
        <v>68</v>
      </c>
      <c r="Q46" t="s">
        <v>76</v>
      </c>
      <c r="Z46" t="s">
        <v>670</v>
      </c>
      <c r="AA46" t="s">
        <v>671</v>
      </c>
      <c r="AB46" t="str">
        <f t="shared" si="0"/>
        <v>CH - Switzerland</v>
      </c>
    </row>
    <row r="47" spans="1:28" x14ac:dyDescent="0.3">
      <c r="A47" t="s">
        <v>61</v>
      </c>
      <c r="F47" t="s">
        <v>226</v>
      </c>
      <c r="K47" t="s">
        <v>2</v>
      </c>
      <c r="Q47" t="s">
        <v>75</v>
      </c>
      <c r="Z47" t="s">
        <v>358</v>
      </c>
      <c r="AA47" t="s">
        <v>359</v>
      </c>
      <c r="AB47" t="str">
        <f t="shared" si="0"/>
        <v>CI - Côte d'Ivoire</v>
      </c>
    </row>
    <row r="48" spans="1:28" x14ac:dyDescent="0.3">
      <c r="A48" t="s">
        <v>217</v>
      </c>
      <c r="F48" t="s">
        <v>227</v>
      </c>
      <c r="K48" t="s">
        <v>69</v>
      </c>
      <c r="Q48" t="s">
        <v>854</v>
      </c>
      <c r="Z48" t="s">
        <v>344</v>
      </c>
      <c r="AA48" t="s">
        <v>345</v>
      </c>
      <c r="AB48" t="str">
        <f t="shared" si="0"/>
        <v>CK - Cook Islands (the)</v>
      </c>
    </row>
    <row r="49" spans="1:28" x14ac:dyDescent="0.3">
      <c r="A49" t="s">
        <v>194</v>
      </c>
      <c r="F49" t="s">
        <v>234</v>
      </c>
      <c r="K49" t="s">
        <v>72</v>
      </c>
      <c r="Z49" t="s">
        <v>328</v>
      </c>
      <c r="AA49" t="s">
        <v>329</v>
      </c>
      <c r="AB49" t="str">
        <f t="shared" si="0"/>
        <v>CL - Chile</v>
      </c>
    </row>
    <row r="50" spans="1:28" x14ac:dyDescent="0.3">
      <c r="A50" t="s">
        <v>199</v>
      </c>
      <c r="F50" t="s">
        <v>224</v>
      </c>
      <c r="K50" t="s">
        <v>67</v>
      </c>
      <c r="Z50" t="s">
        <v>318</v>
      </c>
      <c r="AA50" t="s">
        <v>319</v>
      </c>
      <c r="AB50" t="str">
        <f t="shared" si="0"/>
        <v>CM - Cameroon</v>
      </c>
    </row>
    <row r="51" spans="1:28" x14ac:dyDescent="0.3">
      <c r="A51" t="s">
        <v>204</v>
      </c>
      <c r="F51" t="s">
        <v>63</v>
      </c>
      <c r="K51" t="s">
        <v>70</v>
      </c>
      <c r="Z51" t="s">
        <v>330</v>
      </c>
      <c r="AA51" t="s">
        <v>331</v>
      </c>
      <c r="AB51" t="str">
        <f t="shared" si="0"/>
        <v>CN - China</v>
      </c>
    </row>
    <row r="52" spans="1:28" x14ac:dyDescent="0.3">
      <c r="A52" t="s">
        <v>223</v>
      </c>
      <c r="F52" t="s">
        <v>230</v>
      </c>
      <c r="K52" t="s">
        <v>191</v>
      </c>
      <c r="Z52" t="s">
        <v>336</v>
      </c>
      <c r="AA52" t="s">
        <v>337</v>
      </c>
      <c r="AB52" t="str">
        <f t="shared" si="0"/>
        <v>CO - Colombia</v>
      </c>
    </row>
    <row r="53" spans="1:28" x14ac:dyDescent="0.3">
      <c r="A53" t="s">
        <v>210</v>
      </c>
      <c r="F53" t="s">
        <v>231</v>
      </c>
      <c r="K53" t="s">
        <v>192</v>
      </c>
      <c r="Z53" t="s">
        <v>346</v>
      </c>
      <c r="AA53" t="s">
        <v>347</v>
      </c>
      <c r="AB53" t="str">
        <f t="shared" si="0"/>
        <v>CR - Costa Rica</v>
      </c>
    </row>
    <row r="54" spans="1:28" x14ac:dyDescent="0.3">
      <c r="A54" t="s">
        <v>195</v>
      </c>
      <c r="F54" t="s">
        <v>232</v>
      </c>
      <c r="K54" t="s">
        <v>190</v>
      </c>
      <c r="Z54" t="s">
        <v>350</v>
      </c>
      <c r="AA54" t="s">
        <v>351</v>
      </c>
      <c r="AB54" t="str">
        <f t="shared" si="0"/>
        <v>CU - Cuba</v>
      </c>
    </row>
    <row r="55" spans="1:28" x14ac:dyDescent="0.3">
      <c r="A55" t="s">
        <v>216</v>
      </c>
      <c r="F55" t="s">
        <v>66</v>
      </c>
      <c r="K55" t="s">
        <v>73</v>
      </c>
      <c r="Z55" t="s">
        <v>314</v>
      </c>
      <c r="AA55" t="s">
        <v>315</v>
      </c>
      <c r="AB55" t="str">
        <f t="shared" si="0"/>
        <v>CV - Cabo Verde</v>
      </c>
    </row>
    <row r="56" spans="1:28" x14ac:dyDescent="0.3">
      <c r="A56" t="s">
        <v>221</v>
      </c>
      <c r="F56" t="s">
        <v>64</v>
      </c>
      <c r="K56" t="s">
        <v>854</v>
      </c>
      <c r="Z56" t="s">
        <v>352</v>
      </c>
      <c r="AA56" t="s">
        <v>353</v>
      </c>
      <c r="AB56" t="str">
        <f t="shared" si="0"/>
        <v>CW - Curaçao</v>
      </c>
    </row>
    <row r="57" spans="1:28" x14ac:dyDescent="0.3">
      <c r="A57" t="s">
        <v>222</v>
      </c>
      <c r="F57" t="s">
        <v>229</v>
      </c>
      <c r="Z57" t="s">
        <v>332</v>
      </c>
      <c r="AA57" t="s">
        <v>333</v>
      </c>
      <c r="AB57" t="str">
        <f t="shared" si="0"/>
        <v>CX - Christmas Island</v>
      </c>
    </row>
    <row r="58" spans="1:28" x14ac:dyDescent="0.3">
      <c r="A58" t="s">
        <v>218</v>
      </c>
      <c r="F58" t="s">
        <v>65</v>
      </c>
      <c r="Z58" t="s">
        <v>354</v>
      </c>
      <c r="AA58" t="s">
        <v>355</v>
      </c>
      <c r="AB58" t="str">
        <f t="shared" si="0"/>
        <v>CY - Cyprus</v>
      </c>
    </row>
    <row r="59" spans="1:28" x14ac:dyDescent="0.3">
      <c r="A59" t="s">
        <v>198</v>
      </c>
      <c r="F59" t="s">
        <v>235</v>
      </c>
      <c r="K59" s="70" t="s">
        <v>769</v>
      </c>
      <c r="Z59" t="s">
        <v>356</v>
      </c>
      <c r="AA59" t="s">
        <v>357</v>
      </c>
      <c r="AB59" t="str">
        <f t="shared" si="0"/>
        <v>CZ - Czechia</v>
      </c>
    </row>
    <row r="60" spans="1:28" x14ac:dyDescent="0.3">
      <c r="A60" t="s">
        <v>57</v>
      </c>
      <c r="F60" t="s">
        <v>19</v>
      </c>
      <c r="K60" t="s">
        <v>239</v>
      </c>
      <c r="Z60" t="s">
        <v>406</v>
      </c>
      <c r="AA60" t="s">
        <v>407</v>
      </c>
      <c r="AB60" t="str">
        <f t="shared" si="0"/>
        <v>DE - Germany</v>
      </c>
    </row>
    <row r="61" spans="1:28" x14ac:dyDescent="0.3">
      <c r="A61" t="s">
        <v>207</v>
      </c>
      <c r="F61" t="s">
        <v>225</v>
      </c>
      <c r="K61" t="s">
        <v>77</v>
      </c>
      <c r="Z61" t="s">
        <v>362</v>
      </c>
      <c r="AA61" t="s">
        <v>363</v>
      </c>
      <c r="AB61" t="str">
        <f t="shared" si="0"/>
        <v>DJ - Djibouti</v>
      </c>
    </row>
    <row r="62" spans="1:28" x14ac:dyDescent="0.3">
      <c r="A62" t="s">
        <v>206</v>
      </c>
      <c r="F62" t="s">
        <v>236</v>
      </c>
      <c r="K62" t="s">
        <v>79</v>
      </c>
      <c r="Z62" t="s">
        <v>360</v>
      </c>
      <c r="AA62" t="s">
        <v>361</v>
      </c>
      <c r="AB62" t="str">
        <f t="shared" si="0"/>
        <v>DK - Denmark</v>
      </c>
    </row>
    <row r="63" spans="1:28" x14ac:dyDescent="0.3">
      <c r="A63" t="s">
        <v>212</v>
      </c>
      <c r="F63" t="s">
        <v>854</v>
      </c>
      <c r="K63" t="s">
        <v>78</v>
      </c>
      <c r="Z63" t="s">
        <v>364</v>
      </c>
      <c r="AA63" t="s">
        <v>365</v>
      </c>
      <c r="AB63" t="str">
        <f t="shared" si="0"/>
        <v>DM - Dominica</v>
      </c>
    </row>
    <row r="64" spans="1:28" x14ac:dyDescent="0.3">
      <c r="A64" t="s">
        <v>59</v>
      </c>
      <c r="K64" t="s">
        <v>241</v>
      </c>
      <c r="Z64" t="s">
        <v>366</v>
      </c>
      <c r="AA64" t="s">
        <v>367</v>
      </c>
      <c r="AB64" t="str">
        <f t="shared" si="0"/>
        <v>DO - Dominican Republic (the)</v>
      </c>
    </row>
    <row r="65" spans="1:28" x14ac:dyDescent="0.3">
      <c r="A65" t="s">
        <v>220</v>
      </c>
      <c r="K65" t="s">
        <v>242</v>
      </c>
      <c r="Z65" t="s">
        <v>248</v>
      </c>
      <c r="AA65" t="s">
        <v>249</v>
      </c>
      <c r="AB65" t="str">
        <f t="shared" si="0"/>
        <v>DZ - Algeria</v>
      </c>
    </row>
    <row r="66" spans="1:28" x14ac:dyDescent="0.3">
      <c r="A66" t="s">
        <v>193</v>
      </c>
      <c r="K66" t="s">
        <v>238</v>
      </c>
      <c r="Z66" t="s">
        <v>368</v>
      </c>
      <c r="AA66" t="s">
        <v>369</v>
      </c>
      <c r="AB66" t="str">
        <f t="shared" si="0"/>
        <v>EC - Ecuador</v>
      </c>
    </row>
    <row r="67" spans="1:28" x14ac:dyDescent="0.3">
      <c r="A67" t="s">
        <v>213</v>
      </c>
      <c r="K67" t="s">
        <v>237</v>
      </c>
      <c r="Z67" t="s">
        <v>378</v>
      </c>
      <c r="AA67" t="s">
        <v>379</v>
      </c>
      <c r="AB67" t="str">
        <f t="shared" si="0"/>
        <v>EE - Estonia</v>
      </c>
    </row>
    <row r="68" spans="1:28" x14ac:dyDescent="0.3">
      <c r="A68" t="s">
        <v>209</v>
      </c>
      <c r="K68" t="s">
        <v>240</v>
      </c>
      <c r="Z68" t="s">
        <v>370</v>
      </c>
      <c r="AA68" t="s">
        <v>371</v>
      </c>
      <c r="AB68" t="str">
        <f t="shared" si="0"/>
        <v>EG - Egypt</v>
      </c>
    </row>
    <row r="69" spans="1:28" x14ac:dyDescent="0.3">
      <c r="A69" t="s">
        <v>196</v>
      </c>
      <c r="K69" t="s">
        <v>854</v>
      </c>
      <c r="Z69" t="s">
        <v>730</v>
      </c>
      <c r="AA69" t="s">
        <v>731</v>
      </c>
      <c r="AB69" t="str">
        <f t="shared" ref="AB69:AB132" si="1">AA69&amp;" - "&amp;Z69</f>
        <v>EH - Western Sahara</v>
      </c>
    </row>
    <row r="70" spans="1:28" x14ac:dyDescent="0.3">
      <c r="A70" t="s">
        <v>62</v>
      </c>
      <c r="Z70" t="s">
        <v>376</v>
      </c>
      <c r="AA70" t="s">
        <v>377</v>
      </c>
      <c r="AB70" t="str">
        <f t="shared" si="1"/>
        <v>ER - Eritrea</v>
      </c>
    </row>
    <row r="71" spans="1:28" x14ac:dyDescent="0.3">
      <c r="A71" t="s">
        <v>219</v>
      </c>
      <c r="Z71" t="s">
        <v>658</v>
      </c>
      <c r="AA71" t="s">
        <v>659</v>
      </c>
      <c r="AB71" t="str">
        <f t="shared" si="1"/>
        <v>ES - Spain</v>
      </c>
    </row>
    <row r="72" spans="1:28" x14ac:dyDescent="0.3">
      <c r="A72" t="s">
        <v>211</v>
      </c>
      <c r="Z72" t="s">
        <v>382</v>
      </c>
      <c r="AA72" t="s">
        <v>383</v>
      </c>
      <c r="AB72" t="str">
        <f t="shared" si="1"/>
        <v>ET - Ethiopia</v>
      </c>
    </row>
    <row r="73" spans="1:28" x14ac:dyDescent="0.3">
      <c r="A73" t="s">
        <v>200</v>
      </c>
      <c r="Z73" t="s">
        <v>390</v>
      </c>
      <c r="AA73" t="s">
        <v>391</v>
      </c>
      <c r="AB73" t="str">
        <f t="shared" si="1"/>
        <v>FI - Finland</v>
      </c>
    </row>
    <row r="74" spans="1:28" x14ac:dyDescent="0.3">
      <c r="A74" t="s">
        <v>197</v>
      </c>
      <c r="Z74" t="s">
        <v>388</v>
      </c>
      <c r="AA74" t="s">
        <v>389</v>
      </c>
      <c r="AB74" t="str">
        <f t="shared" si="1"/>
        <v>FJ - Fiji</v>
      </c>
    </row>
    <row r="75" spans="1:28" x14ac:dyDescent="0.3">
      <c r="A75" t="s">
        <v>208</v>
      </c>
      <c r="Z75" t="s">
        <v>384</v>
      </c>
      <c r="AA75" t="s">
        <v>385</v>
      </c>
      <c r="AB75" t="str">
        <f t="shared" si="1"/>
        <v>FK - Falkland Islands (the) [Malvinas]</v>
      </c>
    </row>
    <row r="76" spans="1:28" x14ac:dyDescent="0.3">
      <c r="A76" t="s">
        <v>215</v>
      </c>
      <c r="Z76" t="s">
        <v>528</v>
      </c>
      <c r="AA76" t="s">
        <v>529</v>
      </c>
      <c r="AB76" t="str">
        <f t="shared" si="1"/>
        <v>FM - Micronesia (Federated States of)</v>
      </c>
    </row>
    <row r="77" spans="1:28" x14ac:dyDescent="0.3">
      <c r="A77" t="s">
        <v>60</v>
      </c>
      <c r="Z77" t="s">
        <v>386</v>
      </c>
      <c r="AA77" t="s">
        <v>387</v>
      </c>
      <c r="AB77" t="str">
        <f t="shared" si="1"/>
        <v>FO - Faroe Islands (the)</v>
      </c>
    </row>
    <row r="78" spans="1:28" x14ac:dyDescent="0.3">
      <c r="A78" t="s">
        <v>201</v>
      </c>
      <c r="Z78" t="s">
        <v>392</v>
      </c>
      <c r="AA78" t="s">
        <v>393</v>
      </c>
      <c r="AB78" t="str">
        <f t="shared" si="1"/>
        <v>FR - France</v>
      </c>
    </row>
    <row r="79" spans="1:28" x14ac:dyDescent="0.3">
      <c r="A79" t="s">
        <v>203</v>
      </c>
      <c r="Z79" t="s">
        <v>400</v>
      </c>
      <c r="AA79" t="s">
        <v>401</v>
      </c>
      <c r="AB79" t="str">
        <f t="shared" si="1"/>
        <v>GA - Gabon</v>
      </c>
    </row>
    <row r="80" spans="1:28" x14ac:dyDescent="0.3">
      <c r="A80" t="s">
        <v>202</v>
      </c>
      <c r="Z80" t="s">
        <v>708</v>
      </c>
      <c r="AA80" t="s">
        <v>709</v>
      </c>
      <c r="AB80" t="str">
        <f t="shared" si="1"/>
        <v>GB - United Kingdom of Great Britain and Northern Ireland (the)</v>
      </c>
    </row>
    <row r="81" spans="1:28" x14ac:dyDescent="0.3">
      <c r="A81" t="s">
        <v>854</v>
      </c>
      <c r="Z81" t="s">
        <v>416</v>
      </c>
      <c r="AA81" t="s">
        <v>417</v>
      </c>
      <c r="AB81" t="str">
        <f t="shared" si="1"/>
        <v>GD - Grenada</v>
      </c>
    </row>
    <row r="82" spans="1:28" x14ac:dyDescent="0.3">
      <c r="Z82" t="s">
        <v>404</v>
      </c>
      <c r="AA82" t="s">
        <v>405</v>
      </c>
      <c r="AB82" t="str">
        <f t="shared" si="1"/>
        <v>GE - Georgia</v>
      </c>
    </row>
    <row r="83" spans="1:28" x14ac:dyDescent="0.3">
      <c r="Z83" t="s">
        <v>394</v>
      </c>
      <c r="AA83" t="s">
        <v>395</v>
      </c>
      <c r="AB83" t="str">
        <f t="shared" si="1"/>
        <v>GF - French Guiana</v>
      </c>
    </row>
    <row r="84" spans="1:28" x14ac:dyDescent="0.3">
      <c r="Z84" t="s">
        <v>424</v>
      </c>
      <c r="AA84" t="s">
        <v>425</v>
      </c>
      <c r="AB84" t="str">
        <f t="shared" si="1"/>
        <v>GG - Guernsey</v>
      </c>
    </row>
    <row r="85" spans="1:28" x14ac:dyDescent="0.3">
      <c r="Z85" t="s">
        <v>408</v>
      </c>
      <c r="AA85" t="s">
        <v>409</v>
      </c>
      <c r="AB85" t="str">
        <f t="shared" si="1"/>
        <v>GH - Ghana</v>
      </c>
    </row>
    <row r="86" spans="1:28" x14ac:dyDescent="0.3">
      <c r="Z86" t="s">
        <v>410</v>
      </c>
      <c r="AA86" t="s">
        <v>411</v>
      </c>
      <c r="AB86" t="str">
        <f t="shared" si="1"/>
        <v>GI - Gibraltar</v>
      </c>
    </row>
    <row r="87" spans="1:28" x14ac:dyDescent="0.3">
      <c r="A87" s="4" t="s">
        <v>0</v>
      </c>
      <c r="G87" s="6" t="s">
        <v>5</v>
      </c>
      <c r="O87" s="5" t="s">
        <v>168</v>
      </c>
      <c r="Z87" t="s">
        <v>414</v>
      </c>
      <c r="AA87" t="s">
        <v>415</v>
      </c>
      <c r="AB87" t="str">
        <f t="shared" si="1"/>
        <v>GL - Greenland</v>
      </c>
    </row>
    <row r="88" spans="1:28" x14ac:dyDescent="0.3">
      <c r="A88" s="1"/>
      <c r="G88" s="1"/>
      <c r="O88" s="1"/>
      <c r="Z88" t="s">
        <v>402</v>
      </c>
      <c r="AA88" t="s">
        <v>403</v>
      </c>
      <c r="AB88" t="str">
        <f t="shared" si="1"/>
        <v>GM - Gambia (the)</v>
      </c>
    </row>
    <row r="89" spans="1:28" x14ac:dyDescent="0.3">
      <c r="A89" s="5" t="s">
        <v>1</v>
      </c>
      <c r="G89" s="1"/>
      <c r="O89" s="1" t="s">
        <v>169</v>
      </c>
      <c r="Z89" t="s">
        <v>426</v>
      </c>
      <c r="AA89" t="s">
        <v>427</v>
      </c>
      <c r="AB89" t="str">
        <f t="shared" si="1"/>
        <v>GN - Guinea</v>
      </c>
    </row>
    <row r="90" spans="1:28" x14ac:dyDescent="0.3">
      <c r="A90" s="1"/>
      <c r="G90" s="1" t="s">
        <v>749</v>
      </c>
      <c r="O90" s="1" t="s">
        <v>170</v>
      </c>
      <c r="Z90" t="s">
        <v>418</v>
      </c>
      <c r="AA90" t="s">
        <v>419</v>
      </c>
      <c r="AB90" t="str">
        <f t="shared" si="1"/>
        <v>GP - Guadeloupe</v>
      </c>
    </row>
    <row r="91" spans="1:28" x14ac:dyDescent="0.3">
      <c r="A91" s="1"/>
      <c r="G91" s="3" t="s">
        <v>750</v>
      </c>
      <c r="O91" s="1" t="s">
        <v>171</v>
      </c>
      <c r="Z91" t="s">
        <v>374</v>
      </c>
      <c r="AA91" t="s">
        <v>375</v>
      </c>
      <c r="AB91" t="str">
        <f t="shared" si="1"/>
        <v>GQ - Equatorial Guinea</v>
      </c>
    </row>
    <row r="92" spans="1:28" x14ac:dyDescent="0.3">
      <c r="A92" s="1" t="s">
        <v>743</v>
      </c>
      <c r="G92" s="3" t="s">
        <v>751</v>
      </c>
      <c r="O92" s="1" t="s">
        <v>172</v>
      </c>
      <c r="Z92" t="s">
        <v>412</v>
      </c>
      <c r="AA92" t="s">
        <v>413</v>
      </c>
      <c r="AB92" t="str">
        <f t="shared" si="1"/>
        <v>GR - Greece</v>
      </c>
    </row>
    <row r="93" spans="1:28" x14ac:dyDescent="0.3">
      <c r="A93" s="1" t="s">
        <v>744</v>
      </c>
      <c r="G93" s="3" t="s">
        <v>752</v>
      </c>
      <c r="Z93" t="s">
        <v>654</v>
      </c>
      <c r="AA93" t="s">
        <v>655</v>
      </c>
      <c r="AB93" t="str">
        <f t="shared" si="1"/>
        <v>GS - South Georgia and the South Sandwich Islands</v>
      </c>
    </row>
    <row r="94" spans="1:28" x14ac:dyDescent="0.3">
      <c r="A94" s="1" t="s">
        <v>745</v>
      </c>
      <c r="G94" s="3" t="s">
        <v>753</v>
      </c>
      <c r="Z94" t="s">
        <v>422</v>
      </c>
      <c r="AA94" t="s">
        <v>423</v>
      </c>
      <c r="AB94" t="str">
        <f t="shared" si="1"/>
        <v>GT - Guatemala</v>
      </c>
    </row>
    <row r="95" spans="1:28" x14ac:dyDescent="0.3">
      <c r="A95" s="1" t="s">
        <v>746</v>
      </c>
      <c r="G95" s="3" t="s">
        <v>754</v>
      </c>
      <c r="Z95" t="s">
        <v>420</v>
      </c>
      <c r="AA95" t="s">
        <v>421</v>
      </c>
      <c r="AB95" t="str">
        <f t="shared" si="1"/>
        <v>GU - Guam</v>
      </c>
    </row>
    <row r="96" spans="1:28" x14ac:dyDescent="0.3">
      <c r="A96" s="1" t="s">
        <v>747</v>
      </c>
      <c r="Z96" t="s">
        <v>428</v>
      </c>
      <c r="AA96" t="s">
        <v>429</v>
      </c>
      <c r="AB96" t="str">
        <f t="shared" si="1"/>
        <v>GW - Guinea-Bissau</v>
      </c>
    </row>
    <row r="97" spans="1:28" x14ac:dyDescent="0.3">
      <c r="A97" s="1" t="s">
        <v>748</v>
      </c>
      <c r="Z97" t="s">
        <v>430</v>
      </c>
      <c r="AA97" t="s">
        <v>431</v>
      </c>
      <c r="AB97" t="str">
        <f t="shared" si="1"/>
        <v>GY - Guyana</v>
      </c>
    </row>
    <row r="98" spans="1:28" x14ac:dyDescent="0.3">
      <c r="Z98" t="s">
        <v>440</v>
      </c>
      <c r="AA98" t="s">
        <v>441</v>
      </c>
      <c r="AB98" t="str">
        <f t="shared" si="1"/>
        <v>HK - Hong Kong</v>
      </c>
    </row>
    <row r="99" spans="1:28" x14ac:dyDescent="0.3">
      <c r="Z99" t="s">
        <v>434</v>
      </c>
      <c r="AA99" t="s">
        <v>435</v>
      </c>
      <c r="AB99" t="str">
        <f t="shared" si="1"/>
        <v>HM - Heard Island and McDonald Islands</v>
      </c>
    </row>
    <row r="100" spans="1:28" x14ac:dyDescent="0.3">
      <c r="Z100" t="s">
        <v>438</v>
      </c>
      <c r="AA100" t="s">
        <v>439</v>
      </c>
      <c r="AB100" t="str">
        <f t="shared" si="1"/>
        <v>HN - Honduras</v>
      </c>
    </row>
    <row r="101" spans="1:28" x14ac:dyDescent="0.3">
      <c r="Z101" t="s">
        <v>348</v>
      </c>
      <c r="AA101" t="s">
        <v>349</v>
      </c>
      <c r="AB101" t="str">
        <f t="shared" si="1"/>
        <v>HR - Croatia</v>
      </c>
    </row>
    <row r="102" spans="1:28" x14ac:dyDescent="0.3">
      <c r="Z102" t="s">
        <v>432</v>
      </c>
      <c r="AA102" t="s">
        <v>433</v>
      </c>
      <c r="AB102" t="str">
        <f t="shared" si="1"/>
        <v>HT - Haiti</v>
      </c>
    </row>
    <row r="103" spans="1:28" x14ac:dyDescent="0.3">
      <c r="Z103" t="s">
        <v>442</v>
      </c>
      <c r="AA103" t="s">
        <v>443</v>
      </c>
      <c r="AB103" t="str">
        <f t="shared" si="1"/>
        <v>HU - Hungary</v>
      </c>
    </row>
    <row r="104" spans="1:28" x14ac:dyDescent="0.3">
      <c r="B104" t="s">
        <v>3</v>
      </c>
      <c r="Z104" t="s">
        <v>448</v>
      </c>
      <c r="AA104" t="s">
        <v>449</v>
      </c>
      <c r="AB104" t="str">
        <f t="shared" si="1"/>
        <v>ID - Indonesia</v>
      </c>
    </row>
    <row r="105" spans="1:28" x14ac:dyDescent="0.3">
      <c r="B105" t="s">
        <v>27</v>
      </c>
      <c r="C105" t="s">
        <v>24</v>
      </c>
      <c r="Z105" t="s">
        <v>454</v>
      </c>
      <c r="AA105" t="s">
        <v>455</v>
      </c>
      <c r="AB105" t="str">
        <f t="shared" si="1"/>
        <v>IE - Ireland</v>
      </c>
    </row>
    <row r="106" spans="1:28" x14ac:dyDescent="0.3">
      <c r="B106" t="s">
        <v>27</v>
      </c>
      <c r="C106" t="s">
        <v>6</v>
      </c>
      <c r="Z106" t="s">
        <v>458</v>
      </c>
      <c r="AA106" t="s">
        <v>459</v>
      </c>
      <c r="AB106" t="str">
        <f t="shared" si="1"/>
        <v>IL - Israel</v>
      </c>
    </row>
    <row r="107" spans="1:28" x14ac:dyDescent="0.3">
      <c r="B107" t="s">
        <v>27</v>
      </c>
      <c r="C107" t="s">
        <v>17</v>
      </c>
      <c r="Z107" t="s">
        <v>456</v>
      </c>
      <c r="AA107" t="s">
        <v>457</v>
      </c>
      <c r="AB107" t="str">
        <f t="shared" si="1"/>
        <v>IM - Isle of Man</v>
      </c>
    </row>
    <row r="108" spans="1:28" x14ac:dyDescent="0.3">
      <c r="B108" t="s">
        <v>27</v>
      </c>
      <c r="C108" t="s">
        <v>7</v>
      </c>
      <c r="Z108" t="s">
        <v>446</v>
      </c>
      <c r="AA108" t="s">
        <v>447</v>
      </c>
      <c r="AB108" t="str">
        <f t="shared" si="1"/>
        <v>IN - India</v>
      </c>
    </row>
    <row r="109" spans="1:28" x14ac:dyDescent="0.3">
      <c r="B109" t="s">
        <v>27</v>
      </c>
      <c r="C109" t="s">
        <v>8</v>
      </c>
      <c r="Z109" t="s">
        <v>304</v>
      </c>
      <c r="AA109" t="s">
        <v>305</v>
      </c>
      <c r="AB109" t="str">
        <f t="shared" si="1"/>
        <v>IO - British Indian Ocean Territory (the)</v>
      </c>
    </row>
    <row r="110" spans="1:28" x14ac:dyDescent="0.3">
      <c r="B110" t="s">
        <v>27</v>
      </c>
      <c r="C110" t="s">
        <v>10</v>
      </c>
      <c r="Z110" t="s">
        <v>452</v>
      </c>
      <c r="AA110" t="s">
        <v>453</v>
      </c>
      <c r="AB110" t="str">
        <f t="shared" si="1"/>
        <v>IQ - Iraq</v>
      </c>
    </row>
    <row r="111" spans="1:28" x14ac:dyDescent="0.3">
      <c r="B111" t="s">
        <v>27</v>
      </c>
      <c r="C111" t="s">
        <v>9</v>
      </c>
      <c r="Z111" t="s">
        <v>450</v>
      </c>
      <c r="AA111" t="s">
        <v>451</v>
      </c>
      <c r="AB111" t="str">
        <f t="shared" si="1"/>
        <v>IR - Iran (Islamic Republic of)</v>
      </c>
    </row>
    <row r="112" spans="1:28" x14ac:dyDescent="0.3">
      <c r="B112" t="s">
        <v>27</v>
      </c>
      <c r="C112" t="s">
        <v>11</v>
      </c>
      <c r="Z112" t="s">
        <v>444</v>
      </c>
      <c r="AA112" t="s">
        <v>445</v>
      </c>
      <c r="AB112" t="str">
        <f t="shared" si="1"/>
        <v>IS - Iceland</v>
      </c>
    </row>
    <row r="113" spans="2:28" x14ac:dyDescent="0.3">
      <c r="B113" t="s">
        <v>27</v>
      </c>
      <c r="C113" t="s">
        <v>23</v>
      </c>
      <c r="Z113" t="s">
        <v>460</v>
      </c>
      <c r="AA113" t="s">
        <v>461</v>
      </c>
      <c r="AB113" t="str">
        <f t="shared" si="1"/>
        <v>IT - Italy</v>
      </c>
    </row>
    <row r="114" spans="2:28" x14ac:dyDescent="0.3">
      <c r="B114" t="s">
        <v>27</v>
      </c>
      <c r="C114" t="s">
        <v>12</v>
      </c>
      <c r="Z114" t="s">
        <v>466</v>
      </c>
      <c r="AA114" t="s">
        <v>467</v>
      </c>
      <c r="AB114" t="str">
        <f t="shared" si="1"/>
        <v>JE - Jersey</v>
      </c>
    </row>
    <row r="115" spans="2:28" x14ac:dyDescent="0.3">
      <c r="B115" t="s">
        <v>27</v>
      </c>
      <c r="C115" t="s">
        <v>25</v>
      </c>
      <c r="Z115" t="s">
        <v>462</v>
      </c>
      <c r="AA115" t="s">
        <v>463</v>
      </c>
      <c r="AB115" t="str">
        <f t="shared" si="1"/>
        <v>JM - Jamaica</v>
      </c>
    </row>
    <row r="116" spans="2:28" x14ac:dyDescent="0.3">
      <c r="B116" t="s">
        <v>742</v>
      </c>
      <c r="C116" t="s">
        <v>13</v>
      </c>
      <c r="Z116" t="s">
        <v>468</v>
      </c>
      <c r="AA116" t="s">
        <v>469</v>
      </c>
      <c r="AB116" t="str">
        <f t="shared" si="1"/>
        <v>JO - Jordan</v>
      </c>
    </row>
    <row r="117" spans="2:28" x14ac:dyDescent="0.3">
      <c r="B117" t="s">
        <v>742</v>
      </c>
      <c r="C117" t="s">
        <v>18</v>
      </c>
      <c r="Z117" t="s">
        <v>464</v>
      </c>
      <c r="AA117" t="s">
        <v>465</v>
      </c>
      <c r="AB117" t="str">
        <f t="shared" si="1"/>
        <v>JP - Japan</v>
      </c>
    </row>
    <row r="118" spans="2:28" x14ac:dyDescent="0.3">
      <c r="B118" t="s">
        <v>168</v>
      </c>
      <c r="C118" t="s">
        <v>789</v>
      </c>
      <c r="Z118" t="s">
        <v>472</v>
      </c>
      <c r="AA118" t="s">
        <v>473</v>
      </c>
      <c r="AB118" t="str">
        <f t="shared" si="1"/>
        <v>KE - Kenya</v>
      </c>
    </row>
    <row r="119" spans="2:28" x14ac:dyDescent="0.3">
      <c r="B119" t="s">
        <v>168</v>
      </c>
      <c r="C119" t="s">
        <v>790</v>
      </c>
      <c r="Z119" t="s">
        <v>482</v>
      </c>
      <c r="AA119" t="s">
        <v>483</v>
      </c>
      <c r="AB119" t="str">
        <f t="shared" si="1"/>
        <v>KG - Kyrgyzstan</v>
      </c>
    </row>
    <row r="120" spans="2:28" x14ac:dyDescent="0.3">
      <c r="B120" t="s">
        <v>168</v>
      </c>
      <c r="C120" t="s">
        <v>791</v>
      </c>
      <c r="Z120" t="s">
        <v>316</v>
      </c>
      <c r="AA120" t="s">
        <v>317</v>
      </c>
      <c r="AB120" t="str">
        <f t="shared" si="1"/>
        <v>KH - Cambodia</v>
      </c>
    </row>
    <row r="121" spans="2:28" x14ac:dyDescent="0.3">
      <c r="B121" t="s">
        <v>168</v>
      </c>
      <c r="C121" t="s">
        <v>793</v>
      </c>
      <c r="Z121" t="s">
        <v>474</v>
      </c>
      <c r="AA121" t="s">
        <v>475</v>
      </c>
      <c r="AB121" t="str">
        <f t="shared" si="1"/>
        <v>KI - Kiribati</v>
      </c>
    </row>
    <row r="122" spans="2:28" x14ac:dyDescent="0.3">
      <c r="B122" t="s">
        <v>168</v>
      </c>
      <c r="C122" t="s">
        <v>792</v>
      </c>
      <c r="Z122" t="s">
        <v>338</v>
      </c>
      <c r="AA122" t="s">
        <v>339</v>
      </c>
      <c r="AB122" t="str">
        <f t="shared" si="1"/>
        <v>KM - Comoros (the)</v>
      </c>
    </row>
    <row r="123" spans="2:28" x14ac:dyDescent="0.3">
      <c r="B123" t="s">
        <v>168</v>
      </c>
      <c r="C123" t="s">
        <v>794</v>
      </c>
      <c r="Z123" t="s">
        <v>614</v>
      </c>
      <c r="AA123" t="s">
        <v>615</v>
      </c>
      <c r="AB123" t="str">
        <f t="shared" si="1"/>
        <v>KN - Saint Kitts and Nevis</v>
      </c>
    </row>
    <row r="124" spans="2:28" x14ac:dyDescent="0.3">
      <c r="B124" t="s">
        <v>28</v>
      </c>
      <c r="C124" t="s">
        <v>14</v>
      </c>
      <c r="Z124" t="s">
        <v>476</v>
      </c>
      <c r="AA124" t="s">
        <v>477</v>
      </c>
      <c r="AB124" t="str">
        <f t="shared" si="1"/>
        <v>KP - Korea (the Democratic People's Republic of)</v>
      </c>
    </row>
    <row r="125" spans="2:28" x14ac:dyDescent="0.3">
      <c r="B125" t="s">
        <v>28</v>
      </c>
      <c r="C125" t="s">
        <v>1008</v>
      </c>
      <c r="Z125" t="s">
        <v>478</v>
      </c>
      <c r="AA125" t="s">
        <v>479</v>
      </c>
      <c r="AB125" t="str">
        <f t="shared" si="1"/>
        <v>KR - Korea (the Republic of)</v>
      </c>
    </row>
    <row r="126" spans="2:28" x14ac:dyDescent="0.3">
      <c r="B126" t="s">
        <v>28</v>
      </c>
      <c r="C126" t="s">
        <v>19</v>
      </c>
      <c r="Z126" t="s">
        <v>480</v>
      </c>
      <c r="AA126" t="s">
        <v>481</v>
      </c>
      <c r="AB126" t="str">
        <f t="shared" si="1"/>
        <v>KW - Kuwait</v>
      </c>
    </row>
    <row r="127" spans="2:28" x14ac:dyDescent="0.3">
      <c r="B127" t="s">
        <v>28</v>
      </c>
      <c r="C127" t="s">
        <v>26</v>
      </c>
      <c r="Z127" t="s">
        <v>322</v>
      </c>
      <c r="AA127" t="s">
        <v>323</v>
      </c>
      <c r="AB127" t="str">
        <f t="shared" si="1"/>
        <v>KY - Cayman Islands (the)</v>
      </c>
    </row>
    <row r="128" spans="2:28" x14ac:dyDescent="0.3">
      <c r="Z128" t="s">
        <v>470</v>
      </c>
      <c r="AA128" t="s">
        <v>471</v>
      </c>
      <c r="AB128" t="str">
        <f t="shared" si="1"/>
        <v>KZ - Kazakhstan</v>
      </c>
    </row>
    <row r="129" spans="1:28" x14ac:dyDescent="0.3">
      <c r="Z129" t="s">
        <v>484</v>
      </c>
      <c r="AA129" t="s">
        <v>485</v>
      </c>
      <c r="AB129" t="str">
        <f t="shared" si="1"/>
        <v>LA - Lao People's Democratic Republic (the)</v>
      </c>
    </row>
    <row r="130" spans="1:28" x14ac:dyDescent="0.3">
      <c r="A130" t="s">
        <v>3</v>
      </c>
      <c r="Z130" t="s">
        <v>488</v>
      </c>
      <c r="AA130" t="s">
        <v>489</v>
      </c>
      <c r="AB130" t="str">
        <f t="shared" si="1"/>
        <v>LB - Lebanon</v>
      </c>
    </row>
    <row r="131" spans="1:28" x14ac:dyDescent="0.3">
      <c r="A131" t="s">
        <v>27</v>
      </c>
      <c r="Z131" t="s">
        <v>616</v>
      </c>
      <c r="AA131" t="s">
        <v>617</v>
      </c>
      <c r="AB131" t="str">
        <f t="shared" si="1"/>
        <v>LC - Saint Lucia</v>
      </c>
    </row>
    <row r="132" spans="1:28" x14ac:dyDescent="0.3">
      <c r="A132" t="s">
        <v>742</v>
      </c>
      <c r="Z132" t="s">
        <v>496</v>
      </c>
      <c r="AA132" t="s">
        <v>497</v>
      </c>
      <c r="AB132" t="str">
        <f t="shared" si="1"/>
        <v>LI - Liechtenstein</v>
      </c>
    </row>
    <row r="133" spans="1:28" x14ac:dyDescent="0.3">
      <c r="A133" t="s">
        <v>168</v>
      </c>
      <c r="Z133" t="s">
        <v>660</v>
      </c>
      <c r="AA133" t="s">
        <v>661</v>
      </c>
      <c r="AB133" t="str">
        <f t="shared" ref="AB133:AB196" si="2">AA133&amp;" - "&amp;Z133</f>
        <v>LK - Sri Lanka</v>
      </c>
    </row>
    <row r="134" spans="1:28" x14ac:dyDescent="0.3">
      <c r="A134" t="s">
        <v>28</v>
      </c>
      <c r="Z134" t="s">
        <v>492</v>
      </c>
      <c r="AA134" t="s">
        <v>493</v>
      </c>
      <c r="AB134" t="str">
        <f t="shared" si="2"/>
        <v>LR - Liberia</v>
      </c>
    </row>
    <row r="135" spans="1:28" x14ac:dyDescent="0.3">
      <c r="Z135" t="s">
        <v>490</v>
      </c>
      <c r="AA135" t="s">
        <v>491</v>
      </c>
      <c r="AB135" t="str">
        <f t="shared" si="2"/>
        <v>LS - Lesotho</v>
      </c>
    </row>
    <row r="136" spans="1:28" x14ac:dyDescent="0.3">
      <c r="Z136" t="s">
        <v>498</v>
      </c>
      <c r="AA136" t="s">
        <v>499</v>
      </c>
      <c r="AB136" t="str">
        <f t="shared" si="2"/>
        <v>LT - Lithuania</v>
      </c>
    </row>
    <row r="137" spans="1:28" x14ac:dyDescent="0.3">
      <c r="Z137" t="s">
        <v>500</v>
      </c>
      <c r="AA137" t="s">
        <v>501</v>
      </c>
      <c r="AB137" t="str">
        <f t="shared" si="2"/>
        <v>LU - Luxembourg</v>
      </c>
    </row>
    <row r="138" spans="1:28" x14ac:dyDescent="0.3">
      <c r="A138" s="223" t="s">
        <v>858</v>
      </c>
      <c r="B138" s="224"/>
      <c r="C138" s="224"/>
      <c r="D138" s="224"/>
      <c r="E138" s="224"/>
      <c r="F138" s="224"/>
      <c r="Z138" t="s">
        <v>486</v>
      </c>
      <c r="AA138" t="s">
        <v>487</v>
      </c>
      <c r="AB138" t="str">
        <f t="shared" si="2"/>
        <v>LV - Latvia</v>
      </c>
    </row>
    <row r="139" spans="1:28" x14ac:dyDescent="0.3">
      <c r="A139" s="224"/>
      <c r="B139" s="224"/>
      <c r="C139" s="224"/>
      <c r="D139" s="224"/>
      <c r="E139" s="224"/>
      <c r="F139" s="224"/>
      <c r="Z139" t="s">
        <v>494</v>
      </c>
      <c r="AA139" t="s">
        <v>495</v>
      </c>
      <c r="AB139" t="str">
        <f t="shared" si="2"/>
        <v>LY - Libya</v>
      </c>
    </row>
    <row r="140" spans="1:28" x14ac:dyDescent="0.3">
      <c r="A140" s="225" t="s">
        <v>51</v>
      </c>
      <c r="B140" s="224"/>
      <c r="C140" s="224"/>
      <c r="D140" s="224"/>
      <c r="E140" s="224"/>
      <c r="F140" s="224"/>
      <c r="Z140" t="s">
        <v>540</v>
      </c>
      <c r="AA140" t="s">
        <v>541</v>
      </c>
      <c r="AB140" t="str">
        <f t="shared" si="2"/>
        <v>MA - Morocco</v>
      </c>
    </row>
    <row r="141" spans="1:28" x14ac:dyDescent="0.3">
      <c r="A141" s="226" t="s">
        <v>3</v>
      </c>
      <c r="B141" s="224"/>
      <c r="C141" s="224"/>
      <c r="D141" s="224"/>
      <c r="E141" s="224"/>
      <c r="F141" s="224"/>
      <c r="Z141" t="s">
        <v>532</v>
      </c>
      <c r="AA141" t="s">
        <v>533</v>
      </c>
      <c r="AB141" t="str">
        <f t="shared" si="2"/>
        <v>MC - Monaco</v>
      </c>
    </row>
    <row r="142" spans="1:28" x14ac:dyDescent="0.3">
      <c r="A142" s="226" t="s">
        <v>169</v>
      </c>
      <c r="B142" s="224"/>
      <c r="C142" s="224"/>
      <c r="D142" s="224"/>
      <c r="E142" s="224"/>
      <c r="F142" s="224"/>
      <c r="Z142" t="s">
        <v>530</v>
      </c>
      <c r="AA142" t="s">
        <v>531</v>
      </c>
      <c r="AB142" t="str">
        <f t="shared" si="2"/>
        <v>MD - Moldova (the Republic of)</v>
      </c>
    </row>
    <row r="143" spans="1:28" x14ac:dyDescent="0.3">
      <c r="A143" s="226" t="s">
        <v>170</v>
      </c>
      <c r="B143" s="224"/>
      <c r="C143" s="224"/>
      <c r="D143" s="224"/>
      <c r="E143" s="224"/>
      <c r="F143" s="224"/>
      <c r="Z143" t="s">
        <v>536</v>
      </c>
      <c r="AA143" t="s">
        <v>537</v>
      </c>
      <c r="AB143" t="str">
        <f t="shared" si="2"/>
        <v>ME - Montenegro</v>
      </c>
    </row>
    <row r="144" spans="1:28" x14ac:dyDescent="0.3">
      <c r="A144" s="226" t="s">
        <v>813</v>
      </c>
      <c r="B144" s="224"/>
      <c r="C144" s="224"/>
      <c r="D144" s="224"/>
      <c r="E144" s="224"/>
      <c r="F144" s="224"/>
      <c r="Z144" t="s">
        <v>618</v>
      </c>
      <c r="AA144" t="s">
        <v>619</v>
      </c>
      <c r="AB144" t="str">
        <f t="shared" si="2"/>
        <v>MF - Saint Martin (French part)</v>
      </c>
    </row>
    <row r="145" spans="1:28" x14ac:dyDescent="0.3">
      <c r="A145" s="226" t="s">
        <v>787</v>
      </c>
      <c r="B145" s="224"/>
      <c r="C145" s="224"/>
      <c r="D145" s="224"/>
      <c r="E145" s="224"/>
      <c r="F145" s="224"/>
      <c r="Z145" t="s">
        <v>504</v>
      </c>
      <c r="AA145" t="s">
        <v>505</v>
      </c>
      <c r="AB145" t="str">
        <f t="shared" si="2"/>
        <v>MG - Madagascar</v>
      </c>
    </row>
    <row r="146" spans="1:28" x14ac:dyDescent="0.3">
      <c r="A146" s="226" t="s">
        <v>788</v>
      </c>
      <c r="B146" s="224"/>
      <c r="C146" s="224"/>
      <c r="D146" s="224"/>
      <c r="E146" s="224"/>
      <c r="F146" s="224"/>
      <c r="Z146" t="s">
        <v>516</v>
      </c>
      <c r="AA146" t="s">
        <v>517</v>
      </c>
      <c r="AB146" t="str">
        <f t="shared" si="2"/>
        <v>MH - Marshall Islands (the)</v>
      </c>
    </row>
    <row r="147" spans="1:28" x14ac:dyDescent="0.3">
      <c r="A147" s="226" t="s">
        <v>1002</v>
      </c>
      <c r="B147" s="224"/>
      <c r="C147" s="224"/>
      <c r="D147" s="224"/>
      <c r="E147" s="224"/>
      <c r="F147" s="224"/>
      <c r="Z147" t="s">
        <v>600</v>
      </c>
      <c r="AA147" t="s">
        <v>601</v>
      </c>
      <c r="AB147" t="str">
        <f t="shared" si="2"/>
        <v>MK - Republic of North Macedonia</v>
      </c>
    </row>
    <row r="148" spans="1:28" x14ac:dyDescent="0.3">
      <c r="A148" s="224"/>
      <c r="B148" s="224"/>
      <c r="C148" s="224"/>
      <c r="D148" s="224"/>
      <c r="E148" s="224"/>
      <c r="F148" s="224"/>
      <c r="Z148" t="s">
        <v>512</v>
      </c>
      <c r="AA148" t="s">
        <v>513</v>
      </c>
      <c r="AB148" t="str">
        <f t="shared" si="2"/>
        <v>ML - Mali</v>
      </c>
    </row>
    <row r="149" spans="1:28" x14ac:dyDescent="0.3">
      <c r="A149" s="225" t="s">
        <v>786</v>
      </c>
      <c r="B149" s="224"/>
      <c r="C149" s="224"/>
      <c r="D149" s="224"/>
      <c r="E149" s="224"/>
      <c r="F149" s="224"/>
      <c r="Z149" t="s">
        <v>544</v>
      </c>
      <c r="AA149" t="s">
        <v>545</v>
      </c>
      <c r="AB149" t="str">
        <f t="shared" si="2"/>
        <v>MM - Myanmar</v>
      </c>
    </row>
    <row r="150" spans="1:28" x14ac:dyDescent="0.3">
      <c r="A150" s="226" t="s">
        <v>3</v>
      </c>
      <c r="B150" s="224"/>
      <c r="C150" s="224"/>
      <c r="D150" s="224"/>
      <c r="E150" s="224"/>
      <c r="F150" s="224"/>
      <c r="Z150" t="s">
        <v>534</v>
      </c>
      <c r="AA150" t="s">
        <v>535</v>
      </c>
      <c r="AB150" t="str">
        <f t="shared" si="2"/>
        <v>MN - Mongolia</v>
      </c>
    </row>
    <row r="151" spans="1:28" x14ac:dyDescent="0.3">
      <c r="A151" s="226" t="s">
        <v>169</v>
      </c>
      <c r="B151" s="224"/>
      <c r="C151" s="224"/>
      <c r="D151" s="224"/>
      <c r="E151" s="224"/>
      <c r="F151" s="224"/>
      <c r="Z151" t="s">
        <v>502</v>
      </c>
      <c r="AA151" t="s">
        <v>503</v>
      </c>
      <c r="AB151" t="str">
        <f t="shared" si="2"/>
        <v>MO - Macao</v>
      </c>
    </row>
    <row r="152" spans="1:28" x14ac:dyDescent="0.3">
      <c r="A152" s="226" t="s">
        <v>170</v>
      </c>
      <c r="B152" s="224"/>
      <c r="C152" s="224"/>
      <c r="D152" s="224"/>
      <c r="E152" s="224"/>
      <c r="F152" s="224"/>
      <c r="Z152" t="s">
        <v>568</v>
      </c>
      <c r="AA152" t="s">
        <v>569</v>
      </c>
      <c r="AB152" t="str">
        <f t="shared" si="2"/>
        <v>MP - Northern Mariana Islands (the)</v>
      </c>
    </row>
    <row r="153" spans="1:28" x14ac:dyDescent="0.3">
      <c r="A153" s="226" t="s">
        <v>813</v>
      </c>
      <c r="B153" s="224"/>
      <c r="C153" s="224"/>
      <c r="D153" s="224"/>
      <c r="E153" s="224"/>
      <c r="F153" s="224"/>
      <c r="Z153" t="s">
        <v>518</v>
      </c>
      <c r="AA153" t="s">
        <v>519</v>
      </c>
      <c r="AB153" t="str">
        <f t="shared" si="2"/>
        <v>MQ - Martinique</v>
      </c>
    </row>
    <row r="154" spans="1:28" x14ac:dyDescent="0.3">
      <c r="A154" s="226" t="s">
        <v>172</v>
      </c>
      <c r="B154" s="224"/>
      <c r="C154" s="224"/>
      <c r="D154" s="224"/>
      <c r="E154" s="224"/>
      <c r="F154" s="224"/>
      <c r="Z154" t="s">
        <v>520</v>
      </c>
      <c r="AA154" t="s">
        <v>521</v>
      </c>
      <c r="AB154" t="str">
        <f t="shared" si="2"/>
        <v>MR - Mauritania</v>
      </c>
    </row>
    <row r="155" spans="1:28" x14ac:dyDescent="0.3">
      <c r="A155" s="224"/>
      <c r="B155" s="224"/>
      <c r="C155" s="224"/>
      <c r="D155" s="224"/>
      <c r="E155" s="224"/>
      <c r="F155" s="224"/>
      <c r="Z155" t="s">
        <v>538</v>
      </c>
      <c r="AA155" t="s">
        <v>539</v>
      </c>
      <c r="AB155" t="str">
        <f t="shared" si="2"/>
        <v>MS - Montserrat</v>
      </c>
    </row>
    <row r="156" spans="1:28" x14ac:dyDescent="0.3">
      <c r="A156" s="225" t="s">
        <v>1003</v>
      </c>
      <c r="B156" s="224"/>
      <c r="C156" s="224"/>
      <c r="D156" s="224"/>
      <c r="E156" s="224"/>
      <c r="F156" s="224"/>
      <c r="Z156" t="s">
        <v>514</v>
      </c>
      <c r="AA156" t="s">
        <v>515</v>
      </c>
      <c r="AB156" t="str">
        <f t="shared" si="2"/>
        <v>MT - Malta</v>
      </c>
    </row>
    <row r="157" spans="1:28" x14ac:dyDescent="0.3">
      <c r="A157" s="226" t="s">
        <v>3</v>
      </c>
      <c r="B157" s="224"/>
      <c r="C157" s="224"/>
      <c r="D157" s="224"/>
      <c r="E157" s="224"/>
      <c r="F157" s="224"/>
      <c r="Z157" t="s">
        <v>522</v>
      </c>
      <c r="AA157" t="s">
        <v>523</v>
      </c>
      <c r="AB157" t="str">
        <f t="shared" si="2"/>
        <v>MU - Mauritius</v>
      </c>
    </row>
    <row r="158" spans="1:28" x14ac:dyDescent="0.3">
      <c r="A158" s="226" t="s">
        <v>1004</v>
      </c>
      <c r="B158" s="224"/>
      <c r="C158" s="224"/>
      <c r="D158" s="224"/>
      <c r="E158" s="224"/>
      <c r="F158" s="224"/>
      <c r="Z158" t="s">
        <v>510</v>
      </c>
      <c r="AA158" t="s">
        <v>511</v>
      </c>
      <c r="AB158" t="str">
        <f t="shared" si="2"/>
        <v>MV - Maldives</v>
      </c>
    </row>
    <row r="159" spans="1:28" x14ac:dyDescent="0.3">
      <c r="A159" s="226" t="s">
        <v>1005</v>
      </c>
      <c r="B159" s="224"/>
      <c r="C159" s="224"/>
      <c r="D159" s="224"/>
      <c r="E159" s="224"/>
      <c r="F159" s="224"/>
      <c r="Z159" t="s">
        <v>506</v>
      </c>
      <c r="AA159" t="s">
        <v>507</v>
      </c>
      <c r="AB159" t="str">
        <f t="shared" si="2"/>
        <v>MW - Malawi</v>
      </c>
    </row>
    <row r="160" spans="1:28" x14ac:dyDescent="0.3">
      <c r="Z160" t="s">
        <v>526</v>
      </c>
      <c r="AA160" t="s">
        <v>527</v>
      </c>
      <c r="AB160" t="str">
        <f t="shared" si="2"/>
        <v>MX - Mexico</v>
      </c>
    </row>
    <row r="161" spans="26:28" x14ac:dyDescent="0.3">
      <c r="Z161" t="s">
        <v>508</v>
      </c>
      <c r="AA161" t="s">
        <v>509</v>
      </c>
      <c r="AB161" t="str">
        <f t="shared" si="2"/>
        <v>MY - Malaysia</v>
      </c>
    </row>
    <row r="162" spans="26:28" x14ac:dyDescent="0.3">
      <c r="Z162" t="s">
        <v>542</v>
      </c>
      <c r="AA162" t="s">
        <v>543</v>
      </c>
      <c r="AB162" t="str">
        <f t="shared" si="2"/>
        <v>MZ - Mozambique</v>
      </c>
    </row>
    <row r="163" spans="26:28" x14ac:dyDescent="0.3">
      <c r="Z163" t="s">
        <v>546</v>
      </c>
      <c r="AA163" t="s">
        <v>547</v>
      </c>
      <c r="AB163" t="str">
        <f t="shared" si="2"/>
        <v>NA - Namibia</v>
      </c>
    </row>
    <row r="164" spans="26:28" x14ac:dyDescent="0.3">
      <c r="Z164" t="s">
        <v>554</v>
      </c>
      <c r="AA164" t="s">
        <v>555</v>
      </c>
      <c r="AB164" t="str">
        <f t="shared" si="2"/>
        <v>NC - New Caledonia</v>
      </c>
    </row>
    <row r="165" spans="26:28" x14ac:dyDescent="0.3">
      <c r="Z165" t="s">
        <v>560</v>
      </c>
      <c r="AA165" t="s">
        <v>561</v>
      </c>
      <c r="AB165" t="str">
        <f t="shared" si="2"/>
        <v>NE - Niger (the)</v>
      </c>
    </row>
    <row r="166" spans="26:28" x14ac:dyDescent="0.3">
      <c r="Z166" t="s">
        <v>566</v>
      </c>
      <c r="AA166" t="s">
        <v>567</v>
      </c>
      <c r="AB166" t="str">
        <f t="shared" si="2"/>
        <v>NF - Norfolk Island</v>
      </c>
    </row>
    <row r="167" spans="26:28" x14ac:dyDescent="0.3">
      <c r="Z167" t="s">
        <v>562</v>
      </c>
      <c r="AA167" t="s">
        <v>563</v>
      </c>
      <c r="AB167" t="str">
        <f t="shared" si="2"/>
        <v>NG - Nigeria</v>
      </c>
    </row>
    <row r="168" spans="26:28" x14ac:dyDescent="0.3">
      <c r="Z168" t="s">
        <v>558</v>
      </c>
      <c r="AA168" t="s">
        <v>559</v>
      </c>
      <c r="AB168" t="str">
        <f t="shared" si="2"/>
        <v>NI - Nicaragua</v>
      </c>
    </row>
    <row r="169" spans="26:28" x14ac:dyDescent="0.3">
      <c r="Z169" t="s">
        <v>552</v>
      </c>
      <c r="AA169" t="s">
        <v>553</v>
      </c>
      <c r="AB169" t="str">
        <f t="shared" si="2"/>
        <v>NL - Netherlands (the)</v>
      </c>
    </row>
    <row r="170" spans="26:28" x14ac:dyDescent="0.3">
      <c r="Z170" t="s">
        <v>570</v>
      </c>
      <c r="AA170" t="s">
        <v>571</v>
      </c>
      <c r="AB170" t="str">
        <f t="shared" si="2"/>
        <v>NO - Norway</v>
      </c>
    </row>
    <row r="171" spans="26:28" x14ac:dyDescent="0.3">
      <c r="Z171" t="s">
        <v>550</v>
      </c>
      <c r="AA171" t="s">
        <v>551</v>
      </c>
      <c r="AB171" t="str">
        <f t="shared" si="2"/>
        <v>NP - Nepal</v>
      </c>
    </row>
    <row r="172" spans="26:28" x14ac:dyDescent="0.3">
      <c r="Z172" t="s">
        <v>548</v>
      </c>
      <c r="AA172" t="s">
        <v>549</v>
      </c>
      <c r="AB172" t="str">
        <f t="shared" si="2"/>
        <v>NR - Nauru</v>
      </c>
    </row>
    <row r="173" spans="26:28" x14ac:dyDescent="0.3">
      <c r="Z173" t="s">
        <v>564</v>
      </c>
      <c r="AA173" t="s">
        <v>565</v>
      </c>
      <c r="AB173" t="str">
        <f t="shared" si="2"/>
        <v>NU - Niue</v>
      </c>
    </row>
    <row r="174" spans="26:28" x14ac:dyDescent="0.3">
      <c r="Z174" t="s">
        <v>556</v>
      </c>
      <c r="AA174" t="s">
        <v>557</v>
      </c>
      <c r="AB174" t="str">
        <f t="shared" si="2"/>
        <v>NZ - New Zealand</v>
      </c>
    </row>
    <row r="175" spans="26:28" x14ac:dyDescent="0.3">
      <c r="Z175" t="s">
        <v>572</v>
      </c>
      <c r="AA175" t="s">
        <v>573</v>
      </c>
      <c r="AB175" t="str">
        <f t="shared" si="2"/>
        <v>OM - Oman</v>
      </c>
    </row>
    <row r="176" spans="26:28" x14ac:dyDescent="0.3">
      <c r="Z176" t="s">
        <v>580</v>
      </c>
      <c r="AA176" t="s">
        <v>581</v>
      </c>
      <c r="AB176" t="str">
        <f t="shared" si="2"/>
        <v>PA - Panama</v>
      </c>
    </row>
    <row r="177" spans="26:28" x14ac:dyDescent="0.3">
      <c r="Z177" t="s">
        <v>586</v>
      </c>
      <c r="AA177" t="s">
        <v>587</v>
      </c>
      <c r="AB177" t="str">
        <f t="shared" si="2"/>
        <v>PE - Peru</v>
      </c>
    </row>
    <row r="178" spans="26:28" x14ac:dyDescent="0.3">
      <c r="Z178" t="s">
        <v>396</v>
      </c>
      <c r="AA178" t="s">
        <v>397</v>
      </c>
      <c r="AB178" t="str">
        <f t="shared" si="2"/>
        <v>PF - French Polynesia</v>
      </c>
    </row>
    <row r="179" spans="26:28" x14ac:dyDescent="0.3">
      <c r="Z179" t="s">
        <v>582</v>
      </c>
      <c r="AA179" t="s">
        <v>583</v>
      </c>
      <c r="AB179" t="str">
        <f t="shared" si="2"/>
        <v>PG - Papua New Guinea</v>
      </c>
    </row>
    <row r="180" spans="26:28" x14ac:dyDescent="0.3">
      <c r="Z180" t="s">
        <v>588</v>
      </c>
      <c r="AA180" t="s">
        <v>589</v>
      </c>
      <c r="AB180" t="str">
        <f t="shared" si="2"/>
        <v>PH - Philippines (the)</v>
      </c>
    </row>
    <row r="181" spans="26:28" x14ac:dyDescent="0.3">
      <c r="Z181" t="s">
        <v>574</v>
      </c>
      <c r="AA181" t="s">
        <v>575</v>
      </c>
      <c r="AB181" t="str">
        <f t="shared" si="2"/>
        <v>PK - Pakistan</v>
      </c>
    </row>
    <row r="182" spans="26:28" x14ac:dyDescent="0.3">
      <c r="Z182" t="s">
        <v>592</v>
      </c>
      <c r="AA182" t="s">
        <v>593</v>
      </c>
      <c r="AB182" t="str">
        <f t="shared" si="2"/>
        <v>PL - Poland</v>
      </c>
    </row>
    <row r="183" spans="26:28" x14ac:dyDescent="0.3">
      <c r="Z183" t="s">
        <v>620</v>
      </c>
      <c r="AA183" t="s">
        <v>621</v>
      </c>
      <c r="AB183" t="str">
        <f t="shared" si="2"/>
        <v>PM - Saint Pierre and Miquelon</v>
      </c>
    </row>
    <row r="184" spans="26:28" x14ac:dyDescent="0.3">
      <c r="Z184" t="s">
        <v>590</v>
      </c>
      <c r="AA184" t="s">
        <v>591</v>
      </c>
      <c r="AB184" t="str">
        <f t="shared" si="2"/>
        <v>PN - Pitcairn</v>
      </c>
    </row>
    <row r="185" spans="26:28" x14ac:dyDescent="0.3">
      <c r="Z185" t="s">
        <v>596</v>
      </c>
      <c r="AA185" t="s">
        <v>597</v>
      </c>
      <c r="AB185" t="str">
        <f t="shared" si="2"/>
        <v>PR - Puerto Rico</v>
      </c>
    </row>
    <row r="186" spans="26:28" x14ac:dyDescent="0.3">
      <c r="Z186" t="s">
        <v>578</v>
      </c>
      <c r="AA186" t="s">
        <v>579</v>
      </c>
      <c r="AB186" t="str">
        <f t="shared" si="2"/>
        <v>PS - Palestine, State of</v>
      </c>
    </row>
    <row r="187" spans="26:28" x14ac:dyDescent="0.3">
      <c r="Z187" t="s">
        <v>594</v>
      </c>
      <c r="AA187" t="s">
        <v>595</v>
      </c>
      <c r="AB187" t="str">
        <f t="shared" si="2"/>
        <v>PT - Portugal</v>
      </c>
    </row>
    <row r="188" spans="26:28" x14ac:dyDescent="0.3">
      <c r="Z188" t="s">
        <v>576</v>
      </c>
      <c r="AA188" t="s">
        <v>577</v>
      </c>
      <c r="AB188" t="str">
        <f t="shared" si="2"/>
        <v>PW - Palau</v>
      </c>
    </row>
    <row r="189" spans="26:28" x14ac:dyDescent="0.3">
      <c r="Z189" t="s">
        <v>584</v>
      </c>
      <c r="AA189" t="s">
        <v>585</v>
      </c>
      <c r="AB189" t="str">
        <f t="shared" si="2"/>
        <v>PY - Paraguay</v>
      </c>
    </row>
    <row r="190" spans="26:28" x14ac:dyDescent="0.3">
      <c r="Z190" t="s">
        <v>598</v>
      </c>
      <c r="AA190" t="s">
        <v>599</v>
      </c>
      <c r="AB190" t="str">
        <f t="shared" si="2"/>
        <v>QA - Qatar</v>
      </c>
    </row>
    <row r="191" spans="26:28" x14ac:dyDescent="0.3">
      <c r="Z191" t="s">
        <v>608</v>
      </c>
      <c r="AA191" t="s">
        <v>609</v>
      </c>
      <c r="AB191" t="str">
        <f t="shared" si="2"/>
        <v>RE - Réunion</v>
      </c>
    </row>
    <row r="192" spans="26:28" x14ac:dyDescent="0.3">
      <c r="Z192" t="s">
        <v>602</v>
      </c>
      <c r="AA192" t="s">
        <v>603</v>
      </c>
      <c r="AB192" t="str">
        <f t="shared" si="2"/>
        <v>RO - Romania</v>
      </c>
    </row>
    <row r="193" spans="26:28" x14ac:dyDescent="0.3">
      <c r="Z193" t="s">
        <v>634</v>
      </c>
      <c r="AA193" t="s">
        <v>635</v>
      </c>
      <c r="AB193" t="str">
        <f t="shared" si="2"/>
        <v>RS - Serbia</v>
      </c>
    </row>
    <row r="194" spans="26:28" x14ac:dyDescent="0.3">
      <c r="Z194" t="s">
        <v>604</v>
      </c>
      <c r="AA194" t="s">
        <v>605</v>
      </c>
      <c r="AB194" t="str">
        <f t="shared" si="2"/>
        <v>RU - Russian Federation (the)</v>
      </c>
    </row>
    <row r="195" spans="26:28" x14ac:dyDescent="0.3">
      <c r="Z195" t="s">
        <v>606</v>
      </c>
      <c r="AA195" t="s">
        <v>607</v>
      </c>
      <c r="AB195" t="str">
        <f t="shared" si="2"/>
        <v>RW - Rwanda</v>
      </c>
    </row>
    <row r="196" spans="26:28" x14ac:dyDescent="0.3">
      <c r="Z196" t="s">
        <v>630</v>
      </c>
      <c r="AA196" t="s">
        <v>631</v>
      </c>
      <c r="AB196" t="str">
        <f t="shared" si="2"/>
        <v>SA - Saudi Arabia</v>
      </c>
    </row>
    <row r="197" spans="26:28" x14ac:dyDescent="0.3">
      <c r="Z197" t="s">
        <v>648</v>
      </c>
      <c r="AA197" t="s">
        <v>649</v>
      </c>
      <c r="AB197" t="str">
        <f t="shared" ref="AB197:AB252" si="3">AA197&amp;" - "&amp;Z197</f>
        <v>SB - Solomon Islands</v>
      </c>
    </row>
    <row r="198" spans="26:28" x14ac:dyDescent="0.3">
      <c r="Z198" t="s">
        <v>636</v>
      </c>
      <c r="AA198" t="s">
        <v>637</v>
      </c>
      <c r="AB198" t="str">
        <f t="shared" si="3"/>
        <v>SC - Seychelles</v>
      </c>
    </row>
    <row r="199" spans="26:28" x14ac:dyDescent="0.3">
      <c r="Z199" t="s">
        <v>662</v>
      </c>
      <c r="AA199" t="s">
        <v>663</v>
      </c>
      <c r="AB199" t="str">
        <f t="shared" si="3"/>
        <v>SD - Sudan (the)</v>
      </c>
    </row>
    <row r="200" spans="26:28" x14ac:dyDescent="0.3">
      <c r="Z200" t="s">
        <v>668</v>
      </c>
      <c r="AA200" t="s">
        <v>669</v>
      </c>
      <c r="AB200" t="str">
        <f t="shared" si="3"/>
        <v>SE - Sweden</v>
      </c>
    </row>
    <row r="201" spans="26:28" x14ac:dyDescent="0.3">
      <c r="Z201" t="s">
        <v>640</v>
      </c>
      <c r="AA201" t="s">
        <v>641</v>
      </c>
      <c r="AB201" t="str">
        <f t="shared" si="3"/>
        <v>SG - Singapore</v>
      </c>
    </row>
    <row r="202" spans="26:28" x14ac:dyDescent="0.3">
      <c r="Z202" t="s">
        <v>612</v>
      </c>
      <c r="AA202" t="s">
        <v>613</v>
      </c>
      <c r="AB202" t="str">
        <f t="shared" si="3"/>
        <v>SH - Saint Helena, Ascension and Tristan da Cunha</v>
      </c>
    </row>
    <row r="203" spans="26:28" x14ac:dyDescent="0.3">
      <c r="Z203" t="s">
        <v>646</v>
      </c>
      <c r="AA203" t="s">
        <v>647</v>
      </c>
      <c r="AB203" t="str">
        <f t="shared" si="3"/>
        <v>SI - Slovenia</v>
      </c>
    </row>
    <row r="204" spans="26:28" x14ac:dyDescent="0.3">
      <c r="Z204" t="s">
        <v>666</v>
      </c>
      <c r="AA204" t="s">
        <v>667</v>
      </c>
      <c r="AB204" t="str">
        <f t="shared" si="3"/>
        <v>SJ - Svalbard and Jan Mayen</v>
      </c>
    </row>
    <row r="205" spans="26:28" x14ac:dyDescent="0.3">
      <c r="Z205" t="s">
        <v>644</v>
      </c>
      <c r="AA205" t="s">
        <v>645</v>
      </c>
      <c r="AB205" t="str">
        <f t="shared" si="3"/>
        <v>SK - Slovakia</v>
      </c>
    </row>
    <row r="206" spans="26:28" x14ac:dyDescent="0.3">
      <c r="Z206" t="s">
        <v>638</v>
      </c>
      <c r="AA206" t="s">
        <v>639</v>
      </c>
      <c r="AB206" t="str">
        <f t="shared" si="3"/>
        <v>SL - Sierra Leone</v>
      </c>
    </row>
    <row r="207" spans="26:28" x14ac:dyDescent="0.3">
      <c r="Z207" t="s">
        <v>626</v>
      </c>
      <c r="AA207" t="s">
        <v>627</v>
      </c>
      <c r="AB207" t="str">
        <f t="shared" si="3"/>
        <v>SM - San Marino</v>
      </c>
    </row>
    <row r="208" spans="26:28" x14ac:dyDescent="0.3">
      <c r="Z208" t="s">
        <v>632</v>
      </c>
      <c r="AA208" t="s">
        <v>633</v>
      </c>
      <c r="AB208" t="str">
        <f t="shared" si="3"/>
        <v>SN - Senegal</v>
      </c>
    </row>
    <row r="209" spans="26:28" x14ac:dyDescent="0.3">
      <c r="Z209" t="s">
        <v>650</v>
      </c>
      <c r="AA209" t="s">
        <v>651</v>
      </c>
      <c r="AB209" t="str">
        <f t="shared" si="3"/>
        <v>SO - Somalia</v>
      </c>
    </row>
    <row r="210" spans="26:28" x14ac:dyDescent="0.3">
      <c r="Z210" t="s">
        <v>664</v>
      </c>
      <c r="AA210" t="s">
        <v>665</v>
      </c>
      <c r="AB210" t="str">
        <f t="shared" si="3"/>
        <v>SR - Suriname</v>
      </c>
    </row>
    <row r="211" spans="26:28" x14ac:dyDescent="0.3">
      <c r="Z211" t="s">
        <v>656</v>
      </c>
      <c r="AA211" t="s">
        <v>657</v>
      </c>
      <c r="AB211" t="str">
        <f t="shared" si="3"/>
        <v>SS - South Sudan</v>
      </c>
    </row>
    <row r="212" spans="26:28" x14ac:dyDescent="0.3">
      <c r="Z212" t="s">
        <v>628</v>
      </c>
      <c r="AA212" t="s">
        <v>629</v>
      </c>
      <c r="AB212" t="str">
        <f t="shared" si="3"/>
        <v>ST - Sao Tome and Principe</v>
      </c>
    </row>
    <row r="213" spans="26:28" x14ac:dyDescent="0.3">
      <c r="Z213" t="s">
        <v>372</v>
      </c>
      <c r="AA213" t="s">
        <v>373</v>
      </c>
      <c r="AB213" t="str">
        <f t="shared" si="3"/>
        <v>SV - El Salvador</v>
      </c>
    </row>
    <row r="214" spans="26:28" x14ac:dyDescent="0.3">
      <c r="Z214" t="s">
        <v>642</v>
      </c>
      <c r="AA214" t="s">
        <v>643</v>
      </c>
      <c r="AB214" t="str">
        <f t="shared" si="3"/>
        <v>SX - Sint Maarten (Dutch part)</v>
      </c>
    </row>
    <row r="215" spans="26:28" x14ac:dyDescent="0.3">
      <c r="Z215" t="s">
        <v>672</v>
      </c>
      <c r="AA215" t="s">
        <v>673</v>
      </c>
      <c r="AB215" t="str">
        <f t="shared" si="3"/>
        <v>SY - Syrian Arab Republic</v>
      </c>
    </row>
    <row r="216" spans="26:28" x14ac:dyDescent="0.3">
      <c r="Z216" t="s">
        <v>380</v>
      </c>
      <c r="AA216" t="s">
        <v>381</v>
      </c>
      <c r="AB216" t="str">
        <f t="shared" si="3"/>
        <v>SZ - Eswatini</v>
      </c>
    </row>
    <row r="217" spans="26:28" x14ac:dyDescent="0.3">
      <c r="Z217" t="s">
        <v>698</v>
      </c>
      <c r="AA217" t="s">
        <v>699</v>
      </c>
      <c r="AB217" t="str">
        <f t="shared" si="3"/>
        <v>TC - Turks and Caicos Islands (the)</v>
      </c>
    </row>
    <row r="218" spans="26:28" x14ac:dyDescent="0.3">
      <c r="Z218" t="s">
        <v>326</v>
      </c>
      <c r="AA218" t="s">
        <v>327</v>
      </c>
      <c r="AB218" t="str">
        <f t="shared" si="3"/>
        <v>TD - Chad</v>
      </c>
    </row>
    <row r="219" spans="26:28" x14ac:dyDescent="0.3">
      <c r="Z219" t="s">
        <v>398</v>
      </c>
      <c r="AA219" t="s">
        <v>399</v>
      </c>
      <c r="AB219" t="str">
        <f t="shared" si="3"/>
        <v>TF - French Southern Territories (the)</v>
      </c>
    </row>
    <row r="220" spans="26:28" x14ac:dyDescent="0.3">
      <c r="Z220" t="s">
        <v>684</v>
      </c>
      <c r="AA220" t="s">
        <v>685</v>
      </c>
      <c r="AB220" t="str">
        <f t="shared" si="3"/>
        <v>TG - Togo</v>
      </c>
    </row>
    <row r="221" spans="26:28" x14ac:dyDescent="0.3">
      <c r="Z221" t="s">
        <v>680</v>
      </c>
      <c r="AA221" t="s">
        <v>681</v>
      </c>
      <c r="AB221" t="str">
        <f t="shared" si="3"/>
        <v>TH - Thailand</v>
      </c>
    </row>
    <row r="222" spans="26:28" x14ac:dyDescent="0.3">
      <c r="Z222" t="s">
        <v>676</v>
      </c>
      <c r="AA222" t="s">
        <v>677</v>
      </c>
      <c r="AB222" t="str">
        <f t="shared" si="3"/>
        <v>TJ - Tajikistan</v>
      </c>
    </row>
    <row r="223" spans="26:28" x14ac:dyDescent="0.3">
      <c r="Z223" t="s">
        <v>686</v>
      </c>
      <c r="AA223" t="s">
        <v>687</v>
      </c>
      <c r="AB223" t="str">
        <f t="shared" si="3"/>
        <v>TK - Tokelau</v>
      </c>
    </row>
    <row r="224" spans="26:28" x14ac:dyDescent="0.3">
      <c r="Z224" t="s">
        <v>682</v>
      </c>
      <c r="AA224" t="s">
        <v>683</v>
      </c>
      <c r="AB224" t="str">
        <f t="shared" si="3"/>
        <v>TL - Timor-Leste</v>
      </c>
    </row>
    <row r="225" spans="26:28" x14ac:dyDescent="0.3">
      <c r="Z225" t="s">
        <v>696</v>
      </c>
      <c r="AA225" t="s">
        <v>697</v>
      </c>
      <c r="AB225" t="str">
        <f t="shared" si="3"/>
        <v>TM - Turkmenistan</v>
      </c>
    </row>
    <row r="226" spans="26:28" x14ac:dyDescent="0.3">
      <c r="Z226" t="s">
        <v>692</v>
      </c>
      <c r="AA226" t="s">
        <v>693</v>
      </c>
      <c r="AB226" t="str">
        <f t="shared" si="3"/>
        <v>TN - Tunisia</v>
      </c>
    </row>
    <row r="227" spans="26:28" x14ac:dyDescent="0.3">
      <c r="Z227" t="s">
        <v>688</v>
      </c>
      <c r="AA227" t="s">
        <v>689</v>
      </c>
      <c r="AB227" t="str">
        <f t="shared" si="3"/>
        <v>TO - Tonga</v>
      </c>
    </row>
    <row r="228" spans="26:28" x14ac:dyDescent="0.3">
      <c r="Z228" t="s">
        <v>694</v>
      </c>
      <c r="AA228" t="s">
        <v>695</v>
      </c>
      <c r="AB228" t="str">
        <f t="shared" si="3"/>
        <v>TR - Turkey</v>
      </c>
    </row>
    <row r="229" spans="26:28" x14ac:dyDescent="0.3">
      <c r="Z229" t="s">
        <v>690</v>
      </c>
      <c r="AA229" t="s">
        <v>691</v>
      </c>
      <c r="AB229" t="str">
        <f t="shared" si="3"/>
        <v>TT - Trinidad and Tobago</v>
      </c>
    </row>
    <row r="230" spans="26:28" x14ac:dyDescent="0.3">
      <c r="Z230" t="s">
        <v>700</v>
      </c>
      <c r="AA230" t="s">
        <v>701</v>
      </c>
      <c r="AB230" t="str">
        <f t="shared" si="3"/>
        <v>TV - Tuvalu</v>
      </c>
    </row>
    <row r="231" spans="26:28" x14ac:dyDescent="0.3">
      <c r="Z231" t="s">
        <v>674</v>
      </c>
      <c r="AA231" t="s">
        <v>675</v>
      </c>
      <c r="AB231" t="str">
        <f t="shared" si="3"/>
        <v>TW - Taiwan (Province of China)</v>
      </c>
    </row>
    <row r="232" spans="26:28" x14ac:dyDescent="0.3">
      <c r="Z232" t="s">
        <v>678</v>
      </c>
      <c r="AA232" t="s">
        <v>679</v>
      </c>
      <c r="AB232" t="str">
        <f t="shared" si="3"/>
        <v>TZ - Tanzania, United Republic of</v>
      </c>
    </row>
    <row r="233" spans="26:28" x14ac:dyDescent="0.3">
      <c r="Z233" t="s">
        <v>704</v>
      </c>
      <c r="AA233" t="s">
        <v>705</v>
      </c>
      <c r="AB233" t="str">
        <f t="shared" si="3"/>
        <v>UA - Ukraine</v>
      </c>
    </row>
    <row r="234" spans="26:28" x14ac:dyDescent="0.3">
      <c r="Z234" t="s">
        <v>702</v>
      </c>
      <c r="AA234" t="s">
        <v>703</v>
      </c>
      <c r="AB234" t="str">
        <f t="shared" si="3"/>
        <v>UG - Uganda</v>
      </c>
    </row>
    <row r="235" spans="26:28" x14ac:dyDescent="0.3">
      <c r="Z235" t="s">
        <v>710</v>
      </c>
      <c r="AA235" t="s">
        <v>711</v>
      </c>
      <c r="AB235" t="str">
        <f t="shared" si="3"/>
        <v>UM - United States Minor Outlying Islands (the)</v>
      </c>
    </row>
    <row r="236" spans="26:28" x14ac:dyDescent="0.3">
      <c r="Z236" t="s">
        <v>712</v>
      </c>
      <c r="AA236" t="s">
        <v>713</v>
      </c>
      <c r="AB236" t="str">
        <f t="shared" si="3"/>
        <v>US - United States of America (the)</v>
      </c>
    </row>
    <row r="237" spans="26:28" x14ac:dyDescent="0.3">
      <c r="Z237" t="s">
        <v>714</v>
      </c>
      <c r="AA237" t="s">
        <v>715</v>
      </c>
      <c r="AB237" t="str">
        <f t="shared" si="3"/>
        <v>UY - Uruguay</v>
      </c>
    </row>
    <row r="238" spans="26:28" x14ac:dyDescent="0.3">
      <c r="Z238" t="s">
        <v>716</v>
      </c>
      <c r="AA238" t="s">
        <v>717</v>
      </c>
      <c r="AB238" t="str">
        <f t="shared" si="3"/>
        <v>UZ - Uzbekistan</v>
      </c>
    </row>
    <row r="239" spans="26:28" x14ac:dyDescent="0.3">
      <c r="Z239" t="s">
        <v>436</v>
      </c>
      <c r="AA239" t="s">
        <v>437</v>
      </c>
      <c r="AB239" t="str">
        <f t="shared" si="3"/>
        <v>VA - Holy See (the)</v>
      </c>
    </row>
    <row r="240" spans="26:28" x14ac:dyDescent="0.3">
      <c r="Z240" t="s">
        <v>622</v>
      </c>
      <c r="AA240" t="s">
        <v>623</v>
      </c>
      <c r="AB240" t="str">
        <f t="shared" si="3"/>
        <v>VC - Saint Vincent and the Grenadines</v>
      </c>
    </row>
    <row r="241" spans="26:28" x14ac:dyDescent="0.3">
      <c r="Z241" t="s">
        <v>720</v>
      </c>
      <c r="AA241" t="s">
        <v>721</v>
      </c>
      <c r="AB241" t="str">
        <f t="shared" si="3"/>
        <v>VE - Venezuela (Bolivarian Republic of)</v>
      </c>
    </row>
    <row r="242" spans="26:28" x14ac:dyDescent="0.3">
      <c r="Z242" t="s">
        <v>724</v>
      </c>
      <c r="AA242" t="s">
        <v>725</v>
      </c>
      <c r="AB242" t="str">
        <f t="shared" si="3"/>
        <v>VG - Virgin Islands (British)</v>
      </c>
    </row>
    <row r="243" spans="26:28" x14ac:dyDescent="0.3">
      <c r="Z243" t="s">
        <v>726</v>
      </c>
      <c r="AA243" t="s">
        <v>727</v>
      </c>
      <c r="AB243" t="str">
        <f t="shared" si="3"/>
        <v>VI - Virgin Islands (U.S.)</v>
      </c>
    </row>
    <row r="244" spans="26:28" x14ac:dyDescent="0.3">
      <c r="Z244" t="s">
        <v>722</v>
      </c>
      <c r="AA244" t="s">
        <v>723</v>
      </c>
      <c r="AB244" t="str">
        <f t="shared" si="3"/>
        <v>VN - Viet Nam</v>
      </c>
    </row>
    <row r="245" spans="26:28" x14ac:dyDescent="0.3">
      <c r="Z245" t="s">
        <v>718</v>
      </c>
      <c r="AA245" t="s">
        <v>719</v>
      </c>
      <c r="AB245" t="str">
        <f t="shared" si="3"/>
        <v>VU - Vanuatu</v>
      </c>
    </row>
    <row r="246" spans="26:28" x14ac:dyDescent="0.3">
      <c r="Z246" t="s">
        <v>728</v>
      </c>
      <c r="AA246" t="s">
        <v>729</v>
      </c>
      <c r="AB246" t="str">
        <f t="shared" si="3"/>
        <v>WF - Wallis and Futuna</v>
      </c>
    </row>
    <row r="247" spans="26:28" x14ac:dyDescent="0.3">
      <c r="Z247" t="s">
        <v>624</v>
      </c>
      <c r="AA247" t="s">
        <v>625</v>
      </c>
      <c r="AB247" t="str">
        <f t="shared" si="3"/>
        <v>WS - Samoa</v>
      </c>
    </row>
    <row r="248" spans="26:28" x14ac:dyDescent="0.3">
      <c r="Z248" t="s">
        <v>732</v>
      </c>
      <c r="AA248" t="s">
        <v>733</v>
      </c>
      <c r="AB248" t="str">
        <f t="shared" si="3"/>
        <v>YE - Yemen</v>
      </c>
    </row>
    <row r="249" spans="26:28" x14ac:dyDescent="0.3">
      <c r="Z249" t="s">
        <v>524</v>
      </c>
      <c r="AA249" t="s">
        <v>525</v>
      </c>
      <c r="AB249" t="str">
        <f t="shared" si="3"/>
        <v>YT - Mayotte</v>
      </c>
    </row>
    <row r="250" spans="26:28" x14ac:dyDescent="0.3">
      <c r="Z250" t="s">
        <v>652</v>
      </c>
      <c r="AA250" t="s">
        <v>653</v>
      </c>
      <c r="AB250" t="str">
        <f t="shared" si="3"/>
        <v>ZA - South Africa</v>
      </c>
    </row>
    <row r="251" spans="26:28" x14ac:dyDescent="0.3">
      <c r="Z251" t="s">
        <v>734</v>
      </c>
      <c r="AA251" t="s">
        <v>735</v>
      </c>
      <c r="AB251" t="str">
        <f t="shared" si="3"/>
        <v>ZM - Zambia</v>
      </c>
    </row>
    <row r="252" spans="26:28" x14ac:dyDescent="0.3">
      <c r="Z252" t="s">
        <v>736</v>
      </c>
      <c r="AA252" t="s">
        <v>737</v>
      </c>
      <c r="AB252" t="str">
        <f t="shared" si="3"/>
        <v>ZW - Zimbabwe</v>
      </c>
    </row>
  </sheetData>
  <autoFilter ref="K59:K69" xr:uid="{0B37A19B-0757-47E2-B3FB-908D7650A640}">
    <sortState xmlns:xlrd2="http://schemas.microsoft.com/office/spreadsheetml/2017/richdata2" ref="K60:K69">
      <sortCondition ref="K59:K69"/>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1B18DB80-EDC5-427A-8AC6-1023EC5C818E}"/>
</file>

<file path=customXml/itemProps2.xml><?xml version="1.0" encoding="utf-8"?>
<ds:datastoreItem xmlns:ds="http://schemas.openxmlformats.org/officeDocument/2006/customXml" ds:itemID="{439DB39C-EE3F-4CE5-8A89-CAE2F3CC97AE}"/>
</file>

<file path=customXml/itemProps3.xml><?xml version="1.0" encoding="utf-8"?>
<ds:datastoreItem xmlns:ds="http://schemas.openxmlformats.org/officeDocument/2006/customXml" ds:itemID="{3F9AF124-6A4D-4A8B-A795-987F385D25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0_ReadMe</vt:lpstr>
      <vt:lpstr>0_ID</vt:lpstr>
      <vt:lpstr>1_Overall Framework</vt:lpstr>
      <vt:lpstr>2_Digital Business</vt:lpstr>
      <vt:lpstr>3_Fintech Initiatives</vt:lpstr>
      <vt:lpstr>4_Technology &amp; Use Cases</vt:lpstr>
      <vt:lpstr>5_Digital Assets</vt:lpstr>
      <vt:lpstr>Datapoints</vt:lpstr>
      <vt:lpstr>List</vt:lpstr>
      <vt:lpstr>AI</vt:lpstr>
      <vt:lpstr>API</vt:lpstr>
      <vt:lpstr>DLT</vt:lpstr>
      <vt:lpstr>Other</vt:lpstr>
      <vt:lpstr>Technologies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2021-09-03T09:24:30Z</dcterms:created>
  <dcterms:modified xsi:type="dcterms:W3CDTF">2023-10-02T12:16:49Z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