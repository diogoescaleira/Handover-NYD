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F0C14510-2FE3-4A8A-9DC4-82CB1A5F223F}" xr6:coauthVersionLast="47" xr6:coauthVersionMax="47" xr10:uidLastSave="{00000000-0000-0000-0000-000000000000}"/>
  <bookViews>
    <workbookView xWindow="-120" yWindow="-120" windowWidth="29040" windowHeight="15720" xr2:uid="{00000000-000D-0000-FFFF-FFFF00000000}"/>
  </bookViews>
  <sheets>
    <sheet name="0_ReadMe" sheetId="15" r:id="rId1"/>
    <sheet name="1_ConcRisk-HHI" sheetId="17" r:id="rId2"/>
    <sheet name="2_DetailNFC-HHI_NACE" sheetId="16" r:id="rId3"/>
    <sheet name="3_ConcRisk-NFC" sheetId="18" r:id="rId4"/>
    <sheet name="4_Comments"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8" i="16" l="1"/>
  <c r="D18" i="16" s="1"/>
  <c r="D12" i="18" l="1"/>
  <c r="C12" i="16"/>
  <c r="D14" i="18" l="1"/>
  <c r="C14" i="16" l="1"/>
  <c r="D10" i="18" l="1"/>
  <c r="D8" i="18"/>
  <c r="D6" i="18"/>
  <c r="D4" i="18"/>
  <c r="C10" i="16"/>
  <c r="C8" i="16"/>
  <c r="C6" i="16"/>
  <c r="C4" i="16"/>
  <c r="F25" i="17" l="1"/>
  <c r="D25" i="17"/>
  <c r="D20" i="17" l="1"/>
  <c r="E25" i="17" s="1"/>
  <c r="F20" i="17"/>
  <c r="E22" i="17" l="1"/>
  <c r="E24" i="17"/>
  <c r="E23" i="17"/>
  <c r="E26" i="17"/>
  <c r="E21" i="17"/>
</calcChain>
</file>

<file path=xl/sharedStrings.xml><?xml version="1.0" encoding="utf-8"?>
<sst xmlns="http://schemas.openxmlformats.org/spreadsheetml/2006/main" count="84" uniqueCount="68">
  <si>
    <t>GENERAL INSTRUCTIONS</t>
  </si>
  <si>
    <t>COMMENTS</t>
  </si>
  <si>
    <t>Concentration Risk</t>
  </si>
  <si>
    <t xml:space="preserve">CONCENTRATION RISK </t>
  </si>
  <si>
    <t>Detailed instructions:</t>
  </si>
  <si>
    <t>Bank RIAD MFI code</t>
  </si>
  <si>
    <t>Bank LEI code</t>
  </si>
  <si>
    <t>.</t>
  </si>
  <si>
    <t xml:space="preserve">  1) Which kind of quality assurance processes were performed on this information and which was the organizational unit in charge of them?</t>
  </si>
  <si>
    <t xml:space="preserve">  2) Which major findings from this validation process should be highlighted?</t>
  </si>
  <si>
    <t xml:space="preserve">Please indicate what main assumptions have been used in order to complete the templates.
Which kind of quality assurance processes were performed on this information, which was the organizational unit in charge of them and which major findings from this validation process should be highlighted?
</t>
  </si>
  <si>
    <t>Please provide here any comment of relevance to the data collected in this template.</t>
  </si>
  <si>
    <t xml:space="preserve">* Value = direct exposures + indirect exposures + additional exposures arising from transactions where there is an exposure to underlying assets; </t>
  </si>
  <si>
    <t xml:space="preserve">Total gross nominal exposure value </t>
  </si>
  <si>
    <t>A Agriculture, forestry and fishing</t>
  </si>
  <si>
    <t>B Mining and quarrying</t>
  </si>
  <si>
    <t>C Manufacturing</t>
  </si>
  <si>
    <t>D Electricity, gas, steam and air conditioning supply</t>
  </si>
  <si>
    <t>E Water supply</t>
  </si>
  <si>
    <t>F Construction</t>
  </si>
  <si>
    <t>G Wholesale and retail trade</t>
  </si>
  <si>
    <t>H Transport and storage</t>
  </si>
  <si>
    <t>I Accommodation and food service activities</t>
  </si>
  <si>
    <t>J Information and communication</t>
  </si>
  <si>
    <t>L Real estate activities</t>
  </si>
  <si>
    <t>M Professional, scientific and technical activities</t>
  </si>
  <si>
    <t>N Administrative and support service activities</t>
  </si>
  <si>
    <t>O Public administration and defence, compulsory social security</t>
  </si>
  <si>
    <t>P Education</t>
  </si>
  <si>
    <t>Q Human health services and social work activities</t>
  </si>
  <si>
    <t>R Arts, entertainment and recreation</t>
  </si>
  <si>
    <t>S Other services</t>
  </si>
  <si>
    <t>Additionally, banks should provide answers to the  following questions:</t>
  </si>
  <si>
    <t>Loans and Advances (Non Financial Corporations)</t>
  </si>
  <si>
    <t>Portfolio</t>
  </si>
  <si>
    <t>Total gross nominal exposure value</t>
  </si>
  <si>
    <t>% of Entire Portfolio</t>
  </si>
  <si>
    <t>Loans and Advances (Entire Portfolio)</t>
  </si>
  <si>
    <t>Central Banks</t>
  </si>
  <si>
    <t>General Governments</t>
  </si>
  <si>
    <t>Credit institutions</t>
  </si>
  <si>
    <t>Other Financial Corporations</t>
  </si>
  <si>
    <t>Non Financial Corporations</t>
  </si>
  <si>
    <t>Households</t>
  </si>
  <si>
    <t>(EUR thousands)</t>
  </si>
  <si>
    <t>LEI Code of Counterparty 
(or other ID, if LEI not available)</t>
  </si>
  <si>
    <t>Gross Nominal Exposure Value (EUR thousands, descending order)</t>
  </si>
  <si>
    <t>Obligor Name</t>
  </si>
  <si>
    <t>Herfindahl index 
(all obligors)</t>
  </si>
  <si>
    <t>Only fields marked with yellow background should be filled in.</t>
  </si>
  <si>
    <t>iii) The definition of the portfolios is according to the instructions in the FINREP templates.</t>
  </si>
  <si>
    <t xml:space="preserve">** In the case of a non performing exposure, please only exclude the non-performing facility while still reporting the remaining facilities of the obligor. </t>
  </si>
  <si>
    <t>The major purpose of the sheets is to collect information about exposure concentration in the Loan and advances portfolio. For this objective, two kind of information will be collected with different granularity and scope. All exposures in the scope are PERFORMING exposures.</t>
  </si>
  <si>
    <t>(Exposure values to be reported in Thousand Euros)</t>
  </si>
  <si>
    <r>
      <t xml:space="preserve">Comments </t>
    </r>
    <r>
      <rPr>
        <i/>
        <sz val="12"/>
        <color theme="1"/>
        <rFont val="Calibri"/>
        <family val="2"/>
        <scheme val="minor"/>
      </rPr>
      <t xml:space="preserve">(To be filled in case of variation greater than </t>
    </r>
    <r>
      <rPr>
        <i/>
        <sz val="12"/>
        <color rgb="FFFF0000"/>
        <rFont val="Calibri"/>
        <family val="2"/>
        <scheme val="minor"/>
      </rPr>
      <t>45 bpp</t>
    </r>
    <r>
      <rPr>
        <i/>
        <sz val="12"/>
        <color theme="1"/>
        <rFont val="Calibri"/>
        <family val="2"/>
        <scheme val="minor"/>
      </rPr>
      <t xml:space="preserve"> in comparison to previous quarter values of HHI indexes)</t>
    </r>
  </si>
  <si>
    <t>i) Exposures should be taken on a consolidated basis for the reporting institution and be grouped by obligor to compute the HHI index and the exposure. Exposures towards counterparties belonging to the same group/conglomerate should not be taken into account separately. This also implies that for a group of connected counterparties the predominant single obligor should be considered when determining the counterparty category, or the breakdown to which the counterparty will be assigned. Figures should be based on the bank's internal risk reporting. If any proxies are used, please elaborate in the comments field.</t>
  </si>
  <si>
    <t>ii) The "Gross Nominal Exposure Value" to be used, refers to the exposure values of banking book positions* (loans and advances, off-balance sheet items and derivatives item) that are considered performing or partially performing** before provisioning and before taking into account the effect of credit risk mitigation in accordance with Articles 401 to 403 and 399 CRR. Exposures should be taken as granted amounts (i.e. including both the drawn and undrawn part of a facility).</t>
  </si>
  <si>
    <t>iv) The Herfindahl index shall be computed with the usual definition for this measurement, taking into account all obligors and exposures in each portfolio, using the following formula. It shall be a value between 0 and 1.</t>
  </si>
  <si>
    <t>K Financial and insurance activities</t>
  </si>
  <si>
    <r>
      <t xml:space="preserve">Country: </t>
    </r>
    <r>
      <rPr>
        <sz val="11"/>
        <color indexed="8"/>
        <rFont val="Calibri"/>
        <family val="2"/>
        <scheme val="minor"/>
      </rPr>
      <t>(two letter ISO code)</t>
    </r>
  </si>
  <si>
    <r>
      <t xml:space="preserve">Bank: </t>
    </r>
    <r>
      <rPr>
        <sz val="11"/>
        <color indexed="8"/>
        <rFont val="Calibri"/>
        <family val="2"/>
        <scheme val="minor"/>
      </rPr>
      <t>(name)</t>
    </r>
  </si>
  <si>
    <r>
      <t>Reference date:</t>
    </r>
    <r>
      <rPr>
        <sz val="11"/>
        <color rgb="FF000000"/>
        <rFont val="Calibri"/>
        <family val="2"/>
        <scheme val="minor"/>
      </rPr>
      <t xml:space="preserve"> T (dd/mm/yyyy format)</t>
    </r>
  </si>
  <si>
    <r>
      <t>The worksheet labelled "</t>
    </r>
    <r>
      <rPr>
        <b/>
        <i/>
        <sz val="11"/>
        <rFont val="Calibri"/>
        <family val="2"/>
        <scheme val="minor"/>
      </rPr>
      <t>1_ConcRisk-HHI</t>
    </r>
    <r>
      <rPr>
        <i/>
        <sz val="11"/>
        <rFont val="Calibri"/>
        <family val="2"/>
        <scheme val="minor"/>
      </rPr>
      <t>"  is regarding thewhole requested portfolio, gathering information about gross exposures and Herfindahl Index with a breakdown similar to that used in the FINREP template F18.00.a., but with the treatment for the exposures and for the HHI index as described in section (i) of the detailed instructions. ITS instructions regarding F18.00.a scope should be used as starting point to build the portfolios, and should be complemented with the detailed instructions provided in this excel file.</t>
    </r>
  </si>
  <si>
    <r>
      <t>The worksheet labelled "</t>
    </r>
    <r>
      <rPr>
        <b/>
        <i/>
        <sz val="11"/>
        <rFont val="Calibri"/>
        <family val="2"/>
        <scheme val="minor"/>
      </rPr>
      <t>2_DetailNFC-HHI_NACE</t>
    </r>
    <r>
      <rPr>
        <i/>
        <sz val="11"/>
        <rFont val="Calibri"/>
        <family val="2"/>
        <scheme val="minor"/>
      </rPr>
      <t>" requests a different breakdown for the counterparties assigned to the Non Financial Corporates portfolio. This breakdown is aligned with the  FINREP template F06.00 (Breakdown by NACE code) and the information requested in this worksheet must be aligned with the information provided in "1_ConcRisk-HHI" for the NFC portfolio.</t>
    </r>
  </si>
  <si>
    <r>
      <t>The information requested in the worksheet "</t>
    </r>
    <r>
      <rPr>
        <b/>
        <i/>
        <sz val="11"/>
        <rFont val="Calibri"/>
        <family val="2"/>
        <scheme val="minor"/>
      </rPr>
      <t>3_ConcRisk-NFC</t>
    </r>
    <r>
      <rPr>
        <i/>
        <sz val="11"/>
        <rFont val="Calibri"/>
        <family val="2"/>
        <scheme val="minor"/>
      </rPr>
      <t>" is the detailed information for the 100 largest obligors assigned to the NFC portfolio, and aligned with the information provided in the sheet "2_DetailNFC-HHI_NACE". The obligors in this sheet should be reported with the same criteria and  aggregation at obligor level used to compile the  "2_DetailNFC-HHI_NACE", and Name and Identification code (LEI if available, otherwise internal ID) for each reported obligor is required.</t>
    </r>
  </si>
  <si>
    <r>
      <t>In the last worksheet (</t>
    </r>
    <r>
      <rPr>
        <b/>
        <i/>
        <sz val="11"/>
        <rFont val="Calibri"/>
        <family val="2"/>
        <scheme val="minor"/>
      </rPr>
      <t>'4_Comments'</t>
    </r>
    <r>
      <rPr>
        <i/>
        <sz val="11"/>
        <rFont val="Calibri"/>
        <family val="2"/>
        <scheme val="minor"/>
      </rPr>
      <t>), banks should indicate what main assumptions have been used in order to complete the templates.</t>
    </r>
  </si>
  <si>
    <t>Level of consolidation:</t>
  </si>
  <si>
    <t>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</si>
</sst>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0"/>
      <name val="Calibri"/>
      <family val="2"/>
      <scheme val="minor"/>
    </font>
    <font>
      <b/>
      <sz val="11"/>
      <name val="Calibri"/>
      <family val="2"/>
      <scheme val="minor"/>
    </font>
    <font>
      <b/>
      <sz val="12"/>
      <color theme="1"/>
      <name val="Calibri"/>
      <family val="2"/>
      <scheme val="minor"/>
    </font>
    <font>
      <i/>
      <sz val="11"/>
      <color theme="1"/>
      <name val="Calibri"/>
      <family val="2"/>
      <scheme val="minor"/>
    </font>
    <font>
      <sz val="11"/>
      <name val="Calibri"/>
      <family val="2"/>
      <scheme val="minor"/>
    </font>
    <font>
      <i/>
      <sz val="11"/>
      <color theme="0" tint="-0.499984740745262"/>
      <name val="Calibri"/>
      <family val="2"/>
      <scheme val="minor"/>
    </font>
    <font>
      <i/>
      <sz val="12"/>
      <color theme="1"/>
      <name val="Calibri"/>
      <family val="2"/>
      <scheme val="minor"/>
    </font>
    <font>
      <i/>
      <sz val="12"/>
      <color rgb="FFFF0000"/>
      <name val="Calibri"/>
      <family val="2"/>
      <scheme val="minor"/>
    </font>
    <font>
      <b/>
      <sz val="16"/>
      <color theme="1"/>
      <name val="Calibri"/>
      <family val="2"/>
      <scheme val="minor"/>
    </font>
    <font>
      <b/>
      <sz val="16"/>
      <color rgb="FF000000"/>
      <name val="Calibri"/>
      <family val="2"/>
      <scheme val="minor"/>
    </font>
    <font>
      <b/>
      <sz val="12"/>
      <color rgb="FF000000"/>
      <name val="Calibri"/>
      <family val="2"/>
      <scheme val="minor"/>
    </font>
    <font>
      <sz val="12"/>
      <color rgb="FF000000"/>
      <name val="Calibri"/>
      <family val="2"/>
      <scheme val="minor"/>
    </font>
    <font>
      <b/>
      <sz val="11"/>
      <color rgb="FF000000"/>
      <name val="Calibri"/>
      <family val="2"/>
      <scheme val="minor"/>
    </font>
    <font>
      <sz val="11"/>
      <color indexed="8"/>
      <name val="Calibri"/>
      <family val="2"/>
      <scheme val="minor"/>
    </font>
    <font>
      <sz val="11"/>
      <color rgb="FF000000"/>
      <name val="Calibri"/>
      <family val="2"/>
      <scheme val="minor"/>
    </font>
    <font>
      <i/>
      <sz val="12"/>
      <color rgb="FF000000"/>
      <name val="Calibri"/>
      <family val="2"/>
      <scheme val="minor"/>
    </font>
    <font>
      <b/>
      <sz val="12"/>
      <name val="Calibri"/>
      <family val="2"/>
      <scheme val="minor"/>
    </font>
    <font>
      <i/>
      <sz val="9"/>
      <color theme="1"/>
      <name val="Calibri"/>
      <family val="2"/>
      <scheme val="minor"/>
    </font>
    <font>
      <i/>
      <sz val="11"/>
      <color rgb="FF000000"/>
      <name val="Calibri"/>
      <family val="2"/>
      <scheme val="minor"/>
    </font>
    <font>
      <b/>
      <i/>
      <sz val="11"/>
      <color rgb="FF000000"/>
      <name val="Calibri"/>
      <family val="2"/>
      <scheme val="minor"/>
    </font>
    <font>
      <i/>
      <sz val="11"/>
      <name val="Calibri"/>
      <family val="2"/>
      <scheme val="minor"/>
    </font>
    <font>
      <sz val="11"/>
      <color rgb="FFFF0000"/>
      <name val="Calibri"/>
      <family val="2"/>
      <scheme val="minor"/>
    </font>
    <font>
      <b/>
      <sz val="14"/>
      <color theme="1"/>
      <name val="Calibri"/>
      <family val="2"/>
      <scheme val="minor"/>
    </font>
    <font>
      <b/>
      <sz val="14"/>
      <color rgb="FFFF0000"/>
      <name val="Calibri"/>
      <family val="2"/>
      <scheme val="minor"/>
    </font>
    <font>
      <b/>
      <i/>
      <sz val="11"/>
      <name val="Calibri"/>
      <family val="2"/>
      <scheme val="minor"/>
    </font>
    <font>
      <b/>
      <i/>
      <sz val="12"/>
      <color theme="0" tint="-0.499984740745262"/>
      <name val="Calibri"/>
      <family val="2"/>
      <scheme val="minor"/>
    </font>
    <font>
      <i/>
      <sz val="12"/>
      <color theme="0" tint="-0.499984740745262"/>
      <name val="Calibri"/>
      <family val="2"/>
      <scheme val="minor"/>
    </font>
    <font>
      <i/>
      <sz val="10"/>
      <name val="Calibri"/>
      <family val="2"/>
      <scheme val="minor"/>
    </font>
  </fonts>
  <fills count="1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FFFF00"/>
        <bgColor rgb="FF000000"/>
      </patternFill>
    </fill>
    <fill>
      <patternFill patternType="solid">
        <fgColor rgb="FFC5D9F1"/>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D9D9D9"/>
        <bgColor rgb="FF000000"/>
      </patternFill>
    </fill>
    <fill>
      <patternFill patternType="solid">
        <fgColor theme="0" tint="-0.249977111117893"/>
        <bgColor rgb="FF000000"/>
      </patternFill>
    </fill>
    <fill>
      <patternFill patternType="solid">
        <fgColor theme="4" tint="0.59999389629810485"/>
        <bgColor indexed="64"/>
      </patternFill>
    </fill>
    <fill>
      <patternFill patternType="solid">
        <fgColor theme="3" tint="0.79998168889431442"/>
        <bgColor rgb="FF000000"/>
      </patternFill>
    </fill>
    <fill>
      <patternFill patternType="solid">
        <fgColor theme="4" tint="0.79998168889431442"/>
        <bgColor rgb="FF000000"/>
      </patternFill>
    </fill>
    <fill>
      <patternFill patternType="solid">
        <fgColor theme="0" tint="-0.249977111117893"/>
        <bgColor indexed="64"/>
      </patternFill>
    </fill>
    <fill>
      <patternFill patternType="solid">
        <fgColor theme="1" tint="0.34998626667073579"/>
        <bgColor rgb="FF000000"/>
      </patternFill>
    </fill>
    <fill>
      <patternFill patternType="solid">
        <fgColor theme="0"/>
        <bgColor rgb="FF000000"/>
      </patternFill>
    </fill>
    <fill>
      <patternFill patternType="solid">
        <fgColor theme="4"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102">
    <xf numFmtId="0" fontId="0" fillId="0" borderId="0" xfId="0"/>
    <xf numFmtId="0" fontId="0" fillId="2" borderId="0" xfId="0" applyFill="1"/>
    <xf numFmtId="0" fontId="1" fillId="2" borderId="0" xfId="0" applyFont="1" applyFill="1" applyProtection="1"/>
    <xf numFmtId="0" fontId="0" fillId="2" borderId="0" xfId="0" applyFont="1" applyFill="1"/>
    <xf numFmtId="0" fontId="0" fillId="3" borderId="1" xfId="0" applyFont="1" applyFill="1" applyBorder="1" applyAlignment="1" applyProtection="1">
      <alignment horizontal="left" vertical="top"/>
      <protection locked="0"/>
    </xf>
    <xf numFmtId="0" fontId="10" fillId="4" borderId="0" xfId="0" applyFont="1" applyFill="1" applyBorder="1" applyProtection="1"/>
    <xf numFmtId="0" fontId="11" fillId="4" borderId="0" xfId="0" applyFont="1" applyFill="1" applyBorder="1" applyProtection="1"/>
    <xf numFmtId="0" fontId="12" fillId="4" borderId="0" xfId="0" applyFont="1" applyFill="1" applyBorder="1" applyProtection="1"/>
    <xf numFmtId="0" fontId="13" fillId="4" borderId="0" xfId="0" applyFont="1" applyFill="1" applyBorder="1" applyProtection="1"/>
    <xf numFmtId="0" fontId="13" fillId="4" borderId="0" xfId="0" applyFont="1" applyFill="1" applyBorder="1" applyAlignment="1" applyProtection="1">
      <alignment horizontal="left"/>
    </xf>
    <xf numFmtId="0" fontId="15" fillId="4" borderId="0" xfId="0" applyFont="1" applyFill="1" applyBorder="1" applyProtection="1"/>
    <xf numFmtId="0" fontId="15" fillId="4" borderId="0" xfId="0" applyFont="1" applyFill="1" applyBorder="1" applyAlignment="1" applyProtection="1">
      <alignment horizontal="left"/>
    </xf>
    <xf numFmtId="0" fontId="12" fillId="4" borderId="0" xfId="0" applyFont="1" applyFill="1" applyBorder="1" applyAlignment="1" applyProtection="1">
      <alignment horizontal="left"/>
    </xf>
    <xf numFmtId="0" fontId="16" fillId="4" borderId="0" xfId="0" applyFont="1" applyFill="1" applyBorder="1" applyProtection="1"/>
    <xf numFmtId="0" fontId="0" fillId="2" borderId="0" xfId="0" applyFont="1" applyFill="1" applyProtection="1"/>
    <xf numFmtId="0" fontId="13" fillId="4" borderId="3" xfId="0" applyFont="1" applyFill="1" applyBorder="1" applyAlignment="1" applyProtection="1">
      <alignment vertical="center"/>
    </xf>
    <xf numFmtId="0" fontId="13" fillId="4" borderId="12" xfId="0" applyFont="1" applyFill="1" applyBorder="1" applyAlignment="1" applyProtection="1">
      <alignment horizontal="left" vertical="center"/>
    </xf>
    <xf numFmtId="0" fontId="13" fillId="4" borderId="0" xfId="0" applyFont="1" applyFill="1" applyBorder="1" applyAlignment="1" applyProtection="1">
      <alignment vertical="center"/>
    </xf>
    <xf numFmtId="0" fontId="13" fillId="4" borderId="0" xfId="0" applyFont="1" applyFill="1" applyBorder="1" applyAlignment="1" applyProtection="1">
      <alignment horizontal="left" vertical="center"/>
    </xf>
    <xf numFmtId="0" fontId="19" fillId="4" borderId="0" xfId="0" applyFont="1" applyFill="1" applyBorder="1" applyProtection="1"/>
    <xf numFmtId="0" fontId="0" fillId="0" borderId="0" xfId="0" applyFont="1" applyProtection="1"/>
    <xf numFmtId="0" fontId="18" fillId="0" borderId="0" xfId="0" applyFont="1" applyProtection="1"/>
    <xf numFmtId="0" fontId="13" fillId="12" borderId="8" xfId="0" applyFont="1" applyFill="1" applyBorder="1" applyAlignment="1" applyProtection="1">
      <alignment vertical="center" wrapText="1"/>
    </xf>
    <xf numFmtId="0" fontId="15" fillId="10" borderId="2" xfId="0" applyFont="1" applyFill="1" applyBorder="1" applyAlignment="1" applyProtection="1">
      <alignment horizontal="right" vertical="center" wrapText="1"/>
    </xf>
    <xf numFmtId="0" fontId="0" fillId="0" borderId="0" xfId="0" applyFont="1" applyBorder="1" applyProtection="1"/>
    <xf numFmtId="0" fontId="15" fillId="15" borderId="2" xfId="0" applyFont="1" applyFill="1" applyBorder="1" applyAlignment="1" applyProtection="1">
      <alignment wrapText="1"/>
    </xf>
    <xf numFmtId="0" fontId="15" fillId="4" borderId="0" xfId="0" applyFont="1" applyFill="1" applyBorder="1" applyAlignment="1" applyProtection="1"/>
    <xf numFmtId="0" fontId="15" fillId="0" borderId="0" xfId="0" applyFont="1" applyFill="1" applyBorder="1" applyAlignment="1" applyProtection="1"/>
    <xf numFmtId="0" fontId="13" fillId="4" borderId="12" xfId="0" applyFont="1" applyFill="1" applyBorder="1" applyAlignment="1" applyProtection="1">
      <alignment vertical="center"/>
    </xf>
    <xf numFmtId="0" fontId="15" fillId="4" borderId="5" xfId="0" applyFont="1" applyFill="1" applyBorder="1" applyAlignment="1" applyProtection="1"/>
    <xf numFmtId="0" fontId="15" fillId="0" borderId="5" xfId="0" applyFont="1" applyFill="1" applyBorder="1" applyAlignment="1" applyProtection="1"/>
    <xf numFmtId="0" fontId="13" fillId="4" borderId="12" xfId="0" applyFont="1" applyFill="1" applyBorder="1" applyAlignment="1" applyProtection="1">
      <alignment horizontal="left"/>
    </xf>
    <xf numFmtId="0" fontId="15" fillId="4" borderId="12" xfId="0" applyFont="1" applyFill="1" applyBorder="1" applyAlignment="1" applyProtection="1">
      <alignment horizontal="left"/>
    </xf>
    <xf numFmtId="0" fontId="11" fillId="4" borderId="12" xfId="0" applyFont="1" applyFill="1" applyBorder="1" applyProtection="1"/>
    <xf numFmtId="0" fontId="1" fillId="2" borderId="0" xfId="0" applyFont="1" applyFill="1" applyBorder="1" applyProtection="1"/>
    <xf numFmtId="0" fontId="13" fillId="6" borderId="2" xfId="0" applyFont="1" applyFill="1" applyBorder="1" applyAlignment="1" applyProtection="1">
      <alignment horizontal="center" vertical="center" wrapText="1"/>
    </xf>
    <xf numFmtId="0" fontId="13" fillId="6" borderId="3" xfId="0" applyFont="1" applyFill="1" applyBorder="1" applyAlignment="1" applyProtection="1">
      <alignment vertical="center"/>
    </xf>
    <xf numFmtId="0" fontId="19" fillId="6" borderId="3" xfId="0" applyFont="1" applyFill="1" applyBorder="1" applyAlignment="1" applyProtection="1">
      <alignment horizontal="left" vertical="center" indent="1"/>
    </xf>
    <xf numFmtId="0" fontId="21" fillId="6" borderId="3" xfId="0" applyFont="1" applyFill="1" applyBorder="1" applyAlignment="1" applyProtection="1">
      <alignment horizontal="left" vertical="center" indent="1"/>
    </xf>
    <xf numFmtId="0" fontId="11" fillId="4" borderId="0" xfId="0" applyFont="1" applyFill="1" applyBorder="1" applyAlignment="1" applyProtection="1">
      <alignment horizontal="left" vertical="top" wrapText="1"/>
    </xf>
    <xf numFmtId="0" fontId="17" fillId="6" borderId="2" xfId="0" applyFont="1" applyFill="1" applyBorder="1" applyAlignment="1" applyProtection="1">
      <alignment horizontal="center" vertical="center"/>
    </xf>
    <xf numFmtId="0" fontId="17" fillId="12" borderId="2" xfId="0" applyFont="1" applyFill="1" applyBorder="1" applyAlignment="1" applyProtection="1">
      <alignment horizontal="center" vertical="center" wrapText="1"/>
    </xf>
    <xf numFmtId="0" fontId="5" fillId="2" borderId="0" xfId="0" applyFont="1" applyFill="1" applyProtection="1"/>
    <xf numFmtId="0" fontId="12" fillId="16" borderId="0" xfId="0" applyFont="1" applyFill="1" applyBorder="1" applyProtection="1"/>
    <xf numFmtId="0" fontId="12" fillId="16" borderId="0" xfId="0" applyFont="1" applyFill="1" applyBorder="1" applyAlignment="1" applyProtection="1">
      <alignment horizontal="center" vertical="center"/>
    </xf>
    <xf numFmtId="0" fontId="9" fillId="2" borderId="0" xfId="0" applyFont="1" applyFill="1" applyProtection="1"/>
    <xf numFmtId="0" fontId="2" fillId="2" borderId="0" xfId="0" applyFont="1" applyFill="1" applyAlignment="1" applyProtection="1">
      <alignment wrapText="1"/>
    </xf>
    <xf numFmtId="0" fontId="15" fillId="10" borderId="2" xfId="0" applyFont="1" applyFill="1" applyBorder="1" applyAlignment="1" applyProtection="1">
      <alignment horizontal="right" wrapText="1"/>
    </xf>
    <xf numFmtId="0" fontId="0" fillId="3" borderId="2" xfId="0" applyFont="1" applyFill="1" applyBorder="1" applyAlignment="1" applyProtection="1">
      <alignment horizontal="right"/>
      <protection locked="0"/>
    </xf>
    <xf numFmtId="0" fontId="0" fillId="14" borderId="2" xfId="0" applyFont="1" applyFill="1" applyBorder="1" applyAlignment="1" applyProtection="1">
      <alignment horizontal="right"/>
    </xf>
    <xf numFmtId="10" fontId="0" fillId="14" borderId="2" xfId="0" applyNumberFormat="1" applyFont="1" applyFill="1" applyBorder="1" applyAlignment="1" applyProtection="1">
      <alignment horizontal="right"/>
    </xf>
    <xf numFmtId="0" fontId="15" fillId="5" borderId="2" xfId="0" applyFont="1" applyFill="1" applyBorder="1" applyAlignment="1" applyProtection="1">
      <alignment horizontal="right"/>
      <protection locked="0"/>
    </xf>
    <xf numFmtId="0" fontId="12" fillId="5" borderId="2" xfId="0" applyFont="1" applyFill="1" applyBorder="1" applyAlignment="1" applyProtection="1">
      <protection locked="0"/>
    </xf>
    <xf numFmtId="49" fontId="0" fillId="3" borderId="13" xfId="0" applyNumberFormat="1" applyFont="1" applyFill="1" applyBorder="1" applyAlignment="1" applyProtection="1">
      <protection locked="0"/>
    </xf>
    <xf numFmtId="49" fontId="0" fillId="3" borderId="2" xfId="0" applyNumberFormat="1" applyFont="1" applyFill="1" applyBorder="1" applyAlignment="1" applyProtection="1">
      <protection locked="0"/>
    </xf>
    <xf numFmtId="3" fontId="0" fillId="3" borderId="2" xfId="0" applyNumberFormat="1" applyFont="1" applyFill="1" applyBorder="1" applyAlignment="1" applyProtection="1">
      <alignment horizontal="right"/>
      <protection locked="0"/>
    </xf>
    <xf numFmtId="0" fontId="23" fillId="2" borderId="0" xfId="0" applyFont="1" applyFill="1" applyAlignment="1" applyProtection="1">
      <alignment horizontal="left"/>
    </xf>
    <xf numFmtId="0" fontId="24" fillId="2" borderId="0" xfId="0" applyFont="1" applyFill="1" applyAlignment="1" applyProtection="1">
      <alignment horizontal="left"/>
    </xf>
    <xf numFmtId="0" fontId="6" fillId="2" borderId="0" xfId="0" applyFont="1" applyFill="1" applyBorder="1" applyAlignment="1" applyProtection="1">
      <alignment horizontal="left" wrapText="1"/>
    </xf>
    <xf numFmtId="0" fontId="21" fillId="2" borderId="0" xfId="0" applyFont="1" applyFill="1" applyProtection="1"/>
    <xf numFmtId="0" fontId="6" fillId="2" borderId="0" xfId="0" applyFont="1" applyFill="1" applyProtection="1"/>
    <xf numFmtId="0" fontId="2" fillId="2" borderId="0" xfId="0" applyFont="1" applyFill="1" applyProtection="1"/>
    <xf numFmtId="0" fontId="21" fillId="2" borderId="0" xfId="0" applyFont="1" applyFill="1" applyAlignment="1" applyProtection="1"/>
    <xf numFmtId="0" fontId="22" fillId="2" borderId="0" xfId="0" applyFont="1" applyFill="1" applyProtection="1"/>
    <xf numFmtId="0" fontId="3" fillId="2" borderId="0" xfId="0" applyFont="1" applyFill="1" applyBorder="1" applyAlignment="1" applyProtection="1">
      <alignment vertical="center" wrapText="1"/>
    </xf>
    <xf numFmtId="0" fontId="26" fillId="2" borderId="0" xfId="0" applyFont="1" applyFill="1" applyBorder="1" applyAlignment="1" applyProtection="1">
      <alignment horizontal="justify" vertical="center" wrapText="1"/>
    </xf>
    <xf numFmtId="0" fontId="6" fillId="2" borderId="0" xfId="0" applyFont="1" applyFill="1" applyBorder="1" applyAlignment="1" applyProtection="1">
      <alignment horizontal="justify" vertical="center" wrapText="1"/>
    </xf>
    <xf numFmtId="0" fontId="27" fillId="2" borderId="0" xfId="0" applyFont="1" applyFill="1" applyBorder="1" applyAlignment="1" applyProtection="1">
      <alignment horizontal="left" vertical="top" wrapText="1"/>
    </xf>
    <xf numFmtId="0" fontId="0" fillId="2" borderId="0" xfId="0" applyFont="1" applyFill="1" applyBorder="1" applyProtection="1"/>
    <xf numFmtId="0" fontId="0" fillId="0" borderId="0" xfId="0" applyProtection="1"/>
    <xf numFmtId="14" fontId="15" fillId="5" borderId="1" xfId="0" applyNumberFormat="1" applyFont="1" applyFill="1" applyBorder="1" applyAlignment="1" applyProtection="1">
      <alignment horizontal="left"/>
      <protection locked="0"/>
    </xf>
    <xf numFmtId="49" fontId="15" fillId="5" borderId="1" xfId="0" applyNumberFormat="1" applyFont="1" applyFill="1" applyBorder="1" applyAlignment="1" applyProtection="1">
      <alignment horizontal="left"/>
      <protection locked="0"/>
    </xf>
    <xf numFmtId="0" fontId="15" fillId="5" borderId="1" xfId="0" applyFont="1" applyFill="1" applyBorder="1" applyAlignment="1" applyProtection="1">
      <alignment horizontal="left"/>
      <protection locked="0"/>
    </xf>
    <xf numFmtId="0" fontId="15" fillId="7" borderId="1" xfId="0" applyFont="1" applyFill="1" applyBorder="1" applyAlignment="1" applyProtection="1">
      <alignment horizontal="left"/>
    </xf>
    <xf numFmtId="14" fontId="15" fillId="7" borderId="1" xfId="0" applyNumberFormat="1" applyFont="1" applyFill="1" applyBorder="1" applyAlignment="1" applyProtection="1">
      <alignment horizontal="left"/>
    </xf>
    <xf numFmtId="0" fontId="28" fillId="2" borderId="0" xfId="0" applyFont="1" applyFill="1" applyBorder="1" applyAlignment="1" applyProtection="1">
      <alignment horizontal="left" vertical="top" wrapText="1"/>
    </xf>
    <xf numFmtId="0" fontId="21" fillId="0" borderId="0" xfId="0" applyFont="1" applyFill="1" applyBorder="1" applyAlignment="1" applyProtection="1">
      <alignment horizontal="justify" vertical="top" wrapText="1"/>
    </xf>
    <xf numFmtId="0" fontId="21" fillId="2" borderId="0" xfId="0" applyFont="1" applyFill="1" applyBorder="1" applyAlignment="1" applyProtection="1">
      <alignment horizontal="justify" vertical="top" wrapText="1"/>
    </xf>
    <xf numFmtId="0" fontId="21" fillId="2" borderId="0" xfId="0" applyFont="1" applyFill="1" applyBorder="1" applyAlignment="1" applyProtection="1">
      <alignment horizontal="justify" vertical="center" wrapText="1"/>
    </xf>
    <xf numFmtId="0" fontId="23" fillId="17" borderId="4" xfId="0" applyFont="1" applyFill="1" applyBorder="1" applyAlignment="1" applyProtection="1">
      <alignment horizontal="center" vertical="center"/>
    </xf>
    <xf numFmtId="0" fontId="23" fillId="17" borderId="5" xfId="0" applyFont="1" applyFill="1" applyBorder="1" applyAlignment="1" applyProtection="1">
      <alignment horizontal="center" vertical="center"/>
    </xf>
    <xf numFmtId="0" fontId="23" fillId="17" borderId="6" xfId="0" applyFont="1" applyFill="1" applyBorder="1" applyAlignment="1" applyProtection="1">
      <alignment horizontal="center" vertical="center"/>
    </xf>
    <xf numFmtId="0" fontId="23" fillId="8" borderId="0" xfId="0" applyFont="1" applyFill="1" applyAlignment="1" applyProtection="1">
      <alignment horizontal="left"/>
    </xf>
    <xf numFmtId="0" fontId="21" fillId="2" borderId="0" xfId="0" applyFont="1" applyFill="1" applyBorder="1" applyAlignment="1" applyProtection="1">
      <alignment horizontal="left" vertical="top" wrapText="1"/>
    </xf>
    <xf numFmtId="0" fontId="3" fillId="3" borderId="4" xfId="0" applyFont="1" applyFill="1" applyBorder="1" applyAlignment="1" applyProtection="1">
      <alignment horizontal="center" vertical="center" wrapText="1"/>
    </xf>
    <xf numFmtId="0" fontId="3" fillId="3" borderId="5" xfId="0" applyFont="1" applyFill="1" applyBorder="1" applyAlignment="1" applyProtection="1">
      <alignment horizontal="center" vertical="center" wrapText="1"/>
    </xf>
    <xf numFmtId="0" fontId="3" fillId="3" borderId="6" xfId="0" applyFont="1" applyFill="1" applyBorder="1" applyAlignment="1" applyProtection="1">
      <alignment horizontal="center" vertical="center" wrapText="1"/>
    </xf>
    <xf numFmtId="0" fontId="23" fillId="8" borderId="0" xfId="0" applyFont="1" applyFill="1" applyAlignment="1" applyProtection="1">
      <alignment horizontal="left" vertical="center"/>
    </xf>
    <xf numFmtId="0" fontId="3" fillId="2" borderId="15" xfId="0" applyFont="1" applyFill="1" applyBorder="1" applyAlignment="1" applyProtection="1">
      <alignment horizontal="left" vertical="center" wrapText="1"/>
    </xf>
    <xf numFmtId="0" fontId="3" fillId="11" borderId="3" xfId="0" applyFont="1" applyFill="1" applyBorder="1" applyAlignment="1" applyProtection="1">
      <alignment vertical="center"/>
    </xf>
    <xf numFmtId="0" fontId="3" fillId="11" borderId="12" xfId="0" applyFont="1" applyFill="1" applyBorder="1" applyAlignment="1" applyProtection="1">
      <alignment vertical="center"/>
    </xf>
    <xf numFmtId="0" fontId="3" fillId="11" borderId="14" xfId="0" applyFont="1" applyFill="1" applyBorder="1" applyAlignment="1" applyProtection="1">
      <alignment vertical="center"/>
    </xf>
    <xf numFmtId="0" fontId="4" fillId="3" borderId="9" xfId="0" applyFont="1" applyFill="1" applyBorder="1" applyAlignment="1" applyProtection="1">
      <alignment vertical="top"/>
      <protection locked="0"/>
    </xf>
    <xf numFmtId="0" fontId="4" fillId="3" borderId="10" xfId="0" applyFont="1" applyFill="1" applyBorder="1" applyAlignment="1" applyProtection="1">
      <alignment vertical="top"/>
      <protection locked="0"/>
    </xf>
    <xf numFmtId="0" fontId="4" fillId="3" borderId="11" xfId="0" applyFont="1" applyFill="1" applyBorder="1" applyAlignment="1" applyProtection="1">
      <alignment vertical="top"/>
      <protection locked="0"/>
    </xf>
    <xf numFmtId="0" fontId="20" fillId="13" borderId="2" xfId="0" applyFont="1" applyFill="1" applyBorder="1" applyAlignment="1" applyProtection="1">
      <alignment horizontal="left" vertical="center" indent="3"/>
    </xf>
    <xf numFmtId="0" fontId="10" fillId="9" borderId="0" xfId="0" applyFont="1" applyFill="1" applyBorder="1" applyAlignment="1" applyProtection="1">
      <alignment horizontal="center"/>
    </xf>
    <xf numFmtId="0" fontId="13" fillId="12" borderId="2" xfId="0" applyFont="1" applyFill="1" applyBorder="1" applyAlignment="1" applyProtection="1">
      <alignment horizontal="left" vertical="center"/>
    </xf>
    <xf numFmtId="0" fontId="13" fillId="12" borderId="7" xfId="0" applyFont="1" applyFill="1" applyBorder="1" applyAlignment="1" applyProtection="1">
      <alignment horizontal="center" vertical="center" wrapText="1"/>
    </xf>
    <xf numFmtId="0" fontId="13" fillId="12" borderId="9" xfId="0" applyFont="1" applyFill="1" applyBorder="1" applyAlignment="1" applyProtection="1">
      <alignment horizontal="center" vertical="center" wrapText="1"/>
    </xf>
    <xf numFmtId="0" fontId="13" fillId="12" borderId="2" xfId="0" applyFont="1" applyFill="1" applyBorder="1" applyAlignment="1" applyProtection="1">
      <alignment horizontal="center" vertical="center" wrapText="1"/>
    </xf>
    <xf numFmtId="0" fontId="13" fillId="13" borderId="2" xfId="0" applyFont="1" applyFill="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21167</xdr:colOff>
      <xdr:row>26</xdr:row>
      <xdr:rowOff>375348</xdr:rowOff>
    </xdr:from>
    <xdr:ext cx="9058276" cy="54059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47700" y="7707481"/>
              <a:ext cx="9058276"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GB" sz="1100" b="0" i="1">
                        <a:solidFill>
                          <a:sysClr val="windowText" lastClr="000000"/>
                        </a:solidFill>
                        <a:latin typeface="Cambria Math"/>
                      </a:rPr>
                      <m:t>𝐻𝐻𝐼</m:t>
                    </m:r>
                    <m:r>
                      <a:rPr lang="en-GB" sz="1100" b="0" i="1">
                        <a:solidFill>
                          <a:sysClr val="windowText" lastClr="000000"/>
                        </a:solidFill>
                        <a:latin typeface="Cambria Math"/>
                      </a:rPr>
                      <m:t>= </m:t>
                    </m:r>
                    <m:f>
                      <m:fPr>
                        <m:ctrlPr>
                          <a:rPr lang="en-GB" sz="1100" b="0" i="1">
                            <a:solidFill>
                              <a:sysClr val="windowText" lastClr="000000"/>
                            </a:solidFill>
                            <a:latin typeface="Cambria Math" panose="02040503050406030204" pitchFamily="18" charset="0"/>
                          </a:rPr>
                        </m:ctrlPr>
                      </m:fPr>
                      <m:num>
                        <m:nary>
                          <m:naryPr>
                            <m:chr m:val="∑"/>
                            <m:ctrlPr>
                              <a:rPr lang="en-GB" sz="1100" b="0" i="1">
                                <a:solidFill>
                                  <a:sysClr val="windowText" lastClr="000000"/>
                                </a:solidFill>
                                <a:latin typeface="Cambria Math" panose="02040503050406030204" pitchFamily="18" charset="0"/>
                              </a:rPr>
                            </m:ctrlPr>
                          </m:naryPr>
                          <m:sub>
                            <m:r>
                              <m:rPr>
                                <m:brk m:alnAt="23"/>
                              </m:rPr>
                              <a:rPr lang="en-GB" sz="1100" b="0" i="1">
                                <a:solidFill>
                                  <a:sysClr val="windowText" lastClr="000000"/>
                                </a:solidFill>
                                <a:latin typeface="Cambria Math"/>
                              </a:rPr>
                              <m:t>1</m:t>
                            </m:r>
                          </m:sub>
                          <m:sup>
                            <m:r>
                              <a:rPr lang="en-GB" sz="1100" b="0" i="1">
                                <a:solidFill>
                                  <a:sysClr val="windowText" lastClr="000000"/>
                                </a:solidFill>
                                <a:latin typeface="Cambria Math"/>
                              </a:rPr>
                              <m:t>𝑁</m:t>
                            </m:r>
                          </m:sup>
                          <m:e>
                            <m:sSup>
                              <m:sSupPr>
                                <m:ctrlPr>
                                  <a:rPr lang="en-GB" sz="1100" b="0" i="1">
                                    <a:solidFill>
                                      <a:sysClr val="windowText" lastClr="000000"/>
                                    </a:solidFill>
                                    <a:latin typeface="Cambria Math" panose="02040503050406030204" pitchFamily="18" charset="0"/>
                                  </a:rPr>
                                </m:ctrlPr>
                              </m:sSupPr>
                              <m:e>
                                <m:r>
                                  <a:rPr lang="en-GB" sz="1100" b="0" i="1">
                                    <a:solidFill>
                                      <a:sysClr val="windowText" lastClr="000000"/>
                                    </a:solidFill>
                                    <a:latin typeface="Cambria Math"/>
                                  </a:rPr>
                                  <m:t>𝐸𝑥𝑝𝑜𝑠𝑢𝑟𝑒</m:t>
                                </m:r>
                              </m:e>
                              <m:sup>
                                <m:r>
                                  <a:rPr lang="en-GB" sz="1100" b="0" i="1">
                                    <a:solidFill>
                                      <a:sysClr val="windowText" lastClr="000000"/>
                                    </a:solidFill>
                                    <a:latin typeface="Cambria Math"/>
                                  </a:rPr>
                                  <m:t>2</m:t>
                                </m:r>
                              </m:sup>
                            </m:sSup>
                          </m:e>
                        </m:nary>
                      </m:num>
                      <m:den>
                        <m:sSup>
                          <m:sSupPr>
                            <m:ctrlPr>
                              <a:rPr lang="en-GB" sz="1100" b="0" i="1">
                                <a:solidFill>
                                  <a:sysClr val="windowText" lastClr="000000"/>
                                </a:solidFill>
                                <a:latin typeface="Cambria Math" panose="02040503050406030204" pitchFamily="18" charset="0"/>
                              </a:rPr>
                            </m:ctrlPr>
                          </m:sSupPr>
                          <m:e>
                            <m:d>
                              <m:dPr>
                                <m:ctrlPr>
                                  <a:rPr lang="en-GB" sz="1100" b="0" i="1">
                                    <a:solidFill>
                                      <a:sysClr val="windowText" lastClr="000000"/>
                                    </a:solidFill>
                                    <a:effectLst/>
                                    <a:latin typeface="Cambria Math" panose="02040503050406030204" pitchFamily="18" charset="0"/>
                                    <a:ea typeface="+mn-ea"/>
                                    <a:cs typeface="+mn-cs"/>
                                  </a:rPr>
                                </m:ctrlPr>
                              </m:dPr>
                              <m:e>
                                <m:nary>
                                  <m:naryPr>
                                    <m:chr m:val="∑"/>
                                    <m:ctrlPr>
                                      <a:rPr lang="en-GB" sz="1100" b="0" i="1">
                                        <a:solidFill>
                                          <a:sysClr val="windowText" lastClr="000000"/>
                                        </a:solidFill>
                                        <a:effectLst/>
                                        <a:latin typeface="Cambria Math" panose="02040503050406030204" pitchFamily="18" charset="0"/>
                                        <a:ea typeface="+mn-ea"/>
                                        <a:cs typeface="+mn-cs"/>
                                      </a:rPr>
                                    </m:ctrlPr>
                                  </m:naryPr>
                                  <m:sub>
                                    <m:r>
                                      <m:rPr>
                                        <m:brk m:alnAt="23"/>
                                      </m:rPr>
                                      <a:rPr lang="en-GB" sz="1100" b="0" i="1">
                                        <a:solidFill>
                                          <a:sysClr val="windowText" lastClr="000000"/>
                                        </a:solidFill>
                                        <a:effectLst/>
                                        <a:latin typeface="Cambria Math"/>
                                        <a:ea typeface="+mn-ea"/>
                                        <a:cs typeface="+mn-cs"/>
                                      </a:rPr>
                                      <m:t>1</m:t>
                                    </m:r>
                                  </m:sub>
                                  <m:sup>
                                    <m:r>
                                      <a:rPr lang="en-GB" sz="1100" b="0" i="1">
                                        <a:solidFill>
                                          <a:sysClr val="windowText" lastClr="000000"/>
                                        </a:solidFill>
                                        <a:effectLst/>
                                        <a:latin typeface="Cambria Math"/>
                                        <a:ea typeface="+mn-ea"/>
                                        <a:cs typeface="+mn-cs"/>
                                      </a:rPr>
                                      <m:t>𝑁</m:t>
                                    </m:r>
                                  </m:sup>
                                  <m:e>
                                    <m:r>
                                      <a:rPr lang="en-GB" sz="1100" b="0" i="1">
                                        <a:solidFill>
                                          <a:sysClr val="windowText" lastClr="000000"/>
                                        </a:solidFill>
                                        <a:effectLst/>
                                        <a:latin typeface="Cambria Math"/>
                                        <a:ea typeface="+mn-ea"/>
                                        <a:cs typeface="+mn-cs"/>
                                      </a:rPr>
                                      <m:t>𝐸𝑥𝑝𝑜𝑠𝑢𝑟𝑒</m:t>
                                    </m:r>
                                  </m:e>
                                </m:nary>
                              </m:e>
                            </m:d>
                          </m:e>
                          <m:sup>
                            <m:r>
                              <a:rPr lang="en-GB" sz="1100" b="0" i="1">
                                <a:solidFill>
                                  <a:sysClr val="windowText" lastClr="000000"/>
                                </a:solidFill>
                                <a:latin typeface="Cambria Math"/>
                              </a:rPr>
                              <m:t>2</m:t>
                            </m:r>
                          </m:sup>
                        </m:sSup>
                      </m:den>
                    </m:f>
                  </m:oMath>
                </m:oMathPara>
              </a14:m>
              <a:endParaRPr lang="en-GB" sz="1100">
                <a:solidFill>
                  <a:sysClr val="windowText" lastClr="000000"/>
                </a:solidFill>
              </a:endParaRPr>
            </a:p>
          </xdr:txBody>
        </xdr:sp>
      </mc:Choice>
      <mc:Fallback xmlns="">
        <xdr:sp macro="" textlink="">
          <xdr:nvSpPr>
            <xdr:cNvPr id="2" name="TextBox 1"/>
            <xdr:cNvSpPr txBox="1"/>
          </xdr:nvSpPr>
          <xdr:spPr>
            <a:xfrm>
              <a:off x="647700" y="7707481"/>
              <a:ext cx="9058276"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GB" sz="1100" b="0" i="0">
                  <a:solidFill>
                    <a:sysClr val="windowText" lastClr="000000"/>
                  </a:solidFill>
                  <a:latin typeface="Cambria Math"/>
                </a:rPr>
                <a:t>𝐻𝐻𝐼=  (∑_1^𝑁▒〖𝐸𝑥𝑝𝑜𝑠𝑢𝑟𝑒〗^2 )/</a:t>
              </a:r>
              <a:r>
                <a:rPr lang="en-GB" sz="1100" b="0" i="0">
                  <a:solidFill>
                    <a:sysClr val="windowText" lastClr="000000"/>
                  </a:solidFill>
                  <a:effectLst/>
                  <a:latin typeface="Cambria Math"/>
                  <a:ea typeface="+mn-ea"/>
                  <a:cs typeface="+mn-cs"/>
                </a:rPr>
                <a:t>(∑_1^𝑁▒𝐸𝑥𝑝𝑜𝑠𝑢𝑟𝑒)^</a:t>
              </a:r>
              <a:r>
                <a:rPr lang="en-GB" sz="1100" b="0" i="0">
                  <a:solidFill>
                    <a:sysClr val="windowText" lastClr="000000"/>
                  </a:solidFill>
                  <a:latin typeface="Cambria Math"/>
                </a:rPr>
                <a:t>2 </a:t>
              </a:r>
              <a:endParaRPr lang="en-GB" sz="1100">
                <a:solidFill>
                  <a:sysClr val="windowText" lastClr="000000"/>
                </a:solidFill>
              </a:endParaRP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31"/>
  <sheetViews>
    <sheetView tabSelected="1" topLeftCell="A7" zoomScale="115" zoomScaleNormal="115" workbookViewId="0">
      <selection activeCell="K11" sqref="K11"/>
    </sheetView>
  </sheetViews>
  <sheetFormatPr defaultColWidth="0" defaultRowHeight="15" zeroHeight="1" x14ac:dyDescent="0.25"/>
  <cols>
    <col min="1" max="1" width="4.5703125" style="14" customWidth="1"/>
    <col min="2" max="2" width="3.140625" style="14" customWidth="1"/>
    <col min="3" max="3" width="39" style="14" customWidth="1"/>
    <col min="4" max="4" width="10.5703125" style="14" customWidth="1"/>
    <col min="5" max="5" width="15.140625" style="14" customWidth="1"/>
    <col min="6" max="6" width="22.42578125" style="14" customWidth="1"/>
    <col min="7" max="12" width="9.140625" style="14" customWidth="1"/>
    <col min="13" max="16384" width="9.140625" style="14" hidden="1"/>
  </cols>
  <sheetData>
    <row r="1" spans="2:11" ht="15.75" thickBot="1" x14ac:dyDescent="0.3"/>
    <row r="2" spans="2:11" ht="19.5" thickBot="1" x14ac:dyDescent="0.3">
      <c r="B2" s="79" t="s">
        <v>2</v>
      </c>
      <c r="C2" s="80"/>
      <c r="D2" s="80"/>
      <c r="E2" s="80"/>
      <c r="F2" s="80"/>
      <c r="G2" s="80"/>
      <c r="H2" s="80"/>
      <c r="I2" s="80"/>
      <c r="J2" s="80"/>
      <c r="K2" s="81"/>
    </row>
    <row r="3" spans="2:11" x14ac:dyDescent="0.25"/>
    <row r="4" spans="2:11" ht="18.75" x14ac:dyDescent="0.3">
      <c r="B4" s="82" t="s">
        <v>0</v>
      </c>
      <c r="C4" s="82"/>
      <c r="D4" s="82"/>
      <c r="E4" s="82"/>
      <c r="F4" s="82"/>
      <c r="G4" s="82"/>
      <c r="H4" s="82"/>
      <c r="I4" s="82"/>
      <c r="J4" s="82"/>
      <c r="K4" s="82"/>
    </row>
    <row r="5" spans="2:11" ht="10.35" customHeight="1" x14ac:dyDescent="0.3">
      <c r="C5" s="56"/>
      <c r="D5" s="56"/>
      <c r="E5" s="57"/>
      <c r="F5" s="56"/>
      <c r="G5" s="56"/>
      <c r="H5" s="56"/>
      <c r="I5" s="56"/>
      <c r="J5" s="56"/>
      <c r="K5" s="56"/>
    </row>
    <row r="6" spans="2:11" ht="35.25" customHeight="1" x14ac:dyDescent="0.25">
      <c r="B6" s="83" t="s">
        <v>52</v>
      </c>
      <c r="C6" s="83"/>
      <c r="D6" s="83"/>
      <c r="E6" s="83"/>
      <c r="F6" s="83"/>
      <c r="G6" s="83"/>
      <c r="H6" s="83"/>
      <c r="I6" s="83"/>
      <c r="J6" s="83"/>
      <c r="K6" s="83"/>
    </row>
    <row r="7" spans="2:11" ht="64.5" customHeight="1" x14ac:dyDescent="0.25">
      <c r="B7" s="83" t="s">
        <v>62</v>
      </c>
      <c r="C7" s="83"/>
      <c r="D7" s="83"/>
      <c r="E7" s="83"/>
      <c r="F7" s="83"/>
      <c r="G7" s="83"/>
      <c r="H7" s="83"/>
      <c r="I7" s="83"/>
      <c r="J7" s="83"/>
      <c r="K7" s="83"/>
    </row>
    <row r="8" spans="2:11" ht="48.75" customHeight="1" x14ac:dyDescent="0.25">
      <c r="B8" s="83" t="s">
        <v>63</v>
      </c>
      <c r="C8" s="83"/>
      <c r="D8" s="83"/>
      <c r="E8" s="83"/>
      <c r="F8" s="83"/>
      <c r="G8" s="83"/>
      <c r="H8" s="83"/>
      <c r="I8" s="83"/>
      <c r="J8" s="83"/>
      <c r="K8" s="83"/>
    </row>
    <row r="9" spans="2:11" ht="57" customHeight="1" x14ac:dyDescent="0.25">
      <c r="B9" s="83" t="s">
        <v>64</v>
      </c>
      <c r="C9" s="83"/>
      <c r="D9" s="83"/>
      <c r="E9" s="83"/>
      <c r="F9" s="83"/>
      <c r="G9" s="83"/>
      <c r="H9" s="83"/>
      <c r="I9" s="83"/>
      <c r="J9" s="83"/>
      <c r="K9" s="83"/>
    </row>
    <row r="10" spans="2:11" ht="8.4499999999999993" customHeight="1" x14ac:dyDescent="0.25">
      <c r="B10" s="58"/>
      <c r="C10" s="58"/>
      <c r="D10" s="58"/>
      <c r="E10" s="58"/>
      <c r="F10" s="58"/>
      <c r="G10" s="58"/>
      <c r="H10" s="58"/>
      <c r="I10" s="58"/>
      <c r="J10" s="58"/>
      <c r="K10" s="58"/>
    </row>
    <row r="11" spans="2:11" s="61" customFormat="1" x14ac:dyDescent="0.25">
      <c r="B11" s="59" t="s">
        <v>65</v>
      </c>
      <c r="C11" s="60"/>
      <c r="D11" s="60"/>
      <c r="E11" s="60"/>
      <c r="F11" s="60"/>
      <c r="G11" s="60"/>
      <c r="H11" s="60"/>
      <c r="I11" s="60"/>
      <c r="J11" s="60"/>
      <c r="K11" s="60"/>
    </row>
    <row r="12" spans="2:11" s="61" customFormat="1" x14ac:dyDescent="0.25">
      <c r="B12" s="59" t="s">
        <v>32</v>
      </c>
      <c r="C12" s="60"/>
      <c r="D12" s="60"/>
      <c r="E12" s="60"/>
      <c r="F12" s="60"/>
      <c r="G12" s="60"/>
      <c r="H12" s="60"/>
      <c r="I12" s="60"/>
      <c r="J12" s="60"/>
      <c r="K12" s="60"/>
    </row>
    <row r="13" spans="2:11" s="61" customFormat="1" x14ac:dyDescent="0.25">
      <c r="B13" s="62" t="s">
        <v>8</v>
      </c>
      <c r="C13" s="60"/>
      <c r="D13" s="60"/>
      <c r="E13" s="60"/>
      <c r="F13" s="60"/>
      <c r="G13" s="60"/>
      <c r="H13" s="60"/>
      <c r="I13" s="60"/>
      <c r="J13" s="60"/>
      <c r="K13" s="60"/>
    </row>
    <row r="14" spans="2:11" s="61" customFormat="1" x14ac:dyDescent="0.25">
      <c r="B14" s="62" t="s">
        <v>9</v>
      </c>
      <c r="C14" s="60"/>
      <c r="D14" s="60"/>
      <c r="E14" s="60"/>
      <c r="F14" s="60"/>
      <c r="G14" s="60"/>
      <c r="H14" s="60"/>
      <c r="I14" s="60"/>
      <c r="J14" s="60"/>
      <c r="K14" s="60"/>
    </row>
    <row r="15" spans="2:11" ht="15.75" thickBot="1" x14ac:dyDescent="0.3">
      <c r="B15" s="63"/>
    </row>
    <row r="16" spans="2:11" ht="23.25" customHeight="1" thickBot="1" x14ac:dyDescent="0.3">
      <c r="B16" s="84" t="s">
        <v>49</v>
      </c>
      <c r="C16" s="85"/>
      <c r="D16" s="85"/>
      <c r="E16" s="85"/>
      <c r="F16" s="85"/>
      <c r="G16" s="85"/>
      <c r="H16" s="85"/>
      <c r="I16" s="85"/>
      <c r="J16" s="85"/>
      <c r="K16" s="86"/>
    </row>
    <row r="17" spans="2:11" ht="69" customHeight="1" x14ac:dyDescent="0.25">
      <c r="B17" s="88" t="s">
        <v>67</v>
      </c>
      <c r="C17" s="88"/>
      <c r="D17" s="88"/>
      <c r="E17" s="88"/>
      <c r="F17" s="88"/>
      <c r="G17" s="88"/>
      <c r="H17" s="88"/>
      <c r="I17" s="88"/>
      <c r="J17" s="88"/>
      <c r="K17" s="88"/>
    </row>
    <row r="18" spans="2:11" ht="15.6" customHeight="1" x14ac:dyDescent="0.25">
      <c r="B18" s="64"/>
      <c r="C18" s="64"/>
      <c r="D18" s="64"/>
      <c r="E18" s="64"/>
      <c r="F18" s="64"/>
      <c r="G18" s="64"/>
      <c r="H18" s="64"/>
      <c r="I18" s="64"/>
      <c r="J18" s="64"/>
      <c r="K18" s="64"/>
    </row>
    <row r="19" spans="2:11" ht="21.75" customHeight="1" x14ac:dyDescent="0.25">
      <c r="B19" s="87" t="s">
        <v>4</v>
      </c>
      <c r="C19" s="87"/>
      <c r="D19" s="87"/>
      <c r="E19" s="87"/>
      <c r="F19" s="87"/>
      <c r="G19" s="87"/>
      <c r="H19" s="87"/>
      <c r="I19" s="87"/>
      <c r="J19" s="87"/>
      <c r="K19" s="87"/>
    </row>
    <row r="20" spans="2:11" ht="9.6" customHeight="1" x14ac:dyDescent="0.3">
      <c r="E20" s="57"/>
    </row>
    <row r="21" spans="2:11" ht="74.25" customHeight="1" x14ac:dyDescent="0.25">
      <c r="B21" s="78" t="s">
        <v>55</v>
      </c>
      <c r="C21" s="78"/>
      <c r="D21" s="78"/>
      <c r="E21" s="78"/>
      <c r="F21" s="78"/>
      <c r="G21" s="78"/>
      <c r="H21" s="78"/>
      <c r="I21" s="78"/>
      <c r="J21" s="78"/>
      <c r="K21" s="78"/>
    </row>
    <row r="22" spans="2:11" ht="9" customHeight="1" x14ac:dyDescent="0.25">
      <c r="B22" s="65"/>
      <c r="C22" s="65"/>
      <c r="D22" s="65"/>
      <c r="E22" s="65"/>
      <c r="F22" s="65"/>
      <c r="G22" s="65"/>
      <c r="H22" s="65"/>
      <c r="I22" s="65"/>
      <c r="J22" s="65"/>
      <c r="K22" s="65"/>
    </row>
    <row r="23" spans="2:11" ht="58.35" customHeight="1" x14ac:dyDescent="0.25">
      <c r="B23" s="77" t="s">
        <v>56</v>
      </c>
      <c r="C23" s="77"/>
      <c r="D23" s="77"/>
      <c r="E23" s="77"/>
      <c r="F23" s="77"/>
      <c r="G23" s="77"/>
      <c r="H23" s="77"/>
      <c r="I23" s="77"/>
      <c r="J23" s="77"/>
      <c r="K23" s="77"/>
    </row>
    <row r="24" spans="2:11" ht="15.75" x14ac:dyDescent="0.25">
      <c r="B24" s="65"/>
      <c r="C24" s="65"/>
      <c r="D24" s="65"/>
      <c r="E24" s="65"/>
      <c r="F24" s="65"/>
      <c r="G24" s="65"/>
      <c r="H24" s="65"/>
      <c r="I24" s="65"/>
      <c r="J24" s="65"/>
      <c r="K24" s="65"/>
    </row>
    <row r="25" spans="2:11" ht="16.350000000000001" customHeight="1" x14ac:dyDescent="0.25">
      <c r="B25" s="76" t="s">
        <v>50</v>
      </c>
      <c r="C25" s="76"/>
      <c r="D25" s="76"/>
      <c r="E25" s="76"/>
      <c r="F25" s="76"/>
      <c r="G25" s="76"/>
      <c r="H25" s="76"/>
      <c r="I25" s="76"/>
      <c r="J25" s="76"/>
      <c r="K25" s="76"/>
    </row>
    <row r="26" spans="2:11" x14ac:dyDescent="0.25">
      <c r="B26" s="66"/>
      <c r="C26" s="66"/>
      <c r="D26" s="66"/>
      <c r="E26" s="66"/>
      <c r="F26" s="66"/>
      <c r="G26" s="66"/>
      <c r="H26" s="66"/>
      <c r="I26" s="66"/>
      <c r="J26" s="66"/>
      <c r="K26" s="66"/>
    </row>
    <row r="27" spans="2:11" ht="32.25" customHeight="1" x14ac:dyDescent="0.25">
      <c r="B27" s="76" t="s">
        <v>57</v>
      </c>
      <c r="C27" s="76"/>
      <c r="D27" s="76"/>
      <c r="E27" s="76"/>
      <c r="F27" s="76"/>
      <c r="G27" s="76"/>
      <c r="H27" s="76"/>
      <c r="I27" s="76"/>
      <c r="J27" s="76"/>
      <c r="K27" s="76"/>
    </row>
    <row r="28" spans="2:11" s="68" customFormat="1" ht="45.75" customHeight="1" x14ac:dyDescent="0.25">
      <c r="B28" s="67"/>
      <c r="C28" s="67"/>
      <c r="D28" s="67"/>
      <c r="E28" s="67"/>
      <c r="F28" s="67"/>
      <c r="G28" s="67"/>
      <c r="H28" s="67"/>
      <c r="I28" s="67"/>
      <c r="J28" s="67"/>
      <c r="K28" s="67"/>
    </row>
    <row r="29" spans="2:11" ht="12.75" customHeight="1" x14ac:dyDescent="0.25">
      <c r="B29" s="75" t="s">
        <v>12</v>
      </c>
      <c r="C29" s="75"/>
      <c r="D29" s="75"/>
      <c r="E29" s="75"/>
      <c r="F29" s="75"/>
      <c r="G29" s="75"/>
      <c r="H29" s="75"/>
      <c r="I29" s="75"/>
      <c r="J29" s="75"/>
      <c r="K29" s="75"/>
    </row>
    <row r="30" spans="2:11" ht="12.75" customHeight="1" x14ac:dyDescent="0.25">
      <c r="B30" s="75" t="s">
        <v>51</v>
      </c>
      <c r="C30" s="75"/>
      <c r="D30" s="75"/>
      <c r="E30" s="75"/>
      <c r="F30" s="75"/>
      <c r="G30" s="75"/>
      <c r="H30" s="75"/>
      <c r="I30" s="75"/>
      <c r="J30" s="75"/>
      <c r="K30" s="75"/>
    </row>
    <row r="31" spans="2:11" x14ac:dyDescent="0.25"/>
  </sheetData>
  <mergeCells count="15">
    <mergeCell ref="B21:K21"/>
    <mergeCell ref="B2:K2"/>
    <mergeCell ref="B4:K4"/>
    <mergeCell ref="B6:K6"/>
    <mergeCell ref="B16:K16"/>
    <mergeCell ref="B19:K19"/>
    <mergeCell ref="B7:K7"/>
    <mergeCell ref="B8:K8"/>
    <mergeCell ref="B9:K9"/>
    <mergeCell ref="B17:K17"/>
    <mergeCell ref="B30:K30"/>
    <mergeCell ref="B27:K27"/>
    <mergeCell ref="B23:K23"/>
    <mergeCell ref="B25:K25"/>
    <mergeCell ref="B29:K2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30"/>
  <sheetViews>
    <sheetView showGridLines="0" zoomScale="90" zoomScaleNormal="90" workbookViewId="0"/>
  </sheetViews>
  <sheetFormatPr defaultColWidth="0" defaultRowHeight="15" zeroHeight="1" x14ac:dyDescent="0.25"/>
  <cols>
    <col min="1" max="1" width="4.5703125" style="20" customWidth="1"/>
    <col min="2" max="2" width="50.85546875" style="20" customWidth="1"/>
    <col min="3" max="3" width="9.140625" style="20" customWidth="1"/>
    <col min="4" max="4" width="29.5703125" style="20" customWidth="1"/>
    <col min="5" max="5" width="20.42578125" style="20" customWidth="1"/>
    <col min="6" max="6" width="26.5703125" style="20" customWidth="1"/>
    <col min="7" max="7" width="4.5703125" style="20" customWidth="1"/>
    <col min="8" max="16384" width="9.140625" style="20" hidden="1"/>
  </cols>
  <sheetData>
    <row r="1" spans="1:7" x14ac:dyDescent="0.25">
      <c r="A1" s="2"/>
      <c r="B1" s="2"/>
      <c r="C1" s="2"/>
      <c r="D1" s="2"/>
      <c r="E1" s="2"/>
      <c r="F1" s="2"/>
      <c r="G1" s="2"/>
    </row>
    <row r="2" spans="1:7" ht="21" x14ac:dyDescent="0.35">
      <c r="A2" s="2"/>
      <c r="B2" s="96" t="s">
        <v>3</v>
      </c>
      <c r="C2" s="96"/>
      <c r="D2" s="96"/>
      <c r="E2" s="96"/>
      <c r="F2" s="96"/>
      <c r="G2" s="14"/>
    </row>
    <row r="3" spans="1:7" ht="21.75" thickBot="1" x14ac:dyDescent="0.4">
      <c r="A3" s="2"/>
      <c r="B3" s="5"/>
      <c r="C3" s="6"/>
      <c r="D3" s="7"/>
      <c r="E3" s="14"/>
      <c r="F3" s="14"/>
      <c r="G3" s="14"/>
    </row>
    <row r="4" spans="1:7" ht="15.75" thickBot="1" x14ac:dyDescent="0.3">
      <c r="A4" s="2"/>
      <c r="B4" s="15" t="s">
        <v>59</v>
      </c>
      <c r="C4" s="16"/>
      <c r="D4" s="72"/>
      <c r="E4" s="14"/>
      <c r="F4" s="14"/>
      <c r="G4" s="14"/>
    </row>
    <row r="5" spans="1:7" ht="3" customHeight="1" thickBot="1" x14ac:dyDescent="0.3">
      <c r="A5" s="2"/>
      <c r="B5" s="17"/>
      <c r="C5" s="18"/>
      <c r="D5" s="26"/>
      <c r="E5" s="14"/>
      <c r="F5" s="14"/>
    </row>
    <row r="6" spans="1:7" ht="15.75" thickBot="1" x14ac:dyDescent="0.3">
      <c r="A6" s="2"/>
      <c r="B6" s="15" t="s">
        <v>5</v>
      </c>
      <c r="C6" s="16"/>
      <c r="D6" s="71"/>
      <c r="E6" s="14"/>
      <c r="F6" s="14"/>
    </row>
    <row r="7" spans="1:7" ht="3" customHeight="1" thickBot="1" x14ac:dyDescent="0.3">
      <c r="A7" s="2"/>
      <c r="B7" s="17"/>
      <c r="C7" s="18"/>
      <c r="D7" s="27"/>
      <c r="E7" s="14"/>
      <c r="F7" s="14"/>
      <c r="G7" s="14"/>
    </row>
    <row r="8" spans="1:7" ht="15.75" thickBot="1" x14ac:dyDescent="0.3">
      <c r="A8" s="2"/>
      <c r="B8" s="15" t="s">
        <v>6</v>
      </c>
      <c r="C8" s="16"/>
      <c r="D8" s="71"/>
      <c r="E8" s="14"/>
      <c r="F8" s="14"/>
      <c r="G8" s="14"/>
    </row>
    <row r="9" spans="1:7" ht="3" customHeight="1" thickBot="1" x14ac:dyDescent="0.3">
      <c r="A9" s="2"/>
      <c r="B9" s="17"/>
      <c r="C9" s="18"/>
      <c r="D9" s="26"/>
      <c r="E9" s="14"/>
      <c r="F9" s="14"/>
      <c r="G9" s="14"/>
    </row>
    <row r="10" spans="1:7" ht="15.75" thickBot="1" x14ac:dyDescent="0.3">
      <c r="A10" s="2"/>
      <c r="B10" s="15" t="s">
        <v>60</v>
      </c>
      <c r="C10" s="16"/>
      <c r="D10" s="71"/>
      <c r="E10" s="14"/>
      <c r="F10" s="14"/>
    </row>
    <row r="11" spans="1:7" ht="3" customHeight="1" thickBot="1" x14ac:dyDescent="0.3">
      <c r="A11" s="2"/>
      <c r="B11" s="17"/>
      <c r="C11" s="18"/>
      <c r="D11" s="26"/>
      <c r="E11" s="14"/>
      <c r="F11" s="14"/>
      <c r="G11" s="14"/>
    </row>
    <row r="12" spans="1:7" ht="15.75" thickBot="1" x14ac:dyDescent="0.3">
      <c r="A12" s="2"/>
      <c r="B12" s="15" t="s">
        <v>61</v>
      </c>
      <c r="C12" s="16"/>
      <c r="D12" s="70"/>
      <c r="E12" s="14"/>
      <c r="F12" s="14"/>
      <c r="G12" s="14"/>
    </row>
    <row r="13" spans="1:7" ht="3" customHeight="1" thickBot="1" x14ac:dyDescent="0.3">
      <c r="A13" s="2"/>
      <c r="B13" s="17"/>
      <c r="C13" s="18"/>
      <c r="D13" s="26"/>
      <c r="E13" s="14"/>
      <c r="F13" s="14"/>
      <c r="G13" s="14"/>
    </row>
    <row r="14" spans="1:7" ht="15.75" thickBot="1" x14ac:dyDescent="0.3">
      <c r="A14" s="2"/>
      <c r="B14" s="15" t="s">
        <v>66</v>
      </c>
      <c r="C14" s="16"/>
      <c r="D14" s="71"/>
      <c r="E14" s="14"/>
      <c r="F14" s="14"/>
      <c r="G14" s="14"/>
    </row>
    <row r="15" spans="1:7" x14ac:dyDescent="0.25">
      <c r="A15" s="2"/>
      <c r="B15" s="8"/>
      <c r="C15" s="8"/>
      <c r="D15" s="11"/>
      <c r="E15" s="14"/>
      <c r="F15" s="14"/>
      <c r="G15" s="14"/>
    </row>
    <row r="16" spans="1:7" x14ac:dyDescent="0.25">
      <c r="A16" s="2"/>
      <c r="B16" s="19"/>
      <c r="C16" s="10"/>
      <c r="E16" s="14"/>
      <c r="F16" s="14"/>
      <c r="G16" s="14"/>
    </row>
    <row r="17" spans="2:7" x14ac:dyDescent="0.25">
      <c r="B17" s="21" t="s">
        <v>53</v>
      </c>
    </row>
    <row r="18" spans="2:7" ht="17.100000000000001" customHeight="1" x14ac:dyDescent="0.25">
      <c r="B18" s="97" t="s">
        <v>34</v>
      </c>
      <c r="C18" s="97"/>
      <c r="D18" s="98" t="s">
        <v>35</v>
      </c>
      <c r="E18" s="22"/>
      <c r="F18" s="100" t="s">
        <v>48</v>
      </c>
    </row>
    <row r="19" spans="2:7" ht="32.1" customHeight="1" x14ac:dyDescent="0.25">
      <c r="B19" s="97"/>
      <c r="C19" s="97"/>
      <c r="D19" s="99"/>
      <c r="E19" s="23" t="s">
        <v>36</v>
      </c>
      <c r="F19" s="100"/>
    </row>
    <row r="20" spans="2:7" ht="20.100000000000001" customHeight="1" x14ac:dyDescent="0.25">
      <c r="B20" s="101" t="s">
        <v>37</v>
      </c>
      <c r="C20" s="101"/>
      <c r="D20" s="47">
        <f>SUM(D21:D26)</f>
        <v>0</v>
      </c>
      <c r="E20" s="25"/>
      <c r="F20" s="47" t="str">
        <f>IFERROR(SUMPRODUCT(D21:D26,D21:D26,F21:F26)/D20^2,"")</f>
        <v/>
      </c>
    </row>
    <row r="21" spans="2:7" ht="18.600000000000001" customHeight="1" x14ac:dyDescent="0.25">
      <c r="B21" s="95" t="s">
        <v>38</v>
      </c>
      <c r="C21" s="95"/>
      <c r="D21" s="48"/>
      <c r="E21" s="50" t="str">
        <f t="shared" ref="E21:E26" si="0">IFERROR(D21/$D$20,"")</f>
        <v/>
      </c>
      <c r="F21" s="48"/>
      <c r="G21" s="24"/>
    </row>
    <row r="22" spans="2:7" ht="20.100000000000001" customHeight="1" x14ac:dyDescent="0.25">
      <c r="B22" s="95" t="s">
        <v>39</v>
      </c>
      <c r="C22" s="95"/>
      <c r="D22" s="48"/>
      <c r="E22" s="50" t="str">
        <f t="shared" si="0"/>
        <v/>
      </c>
      <c r="F22" s="48"/>
      <c r="G22" s="24"/>
    </row>
    <row r="23" spans="2:7" ht="18" customHeight="1" x14ac:dyDescent="0.25">
      <c r="B23" s="95" t="s">
        <v>40</v>
      </c>
      <c r="C23" s="95"/>
      <c r="D23" s="48"/>
      <c r="E23" s="50" t="str">
        <f t="shared" si="0"/>
        <v/>
      </c>
      <c r="F23" s="48"/>
      <c r="G23" s="24"/>
    </row>
    <row r="24" spans="2:7" ht="18.600000000000001" customHeight="1" x14ac:dyDescent="0.25">
      <c r="B24" s="95" t="s">
        <v>41</v>
      </c>
      <c r="C24" s="95"/>
      <c r="D24" s="48"/>
      <c r="E24" s="50" t="str">
        <f t="shared" si="0"/>
        <v/>
      </c>
      <c r="F24" s="48"/>
      <c r="G24" s="24"/>
    </row>
    <row r="25" spans="2:7" ht="20.100000000000001" customHeight="1" x14ac:dyDescent="0.25">
      <c r="B25" s="95" t="s">
        <v>42</v>
      </c>
      <c r="C25" s="95"/>
      <c r="D25" s="49">
        <f>'2_DetailNFC-HHI_NACE'!C18</f>
        <v>0</v>
      </c>
      <c r="E25" s="50" t="str">
        <f t="shared" si="0"/>
        <v/>
      </c>
      <c r="F25" s="49" t="str">
        <f>'2_DetailNFC-HHI_NACE'!D18</f>
        <v/>
      </c>
      <c r="G25" s="24"/>
    </row>
    <row r="26" spans="2:7" ht="20.100000000000001" customHeight="1" x14ac:dyDescent="0.25">
      <c r="B26" s="95" t="s">
        <v>43</v>
      </c>
      <c r="C26" s="95"/>
      <c r="D26" s="48"/>
      <c r="E26" s="50" t="str">
        <f t="shared" si="0"/>
        <v/>
      </c>
      <c r="F26" s="48"/>
      <c r="G26" s="24"/>
    </row>
    <row r="27" spans="2:7" ht="20.100000000000001" customHeight="1" x14ac:dyDescent="0.25">
      <c r="B27" s="21"/>
      <c r="G27" s="24"/>
    </row>
    <row r="28" spans="2:7" ht="21.75" customHeight="1" x14ac:dyDescent="0.25">
      <c r="B28" s="89" t="s">
        <v>54</v>
      </c>
      <c r="C28" s="90"/>
      <c r="D28" s="90"/>
      <c r="E28" s="91"/>
      <c r="F28" s="24"/>
    </row>
    <row r="29" spans="2:7" ht="60" customHeight="1" x14ac:dyDescent="0.25">
      <c r="B29" s="92"/>
      <c r="C29" s="93"/>
      <c r="D29" s="93"/>
      <c r="E29" s="94"/>
    </row>
    <row r="30" spans="2:7" x14ac:dyDescent="0.25"/>
  </sheetData>
  <mergeCells count="13">
    <mergeCell ref="B2:F2"/>
    <mergeCell ref="B18:C19"/>
    <mergeCell ref="D18:D19"/>
    <mergeCell ref="F18:F19"/>
    <mergeCell ref="B20:C20"/>
    <mergeCell ref="B28:E28"/>
    <mergeCell ref="B29:E29"/>
    <mergeCell ref="B26:C26"/>
    <mergeCell ref="B21:C21"/>
    <mergeCell ref="B22:C22"/>
    <mergeCell ref="B23:C23"/>
    <mergeCell ref="B24:C24"/>
    <mergeCell ref="B25:C25"/>
  </mergeCells>
  <dataValidations count="6">
    <dataValidation type="list" allowBlank="1" showInputMessage="1" showErrorMessage="1" sqref="D4" xr:uid="{00000000-0002-0000-0100-000000000000}">
      <formula1>"AT,BE,BG,CY,DE,EE,ES,FI,FR,GR,HR,IE,IT,LT,LU,LV,MT,NL,PT,SI,SK"</formula1>
    </dataValidation>
    <dataValidation type="custom" allowBlank="1" showInputMessage="1" showErrorMessage="1" errorTitle="Error - String size" error="LEI code must have exactly 20 characters." sqref="D8" xr:uid="{00000000-0002-0000-0100-000001000000}">
      <formula1>LEN(D8)=20</formula1>
    </dataValidation>
    <dataValidation type="list" allowBlank="1" showInputMessage="1" showErrorMessage="1" sqref="D12" xr:uid="{00000000-0002-0000-0100-000003000000}">
      <formula1>"31/12/2022,31/03/2023,30/06/2023,30/09/2023"</formula1>
    </dataValidation>
    <dataValidation type="list" allowBlank="1" showInputMessage="1" showErrorMessage="1" sqref="D14" xr:uid="{00000000-0002-0000-0100-000004000000}">
      <formula1>"CONS,SOLO"</formula1>
    </dataValidation>
    <dataValidation type="decimal" allowBlank="1" showInputMessage="1" showErrorMessage="1" errorTitle="Incorrect data entered" error="A number between 0 and 1 must be entered." sqref="F21 F22:F24 F26" xr:uid="{00000000-0002-0000-0100-000005000000}">
      <formula1>0</formula1>
      <formula2>1</formula2>
    </dataValidation>
    <dataValidation type="decimal" operator="greaterThanOrEqual" allowBlank="1" showInputMessage="1" showErrorMessage="1" errorTitle="Incorrect data entered" error="A non-negative number must be entered." sqref="D21:D24 D26" xr:uid="{00000000-0002-0000-0100-000006000000}">
      <formula1>0</formula1>
    </dataValidation>
  </dataValidations>
  <pageMargins left="0.7" right="0.7" top="0.75" bottom="0.75" header="0.3" footer="0.3"/>
  <pageSetup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E38"/>
  <sheetViews>
    <sheetView showGridLines="0" zoomScale="90" zoomScaleNormal="90" workbookViewId="0"/>
  </sheetViews>
  <sheetFormatPr defaultColWidth="0" defaultRowHeight="15" zeroHeight="1" x14ac:dyDescent="0.25"/>
  <cols>
    <col min="1" max="1" width="4.5703125" style="20" customWidth="1"/>
    <col min="2" max="2" width="71.5703125" style="20" customWidth="1"/>
    <col min="3" max="3" width="29.42578125" style="20" customWidth="1"/>
    <col min="4" max="4" width="24.85546875" style="20" customWidth="1"/>
    <col min="5" max="5" width="4.5703125" style="20" customWidth="1"/>
    <col min="6" max="16384" width="9.140625" style="69" hidden="1"/>
  </cols>
  <sheetData>
    <row r="1" spans="1:5" x14ac:dyDescent="0.25">
      <c r="A1" s="2"/>
      <c r="B1" s="2"/>
      <c r="C1" s="2"/>
      <c r="D1" s="2"/>
      <c r="E1" s="2"/>
    </row>
    <row r="2" spans="1:5" ht="21" x14ac:dyDescent="0.35">
      <c r="A2" s="2"/>
      <c r="B2" s="96" t="s">
        <v>3</v>
      </c>
      <c r="C2" s="96"/>
      <c r="D2" s="96"/>
      <c r="E2" s="14"/>
    </row>
    <row r="3" spans="1:5" ht="21.75" thickBot="1" x14ac:dyDescent="0.4">
      <c r="A3" s="2"/>
      <c r="B3" s="5"/>
      <c r="C3" s="5"/>
    </row>
    <row r="4" spans="1:5" ht="15.75" thickBot="1" x14ac:dyDescent="0.3">
      <c r="A4" s="2"/>
      <c r="B4" s="15" t="s">
        <v>59</v>
      </c>
      <c r="C4" s="73" t="str">
        <f>IF(ISBLANK('1_ConcRisk-HHI'!$D4),"",'1_ConcRisk-HHI'!$D4)</f>
        <v/>
      </c>
    </row>
    <row r="5" spans="1:5" ht="3" customHeight="1" thickBot="1" x14ac:dyDescent="0.3">
      <c r="A5" s="2"/>
      <c r="B5" s="28"/>
      <c r="C5" s="29"/>
    </row>
    <row r="6" spans="1:5" ht="15.75" thickBot="1" x14ac:dyDescent="0.3">
      <c r="A6" s="2"/>
      <c r="B6" s="15" t="s">
        <v>5</v>
      </c>
      <c r="C6" s="73" t="str">
        <f>IF(ISBLANK('1_ConcRisk-HHI'!$D6),"",'1_ConcRisk-HHI'!$D6)</f>
        <v/>
      </c>
    </row>
    <row r="7" spans="1:5" ht="3" customHeight="1" thickBot="1" x14ac:dyDescent="0.3">
      <c r="A7" s="34"/>
      <c r="B7" s="28"/>
      <c r="C7" s="30"/>
      <c r="D7" s="24"/>
    </row>
    <row r="8" spans="1:5" ht="15.75" thickBot="1" x14ac:dyDescent="0.3">
      <c r="A8" s="2"/>
      <c r="B8" s="15" t="s">
        <v>6</v>
      </c>
      <c r="C8" s="73" t="str">
        <f>IF(ISBLANK('1_ConcRisk-HHI'!$D8),"",'1_ConcRisk-HHI'!$D8)</f>
        <v/>
      </c>
    </row>
    <row r="9" spans="1:5" ht="3" customHeight="1" thickBot="1" x14ac:dyDescent="0.3">
      <c r="A9" s="2"/>
      <c r="B9" s="28"/>
      <c r="C9" s="26"/>
      <c r="D9" s="24"/>
    </row>
    <row r="10" spans="1:5" ht="15.75" thickBot="1" x14ac:dyDescent="0.3">
      <c r="A10" s="2"/>
      <c r="B10" s="15" t="s">
        <v>60</v>
      </c>
      <c r="C10" s="73" t="str">
        <f>IF(ISBLANK('1_ConcRisk-HHI'!$D10),"",'1_ConcRisk-HHI'!$D10)</f>
        <v/>
      </c>
    </row>
    <row r="11" spans="1:5" ht="3" customHeight="1" thickBot="1" x14ac:dyDescent="0.3">
      <c r="A11" s="2"/>
      <c r="B11" s="28"/>
      <c r="C11" s="29"/>
      <c r="D11" s="24"/>
    </row>
    <row r="12" spans="1:5" ht="15.75" thickBot="1" x14ac:dyDescent="0.3">
      <c r="A12" s="2"/>
      <c r="B12" s="15" t="s">
        <v>61</v>
      </c>
      <c r="C12" s="74" t="str">
        <f>IF(ISBLANK('1_ConcRisk-HHI'!$D12),"",'1_ConcRisk-HHI'!$D12)</f>
        <v/>
      </c>
    </row>
    <row r="13" spans="1:5" ht="3" customHeight="1" thickBot="1" x14ac:dyDescent="0.3">
      <c r="A13" s="2"/>
      <c r="B13" s="28"/>
      <c r="C13" s="29"/>
      <c r="D13" s="24"/>
    </row>
    <row r="14" spans="1:5" ht="15.75" thickBot="1" x14ac:dyDescent="0.3">
      <c r="A14" s="2"/>
      <c r="B14" s="15" t="s">
        <v>66</v>
      </c>
      <c r="C14" s="74" t="str">
        <f>IF(ISBLANK('1_ConcRisk-HHI'!$D14),"",'1_ConcRisk-HHI'!$D14)</f>
        <v/>
      </c>
    </row>
    <row r="15" spans="1:5" x14ac:dyDescent="0.25">
      <c r="A15" s="2"/>
      <c r="B15" s="8"/>
      <c r="C15" s="8"/>
    </row>
    <row r="16" spans="1:5" x14ac:dyDescent="0.25">
      <c r="C16" s="21"/>
      <c r="D16" s="21"/>
    </row>
    <row r="17" spans="2:4" ht="30.6" customHeight="1" x14ac:dyDescent="0.25">
      <c r="B17" s="21" t="s">
        <v>53</v>
      </c>
      <c r="C17" s="35" t="s">
        <v>13</v>
      </c>
      <c r="D17" s="35" t="s">
        <v>48</v>
      </c>
    </row>
    <row r="18" spans="2:4" ht="19.5" customHeight="1" x14ac:dyDescent="0.25">
      <c r="B18" s="36" t="s">
        <v>33</v>
      </c>
      <c r="C18" s="47">
        <f>IF(COUNTIF(C19:C37,"&lt;&gt;.p")=0,".p", SUM(C19:C37))</f>
        <v>0</v>
      </c>
      <c r="D18" s="47" t="str">
        <f>IFERROR(IF(C18=".p",".p",SUMPRODUCT(C19:C37,C19:C37,D19:D37)/C18^2),"")</f>
        <v/>
      </c>
    </row>
    <row r="19" spans="2:4" ht="19.5" customHeight="1" x14ac:dyDescent="0.25">
      <c r="B19" s="37" t="s">
        <v>14</v>
      </c>
      <c r="C19" s="51"/>
      <c r="D19" s="51"/>
    </row>
    <row r="20" spans="2:4" ht="19.5" customHeight="1" x14ac:dyDescent="0.25">
      <c r="B20" s="37" t="s">
        <v>15</v>
      </c>
      <c r="C20" s="51"/>
      <c r="D20" s="51"/>
    </row>
    <row r="21" spans="2:4" ht="19.5" customHeight="1" x14ac:dyDescent="0.25">
      <c r="B21" s="37" t="s">
        <v>16</v>
      </c>
      <c r="C21" s="51"/>
      <c r="D21" s="51"/>
    </row>
    <row r="22" spans="2:4" ht="19.5" customHeight="1" x14ac:dyDescent="0.25">
      <c r="B22" s="37" t="s">
        <v>17</v>
      </c>
      <c r="C22" s="51"/>
      <c r="D22" s="51"/>
    </row>
    <row r="23" spans="2:4" ht="19.5" customHeight="1" x14ac:dyDescent="0.25">
      <c r="B23" s="37" t="s">
        <v>18</v>
      </c>
      <c r="C23" s="51"/>
      <c r="D23" s="51"/>
    </row>
    <row r="24" spans="2:4" ht="19.5" customHeight="1" x14ac:dyDescent="0.25">
      <c r="B24" s="37" t="s">
        <v>19</v>
      </c>
      <c r="C24" s="51"/>
      <c r="D24" s="51"/>
    </row>
    <row r="25" spans="2:4" ht="19.5" customHeight="1" x14ac:dyDescent="0.25">
      <c r="B25" s="37" t="s">
        <v>20</v>
      </c>
      <c r="C25" s="51"/>
      <c r="D25" s="51"/>
    </row>
    <row r="26" spans="2:4" ht="19.5" customHeight="1" x14ac:dyDescent="0.25">
      <c r="B26" s="37" t="s">
        <v>21</v>
      </c>
      <c r="C26" s="51"/>
      <c r="D26" s="51"/>
    </row>
    <row r="27" spans="2:4" ht="19.5" customHeight="1" x14ac:dyDescent="0.25">
      <c r="B27" s="37" t="s">
        <v>22</v>
      </c>
      <c r="C27" s="51"/>
      <c r="D27" s="51"/>
    </row>
    <row r="28" spans="2:4" ht="19.5" customHeight="1" x14ac:dyDescent="0.25">
      <c r="B28" s="37" t="s">
        <v>23</v>
      </c>
      <c r="C28" s="51"/>
      <c r="D28" s="51"/>
    </row>
    <row r="29" spans="2:4" ht="19.5" customHeight="1" x14ac:dyDescent="0.25">
      <c r="B29" s="38" t="s">
        <v>58</v>
      </c>
      <c r="C29" s="51"/>
      <c r="D29" s="51"/>
    </row>
    <row r="30" spans="2:4" ht="19.5" customHeight="1" x14ac:dyDescent="0.25">
      <c r="B30" s="37" t="s">
        <v>24</v>
      </c>
      <c r="C30" s="51"/>
      <c r="D30" s="51"/>
    </row>
    <row r="31" spans="2:4" ht="19.5" customHeight="1" x14ac:dyDescent="0.25">
      <c r="B31" s="37" t="s">
        <v>25</v>
      </c>
      <c r="C31" s="51"/>
      <c r="D31" s="51"/>
    </row>
    <row r="32" spans="2:4" ht="19.5" customHeight="1" x14ac:dyDescent="0.25">
      <c r="B32" s="37" t="s">
        <v>26</v>
      </c>
      <c r="C32" s="51"/>
      <c r="D32" s="51"/>
    </row>
    <row r="33" spans="2:4" ht="19.5" customHeight="1" x14ac:dyDescent="0.25">
      <c r="B33" s="37" t="s">
        <v>27</v>
      </c>
      <c r="C33" s="51"/>
      <c r="D33" s="51"/>
    </row>
    <row r="34" spans="2:4" ht="19.5" customHeight="1" x14ac:dyDescent="0.25">
      <c r="B34" s="37" t="s">
        <v>28</v>
      </c>
      <c r="C34" s="51"/>
      <c r="D34" s="51"/>
    </row>
    <row r="35" spans="2:4" ht="19.5" customHeight="1" x14ac:dyDescent="0.25">
      <c r="B35" s="37" t="s">
        <v>29</v>
      </c>
      <c r="C35" s="51"/>
      <c r="D35" s="51"/>
    </row>
    <row r="36" spans="2:4" ht="19.5" customHeight="1" x14ac:dyDescent="0.25">
      <c r="B36" s="37" t="s">
        <v>30</v>
      </c>
      <c r="C36" s="51"/>
      <c r="D36" s="51"/>
    </row>
    <row r="37" spans="2:4" ht="19.5" customHeight="1" x14ac:dyDescent="0.25">
      <c r="B37" s="37" t="s">
        <v>31</v>
      </c>
      <c r="C37" s="51"/>
      <c r="D37" s="51"/>
    </row>
    <row r="38" spans="2:4" x14ac:dyDescent="0.25"/>
  </sheetData>
  <mergeCells count="1">
    <mergeCell ref="B2:D2"/>
  </mergeCells>
  <dataValidations count="2">
    <dataValidation type="decimal" operator="greaterThanOrEqual" allowBlank="1" showInputMessage="1" showErrorMessage="1" errorTitle="Incorrect data entered" error="A non-negative number must be entered." sqref="C19:C37" xr:uid="{00000000-0002-0000-0200-000000000000}">
      <formula1>0</formula1>
    </dataValidation>
    <dataValidation type="decimal" allowBlank="1" showInputMessage="1" showErrorMessage="1" errorTitle="Incorrect data entered" error="A number between 0 and 1 must be entered." sqref="D19:D37" xr:uid="{00000000-0002-0000-0200-000001000000}">
      <formula1>0</formula1>
      <formula2>1</formula2>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XEZ119"/>
  <sheetViews>
    <sheetView showGridLines="0" zoomScale="90" zoomScaleNormal="90" zoomScaleSheetLayoutView="25" workbookViewId="0"/>
  </sheetViews>
  <sheetFormatPr defaultColWidth="0" defaultRowHeight="15" zeroHeight="1" x14ac:dyDescent="0.25"/>
  <cols>
    <col min="1" max="1" width="4.5703125" style="20" customWidth="1"/>
    <col min="2" max="2" width="23.5703125" style="20" customWidth="1"/>
    <col min="3" max="3" width="36.140625" style="20" customWidth="1"/>
    <col min="4" max="4" width="36.42578125" style="20" customWidth="1"/>
    <col min="5" max="5" width="4.5703125" style="20" customWidth="1"/>
    <col min="6" max="16380" width="0" style="20" hidden="1"/>
    <col min="16381" max="16384" width="8.85546875" style="20" hidden="1"/>
  </cols>
  <sheetData>
    <row r="1" spans="1:5" x14ac:dyDescent="0.25">
      <c r="A1" s="2"/>
      <c r="B1" s="2"/>
      <c r="C1" s="2"/>
      <c r="D1" s="2"/>
      <c r="E1" s="2"/>
    </row>
    <row r="2" spans="1:5" ht="21" x14ac:dyDescent="0.35">
      <c r="A2" s="2"/>
      <c r="B2" s="96" t="s">
        <v>3</v>
      </c>
      <c r="C2" s="96"/>
      <c r="D2" s="96"/>
      <c r="E2" s="2"/>
    </row>
    <row r="3" spans="1:5" ht="21.75" thickBot="1" x14ac:dyDescent="0.4">
      <c r="A3" s="2"/>
      <c r="B3" s="5"/>
      <c r="C3" s="6"/>
      <c r="D3" s="7"/>
      <c r="E3" s="2"/>
    </row>
    <row r="4" spans="1:5" ht="16.5" thickBot="1" x14ac:dyDescent="0.3">
      <c r="A4" s="2"/>
      <c r="B4" s="15" t="s">
        <v>59</v>
      </c>
      <c r="C4" s="31"/>
      <c r="D4" s="73" t="str">
        <f>IF(ISBLANK('1_ConcRisk-HHI'!$D4),"",'1_ConcRisk-HHI'!$D4)</f>
        <v/>
      </c>
      <c r="E4" s="7"/>
    </row>
    <row r="5" spans="1:5" ht="3.6" customHeight="1" thickBot="1" x14ac:dyDescent="0.3">
      <c r="A5" s="2"/>
      <c r="B5" s="17"/>
      <c r="C5" s="9"/>
      <c r="D5" s="26"/>
      <c r="E5" s="7"/>
    </row>
    <row r="6" spans="1:5" ht="16.5" thickBot="1" x14ac:dyDescent="0.3">
      <c r="A6" s="2"/>
      <c r="B6" s="15" t="s">
        <v>5</v>
      </c>
      <c r="C6" s="31"/>
      <c r="D6" s="73" t="str">
        <f>IF(ISBLANK('1_ConcRisk-HHI'!$D6),"",'1_ConcRisk-HHI'!$D6)</f>
        <v/>
      </c>
      <c r="E6" s="7"/>
    </row>
    <row r="7" spans="1:5" ht="3.6" customHeight="1" thickBot="1" x14ac:dyDescent="0.3">
      <c r="A7" s="2"/>
      <c r="B7" s="17"/>
      <c r="C7" s="9"/>
      <c r="D7" s="27"/>
      <c r="E7" s="7"/>
    </row>
    <row r="8" spans="1:5" ht="16.5" thickBot="1" x14ac:dyDescent="0.3">
      <c r="A8" s="2"/>
      <c r="B8" s="15" t="s">
        <v>6</v>
      </c>
      <c r="C8" s="31"/>
      <c r="D8" s="73" t="str">
        <f>IF(ISBLANK('1_ConcRisk-HHI'!$D8),"",'1_ConcRisk-HHI'!$D8)</f>
        <v/>
      </c>
      <c r="E8" s="7"/>
    </row>
    <row r="9" spans="1:5" ht="3.6" customHeight="1" thickBot="1" x14ac:dyDescent="0.3">
      <c r="A9" s="2"/>
      <c r="B9" s="17"/>
      <c r="C9" s="9"/>
      <c r="D9" s="26"/>
      <c r="E9" s="7"/>
    </row>
    <row r="10" spans="1:5" ht="15.75" customHeight="1" thickBot="1" x14ac:dyDescent="0.3">
      <c r="A10" s="2"/>
      <c r="B10" s="15" t="s">
        <v>60</v>
      </c>
      <c r="C10" s="32"/>
      <c r="D10" s="73" t="str">
        <f>IF(ISBLANK('1_ConcRisk-HHI'!$D10),"",'1_ConcRisk-HHI'!$D10)</f>
        <v/>
      </c>
      <c r="E10" s="7"/>
    </row>
    <row r="11" spans="1:5" ht="3.6" customHeight="1" thickBot="1" x14ac:dyDescent="0.3">
      <c r="A11" s="2"/>
      <c r="B11" s="17"/>
      <c r="C11" s="11"/>
      <c r="D11" s="26"/>
      <c r="E11" s="7"/>
    </row>
    <row r="12" spans="1:5" ht="16.5" thickBot="1" x14ac:dyDescent="0.3">
      <c r="A12" s="2"/>
      <c r="B12" s="15" t="s">
        <v>61</v>
      </c>
      <c r="C12" s="33"/>
      <c r="D12" s="74" t="str">
        <f>IF(ISBLANK('1_ConcRisk-HHI'!$D12),"",'1_ConcRisk-HHI'!$D12)</f>
        <v/>
      </c>
      <c r="E12" s="7"/>
    </row>
    <row r="13" spans="1:5" ht="3.6" customHeight="1" thickBot="1" x14ac:dyDescent="0.3">
      <c r="A13" s="2"/>
      <c r="B13" s="17"/>
      <c r="C13" s="11"/>
      <c r="D13" s="26"/>
      <c r="E13" s="7"/>
    </row>
    <row r="14" spans="1:5" ht="16.5" thickBot="1" x14ac:dyDescent="0.3">
      <c r="A14" s="2"/>
      <c r="B14" s="15" t="s">
        <v>66</v>
      </c>
      <c r="C14" s="33"/>
      <c r="D14" s="74" t="str">
        <f>IF(ISBLANK('1_ConcRisk-HHI'!$D14),"",'1_ConcRisk-HHI'!$D14)</f>
        <v/>
      </c>
      <c r="E14" s="7"/>
    </row>
    <row r="15" spans="1:5" ht="14.1" customHeight="1" x14ac:dyDescent="0.25">
      <c r="A15" s="2"/>
      <c r="B15" s="6"/>
      <c r="C15" s="6"/>
      <c r="D15" s="12"/>
      <c r="E15" s="7"/>
    </row>
    <row r="16" spans="1:5" ht="15.75" x14ac:dyDescent="0.25">
      <c r="A16" s="2"/>
      <c r="B16" s="13" t="s">
        <v>44</v>
      </c>
      <c r="C16" s="7"/>
      <c r="D16" s="7"/>
      <c r="E16" s="7"/>
    </row>
    <row r="17" spans="1:5" ht="3" customHeight="1" x14ac:dyDescent="0.25">
      <c r="A17" s="2"/>
      <c r="B17" s="7"/>
      <c r="C17" s="7"/>
      <c r="D17" s="7"/>
      <c r="E17" s="39"/>
    </row>
    <row r="18" spans="1:5" ht="48" customHeight="1" x14ac:dyDescent="0.25">
      <c r="A18" s="2"/>
      <c r="B18" s="40" t="s">
        <v>47</v>
      </c>
      <c r="C18" s="41" t="s">
        <v>46</v>
      </c>
      <c r="D18" s="41" t="s">
        <v>45</v>
      </c>
      <c r="E18" s="14"/>
    </row>
    <row r="19" spans="1:5" ht="15.75" x14ac:dyDescent="0.25">
      <c r="A19" s="42">
        <v>1</v>
      </c>
      <c r="B19" s="52"/>
      <c r="C19" s="55"/>
      <c r="D19" s="53"/>
      <c r="E19" s="14"/>
    </row>
    <row r="20" spans="1:5" ht="15.75" x14ac:dyDescent="0.25">
      <c r="A20" s="42">
        <v>2</v>
      </c>
      <c r="B20" s="52"/>
      <c r="C20" s="55"/>
      <c r="D20" s="53"/>
      <c r="E20" s="14"/>
    </row>
    <row r="21" spans="1:5" ht="15.75" x14ac:dyDescent="0.25">
      <c r="A21" s="42">
        <v>3</v>
      </c>
      <c r="B21" s="52"/>
      <c r="C21" s="55"/>
      <c r="D21" s="53"/>
      <c r="E21" s="14"/>
    </row>
    <row r="22" spans="1:5" ht="15.75" x14ac:dyDescent="0.25">
      <c r="A22" s="42">
        <v>4</v>
      </c>
      <c r="B22" s="52"/>
      <c r="C22" s="55"/>
      <c r="D22" s="53"/>
      <c r="E22" s="14"/>
    </row>
    <row r="23" spans="1:5" ht="15.75" x14ac:dyDescent="0.25">
      <c r="A23" s="42">
        <v>5</v>
      </c>
      <c r="B23" s="52"/>
      <c r="C23" s="55"/>
      <c r="D23" s="53"/>
      <c r="E23" s="14"/>
    </row>
    <row r="24" spans="1:5" ht="15.75" x14ac:dyDescent="0.25">
      <c r="A24" s="42">
        <v>6</v>
      </c>
      <c r="B24" s="52"/>
      <c r="C24" s="55"/>
      <c r="D24" s="53"/>
      <c r="E24" s="14"/>
    </row>
    <row r="25" spans="1:5" ht="15.75" x14ac:dyDescent="0.25">
      <c r="A25" s="42">
        <v>7</v>
      </c>
      <c r="B25" s="52"/>
      <c r="C25" s="55"/>
      <c r="D25" s="53"/>
      <c r="E25" s="14"/>
    </row>
    <row r="26" spans="1:5" ht="15.75" x14ac:dyDescent="0.25">
      <c r="A26" s="42">
        <v>8</v>
      </c>
      <c r="B26" s="52"/>
      <c r="C26" s="55"/>
      <c r="D26" s="53"/>
      <c r="E26" s="14"/>
    </row>
    <row r="27" spans="1:5" ht="15.75" x14ac:dyDescent="0.25">
      <c r="A27" s="42">
        <v>9</v>
      </c>
      <c r="B27" s="52"/>
      <c r="C27" s="55"/>
      <c r="D27" s="53"/>
      <c r="E27" s="14"/>
    </row>
    <row r="28" spans="1:5" ht="15.75" x14ac:dyDescent="0.25">
      <c r="A28" s="42">
        <v>10</v>
      </c>
      <c r="B28" s="52"/>
      <c r="C28" s="55"/>
      <c r="D28" s="53"/>
      <c r="E28" s="14"/>
    </row>
    <row r="29" spans="1:5" ht="15.75" x14ac:dyDescent="0.25">
      <c r="A29" s="42">
        <v>11</v>
      </c>
      <c r="B29" s="52"/>
      <c r="C29" s="55"/>
      <c r="D29" s="53"/>
      <c r="E29" s="14"/>
    </row>
    <row r="30" spans="1:5" ht="15.75" x14ac:dyDescent="0.25">
      <c r="A30" s="42">
        <v>12</v>
      </c>
      <c r="B30" s="52"/>
      <c r="C30" s="55"/>
      <c r="D30" s="53"/>
      <c r="E30" s="14"/>
    </row>
    <row r="31" spans="1:5" ht="15.75" x14ac:dyDescent="0.25">
      <c r="A31" s="42">
        <v>13</v>
      </c>
      <c r="B31" s="52"/>
      <c r="C31" s="55"/>
      <c r="D31" s="53"/>
      <c r="E31" s="14"/>
    </row>
    <row r="32" spans="1:5" ht="15.75" x14ac:dyDescent="0.25">
      <c r="A32" s="42">
        <v>14</v>
      </c>
      <c r="B32" s="52"/>
      <c r="C32" s="55"/>
      <c r="D32" s="53"/>
      <c r="E32" s="14"/>
    </row>
    <row r="33" spans="1:5" ht="15.75" x14ac:dyDescent="0.25">
      <c r="A33" s="42">
        <v>15</v>
      </c>
      <c r="B33" s="52"/>
      <c r="C33" s="55"/>
      <c r="D33" s="53"/>
      <c r="E33" s="14"/>
    </row>
    <row r="34" spans="1:5" ht="15.75" x14ac:dyDescent="0.25">
      <c r="A34" s="42">
        <v>16</v>
      </c>
      <c r="B34" s="52"/>
      <c r="C34" s="55"/>
      <c r="D34" s="53"/>
      <c r="E34" s="14"/>
    </row>
    <row r="35" spans="1:5" ht="15.75" x14ac:dyDescent="0.25">
      <c r="A35" s="42">
        <v>17</v>
      </c>
      <c r="B35" s="52"/>
      <c r="C35" s="55"/>
      <c r="D35" s="53"/>
      <c r="E35" s="14"/>
    </row>
    <row r="36" spans="1:5" ht="15.75" x14ac:dyDescent="0.25">
      <c r="A36" s="42">
        <v>18</v>
      </c>
      <c r="B36" s="52"/>
      <c r="C36" s="55"/>
      <c r="D36" s="53"/>
      <c r="E36" s="14"/>
    </row>
    <row r="37" spans="1:5" ht="15.75" x14ac:dyDescent="0.25">
      <c r="A37" s="42">
        <v>19</v>
      </c>
      <c r="B37" s="52"/>
      <c r="C37" s="55"/>
      <c r="D37" s="53"/>
      <c r="E37" s="14"/>
    </row>
    <row r="38" spans="1:5" ht="15.75" x14ac:dyDescent="0.25">
      <c r="A38" s="42">
        <v>20</v>
      </c>
      <c r="B38" s="52"/>
      <c r="C38" s="55"/>
      <c r="D38" s="53"/>
      <c r="E38" s="14"/>
    </row>
    <row r="39" spans="1:5" ht="15.75" x14ac:dyDescent="0.25">
      <c r="A39" s="42">
        <v>21</v>
      </c>
      <c r="B39" s="52"/>
      <c r="C39" s="55"/>
      <c r="D39" s="53"/>
      <c r="E39" s="14"/>
    </row>
    <row r="40" spans="1:5" ht="15.75" x14ac:dyDescent="0.25">
      <c r="A40" s="42">
        <v>22</v>
      </c>
      <c r="B40" s="52"/>
      <c r="C40" s="55"/>
      <c r="D40" s="53"/>
      <c r="E40" s="14"/>
    </row>
    <row r="41" spans="1:5" ht="15.75" x14ac:dyDescent="0.25">
      <c r="A41" s="42">
        <v>23</v>
      </c>
      <c r="B41" s="52"/>
      <c r="C41" s="55"/>
      <c r="D41" s="53"/>
      <c r="E41" s="14"/>
    </row>
    <row r="42" spans="1:5" ht="15.75" x14ac:dyDescent="0.25">
      <c r="A42" s="42">
        <v>24</v>
      </c>
      <c r="B42" s="52"/>
      <c r="C42" s="55"/>
      <c r="D42" s="53"/>
      <c r="E42" s="14"/>
    </row>
    <row r="43" spans="1:5" ht="15.75" x14ac:dyDescent="0.25">
      <c r="A43" s="42">
        <v>25</v>
      </c>
      <c r="B43" s="52"/>
      <c r="C43" s="55"/>
      <c r="D43" s="53"/>
      <c r="E43" s="14"/>
    </row>
    <row r="44" spans="1:5" ht="15.75" x14ac:dyDescent="0.25">
      <c r="A44" s="42">
        <v>26</v>
      </c>
      <c r="B44" s="52"/>
      <c r="C44" s="55"/>
      <c r="D44" s="53"/>
      <c r="E44" s="14"/>
    </row>
    <row r="45" spans="1:5" ht="15.75" x14ac:dyDescent="0.25">
      <c r="A45" s="42">
        <v>27</v>
      </c>
      <c r="B45" s="52"/>
      <c r="C45" s="55"/>
      <c r="D45" s="53"/>
      <c r="E45" s="14"/>
    </row>
    <row r="46" spans="1:5" ht="15.75" x14ac:dyDescent="0.25">
      <c r="A46" s="42">
        <v>28</v>
      </c>
      <c r="B46" s="52"/>
      <c r="C46" s="55"/>
      <c r="D46" s="53"/>
      <c r="E46" s="14"/>
    </row>
    <row r="47" spans="1:5" ht="15.75" x14ac:dyDescent="0.25">
      <c r="A47" s="42">
        <v>29</v>
      </c>
      <c r="B47" s="52"/>
      <c r="C47" s="55"/>
      <c r="D47" s="53"/>
      <c r="E47" s="14"/>
    </row>
    <row r="48" spans="1:5" ht="15.75" x14ac:dyDescent="0.25">
      <c r="A48" s="42">
        <v>30</v>
      </c>
      <c r="B48" s="52"/>
      <c r="C48" s="55"/>
      <c r="D48" s="53"/>
      <c r="E48" s="14"/>
    </row>
    <row r="49" spans="1:5" ht="15.75" x14ac:dyDescent="0.25">
      <c r="A49" s="42">
        <v>31</v>
      </c>
      <c r="B49" s="52"/>
      <c r="C49" s="55"/>
      <c r="D49" s="53"/>
      <c r="E49" s="14"/>
    </row>
    <row r="50" spans="1:5" ht="15.75" x14ac:dyDescent="0.25">
      <c r="A50" s="42">
        <v>32</v>
      </c>
      <c r="B50" s="52"/>
      <c r="C50" s="55"/>
      <c r="D50" s="53"/>
      <c r="E50" s="14"/>
    </row>
    <row r="51" spans="1:5" ht="15.75" x14ac:dyDescent="0.25">
      <c r="A51" s="42">
        <v>33</v>
      </c>
      <c r="B51" s="52"/>
      <c r="C51" s="55"/>
      <c r="D51" s="53"/>
      <c r="E51" s="14"/>
    </row>
    <row r="52" spans="1:5" ht="15.75" x14ac:dyDescent="0.25">
      <c r="A52" s="42">
        <v>34</v>
      </c>
      <c r="B52" s="52"/>
      <c r="C52" s="55"/>
      <c r="D52" s="53"/>
      <c r="E52" s="14"/>
    </row>
    <row r="53" spans="1:5" ht="15.75" x14ac:dyDescent="0.25">
      <c r="A53" s="42">
        <v>35</v>
      </c>
      <c r="B53" s="52"/>
      <c r="C53" s="55"/>
      <c r="D53" s="53"/>
      <c r="E53" s="14"/>
    </row>
    <row r="54" spans="1:5" ht="15.75" x14ac:dyDescent="0.25">
      <c r="A54" s="42">
        <v>36</v>
      </c>
      <c r="B54" s="52"/>
      <c r="C54" s="55"/>
      <c r="D54" s="53"/>
      <c r="E54" s="14"/>
    </row>
    <row r="55" spans="1:5" ht="15.75" x14ac:dyDescent="0.25">
      <c r="A55" s="42">
        <v>37</v>
      </c>
      <c r="B55" s="52"/>
      <c r="C55" s="55"/>
      <c r="D55" s="53"/>
      <c r="E55" s="14"/>
    </row>
    <row r="56" spans="1:5" ht="15.75" x14ac:dyDescent="0.25">
      <c r="A56" s="42">
        <v>38</v>
      </c>
      <c r="B56" s="52"/>
      <c r="C56" s="55"/>
      <c r="D56" s="53"/>
      <c r="E56" s="14"/>
    </row>
    <row r="57" spans="1:5" ht="15.75" x14ac:dyDescent="0.25">
      <c r="A57" s="42">
        <v>39</v>
      </c>
      <c r="B57" s="52"/>
      <c r="C57" s="55"/>
      <c r="D57" s="53"/>
      <c r="E57" s="14"/>
    </row>
    <row r="58" spans="1:5" ht="15.75" x14ac:dyDescent="0.25">
      <c r="A58" s="42">
        <v>40</v>
      </c>
      <c r="B58" s="52"/>
      <c r="C58" s="55"/>
      <c r="D58" s="53"/>
      <c r="E58" s="14"/>
    </row>
    <row r="59" spans="1:5" ht="15.75" x14ac:dyDescent="0.25">
      <c r="A59" s="42">
        <v>41</v>
      </c>
      <c r="B59" s="52"/>
      <c r="C59" s="55"/>
      <c r="D59" s="53"/>
      <c r="E59" s="14"/>
    </row>
    <row r="60" spans="1:5" ht="15.75" x14ac:dyDescent="0.25">
      <c r="A60" s="42">
        <v>42</v>
      </c>
      <c r="B60" s="52"/>
      <c r="C60" s="55"/>
      <c r="D60" s="53"/>
      <c r="E60" s="14"/>
    </row>
    <row r="61" spans="1:5" ht="15.75" x14ac:dyDescent="0.25">
      <c r="A61" s="42">
        <v>43</v>
      </c>
      <c r="B61" s="52"/>
      <c r="C61" s="55"/>
      <c r="D61" s="53"/>
      <c r="E61" s="14"/>
    </row>
    <row r="62" spans="1:5" ht="15.75" x14ac:dyDescent="0.25">
      <c r="A62" s="42">
        <v>44</v>
      </c>
      <c r="B62" s="52"/>
      <c r="C62" s="55"/>
      <c r="D62" s="53"/>
      <c r="E62" s="14"/>
    </row>
    <row r="63" spans="1:5" ht="15.75" x14ac:dyDescent="0.25">
      <c r="A63" s="42">
        <v>45</v>
      </c>
      <c r="B63" s="52"/>
      <c r="C63" s="55"/>
      <c r="D63" s="53"/>
      <c r="E63" s="14"/>
    </row>
    <row r="64" spans="1:5" ht="15.75" x14ac:dyDescent="0.25">
      <c r="A64" s="42">
        <v>46</v>
      </c>
      <c r="B64" s="52"/>
      <c r="C64" s="55"/>
      <c r="D64" s="53"/>
      <c r="E64" s="14"/>
    </row>
    <row r="65" spans="1:5" ht="15.75" x14ac:dyDescent="0.25">
      <c r="A65" s="42">
        <v>47</v>
      </c>
      <c r="B65" s="52"/>
      <c r="C65" s="55"/>
      <c r="D65" s="53"/>
      <c r="E65" s="14"/>
    </row>
    <row r="66" spans="1:5" ht="15.75" x14ac:dyDescent="0.25">
      <c r="A66" s="42">
        <v>48</v>
      </c>
      <c r="B66" s="52"/>
      <c r="C66" s="55"/>
      <c r="D66" s="53"/>
      <c r="E66" s="14"/>
    </row>
    <row r="67" spans="1:5" ht="15.75" x14ac:dyDescent="0.25">
      <c r="A67" s="42">
        <v>49</v>
      </c>
      <c r="B67" s="52"/>
      <c r="C67" s="55"/>
      <c r="D67" s="53"/>
      <c r="E67" s="14"/>
    </row>
    <row r="68" spans="1:5" ht="15.75" x14ac:dyDescent="0.25">
      <c r="A68" s="42">
        <v>50</v>
      </c>
      <c r="B68" s="52"/>
      <c r="C68" s="55"/>
      <c r="D68" s="53"/>
      <c r="E68" s="14"/>
    </row>
    <row r="69" spans="1:5" ht="15.75" x14ac:dyDescent="0.25">
      <c r="A69" s="42">
        <v>51</v>
      </c>
      <c r="B69" s="52"/>
      <c r="C69" s="55"/>
      <c r="D69" s="53"/>
      <c r="E69" s="14"/>
    </row>
    <row r="70" spans="1:5" ht="15.75" x14ac:dyDescent="0.25">
      <c r="A70" s="42">
        <v>52</v>
      </c>
      <c r="B70" s="52"/>
      <c r="C70" s="55"/>
      <c r="D70" s="53"/>
      <c r="E70" s="14"/>
    </row>
    <row r="71" spans="1:5" ht="15.75" x14ac:dyDescent="0.25">
      <c r="A71" s="42">
        <v>53</v>
      </c>
      <c r="B71" s="52"/>
      <c r="C71" s="55"/>
      <c r="D71" s="53"/>
      <c r="E71" s="14"/>
    </row>
    <row r="72" spans="1:5" ht="15.75" x14ac:dyDescent="0.25">
      <c r="A72" s="42">
        <v>54</v>
      </c>
      <c r="B72" s="52"/>
      <c r="C72" s="55"/>
      <c r="D72" s="53"/>
      <c r="E72" s="14"/>
    </row>
    <row r="73" spans="1:5" ht="15.75" x14ac:dyDescent="0.25">
      <c r="A73" s="42">
        <v>55</v>
      </c>
      <c r="B73" s="52"/>
      <c r="C73" s="55"/>
      <c r="D73" s="53"/>
      <c r="E73" s="14"/>
    </row>
    <row r="74" spans="1:5" ht="15.75" x14ac:dyDescent="0.25">
      <c r="A74" s="42">
        <v>56</v>
      </c>
      <c r="B74" s="52"/>
      <c r="C74" s="55"/>
      <c r="D74" s="53"/>
      <c r="E74" s="14"/>
    </row>
    <row r="75" spans="1:5" ht="15.75" x14ac:dyDescent="0.25">
      <c r="A75" s="42">
        <v>57</v>
      </c>
      <c r="B75" s="52"/>
      <c r="C75" s="55"/>
      <c r="D75" s="53"/>
      <c r="E75" s="14"/>
    </row>
    <row r="76" spans="1:5" ht="15.75" x14ac:dyDescent="0.25">
      <c r="A76" s="42">
        <v>58</v>
      </c>
      <c r="B76" s="52"/>
      <c r="C76" s="55"/>
      <c r="D76" s="53"/>
      <c r="E76" s="14"/>
    </row>
    <row r="77" spans="1:5" ht="15.75" x14ac:dyDescent="0.25">
      <c r="A77" s="42">
        <v>59</v>
      </c>
      <c r="B77" s="52"/>
      <c r="C77" s="55"/>
      <c r="D77" s="53"/>
      <c r="E77" s="14"/>
    </row>
    <row r="78" spans="1:5" ht="15.75" x14ac:dyDescent="0.25">
      <c r="A78" s="42">
        <v>60</v>
      </c>
      <c r="B78" s="52"/>
      <c r="C78" s="55"/>
      <c r="D78" s="53"/>
      <c r="E78" s="14"/>
    </row>
    <row r="79" spans="1:5" ht="15.75" x14ac:dyDescent="0.25">
      <c r="A79" s="42">
        <v>61</v>
      </c>
      <c r="B79" s="52"/>
      <c r="C79" s="55"/>
      <c r="D79" s="53"/>
      <c r="E79" s="14"/>
    </row>
    <row r="80" spans="1:5" ht="15.75" x14ac:dyDescent="0.25">
      <c r="A80" s="42">
        <v>62</v>
      </c>
      <c r="B80" s="52"/>
      <c r="C80" s="55"/>
      <c r="D80" s="53"/>
      <c r="E80" s="14"/>
    </row>
    <row r="81" spans="1:5" ht="15.75" x14ac:dyDescent="0.25">
      <c r="A81" s="42">
        <v>63</v>
      </c>
      <c r="B81" s="52"/>
      <c r="C81" s="55"/>
      <c r="D81" s="53"/>
      <c r="E81" s="14"/>
    </row>
    <row r="82" spans="1:5" ht="15.75" x14ac:dyDescent="0.25">
      <c r="A82" s="42">
        <v>64</v>
      </c>
      <c r="B82" s="52"/>
      <c r="C82" s="55"/>
      <c r="D82" s="53"/>
      <c r="E82" s="14"/>
    </row>
    <row r="83" spans="1:5" ht="15.75" x14ac:dyDescent="0.25">
      <c r="A83" s="42">
        <v>65</v>
      </c>
      <c r="B83" s="52"/>
      <c r="C83" s="55"/>
      <c r="D83" s="53"/>
      <c r="E83" s="14"/>
    </row>
    <row r="84" spans="1:5" ht="15.75" x14ac:dyDescent="0.25">
      <c r="A84" s="42">
        <v>66</v>
      </c>
      <c r="B84" s="52"/>
      <c r="C84" s="55"/>
      <c r="D84" s="53"/>
      <c r="E84" s="14"/>
    </row>
    <row r="85" spans="1:5" ht="15.75" x14ac:dyDescent="0.25">
      <c r="A85" s="42">
        <v>67</v>
      </c>
      <c r="B85" s="52"/>
      <c r="C85" s="55"/>
      <c r="D85" s="53"/>
      <c r="E85" s="14"/>
    </row>
    <row r="86" spans="1:5" ht="15.75" x14ac:dyDescent="0.25">
      <c r="A86" s="42">
        <v>68</v>
      </c>
      <c r="B86" s="52"/>
      <c r="C86" s="55"/>
      <c r="D86" s="53"/>
      <c r="E86" s="14"/>
    </row>
    <row r="87" spans="1:5" ht="15.75" x14ac:dyDescent="0.25">
      <c r="A87" s="42">
        <v>69</v>
      </c>
      <c r="B87" s="52"/>
      <c r="C87" s="55"/>
      <c r="D87" s="53"/>
      <c r="E87" s="14"/>
    </row>
    <row r="88" spans="1:5" ht="15.75" x14ac:dyDescent="0.25">
      <c r="A88" s="42">
        <v>70</v>
      </c>
      <c r="B88" s="52"/>
      <c r="C88" s="55"/>
      <c r="D88" s="53"/>
      <c r="E88" s="14"/>
    </row>
    <row r="89" spans="1:5" ht="15.75" x14ac:dyDescent="0.25">
      <c r="A89" s="42">
        <v>71</v>
      </c>
      <c r="B89" s="52"/>
      <c r="C89" s="55"/>
      <c r="D89" s="53"/>
      <c r="E89" s="14"/>
    </row>
    <row r="90" spans="1:5" ht="15.75" x14ac:dyDescent="0.25">
      <c r="A90" s="42">
        <v>72</v>
      </c>
      <c r="B90" s="52"/>
      <c r="C90" s="55"/>
      <c r="D90" s="53"/>
      <c r="E90" s="14"/>
    </row>
    <row r="91" spans="1:5" ht="15.75" x14ac:dyDescent="0.25">
      <c r="A91" s="42">
        <v>73</v>
      </c>
      <c r="B91" s="52"/>
      <c r="C91" s="55"/>
      <c r="D91" s="53"/>
      <c r="E91" s="14"/>
    </row>
    <row r="92" spans="1:5" ht="15.75" x14ac:dyDescent="0.25">
      <c r="A92" s="42">
        <v>74</v>
      </c>
      <c r="B92" s="52"/>
      <c r="C92" s="55"/>
      <c r="D92" s="53"/>
      <c r="E92" s="14"/>
    </row>
    <row r="93" spans="1:5" ht="15.75" x14ac:dyDescent="0.25">
      <c r="A93" s="42">
        <v>75</v>
      </c>
      <c r="B93" s="52"/>
      <c r="C93" s="55"/>
      <c r="D93" s="53"/>
      <c r="E93" s="14"/>
    </row>
    <row r="94" spans="1:5" ht="15.75" x14ac:dyDescent="0.25">
      <c r="A94" s="42">
        <v>76</v>
      </c>
      <c r="B94" s="52"/>
      <c r="C94" s="55"/>
      <c r="D94" s="53"/>
      <c r="E94" s="14"/>
    </row>
    <row r="95" spans="1:5" ht="15.75" x14ac:dyDescent="0.25">
      <c r="A95" s="42">
        <v>77</v>
      </c>
      <c r="B95" s="52"/>
      <c r="C95" s="55"/>
      <c r="D95" s="53"/>
      <c r="E95" s="14"/>
    </row>
    <row r="96" spans="1:5" ht="15.75" x14ac:dyDescent="0.25">
      <c r="A96" s="42">
        <v>78</v>
      </c>
      <c r="B96" s="52"/>
      <c r="C96" s="55"/>
      <c r="D96" s="53"/>
      <c r="E96" s="14"/>
    </row>
    <row r="97" spans="1:5" ht="15.75" x14ac:dyDescent="0.25">
      <c r="A97" s="42">
        <v>79</v>
      </c>
      <c r="B97" s="52"/>
      <c r="C97" s="55"/>
      <c r="D97" s="53"/>
      <c r="E97" s="14"/>
    </row>
    <row r="98" spans="1:5" ht="15.75" x14ac:dyDescent="0.25">
      <c r="A98" s="42">
        <v>80</v>
      </c>
      <c r="B98" s="52"/>
      <c r="C98" s="55"/>
      <c r="D98" s="53"/>
      <c r="E98" s="14"/>
    </row>
    <row r="99" spans="1:5" ht="15.75" x14ac:dyDescent="0.25">
      <c r="A99" s="42">
        <v>81</v>
      </c>
      <c r="B99" s="52"/>
      <c r="C99" s="55"/>
      <c r="D99" s="53"/>
      <c r="E99" s="14"/>
    </row>
    <row r="100" spans="1:5" ht="15.75" x14ac:dyDescent="0.25">
      <c r="A100" s="42">
        <v>82</v>
      </c>
      <c r="B100" s="52"/>
      <c r="C100" s="55"/>
      <c r="D100" s="53"/>
      <c r="E100" s="14"/>
    </row>
    <row r="101" spans="1:5" ht="15.75" x14ac:dyDescent="0.25">
      <c r="A101" s="42">
        <v>83</v>
      </c>
      <c r="B101" s="52"/>
      <c r="C101" s="55"/>
      <c r="D101" s="53"/>
      <c r="E101" s="14"/>
    </row>
    <row r="102" spans="1:5" ht="15.75" x14ac:dyDescent="0.25">
      <c r="A102" s="42">
        <v>84</v>
      </c>
      <c r="B102" s="52"/>
      <c r="C102" s="55"/>
      <c r="D102" s="53"/>
      <c r="E102" s="14"/>
    </row>
    <row r="103" spans="1:5" ht="15.75" x14ac:dyDescent="0.25">
      <c r="A103" s="42">
        <v>85</v>
      </c>
      <c r="B103" s="52"/>
      <c r="C103" s="55"/>
      <c r="D103" s="53"/>
      <c r="E103" s="14"/>
    </row>
    <row r="104" spans="1:5" ht="15.75" x14ac:dyDescent="0.25">
      <c r="A104" s="42">
        <v>86</v>
      </c>
      <c r="B104" s="52"/>
      <c r="C104" s="55"/>
      <c r="D104" s="53"/>
      <c r="E104" s="14"/>
    </row>
    <row r="105" spans="1:5" ht="15.75" x14ac:dyDescent="0.25">
      <c r="A105" s="42">
        <v>87</v>
      </c>
      <c r="B105" s="52"/>
      <c r="C105" s="55"/>
      <c r="D105" s="53"/>
      <c r="E105" s="14"/>
    </row>
    <row r="106" spans="1:5" ht="15.75" x14ac:dyDescent="0.25">
      <c r="A106" s="42">
        <v>88</v>
      </c>
      <c r="B106" s="52"/>
      <c r="C106" s="55"/>
      <c r="D106" s="53"/>
      <c r="E106" s="14"/>
    </row>
    <row r="107" spans="1:5" ht="15.75" x14ac:dyDescent="0.25">
      <c r="A107" s="42">
        <v>89</v>
      </c>
      <c r="B107" s="52"/>
      <c r="C107" s="55"/>
      <c r="D107" s="53"/>
      <c r="E107" s="14"/>
    </row>
    <row r="108" spans="1:5" ht="15.75" x14ac:dyDescent="0.25">
      <c r="A108" s="42">
        <v>90</v>
      </c>
      <c r="B108" s="52"/>
      <c r="C108" s="55"/>
      <c r="D108" s="53"/>
      <c r="E108" s="14"/>
    </row>
    <row r="109" spans="1:5" ht="15.75" x14ac:dyDescent="0.25">
      <c r="A109" s="42">
        <v>91</v>
      </c>
      <c r="B109" s="52"/>
      <c r="C109" s="55"/>
      <c r="D109" s="53"/>
      <c r="E109" s="14"/>
    </row>
    <row r="110" spans="1:5" ht="15.75" x14ac:dyDescent="0.25">
      <c r="A110" s="42">
        <v>92</v>
      </c>
      <c r="B110" s="52"/>
      <c r="C110" s="55"/>
      <c r="D110" s="53"/>
      <c r="E110" s="14"/>
    </row>
    <row r="111" spans="1:5" ht="15.75" x14ac:dyDescent="0.25">
      <c r="A111" s="42">
        <v>93</v>
      </c>
      <c r="B111" s="52"/>
      <c r="C111" s="55"/>
      <c r="D111" s="53"/>
      <c r="E111" s="14"/>
    </row>
    <row r="112" spans="1:5" ht="15.75" x14ac:dyDescent="0.25">
      <c r="A112" s="42">
        <v>94</v>
      </c>
      <c r="B112" s="52"/>
      <c r="C112" s="55"/>
      <c r="D112" s="53"/>
      <c r="E112" s="14"/>
    </row>
    <row r="113" spans="1:5" ht="15.75" x14ac:dyDescent="0.25">
      <c r="A113" s="42">
        <v>95</v>
      </c>
      <c r="B113" s="52"/>
      <c r="C113" s="55"/>
      <c r="D113" s="53"/>
      <c r="E113" s="14"/>
    </row>
    <row r="114" spans="1:5" ht="15.75" x14ac:dyDescent="0.25">
      <c r="A114" s="42">
        <v>96</v>
      </c>
      <c r="B114" s="52"/>
      <c r="C114" s="55"/>
      <c r="D114" s="53"/>
      <c r="E114" s="14"/>
    </row>
    <row r="115" spans="1:5" ht="15.75" x14ac:dyDescent="0.25">
      <c r="A115" s="42">
        <v>97</v>
      </c>
      <c r="B115" s="52"/>
      <c r="C115" s="55"/>
      <c r="D115" s="53"/>
      <c r="E115" s="14"/>
    </row>
    <row r="116" spans="1:5" ht="15.75" x14ac:dyDescent="0.25">
      <c r="A116" s="42">
        <v>98</v>
      </c>
      <c r="B116" s="52"/>
      <c r="C116" s="55"/>
      <c r="D116" s="53"/>
      <c r="E116" s="14"/>
    </row>
    <row r="117" spans="1:5" ht="15.75" x14ac:dyDescent="0.25">
      <c r="A117" s="42">
        <v>99</v>
      </c>
      <c r="B117" s="52"/>
      <c r="C117" s="55"/>
      <c r="D117" s="53"/>
      <c r="E117" s="14"/>
    </row>
    <row r="118" spans="1:5" ht="15.75" x14ac:dyDescent="0.25">
      <c r="A118" s="42">
        <v>100</v>
      </c>
      <c r="B118" s="52"/>
      <c r="C118" s="55"/>
      <c r="D118" s="54"/>
      <c r="E118" s="14"/>
    </row>
    <row r="119" spans="1:5" ht="15.75" x14ac:dyDescent="0.25">
      <c r="A119" s="2" t="s">
        <v>7</v>
      </c>
      <c r="B119" s="43"/>
      <c r="C119" s="43"/>
      <c r="D119" s="44"/>
      <c r="E119" s="44"/>
    </row>
  </sheetData>
  <dataConsolidate/>
  <mergeCells count="1">
    <mergeCell ref="B2:D2"/>
  </mergeCells>
  <dataValidations count="1">
    <dataValidation type="decimal" operator="greaterThanOrEqual" allowBlank="1" showInputMessage="1" showErrorMessage="1" errorTitle="Incorrect data entered" error="A non-negative number must be entered." sqref="C19:C118" xr:uid="{00000000-0002-0000-0300-000000000000}">
      <formula1>0</formula1>
    </dataValidation>
  </dataValidations>
  <pageMargins left="0.7" right="0.7" top="0.75" bottom="0.75" header="0.3" footer="0.3"/>
  <pageSetup paperSize="9" scale="67"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D7"/>
  <sheetViews>
    <sheetView showGridLines="0" zoomScale="90" zoomScaleNormal="90" workbookViewId="0"/>
  </sheetViews>
  <sheetFormatPr defaultColWidth="0" defaultRowHeight="15" zeroHeight="1" x14ac:dyDescent="0.25"/>
  <cols>
    <col min="1" max="1" width="4.5703125" style="14" customWidth="1"/>
    <col min="2" max="2" width="107.140625" style="14" customWidth="1"/>
    <col min="3" max="3" width="4.5703125" style="14" customWidth="1"/>
    <col min="4" max="4" width="9.140625" style="3" hidden="1" customWidth="1"/>
    <col min="5" max="16384" width="8.85546875" style="1" hidden="1"/>
  </cols>
  <sheetData>
    <row r="1" spans="1:2" x14ac:dyDescent="0.25">
      <c r="A1" s="2"/>
      <c r="B1" s="2"/>
    </row>
    <row r="2" spans="1:2" ht="21" x14ac:dyDescent="0.35">
      <c r="A2" s="2"/>
      <c r="B2" s="45" t="s">
        <v>1</v>
      </c>
    </row>
    <row r="3" spans="1:2" x14ac:dyDescent="0.25">
      <c r="A3" s="2"/>
    </row>
    <row r="4" spans="1:2" x14ac:dyDescent="0.25">
      <c r="A4" s="2"/>
      <c r="B4" s="14" t="s">
        <v>11</v>
      </c>
    </row>
    <row r="5" spans="1:2" ht="15.75" thickBot="1" x14ac:dyDescent="0.3">
      <c r="A5" s="2"/>
    </row>
    <row r="6" spans="1:2" ht="261.75" customHeight="1" thickBot="1" x14ac:dyDescent="0.3">
      <c r="A6" s="2"/>
      <c r="B6" s="4"/>
    </row>
    <row r="7" spans="1:2" ht="60" x14ac:dyDescent="0.25">
      <c r="B7" s="46" t="s">
        <v>10</v>
      </c>
    </row>
  </sheetData>
  <dataValidations count="1">
    <dataValidation type="textLength" allowBlank="1" showInputMessage="1" showErrorMessage="1" sqref="B6" xr:uid="{00000000-0002-0000-0400-000000000000}">
      <formula1>0</formula1>
      <formula2>1024</formula2>
    </dataValidation>
  </dataValidations>
  <pageMargins left="0.7" right="0.7" top="0.75" bottom="0.75" header="0.3" footer="0.3"/>
  <pageSetup paperSize="9" scale="8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F722BC6E-51EA-4659-A225-064A16AB16A4}"/>
</file>

<file path=customXml/itemProps2.xml><?xml version="1.0" encoding="utf-8"?>
<ds:datastoreItem xmlns:ds="http://schemas.openxmlformats.org/officeDocument/2006/customXml" ds:itemID="{519B3CD1-EB73-4289-9853-37EA7FA2053C}"/>
</file>

<file path=customXml/itemProps3.xml><?xml version="1.0" encoding="utf-8"?>
<ds:datastoreItem xmlns:ds="http://schemas.openxmlformats.org/officeDocument/2006/customXml" ds:itemID="{20AEB13B-216E-4F2A-AAE8-C638D62C75B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0_ReadMe</vt:lpstr>
      <vt:lpstr>1_ConcRisk-HHI</vt:lpstr>
      <vt:lpstr>2_DetailNFC-HHI_NACE</vt:lpstr>
      <vt:lpstr>3_ConcRisk-NFC</vt:lpstr>
      <vt:lpstr>4_Comments</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Kremer, Stephanie</dc:creator>
  <cp:lastModifiedBy>Nicolae, Antonia-Ioana</cp:lastModifiedBy>
  <cp:lastPrinted>2014-11-07T09:23:41Z</cp:lastPrinted>
  <dcterms:created xsi:type="dcterms:W3CDTF">2013-09-16T08:49:39Z</dcterms:created>
  <dcterms:modified xsi:type="dcterms:W3CDTF">2023-10-09T08:51:18Z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{DC8799D7-710E-4838-9678-D7C9B03C9A49}</vt:lpwstr>
  </property>
  <property fmtid="{D5CDD505-2E9C-101B-9397-08002B2CF9AE}" pid="3" name="ContentTypeId">
    <vt:lpwstr>0x010100845A6BCA4ACA584C9A1C03FD3956D51C</vt:lpwstr>
  </property>
</Properties>
</file>