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threadedComments/threadedComment1.xml" ContentType="application/vnd.ms-excel.threaded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updateLinks="never" codeName="ThisWorkbook"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37218F47-794E-4169-AFEB-191B8EA93321}" xr6:coauthVersionLast="47" xr6:coauthVersionMax="47" xr10:uidLastSave="{00000000-0000-0000-0000-000000000000}"/>
  <bookViews>
    <workbookView xWindow="-120" yWindow="-120" windowWidth="29040" windowHeight="15720" tabRatio="902" xr2:uid="{00000000-000D-0000-FFFF-FFFF00000000}"/>
  </bookViews>
  <sheets>
    <sheet name="0_ReadMe" sheetId="6" r:id="rId1"/>
    <sheet name="0_Identification" sheetId="1" r:id="rId2"/>
    <sheet name="1_ICAAPrisk+cap" sheetId="7" r:id="rId3"/>
    <sheet name="2_Example" sheetId="4" r:id="rId4"/>
    <sheet name="Drop-down lists " sheetId="5" r:id="rId5"/>
  </sheets>
  <externalReferences>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3">'2_Example'!$B$3:$J$81</definedName>
    <definedName name="Z_2CF4DFDC_090F_49D9_830B_AF00F7B250E1_.wvu.PrintArea" localSheetId="3" hidden="1">'2_Example'!$B$3:$J$81</definedName>
    <definedName name="Z_7AD87B7F_9199_42FC_BEC0_5D87B351AA1F_.wvu.PrintArea" localSheetId="3" hidden="1">'2_Example'!$B$3:$J$81</definedName>
    <definedName name="Z_99B10A70_0249_4C06_9652_DC6EDC84A4E0_.wvu.PrintArea" localSheetId="3" hidden="1">'2_Example'!$B$3:$J$81</definedName>
    <definedName name="Z_A2C19381_75FF_477A_8BE0_7009833AC668_.wvu.PrintArea" localSheetId="3" hidden="1">'2_Example'!$B$3:$J$81</definedName>
    <definedName name="Z_E5900907_1888_4FFF_864F_DD5B3409D93E_.wvu.PrintArea" localSheetId="3" hidden="1">'2_Example'!$B$3:$J$81</definedName>
    <definedName name="Z_F7D9C0F7_2B63_4EE4_9B19_12E6D0874B08_.wvu.PrintArea" localSheetId="3" hidden="1">'2_Example'!$B$3:$J$81</definedName>
    <definedName name="Z_FB49BFC2_A848_45FA_AA3C_8477D6D91108_.wvu.PrintArea" localSheetId="3" hidden="1">'2_Example'!$B$3:$J$81</definedName>
  </definedNames>
  <calcPr calcId="191029"/>
  <customWorkbookViews>
    <customWorkbookView name="Gurau, Maria - Personal View" guid="{FB49BFC2-A848-45FA-AA3C-8477D6D91108}" mergeInterval="0" personalView="1" maximized="1" windowWidth="1916" windowHeight="783" activeSheetId="2"/>
    <customWorkbookView name="Maass, Marlon - Personal View" guid="{A2C19381-75FF-477A-8BE0-7009833AC668}" mergeInterval="0" personalView="1" maximized="1" windowWidth="1916" windowHeight="807" activeSheetId="2" showComments="commIndAndComment"/>
    <customWorkbookView name="Hofmann, Angela - Personal View" guid="{99B10A70-0249-4C06-9652-DC6EDC84A4E0}" mergeInterval="0" personalView="1" maximized="1" windowWidth="1383" windowHeight="752" activeSheetId="2" showComments="commIndAndComment"/>
    <customWorkbookView name="shollca - Personal View" guid="{F7D9C0F7-2B63-4EE4-9B19-12E6D0874B08}" mergeInterval="0" personalView="1" maximized="1" windowWidth="1366" windowHeight="503" activeSheetId="2"/>
    <customWorkbookView name="Fry, Gemma - Personal View" guid="{E5900907-1888-4FFF-864F-DD5B3409D93E}" mergeInterval="0" personalView="1" maximized="1" windowWidth="1798" windowHeight="784" activeSheetId="1"/>
    <customWorkbookView name="frygemm - Personal View" guid="{7AD87B7F-9199-42FC-BEC0-5D87B351AA1F}" mergeInterval="0" personalView="1" maximized="1" windowWidth="1362" windowHeight="411" activeSheetId="1"/>
    <customWorkbookView name="sasazor - Personal View" guid="{2CF4DFDC-090F-49D9-830B-AF00F7B250E1}" mergeInterval="0" personalView="1" maximized="1" windowWidth="1276" windowHeight="475"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6" i="7" l="1"/>
  <c r="L27" i="7"/>
  <c r="L28" i="7"/>
  <c r="L29" i="7"/>
  <c r="L30" i="7"/>
  <c r="L31" i="7"/>
  <c r="L32" i="7"/>
  <c r="L33" i="7"/>
  <c r="L34" i="7"/>
  <c r="L35" i="7"/>
  <c r="L36" i="7"/>
  <c r="L37" i="7"/>
  <c r="L38" i="7"/>
  <c r="L39" i="7"/>
  <c r="L40" i="7"/>
  <c r="L42" i="7"/>
  <c r="L43" i="7"/>
  <c r="L44" i="7"/>
  <c r="L45" i="7"/>
  <c r="L46" i="7"/>
  <c r="L47" i="7"/>
  <c r="L48" i="7"/>
  <c r="L49" i="7"/>
  <c r="L50" i="7"/>
  <c r="L51" i="7"/>
  <c r="L52" i="7"/>
  <c r="L53" i="7"/>
  <c r="L54" i="7"/>
  <c r="L55" i="7"/>
  <c r="L56" i="7"/>
  <c r="L58" i="7"/>
  <c r="L59" i="7"/>
  <c r="L60" i="7"/>
  <c r="L61" i="7"/>
  <c r="L62" i="7"/>
  <c r="L63" i="7"/>
  <c r="L64" i="7"/>
  <c r="L65" i="7"/>
  <c r="L66" i="7"/>
  <c r="L67" i="7"/>
  <c r="L68" i="7"/>
  <c r="L69" i="7"/>
  <c r="L70" i="7"/>
  <c r="L71" i="7"/>
  <c r="L72" i="7"/>
  <c r="L11" i="7"/>
  <c r="L12" i="7"/>
  <c r="L13" i="7"/>
  <c r="L14" i="7"/>
  <c r="L15" i="7"/>
  <c r="L16" i="7"/>
  <c r="L17" i="7"/>
  <c r="L18" i="7"/>
  <c r="L19" i="7"/>
  <c r="L20" i="7"/>
  <c r="L21" i="7"/>
  <c r="L22" i="7"/>
  <c r="L23" i="7"/>
  <c r="L24" i="7"/>
  <c r="L10" i="7"/>
  <c r="F46" i="4" l="1"/>
  <c r="F57" i="7" l="1"/>
  <c r="F73" i="7"/>
  <c r="F41" i="7"/>
  <c r="F25" i="7"/>
  <c r="F9" i="7"/>
  <c r="F86" i="7" l="1"/>
  <c r="F88" i="7" s="1"/>
  <c r="F106" i="7" l="1"/>
  <c r="F81" i="4" l="1"/>
  <c r="F8" i="4" l="1"/>
  <c r="F52" i="4" l="1"/>
  <c r="F32" i="4"/>
  <c r="F21" i="4"/>
  <c r="F63" i="4" l="1"/>
  <c r="F6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tc={92DE24A8-BA31-4FE0-AC29-FC88792225FA}</author>
  </authors>
  <commentList>
    <comment ref="I23" authorId="0" shapeId="0" xr:uid="{92DE24A8-BA31-4FE0-AC29-FC88792225FA}">
      <text>
        <t>[Threaded comment]
Your version of Excel allows you to read this threaded comment; however, any edits to it will get removed if the file is opened in a newer version of Excel. Learn more: https://go.microsoft.com/fwlink/?linkid=870924
Comment:
    It is a good practice to be as concise as possible in the reader's manual. That's why we should mention only a few pages for each risk categroy, with no complete overlaps. This applies to all entries in this column</t>
      </text>
    </comment>
  </commentList>
</comments>
</file>

<file path=xl/sharedStrings.xml><?xml version="1.0" encoding="utf-8"?>
<sst xmlns="http://schemas.openxmlformats.org/spreadsheetml/2006/main" count="708" uniqueCount="346">
  <si>
    <t>Bank LEI code:</t>
  </si>
  <si>
    <t>Bank name:</t>
  </si>
  <si>
    <t xml:space="preserve">Comments: </t>
  </si>
  <si>
    <t>Credit risk</t>
  </si>
  <si>
    <t>FX lending risk</t>
  </si>
  <si>
    <t>Market risk</t>
  </si>
  <si>
    <t>Operational risk</t>
  </si>
  <si>
    <t>Interest rate risk in the banking book</t>
  </si>
  <si>
    <t>Total (gross figures)</t>
  </si>
  <si>
    <t>default risk</t>
  </si>
  <si>
    <t>migration risk</t>
  </si>
  <si>
    <t>reputational risk</t>
  </si>
  <si>
    <t>2.1 Internal capital</t>
  </si>
  <si>
    <t>./. inter-risk diversification</t>
  </si>
  <si>
    <t>Total (net figures)</t>
  </si>
  <si>
    <t>1.1 Risk categories</t>
  </si>
  <si>
    <t>yes</t>
  </si>
  <si>
    <t>no</t>
  </si>
  <si>
    <t>2.3 Have there been material changes in the internal capital definition since the last reporting date? (y/n)</t>
  </si>
  <si>
    <t>ICAAP information</t>
  </si>
  <si>
    <t>IRRBB</t>
  </si>
  <si>
    <t>credit risk</t>
  </si>
  <si>
    <t>CET1</t>
  </si>
  <si>
    <t>counterparty risk</t>
  </si>
  <si>
    <t>…</t>
  </si>
  <si>
    <t>settlement and delivery risk</t>
  </si>
  <si>
    <t>market risk</t>
  </si>
  <si>
    <t>FX risk</t>
  </si>
  <si>
    <t>operational risk</t>
  </si>
  <si>
    <t>credit valuation adjustment risk</t>
  </si>
  <si>
    <t>basis risk</t>
  </si>
  <si>
    <t>option risk</t>
  </si>
  <si>
    <t>Business and strategic risk</t>
  </si>
  <si>
    <t>1.2 Risk sub-category</t>
  </si>
  <si>
    <t>1.3 Name of internal risk category as currently covered in ICAAP</t>
  </si>
  <si>
    <t>1.9 Further explanation</t>
  </si>
  <si>
    <t>1.6 Included in other risk category / sub-category</t>
  </si>
  <si>
    <t>Total</t>
  </si>
  <si>
    <t>C1</t>
  </si>
  <si>
    <t>C3</t>
  </si>
  <si>
    <t>C4</t>
  </si>
  <si>
    <t>C5</t>
  </si>
  <si>
    <t>C6</t>
  </si>
  <si>
    <t>C7</t>
  </si>
  <si>
    <t>C8</t>
  </si>
  <si>
    <t>C9</t>
  </si>
  <si>
    <t>C10</t>
  </si>
  <si>
    <t>C11</t>
  </si>
  <si>
    <t>C12</t>
  </si>
  <si>
    <t>M1</t>
  </si>
  <si>
    <t>M4</t>
  </si>
  <si>
    <t>M5</t>
  </si>
  <si>
    <t>M6</t>
  </si>
  <si>
    <t>M7</t>
  </si>
  <si>
    <t>M8</t>
  </si>
  <si>
    <t>M9</t>
  </si>
  <si>
    <t>M10</t>
  </si>
  <si>
    <t>employment practices and workplace safety</t>
  </si>
  <si>
    <t>execution, delivery and process management</t>
  </si>
  <si>
    <t>external fraud</t>
  </si>
  <si>
    <t>internal fraud</t>
  </si>
  <si>
    <t>O1</t>
  </si>
  <si>
    <t>O2</t>
  </si>
  <si>
    <t>O3</t>
  </si>
  <si>
    <t>O4</t>
  </si>
  <si>
    <t>O5</t>
  </si>
  <si>
    <t>O6</t>
  </si>
  <si>
    <t>O7</t>
  </si>
  <si>
    <t>O8</t>
  </si>
  <si>
    <t>O9</t>
  </si>
  <si>
    <t>O10</t>
  </si>
  <si>
    <t>O11</t>
  </si>
  <si>
    <t>O12</t>
  </si>
  <si>
    <t>I1</t>
  </si>
  <si>
    <t>I2</t>
  </si>
  <si>
    <t>I3</t>
  </si>
  <si>
    <t>I4</t>
  </si>
  <si>
    <t>I5</t>
  </si>
  <si>
    <t>X1</t>
  </si>
  <si>
    <t>X2</t>
  </si>
  <si>
    <t>X3</t>
  </si>
  <si>
    <t>X4</t>
  </si>
  <si>
    <t>X5</t>
  </si>
  <si>
    <t>X6</t>
  </si>
  <si>
    <t>X7</t>
  </si>
  <si>
    <t>X8</t>
  </si>
  <si>
    <t>X10</t>
  </si>
  <si>
    <t>other (1)</t>
  </si>
  <si>
    <t>other (2)</t>
  </si>
  <si>
    <t>other (3)</t>
  </si>
  <si>
    <t>other (4)</t>
  </si>
  <si>
    <t>other (5)</t>
  </si>
  <si>
    <t>other (6)</t>
  </si>
  <si>
    <t>other (7)</t>
  </si>
  <si>
    <t>1.7 Have there been material changes in scope or quantification methodology for this risk category / sub-category since the last reporting date? (yes/no)</t>
  </si>
  <si>
    <t>Methodology for calculation of default probabilities updated</t>
  </si>
  <si>
    <t>Other risk categories</t>
  </si>
  <si>
    <t>Risk of losses due to an unsuccessful business plan</t>
  </si>
  <si>
    <t>Follows Basel definition</t>
  </si>
  <si>
    <t>Doesn't correspond to an internal risk category as currently covered in ICAAP.</t>
  </si>
  <si>
    <t>Concentration risk</t>
  </si>
  <si>
    <t>The granularity of the definition of economic sectors changed from 11 GICS sectors to 24 GICS industry groups.</t>
  </si>
  <si>
    <t>Current or prospective risk to the institution’s earnings and own funds arising from FX lending to unhedged borrowers.</t>
  </si>
  <si>
    <t>Credit risk from securitisations</t>
  </si>
  <si>
    <t>Country risk</t>
  </si>
  <si>
    <t>Counterparty credit risk and settlement risk</t>
  </si>
  <si>
    <t>Specialised lending</t>
  </si>
  <si>
    <t>Follows EBA SREP GL definition</t>
  </si>
  <si>
    <t>ICT Risk</t>
  </si>
  <si>
    <t>Market risk - Other</t>
  </si>
  <si>
    <t>Structural FX risk</t>
  </si>
  <si>
    <t>Risk arising from equity held that has been deployed in offshore branches and subsidiaries in a currency other than the parent undertaking’s reporting currency</t>
  </si>
  <si>
    <t>Credit spread risk</t>
  </si>
  <si>
    <t>Risk arising from changes in the market value of debt financial instruments due to fluctuations in their credit spread</t>
  </si>
  <si>
    <t>Credit Valuation Adjustment (CVA)</t>
  </si>
  <si>
    <t>FX market risk</t>
  </si>
  <si>
    <t>Commodities risk</t>
  </si>
  <si>
    <t>The risk of losses arising from changes in FX rates</t>
  </si>
  <si>
    <t>Interest rate risk</t>
  </si>
  <si>
    <t>Equity risk</t>
  </si>
  <si>
    <t>The risk of losses arising from changes in the prices of physical commodities or financial instruments linked to commodities</t>
  </si>
  <si>
    <t>The risk of loss on financial instruments from changes in the value of equities</t>
  </si>
  <si>
    <t>The risk of loss on financial instruments from changes in interest rates</t>
  </si>
  <si>
    <t>Sub-category (Column C)</t>
  </si>
  <si>
    <t>Included in (Column G)</t>
  </si>
  <si>
    <t>1.4 Short description of internal risk category</t>
  </si>
  <si>
    <t>1.8 Link to the internal documentation on the quantification methodology</t>
  </si>
  <si>
    <t>Includes settlement and delivery risk.</t>
  </si>
  <si>
    <t>Included in counterparty credit risk and settlement risk</t>
  </si>
  <si>
    <t>Risk stemming from adjustment to the mid-market valuation of the portfolio of transactions with a counterparty which reflects the current market value of the credit risk of the counterparty to the institution but not the current market value of the credit risk of the institution to the counterparty.</t>
  </si>
  <si>
    <t>Reputational risk</t>
  </si>
  <si>
    <t>Business disruption and system failures</t>
  </si>
  <si>
    <t>Clients, products and business practices</t>
  </si>
  <si>
    <t>Damage to physical assets</t>
  </si>
  <si>
    <t>Employment practices and workplace safety</t>
  </si>
  <si>
    <t>Execution, delivery and process management</t>
  </si>
  <si>
    <t>External fraud</t>
  </si>
  <si>
    <t>Internal fraud</t>
  </si>
  <si>
    <t>Conduct risk</t>
  </si>
  <si>
    <t>Risk of loss resulting from damage to a firm's reputation. Not part of operational risk category.</t>
  </si>
  <si>
    <t>Follows Basel definition. Includes conduct risk.</t>
  </si>
  <si>
    <t>Follows Basel definition. Includes ICT risk.</t>
  </si>
  <si>
    <t>Covers operational risk as in CRR, broken down into Basel event types</t>
  </si>
  <si>
    <t>Document 12 (see Reader's manual)</t>
  </si>
  <si>
    <t>Document 13 (see Reader's manual)</t>
  </si>
  <si>
    <t>Section 2 (ICT risk) in document 12 (see Reader's manual)</t>
  </si>
  <si>
    <t>Document 4, pp. 23-35 (see Reader's manual)</t>
  </si>
  <si>
    <t>Covers default and residual risk</t>
  </si>
  <si>
    <t>Includes single name concentration risk and sectoral concentration risk</t>
  </si>
  <si>
    <t>Covers transfer risk, sovereign intervention risk and collective debtor risk</t>
  </si>
  <si>
    <t>Covers risk stemming from the profitability of the asset or of the project financed</t>
  </si>
  <si>
    <t>Included in credit risk</t>
  </si>
  <si>
    <t>Included in market risk</t>
  </si>
  <si>
    <t>SSM risk map</t>
  </si>
  <si>
    <t>Credit concentration risk</t>
  </si>
  <si>
    <t xml:space="preserve">Securitisation risk </t>
  </si>
  <si>
    <t xml:space="preserve">Country risk (includes transfer &amp; other risks) </t>
  </si>
  <si>
    <t>Counterparty risk</t>
  </si>
  <si>
    <t>Other (1)</t>
  </si>
  <si>
    <t>Default risk</t>
  </si>
  <si>
    <t>Settlement and delivery risk</t>
  </si>
  <si>
    <t>Residual risk</t>
  </si>
  <si>
    <t>Commodity risk</t>
  </si>
  <si>
    <t>Information and communication (ICT) risk</t>
  </si>
  <si>
    <t>IRRBB (not broken down into sub-categories)</t>
  </si>
  <si>
    <t>Strategic risk</t>
  </si>
  <si>
    <t xml:space="preserve">Risk of loss resulting from damage to a firm's reputation </t>
  </si>
  <si>
    <t>Strategic risk is part of the internal risk taxonomy but is not quantified. Qualitative measures are used to reduce the risk.</t>
  </si>
  <si>
    <t>credit risk (not broken down into sub-categories)</t>
  </si>
  <si>
    <t>market risk (not broken down into sub-categories)</t>
  </si>
  <si>
    <t>operational risk (not broken down into sub-categories)</t>
  </si>
  <si>
    <t>pension risk</t>
  </si>
  <si>
    <t>real estate risk</t>
  </si>
  <si>
    <t>Operational risk (not broken down into sub-categories)</t>
  </si>
  <si>
    <t>Credit risk (not broken down into sub-categories)</t>
  </si>
  <si>
    <t>Market risk (not broken down into sub-categories)</t>
  </si>
  <si>
    <t>Doesn't correspond to an internal risk category currently covered in ICAAP.</t>
  </si>
  <si>
    <t>Includes repricing risk, yield curve risk, basis risk and option risk, which in this case are not calculated separately</t>
  </si>
  <si>
    <t>Covers risks arising from securitisation transactions in relation to which the credit institutions are investor, originator or sponsor, including reputational risks such as those which arise in relation to complex structures or products.</t>
  </si>
  <si>
    <t>Column 1.3</t>
  </si>
  <si>
    <t>Column 1.4</t>
  </si>
  <si>
    <t>Column 1.5</t>
  </si>
  <si>
    <t>Columns 1.5 and 1.6</t>
  </si>
  <si>
    <t>Column 1.8</t>
  </si>
  <si>
    <t>A link to the internal documentation on the quantification methodology should be given, specifying the document and the section/range of pages of the document as provided in the annual documentation package. A reference to the reader's manual may be useful.</t>
  </si>
  <si>
    <t>Column 1.9</t>
  </si>
  <si>
    <t>Column 1.2</t>
  </si>
  <si>
    <t xml:space="preserve">The drop-down menu category "xy risk - not broken down in sub-categories" should be used if several sub-categories for the risk type are being quantified together or if no other sub-category of the risk is quantified separately. </t>
  </si>
  <si>
    <t>The short description of the internal risk category should provide information on what risks and risk sub-categories are included.</t>
  </si>
  <si>
    <t>Internal Capital (lines 68ff.)</t>
  </si>
  <si>
    <t xml:space="preserve">Please provide this information broken down in accordance with the level of granularity you apply internally. </t>
  </si>
  <si>
    <t>In accordance with CRR definition, fully phased-in</t>
  </si>
  <si>
    <t>Document 3, as defined in Reader's manual, pp. 7-12.</t>
  </si>
  <si>
    <t>Hidden losses</t>
  </si>
  <si>
    <t>Differences between book values and market values</t>
  </si>
  <si>
    <t>2.1a Internal capital - Name</t>
  </si>
  <si>
    <t>2.1b Internal capital - Short description</t>
  </si>
  <si>
    <t>C13</t>
  </si>
  <si>
    <t>C14</t>
  </si>
  <si>
    <t>C15</t>
  </si>
  <si>
    <t>M11</t>
  </si>
  <si>
    <t>M12</t>
  </si>
  <si>
    <t>M13</t>
  </si>
  <si>
    <t>M14</t>
  </si>
  <si>
    <t>M15</t>
  </si>
  <si>
    <t>O13</t>
  </si>
  <si>
    <t>O14</t>
  </si>
  <si>
    <t>O15</t>
  </si>
  <si>
    <t>I6</t>
  </si>
  <si>
    <t>I7</t>
  </si>
  <si>
    <t>I8</t>
  </si>
  <si>
    <t>I9</t>
  </si>
  <si>
    <t>I10</t>
  </si>
  <si>
    <t>X11</t>
  </si>
  <si>
    <t>010</t>
  </si>
  <si>
    <t>020</t>
  </si>
  <si>
    <t>030</t>
  </si>
  <si>
    <t>040</t>
  </si>
  <si>
    <t>050</t>
  </si>
  <si>
    <t>060</t>
  </si>
  <si>
    <t>070</t>
  </si>
  <si>
    <t>080</t>
  </si>
  <si>
    <t>Rule at point 2</t>
  </si>
  <si>
    <t>"2_Example" tab</t>
  </si>
  <si>
    <t>·         Only yellow cells can be filled in.</t>
  </si>
  <si>
    <t>·         Please do not rename the sheets of the template and do not change the format.</t>
  </si>
  <si>
    <t>·         Total figures (overall and for each risk category) are calculated automatically.</t>
  </si>
  <si>
    <t>·         Please check the risk categories and sub-categories provided in the drop-down lists and insert information to the extent possible in separate rows for all sub-categories that are captured by your internal risk quantifications. If a sub-category from a drop-down list is captured by your ICAAP, but you do not quantify it separately, please follow the guidance on "Columns 1.5 and 1.6" below.</t>
  </si>
  <si>
    <t>·         Only provide the information and data that are internally available - do not change or produce internal numbers for the sole purpose of filling in the template.</t>
  </si>
  <si>
    <t>·         Please use your risk quantifications and your internal capital from the economic ICAAP perspective to fill-in the template.</t>
  </si>
  <si>
    <t>Please provide the name of the internal risk (sub-)category, preferably in English.</t>
  </si>
  <si>
    <t>Any further explanations which may help to understand the particularities for a (sub-)category should be entered.</t>
  </si>
  <si>
    <r>
      <t xml:space="preserve">Country: </t>
    </r>
    <r>
      <rPr>
        <sz val="12"/>
        <color indexed="8"/>
        <rFont val="Calibri"/>
        <family val="2"/>
        <scheme val="minor"/>
      </rPr>
      <t>(two letter ISO code)</t>
    </r>
  </si>
  <si>
    <r>
      <t xml:space="preserve">Bank code: </t>
    </r>
    <r>
      <rPr>
        <sz val="12"/>
        <color indexed="8"/>
        <rFont val="Calibri"/>
        <family val="2"/>
        <scheme val="minor"/>
      </rPr>
      <t>(RIAD MFI code)</t>
    </r>
  </si>
  <si>
    <r>
      <t xml:space="preserve">2.2 Internal capital 
</t>
    </r>
    <r>
      <rPr>
        <sz val="11"/>
        <rFont val="Calibri"/>
        <family val="2"/>
        <scheme val="minor"/>
      </rPr>
      <t xml:space="preserve">in EUR
</t>
    </r>
  </si>
  <si>
    <r>
      <t xml:space="preserve">Reference date: </t>
    </r>
    <r>
      <rPr>
        <sz val="12"/>
        <color indexed="8"/>
        <rFont val="Calibri"/>
        <family val="2"/>
        <scheme val="minor"/>
      </rPr>
      <t>T (dd/mm/yyyy)</t>
    </r>
  </si>
  <si>
    <t xml:space="preserve">Instructions: ICAAP Template </t>
  </si>
  <si>
    <t xml:space="preserve">General information - ICAAP Template </t>
  </si>
  <si>
    <t>Level of consolidation:</t>
  </si>
  <si>
    <t>dilution risk</t>
  </si>
  <si>
    <t>credit spread risk in the banking book</t>
  </si>
  <si>
    <t>market liquidity risk / hard to replace derivatives</t>
  </si>
  <si>
    <t>valuation risk</t>
  </si>
  <si>
    <t xml:space="preserve">Operational risk </t>
  </si>
  <si>
    <t>I11</t>
  </si>
  <si>
    <t xml:space="preserve">damage to physical assets </t>
  </si>
  <si>
    <t>Other risks</t>
  </si>
  <si>
    <t>equity risk in the banking book</t>
  </si>
  <si>
    <t>model risk</t>
  </si>
  <si>
    <t>insurance risk</t>
  </si>
  <si>
    <t>sectoral concentration risk</t>
  </si>
  <si>
    <t>single name concentration risk</t>
  </si>
  <si>
    <t>geographical concentration risk</t>
  </si>
  <si>
    <t>collateral concentration risk</t>
  </si>
  <si>
    <t>residual value risk</t>
  </si>
  <si>
    <t>restitution risk</t>
  </si>
  <si>
    <t>X12</t>
  </si>
  <si>
    <t>country risk (includes transfer &amp; other risks)</t>
  </si>
  <si>
    <t>intra-risk diversification effects</t>
  </si>
  <si>
    <t>securitisation risk</t>
  </si>
  <si>
    <t>residual risk</t>
  </si>
  <si>
    <t xml:space="preserve">business disruption and system failures </t>
  </si>
  <si>
    <t>clients, products and business practices</t>
  </si>
  <si>
    <t>conduct risk</t>
  </si>
  <si>
    <t>information and communication (ICT) risk</t>
  </si>
  <si>
    <t>legal risk</t>
  </si>
  <si>
    <t>compliance risk</t>
  </si>
  <si>
    <t>outsourcing</t>
  </si>
  <si>
    <t>money laundering</t>
  </si>
  <si>
    <t>I12</t>
  </si>
  <si>
    <t>business and strategic risk</t>
  </si>
  <si>
    <t>participation risk</t>
  </si>
  <si>
    <t>sovereign risk</t>
  </si>
  <si>
    <t>step-in risk</t>
  </si>
  <si>
    <t>insurance participation risk</t>
  </si>
  <si>
    <t>other participation/equity risk</t>
  </si>
  <si>
    <t>commodity risk</t>
  </si>
  <si>
    <t>default (and migration) risk</t>
  </si>
  <si>
    <t>structural FX risk</t>
  </si>
  <si>
    <t>Document 2, as defined in Reader's manual, pp. 420-425.</t>
  </si>
  <si>
    <t>Document 2, as defined in Reader's manual, pp. 430-435.</t>
  </si>
  <si>
    <t>Document 2, as defined in Reader's manual, pp. 435-438.</t>
  </si>
  <si>
    <t>Document 2, as defined in Reader's manual, pp. 440-445.</t>
  </si>
  <si>
    <t>Document 2, as defined in Reader's manual, pp. 450-454.</t>
  </si>
  <si>
    <t>Document 2, pp. 476-479 (see Reader's manual)</t>
  </si>
  <si>
    <t>Covers risk of losses from credit enhancements provided to structured vehicules</t>
  </si>
  <si>
    <t>Document 2, as defined in Reader's manual, pp. 390-395.</t>
  </si>
  <si>
    <t>included in credit risk</t>
  </si>
  <si>
    <t>included in operational risk</t>
  </si>
  <si>
    <t>Covers the risk of potential obligations to compensate/reimburse clients for the value of financial instruments held under custody, where those assets are lost by a third party over the network of sub-custodians at which the bank may have delegated the safekeeping.</t>
  </si>
  <si>
    <t>inter-risk concentrations</t>
  </si>
  <si>
    <t>inter-risks concentration</t>
  </si>
  <si>
    <t>inter-risks concentrations</t>
  </si>
  <si>
    <t>Risk concentrations that arise from interactions between different risk exposures across different risk categories</t>
  </si>
  <si>
    <t>Document 2, pp. 485-490 (see Reader's manual)</t>
  </si>
  <si>
    <t>gap risk</t>
  </si>
  <si>
    <t>climate risk</t>
  </si>
  <si>
    <t>credit spread risk in the trading book</t>
  </si>
  <si>
    <t>equity risk in the trading book</t>
  </si>
  <si>
    <t>interest rate risk</t>
  </si>
  <si>
    <t>market risk concentration</t>
  </si>
  <si>
    <t>I13</t>
  </si>
  <si>
    <t>I14</t>
  </si>
  <si>
    <t>I15</t>
  </si>
  <si>
    <t>M2</t>
  </si>
  <si>
    <t>M3</t>
  </si>
  <si>
    <t>C2</t>
  </si>
  <si>
    <t xml:space="preserve">·         If a cell is not applicable to the institution, please leave it blank (do not use "NA" or the Excel function NA()).
</t>
  </si>
  <si>
    <t>ICAAP Template - Information on internal risk categories and internal capital</t>
  </si>
  <si>
    <t>1.5 ICAAP figure - internal capital needed (one-year view) in EUR</t>
  </si>
  <si>
    <t>Document 2, as defined in Reader's manual, pp. 101-105.</t>
  </si>
  <si>
    <t>Document 2, as defined in Reader's manual, pp. 151-155.</t>
  </si>
  <si>
    <t>Document 2, as defined in Reader's manual, pp. 181-185.</t>
  </si>
  <si>
    <t>Document 2, as defined in Reader's manual, pp. 196-200.</t>
  </si>
  <si>
    <t>Document 2, as defined in Reader's manual, pp. 261-265.</t>
  </si>
  <si>
    <t>Document 2, as defined in Reader's manual, pp. 301-307.</t>
  </si>
  <si>
    <t>Document 2, as defined in Reader's manual, pp. 376-380.</t>
  </si>
  <si>
    <r>
      <t xml:space="preserve">Includes market concentration risk </t>
    </r>
    <r>
      <rPr>
        <strike/>
        <sz val="10"/>
        <rFont val="Calibri"/>
        <family val="2"/>
        <scheme val="minor"/>
      </rPr>
      <t>and migration risk</t>
    </r>
  </si>
  <si>
    <t>Document 2, as defined in Reader's manual, pp. 500-505.</t>
  </si>
  <si>
    <r>
      <t>Document 2, as defined in Reader's manual, pp. 401-410</t>
    </r>
    <r>
      <rPr>
        <strike/>
        <sz val="10"/>
        <rFont val="Calibri"/>
        <family val="2"/>
        <scheme val="minor"/>
      </rPr>
      <t>.</t>
    </r>
  </si>
  <si>
    <r>
      <t>Document 2, as defined in Reader's manual, pp. 410</t>
    </r>
    <r>
      <rPr>
        <strike/>
        <sz val="10"/>
        <rFont val="Calibri"/>
        <family val="2"/>
        <scheme val="minor"/>
      </rPr>
      <t>-</t>
    </r>
    <r>
      <rPr>
        <sz val="10"/>
        <rFont val="Calibri"/>
        <family val="2"/>
        <scheme val="minor"/>
      </rPr>
      <t>415.</t>
    </r>
  </si>
  <si>
    <r>
      <t xml:space="preserve">2.4 Please provide a link to the internal documentation on the internal capital definition </t>
    </r>
    <r>
      <rPr>
        <sz val="11"/>
        <rFont val="Calibri"/>
        <family val="2"/>
        <scheme val="minor"/>
      </rPr>
      <t>(specifiying the document and/or section of the document as provided in the annual documentation package)</t>
    </r>
  </si>
  <si>
    <r>
      <t xml:space="preserve">2.5 Further explanation </t>
    </r>
    <r>
      <rPr>
        <sz val="11"/>
        <rFont val="Calibri"/>
        <family val="2"/>
        <scheme val="minor"/>
      </rPr>
      <t>(if needed)</t>
    </r>
  </si>
  <si>
    <t>Risk Categories</t>
  </si>
  <si>
    <t xml:space="preserve">·         Only use risk categories and sub-categories as they are used by you internally; broken down in accordance with the level of granularity you apply internally; and according to your internal definitions (including internal definitions of trading and banking book under the economic perspective if such separation is used by the bank). </t>
  </si>
  <si>
    <t>·         The expectation is that all material risks are identified and taken into account in the ICAAP (according to Principle 4 of the ECB guide on ICAAP).
·       `Inter-risk concentration’ (row 74) has been pre-selected for all banks because such concentrations across risk types can be a severe threat to banks’ continuation. Experience shows that a considerable number of banks do not systematically consider such concentrations. The pre-selection of this category is meant to remind banks of the importance of such concentrations. This row is aimed at collecting information on the size and the treatment of inter-risk concentration effects. The figures entered in column 1.5 can only be positive, i.e. increasing the risk amount overall. If a bank quantifies both inter-risk concentrations and inter-risk diversification (row 87), then it should provide figures for both categories on a gross basis, i.e. figures should not be netted in the template. If no figure is quantified by the bank, these cells should be left blank. 
·         In their risk inventory, institutions are expected to take into account the underlying risks, where material, stemming from their financial and non-financial participations, subsidiaries and other connected entities (see par. 65 of ECB ICAAP Guide). In a proportionate way, banks are expected to look beyond participation risks and identify, understand and quantify significant underlying risks, and take them into account in its internal risk taxonomy, regardless of whether the entities concerned are included in the prudential perimeter or not (see par. 66 of ECB ICAAP Guide).</t>
  </si>
  <si>
    <t>·         Please map your internal risk (sub-)categories to risk (sub-)categories as suggested in the drop-down lists, where applicable. If it is not possible to map an internal (sub-)category, use "other" sub-categories from the drop down list or, if it is not part of any listed risk category, use the "other risks" rows. It should be noted that the (sub-)categories proposed in the template do not represent a complete taxonomy with full coverage and without overlap. However, institutions are expected to avoid overlap between their selected (sub-)categories, i.e. the total ICAAP figure should be the sum of the reported figures for (sub-)categories.</t>
  </si>
  <si>
    <t>·         Amounts show the internal capital needed in the short-term (usually following a one-year time horizon) view under the economic perspective. That means that the institution is expected to report risks that are determined with risk quantification methodologies used for their capital adequacy assessment, which includes the assessment of stress events, providing sufficient confidence that possible losses stemming from rare/tail events are considered (see par 78 of ECB ICAAP Guide).</t>
  </si>
  <si>
    <r>
      <t xml:space="preserve">·         Amounts are reported in </t>
    </r>
    <r>
      <rPr>
        <b/>
        <sz val="11"/>
        <rFont val="Calibri"/>
        <family val="2"/>
        <scheme val="minor"/>
      </rPr>
      <t>EUR units</t>
    </r>
    <r>
      <rPr>
        <sz val="11"/>
        <rFont val="Calibri"/>
        <family val="2"/>
        <scheme val="minor"/>
      </rPr>
      <t xml:space="preserve"> (not in units of e.g. EUR million or units in other currency than EUR e.g. GBP).</t>
    </r>
  </si>
  <si>
    <t>·         ICAAP figures are entered as positive numbers; benefits from risk diversification are entered as negative numbers.</t>
  </si>
  <si>
    <r>
      <t>·</t>
    </r>
    <r>
      <rPr>
        <sz val="7"/>
        <rFont val="Calibri"/>
        <family val="2"/>
        <scheme val="minor"/>
      </rPr>
      <t xml:space="preserve">         </t>
    </r>
    <r>
      <rPr>
        <sz val="11"/>
        <rFont val="Calibri"/>
        <family val="2"/>
        <scheme val="minor"/>
      </rPr>
      <t>If a risk (sub-)category is taken into consideration in ICAAP but no explicit quantification is made, please leave the column 1.5 blank, but fill in all other columns. In particular, if this risk (sub-)category is covered by another risk (sub-)category, please state in column 1.6 where it is covered (drop-down selection).</t>
    </r>
  </si>
  <si>
    <r>
      <t>·</t>
    </r>
    <r>
      <rPr>
        <sz val="7"/>
        <rFont val="Calibri"/>
        <family val="2"/>
        <scheme val="minor"/>
      </rPr>
      <t xml:space="preserve">         </t>
    </r>
    <r>
      <rPr>
        <sz val="11"/>
        <rFont val="Calibri"/>
        <family val="2"/>
        <scheme val="minor"/>
      </rPr>
      <t>If a value is reported in column 1.5, then in column 1.6  "no" should be selected from the drop-down menue.</t>
    </r>
  </si>
  <si>
    <r>
      <t>·</t>
    </r>
    <r>
      <rPr>
        <sz val="7"/>
        <rFont val="Calibri"/>
        <family val="2"/>
        <scheme val="minor"/>
      </rPr>
      <t xml:space="preserve">         </t>
    </r>
    <r>
      <rPr>
        <sz val="11"/>
        <rFont val="Calibri"/>
        <family val="2"/>
        <scheme val="minor"/>
      </rPr>
      <t>The example is meant to help institutions understand how the template is expected to be filled in.</t>
    </r>
  </si>
  <si>
    <r>
      <t>·</t>
    </r>
    <r>
      <rPr>
        <sz val="7"/>
        <rFont val="Calibri"/>
        <family val="2"/>
        <scheme val="minor"/>
      </rPr>
      <t xml:space="preserve">         </t>
    </r>
    <r>
      <rPr>
        <sz val="11"/>
        <rFont val="Calibri"/>
        <family val="2"/>
        <scheme val="minor"/>
      </rPr>
      <t>This example is purely indicative and based on a hypothetical case. Some specifics might not apply in all cases.</t>
    </r>
  </si>
  <si>
    <t>credit concentration risk (not broken down)</t>
  </si>
  <si>
    <t>credit spread risk (not broken down)</t>
  </si>
  <si>
    <t>equity risk (not broken down)</t>
  </si>
  <si>
    <t>funding cost risk</t>
  </si>
  <si>
    <t>settlement risk</t>
  </si>
  <si>
    <t>·         Pre-defined sub-categories in the drop-down menu aim at accommodating as many banks’ practices as possible. For example, some sub-categories are available under different risk types in the template (e.g. insurance participation or residual value risks are also available in the credit risk category although they can be expected to be reported under other risk categories). Accordingly, the availability or non-availability of a sub-category does not imply that a certain risk taxonomy can be considered more or less in line with ECB ICAAP expectation. The underlying list of risks is neither exhaustive nor mandatory. Rather, please provide and follow in any case your internal risk taxonomies.</t>
  </si>
  <si>
    <t xml:space="preserve">·        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t>
  </si>
  <si>
    <t>X13</t>
  </si>
  <si>
    <t>X14</t>
  </si>
  <si>
    <t>X15</t>
  </si>
  <si>
    <t>to be deleted</t>
  </si>
  <si>
    <r>
      <rPr>
        <b/>
        <sz val="10"/>
        <color rgb="FFFF0000"/>
        <rFont val="Calibri"/>
        <family val="2"/>
        <scheme val="minor"/>
      </rPr>
      <t>IRRBB</t>
    </r>
    <r>
      <rPr>
        <b/>
        <sz val="10"/>
        <rFont val="Calibri"/>
        <family val="2"/>
        <scheme val="minor"/>
      </rPr>
      <t xml:space="preserve"> </t>
    </r>
    <r>
      <rPr>
        <b/>
        <sz val="10"/>
        <color rgb="FFFF0000"/>
        <rFont val="Calibri"/>
        <family val="2"/>
        <scheme val="minor"/>
      </rPr>
      <t>&amp; CSRBB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</si>
</sst>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2" x14ac:knownFonts="1">
    <font>
      <sz val="11"/>
      <color theme="1"/>
      <name val="Calibri"/>
      <family val="2"/>
      <scheme val="minor"/>
    </font>
    <font>
      <sz val="11"/>
      <color theme="1"/>
      <name val="Calibri"/>
      <family val="2"/>
      <scheme val="minor"/>
    </font>
    <font>
      <sz val="10"/>
      <name val="Times New Roman"/>
      <family val="1"/>
    </font>
    <font>
      <sz val="11"/>
      <name val="Calibri"/>
      <family val="2"/>
      <scheme val="minor"/>
    </font>
    <font>
      <sz val="10"/>
      <color theme="0"/>
      <name val="Calibri"/>
      <family val="2"/>
      <scheme val="minor"/>
    </font>
    <font>
      <sz val="10"/>
      <name val="Calibri"/>
      <family val="2"/>
      <scheme val="minor"/>
    </font>
    <font>
      <b/>
      <sz val="16"/>
      <name val="Calibri"/>
      <family val="2"/>
      <scheme val="minor"/>
    </font>
    <font>
      <b/>
      <sz val="11"/>
      <name val="Calibri"/>
      <family val="2"/>
      <scheme val="minor"/>
    </font>
    <font>
      <b/>
      <sz val="12"/>
      <color indexed="8"/>
      <name val="Calibri"/>
      <family val="2"/>
      <scheme val="minor"/>
    </font>
    <font>
      <sz val="12"/>
      <color indexed="8"/>
      <name val="Calibri"/>
      <family val="2"/>
      <scheme val="minor"/>
    </font>
    <font>
      <sz val="11"/>
      <color indexed="8"/>
      <name val="Calibri"/>
      <family val="2"/>
      <scheme val="minor"/>
    </font>
    <font>
      <b/>
      <sz val="11"/>
      <color indexed="8"/>
      <name val="Calibri"/>
      <family val="2"/>
      <scheme val="minor"/>
    </font>
    <font>
      <b/>
      <sz val="10"/>
      <name val="Calibri"/>
      <family val="2"/>
      <scheme val="minor"/>
    </font>
    <font>
      <sz val="8"/>
      <name val="Calibri"/>
      <family val="2"/>
      <scheme val="minor"/>
    </font>
    <font>
      <sz val="11"/>
      <name val="Arial"/>
      <family val="2"/>
    </font>
    <font>
      <b/>
      <sz val="14"/>
      <name val="Calibri"/>
      <family val="2"/>
      <scheme val="minor"/>
    </font>
    <font>
      <strike/>
      <sz val="10"/>
      <name val="Calibri"/>
      <family val="2"/>
      <scheme val="minor"/>
    </font>
    <font>
      <b/>
      <sz val="12"/>
      <name val="Calibri"/>
      <family val="2"/>
      <scheme val="minor"/>
    </font>
    <font>
      <sz val="7"/>
      <name val="Calibri"/>
      <family val="2"/>
      <scheme val="minor"/>
    </font>
    <font>
      <sz val="11"/>
      <color rgb="FFFF0000"/>
      <name val="Calibri"/>
      <family val="2"/>
      <scheme val="minor"/>
    </font>
    <font>
      <strike/>
      <sz val="11"/>
      <color rgb="FFFF0000"/>
      <name val="Calibri"/>
      <family val="2"/>
      <scheme val="minor"/>
    </font>
    <font>
      <b/>
      <sz val="10"/>
      <color rgb="FFFF0000"/>
      <name val="Calibri"/>
      <family val="2"/>
      <scheme val="minor"/>
    </font>
  </fonts>
  <fills count="10">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196">
    <xf numFmtId="0" fontId="0" fillId="0" borderId="0" xfId="0"/>
    <xf numFmtId="0" fontId="2" fillId="2" borderId="0" xfId="2" applyFill="1" applyProtection="1"/>
    <xf numFmtId="0" fontId="4" fillId="2" borderId="0" xfId="2" applyFont="1" applyFill="1" applyProtection="1"/>
    <xf numFmtId="0" fontId="5" fillId="2" borderId="0" xfId="2" applyFont="1" applyFill="1" applyProtection="1"/>
    <xf numFmtId="0" fontId="6" fillId="2" borderId="0" xfId="2" applyFont="1" applyFill="1" applyProtection="1"/>
    <xf numFmtId="0" fontId="7" fillId="2" borderId="0" xfId="2" applyFont="1" applyFill="1" applyProtection="1"/>
    <xf numFmtId="0" fontId="8" fillId="2" borderId="0" xfId="2" applyFont="1" applyFill="1" applyBorder="1" applyAlignment="1" applyProtection="1">
      <alignment horizontal="right"/>
    </xf>
    <xf numFmtId="0" fontId="11" fillId="2" borderId="0" xfId="2" applyFont="1" applyFill="1" applyBorder="1" applyAlignment="1" applyProtection="1">
      <alignment horizontal="left"/>
    </xf>
    <xf numFmtId="0" fontId="8" fillId="2" borderId="0" xfId="2" applyFont="1" applyFill="1" applyBorder="1" applyAlignment="1" applyProtection="1">
      <alignment horizontal="right" vertical="top"/>
    </xf>
    <xf numFmtId="0" fontId="12" fillId="6" borderId="9" xfId="0" applyFont="1" applyFill="1" applyBorder="1" applyAlignment="1" applyProtection="1">
      <alignment horizontal="left" vertical="center" wrapText="1"/>
    </xf>
    <xf numFmtId="0" fontId="12" fillId="6" borderId="9" xfId="0" applyNumberFormat="1" applyFont="1" applyFill="1" applyBorder="1" applyAlignment="1" applyProtection="1">
      <alignment horizontal="left" vertical="center" wrapText="1"/>
    </xf>
    <xf numFmtId="0" fontId="5" fillId="0" borderId="1" xfId="0" quotePrefix="1" applyNumberFormat="1" applyFont="1" applyFill="1" applyBorder="1" applyAlignment="1" applyProtection="1">
      <alignment horizontal="left" vertical="top" wrapText="1"/>
    </xf>
    <xf numFmtId="0" fontId="7" fillId="6" borderId="6" xfId="0" applyFont="1" applyFill="1" applyBorder="1" applyAlignment="1" applyProtection="1">
      <alignment horizontal="left" vertical="center" wrapText="1"/>
    </xf>
    <xf numFmtId="0" fontId="7" fillId="6" borderId="7" xfId="0" applyFont="1" applyFill="1" applyBorder="1" applyAlignment="1" applyProtection="1">
      <alignment horizontal="left" vertical="center" wrapText="1"/>
    </xf>
    <xf numFmtId="0" fontId="7" fillId="6" borderId="8" xfId="0" applyNumberFormat="1" applyFont="1" applyFill="1" applyBorder="1" applyAlignment="1" applyProtection="1">
      <alignment horizontal="left" vertical="center" wrapText="1"/>
    </xf>
    <xf numFmtId="0" fontId="7" fillId="6" borderId="9" xfId="0" applyNumberFormat="1" applyFont="1" applyFill="1" applyBorder="1" applyAlignment="1" applyProtection="1">
      <alignment horizontal="left" vertical="center" wrapText="1"/>
    </xf>
    <xf numFmtId="0" fontId="5" fillId="3" borderId="1" xfId="0" quotePrefix="1" applyNumberFormat="1" applyFont="1" applyFill="1" applyBorder="1" applyAlignment="1" applyProtection="1">
      <alignment horizontal="left" vertical="top" wrapText="1"/>
      <protection locked="0"/>
    </xf>
    <xf numFmtId="0" fontId="7" fillId="6" borderId="1" xfId="0" applyFont="1" applyFill="1" applyBorder="1" applyAlignment="1" applyProtection="1">
      <alignment horizontal="left" vertical="center" wrapText="1"/>
    </xf>
    <xf numFmtId="0" fontId="7" fillId="6" borderId="1" xfId="0" applyNumberFormat="1" applyFont="1" applyFill="1" applyBorder="1" applyAlignment="1" applyProtection="1">
      <alignment horizontal="left" vertical="center" wrapText="1"/>
    </xf>
    <xf numFmtId="0" fontId="3" fillId="0" borderId="0" xfId="0" applyFont="1" applyBorder="1" applyAlignment="1" applyProtection="1">
      <alignment vertical="center"/>
    </xf>
    <xf numFmtId="0" fontId="3" fillId="0" borderId="0" xfId="0" applyFont="1" applyBorder="1" applyAlignment="1" applyProtection="1">
      <alignment vertical="center" wrapText="1"/>
    </xf>
    <xf numFmtId="49" fontId="10" fillId="3" borderId="1" xfId="2" applyNumberFormat="1" applyFont="1" applyFill="1" applyBorder="1" applyAlignment="1" applyProtection="1">
      <alignment horizontal="left"/>
      <protection locked="0"/>
    </xf>
    <xf numFmtId="49" fontId="5" fillId="2" borderId="0" xfId="2" applyNumberFormat="1" applyFont="1" applyFill="1" applyProtection="1"/>
    <xf numFmtId="164" fontId="10" fillId="3" borderId="1" xfId="2" applyNumberFormat="1" applyFont="1" applyFill="1" applyBorder="1" applyAlignment="1" applyProtection="1">
      <alignment horizontal="left"/>
      <protection locked="0"/>
    </xf>
    <xf numFmtId="0" fontId="3" fillId="0" borderId="0" xfId="0" applyFont="1"/>
    <xf numFmtId="0" fontId="3" fillId="0" borderId="0" xfId="0" applyFont="1" applyBorder="1" applyAlignment="1" applyProtection="1">
      <alignment vertical="center" wrapText="1" shrinkToFit="1"/>
    </xf>
    <xf numFmtId="0" fontId="5" fillId="0" borderId="0" xfId="0" applyNumberFormat="1" applyFont="1" applyFill="1" applyAlignment="1" applyProtection="1">
      <alignment wrapText="1"/>
    </xf>
    <xf numFmtId="0" fontId="3" fillId="0" borderId="0" xfId="0" applyNumberFormat="1" applyFont="1" applyFill="1" applyAlignment="1" applyProtection="1">
      <alignment wrapText="1"/>
    </xf>
    <xf numFmtId="0" fontId="3" fillId="0" borderId="0" xfId="0" applyNumberFormat="1" applyFont="1" applyFill="1" applyAlignment="1" applyProtection="1">
      <alignment horizontal="left" wrapText="1"/>
    </xf>
    <xf numFmtId="0" fontId="14" fillId="0" borderId="0" xfId="0" applyNumberFormat="1" applyFont="1" applyFill="1" applyAlignment="1" applyProtection="1">
      <alignment wrapText="1"/>
    </xf>
    <xf numFmtId="0" fontId="3" fillId="0" borderId="0" xfId="0" applyNumberFormat="1" applyFont="1" applyFill="1" applyAlignment="1" applyProtection="1">
      <alignment vertical="center"/>
    </xf>
    <xf numFmtId="0" fontId="5" fillId="0" borderId="0" xfId="0" applyNumberFormat="1" applyFont="1" applyFill="1" applyBorder="1" applyAlignment="1" applyProtection="1">
      <alignment wrapText="1"/>
    </xf>
    <xf numFmtId="0" fontId="15" fillId="0" borderId="3" xfId="0" applyFont="1" applyFill="1" applyBorder="1" applyAlignment="1" applyProtection="1">
      <alignment vertical="center" wrapText="1"/>
    </xf>
    <xf numFmtId="0" fontId="3" fillId="0" borderId="0" xfId="0" applyFont="1" applyFill="1" applyBorder="1" applyAlignment="1" applyProtection="1">
      <alignment horizontal="left" vertical="center" wrapText="1"/>
    </xf>
    <xf numFmtId="0" fontId="14" fillId="0" borderId="0" xfId="0" applyNumberFormat="1" applyFont="1" applyFill="1" applyBorder="1" applyAlignment="1" applyProtection="1">
      <alignment wrapText="1"/>
    </xf>
    <xf numFmtId="0" fontId="7" fillId="0" borderId="0" xfId="0" applyFont="1" applyFill="1" applyBorder="1" applyAlignment="1" applyProtection="1">
      <alignment horizontal="left" vertical="center" wrapText="1"/>
    </xf>
    <xf numFmtId="0" fontId="7" fillId="0" borderId="0" xfId="0" applyNumberFormat="1" applyFont="1" applyFill="1" applyBorder="1" applyAlignment="1" applyProtection="1">
      <alignment horizontal="left" vertical="center" wrapText="1"/>
    </xf>
    <xf numFmtId="0" fontId="7" fillId="0" borderId="4" xfId="0" applyNumberFormat="1" applyFont="1" applyFill="1" applyBorder="1" applyAlignment="1" applyProtection="1">
      <alignment horizontal="left" vertical="center" wrapText="1"/>
    </xf>
    <xf numFmtId="0" fontId="3" fillId="0" borderId="0" xfId="0" applyNumberFormat="1" applyFont="1" applyFill="1" applyBorder="1" applyAlignment="1" applyProtection="1">
      <alignment wrapText="1"/>
    </xf>
    <xf numFmtId="0" fontId="5" fillId="0" borderId="0" xfId="0" applyNumberFormat="1" applyFont="1" applyFill="1" applyAlignment="1" applyProtection="1">
      <alignment horizontal="left" vertical="center" wrapText="1"/>
    </xf>
    <xf numFmtId="0" fontId="12" fillId="6" borderId="1" xfId="0" applyNumberFormat="1" applyFont="1" applyFill="1" applyBorder="1" applyAlignment="1" applyProtection="1">
      <alignment horizontal="left" vertical="center" wrapText="1"/>
    </xf>
    <xf numFmtId="0" fontId="3" fillId="0" borderId="0" xfId="0" applyNumberFormat="1" applyFont="1" applyFill="1" applyAlignment="1" applyProtection="1">
      <alignment horizontal="left" vertical="center" wrapText="1"/>
    </xf>
    <xf numFmtId="0" fontId="14" fillId="0" borderId="0" xfId="0" applyNumberFormat="1" applyFont="1" applyFill="1" applyAlignment="1" applyProtection="1">
      <alignment horizontal="left" vertical="center" wrapText="1"/>
    </xf>
    <xf numFmtId="0" fontId="5" fillId="0" borderId="0" xfId="0" applyNumberFormat="1" applyFont="1" applyFill="1" applyAlignment="1" applyProtection="1">
      <alignment vertical="top" wrapText="1"/>
    </xf>
    <xf numFmtId="0" fontId="12" fillId="5" borderId="6" xfId="0" applyFont="1" applyFill="1" applyBorder="1" applyAlignment="1" applyProtection="1">
      <alignment horizontal="left" vertical="top"/>
    </xf>
    <xf numFmtId="0" fontId="12" fillId="5" borderId="7" xfId="0" applyFont="1" applyFill="1" applyBorder="1" applyAlignment="1" applyProtection="1">
      <alignment horizontal="left" vertical="top"/>
    </xf>
    <xf numFmtId="0" fontId="5" fillId="5" borderId="7" xfId="0" applyFont="1" applyFill="1" applyBorder="1" applyAlignment="1" applyProtection="1">
      <alignment vertical="top"/>
    </xf>
    <xf numFmtId="0" fontId="5" fillId="5" borderId="7" xfId="0" applyFont="1" applyFill="1" applyBorder="1" applyAlignment="1" applyProtection="1">
      <alignment horizontal="left" vertical="top" wrapText="1"/>
    </xf>
    <xf numFmtId="3" fontId="5" fillId="5" borderId="7" xfId="0" applyNumberFormat="1" applyFont="1" applyFill="1" applyBorder="1" applyAlignment="1" applyProtection="1">
      <alignment vertical="top"/>
    </xf>
    <xf numFmtId="3" fontId="5" fillId="5" borderId="7" xfId="0" applyNumberFormat="1" applyFont="1" applyFill="1" applyBorder="1" applyAlignment="1" applyProtection="1">
      <alignment vertical="top" wrapText="1"/>
    </xf>
    <xf numFmtId="0" fontId="5" fillId="5" borderId="7" xfId="0" applyNumberFormat="1" applyFont="1" applyFill="1" applyBorder="1" applyAlignment="1" applyProtection="1">
      <alignment vertical="top" wrapText="1"/>
    </xf>
    <xf numFmtId="10" fontId="5" fillId="5" borderId="8" xfId="1" applyNumberFormat="1" applyFont="1" applyFill="1" applyBorder="1" applyAlignment="1" applyProtection="1">
      <alignment vertical="top" wrapText="1"/>
    </xf>
    <xf numFmtId="0" fontId="5" fillId="5" borderId="1" xfId="0" applyFont="1" applyFill="1" applyBorder="1" applyAlignment="1" applyProtection="1">
      <alignment horizontal="left" vertical="top" wrapText="1"/>
    </xf>
    <xf numFmtId="0" fontId="5" fillId="4" borderId="6" xfId="0" applyFont="1" applyFill="1" applyBorder="1" applyAlignment="1" applyProtection="1">
      <alignment horizontal="left" vertical="top"/>
    </xf>
    <xf numFmtId="0" fontId="5" fillId="0" borderId="6" xfId="0" applyFont="1" applyFill="1" applyBorder="1" applyAlignment="1" applyProtection="1">
      <alignment vertical="top" wrapText="1"/>
    </xf>
    <xf numFmtId="0" fontId="5" fillId="0" borderId="1" xfId="0" applyNumberFormat="1" applyFont="1" applyFill="1" applyBorder="1" applyAlignment="1" applyProtection="1">
      <alignment horizontal="left" vertical="top" wrapText="1"/>
    </xf>
    <xf numFmtId="3" fontId="5" fillId="0" borderId="1" xfId="0" applyNumberFormat="1" applyFont="1" applyFill="1" applyBorder="1" applyAlignment="1" applyProtection="1">
      <alignment vertical="top"/>
    </xf>
    <xf numFmtId="3" fontId="5" fillId="0" borderId="1" xfId="0" applyNumberFormat="1" applyFont="1" applyFill="1" applyBorder="1" applyAlignment="1" applyProtection="1">
      <alignment vertical="top" wrapText="1"/>
    </xf>
    <xf numFmtId="0" fontId="5" fillId="0" borderId="1" xfId="0" applyNumberFormat="1" applyFont="1" applyFill="1" applyBorder="1" applyAlignment="1" applyProtection="1">
      <alignment vertical="top" wrapText="1"/>
    </xf>
    <xf numFmtId="10" fontId="5" fillId="0" borderId="1" xfId="1" applyNumberFormat="1" applyFont="1" applyFill="1" applyBorder="1" applyAlignment="1" applyProtection="1">
      <alignment vertical="top" wrapText="1"/>
    </xf>
    <xf numFmtId="0" fontId="5" fillId="0" borderId="1" xfId="0" applyFont="1" applyFill="1" applyBorder="1" applyAlignment="1" applyProtection="1">
      <alignment horizontal="left" vertical="top" wrapText="1"/>
    </xf>
    <xf numFmtId="0" fontId="5" fillId="5" borderId="7" xfId="0" applyFont="1" applyFill="1" applyBorder="1" applyAlignment="1" applyProtection="1">
      <alignment vertical="top" wrapText="1"/>
    </xf>
    <xf numFmtId="0" fontId="12" fillId="5" borderId="6" xfId="0" applyFont="1" applyFill="1" applyBorder="1" applyAlignment="1" applyProtection="1">
      <alignment horizontal="left" vertical="top" wrapText="1"/>
    </xf>
    <xf numFmtId="0" fontId="12" fillId="4" borderId="1" xfId="0" applyFont="1" applyFill="1" applyBorder="1" applyAlignment="1" applyProtection="1">
      <alignment horizontal="left" vertical="top"/>
    </xf>
    <xf numFmtId="0" fontId="5" fillId="4" borderId="6" xfId="0" applyFont="1" applyFill="1" applyBorder="1" applyAlignment="1" applyProtection="1">
      <alignment vertical="top" wrapText="1"/>
    </xf>
    <xf numFmtId="0" fontId="3" fillId="0" borderId="1" xfId="0" applyNumberFormat="1" applyFont="1" applyFill="1" applyBorder="1" applyAlignment="1" applyProtection="1">
      <alignment wrapText="1"/>
    </xf>
    <xf numFmtId="0" fontId="12" fillId="4" borderId="6" xfId="0" applyFont="1" applyFill="1" applyBorder="1" applyAlignment="1" applyProtection="1">
      <alignment horizontal="left" vertical="top"/>
    </xf>
    <xf numFmtId="0" fontId="5" fillId="0" borderId="2" xfId="0" applyFont="1" applyFill="1" applyBorder="1" applyAlignment="1" applyProtection="1">
      <alignment vertical="top" wrapText="1"/>
    </xf>
    <xf numFmtId="0" fontId="5" fillId="0" borderId="9" xfId="0" applyNumberFormat="1" applyFont="1" applyFill="1" applyBorder="1" applyAlignment="1" applyProtection="1">
      <alignment horizontal="left" vertical="top" wrapText="1"/>
    </xf>
    <xf numFmtId="3" fontId="5" fillId="0" borderId="9" xfId="0" applyNumberFormat="1" applyFont="1" applyFill="1" applyBorder="1" applyAlignment="1" applyProtection="1">
      <alignment vertical="top"/>
    </xf>
    <xf numFmtId="3" fontId="5" fillId="0" borderId="9" xfId="0" applyNumberFormat="1" applyFont="1" applyFill="1" applyBorder="1" applyAlignment="1" applyProtection="1">
      <alignment vertical="top" wrapText="1"/>
    </xf>
    <xf numFmtId="10" fontId="5" fillId="0" borderId="9" xfId="1" applyNumberFormat="1" applyFont="1" applyFill="1" applyBorder="1" applyAlignment="1" applyProtection="1">
      <alignment vertical="top" wrapText="1"/>
    </xf>
    <xf numFmtId="0" fontId="5" fillId="0" borderId="9" xfId="0" applyFont="1" applyFill="1" applyBorder="1" applyAlignment="1" applyProtection="1">
      <alignment horizontal="left" vertical="top" wrapText="1"/>
    </xf>
    <xf numFmtId="0" fontId="12" fillId="4" borderId="10" xfId="0" applyFont="1" applyFill="1" applyBorder="1" applyAlignment="1" applyProtection="1">
      <alignment horizontal="left" vertical="top"/>
    </xf>
    <xf numFmtId="0" fontId="5" fillId="4" borderId="11" xfId="0" applyFont="1" applyFill="1" applyBorder="1" applyAlignment="1" applyProtection="1">
      <alignment horizontal="left" vertical="top"/>
    </xf>
    <xf numFmtId="0" fontId="5" fillId="4" borderId="18" xfId="0" applyFont="1" applyFill="1" applyBorder="1" applyAlignment="1" applyProtection="1">
      <alignment horizontal="left" vertical="top"/>
    </xf>
    <xf numFmtId="0" fontId="5" fillId="4" borderId="19" xfId="0" applyNumberFormat="1" applyFont="1" applyFill="1" applyBorder="1" applyAlignment="1" applyProtection="1">
      <alignment horizontal="left" vertical="top" wrapText="1"/>
    </xf>
    <xf numFmtId="3" fontId="5" fillId="4" borderId="12" xfId="0" applyNumberFormat="1" applyFont="1" applyFill="1" applyBorder="1" applyAlignment="1" applyProtection="1">
      <alignment vertical="top"/>
    </xf>
    <xf numFmtId="3" fontId="5" fillId="0" borderId="11" xfId="0" applyNumberFormat="1" applyFont="1" applyFill="1" applyBorder="1" applyAlignment="1" applyProtection="1">
      <alignment vertical="top" wrapText="1"/>
    </xf>
    <xf numFmtId="0" fontId="5" fillId="4" borderId="11" xfId="0" applyNumberFormat="1" applyFont="1" applyFill="1" applyBorder="1" applyAlignment="1" applyProtection="1">
      <alignment vertical="top" wrapText="1"/>
    </xf>
    <xf numFmtId="10" fontId="5" fillId="4" borderId="18" xfId="1" applyNumberFormat="1" applyFont="1" applyFill="1" applyBorder="1" applyAlignment="1" applyProtection="1">
      <alignment vertical="top" wrapText="1"/>
    </xf>
    <xf numFmtId="0" fontId="5" fillId="4" borderId="22" xfId="0" applyFont="1" applyFill="1" applyBorder="1" applyAlignment="1" applyProtection="1">
      <alignment horizontal="left" vertical="top" wrapText="1"/>
    </xf>
    <xf numFmtId="0" fontId="12" fillId="4" borderId="13" xfId="0" applyFont="1" applyFill="1" applyBorder="1" applyAlignment="1" applyProtection="1">
      <alignment horizontal="left" vertical="top"/>
    </xf>
    <xf numFmtId="0" fontId="5" fillId="4" borderId="7" xfId="0" applyFont="1" applyFill="1" applyBorder="1" applyAlignment="1" applyProtection="1">
      <alignment horizontal="left" vertical="top"/>
    </xf>
    <xf numFmtId="0" fontId="5" fillId="4" borderId="8" xfId="0" applyNumberFormat="1" applyFont="1" applyFill="1" applyBorder="1" applyAlignment="1" applyProtection="1">
      <alignment horizontal="left" vertical="top" wrapText="1"/>
    </xf>
    <xf numFmtId="0" fontId="5" fillId="0" borderId="14" xfId="0" applyFont="1" applyFill="1" applyBorder="1" applyAlignment="1" applyProtection="1">
      <alignment horizontal="left" vertical="top" wrapText="1"/>
    </xf>
    <xf numFmtId="0" fontId="12" fillId="4" borderId="15" xfId="0" applyFont="1" applyFill="1" applyBorder="1" applyAlignment="1" applyProtection="1">
      <alignment horizontal="left" vertical="top"/>
    </xf>
    <xf numFmtId="0" fontId="5" fillId="4" borderId="16" xfId="0" applyFont="1" applyFill="1" applyBorder="1" applyAlignment="1" applyProtection="1">
      <alignment horizontal="left" vertical="top"/>
    </xf>
    <xf numFmtId="0" fontId="5" fillId="4" borderId="20" xfId="0" applyFont="1" applyFill="1" applyBorder="1" applyAlignment="1" applyProtection="1">
      <alignment horizontal="left" vertical="top"/>
    </xf>
    <xf numFmtId="0" fontId="5" fillId="4" borderId="21" xfId="0" applyNumberFormat="1" applyFont="1" applyFill="1" applyBorder="1" applyAlignment="1" applyProtection="1">
      <alignment horizontal="left" vertical="top" wrapText="1"/>
    </xf>
    <xf numFmtId="3" fontId="5" fillId="4" borderId="17" xfId="0" applyNumberFormat="1" applyFont="1" applyFill="1" applyBorder="1" applyAlignment="1" applyProtection="1">
      <alignment vertical="top"/>
    </xf>
    <xf numFmtId="3" fontId="5" fillId="0" borderId="16" xfId="0" applyNumberFormat="1" applyFont="1" applyFill="1" applyBorder="1" applyAlignment="1" applyProtection="1">
      <alignment vertical="top" wrapText="1"/>
    </xf>
    <xf numFmtId="0" fontId="5" fillId="4" borderId="16" xfId="0" applyNumberFormat="1" applyFont="1" applyFill="1" applyBorder="1" applyAlignment="1" applyProtection="1">
      <alignment vertical="top" wrapText="1"/>
    </xf>
    <xf numFmtId="10" fontId="5" fillId="4" borderId="20" xfId="1" applyNumberFormat="1" applyFont="1" applyFill="1" applyBorder="1" applyAlignment="1" applyProtection="1">
      <alignment vertical="top" wrapText="1"/>
    </xf>
    <xf numFmtId="0" fontId="5" fillId="4" borderId="23" xfId="0" applyFont="1" applyFill="1" applyBorder="1" applyAlignment="1" applyProtection="1">
      <alignment horizontal="left" vertical="top" wrapText="1"/>
    </xf>
    <xf numFmtId="0" fontId="3" fillId="0" borderId="0" xfId="0" applyNumberFormat="1" applyFont="1" applyFill="1" applyAlignment="1" applyProtection="1">
      <alignment horizontal="left" vertical="top" wrapText="1"/>
    </xf>
    <xf numFmtId="0" fontId="7" fillId="4" borderId="6" xfId="0" applyFont="1" applyFill="1" applyBorder="1" applyAlignment="1" applyProtection="1">
      <alignment horizontal="left" vertical="top"/>
    </xf>
    <xf numFmtId="0" fontId="3" fillId="4" borderId="7" xfId="0" applyFont="1" applyFill="1" applyBorder="1" applyAlignment="1" applyProtection="1">
      <alignment horizontal="left" vertical="top"/>
    </xf>
    <xf numFmtId="0" fontId="3" fillId="0" borderId="1" xfId="0" applyFont="1" applyFill="1" applyBorder="1" applyAlignment="1" applyProtection="1">
      <alignment horizontal="left" vertical="top" wrapText="1"/>
    </xf>
    <xf numFmtId="0" fontId="7" fillId="7" borderId="1" xfId="0" applyFont="1" applyFill="1" applyBorder="1" applyAlignment="1" applyProtection="1">
      <alignment horizontal="left" vertical="top"/>
    </xf>
    <xf numFmtId="3" fontId="3" fillId="0" borderId="1" xfId="0" applyNumberFormat="1" applyFont="1" applyFill="1" applyBorder="1" applyAlignment="1" applyProtection="1">
      <alignment vertical="top"/>
    </xf>
    <xf numFmtId="0" fontId="3" fillId="0" borderId="1" xfId="0" applyNumberFormat="1" applyFont="1" applyFill="1" applyBorder="1" applyAlignment="1" applyProtection="1">
      <alignment vertical="top" wrapText="1"/>
    </xf>
    <xf numFmtId="10" fontId="3" fillId="0" borderId="1" xfId="1" applyNumberFormat="1" applyFont="1" applyFill="1" applyBorder="1" applyAlignment="1" applyProtection="1">
      <alignment vertical="top" wrapText="1"/>
    </xf>
    <xf numFmtId="0" fontId="3" fillId="7" borderId="1" xfId="0" applyFont="1" applyFill="1" applyBorder="1" applyAlignment="1" applyProtection="1">
      <alignment horizontal="left" vertical="top"/>
    </xf>
    <xf numFmtId="3" fontId="3" fillId="0" borderId="1" xfId="0" applyNumberFormat="1" applyFont="1" applyFill="1" applyBorder="1" applyAlignment="1" applyProtection="1">
      <alignment vertical="top" wrapText="1"/>
    </xf>
    <xf numFmtId="10" fontId="5" fillId="4" borderId="12" xfId="1" applyNumberFormat="1" applyFont="1" applyFill="1" applyBorder="1" applyAlignment="1" applyProtection="1">
      <alignment vertical="top" wrapText="1"/>
    </xf>
    <xf numFmtId="0" fontId="5" fillId="7" borderId="0" xfId="2" applyFont="1" applyFill="1" applyProtection="1"/>
    <xf numFmtId="0" fontId="3" fillId="7" borderId="0" xfId="0" applyNumberFormat="1" applyFont="1" applyFill="1" applyAlignment="1" applyProtection="1">
      <alignment wrapText="1"/>
    </xf>
    <xf numFmtId="0" fontId="3" fillId="7" borderId="0" xfId="0" applyNumberFormat="1" applyFont="1" applyFill="1" applyAlignment="1" applyProtection="1">
      <alignment horizontal="left" wrapText="1"/>
    </xf>
    <xf numFmtId="0" fontId="14" fillId="7" borderId="0" xfId="0" applyNumberFormat="1" applyFont="1" applyFill="1" applyAlignment="1" applyProtection="1">
      <alignment wrapText="1"/>
    </xf>
    <xf numFmtId="0" fontId="5" fillId="7" borderId="0" xfId="0" applyNumberFormat="1" applyFont="1" applyFill="1" applyAlignment="1" applyProtection="1">
      <alignment wrapText="1"/>
    </xf>
    <xf numFmtId="0" fontId="3" fillId="7" borderId="0" xfId="0" applyNumberFormat="1" applyFont="1" applyFill="1" applyAlignment="1" applyProtection="1">
      <alignment vertical="center"/>
    </xf>
    <xf numFmtId="0" fontId="5" fillId="7" borderId="0" xfId="0" applyNumberFormat="1" applyFont="1" applyFill="1" applyBorder="1" applyAlignment="1" applyProtection="1">
      <alignment wrapText="1"/>
    </xf>
    <xf numFmtId="0" fontId="15" fillId="7" borderId="3" xfId="0" applyFont="1" applyFill="1" applyBorder="1" applyAlignment="1" applyProtection="1">
      <alignment vertical="center" wrapText="1"/>
    </xf>
    <xf numFmtId="0" fontId="3" fillId="7" borderId="0" xfId="0" applyFont="1" applyFill="1" applyBorder="1" applyAlignment="1" applyProtection="1">
      <alignment horizontal="left" vertical="center" wrapText="1"/>
    </xf>
    <xf numFmtId="0" fontId="14" fillId="7" borderId="0" xfId="0" applyNumberFormat="1" applyFont="1" applyFill="1" applyBorder="1" applyAlignment="1" applyProtection="1">
      <alignment wrapText="1"/>
    </xf>
    <xf numFmtId="0" fontId="7" fillId="7" borderId="0" xfId="0" applyFont="1" applyFill="1" applyBorder="1" applyAlignment="1" applyProtection="1">
      <alignment horizontal="left" vertical="center" wrapText="1"/>
    </xf>
    <xf numFmtId="0" fontId="7" fillId="7" borderId="0" xfId="0" applyNumberFormat="1" applyFont="1" applyFill="1" applyBorder="1" applyAlignment="1" applyProtection="1">
      <alignment horizontal="left" vertical="center" wrapText="1"/>
    </xf>
    <xf numFmtId="0" fontId="7" fillId="7" borderId="4" xfId="0" applyNumberFormat="1" applyFont="1" applyFill="1" applyBorder="1" applyAlignment="1" applyProtection="1">
      <alignment horizontal="left" vertical="center" wrapText="1"/>
    </xf>
    <xf numFmtId="0" fontId="3" fillId="7" borderId="0" xfId="0" applyNumberFormat="1" applyFont="1" applyFill="1" applyBorder="1" applyAlignment="1" applyProtection="1">
      <alignment wrapText="1"/>
    </xf>
    <xf numFmtId="0" fontId="5" fillId="7" borderId="0" xfId="0" applyNumberFormat="1" applyFont="1" applyFill="1" applyAlignment="1" applyProtection="1">
      <alignment horizontal="left" vertical="center" wrapText="1"/>
    </xf>
    <xf numFmtId="0" fontId="3" fillId="7" borderId="0" xfId="0" applyNumberFormat="1" applyFont="1" applyFill="1" applyAlignment="1" applyProtection="1">
      <alignment horizontal="left" vertical="center" wrapText="1"/>
    </xf>
    <xf numFmtId="0" fontId="12" fillId="5" borderId="1" xfId="0" applyFont="1" applyFill="1" applyBorder="1" applyAlignment="1" applyProtection="1">
      <alignment horizontal="left" vertical="top"/>
    </xf>
    <xf numFmtId="0" fontId="12" fillId="5" borderId="1" xfId="0" quotePrefix="1" applyFont="1" applyFill="1" applyBorder="1" applyAlignment="1" applyProtection="1">
      <alignment horizontal="center" vertical="center"/>
    </xf>
    <xf numFmtId="0" fontId="5" fillId="7" borderId="0" xfId="0" applyNumberFormat="1" applyFont="1" applyFill="1" applyAlignment="1" applyProtection="1">
      <alignment vertical="top" wrapText="1"/>
    </xf>
    <xf numFmtId="0" fontId="12" fillId="5" borderId="6" xfId="0" applyFont="1" applyFill="1" applyBorder="1" applyAlignment="1" applyProtection="1">
      <alignment horizontal="left" vertical="center"/>
    </xf>
    <xf numFmtId="0" fontId="12" fillId="5" borderId="7" xfId="0" applyFont="1" applyFill="1" applyBorder="1" applyAlignment="1" applyProtection="1">
      <alignment horizontal="left" vertical="center"/>
    </xf>
    <xf numFmtId="0" fontId="5" fillId="5" borderId="7" xfId="0" applyFont="1" applyFill="1" applyBorder="1" applyAlignment="1" applyProtection="1">
      <alignment vertical="center"/>
    </xf>
    <xf numFmtId="0" fontId="5" fillId="5" borderId="7" xfId="0" applyFont="1" applyFill="1" applyBorder="1" applyAlignment="1" applyProtection="1">
      <alignment horizontal="left" vertical="center" wrapText="1"/>
    </xf>
    <xf numFmtId="2" fontId="5" fillId="5" borderId="1" xfId="0" applyNumberFormat="1" applyFont="1" applyFill="1" applyBorder="1" applyAlignment="1" applyProtection="1">
      <alignment vertical="center"/>
    </xf>
    <xf numFmtId="49" fontId="5" fillId="5" borderId="7" xfId="1" applyNumberFormat="1" applyFont="1" applyFill="1" applyBorder="1" applyAlignment="1" applyProtection="1">
      <alignment vertical="top" wrapText="1"/>
    </xf>
    <xf numFmtId="0" fontId="5" fillId="5" borderId="8" xfId="0" applyFont="1" applyFill="1" applyBorder="1" applyAlignment="1" applyProtection="1">
      <alignment horizontal="left" vertical="top" wrapText="1"/>
    </xf>
    <xf numFmtId="0" fontId="5" fillId="3" borderId="6" xfId="0" applyFont="1" applyFill="1" applyBorder="1" applyAlignment="1" applyProtection="1">
      <alignment vertical="top" wrapText="1"/>
      <protection locked="0"/>
    </xf>
    <xf numFmtId="0" fontId="5" fillId="3" borderId="1" xfId="0" applyNumberFormat="1" applyFont="1" applyFill="1" applyBorder="1" applyAlignment="1" applyProtection="1">
      <alignment horizontal="left" vertical="top" wrapText="1"/>
      <protection locked="0"/>
    </xf>
    <xf numFmtId="2" fontId="5" fillId="3" borderId="1" xfId="0" applyNumberFormat="1" applyFont="1" applyFill="1" applyBorder="1" applyAlignment="1" applyProtection="1">
      <alignment vertical="top"/>
      <protection locked="0"/>
    </xf>
    <xf numFmtId="3" fontId="5" fillId="3" borderId="1" xfId="0" applyNumberFormat="1" applyFont="1" applyFill="1" applyBorder="1" applyAlignment="1" applyProtection="1">
      <alignment vertical="top" wrapText="1"/>
      <protection locked="0"/>
    </xf>
    <xf numFmtId="0" fontId="5" fillId="3" borderId="1" xfId="0" applyNumberFormat="1" applyFont="1" applyFill="1" applyBorder="1" applyAlignment="1" applyProtection="1">
      <alignment vertical="top" wrapText="1"/>
      <protection locked="0"/>
    </xf>
    <xf numFmtId="49" fontId="5" fillId="3" borderId="1" xfId="1" applyNumberFormat="1" applyFont="1" applyFill="1" applyBorder="1" applyAlignment="1" applyProtection="1">
      <alignment vertical="top" wrapText="1"/>
      <protection locked="0"/>
    </xf>
    <xf numFmtId="0" fontId="5" fillId="3" borderId="1" xfId="0" applyFont="1" applyFill="1" applyBorder="1" applyAlignment="1" applyProtection="1">
      <alignment horizontal="left" vertical="top" wrapText="1"/>
      <protection locked="0"/>
    </xf>
    <xf numFmtId="0" fontId="12" fillId="5" borderId="6" xfId="0" applyFont="1" applyFill="1" applyBorder="1" applyAlignment="1" applyProtection="1">
      <alignment horizontal="left" vertical="center" wrapText="1"/>
    </xf>
    <xf numFmtId="2" fontId="3" fillId="3" borderId="1" xfId="0" applyNumberFormat="1" applyFont="1" applyFill="1" applyBorder="1" applyAlignment="1" applyProtection="1">
      <alignment vertical="top"/>
      <protection locked="0"/>
    </xf>
    <xf numFmtId="0" fontId="14" fillId="8" borderId="0" xfId="0" applyNumberFormat="1" applyFont="1" applyFill="1" applyAlignment="1" applyProtection="1">
      <alignment wrapText="1"/>
    </xf>
    <xf numFmtId="0" fontId="5" fillId="3" borderId="2" xfId="0" applyFont="1" applyFill="1" applyBorder="1" applyAlignment="1" applyProtection="1">
      <alignment vertical="top" wrapText="1"/>
      <protection locked="0"/>
    </xf>
    <xf numFmtId="0" fontId="5" fillId="3" borderId="9" xfId="0" applyNumberFormat="1" applyFont="1" applyFill="1" applyBorder="1" applyAlignment="1" applyProtection="1">
      <alignment horizontal="left" vertical="top" wrapText="1"/>
      <protection locked="0"/>
    </xf>
    <xf numFmtId="49" fontId="5" fillId="3" borderId="9" xfId="1" applyNumberFormat="1" applyFont="1" applyFill="1" applyBorder="1" applyAlignment="1" applyProtection="1">
      <alignment vertical="top" wrapText="1"/>
      <protection locked="0"/>
    </xf>
    <xf numFmtId="0" fontId="5" fillId="3" borderId="9" xfId="0" applyFont="1" applyFill="1" applyBorder="1" applyAlignment="1" applyProtection="1">
      <alignment horizontal="left" vertical="top" wrapText="1"/>
      <protection locked="0"/>
    </xf>
    <xf numFmtId="0" fontId="12" fillId="4" borderId="2" xfId="0" applyFont="1" applyFill="1" applyBorder="1" applyAlignment="1" applyProtection="1">
      <alignment horizontal="left" vertical="top"/>
    </xf>
    <xf numFmtId="0" fontId="5" fillId="3" borderId="9" xfId="0" applyNumberFormat="1" applyFont="1" applyFill="1" applyBorder="1" applyAlignment="1" applyProtection="1">
      <alignment vertical="top" wrapText="1"/>
      <protection locked="0"/>
    </xf>
    <xf numFmtId="2" fontId="5" fillId="4" borderId="11" xfId="0" applyNumberFormat="1" applyFont="1" applyFill="1" applyBorder="1" applyAlignment="1" applyProtection="1">
      <alignment vertical="top"/>
    </xf>
    <xf numFmtId="0" fontId="5" fillId="4" borderId="18" xfId="0" applyNumberFormat="1" applyFont="1" applyFill="1" applyBorder="1" applyAlignment="1" applyProtection="1">
      <alignment vertical="top" wrapText="1"/>
    </xf>
    <xf numFmtId="0" fontId="5" fillId="4" borderId="19" xfId="0" applyFont="1" applyFill="1" applyBorder="1" applyAlignment="1" applyProtection="1">
      <alignment horizontal="left" vertical="top" wrapText="1"/>
    </xf>
    <xf numFmtId="0" fontId="5" fillId="3" borderId="24" xfId="0" applyNumberFormat="1" applyFont="1" applyFill="1" applyBorder="1" applyAlignment="1" applyProtection="1">
      <alignment vertical="top" wrapText="1"/>
      <protection locked="0"/>
    </xf>
    <xf numFmtId="10" fontId="5" fillId="3" borderId="24" xfId="1" applyNumberFormat="1" applyFont="1" applyFill="1" applyBorder="1" applyAlignment="1" applyProtection="1">
      <alignment vertical="top" wrapText="1"/>
      <protection locked="0"/>
    </xf>
    <xf numFmtId="0" fontId="5" fillId="3" borderId="24" xfId="0" applyFont="1" applyFill="1" applyBorder="1" applyAlignment="1" applyProtection="1">
      <alignment horizontal="left" vertical="top" wrapText="1"/>
      <protection locked="0"/>
    </xf>
    <xf numFmtId="2" fontId="5" fillId="4" borderId="16" xfId="0" applyNumberFormat="1" applyFont="1" applyFill="1" applyBorder="1" applyAlignment="1" applyProtection="1">
      <alignment vertical="top"/>
    </xf>
    <xf numFmtId="0" fontId="5" fillId="4" borderId="20" xfId="0" applyNumberFormat="1" applyFont="1" applyFill="1" applyBorder="1" applyAlignment="1" applyProtection="1">
      <alignment vertical="top" wrapText="1"/>
    </xf>
    <xf numFmtId="0" fontId="5" fillId="4" borderId="21" xfId="0" applyFont="1" applyFill="1" applyBorder="1" applyAlignment="1" applyProtection="1">
      <alignment horizontal="left" vertical="top" wrapText="1"/>
    </xf>
    <xf numFmtId="0" fontId="3" fillId="7" borderId="0" xfId="0" applyNumberFormat="1" applyFont="1" applyFill="1" applyAlignment="1" applyProtection="1">
      <alignment horizontal="left" vertical="top" wrapText="1"/>
    </xf>
    <xf numFmtId="0" fontId="12" fillId="5" borderId="8" xfId="0" applyFont="1" applyFill="1" applyBorder="1" applyAlignment="1" applyProtection="1">
      <alignment horizontal="left" vertical="top"/>
    </xf>
    <xf numFmtId="0" fontId="12" fillId="5" borderId="8" xfId="0" quotePrefix="1" applyFont="1" applyFill="1" applyBorder="1" applyAlignment="1" applyProtection="1">
      <alignment horizontal="center" vertical="center"/>
    </xf>
    <xf numFmtId="49" fontId="7" fillId="3" borderId="1" xfId="0" applyNumberFormat="1" applyFont="1" applyFill="1" applyBorder="1" applyAlignment="1" applyProtection="1">
      <alignment horizontal="left" vertical="top"/>
      <protection locked="0"/>
    </xf>
    <xf numFmtId="49" fontId="3" fillId="3" borderId="1" xfId="0" applyNumberFormat="1" applyFont="1" applyFill="1" applyBorder="1" applyAlignment="1" applyProtection="1">
      <alignment vertical="top"/>
      <protection locked="0"/>
    </xf>
    <xf numFmtId="49" fontId="3" fillId="3" borderId="1" xfId="0" applyNumberFormat="1" applyFont="1" applyFill="1" applyBorder="1" applyAlignment="1" applyProtection="1">
      <alignment vertical="top" wrapText="1"/>
      <protection locked="0"/>
    </xf>
    <xf numFmtId="49" fontId="3" fillId="3" borderId="1" xfId="1" applyNumberFormat="1" applyFont="1" applyFill="1" applyBorder="1" applyAlignment="1" applyProtection="1">
      <alignment vertical="top" wrapText="1"/>
      <protection locked="0"/>
    </xf>
    <xf numFmtId="49" fontId="3" fillId="3" borderId="1" xfId="0" applyNumberFormat="1" applyFont="1" applyFill="1" applyBorder="1" applyAlignment="1" applyProtection="1">
      <alignment horizontal="left" vertical="top" wrapText="1"/>
      <protection locked="0"/>
    </xf>
    <xf numFmtId="49" fontId="3" fillId="3" borderId="1" xfId="0" applyNumberFormat="1" applyFont="1" applyFill="1" applyBorder="1" applyAlignment="1" applyProtection="1">
      <alignment horizontal="left" vertical="top"/>
      <protection locked="0"/>
    </xf>
    <xf numFmtId="0" fontId="5" fillId="4" borderId="4" xfId="0" applyFont="1" applyFill="1" applyBorder="1" applyAlignment="1" applyProtection="1">
      <alignment horizontal="left" vertical="top"/>
    </xf>
    <xf numFmtId="0" fontId="5" fillId="4" borderId="5" xfId="0" applyNumberFormat="1" applyFont="1" applyFill="1" applyBorder="1" applyAlignment="1" applyProtection="1">
      <alignment horizontal="left" vertical="top" wrapText="1"/>
    </xf>
    <xf numFmtId="2" fontId="5" fillId="4" borderId="25" xfId="0" applyNumberFormat="1" applyFont="1" applyFill="1" applyBorder="1" applyAlignment="1" applyProtection="1">
      <alignment vertical="top"/>
    </xf>
    <xf numFmtId="10" fontId="5" fillId="4" borderId="1" xfId="1" applyNumberFormat="1" applyFont="1" applyFill="1" applyBorder="1" applyAlignment="1" applyProtection="1">
      <alignment vertical="top" wrapText="1"/>
    </xf>
    <xf numFmtId="0" fontId="3" fillId="0" borderId="0" xfId="0" applyFont="1" applyBorder="1" applyProtection="1"/>
    <xf numFmtId="0" fontId="17" fillId="0" borderId="0" xfId="0" applyFont="1" applyFill="1" applyBorder="1" applyAlignment="1" applyProtection="1"/>
    <xf numFmtId="0" fontId="3" fillId="0" borderId="0" xfId="0" applyFont="1" applyFill="1" applyBorder="1" applyProtection="1"/>
    <xf numFmtId="0" fontId="3" fillId="0" borderId="0" xfId="0" applyFont="1" applyBorder="1" applyAlignment="1" applyProtection="1">
      <alignment horizontal="left" vertical="center" indent="2"/>
    </xf>
    <xf numFmtId="0" fontId="7" fillId="9" borderId="0" xfId="0" applyFont="1" applyFill="1" applyAlignment="1" applyProtection="1">
      <alignment wrapText="1"/>
    </xf>
    <xf numFmtId="0" fontId="3" fillId="0" borderId="0" xfId="0" applyFont="1" applyBorder="1" applyAlignment="1" applyProtection="1">
      <alignment vertical="top" wrapText="1"/>
    </xf>
    <xf numFmtId="0" fontId="3" fillId="0" borderId="0" xfId="0" applyFont="1" applyFill="1" applyBorder="1" applyAlignment="1" applyProtection="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wrapText="1"/>
    </xf>
    <xf numFmtId="0" fontId="17" fillId="5" borderId="0" xfId="0" applyFont="1" applyFill="1" applyBorder="1" applyAlignment="1" applyProtection="1"/>
    <xf numFmtId="0" fontId="7" fillId="0" borderId="0" xfId="0" applyFont="1" applyBorder="1" applyAlignment="1" applyProtection="1">
      <alignment vertical="center" wrapText="1"/>
    </xf>
    <xf numFmtId="0" fontId="19" fillId="0" borderId="0" xfId="0" applyFont="1"/>
    <xf numFmtId="0" fontId="20" fillId="0" borderId="0" xfId="0" applyFont="1"/>
    <xf numFmtId="0" fontId="19" fillId="3" borderId="0" xfId="0" applyFont="1" applyFill="1"/>
    <xf numFmtId="49" fontId="10" fillId="3" borderId="6" xfId="2" applyNumberFormat="1" applyFont="1" applyFill="1" applyBorder="1" applyAlignment="1" applyProtection="1">
      <alignment horizontal="left" vertical="top" wrapText="1"/>
      <protection locked="0"/>
    </xf>
    <xf numFmtId="49" fontId="10" fillId="3" borderId="8" xfId="2" applyNumberFormat="1" applyFont="1" applyFill="1" applyBorder="1" applyAlignment="1" applyProtection="1">
      <alignment horizontal="left" vertical="top" wrapText="1"/>
      <protection locked="0"/>
    </xf>
    <xf numFmtId="0" fontId="6" fillId="6" borderId="6" xfId="0" applyFont="1" applyFill="1" applyBorder="1" applyAlignment="1" applyProtection="1">
      <alignment horizontal="left" vertical="center" wrapText="1"/>
    </xf>
    <xf numFmtId="0" fontId="6" fillId="6" borderId="7" xfId="0" applyFont="1" applyFill="1" applyBorder="1" applyAlignment="1" applyProtection="1">
      <alignment horizontal="left" vertical="center" wrapText="1"/>
    </xf>
    <xf numFmtId="0" fontId="6" fillId="6" borderId="8" xfId="0" applyFont="1" applyFill="1" applyBorder="1" applyAlignment="1" applyProtection="1">
      <alignment horizontal="left" vertical="center" wrapText="1"/>
    </xf>
    <xf numFmtId="0" fontId="15" fillId="7" borderId="3" xfId="0" applyFont="1" applyFill="1" applyBorder="1" applyAlignment="1" applyProtection="1">
      <alignment horizontal="left" vertical="center" wrapText="1"/>
    </xf>
    <xf numFmtId="0" fontId="12" fillId="6" borderId="6" xfId="0" applyFont="1" applyFill="1" applyBorder="1" applyAlignment="1" applyProtection="1">
      <alignment horizontal="center" vertical="center" wrapText="1"/>
    </xf>
    <xf numFmtId="0" fontId="12" fillId="6" borderId="8" xfId="0" applyFont="1" applyFill="1" applyBorder="1" applyAlignment="1" applyProtection="1">
      <alignment horizontal="center" vertical="center" wrapText="1"/>
    </xf>
    <xf numFmtId="0" fontId="12" fillId="6" borderId="7" xfId="0" applyFont="1" applyFill="1" applyBorder="1" applyAlignment="1" applyProtection="1">
      <alignment horizontal="center" vertical="center" wrapText="1"/>
    </xf>
    <xf numFmtId="0" fontId="7" fillId="6" borderId="1" xfId="0" applyFont="1" applyFill="1" applyBorder="1" applyAlignment="1" applyProtection="1">
      <alignment horizontal="center" vertical="center" wrapText="1"/>
    </xf>
    <xf numFmtId="0" fontId="15" fillId="0" borderId="3" xfId="0" applyFont="1" applyFill="1" applyBorder="1" applyAlignment="1" applyProtection="1">
      <alignment horizontal="left" vertical="center" wrapText="1"/>
    </xf>
  </cellXfs>
  <cellStyles count="3">
    <cellStyle name="Normal" xfId="0" builtinId="0"/>
    <cellStyle name="Normal 2" xfId="2" xr:uid="{00000000-0005-0000-0000-000001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urauma/AppData/Roaming/OpenText/OTEdit/EC_darwin/c105842289/Survey%20on%20ICAAP%20and%20ILAAP%20approaches%20-%20to%20be%20filled%20by%20J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lists"/>
      <sheetName val="Instructions"/>
      <sheetName val="Identification"/>
      <sheetName val="1 - ICAAP OVERVIEW"/>
      <sheetName val="2 - ICAAP RISKS"/>
      <sheetName val="3 - ICAAP STRESS TEST"/>
      <sheetName val="4 - ILAAP OVERVIEW"/>
      <sheetName val="5 - ILAAP LIMITS"/>
      <sheetName val="Sheet2"/>
      <sheetName val="Drop-down lists "/>
    </sheetNames>
    <sheetDataSet>
      <sheetData sheetId="0" refreshError="1"/>
      <sheetData sheetId="1"/>
      <sheetData sheetId="2"/>
      <sheetData sheetId="3"/>
      <sheetData sheetId="4"/>
      <sheetData sheetId="5"/>
      <sheetData sheetId="6"/>
      <sheetData sheetId="7"/>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Maass, Marlon Ilja Dirk" id="{F3CC2AD2-29B5-409F-8701-35CB2A4FEA5B}" userId="S::Marlon.Maass@ecb.europa.eu::756ed8a6-0dce-458c-b851-93cac216fa2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3" dT="2021-07-22T10:34:09.10" personId="{F3CC2AD2-29B5-409F-8701-35CB2A4FEA5B}" id="{92DE24A8-BA31-4FE0-AC29-FC88792225FA}">
    <text>It is a good practice to be as concise as possible in the reader's manual. That's why we should mention only a few pages for each risk categroy, with no complete overlaps. This applies to all entries in this column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printerSettings" Target="../printerSettings/printerSettings8.bin"/><Relationship Id="rId7" Type="http://schemas.openxmlformats.org/officeDocument/2006/relationships/vmlDrawing" Target="../drawings/vmlDrawing1.v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openxmlformats.org/officeDocument/2006/relationships/printerSettings" Target="../printerSettings/printerSettings11.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 Id="rId9"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6" Type="http://schemas.openxmlformats.org/officeDocument/2006/relationships/printerSettings" Target="../printerSettings/printerSettings17.bin"/><Relationship Id="rId5" Type="http://schemas.openxmlformats.org/officeDocument/2006/relationships/printerSettings" Target="../printerSettings/printerSettings16.bin"/><Relationship Id="rId4"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45"/>
  <sheetViews>
    <sheetView showGridLines="0" tabSelected="1" topLeftCell="A7" zoomScale="85" zoomScaleNormal="85" workbookViewId="0">
      <selection activeCell="B6" sqref="B6"/>
    </sheetView>
  </sheetViews>
  <sheetFormatPr defaultColWidth="0" defaultRowHeight="15" zeroHeight="1" x14ac:dyDescent="0.25"/>
  <cols>
    <col min="1" max="1" width="4.5703125" style="170" customWidth="1"/>
    <col min="2" max="2" width="180.85546875" style="170" customWidth="1"/>
    <col min="3" max="3" width="4.5703125" style="170" customWidth="1"/>
    <col min="4" max="16384" width="9.140625" style="170" hidden="1"/>
  </cols>
  <sheetData>
    <row r="1" spans="2:2" ht="15.75" x14ac:dyDescent="0.25">
      <c r="B1" s="180" t="s">
        <v>236</v>
      </c>
    </row>
    <row r="2" spans="2:2" s="172" customFormat="1" ht="15.75" x14ac:dyDescent="0.25">
      <c r="B2" s="171"/>
    </row>
    <row r="3" spans="2:2" x14ac:dyDescent="0.25">
      <c r="B3" s="19" t="s">
        <v>228</v>
      </c>
    </row>
    <row r="4" spans="2:2" x14ac:dyDescent="0.25">
      <c r="B4" s="19" t="s">
        <v>229</v>
      </c>
    </row>
    <row r="5" spans="2:2" ht="36.75" customHeight="1" x14ac:dyDescent="0.25">
      <c r="B5" s="25" t="s">
        <v>324</v>
      </c>
    </row>
    <row r="6" spans="2:2" ht="81.75" customHeight="1" x14ac:dyDescent="0.25">
      <c r="B6" s="20" t="s">
        <v>339</v>
      </c>
    </row>
    <row r="7" spans="2:2" ht="133.35" customHeight="1" x14ac:dyDescent="0.25">
      <c r="B7" s="20" t="s">
        <v>325</v>
      </c>
    </row>
    <row r="8" spans="2:2" ht="31.35" customHeight="1" x14ac:dyDescent="0.25">
      <c r="B8" s="20" t="s">
        <v>227</v>
      </c>
    </row>
    <row r="9" spans="2:2" ht="62.45" customHeight="1" x14ac:dyDescent="0.25">
      <c r="B9" s="20" t="s">
        <v>326</v>
      </c>
    </row>
    <row r="10" spans="2:2" ht="19.350000000000001" customHeight="1" x14ac:dyDescent="0.25">
      <c r="B10" s="20" t="s">
        <v>307</v>
      </c>
    </row>
    <row r="11" spans="2:2" x14ac:dyDescent="0.25">
      <c r="B11" s="19" t="s">
        <v>224</v>
      </c>
    </row>
    <row r="12" spans="2:2" x14ac:dyDescent="0.25">
      <c r="B12" s="19" t="s">
        <v>225</v>
      </c>
    </row>
    <row r="13" spans="2:2" ht="60" x14ac:dyDescent="0.25">
      <c r="B13" s="181" t="s">
        <v>340</v>
      </c>
    </row>
    <row r="14" spans="2:2" x14ac:dyDescent="0.25">
      <c r="B14" s="174" t="s">
        <v>186</v>
      </c>
    </row>
    <row r="15" spans="2:2" ht="30" x14ac:dyDescent="0.25">
      <c r="B15" s="20" t="s">
        <v>187</v>
      </c>
    </row>
    <row r="16" spans="2:2" x14ac:dyDescent="0.25">
      <c r="B16" s="19"/>
    </row>
    <row r="17" spans="2:2" x14ac:dyDescent="0.25">
      <c r="B17" s="174" t="s">
        <v>179</v>
      </c>
    </row>
    <row r="18" spans="2:2" x14ac:dyDescent="0.25">
      <c r="B18" s="19" t="s">
        <v>230</v>
      </c>
    </row>
    <row r="19" spans="2:2" x14ac:dyDescent="0.25">
      <c r="B19" s="19"/>
    </row>
    <row r="20" spans="2:2" x14ac:dyDescent="0.25">
      <c r="B20" s="174" t="s">
        <v>180</v>
      </c>
    </row>
    <row r="21" spans="2:2" x14ac:dyDescent="0.25">
      <c r="B21" s="19" t="s">
        <v>188</v>
      </c>
    </row>
    <row r="22" spans="2:2" x14ac:dyDescent="0.25">
      <c r="B22" s="19"/>
    </row>
    <row r="23" spans="2:2" x14ac:dyDescent="0.25">
      <c r="B23" s="174" t="s">
        <v>181</v>
      </c>
    </row>
    <row r="24" spans="2:2" ht="45" x14ac:dyDescent="0.25">
      <c r="B24" s="20" t="s">
        <v>327</v>
      </c>
    </row>
    <row r="25" spans="2:2" x14ac:dyDescent="0.25">
      <c r="B25" s="19" t="s">
        <v>328</v>
      </c>
    </row>
    <row r="26" spans="2:2" x14ac:dyDescent="0.25">
      <c r="B26" s="19" t="s">
        <v>329</v>
      </c>
    </row>
    <row r="27" spans="2:2" x14ac:dyDescent="0.25">
      <c r="B27" s="19" t="s">
        <v>226</v>
      </c>
    </row>
    <row r="28" spans="2:2" x14ac:dyDescent="0.25">
      <c r="B28" s="173"/>
    </row>
    <row r="29" spans="2:2" x14ac:dyDescent="0.25">
      <c r="B29" s="174" t="s">
        <v>182</v>
      </c>
    </row>
    <row r="30" spans="2:2" ht="30" x14ac:dyDescent="0.25">
      <c r="B30" s="20" t="s">
        <v>330</v>
      </c>
    </row>
    <row r="31" spans="2:2" x14ac:dyDescent="0.25">
      <c r="B31" s="19" t="s">
        <v>331</v>
      </c>
    </row>
    <row r="32" spans="2:2" x14ac:dyDescent="0.25">
      <c r="B32" s="173"/>
    </row>
    <row r="33" spans="2:2" x14ac:dyDescent="0.25">
      <c r="B33" s="174" t="s">
        <v>183</v>
      </c>
    </row>
    <row r="34" spans="2:2" ht="30" x14ac:dyDescent="0.25">
      <c r="B34" s="175" t="s">
        <v>184</v>
      </c>
    </row>
    <row r="35" spans="2:2" x14ac:dyDescent="0.25">
      <c r="B35" s="19"/>
    </row>
    <row r="36" spans="2:2" x14ac:dyDescent="0.25">
      <c r="B36" s="174" t="s">
        <v>185</v>
      </c>
    </row>
    <row r="37" spans="2:2" x14ac:dyDescent="0.25">
      <c r="B37" s="19" t="s">
        <v>231</v>
      </c>
    </row>
    <row r="38" spans="2:2" x14ac:dyDescent="0.25">
      <c r="B38" s="19"/>
    </row>
    <row r="39" spans="2:2" s="172" customFormat="1" x14ac:dyDescent="0.25">
      <c r="B39" s="174" t="s">
        <v>189</v>
      </c>
    </row>
    <row r="40" spans="2:2" s="172" customFormat="1" x14ac:dyDescent="0.25">
      <c r="B40" s="19" t="s">
        <v>190</v>
      </c>
    </row>
    <row r="41" spans="2:2" s="172" customFormat="1" x14ac:dyDescent="0.25">
      <c r="B41" s="176"/>
    </row>
    <row r="42" spans="2:2" x14ac:dyDescent="0.25">
      <c r="B42" s="174" t="s">
        <v>223</v>
      </c>
    </row>
    <row r="43" spans="2:2" x14ac:dyDescent="0.25">
      <c r="B43" s="19" t="s">
        <v>332</v>
      </c>
    </row>
    <row r="44" spans="2:2" x14ac:dyDescent="0.25">
      <c r="B44" s="19" t="s">
        <v>333</v>
      </c>
    </row>
    <row r="45" spans="2:2" x14ac:dyDescent="0.25"/>
  </sheetData>
  <customSheetViews>
    <customSheetView guid="{FB49BFC2-A848-45FA-AA3C-8477D6D91108}" topLeftCell="A13">
      <selection activeCell="L11" sqref="L11"/>
      <pageMargins left="0.7" right="0.7" top="0.75" bottom="0.75" header="0.3" footer="0.3"/>
      <pageSetup paperSize="9" orientation="portrait" r:id="rId1"/>
    </customSheetView>
    <customSheetView guid="{A2C19381-75FF-477A-8BE0-7009833AC668}">
      <pageMargins left="0.7" right="0.7" top="0.75" bottom="0.75" header="0.3" footer="0.3"/>
    </customSheetView>
    <customSheetView guid="{E5900907-1888-4FFF-864F-DD5B3409D93E}">
      <pageMargins left="0.7" right="0.7" top="0.75" bottom="0.75" header="0.3" footer="0.3"/>
    </customSheetView>
    <customSheetView guid="{7AD87B7F-9199-42FC-BEC0-5D87B351AA1F}">
      <pageMargins left="0.7" right="0.7" top="0.75" bottom="0.75" header="0.3" footer="0.3"/>
    </customSheetView>
    <customSheetView guid="{2CF4DFDC-090F-49D9-830B-AF00F7B250E1}" topLeftCell="A13">
      <selection activeCell="L11" sqref="L11"/>
      <pageMargins left="0.7" right="0.7" top="0.75" bottom="0.75" header="0.3" footer="0.3"/>
      <pageSetup paperSize="9" orientation="portrait" r:id="rId2"/>
    </customSheetView>
  </customSheetView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18"/>
  <sheetViews>
    <sheetView zoomScale="90" zoomScaleNormal="90" workbookViewId="0">
      <selection activeCell="C5" sqref="C5"/>
    </sheetView>
  </sheetViews>
  <sheetFormatPr defaultColWidth="0" defaultRowHeight="12.75" zeroHeight="1" x14ac:dyDescent="0.2"/>
  <cols>
    <col min="1" max="1" width="4.5703125" style="3" customWidth="1"/>
    <col min="2" max="2" width="40.85546875" style="3" customWidth="1"/>
    <col min="3" max="4" width="40.5703125" style="3" customWidth="1"/>
    <col min="5" max="5" width="4.5703125" style="3" customWidth="1"/>
    <col min="6" max="16384" width="9.42578125" style="1" hidden="1"/>
  </cols>
  <sheetData>
    <row r="1" spans="1:4" x14ac:dyDescent="0.2">
      <c r="A1" s="2"/>
      <c r="B1" s="2"/>
      <c r="C1" s="2"/>
      <c r="D1" s="2"/>
    </row>
    <row r="2" spans="1:4" ht="21" x14ac:dyDescent="0.35">
      <c r="A2" s="2"/>
      <c r="B2" s="4" t="s">
        <v>237</v>
      </c>
      <c r="C2" s="5"/>
    </row>
    <row r="3" spans="1:4" ht="15" x14ac:dyDescent="0.25">
      <c r="A3" s="2"/>
      <c r="B3" s="5"/>
      <c r="C3" s="5"/>
    </row>
    <row r="4" spans="1:4" ht="15" x14ac:dyDescent="0.25">
      <c r="A4" s="2"/>
      <c r="B4" s="5"/>
      <c r="C4" s="5"/>
    </row>
    <row r="5" spans="1:4" ht="15.75" x14ac:dyDescent="0.25">
      <c r="A5" s="2"/>
      <c r="B5" s="6" t="s">
        <v>232</v>
      </c>
      <c r="C5" s="21"/>
    </row>
    <row r="6" spans="1:4" ht="15.75" x14ac:dyDescent="0.25">
      <c r="A6" s="2"/>
      <c r="B6" s="6"/>
      <c r="C6" s="7"/>
    </row>
    <row r="7" spans="1:4" ht="15.75" x14ac:dyDescent="0.25">
      <c r="A7" s="2"/>
      <c r="B7" s="6" t="s">
        <v>233</v>
      </c>
      <c r="C7" s="21"/>
    </row>
    <row r="8" spans="1:4" ht="15.75" x14ac:dyDescent="0.25">
      <c r="A8" s="2"/>
      <c r="B8" s="6"/>
      <c r="C8" s="7"/>
    </row>
    <row r="9" spans="1:4" ht="15.75" x14ac:dyDescent="0.25">
      <c r="A9" s="2"/>
      <c r="B9" s="6" t="s">
        <v>0</v>
      </c>
      <c r="C9" s="21"/>
    </row>
    <row r="10" spans="1:4" ht="15.75" x14ac:dyDescent="0.25">
      <c r="A10" s="2"/>
      <c r="B10" s="6"/>
      <c r="C10" s="7"/>
      <c r="D10" s="22"/>
    </row>
    <row r="11" spans="1:4" ht="15.75" x14ac:dyDescent="0.25">
      <c r="A11" s="2"/>
      <c r="B11" s="6" t="s">
        <v>1</v>
      </c>
      <c r="C11" s="21"/>
    </row>
    <row r="12" spans="1:4" ht="15.75" x14ac:dyDescent="0.25">
      <c r="A12" s="2"/>
      <c r="B12" s="6"/>
      <c r="C12" s="7"/>
    </row>
    <row r="13" spans="1:4" ht="15.75" x14ac:dyDescent="0.25">
      <c r="A13" s="2"/>
      <c r="B13" s="6" t="s">
        <v>235</v>
      </c>
      <c r="C13" s="23"/>
    </row>
    <row r="14" spans="1:4" ht="15.75" x14ac:dyDescent="0.25">
      <c r="A14" s="2"/>
      <c r="B14" s="6"/>
      <c r="C14" s="7"/>
    </row>
    <row r="15" spans="1:4" ht="15.75" x14ac:dyDescent="0.25">
      <c r="A15" s="2"/>
      <c r="B15" s="6" t="s">
        <v>238</v>
      </c>
      <c r="C15" s="21"/>
    </row>
    <row r="16" spans="1:4" x14ac:dyDescent="0.2">
      <c r="A16" s="2"/>
    </row>
    <row r="17" spans="1:4" ht="189" customHeight="1" x14ac:dyDescent="0.2">
      <c r="A17" s="2"/>
      <c r="B17" s="8" t="s">
        <v>2</v>
      </c>
      <c r="C17" s="185"/>
      <c r="D17" s="186"/>
    </row>
    <row r="18" spans="1:4" x14ac:dyDescent="0.2"/>
  </sheetData>
  <customSheetViews>
    <customSheetView guid="{FB49BFC2-A848-45FA-AA3C-8477D6D91108}">
      <selection activeCell="B5" sqref="B5"/>
      <pageMargins left="0.7" right="0.7" top="0.75" bottom="0.75" header="0.3" footer="0.3"/>
    </customSheetView>
    <customSheetView guid="{A2C19381-75FF-477A-8BE0-7009833AC668}">
      <selection activeCell="B5" sqref="B5"/>
      <pageMargins left="0.7" right="0.7" top="0.75" bottom="0.75" header="0.3" footer="0.3"/>
    </customSheetView>
    <customSheetView guid="{99B10A70-0249-4C06-9652-DC6EDC84A4E0}">
      <pageMargins left="0.7" right="0.7" top="0.75" bottom="0.75" header="0.3" footer="0.3"/>
    </customSheetView>
    <customSheetView guid="{F7D9C0F7-2B63-4EE4-9B19-12E6D0874B08}">
      <pageMargins left="0.7" right="0.7" top="0.75" bottom="0.75" header="0.3" footer="0.3"/>
    </customSheetView>
    <customSheetView guid="{E5900907-1888-4FFF-864F-DD5B3409D93E}">
      <pageMargins left="0.7" right="0.7" top="0.75" bottom="0.75" header="0.3" footer="0.3"/>
    </customSheetView>
    <customSheetView guid="{7AD87B7F-9199-42FC-BEC0-5D87B351AA1F}">
      <selection activeCell="B5" sqref="B5"/>
      <pageMargins left="0.7" right="0.7" top="0.75" bottom="0.75" header="0.3" footer="0.3"/>
    </customSheetView>
    <customSheetView guid="{2CF4DFDC-090F-49D9-830B-AF00F7B250E1}">
      <selection activeCell="B5" sqref="B5"/>
      <pageMargins left="0.7" right="0.7" top="0.75" bottom="0.75" header="0.3" footer="0.3"/>
    </customSheetView>
  </customSheetViews>
  <mergeCells count="1">
    <mergeCell ref="C17:D17"/>
  </mergeCells>
  <dataValidations count="4">
    <dataValidation type="list" allowBlank="1" showInputMessage="1" showErrorMessage="1" sqref="C5" xr:uid="{00000000-0002-0000-0100-000000000000}">
      <formula1>"AT,BE,BG,CY,DE,EE,ES,FI,FR,GR,HR,IE,IT,LT,LU,LV,MT,NL,PT,SI,SK"</formula1>
    </dataValidation>
    <dataValidation type="list" allowBlank="1" showInputMessage="1" showErrorMessage="1" sqref="C13" xr:uid="{00000000-0002-0000-0100-000001000000}">
      <formula1>"31/12/2022,31/12/2023"</formula1>
    </dataValidation>
    <dataValidation type="textLength" operator="equal" allowBlank="1" showInputMessage="1" showErrorMessage="1" errorTitle="Error - String size" error="LEI code must have exactly 20 characters." sqref="C9" xr:uid="{00000000-0002-0000-0100-000002000000}">
      <formula1>20</formula1>
    </dataValidation>
    <dataValidation type="list" allowBlank="1" showInputMessage="1" showErrorMessage="1" sqref="C15" xr:uid="{00000000-0002-0000-0100-000003000000}">
      <formula1>"CONS,SOLO"</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S107"/>
  <sheetViews>
    <sheetView zoomScale="70" zoomScaleNormal="70" workbookViewId="0">
      <selection activeCell="F87" sqref="F87"/>
    </sheetView>
  </sheetViews>
  <sheetFormatPr defaultColWidth="0" defaultRowHeight="15" zeroHeight="1" x14ac:dyDescent="0.25"/>
  <cols>
    <col min="1" max="1" width="4.5703125" style="110" customWidth="1"/>
    <col min="2" max="2" width="14.42578125" style="27" customWidth="1"/>
    <col min="3" max="4" width="31.140625" style="27" customWidth="1"/>
    <col min="5" max="5" width="42.42578125" style="28" customWidth="1"/>
    <col min="6" max="6" width="16" style="27" customWidth="1"/>
    <col min="7" max="7" width="21.5703125" style="27" customWidth="1"/>
    <col min="8" max="8" width="23.42578125" style="27" customWidth="1"/>
    <col min="9" max="9" width="29.140625" style="27" customWidth="1"/>
    <col min="10" max="10" width="28.42578125" style="27" customWidth="1"/>
    <col min="11" max="11" width="5.140625" style="107" customWidth="1"/>
    <col min="12" max="12" width="7.85546875" style="29" hidden="1" customWidth="1"/>
    <col min="13" max="16384" width="5.140625" style="29" hidden="1"/>
  </cols>
  <sheetData>
    <row r="1" spans="1:19" s="109" customFormat="1" ht="14.25" customHeight="1" x14ac:dyDescent="0.25">
      <c r="A1" s="106"/>
      <c r="B1" s="107"/>
      <c r="C1" s="107"/>
      <c r="D1" s="107"/>
      <c r="E1" s="108"/>
      <c r="F1" s="107"/>
      <c r="G1" s="107"/>
      <c r="H1" s="107"/>
      <c r="I1" s="107"/>
      <c r="J1" s="107"/>
      <c r="K1" s="107"/>
    </row>
    <row r="2" spans="1:19" s="109" customFormat="1" ht="14.25" customHeight="1" x14ac:dyDescent="0.25">
      <c r="A2" s="110"/>
      <c r="B2" s="107"/>
      <c r="C2" s="107"/>
      <c r="D2" s="107"/>
      <c r="E2" s="108"/>
      <c r="F2" s="108"/>
      <c r="G2" s="108"/>
      <c r="H2" s="111"/>
      <c r="I2" s="108"/>
      <c r="J2" s="108"/>
      <c r="K2" s="107"/>
    </row>
    <row r="3" spans="1:19" ht="29.1" customHeight="1" x14ac:dyDescent="0.25">
      <c r="B3" s="187" t="s">
        <v>308</v>
      </c>
      <c r="C3" s="188"/>
      <c r="D3" s="188"/>
      <c r="E3" s="188"/>
      <c r="F3" s="188"/>
      <c r="G3" s="188"/>
      <c r="H3" s="188"/>
      <c r="I3" s="188"/>
      <c r="J3" s="189"/>
      <c r="S3" s="29" t="s">
        <v>16</v>
      </c>
    </row>
    <row r="4" spans="1:19" s="115" customFormat="1" ht="18.75" x14ac:dyDescent="0.2">
      <c r="A4" s="112"/>
      <c r="B4" s="190"/>
      <c r="C4" s="190"/>
      <c r="D4" s="190"/>
      <c r="E4" s="190"/>
      <c r="F4" s="190"/>
      <c r="G4" s="113"/>
      <c r="H4" s="113"/>
      <c r="I4" s="113"/>
      <c r="J4" s="113"/>
      <c r="K4" s="114"/>
      <c r="S4" s="115" t="s">
        <v>17</v>
      </c>
    </row>
    <row r="5" spans="1:19" s="115" customFormat="1" ht="5.0999999999999996" customHeight="1" x14ac:dyDescent="0.25">
      <c r="A5" s="112"/>
      <c r="B5" s="116"/>
      <c r="C5" s="116"/>
      <c r="D5" s="116"/>
      <c r="E5" s="116"/>
      <c r="F5" s="116"/>
      <c r="G5" s="116"/>
      <c r="H5" s="117"/>
      <c r="I5" s="117"/>
      <c r="J5" s="118"/>
      <c r="K5" s="119"/>
    </row>
    <row r="6" spans="1:19" s="34" customFormat="1" ht="20.25" customHeight="1" x14ac:dyDescent="0.25">
      <c r="A6" s="112"/>
      <c r="B6" s="191" t="s">
        <v>323</v>
      </c>
      <c r="C6" s="192"/>
      <c r="D6" s="191" t="s">
        <v>19</v>
      </c>
      <c r="E6" s="193"/>
      <c r="F6" s="193"/>
      <c r="G6" s="193"/>
      <c r="H6" s="193"/>
      <c r="I6" s="193"/>
      <c r="J6" s="192"/>
      <c r="K6" s="119"/>
    </row>
    <row r="7" spans="1:19" s="42" customFormat="1" ht="163.5" customHeight="1" x14ac:dyDescent="0.25">
      <c r="A7" s="120"/>
      <c r="B7" s="9" t="s">
        <v>15</v>
      </c>
      <c r="C7" s="9" t="s">
        <v>33</v>
      </c>
      <c r="D7" s="9" t="s">
        <v>34</v>
      </c>
      <c r="E7" s="10" t="s">
        <v>125</v>
      </c>
      <c r="F7" s="10" t="s">
        <v>309</v>
      </c>
      <c r="G7" s="10" t="s">
        <v>36</v>
      </c>
      <c r="H7" s="10" t="s">
        <v>94</v>
      </c>
      <c r="I7" s="10" t="s">
        <v>126</v>
      </c>
      <c r="J7" s="40" t="s">
        <v>35</v>
      </c>
      <c r="K7" s="121"/>
    </row>
    <row r="8" spans="1:19" s="42" customFormat="1" x14ac:dyDescent="0.25">
      <c r="A8" s="120"/>
      <c r="B8" s="122"/>
      <c r="C8" s="123" t="s">
        <v>214</v>
      </c>
      <c r="D8" s="123" t="s">
        <v>215</v>
      </c>
      <c r="E8" s="123" t="s">
        <v>216</v>
      </c>
      <c r="F8" s="123" t="s">
        <v>217</v>
      </c>
      <c r="G8" s="123" t="s">
        <v>218</v>
      </c>
      <c r="H8" s="123" t="s">
        <v>219</v>
      </c>
      <c r="I8" s="123" t="s">
        <v>220</v>
      </c>
      <c r="J8" s="123" t="s">
        <v>221</v>
      </c>
      <c r="K8" s="121"/>
    </row>
    <row r="9" spans="1:19" ht="24.75" customHeight="1" x14ac:dyDescent="0.25">
      <c r="A9" s="124"/>
      <c r="B9" s="125" t="s">
        <v>3</v>
      </c>
      <c r="C9" s="126" t="s">
        <v>37</v>
      </c>
      <c r="D9" s="127"/>
      <c r="E9" s="128"/>
      <c r="F9" s="129">
        <f>SUM(F10:F24)</f>
        <v>0</v>
      </c>
      <c r="G9" s="49"/>
      <c r="H9" s="50"/>
      <c r="I9" s="130"/>
      <c r="J9" s="131"/>
    </row>
    <row r="10" spans="1:19" ht="24.75" customHeight="1" x14ac:dyDescent="0.25">
      <c r="A10" s="124"/>
      <c r="B10" s="53"/>
      <c r="C10" s="132"/>
      <c r="D10" s="132"/>
      <c r="E10" s="133"/>
      <c r="F10" s="134"/>
      <c r="G10" s="135"/>
      <c r="H10" s="136"/>
      <c r="I10" s="137"/>
      <c r="J10" s="138"/>
      <c r="L10" s="29" t="b">
        <f>AND(ISNUMBER($F10), OR(AND($C10='Drop-down lists '!$B$23,$F10&lt;0), AND(AND($C10&lt;&gt;'Drop-down lists '!$B$23, $C10&lt;&gt;""),$F10&gt;0)))</f>
        <v>0</v>
      </c>
    </row>
    <row r="11" spans="1:19" ht="24.75" customHeight="1" x14ac:dyDescent="0.25">
      <c r="A11" s="124"/>
      <c r="B11" s="53"/>
      <c r="C11" s="132"/>
      <c r="D11" s="132"/>
      <c r="E11" s="133"/>
      <c r="F11" s="134"/>
      <c r="G11" s="135"/>
      <c r="H11" s="136"/>
      <c r="I11" s="137"/>
      <c r="J11" s="138"/>
      <c r="L11" s="29" t="b">
        <f>AND(ISNUMBER($F11), OR(AND($C11='Drop-down lists '!$B$23,$F11&lt;0), AND(AND($C11&lt;&gt;'Drop-down lists '!$B$23, $C11&lt;&gt;""),$F11&gt;0)))</f>
        <v>0</v>
      </c>
    </row>
    <row r="12" spans="1:19" ht="24.75" customHeight="1" x14ac:dyDescent="0.25">
      <c r="A12" s="124"/>
      <c r="B12" s="53"/>
      <c r="C12" s="132"/>
      <c r="D12" s="132"/>
      <c r="E12" s="133"/>
      <c r="F12" s="134"/>
      <c r="G12" s="135"/>
      <c r="H12" s="136"/>
      <c r="I12" s="137"/>
      <c r="J12" s="138"/>
      <c r="L12" s="29" t="b">
        <f>AND(ISNUMBER($F12), OR(AND($C12='Drop-down lists '!$B$23,$F12&lt;0), AND(AND($C12&lt;&gt;'Drop-down lists '!$B$23, $C12&lt;&gt;""),$F12&gt;0)))</f>
        <v>0</v>
      </c>
    </row>
    <row r="13" spans="1:19" ht="24.75" customHeight="1" x14ac:dyDescent="0.25">
      <c r="A13" s="124"/>
      <c r="B13" s="53"/>
      <c r="C13" s="132"/>
      <c r="D13" s="132"/>
      <c r="E13" s="133"/>
      <c r="F13" s="134"/>
      <c r="G13" s="135"/>
      <c r="H13" s="136"/>
      <c r="I13" s="137"/>
      <c r="J13" s="138"/>
      <c r="L13" s="29" t="b">
        <f>AND(ISNUMBER($F13), OR(AND($C13='Drop-down lists '!$B$23,$F13&lt;0), AND(AND($C13&lt;&gt;'Drop-down lists '!$B$23, $C13&lt;&gt;""),$F13&gt;0)))</f>
        <v>0</v>
      </c>
    </row>
    <row r="14" spans="1:19" ht="24.75" customHeight="1" x14ac:dyDescent="0.25">
      <c r="A14" s="124"/>
      <c r="B14" s="53"/>
      <c r="C14" s="132"/>
      <c r="D14" s="132"/>
      <c r="E14" s="16"/>
      <c r="F14" s="134"/>
      <c r="G14" s="135"/>
      <c r="H14" s="136"/>
      <c r="I14" s="137"/>
      <c r="J14" s="138"/>
      <c r="L14" s="29" t="b">
        <f>AND(ISNUMBER($F14), OR(AND($C14='Drop-down lists '!$B$23,$F14&lt;0), AND(AND($C14&lt;&gt;'Drop-down lists '!$B$23, $C14&lt;&gt;""),$F14&gt;0)))</f>
        <v>0</v>
      </c>
    </row>
    <row r="15" spans="1:19" ht="24.75" customHeight="1" x14ac:dyDescent="0.25">
      <c r="A15" s="124"/>
      <c r="B15" s="53"/>
      <c r="C15" s="132"/>
      <c r="D15" s="132"/>
      <c r="E15" s="16"/>
      <c r="F15" s="134"/>
      <c r="G15" s="135"/>
      <c r="H15" s="136"/>
      <c r="I15" s="137"/>
      <c r="J15" s="138"/>
      <c r="L15" s="29" t="b">
        <f>AND(ISNUMBER($F15), OR(AND($C15='Drop-down lists '!$B$23,$F15&lt;0), AND(AND($C15&lt;&gt;'Drop-down lists '!$B$23, $C15&lt;&gt;""),$F15&gt;0)))</f>
        <v>0</v>
      </c>
    </row>
    <row r="16" spans="1:19" ht="24.75" customHeight="1" x14ac:dyDescent="0.25">
      <c r="A16" s="124"/>
      <c r="B16" s="53"/>
      <c r="C16" s="132"/>
      <c r="D16" s="132"/>
      <c r="E16" s="133"/>
      <c r="F16" s="134"/>
      <c r="G16" s="135"/>
      <c r="H16" s="136"/>
      <c r="I16" s="137"/>
      <c r="J16" s="138"/>
      <c r="L16" s="29" t="b">
        <f>AND(ISNUMBER($F16), OR(AND($C16='Drop-down lists '!$B$23,$F16&lt;0), AND(AND($C16&lt;&gt;'Drop-down lists '!$B$23, $C16&lt;&gt;""),$F16&gt;0)))</f>
        <v>0</v>
      </c>
    </row>
    <row r="17" spans="1:12" ht="24.75" customHeight="1" x14ac:dyDescent="0.25">
      <c r="A17" s="124"/>
      <c r="B17" s="53"/>
      <c r="C17" s="132"/>
      <c r="D17" s="132"/>
      <c r="E17" s="133"/>
      <c r="F17" s="134"/>
      <c r="G17" s="135"/>
      <c r="H17" s="136"/>
      <c r="I17" s="137"/>
      <c r="J17" s="138"/>
      <c r="L17" s="29" t="b">
        <f>AND(ISNUMBER($F17), OR(AND($C17='Drop-down lists '!$B$23,$F17&lt;0), AND(AND($C17&lt;&gt;'Drop-down lists '!$B$23, $C17&lt;&gt;""),$F17&gt;0)))</f>
        <v>0</v>
      </c>
    </row>
    <row r="18" spans="1:12" ht="24.75" customHeight="1" x14ac:dyDescent="0.25">
      <c r="A18" s="124"/>
      <c r="B18" s="53"/>
      <c r="C18" s="132"/>
      <c r="D18" s="132"/>
      <c r="E18" s="133"/>
      <c r="F18" s="134"/>
      <c r="G18" s="135"/>
      <c r="H18" s="136"/>
      <c r="I18" s="137"/>
      <c r="J18" s="138"/>
      <c r="L18" s="29" t="b">
        <f>AND(ISNUMBER($F18), OR(AND($C18='Drop-down lists '!$B$23,$F18&lt;0), AND(AND($C18&lt;&gt;'Drop-down lists '!$B$23, $C18&lt;&gt;""),$F18&gt;0)))</f>
        <v>0</v>
      </c>
    </row>
    <row r="19" spans="1:12" ht="24.75" customHeight="1" x14ac:dyDescent="0.25">
      <c r="A19" s="124"/>
      <c r="B19" s="53"/>
      <c r="C19" s="132"/>
      <c r="D19" s="132"/>
      <c r="E19" s="133"/>
      <c r="F19" s="134"/>
      <c r="G19" s="135"/>
      <c r="H19" s="136"/>
      <c r="I19" s="137"/>
      <c r="J19" s="138"/>
      <c r="L19" s="29" t="b">
        <f>AND(ISNUMBER($F19), OR(AND($C19='Drop-down lists '!$B$23,$F19&lt;0), AND(AND($C19&lt;&gt;'Drop-down lists '!$B$23, $C19&lt;&gt;""),$F19&gt;0)))</f>
        <v>0</v>
      </c>
    </row>
    <row r="20" spans="1:12" ht="24.75" customHeight="1" x14ac:dyDescent="0.25">
      <c r="A20" s="124"/>
      <c r="B20" s="53"/>
      <c r="C20" s="132"/>
      <c r="D20" s="132"/>
      <c r="E20" s="133"/>
      <c r="F20" s="134"/>
      <c r="G20" s="135"/>
      <c r="H20" s="136"/>
      <c r="I20" s="137"/>
      <c r="J20" s="138"/>
      <c r="L20" s="29" t="b">
        <f>AND(ISNUMBER($F20), OR(AND($C20='Drop-down lists '!$B$23,$F20&lt;0), AND(AND($C20&lt;&gt;'Drop-down lists '!$B$23, $C20&lt;&gt;""),$F20&gt;0)))</f>
        <v>0</v>
      </c>
    </row>
    <row r="21" spans="1:12" ht="24.75" customHeight="1" x14ac:dyDescent="0.25">
      <c r="A21" s="124"/>
      <c r="B21" s="53"/>
      <c r="C21" s="132"/>
      <c r="D21" s="132"/>
      <c r="E21" s="133"/>
      <c r="F21" s="134"/>
      <c r="G21" s="135"/>
      <c r="H21" s="136"/>
      <c r="I21" s="137"/>
      <c r="J21" s="138"/>
      <c r="L21" s="29" t="b">
        <f>AND(ISNUMBER($F21), OR(AND($C21='Drop-down lists '!$B$23,$F21&lt;0), AND(AND($C21&lt;&gt;'Drop-down lists '!$B$23, $C21&lt;&gt;""),$F21&gt;0)))</f>
        <v>0</v>
      </c>
    </row>
    <row r="22" spans="1:12" ht="24.75" customHeight="1" x14ac:dyDescent="0.25">
      <c r="A22" s="124"/>
      <c r="B22" s="53"/>
      <c r="C22" s="132"/>
      <c r="D22" s="132"/>
      <c r="E22" s="133"/>
      <c r="F22" s="134"/>
      <c r="G22" s="135"/>
      <c r="H22" s="136"/>
      <c r="I22" s="137"/>
      <c r="J22" s="138"/>
      <c r="L22" s="29" t="b">
        <f>AND(ISNUMBER($F22), OR(AND($C22='Drop-down lists '!$B$23,$F22&lt;0), AND(AND($C22&lt;&gt;'Drop-down lists '!$B$23, $C22&lt;&gt;""),$F22&gt;0)))</f>
        <v>0</v>
      </c>
    </row>
    <row r="23" spans="1:12" ht="24.75" customHeight="1" x14ac:dyDescent="0.25">
      <c r="A23" s="124"/>
      <c r="B23" s="53"/>
      <c r="C23" s="132"/>
      <c r="D23" s="132"/>
      <c r="E23" s="133"/>
      <c r="F23" s="134"/>
      <c r="G23" s="135"/>
      <c r="H23" s="136"/>
      <c r="I23" s="137"/>
      <c r="J23" s="138"/>
      <c r="L23" s="29" t="b">
        <f>AND(ISNUMBER($F23), OR(AND($C23='Drop-down lists '!$B$23,$F23&lt;0), AND(AND($C23&lt;&gt;'Drop-down lists '!$B$23, $C23&lt;&gt;""),$F23&gt;0)))</f>
        <v>0</v>
      </c>
    </row>
    <row r="24" spans="1:12" ht="24.75" customHeight="1" x14ac:dyDescent="0.25">
      <c r="A24" s="124"/>
      <c r="B24" s="53"/>
      <c r="C24" s="132"/>
      <c r="D24" s="132"/>
      <c r="E24" s="133"/>
      <c r="F24" s="134"/>
      <c r="G24" s="135"/>
      <c r="H24" s="136"/>
      <c r="I24" s="137"/>
      <c r="J24" s="138"/>
      <c r="L24" s="29" t="b">
        <f>AND(ISNUMBER($F24), OR(AND($C24='Drop-down lists '!$B$23,$F24&lt;0), AND(AND($C24&lt;&gt;'Drop-down lists '!$B$23, $C24&lt;&gt;""),$F24&gt;0)))</f>
        <v>0</v>
      </c>
    </row>
    <row r="25" spans="1:12" ht="24.75" customHeight="1" x14ac:dyDescent="0.25">
      <c r="A25" s="124"/>
      <c r="B25" s="125" t="s">
        <v>5</v>
      </c>
      <c r="C25" s="126" t="s">
        <v>37</v>
      </c>
      <c r="D25" s="127"/>
      <c r="E25" s="128"/>
      <c r="F25" s="129">
        <f>SUM(F26:F40)</f>
        <v>0</v>
      </c>
      <c r="G25" s="49"/>
      <c r="H25" s="50"/>
      <c r="I25" s="130"/>
      <c r="J25" s="131"/>
    </row>
    <row r="26" spans="1:12" ht="24.75" customHeight="1" x14ac:dyDescent="0.25">
      <c r="A26" s="124"/>
      <c r="B26" s="53"/>
      <c r="C26" s="132"/>
      <c r="D26" s="132"/>
      <c r="E26" s="133"/>
      <c r="F26" s="134"/>
      <c r="G26" s="135"/>
      <c r="H26" s="136"/>
      <c r="I26" s="137"/>
      <c r="J26" s="138"/>
      <c r="L26" s="29" t="b">
        <f>AND(ISNUMBER($F26), OR(AND($C26='Drop-down lists '!$B$23,$F26&lt;0), AND(AND($C26&lt;&gt;'Drop-down lists '!$B$23, $C26&lt;&gt;""),$F26&gt;0)))</f>
        <v>0</v>
      </c>
    </row>
    <row r="27" spans="1:12" ht="24.75" customHeight="1" x14ac:dyDescent="0.25">
      <c r="A27" s="124"/>
      <c r="B27" s="53"/>
      <c r="C27" s="132"/>
      <c r="D27" s="132"/>
      <c r="E27" s="133"/>
      <c r="F27" s="134"/>
      <c r="G27" s="135"/>
      <c r="H27" s="136"/>
      <c r="I27" s="137"/>
      <c r="J27" s="138"/>
      <c r="L27" s="29" t="b">
        <f>AND(ISNUMBER($F27), OR(AND($C27='Drop-down lists '!$B$23,$F27&lt;0), AND(AND($C27&lt;&gt;'Drop-down lists '!$B$23, $C27&lt;&gt;""),$F27&gt;0)))</f>
        <v>0</v>
      </c>
    </row>
    <row r="28" spans="1:12" ht="24.75" customHeight="1" x14ac:dyDescent="0.25">
      <c r="A28" s="124"/>
      <c r="B28" s="53"/>
      <c r="C28" s="132"/>
      <c r="D28" s="132"/>
      <c r="E28" s="133"/>
      <c r="F28" s="134"/>
      <c r="G28" s="135"/>
      <c r="H28" s="136"/>
      <c r="I28" s="137"/>
      <c r="J28" s="138"/>
      <c r="L28" s="29" t="b">
        <f>AND(ISNUMBER($F28), OR(AND($C28='Drop-down lists '!$B$23,$F28&lt;0), AND(AND($C28&lt;&gt;'Drop-down lists '!$B$23, $C28&lt;&gt;""),$F28&gt;0)))</f>
        <v>0</v>
      </c>
    </row>
    <row r="29" spans="1:12" ht="24.75" customHeight="1" x14ac:dyDescent="0.25">
      <c r="A29" s="124"/>
      <c r="B29" s="53"/>
      <c r="C29" s="132"/>
      <c r="D29" s="132"/>
      <c r="E29" s="133"/>
      <c r="F29" s="134"/>
      <c r="G29" s="135"/>
      <c r="H29" s="136"/>
      <c r="I29" s="137"/>
      <c r="J29" s="138"/>
      <c r="L29" s="29" t="b">
        <f>AND(ISNUMBER($F29), OR(AND($C29='Drop-down lists '!$B$23,$F29&lt;0), AND(AND($C29&lt;&gt;'Drop-down lists '!$B$23, $C29&lt;&gt;""),$F29&gt;0)))</f>
        <v>0</v>
      </c>
    </row>
    <row r="30" spans="1:12" ht="24.75" customHeight="1" x14ac:dyDescent="0.25">
      <c r="A30" s="124"/>
      <c r="B30" s="53"/>
      <c r="C30" s="132"/>
      <c r="D30" s="132"/>
      <c r="E30" s="133"/>
      <c r="F30" s="134"/>
      <c r="G30" s="135"/>
      <c r="H30" s="136"/>
      <c r="I30" s="137"/>
      <c r="J30" s="138"/>
      <c r="L30" s="29" t="b">
        <f>AND(ISNUMBER($F30), OR(AND($C30='Drop-down lists '!$B$23,$F30&lt;0), AND(AND($C30&lt;&gt;'Drop-down lists '!$B$23, $C30&lt;&gt;""),$F30&gt;0)))</f>
        <v>0</v>
      </c>
    </row>
    <row r="31" spans="1:12" ht="24.75" customHeight="1" x14ac:dyDescent="0.25">
      <c r="A31" s="124"/>
      <c r="B31" s="53"/>
      <c r="C31" s="132"/>
      <c r="D31" s="132"/>
      <c r="E31" s="133"/>
      <c r="F31" s="134"/>
      <c r="G31" s="135"/>
      <c r="H31" s="136"/>
      <c r="I31" s="137"/>
      <c r="J31" s="138"/>
      <c r="L31" s="29" t="b">
        <f>AND(ISNUMBER($F31), OR(AND($C31='Drop-down lists '!$B$23,$F31&lt;0), AND(AND($C31&lt;&gt;'Drop-down lists '!$B$23, $C31&lt;&gt;""),$F31&gt;0)))</f>
        <v>0</v>
      </c>
    </row>
    <row r="32" spans="1:12" ht="24.75" customHeight="1" x14ac:dyDescent="0.25">
      <c r="A32" s="124"/>
      <c r="B32" s="53"/>
      <c r="C32" s="132"/>
      <c r="D32" s="132"/>
      <c r="E32" s="133"/>
      <c r="F32" s="134"/>
      <c r="G32" s="135"/>
      <c r="H32" s="136"/>
      <c r="I32" s="137"/>
      <c r="J32" s="138"/>
      <c r="L32" s="29" t="b">
        <f>AND(ISNUMBER($F32), OR(AND($C32='Drop-down lists '!$B$23,$F32&lt;0), AND(AND($C32&lt;&gt;'Drop-down lists '!$B$23, $C32&lt;&gt;""),$F32&gt;0)))</f>
        <v>0</v>
      </c>
    </row>
    <row r="33" spans="1:12" ht="24.75" customHeight="1" x14ac:dyDescent="0.25">
      <c r="A33" s="124"/>
      <c r="B33" s="53"/>
      <c r="C33" s="132"/>
      <c r="D33" s="132"/>
      <c r="E33" s="133"/>
      <c r="F33" s="134"/>
      <c r="G33" s="135"/>
      <c r="H33" s="136"/>
      <c r="I33" s="137"/>
      <c r="J33" s="138"/>
      <c r="L33" s="29" t="b">
        <f>AND(ISNUMBER($F33), OR(AND($C33='Drop-down lists '!$B$23,$F33&lt;0), AND(AND($C33&lt;&gt;'Drop-down lists '!$B$23, $C33&lt;&gt;""),$F33&gt;0)))</f>
        <v>0</v>
      </c>
    </row>
    <row r="34" spans="1:12" ht="24.75" customHeight="1" x14ac:dyDescent="0.25">
      <c r="A34" s="124"/>
      <c r="B34" s="53"/>
      <c r="C34" s="132"/>
      <c r="D34" s="132"/>
      <c r="E34" s="133"/>
      <c r="F34" s="134"/>
      <c r="G34" s="135"/>
      <c r="H34" s="136"/>
      <c r="I34" s="137"/>
      <c r="J34" s="138"/>
      <c r="L34" s="29" t="b">
        <f>AND(ISNUMBER($F34), OR(AND($C34='Drop-down lists '!$B$23,$F34&lt;0), AND(AND($C34&lt;&gt;'Drop-down lists '!$B$23, $C34&lt;&gt;""),$F34&gt;0)))</f>
        <v>0</v>
      </c>
    </row>
    <row r="35" spans="1:12" ht="24.75" customHeight="1" x14ac:dyDescent="0.25">
      <c r="A35" s="124"/>
      <c r="B35" s="53"/>
      <c r="C35" s="132"/>
      <c r="D35" s="132"/>
      <c r="E35" s="133"/>
      <c r="F35" s="134"/>
      <c r="G35" s="135"/>
      <c r="H35" s="136"/>
      <c r="I35" s="137"/>
      <c r="J35" s="138"/>
      <c r="L35" s="29" t="b">
        <f>AND(ISNUMBER($F35), OR(AND($C35='Drop-down lists '!$B$23,$F35&lt;0), AND(AND($C35&lt;&gt;'Drop-down lists '!$B$23, $C35&lt;&gt;""),$F35&gt;0)))</f>
        <v>0</v>
      </c>
    </row>
    <row r="36" spans="1:12" ht="24.75" customHeight="1" x14ac:dyDescent="0.25">
      <c r="A36" s="124"/>
      <c r="B36" s="53"/>
      <c r="C36" s="132"/>
      <c r="D36" s="132"/>
      <c r="E36" s="133"/>
      <c r="F36" s="134"/>
      <c r="G36" s="135"/>
      <c r="H36" s="136"/>
      <c r="I36" s="137"/>
      <c r="J36" s="138"/>
      <c r="L36" s="29" t="b">
        <f>AND(ISNUMBER($F36), OR(AND($C36='Drop-down lists '!$B$23,$F36&lt;0), AND(AND($C36&lt;&gt;'Drop-down lists '!$B$23, $C36&lt;&gt;""),$F36&gt;0)))</f>
        <v>0</v>
      </c>
    </row>
    <row r="37" spans="1:12" ht="24.75" customHeight="1" x14ac:dyDescent="0.25">
      <c r="A37" s="124"/>
      <c r="B37" s="53"/>
      <c r="C37" s="132"/>
      <c r="D37" s="132"/>
      <c r="E37" s="133"/>
      <c r="F37" s="134"/>
      <c r="G37" s="135"/>
      <c r="H37" s="136"/>
      <c r="I37" s="137"/>
      <c r="J37" s="138"/>
      <c r="L37" s="29" t="b">
        <f>AND(ISNUMBER($F37), OR(AND($C37='Drop-down lists '!$B$23,$F37&lt;0), AND(AND($C37&lt;&gt;'Drop-down lists '!$B$23, $C37&lt;&gt;""),$F37&gt;0)))</f>
        <v>0</v>
      </c>
    </row>
    <row r="38" spans="1:12" ht="24.75" customHeight="1" x14ac:dyDescent="0.25">
      <c r="A38" s="124"/>
      <c r="B38" s="53"/>
      <c r="C38" s="132"/>
      <c r="D38" s="132"/>
      <c r="E38" s="133"/>
      <c r="F38" s="134"/>
      <c r="G38" s="135"/>
      <c r="H38" s="136"/>
      <c r="I38" s="137"/>
      <c r="J38" s="138"/>
      <c r="L38" s="29" t="b">
        <f>AND(ISNUMBER($F38), OR(AND($C38='Drop-down lists '!$B$23,$F38&lt;0), AND(AND($C38&lt;&gt;'Drop-down lists '!$B$23, $C38&lt;&gt;""),$F38&gt;0)))</f>
        <v>0</v>
      </c>
    </row>
    <row r="39" spans="1:12" ht="24.75" customHeight="1" x14ac:dyDescent="0.25">
      <c r="A39" s="124"/>
      <c r="B39" s="53"/>
      <c r="C39" s="132"/>
      <c r="D39" s="132"/>
      <c r="E39" s="133"/>
      <c r="F39" s="134"/>
      <c r="G39" s="135"/>
      <c r="H39" s="136"/>
      <c r="I39" s="137"/>
      <c r="J39" s="138"/>
      <c r="L39" s="29" t="b">
        <f>AND(ISNUMBER($F39), OR(AND($C39='Drop-down lists '!$B$23,$F39&lt;0), AND(AND($C39&lt;&gt;'Drop-down lists '!$B$23, $C39&lt;&gt;""),$F39&gt;0)))</f>
        <v>0</v>
      </c>
    </row>
    <row r="40" spans="1:12" ht="24.75" customHeight="1" x14ac:dyDescent="0.25">
      <c r="A40" s="124"/>
      <c r="B40" s="53"/>
      <c r="C40" s="132"/>
      <c r="D40" s="132"/>
      <c r="E40" s="133"/>
      <c r="F40" s="134"/>
      <c r="G40" s="135"/>
      <c r="H40" s="136"/>
      <c r="I40" s="137"/>
      <c r="J40" s="138"/>
      <c r="L40" s="29" t="b">
        <f>AND(ISNUMBER($F40), OR(AND($C40='Drop-down lists '!$B$23,$F40&lt;0), AND(AND($C40&lt;&gt;'Drop-down lists '!$B$23, $C40&lt;&gt;""),$F40&gt;0)))</f>
        <v>0</v>
      </c>
    </row>
    <row r="41" spans="1:12" ht="28.7" customHeight="1" x14ac:dyDescent="0.25">
      <c r="A41" s="124"/>
      <c r="B41" s="139" t="s">
        <v>345</v>
      </c>
      <c r="C41" s="126" t="s">
        <v>37</v>
      </c>
      <c r="D41" s="127"/>
      <c r="E41" s="128"/>
      <c r="F41" s="129">
        <f>SUM(F42:F56)</f>
        <v>0</v>
      </c>
      <c r="G41" s="49"/>
      <c r="H41" s="50"/>
      <c r="I41" s="130"/>
      <c r="J41" s="131"/>
    </row>
    <row r="42" spans="1:12" ht="24.75" customHeight="1" x14ac:dyDescent="0.25">
      <c r="A42" s="124"/>
      <c r="B42" s="53"/>
      <c r="C42" s="132"/>
      <c r="D42" s="132"/>
      <c r="E42" s="133"/>
      <c r="F42" s="134"/>
      <c r="G42" s="135"/>
      <c r="H42" s="136"/>
      <c r="I42" s="137"/>
      <c r="J42" s="138"/>
      <c r="L42" s="29" t="b">
        <f>AND(ISNUMBER($F42), OR(AND($C42='Drop-down lists '!$B$23,$F42&lt;0), AND(AND($C42&lt;&gt;'Drop-down lists '!$B$23, $C42&lt;&gt;""),$F42&gt;0)))</f>
        <v>0</v>
      </c>
    </row>
    <row r="43" spans="1:12" ht="24.75" customHeight="1" x14ac:dyDescent="0.25">
      <c r="A43" s="124"/>
      <c r="B43" s="53"/>
      <c r="C43" s="132"/>
      <c r="D43" s="132"/>
      <c r="E43" s="133"/>
      <c r="F43" s="134"/>
      <c r="G43" s="135"/>
      <c r="H43" s="136"/>
      <c r="I43" s="137"/>
      <c r="J43" s="138"/>
      <c r="L43" s="29" t="b">
        <f>AND(ISNUMBER($F43), OR(AND($C43='Drop-down lists '!$B$23,$F43&lt;0), AND(AND($C43&lt;&gt;'Drop-down lists '!$B$23, $C43&lt;&gt;""),$F43&gt;0)))</f>
        <v>0</v>
      </c>
    </row>
    <row r="44" spans="1:12" ht="24.75" customHeight="1" x14ac:dyDescent="0.25">
      <c r="A44" s="124"/>
      <c r="B44" s="53"/>
      <c r="C44" s="132"/>
      <c r="D44" s="132"/>
      <c r="E44" s="133"/>
      <c r="F44" s="134"/>
      <c r="G44" s="135"/>
      <c r="H44" s="136"/>
      <c r="I44" s="137"/>
      <c r="J44" s="138"/>
      <c r="L44" s="29" t="b">
        <f>AND(ISNUMBER($F44), OR(AND($C44='Drop-down lists '!$B$23,$F44&lt;0), AND(AND($C44&lt;&gt;'Drop-down lists '!$B$23, $C44&lt;&gt;""),$F44&gt;0)))</f>
        <v>0</v>
      </c>
    </row>
    <row r="45" spans="1:12" ht="24.75" customHeight="1" x14ac:dyDescent="0.25">
      <c r="A45" s="124"/>
      <c r="B45" s="53"/>
      <c r="C45" s="132"/>
      <c r="D45" s="132"/>
      <c r="E45" s="133"/>
      <c r="F45" s="134"/>
      <c r="G45" s="135"/>
      <c r="H45" s="136"/>
      <c r="I45" s="137"/>
      <c r="J45" s="138"/>
      <c r="L45" s="29" t="b">
        <f>AND(ISNUMBER($F45), OR(AND($C45='Drop-down lists '!$B$23,$F45&lt;0), AND(AND($C45&lt;&gt;'Drop-down lists '!$B$23, $C45&lt;&gt;""),$F45&gt;0)))</f>
        <v>0</v>
      </c>
    </row>
    <row r="46" spans="1:12" ht="24.75" customHeight="1" x14ac:dyDescent="0.25">
      <c r="A46" s="124"/>
      <c r="B46" s="53"/>
      <c r="C46" s="132"/>
      <c r="D46" s="132"/>
      <c r="E46" s="133"/>
      <c r="F46" s="134"/>
      <c r="G46" s="135"/>
      <c r="H46" s="136"/>
      <c r="I46" s="137"/>
      <c r="J46" s="138"/>
      <c r="L46" s="29" t="b">
        <f>AND(ISNUMBER($F46), OR(AND($C46='Drop-down lists '!$B$23,$F46&lt;0), AND(AND($C46&lt;&gt;'Drop-down lists '!$B$23, $C46&lt;&gt;""),$F46&gt;0)))</f>
        <v>0</v>
      </c>
    </row>
    <row r="47" spans="1:12" ht="24.75" customHeight="1" x14ac:dyDescent="0.25">
      <c r="A47" s="124"/>
      <c r="B47" s="53"/>
      <c r="C47" s="132"/>
      <c r="D47" s="132"/>
      <c r="E47" s="133"/>
      <c r="F47" s="134"/>
      <c r="G47" s="135"/>
      <c r="H47" s="136"/>
      <c r="I47" s="137"/>
      <c r="J47" s="138"/>
      <c r="L47" s="29" t="b">
        <f>AND(ISNUMBER($F47), OR(AND($C47='Drop-down lists '!$B$23,$F47&lt;0), AND(AND($C47&lt;&gt;'Drop-down lists '!$B$23, $C47&lt;&gt;""),$F47&gt;0)))</f>
        <v>0</v>
      </c>
    </row>
    <row r="48" spans="1:12" ht="24.75" customHeight="1" x14ac:dyDescent="0.25">
      <c r="A48" s="124"/>
      <c r="B48" s="53"/>
      <c r="C48" s="132"/>
      <c r="D48" s="132"/>
      <c r="E48" s="133"/>
      <c r="F48" s="134"/>
      <c r="G48" s="135"/>
      <c r="H48" s="136"/>
      <c r="I48" s="137"/>
      <c r="J48" s="138"/>
      <c r="L48" s="29" t="b">
        <f>AND(ISNUMBER($F48), OR(AND($C48='Drop-down lists '!$B$23,$F48&lt;0), AND(AND($C48&lt;&gt;'Drop-down lists '!$B$23, $C48&lt;&gt;""),$F48&gt;0)))</f>
        <v>0</v>
      </c>
    </row>
    <row r="49" spans="1:12" ht="24.75" customHeight="1" x14ac:dyDescent="0.25">
      <c r="A49" s="124"/>
      <c r="B49" s="53"/>
      <c r="C49" s="132"/>
      <c r="D49" s="132"/>
      <c r="E49" s="133"/>
      <c r="F49" s="134"/>
      <c r="G49" s="135"/>
      <c r="H49" s="136"/>
      <c r="I49" s="137"/>
      <c r="J49" s="138"/>
      <c r="L49" s="29" t="b">
        <f>AND(ISNUMBER($F49), OR(AND($C49='Drop-down lists '!$B$23,$F49&lt;0), AND(AND($C49&lt;&gt;'Drop-down lists '!$B$23, $C49&lt;&gt;""),$F49&gt;0)))</f>
        <v>0</v>
      </c>
    </row>
    <row r="50" spans="1:12" ht="24.75" customHeight="1" x14ac:dyDescent="0.25">
      <c r="A50" s="124"/>
      <c r="B50" s="53"/>
      <c r="C50" s="132"/>
      <c r="D50" s="132"/>
      <c r="E50" s="133"/>
      <c r="F50" s="134"/>
      <c r="G50" s="135"/>
      <c r="H50" s="136"/>
      <c r="I50" s="137"/>
      <c r="J50" s="138"/>
      <c r="L50" s="29" t="b">
        <f>AND(ISNUMBER($F50), OR(AND($C50='Drop-down lists '!$B$23,$F50&lt;0), AND(AND($C50&lt;&gt;'Drop-down lists '!$B$23, $C50&lt;&gt;""),$F50&gt;0)))</f>
        <v>0</v>
      </c>
    </row>
    <row r="51" spans="1:12" ht="24.75" customHeight="1" x14ac:dyDescent="0.25">
      <c r="A51" s="124"/>
      <c r="B51" s="53"/>
      <c r="C51" s="132"/>
      <c r="D51" s="132"/>
      <c r="E51" s="133"/>
      <c r="F51" s="134"/>
      <c r="G51" s="135"/>
      <c r="H51" s="136"/>
      <c r="I51" s="137"/>
      <c r="J51" s="138"/>
      <c r="L51" s="29" t="b">
        <f>AND(ISNUMBER($F51), OR(AND($C51='Drop-down lists '!$B$23,$F51&lt;0), AND(AND($C51&lt;&gt;'Drop-down lists '!$B$23, $C51&lt;&gt;""),$F51&gt;0)))</f>
        <v>0</v>
      </c>
    </row>
    <row r="52" spans="1:12" ht="24.75" customHeight="1" x14ac:dyDescent="0.25">
      <c r="A52" s="124"/>
      <c r="B52" s="53"/>
      <c r="C52" s="132"/>
      <c r="D52" s="132"/>
      <c r="E52" s="133"/>
      <c r="F52" s="134"/>
      <c r="G52" s="135"/>
      <c r="H52" s="136"/>
      <c r="I52" s="137"/>
      <c r="J52" s="138"/>
      <c r="L52" s="29" t="b">
        <f>AND(ISNUMBER($F52), OR(AND($C52='Drop-down lists '!$B$23,$F52&lt;0), AND(AND($C52&lt;&gt;'Drop-down lists '!$B$23, $C52&lt;&gt;""),$F52&gt;0)))</f>
        <v>0</v>
      </c>
    </row>
    <row r="53" spans="1:12" ht="24.75" customHeight="1" x14ac:dyDescent="0.25">
      <c r="A53" s="124"/>
      <c r="B53" s="53"/>
      <c r="C53" s="132"/>
      <c r="D53" s="132"/>
      <c r="E53" s="133"/>
      <c r="F53" s="134"/>
      <c r="G53" s="135"/>
      <c r="H53" s="136"/>
      <c r="I53" s="137"/>
      <c r="J53" s="138"/>
      <c r="L53" s="29" t="b">
        <f>AND(ISNUMBER($F53), OR(AND($C53='Drop-down lists '!$B$23,$F53&lt;0), AND(AND($C53&lt;&gt;'Drop-down lists '!$B$23, $C53&lt;&gt;""),$F53&gt;0)))</f>
        <v>0</v>
      </c>
    </row>
    <row r="54" spans="1:12" ht="24.75" customHeight="1" x14ac:dyDescent="0.25">
      <c r="A54" s="124"/>
      <c r="B54" s="53"/>
      <c r="C54" s="132"/>
      <c r="D54" s="132"/>
      <c r="E54" s="133"/>
      <c r="F54" s="134"/>
      <c r="G54" s="135"/>
      <c r="H54" s="136"/>
      <c r="I54" s="137"/>
      <c r="J54" s="138"/>
      <c r="L54" s="29" t="b">
        <f>AND(ISNUMBER($F54), OR(AND($C54='Drop-down lists '!$B$23,$F54&lt;0), AND(AND($C54&lt;&gt;'Drop-down lists '!$B$23, $C54&lt;&gt;""),$F54&gt;0)))</f>
        <v>0</v>
      </c>
    </row>
    <row r="55" spans="1:12" ht="24.75" customHeight="1" x14ac:dyDescent="0.25">
      <c r="A55" s="124"/>
      <c r="B55" s="53"/>
      <c r="C55" s="132"/>
      <c r="D55" s="132"/>
      <c r="E55" s="133"/>
      <c r="F55" s="134"/>
      <c r="G55" s="135"/>
      <c r="H55" s="136"/>
      <c r="I55" s="137"/>
      <c r="J55" s="138"/>
      <c r="L55" s="29" t="b">
        <f>AND(ISNUMBER($F55), OR(AND($C55='Drop-down lists '!$B$23,$F55&lt;0), AND(AND($C55&lt;&gt;'Drop-down lists '!$B$23, $C55&lt;&gt;""),$F55&gt;0)))</f>
        <v>0</v>
      </c>
    </row>
    <row r="56" spans="1:12" ht="24.75" customHeight="1" x14ac:dyDescent="0.25">
      <c r="A56" s="124"/>
      <c r="B56" s="53"/>
      <c r="C56" s="132"/>
      <c r="D56" s="132"/>
      <c r="E56" s="133"/>
      <c r="F56" s="134"/>
      <c r="G56" s="135"/>
      <c r="H56" s="136"/>
      <c r="I56" s="137"/>
      <c r="J56" s="138"/>
      <c r="L56" s="29" t="b">
        <f>AND(ISNUMBER($F56), OR(AND($C56='Drop-down lists '!$B$23,$F56&lt;0), AND(AND($C56&lt;&gt;'Drop-down lists '!$B$23, $C56&lt;&gt;""),$F56&gt;0)))</f>
        <v>0</v>
      </c>
    </row>
    <row r="57" spans="1:12" ht="24.75" customHeight="1" x14ac:dyDescent="0.25">
      <c r="A57" s="124"/>
      <c r="B57" s="139" t="s">
        <v>243</v>
      </c>
      <c r="C57" s="126" t="s">
        <v>37</v>
      </c>
      <c r="D57" s="127"/>
      <c r="E57" s="128"/>
      <c r="F57" s="129">
        <f>SUM(F58:F72)</f>
        <v>0</v>
      </c>
      <c r="G57" s="49"/>
      <c r="H57" s="50"/>
      <c r="I57" s="130"/>
      <c r="J57" s="131"/>
    </row>
    <row r="58" spans="1:12" ht="24.75" customHeight="1" x14ac:dyDescent="0.25">
      <c r="A58" s="124"/>
      <c r="B58" s="53"/>
      <c r="C58" s="132"/>
      <c r="D58" s="132"/>
      <c r="E58" s="133"/>
      <c r="F58" s="134"/>
      <c r="G58" s="135"/>
      <c r="H58" s="136"/>
      <c r="I58" s="137"/>
      <c r="J58" s="138"/>
      <c r="L58" s="29" t="b">
        <f>AND(ISNUMBER($F58), OR(AND($C58='Drop-down lists '!$B$23,$F58&lt;0), AND(AND($C58&lt;&gt;'Drop-down lists '!$B$23, $C58&lt;&gt;""),$F58&gt;0)))</f>
        <v>0</v>
      </c>
    </row>
    <row r="59" spans="1:12" ht="24.75" customHeight="1" x14ac:dyDescent="0.25">
      <c r="A59" s="124"/>
      <c r="B59" s="53"/>
      <c r="C59" s="132"/>
      <c r="D59" s="132"/>
      <c r="E59" s="133"/>
      <c r="F59" s="134"/>
      <c r="G59" s="135"/>
      <c r="H59" s="136"/>
      <c r="I59" s="137"/>
      <c r="J59" s="138"/>
      <c r="L59" s="29" t="b">
        <f>AND(ISNUMBER($F59), OR(AND($C59='Drop-down lists '!$B$23,$F59&lt;0), AND(AND($C59&lt;&gt;'Drop-down lists '!$B$23, $C59&lt;&gt;""),$F59&gt;0)))</f>
        <v>0</v>
      </c>
    </row>
    <row r="60" spans="1:12" ht="24.75" customHeight="1" x14ac:dyDescent="0.25">
      <c r="A60" s="124"/>
      <c r="B60" s="53"/>
      <c r="C60" s="132"/>
      <c r="D60" s="132"/>
      <c r="E60" s="133"/>
      <c r="F60" s="134"/>
      <c r="G60" s="135"/>
      <c r="H60" s="136"/>
      <c r="I60" s="137"/>
      <c r="J60" s="138"/>
      <c r="L60" s="29" t="b">
        <f>AND(ISNUMBER($F60), OR(AND($C60='Drop-down lists '!$B$23,$F60&lt;0), AND(AND($C60&lt;&gt;'Drop-down lists '!$B$23, $C60&lt;&gt;""),$F60&gt;0)))</f>
        <v>0</v>
      </c>
    </row>
    <row r="61" spans="1:12" ht="24.75" customHeight="1" x14ac:dyDescent="0.25">
      <c r="A61" s="124"/>
      <c r="B61" s="53"/>
      <c r="C61" s="132"/>
      <c r="D61" s="132"/>
      <c r="E61" s="133"/>
      <c r="F61" s="134"/>
      <c r="G61" s="135"/>
      <c r="H61" s="136"/>
      <c r="I61" s="137"/>
      <c r="J61" s="138"/>
      <c r="L61" s="29" t="b">
        <f>AND(ISNUMBER($F61), OR(AND($C61='Drop-down lists '!$B$23,$F61&lt;0), AND(AND($C61&lt;&gt;'Drop-down lists '!$B$23, $C61&lt;&gt;""),$F61&gt;0)))</f>
        <v>0</v>
      </c>
    </row>
    <row r="62" spans="1:12" ht="24.75" customHeight="1" x14ac:dyDescent="0.25">
      <c r="A62" s="124"/>
      <c r="B62" s="53"/>
      <c r="C62" s="132"/>
      <c r="D62" s="132"/>
      <c r="E62" s="133"/>
      <c r="F62" s="134"/>
      <c r="G62" s="135"/>
      <c r="H62" s="136"/>
      <c r="I62" s="137"/>
      <c r="J62" s="138"/>
      <c r="L62" s="29" t="b">
        <f>AND(ISNUMBER($F62), OR(AND($C62='Drop-down lists '!$B$23,$F62&lt;0), AND(AND($C62&lt;&gt;'Drop-down lists '!$B$23, $C62&lt;&gt;""),$F62&gt;0)))</f>
        <v>0</v>
      </c>
    </row>
    <row r="63" spans="1:12" ht="24.75" customHeight="1" x14ac:dyDescent="0.25">
      <c r="A63" s="124"/>
      <c r="B63" s="53"/>
      <c r="C63" s="132"/>
      <c r="D63" s="132"/>
      <c r="E63" s="133"/>
      <c r="F63" s="134"/>
      <c r="G63" s="135"/>
      <c r="H63" s="136"/>
      <c r="I63" s="137"/>
      <c r="J63" s="138"/>
      <c r="L63" s="29" t="b">
        <f>AND(ISNUMBER($F63), OR(AND($C63='Drop-down lists '!$B$23,$F63&lt;0), AND(AND($C63&lt;&gt;'Drop-down lists '!$B$23, $C63&lt;&gt;""),$F63&gt;0)))</f>
        <v>0</v>
      </c>
    </row>
    <row r="64" spans="1:12" ht="24.75" customHeight="1" x14ac:dyDescent="0.25">
      <c r="A64" s="124"/>
      <c r="B64" s="53"/>
      <c r="C64" s="132"/>
      <c r="D64" s="132"/>
      <c r="E64" s="133"/>
      <c r="F64" s="134"/>
      <c r="G64" s="135"/>
      <c r="H64" s="136"/>
      <c r="I64" s="137"/>
      <c r="J64" s="138"/>
      <c r="L64" s="29" t="b">
        <f>AND(ISNUMBER($F64), OR(AND($C64='Drop-down lists '!$B$23,$F64&lt;0), AND(AND($C64&lt;&gt;'Drop-down lists '!$B$23, $C64&lt;&gt;""),$F64&gt;0)))</f>
        <v>0</v>
      </c>
    </row>
    <row r="65" spans="1:12" ht="24.75" customHeight="1" x14ac:dyDescent="0.25">
      <c r="A65" s="124"/>
      <c r="B65" s="53"/>
      <c r="C65" s="132"/>
      <c r="D65" s="132"/>
      <c r="E65" s="133"/>
      <c r="F65" s="134"/>
      <c r="G65" s="135"/>
      <c r="H65" s="136"/>
      <c r="I65" s="137"/>
      <c r="J65" s="138"/>
      <c r="L65" s="29" t="b">
        <f>AND(ISNUMBER($F65), OR(AND($C65='Drop-down lists '!$B$23,$F65&lt;0), AND(AND($C65&lt;&gt;'Drop-down lists '!$B$23, $C65&lt;&gt;""),$F65&gt;0)))</f>
        <v>0</v>
      </c>
    </row>
    <row r="66" spans="1:12" ht="24.75" customHeight="1" x14ac:dyDescent="0.25">
      <c r="A66" s="124"/>
      <c r="B66" s="53"/>
      <c r="C66" s="132"/>
      <c r="D66" s="132"/>
      <c r="E66" s="133"/>
      <c r="F66" s="134"/>
      <c r="G66" s="135"/>
      <c r="H66" s="136"/>
      <c r="I66" s="137"/>
      <c r="J66" s="138"/>
      <c r="L66" s="29" t="b">
        <f>AND(ISNUMBER($F66), OR(AND($C66='Drop-down lists '!$B$23,$F66&lt;0), AND(AND($C66&lt;&gt;'Drop-down lists '!$B$23, $C66&lt;&gt;""),$F66&gt;0)))</f>
        <v>0</v>
      </c>
    </row>
    <row r="67" spans="1:12" ht="24.75" customHeight="1" x14ac:dyDescent="0.25">
      <c r="A67" s="124"/>
      <c r="B67" s="53"/>
      <c r="C67" s="132"/>
      <c r="D67" s="132"/>
      <c r="E67" s="133"/>
      <c r="F67" s="134"/>
      <c r="G67" s="135"/>
      <c r="H67" s="136"/>
      <c r="I67" s="137"/>
      <c r="J67" s="138"/>
      <c r="L67" s="29" t="b">
        <f>AND(ISNUMBER($F67), OR(AND($C67='Drop-down lists '!$B$23,$F67&lt;0), AND(AND($C67&lt;&gt;'Drop-down lists '!$B$23, $C67&lt;&gt;""),$F67&gt;0)))</f>
        <v>0</v>
      </c>
    </row>
    <row r="68" spans="1:12" ht="24.75" customHeight="1" x14ac:dyDescent="0.25">
      <c r="A68" s="124"/>
      <c r="B68" s="53"/>
      <c r="C68" s="132"/>
      <c r="D68" s="132"/>
      <c r="E68" s="133"/>
      <c r="F68" s="134"/>
      <c r="G68" s="135"/>
      <c r="H68" s="136"/>
      <c r="I68" s="137"/>
      <c r="J68" s="138"/>
      <c r="L68" s="29" t="b">
        <f>AND(ISNUMBER($F68), OR(AND($C68='Drop-down lists '!$B$23,$F68&lt;0), AND(AND($C68&lt;&gt;'Drop-down lists '!$B$23, $C68&lt;&gt;""),$F68&gt;0)))</f>
        <v>0</v>
      </c>
    </row>
    <row r="69" spans="1:12" ht="24.75" customHeight="1" x14ac:dyDescent="0.25">
      <c r="A69" s="124"/>
      <c r="B69" s="53"/>
      <c r="C69" s="132"/>
      <c r="D69" s="132"/>
      <c r="E69" s="133"/>
      <c r="F69" s="134"/>
      <c r="G69" s="135"/>
      <c r="H69" s="136"/>
      <c r="I69" s="137"/>
      <c r="J69" s="138"/>
      <c r="L69" s="29" t="b">
        <f>AND(ISNUMBER($F69), OR(AND($C69='Drop-down lists '!$B$23,$F69&lt;0), AND(AND($C69&lt;&gt;'Drop-down lists '!$B$23, $C69&lt;&gt;""),$F69&gt;0)))</f>
        <v>0</v>
      </c>
    </row>
    <row r="70" spans="1:12" ht="24.75" customHeight="1" x14ac:dyDescent="0.25">
      <c r="A70" s="124"/>
      <c r="B70" s="53"/>
      <c r="C70" s="132"/>
      <c r="D70" s="132"/>
      <c r="E70" s="133"/>
      <c r="F70" s="134"/>
      <c r="G70" s="135"/>
      <c r="H70" s="136"/>
      <c r="I70" s="137"/>
      <c r="J70" s="138"/>
      <c r="L70" s="29" t="b">
        <f>AND(ISNUMBER($F70), OR(AND($C70='Drop-down lists '!$B$23,$F70&lt;0), AND(AND($C70&lt;&gt;'Drop-down lists '!$B$23, $C70&lt;&gt;""),$F70&gt;0)))</f>
        <v>0</v>
      </c>
    </row>
    <row r="71" spans="1:12" ht="24.75" customHeight="1" x14ac:dyDescent="0.25">
      <c r="A71" s="124"/>
      <c r="B71" s="53"/>
      <c r="C71" s="132"/>
      <c r="D71" s="132"/>
      <c r="E71" s="133"/>
      <c r="F71" s="134"/>
      <c r="G71" s="135"/>
      <c r="H71" s="136"/>
      <c r="I71" s="137"/>
      <c r="J71" s="138"/>
      <c r="L71" s="29" t="b">
        <f>AND(ISNUMBER($F71), OR(AND($C71='Drop-down lists '!$B$23,$F71&lt;0), AND(AND($C71&lt;&gt;'Drop-down lists '!$B$23, $C71&lt;&gt;""),$F71&gt;0)))</f>
        <v>0</v>
      </c>
    </row>
    <row r="72" spans="1:12" ht="24.75" customHeight="1" x14ac:dyDescent="0.25">
      <c r="A72" s="124"/>
      <c r="B72" s="53"/>
      <c r="C72" s="132"/>
      <c r="D72" s="132"/>
      <c r="E72" s="133"/>
      <c r="F72" s="134"/>
      <c r="G72" s="135"/>
      <c r="H72" s="136"/>
      <c r="I72" s="137"/>
      <c r="J72" s="138"/>
      <c r="L72" s="29" t="b">
        <f>AND(ISNUMBER($F72), OR(AND($C72='Drop-down lists '!$B$23,$F72&lt;0), AND(AND($C72&lt;&gt;'Drop-down lists '!$B$23, $C72&lt;&gt;""),$F72&gt;0)))</f>
        <v>0</v>
      </c>
    </row>
    <row r="73" spans="1:12" ht="24.75" customHeight="1" x14ac:dyDescent="0.25">
      <c r="A73" s="124"/>
      <c r="B73" s="139" t="s">
        <v>96</v>
      </c>
      <c r="C73" s="126" t="s">
        <v>37</v>
      </c>
      <c r="D73" s="127"/>
      <c r="E73" s="128"/>
      <c r="F73" s="129">
        <f>SUM(F74:F85)</f>
        <v>0</v>
      </c>
      <c r="G73" s="49"/>
      <c r="H73" s="50"/>
      <c r="I73" s="130"/>
      <c r="J73" s="131"/>
    </row>
    <row r="74" spans="1:12" ht="24.75" customHeight="1" x14ac:dyDescent="0.25">
      <c r="A74" s="124"/>
      <c r="B74" s="66"/>
      <c r="C74" s="64" t="s">
        <v>290</v>
      </c>
      <c r="D74" s="132"/>
      <c r="E74" s="133"/>
      <c r="F74" s="140"/>
      <c r="G74" s="135"/>
      <c r="H74" s="136"/>
      <c r="I74" s="137"/>
      <c r="J74" s="138"/>
      <c r="L74" s="141" t="s">
        <v>222</v>
      </c>
    </row>
    <row r="75" spans="1:12" ht="24.75" customHeight="1" x14ac:dyDescent="0.25">
      <c r="A75" s="124"/>
      <c r="B75" s="66"/>
      <c r="C75" s="132"/>
      <c r="D75" s="132"/>
      <c r="E75" s="133"/>
      <c r="F75" s="140"/>
      <c r="G75" s="135"/>
      <c r="H75" s="136"/>
      <c r="I75" s="137"/>
      <c r="J75" s="138"/>
      <c r="L75" s="141" t="s">
        <v>222</v>
      </c>
    </row>
    <row r="76" spans="1:12" ht="24.75" customHeight="1" x14ac:dyDescent="0.25">
      <c r="A76" s="124"/>
      <c r="B76" s="66"/>
      <c r="C76" s="132"/>
      <c r="D76" s="132"/>
      <c r="E76" s="133"/>
      <c r="F76" s="140"/>
      <c r="G76" s="135"/>
      <c r="H76" s="136"/>
      <c r="I76" s="137"/>
      <c r="J76" s="138"/>
      <c r="L76" s="141" t="s">
        <v>222</v>
      </c>
    </row>
    <row r="77" spans="1:12" ht="24.75" customHeight="1" x14ac:dyDescent="0.25">
      <c r="A77" s="124"/>
      <c r="B77" s="66"/>
      <c r="C77" s="132"/>
      <c r="D77" s="132"/>
      <c r="E77" s="133"/>
      <c r="F77" s="140"/>
      <c r="G77" s="135"/>
      <c r="H77" s="136"/>
      <c r="I77" s="137"/>
      <c r="J77" s="138"/>
      <c r="L77" s="141" t="s">
        <v>222</v>
      </c>
    </row>
    <row r="78" spans="1:12" ht="24.75" customHeight="1" x14ac:dyDescent="0.25">
      <c r="A78" s="124"/>
      <c r="B78" s="66"/>
      <c r="C78" s="132"/>
      <c r="D78" s="132"/>
      <c r="E78" s="133"/>
      <c r="F78" s="140"/>
      <c r="G78" s="135"/>
      <c r="H78" s="136"/>
      <c r="I78" s="137"/>
      <c r="J78" s="138"/>
      <c r="L78" s="141" t="s">
        <v>222</v>
      </c>
    </row>
    <row r="79" spans="1:12" ht="24.75" customHeight="1" x14ac:dyDescent="0.25">
      <c r="A79" s="124"/>
      <c r="B79" s="66"/>
      <c r="C79" s="132"/>
      <c r="D79" s="132"/>
      <c r="E79" s="133"/>
      <c r="F79" s="140"/>
      <c r="G79" s="135"/>
      <c r="H79" s="136"/>
      <c r="I79" s="137"/>
      <c r="J79" s="138"/>
      <c r="L79" s="141" t="s">
        <v>222</v>
      </c>
    </row>
    <row r="80" spans="1:12" ht="24.75" customHeight="1" x14ac:dyDescent="0.25">
      <c r="A80" s="124"/>
      <c r="B80" s="66"/>
      <c r="C80" s="132"/>
      <c r="D80" s="142"/>
      <c r="E80" s="143"/>
      <c r="F80" s="140"/>
      <c r="G80" s="135"/>
      <c r="H80" s="136"/>
      <c r="I80" s="144"/>
      <c r="J80" s="145"/>
      <c r="L80" s="141" t="s">
        <v>222</v>
      </c>
    </row>
    <row r="81" spans="1:12" ht="24.75" customHeight="1" x14ac:dyDescent="0.25">
      <c r="A81" s="124"/>
      <c r="B81" s="66"/>
      <c r="C81" s="132"/>
      <c r="D81" s="142"/>
      <c r="E81" s="143"/>
      <c r="F81" s="140"/>
      <c r="G81" s="135"/>
      <c r="H81" s="136"/>
      <c r="I81" s="144"/>
      <c r="J81" s="145"/>
      <c r="L81" s="141" t="s">
        <v>222</v>
      </c>
    </row>
    <row r="82" spans="1:12" ht="24.75" customHeight="1" x14ac:dyDescent="0.25">
      <c r="A82" s="124"/>
      <c r="B82" s="66"/>
      <c r="C82" s="132"/>
      <c r="D82" s="142"/>
      <c r="E82" s="143"/>
      <c r="F82" s="140"/>
      <c r="G82" s="135"/>
      <c r="H82" s="136"/>
      <c r="I82" s="144"/>
      <c r="J82" s="145"/>
      <c r="L82" s="141"/>
    </row>
    <row r="83" spans="1:12" ht="24.75" customHeight="1" x14ac:dyDescent="0.25">
      <c r="A83" s="124"/>
      <c r="B83" s="66"/>
      <c r="C83" s="132"/>
      <c r="D83" s="142"/>
      <c r="E83" s="143"/>
      <c r="F83" s="140"/>
      <c r="G83" s="135"/>
      <c r="H83" s="136"/>
      <c r="I83" s="144"/>
      <c r="J83" s="145"/>
      <c r="L83" s="141"/>
    </row>
    <row r="84" spans="1:12" ht="24.75" customHeight="1" x14ac:dyDescent="0.25">
      <c r="A84" s="124"/>
      <c r="B84" s="66"/>
      <c r="C84" s="132"/>
      <c r="D84" s="142"/>
      <c r="E84" s="143"/>
      <c r="F84" s="140"/>
      <c r="G84" s="135"/>
      <c r="H84" s="136"/>
      <c r="I84" s="144"/>
      <c r="J84" s="145"/>
      <c r="L84" s="141" t="s">
        <v>222</v>
      </c>
    </row>
    <row r="85" spans="1:12" ht="24.75" customHeight="1" thickBot="1" x14ac:dyDescent="0.3">
      <c r="A85" s="124"/>
      <c r="B85" s="146"/>
      <c r="C85" s="132"/>
      <c r="D85" s="142"/>
      <c r="E85" s="143"/>
      <c r="F85" s="140"/>
      <c r="G85" s="135"/>
      <c r="H85" s="147"/>
      <c r="I85" s="144"/>
      <c r="J85" s="145"/>
      <c r="L85" s="141" t="s">
        <v>222</v>
      </c>
    </row>
    <row r="86" spans="1:12" ht="24.75" customHeight="1" x14ac:dyDescent="0.25">
      <c r="A86" s="124"/>
      <c r="B86" s="73" t="s">
        <v>8</v>
      </c>
      <c r="C86" s="74"/>
      <c r="D86" s="75"/>
      <c r="E86" s="76"/>
      <c r="F86" s="148">
        <f>SUM(F73+F57+F41+F25+F9)</f>
        <v>0</v>
      </c>
      <c r="G86" s="74"/>
      <c r="H86" s="149"/>
      <c r="I86" s="80"/>
      <c r="J86" s="150"/>
    </row>
    <row r="87" spans="1:12" ht="24.75" customHeight="1" x14ac:dyDescent="0.25">
      <c r="A87" s="124"/>
      <c r="B87" s="82" t="s">
        <v>13</v>
      </c>
      <c r="C87" s="53"/>
      <c r="D87" s="83"/>
      <c r="E87" s="84"/>
      <c r="F87" s="140"/>
      <c r="G87" s="135"/>
      <c r="H87" s="151"/>
      <c r="I87" s="152"/>
      <c r="J87" s="153"/>
      <c r="L87" s="141" t="s">
        <v>222</v>
      </c>
    </row>
    <row r="88" spans="1:12" ht="24.75" customHeight="1" thickBot="1" x14ac:dyDescent="0.3">
      <c r="A88" s="124"/>
      <c r="B88" s="86" t="s">
        <v>14</v>
      </c>
      <c r="C88" s="87"/>
      <c r="D88" s="88"/>
      <c r="E88" s="89"/>
      <c r="F88" s="154">
        <f>SUM(F86:F87)</f>
        <v>0</v>
      </c>
      <c r="G88" s="87"/>
      <c r="H88" s="155"/>
      <c r="I88" s="93"/>
      <c r="J88" s="156"/>
    </row>
    <row r="89" spans="1:12" s="109" customFormat="1" x14ac:dyDescent="0.25">
      <c r="A89" s="124"/>
      <c r="B89" s="107"/>
      <c r="C89" s="107"/>
      <c r="D89" s="107"/>
      <c r="E89" s="108"/>
      <c r="F89" s="107"/>
      <c r="G89" s="107"/>
      <c r="H89" s="107"/>
      <c r="I89" s="107"/>
      <c r="J89" s="107"/>
      <c r="K89" s="107"/>
    </row>
    <row r="90" spans="1:12" s="109" customFormat="1" x14ac:dyDescent="0.25">
      <c r="A90" s="124"/>
      <c r="B90" s="157"/>
      <c r="C90" s="157"/>
      <c r="D90" s="157"/>
      <c r="E90" s="157"/>
      <c r="F90" s="157"/>
      <c r="G90" s="157"/>
      <c r="H90" s="107"/>
      <c r="I90" s="107"/>
      <c r="J90" s="107"/>
      <c r="K90" s="107"/>
    </row>
    <row r="91" spans="1:12" s="109" customFormat="1" x14ac:dyDescent="0.25">
      <c r="A91" s="124"/>
      <c r="B91" s="157"/>
      <c r="C91" s="157"/>
      <c r="D91" s="157"/>
      <c r="E91" s="157"/>
      <c r="F91" s="157"/>
      <c r="G91" s="157"/>
      <c r="H91" s="107"/>
      <c r="I91" s="107"/>
      <c r="J91" s="107"/>
      <c r="K91" s="107"/>
    </row>
    <row r="92" spans="1:12" ht="144.75" customHeight="1" x14ac:dyDescent="0.25">
      <c r="A92" s="124"/>
      <c r="B92" s="194" t="s">
        <v>12</v>
      </c>
      <c r="C92" s="194"/>
      <c r="D92" s="17" t="s">
        <v>195</v>
      </c>
      <c r="E92" s="18" t="s">
        <v>196</v>
      </c>
      <c r="F92" s="15" t="s">
        <v>234</v>
      </c>
      <c r="G92" s="15" t="s">
        <v>18</v>
      </c>
      <c r="H92" s="15" t="s">
        <v>321</v>
      </c>
      <c r="I92" s="18" t="s">
        <v>322</v>
      </c>
      <c r="J92" s="107"/>
    </row>
    <row r="93" spans="1:12" x14ac:dyDescent="0.25">
      <c r="A93" s="124"/>
      <c r="B93" s="44"/>
      <c r="C93" s="158"/>
      <c r="D93" s="159" t="s">
        <v>214</v>
      </c>
      <c r="E93" s="123" t="s">
        <v>215</v>
      </c>
      <c r="F93" s="123" t="s">
        <v>216</v>
      </c>
      <c r="G93" s="123" t="s">
        <v>217</v>
      </c>
      <c r="H93" s="123" t="s">
        <v>218</v>
      </c>
      <c r="I93" s="123" t="s">
        <v>219</v>
      </c>
      <c r="J93" s="107"/>
    </row>
    <row r="94" spans="1:12" ht="24.75" customHeight="1" x14ac:dyDescent="0.25">
      <c r="A94" s="124"/>
      <c r="B94" s="96"/>
      <c r="C94" s="97"/>
      <c r="D94" s="160"/>
      <c r="E94" s="161"/>
      <c r="F94" s="140"/>
      <c r="G94" s="162"/>
      <c r="H94" s="163"/>
      <c r="I94" s="164"/>
      <c r="J94" s="107"/>
      <c r="L94" s="141" t="s">
        <v>222</v>
      </c>
    </row>
    <row r="95" spans="1:12" ht="24.75" customHeight="1" x14ac:dyDescent="0.25">
      <c r="A95" s="124"/>
      <c r="B95" s="96"/>
      <c r="C95" s="97"/>
      <c r="D95" s="160"/>
      <c r="E95" s="161"/>
      <c r="F95" s="140"/>
      <c r="G95" s="162"/>
      <c r="H95" s="163"/>
      <c r="I95" s="164"/>
      <c r="J95" s="107"/>
      <c r="L95" s="141" t="s">
        <v>222</v>
      </c>
    </row>
    <row r="96" spans="1:12" ht="24.75" customHeight="1" x14ac:dyDescent="0.25">
      <c r="A96" s="124"/>
      <c r="B96" s="96"/>
      <c r="C96" s="97"/>
      <c r="D96" s="160"/>
      <c r="E96" s="161"/>
      <c r="F96" s="140"/>
      <c r="G96" s="162"/>
      <c r="H96" s="163"/>
      <c r="I96" s="164"/>
      <c r="J96" s="107"/>
      <c r="L96" s="141" t="s">
        <v>222</v>
      </c>
    </row>
    <row r="97" spans="1:12" ht="24.75" customHeight="1" x14ac:dyDescent="0.25">
      <c r="A97" s="124"/>
      <c r="B97" s="96"/>
      <c r="C97" s="97"/>
      <c r="D97" s="160"/>
      <c r="E97" s="161"/>
      <c r="F97" s="140"/>
      <c r="G97" s="162"/>
      <c r="H97" s="163"/>
      <c r="I97" s="164"/>
      <c r="J97" s="107"/>
      <c r="L97" s="141" t="s">
        <v>222</v>
      </c>
    </row>
    <row r="98" spans="1:12" ht="24.75" customHeight="1" x14ac:dyDescent="0.25">
      <c r="A98" s="124"/>
      <c r="B98" s="96"/>
      <c r="C98" s="97"/>
      <c r="D98" s="165"/>
      <c r="E98" s="161"/>
      <c r="F98" s="140"/>
      <c r="G98" s="162"/>
      <c r="H98" s="163"/>
      <c r="I98" s="164"/>
      <c r="J98" s="107"/>
      <c r="L98" s="141" t="s">
        <v>222</v>
      </c>
    </row>
    <row r="99" spans="1:12" ht="24.75" customHeight="1" x14ac:dyDescent="0.25">
      <c r="A99" s="124"/>
      <c r="B99" s="96"/>
      <c r="C99" s="97"/>
      <c r="D99" s="165"/>
      <c r="E99" s="161"/>
      <c r="F99" s="140"/>
      <c r="G99" s="162"/>
      <c r="H99" s="163"/>
      <c r="I99" s="164"/>
      <c r="J99" s="107"/>
      <c r="L99" s="141" t="s">
        <v>222</v>
      </c>
    </row>
    <row r="100" spans="1:12" ht="24.75" customHeight="1" x14ac:dyDescent="0.25">
      <c r="A100" s="124"/>
      <c r="B100" s="96"/>
      <c r="C100" s="97"/>
      <c r="D100" s="165"/>
      <c r="E100" s="161"/>
      <c r="F100" s="140"/>
      <c r="G100" s="162"/>
      <c r="H100" s="163"/>
      <c r="I100" s="164"/>
      <c r="J100" s="107"/>
      <c r="L100" s="141" t="s">
        <v>222</v>
      </c>
    </row>
    <row r="101" spans="1:12" ht="24.75" customHeight="1" x14ac:dyDescent="0.25">
      <c r="A101" s="124"/>
      <c r="B101" s="96"/>
      <c r="C101" s="97"/>
      <c r="D101" s="165"/>
      <c r="E101" s="161"/>
      <c r="F101" s="140"/>
      <c r="G101" s="162"/>
      <c r="H101" s="163"/>
      <c r="I101" s="164"/>
      <c r="J101" s="107"/>
      <c r="L101" s="141" t="s">
        <v>222</v>
      </c>
    </row>
    <row r="102" spans="1:12" ht="24.75" customHeight="1" x14ac:dyDescent="0.25">
      <c r="A102" s="124"/>
      <c r="B102" s="96"/>
      <c r="C102" s="97"/>
      <c r="D102" s="165"/>
      <c r="E102" s="161"/>
      <c r="F102" s="140"/>
      <c r="G102" s="162"/>
      <c r="H102" s="163"/>
      <c r="I102" s="164"/>
      <c r="J102" s="107"/>
      <c r="L102" s="141" t="s">
        <v>222</v>
      </c>
    </row>
    <row r="103" spans="1:12" ht="24.75" customHeight="1" x14ac:dyDescent="0.25">
      <c r="A103" s="124"/>
      <c r="B103" s="96"/>
      <c r="C103" s="97"/>
      <c r="D103" s="165"/>
      <c r="E103" s="161"/>
      <c r="F103" s="140"/>
      <c r="G103" s="162"/>
      <c r="H103" s="163"/>
      <c r="I103" s="164"/>
      <c r="J103" s="107"/>
      <c r="L103" s="141" t="s">
        <v>222</v>
      </c>
    </row>
    <row r="104" spans="1:12" ht="24.75" customHeight="1" x14ac:dyDescent="0.25">
      <c r="A104" s="124"/>
      <c r="B104" s="96"/>
      <c r="C104" s="97"/>
      <c r="D104" s="165"/>
      <c r="E104" s="161"/>
      <c r="F104" s="140"/>
      <c r="G104" s="162"/>
      <c r="H104" s="163"/>
      <c r="I104" s="164"/>
      <c r="J104" s="107"/>
      <c r="L104" s="141" t="s">
        <v>222</v>
      </c>
    </row>
    <row r="105" spans="1:12" ht="24.75" customHeight="1" x14ac:dyDescent="0.25">
      <c r="A105" s="124"/>
      <c r="B105" s="96"/>
      <c r="C105" s="97"/>
      <c r="D105" s="165"/>
      <c r="E105" s="161"/>
      <c r="F105" s="140"/>
      <c r="G105" s="162"/>
      <c r="H105" s="163"/>
      <c r="I105" s="164"/>
      <c r="J105" s="107"/>
      <c r="L105" s="141" t="s">
        <v>222</v>
      </c>
    </row>
    <row r="106" spans="1:12" ht="24.75" customHeight="1" x14ac:dyDescent="0.25">
      <c r="A106" s="124"/>
      <c r="B106" s="96" t="s">
        <v>37</v>
      </c>
      <c r="C106" s="97"/>
      <c r="D106" s="166"/>
      <c r="E106" s="167"/>
      <c r="F106" s="168">
        <f>SUM(F94:F105)</f>
        <v>0</v>
      </c>
      <c r="G106" s="167"/>
      <c r="H106" s="167"/>
      <c r="I106" s="169"/>
      <c r="J106" s="107"/>
    </row>
    <row r="107" spans="1:12" s="109" customFormat="1" x14ac:dyDescent="0.25">
      <c r="A107" s="110"/>
      <c r="B107" s="107"/>
      <c r="C107" s="107"/>
      <c r="D107" s="107"/>
      <c r="E107" s="108"/>
      <c r="F107" s="107"/>
      <c r="G107" s="107"/>
      <c r="H107" s="107"/>
      <c r="I107" s="107"/>
      <c r="J107" s="107"/>
      <c r="K107" s="107"/>
    </row>
  </sheetData>
  <mergeCells count="5">
    <mergeCell ref="B3:J3"/>
    <mergeCell ref="B4:F4"/>
    <mergeCell ref="B6:C6"/>
    <mergeCell ref="D6:J6"/>
    <mergeCell ref="B92:C92"/>
  </mergeCells>
  <dataValidations count="5">
    <dataValidation type="decimal" operator="lessThanOrEqual" allowBlank="1" showInputMessage="1" showErrorMessage="1" errorTitle="Invalid input." error="The input has to be numerical and non-positive." sqref="F87" xr:uid="{00000000-0002-0000-0200-000000000000}">
      <formula1>0</formula1>
    </dataValidation>
    <dataValidation type="decimal" operator="notEqual" allowBlank="1" showInputMessage="1" showErrorMessage="1" errorTitle="Invalid input." error="The input has to be numerical and non-zero." sqref="F94:F105 F74:F85" xr:uid="{00000000-0002-0000-0200-000001000000}">
      <formula1>0</formula1>
    </dataValidation>
    <dataValidation type="custom" allowBlank="1" showInputMessage="1" showErrorMessage="1" errorTitle="Invalid entry" error="The input has to be numerical and non-zero. _x000a_Check that column 1.2 has values._x000a_In case in column 1.2 the value “intra-risk diversification effects” is selected then it has to be strictly negative, otherwise strictly positive." sqref="F10:F24 F26:F39 F58:F72 F42:F56" xr:uid="{00000000-0002-0000-0200-000002000000}">
      <formula1>$L10</formula1>
    </dataValidation>
    <dataValidation type="list" allowBlank="1" showInputMessage="1" showErrorMessage="1" sqref="H87 H26:H40 H42:H56 G94:G105 H74:H85 H10:H24 H58:H72" xr:uid="{00000000-0002-0000-0200-000004000000}">
      <formula1>$S$3:$S$4</formula1>
    </dataValidation>
    <dataValidation type="custom" allowBlank="1" showInputMessage="1" showErrorMessage="1" sqref="D10" xr:uid="{B006365C-822C-463A-97FB-CDAB7A6AEAAB}">
      <formula1>IF(ISBLANK(C10)=FALSE,ISBLANK(D10)=FALSE,)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promptTitle="Warning" prompt="Please remember to also fill column 1.3 after filling column 1.2." xr:uid="{00000000-0002-0000-0200-00000B000000}">
          <x14:formula1>
            <xm:f>'Drop-down lists '!$B$81:$B$107</xm:f>
          </x14:formula1>
          <xm:sqref>C58:C72</xm:sqref>
        </x14:dataValidation>
        <x14:dataValidation type="list" allowBlank="1" showInputMessage="1" showErrorMessage="1" promptTitle="Warning" prompt="Please remember to also fill column 1.3 after filling column 1.2." xr:uid="{00000000-0002-0000-0200-000008000000}">
          <x14:formula1>
            <xm:f>'Drop-down lists '!$B$34:$B$61</xm:f>
          </x14:formula1>
          <xm:sqref>C26:C40</xm:sqref>
        </x14:dataValidation>
        <x14:dataValidation type="list" allowBlank="1" showInputMessage="1" showErrorMessage="1" promptTitle="Warning" prompt="Please remember to also fill column 1.3 after filling column 1.2." xr:uid="{00000000-0002-0000-0200-000009000000}">
          <x14:formula1>
            <xm:f>'Drop-down lists '!$B$63:$B$79</xm:f>
          </x14:formula1>
          <xm:sqref>C42:C56</xm:sqref>
        </x14:dataValidation>
        <x14:dataValidation type="list" allowBlank="1" showInputMessage="1" showErrorMessage="1" promptTitle="Warning" prompt="Please remember to also fill column 1.3 after filling column 1.2." xr:uid="{00000000-0002-0000-0200-000006000000}">
          <x14:formula1>
            <xm:f>'Drop-down lists '!$B$109:$B$129</xm:f>
          </x14:formula1>
          <xm:sqref>C75:C85</xm:sqref>
        </x14:dataValidation>
        <x14:dataValidation type="list" allowBlank="1" showInputMessage="1" showErrorMessage="1" promptTitle="Warning" prompt="Please remember to also fill column 1.3 after filling column 1.2." xr:uid="{00000000-0002-0000-0200-000007000000}">
          <x14:formula1>
            <xm:f>'Drop-down lists '!$B$2:$B$32</xm:f>
          </x14:formula1>
          <xm:sqref>C10:C24</xm:sqref>
        </x14:dataValidation>
        <x14:dataValidation type="list" allowBlank="1" showInputMessage="1" showErrorMessage="1" xr:uid="{5A0ACA84-9535-4A5D-8B9D-D59516210DA5}">
          <x14:formula1>
            <xm:f>'Drop-down lists '!$C$2:$C$78</xm:f>
          </x14:formula1>
          <xm:sqref>G10:G24 G26:G40 G87 G74:G85 G58:G72 G42:G56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84"/>
  <sheetViews>
    <sheetView showGridLines="0" zoomScale="70" zoomScaleNormal="70" workbookViewId="0">
      <selection activeCell="E16" sqref="E16"/>
    </sheetView>
  </sheetViews>
  <sheetFormatPr defaultColWidth="0" defaultRowHeight="15" zeroHeight="1" x14ac:dyDescent="0.25"/>
  <cols>
    <col min="1" max="1" width="4.5703125" style="26" customWidth="1"/>
    <col min="2" max="2" width="14.42578125" style="27" customWidth="1"/>
    <col min="3" max="4" width="31.140625" style="27" customWidth="1"/>
    <col min="5" max="5" width="42.42578125" style="28" customWidth="1"/>
    <col min="6" max="6" width="16" style="27" customWidth="1"/>
    <col min="7" max="7" width="21.5703125" style="27" customWidth="1"/>
    <col min="8" max="8" width="23.42578125" style="27" customWidth="1"/>
    <col min="9" max="9" width="29.140625" style="27" customWidth="1"/>
    <col min="10" max="10" width="28.42578125" style="27" customWidth="1"/>
    <col min="11" max="11" width="4.5703125" style="27" customWidth="1"/>
    <col min="12" max="19" width="0" style="29" hidden="1" customWidth="1"/>
    <col min="20" max="16384" width="11.42578125" style="29" hidden="1"/>
  </cols>
  <sheetData>
    <row r="1" spans="1:19" x14ac:dyDescent="0.25"/>
    <row r="2" spans="1:19" ht="14.25" customHeight="1" x14ac:dyDescent="0.25">
      <c r="F2" s="28"/>
      <c r="G2" s="28"/>
      <c r="H2" s="30"/>
      <c r="I2" s="28"/>
      <c r="J2" s="28"/>
    </row>
    <row r="3" spans="1:19" ht="29.1" customHeight="1" x14ac:dyDescent="0.25">
      <c r="B3" s="187" t="s">
        <v>308</v>
      </c>
      <c r="C3" s="188"/>
      <c r="D3" s="188"/>
      <c r="E3" s="188"/>
      <c r="F3" s="188"/>
      <c r="G3" s="188"/>
      <c r="H3" s="188"/>
      <c r="I3" s="188"/>
      <c r="J3" s="189"/>
      <c r="S3" s="29" t="s">
        <v>16</v>
      </c>
    </row>
    <row r="4" spans="1:19" s="34" customFormat="1" ht="17.850000000000001" customHeight="1" x14ac:dyDescent="0.2">
      <c r="A4" s="31"/>
      <c r="B4" s="195"/>
      <c r="C4" s="195"/>
      <c r="D4" s="195"/>
      <c r="E4" s="195"/>
      <c r="F4" s="195"/>
      <c r="G4" s="32"/>
      <c r="H4" s="32"/>
      <c r="I4" s="32"/>
      <c r="J4" s="32"/>
      <c r="K4" s="33"/>
      <c r="S4" s="34" t="s">
        <v>17</v>
      </c>
    </row>
    <row r="5" spans="1:19" s="34" customFormat="1" ht="5.0999999999999996" customHeight="1" x14ac:dyDescent="0.25">
      <c r="A5" s="31"/>
      <c r="B5" s="35"/>
      <c r="C5" s="35"/>
      <c r="D5" s="35"/>
      <c r="E5" s="35"/>
      <c r="F5" s="35"/>
      <c r="G5" s="35"/>
      <c r="H5" s="36"/>
      <c r="I5" s="36"/>
      <c r="J5" s="37"/>
      <c r="K5" s="38"/>
    </row>
    <row r="6" spans="1:19" s="34" customFormat="1" ht="20.25" customHeight="1" x14ac:dyDescent="0.25">
      <c r="A6" s="31"/>
      <c r="B6" s="191" t="s">
        <v>153</v>
      </c>
      <c r="C6" s="192"/>
      <c r="D6" s="191" t="s">
        <v>19</v>
      </c>
      <c r="E6" s="193"/>
      <c r="F6" s="193"/>
      <c r="G6" s="193"/>
      <c r="H6" s="193"/>
      <c r="I6" s="193"/>
      <c r="J6" s="192"/>
      <c r="K6" s="38"/>
    </row>
    <row r="7" spans="1:19" s="42" customFormat="1" ht="163.5" customHeight="1" x14ac:dyDescent="0.25">
      <c r="A7" s="39"/>
      <c r="B7" s="9" t="s">
        <v>15</v>
      </c>
      <c r="C7" s="9" t="s">
        <v>33</v>
      </c>
      <c r="D7" s="9" t="s">
        <v>34</v>
      </c>
      <c r="E7" s="10" t="s">
        <v>125</v>
      </c>
      <c r="F7" s="10" t="s">
        <v>309</v>
      </c>
      <c r="G7" s="10" t="s">
        <v>36</v>
      </c>
      <c r="H7" s="10" t="s">
        <v>94</v>
      </c>
      <c r="I7" s="10" t="s">
        <v>126</v>
      </c>
      <c r="J7" s="40" t="s">
        <v>35</v>
      </c>
      <c r="K7" s="41"/>
    </row>
    <row r="8" spans="1:19" ht="24.75" customHeight="1" x14ac:dyDescent="0.25">
      <c r="A8" s="43"/>
      <c r="B8" s="44" t="s">
        <v>3</v>
      </c>
      <c r="C8" s="45" t="s">
        <v>37</v>
      </c>
      <c r="D8" s="46"/>
      <c r="E8" s="47"/>
      <c r="F8" s="48">
        <f>SUM(F9:F20)</f>
        <v>319900000</v>
      </c>
      <c r="G8" s="49"/>
      <c r="H8" s="50"/>
      <c r="I8" s="51"/>
      <c r="J8" s="52"/>
    </row>
    <row r="9" spans="1:19" ht="24.75" customHeight="1" x14ac:dyDescent="0.25">
      <c r="A9" s="43"/>
      <c r="B9" s="53"/>
      <c r="C9" s="54" t="s">
        <v>174</v>
      </c>
      <c r="D9" s="54" t="s">
        <v>3</v>
      </c>
      <c r="E9" s="55" t="s">
        <v>147</v>
      </c>
      <c r="F9" s="56">
        <v>300000000</v>
      </c>
      <c r="G9" s="57" t="s">
        <v>17</v>
      </c>
      <c r="H9" s="58" t="s">
        <v>17</v>
      </c>
      <c r="I9" s="59" t="s">
        <v>310</v>
      </c>
      <c r="J9" s="60"/>
    </row>
    <row r="10" spans="1:19" ht="24.75" customHeight="1" x14ac:dyDescent="0.25">
      <c r="A10" s="43"/>
      <c r="B10" s="53"/>
      <c r="C10" s="54" t="s">
        <v>154</v>
      </c>
      <c r="D10" s="54" t="s">
        <v>100</v>
      </c>
      <c r="E10" s="55" t="s">
        <v>148</v>
      </c>
      <c r="F10" s="56">
        <v>7000000</v>
      </c>
      <c r="G10" s="55" t="s">
        <v>17</v>
      </c>
      <c r="H10" s="58" t="s">
        <v>16</v>
      </c>
      <c r="I10" s="59" t="s">
        <v>311</v>
      </c>
      <c r="J10" s="60" t="s">
        <v>101</v>
      </c>
    </row>
    <row r="11" spans="1:19" ht="24.75" customHeight="1" x14ac:dyDescent="0.25">
      <c r="A11" s="43"/>
      <c r="B11" s="53"/>
      <c r="C11" s="54" t="s">
        <v>4</v>
      </c>
      <c r="D11" s="54" t="s">
        <v>4</v>
      </c>
      <c r="E11" s="55" t="s">
        <v>102</v>
      </c>
      <c r="F11" s="56">
        <v>850000</v>
      </c>
      <c r="G11" s="57" t="s">
        <v>17</v>
      </c>
      <c r="H11" s="58" t="s">
        <v>17</v>
      </c>
      <c r="I11" s="59" t="s">
        <v>312</v>
      </c>
      <c r="J11" s="60"/>
    </row>
    <row r="12" spans="1:19" ht="24.75" customHeight="1" x14ac:dyDescent="0.25">
      <c r="A12" s="43"/>
      <c r="B12" s="53"/>
      <c r="C12" s="54" t="s">
        <v>155</v>
      </c>
      <c r="D12" s="54" t="s">
        <v>103</v>
      </c>
      <c r="E12" s="11" t="s">
        <v>178</v>
      </c>
      <c r="F12" s="56">
        <v>2150000</v>
      </c>
      <c r="G12" s="57" t="s">
        <v>17</v>
      </c>
      <c r="H12" s="58" t="s">
        <v>17</v>
      </c>
      <c r="I12" s="59" t="s">
        <v>313</v>
      </c>
      <c r="J12" s="60"/>
    </row>
    <row r="13" spans="1:19" ht="24.75" customHeight="1" x14ac:dyDescent="0.25">
      <c r="A13" s="43"/>
      <c r="B13" s="53"/>
      <c r="C13" s="54" t="s">
        <v>156</v>
      </c>
      <c r="D13" s="54" t="s">
        <v>104</v>
      </c>
      <c r="E13" s="11" t="s">
        <v>149</v>
      </c>
      <c r="F13" s="56">
        <v>1200000</v>
      </c>
      <c r="G13" s="57" t="s">
        <v>17</v>
      </c>
      <c r="H13" s="58" t="s">
        <v>17</v>
      </c>
      <c r="I13" s="59" t="s">
        <v>314</v>
      </c>
      <c r="J13" s="60"/>
    </row>
    <row r="14" spans="1:19" ht="24.75" customHeight="1" x14ac:dyDescent="0.25">
      <c r="A14" s="43"/>
      <c r="B14" s="53"/>
      <c r="C14" s="54" t="s">
        <v>157</v>
      </c>
      <c r="D14" s="54" t="s">
        <v>105</v>
      </c>
      <c r="E14" s="55" t="s">
        <v>127</v>
      </c>
      <c r="F14" s="56">
        <v>6000000</v>
      </c>
      <c r="G14" s="57" t="s">
        <v>17</v>
      </c>
      <c r="H14" s="58" t="s">
        <v>17</v>
      </c>
      <c r="I14" s="59" t="s">
        <v>315</v>
      </c>
      <c r="J14" s="60"/>
    </row>
    <row r="15" spans="1:19" ht="24.75" customHeight="1" x14ac:dyDescent="0.25">
      <c r="A15" s="43"/>
      <c r="B15" s="53"/>
      <c r="C15" s="54" t="s">
        <v>158</v>
      </c>
      <c r="D15" s="54" t="s">
        <v>106</v>
      </c>
      <c r="E15" s="55" t="s">
        <v>150</v>
      </c>
      <c r="F15" s="56">
        <v>1400000</v>
      </c>
      <c r="G15" s="57" t="s">
        <v>17</v>
      </c>
      <c r="H15" s="58" t="s">
        <v>17</v>
      </c>
      <c r="I15" s="59" t="s">
        <v>316</v>
      </c>
      <c r="J15" s="60"/>
    </row>
    <row r="16" spans="1:19" ht="24.75" customHeight="1" x14ac:dyDescent="0.25">
      <c r="A16" s="43"/>
      <c r="B16" s="53"/>
      <c r="C16" s="54" t="s">
        <v>88</v>
      </c>
      <c r="D16" s="54" t="s">
        <v>273</v>
      </c>
      <c r="E16" s="55" t="s">
        <v>285</v>
      </c>
      <c r="F16" s="56">
        <v>1300000</v>
      </c>
      <c r="G16" s="57" t="s">
        <v>17</v>
      </c>
      <c r="H16" s="58" t="s">
        <v>17</v>
      </c>
      <c r="I16" s="59" t="s">
        <v>286</v>
      </c>
      <c r="J16" s="60"/>
    </row>
    <row r="17" spans="1:10" ht="24.75" customHeight="1" x14ac:dyDescent="0.25">
      <c r="A17" s="43"/>
      <c r="B17" s="53"/>
      <c r="C17" s="54" t="s">
        <v>159</v>
      </c>
      <c r="D17" s="54" t="s">
        <v>176</v>
      </c>
      <c r="E17" s="55" t="s">
        <v>151</v>
      </c>
      <c r="F17" s="56"/>
      <c r="G17" s="57" t="s">
        <v>38</v>
      </c>
      <c r="H17" s="58" t="s">
        <v>17</v>
      </c>
      <c r="I17" s="59"/>
      <c r="J17" s="60"/>
    </row>
    <row r="18" spans="1:10" ht="24.75" customHeight="1" x14ac:dyDescent="0.25">
      <c r="A18" s="43"/>
      <c r="B18" s="53"/>
      <c r="C18" s="54" t="s">
        <v>160</v>
      </c>
      <c r="D18" s="54" t="s">
        <v>176</v>
      </c>
      <c r="E18" s="55" t="s">
        <v>128</v>
      </c>
      <c r="F18" s="56"/>
      <c r="G18" s="57" t="s">
        <v>42</v>
      </c>
      <c r="H18" s="58" t="s">
        <v>17</v>
      </c>
      <c r="I18" s="59"/>
      <c r="J18" s="60"/>
    </row>
    <row r="19" spans="1:10" ht="24.75" customHeight="1" x14ac:dyDescent="0.25">
      <c r="A19" s="43"/>
      <c r="B19" s="53"/>
      <c r="C19" s="54" t="s">
        <v>161</v>
      </c>
      <c r="D19" s="54" t="s">
        <v>176</v>
      </c>
      <c r="E19" s="55" t="s">
        <v>151</v>
      </c>
      <c r="F19" s="56"/>
      <c r="G19" s="57" t="s">
        <v>38</v>
      </c>
      <c r="H19" s="58" t="s">
        <v>17</v>
      </c>
      <c r="I19" s="59"/>
      <c r="J19" s="60"/>
    </row>
    <row r="20" spans="1:10" ht="24.75" customHeight="1" x14ac:dyDescent="0.25">
      <c r="A20" s="43"/>
      <c r="B20" s="53"/>
      <c r="C20" s="54"/>
      <c r="D20" s="54"/>
      <c r="E20" s="55"/>
      <c r="F20" s="56"/>
      <c r="G20" s="57"/>
      <c r="H20" s="58"/>
      <c r="I20" s="59"/>
      <c r="J20" s="60"/>
    </row>
    <row r="21" spans="1:10" ht="24.75" customHeight="1" x14ac:dyDescent="0.25">
      <c r="A21" s="43"/>
      <c r="B21" s="44" t="s">
        <v>5</v>
      </c>
      <c r="C21" s="45" t="s">
        <v>37</v>
      </c>
      <c r="D21" s="61"/>
      <c r="E21" s="47"/>
      <c r="F21" s="48">
        <f>SUM(F22:F31)</f>
        <v>73800000</v>
      </c>
      <c r="G21" s="49"/>
      <c r="H21" s="50"/>
      <c r="I21" s="51"/>
      <c r="J21" s="52"/>
    </row>
    <row r="22" spans="1:10" ht="24.75" customHeight="1" x14ac:dyDescent="0.25">
      <c r="A22" s="43"/>
      <c r="B22" s="53"/>
      <c r="C22" s="54" t="s">
        <v>175</v>
      </c>
      <c r="D22" s="54" t="s">
        <v>109</v>
      </c>
      <c r="E22" s="55" t="s">
        <v>317</v>
      </c>
      <c r="F22" s="56">
        <v>5000000</v>
      </c>
      <c r="G22" s="57" t="s">
        <v>17</v>
      </c>
      <c r="H22" s="58" t="s">
        <v>17</v>
      </c>
      <c r="I22" s="59" t="s">
        <v>318</v>
      </c>
      <c r="J22" s="60"/>
    </row>
    <row r="23" spans="1:10" ht="25.5" x14ac:dyDescent="0.25">
      <c r="A23" s="43"/>
      <c r="B23" s="53"/>
      <c r="C23" s="54" t="s">
        <v>118</v>
      </c>
      <c r="D23" s="54" t="s">
        <v>118</v>
      </c>
      <c r="E23" s="55" t="s">
        <v>122</v>
      </c>
      <c r="F23" s="56">
        <v>28000000</v>
      </c>
      <c r="G23" s="57" t="s">
        <v>17</v>
      </c>
      <c r="H23" s="58" t="s">
        <v>17</v>
      </c>
      <c r="I23" s="59" t="s">
        <v>319</v>
      </c>
      <c r="J23" s="60"/>
    </row>
    <row r="24" spans="1:10" ht="25.5" x14ac:dyDescent="0.25">
      <c r="A24" s="43"/>
      <c r="B24" s="53"/>
      <c r="C24" s="54" t="s">
        <v>119</v>
      </c>
      <c r="D24" s="54" t="s">
        <v>119</v>
      </c>
      <c r="E24" s="55" t="s">
        <v>121</v>
      </c>
      <c r="F24" s="56">
        <v>7000000</v>
      </c>
      <c r="G24" s="57" t="s">
        <v>17</v>
      </c>
      <c r="H24" s="58" t="s">
        <v>17</v>
      </c>
      <c r="I24" s="59" t="s">
        <v>320</v>
      </c>
      <c r="J24" s="60"/>
    </row>
    <row r="25" spans="1:10" ht="24.75" customHeight="1" x14ac:dyDescent="0.25">
      <c r="A25" s="43"/>
      <c r="B25" s="53"/>
      <c r="C25" s="54" t="s">
        <v>110</v>
      </c>
      <c r="D25" s="54" t="s">
        <v>110</v>
      </c>
      <c r="E25" s="55" t="s">
        <v>111</v>
      </c>
      <c r="F25" s="56">
        <v>7500000</v>
      </c>
      <c r="G25" s="57" t="s">
        <v>17</v>
      </c>
      <c r="H25" s="58" t="s">
        <v>17</v>
      </c>
      <c r="I25" s="59" t="s">
        <v>279</v>
      </c>
      <c r="J25" s="60"/>
    </row>
    <row r="26" spans="1:10" ht="24.75" customHeight="1" x14ac:dyDescent="0.25">
      <c r="A26" s="43"/>
      <c r="B26" s="53"/>
      <c r="C26" s="54" t="s">
        <v>112</v>
      </c>
      <c r="D26" s="54" t="s">
        <v>112</v>
      </c>
      <c r="E26" s="55" t="s">
        <v>113</v>
      </c>
      <c r="F26" s="56">
        <v>17500000</v>
      </c>
      <c r="G26" s="57" t="s">
        <v>17</v>
      </c>
      <c r="H26" s="58" t="s">
        <v>17</v>
      </c>
      <c r="I26" s="59" t="s">
        <v>280</v>
      </c>
      <c r="J26" s="60"/>
    </row>
    <row r="27" spans="1:10" ht="24.75" customHeight="1" x14ac:dyDescent="0.25">
      <c r="A27" s="43"/>
      <c r="B27" s="53"/>
      <c r="C27" s="54" t="s">
        <v>29</v>
      </c>
      <c r="D27" s="54" t="s">
        <v>114</v>
      </c>
      <c r="E27" s="55" t="s">
        <v>129</v>
      </c>
      <c r="F27" s="56">
        <v>3800000</v>
      </c>
      <c r="G27" s="57" t="s">
        <v>17</v>
      </c>
      <c r="H27" s="58" t="s">
        <v>16</v>
      </c>
      <c r="I27" s="59" t="s">
        <v>281</v>
      </c>
      <c r="J27" s="60" t="s">
        <v>95</v>
      </c>
    </row>
    <row r="28" spans="1:10" ht="24.75" customHeight="1" x14ac:dyDescent="0.25">
      <c r="A28" s="43"/>
      <c r="B28" s="53"/>
      <c r="C28" s="54" t="s">
        <v>115</v>
      </c>
      <c r="D28" s="54" t="s">
        <v>27</v>
      </c>
      <c r="E28" s="55" t="s">
        <v>117</v>
      </c>
      <c r="F28" s="56">
        <v>4000000</v>
      </c>
      <c r="G28" s="57" t="s">
        <v>17</v>
      </c>
      <c r="H28" s="58" t="s">
        <v>17</v>
      </c>
      <c r="I28" s="59" t="s">
        <v>282</v>
      </c>
      <c r="J28" s="60"/>
    </row>
    <row r="29" spans="1:10" ht="24.75" customHeight="1" x14ac:dyDescent="0.25">
      <c r="A29" s="43"/>
      <c r="B29" s="53"/>
      <c r="C29" s="54" t="s">
        <v>162</v>
      </c>
      <c r="D29" s="54" t="s">
        <v>116</v>
      </c>
      <c r="E29" s="55" t="s">
        <v>120</v>
      </c>
      <c r="F29" s="56">
        <v>1000000</v>
      </c>
      <c r="G29" s="57" t="s">
        <v>17</v>
      </c>
      <c r="H29" s="58" t="s">
        <v>17</v>
      </c>
      <c r="I29" s="59" t="s">
        <v>283</v>
      </c>
      <c r="J29" s="60"/>
    </row>
    <row r="30" spans="1:10" ht="24.75" customHeight="1" x14ac:dyDescent="0.25">
      <c r="A30" s="43"/>
      <c r="B30" s="53"/>
      <c r="C30" s="54" t="s">
        <v>300</v>
      </c>
      <c r="D30" s="54" t="s">
        <v>99</v>
      </c>
      <c r="E30" s="55" t="s">
        <v>152</v>
      </c>
      <c r="F30" s="56"/>
      <c r="G30" s="57" t="s">
        <v>49</v>
      </c>
      <c r="H30" s="58" t="s">
        <v>17</v>
      </c>
      <c r="I30" s="59"/>
      <c r="J30" s="60"/>
    </row>
    <row r="31" spans="1:10" ht="24.75" customHeight="1" x14ac:dyDescent="0.25">
      <c r="A31" s="43"/>
      <c r="B31" s="53"/>
      <c r="C31" s="54"/>
      <c r="D31" s="54"/>
      <c r="E31" s="55"/>
      <c r="F31" s="56"/>
      <c r="G31" s="57"/>
      <c r="H31" s="58"/>
      <c r="I31" s="59"/>
      <c r="J31" s="60"/>
    </row>
    <row r="32" spans="1:10" ht="24.75" customHeight="1" x14ac:dyDescent="0.25">
      <c r="A32" s="43"/>
      <c r="B32" s="62" t="s">
        <v>6</v>
      </c>
      <c r="C32" s="45" t="s">
        <v>37</v>
      </c>
      <c r="D32" s="61"/>
      <c r="E32" s="47"/>
      <c r="F32" s="48">
        <f>SUM(F33:F45)</f>
        <v>101000000</v>
      </c>
      <c r="G32" s="49"/>
      <c r="H32" s="50"/>
      <c r="I32" s="51"/>
      <c r="J32" s="52"/>
    </row>
    <row r="33" spans="1:10" ht="24.75" customHeight="1" x14ac:dyDescent="0.25">
      <c r="A33" s="43"/>
      <c r="B33" s="53"/>
      <c r="C33" s="54" t="s">
        <v>173</v>
      </c>
      <c r="D33" s="54" t="s">
        <v>6</v>
      </c>
      <c r="E33" s="55" t="s">
        <v>142</v>
      </c>
      <c r="F33" s="56"/>
      <c r="G33" s="57" t="s">
        <v>17</v>
      </c>
      <c r="H33" s="58" t="s">
        <v>16</v>
      </c>
      <c r="I33" s="59" t="s">
        <v>143</v>
      </c>
      <c r="J33" s="60"/>
    </row>
    <row r="34" spans="1:10" ht="24.75" customHeight="1" x14ac:dyDescent="0.25">
      <c r="A34" s="43"/>
      <c r="B34" s="53"/>
      <c r="C34" s="54" t="s">
        <v>130</v>
      </c>
      <c r="D34" s="54" t="s">
        <v>130</v>
      </c>
      <c r="E34" s="55" t="s">
        <v>139</v>
      </c>
      <c r="F34" s="56"/>
      <c r="G34" s="57" t="s">
        <v>79</v>
      </c>
      <c r="H34" s="58" t="s">
        <v>17</v>
      </c>
      <c r="I34" s="59"/>
      <c r="J34" s="60"/>
    </row>
    <row r="35" spans="1:10" ht="24.75" customHeight="1" x14ac:dyDescent="0.25">
      <c r="A35" s="43"/>
      <c r="B35" s="53"/>
      <c r="C35" s="54" t="s">
        <v>131</v>
      </c>
      <c r="D35" s="54" t="s">
        <v>131</v>
      </c>
      <c r="E35" s="55" t="s">
        <v>141</v>
      </c>
      <c r="F35" s="56">
        <v>20000000</v>
      </c>
      <c r="G35" s="57" t="s">
        <v>17</v>
      </c>
      <c r="H35" s="58" t="s">
        <v>16</v>
      </c>
      <c r="I35" s="59" t="s">
        <v>145</v>
      </c>
      <c r="J35" s="60"/>
    </row>
    <row r="36" spans="1:10" ht="24.75" customHeight="1" x14ac:dyDescent="0.25">
      <c r="A36" s="43"/>
      <c r="B36" s="53"/>
      <c r="C36" s="54" t="s">
        <v>132</v>
      </c>
      <c r="D36" s="54" t="s">
        <v>132</v>
      </c>
      <c r="E36" s="55" t="s">
        <v>140</v>
      </c>
      <c r="F36" s="56">
        <v>40000000</v>
      </c>
      <c r="G36" s="57" t="s">
        <v>17</v>
      </c>
      <c r="H36" s="58" t="s">
        <v>16</v>
      </c>
      <c r="I36" s="59" t="s">
        <v>143</v>
      </c>
      <c r="J36" s="60"/>
    </row>
    <row r="37" spans="1:10" ht="24.75" customHeight="1" x14ac:dyDescent="0.25">
      <c r="A37" s="43"/>
      <c r="B37" s="53"/>
      <c r="C37" s="54" t="s">
        <v>133</v>
      </c>
      <c r="D37" s="54" t="s">
        <v>133</v>
      </c>
      <c r="E37" s="55" t="s">
        <v>98</v>
      </c>
      <c r="F37" s="56">
        <v>1000000</v>
      </c>
      <c r="G37" s="57" t="s">
        <v>17</v>
      </c>
      <c r="H37" s="58" t="s">
        <v>16</v>
      </c>
      <c r="I37" s="59" t="s">
        <v>143</v>
      </c>
      <c r="J37" s="60"/>
    </row>
    <row r="38" spans="1:10" ht="24.75" customHeight="1" x14ac:dyDescent="0.25">
      <c r="A38" s="43"/>
      <c r="B38" s="53"/>
      <c r="C38" s="54" t="s">
        <v>57</v>
      </c>
      <c r="D38" s="54" t="s">
        <v>134</v>
      </c>
      <c r="E38" s="55" t="s">
        <v>98</v>
      </c>
      <c r="F38" s="56">
        <v>2000000</v>
      </c>
      <c r="G38" s="57" t="s">
        <v>17</v>
      </c>
      <c r="H38" s="58" t="s">
        <v>16</v>
      </c>
      <c r="I38" s="59" t="s">
        <v>143</v>
      </c>
      <c r="J38" s="60"/>
    </row>
    <row r="39" spans="1:10" ht="24.75" customHeight="1" x14ac:dyDescent="0.25">
      <c r="A39" s="43"/>
      <c r="B39" s="53"/>
      <c r="C39" s="54" t="s">
        <v>135</v>
      </c>
      <c r="D39" s="54" t="s">
        <v>135</v>
      </c>
      <c r="E39" s="55" t="s">
        <v>98</v>
      </c>
      <c r="F39" s="56">
        <v>30000000</v>
      </c>
      <c r="G39" s="57" t="s">
        <v>17</v>
      </c>
      <c r="H39" s="58" t="s">
        <v>16</v>
      </c>
      <c r="I39" s="59" t="s">
        <v>143</v>
      </c>
      <c r="J39" s="60"/>
    </row>
    <row r="40" spans="1:10" ht="24.75" customHeight="1" x14ac:dyDescent="0.25">
      <c r="A40" s="43"/>
      <c r="B40" s="53"/>
      <c r="C40" s="54" t="s">
        <v>136</v>
      </c>
      <c r="D40" s="54" t="s">
        <v>136</v>
      </c>
      <c r="E40" s="55" t="s">
        <v>98</v>
      </c>
      <c r="F40" s="56">
        <v>5000000</v>
      </c>
      <c r="G40" s="57" t="s">
        <v>17</v>
      </c>
      <c r="H40" s="58" t="s">
        <v>16</v>
      </c>
      <c r="I40" s="59" t="s">
        <v>143</v>
      </c>
      <c r="J40" s="60"/>
    </row>
    <row r="41" spans="1:10" ht="24.75" customHeight="1" x14ac:dyDescent="0.25">
      <c r="A41" s="43"/>
      <c r="B41" s="53"/>
      <c r="C41" s="54" t="s">
        <v>137</v>
      </c>
      <c r="D41" s="54" t="s">
        <v>137</v>
      </c>
      <c r="E41" s="55" t="s">
        <v>98</v>
      </c>
      <c r="F41" s="56">
        <v>2000000</v>
      </c>
      <c r="G41" s="57" t="s">
        <v>17</v>
      </c>
      <c r="H41" s="58" t="s">
        <v>16</v>
      </c>
      <c r="I41" s="59" t="s">
        <v>143</v>
      </c>
      <c r="J41" s="60"/>
    </row>
    <row r="42" spans="1:10" ht="24.75" customHeight="1" x14ac:dyDescent="0.25">
      <c r="A42" s="43"/>
      <c r="B42" s="53"/>
      <c r="C42" s="54" t="s">
        <v>87</v>
      </c>
      <c r="D42" s="54" t="s">
        <v>255</v>
      </c>
      <c r="E42" s="55" t="s">
        <v>289</v>
      </c>
      <c r="F42" s="56">
        <v>1000000</v>
      </c>
      <c r="G42" s="57" t="s">
        <v>17</v>
      </c>
      <c r="H42" s="58" t="s">
        <v>16</v>
      </c>
      <c r="I42" s="59" t="s">
        <v>143</v>
      </c>
      <c r="J42" s="60"/>
    </row>
    <row r="43" spans="1:10" ht="24.75" customHeight="1" x14ac:dyDescent="0.25">
      <c r="A43" s="43"/>
      <c r="B43" s="53"/>
      <c r="C43" s="54" t="s">
        <v>138</v>
      </c>
      <c r="D43" s="54" t="s">
        <v>138</v>
      </c>
      <c r="E43" s="55" t="s">
        <v>107</v>
      </c>
      <c r="F43" s="56"/>
      <c r="G43" s="57" t="s">
        <v>64</v>
      </c>
      <c r="H43" s="58" t="s">
        <v>17</v>
      </c>
      <c r="I43" s="59"/>
      <c r="J43" s="60"/>
    </row>
    <row r="44" spans="1:10" ht="24.75" customHeight="1" x14ac:dyDescent="0.25">
      <c r="A44" s="43"/>
      <c r="B44" s="53"/>
      <c r="C44" s="54" t="s">
        <v>163</v>
      </c>
      <c r="D44" s="54" t="s">
        <v>108</v>
      </c>
      <c r="E44" s="55" t="s">
        <v>107</v>
      </c>
      <c r="F44" s="56"/>
      <c r="G44" s="57" t="s">
        <v>63</v>
      </c>
      <c r="H44" s="58" t="s">
        <v>17</v>
      </c>
      <c r="I44" s="59"/>
      <c r="J44" s="60"/>
    </row>
    <row r="45" spans="1:10" ht="24.75" customHeight="1" x14ac:dyDescent="0.25">
      <c r="A45" s="43"/>
      <c r="B45" s="53"/>
      <c r="C45" s="54"/>
      <c r="D45" s="54"/>
      <c r="E45" s="55"/>
      <c r="F45" s="56"/>
      <c r="G45" s="57"/>
      <c r="H45" s="58"/>
      <c r="I45" s="59"/>
      <c r="J45" s="60"/>
    </row>
    <row r="46" spans="1:10" ht="24.75" customHeight="1" x14ac:dyDescent="0.25">
      <c r="A46" s="43"/>
      <c r="B46" s="62" t="s">
        <v>7</v>
      </c>
      <c r="C46" s="45" t="s">
        <v>37</v>
      </c>
      <c r="D46" s="61"/>
      <c r="E46" s="47"/>
      <c r="F46" s="48">
        <f>SUM(F47:F51)</f>
        <v>10000000</v>
      </c>
      <c r="G46" s="49"/>
      <c r="H46" s="50"/>
      <c r="I46" s="51"/>
      <c r="J46" s="52"/>
    </row>
    <row r="47" spans="1:10" ht="24.75" customHeight="1" x14ac:dyDescent="0.25">
      <c r="A47" s="43"/>
      <c r="B47" s="53"/>
      <c r="C47" s="54" t="s">
        <v>164</v>
      </c>
      <c r="D47" s="54" t="s">
        <v>20</v>
      </c>
      <c r="E47" s="55" t="s">
        <v>177</v>
      </c>
      <c r="F47" s="56">
        <v>10000000</v>
      </c>
      <c r="G47" s="57" t="s">
        <v>17</v>
      </c>
      <c r="H47" s="58" t="s">
        <v>17</v>
      </c>
      <c r="I47" s="59" t="s">
        <v>284</v>
      </c>
      <c r="J47" s="60"/>
    </row>
    <row r="48" spans="1:10" ht="24.75" customHeight="1" x14ac:dyDescent="0.25">
      <c r="A48" s="43"/>
      <c r="B48" s="53"/>
      <c r="C48" s="54"/>
      <c r="D48" s="54"/>
      <c r="E48" s="55"/>
      <c r="F48" s="56"/>
      <c r="G48" s="57"/>
      <c r="H48" s="58"/>
      <c r="I48" s="59"/>
      <c r="J48" s="60"/>
    </row>
    <row r="49" spans="1:10" ht="24.75" customHeight="1" x14ac:dyDescent="0.25">
      <c r="A49" s="43"/>
      <c r="B49" s="53"/>
      <c r="C49" s="54"/>
      <c r="D49" s="54"/>
      <c r="E49" s="55"/>
      <c r="F49" s="56"/>
      <c r="G49" s="57"/>
      <c r="H49" s="58"/>
      <c r="I49" s="59"/>
      <c r="J49" s="60"/>
    </row>
    <row r="50" spans="1:10" ht="24.75" customHeight="1" x14ac:dyDescent="0.25">
      <c r="A50" s="43"/>
      <c r="B50" s="53"/>
      <c r="C50" s="54"/>
      <c r="D50" s="54"/>
      <c r="E50" s="55"/>
      <c r="F50" s="56"/>
      <c r="G50" s="57"/>
      <c r="H50" s="58"/>
      <c r="I50" s="59"/>
      <c r="J50" s="60"/>
    </row>
    <row r="51" spans="1:10" ht="24.75" customHeight="1" x14ac:dyDescent="0.25">
      <c r="A51" s="43"/>
      <c r="B51" s="53"/>
      <c r="C51" s="54"/>
      <c r="D51" s="54"/>
      <c r="E51" s="55"/>
      <c r="F51" s="56"/>
      <c r="G51" s="57"/>
      <c r="H51" s="58"/>
      <c r="I51" s="59"/>
      <c r="J51" s="60"/>
    </row>
    <row r="52" spans="1:10" ht="24.75" customHeight="1" x14ac:dyDescent="0.25">
      <c r="A52" s="43"/>
      <c r="B52" s="62" t="s">
        <v>96</v>
      </c>
      <c r="C52" s="45" t="s">
        <v>37</v>
      </c>
      <c r="D52" s="61"/>
      <c r="E52" s="47"/>
      <c r="F52" s="48">
        <f>SUM(F54:F62)</f>
        <v>5000000</v>
      </c>
      <c r="G52" s="49"/>
      <c r="H52" s="50"/>
      <c r="I52" s="51"/>
      <c r="J52" s="52"/>
    </row>
    <row r="53" spans="1:10" ht="24.75" customHeight="1" x14ac:dyDescent="0.25">
      <c r="A53" s="43"/>
      <c r="B53" s="63"/>
      <c r="C53" s="64" t="s">
        <v>292</v>
      </c>
      <c r="D53" s="54" t="s">
        <v>291</v>
      </c>
      <c r="E53" s="55" t="s">
        <v>293</v>
      </c>
      <c r="F53" s="56">
        <v>1000000</v>
      </c>
      <c r="G53" s="57" t="s">
        <v>17</v>
      </c>
      <c r="H53" s="58" t="s">
        <v>17</v>
      </c>
      <c r="I53" s="59" t="s">
        <v>294</v>
      </c>
      <c r="J53" s="65"/>
    </row>
    <row r="54" spans="1:10" ht="24.75" customHeight="1" x14ac:dyDescent="0.25">
      <c r="A54" s="43"/>
      <c r="B54" s="66"/>
      <c r="C54" s="54" t="s">
        <v>11</v>
      </c>
      <c r="D54" s="54" t="s">
        <v>130</v>
      </c>
      <c r="E54" s="55" t="s">
        <v>166</v>
      </c>
      <c r="F54" s="56">
        <v>5000000</v>
      </c>
      <c r="G54" s="57" t="s">
        <v>17</v>
      </c>
      <c r="H54" s="58" t="s">
        <v>17</v>
      </c>
      <c r="I54" s="59" t="s">
        <v>144</v>
      </c>
      <c r="J54" s="60"/>
    </row>
    <row r="55" spans="1:10" ht="24.75" customHeight="1" x14ac:dyDescent="0.25">
      <c r="A55" s="43"/>
      <c r="B55" s="66"/>
      <c r="C55" s="54" t="s">
        <v>32</v>
      </c>
      <c r="D55" s="54" t="s">
        <v>165</v>
      </c>
      <c r="E55" s="55" t="s">
        <v>97</v>
      </c>
      <c r="F55" s="56"/>
      <c r="G55" s="57" t="s">
        <v>17</v>
      </c>
      <c r="H55" s="58" t="s">
        <v>17</v>
      </c>
      <c r="I55" s="59" t="s">
        <v>146</v>
      </c>
      <c r="J55" s="60" t="s">
        <v>167</v>
      </c>
    </row>
    <row r="56" spans="1:10" ht="24.75" customHeight="1" x14ac:dyDescent="0.25">
      <c r="A56" s="43"/>
      <c r="B56" s="66"/>
      <c r="C56" s="54" t="s">
        <v>273</v>
      </c>
      <c r="D56" s="54" t="s">
        <v>273</v>
      </c>
      <c r="E56" s="55" t="s">
        <v>287</v>
      </c>
      <c r="F56" s="56"/>
      <c r="G56" s="57" t="s">
        <v>44</v>
      </c>
      <c r="H56" s="58" t="s">
        <v>17</v>
      </c>
      <c r="I56" s="59"/>
      <c r="J56" s="60"/>
    </row>
    <row r="57" spans="1:10" ht="24.75" customHeight="1" x14ac:dyDescent="0.25">
      <c r="A57" s="43"/>
      <c r="B57" s="66"/>
      <c r="C57" s="54" t="s">
        <v>255</v>
      </c>
      <c r="D57" s="54" t="s">
        <v>255</v>
      </c>
      <c r="E57" s="55" t="s">
        <v>288</v>
      </c>
      <c r="F57" s="56"/>
      <c r="G57" s="57" t="s">
        <v>70</v>
      </c>
      <c r="H57" s="58" t="s">
        <v>17</v>
      </c>
      <c r="I57" s="59"/>
      <c r="J57" s="60"/>
    </row>
    <row r="58" spans="1:10" ht="24.75" customHeight="1" x14ac:dyDescent="0.25">
      <c r="A58" s="43"/>
      <c r="B58" s="66"/>
      <c r="C58" s="54"/>
      <c r="D58" s="54"/>
      <c r="E58" s="55"/>
      <c r="F58" s="56"/>
      <c r="G58" s="57"/>
      <c r="H58" s="58"/>
      <c r="I58" s="59"/>
      <c r="J58" s="60"/>
    </row>
    <row r="59" spans="1:10" ht="24.75" customHeight="1" x14ac:dyDescent="0.25">
      <c r="A59" s="43"/>
      <c r="B59" s="66"/>
      <c r="C59" s="54"/>
      <c r="D59" s="67"/>
      <c r="E59" s="68"/>
      <c r="F59" s="69"/>
      <c r="G59" s="70"/>
      <c r="H59" s="58"/>
      <c r="I59" s="71"/>
      <c r="J59" s="72"/>
    </row>
    <row r="60" spans="1:10" ht="24.75" customHeight="1" x14ac:dyDescent="0.25">
      <c r="A60" s="43"/>
      <c r="B60" s="66"/>
      <c r="C60" s="54"/>
      <c r="D60" s="67"/>
      <c r="E60" s="68"/>
      <c r="F60" s="69"/>
      <c r="G60" s="70"/>
      <c r="H60" s="58"/>
      <c r="I60" s="71"/>
      <c r="J60" s="72"/>
    </row>
    <row r="61" spans="1:10" ht="24.75" customHeight="1" x14ac:dyDescent="0.25">
      <c r="A61" s="43"/>
      <c r="B61" s="66"/>
      <c r="C61" s="54"/>
      <c r="D61" s="67"/>
      <c r="E61" s="68"/>
      <c r="F61" s="69"/>
      <c r="G61" s="70"/>
      <c r="H61" s="58"/>
      <c r="I61" s="71"/>
      <c r="J61" s="72"/>
    </row>
    <row r="62" spans="1:10" ht="24.75" customHeight="1" thickBot="1" x14ac:dyDescent="0.3">
      <c r="A62" s="43"/>
      <c r="B62" s="66"/>
      <c r="C62" s="54"/>
      <c r="D62" s="67"/>
      <c r="E62" s="68"/>
      <c r="F62" s="69"/>
      <c r="G62" s="70"/>
      <c r="H62" s="58"/>
      <c r="I62" s="71"/>
      <c r="J62" s="72"/>
    </row>
    <row r="63" spans="1:10" ht="24.75" customHeight="1" x14ac:dyDescent="0.25">
      <c r="A63" s="43"/>
      <c r="B63" s="73" t="s">
        <v>8</v>
      </c>
      <c r="C63" s="74"/>
      <c r="D63" s="75"/>
      <c r="E63" s="76"/>
      <c r="F63" s="77">
        <f>SUM(F52,F46,F32,F21,F8)</f>
        <v>509700000</v>
      </c>
      <c r="G63" s="78"/>
      <c r="H63" s="79"/>
      <c r="I63" s="80"/>
      <c r="J63" s="81"/>
    </row>
    <row r="64" spans="1:10" ht="24.75" customHeight="1" x14ac:dyDescent="0.25">
      <c r="A64" s="43"/>
      <c r="B64" s="82" t="s">
        <v>13</v>
      </c>
      <c r="C64" s="53"/>
      <c r="D64" s="83"/>
      <c r="E64" s="84"/>
      <c r="F64" s="56"/>
      <c r="G64" s="57"/>
      <c r="H64" s="58"/>
      <c r="I64" s="59"/>
      <c r="J64" s="85"/>
    </row>
    <row r="65" spans="1:10" ht="24.75" customHeight="1" thickBot="1" x14ac:dyDescent="0.3">
      <c r="A65" s="43"/>
      <c r="B65" s="86" t="s">
        <v>14</v>
      </c>
      <c r="C65" s="87"/>
      <c r="D65" s="88"/>
      <c r="E65" s="89"/>
      <c r="F65" s="90">
        <f>SUM(F63:F64)</f>
        <v>509700000</v>
      </c>
      <c r="G65" s="91"/>
      <c r="H65" s="92"/>
      <c r="I65" s="93"/>
      <c r="J65" s="94"/>
    </row>
    <row r="66" spans="1:10" x14ac:dyDescent="0.25">
      <c r="A66" s="43"/>
    </row>
    <row r="67" spans="1:10" x14ac:dyDescent="0.25">
      <c r="A67" s="43"/>
      <c r="B67" s="95"/>
      <c r="C67" s="95"/>
      <c r="D67" s="95"/>
      <c r="E67" s="95"/>
      <c r="F67" s="95"/>
      <c r="G67" s="95"/>
    </row>
    <row r="68" spans="1:10" x14ac:dyDescent="0.25">
      <c r="A68" s="43"/>
      <c r="B68" s="95"/>
      <c r="C68" s="95"/>
      <c r="D68" s="95"/>
      <c r="E68" s="95"/>
      <c r="F68" s="95"/>
      <c r="G68" s="95"/>
    </row>
    <row r="69" spans="1:10" ht="144.75" customHeight="1" x14ac:dyDescent="0.25">
      <c r="A69" s="43"/>
      <c r="B69" s="12" t="s">
        <v>12</v>
      </c>
      <c r="C69" s="13"/>
      <c r="D69" s="13"/>
      <c r="E69" s="14"/>
      <c r="F69" s="15" t="s">
        <v>234</v>
      </c>
      <c r="G69" s="15" t="s">
        <v>18</v>
      </c>
      <c r="H69" s="15" t="s">
        <v>321</v>
      </c>
      <c r="I69" s="18" t="s">
        <v>322</v>
      </c>
    </row>
    <row r="70" spans="1:10" ht="29.1" customHeight="1" x14ac:dyDescent="0.25">
      <c r="A70" s="43"/>
      <c r="B70" s="96"/>
      <c r="C70" s="97"/>
      <c r="D70" s="54" t="s">
        <v>22</v>
      </c>
      <c r="E70" s="55" t="s">
        <v>191</v>
      </c>
      <c r="F70" s="56">
        <v>580500000</v>
      </c>
      <c r="G70" s="58" t="s">
        <v>17</v>
      </c>
      <c r="H70" s="59" t="s">
        <v>192</v>
      </c>
      <c r="I70" s="98"/>
    </row>
    <row r="71" spans="1:10" ht="26.25" thickBot="1" x14ac:dyDescent="0.3">
      <c r="A71" s="43"/>
      <c r="B71" s="96"/>
      <c r="C71" s="97"/>
      <c r="D71" s="54" t="s">
        <v>193</v>
      </c>
      <c r="E71" s="55" t="s">
        <v>194</v>
      </c>
      <c r="F71" s="56">
        <v>-23400000</v>
      </c>
      <c r="G71" s="58" t="s">
        <v>17</v>
      </c>
      <c r="H71" s="59"/>
      <c r="I71" s="98"/>
    </row>
    <row r="72" spans="1:10" x14ac:dyDescent="0.25">
      <c r="A72" s="43"/>
      <c r="B72" s="96"/>
      <c r="C72" s="97"/>
      <c r="D72" s="99" t="s">
        <v>24</v>
      </c>
      <c r="E72" s="55"/>
      <c r="F72" s="100"/>
      <c r="G72" s="78"/>
      <c r="H72" s="101"/>
      <c r="I72" s="102"/>
    </row>
    <row r="73" spans="1:10" x14ac:dyDescent="0.25">
      <c r="A73" s="43"/>
      <c r="B73" s="96"/>
      <c r="C73" s="97"/>
      <c r="D73" s="103"/>
      <c r="E73" s="55"/>
      <c r="F73" s="100"/>
      <c r="G73" s="104"/>
      <c r="H73" s="101"/>
      <c r="I73" s="102"/>
    </row>
    <row r="74" spans="1:10" x14ac:dyDescent="0.25">
      <c r="A74" s="43"/>
      <c r="B74" s="96"/>
      <c r="C74" s="97"/>
      <c r="D74" s="103"/>
      <c r="E74" s="55"/>
      <c r="F74" s="100"/>
      <c r="G74" s="104"/>
      <c r="H74" s="101"/>
      <c r="I74" s="102"/>
    </row>
    <row r="75" spans="1:10" x14ac:dyDescent="0.25">
      <c r="A75" s="43"/>
      <c r="B75" s="96"/>
      <c r="C75" s="97"/>
      <c r="D75" s="103"/>
      <c r="E75" s="55"/>
      <c r="F75" s="100"/>
      <c r="G75" s="104"/>
      <c r="H75" s="101"/>
      <c r="I75" s="102"/>
    </row>
    <row r="76" spans="1:10" x14ac:dyDescent="0.25">
      <c r="A76" s="43"/>
      <c r="B76" s="96"/>
      <c r="C76" s="97"/>
      <c r="D76" s="103"/>
      <c r="E76" s="55"/>
      <c r="F76" s="100"/>
      <c r="G76" s="104"/>
      <c r="H76" s="101"/>
      <c r="I76" s="102"/>
    </row>
    <row r="77" spans="1:10" x14ac:dyDescent="0.25">
      <c r="A77" s="43"/>
      <c r="B77" s="96"/>
      <c r="C77" s="97"/>
      <c r="D77" s="103"/>
      <c r="E77" s="55"/>
      <c r="F77" s="100"/>
      <c r="G77" s="104"/>
      <c r="H77" s="101"/>
      <c r="I77" s="102"/>
    </row>
    <row r="78" spans="1:10" x14ac:dyDescent="0.25">
      <c r="A78" s="43"/>
      <c r="B78" s="96"/>
      <c r="C78" s="97"/>
      <c r="D78" s="103"/>
      <c r="E78" s="55"/>
      <c r="F78" s="100"/>
      <c r="G78" s="104"/>
      <c r="H78" s="101"/>
      <c r="I78" s="102"/>
    </row>
    <row r="79" spans="1:10" x14ac:dyDescent="0.25">
      <c r="A79" s="43"/>
      <c r="B79" s="96"/>
      <c r="C79" s="97"/>
      <c r="D79" s="103"/>
      <c r="E79" s="55"/>
      <c r="F79" s="100"/>
      <c r="G79" s="104"/>
      <c r="H79" s="101"/>
      <c r="I79" s="102"/>
    </row>
    <row r="80" spans="1:10" ht="15.75" thickBot="1" x14ac:dyDescent="0.3">
      <c r="A80" s="43"/>
      <c r="B80" s="96"/>
      <c r="C80" s="97"/>
      <c r="D80" s="103"/>
      <c r="E80" s="55"/>
      <c r="F80" s="100"/>
      <c r="G80" s="104"/>
      <c r="H80" s="101"/>
      <c r="I80" s="102"/>
    </row>
    <row r="81" spans="1:9" ht="15.75" thickBot="1" x14ac:dyDescent="0.3">
      <c r="A81" s="43"/>
      <c r="B81" s="96" t="s">
        <v>37</v>
      </c>
      <c r="C81" s="97"/>
      <c r="D81" s="75"/>
      <c r="E81" s="76"/>
      <c r="F81" s="90">
        <f>SUM(F70:F80)</f>
        <v>557100000</v>
      </c>
      <c r="G81" s="76"/>
      <c r="H81" s="76"/>
      <c r="I81" s="105"/>
    </row>
    <row r="82" spans="1:9" x14ac:dyDescent="0.25"/>
    <row r="83" spans="1:9" x14ac:dyDescent="0.25"/>
    <row r="84" spans="1:9" x14ac:dyDescent="0.25"/>
  </sheetData>
  <customSheetViews>
    <customSheetView guid="{FB49BFC2-A848-45FA-AA3C-8477D6D91108}" scale="85" topLeftCell="B1">
      <selection activeCell="E1" sqref="E1"/>
      <pageMargins left="0.7" right="0.7" top="0.75" bottom="0.75" header="0.3" footer="0.3"/>
      <pageSetup paperSize="9" orientation="portrait" r:id="rId1"/>
    </customSheetView>
    <customSheetView guid="{A2C19381-75FF-477A-8BE0-7009833AC668}" scale="85" topLeftCell="B1">
      <selection activeCell="E1" sqref="E1"/>
      <pageMargins left="0.7" right="0.7" top="0.75" bottom="0.75" header="0.3" footer="0.3"/>
      <pageSetup paperSize="9" orientation="portrait" r:id="rId2"/>
    </customSheetView>
    <customSheetView guid="{E5900907-1888-4FFF-864F-DD5B3409D93E}" scale="85">
      <selection activeCell="E14" sqref="E14"/>
      <pageMargins left="0.7" right="0.7" top="0.75" bottom="0.75" header="0.3" footer="0.3"/>
      <pageSetup paperSize="9" orientation="portrait" r:id="rId3"/>
    </customSheetView>
    <customSheetView guid="{7AD87B7F-9199-42FC-BEC0-5D87B351AA1F}" scale="85" topLeftCell="B1">
      <selection activeCell="E1" sqref="E1"/>
      <pageMargins left="0.7" right="0.7" top="0.75" bottom="0.75" header="0.3" footer="0.3"/>
      <pageSetup paperSize="9" orientation="portrait" r:id="rId4"/>
    </customSheetView>
    <customSheetView guid="{2CF4DFDC-090F-49D9-830B-AF00F7B250E1}" scale="85" topLeftCell="B1">
      <selection activeCell="E1" sqref="E1"/>
      <pageMargins left="0.7" right="0.7" top="0.75" bottom="0.75" header="0.3" footer="0.3"/>
      <pageSetup paperSize="9" orientation="portrait" r:id="rId5"/>
    </customSheetView>
  </customSheetViews>
  <mergeCells count="4">
    <mergeCell ref="B3:J3"/>
    <mergeCell ref="B6:C6"/>
    <mergeCell ref="D6:J6"/>
    <mergeCell ref="B4:F4"/>
  </mergeCells>
  <dataValidations count="2">
    <dataValidation type="list" allowBlank="1" showInputMessage="1" showErrorMessage="1" sqref="H46 H21 H8 H32 H52" xr:uid="{00000000-0002-0000-0300-000000000000}">
      <formula1>$S$4:$S$5</formula1>
    </dataValidation>
    <dataValidation type="list" allowBlank="1" showInputMessage="1" showErrorMessage="1" sqref="H22:H31 H64 H47:H51 H33:H45 H72:H81 H54:H62 H9:H20 G70:G71" xr:uid="{00000000-0002-0000-0300-000001000000}">
      <formula1>$S$3:$S$4</formula1>
    </dataValidation>
  </dataValidations>
  <pageMargins left="0.7" right="0.7" top="0.75" bottom="0.75" header="0.3" footer="0.3"/>
  <pageSetup paperSize="9" orientation="portrait" r:id="rId6"/>
  <legacyDrawing r:id="rId7"/>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300-000002000000}">
          <x14:formula1>
            <xm:f>'C:\Users\gurauma\AppData\Roaming\OpenText\OTEdit\EC_darwin\c105842289\[Survey on ICAAP and ILAAP approaches - to be filled by JSTs.xlsx]Drop down lists'!#REF!</xm:f>
          </x14:formula1>
          <xm:sqref>H65 H63</xm:sqref>
        </x14:dataValidation>
        <x14:dataValidation type="list" allowBlank="1" showInputMessage="1" showErrorMessage="1" xr:uid="{00000000-0002-0000-0300-000007000000}">
          <x14:formula1>
            <xm:f>'Drop-down lists '!$B$81:$B$107</xm:f>
          </x14:formula1>
          <xm:sqref>C33:C45</xm:sqref>
        </x14:dataValidation>
        <x14:dataValidation type="list" allowBlank="1" showInputMessage="1" showErrorMessage="1" xr:uid="{00000000-0002-0000-0300-000005000000}">
          <x14:formula1>
            <xm:f>'Drop-down lists '!$B$34:$B$61</xm:f>
          </x14:formula1>
          <xm:sqref>C22:C31</xm:sqref>
        </x14:dataValidation>
        <x14:dataValidation type="list" allowBlank="1" showInputMessage="1" showErrorMessage="1" xr:uid="{00000000-0002-0000-0300-000006000000}">
          <x14:formula1>
            <xm:f>'Drop-down lists '!$B$63:$B$79</xm:f>
          </x14:formula1>
          <xm:sqref>C47:C51</xm:sqref>
        </x14:dataValidation>
        <x14:dataValidation type="list" allowBlank="1" showInputMessage="1" showErrorMessage="1" xr:uid="{00000000-0002-0000-0300-000003000000}">
          <x14:formula1>
            <xm:f>'Drop-down lists '!$B$109:$B$129</xm:f>
          </x14:formula1>
          <xm:sqref>C54:C62</xm:sqref>
        </x14:dataValidation>
        <x14:dataValidation type="list" allowBlank="1" showInputMessage="1" showErrorMessage="1" xr:uid="{00000000-0002-0000-0300-000004000000}">
          <x14:formula1>
            <xm:f>'Drop-down lists '!$B$2:$B$19</xm:f>
          </x14:formula1>
          <xm:sqref>C20</xm:sqref>
        </x14:dataValidation>
        <x14:dataValidation type="list" allowBlank="1" showInputMessage="1" showErrorMessage="1" xr:uid="{86899E77-509E-4397-93F8-53BA9DF6F428}">
          <x14:formula1>
            <xm:f>'Drop-down lists '!$B$2:$B$30</xm:f>
          </x14:formula1>
          <xm:sqref>C9:C19</xm:sqref>
        </x14:dataValidation>
        <x14:dataValidation type="list" allowBlank="1" showInputMessage="1" showErrorMessage="1" xr:uid="{00000000-0002-0000-0300-000008000000}">
          <x14:formula1>
            <xm:f>'Drop-down lists '!$C$81:$C$103</xm:f>
          </x14:formula1>
          <xm:sqref>G64</xm:sqref>
        </x14:dataValidation>
        <x14:dataValidation type="list" allowBlank="1" showInputMessage="1" showErrorMessage="1" xr:uid="{1565980B-A21A-4008-B2D6-D1694EAF69A3}">
          <x14:formula1>
            <xm:f>'Drop-down lists '!$C$81:$C$130</xm:f>
          </x14:formula1>
          <xm:sqref>G47:G51 G33:G45 G22:G31 G54:G62 G9:G20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129"/>
  <sheetViews>
    <sheetView topLeftCell="A28" zoomScaleNormal="100" workbookViewId="0">
      <selection activeCell="B23" sqref="A23:B23"/>
    </sheetView>
  </sheetViews>
  <sheetFormatPr defaultColWidth="9.140625" defaultRowHeight="15" x14ac:dyDescent="0.25"/>
  <cols>
    <col min="1" max="1" width="15" style="24" bestFit="1" customWidth="1"/>
    <col min="2" max="2" width="43.42578125" style="24" bestFit="1" customWidth="1"/>
    <col min="3" max="3" width="11" style="24" customWidth="1"/>
    <col min="4" max="7" width="9.140625" style="24"/>
    <col min="8" max="8" width="52.42578125" style="24" bestFit="1" customWidth="1"/>
    <col min="9" max="16384" width="9.140625" style="24"/>
  </cols>
  <sheetData>
    <row r="1" spans="1:9" ht="32.85" customHeight="1" x14ac:dyDescent="0.25">
      <c r="B1" s="177" t="s">
        <v>123</v>
      </c>
      <c r="C1" s="178" t="s">
        <v>124</v>
      </c>
      <c r="H1" s="177"/>
      <c r="I1" s="178"/>
    </row>
    <row r="2" spans="1:9" x14ac:dyDescent="0.25">
      <c r="A2" s="24" t="s">
        <v>21</v>
      </c>
      <c r="B2" s="24" t="s">
        <v>168</v>
      </c>
      <c r="C2" s="24" t="s">
        <v>17</v>
      </c>
    </row>
    <row r="3" spans="1:9" x14ac:dyDescent="0.25">
      <c r="A3" s="24" t="s">
        <v>21</v>
      </c>
      <c r="B3" s="24" t="s">
        <v>9</v>
      </c>
      <c r="C3" s="24" t="s">
        <v>38</v>
      </c>
    </row>
    <row r="4" spans="1:9" x14ac:dyDescent="0.25">
      <c r="A4" s="24" t="s">
        <v>21</v>
      </c>
      <c r="B4" s="24" t="s">
        <v>25</v>
      </c>
      <c r="C4" s="24" t="s">
        <v>306</v>
      </c>
    </row>
    <row r="5" spans="1:9" x14ac:dyDescent="0.25">
      <c r="A5" s="24" t="s">
        <v>21</v>
      </c>
      <c r="B5" s="24" t="s">
        <v>10</v>
      </c>
      <c r="C5" s="24" t="s">
        <v>39</v>
      </c>
    </row>
    <row r="6" spans="1:9" x14ac:dyDescent="0.25">
      <c r="A6" s="24" t="s">
        <v>21</v>
      </c>
      <c r="B6" s="24" t="s">
        <v>239</v>
      </c>
      <c r="C6" s="24" t="s">
        <v>40</v>
      </c>
    </row>
    <row r="7" spans="1:9" x14ac:dyDescent="0.25">
      <c r="A7" s="24" t="s">
        <v>21</v>
      </c>
      <c r="B7" s="24" t="s">
        <v>334</v>
      </c>
      <c r="C7" s="24" t="s">
        <v>41</v>
      </c>
    </row>
    <row r="8" spans="1:9" x14ac:dyDescent="0.25">
      <c r="A8" s="24" t="s">
        <v>21</v>
      </c>
      <c r="B8" s="24" t="s">
        <v>250</v>
      </c>
      <c r="C8" s="24" t="s">
        <v>42</v>
      </c>
    </row>
    <row r="9" spans="1:9" x14ac:dyDescent="0.25">
      <c r="A9" s="24" t="s">
        <v>21</v>
      </c>
      <c r="B9" s="179" t="s">
        <v>251</v>
      </c>
      <c r="C9" s="24" t="s">
        <v>43</v>
      </c>
      <c r="H9" s="179"/>
    </row>
    <row r="10" spans="1:9" x14ac:dyDescent="0.25">
      <c r="A10" s="24" t="s">
        <v>21</v>
      </c>
      <c r="B10" s="179" t="s">
        <v>252</v>
      </c>
      <c r="C10" s="24" t="s">
        <v>44</v>
      </c>
      <c r="H10" s="179"/>
    </row>
    <row r="11" spans="1:9" x14ac:dyDescent="0.25">
      <c r="A11" s="24" t="s">
        <v>21</v>
      </c>
      <c r="B11" s="24" t="s">
        <v>253</v>
      </c>
      <c r="C11" s="24" t="s">
        <v>45</v>
      </c>
    </row>
    <row r="12" spans="1:9" x14ac:dyDescent="0.25">
      <c r="A12" s="24" t="s">
        <v>21</v>
      </c>
      <c r="B12" s="24" t="s">
        <v>275</v>
      </c>
      <c r="C12" s="24" t="s">
        <v>46</v>
      </c>
    </row>
    <row r="13" spans="1:9" x14ac:dyDescent="0.25">
      <c r="A13" s="24" t="s">
        <v>21</v>
      </c>
      <c r="B13" s="24" t="s">
        <v>257</v>
      </c>
      <c r="C13" s="24" t="s">
        <v>47</v>
      </c>
    </row>
    <row r="14" spans="1:9" x14ac:dyDescent="0.25">
      <c r="A14" s="24" t="s">
        <v>21</v>
      </c>
      <c r="B14" s="24" t="s">
        <v>259</v>
      </c>
      <c r="C14" s="24" t="s">
        <v>48</v>
      </c>
    </row>
    <row r="15" spans="1:9" x14ac:dyDescent="0.25">
      <c r="A15" s="24" t="s">
        <v>21</v>
      </c>
      <c r="B15" s="24" t="s">
        <v>260</v>
      </c>
      <c r="C15" s="24" t="s">
        <v>197</v>
      </c>
    </row>
    <row r="16" spans="1:9" x14ac:dyDescent="0.25">
      <c r="A16" s="24" t="s">
        <v>21</v>
      </c>
      <c r="B16" s="24" t="s">
        <v>172</v>
      </c>
      <c r="C16" s="24" t="s">
        <v>198</v>
      </c>
    </row>
    <row r="17" spans="1:3" x14ac:dyDescent="0.25">
      <c r="A17" s="24" t="s">
        <v>21</v>
      </c>
      <c r="B17" s="24" t="s">
        <v>272</v>
      </c>
      <c r="C17" s="24" t="s">
        <v>199</v>
      </c>
    </row>
    <row r="18" spans="1:3" x14ac:dyDescent="0.25">
      <c r="A18" s="24" t="s">
        <v>21</v>
      </c>
      <c r="B18" s="24" t="s">
        <v>23</v>
      </c>
      <c r="C18" s="24" t="s">
        <v>49</v>
      </c>
    </row>
    <row r="19" spans="1:3" x14ac:dyDescent="0.25">
      <c r="A19" s="24" t="s">
        <v>21</v>
      </c>
      <c r="B19" s="24" t="s">
        <v>4</v>
      </c>
      <c r="C19" s="24" t="s">
        <v>304</v>
      </c>
    </row>
    <row r="20" spans="1:3" x14ac:dyDescent="0.25">
      <c r="A20" s="24" t="s">
        <v>21</v>
      </c>
      <c r="B20" s="24" t="s">
        <v>254</v>
      </c>
      <c r="C20" s="24" t="s">
        <v>305</v>
      </c>
    </row>
    <row r="21" spans="1:3" x14ac:dyDescent="0.25">
      <c r="A21" s="24" t="s">
        <v>21</v>
      </c>
      <c r="B21" s="24" t="s">
        <v>248</v>
      </c>
      <c r="C21" s="24" t="s">
        <v>50</v>
      </c>
    </row>
    <row r="22" spans="1:3" x14ac:dyDescent="0.25">
      <c r="A22" s="24" t="s">
        <v>21</v>
      </c>
      <c r="B22" s="24" t="s">
        <v>296</v>
      </c>
      <c r="C22" s="24" t="s">
        <v>51</v>
      </c>
    </row>
    <row r="23" spans="1:3" x14ac:dyDescent="0.25">
      <c r="A23" s="24" t="s">
        <v>21</v>
      </c>
      <c r="B23" s="24" t="s">
        <v>258</v>
      </c>
      <c r="C23" s="24" t="s">
        <v>52</v>
      </c>
    </row>
    <row r="24" spans="1:3" x14ac:dyDescent="0.25">
      <c r="A24" s="24" t="s">
        <v>21</v>
      </c>
      <c r="B24" s="24" t="s">
        <v>274</v>
      </c>
      <c r="C24" s="24" t="s">
        <v>53</v>
      </c>
    </row>
    <row r="25" spans="1:3" x14ac:dyDescent="0.25">
      <c r="A25" s="24" t="s">
        <v>21</v>
      </c>
      <c r="B25" s="24" t="s">
        <v>273</v>
      </c>
      <c r="C25" s="24" t="s">
        <v>54</v>
      </c>
    </row>
    <row r="26" spans="1:3" x14ac:dyDescent="0.25">
      <c r="A26" s="24" t="s">
        <v>21</v>
      </c>
      <c r="B26" s="24" t="s">
        <v>87</v>
      </c>
      <c r="C26" s="24" t="s">
        <v>55</v>
      </c>
    </row>
    <row r="27" spans="1:3" x14ac:dyDescent="0.25">
      <c r="A27" s="24" t="s">
        <v>21</v>
      </c>
      <c r="B27" s="24" t="s">
        <v>88</v>
      </c>
      <c r="C27" s="24" t="s">
        <v>56</v>
      </c>
    </row>
    <row r="28" spans="1:3" x14ac:dyDescent="0.25">
      <c r="A28" s="24" t="s">
        <v>21</v>
      </c>
      <c r="B28" s="24" t="s">
        <v>89</v>
      </c>
      <c r="C28" s="24" t="s">
        <v>200</v>
      </c>
    </row>
    <row r="29" spans="1:3" x14ac:dyDescent="0.25">
      <c r="A29" s="24" t="s">
        <v>21</v>
      </c>
      <c r="B29" s="24" t="s">
        <v>90</v>
      </c>
      <c r="C29" s="24" t="s">
        <v>201</v>
      </c>
    </row>
    <row r="30" spans="1:3" x14ac:dyDescent="0.25">
      <c r="A30" s="24" t="s">
        <v>21</v>
      </c>
      <c r="B30" s="24" t="s">
        <v>91</v>
      </c>
      <c r="C30" s="24" t="s">
        <v>202</v>
      </c>
    </row>
    <row r="31" spans="1:3" x14ac:dyDescent="0.25">
      <c r="A31" s="24" t="s">
        <v>21</v>
      </c>
      <c r="B31" s="24" t="s">
        <v>92</v>
      </c>
      <c r="C31" s="24" t="s">
        <v>203</v>
      </c>
    </row>
    <row r="32" spans="1:3" x14ac:dyDescent="0.25">
      <c r="A32" s="24" t="s">
        <v>21</v>
      </c>
      <c r="B32" s="24" t="s">
        <v>93</v>
      </c>
      <c r="C32" s="24" t="s">
        <v>204</v>
      </c>
    </row>
    <row r="33" spans="1:4" x14ac:dyDescent="0.25">
      <c r="C33" s="24" t="s">
        <v>203</v>
      </c>
    </row>
    <row r="34" spans="1:4" x14ac:dyDescent="0.25">
      <c r="A34" s="24" t="s">
        <v>26</v>
      </c>
      <c r="B34" s="24" t="s">
        <v>169</v>
      </c>
      <c r="C34" s="24" t="s">
        <v>204</v>
      </c>
    </row>
    <row r="35" spans="1:4" x14ac:dyDescent="0.25">
      <c r="A35" s="24" t="s">
        <v>26</v>
      </c>
      <c r="B35" s="24" t="s">
        <v>299</v>
      </c>
      <c r="C35" s="24" t="s">
        <v>73</v>
      </c>
    </row>
    <row r="36" spans="1:4" x14ac:dyDescent="0.25">
      <c r="A36" s="183" t="s">
        <v>26</v>
      </c>
      <c r="B36" s="183" t="s">
        <v>335</v>
      </c>
      <c r="C36" s="183" t="s">
        <v>74</v>
      </c>
      <c r="D36" s="184" t="s">
        <v>344</v>
      </c>
    </row>
    <row r="37" spans="1:4" x14ac:dyDescent="0.25">
      <c r="A37" s="24" t="s">
        <v>26</v>
      </c>
      <c r="B37" s="24" t="s">
        <v>297</v>
      </c>
      <c r="C37" s="24" t="s">
        <v>75</v>
      </c>
    </row>
    <row r="38" spans="1:4" x14ac:dyDescent="0.25">
      <c r="A38" s="183" t="s">
        <v>26</v>
      </c>
      <c r="B38" s="183" t="s">
        <v>240</v>
      </c>
      <c r="C38" s="183" t="s">
        <v>76</v>
      </c>
      <c r="D38" s="184" t="s">
        <v>344</v>
      </c>
    </row>
    <row r="39" spans="1:4" x14ac:dyDescent="0.25">
      <c r="A39" s="24" t="s">
        <v>26</v>
      </c>
      <c r="B39" s="24" t="s">
        <v>336</v>
      </c>
      <c r="C39" s="24" t="s">
        <v>77</v>
      </c>
    </row>
    <row r="40" spans="1:4" x14ac:dyDescent="0.25">
      <c r="A40" s="24" t="s">
        <v>26</v>
      </c>
      <c r="B40" s="24" t="s">
        <v>298</v>
      </c>
      <c r="C40" s="24" t="s">
        <v>208</v>
      </c>
    </row>
    <row r="41" spans="1:4" x14ac:dyDescent="0.25">
      <c r="A41" s="24" t="s">
        <v>26</v>
      </c>
      <c r="B41" s="24" t="s">
        <v>247</v>
      </c>
      <c r="C41" s="24" t="s">
        <v>209</v>
      </c>
    </row>
    <row r="42" spans="1:4" x14ac:dyDescent="0.25">
      <c r="A42" s="24" t="s">
        <v>26</v>
      </c>
      <c r="B42" s="24" t="s">
        <v>277</v>
      </c>
      <c r="C42" s="24" t="s">
        <v>210</v>
      </c>
    </row>
    <row r="43" spans="1:4" x14ac:dyDescent="0.25">
      <c r="A43" s="24" t="s">
        <v>26</v>
      </c>
      <c r="B43" s="24" t="s">
        <v>27</v>
      </c>
      <c r="C43" s="24" t="s">
        <v>211</v>
      </c>
    </row>
    <row r="44" spans="1:4" x14ac:dyDescent="0.25">
      <c r="A44" s="24" t="s">
        <v>26</v>
      </c>
      <c r="B44" s="24" t="s">
        <v>276</v>
      </c>
      <c r="C44" s="24" t="s">
        <v>212</v>
      </c>
    </row>
    <row r="45" spans="1:4" x14ac:dyDescent="0.25">
      <c r="A45" s="24" t="s">
        <v>26</v>
      </c>
      <c r="B45" s="24" t="s">
        <v>29</v>
      </c>
      <c r="C45" s="24" t="s">
        <v>244</v>
      </c>
    </row>
    <row r="46" spans="1:4" x14ac:dyDescent="0.25">
      <c r="A46" s="24" t="s">
        <v>26</v>
      </c>
      <c r="B46" s="24" t="s">
        <v>278</v>
      </c>
      <c r="C46" s="24" t="s">
        <v>269</v>
      </c>
    </row>
    <row r="47" spans="1:4" x14ac:dyDescent="0.25">
      <c r="A47" s="24" t="s">
        <v>26</v>
      </c>
      <c r="B47" s="24" t="s">
        <v>300</v>
      </c>
      <c r="C47" s="24" t="s">
        <v>301</v>
      </c>
    </row>
    <row r="48" spans="1:4" x14ac:dyDescent="0.25">
      <c r="A48" s="24" t="s">
        <v>26</v>
      </c>
      <c r="B48" s="24" t="s">
        <v>241</v>
      </c>
      <c r="C48" s="24" t="s">
        <v>302</v>
      </c>
    </row>
    <row r="49" spans="1:3" x14ac:dyDescent="0.25">
      <c r="A49" s="24" t="s">
        <v>26</v>
      </c>
      <c r="B49" s="24" t="s">
        <v>242</v>
      </c>
      <c r="C49" s="24" t="s">
        <v>303</v>
      </c>
    </row>
    <row r="50" spans="1:3" x14ac:dyDescent="0.25">
      <c r="A50" s="24" t="s">
        <v>26</v>
      </c>
      <c r="B50" s="24" t="s">
        <v>30</v>
      </c>
      <c r="C50" s="24" t="s">
        <v>61</v>
      </c>
    </row>
    <row r="51" spans="1:3" x14ac:dyDescent="0.25">
      <c r="A51" s="24" t="s">
        <v>26</v>
      </c>
      <c r="B51" s="24" t="s">
        <v>254</v>
      </c>
      <c r="C51" s="24" t="s">
        <v>62</v>
      </c>
    </row>
    <row r="52" spans="1:3" x14ac:dyDescent="0.25">
      <c r="A52" s="24" t="s">
        <v>26</v>
      </c>
      <c r="B52" s="24" t="s">
        <v>248</v>
      </c>
      <c r="C52" s="24" t="s">
        <v>63</v>
      </c>
    </row>
    <row r="53" spans="1:3" x14ac:dyDescent="0.25">
      <c r="A53" s="24" t="s">
        <v>26</v>
      </c>
      <c r="B53" s="24" t="s">
        <v>296</v>
      </c>
      <c r="C53" s="24" t="s">
        <v>64</v>
      </c>
    </row>
    <row r="54" spans="1:3" x14ac:dyDescent="0.25">
      <c r="A54" s="24" t="s">
        <v>26</v>
      </c>
      <c r="B54" s="24" t="s">
        <v>258</v>
      </c>
      <c r="C54" s="24" t="s">
        <v>65</v>
      </c>
    </row>
    <row r="55" spans="1:3" x14ac:dyDescent="0.25">
      <c r="A55" s="24" t="s">
        <v>26</v>
      </c>
      <c r="B55" s="24" t="s">
        <v>87</v>
      </c>
      <c r="C55" s="24" t="s">
        <v>66</v>
      </c>
    </row>
    <row r="56" spans="1:3" x14ac:dyDescent="0.25">
      <c r="A56" s="24" t="s">
        <v>26</v>
      </c>
      <c r="B56" s="24" t="s">
        <v>88</v>
      </c>
      <c r="C56" s="24" t="s">
        <v>67</v>
      </c>
    </row>
    <row r="57" spans="1:3" x14ac:dyDescent="0.25">
      <c r="A57" s="24" t="s">
        <v>26</v>
      </c>
      <c r="B57" s="24" t="s">
        <v>89</v>
      </c>
      <c r="C57" s="24" t="s">
        <v>68</v>
      </c>
    </row>
    <row r="58" spans="1:3" x14ac:dyDescent="0.25">
      <c r="A58" s="24" t="s">
        <v>26</v>
      </c>
      <c r="B58" s="24" t="s">
        <v>90</v>
      </c>
      <c r="C58" s="24" t="s">
        <v>69</v>
      </c>
    </row>
    <row r="59" spans="1:3" x14ac:dyDescent="0.25">
      <c r="A59" s="24" t="s">
        <v>26</v>
      </c>
      <c r="B59" s="24" t="s">
        <v>91</v>
      </c>
      <c r="C59" s="24" t="s">
        <v>70</v>
      </c>
    </row>
    <row r="60" spans="1:3" x14ac:dyDescent="0.25">
      <c r="A60" s="24" t="s">
        <v>26</v>
      </c>
      <c r="B60" s="24" t="s">
        <v>92</v>
      </c>
      <c r="C60" s="24" t="s">
        <v>71</v>
      </c>
    </row>
    <row r="61" spans="1:3" x14ac:dyDescent="0.25">
      <c r="A61" s="24" t="s">
        <v>26</v>
      </c>
      <c r="B61" s="24" t="s">
        <v>93</v>
      </c>
      <c r="C61" s="24" t="s">
        <v>72</v>
      </c>
    </row>
    <row r="62" spans="1:3" x14ac:dyDescent="0.25">
      <c r="C62" s="24" t="s">
        <v>205</v>
      </c>
    </row>
    <row r="63" spans="1:3" x14ac:dyDescent="0.25">
      <c r="A63" s="24" t="s">
        <v>20</v>
      </c>
      <c r="B63" s="24" t="s">
        <v>164</v>
      </c>
      <c r="C63" s="24" t="s">
        <v>206</v>
      </c>
    </row>
    <row r="64" spans="1:3" x14ac:dyDescent="0.25">
      <c r="A64" s="24" t="s">
        <v>20</v>
      </c>
      <c r="B64" s="24" t="s">
        <v>30</v>
      </c>
      <c r="C64" s="24" t="s">
        <v>207</v>
      </c>
    </row>
    <row r="65" spans="1:3" x14ac:dyDescent="0.25">
      <c r="A65" s="24" t="s">
        <v>20</v>
      </c>
      <c r="B65" s="24" t="s">
        <v>31</v>
      </c>
      <c r="C65" s="24" t="s">
        <v>78</v>
      </c>
    </row>
    <row r="66" spans="1:3" x14ac:dyDescent="0.25">
      <c r="A66" s="24" t="s">
        <v>20</v>
      </c>
      <c r="B66" s="24" t="s">
        <v>295</v>
      </c>
      <c r="C66" s="24" t="s">
        <v>79</v>
      </c>
    </row>
    <row r="67" spans="1:3" x14ac:dyDescent="0.25">
      <c r="A67" s="182" t="s">
        <v>20</v>
      </c>
      <c r="B67" s="182" t="s">
        <v>335</v>
      </c>
      <c r="C67" s="182" t="s">
        <v>341</v>
      </c>
    </row>
    <row r="68" spans="1:3" x14ac:dyDescent="0.25">
      <c r="A68" s="182" t="s">
        <v>20</v>
      </c>
      <c r="B68" s="182" t="s">
        <v>240</v>
      </c>
      <c r="C68" s="182" t="s">
        <v>342</v>
      </c>
    </row>
    <row r="69" spans="1:3" x14ac:dyDescent="0.25">
      <c r="A69" s="182" t="s">
        <v>20</v>
      </c>
      <c r="B69" s="182" t="s">
        <v>272</v>
      </c>
      <c r="C69" s="182" t="s">
        <v>343</v>
      </c>
    </row>
    <row r="70" spans="1:3" x14ac:dyDescent="0.25">
      <c r="A70" s="24" t="s">
        <v>20</v>
      </c>
      <c r="B70" s="24" t="s">
        <v>248</v>
      </c>
      <c r="C70" s="24" t="s">
        <v>80</v>
      </c>
    </row>
    <row r="71" spans="1:3" x14ac:dyDescent="0.25">
      <c r="A71" s="24" t="s">
        <v>20</v>
      </c>
      <c r="B71" s="24" t="s">
        <v>296</v>
      </c>
      <c r="C71" s="24" t="s">
        <v>81</v>
      </c>
    </row>
    <row r="72" spans="1:3" x14ac:dyDescent="0.25">
      <c r="A72" s="24" t="s">
        <v>20</v>
      </c>
      <c r="B72" s="24" t="s">
        <v>258</v>
      </c>
      <c r="C72" s="24" t="s">
        <v>82</v>
      </c>
    </row>
    <row r="73" spans="1:3" x14ac:dyDescent="0.25">
      <c r="A73" s="24" t="s">
        <v>20</v>
      </c>
      <c r="B73" s="24" t="s">
        <v>87</v>
      </c>
      <c r="C73" s="24" t="s">
        <v>83</v>
      </c>
    </row>
    <row r="74" spans="1:3" x14ac:dyDescent="0.25">
      <c r="A74" s="24" t="s">
        <v>20</v>
      </c>
      <c r="B74" s="24" t="s">
        <v>88</v>
      </c>
      <c r="C74" s="24" t="s">
        <v>84</v>
      </c>
    </row>
    <row r="75" spans="1:3" x14ac:dyDescent="0.25">
      <c r="A75" s="24" t="s">
        <v>20</v>
      </c>
      <c r="B75" s="24" t="s">
        <v>89</v>
      </c>
      <c r="C75" s="24" t="s">
        <v>85</v>
      </c>
    </row>
    <row r="76" spans="1:3" x14ac:dyDescent="0.25">
      <c r="A76" s="24" t="s">
        <v>20</v>
      </c>
      <c r="B76" s="24" t="s">
        <v>90</v>
      </c>
      <c r="C76" s="24" t="s">
        <v>86</v>
      </c>
    </row>
    <row r="77" spans="1:3" x14ac:dyDescent="0.25">
      <c r="A77" s="24" t="s">
        <v>20</v>
      </c>
      <c r="B77" s="24" t="s">
        <v>91</v>
      </c>
      <c r="C77" s="24" t="s">
        <v>213</v>
      </c>
    </row>
    <row r="78" spans="1:3" x14ac:dyDescent="0.25">
      <c r="A78" s="24" t="s">
        <v>20</v>
      </c>
      <c r="B78" s="24" t="s">
        <v>92</v>
      </c>
      <c r="C78" s="24" t="s">
        <v>256</v>
      </c>
    </row>
    <row r="79" spans="1:3" x14ac:dyDescent="0.25">
      <c r="A79" s="24" t="s">
        <v>20</v>
      </c>
      <c r="B79" s="24" t="s">
        <v>93</v>
      </c>
    </row>
    <row r="81" spans="1:8" x14ac:dyDescent="0.25">
      <c r="A81" s="24" t="s">
        <v>28</v>
      </c>
      <c r="B81" s="24" t="s">
        <v>170</v>
      </c>
    </row>
    <row r="82" spans="1:8" x14ac:dyDescent="0.25">
      <c r="A82" s="24" t="s">
        <v>28</v>
      </c>
      <c r="B82" s="24" t="s">
        <v>11</v>
      </c>
    </row>
    <row r="83" spans="1:8" x14ac:dyDescent="0.25">
      <c r="A83" s="24" t="s">
        <v>28</v>
      </c>
      <c r="B83" s="24" t="s">
        <v>60</v>
      </c>
    </row>
    <row r="84" spans="1:8" x14ac:dyDescent="0.25">
      <c r="A84" s="24" t="s">
        <v>28</v>
      </c>
      <c r="B84" s="24" t="s">
        <v>59</v>
      </c>
    </row>
    <row r="85" spans="1:8" x14ac:dyDescent="0.25">
      <c r="A85" s="24" t="s">
        <v>28</v>
      </c>
      <c r="B85" s="24" t="s">
        <v>57</v>
      </c>
      <c r="H85" s="179"/>
    </row>
    <row r="86" spans="1:8" x14ac:dyDescent="0.25">
      <c r="A86" s="24" t="s">
        <v>28</v>
      </c>
      <c r="B86" s="24" t="s">
        <v>262</v>
      </c>
    </row>
    <row r="87" spans="1:8" x14ac:dyDescent="0.25">
      <c r="A87" s="24" t="s">
        <v>28</v>
      </c>
      <c r="B87" s="179" t="s">
        <v>245</v>
      </c>
    </row>
    <row r="88" spans="1:8" x14ac:dyDescent="0.25">
      <c r="A88" s="24" t="s">
        <v>28</v>
      </c>
      <c r="B88" s="24" t="s">
        <v>261</v>
      </c>
    </row>
    <row r="89" spans="1:8" x14ac:dyDescent="0.25">
      <c r="A89" s="24" t="s">
        <v>28</v>
      </c>
      <c r="B89" s="24" t="s">
        <v>58</v>
      </c>
    </row>
    <row r="90" spans="1:8" x14ac:dyDescent="0.25">
      <c r="A90" s="24" t="s">
        <v>28</v>
      </c>
      <c r="B90" s="24" t="s">
        <v>248</v>
      </c>
    </row>
    <row r="91" spans="1:8" x14ac:dyDescent="0.25">
      <c r="A91" s="24" t="s">
        <v>28</v>
      </c>
      <c r="B91" s="24" t="s">
        <v>263</v>
      </c>
    </row>
    <row r="92" spans="1:8" x14ac:dyDescent="0.25">
      <c r="A92" s="24" t="s">
        <v>28</v>
      </c>
      <c r="B92" s="24" t="s">
        <v>264</v>
      </c>
    </row>
    <row r="93" spans="1:8" x14ac:dyDescent="0.25">
      <c r="A93" s="24" t="s">
        <v>28</v>
      </c>
      <c r="B93" s="24" t="s">
        <v>265</v>
      </c>
    </row>
    <row r="94" spans="1:8" x14ac:dyDescent="0.25">
      <c r="A94" s="24" t="s">
        <v>28</v>
      </c>
      <c r="B94" s="24" t="s">
        <v>266</v>
      </c>
    </row>
    <row r="95" spans="1:8" x14ac:dyDescent="0.25">
      <c r="A95" s="24" t="s">
        <v>28</v>
      </c>
      <c r="B95" s="24" t="s">
        <v>267</v>
      </c>
    </row>
    <row r="96" spans="1:8" x14ac:dyDescent="0.25">
      <c r="A96" s="24" t="s">
        <v>28</v>
      </c>
      <c r="B96" s="24" t="s">
        <v>268</v>
      </c>
    </row>
    <row r="97" spans="1:2" x14ac:dyDescent="0.25">
      <c r="A97" s="24" t="s">
        <v>28</v>
      </c>
      <c r="B97" s="24" t="s">
        <v>255</v>
      </c>
    </row>
    <row r="98" spans="1:2" x14ac:dyDescent="0.25">
      <c r="A98" s="24" t="s">
        <v>28</v>
      </c>
      <c r="B98" s="24" t="s">
        <v>296</v>
      </c>
    </row>
    <row r="99" spans="1:2" x14ac:dyDescent="0.25">
      <c r="A99" s="24" t="s">
        <v>28</v>
      </c>
      <c r="B99" s="24" t="s">
        <v>258</v>
      </c>
    </row>
    <row r="100" spans="1:2" x14ac:dyDescent="0.25">
      <c r="A100" s="24" t="s">
        <v>28</v>
      </c>
      <c r="B100" s="24" t="s">
        <v>338</v>
      </c>
    </row>
    <row r="101" spans="1:2" x14ac:dyDescent="0.25">
      <c r="A101" s="24" t="s">
        <v>28</v>
      </c>
      <c r="B101" s="24" t="s">
        <v>87</v>
      </c>
    </row>
    <row r="102" spans="1:2" x14ac:dyDescent="0.25">
      <c r="A102" s="24" t="s">
        <v>28</v>
      </c>
      <c r="B102" s="24" t="s">
        <v>88</v>
      </c>
    </row>
    <row r="103" spans="1:2" x14ac:dyDescent="0.25">
      <c r="A103" s="24" t="s">
        <v>28</v>
      </c>
      <c r="B103" s="24" t="s">
        <v>89</v>
      </c>
    </row>
    <row r="104" spans="1:2" x14ac:dyDescent="0.25">
      <c r="A104" s="24" t="s">
        <v>28</v>
      </c>
      <c r="B104" s="24" t="s">
        <v>90</v>
      </c>
    </row>
    <row r="105" spans="1:2" x14ac:dyDescent="0.25">
      <c r="A105" s="24" t="s">
        <v>28</v>
      </c>
      <c r="B105" s="24" t="s">
        <v>91</v>
      </c>
    </row>
    <row r="106" spans="1:2" x14ac:dyDescent="0.25">
      <c r="A106" s="24" t="s">
        <v>28</v>
      </c>
      <c r="B106" s="24" t="s">
        <v>92</v>
      </c>
    </row>
    <row r="107" spans="1:2" x14ac:dyDescent="0.25">
      <c r="A107" s="24" t="s">
        <v>28</v>
      </c>
      <c r="B107" s="24" t="s">
        <v>93</v>
      </c>
    </row>
    <row r="109" spans="1:2" x14ac:dyDescent="0.25">
      <c r="A109" s="24" t="s">
        <v>246</v>
      </c>
      <c r="B109" s="24" t="s">
        <v>171</v>
      </c>
    </row>
    <row r="110" spans="1:2" x14ac:dyDescent="0.25">
      <c r="A110" s="24" t="s">
        <v>246</v>
      </c>
      <c r="B110" s="24" t="s">
        <v>249</v>
      </c>
    </row>
    <row r="111" spans="1:2" x14ac:dyDescent="0.25">
      <c r="A111" s="24" t="s">
        <v>246</v>
      </c>
      <c r="B111" s="24" t="s">
        <v>274</v>
      </c>
    </row>
    <row r="112" spans="1:2" x14ac:dyDescent="0.25">
      <c r="A112" s="24" t="s">
        <v>246</v>
      </c>
      <c r="B112" s="24" t="s">
        <v>270</v>
      </c>
    </row>
    <row r="113" spans="1:2" x14ac:dyDescent="0.25">
      <c r="A113" s="24" t="s">
        <v>246</v>
      </c>
      <c r="B113" s="24" t="s">
        <v>172</v>
      </c>
    </row>
    <row r="114" spans="1:2" x14ac:dyDescent="0.25">
      <c r="A114" s="24" t="s">
        <v>246</v>
      </c>
      <c r="B114" s="24" t="s">
        <v>271</v>
      </c>
    </row>
    <row r="115" spans="1:2" x14ac:dyDescent="0.25">
      <c r="A115" s="24" t="s">
        <v>246</v>
      </c>
      <c r="B115" s="24" t="s">
        <v>272</v>
      </c>
    </row>
    <row r="116" spans="1:2" x14ac:dyDescent="0.25">
      <c r="A116" s="24" t="s">
        <v>246</v>
      </c>
      <c r="B116" s="24" t="s">
        <v>337</v>
      </c>
    </row>
    <row r="117" spans="1:2" x14ac:dyDescent="0.25">
      <c r="A117" s="24" t="s">
        <v>246</v>
      </c>
      <c r="B117" s="24" t="s">
        <v>11</v>
      </c>
    </row>
    <row r="118" spans="1:2" x14ac:dyDescent="0.25">
      <c r="A118" s="24" t="s">
        <v>246</v>
      </c>
      <c r="B118" s="24" t="s">
        <v>254</v>
      </c>
    </row>
    <row r="119" spans="1:2" x14ac:dyDescent="0.25">
      <c r="A119" s="24" t="s">
        <v>246</v>
      </c>
      <c r="B119" s="24" t="s">
        <v>248</v>
      </c>
    </row>
    <row r="120" spans="1:2" x14ac:dyDescent="0.25">
      <c r="A120" s="24" t="s">
        <v>246</v>
      </c>
      <c r="B120" s="24" t="s">
        <v>255</v>
      </c>
    </row>
    <row r="121" spans="1:2" x14ac:dyDescent="0.25">
      <c r="A121" s="24" t="s">
        <v>246</v>
      </c>
      <c r="B121" s="24" t="s">
        <v>273</v>
      </c>
    </row>
    <row r="122" spans="1:2" x14ac:dyDescent="0.25">
      <c r="A122" s="24" t="s">
        <v>246</v>
      </c>
      <c r="B122" s="24" t="s">
        <v>296</v>
      </c>
    </row>
    <row r="123" spans="1:2" x14ac:dyDescent="0.25">
      <c r="A123" s="24" t="s">
        <v>246</v>
      </c>
      <c r="B123" s="24" t="s">
        <v>87</v>
      </c>
    </row>
    <row r="124" spans="1:2" x14ac:dyDescent="0.25">
      <c r="A124" s="24" t="s">
        <v>246</v>
      </c>
      <c r="B124" s="24" t="s">
        <v>88</v>
      </c>
    </row>
    <row r="125" spans="1:2" x14ac:dyDescent="0.25">
      <c r="A125" s="24" t="s">
        <v>246</v>
      </c>
      <c r="B125" s="24" t="s">
        <v>89</v>
      </c>
    </row>
    <row r="126" spans="1:2" x14ac:dyDescent="0.25">
      <c r="A126" s="24" t="s">
        <v>246</v>
      </c>
      <c r="B126" s="24" t="s">
        <v>90</v>
      </c>
    </row>
    <row r="127" spans="1:2" x14ac:dyDescent="0.25">
      <c r="A127" s="24" t="s">
        <v>246</v>
      </c>
      <c r="B127" s="24" t="s">
        <v>91</v>
      </c>
    </row>
    <row r="128" spans="1:2" x14ac:dyDescent="0.25">
      <c r="A128" s="24" t="s">
        <v>246</v>
      </c>
      <c r="B128" s="24" t="s">
        <v>92</v>
      </c>
    </row>
    <row r="129" spans="1:2" x14ac:dyDescent="0.25">
      <c r="A129" s="24" t="s">
        <v>246</v>
      </c>
      <c r="B129" s="24" t="s">
        <v>93</v>
      </c>
    </row>
  </sheetData>
  <customSheetViews>
    <customSheetView guid="{FB49BFC2-A848-45FA-AA3C-8477D6D91108}">
      <selection activeCell="B93" sqref="B93"/>
      <pageMargins left="0.7" right="0.7" top="0.75" bottom="0.75" header="0.3" footer="0.3"/>
      <pageSetup paperSize="9" orientation="landscape" r:id="rId1"/>
    </customSheetView>
    <customSheetView guid="{A2C19381-75FF-477A-8BE0-7009833AC668}">
      <selection activeCell="B93" sqref="B93"/>
      <pageMargins left="0.7" right="0.7" top="0.75" bottom="0.75" header="0.3" footer="0.3"/>
      <pageSetup paperSize="9" orientation="landscape" r:id="rId2"/>
    </customSheetView>
    <customSheetView guid="{E5900907-1888-4FFF-864F-DD5B3409D93E}">
      <selection activeCell="B93" sqref="B93"/>
      <pageMargins left="0.7" right="0.7" top="0.75" bottom="0.75" header="0.3" footer="0.3"/>
      <pageSetup paperSize="9" orientation="landscape" r:id="rId3"/>
    </customSheetView>
    <customSheetView guid="{7AD87B7F-9199-42FC-BEC0-5D87B351AA1F}">
      <selection activeCell="B93" sqref="B93"/>
      <pageMargins left="0.7" right="0.7" top="0.75" bottom="0.75" header="0.3" footer="0.3"/>
      <pageSetup paperSize="9" orientation="landscape" r:id="rId4"/>
    </customSheetView>
    <customSheetView guid="{2CF4DFDC-090F-49D9-830B-AF00F7B250E1}">
      <selection activeCell="B93" sqref="B93"/>
      <pageMargins left="0.7" right="0.7" top="0.75" bottom="0.75" header="0.3" footer="0.3"/>
      <pageSetup paperSize="9" orientation="landscape" r:id="rId5"/>
    </customSheetView>
  </customSheetViews>
  <phoneticPr fontId="13" type="noConversion"/>
  <pageMargins left="0.7" right="0.7" top="0.75" bottom="0.75" header="0.3" footer="0.3"/>
  <pageSetup paperSize="9" orientation="landscape"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C5AFF81D-F798-43AD-A764-DB0F6EABA163}"/>
</file>

<file path=customXml/itemProps2.xml><?xml version="1.0" encoding="utf-8"?>
<ds:datastoreItem xmlns:ds="http://schemas.openxmlformats.org/officeDocument/2006/customXml" ds:itemID="{9C3D06C0-A160-4248-859F-FDFC65A8030F}"/>
</file>

<file path=customXml/itemProps3.xml><?xml version="1.0" encoding="utf-8"?>
<ds:datastoreItem xmlns:ds="http://schemas.openxmlformats.org/officeDocument/2006/customXml" ds:itemID="{291BDD87-73B1-42A6-9F02-26B5E8C9D6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0_ReadMe</vt:lpstr>
      <vt:lpstr>0_Identification</vt:lpstr>
      <vt:lpstr>1_ICAAPrisk+cap</vt:lpstr>
      <vt:lpstr>2_Example</vt:lpstr>
      <vt:lpstr>Drop-down lists </vt:lpstr>
      <vt:lpstr>'2_Example'!Print_Area</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European Central Bank</dc:creator>
  <cp:lastModifiedBy>Nicolae, Antonia-Ioana</cp:lastModifiedBy>
  <cp:lastPrinted>2016-09-21T15:14:18Z</cp:lastPrinted>
  <dcterms:created xsi:type="dcterms:W3CDTF">2015-11-09T09:12:40Z</dcterms:created>
  <dcterms:modified xsi:type="dcterms:W3CDTF">2023-10-09T08:54:40Z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{A944EC24-3588-4DAA-AA0C-CDA31A7B492E}</vt:lpwstr>
  </property>
  <property fmtid="{D5CDD505-2E9C-101B-9397-08002B2CF9AE}" pid="3" name="ContentTypeId">
    <vt:lpwstr>0x010100845A6BCA4ACA584C9A1C03FD3956D51C</vt:lpwstr>
  </property>
</Properties>
</file>