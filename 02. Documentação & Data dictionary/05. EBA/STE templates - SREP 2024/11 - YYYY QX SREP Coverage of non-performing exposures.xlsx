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codeName="ThisWorkbook"/>
  <xr:revisionPtr revIDLastSave="0" documentId="13_ncr:1_{949DBA40-DA39-4D41-96AB-74D59BBEB4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_Identification" sheetId="21" r:id="rId1"/>
    <sheet name="1. NPE Stock - total" sheetId="15" r:id="rId2"/>
    <sheet name="2. NPE Addendum - total" sheetId="16" r:id="rId3"/>
    <sheet name="3. Exemptions Annex - Stock" sheetId="18" r:id="rId4"/>
    <sheet name="4. Exemptions Annex - Addendum" sheetId="19" r:id="rId5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'1. NPE Stock - total'!$B$1:$N$23</definedName>
    <definedName name="_xlnm.Print_Area" localSheetId="2">'2. NPE Addendum - total'!$B$1:$P$33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6" l="1"/>
  <c r="F22" i="16" l="1"/>
  <c r="F16" i="15" l="1"/>
  <c r="H23" i="16" l="1"/>
  <c r="I23" i="16"/>
  <c r="J23" i="16"/>
  <c r="K23" i="16"/>
  <c r="L23" i="16"/>
  <c r="M23" i="16"/>
  <c r="N23" i="16"/>
  <c r="O23" i="16"/>
  <c r="P23" i="16"/>
  <c r="G23" i="16"/>
  <c r="H17" i="15"/>
  <c r="I17" i="15"/>
  <c r="J17" i="15"/>
  <c r="K17" i="15"/>
  <c r="L17" i="15"/>
  <c r="M17" i="15"/>
  <c r="N17" i="15"/>
  <c r="G17" i="15"/>
  <c r="F23" i="16" l="1"/>
  <c r="F17" i="15"/>
  <c r="F6" i="16" l="1"/>
  <c r="F6" i="15"/>
  <c r="F25" i="16"/>
  <c r="F26" i="16"/>
  <c r="F27" i="16"/>
  <c r="F28" i="16"/>
  <c r="F29" i="16"/>
  <c r="F24" i="16"/>
  <c r="F19" i="16"/>
  <c r="F16" i="16"/>
  <c r="F13" i="16"/>
  <c r="F13" i="15"/>
  <c r="F10" i="15"/>
  <c r="F19" i="15"/>
  <c r="F20" i="15"/>
  <c r="F21" i="15"/>
  <c r="F22" i="15"/>
  <c r="F23" i="15"/>
  <c r="F18" i="15"/>
  <c r="F33" i="16" l="1"/>
  <c r="F32" i="16"/>
  <c r="F31" i="16"/>
  <c r="F30" i="16"/>
  <c r="F25" i="15"/>
  <c r="F24" i="15"/>
  <c r="O18" i="16" l="1"/>
  <c r="P18" i="16"/>
  <c r="N18" i="16"/>
  <c r="K15" i="16"/>
  <c r="L15" i="16"/>
  <c r="M15" i="16"/>
  <c r="N15" i="16"/>
  <c r="O15" i="16"/>
  <c r="P15" i="16"/>
  <c r="J15" i="16"/>
  <c r="K12" i="16"/>
  <c r="L12" i="16"/>
  <c r="M12" i="16"/>
  <c r="N12" i="16"/>
  <c r="O12" i="16"/>
  <c r="P12" i="16"/>
  <c r="J12" i="16"/>
  <c r="F18" i="16" l="1"/>
  <c r="F15" i="16"/>
  <c r="F12" i="16"/>
  <c r="P9" i="16"/>
  <c r="P8" i="16" s="1"/>
  <c r="O9" i="16"/>
  <c r="O8" i="16" s="1"/>
  <c r="O5" i="16" s="1"/>
  <c r="N9" i="16"/>
  <c r="N8" i="16" s="1"/>
  <c r="N5" i="16" s="1"/>
  <c r="M9" i="16"/>
  <c r="M8" i="16" s="1"/>
  <c r="M5" i="16" s="1"/>
  <c r="L9" i="16"/>
  <c r="L8" i="16" s="1"/>
  <c r="L5" i="16" s="1"/>
  <c r="K9" i="16"/>
  <c r="K8" i="16" s="1"/>
  <c r="K5" i="16" s="1"/>
  <c r="J9" i="16"/>
  <c r="J8" i="16" s="1"/>
  <c r="J5" i="16" s="1"/>
  <c r="I9" i="16"/>
  <c r="N12" i="15"/>
  <c r="F12" i="15" s="1"/>
  <c r="J11" i="15"/>
  <c r="J9" i="15" s="1"/>
  <c r="J8" i="15" s="1"/>
  <c r="J5" i="15" s="1"/>
  <c r="I9" i="15"/>
  <c r="I8" i="15" s="1"/>
  <c r="I5" i="15" s="1"/>
  <c r="P5" i="16" l="1"/>
  <c r="I8" i="16"/>
  <c r="I5" i="16" s="1"/>
  <c r="F9" i="16"/>
  <c r="K11" i="15"/>
  <c r="F5" i="16" l="1"/>
  <c r="F8" i="16"/>
  <c r="L11" i="15"/>
  <c r="K9" i="15"/>
  <c r="K8" i="15" l="1"/>
  <c r="K5" i="15" s="1"/>
  <c r="M11" i="15"/>
  <c r="L9" i="15"/>
  <c r="L8" i="15" s="1"/>
  <c r="L5" i="15" s="1"/>
  <c r="M9" i="15" l="1"/>
  <c r="M8" i="15" s="1"/>
  <c r="M5" i="15" s="1"/>
  <c r="N11" i="15"/>
  <c r="N9" i="15" s="1"/>
  <c r="N8" i="15" s="1"/>
  <c r="N5" i="15" s="1"/>
  <c r="F8" i="15" l="1"/>
  <c r="F5" i="15"/>
  <c r="F9" i="15"/>
</calcChain>
</file>

<file path=xl/sharedStrings.xml><?xml version="1.0" encoding="utf-8"?>
<sst xmlns="http://schemas.openxmlformats.org/spreadsheetml/2006/main" count="839" uniqueCount="325">
  <si>
    <t>Unsecured</t>
  </si>
  <si>
    <t>Factor</t>
  </si>
  <si>
    <t>Other own funds reductions</t>
  </si>
  <si>
    <t>Specific credit risk adjustments</t>
  </si>
  <si>
    <t>Additional valuation adjustments</t>
  </si>
  <si>
    <t>Partial amounts written-off</t>
  </si>
  <si>
    <t>Total</t>
  </si>
  <si>
    <t>Secured by other funded or unfunded credit protection</t>
  </si>
  <si>
    <t>Coverage expectation shortfall</t>
  </si>
  <si>
    <t>Coverage expectation shortfall after proposed exemptions</t>
  </si>
  <si>
    <t>Line item</t>
  </si>
  <si>
    <t>UTP (yes/no)</t>
  </si>
  <si>
    <t>Forborne (yes/no)</t>
  </si>
  <si>
    <t>Time since the last forberance measure was implemented (weighted average)</t>
  </si>
  <si>
    <t>Residual maturity (weighted average)</t>
  </si>
  <si>
    <t xml:space="preserve"> Days-past-due (weighted average)</t>
  </si>
  <si>
    <t>Weighted average vintage</t>
  </si>
  <si>
    <t>Number of forberance measures granted (weighted average)</t>
  </si>
  <si>
    <t>Additional information</t>
  </si>
  <si>
    <t>Exposure value</t>
  </si>
  <si>
    <t>amount (Eur)</t>
  </si>
  <si>
    <t>numeric (months)</t>
  </si>
  <si>
    <t>%</t>
  </si>
  <si>
    <t>numeric (days)</t>
  </si>
  <si>
    <t>free text</t>
  </si>
  <si>
    <t>Time over which ongoing contractual payments have been made (in line with post-forbearance conditions, if applicable) (weighted average)</t>
  </si>
  <si>
    <t>Numeric</t>
  </si>
  <si>
    <t>list of values:</t>
  </si>
  <si>
    <t>Segment</t>
  </si>
  <si>
    <t>Total minimum coverage expectation</t>
  </si>
  <si>
    <t>Secured</t>
  </si>
  <si>
    <t>Exposure Value</t>
  </si>
  <si>
    <t>Unsecured NPEs</t>
  </si>
  <si>
    <t>Minimum coverage expectation</t>
  </si>
  <si>
    <t>Available Coverage</t>
  </si>
  <si>
    <t>Total minimum coverage expectations for non-performing exposures</t>
  </si>
  <si>
    <r>
      <t>Total provisions and adjustments or deductions (capped</t>
    </r>
    <r>
      <rPr>
        <b/>
        <sz val="8"/>
        <rFont val="Calibri"/>
        <family val="2"/>
      </rPr>
      <t>)</t>
    </r>
  </si>
  <si>
    <t>Vintage: classified as non-performing for</t>
  </si>
  <si>
    <t>Total provisions and adjustments or deductions (uncapped)</t>
  </si>
  <si>
    <t>Total provisions and adjustments or deductions (capped)</t>
  </si>
  <si>
    <t>Pulling effect</t>
  </si>
  <si>
    <t xml:space="preserve">Yes </t>
  </si>
  <si>
    <t>No</t>
  </si>
  <si>
    <t>Total minimum coverage expectation for non-performing exposures</t>
  </si>
  <si>
    <t>IRB shortfall</t>
  </si>
  <si>
    <t>Group of exposures with similar characteristics</t>
  </si>
  <si>
    <t>numeric (number of measures)</t>
  </si>
  <si>
    <t>&gt; 1 year; &lt; =2 years</t>
  </si>
  <si>
    <t>&gt; 2 years; &lt;= 3 years</t>
  </si>
  <si>
    <t>&gt; 3 years; &lt;= 4 years</t>
  </si>
  <si>
    <t>&gt; 4 years; &lt;= 5 years</t>
  </si>
  <si>
    <t>&gt; 5 years; &lt;= 6 years</t>
  </si>
  <si>
    <t>&gt; 6 years; &lt;= 7 years</t>
  </si>
  <si>
    <t>&gt; 7 years; &lt;= 8 years</t>
  </si>
  <si>
    <t>&gt; 8 years; &lt;=9 years</t>
  </si>
  <si>
    <t>&gt;9 years</t>
  </si>
  <si>
    <t>&lt;= 1 year</t>
  </si>
  <si>
    <t>&gt; 7 years</t>
  </si>
  <si>
    <t>&gt; 1 year; &lt;= 2 years</t>
  </si>
  <si>
    <t>Number of exposures included</t>
  </si>
  <si>
    <t>numeric</t>
  </si>
  <si>
    <r>
      <t>Further relevant details</t>
    </r>
    <r>
      <rPr>
        <sz val="8"/>
        <rFont val="Verdana"/>
        <family val="2"/>
      </rPr>
      <t xml:space="preserve"> (please describe briefly)</t>
    </r>
  </si>
  <si>
    <t>Further relevant details (please describe briefly)</t>
  </si>
  <si>
    <t>More than 100% exposure being covered in combination with Pillar 1 credit risk requirements</t>
  </si>
  <si>
    <t>Annual % principal repayment of the amount owed (weighted average)</t>
  </si>
  <si>
    <t>Annual % interest payment of the amount owed (weighted average)</t>
  </si>
  <si>
    <t>Households - Loans collateralized by residential immovable property</t>
  </si>
  <si>
    <t>Households - Other</t>
  </si>
  <si>
    <t>Households - Loans for consumption</t>
  </si>
  <si>
    <t>Non-financial Corporations - SMEs</t>
  </si>
  <si>
    <t>Non-financial Corporations - Other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</si>
  <si>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</si>
  <si>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</si>
  <si>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</si>
  <si>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</si>
  <si>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</si>
  <si>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</si>
  <si>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</si>
  <si>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</si>
  <si>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</si>
  <si>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</si>
  <si>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</si>
  <si>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</si>
  <si>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200</t>
  </si>
  <si>
    <t>210</t>
  </si>
  <si>
    <t>130</t>
  </si>
  <si>
    <t>140</t>
  </si>
  <si>
    <t>150</t>
  </si>
  <si>
    <t>160</t>
  </si>
  <si>
    <t>170</t>
  </si>
  <si>
    <t>180</t>
  </si>
  <si>
    <t>190</t>
  </si>
  <si>
    <t>Bank LEI code</t>
  </si>
  <si>
    <t>Level of consolidation:</t>
  </si>
  <si>
    <t>Comments:</t>
  </si>
  <si>
    <t/>
  </si>
  <si>
    <t>The difference between the purchase price and the amount owed by the debtor</t>
  </si>
  <si>
    <t xml:space="preserve">IRB shortfall </t>
  </si>
  <si>
    <t>Of which: Unsecured</t>
  </si>
  <si>
    <t>Of which: Secured by immovable property</t>
  </si>
  <si>
    <t>Of which: Secured by other funded or unfunded credit protection</t>
  </si>
  <si>
    <t>Of which: Secured</t>
  </si>
  <si>
    <t>Secured by immovable property or residential loan guaranteed by an eligible protection provider</t>
  </si>
  <si>
    <t>NPE coverage expectation templates</t>
  </si>
  <si>
    <r>
      <t xml:space="preserve">Country: </t>
    </r>
    <r>
      <rPr>
        <sz val="12"/>
        <color indexed="8"/>
        <rFont val="Calibri"/>
        <family val="2"/>
      </rPr>
      <t>(two letter ISO code)</t>
    </r>
  </si>
  <si>
    <r>
      <t xml:space="preserve">Bank code: </t>
    </r>
    <r>
      <rPr>
        <sz val="12"/>
        <color indexed="8"/>
        <rFont val="Calibri"/>
        <family val="2"/>
      </rPr>
      <t>(RIAD MFI code)</t>
    </r>
  </si>
  <si>
    <r>
      <t xml:space="preserve">Bank: </t>
    </r>
    <r>
      <rPr>
        <sz val="12"/>
        <color indexed="8"/>
        <rFont val="Calibri"/>
        <family val="2"/>
      </rPr>
      <t>(name)</t>
    </r>
  </si>
  <si>
    <r>
      <t>Reference date:</t>
    </r>
    <r>
      <rPr>
        <sz val="12"/>
        <color indexed="8"/>
        <rFont val="Calibri"/>
        <family val="2"/>
      </rPr>
      <t xml:space="preserve"> T (dd/mm/yyyy format)</t>
    </r>
  </si>
  <si>
    <r>
      <rPr>
        <b/>
        <sz val="14"/>
        <color indexed="8"/>
        <rFont val="Calibri"/>
        <family val="2"/>
      </rPr>
      <t>Table 1 -</t>
    </r>
    <r>
      <rPr>
        <sz val="14"/>
        <color indexed="8"/>
        <rFont val="Calibri"/>
        <family val="2"/>
      </rPr>
      <t xml:space="preserve"> THE CALCULATION OF COVERAGE EXPECTATION SHORTFALL FOR 'NON-PERFORMING EXPOSURES', </t>
    </r>
    <r>
      <rPr>
        <b/>
        <sz val="14"/>
        <color indexed="8"/>
        <rFont val="Calibri"/>
        <family val="2"/>
      </rPr>
      <t>STOCK SCOPE</t>
    </r>
  </si>
  <si>
    <t>Example:</t>
  </si>
  <si>
    <t xml:space="preserve">optional 1 </t>
  </si>
  <si>
    <t>optional 2</t>
  </si>
  <si>
    <t>optional 3</t>
  </si>
  <si>
    <t>optional 4</t>
  </si>
  <si>
    <t>optional 5</t>
  </si>
  <si>
    <t>optional 6</t>
  </si>
  <si>
    <t>optional 7</t>
  </si>
  <si>
    <t>optional 8</t>
  </si>
  <si>
    <t>optional 9</t>
  </si>
  <si>
    <t>optional 10</t>
  </si>
  <si>
    <t>optional 11</t>
  </si>
  <si>
    <t>optional 12</t>
  </si>
  <si>
    <t>optional 13</t>
  </si>
  <si>
    <t>optional 14</t>
  </si>
  <si>
    <t>optional 15</t>
  </si>
  <si>
    <t>optional 16</t>
  </si>
  <si>
    <t>optional 17</t>
  </si>
  <si>
    <t>optional 18</t>
  </si>
  <si>
    <t>optional 19</t>
  </si>
  <si>
    <t>optional 20</t>
  </si>
  <si>
    <t>optional 21</t>
  </si>
  <si>
    <t>optional 22</t>
  </si>
  <si>
    <t>optional 23</t>
  </si>
  <si>
    <t>optional 24</t>
  </si>
  <si>
    <t>optional 25</t>
  </si>
  <si>
    <t>optional 26</t>
  </si>
  <si>
    <t>optional 27</t>
  </si>
  <si>
    <t>optional 28</t>
  </si>
  <si>
    <t>optional 29</t>
  </si>
  <si>
    <t>optional 30</t>
  </si>
  <si>
    <t>optional 31</t>
  </si>
  <si>
    <t>optional 32</t>
  </si>
  <si>
    <t>optional 33</t>
  </si>
  <si>
    <t>optional 34</t>
  </si>
  <si>
    <t>optional 35</t>
  </si>
  <si>
    <t>optional 36</t>
  </si>
  <si>
    <t>optional 37</t>
  </si>
  <si>
    <t>optional 38</t>
  </si>
  <si>
    <t>optional 39</t>
  </si>
  <si>
    <t>optional 40</t>
  </si>
  <si>
    <t>optional 41</t>
  </si>
  <si>
    <t>optional 42</t>
  </si>
  <si>
    <t>optional 43</t>
  </si>
  <si>
    <t>optional 44</t>
  </si>
  <si>
    <t>optional 45</t>
  </si>
  <si>
    <t>optional 46</t>
  </si>
  <si>
    <t>optional 47</t>
  </si>
  <si>
    <t>optional 48</t>
  </si>
  <si>
    <t>optional 49</t>
  </si>
  <si>
    <t>optional 50</t>
  </si>
  <si>
    <t>optional 51</t>
  </si>
  <si>
    <t>optional 52</t>
  </si>
  <si>
    <t>optional 53</t>
  </si>
  <si>
    <t>optional 54</t>
  </si>
  <si>
    <t>optional 55</t>
  </si>
  <si>
    <t>optional 56</t>
  </si>
  <si>
    <t>optional 57</t>
  </si>
  <si>
    <t>optional 58</t>
  </si>
  <si>
    <t>optional 59</t>
  </si>
  <si>
    <t>optional 60</t>
  </si>
  <si>
    <t>optional 61</t>
  </si>
  <si>
    <t>optional 62</t>
  </si>
  <si>
    <t>optional 63</t>
  </si>
  <si>
    <t>optional 64</t>
  </si>
  <si>
    <t>optional 65</t>
  </si>
  <si>
    <t>optional 66</t>
  </si>
  <si>
    <t>optional 67</t>
  </si>
  <si>
    <t>optional 68</t>
  </si>
  <si>
    <t>optional 69</t>
  </si>
  <si>
    <t>optional 70</t>
  </si>
  <si>
    <t>optional 71</t>
  </si>
  <si>
    <t>optional 72</t>
  </si>
  <si>
    <t>optional 73</t>
  </si>
  <si>
    <t>optional 74</t>
  </si>
  <si>
    <t>optional 75</t>
  </si>
  <si>
    <t>optional 76</t>
  </si>
  <si>
    <t>optional 77</t>
  </si>
  <si>
    <t>optional 78</t>
  </si>
  <si>
    <t>optional 79</t>
  </si>
  <si>
    <t>optional 80</t>
  </si>
  <si>
    <t>optional 81</t>
  </si>
  <si>
    <t>optional 82</t>
  </si>
  <si>
    <t>optional 83</t>
  </si>
  <si>
    <t>optional 84</t>
  </si>
  <si>
    <t>optional 85</t>
  </si>
  <si>
    <t>optional 86</t>
  </si>
  <si>
    <t>optional 87</t>
  </si>
  <si>
    <t>optional 88</t>
  </si>
  <si>
    <t>optional 89</t>
  </si>
  <si>
    <t>optional 90</t>
  </si>
  <si>
    <t>optional 91</t>
  </si>
  <si>
    <t>optional 92</t>
  </si>
  <si>
    <t>optional 93</t>
  </si>
  <si>
    <t>optional 94</t>
  </si>
  <si>
    <t>optional 95</t>
  </si>
  <si>
    <t>optional 96</t>
  </si>
  <si>
    <t>optional 97</t>
  </si>
  <si>
    <t>optional 98</t>
  </si>
  <si>
    <t>optional 99</t>
  </si>
  <si>
    <t>optional 100</t>
  </si>
  <si>
    <t xml:space="preserve">Example: </t>
  </si>
  <si>
    <t>optional 101</t>
  </si>
  <si>
    <t>optional 102</t>
  </si>
  <si>
    <t>optional 103</t>
  </si>
  <si>
    <t>optional 104</t>
  </si>
  <si>
    <t>optional 105</t>
  </si>
  <si>
    <t>optional 106</t>
  </si>
  <si>
    <t>optional 107</t>
  </si>
  <si>
    <t>optional 108</t>
  </si>
  <si>
    <t>optional 109</t>
  </si>
  <si>
    <t>optional 110</t>
  </si>
  <si>
    <t>optional 111</t>
  </si>
  <si>
    <t>optional 112</t>
  </si>
  <si>
    <t>optional 113</t>
  </si>
  <si>
    <t>optional 114</t>
  </si>
  <si>
    <t>optional 115</t>
  </si>
  <si>
    <t>optional 116</t>
  </si>
  <si>
    <t>optional 117</t>
  </si>
  <si>
    <t>optional 118</t>
  </si>
  <si>
    <t>optional 119</t>
  </si>
  <si>
    <t>optional 120</t>
  </si>
  <si>
    <t>optional 121</t>
  </si>
  <si>
    <t>optional 122</t>
  </si>
  <si>
    <t>optional 123</t>
  </si>
  <si>
    <t>optional 124</t>
  </si>
  <si>
    <t>optional 125</t>
  </si>
  <si>
    <t>optional 126</t>
  </si>
  <si>
    <t>optional 127</t>
  </si>
  <si>
    <t>optional 128</t>
  </si>
  <si>
    <t>optional 129</t>
  </si>
  <si>
    <t>optional 130</t>
  </si>
  <si>
    <t>optional 131</t>
  </si>
  <si>
    <t>optional 132</t>
  </si>
  <si>
    <t>optional 133</t>
  </si>
  <si>
    <t>optional 134</t>
  </si>
  <si>
    <t>optional 135</t>
  </si>
  <si>
    <t>optional 136</t>
  </si>
  <si>
    <t>optional 137</t>
  </si>
  <si>
    <t>optional 138</t>
  </si>
  <si>
    <t>optional 139</t>
  </si>
  <si>
    <t>optional 140</t>
  </si>
  <si>
    <t>optional 141</t>
  </si>
  <si>
    <t>optional 142</t>
  </si>
  <si>
    <t>optional 143</t>
  </si>
  <si>
    <t>optional 144</t>
  </si>
  <si>
    <t>optional 145</t>
  </si>
  <si>
    <t>optional 146</t>
  </si>
  <si>
    <t>optional 147</t>
  </si>
  <si>
    <t>optional 148</t>
  </si>
  <si>
    <t>optional 149</t>
  </si>
  <si>
    <t>optional 150</t>
  </si>
  <si>
    <t>optional 151</t>
  </si>
  <si>
    <t>optional 152</t>
  </si>
  <si>
    <t>optional 153</t>
  </si>
  <si>
    <t>optional 154</t>
  </si>
  <si>
    <t>optional 155</t>
  </si>
  <si>
    <t>optional 156</t>
  </si>
  <si>
    <t>optional 157</t>
  </si>
  <si>
    <t>optional 158</t>
  </si>
  <si>
    <t>optional 159</t>
  </si>
  <si>
    <t>optional 160</t>
  </si>
  <si>
    <t>optional 161</t>
  </si>
  <si>
    <t>optional 162</t>
  </si>
  <si>
    <t>optional 163</t>
  </si>
  <si>
    <t>optional 164</t>
  </si>
  <si>
    <t>optional 165</t>
  </si>
  <si>
    <t>optional 166</t>
  </si>
  <si>
    <t>optional 167</t>
  </si>
  <si>
    <t>optional 168</t>
  </si>
  <si>
    <t>optional 169</t>
  </si>
  <si>
    <t>optional 170</t>
  </si>
  <si>
    <t>optional 171</t>
  </si>
  <si>
    <t>optional 172</t>
  </si>
  <si>
    <t>optional 173</t>
  </si>
  <si>
    <t>optional 174</t>
  </si>
  <si>
    <t>optional 175</t>
  </si>
  <si>
    <t>optional 176</t>
  </si>
  <si>
    <t>optional 177</t>
  </si>
  <si>
    <t>optional 178</t>
  </si>
  <si>
    <t>optional 179</t>
  </si>
  <si>
    <t>optional 180</t>
  </si>
  <si>
    <t>optional 181</t>
  </si>
  <si>
    <t>optional 182</t>
  </si>
  <si>
    <t>optional 183</t>
  </si>
  <si>
    <t>optional 184</t>
  </si>
  <si>
    <t>optional 185</t>
  </si>
  <si>
    <t>optional 186</t>
  </si>
  <si>
    <t>optional 187</t>
  </si>
  <si>
    <t>optional 188</t>
  </si>
  <si>
    <t>optional 189</t>
  </si>
  <si>
    <t>optional 190</t>
  </si>
  <si>
    <t>optional 191</t>
  </si>
  <si>
    <t>optional 192</t>
  </si>
  <si>
    <t>optional 193</t>
  </si>
  <si>
    <t>optional 194</t>
  </si>
  <si>
    <t>optional 195</t>
  </si>
  <si>
    <t>optional 196</t>
  </si>
  <si>
    <t>optional 197</t>
  </si>
  <si>
    <t>optional 198</t>
  </si>
  <si>
    <t>optional 199</t>
  </si>
  <si>
    <t>optional 200</t>
  </si>
  <si>
    <t>Non-financial Corporations - Loans collateralized by commercial immovable property</t>
  </si>
  <si>
    <t>Yes</t>
  </si>
  <si>
    <t>General governments</t>
  </si>
  <si>
    <t>Credit institutions</t>
  </si>
  <si>
    <t>Other financial corporations</t>
  </si>
  <si>
    <r>
      <rPr>
        <b/>
        <sz val="14"/>
        <color indexed="8"/>
        <rFont val="Calibri"/>
        <family val="2"/>
      </rPr>
      <t xml:space="preserve">Table 3 </t>
    </r>
    <r>
      <rPr>
        <sz val="14"/>
        <color indexed="8"/>
        <rFont val="Calibri"/>
        <family val="2"/>
      </rPr>
      <t>- PROPOSED EXEMPTIONS GROUPED BY SIMILAR CHARACTERISTICS, STOCK</t>
    </r>
  </si>
  <si>
    <r>
      <rPr>
        <b/>
        <sz val="14"/>
        <color indexed="8"/>
        <rFont val="Helvetica Neue"/>
      </rPr>
      <t>Table 2 -</t>
    </r>
    <r>
      <rPr>
        <sz val="14"/>
        <color indexed="8"/>
        <rFont val="Helvetica Neue"/>
      </rPr>
      <t xml:space="preserve"> THE CALCULATION OF COVERAGE EXPECTATION SHORTFALL FOR 'NON-PERFORMING EXPOSURES', </t>
    </r>
    <r>
      <rPr>
        <b/>
        <sz val="14"/>
        <color indexed="8"/>
        <rFont val="Helvetica Neue"/>
      </rPr>
      <t>ADDENDUM SCOPE</t>
    </r>
  </si>
  <si>
    <r>
      <rPr>
        <b/>
        <sz val="14"/>
        <color indexed="8"/>
        <rFont val="Calibri"/>
        <family val="2"/>
      </rPr>
      <t xml:space="preserve">Table 4 </t>
    </r>
    <r>
      <rPr>
        <sz val="14"/>
        <color indexed="8"/>
        <rFont val="Calibri"/>
        <family val="2"/>
      </rPr>
      <t xml:space="preserve">- PROPOSED EXEMPTIONS GROUPED BY SIMILAR CHARACTERISTICS, ADDENDUM SCOPE </t>
    </r>
  </si>
  <si>
    <t>Guaranteed or insured by an official export credit agency or guaranteed or counter-guaranteed by national governments or other public entities</t>
  </si>
  <si>
    <t>Of which: Guaranteed or insured by an official export credit agency or guaranteed or counter-guaranteed by national governments or other public entities</t>
  </si>
  <si>
    <t>Technical guarantee</t>
  </si>
  <si>
    <t>061</t>
  </si>
  <si>
    <t>list of values</t>
  </si>
  <si>
    <t>Pillar 1 credit risk capital requirements for IRB portfolios (EAD*RW*8%) (only if yes in column 060)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</si>
</sst>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d\-m"/>
    <numFmt numFmtId="169" formatCode="&quot;   &quot;@"/>
    <numFmt numFmtId="170" formatCode="&quot;      &quot;@"/>
    <numFmt numFmtId="171" formatCode="&quot;         &quot;@"/>
    <numFmt numFmtId="172" formatCode="&quot;            &quot;@"/>
    <numFmt numFmtId="173" formatCode="&quot;               &quot;@"/>
    <numFmt numFmtId="174" formatCode="_-[$CHF]\ \ #,##0.00_-;\-[$CHF]\ * #,##0.00_-;_-[$CHF]\ * &quot;-&quot;??_-;_-@_-"/>
    <numFmt numFmtId="175" formatCode="#,##0\ &quot;SIT&quot;;\-#,##0\ &quot;SIT&quot;"/>
    <numFmt numFmtId="176" formatCode="[$DEM-4C0A]#,##0.00_ ;\-[$DEM-4C0A]#,##0.00\ "/>
    <numFmt numFmtId="177" formatCode="_-* #,##0\ _D_M_-;\-* #,##0\ _D_M_-;_-* &quot;-&quot;\ _D_M_-;_-@_-"/>
    <numFmt numFmtId="178" formatCode="_-* #,##0.00\ _D_M_-;\-* #,##0.00\ _D_M_-;_-* &quot;-&quot;??\ _D_M_-;_-@_-"/>
    <numFmt numFmtId="179" formatCode="_-[$€-2]* #,##0.00_-;\-[$€-2]* #,##0.00_-;_-[$€-2]* &quot;-&quot;??_-"/>
    <numFmt numFmtId="180" formatCode="#,#00"/>
    <numFmt numFmtId="181" formatCode="#,##0.0"/>
    <numFmt numFmtId="182" formatCode="[$JPY]\ #,##0.00;\-[$JPY]\ #,##0.00"/>
    <numFmt numFmtId="183" formatCode="_-* #,##0.00_-;\-* #,##0.00_-;_-* \-??_-;_-@_-"/>
    <numFmt numFmtId="184" formatCode="_-&quot;¢&quot;* #,##0_-;\-&quot;¢&quot;* #,##0_-;_-&quot;¢&quot;* &quot;-&quot;_-;_-@_-"/>
    <numFmt numFmtId="185" formatCode="_-&quot;¢&quot;* #,##0.00_-;\-&quot;¢&quot;* #,##0.00_-;_-&quot;¢&quot;* &quot;-&quot;??_-;_-@_-"/>
    <numFmt numFmtId="186" formatCode="ddd\ d\-mmm\-yy"/>
    <numFmt numFmtId="187" formatCode="0.00_)"/>
    <numFmt numFmtId="188" formatCode="[Black]#,##0.0;[Black]\-#,##0.0;;"/>
    <numFmt numFmtId="189" formatCode="[Black][&gt;0.05]#,##0.0;[Black][&lt;-0.05]\-#,##0.0;;"/>
    <numFmt numFmtId="190" formatCode="[Black][&gt;0.5]#,##0;[Black][&lt;-0.5]\-#,##0;;"/>
    <numFmt numFmtId="191" formatCode="#,##0_)"/>
    <numFmt numFmtId="192" formatCode="###\ ###\ ##0.00"/>
    <numFmt numFmtId="193" formatCode="\ General"/>
    <numFmt numFmtId="194" formatCode="#\ ##0"/>
    <numFmt numFmtId="195" formatCode="###\ ###\ ##0"/>
    <numFmt numFmtId="196" formatCode="0.0"/>
    <numFmt numFmtId="197" formatCode="#\ ##0.0"/>
    <numFmt numFmtId="198" formatCode="\(#\ ##0.0\);\(\-#\ ##0.0\)"/>
    <numFmt numFmtId="199" formatCode="[$$-409]#,##0.00_ ;\-[$$-409]#,##0.00\ "/>
    <numFmt numFmtId="200" formatCode="\(\$#,###\)"/>
    <numFmt numFmtId="201" formatCode="_-&quot;€&quot;\ * #,##0_-;_-&quot;€&quot;\ * #,##0\-;_-&quot;€&quot;\ * &quot;-&quot;_-;_-@_-"/>
    <numFmt numFmtId="202" formatCode="_-&quot;€&quot;\ * #,##0.00_-;_-&quot;€&quot;\ * #,##0.00\-;_-&quot;€&quot;\ * &quot;-&quot;??_-;_-@_-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General\ \ \ \ \ \ "/>
    <numFmt numFmtId="206" formatCode="0.0\ \ \ \ \ \ \ \ "/>
    <numFmt numFmtId="207" formatCode="mmmm\ yyyy"/>
    <numFmt numFmtId="208" formatCode="_-* #,##0.00\ _Δ_ρ_χ_-;\-* #,##0.00\ _Δ_ρ_χ_-;_-* &quot;-&quot;??\ _Δ_ρ_χ_-;_-@_-"/>
    <numFmt numFmtId="209" formatCode="00\ 00\ 00\ 00\ 00"/>
  </numFmts>
  <fonts count="145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8"/>
      <name val="Verdana"/>
      <family val="2"/>
    </font>
    <font>
      <sz val="10"/>
      <name val="Arial"/>
      <family val="2"/>
    </font>
    <font>
      <b/>
      <sz val="8"/>
      <name val="Verdana"/>
      <family val="2"/>
    </font>
    <font>
      <i/>
      <sz val="8"/>
      <name val="Verdana"/>
      <family val="2"/>
    </font>
    <font>
      <b/>
      <sz val="15"/>
      <color theme="3"/>
      <name val="Helvetica Neue"/>
      <family val="2"/>
      <scheme val="minor"/>
    </font>
    <font>
      <b/>
      <sz val="13"/>
      <color theme="3"/>
      <name val="Helvetica Neue"/>
      <family val="2"/>
      <scheme val="minor"/>
    </font>
    <font>
      <sz val="9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charset val="161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  <charset val="161"/>
    </font>
    <font>
      <sz val="10"/>
      <color indexed="20"/>
      <name val="Arial"/>
      <family val="2"/>
    </font>
    <font>
      <sz val="11"/>
      <color indexed="20"/>
      <name val="Calibri"/>
      <family val="2"/>
      <charset val="161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  <charset val="16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  <charset val="161"/>
    </font>
    <font>
      <b/>
      <sz val="10"/>
      <name val="Arial"/>
      <family val="2"/>
      <charset val="16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Times"/>
      <family val="1"/>
    </font>
    <font>
      <sz val="11"/>
      <color indexed="8"/>
      <name val="Times New Roman"/>
      <family val="2"/>
    </font>
    <font>
      <sz val="10"/>
      <color indexed="8"/>
      <name val="Calibri"/>
      <family val="2"/>
    </font>
    <font>
      <sz val="10"/>
      <name val="Arial"/>
      <family val="2"/>
      <charset val="161"/>
    </font>
    <font>
      <sz val="1"/>
      <color indexed="8"/>
      <name val="Courier"/>
      <family val="1"/>
      <charset val="161"/>
    </font>
    <font>
      <b/>
      <sz val="9"/>
      <name val="Arial"/>
      <family val="2"/>
    </font>
    <font>
      <sz val="10"/>
      <name val="Times New Roman"/>
      <family val="1"/>
      <charset val="161"/>
    </font>
    <font>
      <sz val="10"/>
      <name val="Times"/>
      <family val="1"/>
    </font>
    <font>
      <i/>
      <sz val="10"/>
      <color indexed="23"/>
      <name val="Arial"/>
      <family val="2"/>
    </font>
    <font>
      <i/>
      <sz val="11"/>
      <color indexed="23"/>
      <name val="Calibri"/>
      <family val="2"/>
      <charset val="161"/>
    </font>
    <font>
      <sz val="11"/>
      <color indexed="10"/>
      <name val="Calibri"/>
      <family val="2"/>
    </font>
    <font>
      <sz val="14"/>
      <name val="Helv"/>
    </font>
    <font>
      <sz val="10"/>
      <color indexed="17"/>
      <name val="Arial"/>
      <family val="2"/>
    </font>
    <font>
      <sz val="11"/>
      <color indexed="17"/>
      <name val="Calibri"/>
      <family val="2"/>
      <charset val="161"/>
    </font>
    <font>
      <sz val="8"/>
      <name val="Arial"/>
      <family val="2"/>
    </font>
    <font>
      <b/>
      <sz val="12"/>
      <name val="Arial"/>
      <family val="2"/>
      <charset val="161"/>
    </font>
    <font>
      <b/>
      <sz val="15"/>
      <color indexed="56"/>
      <name val="Arial"/>
      <family val="2"/>
    </font>
    <font>
      <b/>
      <sz val="15"/>
      <color indexed="62"/>
      <name val="Calibri"/>
      <family val="2"/>
      <charset val="161"/>
    </font>
    <font>
      <b/>
      <sz val="13"/>
      <color indexed="56"/>
      <name val="Arial"/>
      <family val="2"/>
    </font>
    <font>
      <b/>
      <sz val="13"/>
      <color indexed="62"/>
      <name val="Calibri"/>
      <family val="2"/>
      <charset val="161"/>
    </font>
    <font>
      <b/>
      <sz val="11"/>
      <color indexed="56"/>
      <name val="Arial"/>
      <family val="2"/>
    </font>
    <font>
      <b/>
      <sz val="11"/>
      <color indexed="62"/>
      <name val="Calibri"/>
      <family val="2"/>
      <charset val="161"/>
    </font>
    <font>
      <b/>
      <sz val="1"/>
      <color indexed="8"/>
      <name val="Courier"/>
      <family val="1"/>
      <charset val="161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161"/>
    </font>
    <font>
      <u/>
      <sz val="11"/>
      <color theme="10"/>
      <name val="Helvetica Neue"/>
      <family val="2"/>
      <scheme val="minor"/>
    </font>
    <font>
      <sz val="10"/>
      <name val="Arial Cyr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1"/>
      <color indexed="62"/>
      <name val="Calibri"/>
      <family val="2"/>
      <charset val="161"/>
    </font>
    <font>
      <b/>
      <sz val="11"/>
      <color indexed="63"/>
      <name val="Calibri"/>
      <family val="2"/>
    </font>
    <font>
      <u/>
      <sz val="6.5"/>
      <color indexed="12"/>
      <name val="Arial"/>
      <family val="2"/>
    </font>
    <font>
      <sz val="10"/>
      <color indexed="52"/>
      <name val="Arial"/>
      <family val="2"/>
    </font>
    <font>
      <sz val="11"/>
      <color indexed="52"/>
      <name val="Calibri"/>
      <family val="2"/>
      <charset val="161"/>
    </font>
    <font>
      <i/>
      <sz val="11"/>
      <color indexed="23"/>
      <name val="Calibri"/>
      <family val="2"/>
    </font>
    <font>
      <b/>
      <sz val="11"/>
      <name val="Times New Roman"/>
      <family val="1"/>
    </font>
    <font>
      <sz val="10"/>
      <name val="MS Sans Serif"/>
      <family val="2"/>
      <charset val="161"/>
    </font>
    <font>
      <sz val="9"/>
      <name val="Arial"/>
      <family val="2"/>
    </font>
    <font>
      <sz val="10"/>
      <color indexed="60"/>
      <name val="Arial"/>
      <family val="2"/>
    </font>
    <font>
      <sz val="11"/>
      <color indexed="60"/>
      <name val="Calibri"/>
      <family val="2"/>
      <charset val="161"/>
    </font>
    <font>
      <b/>
      <i/>
      <sz val="16"/>
      <name val="Helv"/>
      <charset val="161"/>
    </font>
    <font>
      <sz val="11"/>
      <color theme="1"/>
      <name val="Helvetica Neue"/>
      <family val="2"/>
      <charset val="161"/>
      <scheme val="minor"/>
    </font>
    <font>
      <sz val="10"/>
      <color theme="1"/>
      <name val="Arial"/>
      <family val="2"/>
    </font>
    <font>
      <sz val="11"/>
      <color theme="1"/>
      <name val="Times New Roman"/>
      <family val="2"/>
    </font>
    <font>
      <sz val="12"/>
      <name val="Times New Roman"/>
      <family val="1"/>
      <charset val="161"/>
    </font>
    <font>
      <sz val="10"/>
      <color theme="1"/>
      <name val="BdE Neue Helvetica 45 Light"/>
      <family val="2"/>
    </font>
    <font>
      <sz val="11"/>
      <color indexed="8"/>
      <name val="Calibri"/>
      <family val="2"/>
      <charset val="238"/>
    </font>
    <font>
      <i/>
      <sz val="10"/>
      <name val="Helv"/>
    </font>
    <font>
      <b/>
      <sz val="11"/>
      <color indexed="8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  <charset val="161"/>
    </font>
    <font>
      <sz val="8"/>
      <name val="Times New Roman"/>
      <family val="1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sz val="12"/>
      <name val="Times New Roman"/>
      <family val="1"/>
    </font>
    <font>
      <sz val="7"/>
      <name val="Times New Roman"/>
      <family val="1"/>
    </font>
    <font>
      <b/>
      <sz val="9"/>
      <name val="Times New Roman"/>
      <family val="1"/>
    </font>
    <font>
      <sz val="8.5"/>
      <name val="Times"/>
      <family val="1"/>
    </font>
    <font>
      <sz val="8.5"/>
      <name val="Times New Roman"/>
      <family val="1"/>
    </font>
    <font>
      <sz val="11"/>
      <color indexed="60"/>
      <name val="Calibri"/>
      <family val="2"/>
    </font>
    <font>
      <sz val="9"/>
      <name val="Times New Roman"/>
      <family val="1"/>
      <charset val="161"/>
    </font>
    <font>
      <b/>
      <sz val="18"/>
      <color indexed="62"/>
      <name val="Cambria"/>
      <family val="2"/>
      <charset val="161"/>
    </font>
    <font>
      <b/>
      <sz val="10"/>
      <color indexed="8"/>
      <name val="Arial"/>
      <family val="2"/>
    </font>
    <font>
      <b/>
      <sz val="11"/>
      <color indexed="8"/>
      <name val="Calibri"/>
      <family val="2"/>
      <charset val="161"/>
    </font>
    <font>
      <sz val="10"/>
      <color indexed="10"/>
      <name val="Arial"/>
      <family val="2"/>
    </font>
    <font>
      <sz val="11"/>
      <color indexed="10"/>
      <name val="Calibri"/>
      <family val="2"/>
      <charset val="16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Comic Sans MS"/>
      <family val="4"/>
    </font>
    <font>
      <sz val="10"/>
      <name val="Comic Sans MS"/>
      <family val="4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0"/>
      <name val="Arial Greek"/>
      <charset val="16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8.5"/>
      <name val="MS Sans Serif"/>
      <family val="2"/>
      <charset val="161"/>
    </font>
    <font>
      <sz val="8"/>
      <color theme="1"/>
      <name val="Verdana"/>
      <family val="2"/>
    </font>
    <font>
      <sz val="8"/>
      <color rgb="FFFF0000"/>
      <name val="Verdana"/>
      <family val="2"/>
    </font>
    <font>
      <i/>
      <sz val="8"/>
      <color theme="1"/>
      <name val="Verdana"/>
      <family val="2"/>
    </font>
    <font>
      <sz val="8"/>
      <color theme="9" tint="-0.249977111117893"/>
      <name val="Verdana"/>
      <family val="2"/>
    </font>
    <font>
      <b/>
      <sz val="8"/>
      <color theme="9" tint="-0.249977111117893"/>
      <name val="Verdana"/>
      <family val="2"/>
    </font>
    <font>
      <sz val="10"/>
      <color theme="9" tint="-0.249977111117893"/>
      <name val="Helvetica Neue"/>
    </font>
    <font>
      <b/>
      <sz val="11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b/>
      <sz val="8"/>
      <color theme="9" tint="-0.249977111117893"/>
      <name val="Calibri"/>
      <family val="2"/>
    </font>
    <font>
      <b/>
      <sz val="8"/>
      <name val="Calibri"/>
      <family val="2"/>
    </font>
    <font>
      <i/>
      <sz val="8"/>
      <name val="Calibri"/>
      <family val="2"/>
    </font>
    <font>
      <sz val="8"/>
      <name val="Calibri"/>
      <family val="2"/>
    </font>
    <font>
      <sz val="8"/>
      <color theme="9" tint="-0.249977111117893"/>
      <name val="Calibri"/>
      <family val="2"/>
    </font>
    <font>
      <i/>
      <sz val="8"/>
      <color indexed="8"/>
      <name val="Calibri"/>
      <family val="2"/>
    </font>
    <font>
      <b/>
      <i/>
      <sz val="8"/>
      <color indexed="8"/>
      <name val="Calibri"/>
      <family val="2"/>
    </font>
    <font>
      <b/>
      <i/>
      <sz val="8"/>
      <name val="Calibri"/>
      <family val="2"/>
    </font>
    <font>
      <i/>
      <sz val="8"/>
      <color indexed="8"/>
      <name val="Verdana"/>
      <family val="2"/>
    </font>
    <font>
      <sz val="11"/>
      <name val="Helvetica Neue"/>
      <family val="2"/>
      <scheme val="minor"/>
    </font>
    <font>
      <sz val="11"/>
      <color indexed="8"/>
      <name val="Helvetica Neue"/>
      <family val="2"/>
      <scheme val="minor"/>
    </font>
    <font>
      <sz val="12"/>
      <color indexed="8"/>
      <name val="Helvetica Neue"/>
      <family val="2"/>
      <scheme val="minor"/>
    </font>
    <font>
      <sz val="11"/>
      <name val="Calibri"/>
      <family val="2"/>
    </font>
    <font>
      <b/>
      <i/>
      <sz val="8"/>
      <name val="Verdana"/>
      <family val="2"/>
    </font>
    <font>
      <sz val="11"/>
      <color theme="0"/>
      <name val="Calibri"/>
      <family val="2"/>
    </font>
    <font>
      <b/>
      <sz val="16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8"/>
      <name val="Helvetica Neue"/>
    </font>
    <font>
      <sz val="14"/>
      <color indexed="8"/>
      <name val="Helvetica Neue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7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37">
    <xf numFmtId="0" fontId="0" fillId="0" borderId="0" applyNumberFormat="0" applyFill="0" applyBorder="0" applyProtection="0">
      <alignment vertical="top" wrapText="1"/>
    </xf>
    <xf numFmtId="0" fontId="8" fillId="0" borderId="0"/>
    <xf numFmtId="0" fontId="8" fillId="0" borderId="0"/>
    <xf numFmtId="0" fontId="4" fillId="0" borderId="0"/>
    <xf numFmtId="0" fontId="3" fillId="0" borderId="0"/>
    <xf numFmtId="0" fontId="8" fillId="0" borderId="0">
      <alignment vertical="center"/>
    </xf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6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6" fillId="7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6" fillId="9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6" fillId="7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171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6" fillId="1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6" fillId="1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6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7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5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7" borderId="0" applyNumberFormat="0" applyBorder="0" applyAlignment="0" applyProtection="0"/>
    <xf numFmtId="173" fontId="13" fillId="0" borderId="0" applyFont="0" applyFill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8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9" fillId="15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7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9" fillId="18" borderId="0" applyNumberFormat="0" applyBorder="0" applyAlignment="0" applyProtection="0"/>
    <xf numFmtId="0" fontId="19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7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18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23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9" fillId="24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7" borderId="17" applyNumberFormat="0" applyAlignment="0" applyProtection="0"/>
    <xf numFmtId="0" fontId="22" fillId="7" borderId="17" applyNumberFormat="0" applyAlignment="0" applyProtection="0"/>
    <xf numFmtId="0" fontId="23" fillId="4" borderId="0" applyNumberFormat="0" applyBorder="0" applyAlignment="0" applyProtection="0"/>
    <xf numFmtId="0" fontId="24" fillId="14" borderId="17" applyNumberFormat="0" applyAlignment="0" applyProtection="0"/>
    <xf numFmtId="0" fontId="24" fillId="14" borderId="17" applyNumberFormat="0" applyAlignment="0" applyProtection="0"/>
    <xf numFmtId="0" fontId="24" fillId="14" borderId="17" applyNumberFormat="0" applyAlignment="0" applyProtection="0"/>
    <xf numFmtId="0" fontId="24" fillId="14" borderId="17" applyNumberFormat="0" applyAlignment="0" applyProtection="0"/>
    <xf numFmtId="0" fontId="24" fillId="14" borderId="17" applyNumberFormat="0" applyAlignment="0" applyProtection="0"/>
    <xf numFmtId="0" fontId="24" fillId="14" borderId="17" applyNumberFormat="0" applyAlignment="0" applyProtection="0"/>
    <xf numFmtId="0" fontId="25" fillId="8" borderId="17" applyNumberFormat="0" applyAlignment="0" applyProtection="0"/>
    <xf numFmtId="0" fontId="25" fillId="8" borderId="17" applyNumberFormat="0" applyAlignment="0" applyProtection="0"/>
    <xf numFmtId="0" fontId="26" fillId="14" borderId="17" applyNumberFormat="0" applyAlignment="0" applyProtection="0"/>
    <xf numFmtId="0" fontId="26" fillId="14" borderId="17" applyNumberFormat="0" applyAlignment="0" applyProtection="0"/>
    <xf numFmtId="0" fontId="27" fillId="25" borderId="18" applyNumberFormat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9" fillId="25" borderId="18" applyNumberFormat="0" applyAlignment="0" applyProtection="0"/>
    <xf numFmtId="0" fontId="29" fillId="25" borderId="18" applyNumberFormat="0" applyAlignment="0" applyProtection="0"/>
    <xf numFmtId="0" fontId="29" fillId="25" borderId="18" applyNumberFormat="0" applyAlignment="0" applyProtection="0"/>
    <xf numFmtId="0" fontId="30" fillId="25" borderId="18" applyNumberFormat="0" applyAlignment="0" applyProtection="0"/>
    <xf numFmtId="174" fontId="31" fillId="0" borderId="0"/>
    <xf numFmtId="0" fontId="32" fillId="0" borderId="0" applyNumberFormat="0" applyFill="0" applyBorder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5" fillId="0" borderId="0" applyNumberFormat="0" applyFill="0" applyBorder="0" applyAlignment="0" applyProtection="0"/>
    <xf numFmtId="37" fontId="36" fillId="0" borderId="0"/>
    <xf numFmtId="37" fontId="36" fillId="0" borderId="0"/>
    <xf numFmtId="37" fontId="36" fillId="0" borderId="0"/>
    <xf numFmtId="37" fontId="36" fillId="0" borderId="0"/>
    <xf numFmtId="37" fontId="36" fillId="0" borderId="0"/>
    <xf numFmtId="37" fontId="36" fillId="0" borderId="0"/>
    <xf numFmtId="37" fontId="36" fillId="0" borderId="0"/>
    <xf numFmtId="37" fontId="36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39" fillId="26" borderId="0" applyFont="0" applyFill="0" applyBorder="0" applyAlignment="0" applyProtection="0"/>
    <xf numFmtId="3" fontId="39" fillId="26" borderId="0" applyFont="0" applyFill="0" applyBorder="0" applyAlignment="0" applyProtection="0"/>
    <xf numFmtId="166" fontId="16" fillId="0" borderId="0" applyFont="0" applyFill="0" applyBorder="0" applyAlignment="0" applyProtection="0"/>
    <xf numFmtId="44" fontId="8" fillId="0" borderId="0" applyFont="0" applyFill="0" applyBorder="0" applyAlignment="0" applyProtection="0"/>
    <xf numFmtId="175" fontId="39" fillId="26" borderId="0" applyFont="0" applyFill="0" applyBorder="0" applyAlignment="0" applyProtection="0"/>
    <xf numFmtId="175" fontId="39" fillId="26" borderId="0" applyFont="0" applyFill="0" applyBorder="0" applyAlignment="0" applyProtection="0"/>
    <xf numFmtId="0" fontId="40" fillId="0" borderId="0">
      <protection locked="0"/>
    </xf>
    <xf numFmtId="15" fontId="41" fillId="0" borderId="0"/>
    <xf numFmtId="176" fontId="42" fillId="0" borderId="0"/>
    <xf numFmtId="177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27" fillId="25" borderId="18" applyNumberFormat="0" applyAlignment="0" applyProtection="0"/>
    <xf numFmtId="0" fontId="35" fillId="0" borderId="0" applyNumberFormat="0" applyFill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4" borderId="0" applyNumberFormat="0" applyBorder="0" applyAlignment="0" applyProtection="0"/>
    <xf numFmtId="0" fontId="22" fillId="7" borderId="17" applyNumberFormat="0" applyAlignment="0" applyProtection="0"/>
    <xf numFmtId="0" fontId="22" fillId="7" borderId="17" applyNumberFormat="0" applyAlignment="0" applyProtection="0"/>
    <xf numFmtId="179" fontId="8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46" fillId="0" borderId="0" applyNumberFormat="0" applyFill="0" applyBorder="0" applyAlignment="0" applyProtection="0"/>
    <xf numFmtId="180" fontId="40" fillId="0" borderId="0">
      <protection locked="0"/>
    </xf>
    <xf numFmtId="0" fontId="47" fillId="0" borderId="0"/>
    <xf numFmtId="0" fontId="48" fillId="4" borderId="0" applyNumberFormat="0" applyBorder="0" applyAlignment="0" applyProtection="0"/>
    <xf numFmtId="0" fontId="48" fillId="4" borderId="0" applyNumberFormat="0" applyBorder="0" applyAlignment="0" applyProtection="0"/>
    <xf numFmtId="0" fontId="48" fillId="4" borderId="0" applyNumberFormat="0" applyBorder="0" applyAlignment="0" applyProtection="0"/>
    <xf numFmtId="0" fontId="49" fillId="4" borderId="0" applyNumberFormat="0" applyBorder="0" applyAlignment="0" applyProtection="0"/>
    <xf numFmtId="38" fontId="50" fillId="27" borderId="0" applyNumberFormat="0" applyBorder="0" applyAlignment="0" applyProtection="0"/>
    <xf numFmtId="0" fontId="8" fillId="27" borderId="10" applyNumberFormat="0" applyFont="0" applyBorder="0" applyProtection="0">
      <alignment horizontal="center" vertical="center"/>
    </xf>
    <xf numFmtId="0" fontId="39" fillId="0" borderId="0"/>
    <xf numFmtId="0" fontId="39" fillId="0" borderId="0"/>
    <xf numFmtId="0" fontId="51" fillId="0" borderId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3" fillId="0" borderId="23" applyNumberFormat="0" applyFill="0" applyAlignment="0" applyProtection="0"/>
    <xf numFmtId="0" fontId="11" fillId="0" borderId="15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5" fillId="0" borderId="21" applyNumberFormat="0" applyFill="0" applyAlignment="0" applyProtection="0"/>
    <xf numFmtId="0" fontId="12" fillId="0" borderId="16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7" fillId="0" borderId="24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9" fillId="28" borderId="13" applyFont="0" applyBorder="0">
      <alignment horizontal="center" wrapText="1"/>
    </xf>
    <xf numFmtId="3" fontId="8" fillId="29" borderId="10" applyFont="0" applyProtection="0">
      <alignment horizontal="right" vertical="center"/>
    </xf>
    <xf numFmtId="0" fontId="8" fillId="29" borderId="13" applyNumberFormat="0" applyFont="0" applyBorder="0" applyProtection="0">
      <alignment horizontal="left"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/>
    <xf numFmtId="0" fontId="63" fillId="0" borderId="0"/>
    <xf numFmtId="181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4" fillId="3" borderId="0" applyNumberFormat="0" applyBorder="0" applyAlignment="0" applyProtection="0"/>
    <xf numFmtId="10" fontId="50" fillId="30" borderId="10" applyNumberFormat="0" applyBorder="0" applyAlignment="0" applyProtection="0"/>
    <xf numFmtId="0" fontId="65" fillId="7" borderId="25" applyNumberFormat="0" applyAlignment="0" applyProtection="0"/>
    <xf numFmtId="0" fontId="65" fillId="7" borderId="25" applyNumberFormat="0" applyAlignment="0" applyProtection="0"/>
    <xf numFmtId="0" fontId="65" fillId="7" borderId="25" applyNumberFormat="0" applyAlignment="0" applyProtection="0"/>
    <xf numFmtId="0" fontId="65" fillId="7" borderId="25" applyNumberFormat="0" applyAlignment="0" applyProtection="0"/>
    <xf numFmtId="0" fontId="65" fillId="7" borderId="25" applyNumberFormat="0" applyAlignment="0" applyProtection="0"/>
    <xf numFmtId="0" fontId="65" fillId="7" borderId="25" applyNumberFormat="0" applyAlignment="0" applyProtection="0"/>
    <xf numFmtId="0" fontId="66" fillId="7" borderId="25" applyNumberFormat="0" applyAlignment="0" applyProtection="0"/>
    <xf numFmtId="0" fontId="66" fillId="7" borderId="25" applyNumberFormat="0" applyAlignment="0" applyProtection="0"/>
    <xf numFmtId="3" fontId="8" fillId="31" borderId="10" applyFont="0">
      <alignment horizontal="right" vertical="center"/>
      <protection locked="0"/>
    </xf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4" borderId="0" applyNumberFormat="0" applyBorder="0" applyAlignment="0" applyProtection="0"/>
    <xf numFmtId="0" fontId="23" fillId="4" borderId="0" applyNumberFormat="0" applyBorder="0" applyAlignment="0" applyProtection="0"/>
    <xf numFmtId="182" fontId="31" fillId="0" borderId="0"/>
    <xf numFmtId="0" fontId="67" fillId="14" borderId="27" applyNumberFormat="0" applyAlignment="0" applyProtection="0"/>
    <xf numFmtId="0" fontId="67" fillId="14" borderId="27" applyNumberFormat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70" fillId="0" borderId="19" applyNumberFormat="0" applyFill="0" applyAlignment="0" applyProtection="0"/>
    <xf numFmtId="0" fontId="70" fillId="0" borderId="19" applyNumberFormat="0" applyFill="0" applyAlignment="0" applyProtection="0"/>
    <xf numFmtId="0" fontId="70" fillId="0" borderId="19" applyNumberFormat="0" applyFill="0" applyAlignment="0" applyProtection="0"/>
    <xf numFmtId="0" fontId="71" fillId="0" borderId="0" applyNumberFormat="0" applyFill="0" applyBorder="0" applyAlignment="0" applyProtection="0"/>
    <xf numFmtId="2" fontId="72" fillId="0" borderId="0">
      <alignment horizontal="centerContinuous" wrapText="1"/>
    </xf>
    <xf numFmtId="41" fontId="42" fillId="0" borderId="0" applyFont="0" applyFill="0" applyBorder="0" applyAlignment="0" applyProtection="0"/>
    <xf numFmtId="183" fontId="8" fillId="0" borderId="0" applyFill="0" applyBorder="0" applyAlignment="0" applyProtection="0"/>
    <xf numFmtId="183" fontId="8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2" fillId="0" borderId="0" applyFont="0" applyFill="0" applyBorder="0" applyAlignment="0" applyProtection="0"/>
    <xf numFmtId="165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186" fontId="74" fillId="0" borderId="0"/>
    <xf numFmtId="0" fontId="8" fillId="0" borderId="0"/>
    <xf numFmtId="0" fontId="75" fillId="15" borderId="0" applyNumberFormat="0" applyBorder="0" applyAlignment="0" applyProtection="0"/>
    <xf numFmtId="0" fontId="75" fillId="15" borderId="0" applyNumberFormat="0" applyBorder="0" applyAlignment="0" applyProtection="0"/>
    <xf numFmtId="0" fontId="76" fillId="15" borderId="0" applyNumberFormat="0" applyBorder="0" applyAlignment="0" applyProtection="0"/>
    <xf numFmtId="0" fontId="36" fillId="0" borderId="0"/>
    <xf numFmtId="187" fontId="77" fillId="0" borderId="0"/>
    <xf numFmtId="0" fontId="14" fillId="0" borderId="0"/>
    <xf numFmtId="0" fontId="39" fillId="0" borderId="0"/>
    <xf numFmtId="0" fontId="8" fillId="0" borderId="0"/>
    <xf numFmtId="0" fontId="3" fillId="0" borderId="0"/>
    <xf numFmtId="0" fontId="78" fillId="0" borderId="0"/>
    <xf numFmtId="0" fontId="39" fillId="0" borderId="0"/>
    <xf numFmtId="0" fontId="39" fillId="0" borderId="0"/>
    <xf numFmtId="0" fontId="37" fillId="0" borderId="0"/>
    <xf numFmtId="0" fontId="39" fillId="0" borderId="0"/>
    <xf numFmtId="0" fontId="39" fillId="0" borderId="0">
      <alignment vertical="center"/>
    </xf>
    <xf numFmtId="0" fontId="3" fillId="0" borderId="0"/>
    <xf numFmtId="0" fontId="3" fillId="0" borderId="0"/>
    <xf numFmtId="0" fontId="79" fillId="0" borderId="0"/>
    <xf numFmtId="0" fontId="39" fillId="0" borderId="0">
      <alignment vertical="center"/>
    </xf>
    <xf numFmtId="0" fontId="39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81" fillId="0" borderId="0"/>
    <xf numFmtId="0" fontId="7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/>
    <xf numFmtId="0" fontId="8" fillId="0" borderId="0"/>
    <xf numFmtId="0" fontId="39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8" fillId="0" borderId="0"/>
    <xf numFmtId="0" fontId="39" fillId="0" borderId="0">
      <alignment vertical="center"/>
    </xf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39" fillId="0" borderId="0">
      <alignment vertical="center"/>
    </xf>
    <xf numFmtId="0" fontId="8" fillId="0" borderId="0"/>
    <xf numFmtId="0" fontId="82" fillId="0" borderId="0"/>
    <xf numFmtId="0" fontId="82" fillId="0" borderId="0"/>
    <xf numFmtId="0" fontId="39" fillId="0" borderId="0">
      <alignment vertical="center"/>
    </xf>
    <xf numFmtId="0" fontId="39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>
      <alignment vertical="top"/>
    </xf>
    <xf numFmtId="0" fontId="79" fillId="0" borderId="0"/>
    <xf numFmtId="0" fontId="1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3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8" fillId="9" borderId="26" applyNumberFormat="0" applyFont="0" applyAlignment="0" applyProtection="0"/>
    <xf numFmtId="0" fontId="39" fillId="9" borderId="26" applyNumberFormat="0" applyFont="0" applyAlignment="0" applyProtection="0"/>
    <xf numFmtId="0" fontId="39" fillId="9" borderId="26" applyNumberFormat="0" applyFont="0" applyAlignment="0" applyProtection="0"/>
    <xf numFmtId="0" fontId="39" fillId="9" borderId="26" applyNumberFormat="0" applyFont="0" applyAlignment="0" applyProtection="0"/>
    <xf numFmtId="0" fontId="39" fillId="9" borderId="26" applyNumberFormat="0" applyFont="0" applyAlignment="0" applyProtection="0"/>
    <xf numFmtId="0" fontId="84" fillId="0" borderId="9"/>
    <xf numFmtId="3" fontId="8" fillId="32" borderId="10" applyFont="0">
      <alignment horizontal="right" vertical="center"/>
      <protection locked="0"/>
    </xf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6" fillId="14" borderId="27" applyNumberFormat="0" applyAlignment="0" applyProtection="0"/>
    <xf numFmtId="0" fontId="86" fillId="14" borderId="27" applyNumberFormat="0" applyAlignment="0" applyProtection="0"/>
    <xf numFmtId="0" fontId="86" fillId="14" borderId="27" applyNumberFormat="0" applyAlignment="0" applyProtection="0"/>
    <xf numFmtId="0" fontId="86" fillId="14" borderId="27" applyNumberFormat="0" applyAlignment="0" applyProtection="0"/>
    <xf numFmtId="0" fontId="86" fillId="14" borderId="27" applyNumberFormat="0" applyAlignment="0" applyProtection="0"/>
    <xf numFmtId="0" fontId="86" fillId="14" borderId="27" applyNumberFormat="0" applyAlignment="0" applyProtection="0"/>
    <xf numFmtId="0" fontId="87" fillId="8" borderId="27" applyNumberFormat="0" applyAlignment="0" applyProtection="0"/>
    <xf numFmtId="0" fontId="87" fillId="8" borderId="27" applyNumberFormat="0" applyAlignment="0" applyProtection="0"/>
    <xf numFmtId="10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9" fillId="0" borderId="0" applyFont="0" applyFill="0" applyBorder="0" applyAlignment="0" applyProtection="0"/>
    <xf numFmtId="188" fontId="39" fillId="0" borderId="0" applyFont="0" applyFill="0" applyBorder="0" applyAlignment="0" applyProtection="0"/>
    <xf numFmtId="188" fontId="39" fillId="0" borderId="0" applyFont="0" applyFill="0" applyBorder="0" applyAlignment="0" applyProtection="0"/>
    <xf numFmtId="189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91" fontId="42" fillId="0" borderId="0" applyFill="0" applyBorder="0" applyAlignment="0"/>
    <xf numFmtId="9" fontId="14" fillId="0" borderId="0" applyFont="0" applyFill="0" applyBorder="0" applyAlignment="0" applyProtection="0"/>
    <xf numFmtId="192" fontId="88" fillId="0" borderId="0">
      <alignment horizontal="right"/>
    </xf>
    <xf numFmtId="0" fontId="88" fillId="0" borderId="0">
      <alignment horizontal="left"/>
    </xf>
    <xf numFmtId="0" fontId="89" fillId="0" borderId="0"/>
    <xf numFmtId="193" fontId="90" fillId="0" borderId="0"/>
    <xf numFmtId="193" fontId="88" fillId="0" borderId="0"/>
    <xf numFmtId="0" fontId="88" fillId="0" borderId="29">
      <alignment horizontal="left"/>
    </xf>
    <xf numFmtId="0" fontId="91" fillId="0" borderId="0">
      <alignment horizontal="left"/>
    </xf>
    <xf numFmtId="0" fontId="88" fillId="0" borderId="30">
      <alignment horizontal="right"/>
    </xf>
    <xf numFmtId="194" fontId="89" fillId="0" borderId="31" applyNumberFormat="0" applyAlignment="0">
      <alignment horizontal="left"/>
    </xf>
    <xf numFmtId="194" fontId="89" fillId="0" borderId="32">
      <alignment horizontal="right"/>
    </xf>
    <xf numFmtId="0" fontId="92" fillId="0" borderId="0"/>
    <xf numFmtId="195" fontId="88" fillId="0" borderId="0">
      <alignment horizontal="right"/>
    </xf>
    <xf numFmtId="192" fontId="88" fillId="0" borderId="0"/>
    <xf numFmtId="1" fontId="88" fillId="0" borderId="0">
      <alignment horizontal="right"/>
    </xf>
    <xf numFmtId="196" fontId="88" fillId="0" borderId="0">
      <alignment horizontal="right"/>
    </xf>
    <xf numFmtId="2" fontId="88" fillId="0" borderId="0">
      <alignment horizontal="right"/>
    </xf>
    <xf numFmtId="197" fontId="88" fillId="0" borderId="0">
      <alignment horizontal="right"/>
    </xf>
    <xf numFmtId="0" fontId="93" fillId="0" borderId="0">
      <alignment horizontal="centerContinuous" wrapText="1"/>
    </xf>
    <xf numFmtId="198" fontId="94" fillId="0" borderId="0">
      <alignment horizontal="left"/>
    </xf>
    <xf numFmtId="0" fontId="95" fillId="0" borderId="0">
      <alignment horizontal="left"/>
    </xf>
    <xf numFmtId="0" fontId="88" fillId="0" borderId="0">
      <alignment horizontal="center"/>
    </xf>
    <xf numFmtId="0" fontId="88" fillId="0" borderId="30">
      <alignment horizontal="center"/>
    </xf>
    <xf numFmtId="0" fontId="64" fillId="3" borderId="0" applyNumberFormat="0" applyBorder="0" applyAlignment="0" applyProtection="0"/>
    <xf numFmtId="0" fontId="67" fillId="14" borderId="27" applyNumberFormat="0" applyAlignment="0" applyProtection="0"/>
    <xf numFmtId="0" fontId="67" fillId="14" borderId="27" applyNumberFormat="0" applyAlignment="0" applyProtection="0"/>
    <xf numFmtId="0" fontId="96" fillId="15" borderId="0" applyNumberFormat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3" fontId="8" fillId="28" borderId="10" applyFont="0">
      <alignment horizontal="right" vertical="center"/>
    </xf>
    <xf numFmtId="0" fontId="97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26" fillId="14" borderId="25" applyNumberFormat="0" applyAlignment="0" applyProtection="0"/>
    <xf numFmtId="0" fontId="26" fillId="14" borderId="25" applyNumberFormat="0" applyAlignment="0" applyProtection="0"/>
    <xf numFmtId="0" fontId="39" fillId="0" borderId="0" applyNumberFormat="0"/>
    <xf numFmtId="0" fontId="39" fillId="0" borderId="0" applyNumberFormat="0"/>
    <xf numFmtId="0" fontId="4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2" fillId="0" borderId="0" applyNumberFormat="0" applyFill="0" applyBorder="0" applyAlignment="0" applyProtection="0"/>
    <xf numFmtId="0" fontId="99" fillId="0" borderId="28" applyNumberFormat="0" applyFill="0" applyAlignment="0" applyProtection="0"/>
    <xf numFmtId="0" fontId="99" fillId="0" borderId="28" applyNumberFormat="0" applyFill="0" applyAlignment="0" applyProtection="0"/>
    <xf numFmtId="0" fontId="99" fillId="0" borderId="28" applyNumberFormat="0" applyFill="0" applyAlignment="0" applyProtection="0"/>
    <xf numFmtId="0" fontId="99" fillId="0" borderId="28" applyNumberFormat="0" applyFill="0" applyAlignment="0" applyProtection="0"/>
    <xf numFmtId="0" fontId="100" fillId="0" borderId="33" applyNumberFormat="0" applyFill="0" applyAlignment="0" applyProtection="0"/>
    <xf numFmtId="0" fontId="100" fillId="0" borderId="33" applyNumberFormat="0" applyFill="0" applyAlignment="0" applyProtection="0"/>
    <xf numFmtId="199" fontId="39" fillId="0" borderId="0">
      <alignment horizontal="center"/>
    </xf>
    <xf numFmtId="199" fontId="39" fillId="0" borderId="0">
      <alignment horizontal="center"/>
    </xf>
    <xf numFmtId="200" fontId="31" fillId="0" borderId="0"/>
    <xf numFmtId="199" fontId="39" fillId="0" borderId="0">
      <alignment horizontal="center"/>
    </xf>
    <xf numFmtId="201" fontId="39" fillId="0" borderId="0" applyFont="0" applyFill="0" applyBorder="0" applyAlignment="0" applyProtection="0"/>
    <xf numFmtId="202" fontId="39" fillId="0" borderId="0" applyFont="0" applyFill="0" applyBorder="0" applyAlignment="0" applyProtection="0"/>
    <xf numFmtId="203" fontId="43" fillId="0" borderId="0" applyFont="0" applyFill="0" applyBorder="0" applyAlignment="0" applyProtection="0"/>
    <xf numFmtId="204" fontId="43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ont="0" applyFill="0" applyBorder="0" applyAlignment="0" applyProtection="0">
      <alignment vertical="top"/>
    </xf>
    <xf numFmtId="0" fontId="104" fillId="0" borderId="0" applyNumberFormat="0" applyFont="0" applyFill="0" applyBorder="0" applyAlignment="0" applyProtection="0">
      <alignment vertical="top"/>
    </xf>
    <xf numFmtId="0" fontId="104" fillId="0" borderId="0" applyNumberFormat="0" applyFont="0" applyFill="0" applyBorder="0" applyAlignment="0" applyProtection="0">
      <alignment vertical="top"/>
    </xf>
    <xf numFmtId="0" fontId="103" fillId="0" borderId="0" applyNumberFormat="0" applyFont="0" applyFill="0" applyBorder="0" applyAlignment="0" applyProtection="0"/>
    <xf numFmtId="0" fontId="103" fillId="0" borderId="0" applyNumberFormat="0" applyFont="0" applyFill="0" applyBorder="0" applyAlignment="0" applyProtection="0">
      <alignment horizontal="left" vertical="top"/>
    </xf>
    <xf numFmtId="0" fontId="103" fillId="0" borderId="0" applyNumberFormat="0" applyFont="0" applyFill="0" applyBorder="0" applyAlignment="0" applyProtection="0">
      <alignment horizontal="left" vertical="top"/>
    </xf>
    <xf numFmtId="0" fontId="103" fillId="0" borderId="0" applyNumberFormat="0" applyFont="0" applyFill="0" applyBorder="0" applyAlignment="0" applyProtection="0">
      <alignment horizontal="left" vertical="top"/>
    </xf>
    <xf numFmtId="0" fontId="105" fillId="0" borderId="0" applyNumberFormat="0" applyFont="0" applyFill="0" applyBorder="0" applyAlignment="0" applyProtection="0">
      <alignment horizontal="center"/>
    </xf>
    <xf numFmtId="0" fontId="105" fillId="0" borderId="0" applyNumberFormat="0" applyFont="0" applyFill="0" applyBorder="0" applyAlignment="0" applyProtection="0">
      <alignment horizontal="center"/>
    </xf>
    <xf numFmtId="0" fontId="106" fillId="0" borderId="0" applyNumberFormat="0" applyFont="0" applyFill="0" applyBorder="0" applyAlignment="0" applyProtection="0"/>
    <xf numFmtId="0" fontId="107" fillId="0" borderId="0">
      <alignment horizontal="left" wrapText="1"/>
    </xf>
    <xf numFmtId="0" fontId="108" fillId="0" borderId="14" applyNumberFormat="0" applyFont="0" applyFill="0" applyBorder="0" applyAlignment="0" applyProtection="0">
      <alignment horizontal="center" wrapText="1"/>
    </xf>
    <xf numFmtId="205" fontId="13" fillId="0" borderId="0" applyNumberFormat="0" applyFont="0" applyFill="0" applyBorder="0" applyAlignment="0" applyProtection="0">
      <alignment horizontal="right"/>
    </xf>
    <xf numFmtId="0" fontId="108" fillId="0" borderId="0" applyNumberFormat="0" applyFont="0" applyFill="0" applyBorder="0" applyAlignment="0" applyProtection="0">
      <alignment horizontal="left" indent="1"/>
    </xf>
    <xf numFmtId="206" fontId="108" fillId="0" borderId="0" applyNumberFormat="0" applyFont="0" applyFill="0" applyBorder="0" applyAlignment="0" applyProtection="0"/>
    <xf numFmtId="0" fontId="106" fillId="0" borderId="34" applyNumberFormat="0" applyFont="0" applyFill="0" applyBorder="0" applyAlignment="0" applyProtection="0"/>
    <xf numFmtId="0" fontId="42" fillId="0" borderId="0" applyNumberFormat="0" applyFont="0" applyFill="0" applyBorder="0" applyAlignment="0" applyProtection="0">
      <alignment horizontal="left" wrapText="1" indent="1"/>
    </xf>
    <xf numFmtId="0" fontId="108" fillId="0" borderId="0" applyNumberFormat="0" applyFont="0" applyFill="0" applyBorder="0" applyAlignment="0" applyProtection="0">
      <alignment horizontal="left" indent="1"/>
    </xf>
    <xf numFmtId="0" fontId="42" fillId="0" borderId="0" applyNumberFormat="0" applyFont="0" applyFill="0" applyBorder="0" applyAlignment="0" applyProtection="0">
      <alignment horizontal="left" wrapText="1" indent="2"/>
    </xf>
    <xf numFmtId="207" fontId="42" fillId="0" borderId="0">
      <alignment horizontal="right"/>
    </xf>
    <xf numFmtId="0" fontId="14" fillId="33" borderId="0" applyNumberFormat="0" applyBorder="0" applyAlignment="0" applyProtection="0"/>
    <xf numFmtId="0" fontId="109" fillId="0" borderId="0"/>
    <xf numFmtId="208" fontId="109" fillId="0" borderId="0" applyFont="0" applyFill="0" applyBorder="0" applyAlignment="0" applyProtection="0"/>
    <xf numFmtId="0" fontId="66" fillId="7" borderId="25" applyNumberFormat="0" applyAlignment="0" applyProtection="0"/>
    <xf numFmtId="0" fontId="66" fillId="7" borderId="25" applyNumberFormat="0" applyAlignment="0" applyProtection="0"/>
    <xf numFmtId="0" fontId="30" fillId="25" borderId="18" applyNumberFormat="0" applyAlignment="0" applyProtection="0"/>
    <xf numFmtId="0" fontId="19" fillId="18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18" borderId="0" applyNumberFormat="0" applyBorder="0" applyAlignment="0" applyProtection="0"/>
    <xf numFmtId="0" fontId="19" fillId="24" borderId="0" applyNumberFormat="0" applyBorder="0" applyAlignment="0" applyProtection="0"/>
    <xf numFmtId="0" fontId="87" fillId="8" borderId="27" applyNumberFormat="0" applyAlignment="0" applyProtection="0"/>
    <xf numFmtId="0" fontId="87" fillId="8" borderId="27" applyNumberFormat="0" applyAlignment="0" applyProtection="0"/>
    <xf numFmtId="0" fontId="45" fillId="0" borderId="0" applyNumberFormat="0" applyFill="0" applyBorder="0" applyAlignment="0" applyProtection="0"/>
    <xf numFmtId="0" fontId="53" fillId="0" borderId="23" applyNumberFormat="0" applyFill="0" applyAlignment="0" applyProtection="0"/>
    <xf numFmtId="0" fontId="55" fillId="0" borderId="21" applyNumberFormat="0" applyFill="0" applyAlignment="0" applyProtection="0"/>
    <xf numFmtId="0" fontId="57" fillId="0" borderId="24" applyNumberFormat="0" applyFill="0" applyAlignment="0" applyProtection="0"/>
    <xf numFmtId="0" fontId="57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49" fillId="4" borderId="0" applyNumberFormat="0" applyBorder="0" applyAlignment="0" applyProtection="0"/>
    <xf numFmtId="0" fontId="16" fillId="0" borderId="0"/>
    <xf numFmtId="0" fontId="39" fillId="0" borderId="0"/>
    <xf numFmtId="0" fontId="81" fillId="0" borderId="0"/>
    <xf numFmtId="0" fontId="81" fillId="0" borderId="0"/>
    <xf numFmtId="0" fontId="39" fillId="0" borderId="0"/>
    <xf numFmtId="0" fontId="39" fillId="0" borderId="0"/>
    <xf numFmtId="0" fontId="39" fillId="0" borderId="0"/>
    <xf numFmtId="209" fontId="39" fillId="0" borderId="0" applyFont="0" applyFill="0" applyBorder="0" applyAlignment="0" applyProtection="0"/>
    <xf numFmtId="209" fontId="39" fillId="0" borderId="0" applyFont="0" applyFill="0" applyBorder="0" applyAlignment="0" applyProtection="0"/>
    <xf numFmtId="209" fontId="39" fillId="0" borderId="0" applyFont="0" applyFill="0" applyBorder="0" applyAlignment="0" applyProtection="0"/>
    <xf numFmtId="209" fontId="39" fillId="0" borderId="0" applyFont="0" applyFill="0" applyBorder="0" applyAlignment="0" applyProtection="0"/>
    <xf numFmtId="0" fontId="76" fillId="15" borderId="0" applyNumberFormat="0" applyBorder="0" applyAlignment="0" applyProtection="0"/>
    <xf numFmtId="0" fontId="102" fillId="0" borderId="0" applyNumberFormat="0" applyFill="0" applyBorder="0" applyAlignment="0" applyProtection="0"/>
    <xf numFmtId="0" fontId="39" fillId="9" borderId="26" applyNumberFormat="0" applyFont="0" applyAlignment="0" applyProtection="0"/>
    <xf numFmtId="0" fontId="39" fillId="9" borderId="26" applyNumberFormat="0" applyFont="0" applyAlignment="0" applyProtection="0"/>
    <xf numFmtId="0" fontId="39" fillId="9" borderId="26" applyNumberFormat="0" applyFont="0" applyAlignment="0" applyProtection="0"/>
    <xf numFmtId="0" fontId="39" fillId="9" borderId="26" applyNumberFormat="0" applyFont="0" applyAlignment="0" applyProtection="0"/>
    <xf numFmtId="0" fontId="70" fillId="0" borderId="19" applyNumberFormat="0" applyFill="0" applyAlignment="0" applyProtection="0"/>
    <xf numFmtId="0" fontId="70" fillId="0" borderId="19" applyNumberFormat="0" applyFill="0" applyAlignment="0" applyProtection="0"/>
    <xf numFmtId="0" fontId="70" fillId="0" borderId="19" applyNumberFormat="0" applyFill="0" applyAlignment="0" applyProtection="0"/>
    <xf numFmtId="0" fontId="100" fillId="0" borderId="33" applyNumberFormat="0" applyFill="0" applyAlignment="0" applyProtection="0"/>
    <xf numFmtId="0" fontId="100" fillId="0" borderId="33" applyNumberFormat="0" applyFill="0" applyAlignment="0" applyProtection="0"/>
    <xf numFmtId="0" fontId="98" fillId="0" borderId="0" applyNumberFormat="0" applyFill="0" applyBorder="0" applyAlignment="0" applyProtection="0"/>
    <xf numFmtId="0" fontId="25" fillId="8" borderId="25" applyNumberFormat="0" applyAlignment="0" applyProtection="0"/>
    <xf numFmtId="0" fontId="25" fillId="8" borderId="25" applyNumberFormat="0" applyAlignment="0" applyProtection="0"/>
    <xf numFmtId="0" fontId="110" fillId="0" borderId="0" applyProtection="0"/>
    <xf numFmtId="164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111" fillId="0" borderId="0" applyProtection="0"/>
    <xf numFmtId="0" fontId="112" fillId="0" borderId="0" applyProtection="0"/>
    <xf numFmtId="0" fontId="110" fillId="0" borderId="35" applyProtection="0"/>
    <xf numFmtId="0" fontId="113" fillId="0" borderId="0"/>
    <xf numFmtId="10" fontId="110" fillId="0" borderId="0" applyProtection="0"/>
    <xf numFmtId="0" fontId="110" fillId="0" borderId="0"/>
    <xf numFmtId="2" fontId="110" fillId="0" borderId="0" applyProtection="0"/>
    <xf numFmtId="165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9" fillId="0" borderId="56" applyNumberFormat="0" applyFill="0" applyAlignment="0" applyProtection="0"/>
    <xf numFmtId="0" fontId="99" fillId="0" borderId="56" applyNumberFormat="0" applyFill="0" applyAlignment="0" applyProtection="0"/>
    <xf numFmtId="0" fontId="99" fillId="0" borderId="56" applyNumberFormat="0" applyFill="0" applyAlignment="0" applyProtection="0"/>
    <xf numFmtId="0" fontId="99" fillId="0" borderId="56" applyNumberFormat="0" applyFill="0" applyAlignment="0" applyProtection="0"/>
    <xf numFmtId="0" fontId="26" fillId="14" borderId="53" applyNumberFormat="0" applyAlignment="0" applyProtection="0"/>
    <xf numFmtId="0" fontId="26" fillId="14" borderId="53" applyNumberFormat="0" applyAlignment="0" applyProtection="0"/>
    <xf numFmtId="0" fontId="67" fillId="14" borderId="55" applyNumberFormat="0" applyAlignment="0" applyProtection="0"/>
    <xf numFmtId="0" fontId="67" fillId="14" borderId="55" applyNumberFormat="0" applyAlignment="0" applyProtection="0"/>
    <xf numFmtId="0" fontId="87" fillId="8" borderId="55" applyNumberFormat="0" applyAlignment="0" applyProtection="0"/>
    <xf numFmtId="0" fontId="87" fillId="8" borderId="55" applyNumberFormat="0" applyAlignment="0" applyProtection="0"/>
    <xf numFmtId="0" fontId="86" fillId="14" borderId="55" applyNumberFormat="0" applyAlignment="0" applyProtection="0"/>
    <xf numFmtId="0" fontId="86" fillId="14" borderId="55" applyNumberFormat="0" applyAlignment="0" applyProtection="0"/>
    <xf numFmtId="0" fontId="86" fillId="14" borderId="55" applyNumberFormat="0" applyAlignment="0" applyProtection="0"/>
    <xf numFmtId="0" fontId="86" fillId="14" borderId="55" applyNumberFormat="0" applyAlignment="0" applyProtection="0"/>
    <xf numFmtId="0" fontId="86" fillId="14" borderId="55" applyNumberFormat="0" applyAlignment="0" applyProtection="0"/>
    <xf numFmtId="0" fontId="86" fillId="14" borderId="55" applyNumberFormat="0" applyAlignment="0" applyProtection="0"/>
    <xf numFmtId="0" fontId="85" fillId="0" borderId="56" applyNumberFormat="0" applyFill="0" applyAlignment="0" applyProtection="0"/>
    <xf numFmtId="0" fontId="85" fillId="0" borderId="56" applyNumberFormat="0" applyFill="0" applyAlignment="0" applyProtection="0"/>
    <xf numFmtId="0" fontId="39" fillId="9" borderId="54" applyNumberFormat="0" applyFont="0" applyAlignment="0" applyProtection="0"/>
    <xf numFmtId="0" fontId="39" fillId="9" borderId="54" applyNumberFormat="0" applyFont="0" applyAlignment="0" applyProtection="0"/>
    <xf numFmtId="0" fontId="39" fillId="9" borderId="54" applyNumberFormat="0" applyFont="0" applyAlignment="0" applyProtection="0"/>
    <xf numFmtId="0" fontId="39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22" fillId="7" borderId="47" applyNumberFormat="0" applyAlignment="0" applyProtection="0"/>
    <xf numFmtId="0" fontId="22" fillId="7" borderId="47" applyNumberFormat="0" applyAlignment="0" applyProtection="0"/>
    <xf numFmtId="0" fontId="24" fillId="14" borderId="47" applyNumberFormat="0" applyAlignment="0" applyProtection="0"/>
    <xf numFmtId="0" fontId="24" fillId="14" borderId="47" applyNumberFormat="0" applyAlignment="0" applyProtection="0"/>
    <xf numFmtId="0" fontId="24" fillId="14" borderId="47" applyNumberFormat="0" applyAlignment="0" applyProtection="0"/>
    <xf numFmtId="0" fontId="24" fillId="14" borderId="47" applyNumberFormat="0" applyAlignment="0" applyProtection="0"/>
    <xf numFmtId="0" fontId="24" fillId="14" borderId="47" applyNumberFormat="0" applyAlignment="0" applyProtection="0"/>
    <xf numFmtId="0" fontId="24" fillId="14" borderId="47" applyNumberFormat="0" applyAlignment="0" applyProtection="0"/>
    <xf numFmtId="0" fontId="25" fillId="8" borderId="47" applyNumberFormat="0" applyAlignment="0" applyProtection="0"/>
    <xf numFmtId="0" fontId="25" fillId="8" borderId="47" applyNumberFormat="0" applyAlignment="0" applyProtection="0"/>
    <xf numFmtId="0" fontId="26" fillId="14" borderId="47" applyNumberFormat="0" applyAlignment="0" applyProtection="0"/>
    <xf numFmtId="0" fontId="26" fillId="14" borderId="47" applyNumberFormat="0" applyAlignment="0" applyProtection="0"/>
    <xf numFmtId="0" fontId="22" fillId="7" borderId="47" applyNumberFormat="0" applyAlignment="0" applyProtection="0"/>
    <xf numFmtId="0" fontId="22" fillId="7" borderId="47" applyNumberFormat="0" applyAlignment="0" applyProtection="0"/>
    <xf numFmtId="0" fontId="67" fillId="14" borderId="55" applyNumberFormat="0" applyAlignment="0" applyProtection="0"/>
    <xf numFmtId="0" fontId="67" fillId="14" borderId="55" applyNumberFormat="0" applyAlignment="0" applyProtection="0"/>
    <xf numFmtId="0" fontId="8" fillId="9" borderId="54" applyNumberFormat="0" applyFont="0" applyAlignment="0" applyProtection="0"/>
    <xf numFmtId="0" fontId="8" fillId="9" borderId="54" applyNumberFormat="0" applyFont="0" applyAlignment="0" applyProtection="0"/>
    <xf numFmtId="0" fontId="66" fillId="7" borderId="53" applyNumberFormat="0" applyAlignment="0" applyProtection="0"/>
    <xf numFmtId="0" fontId="66" fillId="7" borderId="53" applyNumberFormat="0" applyAlignment="0" applyProtection="0"/>
    <xf numFmtId="0" fontId="65" fillId="7" borderId="53" applyNumberFormat="0" applyAlignment="0" applyProtection="0"/>
    <xf numFmtId="0" fontId="65" fillId="7" borderId="53" applyNumberFormat="0" applyAlignment="0" applyProtection="0"/>
    <xf numFmtId="0" fontId="65" fillId="7" borderId="53" applyNumberFormat="0" applyAlignment="0" applyProtection="0"/>
    <xf numFmtId="0" fontId="65" fillId="7" borderId="53" applyNumberFormat="0" applyAlignment="0" applyProtection="0"/>
    <xf numFmtId="0" fontId="65" fillId="7" borderId="53" applyNumberFormat="0" applyAlignment="0" applyProtection="0"/>
    <xf numFmtId="0" fontId="65" fillId="7" borderId="53" applyNumberFormat="0" applyAlignment="0" applyProtection="0"/>
    <xf numFmtId="0" fontId="8" fillId="29" borderId="52" applyNumberFormat="0" applyFont="0" applyBorder="0" applyProtection="0">
      <alignment horizontal="left" vertical="center"/>
    </xf>
    <xf numFmtId="0" fontId="59" fillId="28" borderId="52" applyFont="0" applyBorder="0">
      <alignment horizontal="center" wrapText="1"/>
    </xf>
    <xf numFmtId="0" fontId="59" fillId="28" borderId="44" applyFont="0" applyBorder="0">
      <alignment horizontal="center" wrapText="1"/>
    </xf>
    <xf numFmtId="0" fontId="8" fillId="29" borderId="44" applyNumberFormat="0" applyFont="0" applyBorder="0" applyProtection="0">
      <alignment horizontal="left" vertical="center"/>
    </xf>
    <xf numFmtId="0" fontId="65" fillId="7" borderId="47" applyNumberFormat="0" applyAlignment="0" applyProtection="0"/>
    <xf numFmtId="0" fontId="65" fillId="7" borderId="47" applyNumberFormat="0" applyAlignment="0" applyProtection="0"/>
    <xf numFmtId="0" fontId="65" fillId="7" borderId="47" applyNumberFormat="0" applyAlignment="0" applyProtection="0"/>
    <xf numFmtId="0" fontId="65" fillId="7" borderId="47" applyNumberFormat="0" applyAlignment="0" applyProtection="0"/>
    <xf numFmtId="0" fontId="65" fillId="7" borderId="47" applyNumberFormat="0" applyAlignment="0" applyProtection="0"/>
    <xf numFmtId="0" fontId="65" fillId="7" borderId="47" applyNumberFormat="0" applyAlignment="0" applyProtection="0"/>
    <xf numFmtId="0" fontId="66" fillId="7" borderId="47" applyNumberFormat="0" applyAlignment="0" applyProtection="0"/>
    <xf numFmtId="0" fontId="66" fillId="7" borderId="47" applyNumberForma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67" fillId="14" borderId="49" applyNumberFormat="0" applyAlignment="0" applyProtection="0"/>
    <xf numFmtId="0" fontId="67" fillId="14" borderId="49" applyNumberFormat="0" applyAlignment="0" applyProtection="0"/>
    <xf numFmtId="0" fontId="22" fillId="7" borderId="53" applyNumberFormat="0" applyAlignment="0" applyProtection="0"/>
    <xf numFmtId="0" fontId="22" fillId="7" borderId="5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14" borderId="53" applyNumberFormat="0" applyAlignment="0" applyProtection="0"/>
    <xf numFmtId="0" fontId="26" fillId="14" borderId="53" applyNumberFormat="0" applyAlignment="0" applyProtection="0"/>
    <xf numFmtId="0" fontId="25" fillId="8" borderId="53" applyNumberFormat="0" applyAlignment="0" applyProtection="0"/>
    <xf numFmtId="0" fontId="25" fillId="8" borderId="53" applyNumberFormat="0" applyAlignment="0" applyProtection="0"/>
    <xf numFmtId="0" fontId="24" fillId="14" borderId="53" applyNumberFormat="0" applyAlignment="0" applyProtection="0"/>
    <xf numFmtId="0" fontId="24" fillId="14" borderId="53" applyNumberFormat="0" applyAlignment="0" applyProtection="0"/>
    <xf numFmtId="0" fontId="24" fillId="14" borderId="53" applyNumberFormat="0" applyAlignment="0" applyProtection="0"/>
    <xf numFmtId="0" fontId="24" fillId="14" borderId="53" applyNumberFormat="0" applyAlignment="0" applyProtection="0"/>
    <xf numFmtId="0" fontId="24" fillId="14" borderId="53" applyNumberFormat="0" applyAlignment="0" applyProtection="0"/>
    <xf numFmtId="0" fontId="24" fillId="14" borderId="53" applyNumberFormat="0" applyAlignment="0" applyProtection="0"/>
    <xf numFmtId="0" fontId="22" fillId="7" borderId="53" applyNumberFormat="0" applyAlignment="0" applyProtection="0"/>
    <xf numFmtId="0" fontId="22" fillId="7" borderId="53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8" fillId="9" borderId="48" applyNumberFormat="0" applyFont="0" applyAlignment="0" applyProtection="0"/>
    <xf numFmtId="0" fontId="39" fillId="9" borderId="48" applyNumberFormat="0" applyFont="0" applyAlignment="0" applyProtection="0"/>
    <xf numFmtId="0" fontId="39" fillId="9" borderId="48" applyNumberFormat="0" applyFont="0" applyAlignment="0" applyProtection="0"/>
    <xf numFmtId="0" fontId="39" fillId="9" borderId="48" applyNumberFormat="0" applyFont="0" applyAlignment="0" applyProtection="0"/>
    <xf numFmtId="0" fontId="39" fillId="9" borderId="48" applyNumberFormat="0" applyFont="0" applyAlignment="0" applyProtection="0"/>
    <xf numFmtId="0" fontId="85" fillId="0" borderId="50" applyNumberFormat="0" applyFill="0" applyAlignment="0" applyProtection="0"/>
    <xf numFmtId="0" fontId="85" fillId="0" borderId="50" applyNumberFormat="0" applyFill="0" applyAlignment="0" applyProtection="0"/>
    <xf numFmtId="0" fontId="86" fillId="14" borderId="49" applyNumberFormat="0" applyAlignment="0" applyProtection="0"/>
    <xf numFmtId="0" fontId="86" fillId="14" borderId="49" applyNumberFormat="0" applyAlignment="0" applyProtection="0"/>
    <xf numFmtId="0" fontId="86" fillId="14" borderId="49" applyNumberFormat="0" applyAlignment="0" applyProtection="0"/>
    <xf numFmtId="0" fontId="86" fillId="14" borderId="49" applyNumberFormat="0" applyAlignment="0" applyProtection="0"/>
    <xf numFmtId="0" fontId="86" fillId="14" borderId="49" applyNumberFormat="0" applyAlignment="0" applyProtection="0"/>
    <xf numFmtId="0" fontId="86" fillId="14" borderId="49" applyNumberFormat="0" applyAlignment="0" applyProtection="0"/>
    <xf numFmtId="0" fontId="87" fillId="8" borderId="49" applyNumberFormat="0" applyAlignment="0" applyProtection="0"/>
    <xf numFmtId="0" fontId="87" fillId="8" borderId="49" applyNumberFormat="0" applyAlignment="0" applyProtection="0"/>
    <xf numFmtId="0" fontId="67" fillId="14" borderId="49" applyNumberFormat="0" applyAlignment="0" applyProtection="0"/>
    <xf numFmtId="0" fontId="67" fillId="14" borderId="49" applyNumberFormat="0" applyAlignment="0" applyProtection="0"/>
    <xf numFmtId="0" fontId="26" fillId="14" borderId="47" applyNumberFormat="0" applyAlignment="0" applyProtection="0"/>
    <xf numFmtId="0" fontId="26" fillId="14" borderId="47" applyNumberFormat="0" applyAlignment="0" applyProtection="0"/>
    <xf numFmtId="0" fontId="22" fillId="7" borderId="59" applyNumberFormat="0" applyAlignment="0" applyProtection="0"/>
    <xf numFmtId="0" fontId="99" fillId="0" borderId="50" applyNumberFormat="0" applyFill="0" applyAlignment="0" applyProtection="0"/>
    <xf numFmtId="0" fontId="99" fillId="0" borderId="50" applyNumberFormat="0" applyFill="0" applyAlignment="0" applyProtection="0"/>
    <xf numFmtId="0" fontId="99" fillId="0" borderId="50" applyNumberFormat="0" applyFill="0" applyAlignment="0" applyProtection="0"/>
    <xf numFmtId="0" fontId="99" fillId="0" borderId="50" applyNumberFormat="0" applyFill="0" applyAlignment="0" applyProtection="0"/>
    <xf numFmtId="0" fontId="100" fillId="0" borderId="51" applyNumberFormat="0" applyFill="0" applyAlignment="0" applyProtection="0"/>
    <xf numFmtId="0" fontId="100" fillId="0" borderId="51" applyNumberFormat="0" applyFill="0" applyAlignment="0" applyProtection="0"/>
    <xf numFmtId="0" fontId="22" fillId="7" borderId="59" applyNumberFormat="0" applyAlignment="0" applyProtection="0"/>
    <xf numFmtId="0" fontId="24" fillId="14" borderId="59" applyNumberFormat="0" applyAlignment="0" applyProtection="0"/>
    <xf numFmtId="0" fontId="24" fillId="14" borderId="59" applyNumberFormat="0" applyAlignment="0" applyProtection="0"/>
    <xf numFmtId="0" fontId="24" fillId="14" borderId="59" applyNumberFormat="0" applyAlignment="0" applyProtection="0"/>
    <xf numFmtId="0" fontId="24" fillId="14" borderId="59" applyNumberFormat="0" applyAlignment="0" applyProtection="0"/>
    <xf numFmtId="0" fontId="24" fillId="14" borderId="59" applyNumberFormat="0" applyAlignment="0" applyProtection="0"/>
    <xf numFmtId="0" fontId="24" fillId="14" borderId="59" applyNumberFormat="0" applyAlignment="0" applyProtection="0"/>
    <xf numFmtId="0" fontId="25" fillId="8" borderId="59" applyNumberFormat="0" applyAlignment="0" applyProtection="0"/>
    <xf numFmtId="0" fontId="25" fillId="8" borderId="59" applyNumberFormat="0" applyAlignment="0" applyProtection="0"/>
    <xf numFmtId="0" fontId="26" fillId="14" borderId="59" applyNumberFormat="0" applyAlignment="0" applyProtection="0"/>
    <xf numFmtId="0" fontId="26" fillId="14" borderId="59" applyNumberFormat="0" applyAlignment="0" applyProtection="0"/>
    <xf numFmtId="0" fontId="66" fillId="7" borderId="47" applyNumberFormat="0" applyAlignment="0" applyProtection="0"/>
    <xf numFmtId="0" fontId="66" fillId="7" borderId="47" applyNumberFormat="0" applyAlignment="0" applyProtection="0"/>
    <xf numFmtId="0" fontId="87" fillId="8" borderId="49" applyNumberFormat="0" applyAlignment="0" applyProtection="0"/>
    <xf numFmtId="0" fontId="87" fillId="8" borderId="49" applyNumberFormat="0" applyAlignment="0" applyProtection="0"/>
    <xf numFmtId="0" fontId="39" fillId="9" borderId="48" applyNumberFormat="0" applyFont="0" applyAlignment="0" applyProtection="0"/>
    <xf numFmtId="0" fontId="39" fillId="9" borderId="48" applyNumberFormat="0" applyFont="0" applyAlignment="0" applyProtection="0"/>
    <xf numFmtId="0" fontId="39" fillId="9" borderId="48" applyNumberFormat="0" applyFont="0" applyAlignment="0" applyProtection="0"/>
    <xf numFmtId="0" fontId="39" fillId="9" borderId="48" applyNumberFormat="0" applyFont="0" applyAlignment="0" applyProtection="0"/>
    <xf numFmtId="0" fontId="100" fillId="0" borderId="51" applyNumberFormat="0" applyFill="0" applyAlignment="0" applyProtection="0"/>
    <xf numFmtId="0" fontId="100" fillId="0" borderId="51" applyNumberFormat="0" applyFill="0" applyAlignment="0" applyProtection="0"/>
    <xf numFmtId="0" fontId="25" fillId="8" borderId="47" applyNumberFormat="0" applyAlignment="0" applyProtection="0"/>
    <xf numFmtId="0" fontId="25" fillId="8" borderId="47" applyNumberFormat="0" applyAlignment="0" applyProtection="0"/>
    <xf numFmtId="0" fontId="100" fillId="0" borderId="57" applyNumberFormat="0" applyFill="0" applyAlignment="0" applyProtection="0"/>
    <xf numFmtId="0" fontId="100" fillId="0" borderId="57" applyNumberFormat="0" applyFill="0" applyAlignment="0" applyProtection="0"/>
    <xf numFmtId="0" fontId="66" fillId="7" borderId="53" applyNumberFormat="0" applyAlignment="0" applyProtection="0"/>
    <xf numFmtId="0" fontId="66" fillId="7" borderId="53" applyNumberFormat="0" applyAlignment="0" applyProtection="0"/>
    <xf numFmtId="0" fontId="87" fillId="8" borderId="55" applyNumberFormat="0" applyAlignment="0" applyProtection="0"/>
    <xf numFmtId="0" fontId="87" fillId="8" borderId="55" applyNumberFormat="0" applyAlignment="0" applyProtection="0"/>
    <xf numFmtId="0" fontId="39" fillId="9" borderId="54" applyNumberFormat="0" applyFont="0" applyAlignment="0" applyProtection="0"/>
    <xf numFmtId="0" fontId="39" fillId="9" borderId="54" applyNumberFormat="0" applyFont="0" applyAlignment="0" applyProtection="0"/>
    <xf numFmtId="0" fontId="39" fillId="9" borderId="54" applyNumberFormat="0" applyFont="0" applyAlignment="0" applyProtection="0"/>
    <xf numFmtId="0" fontId="39" fillId="9" borderId="54" applyNumberFormat="0" applyFont="0" applyAlignment="0" applyProtection="0"/>
    <xf numFmtId="0" fontId="100" fillId="0" borderId="57" applyNumberFormat="0" applyFill="0" applyAlignment="0" applyProtection="0"/>
    <xf numFmtId="0" fontId="100" fillId="0" borderId="57" applyNumberFormat="0" applyFill="0" applyAlignment="0" applyProtection="0"/>
    <xf numFmtId="0" fontId="25" fillId="8" borderId="53" applyNumberFormat="0" applyAlignment="0" applyProtection="0"/>
    <xf numFmtId="0" fontId="25" fillId="8" borderId="53" applyNumberFormat="0" applyAlignment="0" applyProtection="0"/>
    <xf numFmtId="0" fontId="22" fillId="7" borderId="59" applyNumberFormat="0" applyAlignment="0" applyProtection="0"/>
    <xf numFmtId="0" fontId="22" fillId="7" borderId="59" applyNumberFormat="0" applyAlignment="0" applyProtection="0"/>
    <xf numFmtId="0" fontId="59" fillId="28" borderId="58" applyFont="0" applyBorder="0">
      <alignment horizontal="center" wrapText="1"/>
    </xf>
    <xf numFmtId="0" fontId="8" fillId="29" borderId="58" applyNumberFormat="0" applyFont="0" applyBorder="0" applyProtection="0">
      <alignment horizontal="left" vertical="center"/>
    </xf>
    <xf numFmtId="0" fontId="8" fillId="29" borderId="64" applyNumberFormat="0" applyFont="0" applyBorder="0" applyProtection="0">
      <alignment horizontal="left" vertical="center"/>
    </xf>
    <xf numFmtId="0" fontId="59" fillId="28" borderId="64" applyFont="0" applyBorder="0">
      <alignment horizontal="center" wrapText="1"/>
    </xf>
    <xf numFmtId="0" fontId="65" fillId="7" borderId="59" applyNumberFormat="0" applyAlignment="0" applyProtection="0"/>
    <xf numFmtId="0" fontId="65" fillId="7" borderId="59" applyNumberFormat="0" applyAlignment="0" applyProtection="0"/>
    <xf numFmtId="0" fontId="65" fillId="7" borderId="59" applyNumberFormat="0" applyAlignment="0" applyProtection="0"/>
    <xf numFmtId="0" fontId="65" fillId="7" borderId="59" applyNumberFormat="0" applyAlignment="0" applyProtection="0"/>
    <xf numFmtId="0" fontId="65" fillId="7" borderId="59" applyNumberFormat="0" applyAlignment="0" applyProtection="0"/>
    <xf numFmtId="0" fontId="65" fillId="7" borderId="59" applyNumberFormat="0" applyAlignment="0" applyProtection="0"/>
    <xf numFmtId="0" fontId="66" fillId="7" borderId="59" applyNumberFormat="0" applyAlignment="0" applyProtection="0"/>
    <xf numFmtId="0" fontId="66" fillId="7" borderId="59" applyNumberForma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67" fillId="14" borderId="61" applyNumberFormat="0" applyAlignment="0" applyProtection="0"/>
    <xf numFmtId="0" fontId="67" fillId="14" borderId="61" applyNumberForma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8" fillId="9" borderId="60" applyNumberFormat="0" applyFont="0" applyAlignment="0" applyProtection="0"/>
    <xf numFmtId="0" fontId="39" fillId="9" borderId="60" applyNumberFormat="0" applyFont="0" applyAlignment="0" applyProtection="0"/>
    <xf numFmtId="0" fontId="39" fillId="9" borderId="60" applyNumberFormat="0" applyFont="0" applyAlignment="0" applyProtection="0"/>
    <xf numFmtId="0" fontId="39" fillId="9" borderId="60" applyNumberFormat="0" applyFont="0" applyAlignment="0" applyProtection="0"/>
    <xf numFmtId="0" fontId="39" fillId="9" borderId="60" applyNumberFormat="0" applyFont="0" applyAlignment="0" applyProtection="0"/>
    <xf numFmtId="0" fontId="85" fillId="0" borderId="62" applyNumberFormat="0" applyFill="0" applyAlignment="0" applyProtection="0"/>
    <xf numFmtId="0" fontId="85" fillId="0" borderId="62" applyNumberFormat="0" applyFill="0" applyAlignment="0" applyProtection="0"/>
    <xf numFmtId="0" fontId="86" fillId="14" borderId="61" applyNumberFormat="0" applyAlignment="0" applyProtection="0"/>
    <xf numFmtId="0" fontId="86" fillId="14" borderId="61" applyNumberFormat="0" applyAlignment="0" applyProtection="0"/>
    <xf numFmtId="0" fontId="86" fillId="14" borderId="61" applyNumberFormat="0" applyAlignment="0" applyProtection="0"/>
    <xf numFmtId="0" fontId="86" fillId="14" borderId="61" applyNumberFormat="0" applyAlignment="0" applyProtection="0"/>
    <xf numFmtId="0" fontId="86" fillId="14" borderId="61" applyNumberFormat="0" applyAlignment="0" applyProtection="0"/>
    <xf numFmtId="0" fontId="86" fillId="14" borderId="61" applyNumberFormat="0" applyAlignment="0" applyProtection="0"/>
    <xf numFmtId="0" fontId="87" fillId="8" borderId="61" applyNumberFormat="0" applyAlignment="0" applyProtection="0"/>
    <xf numFmtId="0" fontId="87" fillId="8" borderId="61" applyNumberFormat="0" applyAlignment="0" applyProtection="0"/>
    <xf numFmtId="0" fontId="67" fillId="14" borderId="61" applyNumberFormat="0" applyAlignment="0" applyProtection="0"/>
    <xf numFmtId="0" fontId="67" fillId="14" borderId="61" applyNumberFormat="0" applyAlignment="0" applyProtection="0"/>
    <xf numFmtId="0" fontId="26" fillId="14" borderId="59" applyNumberFormat="0" applyAlignment="0" applyProtection="0"/>
    <xf numFmtId="0" fontId="26" fillId="14" borderId="59" applyNumberFormat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100" fillId="0" borderId="63" applyNumberFormat="0" applyFill="0" applyAlignment="0" applyProtection="0"/>
    <xf numFmtId="0" fontId="100" fillId="0" borderId="63" applyNumberFormat="0" applyFill="0" applyAlignment="0" applyProtection="0"/>
    <xf numFmtId="0" fontId="66" fillId="7" borderId="59" applyNumberFormat="0" applyAlignment="0" applyProtection="0"/>
    <xf numFmtId="0" fontId="66" fillId="7" borderId="59" applyNumberFormat="0" applyAlignment="0" applyProtection="0"/>
    <xf numFmtId="0" fontId="87" fillId="8" borderId="61" applyNumberFormat="0" applyAlignment="0" applyProtection="0"/>
    <xf numFmtId="0" fontId="87" fillId="8" borderId="61" applyNumberFormat="0" applyAlignment="0" applyProtection="0"/>
    <xf numFmtId="0" fontId="39" fillId="9" borderId="60" applyNumberFormat="0" applyFont="0" applyAlignment="0" applyProtection="0"/>
    <xf numFmtId="0" fontId="39" fillId="9" borderId="60" applyNumberFormat="0" applyFont="0" applyAlignment="0" applyProtection="0"/>
    <xf numFmtId="0" fontId="39" fillId="9" borderId="60" applyNumberFormat="0" applyFont="0" applyAlignment="0" applyProtection="0"/>
    <xf numFmtId="0" fontId="39" fillId="9" borderId="60" applyNumberFormat="0" applyFont="0" applyAlignment="0" applyProtection="0"/>
    <xf numFmtId="0" fontId="100" fillId="0" borderId="63" applyNumberFormat="0" applyFill="0" applyAlignment="0" applyProtection="0"/>
    <xf numFmtId="0" fontId="100" fillId="0" borderId="63" applyNumberFormat="0" applyFill="0" applyAlignment="0" applyProtection="0"/>
    <xf numFmtId="0" fontId="25" fillId="8" borderId="59" applyNumberFormat="0" applyAlignment="0" applyProtection="0"/>
    <xf numFmtId="0" fontId="25" fillId="8" borderId="59" applyNumberFormat="0" applyAlignment="0" applyProtection="0"/>
    <xf numFmtId="0" fontId="1" fillId="0" borderId="0"/>
    <xf numFmtId="0" fontId="1" fillId="0" borderId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5" fillId="0" borderId="92" applyNumberFormat="0" applyFill="0" applyAlignment="0" applyProtection="0"/>
    <xf numFmtId="0" fontId="85" fillId="0" borderId="92" applyNumberFormat="0" applyFill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66" fillId="7" borderId="89" applyNumberForma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66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59" fillId="28" borderId="66" applyFont="0" applyBorder="0">
      <alignment horizontal="center" wrapText="1"/>
    </xf>
    <xf numFmtId="0" fontId="8" fillId="29" borderId="66" applyNumberFormat="0" applyFont="0" applyBorder="0" applyProtection="0">
      <alignment horizontal="left" vertical="center"/>
    </xf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1" fillId="0" borderId="0"/>
    <xf numFmtId="0" fontId="1" fillId="0" borderId="0"/>
    <xf numFmtId="0" fontId="1" fillId="0" borderId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85" fillId="0" borderId="86" applyNumberFormat="0" applyFill="0" applyAlignment="0" applyProtection="0"/>
    <xf numFmtId="0" fontId="85" fillId="0" borderId="86" applyNumberFormat="0" applyFill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5" fillId="0" borderId="86" applyNumberFormat="0" applyFill="0" applyAlignment="0" applyProtection="0"/>
    <xf numFmtId="0" fontId="85" fillId="0" borderId="86" applyNumberFormat="0" applyFill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8" fillId="29" borderId="88" applyNumberFormat="0" applyFont="0" applyBorder="0" applyProtection="0">
      <alignment horizontal="left" vertical="center"/>
    </xf>
    <xf numFmtId="0" fontId="59" fillId="28" borderId="88" applyFont="0" applyBorder="0">
      <alignment horizontal="center" wrapText="1"/>
    </xf>
    <xf numFmtId="0" fontId="59" fillId="28" borderId="66" applyFont="0" applyBorder="0">
      <alignment horizontal="center" wrapText="1"/>
    </xf>
    <xf numFmtId="0" fontId="8" fillId="29" borderId="66" applyNumberFormat="0" applyFont="0" applyBorder="0" applyProtection="0">
      <alignment horizontal="left" vertical="center"/>
    </xf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85" fillId="0" borderId="86" applyNumberFormat="0" applyFill="0" applyAlignment="0" applyProtection="0"/>
    <xf numFmtId="0" fontId="85" fillId="0" borderId="86" applyNumberFormat="0" applyFill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22" fillId="7" borderId="83" applyNumberFormat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22" fillId="7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4" fillId="14" borderId="83" applyNumberFormat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22" fillId="7" borderId="83" applyNumberFormat="0" applyAlignment="0" applyProtection="0"/>
    <xf numFmtId="0" fontId="22" fillId="7" borderId="83" applyNumberFormat="0" applyAlignment="0" applyProtection="0"/>
    <xf numFmtId="0" fontId="59" fillId="28" borderId="88" applyFont="0" applyBorder="0">
      <alignment horizontal="center" wrapText="1"/>
    </xf>
    <xf numFmtId="0" fontId="8" fillId="29" borderId="88" applyNumberFormat="0" applyFont="0" applyBorder="0" applyProtection="0">
      <alignment horizontal="left" vertical="center"/>
    </xf>
    <xf numFmtId="0" fontId="8" fillId="29" borderId="88" applyNumberFormat="0" applyFont="0" applyBorder="0" applyProtection="0">
      <alignment horizontal="left" vertical="center"/>
    </xf>
    <xf numFmtId="0" fontId="59" fillId="28" borderId="88" applyFont="0" applyBorder="0">
      <alignment horizontal="center" wrapText="1"/>
    </xf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5" fillId="7" borderId="83" applyNumberFormat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8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85" fillId="0" borderId="86" applyNumberFormat="0" applyFill="0" applyAlignment="0" applyProtection="0"/>
    <xf numFmtId="0" fontId="85" fillId="0" borderId="86" applyNumberFormat="0" applyFill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6" fillId="14" borderId="85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67" fillId="14" borderId="85" applyNumberFormat="0" applyAlignment="0" applyProtection="0"/>
    <xf numFmtId="0" fontId="67" fillId="14" borderId="85" applyNumberFormat="0" applyAlignment="0" applyProtection="0"/>
    <xf numFmtId="0" fontId="26" fillId="14" borderId="83" applyNumberFormat="0" applyAlignment="0" applyProtection="0"/>
    <xf numFmtId="0" fontId="26" fillId="14" borderId="83" applyNumberFormat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99" fillId="0" borderId="86" applyNumberFormat="0" applyFill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66" fillId="7" borderId="83" applyNumberFormat="0" applyAlignment="0" applyProtection="0"/>
    <xf numFmtId="0" fontId="66" fillId="7" borderId="83" applyNumberFormat="0" applyAlignment="0" applyProtection="0"/>
    <xf numFmtId="0" fontId="87" fillId="8" borderId="85" applyNumberFormat="0" applyAlignment="0" applyProtection="0"/>
    <xf numFmtId="0" fontId="87" fillId="8" borderId="85" applyNumberForma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39" fillId="9" borderId="84" applyNumberFormat="0" applyFont="0" applyAlignment="0" applyProtection="0"/>
    <xf numFmtId="0" fontId="100" fillId="0" borderId="87" applyNumberFormat="0" applyFill="0" applyAlignment="0" applyProtection="0"/>
    <xf numFmtId="0" fontId="100" fillId="0" borderId="87" applyNumberFormat="0" applyFill="0" applyAlignment="0" applyProtection="0"/>
    <xf numFmtId="0" fontId="25" fillId="8" borderId="83" applyNumberFormat="0" applyAlignment="0" applyProtection="0"/>
    <xf numFmtId="0" fontId="25" fillId="8" borderId="83" applyNumberFormat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5" fillId="0" borderId="92" applyNumberFormat="0" applyFill="0" applyAlignment="0" applyProtection="0"/>
    <xf numFmtId="0" fontId="85" fillId="0" borderId="92" applyNumberFormat="0" applyFill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8" fillId="29" borderId="94" applyNumberFormat="0" applyFont="0" applyBorder="0" applyProtection="0">
      <alignment horizontal="left" vertical="center"/>
    </xf>
    <xf numFmtId="0" fontId="59" fillId="28" borderId="94" applyFont="0" applyBorder="0">
      <alignment horizontal="center" wrapText="1"/>
    </xf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85" fillId="0" borderId="92" applyNumberFormat="0" applyFill="0" applyAlignment="0" applyProtection="0"/>
    <xf numFmtId="0" fontId="85" fillId="0" borderId="92" applyNumberFormat="0" applyFill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22" fillId="7" borderId="89" applyNumberFormat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22" fillId="7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4" fillId="14" borderId="89" applyNumberFormat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  <xf numFmtId="0" fontId="22" fillId="7" borderId="89" applyNumberFormat="0" applyAlignment="0" applyProtection="0"/>
    <xf numFmtId="0" fontId="22" fillId="7" borderId="89" applyNumberFormat="0" applyAlignment="0" applyProtection="0"/>
    <xf numFmtId="0" fontId="59" fillId="28" borderId="94" applyFont="0" applyBorder="0">
      <alignment horizontal="center" wrapText="1"/>
    </xf>
    <xf numFmtId="0" fontId="8" fillId="29" borderId="94" applyNumberFormat="0" applyFont="0" applyBorder="0" applyProtection="0">
      <alignment horizontal="left" vertical="center"/>
    </xf>
    <xf numFmtId="0" fontId="8" fillId="29" borderId="94" applyNumberFormat="0" applyFont="0" applyBorder="0" applyProtection="0">
      <alignment horizontal="left" vertical="center"/>
    </xf>
    <xf numFmtId="0" fontId="59" fillId="28" borderId="94" applyFont="0" applyBorder="0">
      <alignment horizontal="center" wrapText="1"/>
    </xf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5" fillId="7" borderId="89" applyNumberFormat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8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85" fillId="0" borderId="92" applyNumberFormat="0" applyFill="0" applyAlignment="0" applyProtection="0"/>
    <xf numFmtId="0" fontId="85" fillId="0" borderId="92" applyNumberFormat="0" applyFill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6" fillId="14" borderId="91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67" fillId="14" borderId="91" applyNumberFormat="0" applyAlignment="0" applyProtection="0"/>
    <xf numFmtId="0" fontId="67" fillId="14" borderId="91" applyNumberFormat="0" applyAlignment="0" applyProtection="0"/>
    <xf numFmtId="0" fontId="26" fillId="14" borderId="89" applyNumberFormat="0" applyAlignment="0" applyProtection="0"/>
    <xf numFmtId="0" fontId="26" fillId="14" borderId="89" applyNumberFormat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99" fillId="0" borderId="92" applyNumberFormat="0" applyFill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66" fillId="7" borderId="89" applyNumberFormat="0" applyAlignment="0" applyProtection="0"/>
    <xf numFmtId="0" fontId="66" fillId="7" borderId="89" applyNumberFormat="0" applyAlignment="0" applyProtection="0"/>
    <xf numFmtId="0" fontId="87" fillId="8" borderId="91" applyNumberFormat="0" applyAlignment="0" applyProtection="0"/>
    <xf numFmtId="0" fontId="87" fillId="8" borderId="91" applyNumberForma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39" fillId="9" borderId="90" applyNumberFormat="0" applyFont="0" applyAlignment="0" applyProtection="0"/>
    <xf numFmtId="0" fontId="100" fillId="0" borderId="93" applyNumberFormat="0" applyFill="0" applyAlignment="0" applyProtection="0"/>
    <xf numFmtId="0" fontId="100" fillId="0" borderId="93" applyNumberFormat="0" applyFill="0" applyAlignment="0" applyProtection="0"/>
    <xf numFmtId="0" fontId="25" fillId="8" borderId="89" applyNumberFormat="0" applyAlignment="0" applyProtection="0"/>
    <xf numFmtId="0" fontId="25" fillId="8" borderId="89" applyNumberFormat="0" applyAlignment="0" applyProtection="0"/>
  </cellStyleXfs>
  <cellXfs count="303">
    <xf numFmtId="0" fontId="0" fillId="0" borderId="0" xfId="0" applyFont="1" applyAlignment="1">
      <alignment vertical="top" wrapText="1"/>
    </xf>
    <xf numFmtId="0" fontId="114" fillId="0" borderId="0" xfId="4" applyFont="1"/>
    <xf numFmtId="49" fontId="5" fillId="34" borderId="10" xfId="0" applyNumberFormat="1" applyFont="1" applyFill="1" applyBorder="1" applyAlignment="1">
      <alignment horizontal="center" vertical="center" wrapText="1"/>
    </xf>
    <xf numFmtId="168" fontId="5" fillId="34" borderId="10" xfId="0" applyNumberFormat="1" applyFont="1" applyFill="1" applyBorder="1" applyAlignment="1">
      <alignment horizontal="center" vertical="center" wrapText="1"/>
    </xf>
    <xf numFmtId="0" fontId="114" fillId="34" borderId="10" xfId="4" applyFont="1" applyFill="1" applyBorder="1"/>
    <xf numFmtId="0" fontId="3" fillId="0" borderId="0" xfId="4"/>
    <xf numFmtId="0" fontId="114" fillId="0" borderId="10" xfId="4" applyFont="1" applyBorder="1"/>
    <xf numFmtId="0" fontId="115" fillId="0" borderId="10" xfId="4" applyFont="1" applyBorder="1"/>
    <xf numFmtId="0" fontId="116" fillId="0" borderId="10" xfId="4" applyFont="1" applyBorder="1"/>
    <xf numFmtId="0" fontId="10" fillId="35" borderId="10" xfId="2" applyFont="1" applyFill="1" applyBorder="1" applyAlignment="1">
      <alignment horizontal="left" vertical="center" wrapText="1"/>
    </xf>
    <xf numFmtId="0" fontId="3" fillId="0" borderId="0" xfId="4" applyBorder="1"/>
    <xf numFmtId="0" fontId="114" fillId="0" borderId="0" xfId="4" applyFont="1" applyBorder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117" fillId="0" borderId="0" xfId="0" applyFont="1" applyFill="1" applyBorder="1" applyAlignment="1">
      <alignment vertical="top" wrapText="1"/>
    </xf>
    <xf numFmtId="0" fontId="117" fillId="0" borderId="0" xfId="0" applyNumberFormat="1" applyFont="1" applyFill="1" applyBorder="1" applyAlignment="1">
      <alignment vertical="top" wrapText="1"/>
    </xf>
    <xf numFmtId="0" fontId="119" fillId="0" borderId="0" xfId="0" applyFont="1" applyAlignment="1">
      <alignment vertical="top" wrapText="1"/>
    </xf>
    <xf numFmtId="0" fontId="38" fillId="0" borderId="0" xfId="0" applyFont="1" applyAlignment="1">
      <alignment vertical="top" wrapText="1"/>
    </xf>
    <xf numFmtId="0" fontId="38" fillId="0" borderId="0" xfId="0" applyFont="1" applyAlignment="1">
      <alignment horizontal="center" vertical="top" wrapText="1"/>
    </xf>
    <xf numFmtId="0" fontId="122" fillId="0" borderId="0" xfId="0" applyFont="1" applyFill="1" applyBorder="1" applyAlignment="1">
      <alignment vertical="top" wrapText="1"/>
    </xf>
    <xf numFmtId="0" fontId="122" fillId="0" borderId="0" xfId="0" applyNumberFormat="1" applyFont="1" applyFill="1" applyBorder="1" applyAlignment="1">
      <alignment vertical="top" wrapText="1"/>
    </xf>
    <xf numFmtId="49" fontId="122" fillId="34" borderId="10" xfId="0" applyNumberFormat="1" applyFont="1" applyFill="1" applyBorder="1" applyAlignment="1">
      <alignment horizontal="center" vertical="center" wrapText="1"/>
    </xf>
    <xf numFmtId="168" fontId="122" fillId="34" borderId="10" xfId="0" applyNumberFormat="1" applyFont="1" applyFill="1" applyBorder="1" applyAlignment="1">
      <alignment horizontal="center" vertical="center" wrapText="1"/>
    </xf>
    <xf numFmtId="0" fontId="124" fillId="0" borderId="42" xfId="1" applyFont="1" applyFill="1" applyBorder="1" applyAlignment="1">
      <alignment vertical="center" wrapText="1"/>
    </xf>
    <xf numFmtId="0" fontId="126" fillId="0" borderId="1" xfId="2" applyFont="1" applyFill="1" applyBorder="1" applyAlignment="1">
      <alignment horizontal="left" vertical="center" wrapText="1" indent="1"/>
    </xf>
    <xf numFmtId="49" fontId="122" fillId="34" borderId="2" xfId="0" quotePrefix="1" applyNumberFormat="1" applyFont="1" applyFill="1" applyBorder="1" applyAlignment="1">
      <alignment horizontal="center" vertical="center" wrapText="1"/>
    </xf>
    <xf numFmtId="0" fontId="127" fillId="0" borderId="0" xfId="0" applyFont="1" applyFill="1" applyBorder="1" applyAlignment="1">
      <alignment vertical="top" wrapText="1"/>
    </xf>
    <xf numFmtId="0" fontId="127" fillId="0" borderId="0" xfId="0" applyNumberFormat="1" applyFont="1" applyFill="1" applyBorder="1" applyAlignment="1">
      <alignment vertical="top" wrapText="1"/>
    </xf>
    <xf numFmtId="0" fontId="126" fillId="34" borderId="3" xfId="0" quotePrefix="1" applyFont="1" applyFill="1" applyBorder="1" applyAlignment="1">
      <alignment horizontal="center" vertical="center" wrapText="1"/>
    </xf>
    <xf numFmtId="0" fontId="126" fillId="34" borderId="42" xfId="0" quotePrefix="1" applyFont="1" applyFill="1" applyBorder="1" applyAlignment="1">
      <alignment horizontal="center" vertical="center" wrapText="1"/>
    </xf>
    <xf numFmtId="0" fontId="124" fillId="0" borderId="3" xfId="1" applyFont="1" applyFill="1" applyBorder="1" applyAlignment="1">
      <alignment vertical="center" wrapText="1"/>
    </xf>
    <xf numFmtId="0" fontId="126" fillId="34" borderId="41" xfId="0" quotePrefix="1" applyFont="1" applyFill="1" applyBorder="1" applyAlignment="1">
      <alignment horizontal="center" vertical="center" wrapText="1"/>
    </xf>
    <xf numFmtId="0" fontId="128" fillId="0" borderId="0" xfId="0" applyFont="1" applyFill="1" applyBorder="1" applyAlignment="1">
      <alignment vertical="top" wrapText="1"/>
    </xf>
    <xf numFmtId="0" fontId="128" fillId="0" borderId="0" xfId="0" applyNumberFormat="1" applyFont="1" applyFill="1" applyBorder="1" applyAlignment="1">
      <alignment vertical="top" wrapText="1"/>
    </xf>
    <xf numFmtId="0" fontId="126" fillId="0" borderId="3" xfId="1" applyFont="1" applyFill="1" applyBorder="1" applyAlignment="1">
      <alignment horizontal="left" vertical="center" wrapText="1" indent="1"/>
    </xf>
    <xf numFmtId="0" fontId="125" fillId="0" borderId="4" xfId="1" applyFont="1" applyFill="1" applyBorder="1" applyAlignment="1">
      <alignment horizontal="left" vertical="center" wrapText="1" indent="1"/>
    </xf>
    <xf numFmtId="0" fontId="10" fillId="37" borderId="10" xfId="2" applyFont="1" applyFill="1" applyBorder="1" applyAlignment="1">
      <alignment horizontal="left" vertical="center" wrapText="1"/>
    </xf>
    <xf numFmtId="0" fontId="126" fillId="34" borderId="8" xfId="0" quotePrefix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left" vertical="center" wrapText="1" indent="3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7" fillId="34" borderId="10" xfId="4" applyFont="1" applyFill="1" applyBorder="1" applyAlignment="1">
      <alignment wrapText="1"/>
    </xf>
    <xf numFmtId="0" fontId="10" fillId="37" borderId="10" xfId="4" applyFont="1" applyFill="1" applyBorder="1" applyAlignment="1">
      <alignment wrapText="1"/>
    </xf>
    <xf numFmtId="0" fontId="10" fillId="0" borderId="10" xfId="4" applyFont="1" applyBorder="1"/>
    <xf numFmtId="0" fontId="7" fillId="0" borderId="10" xfId="4" applyFont="1" applyBorder="1"/>
    <xf numFmtId="0" fontId="132" fillId="0" borderId="12" xfId="4" applyFont="1" applyBorder="1"/>
    <xf numFmtId="0" fontId="7" fillId="34" borderId="10" xfId="4" applyFont="1" applyFill="1" applyBorder="1"/>
    <xf numFmtId="1" fontId="10" fillId="38" borderId="42" xfId="0" applyNumberFormat="1" applyFont="1" applyFill="1" applyBorder="1" applyAlignment="1">
      <alignment vertical="center" wrapText="1"/>
    </xf>
    <xf numFmtId="1" fontId="5" fillId="39" borderId="10" xfId="0" quotePrefix="1" applyNumberFormat="1" applyFont="1" applyFill="1" applyBorder="1" applyAlignment="1">
      <alignment horizontal="center" vertical="center" wrapText="1"/>
    </xf>
    <xf numFmtId="1" fontId="117" fillId="39" borderId="10" xfId="0" quotePrefix="1" applyNumberFormat="1" applyFont="1" applyFill="1" applyBorder="1" applyAlignment="1">
      <alignment horizontal="center" vertical="center" wrapText="1"/>
    </xf>
    <xf numFmtId="1" fontId="131" fillId="34" borderId="36" xfId="0" quotePrefix="1" applyNumberFormat="1" applyFont="1" applyFill="1" applyBorder="1" applyAlignment="1">
      <alignment horizontal="center" vertical="center" wrapText="1"/>
    </xf>
    <xf numFmtId="1" fontId="5" fillId="34" borderId="36" xfId="0" quotePrefix="1" applyNumberFormat="1" applyFont="1" applyFill="1" applyBorder="1" applyAlignment="1">
      <alignment horizontal="center" vertical="center" wrapText="1"/>
    </xf>
    <xf numFmtId="1" fontId="5" fillId="34" borderId="37" xfId="0" quotePrefix="1" applyNumberFormat="1" applyFont="1" applyFill="1" applyBorder="1" applyAlignment="1">
      <alignment horizontal="center" vertical="center" wrapText="1"/>
    </xf>
    <xf numFmtId="1" fontId="5" fillId="39" borderId="42" xfId="0" applyNumberFormat="1" applyFont="1" applyFill="1" applyBorder="1" applyAlignment="1">
      <alignment vertical="center" wrapText="1"/>
    </xf>
    <xf numFmtId="1" fontId="10" fillId="38" borderId="42" xfId="1" applyNumberFormat="1" applyFont="1" applyFill="1" applyBorder="1" applyAlignment="1">
      <alignment vertical="center" wrapText="1"/>
    </xf>
    <xf numFmtId="1" fontId="5" fillId="38" borderId="42" xfId="0" applyNumberFormat="1" applyFont="1" applyFill="1" applyBorder="1" applyAlignment="1">
      <alignment vertical="center" wrapText="1"/>
    </xf>
    <xf numFmtId="1" fontId="10" fillId="38" borderId="3" xfId="1" applyNumberFormat="1" applyFont="1" applyFill="1" applyBorder="1" applyAlignment="1">
      <alignment vertical="center" wrapText="1"/>
    </xf>
    <xf numFmtId="1" fontId="131" fillId="36" borderId="4" xfId="0" applyNumberFormat="1" applyFont="1" applyFill="1" applyBorder="1" applyAlignment="1">
      <alignment vertical="center" wrapText="1"/>
    </xf>
    <xf numFmtId="1" fontId="10" fillId="38" borderId="3" xfId="0" applyNumberFormat="1" applyFont="1" applyFill="1" applyBorder="1" applyAlignment="1">
      <alignment vertical="center" wrapText="1"/>
    </xf>
    <xf numFmtId="1" fontId="5" fillId="39" borderId="3" xfId="0" applyNumberFormat="1" applyFont="1" applyFill="1" applyBorder="1" applyAlignment="1">
      <alignment vertical="center" wrapText="1"/>
    </xf>
    <xf numFmtId="1" fontId="131" fillId="36" borderId="1" xfId="0" applyNumberFormat="1" applyFont="1" applyFill="1" applyBorder="1" applyAlignment="1">
      <alignment vertical="center" wrapText="1"/>
    </xf>
    <xf numFmtId="1" fontId="131" fillId="36" borderId="1" xfId="0" applyNumberFormat="1" applyFont="1" applyFill="1" applyBorder="1" applyAlignment="1">
      <alignment horizontal="center" vertical="center" wrapText="1"/>
    </xf>
    <xf numFmtId="1" fontId="10" fillId="38" borderId="1" xfId="0" applyNumberFormat="1" applyFont="1" applyFill="1" applyBorder="1" applyAlignment="1">
      <alignment vertical="center" wrapText="1"/>
    </xf>
    <xf numFmtId="1" fontId="10" fillId="38" borderId="4" xfId="0" applyNumberFormat="1" applyFont="1" applyFill="1" applyBorder="1" applyAlignment="1">
      <alignment vertical="center" wrapText="1"/>
    </xf>
    <xf numFmtId="1" fontId="10" fillId="38" borderId="9" xfId="1" applyNumberFormat="1" applyFont="1" applyFill="1" applyBorder="1" applyAlignment="1">
      <alignment vertical="center" wrapText="1"/>
    </xf>
    <xf numFmtId="1" fontId="117" fillId="36" borderId="1" xfId="0" applyNumberFormat="1" applyFont="1" applyFill="1" applyBorder="1" applyAlignment="1">
      <alignment vertical="center" wrapText="1"/>
    </xf>
    <xf numFmtId="1" fontId="117" fillId="36" borderId="1" xfId="0" applyNumberFormat="1" applyFont="1" applyFill="1" applyBorder="1" applyAlignment="1">
      <alignment horizontal="center" vertical="center" wrapText="1"/>
    </xf>
    <xf numFmtId="2" fontId="131" fillId="38" borderId="4" xfId="0" applyNumberFormat="1" applyFont="1" applyFill="1" applyBorder="1" applyAlignment="1">
      <alignment horizontal="center" vertical="center" wrapText="1"/>
    </xf>
    <xf numFmtId="2" fontId="131" fillId="38" borderId="1" xfId="0" applyNumberFormat="1" applyFont="1" applyFill="1" applyBorder="1" applyAlignment="1">
      <alignment horizontal="center" vertical="center" wrapText="1"/>
    </xf>
    <xf numFmtId="1" fontId="126" fillId="39" borderId="10" xfId="0" quotePrefix="1" applyNumberFormat="1" applyFont="1" applyFill="1" applyBorder="1" applyAlignment="1">
      <alignment horizontal="center" vertical="center" wrapText="1"/>
    </xf>
    <xf numFmtId="1" fontId="130" fillId="38" borderId="10" xfId="1" applyNumberFormat="1" applyFont="1" applyFill="1" applyBorder="1" applyAlignment="1">
      <alignment vertical="center" wrapText="1"/>
    </xf>
    <xf numFmtId="1" fontId="126" fillId="39" borderId="41" xfId="0" quotePrefix="1" applyNumberFormat="1" applyFont="1" applyFill="1" applyBorder="1" applyAlignment="1">
      <alignment horizontal="center" vertical="center" wrapText="1"/>
    </xf>
    <xf numFmtId="1" fontId="128" fillId="34" borderId="36" xfId="0" quotePrefix="1" applyNumberFormat="1" applyFont="1" applyFill="1" applyBorder="1" applyAlignment="1">
      <alignment horizontal="center" vertical="center" wrapText="1"/>
    </xf>
    <xf numFmtId="1" fontId="122" fillId="36" borderId="9" xfId="0" applyNumberFormat="1" applyFont="1" applyFill="1" applyBorder="1" applyAlignment="1">
      <alignment vertical="center" wrapText="1"/>
    </xf>
    <xf numFmtId="1" fontId="121" fillId="38" borderId="9" xfId="0" applyNumberFormat="1" applyFont="1" applyFill="1" applyBorder="1" applyAlignment="1">
      <alignment vertical="center" wrapText="1"/>
    </xf>
    <xf numFmtId="1" fontId="125" fillId="38" borderId="42" xfId="1" applyNumberFormat="1" applyFont="1" applyFill="1" applyBorder="1" applyAlignment="1">
      <alignment vertical="center" wrapText="1"/>
    </xf>
    <xf numFmtId="1" fontId="126" fillId="36" borderId="42" xfId="0" applyNumberFormat="1" applyFont="1" applyFill="1" applyBorder="1" applyAlignment="1">
      <alignment vertical="center" wrapText="1"/>
    </xf>
    <xf numFmtId="1" fontId="126" fillId="38" borderId="42" xfId="0" applyNumberFormat="1" applyFont="1" applyFill="1" applyBorder="1" applyAlignment="1">
      <alignment vertical="center" wrapText="1"/>
    </xf>
    <xf numFmtId="1" fontId="125" fillId="36" borderId="4" xfId="0" applyNumberFormat="1" applyFont="1" applyFill="1" applyBorder="1" applyAlignment="1">
      <alignment vertical="center" wrapText="1"/>
    </xf>
    <xf numFmtId="1" fontId="125" fillId="38" borderId="3" xfId="1" applyNumberFormat="1" applyFont="1" applyFill="1" applyBorder="1" applyAlignment="1">
      <alignment vertical="center" wrapText="1"/>
    </xf>
    <xf numFmtId="1" fontId="126" fillId="39" borderId="3" xfId="0" applyNumberFormat="1" applyFont="1" applyFill="1" applyBorder="1" applyAlignment="1">
      <alignment vertical="center" wrapText="1"/>
    </xf>
    <xf numFmtId="1" fontId="126" fillId="38" borderId="3" xfId="0" applyNumberFormat="1" applyFont="1" applyFill="1" applyBorder="1" applyAlignment="1">
      <alignment vertical="center" wrapText="1"/>
    </xf>
    <xf numFmtId="1" fontId="125" fillId="36" borderId="4" xfId="0" applyNumberFormat="1" applyFont="1" applyFill="1" applyBorder="1" applyAlignment="1">
      <alignment horizontal="center" vertical="center" wrapText="1"/>
    </xf>
    <xf numFmtId="0" fontId="126" fillId="34" borderId="2" xfId="0" quotePrefix="1" applyFont="1" applyFill="1" applyBorder="1" applyAlignment="1">
      <alignment horizontal="center" vertical="center" wrapText="1"/>
    </xf>
    <xf numFmtId="0" fontId="126" fillId="34" borderId="10" xfId="0" quotePrefix="1" applyFont="1" applyFill="1" applyBorder="1" applyAlignment="1">
      <alignment horizontal="center" vertical="center" wrapText="1"/>
    </xf>
    <xf numFmtId="0" fontId="126" fillId="34" borderId="9" xfId="0" quotePrefix="1" applyFont="1" applyFill="1" applyBorder="1" applyAlignment="1">
      <alignment horizontal="center" vertical="center" wrapText="1"/>
    </xf>
    <xf numFmtId="1" fontId="125" fillId="38" borderId="4" xfId="1" applyNumberFormat="1" applyFont="1" applyFill="1" applyBorder="1" applyAlignment="1">
      <alignment vertical="center" wrapText="1"/>
    </xf>
    <xf numFmtId="1" fontId="128" fillId="39" borderId="4" xfId="0" applyNumberFormat="1" applyFont="1" applyFill="1" applyBorder="1" applyAlignment="1">
      <alignment vertical="center" wrapText="1"/>
    </xf>
    <xf numFmtId="1" fontId="128" fillId="39" borderId="4" xfId="0" applyNumberFormat="1" applyFont="1" applyFill="1" applyBorder="1" applyAlignment="1">
      <alignment horizontal="center" vertical="center" wrapText="1"/>
    </xf>
    <xf numFmtId="0" fontId="126" fillId="34" borderId="1" xfId="0" quotePrefix="1" applyFont="1" applyFill="1" applyBorder="1" applyAlignment="1">
      <alignment horizontal="center" vertical="center" wrapText="1"/>
    </xf>
    <xf numFmtId="1" fontId="128" fillId="38" borderId="42" xfId="0" applyNumberFormat="1" applyFont="1" applyFill="1" applyBorder="1" applyAlignment="1">
      <alignment vertical="center" wrapText="1"/>
    </xf>
    <xf numFmtId="1" fontId="128" fillId="38" borderId="1" xfId="0" applyNumberFormat="1" applyFont="1" applyFill="1" applyBorder="1" applyAlignment="1">
      <alignment vertical="center" wrapText="1"/>
    </xf>
    <xf numFmtId="1" fontId="10" fillId="38" borderId="1" xfId="1" applyNumberFormat="1" applyFont="1" applyFill="1" applyBorder="1" applyAlignment="1">
      <alignment vertical="center" wrapText="1"/>
    </xf>
    <xf numFmtId="1" fontId="10" fillId="38" borderId="4" xfId="1" applyNumberFormat="1" applyFont="1" applyFill="1" applyBorder="1" applyAlignment="1">
      <alignment wrapText="1"/>
    </xf>
    <xf numFmtId="1" fontId="117" fillId="36" borderId="4" xfId="0" applyNumberFormat="1" applyFont="1" applyFill="1" applyBorder="1" applyAlignment="1">
      <alignment vertical="center" wrapText="1"/>
    </xf>
    <xf numFmtId="1" fontId="117" fillId="39" borderId="4" xfId="0" applyNumberFormat="1" applyFont="1" applyFill="1" applyBorder="1" applyAlignment="1">
      <alignment vertical="center" wrapText="1"/>
    </xf>
    <xf numFmtId="0" fontId="133" fillId="0" borderId="0" xfId="0" applyFont="1" applyFill="1" applyAlignment="1" applyProtection="1"/>
    <xf numFmtId="0" fontId="133" fillId="0" borderId="0" xfId="0" applyFont="1" applyFill="1" applyAlignment="1"/>
    <xf numFmtId="0" fontId="134" fillId="0" borderId="0" xfId="0" applyFont="1" applyFill="1" applyAlignment="1" applyProtection="1"/>
    <xf numFmtId="0" fontId="133" fillId="0" borderId="0" xfId="0" applyFont="1" applyFill="1" applyBorder="1" applyAlignment="1"/>
    <xf numFmtId="0" fontId="126" fillId="34" borderId="10" xfId="0" quotePrefix="1" applyFont="1" applyFill="1" applyBorder="1" applyAlignment="1">
      <alignment horizontal="center" vertical="center" wrapText="1"/>
    </xf>
    <xf numFmtId="0" fontId="126" fillId="34" borderId="79" xfId="0" quotePrefix="1" applyFont="1" applyFill="1" applyBorder="1" applyAlignment="1">
      <alignment horizontal="center" vertical="center" wrapText="1"/>
    </xf>
    <xf numFmtId="1" fontId="7" fillId="38" borderId="12" xfId="0" applyNumberFormat="1" applyFont="1" applyFill="1" applyBorder="1" applyAlignment="1">
      <alignment vertical="center" wrapText="1"/>
    </xf>
    <xf numFmtId="1" fontId="5" fillId="36" borderId="68" xfId="0" applyNumberFormat="1" applyFont="1" applyFill="1" applyBorder="1" applyAlignment="1">
      <alignment vertical="center" wrapText="1"/>
    </xf>
    <xf numFmtId="1" fontId="128" fillId="38" borderId="2" xfId="0" applyNumberFormat="1" applyFont="1" applyFill="1" applyBorder="1" applyAlignment="1">
      <alignment vertical="center" wrapText="1"/>
    </xf>
    <xf numFmtId="1" fontId="128" fillId="38" borderId="12" xfId="0" applyNumberFormat="1" applyFont="1" applyFill="1" applyBorder="1" applyAlignment="1">
      <alignment vertical="center" wrapText="1"/>
    </xf>
    <xf numFmtId="1" fontId="122" fillId="39" borderId="68" xfId="0" applyNumberFormat="1" applyFont="1" applyFill="1" applyBorder="1" applyAlignment="1">
      <alignment vertical="center" wrapText="1"/>
    </xf>
    <xf numFmtId="1" fontId="128" fillId="38" borderId="79" xfId="0" applyNumberFormat="1" applyFont="1" applyFill="1" applyBorder="1" applyAlignment="1">
      <alignment vertical="center" wrapText="1"/>
    </xf>
    <xf numFmtId="1" fontId="128" fillId="39" borderId="42" xfId="0" applyNumberFormat="1" applyFont="1" applyFill="1" applyBorder="1" applyAlignment="1">
      <alignment vertical="center" wrapText="1"/>
    </xf>
    <xf numFmtId="1" fontId="10" fillId="38" borderId="79" xfId="1" applyNumberFormat="1" applyFont="1" applyFill="1" applyBorder="1" applyAlignment="1">
      <alignment vertical="center" wrapText="1"/>
    </xf>
    <xf numFmtId="1" fontId="117" fillId="36" borderId="42" xfId="0" applyNumberFormat="1" applyFont="1" applyFill="1" applyBorder="1" applyAlignment="1">
      <alignment vertical="center" wrapText="1"/>
    </xf>
    <xf numFmtId="0" fontId="126" fillId="41" borderId="2" xfId="0" quotePrefix="1" applyFont="1" applyFill="1" applyBorder="1" applyAlignment="1">
      <alignment horizontal="center" vertical="center" wrapText="1"/>
    </xf>
    <xf numFmtId="0" fontId="126" fillId="41" borderId="42" xfId="0" quotePrefix="1" applyFont="1" applyFill="1" applyBorder="1" applyAlignment="1">
      <alignment horizontal="center" vertical="center" wrapText="1"/>
    </xf>
    <xf numFmtId="0" fontId="126" fillId="41" borderId="4" xfId="0" quotePrefix="1" applyFont="1" applyFill="1" applyBorder="1" applyAlignment="1">
      <alignment horizontal="center" vertical="center" wrapText="1"/>
    </xf>
    <xf numFmtId="0" fontId="126" fillId="41" borderId="1" xfId="0" quotePrefix="1" applyFont="1" applyFill="1" applyBorder="1" applyAlignment="1">
      <alignment horizontal="center" vertical="center" wrapText="1"/>
    </xf>
    <xf numFmtId="0" fontId="126" fillId="41" borderId="79" xfId="0" quotePrefix="1" applyFont="1" applyFill="1" applyBorder="1" applyAlignment="1">
      <alignment horizontal="center" vertical="center" wrapText="1"/>
    </xf>
    <xf numFmtId="1" fontId="6" fillId="38" borderId="42" xfId="0" applyNumberFormat="1" applyFont="1" applyFill="1" applyBorder="1" applyAlignment="1">
      <alignment vertical="center" wrapText="1"/>
    </xf>
    <xf numFmtId="1" fontId="125" fillId="38" borderId="10" xfId="1" applyNumberFormat="1" applyFont="1" applyFill="1" applyBorder="1" applyAlignment="1">
      <alignment vertical="center" wrapText="1"/>
    </xf>
    <xf numFmtId="1" fontId="5" fillId="38" borderId="3" xfId="0" applyNumberFormat="1" applyFont="1" applyFill="1" applyBorder="1" applyAlignment="1">
      <alignment vertical="center" wrapText="1"/>
    </xf>
    <xf numFmtId="1" fontId="136" fillId="38" borderId="42" xfId="0" applyNumberFormat="1" applyFont="1" applyFill="1" applyBorder="1" applyAlignment="1">
      <alignment vertical="center" wrapText="1"/>
    </xf>
    <xf numFmtId="1" fontId="10" fillId="38" borderId="12" xfId="0" applyNumberFormat="1" applyFont="1" applyFill="1" applyBorder="1" applyAlignment="1">
      <alignment vertical="center" wrapText="1"/>
    </xf>
    <xf numFmtId="2" fontId="125" fillId="38" borderId="4" xfId="0" applyNumberFormat="1" applyFont="1" applyFill="1" applyBorder="1" applyAlignment="1">
      <alignment horizontal="center" vertical="center" wrapText="1"/>
    </xf>
    <xf numFmtId="0" fontId="5" fillId="34" borderId="38" xfId="0" applyFont="1" applyFill="1" applyBorder="1" applyAlignment="1">
      <alignment horizontal="center" vertical="top" wrapText="1"/>
    </xf>
    <xf numFmtId="0" fontId="5" fillId="34" borderId="0" xfId="0" applyFont="1" applyFill="1" applyBorder="1" applyAlignment="1">
      <alignment horizontal="center" vertical="top" wrapText="1"/>
    </xf>
    <xf numFmtId="0" fontId="5" fillId="34" borderId="12" xfId="0" applyFont="1" applyFill="1" applyBorder="1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137" fillId="42" borderId="0" xfId="0" applyFont="1" applyFill="1" applyAlignment="1" applyProtection="1"/>
    <xf numFmtId="0" fontId="135" fillId="42" borderId="0" xfId="0" applyFont="1" applyFill="1" applyAlignment="1" applyProtection="1"/>
    <xf numFmtId="0" fontId="135" fillId="0" borderId="0" xfId="0" applyFont="1" applyFill="1" applyAlignment="1"/>
    <xf numFmtId="0" fontId="14" fillId="0" borderId="0" xfId="0" applyFont="1" applyFill="1" applyAlignment="1"/>
    <xf numFmtId="0" fontId="120" fillId="42" borderId="0" xfId="0" applyFont="1" applyFill="1" applyAlignment="1" applyProtection="1"/>
    <xf numFmtId="0" fontId="17" fillId="0" borderId="0" xfId="0" applyFont="1" applyFill="1" applyAlignment="1"/>
    <xf numFmtId="0" fontId="139" fillId="42" borderId="0" xfId="0" applyFont="1" applyFill="1" applyBorder="1" applyAlignment="1" applyProtection="1"/>
    <xf numFmtId="0" fontId="14" fillId="42" borderId="0" xfId="0" applyFont="1" applyFill="1" applyBorder="1" applyAlignment="1" applyProtection="1"/>
    <xf numFmtId="0" fontId="14" fillId="40" borderId="69" xfId="0" applyFont="1" applyFill="1" applyBorder="1" applyAlignment="1" applyProtection="1">
      <alignment horizontal="left"/>
      <protection locked="0"/>
    </xf>
    <xf numFmtId="0" fontId="140" fillId="42" borderId="0" xfId="0" applyFont="1" applyFill="1" applyBorder="1" applyAlignment="1" applyProtection="1"/>
    <xf numFmtId="0" fontId="14" fillId="42" borderId="0" xfId="0" applyFont="1" applyFill="1" applyAlignment="1" applyProtection="1"/>
    <xf numFmtId="0" fontId="14" fillId="0" borderId="0" xfId="0" applyFont="1" applyFill="1" applyBorder="1" applyAlignment="1" applyProtection="1"/>
    <xf numFmtId="0" fontId="14" fillId="42" borderId="0" xfId="0" applyFont="1" applyFill="1" applyAlignment="1"/>
    <xf numFmtId="0" fontId="14" fillId="42" borderId="0" xfId="0" applyFont="1" applyFill="1" applyBorder="1" applyAlignment="1" applyProtection="1">
      <alignment horizontal="left"/>
    </xf>
    <xf numFmtId="0" fontId="140" fillId="42" borderId="0" xfId="0" applyFont="1" applyFill="1" applyAlignment="1" applyProtection="1"/>
    <xf numFmtId="0" fontId="38" fillId="42" borderId="0" xfId="0" applyFont="1" applyFill="1" applyAlignment="1" applyProtection="1"/>
    <xf numFmtId="0" fontId="38" fillId="42" borderId="0" xfId="0" applyFont="1" applyFill="1" applyAlignment="1" applyProtection="1">
      <alignment horizontal="left" vertical="top" wrapText="1"/>
    </xf>
    <xf numFmtId="0" fontId="14" fillId="0" borderId="0" xfId="0" applyFont="1" applyFill="1" applyAlignment="1" applyProtection="1"/>
    <xf numFmtId="0" fontId="140" fillId="0" borderId="0" xfId="0" applyFont="1" applyFill="1" applyAlignment="1" applyProtection="1"/>
    <xf numFmtId="0" fontId="114" fillId="42" borderId="0" xfId="4" applyFont="1" applyFill="1" applyBorder="1"/>
    <xf numFmtId="0" fontId="5" fillId="42" borderId="0" xfId="0" applyFont="1" applyFill="1" applyBorder="1" applyAlignment="1">
      <alignment horizontal="center" vertical="center" wrapText="1"/>
    </xf>
    <xf numFmtId="0" fontId="119" fillId="42" borderId="0" xfId="0" applyFont="1" applyFill="1" applyAlignment="1">
      <alignment vertical="top" wrapText="1"/>
    </xf>
    <xf numFmtId="0" fontId="117" fillId="42" borderId="0" xfId="0" applyFont="1" applyFill="1" applyBorder="1" applyAlignment="1">
      <alignment vertical="top" wrapText="1"/>
    </xf>
    <xf numFmtId="0" fontId="5" fillId="42" borderId="0" xfId="0" applyFont="1" applyFill="1" applyBorder="1" applyAlignment="1">
      <alignment vertical="top" wrapText="1"/>
    </xf>
    <xf numFmtId="0" fontId="5" fillId="42" borderId="0" xfId="0" applyNumberFormat="1" applyFont="1" applyFill="1" applyBorder="1" applyAlignment="1">
      <alignment vertical="top" wrapText="1"/>
    </xf>
    <xf numFmtId="0" fontId="118" fillId="42" borderId="0" xfId="0" applyFont="1" applyFill="1" applyBorder="1" applyAlignment="1">
      <alignment vertical="top" wrapText="1"/>
    </xf>
    <xf numFmtId="0" fontId="128" fillId="42" borderId="0" xfId="0" applyNumberFormat="1" applyFont="1" applyFill="1" applyBorder="1" applyAlignment="1">
      <alignment vertical="top" wrapText="1"/>
    </xf>
    <xf numFmtId="0" fontId="127" fillId="42" borderId="0" xfId="0" applyNumberFormat="1" applyFont="1" applyFill="1" applyBorder="1" applyAlignment="1">
      <alignment vertical="top" wrapText="1"/>
    </xf>
    <xf numFmtId="0" fontId="6" fillId="42" borderId="0" xfId="0" applyFont="1" applyFill="1" applyBorder="1" applyAlignment="1">
      <alignment vertical="top" wrapText="1"/>
    </xf>
    <xf numFmtId="0" fontId="0" fillId="42" borderId="0" xfId="0" applyFont="1" applyFill="1" applyAlignment="1">
      <alignment vertical="top" wrapText="1"/>
    </xf>
    <xf numFmtId="49" fontId="122" fillId="34" borderId="2" xfId="0" quotePrefix="1" applyNumberFormat="1" applyFont="1" applyFill="1" applyBorder="1" applyAlignment="1">
      <alignment horizontal="center" vertical="center" wrapText="1"/>
    </xf>
    <xf numFmtId="0" fontId="38" fillId="42" borderId="0" xfId="0" applyFont="1" applyFill="1" applyAlignment="1">
      <alignment vertical="top" wrapText="1"/>
    </xf>
    <xf numFmtId="0" fontId="121" fillId="42" borderId="0" xfId="0" applyFont="1" applyFill="1" applyBorder="1" applyAlignment="1">
      <alignment vertical="top" wrapText="1"/>
    </xf>
    <xf numFmtId="0" fontId="123" fillId="42" borderId="0" xfId="0" applyFont="1" applyFill="1" applyBorder="1" applyAlignment="1">
      <alignment vertical="top" wrapText="1"/>
    </xf>
    <xf numFmtId="0" fontId="129" fillId="42" borderId="0" xfId="0" applyFont="1" applyFill="1" applyBorder="1" applyAlignment="1">
      <alignment vertical="top" wrapText="1"/>
    </xf>
    <xf numFmtId="0" fontId="122" fillId="42" borderId="0" xfId="0" applyNumberFormat="1" applyFont="1" applyFill="1" applyBorder="1" applyAlignment="1">
      <alignment vertical="top" wrapText="1"/>
    </xf>
    <xf numFmtId="0" fontId="122" fillId="42" borderId="0" xfId="0" applyFont="1" applyFill="1" applyBorder="1" applyAlignment="1">
      <alignment vertical="top" wrapText="1"/>
    </xf>
    <xf numFmtId="0" fontId="127" fillId="42" borderId="0" xfId="0" applyFont="1" applyFill="1" applyBorder="1" applyAlignment="1">
      <alignment vertical="top" wrapText="1"/>
    </xf>
    <xf numFmtId="0" fontId="128" fillId="42" borderId="0" xfId="0" applyFont="1" applyFill="1" applyBorder="1" applyAlignment="1">
      <alignment vertical="top" wrapText="1"/>
    </xf>
    <xf numFmtId="0" fontId="38" fillId="42" borderId="0" xfId="0" applyFont="1" applyFill="1" applyAlignment="1">
      <alignment horizontal="center" vertical="top" wrapText="1"/>
    </xf>
    <xf numFmtId="0" fontId="130" fillId="34" borderId="95" xfId="0" applyFont="1" applyFill="1" applyBorder="1" applyAlignment="1">
      <alignment horizontal="left" vertical="center" wrapText="1"/>
    </xf>
    <xf numFmtId="0" fontId="125" fillId="34" borderId="95" xfId="0" applyFont="1" applyFill="1" applyBorder="1" applyAlignment="1">
      <alignment horizontal="left" vertical="center" wrapText="1"/>
    </xf>
    <xf numFmtId="0" fontId="125" fillId="34" borderId="8" xfId="0" applyFont="1" applyFill="1" applyBorder="1" applyAlignment="1">
      <alignment horizontal="left" vertical="center" wrapText="1"/>
    </xf>
    <xf numFmtId="0" fontId="10" fillId="37" borderId="10" xfId="2" applyFont="1" applyFill="1" applyBorder="1" applyAlignment="1">
      <alignment horizontal="center" vertical="center" wrapText="1"/>
    </xf>
    <xf numFmtId="0" fontId="114" fillId="0" borderId="0" xfId="4" applyFont="1" applyFill="1"/>
    <xf numFmtId="2" fontId="126" fillId="40" borderId="41" xfId="0" quotePrefix="1" applyNumberFormat="1" applyFont="1" applyFill="1" applyBorder="1" applyAlignment="1" applyProtection="1">
      <alignment horizontal="center" vertical="center" wrapText="1"/>
      <protection locked="0"/>
    </xf>
    <xf numFmtId="1" fontId="126" fillId="40" borderId="3" xfId="0" applyNumberFormat="1" applyFont="1" applyFill="1" applyBorder="1" applyAlignment="1" applyProtection="1">
      <alignment vertical="center" wrapText="1"/>
      <protection locked="0"/>
    </xf>
    <xf numFmtId="1" fontId="122" fillId="40" borderId="68" xfId="0" applyNumberFormat="1" applyFont="1" applyFill="1" applyBorder="1" applyAlignment="1" applyProtection="1">
      <alignment vertical="center" wrapText="1"/>
      <protection locked="0"/>
    </xf>
    <xf numFmtId="1" fontId="122" fillId="40" borderId="42" xfId="0" applyNumberFormat="1" applyFont="1" applyFill="1" applyBorder="1" applyAlignment="1" applyProtection="1">
      <alignment vertical="center" wrapText="1"/>
      <protection locked="0"/>
    </xf>
    <xf numFmtId="1" fontId="122" fillId="40" borderId="40" xfId="0" applyNumberFormat="1" applyFont="1" applyFill="1" applyBorder="1" applyAlignment="1" applyProtection="1">
      <alignment vertical="center" wrapText="1"/>
      <protection locked="0"/>
    </xf>
    <xf numFmtId="1" fontId="122" fillId="40" borderId="1" xfId="0" applyNumberFormat="1" applyFont="1" applyFill="1" applyBorder="1" applyAlignment="1" applyProtection="1">
      <alignment vertical="center" wrapText="1"/>
      <protection locked="0"/>
    </xf>
    <xf numFmtId="1" fontId="122" fillId="40" borderId="45" xfId="0" applyNumberFormat="1" applyFont="1" applyFill="1" applyBorder="1" applyAlignment="1" applyProtection="1">
      <alignment vertical="center" wrapText="1"/>
      <protection locked="0"/>
    </xf>
    <xf numFmtId="1" fontId="122" fillId="40" borderId="79" xfId="0" applyNumberFormat="1" applyFont="1" applyFill="1" applyBorder="1" applyAlignment="1" applyProtection="1">
      <alignment vertical="center" wrapText="1"/>
      <protection locked="0"/>
    </xf>
    <xf numFmtId="1" fontId="128" fillId="40" borderId="42" xfId="0" applyNumberFormat="1" applyFont="1" applyFill="1" applyBorder="1" applyAlignment="1" applyProtection="1">
      <alignment vertical="center" wrapText="1"/>
      <protection locked="0"/>
    </xf>
    <xf numFmtId="1" fontId="128" fillId="40" borderId="4" xfId="0" applyNumberFormat="1" applyFont="1" applyFill="1" applyBorder="1" applyAlignment="1" applyProtection="1">
      <alignment horizontal="center" vertical="center" wrapText="1"/>
      <protection locked="0"/>
    </xf>
    <xf numFmtId="2" fontId="125" fillId="40" borderId="4" xfId="0" applyNumberFormat="1" applyFont="1" applyFill="1" applyBorder="1" applyAlignment="1" applyProtection="1">
      <alignment horizontal="center" vertical="center" wrapText="1"/>
      <protection locked="0"/>
    </xf>
    <xf numFmtId="1" fontId="117" fillId="40" borderId="10" xfId="0" quotePrefix="1" applyNumberFormat="1" applyFont="1" applyFill="1" applyBorder="1" applyAlignment="1" applyProtection="1">
      <alignment horizontal="center" vertical="center" wrapText="1"/>
      <protection locked="0"/>
    </xf>
    <xf numFmtId="1" fontId="5" fillId="40" borderId="3" xfId="0" applyNumberFormat="1" applyFont="1" applyFill="1" applyBorder="1" applyAlignment="1" applyProtection="1">
      <alignment vertical="center" wrapText="1"/>
      <protection locked="0"/>
    </xf>
    <xf numFmtId="1" fontId="5" fillId="40" borderId="9" xfId="0" applyNumberFormat="1" applyFont="1" applyFill="1" applyBorder="1" applyAlignment="1" applyProtection="1">
      <alignment vertical="center" wrapText="1"/>
      <protection locked="0"/>
    </xf>
    <xf numFmtId="1" fontId="5" fillId="40" borderId="68" xfId="0" applyNumberFormat="1" applyFont="1" applyFill="1" applyBorder="1" applyAlignment="1" applyProtection="1">
      <alignment vertical="center" wrapText="1"/>
      <protection locked="0"/>
    </xf>
    <xf numFmtId="1" fontId="5" fillId="40" borderId="42" xfId="0" applyNumberFormat="1" applyFont="1" applyFill="1" applyBorder="1" applyAlignment="1" applyProtection="1">
      <alignment vertical="center" wrapText="1"/>
      <protection locked="0"/>
    </xf>
    <xf numFmtId="1" fontId="5" fillId="40" borderId="40" xfId="0" applyNumberFormat="1" applyFont="1" applyFill="1" applyBorder="1" applyAlignment="1" applyProtection="1">
      <alignment vertical="center" wrapText="1"/>
      <protection locked="0"/>
    </xf>
    <xf numFmtId="1" fontId="5" fillId="40" borderId="1" xfId="0" applyNumberFormat="1" applyFont="1" applyFill="1" applyBorder="1" applyAlignment="1" applyProtection="1">
      <alignment vertical="center" wrapText="1"/>
      <protection locked="0"/>
    </xf>
    <xf numFmtId="1" fontId="5" fillId="40" borderId="45" xfId="0" applyNumberFormat="1" applyFont="1" applyFill="1" applyBorder="1" applyAlignment="1" applyProtection="1">
      <alignment vertical="center" wrapText="1"/>
      <protection locked="0"/>
    </xf>
    <xf numFmtId="1" fontId="5" fillId="40" borderId="79" xfId="0" applyNumberFormat="1" applyFont="1" applyFill="1" applyBorder="1" applyAlignment="1" applyProtection="1">
      <alignment vertical="center" wrapText="1"/>
      <protection locked="0"/>
    </xf>
    <xf numFmtId="1" fontId="117" fillId="40" borderId="42" xfId="0" applyNumberFormat="1" applyFont="1" applyFill="1" applyBorder="1" applyAlignment="1" applyProtection="1">
      <alignment vertical="center" wrapText="1"/>
      <protection locked="0"/>
    </xf>
    <xf numFmtId="1" fontId="117" fillId="40" borderId="1" xfId="0" applyNumberFormat="1" applyFont="1" applyFill="1" applyBorder="1" applyAlignment="1" applyProtection="1">
      <alignment horizontal="center" vertical="center" wrapText="1"/>
      <protection locked="0"/>
    </xf>
    <xf numFmtId="1" fontId="117" fillId="40" borderId="1" xfId="0" applyNumberFormat="1" applyFont="1" applyFill="1" applyBorder="1" applyAlignment="1" applyProtection="1">
      <alignment vertical="center" wrapText="1"/>
      <protection locked="0"/>
    </xf>
    <xf numFmtId="1" fontId="117" fillId="40" borderId="4" xfId="0" applyNumberFormat="1" applyFont="1" applyFill="1" applyBorder="1" applyAlignment="1" applyProtection="1">
      <alignment vertical="center" wrapText="1"/>
      <protection locked="0"/>
    </xf>
    <xf numFmtId="0" fontId="114" fillId="40" borderId="10" xfId="4" applyFont="1" applyFill="1" applyBorder="1" applyProtection="1">
      <protection locked="0"/>
    </xf>
    <xf numFmtId="10" fontId="114" fillId="40" borderId="10" xfId="4" applyNumberFormat="1" applyFont="1" applyFill="1" applyBorder="1" applyProtection="1">
      <protection locked="0"/>
    </xf>
    <xf numFmtId="0" fontId="114" fillId="0" borderId="12" xfId="4" applyFont="1" applyBorder="1"/>
    <xf numFmtId="0" fontId="114" fillId="0" borderId="95" xfId="4" applyFont="1" applyBorder="1"/>
    <xf numFmtId="0" fontId="114" fillId="0" borderId="96" xfId="4" applyFont="1" applyBorder="1"/>
    <xf numFmtId="0" fontId="125" fillId="35" borderId="10" xfId="2" applyFont="1" applyFill="1" applyBorder="1" applyAlignment="1">
      <alignment horizontal="left" wrapText="1"/>
    </xf>
    <xf numFmtId="0" fontId="10" fillId="37" borderId="97" xfId="2" applyFont="1" applyFill="1" applyBorder="1" applyAlignment="1">
      <alignment horizontal="center" vertical="center" wrapText="1"/>
    </xf>
    <xf numFmtId="1" fontId="10" fillId="38" borderId="42" xfId="1" applyNumberFormat="1" applyFont="1" applyFill="1" applyBorder="1" applyAlignment="1">
      <alignment wrapText="1"/>
    </xf>
    <xf numFmtId="0" fontId="125" fillId="35" borderId="94" xfId="2" applyFont="1" applyFill="1" applyBorder="1" applyAlignment="1">
      <alignment horizontal="left" wrapText="1"/>
    </xf>
    <xf numFmtId="0" fontId="9" fillId="34" borderId="96" xfId="4" applyFont="1" applyFill="1" applyBorder="1" applyAlignment="1">
      <alignment horizontal="center" vertical="center" wrapText="1"/>
    </xf>
    <xf numFmtId="0" fontId="14" fillId="40" borderId="73" xfId="0" applyFont="1" applyFill="1" applyBorder="1" applyAlignment="1" applyProtection="1">
      <alignment horizontal="left" vertical="top"/>
      <protection locked="0"/>
    </xf>
    <xf numFmtId="0" fontId="14" fillId="40" borderId="29" xfId="0" applyFont="1" applyFill="1" applyBorder="1" applyAlignment="1" applyProtection="1">
      <alignment horizontal="left" vertical="top"/>
      <protection locked="0"/>
    </xf>
    <xf numFmtId="0" fontId="14" fillId="40" borderId="74" xfId="0" applyFont="1" applyFill="1" applyBorder="1" applyAlignment="1" applyProtection="1">
      <alignment horizontal="left" vertical="top"/>
      <protection locked="0"/>
    </xf>
    <xf numFmtId="0" fontId="14" fillId="40" borderId="75" xfId="0" applyFont="1" applyFill="1" applyBorder="1" applyAlignment="1" applyProtection="1">
      <alignment horizontal="left" vertical="top"/>
      <protection locked="0"/>
    </xf>
    <xf numFmtId="0" fontId="14" fillId="40" borderId="0" xfId="0" applyFont="1" applyFill="1" applyBorder="1" applyAlignment="1" applyProtection="1">
      <alignment horizontal="left" vertical="top"/>
      <protection locked="0"/>
    </xf>
    <xf numFmtId="0" fontId="14" fillId="40" borderId="76" xfId="0" applyFont="1" applyFill="1" applyBorder="1" applyAlignment="1" applyProtection="1">
      <alignment horizontal="left" vertical="top"/>
      <protection locked="0"/>
    </xf>
    <xf numFmtId="0" fontId="14" fillId="40" borderId="77" xfId="0" applyFont="1" applyFill="1" applyBorder="1" applyAlignment="1" applyProtection="1">
      <alignment horizontal="left" vertical="top"/>
      <protection locked="0"/>
    </xf>
    <xf numFmtId="0" fontId="14" fillId="40" borderId="34" xfId="0" applyFont="1" applyFill="1" applyBorder="1" applyAlignment="1" applyProtection="1">
      <alignment horizontal="left" vertical="top"/>
      <protection locked="0"/>
    </xf>
    <xf numFmtId="0" fontId="14" fillId="40" borderId="78" xfId="0" applyFont="1" applyFill="1" applyBorder="1" applyAlignment="1" applyProtection="1">
      <alignment horizontal="left" vertical="top"/>
      <protection locked="0"/>
    </xf>
    <xf numFmtId="0" fontId="138" fillId="43" borderId="0" xfId="0" applyFont="1" applyFill="1" applyAlignment="1" applyProtection="1">
      <alignment horizontal="center"/>
    </xf>
    <xf numFmtId="49" fontId="14" fillId="40" borderId="70" xfId="0" applyNumberFormat="1" applyFont="1" applyFill="1" applyBorder="1" applyAlignment="1" applyProtection="1">
      <alignment horizontal="left"/>
      <protection locked="0"/>
    </xf>
    <xf numFmtId="49" fontId="14" fillId="40" borderId="71" xfId="0" applyNumberFormat="1" applyFont="1" applyFill="1" applyBorder="1" applyAlignment="1" applyProtection="1">
      <alignment horizontal="left"/>
      <protection locked="0"/>
    </xf>
    <xf numFmtId="49" fontId="14" fillId="40" borderId="70" xfId="0" quotePrefix="1" applyNumberFormat="1" applyFont="1" applyFill="1" applyBorder="1" applyAlignment="1" applyProtection="1">
      <alignment horizontal="left"/>
      <protection locked="0"/>
    </xf>
    <xf numFmtId="49" fontId="14" fillId="40" borderId="72" xfId="0" applyNumberFormat="1" applyFont="1" applyFill="1" applyBorder="1" applyAlignment="1" applyProtection="1">
      <alignment horizontal="left"/>
      <protection locked="0"/>
    </xf>
    <xf numFmtId="14" fontId="140" fillId="40" borderId="70" xfId="0" applyNumberFormat="1" applyFont="1" applyFill="1" applyBorder="1" applyAlignment="1" applyProtection="1">
      <alignment horizontal="left"/>
      <protection locked="0"/>
    </xf>
    <xf numFmtId="0" fontId="140" fillId="40" borderId="71" xfId="0" applyFont="1" applyFill="1" applyBorder="1" applyAlignment="1" applyProtection="1">
      <alignment horizontal="left"/>
      <protection locked="0"/>
    </xf>
    <xf numFmtId="49" fontId="140" fillId="40" borderId="70" xfId="0" applyNumberFormat="1" applyFont="1" applyFill="1" applyBorder="1" applyAlignment="1" applyProtection="1">
      <alignment horizontal="left"/>
      <protection locked="0"/>
    </xf>
    <xf numFmtId="49" fontId="140" fillId="40" borderId="71" xfId="0" applyNumberFormat="1" applyFont="1" applyFill="1" applyBorder="1" applyAlignment="1" applyProtection="1">
      <alignment horizontal="left"/>
      <protection locked="0"/>
    </xf>
    <xf numFmtId="0" fontId="141" fillId="43" borderId="0" xfId="0" applyFont="1" applyFill="1" applyBorder="1" applyAlignment="1">
      <alignment horizontal="center" vertical="center"/>
    </xf>
    <xf numFmtId="0" fontId="124" fillId="0" borderId="39" xfId="1" applyFont="1" applyFill="1" applyBorder="1" applyAlignment="1">
      <alignment horizontal="left" vertical="center" wrapText="1" indent="1"/>
    </xf>
    <xf numFmtId="0" fontId="124" fillId="0" borderId="40" xfId="1" applyFont="1" applyFill="1" applyBorder="1" applyAlignment="1">
      <alignment horizontal="left" vertical="center" wrapText="1" indent="1"/>
    </xf>
    <xf numFmtId="0" fontId="124" fillId="0" borderId="82" xfId="1" applyFont="1" applyFill="1" applyBorder="1" applyAlignment="1">
      <alignment horizontal="left" vertical="center" wrapText="1" indent="1"/>
    </xf>
    <xf numFmtId="0" fontId="124" fillId="0" borderId="46" xfId="1" applyFont="1" applyFill="1" applyBorder="1" applyAlignment="1">
      <alignment horizontal="left" vertical="center" wrapText="1" indent="1"/>
    </xf>
    <xf numFmtId="0" fontId="130" fillId="34" borderId="44" xfId="0" applyFont="1" applyFill="1" applyBorder="1" applyAlignment="1">
      <alignment horizontal="left" vertical="center" wrapText="1"/>
    </xf>
    <xf numFmtId="0" fontId="130" fillId="34" borderId="36" xfId="0" applyFont="1" applyFill="1" applyBorder="1" applyAlignment="1">
      <alignment horizontal="left" vertical="center" wrapText="1"/>
    </xf>
    <xf numFmtId="0" fontId="126" fillId="34" borderId="6" xfId="0" quotePrefix="1" applyFont="1" applyFill="1" applyBorder="1" applyAlignment="1">
      <alignment horizontal="center" vertical="center" wrapText="1"/>
    </xf>
    <xf numFmtId="0" fontId="126" fillId="34" borderId="8" xfId="0" quotePrefix="1" applyFont="1" applyFill="1" applyBorder="1" applyAlignment="1">
      <alignment horizontal="center" vertical="center" wrapText="1"/>
    </xf>
    <xf numFmtId="0" fontId="126" fillId="34" borderId="12" xfId="0" quotePrefix="1" applyFont="1" applyFill="1" applyBorder="1" applyAlignment="1">
      <alignment horizontal="center" vertical="center" wrapText="1"/>
    </xf>
    <xf numFmtId="0" fontId="126" fillId="34" borderId="2" xfId="0" quotePrefix="1" applyFont="1" applyFill="1" applyBorder="1" applyAlignment="1">
      <alignment horizontal="center" vertical="center" wrapText="1"/>
    </xf>
    <xf numFmtId="0" fontId="126" fillId="34" borderId="10" xfId="0" quotePrefix="1" applyFont="1" applyFill="1" applyBorder="1" applyAlignment="1">
      <alignment horizontal="center" vertical="center" wrapText="1"/>
    </xf>
    <xf numFmtId="0" fontId="124" fillId="34" borderId="2" xfId="0" applyFont="1" applyFill="1" applyBorder="1" applyAlignment="1">
      <alignment horizontal="left" vertical="center" wrapText="1"/>
    </xf>
    <xf numFmtId="0" fontId="126" fillId="0" borderId="43" xfId="1" applyFont="1" applyFill="1" applyBorder="1" applyAlignment="1">
      <alignment horizontal="left" vertical="center" wrapText="1" indent="2"/>
    </xf>
    <xf numFmtId="0" fontId="126" fillId="0" borderId="45" xfId="1" applyFont="1" applyFill="1" applyBorder="1" applyAlignment="1">
      <alignment horizontal="left" vertical="center" wrapText="1" indent="2"/>
    </xf>
    <xf numFmtId="0" fontId="126" fillId="0" borderId="81" xfId="1" applyFont="1" applyFill="1" applyBorder="1" applyAlignment="1">
      <alignment horizontal="left" vertical="center" wrapText="1" indent="2"/>
    </xf>
    <xf numFmtId="0" fontId="126" fillId="0" borderId="80" xfId="1" applyFont="1" applyFill="1" applyBorder="1" applyAlignment="1">
      <alignment horizontal="left" vertical="center" wrapText="1" indent="2"/>
    </xf>
    <xf numFmtId="0" fontId="124" fillId="34" borderId="0" xfId="0" applyFont="1" applyFill="1" applyBorder="1" applyAlignment="1">
      <alignment horizontal="left" vertical="center" wrapText="1"/>
    </xf>
    <xf numFmtId="0" fontId="124" fillId="34" borderId="8" xfId="0" applyFont="1" applyFill="1" applyBorder="1" applyAlignment="1">
      <alignment horizontal="left" vertical="center" wrapText="1"/>
    </xf>
    <xf numFmtId="0" fontId="124" fillId="34" borderId="10" xfId="0" applyFont="1" applyFill="1" applyBorder="1" applyAlignment="1">
      <alignment horizontal="left" vertical="center" wrapText="1"/>
    </xf>
    <xf numFmtId="0" fontId="126" fillId="0" borderId="39" xfId="1" applyFont="1" applyFill="1" applyBorder="1" applyAlignment="1">
      <alignment horizontal="left" vertical="center" wrapText="1" indent="2"/>
    </xf>
    <xf numFmtId="0" fontId="126" fillId="0" borderId="40" xfId="1" applyFont="1" applyFill="1" applyBorder="1" applyAlignment="1">
      <alignment horizontal="left" vertical="center" wrapText="1" indent="2"/>
    </xf>
    <xf numFmtId="49" fontId="121" fillId="34" borderId="5" xfId="0" applyNumberFormat="1" applyFont="1" applyFill="1" applyBorder="1" applyAlignment="1">
      <alignment horizontal="center" vertical="center" wrapText="1"/>
    </xf>
    <xf numFmtId="49" fontId="121" fillId="34" borderId="11" xfId="0" applyNumberFormat="1" applyFont="1" applyFill="1" applyBorder="1" applyAlignment="1">
      <alignment horizontal="center" vertical="center" wrapText="1"/>
    </xf>
    <xf numFmtId="49" fontId="121" fillId="34" borderId="36" xfId="0" applyNumberFormat="1" applyFont="1" applyFill="1" applyBorder="1" applyAlignment="1">
      <alignment horizontal="center" vertical="center" wrapText="1"/>
    </xf>
    <xf numFmtId="0" fontId="124" fillId="34" borderId="7" xfId="0" applyFont="1" applyFill="1" applyBorder="1" applyAlignment="1">
      <alignment horizontal="left" vertical="center" wrapText="1"/>
    </xf>
    <xf numFmtId="0" fontId="122" fillId="34" borderId="5" xfId="0" applyFont="1" applyFill="1" applyBorder="1" applyAlignment="1">
      <alignment horizontal="center" vertical="top" wrapText="1"/>
    </xf>
    <xf numFmtId="0" fontId="122" fillId="34" borderId="38" xfId="0" applyFont="1" applyFill="1" applyBorder="1" applyAlignment="1">
      <alignment horizontal="center" vertical="top" wrapText="1"/>
    </xf>
    <xf numFmtId="0" fontId="122" fillId="34" borderId="6" xfId="0" applyFont="1" applyFill="1" applyBorder="1" applyAlignment="1">
      <alignment horizontal="center" vertical="top" wrapText="1"/>
    </xf>
    <xf numFmtId="0" fontId="122" fillId="34" borderId="7" xfId="0" applyFont="1" applyFill="1" applyBorder="1" applyAlignment="1">
      <alignment horizontal="center" vertical="top" wrapText="1"/>
    </xf>
    <xf numFmtId="0" fontId="122" fillId="34" borderId="0" xfId="0" applyFont="1" applyFill="1" applyBorder="1" applyAlignment="1">
      <alignment horizontal="center" vertical="top" wrapText="1"/>
    </xf>
    <xf numFmtId="0" fontId="122" fillId="34" borderId="8" xfId="0" applyFont="1" applyFill="1" applyBorder="1" applyAlignment="1">
      <alignment horizontal="center" vertical="top" wrapText="1"/>
    </xf>
    <xf numFmtId="0" fontId="122" fillId="34" borderId="11" xfId="0" applyFont="1" applyFill="1" applyBorder="1" applyAlignment="1">
      <alignment horizontal="center" vertical="top" wrapText="1"/>
    </xf>
    <xf numFmtId="0" fontId="122" fillId="34" borderId="14" xfId="0" applyFont="1" applyFill="1" applyBorder="1" applyAlignment="1">
      <alignment horizontal="center" vertical="top" wrapText="1"/>
    </xf>
    <xf numFmtId="0" fontId="122" fillId="34" borderId="12" xfId="0" applyFont="1" applyFill="1" applyBorder="1" applyAlignment="1">
      <alignment horizontal="center" vertical="top" wrapText="1"/>
    </xf>
    <xf numFmtId="0" fontId="141" fillId="43" borderId="14" xfId="0" applyFont="1" applyFill="1" applyBorder="1" applyAlignment="1">
      <alignment horizontal="center" vertical="center"/>
    </xf>
    <xf numFmtId="0" fontId="124" fillId="0" borderId="43" xfId="1" applyFont="1" applyFill="1" applyBorder="1" applyAlignment="1">
      <alignment horizontal="left" vertical="center" wrapText="1" indent="1"/>
    </xf>
    <xf numFmtId="0" fontId="124" fillId="0" borderId="45" xfId="1" applyFont="1" applyFill="1" applyBorder="1" applyAlignment="1">
      <alignment horizontal="left" vertical="center" wrapText="1" indent="1"/>
    </xf>
    <xf numFmtId="0" fontId="124" fillId="34" borderId="14" xfId="0" applyFont="1" applyFill="1" applyBorder="1" applyAlignment="1">
      <alignment horizontal="left" vertical="top" wrapText="1"/>
    </xf>
    <xf numFmtId="0" fontId="124" fillId="34" borderId="12" xfId="0" applyFont="1" applyFill="1" applyBorder="1" applyAlignment="1">
      <alignment horizontal="left" vertical="top" wrapText="1"/>
    </xf>
    <xf numFmtId="0" fontId="126" fillId="0" borderId="43" xfId="1" applyFont="1" applyFill="1" applyBorder="1" applyAlignment="1">
      <alignment horizontal="left" vertical="center" wrapText="1" indent="3"/>
    </xf>
    <xf numFmtId="0" fontId="126" fillId="0" borderId="45" xfId="1" applyFont="1" applyFill="1" applyBorder="1" applyAlignment="1">
      <alignment horizontal="left" vertical="center" wrapText="1" indent="3"/>
    </xf>
    <xf numFmtId="0" fontId="126" fillId="0" borderId="81" xfId="1" applyFont="1" applyFill="1" applyBorder="1" applyAlignment="1">
      <alignment horizontal="left" vertical="center" wrapText="1" indent="3"/>
    </xf>
    <xf numFmtId="0" fontId="126" fillId="0" borderId="80" xfId="1" applyFont="1" applyFill="1" applyBorder="1" applyAlignment="1">
      <alignment horizontal="left" vertical="center" wrapText="1" indent="3"/>
    </xf>
    <xf numFmtId="0" fontId="124" fillId="34" borderId="36" xfId="0" applyFont="1" applyFill="1" applyBorder="1" applyAlignment="1">
      <alignment horizontal="left" vertical="top" wrapText="1"/>
    </xf>
    <xf numFmtId="0" fontId="124" fillId="34" borderId="37" xfId="0" applyFont="1" applyFill="1" applyBorder="1" applyAlignment="1">
      <alignment horizontal="left" vertical="top" wrapText="1"/>
    </xf>
    <xf numFmtId="0" fontId="124" fillId="34" borderId="66" xfId="0" applyFont="1" applyFill="1" applyBorder="1" applyAlignment="1">
      <alignment horizontal="left" vertical="top" wrapText="1"/>
    </xf>
    <xf numFmtId="0" fontId="124" fillId="34" borderId="68" xfId="0" applyFont="1" applyFill="1" applyBorder="1" applyAlignment="1">
      <alignment horizontal="left" vertical="top" wrapText="1"/>
    </xf>
    <xf numFmtId="49" fontId="6" fillId="34" borderId="5" xfId="0" applyNumberFormat="1" applyFont="1" applyFill="1" applyBorder="1" applyAlignment="1">
      <alignment horizontal="center" vertical="center" wrapText="1"/>
    </xf>
    <xf numFmtId="49" fontId="6" fillId="34" borderId="11" xfId="0" applyNumberFormat="1" applyFont="1" applyFill="1" applyBorder="1" applyAlignment="1">
      <alignment horizontal="center" vertical="center" wrapText="1"/>
    </xf>
    <xf numFmtId="49" fontId="6" fillId="34" borderId="36" xfId="0" applyNumberFormat="1" applyFont="1" applyFill="1" applyBorder="1" applyAlignment="1">
      <alignment horizontal="center" vertical="center" wrapText="1"/>
    </xf>
    <xf numFmtId="49" fontId="6" fillId="34" borderId="37" xfId="0" applyNumberFormat="1" applyFont="1" applyFill="1" applyBorder="1" applyAlignment="1">
      <alignment horizontal="center" vertical="center" wrapText="1"/>
    </xf>
    <xf numFmtId="0" fontId="9" fillId="34" borderId="10" xfId="0" applyFont="1" applyFill="1" applyBorder="1" applyAlignment="1">
      <alignment horizontal="left" vertical="center" wrapText="1"/>
    </xf>
    <xf numFmtId="0" fontId="9" fillId="34" borderId="7" xfId="0" applyFont="1" applyFill="1" applyBorder="1" applyAlignment="1">
      <alignment horizontal="left" vertical="top" wrapText="1"/>
    </xf>
    <xf numFmtId="0" fontId="9" fillId="34" borderId="8" xfId="0" applyFont="1" applyFill="1" applyBorder="1" applyAlignment="1">
      <alignment horizontal="left" vertical="top" wrapText="1"/>
    </xf>
    <xf numFmtId="0" fontId="126" fillId="0" borderId="39" xfId="1" applyFont="1" applyFill="1" applyBorder="1" applyAlignment="1">
      <alignment horizontal="left" vertical="center" wrapText="1" indent="3"/>
    </xf>
    <xf numFmtId="0" fontId="126" fillId="0" borderId="40" xfId="1" applyFont="1" applyFill="1" applyBorder="1" applyAlignment="1">
      <alignment horizontal="left" vertical="center" wrapText="1" indent="3"/>
    </xf>
    <xf numFmtId="0" fontId="126" fillId="34" borderId="65" xfId="0" quotePrefix="1" applyFont="1" applyFill="1" applyBorder="1" applyAlignment="1">
      <alignment horizontal="center" vertical="center" wrapText="1"/>
    </xf>
    <xf numFmtId="0" fontId="126" fillId="34" borderId="9" xfId="0" quotePrefix="1" applyFont="1" applyFill="1" applyBorder="1" applyAlignment="1">
      <alignment horizontal="center" vertical="center" wrapText="1"/>
    </xf>
    <xf numFmtId="0" fontId="5" fillId="34" borderId="5" xfId="0" applyFont="1" applyFill="1" applyBorder="1" applyAlignment="1">
      <alignment horizontal="center" vertical="top" wrapText="1"/>
    </xf>
    <xf numFmtId="0" fontId="5" fillId="34" borderId="38" xfId="0" applyFont="1" applyFill="1" applyBorder="1" applyAlignment="1">
      <alignment horizontal="center" vertical="top" wrapText="1"/>
    </xf>
    <xf numFmtId="0" fontId="5" fillId="34" borderId="6" xfId="0" applyFont="1" applyFill="1" applyBorder="1" applyAlignment="1">
      <alignment horizontal="center" vertical="top" wrapText="1"/>
    </xf>
    <xf numFmtId="0" fontId="5" fillId="34" borderId="7" xfId="0" applyFont="1" applyFill="1" applyBorder="1" applyAlignment="1">
      <alignment horizontal="center" vertical="top" wrapText="1"/>
    </xf>
    <xf numFmtId="0" fontId="5" fillId="34" borderId="0" xfId="0" applyFont="1" applyFill="1" applyBorder="1" applyAlignment="1">
      <alignment horizontal="center" vertical="top" wrapText="1"/>
    </xf>
    <xf numFmtId="0" fontId="5" fillId="34" borderId="8" xfId="0" applyFont="1" applyFill="1" applyBorder="1" applyAlignment="1">
      <alignment horizontal="center" vertical="top" wrapText="1"/>
    </xf>
    <xf numFmtId="0" fontId="5" fillId="34" borderId="11" xfId="0" applyFont="1" applyFill="1" applyBorder="1" applyAlignment="1">
      <alignment horizontal="center" vertical="top" wrapText="1"/>
    </xf>
    <xf numFmtId="0" fontId="5" fillId="34" borderId="14" xfId="0" applyFont="1" applyFill="1" applyBorder="1" applyAlignment="1">
      <alignment horizontal="center" vertical="top" wrapText="1"/>
    </xf>
    <xf numFmtId="0" fontId="5" fillId="34" borderId="12" xfId="0" applyFont="1" applyFill="1" applyBorder="1" applyAlignment="1">
      <alignment horizontal="center" vertical="top" wrapText="1"/>
    </xf>
    <xf numFmtId="0" fontId="9" fillId="34" borderId="66" xfId="4" applyFont="1" applyFill="1" applyBorder="1" applyAlignment="1">
      <alignment horizontal="center" vertical="center" wrapText="1"/>
    </xf>
    <xf numFmtId="0" fontId="9" fillId="34" borderId="67" xfId="4" applyFont="1" applyFill="1" applyBorder="1" applyAlignment="1">
      <alignment horizontal="center" vertical="center" wrapText="1"/>
    </xf>
    <xf numFmtId="0" fontId="9" fillId="34" borderId="68" xfId="4" applyFont="1" applyFill="1" applyBorder="1" applyAlignment="1">
      <alignment horizontal="center" vertical="center" wrapText="1"/>
    </xf>
    <xf numFmtId="0" fontId="7" fillId="34" borderId="10" xfId="4" applyFont="1" applyFill="1" applyBorder="1" applyAlignment="1">
      <alignment horizontal="center" wrapText="1"/>
    </xf>
    <xf numFmtId="0" fontId="7" fillId="34" borderId="10" xfId="4" applyFont="1" applyFill="1" applyBorder="1" applyAlignment="1">
      <alignment horizontal="left" wrapText="1"/>
    </xf>
    <xf numFmtId="0" fontId="9" fillId="34" borderId="94" xfId="4" applyFont="1" applyFill="1" applyBorder="1" applyAlignment="1">
      <alignment horizontal="center" vertical="center" wrapText="1"/>
    </xf>
    <xf numFmtId="0" fontId="9" fillId="34" borderId="95" xfId="4" applyFont="1" applyFill="1" applyBorder="1" applyAlignment="1">
      <alignment horizontal="center" vertical="center" wrapText="1"/>
    </xf>
    <xf numFmtId="0" fontId="9" fillId="34" borderId="96" xfId="4" applyFont="1" applyFill="1" applyBorder="1" applyAlignment="1">
      <alignment horizontal="center" vertical="center" wrapText="1"/>
    </xf>
    <xf numFmtId="0" fontId="9" fillId="34" borderId="36" xfId="4" applyFont="1" applyFill="1" applyBorder="1" applyAlignment="1">
      <alignment horizontal="center" vertical="center" wrapText="1"/>
    </xf>
    <xf numFmtId="0" fontId="9" fillId="34" borderId="37" xfId="4" applyFont="1" applyFill="1" applyBorder="1" applyAlignment="1">
      <alignment horizontal="center" vertical="center" wrapText="1"/>
    </xf>
  </cellXfs>
  <cellStyles count="1537">
    <cellStyle name="=C:\WINNT35\SYSTEM32\COMMAND.COM" xfId="5" xr:uid="{00000000-0005-0000-0000-000000000000}"/>
    <cellStyle name="1 indent" xfId="6" xr:uid="{00000000-0005-0000-0000-000001000000}"/>
    <cellStyle name="2 indents" xfId="7" xr:uid="{00000000-0005-0000-0000-000002000000}"/>
    <cellStyle name="20% - 1. jelölőszín" xfId="8" xr:uid="{00000000-0005-0000-0000-000003000000}"/>
    <cellStyle name="20% - 1. jelölőszín 2" xfId="9" xr:uid="{00000000-0005-0000-0000-000004000000}"/>
    <cellStyle name="20% - 1. jelölőszín_20130128_ITS on reporting_Annex I_CA" xfId="10" xr:uid="{00000000-0005-0000-0000-000005000000}"/>
    <cellStyle name="20% - 2. jelölőszín" xfId="11" xr:uid="{00000000-0005-0000-0000-000006000000}"/>
    <cellStyle name="20% - 2. jelölőszín 2" xfId="12" xr:uid="{00000000-0005-0000-0000-000007000000}"/>
    <cellStyle name="20% - 2. jelölőszín_20130128_ITS on reporting_Annex I_CA" xfId="13" xr:uid="{00000000-0005-0000-0000-000008000000}"/>
    <cellStyle name="20% - 3. jelölőszín" xfId="14" xr:uid="{00000000-0005-0000-0000-000009000000}"/>
    <cellStyle name="20% - 3. jelölőszín 2" xfId="15" xr:uid="{00000000-0005-0000-0000-00000A000000}"/>
    <cellStyle name="20% - 3. jelölőszín_20130128_ITS on reporting_Annex I_CA" xfId="16" xr:uid="{00000000-0005-0000-0000-00000B000000}"/>
    <cellStyle name="20% - 4. jelölőszín" xfId="17" xr:uid="{00000000-0005-0000-0000-00000C000000}"/>
    <cellStyle name="20% - 4. jelölőszín 2" xfId="18" xr:uid="{00000000-0005-0000-0000-00000D000000}"/>
    <cellStyle name="20% - 4. jelölőszín_20130128_ITS on reporting_Annex I_CA" xfId="19" xr:uid="{00000000-0005-0000-0000-00000E000000}"/>
    <cellStyle name="20% - 5. jelölőszín" xfId="20" xr:uid="{00000000-0005-0000-0000-00000F000000}"/>
    <cellStyle name="20% - 5. jelölőszín 2" xfId="21" xr:uid="{00000000-0005-0000-0000-000010000000}"/>
    <cellStyle name="20% - 5. jelölőszín_20130128_ITS on reporting_Annex I_CA" xfId="22" xr:uid="{00000000-0005-0000-0000-000011000000}"/>
    <cellStyle name="20% - 6. jelölőszín" xfId="23" xr:uid="{00000000-0005-0000-0000-000012000000}"/>
    <cellStyle name="20% - 6. jelölőszín 2" xfId="24" xr:uid="{00000000-0005-0000-0000-000013000000}"/>
    <cellStyle name="20% - 6. jelölőszín_20130128_ITS on reporting_Annex I_CA" xfId="25" xr:uid="{00000000-0005-0000-0000-000014000000}"/>
    <cellStyle name="20% - Accent1 2" xfId="26" xr:uid="{00000000-0005-0000-0000-000015000000}"/>
    <cellStyle name="20% - Accent1 2 2" xfId="27" xr:uid="{00000000-0005-0000-0000-000016000000}"/>
    <cellStyle name="20% - Accent1 3" xfId="28" xr:uid="{00000000-0005-0000-0000-000017000000}"/>
    <cellStyle name="20% - Accent1 4" xfId="29" xr:uid="{00000000-0005-0000-0000-000018000000}"/>
    <cellStyle name="20% - Accent2 2" xfId="30" xr:uid="{00000000-0005-0000-0000-000019000000}"/>
    <cellStyle name="20% - Accent2 2 2" xfId="31" xr:uid="{00000000-0005-0000-0000-00001A000000}"/>
    <cellStyle name="20% - Accent2 3" xfId="32" xr:uid="{00000000-0005-0000-0000-00001B000000}"/>
    <cellStyle name="20% - Accent2 4" xfId="33" xr:uid="{00000000-0005-0000-0000-00001C000000}"/>
    <cellStyle name="20% - Accent3 2" xfId="34" xr:uid="{00000000-0005-0000-0000-00001D000000}"/>
    <cellStyle name="20% - Accent3 2 2" xfId="35" xr:uid="{00000000-0005-0000-0000-00001E000000}"/>
    <cellStyle name="20% - Accent3 3" xfId="36" xr:uid="{00000000-0005-0000-0000-00001F000000}"/>
    <cellStyle name="20% - Accent3 4" xfId="37" xr:uid="{00000000-0005-0000-0000-000020000000}"/>
    <cellStyle name="20% - Accent4 2" xfId="38" xr:uid="{00000000-0005-0000-0000-000021000000}"/>
    <cellStyle name="20% - Accent4 2 2" xfId="39" xr:uid="{00000000-0005-0000-0000-000022000000}"/>
    <cellStyle name="20% - Accent4 3" xfId="40" xr:uid="{00000000-0005-0000-0000-000023000000}"/>
    <cellStyle name="20% - Accent4 4" xfId="41" xr:uid="{00000000-0005-0000-0000-000024000000}"/>
    <cellStyle name="20% - Accent5 2" xfId="42" xr:uid="{00000000-0005-0000-0000-000025000000}"/>
    <cellStyle name="20% - Accent5 2 2" xfId="43" xr:uid="{00000000-0005-0000-0000-000026000000}"/>
    <cellStyle name="20% - Accent5 3" xfId="44" xr:uid="{00000000-0005-0000-0000-000027000000}"/>
    <cellStyle name="20% - Accent5 4" xfId="45" xr:uid="{00000000-0005-0000-0000-000028000000}"/>
    <cellStyle name="20% - Accent6 2" xfId="46" xr:uid="{00000000-0005-0000-0000-000029000000}"/>
    <cellStyle name="20% - Accent6 2 2" xfId="47" xr:uid="{00000000-0005-0000-0000-00002A000000}"/>
    <cellStyle name="20% - Accent6 3" xfId="48" xr:uid="{00000000-0005-0000-0000-00002B000000}"/>
    <cellStyle name="20% - Accent6 4" xfId="49" xr:uid="{00000000-0005-0000-0000-00002C000000}"/>
    <cellStyle name="20% - Énfasis1" xfId="50" xr:uid="{00000000-0005-0000-0000-00002D000000}"/>
    <cellStyle name="20% - Énfasis2" xfId="51" xr:uid="{00000000-0005-0000-0000-00002E000000}"/>
    <cellStyle name="20% - Énfasis3" xfId="52" xr:uid="{00000000-0005-0000-0000-00002F000000}"/>
    <cellStyle name="20% - Énfasis4" xfId="53" xr:uid="{00000000-0005-0000-0000-000030000000}"/>
    <cellStyle name="20% - Énfasis5" xfId="54" xr:uid="{00000000-0005-0000-0000-000031000000}"/>
    <cellStyle name="20% - Énfasis6" xfId="55" xr:uid="{00000000-0005-0000-0000-000032000000}"/>
    <cellStyle name="20% - Έμφαση1" xfId="56" xr:uid="{00000000-0005-0000-0000-000033000000}"/>
    <cellStyle name="20% - Έμφαση2" xfId="57" xr:uid="{00000000-0005-0000-0000-000034000000}"/>
    <cellStyle name="20% - Έμφαση3" xfId="58" xr:uid="{00000000-0005-0000-0000-000035000000}"/>
    <cellStyle name="20% - Έμφαση4" xfId="59" xr:uid="{00000000-0005-0000-0000-000036000000}"/>
    <cellStyle name="20% - Έμφαση5" xfId="60" xr:uid="{00000000-0005-0000-0000-000037000000}"/>
    <cellStyle name="20% - Έμφαση6" xfId="61" xr:uid="{00000000-0005-0000-0000-000038000000}"/>
    <cellStyle name="3 indents" xfId="62" xr:uid="{00000000-0005-0000-0000-000039000000}"/>
    <cellStyle name="4 indents" xfId="63" xr:uid="{00000000-0005-0000-0000-00003A000000}"/>
    <cellStyle name="40% - 1. jelölőszín" xfId="64" xr:uid="{00000000-0005-0000-0000-00003B000000}"/>
    <cellStyle name="40% - 1. jelölőszín 2" xfId="65" xr:uid="{00000000-0005-0000-0000-00003C000000}"/>
    <cellStyle name="40% - 1. jelölőszín_20130128_ITS on reporting_Annex I_CA" xfId="66" xr:uid="{00000000-0005-0000-0000-00003D000000}"/>
    <cellStyle name="40% - 2. jelölőszín" xfId="67" xr:uid="{00000000-0005-0000-0000-00003E000000}"/>
    <cellStyle name="40% - 2. jelölőszín 2" xfId="68" xr:uid="{00000000-0005-0000-0000-00003F000000}"/>
    <cellStyle name="40% - 2. jelölőszín_20130128_ITS on reporting_Annex I_CA" xfId="69" xr:uid="{00000000-0005-0000-0000-000040000000}"/>
    <cellStyle name="40% - 3. jelölőszín" xfId="70" xr:uid="{00000000-0005-0000-0000-000041000000}"/>
    <cellStyle name="40% - 3. jelölőszín 2" xfId="71" xr:uid="{00000000-0005-0000-0000-000042000000}"/>
    <cellStyle name="40% - 3. jelölőszín_20130128_ITS on reporting_Annex I_CA" xfId="72" xr:uid="{00000000-0005-0000-0000-000043000000}"/>
    <cellStyle name="40% - 4. jelölőszín" xfId="73" xr:uid="{00000000-0005-0000-0000-000044000000}"/>
    <cellStyle name="40% - 4. jelölőszín 2" xfId="74" xr:uid="{00000000-0005-0000-0000-000045000000}"/>
    <cellStyle name="40% - 4. jelölőszín_20130128_ITS on reporting_Annex I_CA" xfId="75" xr:uid="{00000000-0005-0000-0000-000046000000}"/>
    <cellStyle name="40% - 5. jelölőszín" xfId="76" xr:uid="{00000000-0005-0000-0000-000047000000}"/>
    <cellStyle name="40% - 5. jelölőszín 2" xfId="77" xr:uid="{00000000-0005-0000-0000-000048000000}"/>
    <cellStyle name="40% - 5. jelölőszín_20130128_ITS on reporting_Annex I_CA" xfId="78" xr:uid="{00000000-0005-0000-0000-000049000000}"/>
    <cellStyle name="40% - 6. jelölőszín" xfId="79" xr:uid="{00000000-0005-0000-0000-00004A000000}"/>
    <cellStyle name="40% - 6. jelölőszín 2" xfId="80" xr:uid="{00000000-0005-0000-0000-00004B000000}"/>
    <cellStyle name="40% - 6. jelölőszín_20130128_ITS on reporting_Annex I_CA" xfId="81" xr:uid="{00000000-0005-0000-0000-00004C000000}"/>
    <cellStyle name="40% - Accent1 2" xfId="82" xr:uid="{00000000-0005-0000-0000-00004D000000}"/>
    <cellStyle name="40% - Accent1 2 2" xfId="83" xr:uid="{00000000-0005-0000-0000-00004E000000}"/>
    <cellStyle name="40% - Accent1 3" xfId="84" xr:uid="{00000000-0005-0000-0000-00004F000000}"/>
    <cellStyle name="40% - Accent1 4" xfId="85" xr:uid="{00000000-0005-0000-0000-000050000000}"/>
    <cellStyle name="40% - Accent2 2" xfId="86" xr:uid="{00000000-0005-0000-0000-000051000000}"/>
    <cellStyle name="40% - Accent2 2 2" xfId="87" xr:uid="{00000000-0005-0000-0000-000052000000}"/>
    <cellStyle name="40% - Accent2 3" xfId="88" xr:uid="{00000000-0005-0000-0000-000053000000}"/>
    <cellStyle name="40% - Accent2 4" xfId="89" xr:uid="{00000000-0005-0000-0000-000054000000}"/>
    <cellStyle name="40% - Accent3 2" xfId="90" xr:uid="{00000000-0005-0000-0000-000055000000}"/>
    <cellStyle name="40% - Accent3 2 2" xfId="91" xr:uid="{00000000-0005-0000-0000-000056000000}"/>
    <cellStyle name="40% - Accent3 3" xfId="92" xr:uid="{00000000-0005-0000-0000-000057000000}"/>
    <cellStyle name="40% - Accent3 4" xfId="93" xr:uid="{00000000-0005-0000-0000-000058000000}"/>
    <cellStyle name="40% - Accent4 2" xfId="94" xr:uid="{00000000-0005-0000-0000-000059000000}"/>
    <cellStyle name="40% - Accent4 2 2" xfId="95" xr:uid="{00000000-0005-0000-0000-00005A000000}"/>
    <cellStyle name="40% - Accent4 3" xfId="96" xr:uid="{00000000-0005-0000-0000-00005B000000}"/>
    <cellStyle name="40% - Accent4 4" xfId="97" xr:uid="{00000000-0005-0000-0000-00005C000000}"/>
    <cellStyle name="40% - Accent5 2" xfId="98" xr:uid="{00000000-0005-0000-0000-00005D000000}"/>
    <cellStyle name="40% - Accent5 2 2" xfId="99" xr:uid="{00000000-0005-0000-0000-00005E000000}"/>
    <cellStyle name="40% - Accent5 3" xfId="100" xr:uid="{00000000-0005-0000-0000-00005F000000}"/>
    <cellStyle name="40% - Accent5 4" xfId="101" xr:uid="{00000000-0005-0000-0000-000060000000}"/>
    <cellStyle name="40% - Accent6 2" xfId="102" xr:uid="{00000000-0005-0000-0000-000061000000}"/>
    <cellStyle name="40% - Accent6 2 2" xfId="103" xr:uid="{00000000-0005-0000-0000-000062000000}"/>
    <cellStyle name="40% - Accent6 3" xfId="104" xr:uid="{00000000-0005-0000-0000-000063000000}"/>
    <cellStyle name="40% - Accent6 4" xfId="105" xr:uid="{00000000-0005-0000-0000-000064000000}"/>
    <cellStyle name="40% - Énfasis1" xfId="106" xr:uid="{00000000-0005-0000-0000-000065000000}"/>
    <cellStyle name="40% - Énfasis2" xfId="107" xr:uid="{00000000-0005-0000-0000-000066000000}"/>
    <cellStyle name="40% - Énfasis3" xfId="108" xr:uid="{00000000-0005-0000-0000-000067000000}"/>
    <cellStyle name="40% - Énfasis4" xfId="109" xr:uid="{00000000-0005-0000-0000-000068000000}"/>
    <cellStyle name="40% - Énfasis5" xfId="110" xr:uid="{00000000-0005-0000-0000-000069000000}"/>
    <cellStyle name="40% - Énfasis6" xfId="111" xr:uid="{00000000-0005-0000-0000-00006A000000}"/>
    <cellStyle name="40% - Έμφαση1" xfId="112" xr:uid="{00000000-0005-0000-0000-00006B000000}"/>
    <cellStyle name="40% - Έμφαση2" xfId="113" xr:uid="{00000000-0005-0000-0000-00006C000000}"/>
    <cellStyle name="40% - Έμφαση3" xfId="114" xr:uid="{00000000-0005-0000-0000-00006D000000}"/>
    <cellStyle name="40% - Έμφαση4" xfId="115" xr:uid="{00000000-0005-0000-0000-00006E000000}"/>
    <cellStyle name="40% - Έμφαση5" xfId="116" xr:uid="{00000000-0005-0000-0000-00006F000000}"/>
    <cellStyle name="40% - Έμφαση6" xfId="117" xr:uid="{00000000-0005-0000-0000-000070000000}"/>
    <cellStyle name="5 indents" xfId="118" xr:uid="{00000000-0005-0000-0000-000071000000}"/>
    <cellStyle name="60% - 1. jelölőszín" xfId="119" xr:uid="{00000000-0005-0000-0000-000072000000}"/>
    <cellStyle name="60% - 2. jelölőszín" xfId="120" xr:uid="{00000000-0005-0000-0000-000073000000}"/>
    <cellStyle name="60% - 3. jelölőszín" xfId="121" xr:uid="{00000000-0005-0000-0000-000074000000}"/>
    <cellStyle name="60% - 4. jelölőszín" xfId="122" xr:uid="{00000000-0005-0000-0000-000075000000}"/>
    <cellStyle name="60% - 5. jelölőszín" xfId="123" xr:uid="{00000000-0005-0000-0000-000076000000}"/>
    <cellStyle name="60% - 6. jelölőszín" xfId="124" xr:uid="{00000000-0005-0000-0000-000077000000}"/>
    <cellStyle name="60% - Accent1 2" xfId="125" xr:uid="{00000000-0005-0000-0000-000078000000}"/>
    <cellStyle name="60% - Accent1 2 2" xfId="126" xr:uid="{00000000-0005-0000-0000-000079000000}"/>
    <cellStyle name="60% - Accent1 3" xfId="127" xr:uid="{00000000-0005-0000-0000-00007A000000}"/>
    <cellStyle name="60% - Accent1 4" xfId="128" xr:uid="{00000000-0005-0000-0000-00007B000000}"/>
    <cellStyle name="60% - Accent2 2" xfId="129" xr:uid="{00000000-0005-0000-0000-00007C000000}"/>
    <cellStyle name="60% - Accent2 2 2" xfId="130" xr:uid="{00000000-0005-0000-0000-00007D000000}"/>
    <cellStyle name="60% - Accent2 3" xfId="131" xr:uid="{00000000-0005-0000-0000-00007E000000}"/>
    <cellStyle name="60% - Accent2 4" xfId="132" xr:uid="{00000000-0005-0000-0000-00007F000000}"/>
    <cellStyle name="60% - Accent3 2" xfId="133" xr:uid="{00000000-0005-0000-0000-000080000000}"/>
    <cellStyle name="60% - Accent3 2 2" xfId="134" xr:uid="{00000000-0005-0000-0000-000081000000}"/>
    <cellStyle name="60% - Accent3 3" xfId="135" xr:uid="{00000000-0005-0000-0000-000082000000}"/>
    <cellStyle name="60% - Accent3 4" xfId="136" xr:uid="{00000000-0005-0000-0000-000083000000}"/>
    <cellStyle name="60% - Accent4 2" xfId="137" xr:uid="{00000000-0005-0000-0000-000084000000}"/>
    <cellStyle name="60% - Accent4 2 2" xfId="138" xr:uid="{00000000-0005-0000-0000-000085000000}"/>
    <cellStyle name="60% - Accent4 3" xfId="139" xr:uid="{00000000-0005-0000-0000-000086000000}"/>
    <cellStyle name="60% - Accent4 4" xfId="140" xr:uid="{00000000-0005-0000-0000-000087000000}"/>
    <cellStyle name="60% - Accent5 2" xfId="141" xr:uid="{00000000-0005-0000-0000-000088000000}"/>
    <cellStyle name="60% - Accent5 2 2" xfId="142" xr:uid="{00000000-0005-0000-0000-000089000000}"/>
    <cellStyle name="60% - Accent5 3" xfId="143" xr:uid="{00000000-0005-0000-0000-00008A000000}"/>
    <cellStyle name="60% - Accent5 4" xfId="144" xr:uid="{00000000-0005-0000-0000-00008B000000}"/>
    <cellStyle name="60% - Accent6 2" xfId="145" xr:uid="{00000000-0005-0000-0000-00008C000000}"/>
    <cellStyle name="60% - Accent6 2 2" xfId="146" xr:uid="{00000000-0005-0000-0000-00008D000000}"/>
    <cellStyle name="60% - Accent6 3" xfId="147" xr:uid="{00000000-0005-0000-0000-00008E000000}"/>
    <cellStyle name="60% - Accent6 4" xfId="148" xr:uid="{00000000-0005-0000-0000-00008F000000}"/>
    <cellStyle name="60% - Énfasis1" xfId="149" xr:uid="{00000000-0005-0000-0000-000090000000}"/>
    <cellStyle name="60% - Énfasis2" xfId="150" xr:uid="{00000000-0005-0000-0000-000091000000}"/>
    <cellStyle name="60% - Énfasis3" xfId="151" xr:uid="{00000000-0005-0000-0000-000092000000}"/>
    <cellStyle name="60% - Énfasis4" xfId="152" xr:uid="{00000000-0005-0000-0000-000093000000}"/>
    <cellStyle name="60% - Énfasis5" xfId="153" xr:uid="{00000000-0005-0000-0000-000094000000}"/>
    <cellStyle name="60% - Énfasis6" xfId="154" xr:uid="{00000000-0005-0000-0000-000095000000}"/>
    <cellStyle name="60% - Έμφαση1" xfId="155" xr:uid="{00000000-0005-0000-0000-000096000000}"/>
    <cellStyle name="60% - Έμφαση2" xfId="156" xr:uid="{00000000-0005-0000-0000-000097000000}"/>
    <cellStyle name="60% - Έμφαση3" xfId="157" xr:uid="{00000000-0005-0000-0000-000098000000}"/>
    <cellStyle name="60% - Έμφαση4" xfId="158" xr:uid="{00000000-0005-0000-0000-000099000000}"/>
    <cellStyle name="60% - Έμφαση5" xfId="159" xr:uid="{00000000-0005-0000-0000-00009A000000}"/>
    <cellStyle name="60% - Έμφαση6" xfId="160" xr:uid="{00000000-0005-0000-0000-00009B000000}"/>
    <cellStyle name="Accent1 2" xfId="161" xr:uid="{00000000-0005-0000-0000-00009C000000}"/>
    <cellStyle name="Accent1 2 2" xfId="162" xr:uid="{00000000-0005-0000-0000-00009D000000}"/>
    <cellStyle name="Accent1 3" xfId="163" xr:uid="{00000000-0005-0000-0000-00009E000000}"/>
    <cellStyle name="Accent2 2" xfId="164" xr:uid="{00000000-0005-0000-0000-00009F000000}"/>
    <cellStyle name="Accent2 2 2" xfId="165" xr:uid="{00000000-0005-0000-0000-0000A0000000}"/>
    <cellStyle name="Accent2 3" xfId="166" xr:uid="{00000000-0005-0000-0000-0000A1000000}"/>
    <cellStyle name="Accent3 2" xfId="167" xr:uid="{00000000-0005-0000-0000-0000A2000000}"/>
    <cellStyle name="Accent3 2 2" xfId="168" xr:uid="{00000000-0005-0000-0000-0000A3000000}"/>
    <cellStyle name="Accent3 3" xfId="169" xr:uid="{00000000-0005-0000-0000-0000A4000000}"/>
    <cellStyle name="Accent4 2" xfId="170" xr:uid="{00000000-0005-0000-0000-0000A5000000}"/>
    <cellStyle name="Accent4 2 2" xfId="171" xr:uid="{00000000-0005-0000-0000-0000A6000000}"/>
    <cellStyle name="Accent4 3" xfId="172" xr:uid="{00000000-0005-0000-0000-0000A7000000}"/>
    <cellStyle name="Accent5 2" xfId="173" xr:uid="{00000000-0005-0000-0000-0000A8000000}"/>
    <cellStyle name="Accent5 2 2" xfId="174" xr:uid="{00000000-0005-0000-0000-0000A9000000}"/>
    <cellStyle name="Accent5 3" xfId="175" xr:uid="{00000000-0005-0000-0000-0000AA000000}"/>
    <cellStyle name="Accent6 2" xfId="176" xr:uid="{00000000-0005-0000-0000-0000AB000000}"/>
    <cellStyle name="Accent6 2 2" xfId="177" xr:uid="{00000000-0005-0000-0000-0000AC000000}"/>
    <cellStyle name="Accent6 3" xfId="178" xr:uid="{00000000-0005-0000-0000-0000AD000000}"/>
    <cellStyle name="Bad 2" xfId="179" xr:uid="{00000000-0005-0000-0000-0000AE000000}"/>
    <cellStyle name="Bad 2 2" xfId="180" xr:uid="{00000000-0005-0000-0000-0000AF000000}"/>
    <cellStyle name="Bad 3" xfId="181" xr:uid="{00000000-0005-0000-0000-0000B0000000}"/>
    <cellStyle name="Bad 4" xfId="182" xr:uid="{00000000-0005-0000-0000-0000B1000000}"/>
    <cellStyle name="Bevitel" xfId="183" xr:uid="{00000000-0005-0000-0000-0000B2000000}"/>
    <cellStyle name="Bevitel 2" xfId="184" xr:uid="{00000000-0005-0000-0000-0000B3000000}"/>
    <cellStyle name="Bevitel 2 2" xfId="705" xr:uid="{00000000-0005-0000-0000-0000B4000000}"/>
    <cellStyle name="Bevitel 2 2 2" xfId="1092" xr:uid="{00000000-0005-0000-0000-0000B5000000}"/>
    <cellStyle name="Bevitel 2 2 3" xfId="1348" xr:uid="{00000000-0005-0000-0000-0000B6000000}"/>
    <cellStyle name="Bevitel 2 3" xfId="764" xr:uid="{00000000-0005-0000-0000-0000B7000000}"/>
    <cellStyle name="Bevitel 2 3 2" xfId="1151" xr:uid="{00000000-0005-0000-0000-0000B8000000}"/>
    <cellStyle name="Bevitel 2 3 3" xfId="1399" xr:uid="{00000000-0005-0000-0000-0000B9000000}"/>
    <cellStyle name="Bevitel 2 4" xfId="809" xr:uid="{00000000-0005-0000-0000-0000BA000000}"/>
    <cellStyle name="Bevitel 2 4 2" xfId="1196" xr:uid="{00000000-0005-0000-0000-0000BB000000}"/>
    <cellStyle name="Bevitel 2 4 3" xfId="1436" xr:uid="{00000000-0005-0000-0000-0000BC000000}"/>
    <cellStyle name="Bevitel 2 5" xfId="941" xr:uid="{00000000-0005-0000-0000-0000BD000000}"/>
    <cellStyle name="Bevitel 2 6" xfId="999" xr:uid="{00000000-0005-0000-0000-0000BE000000}"/>
    <cellStyle name="Bevitel 3" xfId="704" xr:uid="{00000000-0005-0000-0000-0000BF000000}"/>
    <cellStyle name="Bevitel 3 2" xfId="1091" xr:uid="{00000000-0005-0000-0000-0000C0000000}"/>
    <cellStyle name="Bevitel 3 3" xfId="1347" xr:uid="{00000000-0005-0000-0000-0000C1000000}"/>
    <cellStyle name="Bevitel 4" xfId="765" xr:uid="{00000000-0005-0000-0000-0000C2000000}"/>
    <cellStyle name="Bevitel 4 2" xfId="1152" xr:uid="{00000000-0005-0000-0000-0000C3000000}"/>
    <cellStyle name="Bevitel 4 3" xfId="1400" xr:uid="{00000000-0005-0000-0000-0000C4000000}"/>
    <cellStyle name="Bevitel 5" xfId="802" xr:uid="{00000000-0005-0000-0000-0000C5000000}"/>
    <cellStyle name="Bevitel 5 2" xfId="1189" xr:uid="{00000000-0005-0000-0000-0000C6000000}"/>
    <cellStyle name="Bevitel 5 3" xfId="1429" xr:uid="{00000000-0005-0000-0000-0000C7000000}"/>
    <cellStyle name="Bevitel 6" xfId="940" xr:uid="{00000000-0005-0000-0000-0000C8000000}"/>
    <cellStyle name="Bevitel 7" xfId="1000" xr:uid="{00000000-0005-0000-0000-0000C9000000}"/>
    <cellStyle name="Buena" xfId="185" xr:uid="{00000000-0005-0000-0000-0000CA000000}"/>
    <cellStyle name="Calculation 2" xfId="186" xr:uid="{00000000-0005-0000-0000-0000CB000000}"/>
    <cellStyle name="Calculation 2 2" xfId="187" xr:uid="{00000000-0005-0000-0000-0000CC000000}"/>
    <cellStyle name="Calculation 2 2 2" xfId="188" xr:uid="{00000000-0005-0000-0000-0000CD000000}"/>
    <cellStyle name="Calculation 2 2 2 2" xfId="708" xr:uid="{00000000-0005-0000-0000-0000CE000000}"/>
    <cellStyle name="Calculation 2 2 2 2 2" xfId="1095" xr:uid="{00000000-0005-0000-0000-0000CF000000}"/>
    <cellStyle name="Calculation 2 2 2 2 3" xfId="1351" xr:uid="{00000000-0005-0000-0000-0000D0000000}"/>
    <cellStyle name="Calculation 2 2 2 3" xfId="761" xr:uid="{00000000-0005-0000-0000-0000D1000000}"/>
    <cellStyle name="Calculation 2 2 2 3 2" xfId="1148" xr:uid="{00000000-0005-0000-0000-0000D2000000}"/>
    <cellStyle name="Calculation 2 2 2 3 3" xfId="1396" xr:uid="{00000000-0005-0000-0000-0000D3000000}"/>
    <cellStyle name="Calculation 2 2 2 4" xfId="812" xr:uid="{00000000-0005-0000-0000-0000D4000000}"/>
    <cellStyle name="Calculation 2 2 2 4 2" xfId="1199" xr:uid="{00000000-0005-0000-0000-0000D5000000}"/>
    <cellStyle name="Calculation 2 2 2 4 3" xfId="1439" xr:uid="{00000000-0005-0000-0000-0000D6000000}"/>
    <cellStyle name="Calculation 2 2 2 5" xfId="944" xr:uid="{00000000-0005-0000-0000-0000D7000000}"/>
    <cellStyle name="Calculation 2 2 2 6" xfId="996" xr:uid="{00000000-0005-0000-0000-0000D8000000}"/>
    <cellStyle name="Calculation 2 2 3" xfId="707" xr:uid="{00000000-0005-0000-0000-0000D9000000}"/>
    <cellStyle name="Calculation 2 2 3 2" xfId="1094" xr:uid="{00000000-0005-0000-0000-0000DA000000}"/>
    <cellStyle name="Calculation 2 2 3 3" xfId="1350" xr:uid="{00000000-0005-0000-0000-0000DB000000}"/>
    <cellStyle name="Calculation 2 2 4" xfId="762" xr:uid="{00000000-0005-0000-0000-0000DC000000}"/>
    <cellStyle name="Calculation 2 2 4 2" xfId="1149" xr:uid="{00000000-0005-0000-0000-0000DD000000}"/>
    <cellStyle name="Calculation 2 2 4 3" xfId="1397" xr:uid="{00000000-0005-0000-0000-0000DE000000}"/>
    <cellStyle name="Calculation 2 2 5" xfId="811" xr:uid="{00000000-0005-0000-0000-0000DF000000}"/>
    <cellStyle name="Calculation 2 2 5 2" xfId="1198" xr:uid="{00000000-0005-0000-0000-0000E0000000}"/>
    <cellStyle name="Calculation 2 2 5 3" xfId="1438" xr:uid="{00000000-0005-0000-0000-0000E1000000}"/>
    <cellStyle name="Calculation 2 2 6" xfId="943" xr:uid="{00000000-0005-0000-0000-0000E2000000}"/>
    <cellStyle name="Calculation 2 2 7" xfId="997" xr:uid="{00000000-0005-0000-0000-0000E3000000}"/>
    <cellStyle name="Calculation 2 3" xfId="189" xr:uid="{00000000-0005-0000-0000-0000E4000000}"/>
    <cellStyle name="Calculation 2 3 2" xfId="709" xr:uid="{00000000-0005-0000-0000-0000E5000000}"/>
    <cellStyle name="Calculation 2 3 2 2" xfId="1096" xr:uid="{00000000-0005-0000-0000-0000E6000000}"/>
    <cellStyle name="Calculation 2 3 2 3" xfId="1352" xr:uid="{00000000-0005-0000-0000-0000E7000000}"/>
    <cellStyle name="Calculation 2 3 3" xfId="760" xr:uid="{00000000-0005-0000-0000-0000E8000000}"/>
    <cellStyle name="Calculation 2 3 3 2" xfId="1147" xr:uid="{00000000-0005-0000-0000-0000E9000000}"/>
    <cellStyle name="Calculation 2 3 3 3" xfId="1395" xr:uid="{00000000-0005-0000-0000-0000EA000000}"/>
    <cellStyle name="Calculation 2 3 4" xfId="813" xr:uid="{00000000-0005-0000-0000-0000EB000000}"/>
    <cellStyle name="Calculation 2 3 4 2" xfId="1200" xr:uid="{00000000-0005-0000-0000-0000EC000000}"/>
    <cellStyle name="Calculation 2 3 4 3" xfId="1440" xr:uid="{00000000-0005-0000-0000-0000ED000000}"/>
    <cellStyle name="Calculation 2 3 5" xfId="945" xr:uid="{00000000-0005-0000-0000-0000EE000000}"/>
    <cellStyle name="Calculation 2 3 6" xfId="995" xr:uid="{00000000-0005-0000-0000-0000EF000000}"/>
    <cellStyle name="Calculation 2 4" xfId="706" xr:uid="{00000000-0005-0000-0000-0000F0000000}"/>
    <cellStyle name="Calculation 2 4 2" xfId="1093" xr:uid="{00000000-0005-0000-0000-0000F1000000}"/>
    <cellStyle name="Calculation 2 4 3" xfId="1349" xr:uid="{00000000-0005-0000-0000-0000F2000000}"/>
    <cellStyle name="Calculation 2 5" xfId="763" xr:uid="{00000000-0005-0000-0000-0000F3000000}"/>
    <cellStyle name="Calculation 2 5 2" xfId="1150" xr:uid="{00000000-0005-0000-0000-0000F4000000}"/>
    <cellStyle name="Calculation 2 5 3" xfId="1398" xr:uid="{00000000-0005-0000-0000-0000F5000000}"/>
    <cellStyle name="Calculation 2 6" xfId="810" xr:uid="{00000000-0005-0000-0000-0000F6000000}"/>
    <cellStyle name="Calculation 2 6 2" xfId="1197" xr:uid="{00000000-0005-0000-0000-0000F7000000}"/>
    <cellStyle name="Calculation 2 6 3" xfId="1437" xr:uid="{00000000-0005-0000-0000-0000F8000000}"/>
    <cellStyle name="Calculation 2 7" xfId="942" xr:uid="{00000000-0005-0000-0000-0000F9000000}"/>
    <cellStyle name="Calculation 2 8" xfId="998" xr:uid="{00000000-0005-0000-0000-0000FA000000}"/>
    <cellStyle name="Calculation 3" xfId="190" xr:uid="{00000000-0005-0000-0000-0000FB000000}"/>
    <cellStyle name="Calculation 3 2" xfId="191" xr:uid="{00000000-0005-0000-0000-0000FC000000}"/>
    <cellStyle name="Calculation 3 2 2" xfId="711" xr:uid="{00000000-0005-0000-0000-0000FD000000}"/>
    <cellStyle name="Calculation 3 2 2 2" xfId="1098" xr:uid="{00000000-0005-0000-0000-0000FE000000}"/>
    <cellStyle name="Calculation 3 2 2 3" xfId="1354" xr:uid="{00000000-0005-0000-0000-0000FF000000}"/>
    <cellStyle name="Calculation 3 2 3" xfId="758" xr:uid="{00000000-0005-0000-0000-000000010000}"/>
    <cellStyle name="Calculation 3 2 3 2" xfId="1145" xr:uid="{00000000-0005-0000-0000-000001010000}"/>
    <cellStyle name="Calculation 3 2 3 3" xfId="1393" xr:uid="{00000000-0005-0000-0000-000002010000}"/>
    <cellStyle name="Calculation 3 2 4" xfId="815" xr:uid="{00000000-0005-0000-0000-000003010000}"/>
    <cellStyle name="Calculation 3 2 4 2" xfId="1202" xr:uid="{00000000-0005-0000-0000-000004010000}"/>
    <cellStyle name="Calculation 3 2 4 3" xfId="1442" xr:uid="{00000000-0005-0000-0000-000005010000}"/>
    <cellStyle name="Calculation 3 2 5" xfId="947" xr:uid="{00000000-0005-0000-0000-000006010000}"/>
    <cellStyle name="Calculation 3 2 6" xfId="993" xr:uid="{00000000-0005-0000-0000-000007010000}"/>
    <cellStyle name="Calculation 3 3" xfId="710" xr:uid="{00000000-0005-0000-0000-000008010000}"/>
    <cellStyle name="Calculation 3 3 2" xfId="1097" xr:uid="{00000000-0005-0000-0000-000009010000}"/>
    <cellStyle name="Calculation 3 3 3" xfId="1353" xr:uid="{00000000-0005-0000-0000-00000A010000}"/>
    <cellStyle name="Calculation 3 4" xfId="759" xr:uid="{00000000-0005-0000-0000-00000B010000}"/>
    <cellStyle name="Calculation 3 4 2" xfId="1146" xr:uid="{00000000-0005-0000-0000-00000C010000}"/>
    <cellStyle name="Calculation 3 4 3" xfId="1394" xr:uid="{00000000-0005-0000-0000-00000D010000}"/>
    <cellStyle name="Calculation 3 5" xfId="814" xr:uid="{00000000-0005-0000-0000-00000E010000}"/>
    <cellStyle name="Calculation 3 5 2" xfId="1201" xr:uid="{00000000-0005-0000-0000-00000F010000}"/>
    <cellStyle name="Calculation 3 5 3" xfId="1441" xr:uid="{00000000-0005-0000-0000-000010010000}"/>
    <cellStyle name="Calculation 3 6" xfId="946" xr:uid="{00000000-0005-0000-0000-000011010000}"/>
    <cellStyle name="Calculation 3 7" xfId="994" xr:uid="{00000000-0005-0000-0000-000012010000}"/>
    <cellStyle name="Calculation 4" xfId="192" xr:uid="{00000000-0005-0000-0000-000013010000}"/>
    <cellStyle name="Calculation 4 2" xfId="193" xr:uid="{00000000-0005-0000-0000-000014010000}"/>
    <cellStyle name="Calculation 4 2 2" xfId="713" xr:uid="{00000000-0005-0000-0000-000015010000}"/>
    <cellStyle name="Calculation 4 2 2 2" xfId="1100" xr:uid="{00000000-0005-0000-0000-000016010000}"/>
    <cellStyle name="Calculation 4 2 2 3" xfId="1356" xr:uid="{00000000-0005-0000-0000-000017010000}"/>
    <cellStyle name="Calculation 4 2 3" xfId="756" xr:uid="{00000000-0005-0000-0000-000018010000}"/>
    <cellStyle name="Calculation 4 2 3 2" xfId="1143" xr:uid="{00000000-0005-0000-0000-000019010000}"/>
    <cellStyle name="Calculation 4 2 3 3" xfId="1391" xr:uid="{00000000-0005-0000-0000-00001A010000}"/>
    <cellStyle name="Calculation 4 2 4" xfId="817" xr:uid="{00000000-0005-0000-0000-00001B010000}"/>
    <cellStyle name="Calculation 4 2 4 2" xfId="1204" xr:uid="{00000000-0005-0000-0000-00001C010000}"/>
    <cellStyle name="Calculation 4 2 4 3" xfId="1444" xr:uid="{00000000-0005-0000-0000-00001D010000}"/>
    <cellStyle name="Calculation 4 2 5" xfId="949" xr:uid="{00000000-0005-0000-0000-00001E010000}"/>
    <cellStyle name="Calculation 4 2 6" xfId="987" xr:uid="{00000000-0005-0000-0000-00001F010000}"/>
    <cellStyle name="Calculation 4 3" xfId="712" xr:uid="{00000000-0005-0000-0000-000020010000}"/>
    <cellStyle name="Calculation 4 3 2" xfId="1099" xr:uid="{00000000-0005-0000-0000-000021010000}"/>
    <cellStyle name="Calculation 4 3 3" xfId="1355" xr:uid="{00000000-0005-0000-0000-000022010000}"/>
    <cellStyle name="Calculation 4 4" xfId="757" xr:uid="{00000000-0005-0000-0000-000023010000}"/>
    <cellStyle name="Calculation 4 4 2" xfId="1144" xr:uid="{00000000-0005-0000-0000-000024010000}"/>
    <cellStyle name="Calculation 4 4 3" xfId="1392" xr:uid="{00000000-0005-0000-0000-000025010000}"/>
    <cellStyle name="Calculation 4 5" xfId="816" xr:uid="{00000000-0005-0000-0000-000026010000}"/>
    <cellStyle name="Calculation 4 5 2" xfId="1203" xr:uid="{00000000-0005-0000-0000-000027010000}"/>
    <cellStyle name="Calculation 4 5 3" xfId="1443" xr:uid="{00000000-0005-0000-0000-000028010000}"/>
    <cellStyle name="Calculation 4 6" xfId="948" xr:uid="{00000000-0005-0000-0000-000029010000}"/>
    <cellStyle name="Calculation 4 7" xfId="988" xr:uid="{00000000-0005-0000-0000-00002A010000}"/>
    <cellStyle name="Cálculo" xfId="194" xr:uid="{00000000-0005-0000-0000-00002B010000}"/>
    <cellStyle name="Cálculo 2" xfId="195" xr:uid="{00000000-0005-0000-0000-00002C010000}"/>
    <cellStyle name="Cálculo 2 2" xfId="715" xr:uid="{00000000-0005-0000-0000-00002D010000}"/>
    <cellStyle name="Cálculo 2 2 2" xfId="1102" xr:uid="{00000000-0005-0000-0000-00002E010000}"/>
    <cellStyle name="Cálculo 2 2 3" xfId="1358" xr:uid="{00000000-0005-0000-0000-00002F010000}"/>
    <cellStyle name="Cálculo 2 3" xfId="754" xr:uid="{00000000-0005-0000-0000-000030010000}"/>
    <cellStyle name="Cálculo 2 3 2" xfId="1141" xr:uid="{00000000-0005-0000-0000-000031010000}"/>
    <cellStyle name="Cálculo 2 3 3" xfId="1389" xr:uid="{00000000-0005-0000-0000-000032010000}"/>
    <cellStyle name="Cálculo 2 4" xfId="819" xr:uid="{00000000-0005-0000-0000-000033010000}"/>
    <cellStyle name="Cálculo 2 4 2" xfId="1206" xr:uid="{00000000-0005-0000-0000-000034010000}"/>
    <cellStyle name="Cálculo 2 4 3" xfId="1446" xr:uid="{00000000-0005-0000-0000-000035010000}"/>
    <cellStyle name="Cálculo 2 5" xfId="951" xr:uid="{00000000-0005-0000-0000-000036010000}"/>
    <cellStyle name="Cálculo 2 6" xfId="985" xr:uid="{00000000-0005-0000-0000-000037010000}"/>
    <cellStyle name="Cálculo 3" xfId="714" xr:uid="{00000000-0005-0000-0000-000038010000}"/>
    <cellStyle name="Cálculo 3 2" xfId="1101" xr:uid="{00000000-0005-0000-0000-000039010000}"/>
    <cellStyle name="Cálculo 3 3" xfId="1357" xr:uid="{00000000-0005-0000-0000-00003A010000}"/>
    <cellStyle name="Cálculo 4" xfId="755" xr:uid="{00000000-0005-0000-0000-00003B010000}"/>
    <cellStyle name="Cálculo 4 2" xfId="1142" xr:uid="{00000000-0005-0000-0000-00003C010000}"/>
    <cellStyle name="Cálculo 4 3" xfId="1390" xr:uid="{00000000-0005-0000-0000-00003D010000}"/>
    <cellStyle name="Cálculo 5" xfId="818" xr:uid="{00000000-0005-0000-0000-00003E010000}"/>
    <cellStyle name="Cálculo 5 2" xfId="1205" xr:uid="{00000000-0005-0000-0000-00003F010000}"/>
    <cellStyle name="Cálculo 5 3" xfId="1445" xr:uid="{00000000-0005-0000-0000-000040010000}"/>
    <cellStyle name="Cálculo 6" xfId="950" xr:uid="{00000000-0005-0000-0000-000041010000}"/>
    <cellStyle name="Cálculo 7" xfId="986" xr:uid="{00000000-0005-0000-0000-000042010000}"/>
    <cellStyle name="Celda de comprobación" xfId="196" xr:uid="{00000000-0005-0000-0000-000043010000}"/>
    <cellStyle name="Celda vinculada" xfId="197" xr:uid="{00000000-0005-0000-0000-000044010000}"/>
    <cellStyle name="Celda vinculada 2" xfId="198" xr:uid="{00000000-0005-0000-0000-000045010000}"/>
    <cellStyle name="Celda vinculada 3" xfId="199" xr:uid="{00000000-0005-0000-0000-000046010000}"/>
    <cellStyle name="Check Cell 2" xfId="200" xr:uid="{00000000-0005-0000-0000-000047010000}"/>
    <cellStyle name="Check Cell 2 2" xfId="201" xr:uid="{00000000-0005-0000-0000-000048010000}"/>
    <cellStyle name="Check Cell 3" xfId="202" xr:uid="{00000000-0005-0000-0000-000049010000}"/>
    <cellStyle name="Check Cell 4" xfId="203" xr:uid="{00000000-0005-0000-0000-00004A010000}"/>
    <cellStyle name="CHF" xfId="204" xr:uid="{00000000-0005-0000-0000-00004B010000}"/>
    <cellStyle name="Cím" xfId="205" xr:uid="{00000000-0005-0000-0000-00004C010000}"/>
    <cellStyle name="Címsor 1" xfId="206" xr:uid="{00000000-0005-0000-0000-00004D010000}"/>
    <cellStyle name="Címsor 2" xfId="207" xr:uid="{00000000-0005-0000-0000-00004E010000}"/>
    <cellStyle name="Címsor 3" xfId="208" xr:uid="{00000000-0005-0000-0000-00004F010000}"/>
    <cellStyle name="Címsor 4" xfId="209" xr:uid="{00000000-0005-0000-0000-000050010000}"/>
    <cellStyle name="Comma  - Style1" xfId="210" xr:uid="{00000000-0005-0000-0000-000051010000}"/>
    <cellStyle name="Comma  - Style2" xfId="211" xr:uid="{00000000-0005-0000-0000-000052010000}"/>
    <cellStyle name="Comma  - Style3" xfId="212" xr:uid="{00000000-0005-0000-0000-000053010000}"/>
    <cellStyle name="Comma  - Style4" xfId="213" xr:uid="{00000000-0005-0000-0000-000054010000}"/>
    <cellStyle name="Comma  - Style5" xfId="214" xr:uid="{00000000-0005-0000-0000-000055010000}"/>
    <cellStyle name="Comma  - Style6" xfId="215" xr:uid="{00000000-0005-0000-0000-000056010000}"/>
    <cellStyle name="Comma  - Style7" xfId="216" xr:uid="{00000000-0005-0000-0000-000057010000}"/>
    <cellStyle name="Comma  - Style8" xfId="217" xr:uid="{00000000-0005-0000-0000-000058010000}"/>
    <cellStyle name="Comma 10" xfId="218" xr:uid="{00000000-0005-0000-0000-000059010000}"/>
    <cellStyle name="Comma 11" xfId="219" xr:uid="{00000000-0005-0000-0000-00005A010000}"/>
    <cellStyle name="Comma 12" xfId="220" xr:uid="{00000000-0005-0000-0000-00005B010000}"/>
    <cellStyle name="Comma 2" xfId="221" xr:uid="{00000000-0005-0000-0000-00005C010000}"/>
    <cellStyle name="Comma 2 2" xfId="222" xr:uid="{00000000-0005-0000-0000-00005D010000}"/>
    <cellStyle name="Comma 2 3" xfId="223" xr:uid="{00000000-0005-0000-0000-00005E010000}"/>
    <cellStyle name="Comma 2 4" xfId="224" xr:uid="{00000000-0005-0000-0000-00005F010000}"/>
    <cellStyle name="Comma 2 5" xfId="225" xr:uid="{00000000-0005-0000-0000-000060010000}"/>
    <cellStyle name="Comma 3" xfId="226" xr:uid="{00000000-0005-0000-0000-000061010000}"/>
    <cellStyle name="Comma 3 2" xfId="227" xr:uid="{00000000-0005-0000-0000-000062010000}"/>
    <cellStyle name="Comma 4" xfId="228" xr:uid="{00000000-0005-0000-0000-000063010000}"/>
    <cellStyle name="Comma 4 2" xfId="229" xr:uid="{00000000-0005-0000-0000-000064010000}"/>
    <cellStyle name="Comma 5" xfId="230" xr:uid="{00000000-0005-0000-0000-000065010000}"/>
    <cellStyle name="Comma 6" xfId="231" xr:uid="{00000000-0005-0000-0000-000066010000}"/>
    <cellStyle name="Comma 7" xfId="232" xr:uid="{00000000-0005-0000-0000-000067010000}"/>
    <cellStyle name="Comma 8" xfId="233" xr:uid="{00000000-0005-0000-0000-000068010000}"/>
    <cellStyle name="Comma 9" xfId="234" xr:uid="{00000000-0005-0000-0000-000069010000}"/>
    <cellStyle name="Comma0" xfId="235" xr:uid="{00000000-0005-0000-0000-00006A010000}"/>
    <cellStyle name="Comma0 2" xfId="236" xr:uid="{00000000-0005-0000-0000-00006B010000}"/>
    <cellStyle name="Currency 2" xfId="237" xr:uid="{00000000-0005-0000-0000-00006C010000}"/>
    <cellStyle name="Currency 3" xfId="238" xr:uid="{00000000-0005-0000-0000-00006D010000}"/>
    <cellStyle name="Currency0" xfId="239" xr:uid="{00000000-0005-0000-0000-00006E010000}"/>
    <cellStyle name="Currency0 2" xfId="240" xr:uid="{00000000-0005-0000-0000-00006F010000}"/>
    <cellStyle name="Date" xfId="241" xr:uid="{00000000-0005-0000-0000-000070010000}"/>
    <cellStyle name="day of week" xfId="242" xr:uid="{00000000-0005-0000-0000-000071010000}"/>
    <cellStyle name="DEM" xfId="243" xr:uid="{00000000-0005-0000-0000-000072010000}"/>
    <cellStyle name="Dezimal [0]_CoAsDCol" xfId="244" xr:uid="{00000000-0005-0000-0000-000073010000}"/>
    <cellStyle name="Dezimal_CoAsDCol" xfId="245" xr:uid="{00000000-0005-0000-0000-000074010000}"/>
    <cellStyle name="Ellenőrzőcella" xfId="246" xr:uid="{00000000-0005-0000-0000-000075010000}"/>
    <cellStyle name="Encabezado 4" xfId="247" xr:uid="{00000000-0005-0000-0000-000076010000}"/>
    <cellStyle name="Énfasis1" xfId="248" xr:uid="{00000000-0005-0000-0000-000077010000}"/>
    <cellStyle name="Énfasis2" xfId="249" xr:uid="{00000000-0005-0000-0000-000078010000}"/>
    <cellStyle name="Énfasis3" xfId="250" xr:uid="{00000000-0005-0000-0000-000079010000}"/>
    <cellStyle name="Énfasis4" xfId="251" xr:uid="{00000000-0005-0000-0000-00007A010000}"/>
    <cellStyle name="Énfasis5" xfId="252" xr:uid="{00000000-0005-0000-0000-00007B010000}"/>
    <cellStyle name="Énfasis6" xfId="253" xr:uid="{00000000-0005-0000-0000-00007C010000}"/>
    <cellStyle name="Entrada" xfId="254" xr:uid="{00000000-0005-0000-0000-00007D010000}"/>
    <cellStyle name="Entrada 2" xfId="255" xr:uid="{00000000-0005-0000-0000-00007E010000}"/>
    <cellStyle name="Entrada 2 2" xfId="717" xr:uid="{00000000-0005-0000-0000-00007F010000}"/>
    <cellStyle name="Entrada 2 2 2" xfId="1104" xr:uid="{00000000-0005-0000-0000-000080010000}"/>
    <cellStyle name="Entrada 2 2 3" xfId="1360" xr:uid="{00000000-0005-0000-0000-000081010000}"/>
    <cellStyle name="Entrada 2 3" xfId="746" xr:uid="{00000000-0005-0000-0000-000082010000}"/>
    <cellStyle name="Entrada 2 3 2" xfId="1133" xr:uid="{00000000-0005-0000-0000-000083010000}"/>
    <cellStyle name="Entrada 2 3 3" xfId="1387" xr:uid="{00000000-0005-0000-0000-000084010000}"/>
    <cellStyle name="Entrada 2 4" xfId="847" xr:uid="{00000000-0005-0000-0000-000085010000}"/>
    <cellStyle name="Entrada 2 4 2" xfId="1234" xr:uid="{00000000-0005-0000-0000-000086010000}"/>
    <cellStyle name="Entrada 2 4 3" xfId="1474" xr:uid="{00000000-0005-0000-0000-000087010000}"/>
    <cellStyle name="Entrada 2 5" xfId="958" xr:uid="{00000000-0005-0000-0000-000088010000}"/>
    <cellStyle name="Entrada 2 6" xfId="980" xr:uid="{00000000-0005-0000-0000-000089010000}"/>
    <cellStyle name="Entrada 3" xfId="716" xr:uid="{00000000-0005-0000-0000-00008A010000}"/>
    <cellStyle name="Entrada 3 2" xfId="1103" xr:uid="{00000000-0005-0000-0000-00008B010000}"/>
    <cellStyle name="Entrada 3 3" xfId="1359" xr:uid="{00000000-0005-0000-0000-00008C010000}"/>
    <cellStyle name="Entrada 4" xfId="747" xr:uid="{00000000-0005-0000-0000-00008D010000}"/>
    <cellStyle name="Entrada 4 2" xfId="1134" xr:uid="{00000000-0005-0000-0000-00008E010000}"/>
    <cellStyle name="Entrada 4 3" xfId="1388" xr:uid="{00000000-0005-0000-0000-00008F010000}"/>
    <cellStyle name="Entrada 5" xfId="846" xr:uid="{00000000-0005-0000-0000-000090010000}"/>
    <cellStyle name="Entrada 5 2" xfId="1233" xr:uid="{00000000-0005-0000-0000-000091010000}"/>
    <cellStyle name="Entrada 5 3" xfId="1473" xr:uid="{00000000-0005-0000-0000-000092010000}"/>
    <cellStyle name="Entrada 6" xfId="957" xr:uid="{00000000-0005-0000-0000-000093010000}"/>
    <cellStyle name="Entrada 7" xfId="981" xr:uid="{00000000-0005-0000-0000-000094010000}"/>
    <cellStyle name="Euro" xfId="256" xr:uid="{00000000-0005-0000-0000-000095010000}"/>
    <cellStyle name="Explanatory Text 2" xfId="257" xr:uid="{00000000-0005-0000-0000-000096010000}"/>
    <cellStyle name="Explanatory Text 2 2" xfId="258" xr:uid="{00000000-0005-0000-0000-000097010000}"/>
    <cellStyle name="Explanatory Text 3" xfId="259" xr:uid="{00000000-0005-0000-0000-000098010000}"/>
    <cellStyle name="Explanatory Text 4" xfId="260" xr:uid="{00000000-0005-0000-0000-000099010000}"/>
    <cellStyle name="F2" xfId="261" xr:uid="{00000000-0005-0000-0000-00009A010000}"/>
    <cellStyle name="F3" xfId="262" xr:uid="{00000000-0005-0000-0000-00009B010000}"/>
    <cellStyle name="F4" xfId="263" xr:uid="{00000000-0005-0000-0000-00009C010000}"/>
    <cellStyle name="F5" xfId="264" xr:uid="{00000000-0005-0000-0000-00009D010000}"/>
    <cellStyle name="F6" xfId="265" xr:uid="{00000000-0005-0000-0000-00009E010000}"/>
    <cellStyle name="F7" xfId="266" xr:uid="{00000000-0005-0000-0000-00009F010000}"/>
    <cellStyle name="F8" xfId="267" xr:uid="{00000000-0005-0000-0000-0000A0010000}"/>
    <cellStyle name="Figyelmeztetés" xfId="268" xr:uid="{00000000-0005-0000-0000-0000A1010000}"/>
    <cellStyle name="Fixed" xfId="269" xr:uid="{00000000-0005-0000-0000-0000A2010000}"/>
    <cellStyle name="fixed0 - Style4" xfId="270" xr:uid="{00000000-0005-0000-0000-0000A3010000}"/>
    <cellStyle name="Good 2" xfId="271" xr:uid="{00000000-0005-0000-0000-0000A4010000}"/>
    <cellStyle name="Good 2 2" xfId="272" xr:uid="{00000000-0005-0000-0000-0000A5010000}"/>
    <cellStyle name="Good 3" xfId="273" xr:uid="{00000000-0005-0000-0000-0000A6010000}"/>
    <cellStyle name="Good 4" xfId="274" xr:uid="{00000000-0005-0000-0000-0000A7010000}"/>
    <cellStyle name="Grey" xfId="275" xr:uid="{00000000-0005-0000-0000-0000A8010000}"/>
    <cellStyle name="greyed" xfId="276" xr:uid="{00000000-0005-0000-0000-0000A9010000}"/>
    <cellStyle name="gs]_x000d__x000a_Window=0,0,640,480, , ,3_x000d__x000a_dir1=5,7,637,250,-1,-1,1,30,201,1905,231,G:\UGRC\RB\B-DADOS\FOX-PRO\CRED-VEN\KP" xfId="277" xr:uid="{00000000-0005-0000-0000-0000AA010000}"/>
    <cellStyle name="gs]_x000d__x000a_Window=0,0,640,480, , ,3_x000d__x000a_dir1=5,7,637,250,-1,-1,1,30,201,1905,231,G:\UGRC\RB\B-DADOS\FOX-PRO\CRED-VEN\KP 2" xfId="278" xr:uid="{00000000-0005-0000-0000-0000AB010000}"/>
    <cellStyle name="Header style" xfId="279" xr:uid="{00000000-0005-0000-0000-0000AC010000}"/>
    <cellStyle name="Heading 1 2" xfId="280" xr:uid="{00000000-0005-0000-0000-0000AD010000}"/>
    <cellStyle name="Heading 1 2 2" xfId="281" xr:uid="{00000000-0005-0000-0000-0000AE010000}"/>
    <cellStyle name="Heading 1 3" xfId="282" xr:uid="{00000000-0005-0000-0000-0000AF010000}"/>
    <cellStyle name="Heading 1 4" xfId="283" xr:uid="{00000000-0005-0000-0000-0000B0010000}"/>
    <cellStyle name="Heading 1 4 2" xfId="284" xr:uid="{00000000-0005-0000-0000-0000B1010000}"/>
    <cellStyle name="Heading 2 2" xfId="285" xr:uid="{00000000-0005-0000-0000-0000B2010000}"/>
    <cellStyle name="Heading 2 2 2" xfId="286" xr:uid="{00000000-0005-0000-0000-0000B3010000}"/>
    <cellStyle name="Heading 2 3" xfId="287" xr:uid="{00000000-0005-0000-0000-0000B4010000}"/>
    <cellStyle name="Heading 2 4" xfId="288" xr:uid="{00000000-0005-0000-0000-0000B5010000}"/>
    <cellStyle name="Heading 2 4 2" xfId="289" xr:uid="{00000000-0005-0000-0000-0000B6010000}"/>
    <cellStyle name="Heading 3 2" xfId="290" xr:uid="{00000000-0005-0000-0000-0000B7010000}"/>
    <cellStyle name="Heading 3 2 2" xfId="291" xr:uid="{00000000-0005-0000-0000-0000B8010000}"/>
    <cellStyle name="Heading 3 3" xfId="292" xr:uid="{00000000-0005-0000-0000-0000B9010000}"/>
    <cellStyle name="Heading 3 4" xfId="293" xr:uid="{00000000-0005-0000-0000-0000BA010000}"/>
    <cellStyle name="Heading 4 2" xfId="294" xr:uid="{00000000-0005-0000-0000-0000BB010000}"/>
    <cellStyle name="Heading 4 2 2" xfId="295" xr:uid="{00000000-0005-0000-0000-0000BC010000}"/>
    <cellStyle name="Heading 4 3" xfId="296" xr:uid="{00000000-0005-0000-0000-0000BD010000}"/>
    <cellStyle name="Heading 4 4" xfId="297" xr:uid="{00000000-0005-0000-0000-0000BE010000}"/>
    <cellStyle name="Heading1" xfId="298" xr:uid="{00000000-0005-0000-0000-0000BF010000}"/>
    <cellStyle name="Heading2" xfId="299" xr:uid="{00000000-0005-0000-0000-0000C0010000}"/>
    <cellStyle name="HeadingTable" xfId="300" xr:uid="{00000000-0005-0000-0000-0000C1010000}"/>
    <cellStyle name="HeadingTable 2" xfId="732" xr:uid="{00000000-0005-0000-0000-0000C2010000}"/>
    <cellStyle name="HeadingTable 2 2" xfId="1119" xr:uid="{00000000-0005-0000-0000-0000C3010000}"/>
    <cellStyle name="HeadingTable 3" xfId="731" xr:uid="{00000000-0005-0000-0000-0000C4010000}"/>
    <cellStyle name="HeadingTable 3 2" xfId="1118" xr:uid="{00000000-0005-0000-0000-0000C5010000}"/>
    <cellStyle name="HeadingTable 3 3" xfId="1374" xr:uid="{00000000-0005-0000-0000-0000C6010000}"/>
    <cellStyle name="HeadingTable 4" xfId="848" xr:uid="{00000000-0005-0000-0000-0000C7010000}"/>
    <cellStyle name="HeadingTable 4 2" xfId="1235" xr:uid="{00000000-0005-0000-0000-0000C8010000}"/>
    <cellStyle name="HeadingTable 4 3" xfId="1475" xr:uid="{00000000-0005-0000-0000-0000C9010000}"/>
    <cellStyle name="HeadingTable 5" xfId="851" xr:uid="{00000000-0005-0000-0000-0000CA010000}"/>
    <cellStyle name="HeadingTable 5 2" xfId="1238" xr:uid="{00000000-0005-0000-0000-0000CB010000}"/>
    <cellStyle name="HeadingTable 5 3" xfId="1478" xr:uid="{00000000-0005-0000-0000-0000CC010000}"/>
    <cellStyle name="HeadingTable 6" xfId="966" xr:uid="{00000000-0005-0000-0000-0000CD010000}"/>
    <cellStyle name="highlightExposure" xfId="301" xr:uid="{00000000-0005-0000-0000-0000CE010000}"/>
    <cellStyle name="highlightText" xfId="302" xr:uid="{00000000-0005-0000-0000-0000CF010000}"/>
    <cellStyle name="highlightText 2" xfId="733" xr:uid="{00000000-0005-0000-0000-0000D0010000}"/>
    <cellStyle name="highlightText 2 2" xfId="1120" xr:uid="{00000000-0005-0000-0000-0000D1010000}"/>
    <cellStyle name="highlightText 3" xfId="730" xr:uid="{00000000-0005-0000-0000-0000D2010000}"/>
    <cellStyle name="highlightText 3 2" xfId="1117" xr:uid="{00000000-0005-0000-0000-0000D3010000}"/>
    <cellStyle name="highlightText 3 3" xfId="1373" xr:uid="{00000000-0005-0000-0000-0000D4010000}"/>
    <cellStyle name="highlightText 4" xfId="849" xr:uid="{00000000-0005-0000-0000-0000D5010000}"/>
    <cellStyle name="highlightText 4 2" xfId="1236" xr:uid="{00000000-0005-0000-0000-0000D6010000}"/>
    <cellStyle name="highlightText 4 3" xfId="1476" xr:uid="{00000000-0005-0000-0000-0000D7010000}"/>
    <cellStyle name="highlightText 5" xfId="850" xr:uid="{00000000-0005-0000-0000-0000D8010000}"/>
    <cellStyle name="highlightText 5 2" xfId="1237" xr:uid="{00000000-0005-0000-0000-0000D9010000}"/>
    <cellStyle name="highlightText 5 3" xfId="1477" xr:uid="{00000000-0005-0000-0000-0000DA010000}"/>
    <cellStyle name="highlightText 6" xfId="967" xr:uid="{00000000-0005-0000-0000-0000DB010000}"/>
    <cellStyle name="Hipervínculo 2" xfId="303" xr:uid="{00000000-0005-0000-0000-0000DC010000}"/>
    <cellStyle name="Hipervínculo_IIF" xfId="304" xr:uid="{00000000-0005-0000-0000-0000DD010000}"/>
    <cellStyle name="Hivatkozott cella" xfId="305" xr:uid="{00000000-0005-0000-0000-0000DE010000}"/>
    <cellStyle name="Hivatkozott cella 2" xfId="306" xr:uid="{00000000-0005-0000-0000-0000DF010000}"/>
    <cellStyle name="Hivatkozott cella 3" xfId="307" xr:uid="{00000000-0005-0000-0000-0000E0010000}"/>
    <cellStyle name="Hyperlink 2" xfId="308" xr:uid="{00000000-0005-0000-0000-0000E1010000}"/>
    <cellStyle name="Hyperlink 3" xfId="309" xr:uid="{00000000-0005-0000-0000-0000E2010000}"/>
    <cellStyle name="Hyperlink 3 2" xfId="310" xr:uid="{00000000-0005-0000-0000-0000E3010000}"/>
    <cellStyle name="Hyperlink 4" xfId="311" xr:uid="{00000000-0005-0000-0000-0000E4010000}"/>
    <cellStyle name="Îáû÷íûé_Table16" xfId="312" xr:uid="{00000000-0005-0000-0000-0000E5010000}"/>
    <cellStyle name="imf-one decimal" xfId="313" xr:uid="{00000000-0005-0000-0000-0000E6010000}"/>
    <cellStyle name="imf-zero decimal" xfId="314" xr:uid="{00000000-0005-0000-0000-0000E7010000}"/>
    <cellStyle name="Incorrecto" xfId="315" xr:uid="{00000000-0005-0000-0000-0000E8010000}"/>
    <cellStyle name="Input [yellow]" xfId="316" xr:uid="{00000000-0005-0000-0000-0000E9010000}"/>
    <cellStyle name="Input 2" xfId="317" xr:uid="{00000000-0005-0000-0000-0000EA010000}"/>
    <cellStyle name="Input 2 2" xfId="318" xr:uid="{00000000-0005-0000-0000-0000EB010000}"/>
    <cellStyle name="Input 2 2 2" xfId="319" xr:uid="{00000000-0005-0000-0000-0000EC010000}"/>
    <cellStyle name="Input 2 2 2 2" xfId="736" xr:uid="{00000000-0005-0000-0000-0000ED010000}"/>
    <cellStyle name="Input 2 2 2 2 2" xfId="1123" xr:uid="{00000000-0005-0000-0000-0000EE010000}"/>
    <cellStyle name="Input 2 2 2 2 3" xfId="1377" xr:uid="{00000000-0005-0000-0000-0000EF010000}"/>
    <cellStyle name="Input 2 2 2 3" xfId="727" xr:uid="{00000000-0005-0000-0000-0000F0010000}"/>
    <cellStyle name="Input 2 2 2 3 2" xfId="1114" xr:uid="{00000000-0005-0000-0000-0000F1010000}"/>
    <cellStyle name="Input 2 2 2 3 3" xfId="1370" xr:uid="{00000000-0005-0000-0000-0000F2010000}"/>
    <cellStyle name="Input 2 2 2 4" xfId="854" xr:uid="{00000000-0005-0000-0000-0000F3010000}"/>
    <cellStyle name="Input 2 2 2 4 2" xfId="1241" xr:uid="{00000000-0005-0000-0000-0000F4010000}"/>
    <cellStyle name="Input 2 2 2 4 3" xfId="1481" xr:uid="{00000000-0005-0000-0000-0000F5010000}"/>
    <cellStyle name="Input 2 2 2 5" xfId="970" xr:uid="{00000000-0005-0000-0000-0000F6010000}"/>
    <cellStyle name="Input 2 2 2 6" xfId="963" xr:uid="{00000000-0005-0000-0000-0000F7010000}"/>
    <cellStyle name="Input 2 2 3" xfId="735" xr:uid="{00000000-0005-0000-0000-0000F8010000}"/>
    <cellStyle name="Input 2 2 3 2" xfId="1122" xr:uid="{00000000-0005-0000-0000-0000F9010000}"/>
    <cellStyle name="Input 2 2 3 3" xfId="1376" xr:uid="{00000000-0005-0000-0000-0000FA010000}"/>
    <cellStyle name="Input 2 2 4" xfId="728" xr:uid="{00000000-0005-0000-0000-0000FB010000}"/>
    <cellStyle name="Input 2 2 4 2" xfId="1115" xr:uid="{00000000-0005-0000-0000-0000FC010000}"/>
    <cellStyle name="Input 2 2 4 3" xfId="1371" xr:uid="{00000000-0005-0000-0000-0000FD010000}"/>
    <cellStyle name="Input 2 2 5" xfId="853" xr:uid="{00000000-0005-0000-0000-0000FE010000}"/>
    <cellStyle name="Input 2 2 5 2" xfId="1240" xr:uid="{00000000-0005-0000-0000-0000FF010000}"/>
    <cellStyle name="Input 2 2 5 3" xfId="1480" xr:uid="{00000000-0005-0000-0000-000000020000}"/>
    <cellStyle name="Input 2 2 6" xfId="969" xr:uid="{00000000-0005-0000-0000-000001020000}"/>
    <cellStyle name="Input 2 2 7" xfId="964" xr:uid="{00000000-0005-0000-0000-000002020000}"/>
    <cellStyle name="Input 2 3" xfId="320" xr:uid="{00000000-0005-0000-0000-000003020000}"/>
    <cellStyle name="Input 2 3 2" xfId="737" xr:uid="{00000000-0005-0000-0000-000004020000}"/>
    <cellStyle name="Input 2 3 2 2" xfId="1124" xr:uid="{00000000-0005-0000-0000-000005020000}"/>
    <cellStyle name="Input 2 3 2 3" xfId="1378" xr:uid="{00000000-0005-0000-0000-000006020000}"/>
    <cellStyle name="Input 2 3 3" xfId="726" xr:uid="{00000000-0005-0000-0000-000007020000}"/>
    <cellStyle name="Input 2 3 3 2" xfId="1113" xr:uid="{00000000-0005-0000-0000-000008020000}"/>
    <cellStyle name="Input 2 3 3 3" xfId="1369" xr:uid="{00000000-0005-0000-0000-000009020000}"/>
    <cellStyle name="Input 2 3 4" xfId="855" xr:uid="{00000000-0005-0000-0000-00000A020000}"/>
    <cellStyle name="Input 2 3 4 2" xfId="1242" xr:uid="{00000000-0005-0000-0000-00000B020000}"/>
    <cellStyle name="Input 2 3 4 3" xfId="1482" xr:uid="{00000000-0005-0000-0000-00000C020000}"/>
    <cellStyle name="Input 2 3 5" xfId="971" xr:uid="{00000000-0005-0000-0000-00000D020000}"/>
    <cellStyle name="Input 2 3 6" xfId="962" xr:uid="{00000000-0005-0000-0000-00000E020000}"/>
    <cellStyle name="Input 2 4" xfId="734" xr:uid="{00000000-0005-0000-0000-00000F020000}"/>
    <cellStyle name="Input 2 4 2" xfId="1121" xr:uid="{00000000-0005-0000-0000-000010020000}"/>
    <cellStyle name="Input 2 4 3" xfId="1375" xr:uid="{00000000-0005-0000-0000-000011020000}"/>
    <cellStyle name="Input 2 5" xfId="729" xr:uid="{00000000-0005-0000-0000-000012020000}"/>
    <cellStyle name="Input 2 5 2" xfId="1116" xr:uid="{00000000-0005-0000-0000-000013020000}"/>
    <cellStyle name="Input 2 5 3" xfId="1372" xr:uid="{00000000-0005-0000-0000-000014020000}"/>
    <cellStyle name="Input 2 6" xfId="852" xr:uid="{00000000-0005-0000-0000-000015020000}"/>
    <cellStyle name="Input 2 6 2" xfId="1239" xr:uid="{00000000-0005-0000-0000-000016020000}"/>
    <cellStyle name="Input 2 6 3" xfId="1479" xr:uid="{00000000-0005-0000-0000-000017020000}"/>
    <cellStyle name="Input 2 7" xfId="968" xr:uid="{00000000-0005-0000-0000-000018020000}"/>
    <cellStyle name="Input 2 8" xfId="965" xr:uid="{00000000-0005-0000-0000-000019020000}"/>
    <cellStyle name="Input 3" xfId="321" xr:uid="{00000000-0005-0000-0000-00001A020000}"/>
    <cellStyle name="Input 3 2" xfId="322" xr:uid="{00000000-0005-0000-0000-00001B020000}"/>
    <cellStyle name="Input 3 2 2" xfId="739" xr:uid="{00000000-0005-0000-0000-00001C020000}"/>
    <cellStyle name="Input 3 2 2 2" xfId="1126" xr:uid="{00000000-0005-0000-0000-00001D020000}"/>
    <cellStyle name="Input 3 2 2 3" xfId="1380" xr:uid="{00000000-0005-0000-0000-00001E020000}"/>
    <cellStyle name="Input 3 2 3" xfId="724" xr:uid="{00000000-0005-0000-0000-00001F020000}"/>
    <cellStyle name="Input 3 2 3 2" xfId="1111" xr:uid="{00000000-0005-0000-0000-000020020000}"/>
    <cellStyle name="Input 3 2 3 3" xfId="1367" xr:uid="{00000000-0005-0000-0000-000021020000}"/>
    <cellStyle name="Input 3 2 4" xfId="857" xr:uid="{00000000-0005-0000-0000-000022020000}"/>
    <cellStyle name="Input 3 2 4 2" xfId="1244" xr:uid="{00000000-0005-0000-0000-000023020000}"/>
    <cellStyle name="Input 3 2 4 3" xfId="1484" xr:uid="{00000000-0005-0000-0000-000024020000}"/>
    <cellStyle name="Input 3 2 5" xfId="973" xr:uid="{00000000-0005-0000-0000-000025020000}"/>
    <cellStyle name="Input 3 2 6" xfId="960" xr:uid="{00000000-0005-0000-0000-000026020000}"/>
    <cellStyle name="Input 3 3" xfId="738" xr:uid="{00000000-0005-0000-0000-000027020000}"/>
    <cellStyle name="Input 3 3 2" xfId="1125" xr:uid="{00000000-0005-0000-0000-000028020000}"/>
    <cellStyle name="Input 3 3 3" xfId="1379" xr:uid="{00000000-0005-0000-0000-000029020000}"/>
    <cellStyle name="Input 3 4" xfId="725" xr:uid="{00000000-0005-0000-0000-00002A020000}"/>
    <cellStyle name="Input 3 4 2" xfId="1112" xr:uid="{00000000-0005-0000-0000-00002B020000}"/>
    <cellStyle name="Input 3 4 3" xfId="1368" xr:uid="{00000000-0005-0000-0000-00002C020000}"/>
    <cellStyle name="Input 3 5" xfId="856" xr:uid="{00000000-0005-0000-0000-00002D020000}"/>
    <cellStyle name="Input 3 5 2" xfId="1243" xr:uid="{00000000-0005-0000-0000-00002E020000}"/>
    <cellStyle name="Input 3 5 3" xfId="1483" xr:uid="{00000000-0005-0000-0000-00002F020000}"/>
    <cellStyle name="Input 3 6" xfId="972" xr:uid="{00000000-0005-0000-0000-000030020000}"/>
    <cellStyle name="Input 3 7" xfId="961" xr:uid="{00000000-0005-0000-0000-000031020000}"/>
    <cellStyle name="Input 4" xfId="323" xr:uid="{00000000-0005-0000-0000-000032020000}"/>
    <cellStyle name="Input 4 2" xfId="324" xr:uid="{00000000-0005-0000-0000-000033020000}"/>
    <cellStyle name="Input 4 2 2" xfId="741" xr:uid="{00000000-0005-0000-0000-000034020000}"/>
    <cellStyle name="Input 4 2 2 2" xfId="1128" xr:uid="{00000000-0005-0000-0000-000035020000}"/>
    <cellStyle name="Input 4 2 2 3" xfId="1382" xr:uid="{00000000-0005-0000-0000-000036020000}"/>
    <cellStyle name="Input 4 2 3" xfId="722" xr:uid="{00000000-0005-0000-0000-000037020000}"/>
    <cellStyle name="Input 4 2 3 2" xfId="1109" xr:uid="{00000000-0005-0000-0000-000038020000}"/>
    <cellStyle name="Input 4 2 3 3" xfId="1365" xr:uid="{00000000-0005-0000-0000-000039020000}"/>
    <cellStyle name="Input 4 2 4" xfId="859" xr:uid="{00000000-0005-0000-0000-00003A020000}"/>
    <cellStyle name="Input 4 2 4 2" xfId="1246" xr:uid="{00000000-0005-0000-0000-00003B020000}"/>
    <cellStyle name="Input 4 2 4 3" xfId="1486" xr:uid="{00000000-0005-0000-0000-00003C020000}"/>
    <cellStyle name="Input 4 2 5" xfId="975" xr:uid="{00000000-0005-0000-0000-00003D020000}"/>
    <cellStyle name="Input 4 2 6" xfId="956" xr:uid="{00000000-0005-0000-0000-00003E020000}"/>
    <cellStyle name="Input 4 3" xfId="740" xr:uid="{00000000-0005-0000-0000-00003F020000}"/>
    <cellStyle name="Input 4 3 2" xfId="1127" xr:uid="{00000000-0005-0000-0000-000040020000}"/>
    <cellStyle name="Input 4 3 3" xfId="1381" xr:uid="{00000000-0005-0000-0000-000041020000}"/>
    <cellStyle name="Input 4 4" xfId="723" xr:uid="{00000000-0005-0000-0000-000042020000}"/>
    <cellStyle name="Input 4 4 2" xfId="1110" xr:uid="{00000000-0005-0000-0000-000043020000}"/>
    <cellStyle name="Input 4 4 3" xfId="1366" xr:uid="{00000000-0005-0000-0000-000044020000}"/>
    <cellStyle name="Input 4 5" xfId="858" xr:uid="{00000000-0005-0000-0000-000045020000}"/>
    <cellStyle name="Input 4 5 2" xfId="1245" xr:uid="{00000000-0005-0000-0000-000046020000}"/>
    <cellStyle name="Input 4 5 3" xfId="1485" xr:uid="{00000000-0005-0000-0000-000047020000}"/>
    <cellStyle name="Input 4 6" xfId="974" xr:uid="{00000000-0005-0000-0000-000048020000}"/>
    <cellStyle name="Input 4 7" xfId="959" xr:uid="{00000000-0005-0000-0000-000049020000}"/>
    <cellStyle name="inputExposure" xfId="325" xr:uid="{00000000-0005-0000-0000-00004A020000}"/>
    <cellStyle name="Jegyzet" xfId="326" xr:uid="{00000000-0005-0000-0000-00004B020000}"/>
    <cellStyle name="Jegyzet 2" xfId="327" xr:uid="{00000000-0005-0000-0000-00004C020000}"/>
    <cellStyle name="Jegyzet 2 2" xfId="743" xr:uid="{00000000-0005-0000-0000-00004D020000}"/>
    <cellStyle name="Jegyzet 2 2 2" xfId="1130" xr:uid="{00000000-0005-0000-0000-00004E020000}"/>
    <cellStyle name="Jegyzet 2 2 3" xfId="1384" xr:uid="{00000000-0005-0000-0000-00004F020000}"/>
    <cellStyle name="Jegyzet 2 3" xfId="720" xr:uid="{00000000-0005-0000-0000-000050020000}"/>
    <cellStyle name="Jegyzet 2 3 2" xfId="1107" xr:uid="{00000000-0005-0000-0000-000051020000}"/>
    <cellStyle name="Jegyzet 2 3 3" xfId="1363" xr:uid="{00000000-0005-0000-0000-000052020000}"/>
    <cellStyle name="Jegyzet 2 4" xfId="861" xr:uid="{00000000-0005-0000-0000-000053020000}"/>
    <cellStyle name="Jegyzet 2 4 2" xfId="1248" xr:uid="{00000000-0005-0000-0000-000054020000}"/>
    <cellStyle name="Jegyzet 2 4 3" xfId="1488" xr:uid="{00000000-0005-0000-0000-000055020000}"/>
    <cellStyle name="Jegyzet 2 5" xfId="977" xr:uid="{00000000-0005-0000-0000-000056020000}"/>
    <cellStyle name="Jegyzet 2 6" xfId="954" xr:uid="{00000000-0005-0000-0000-000057020000}"/>
    <cellStyle name="Jegyzet 3" xfId="742" xr:uid="{00000000-0005-0000-0000-000058020000}"/>
    <cellStyle name="Jegyzet 3 2" xfId="1129" xr:uid="{00000000-0005-0000-0000-000059020000}"/>
    <cellStyle name="Jegyzet 3 3" xfId="1383" xr:uid="{00000000-0005-0000-0000-00005A020000}"/>
    <cellStyle name="Jegyzet 4" xfId="721" xr:uid="{00000000-0005-0000-0000-00005B020000}"/>
    <cellStyle name="Jegyzet 4 2" xfId="1108" xr:uid="{00000000-0005-0000-0000-00005C020000}"/>
    <cellStyle name="Jegyzet 4 3" xfId="1364" xr:uid="{00000000-0005-0000-0000-00005D020000}"/>
    <cellStyle name="Jegyzet 5" xfId="860" xr:uid="{00000000-0005-0000-0000-00005E020000}"/>
    <cellStyle name="Jegyzet 5 2" xfId="1247" xr:uid="{00000000-0005-0000-0000-00005F020000}"/>
    <cellStyle name="Jegyzet 5 3" xfId="1487" xr:uid="{00000000-0005-0000-0000-000060020000}"/>
    <cellStyle name="Jegyzet 6" xfId="976" xr:uid="{00000000-0005-0000-0000-000061020000}"/>
    <cellStyle name="Jegyzet 7" xfId="955" xr:uid="{00000000-0005-0000-0000-000062020000}"/>
    <cellStyle name="Jelölőszín (1)" xfId="328" xr:uid="{00000000-0005-0000-0000-000063020000}"/>
    <cellStyle name="Jelölőszín (2)" xfId="329" xr:uid="{00000000-0005-0000-0000-000064020000}"/>
    <cellStyle name="Jelölőszín (3)" xfId="330" xr:uid="{00000000-0005-0000-0000-000065020000}"/>
    <cellStyle name="Jelölőszín (4)" xfId="331" xr:uid="{00000000-0005-0000-0000-000066020000}"/>
    <cellStyle name="Jelölőszín (5)" xfId="332" xr:uid="{00000000-0005-0000-0000-000067020000}"/>
    <cellStyle name="Jelölőszín (6)" xfId="333" xr:uid="{00000000-0005-0000-0000-000068020000}"/>
    <cellStyle name="Jó" xfId="334" xr:uid="{00000000-0005-0000-0000-000069020000}"/>
    <cellStyle name="JPY" xfId="335" xr:uid="{00000000-0005-0000-0000-00006A020000}"/>
    <cellStyle name="Kimenet" xfId="336" xr:uid="{00000000-0005-0000-0000-00006B020000}"/>
    <cellStyle name="Kimenet 2" xfId="337" xr:uid="{00000000-0005-0000-0000-00006C020000}"/>
    <cellStyle name="Kimenet 2 2" xfId="745" xr:uid="{00000000-0005-0000-0000-00006D020000}"/>
    <cellStyle name="Kimenet 2 2 2" xfId="1132" xr:uid="{00000000-0005-0000-0000-00006E020000}"/>
    <cellStyle name="Kimenet 2 2 3" xfId="1386" xr:uid="{00000000-0005-0000-0000-00006F020000}"/>
    <cellStyle name="Kimenet 2 3" xfId="718" xr:uid="{00000000-0005-0000-0000-000070020000}"/>
    <cellStyle name="Kimenet 2 3 2" xfId="1105" xr:uid="{00000000-0005-0000-0000-000071020000}"/>
    <cellStyle name="Kimenet 2 3 3" xfId="1361" xr:uid="{00000000-0005-0000-0000-000072020000}"/>
    <cellStyle name="Kimenet 2 4" xfId="863" xr:uid="{00000000-0005-0000-0000-000073020000}"/>
    <cellStyle name="Kimenet 2 4 2" xfId="1250" xr:uid="{00000000-0005-0000-0000-000074020000}"/>
    <cellStyle name="Kimenet 2 4 3" xfId="1490" xr:uid="{00000000-0005-0000-0000-000075020000}"/>
    <cellStyle name="Kimenet 2 5" xfId="979" xr:uid="{00000000-0005-0000-0000-000076020000}"/>
    <cellStyle name="Kimenet 2 6" xfId="952" xr:uid="{00000000-0005-0000-0000-000077020000}"/>
    <cellStyle name="Kimenet 3" xfId="744" xr:uid="{00000000-0005-0000-0000-000078020000}"/>
    <cellStyle name="Kimenet 3 2" xfId="1131" xr:uid="{00000000-0005-0000-0000-000079020000}"/>
    <cellStyle name="Kimenet 3 3" xfId="1385" xr:uid="{00000000-0005-0000-0000-00007A020000}"/>
    <cellStyle name="Kimenet 4" xfId="719" xr:uid="{00000000-0005-0000-0000-00007B020000}"/>
    <cellStyle name="Kimenet 4 2" xfId="1106" xr:uid="{00000000-0005-0000-0000-00007C020000}"/>
    <cellStyle name="Kimenet 4 3" xfId="1362" xr:uid="{00000000-0005-0000-0000-00007D020000}"/>
    <cellStyle name="Kimenet 5" xfId="862" xr:uid="{00000000-0005-0000-0000-00007E020000}"/>
    <cellStyle name="Kimenet 5 2" xfId="1249" xr:uid="{00000000-0005-0000-0000-00007F020000}"/>
    <cellStyle name="Kimenet 5 3" xfId="1489" xr:uid="{00000000-0005-0000-0000-000080020000}"/>
    <cellStyle name="Kimenet 6" xfId="978" xr:uid="{00000000-0005-0000-0000-000081020000}"/>
    <cellStyle name="Kimenet 7" xfId="953" xr:uid="{00000000-0005-0000-0000-000082020000}"/>
    <cellStyle name="Lien hypertexte 2" xfId="338" xr:uid="{00000000-0005-0000-0000-000083020000}"/>
    <cellStyle name="Lien hypertexte 3" xfId="339" xr:uid="{00000000-0005-0000-0000-000084020000}"/>
    <cellStyle name="Linked Cell 2" xfId="340" xr:uid="{00000000-0005-0000-0000-000085020000}"/>
    <cellStyle name="Linked Cell 2 2" xfId="341" xr:uid="{00000000-0005-0000-0000-000086020000}"/>
    <cellStyle name="Linked Cell 2 2 2" xfId="342" xr:uid="{00000000-0005-0000-0000-000087020000}"/>
    <cellStyle name="Linked Cell 2 2 3" xfId="343" xr:uid="{00000000-0005-0000-0000-000088020000}"/>
    <cellStyle name="Linked Cell 2 3" xfId="344" xr:uid="{00000000-0005-0000-0000-000089020000}"/>
    <cellStyle name="Linked Cell 2 4" xfId="345" xr:uid="{00000000-0005-0000-0000-00008A020000}"/>
    <cellStyle name="Linked Cell 3" xfId="346" xr:uid="{00000000-0005-0000-0000-00008B020000}"/>
    <cellStyle name="Linked Cell 3 2" xfId="347" xr:uid="{00000000-0005-0000-0000-00008C020000}"/>
    <cellStyle name="Linked Cell 3 3" xfId="348" xr:uid="{00000000-0005-0000-0000-00008D020000}"/>
    <cellStyle name="Linked Cell 4" xfId="349" xr:uid="{00000000-0005-0000-0000-00008E020000}"/>
    <cellStyle name="Linked Cell 4 2" xfId="350" xr:uid="{00000000-0005-0000-0000-00008F020000}"/>
    <cellStyle name="Linked Cell 4 3" xfId="351" xr:uid="{00000000-0005-0000-0000-000090020000}"/>
    <cellStyle name="Magyarázó szöveg" xfId="352" xr:uid="{00000000-0005-0000-0000-000091020000}"/>
    <cellStyle name="MandOTableHeadline" xfId="353" xr:uid="{00000000-0005-0000-0000-000092020000}"/>
    <cellStyle name="Millares [0]_BALPROGRAMA2001R" xfId="354" xr:uid="{00000000-0005-0000-0000-000093020000}"/>
    <cellStyle name="Millares 2" xfId="355" xr:uid="{00000000-0005-0000-0000-000094020000}"/>
    <cellStyle name="Millares 2 2" xfId="356" xr:uid="{00000000-0005-0000-0000-000095020000}"/>
    <cellStyle name="Millares 3" xfId="357" xr:uid="{00000000-0005-0000-0000-000096020000}"/>
    <cellStyle name="Millares 3 2" xfId="358" xr:uid="{00000000-0005-0000-0000-000097020000}"/>
    <cellStyle name="Millares_BALPROGRAMA2001R" xfId="359" xr:uid="{00000000-0005-0000-0000-000098020000}"/>
    <cellStyle name="Milliers [0]_3A_NumeratorReport_Option1_040611" xfId="360" xr:uid="{00000000-0005-0000-0000-000099020000}"/>
    <cellStyle name="Milliers_3A_NumeratorReport_Option1_040611" xfId="361" xr:uid="{00000000-0005-0000-0000-00009A020000}"/>
    <cellStyle name="Moeda [0]_1.1  ANEXO 1" xfId="362" xr:uid="{00000000-0005-0000-0000-00009B020000}"/>
    <cellStyle name="Moeda_1.1  ANEXO 1" xfId="363" xr:uid="{00000000-0005-0000-0000-00009C020000}"/>
    <cellStyle name="Moneda [0]_BALPROGRAMA2001R" xfId="364" xr:uid="{00000000-0005-0000-0000-00009D020000}"/>
    <cellStyle name="Moneda_BALPROGRAMA2001R" xfId="365" xr:uid="{00000000-0005-0000-0000-00009E020000}"/>
    <cellStyle name="Monétaire [0]_3A_NumeratorReport_Option1_040611" xfId="366" xr:uid="{00000000-0005-0000-0000-00009F020000}"/>
    <cellStyle name="Monétaire_3A_NumeratorReport_Option1_040611" xfId="367" xr:uid="{00000000-0005-0000-0000-0000A0020000}"/>
    <cellStyle name="MTW" xfId="368" xr:uid="{00000000-0005-0000-0000-0000A1020000}"/>
    <cellStyle name="Navadno_List1" xfId="369" xr:uid="{00000000-0005-0000-0000-0000A2020000}"/>
    <cellStyle name="Neutral 2" xfId="370" xr:uid="{00000000-0005-0000-0000-0000A3020000}"/>
    <cellStyle name="Neutral 2 2" xfId="371" xr:uid="{00000000-0005-0000-0000-0000A4020000}"/>
    <cellStyle name="Neutral 3" xfId="372" xr:uid="{00000000-0005-0000-0000-0000A5020000}"/>
    <cellStyle name="Normal" xfId="0" builtinId="0"/>
    <cellStyle name="Normal - Style1" xfId="373" xr:uid="{00000000-0005-0000-0000-0000A7020000}"/>
    <cellStyle name="Normal - Style1 2" xfId="374" xr:uid="{00000000-0005-0000-0000-0000A8020000}"/>
    <cellStyle name="Normal 10" xfId="375" xr:uid="{00000000-0005-0000-0000-0000A9020000}"/>
    <cellStyle name="Normal 11" xfId="376" xr:uid="{00000000-0005-0000-0000-0000AA020000}"/>
    <cellStyle name="Normal 11 2" xfId="377" xr:uid="{00000000-0005-0000-0000-0000AB020000}"/>
    <cellStyle name="Normal 11 3" xfId="378" xr:uid="{00000000-0005-0000-0000-0000AC020000}"/>
    <cellStyle name="Normal 11 3 2" xfId="748" xr:uid="{00000000-0005-0000-0000-0000AD020000}"/>
    <cellStyle name="Normal 11 3 2 2" xfId="1135" xr:uid="{00000000-0005-0000-0000-0000AE020000}"/>
    <cellStyle name="Normal 11 3 3" xfId="982" xr:uid="{00000000-0005-0000-0000-0000AF020000}"/>
    <cellStyle name="Normal 12" xfId="379" xr:uid="{00000000-0005-0000-0000-0000B0020000}"/>
    <cellStyle name="Normal 12 2" xfId="380" xr:uid="{00000000-0005-0000-0000-0000B1020000}"/>
    <cellStyle name="Normal 12 3" xfId="381" xr:uid="{00000000-0005-0000-0000-0000B2020000}"/>
    <cellStyle name="Normal 13" xfId="382" xr:uid="{00000000-0005-0000-0000-0000B3020000}"/>
    <cellStyle name="Normal 13 2" xfId="383" xr:uid="{00000000-0005-0000-0000-0000B4020000}"/>
    <cellStyle name="Normal 14" xfId="384" xr:uid="{00000000-0005-0000-0000-0000B5020000}"/>
    <cellStyle name="Normal 14 2" xfId="385" xr:uid="{00000000-0005-0000-0000-0000B6020000}"/>
    <cellStyle name="Normal 14 2 2" xfId="749" xr:uid="{00000000-0005-0000-0000-0000B7020000}"/>
    <cellStyle name="Normal 14 2 2 2" xfId="1136" xr:uid="{00000000-0005-0000-0000-0000B8020000}"/>
    <cellStyle name="Normal 14 2 3" xfId="983" xr:uid="{00000000-0005-0000-0000-0000B9020000}"/>
    <cellStyle name="Normal 15" xfId="386" xr:uid="{00000000-0005-0000-0000-0000BA020000}"/>
    <cellStyle name="Normal 15 2" xfId="750" xr:uid="{00000000-0005-0000-0000-0000BB020000}"/>
    <cellStyle name="Normal 15 2 2" xfId="1137" xr:uid="{00000000-0005-0000-0000-0000BC020000}"/>
    <cellStyle name="Normal 15 3" xfId="984" xr:uid="{00000000-0005-0000-0000-0000BD020000}"/>
    <cellStyle name="Normal 16" xfId="387" xr:uid="{00000000-0005-0000-0000-0000BE020000}"/>
    <cellStyle name="Normal 16 2" xfId="388" xr:uid="{00000000-0005-0000-0000-0000BF020000}"/>
    <cellStyle name="Normal 17" xfId="389" xr:uid="{00000000-0005-0000-0000-0000C0020000}"/>
    <cellStyle name="Normal 18" xfId="390" xr:uid="{00000000-0005-0000-0000-0000C1020000}"/>
    <cellStyle name="Normal 18 2" xfId="391" xr:uid="{00000000-0005-0000-0000-0000C2020000}"/>
    <cellStyle name="Normal 18 2 2" xfId="392" xr:uid="{00000000-0005-0000-0000-0000C3020000}"/>
    <cellStyle name="Normal 19" xfId="393" xr:uid="{00000000-0005-0000-0000-0000C4020000}"/>
    <cellStyle name="Normal 2" xfId="4" xr:uid="{00000000-0005-0000-0000-0000C5020000}"/>
    <cellStyle name="Normal 2 10" xfId="394" xr:uid="{00000000-0005-0000-0000-0000C6020000}"/>
    <cellStyle name="Normal 2 11" xfId="395" xr:uid="{00000000-0005-0000-0000-0000C7020000}"/>
    <cellStyle name="Normal 2 12" xfId="396" xr:uid="{00000000-0005-0000-0000-0000C8020000}"/>
    <cellStyle name="Normal 2 13" xfId="671" xr:uid="{00000000-0005-0000-0000-0000C9020000}"/>
    <cellStyle name="Normal 2 13 2" xfId="1058" xr:uid="{00000000-0005-0000-0000-0000CA020000}"/>
    <cellStyle name="Normal 2 14" xfId="911" xr:uid="{00000000-0005-0000-0000-0000CB020000}"/>
    <cellStyle name="Normal 2 2" xfId="397" xr:uid="{00000000-0005-0000-0000-0000CC020000}"/>
    <cellStyle name="Normal 2 2 2" xfId="2" xr:uid="{00000000-0005-0000-0000-0000CD020000}"/>
    <cellStyle name="Normal 2 2 3" xfId="398" xr:uid="{00000000-0005-0000-0000-0000CE020000}"/>
    <cellStyle name="Normal 2 2 3 2" xfId="399" xr:uid="{00000000-0005-0000-0000-0000CF020000}"/>
    <cellStyle name="Normal 2 2_COREP GL04rev3" xfId="400" xr:uid="{00000000-0005-0000-0000-0000D0020000}"/>
    <cellStyle name="Normal 2 3" xfId="401" xr:uid="{00000000-0005-0000-0000-0000D1020000}"/>
    <cellStyle name="Normal 2 4" xfId="402" xr:uid="{00000000-0005-0000-0000-0000D2020000}"/>
    <cellStyle name="Normal 2 4 2" xfId="403" xr:uid="{00000000-0005-0000-0000-0000D3020000}"/>
    <cellStyle name="Normal 2 4 2 2" xfId="751" xr:uid="{00000000-0005-0000-0000-0000D4020000}"/>
    <cellStyle name="Normal 2 4 2 2 2" xfId="1138" xr:uid="{00000000-0005-0000-0000-0000D5020000}"/>
    <cellStyle name="Normal 2 4 2 3" xfId="989" xr:uid="{00000000-0005-0000-0000-0000D6020000}"/>
    <cellStyle name="Normal 2 5" xfId="404" xr:uid="{00000000-0005-0000-0000-0000D7020000}"/>
    <cellStyle name="Normal 2 5 2" xfId="3" xr:uid="{00000000-0005-0000-0000-0000D8020000}"/>
    <cellStyle name="Normal 2 5 2 2" xfId="668" xr:uid="{00000000-0005-0000-0000-0000D9020000}"/>
    <cellStyle name="Normal 2 5 2 2 2" xfId="1055" xr:uid="{00000000-0005-0000-0000-0000DA020000}"/>
    <cellStyle name="Normal 2 5 2 3" xfId="910" xr:uid="{00000000-0005-0000-0000-0000DB020000}"/>
    <cellStyle name="Normal 2 5 3" xfId="405" xr:uid="{00000000-0005-0000-0000-0000DC020000}"/>
    <cellStyle name="Normal 2 5 3 2" xfId="752" xr:uid="{00000000-0005-0000-0000-0000DD020000}"/>
    <cellStyle name="Normal 2 5 3 2 2" xfId="1139" xr:uid="{00000000-0005-0000-0000-0000DE020000}"/>
    <cellStyle name="Normal 2 5 3 3" xfId="991" xr:uid="{00000000-0005-0000-0000-0000DF020000}"/>
    <cellStyle name="Normal 2 5 4" xfId="406" xr:uid="{00000000-0005-0000-0000-0000E0020000}"/>
    <cellStyle name="Normal 2 5 4 2" xfId="753" xr:uid="{00000000-0005-0000-0000-0000E1020000}"/>
    <cellStyle name="Normal 2 5 4 2 2" xfId="1140" xr:uid="{00000000-0005-0000-0000-0000E2020000}"/>
    <cellStyle name="Normal 2 5 4 3" xfId="992" xr:uid="{00000000-0005-0000-0000-0000E3020000}"/>
    <cellStyle name="Normal 2 5 5" xfId="990" xr:uid="{00000000-0005-0000-0000-0000E4020000}"/>
    <cellStyle name="Normal 2 6" xfId="407" xr:uid="{00000000-0005-0000-0000-0000E5020000}"/>
    <cellStyle name="Normal 2 7" xfId="408" xr:uid="{00000000-0005-0000-0000-0000E6020000}"/>
    <cellStyle name="Normal 2 8" xfId="409" xr:uid="{00000000-0005-0000-0000-0000E7020000}"/>
    <cellStyle name="Normal 2 9" xfId="410" xr:uid="{00000000-0005-0000-0000-0000E8020000}"/>
    <cellStyle name="Normal 2_~0149226" xfId="411" xr:uid="{00000000-0005-0000-0000-0000E9020000}"/>
    <cellStyle name="Normal 20" xfId="412" xr:uid="{00000000-0005-0000-0000-0000EA020000}"/>
    <cellStyle name="Normal 21" xfId="413" xr:uid="{00000000-0005-0000-0000-0000EB020000}"/>
    <cellStyle name="Normal 22" xfId="414" xr:uid="{00000000-0005-0000-0000-0000EC020000}"/>
    <cellStyle name="Normal 23" xfId="415" xr:uid="{00000000-0005-0000-0000-0000ED020000}"/>
    <cellStyle name="Normal 24" xfId="416" xr:uid="{00000000-0005-0000-0000-0000EE020000}"/>
    <cellStyle name="Normal 25" xfId="417" xr:uid="{00000000-0005-0000-0000-0000EF020000}"/>
    <cellStyle name="Normal 26" xfId="418" xr:uid="{00000000-0005-0000-0000-0000F0020000}"/>
    <cellStyle name="Normal 27" xfId="419" xr:uid="{00000000-0005-0000-0000-0000F1020000}"/>
    <cellStyle name="Normal 28" xfId="420" xr:uid="{00000000-0005-0000-0000-0000F2020000}"/>
    <cellStyle name="Normal 29" xfId="421" xr:uid="{00000000-0005-0000-0000-0000F3020000}"/>
    <cellStyle name="Normal 3" xfId="422" xr:uid="{00000000-0005-0000-0000-0000F4020000}"/>
    <cellStyle name="Normal 3 2" xfId="423" xr:uid="{00000000-0005-0000-0000-0000F5020000}"/>
    <cellStyle name="Normal 3 2 2" xfId="424" xr:uid="{00000000-0005-0000-0000-0000F6020000}"/>
    <cellStyle name="Normal 3 2 3" xfId="425" xr:uid="{00000000-0005-0000-0000-0000F7020000}"/>
    <cellStyle name="Normal 3 3" xfId="426" xr:uid="{00000000-0005-0000-0000-0000F8020000}"/>
    <cellStyle name="Normal 3 4" xfId="427" xr:uid="{00000000-0005-0000-0000-0000F9020000}"/>
    <cellStyle name="Normal 3 5" xfId="428" xr:uid="{00000000-0005-0000-0000-0000FA020000}"/>
    <cellStyle name="Normal 3 6" xfId="429" xr:uid="{00000000-0005-0000-0000-0000FB020000}"/>
    <cellStyle name="Normal 3 6 2" xfId="430" xr:uid="{00000000-0005-0000-0000-0000FC020000}"/>
    <cellStyle name="Normal 3 6 2 2" xfId="431" xr:uid="{00000000-0005-0000-0000-0000FD020000}"/>
    <cellStyle name="Normal 3 6 2 2 2" xfId="768" xr:uid="{00000000-0005-0000-0000-0000FE020000}"/>
    <cellStyle name="Normal 3 6 2 2 2 2" xfId="1155" xr:uid="{00000000-0005-0000-0000-0000FF020000}"/>
    <cellStyle name="Normal 3 6 2 2 3" xfId="1003" xr:uid="{00000000-0005-0000-0000-000000030000}"/>
    <cellStyle name="Normal 3 6 2 3" xfId="432" xr:uid="{00000000-0005-0000-0000-000001030000}"/>
    <cellStyle name="Normal 3 6 2 3 2" xfId="769" xr:uid="{00000000-0005-0000-0000-000002030000}"/>
    <cellStyle name="Normal 3 6 2 3 2 2" xfId="1156" xr:uid="{00000000-0005-0000-0000-000003030000}"/>
    <cellStyle name="Normal 3 6 2 3 3" xfId="1004" xr:uid="{00000000-0005-0000-0000-000004030000}"/>
    <cellStyle name="Normal 3 6 2 4" xfId="767" xr:uid="{00000000-0005-0000-0000-000005030000}"/>
    <cellStyle name="Normal 3 6 2 4 2" xfId="1154" xr:uid="{00000000-0005-0000-0000-000006030000}"/>
    <cellStyle name="Normal 3 6 2 5" xfId="1002" xr:uid="{00000000-0005-0000-0000-000007030000}"/>
    <cellStyle name="Normal 3 6 3" xfId="433" xr:uid="{00000000-0005-0000-0000-000008030000}"/>
    <cellStyle name="Normal 3 6 3 2" xfId="770" xr:uid="{00000000-0005-0000-0000-000009030000}"/>
    <cellStyle name="Normal 3 6 3 2 2" xfId="1157" xr:uid="{00000000-0005-0000-0000-00000A030000}"/>
    <cellStyle name="Normal 3 6 3 3" xfId="1005" xr:uid="{00000000-0005-0000-0000-00000B030000}"/>
    <cellStyle name="Normal 3 6 4" xfId="434" xr:uid="{00000000-0005-0000-0000-00000C030000}"/>
    <cellStyle name="Normal 3 6 5" xfId="435" xr:uid="{00000000-0005-0000-0000-00000D030000}"/>
    <cellStyle name="Normal 3 6 5 2" xfId="771" xr:uid="{00000000-0005-0000-0000-00000E030000}"/>
    <cellStyle name="Normal 3 6 5 2 2" xfId="1158" xr:uid="{00000000-0005-0000-0000-00000F030000}"/>
    <cellStyle name="Normal 3 6 5 3" xfId="1006" xr:uid="{00000000-0005-0000-0000-000010030000}"/>
    <cellStyle name="Normal 3 6 6" xfId="766" xr:uid="{00000000-0005-0000-0000-000011030000}"/>
    <cellStyle name="Normal 3 6 6 2" xfId="1153" xr:uid="{00000000-0005-0000-0000-000012030000}"/>
    <cellStyle name="Normal 3 6 7" xfId="1001" xr:uid="{00000000-0005-0000-0000-000013030000}"/>
    <cellStyle name="Normal 3_~1520012" xfId="436" xr:uid="{00000000-0005-0000-0000-000014030000}"/>
    <cellStyle name="Normal 30" xfId="437" xr:uid="{00000000-0005-0000-0000-000015030000}"/>
    <cellStyle name="Normal 31" xfId="438" xr:uid="{00000000-0005-0000-0000-000016030000}"/>
    <cellStyle name="Normal 32" xfId="439" xr:uid="{00000000-0005-0000-0000-000017030000}"/>
    <cellStyle name="Normal 33" xfId="440" xr:uid="{00000000-0005-0000-0000-000018030000}"/>
    <cellStyle name="Normal 34" xfId="441" xr:uid="{00000000-0005-0000-0000-000019030000}"/>
    <cellStyle name="Normal 35" xfId="442" xr:uid="{00000000-0005-0000-0000-00001A030000}"/>
    <cellStyle name="Normal 36" xfId="669" xr:uid="{00000000-0005-0000-0000-00001B030000}"/>
    <cellStyle name="Normal 36 2" xfId="1056" xr:uid="{00000000-0005-0000-0000-00001C030000}"/>
    <cellStyle name="Normal 37" xfId="670" xr:uid="{00000000-0005-0000-0000-00001D030000}"/>
    <cellStyle name="Normal 37 2" xfId="1057" xr:uid="{00000000-0005-0000-0000-00001E030000}"/>
    <cellStyle name="Normal 4" xfId="443" xr:uid="{00000000-0005-0000-0000-00001F030000}"/>
    <cellStyle name="Normal 4 2" xfId="444" xr:uid="{00000000-0005-0000-0000-000020030000}"/>
    <cellStyle name="Normal 4 3" xfId="445" xr:uid="{00000000-0005-0000-0000-000021030000}"/>
    <cellStyle name="Normal 4 3 2" xfId="446" xr:uid="{00000000-0005-0000-0000-000022030000}"/>
    <cellStyle name="Normal 4 4" xfId="447" xr:uid="{00000000-0005-0000-0000-000023030000}"/>
    <cellStyle name="Normal 4_Book2τεστ" xfId="448" xr:uid="{00000000-0005-0000-0000-000024030000}"/>
    <cellStyle name="Normal 5" xfId="449" xr:uid="{00000000-0005-0000-0000-000025030000}"/>
    <cellStyle name="Normal 5 2" xfId="1" xr:uid="{00000000-0005-0000-0000-000026030000}"/>
    <cellStyle name="Normal 5 3" xfId="450" xr:uid="{00000000-0005-0000-0000-000027030000}"/>
    <cellStyle name="Normal 5_20130128_ITS on reporting_Annex I_CA" xfId="451" xr:uid="{00000000-0005-0000-0000-000028030000}"/>
    <cellStyle name="Normal 6" xfId="452" xr:uid="{00000000-0005-0000-0000-000029030000}"/>
    <cellStyle name="Normal 6 2" xfId="453" xr:uid="{00000000-0005-0000-0000-00002A030000}"/>
    <cellStyle name="Normal 6 2 2" xfId="454" xr:uid="{00000000-0005-0000-0000-00002B030000}"/>
    <cellStyle name="Normal 6 3" xfId="455" xr:uid="{00000000-0005-0000-0000-00002C030000}"/>
    <cellStyle name="Normal 7" xfId="456" xr:uid="{00000000-0005-0000-0000-00002D030000}"/>
    <cellStyle name="Normal 7 2" xfId="457" xr:uid="{00000000-0005-0000-0000-00002E030000}"/>
    <cellStyle name="Normal 7 3" xfId="458" xr:uid="{00000000-0005-0000-0000-00002F030000}"/>
    <cellStyle name="Normal 7 3 2" xfId="459" xr:uid="{00000000-0005-0000-0000-000030030000}"/>
    <cellStyle name="Normal 7 3 2 2" xfId="773" xr:uid="{00000000-0005-0000-0000-000031030000}"/>
    <cellStyle name="Normal 7 3 2 2 2" xfId="1160" xr:uid="{00000000-0005-0000-0000-000032030000}"/>
    <cellStyle name="Normal 7 3 2 3" xfId="1008" xr:uid="{00000000-0005-0000-0000-000033030000}"/>
    <cellStyle name="Normal 7 3 3" xfId="772" xr:uid="{00000000-0005-0000-0000-000034030000}"/>
    <cellStyle name="Normal 7 3 3 2" xfId="1159" xr:uid="{00000000-0005-0000-0000-000035030000}"/>
    <cellStyle name="Normal 7 3 4" xfId="1007" xr:uid="{00000000-0005-0000-0000-000036030000}"/>
    <cellStyle name="Normal 8" xfId="460" xr:uid="{00000000-0005-0000-0000-000037030000}"/>
    <cellStyle name="Normal 8 2" xfId="461" xr:uid="{00000000-0005-0000-0000-000038030000}"/>
    <cellStyle name="Normal 8 2 2" xfId="462" xr:uid="{00000000-0005-0000-0000-000039030000}"/>
    <cellStyle name="Normal 9" xfId="463" xr:uid="{00000000-0005-0000-0000-00003A030000}"/>
    <cellStyle name="Normal 9 2" xfId="464" xr:uid="{00000000-0005-0000-0000-00003B030000}"/>
    <cellStyle name="Normale 2" xfId="465" xr:uid="{00000000-0005-0000-0000-00003C030000}"/>
    <cellStyle name="Normale_2011 04 14 Templates for stress test_bcl" xfId="466" xr:uid="{00000000-0005-0000-0000-00003D030000}"/>
    <cellStyle name="Notas" xfId="467" xr:uid="{00000000-0005-0000-0000-00003E030000}"/>
    <cellStyle name="Notas 2" xfId="468" xr:uid="{00000000-0005-0000-0000-00003F030000}"/>
    <cellStyle name="Notas 2 2" xfId="775" xr:uid="{00000000-0005-0000-0000-000040030000}"/>
    <cellStyle name="Notas 2 2 2" xfId="1162" xr:uid="{00000000-0005-0000-0000-000041030000}"/>
    <cellStyle name="Notas 2 2 3" xfId="1402" xr:uid="{00000000-0005-0000-0000-000042030000}"/>
    <cellStyle name="Notas 2 3" xfId="702" xr:uid="{00000000-0005-0000-0000-000043030000}"/>
    <cellStyle name="Notas 2 3 2" xfId="1089" xr:uid="{00000000-0005-0000-0000-000044030000}"/>
    <cellStyle name="Notas 2 3 3" xfId="1345" xr:uid="{00000000-0005-0000-0000-000045030000}"/>
    <cellStyle name="Notas 2 4" xfId="865" xr:uid="{00000000-0005-0000-0000-000046030000}"/>
    <cellStyle name="Notas 2 4 2" xfId="1252" xr:uid="{00000000-0005-0000-0000-000047030000}"/>
    <cellStyle name="Notas 2 4 3" xfId="1492" xr:uid="{00000000-0005-0000-0000-000048030000}"/>
    <cellStyle name="Notas 2 5" xfId="1010" xr:uid="{00000000-0005-0000-0000-000049030000}"/>
    <cellStyle name="Notas 2 6" xfId="938" xr:uid="{00000000-0005-0000-0000-00004A030000}"/>
    <cellStyle name="Notas 3" xfId="774" xr:uid="{00000000-0005-0000-0000-00004B030000}"/>
    <cellStyle name="Notas 3 2" xfId="1161" xr:uid="{00000000-0005-0000-0000-00004C030000}"/>
    <cellStyle name="Notas 3 3" xfId="1401" xr:uid="{00000000-0005-0000-0000-00004D030000}"/>
    <cellStyle name="Notas 4" xfId="703" xr:uid="{00000000-0005-0000-0000-00004E030000}"/>
    <cellStyle name="Notas 4 2" xfId="1090" xr:uid="{00000000-0005-0000-0000-00004F030000}"/>
    <cellStyle name="Notas 4 3" xfId="1346" xr:uid="{00000000-0005-0000-0000-000050030000}"/>
    <cellStyle name="Notas 5" xfId="864" xr:uid="{00000000-0005-0000-0000-000051030000}"/>
    <cellStyle name="Notas 5 2" xfId="1251" xr:uid="{00000000-0005-0000-0000-000052030000}"/>
    <cellStyle name="Notas 5 3" xfId="1491" xr:uid="{00000000-0005-0000-0000-000053030000}"/>
    <cellStyle name="Notas 6" xfId="1009" xr:uid="{00000000-0005-0000-0000-000054030000}"/>
    <cellStyle name="Notas 7" xfId="939" xr:uid="{00000000-0005-0000-0000-000055030000}"/>
    <cellStyle name="Note 2" xfId="469" xr:uid="{00000000-0005-0000-0000-000056030000}"/>
    <cellStyle name="Note 2 2" xfId="470" xr:uid="{00000000-0005-0000-0000-000057030000}"/>
    <cellStyle name="Note 2 2 2" xfId="471" xr:uid="{00000000-0005-0000-0000-000058030000}"/>
    <cellStyle name="Note 2 2 2 2" xfId="778" xr:uid="{00000000-0005-0000-0000-000059030000}"/>
    <cellStyle name="Note 2 2 2 2 2" xfId="1165" xr:uid="{00000000-0005-0000-0000-00005A030000}"/>
    <cellStyle name="Note 2 2 2 2 3" xfId="1405" xr:uid="{00000000-0005-0000-0000-00005B030000}"/>
    <cellStyle name="Note 2 2 2 3" xfId="699" xr:uid="{00000000-0005-0000-0000-00005C030000}"/>
    <cellStyle name="Note 2 2 2 3 2" xfId="1086" xr:uid="{00000000-0005-0000-0000-00005D030000}"/>
    <cellStyle name="Note 2 2 2 3 3" xfId="1342" xr:uid="{00000000-0005-0000-0000-00005E030000}"/>
    <cellStyle name="Note 2 2 2 4" xfId="868" xr:uid="{00000000-0005-0000-0000-00005F030000}"/>
    <cellStyle name="Note 2 2 2 4 2" xfId="1255" xr:uid="{00000000-0005-0000-0000-000060030000}"/>
    <cellStyle name="Note 2 2 2 4 3" xfId="1495" xr:uid="{00000000-0005-0000-0000-000061030000}"/>
    <cellStyle name="Note 2 2 2 5" xfId="1013" xr:uid="{00000000-0005-0000-0000-000062030000}"/>
    <cellStyle name="Note 2 2 2 6" xfId="935" xr:uid="{00000000-0005-0000-0000-000063030000}"/>
    <cellStyle name="Note 2 2 3" xfId="777" xr:uid="{00000000-0005-0000-0000-000064030000}"/>
    <cellStyle name="Note 2 2 3 2" xfId="1164" xr:uid="{00000000-0005-0000-0000-000065030000}"/>
    <cellStyle name="Note 2 2 3 3" xfId="1404" xr:uid="{00000000-0005-0000-0000-000066030000}"/>
    <cellStyle name="Note 2 2 4" xfId="700" xr:uid="{00000000-0005-0000-0000-000067030000}"/>
    <cellStyle name="Note 2 2 4 2" xfId="1087" xr:uid="{00000000-0005-0000-0000-000068030000}"/>
    <cellStyle name="Note 2 2 4 3" xfId="1343" xr:uid="{00000000-0005-0000-0000-000069030000}"/>
    <cellStyle name="Note 2 2 5" xfId="867" xr:uid="{00000000-0005-0000-0000-00006A030000}"/>
    <cellStyle name="Note 2 2 5 2" xfId="1254" xr:uid="{00000000-0005-0000-0000-00006B030000}"/>
    <cellStyle name="Note 2 2 5 3" xfId="1494" xr:uid="{00000000-0005-0000-0000-00006C030000}"/>
    <cellStyle name="Note 2 2 6" xfId="1012" xr:uid="{00000000-0005-0000-0000-00006D030000}"/>
    <cellStyle name="Note 2 2 7" xfId="936" xr:uid="{00000000-0005-0000-0000-00006E030000}"/>
    <cellStyle name="Note 2 3" xfId="472" xr:uid="{00000000-0005-0000-0000-00006F030000}"/>
    <cellStyle name="Note 2 3 2" xfId="779" xr:uid="{00000000-0005-0000-0000-000070030000}"/>
    <cellStyle name="Note 2 3 2 2" xfId="1166" xr:uid="{00000000-0005-0000-0000-000071030000}"/>
    <cellStyle name="Note 2 3 2 3" xfId="1406" xr:uid="{00000000-0005-0000-0000-000072030000}"/>
    <cellStyle name="Note 2 3 3" xfId="698" xr:uid="{00000000-0005-0000-0000-000073030000}"/>
    <cellStyle name="Note 2 3 3 2" xfId="1085" xr:uid="{00000000-0005-0000-0000-000074030000}"/>
    <cellStyle name="Note 2 3 3 3" xfId="1341" xr:uid="{00000000-0005-0000-0000-000075030000}"/>
    <cellStyle name="Note 2 3 4" xfId="869" xr:uid="{00000000-0005-0000-0000-000076030000}"/>
    <cellStyle name="Note 2 3 4 2" xfId="1256" xr:uid="{00000000-0005-0000-0000-000077030000}"/>
    <cellStyle name="Note 2 3 4 3" xfId="1496" xr:uid="{00000000-0005-0000-0000-000078030000}"/>
    <cellStyle name="Note 2 3 5" xfId="1014" xr:uid="{00000000-0005-0000-0000-000079030000}"/>
    <cellStyle name="Note 2 3 6" xfId="934" xr:uid="{00000000-0005-0000-0000-00007A030000}"/>
    <cellStyle name="Note 2 4" xfId="776" xr:uid="{00000000-0005-0000-0000-00007B030000}"/>
    <cellStyle name="Note 2 4 2" xfId="1163" xr:uid="{00000000-0005-0000-0000-00007C030000}"/>
    <cellStyle name="Note 2 4 3" xfId="1403" xr:uid="{00000000-0005-0000-0000-00007D030000}"/>
    <cellStyle name="Note 2 5" xfId="701" xr:uid="{00000000-0005-0000-0000-00007E030000}"/>
    <cellStyle name="Note 2 5 2" xfId="1088" xr:uid="{00000000-0005-0000-0000-00007F030000}"/>
    <cellStyle name="Note 2 5 3" xfId="1344" xr:uid="{00000000-0005-0000-0000-000080030000}"/>
    <cellStyle name="Note 2 6" xfId="866" xr:uid="{00000000-0005-0000-0000-000081030000}"/>
    <cellStyle name="Note 2 6 2" xfId="1253" xr:uid="{00000000-0005-0000-0000-000082030000}"/>
    <cellStyle name="Note 2 6 3" xfId="1493" xr:uid="{00000000-0005-0000-0000-000083030000}"/>
    <cellStyle name="Note 2 7" xfId="1011" xr:uid="{00000000-0005-0000-0000-000084030000}"/>
    <cellStyle name="Note 2 8" xfId="937" xr:uid="{00000000-0005-0000-0000-000085030000}"/>
    <cellStyle name="Note 3" xfId="473" xr:uid="{00000000-0005-0000-0000-000086030000}"/>
    <cellStyle name="Note 3 2" xfId="474" xr:uid="{00000000-0005-0000-0000-000087030000}"/>
    <cellStyle name="Note 3 2 2" xfId="475" xr:uid="{00000000-0005-0000-0000-000088030000}"/>
    <cellStyle name="Note 3 2 2 2" xfId="782" xr:uid="{00000000-0005-0000-0000-000089030000}"/>
    <cellStyle name="Note 3 2 2 2 2" xfId="1169" xr:uid="{00000000-0005-0000-0000-00008A030000}"/>
    <cellStyle name="Note 3 2 2 2 3" xfId="1409" xr:uid="{00000000-0005-0000-0000-00008B030000}"/>
    <cellStyle name="Note 3 2 2 3" xfId="695" xr:uid="{00000000-0005-0000-0000-00008C030000}"/>
    <cellStyle name="Note 3 2 2 3 2" xfId="1082" xr:uid="{00000000-0005-0000-0000-00008D030000}"/>
    <cellStyle name="Note 3 2 2 3 3" xfId="1338" xr:uid="{00000000-0005-0000-0000-00008E030000}"/>
    <cellStyle name="Note 3 2 2 4" xfId="872" xr:uid="{00000000-0005-0000-0000-00008F030000}"/>
    <cellStyle name="Note 3 2 2 4 2" xfId="1259" xr:uid="{00000000-0005-0000-0000-000090030000}"/>
    <cellStyle name="Note 3 2 2 4 3" xfId="1499" xr:uid="{00000000-0005-0000-0000-000091030000}"/>
    <cellStyle name="Note 3 2 2 5" xfId="1017" xr:uid="{00000000-0005-0000-0000-000092030000}"/>
    <cellStyle name="Note 3 2 2 6" xfId="931" xr:uid="{00000000-0005-0000-0000-000093030000}"/>
    <cellStyle name="Note 3 2 3" xfId="781" xr:uid="{00000000-0005-0000-0000-000094030000}"/>
    <cellStyle name="Note 3 2 3 2" xfId="1168" xr:uid="{00000000-0005-0000-0000-000095030000}"/>
    <cellStyle name="Note 3 2 3 3" xfId="1408" xr:uid="{00000000-0005-0000-0000-000096030000}"/>
    <cellStyle name="Note 3 2 4" xfId="696" xr:uid="{00000000-0005-0000-0000-000097030000}"/>
    <cellStyle name="Note 3 2 4 2" xfId="1083" xr:uid="{00000000-0005-0000-0000-000098030000}"/>
    <cellStyle name="Note 3 2 4 3" xfId="1339" xr:uid="{00000000-0005-0000-0000-000099030000}"/>
    <cellStyle name="Note 3 2 5" xfId="871" xr:uid="{00000000-0005-0000-0000-00009A030000}"/>
    <cellStyle name="Note 3 2 5 2" xfId="1258" xr:uid="{00000000-0005-0000-0000-00009B030000}"/>
    <cellStyle name="Note 3 2 5 3" xfId="1498" xr:uid="{00000000-0005-0000-0000-00009C030000}"/>
    <cellStyle name="Note 3 2 6" xfId="1016" xr:uid="{00000000-0005-0000-0000-00009D030000}"/>
    <cellStyle name="Note 3 2 7" xfId="932" xr:uid="{00000000-0005-0000-0000-00009E030000}"/>
    <cellStyle name="Note 3 3" xfId="476" xr:uid="{00000000-0005-0000-0000-00009F030000}"/>
    <cellStyle name="Note 3 3 2" xfId="783" xr:uid="{00000000-0005-0000-0000-0000A0030000}"/>
    <cellStyle name="Note 3 3 2 2" xfId="1170" xr:uid="{00000000-0005-0000-0000-0000A1030000}"/>
    <cellStyle name="Note 3 3 2 3" xfId="1410" xr:uid="{00000000-0005-0000-0000-0000A2030000}"/>
    <cellStyle name="Note 3 3 3" xfId="694" xr:uid="{00000000-0005-0000-0000-0000A3030000}"/>
    <cellStyle name="Note 3 3 3 2" xfId="1081" xr:uid="{00000000-0005-0000-0000-0000A4030000}"/>
    <cellStyle name="Note 3 3 3 3" xfId="1337" xr:uid="{00000000-0005-0000-0000-0000A5030000}"/>
    <cellStyle name="Note 3 3 4" xfId="873" xr:uid="{00000000-0005-0000-0000-0000A6030000}"/>
    <cellStyle name="Note 3 3 4 2" xfId="1260" xr:uid="{00000000-0005-0000-0000-0000A7030000}"/>
    <cellStyle name="Note 3 3 4 3" xfId="1500" xr:uid="{00000000-0005-0000-0000-0000A8030000}"/>
    <cellStyle name="Note 3 3 5" xfId="1018" xr:uid="{00000000-0005-0000-0000-0000A9030000}"/>
    <cellStyle name="Note 3 3 6" xfId="930" xr:uid="{00000000-0005-0000-0000-0000AA030000}"/>
    <cellStyle name="Note 3 4" xfId="780" xr:uid="{00000000-0005-0000-0000-0000AB030000}"/>
    <cellStyle name="Note 3 4 2" xfId="1167" xr:uid="{00000000-0005-0000-0000-0000AC030000}"/>
    <cellStyle name="Note 3 4 3" xfId="1407" xr:uid="{00000000-0005-0000-0000-0000AD030000}"/>
    <cellStyle name="Note 3 5" xfId="697" xr:uid="{00000000-0005-0000-0000-0000AE030000}"/>
    <cellStyle name="Note 3 5 2" xfId="1084" xr:uid="{00000000-0005-0000-0000-0000AF030000}"/>
    <cellStyle name="Note 3 5 3" xfId="1340" xr:uid="{00000000-0005-0000-0000-0000B0030000}"/>
    <cellStyle name="Note 3 6" xfId="870" xr:uid="{00000000-0005-0000-0000-0000B1030000}"/>
    <cellStyle name="Note 3 6 2" xfId="1257" xr:uid="{00000000-0005-0000-0000-0000B2030000}"/>
    <cellStyle name="Note 3 6 3" xfId="1497" xr:uid="{00000000-0005-0000-0000-0000B3030000}"/>
    <cellStyle name="Note 3 7" xfId="1015" xr:uid="{00000000-0005-0000-0000-0000B4030000}"/>
    <cellStyle name="Note 3 8" xfId="933" xr:uid="{00000000-0005-0000-0000-0000B5030000}"/>
    <cellStyle name="Note 4" xfId="477" xr:uid="{00000000-0005-0000-0000-0000B6030000}"/>
    <cellStyle name="Note 4 2" xfId="478" xr:uid="{00000000-0005-0000-0000-0000B7030000}"/>
    <cellStyle name="Note 4 2 2" xfId="785" xr:uid="{00000000-0005-0000-0000-0000B8030000}"/>
    <cellStyle name="Note 4 2 2 2" xfId="1172" xr:uid="{00000000-0005-0000-0000-0000B9030000}"/>
    <cellStyle name="Note 4 2 2 3" xfId="1412" xr:uid="{00000000-0005-0000-0000-0000BA030000}"/>
    <cellStyle name="Note 4 2 3" xfId="692" xr:uid="{00000000-0005-0000-0000-0000BB030000}"/>
    <cellStyle name="Note 4 2 3 2" xfId="1079" xr:uid="{00000000-0005-0000-0000-0000BC030000}"/>
    <cellStyle name="Note 4 2 3 3" xfId="1335" xr:uid="{00000000-0005-0000-0000-0000BD030000}"/>
    <cellStyle name="Note 4 2 4" xfId="875" xr:uid="{00000000-0005-0000-0000-0000BE030000}"/>
    <cellStyle name="Note 4 2 4 2" xfId="1262" xr:uid="{00000000-0005-0000-0000-0000BF030000}"/>
    <cellStyle name="Note 4 2 4 3" xfId="1502" xr:uid="{00000000-0005-0000-0000-0000C0030000}"/>
    <cellStyle name="Note 4 2 5" xfId="1020" xr:uid="{00000000-0005-0000-0000-0000C1030000}"/>
    <cellStyle name="Note 4 2 6" xfId="928" xr:uid="{00000000-0005-0000-0000-0000C2030000}"/>
    <cellStyle name="Note 4 3" xfId="784" xr:uid="{00000000-0005-0000-0000-0000C3030000}"/>
    <cellStyle name="Note 4 3 2" xfId="1171" xr:uid="{00000000-0005-0000-0000-0000C4030000}"/>
    <cellStyle name="Note 4 3 3" xfId="1411" xr:uid="{00000000-0005-0000-0000-0000C5030000}"/>
    <cellStyle name="Note 4 4" xfId="693" xr:uid="{00000000-0005-0000-0000-0000C6030000}"/>
    <cellStyle name="Note 4 4 2" xfId="1080" xr:uid="{00000000-0005-0000-0000-0000C7030000}"/>
    <cellStyle name="Note 4 4 3" xfId="1336" xr:uid="{00000000-0005-0000-0000-0000C8030000}"/>
    <cellStyle name="Note 4 5" xfId="874" xr:uid="{00000000-0005-0000-0000-0000C9030000}"/>
    <cellStyle name="Note 4 5 2" xfId="1261" xr:uid="{00000000-0005-0000-0000-0000CA030000}"/>
    <cellStyle name="Note 4 5 3" xfId="1501" xr:uid="{00000000-0005-0000-0000-0000CB030000}"/>
    <cellStyle name="Note 4 6" xfId="1019" xr:uid="{00000000-0005-0000-0000-0000CC030000}"/>
    <cellStyle name="Note 4 7" xfId="929" xr:uid="{00000000-0005-0000-0000-0000CD030000}"/>
    <cellStyle name="Note 5" xfId="479" xr:uid="{00000000-0005-0000-0000-0000CE030000}"/>
    <cellStyle name="Note 5 2" xfId="480" xr:uid="{00000000-0005-0000-0000-0000CF030000}"/>
    <cellStyle name="Note 5 2 2" xfId="787" xr:uid="{00000000-0005-0000-0000-0000D0030000}"/>
    <cellStyle name="Note 5 2 2 2" xfId="1174" xr:uid="{00000000-0005-0000-0000-0000D1030000}"/>
    <cellStyle name="Note 5 2 2 3" xfId="1414" xr:uid="{00000000-0005-0000-0000-0000D2030000}"/>
    <cellStyle name="Note 5 2 3" xfId="690" xr:uid="{00000000-0005-0000-0000-0000D3030000}"/>
    <cellStyle name="Note 5 2 3 2" xfId="1077" xr:uid="{00000000-0005-0000-0000-0000D4030000}"/>
    <cellStyle name="Note 5 2 3 3" xfId="1333" xr:uid="{00000000-0005-0000-0000-0000D5030000}"/>
    <cellStyle name="Note 5 2 4" xfId="877" xr:uid="{00000000-0005-0000-0000-0000D6030000}"/>
    <cellStyle name="Note 5 2 4 2" xfId="1264" xr:uid="{00000000-0005-0000-0000-0000D7030000}"/>
    <cellStyle name="Note 5 2 4 3" xfId="1504" xr:uid="{00000000-0005-0000-0000-0000D8030000}"/>
    <cellStyle name="Note 5 2 5" xfId="1022" xr:uid="{00000000-0005-0000-0000-0000D9030000}"/>
    <cellStyle name="Note 5 2 6" xfId="926" xr:uid="{00000000-0005-0000-0000-0000DA030000}"/>
    <cellStyle name="Note 5 3" xfId="786" xr:uid="{00000000-0005-0000-0000-0000DB030000}"/>
    <cellStyle name="Note 5 3 2" xfId="1173" xr:uid="{00000000-0005-0000-0000-0000DC030000}"/>
    <cellStyle name="Note 5 3 3" xfId="1413" xr:uid="{00000000-0005-0000-0000-0000DD030000}"/>
    <cellStyle name="Note 5 4" xfId="691" xr:uid="{00000000-0005-0000-0000-0000DE030000}"/>
    <cellStyle name="Note 5 4 2" xfId="1078" xr:uid="{00000000-0005-0000-0000-0000DF030000}"/>
    <cellStyle name="Note 5 4 3" xfId="1334" xr:uid="{00000000-0005-0000-0000-0000E0030000}"/>
    <cellStyle name="Note 5 5" xfId="876" xr:uid="{00000000-0005-0000-0000-0000E1030000}"/>
    <cellStyle name="Note 5 5 2" xfId="1263" xr:uid="{00000000-0005-0000-0000-0000E2030000}"/>
    <cellStyle name="Note 5 5 3" xfId="1503" xr:uid="{00000000-0005-0000-0000-0000E3030000}"/>
    <cellStyle name="Note 5 6" xfId="1021" xr:uid="{00000000-0005-0000-0000-0000E4030000}"/>
    <cellStyle name="Note 5 7" xfId="927" xr:uid="{00000000-0005-0000-0000-0000E5030000}"/>
    <cellStyle name="Notes" xfId="481" xr:uid="{00000000-0005-0000-0000-0000E6030000}"/>
    <cellStyle name="optionalExposure" xfId="482" xr:uid="{00000000-0005-0000-0000-0000E7030000}"/>
    <cellStyle name="Összesen" xfId="483" xr:uid="{00000000-0005-0000-0000-0000E8030000}"/>
    <cellStyle name="Összesen 2" xfId="484" xr:uid="{00000000-0005-0000-0000-0000E9030000}"/>
    <cellStyle name="Összesen 2 2" xfId="789" xr:uid="{00000000-0005-0000-0000-0000EA030000}"/>
    <cellStyle name="Összesen 2 2 2" xfId="1176" xr:uid="{00000000-0005-0000-0000-0000EB030000}"/>
    <cellStyle name="Összesen 2 2 3" xfId="1416" xr:uid="{00000000-0005-0000-0000-0000EC030000}"/>
    <cellStyle name="Összesen 2 3" xfId="688" xr:uid="{00000000-0005-0000-0000-0000ED030000}"/>
    <cellStyle name="Összesen 2 3 2" xfId="1075" xr:uid="{00000000-0005-0000-0000-0000EE030000}"/>
    <cellStyle name="Összesen 2 3 3" xfId="1331" xr:uid="{00000000-0005-0000-0000-0000EF030000}"/>
    <cellStyle name="Összesen 2 4" xfId="879" xr:uid="{00000000-0005-0000-0000-0000F0030000}"/>
    <cellStyle name="Összesen 2 4 2" xfId="1266" xr:uid="{00000000-0005-0000-0000-0000F1030000}"/>
    <cellStyle name="Összesen 2 4 3" xfId="1506" xr:uid="{00000000-0005-0000-0000-0000F2030000}"/>
    <cellStyle name="Összesen 2 5" xfId="1024" xr:uid="{00000000-0005-0000-0000-0000F3030000}"/>
    <cellStyle name="Összesen 2 6" xfId="924" xr:uid="{00000000-0005-0000-0000-0000F4030000}"/>
    <cellStyle name="Összesen 3" xfId="788" xr:uid="{00000000-0005-0000-0000-0000F5030000}"/>
    <cellStyle name="Összesen 3 2" xfId="1175" xr:uid="{00000000-0005-0000-0000-0000F6030000}"/>
    <cellStyle name="Összesen 3 3" xfId="1415" xr:uid="{00000000-0005-0000-0000-0000F7030000}"/>
    <cellStyle name="Összesen 4" xfId="689" xr:uid="{00000000-0005-0000-0000-0000F8030000}"/>
    <cellStyle name="Összesen 4 2" xfId="1076" xr:uid="{00000000-0005-0000-0000-0000F9030000}"/>
    <cellStyle name="Összesen 4 3" xfId="1332" xr:uid="{00000000-0005-0000-0000-0000FA030000}"/>
    <cellStyle name="Összesen 5" xfId="878" xr:uid="{00000000-0005-0000-0000-0000FB030000}"/>
    <cellStyle name="Összesen 5 2" xfId="1265" xr:uid="{00000000-0005-0000-0000-0000FC030000}"/>
    <cellStyle name="Összesen 5 3" xfId="1505" xr:uid="{00000000-0005-0000-0000-0000FD030000}"/>
    <cellStyle name="Összesen 6" xfId="1023" xr:uid="{00000000-0005-0000-0000-0000FE030000}"/>
    <cellStyle name="Összesen 7" xfId="925" xr:uid="{00000000-0005-0000-0000-0000FF030000}"/>
    <cellStyle name="Output 2" xfId="485" xr:uid="{00000000-0005-0000-0000-000000040000}"/>
    <cellStyle name="Output 2 2" xfId="486" xr:uid="{00000000-0005-0000-0000-000001040000}"/>
    <cellStyle name="Output 2 2 2" xfId="487" xr:uid="{00000000-0005-0000-0000-000002040000}"/>
    <cellStyle name="Output 2 2 2 2" xfId="792" xr:uid="{00000000-0005-0000-0000-000003040000}"/>
    <cellStyle name="Output 2 2 2 2 2" xfId="1179" xr:uid="{00000000-0005-0000-0000-000004040000}"/>
    <cellStyle name="Output 2 2 2 2 3" xfId="1419" xr:uid="{00000000-0005-0000-0000-000005040000}"/>
    <cellStyle name="Output 2 2 2 3" xfId="685" xr:uid="{00000000-0005-0000-0000-000006040000}"/>
    <cellStyle name="Output 2 2 2 3 2" xfId="1072" xr:uid="{00000000-0005-0000-0000-000007040000}"/>
    <cellStyle name="Output 2 2 2 3 3" xfId="1328" xr:uid="{00000000-0005-0000-0000-000008040000}"/>
    <cellStyle name="Output 2 2 2 4" xfId="882" xr:uid="{00000000-0005-0000-0000-000009040000}"/>
    <cellStyle name="Output 2 2 2 4 2" xfId="1269" xr:uid="{00000000-0005-0000-0000-00000A040000}"/>
    <cellStyle name="Output 2 2 2 4 3" xfId="1509" xr:uid="{00000000-0005-0000-0000-00000B040000}"/>
    <cellStyle name="Output 2 2 2 5" xfId="1027" xr:uid="{00000000-0005-0000-0000-00000C040000}"/>
    <cellStyle name="Output 2 2 2 6" xfId="921" xr:uid="{00000000-0005-0000-0000-00000D040000}"/>
    <cellStyle name="Output 2 2 3" xfId="791" xr:uid="{00000000-0005-0000-0000-00000E040000}"/>
    <cellStyle name="Output 2 2 3 2" xfId="1178" xr:uid="{00000000-0005-0000-0000-00000F040000}"/>
    <cellStyle name="Output 2 2 3 3" xfId="1418" xr:uid="{00000000-0005-0000-0000-000010040000}"/>
    <cellStyle name="Output 2 2 4" xfId="686" xr:uid="{00000000-0005-0000-0000-000011040000}"/>
    <cellStyle name="Output 2 2 4 2" xfId="1073" xr:uid="{00000000-0005-0000-0000-000012040000}"/>
    <cellStyle name="Output 2 2 4 3" xfId="1329" xr:uid="{00000000-0005-0000-0000-000013040000}"/>
    <cellStyle name="Output 2 2 5" xfId="881" xr:uid="{00000000-0005-0000-0000-000014040000}"/>
    <cellStyle name="Output 2 2 5 2" xfId="1268" xr:uid="{00000000-0005-0000-0000-000015040000}"/>
    <cellStyle name="Output 2 2 5 3" xfId="1508" xr:uid="{00000000-0005-0000-0000-000016040000}"/>
    <cellStyle name="Output 2 2 6" xfId="1026" xr:uid="{00000000-0005-0000-0000-000017040000}"/>
    <cellStyle name="Output 2 2 7" xfId="922" xr:uid="{00000000-0005-0000-0000-000018040000}"/>
    <cellStyle name="Output 2 3" xfId="488" xr:uid="{00000000-0005-0000-0000-000019040000}"/>
    <cellStyle name="Output 2 3 2" xfId="793" xr:uid="{00000000-0005-0000-0000-00001A040000}"/>
    <cellStyle name="Output 2 3 2 2" xfId="1180" xr:uid="{00000000-0005-0000-0000-00001B040000}"/>
    <cellStyle name="Output 2 3 2 3" xfId="1420" xr:uid="{00000000-0005-0000-0000-00001C040000}"/>
    <cellStyle name="Output 2 3 3" xfId="684" xr:uid="{00000000-0005-0000-0000-00001D040000}"/>
    <cellStyle name="Output 2 3 3 2" xfId="1071" xr:uid="{00000000-0005-0000-0000-00001E040000}"/>
    <cellStyle name="Output 2 3 3 3" xfId="1327" xr:uid="{00000000-0005-0000-0000-00001F040000}"/>
    <cellStyle name="Output 2 3 4" xfId="883" xr:uid="{00000000-0005-0000-0000-000020040000}"/>
    <cellStyle name="Output 2 3 4 2" xfId="1270" xr:uid="{00000000-0005-0000-0000-000021040000}"/>
    <cellStyle name="Output 2 3 4 3" xfId="1510" xr:uid="{00000000-0005-0000-0000-000022040000}"/>
    <cellStyle name="Output 2 3 5" xfId="1028" xr:uid="{00000000-0005-0000-0000-000023040000}"/>
    <cellStyle name="Output 2 3 6" xfId="920" xr:uid="{00000000-0005-0000-0000-000024040000}"/>
    <cellStyle name="Output 2 4" xfId="790" xr:uid="{00000000-0005-0000-0000-000025040000}"/>
    <cellStyle name="Output 2 4 2" xfId="1177" xr:uid="{00000000-0005-0000-0000-000026040000}"/>
    <cellStyle name="Output 2 4 3" xfId="1417" xr:uid="{00000000-0005-0000-0000-000027040000}"/>
    <cellStyle name="Output 2 5" xfId="687" xr:uid="{00000000-0005-0000-0000-000028040000}"/>
    <cellStyle name="Output 2 5 2" xfId="1074" xr:uid="{00000000-0005-0000-0000-000029040000}"/>
    <cellStyle name="Output 2 5 3" xfId="1330" xr:uid="{00000000-0005-0000-0000-00002A040000}"/>
    <cellStyle name="Output 2 6" xfId="880" xr:uid="{00000000-0005-0000-0000-00002B040000}"/>
    <cellStyle name="Output 2 6 2" xfId="1267" xr:uid="{00000000-0005-0000-0000-00002C040000}"/>
    <cellStyle name="Output 2 6 3" xfId="1507" xr:uid="{00000000-0005-0000-0000-00002D040000}"/>
    <cellStyle name="Output 2 7" xfId="1025" xr:uid="{00000000-0005-0000-0000-00002E040000}"/>
    <cellStyle name="Output 2 8" xfId="923" xr:uid="{00000000-0005-0000-0000-00002F040000}"/>
    <cellStyle name="Output 3" xfId="489" xr:uid="{00000000-0005-0000-0000-000030040000}"/>
    <cellStyle name="Output 3 2" xfId="490" xr:uid="{00000000-0005-0000-0000-000031040000}"/>
    <cellStyle name="Output 3 2 2" xfId="795" xr:uid="{00000000-0005-0000-0000-000032040000}"/>
    <cellStyle name="Output 3 2 2 2" xfId="1182" xr:uid="{00000000-0005-0000-0000-000033040000}"/>
    <cellStyle name="Output 3 2 2 3" xfId="1422" xr:uid="{00000000-0005-0000-0000-000034040000}"/>
    <cellStyle name="Output 3 2 3" xfId="682" xr:uid="{00000000-0005-0000-0000-000035040000}"/>
    <cellStyle name="Output 3 2 3 2" xfId="1069" xr:uid="{00000000-0005-0000-0000-000036040000}"/>
    <cellStyle name="Output 3 2 3 3" xfId="1325" xr:uid="{00000000-0005-0000-0000-000037040000}"/>
    <cellStyle name="Output 3 2 4" xfId="885" xr:uid="{00000000-0005-0000-0000-000038040000}"/>
    <cellStyle name="Output 3 2 4 2" xfId="1272" xr:uid="{00000000-0005-0000-0000-000039040000}"/>
    <cellStyle name="Output 3 2 4 3" xfId="1512" xr:uid="{00000000-0005-0000-0000-00003A040000}"/>
    <cellStyle name="Output 3 2 5" xfId="1030" xr:uid="{00000000-0005-0000-0000-00003B040000}"/>
    <cellStyle name="Output 3 2 6" xfId="918" xr:uid="{00000000-0005-0000-0000-00003C040000}"/>
    <cellStyle name="Output 3 3" xfId="794" xr:uid="{00000000-0005-0000-0000-00003D040000}"/>
    <cellStyle name="Output 3 3 2" xfId="1181" xr:uid="{00000000-0005-0000-0000-00003E040000}"/>
    <cellStyle name="Output 3 3 3" xfId="1421" xr:uid="{00000000-0005-0000-0000-00003F040000}"/>
    <cellStyle name="Output 3 4" xfId="683" xr:uid="{00000000-0005-0000-0000-000040040000}"/>
    <cellStyle name="Output 3 4 2" xfId="1070" xr:uid="{00000000-0005-0000-0000-000041040000}"/>
    <cellStyle name="Output 3 4 3" xfId="1326" xr:uid="{00000000-0005-0000-0000-000042040000}"/>
    <cellStyle name="Output 3 5" xfId="884" xr:uid="{00000000-0005-0000-0000-000043040000}"/>
    <cellStyle name="Output 3 5 2" xfId="1271" xr:uid="{00000000-0005-0000-0000-000044040000}"/>
    <cellStyle name="Output 3 5 3" xfId="1511" xr:uid="{00000000-0005-0000-0000-000045040000}"/>
    <cellStyle name="Output 3 6" xfId="1029" xr:uid="{00000000-0005-0000-0000-000046040000}"/>
    <cellStyle name="Output 3 7" xfId="919" xr:uid="{00000000-0005-0000-0000-000047040000}"/>
    <cellStyle name="Output 4" xfId="491" xr:uid="{00000000-0005-0000-0000-000048040000}"/>
    <cellStyle name="Output 4 2" xfId="492" xr:uid="{00000000-0005-0000-0000-000049040000}"/>
    <cellStyle name="Output 4 2 2" xfId="797" xr:uid="{00000000-0005-0000-0000-00004A040000}"/>
    <cellStyle name="Output 4 2 2 2" xfId="1184" xr:uid="{00000000-0005-0000-0000-00004B040000}"/>
    <cellStyle name="Output 4 2 2 3" xfId="1424" xr:uid="{00000000-0005-0000-0000-00004C040000}"/>
    <cellStyle name="Output 4 2 3" xfId="680" xr:uid="{00000000-0005-0000-0000-00004D040000}"/>
    <cellStyle name="Output 4 2 3 2" xfId="1067" xr:uid="{00000000-0005-0000-0000-00004E040000}"/>
    <cellStyle name="Output 4 2 3 3" xfId="1323" xr:uid="{00000000-0005-0000-0000-00004F040000}"/>
    <cellStyle name="Output 4 2 4" xfId="887" xr:uid="{00000000-0005-0000-0000-000050040000}"/>
    <cellStyle name="Output 4 2 4 2" xfId="1274" xr:uid="{00000000-0005-0000-0000-000051040000}"/>
    <cellStyle name="Output 4 2 4 3" xfId="1514" xr:uid="{00000000-0005-0000-0000-000052040000}"/>
    <cellStyle name="Output 4 2 5" xfId="1032" xr:uid="{00000000-0005-0000-0000-000053040000}"/>
    <cellStyle name="Output 4 2 6" xfId="916" xr:uid="{00000000-0005-0000-0000-000054040000}"/>
    <cellStyle name="Output 4 3" xfId="796" xr:uid="{00000000-0005-0000-0000-000055040000}"/>
    <cellStyle name="Output 4 3 2" xfId="1183" xr:uid="{00000000-0005-0000-0000-000056040000}"/>
    <cellStyle name="Output 4 3 3" xfId="1423" xr:uid="{00000000-0005-0000-0000-000057040000}"/>
    <cellStyle name="Output 4 4" xfId="681" xr:uid="{00000000-0005-0000-0000-000058040000}"/>
    <cellStyle name="Output 4 4 2" xfId="1068" xr:uid="{00000000-0005-0000-0000-000059040000}"/>
    <cellStyle name="Output 4 4 3" xfId="1324" xr:uid="{00000000-0005-0000-0000-00005A040000}"/>
    <cellStyle name="Output 4 5" xfId="886" xr:uid="{00000000-0005-0000-0000-00005B040000}"/>
    <cellStyle name="Output 4 5 2" xfId="1273" xr:uid="{00000000-0005-0000-0000-00005C040000}"/>
    <cellStyle name="Output 4 5 3" xfId="1513" xr:uid="{00000000-0005-0000-0000-00005D040000}"/>
    <cellStyle name="Output 4 6" xfId="1031" xr:uid="{00000000-0005-0000-0000-00005E040000}"/>
    <cellStyle name="Output 4 7" xfId="917" xr:uid="{00000000-0005-0000-0000-00005F040000}"/>
    <cellStyle name="Percent [2]" xfId="493" xr:uid="{00000000-0005-0000-0000-000060040000}"/>
    <cellStyle name="Percent [2] 2" xfId="494" xr:uid="{00000000-0005-0000-0000-000061040000}"/>
    <cellStyle name="Percent 10" xfId="495" xr:uid="{00000000-0005-0000-0000-000062040000}"/>
    <cellStyle name="Percent 11" xfId="496" xr:uid="{00000000-0005-0000-0000-000063040000}"/>
    <cellStyle name="Percent 12" xfId="497" xr:uid="{00000000-0005-0000-0000-000064040000}"/>
    <cellStyle name="Percent 13" xfId="498" xr:uid="{00000000-0005-0000-0000-000065040000}"/>
    <cellStyle name="Percent 2" xfId="499" xr:uid="{00000000-0005-0000-0000-000066040000}"/>
    <cellStyle name="Percent 2 2" xfId="500" xr:uid="{00000000-0005-0000-0000-000067040000}"/>
    <cellStyle name="Percent 2 2 2" xfId="501" xr:uid="{00000000-0005-0000-0000-000068040000}"/>
    <cellStyle name="Percent 2 3" xfId="502" xr:uid="{00000000-0005-0000-0000-000069040000}"/>
    <cellStyle name="Percent 2 4" xfId="503" xr:uid="{00000000-0005-0000-0000-00006A040000}"/>
    <cellStyle name="Percent 3" xfId="504" xr:uid="{00000000-0005-0000-0000-00006B040000}"/>
    <cellStyle name="Percent 4" xfId="505" xr:uid="{00000000-0005-0000-0000-00006C040000}"/>
    <cellStyle name="Percent 5" xfId="506" xr:uid="{00000000-0005-0000-0000-00006D040000}"/>
    <cellStyle name="Percent 6" xfId="507" xr:uid="{00000000-0005-0000-0000-00006E040000}"/>
    <cellStyle name="Percent 7" xfId="508" xr:uid="{00000000-0005-0000-0000-00006F040000}"/>
    <cellStyle name="Percent 8" xfId="509" xr:uid="{00000000-0005-0000-0000-000070040000}"/>
    <cellStyle name="Percent 9" xfId="510" xr:uid="{00000000-0005-0000-0000-000071040000}"/>
    <cellStyle name="percentage difference" xfId="511" xr:uid="{00000000-0005-0000-0000-000072040000}"/>
    <cellStyle name="percentage difference 2" xfId="512" xr:uid="{00000000-0005-0000-0000-000073040000}"/>
    <cellStyle name="percentage difference one decimal" xfId="513" xr:uid="{00000000-0005-0000-0000-000074040000}"/>
    <cellStyle name="percentage difference zero decimal" xfId="514" xr:uid="{00000000-0005-0000-0000-000075040000}"/>
    <cellStyle name="Porcentual 2" xfId="515" xr:uid="{00000000-0005-0000-0000-000076040000}"/>
    <cellStyle name="Porcentual 2 2" xfId="516" xr:uid="{00000000-0005-0000-0000-000077040000}"/>
    <cellStyle name="Presentation" xfId="517" xr:uid="{00000000-0005-0000-0000-000078040000}"/>
    <cellStyle name="Prozent 2" xfId="518" xr:uid="{00000000-0005-0000-0000-000079040000}"/>
    <cellStyle name="PSE_NAC" xfId="519" xr:uid="{00000000-0005-0000-0000-00007A040000}"/>
    <cellStyle name="PSE1stCol" xfId="520" xr:uid="{00000000-0005-0000-0000-00007B040000}"/>
    <cellStyle name="PSE1stColHead" xfId="521" xr:uid="{00000000-0005-0000-0000-00007C040000}"/>
    <cellStyle name="PSE1stColHead2" xfId="522" xr:uid="{00000000-0005-0000-0000-00007D040000}"/>
    <cellStyle name="PSE1stColHead3" xfId="523" xr:uid="{00000000-0005-0000-0000-00007E040000}"/>
    <cellStyle name="PSE1stColYear" xfId="524" xr:uid="{00000000-0005-0000-0000-00007F040000}"/>
    <cellStyle name="PSEHead1" xfId="525" xr:uid="{00000000-0005-0000-0000-000080040000}"/>
    <cellStyle name="PSEHeadYear" xfId="526" xr:uid="{00000000-0005-0000-0000-000081040000}"/>
    <cellStyle name="PSELastRow" xfId="527" xr:uid="{00000000-0005-0000-0000-000082040000}"/>
    <cellStyle name="PSEMediumRow" xfId="528" xr:uid="{00000000-0005-0000-0000-000083040000}"/>
    <cellStyle name="PSENotes" xfId="529" xr:uid="{00000000-0005-0000-0000-000084040000}"/>
    <cellStyle name="PSENumber" xfId="530" xr:uid="{00000000-0005-0000-0000-000085040000}"/>
    <cellStyle name="PSENumberTwoDigit" xfId="531" xr:uid="{00000000-0005-0000-0000-000086040000}"/>
    <cellStyle name="PSEPercent" xfId="532" xr:uid="{00000000-0005-0000-0000-000087040000}"/>
    <cellStyle name="PSEPercentOneDigit" xfId="533" xr:uid="{00000000-0005-0000-0000-000088040000}"/>
    <cellStyle name="PSEPercentTwoDigit" xfId="534" xr:uid="{00000000-0005-0000-0000-000089040000}"/>
    <cellStyle name="PSEPerUnit" xfId="535" xr:uid="{00000000-0005-0000-0000-00008A040000}"/>
    <cellStyle name="PSETableHeadline" xfId="536" xr:uid="{00000000-0005-0000-0000-00008B040000}"/>
    <cellStyle name="PSETreeParantheses" xfId="537" xr:uid="{00000000-0005-0000-0000-00008C040000}"/>
    <cellStyle name="PSETreeText" xfId="538" xr:uid="{00000000-0005-0000-0000-00008D040000}"/>
    <cellStyle name="PSEunit" xfId="539" xr:uid="{00000000-0005-0000-0000-00008E040000}"/>
    <cellStyle name="PSEunitYear" xfId="540" xr:uid="{00000000-0005-0000-0000-00008F040000}"/>
    <cellStyle name="Rossz" xfId="541" xr:uid="{00000000-0005-0000-0000-000090040000}"/>
    <cellStyle name="Salida" xfId="542" xr:uid="{00000000-0005-0000-0000-000091040000}"/>
    <cellStyle name="Salida 2" xfId="543" xr:uid="{00000000-0005-0000-0000-000092040000}"/>
    <cellStyle name="Salida 2 2" xfId="799" xr:uid="{00000000-0005-0000-0000-000093040000}"/>
    <cellStyle name="Salida 2 2 2" xfId="1186" xr:uid="{00000000-0005-0000-0000-000094040000}"/>
    <cellStyle name="Salida 2 2 3" xfId="1426" xr:uid="{00000000-0005-0000-0000-000095040000}"/>
    <cellStyle name="Salida 2 3" xfId="678" xr:uid="{00000000-0005-0000-0000-000096040000}"/>
    <cellStyle name="Salida 2 3 2" xfId="1065" xr:uid="{00000000-0005-0000-0000-000097040000}"/>
    <cellStyle name="Salida 2 3 3" xfId="1321" xr:uid="{00000000-0005-0000-0000-000098040000}"/>
    <cellStyle name="Salida 2 4" xfId="889" xr:uid="{00000000-0005-0000-0000-000099040000}"/>
    <cellStyle name="Salida 2 4 2" xfId="1276" xr:uid="{00000000-0005-0000-0000-00009A040000}"/>
    <cellStyle name="Salida 2 4 3" xfId="1516" xr:uid="{00000000-0005-0000-0000-00009B040000}"/>
    <cellStyle name="Salida 2 5" xfId="1034" xr:uid="{00000000-0005-0000-0000-00009C040000}"/>
    <cellStyle name="Salida 2 6" xfId="914" xr:uid="{00000000-0005-0000-0000-00009D040000}"/>
    <cellStyle name="Salida 3" xfId="798" xr:uid="{00000000-0005-0000-0000-00009E040000}"/>
    <cellStyle name="Salida 3 2" xfId="1185" xr:uid="{00000000-0005-0000-0000-00009F040000}"/>
    <cellStyle name="Salida 3 3" xfId="1425" xr:uid="{00000000-0005-0000-0000-0000A0040000}"/>
    <cellStyle name="Salida 4" xfId="679" xr:uid="{00000000-0005-0000-0000-0000A1040000}"/>
    <cellStyle name="Salida 4 2" xfId="1066" xr:uid="{00000000-0005-0000-0000-0000A2040000}"/>
    <cellStyle name="Salida 4 3" xfId="1322" xr:uid="{00000000-0005-0000-0000-0000A3040000}"/>
    <cellStyle name="Salida 5" xfId="888" xr:uid="{00000000-0005-0000-0000-0000A4040000}"/>
    <cellStyle name="Salida 5 2" xfId="1275" xr:uid="{00000000-0005-0000-0000-0000A5040000}"/>
    <cellStyle name="Salida 5 3" xfId="1515" xr:uid="{00000000-0005-0000-0000-0000A6040000}"/>
    <cellStyle name="Salida 6" xfId="1033" xr:uid="{00000000-0005-0000-0000-0000A7040000}"/>
    <cellStyle name="Salida 7" xfId="915" xr:uid="{00000000-0005-0000-0000-0000A8040000}"/>
    <cellStyle name="Semleges" xfId="544" xr:uid="{00000000-0005-0000-0000-0000A9040000}"/>
    <cellStyle name="Separador de milhares [0]_1.1  ANEXO 1" xfId="545" xr:uid="{00000000-0005-0000-0000-0000AA040000}"/>
    <cellStyle name="Separador de milhares_1.1  ANEXO 1" xfId="546" xr:uid="{00000000-0005-0000-0000-0000AB040000}"/>
    <cellStyle name="showExposure" xfId="547" xr:uid="{00000000-0005-0000-0000-0000AC040000}"/>
    <cellStyle name="Standaard_Kadaster prijzen per provincie" xfId="548" xr:uid="{00000000-0005-0000-0000-0000AD040000}"/>
    <cellStyle name="Standard 2" xfId="549" xr:uid="{00000000-0005-0000-0000-0000AE040000}"/>
    <cellStyle name="Standard 2 2" xfId="550" xr:uid="{00000000-0005-0000-0000-0000AF040000}"/>
    <cellStyle name="Standard 3" xfId="551" xr:uid="{00000000-0005-0000-0000-0000B0040000}"/>
    <cellStyle name="Standard 3 2" xfId="552" xr:uid="{00000000-0005-0000-0000-0000B1040000}"/>
    <cellStyle name="Standard 4" xfId="553" xr:uid="{00000000-0005-0000-0000-0000B2040000}"/>
    <cellStyle name="Standard_20100129_1559 Jentsch_COREP ON 20100129 COREP preliminary proposal_CR SA" xfId="554" xr:uid="{00000000-0005-0000-0000-0000B3040000}"/>
    <cellStyle name="Style 1" xfId="555" xr:uid="{00000000-0005-0000-0000-0000B4040000}"/>
    <cellStyle name="Style 1 2" xfId="556" xr:uid="{00000000-0005-0000-0000-0000B5040000}"/>
    <cellStyle name="Számítás" xfId="557" xr:uid="{00000000-0005-0000-0000-0000B6040000}"/>
    <cellStyle name="Számítás 2" xfId="558" xr:uid="{00000000-0005-0000-0000-0000B7040000}"/>
    <cellStyle name="Számítás 2 2" xfId="801" xr:uid="{00000000-0005-0000-0000-0000B8040000}"/>
    <cellStyle name="Számítás 2 2 2" xfId="1188" xr:uid="{00000000-0005-0000-0000-0000B9040000}"/>
    <cellStyle name="Számítás 2 2 3" xfId="1428" xr:uid="{00000000-0005-0000-0000-0000BA040000}"/>
    <cellStyle name="Számítás 2 3" xfId="676" xr:uid="{00000000-0005-0000-0000-0000BB040000}"/>
    <cellStyle name="Számítás 2 3 2" xfId="1063" xr:uid="{00000000-0005-0000-0000-0000BC040000}"/>
    <cellStyle name="Számítás 2 3 3" xfId="1319" xr:uid="{00000000-0005-0000-0000-0000BD040000}"/>
    <cellStyle name="Számítás 2 4" xfId="891" xr:uid="{00000000-0005-0000-0000-0000BE040000}"/>
    <cellStyle name="Számítás 2 4 2" xfId="1278" xr:uid="{00000000-0005-0000-0000-0000BF040000}"/>
    <cellStyle name="Számítás 2 4 3" xfId="1518" xr:uid="{00000000-0005-0000-0000-0000C0040000}"/>
    <cellStyle name="Számítás 2 5" xfId="1036" xr:uid="{00000000-0005-0000-0000-0000C1040000}"/>
    <cellStyle name="Számítás 2 6" xfId="912" xr:uid="{00000000-0005-0000-0000-0000C2040000}"/>
    <cellStyle name="Számítás 3" xfId="800" xr:uid="{00000000-0005-0000-0000-0000C3040000}"/>
    <cellStyle name="Számítás 3 2" xfId="1187" xr:uid="{00000000-0005-0000-0000-0000C4040000}"/>
    <cellStyle name="Számítás 3 3" xfId="1427" xr:uid="{00000000-0005-0000-0000-0000C5040000}"/>
    <cellStyle name="Számítás 4" xfId="677" xr:uid="{00000000-0005-0000-0000-0000C6040000}"/>
    <cellStyle name="Számítás 4 2" xfId="1064" xr:uid="{00000000-0005-0000-0000-0000C7040000}"/>
    <cellStyle name="Számítás 4 3" xfId="1320" xr:uid="{00000000-0005-0000-0000-0000C8040000}"/>
    <cellStyle name="Számítás 5" xfId="890" xr:uid="{00000000-0005-0000-0000-0000C9040000}"/>
    <cellStyle name="Számítás 5 2" xfId="1277" xr:uid="{00000000-0005-0000-0000-0000CA040000}"/>
    <cellStyle name="Számítás 5 3" xfId="1517" xr:uid="{00000000-0005-0000-0000-0000CB040000}"/>
    <cellStyle name="Számítás 6" xfId="1035" xr:uid="{00000000-0005-0000-0000-0000CC040000}"/>
    <cellStyle name="Számítás 7" xfId="913" xr:uid="{00000000-0005-0000-0000-0000CD040000}"/>
    <cellStyle name="Text" xfId="559" xr:uid="{00000000-0005-0000-0000-0000CE040000}"/>
    <cellStyle name="Text 2" xfId="560" xr:uid="{00000000-0005-0000-0000-0000CF040000}"/>
    <cellStyle name="Texto de advertencia" xfId="561" xr:uid="{00000000-0005-0000-0000-0000D0040000}"/>
    <cellStyle name="Texto explicativo" xfId="562" xr:uid="{00000000-0005-0000-0000-0000D1040000}"/>
    <cellStyle name="Title 2" xfId="563" xr:uid="{00000000-0005-0000-0000-0000D2040000}"/>
    <cellStyle name="Title 2 2" xfId="564" xr:uid="{00000000-0005-0000-0000-0000D3040000}"/>
    <cellStyle name="Title 3" xfId="565" xr:uid="{00000000-0005-0000-0000-0000D4040000}"/>
    <cellStyle name="Title 4" xfId="566" xr:uid="{00000000-0005-0000-0000-0000D5040000}"/>
    <cellStyle name="Título" xfId="567" xr:uid="{00000000-0005-0000-0000-0000D6040000}"/>
    <cellStyle name="Título 1" xfId="568" xr:uid="{00000000-0005-0000-0000-0000D7040000}"/>
    <cellStyle name="Título 2" xfId="569" xr:uid="{00000000-0005-0000-0000-0000D8040000}"/>
    <cellStyle name="Título 3" xfId="570" xr:uid="{00000000-0005-0000-0000-0000D9040000}"/>
    <cellStyle name="Título_20091015 DE_Proposed amendments to CR SEC_MKR" xfId="571" xr:uid="{00000000-0005-0000-0000-0000DA040000}"/>
    <cellStyle name="Total 2" xfId="572" xr:uid="{00000000-0005-0000-0000-0000DB040000}"/>
    <cellStyle name="Total 2 2" xfId="573" xr:uid="{00000000-0005-0000-0000-0000DC040000}"/>
    <cellStyle name="Total 2 2 2" xfId="574" xr:uid="{00000000-0005-0000-0000-0000DD040000}"/>
    <cellStyle name="Total 2 2 2 2" xfId="805" xr:uid="{00000000-0005-0000-0000-0000DE040000}"/>
    <cellStyle name="Total 2 2 2 2 2" xfId="1192" xr:uid="{00000000-0005-0000-0000-0000DF040000}"/>
    <cellStyle name="Total 2 2 2 2 3" xfId="1432" xr:uid="{00000000-0005-0000-0000-0000E0040000}"/>
    <cellStyle name="Total 2 2 2 3" xfId="673" xr:uid="{00000000-0005-0000-0000-0000E1040000}"/>
    <cellStyle name="Total 2 2 2 3 2" xfId="1060" xr:uid="{00000000-0005-0000-0000-0000E2040000}"/>
    <cellStyle name="Total 2 2 2 3 3" xfId="1316" xr:uid="{00000000-0005-0000-0000-0000E3040000}"/>
    <cellStyle name="Total 2 2 2 4" xfId="894" xr:uid="{00000000-0005-0000-0000-0000E4040000}"/>
    <cellStyle name="Total 2 2 2 4 2" xfId="1281" xr:uid="{00000000-0005-0000-0000-0000E5040000}"/>
    <cellStyle name="Total 2 2 2 4 3" xfId="1521" xr:uid="{00000000-0005-0000-0000-0000E6040000}"/>
    <cellStyle name="Total 2 2 2 5" xfId="1039" xr:uid="{00000000-0005-0000-0000-0000E7040000}"/>
    <cellStyle name="Total 2 2 2 6" xfId="1299" xr:uid="{00000000-0005-0000-0000-0000E8040000}"/>
    <cellStyle name="Total 2 2 3" xfId="804" xr:uid="{00000000-0005-0000-0000-0000E9040000}"/>
    <cellStyle name="Total 2 2 3 2" xfId="1191" xr:uid="{00000000-0005-0000-0000-0000EA040000}"/>
    <cellStyle name="Total 2 2 3 3" xfId="1431" xr:uid="{00000000-0005-0000-0000-0000EB040000}"/>
    <cellStyle name="Total 2 2 4" xfId="674" xr:uid="{00000000-0005-0000-0000-0000EC040000}"/>
    <cellStyle name="Total 2 2 4 2" xfId="1061" xr:uid="{00000000-0005-0000-0000-0000ED040000}"/>
    <cellStyle name="Total 2 2 4 3" xfId="1317" xr:uid="{00000000-0005-0000-0000-0000EE040000}"/>
    <cellStyle name="Total 2 2 5" xfId="893" xr:uid="{00000000-0005-0000-0000-0000EF040000}"/>
    <cellStyle name="Total 2 2 5 2" xfId="1280" xr:uid="{00000000-0005-0000-0000-0000F0040000}"/>
    <cellStyle name="Total 2 2 5 3" xfId="1520" xr:uid="{00000000-0005-0000-0000-0000F1040000}"/>
    <cellStyle name="Total 2 2 6" xfId="1038" xr:uid="{00000000-0005-0000-0000-0000F2040000}"/>
    <cellStyle name="Total 2 2 7" xfId="1298" xr:uid="{00000000-0005-0000-0000-0000F3040000}"/>
    <cellStyle name="Total 2 3" xfId="575" xr:uid="{00000000-0005-0000-0000-0000F4040000}"/>
    <cellStyle name="Total 2 3 2" xfId="806" xr:uid="{00000000-0005-0000-0000-0000F5040000}"/>
    <cellStyle name="Total 2 3 2 2" xfId="1193" xr:uid="{00000000-0005-0000-0000-0000F6040000}"/>
    <cellStyle name="Total 2 3 2 3" xfId="1433" xr:uid="{00000000-0005-0000-0000-0000F7040000}"/>
    <cellStyle name="Total 2 3 3" xfId="672" xr:uid="{00000000-0005-0000-0000-0000F8040000}"/>
    <cellStyle name="Total 2 3 3 2" xfId="1059" xr:uid="{00000000-0005-0000-0000-0000F9040000}"/>
    <cellStyle name="Total 2 3 3 3" xfId="1315" xr:uid="{00000000-0005-0000-0000-0000FA040000}"/>
    <cellStyle name="Total 2 3 4" xfId="895" xr:uid="{00000000-0005-0000-0000-0000FB040000}"/>
    <cellStyle name="Total 2 3 4 2" xfId="1282" xr:uid="{00000000-0005-0000-0000-0000FC040000}"/>
    <cellStyle name="Total 2 3 4 3" xfId="1522" xr:uid="{00000000-0005-0000-0000-0000FD040000}"/>
    <cellStyle name="Total 2 3 5" xfId="1040" xr:uid="{00000000-0005-0000-0000-0000FE040000}"/>
    <cellStyle name="Total 2 3 6" xfId="1300" xr:uid="{00000000-0005-0000-0000-0000FF040000}"/>
    <cellStyle name="Total 2 4" xfId="803" xr:uid="{00000000-0005-0000-0000-000000050000}"/>
    <cellStyle name="Total 2 4 2" xfId="1190" xr:uid="{00000000-0005-0000-0000-000001050000}"/>
    <cellStyle name="Total 2 4 3" xfId="1430" xr:uid="{00000000-0005-0000-0000-000002050000}"/>
    <cellStyle name="Total 2 5" xfId="675" xr:uid="{00000000-0005-0000-0000-000003050000}"/>
    <cellStyle name="Total 2 5 2" xfId="1062" xr:uid="{00000000-0005-0000-0000-000004050000}"/>
    <cellStyle name="Total 2 5 3" xfId="1318" xr:uid="{00000000-0005-0000-0000-000005050000}"/>
    <cellStyle name="Total 2 6" xfId="892" xr:uid="{00000000-0005-0000-0000-000006050000}"/>
    <cellStyle name="Total 2 6 2" xfId="1279" xr:uid="{00000000-0005-0000-0000-000007050000}"/>
    <cellStyle name="Total 2 6 3" xfId="1519" xr:uid="{00000000-0005-0000-0000-000008050000}"/>
    <cellStyle name="Total 2 7" xfId="1037" xr:uid="{00000000-0005-0000-0000-000009050000}"/>
    <cellStyle name="Total 2 8" xfId="1297" xr:uid="{00000000-0005-0000-0000-00000A050000}"/>
    <cellStyle name="Total 3" xfId="576" xr:uid="{00000000-0005-0000-0000-00000B050000}"/>
    <cellStyle name="Total 3 2" xfId="577" xr:uid="{00000000-0005-0000-0000-00000C050000}"/>
    <cellStyle name="Total 3 2 2" xfId="808" xr:uid="{00000000-0005-0000-0000-00000D050000}"/>
    <cellStyle name="Total 3 2 2 2" xfId="1195" xr:uid="{00000000-0005-0000-0000-00000E050000}"/>
    <cellStyle name="Total 3 2 2 3" xfId="1435" xr:uid="{00000000-0005-0000-0000-00000F050000}"/>
    <cellStyle name="Total 3 2 3" xfId="833" xr:uid="{00000000-0005-0000-0000-000010050000}"/>
    <cellStyle name="Total 3 2 3 2" xfId="1220" xr:uid="{00000000-0005-0000-0000-000011050000}"/>
    <cellStyle name="Total 3 2 3 3" xfId="1460" xr:uid="{00000000-0005-0000-0000-000012050000}"/>
    <cellStyle name="Total 3 2 4" xfId="897" xr:uid="{00000000-0005-0000-0000-000013050000}"/>
    <cellStyle name="Total 3 2 4 2" xfId="1284" xr:uid="{00000000-0005-0000-0000-000014050000}"/>
    <cellStyle name="Total 3 2 4 3" xfId="1524" xr:uid="{00000000-0005-0000-0000-000015050000}"/>
    <cellStyle name="Total 3 2 5" xfId="1042" xr:uid="{00000000-0005-0000-0000-000016050000}"/>
    <cellStyle name="Total 3 2 6" xfId="1302" xr:uid="{00000000-0005-0000-0000-000017050000}"/>
    <cellStyle name="Total 3 3" xfId="807" xr:uid="{00000000-0005-0000-0000-000018050000}"/>
    <cellStyle name="Total 3 3 2" xfId="1194" xr:uid="{00000000-0005-0000-0000-000019050000}"/>
    <cellStyle name="Total 3 3 3" xfId="1434" xr:uid="{00000000-0005-0000-0000-00001A050000}"/>
    <cellStyle name="Total 3 4" xfId="832" xr:uid="{00000000-0005-0000-0000-00001B050000}"/>
    <cellStyle name="Total 3 4 2" xfId="1219" xr:uid="{00000000-0005-0000-0000-00001C050000}"/>
    <cellStyle name="Total 3 4 3" xfId="1459" xr:uid="{00000000-0005-0000-0000-00001D050000}"/>
    <cellStyle name="Total 3 5" xfId="896" xr:uid="{00000000-0005-0000-0000-00001E050000}"/>
    <cellStyle name="Total 3 5 2" xfId="1283" xr:uid="{00000000-0005-0000-0000-00001F050000}"/>
    <cellStyle name="Total 3 5 3" xfId="1523" xr:uid="{00000000-0005-0000-0000-000020050000}"/>
    <cellStyle name="Total 3 6" xfId="1041" xr:uid="{00000000-0005-0000-0000-000021050000}"/>
    <cellStyle name="Total 3 7" xfId="1301" xr:uid="{00000000-0005-0000-0000-000022050000}"/>
    <cellStyle name="USD" xfId="578" xr:uid="{00000000-0005-0000-0000-000023050000}"/>
    <cellStyle name="USD 2" xfId="579" xr:uid="{00000000-0005-0000-0000-000024050000}"/>
    <cellStyle name="USD Paren" xfId="580" xr:uid="{00000000-0005-0000-0000-000025050000}"/>
    <cellStyle name="USD_A_total" xfId="581" xr:uid="{00000000-0005-0000-0000-000026050000}"/>
    <cellStyle name="Valuta [0]_Betaalbaarheid_a" xfId="582" xr:uid="{00000000-0005-0000-0000-000027050000}"/>
    <cellStyle name="Valuta_Betaalbaarheid_a" xfId="583" xr:uid="{00000000-0005-0000-0000-000028050000}"/>
    <cellStyle name="Währung [0]_CoAsDCol" xfId="584" xr:uid="{00000000-0005-0000-0000-000029050000}"/>
    <cellStyle name="Währung_CoAsDCol" xfId="585" xr:uid="{00000000-0005-0000-0000-00002A050000}"/>
    <cellStyle name="Warning Text 2" xfId="586" xr:uid="{00000000-0005-0000-0000-00002B050000}"/>
    <cellStyle name="Warning Text 2 2" xfId="587" xr:uid="{00000000-0005-0000-0000-00002C050000}"/>
    <cellStyle name="Warning Text 3" xfId="588" xr:uid="{00000000-0005-0000-0000-00002D050000}"/>
    <cellStyle name="Warning Text 4" xfId="589" xr:uid="{00000000-0005-0000-0000-00002E050000}"/>
    <cellStyle name="WebAnchor1" xfId="590" xr:uid="{00000000-0005-0000-0000-00002F050000}"/>
    <cellStyle name="WebAnchor2" xfId="591" xr:uid="{00000000-0005-0000-0000-000030050000}"/>
    <cellStyle name="WebAnchor3" xfId="592" xr:uid="{00000000-0005-0000-0000-000031050000}"/>
    <cellStyle name="WebAnchor4" xfId="593" xr:uid="{00000000-0005-0000-0000-000032050000}"/>
    <cellStyle name="WebAnchor5" xfId="594" xr:uid="{00000000-0005-0000-0000-000033050000}"/>
    <cellStyle name="WebAnchor6" xfId="595" xr:uid="{00000000-0005-0000-0000-000034050000}"/>
    <cellStyle name="WebAnchor7" xfId="596" xr:uid="{00000000-0005-0000-0000-000035050000}"/>
    <cellStyle name="WebBold" xfId="597" xr:uid="{00000000-0005-0000-0000-000036050000}"/>
    <cellStyle name="WebDate" xfId="598" xr:uid="{00000000-0005-0000-0000-000037050000}"/>
    <cellStyle name="WebExclude" xfId="599" xr:uid="{00000000-0005-0000-0000-000038050000}"/>
    <cellStyle name="WebFN" xfId="600" xr:uid="{00000000-0005-0000-0000-000039050000}"/>
    <cellStyle name="WebFN1" xfId="601" xr:uid="{00000000-0005-0000-0000-00003A050000}"/>
    <cellStyle name="WebFN2" xfId="602" xr:uid="{00000000-0005-0000-0000-00003B050000}"/>
    <cellStyle name="WebFN3" xfId="603" xr:uid="{00000000-0005-0000-0000-00003C050000}"/>
    <cellStyle name="WebFN4" xfId="604" xr:uid="{00000000-0005-0000-0000-00003D050000}"/>
    <cellStyle name="WebHR" xfId="605" xr:uid="{00000000-0005-0000-0000-00003E050000}"/>
    <cellStyle name="WebIndent1" xfId="606" xr:uid="{00000000-0005-0000-0000-00003F050000}"/>
    <cellStyle name="WebIndent1wFN3" xfId="607" xr:uid="{00000000-0005-0000-0000-000040050000}"/>
    <cellStyle name="WebIndent2" xfId="608" xr:uid="{00000000-0005-0000-0000-000041050000}"/>
    <cellStyle name="WebNoBR" xfId="609" xr:uid="{00000000-0005-0000-0000-000042050000}"/>
    <cellStyle name="WiP" xfId="610" xr:uid="{00000000-0005-0000-0000-000043050000}"/>
    <cellStyle name="Βασικό_Bond reconciliation SAP_TVS_MO 06 2007" xfId="611" xr:uid="{00000000-0005-0000-0000-000044050000}"/>
    <cellStyle name="Διαχωριστικό χιλιάδων/υποδιαστολή_Bond reconciliation SAP_TVS_MO 06 2007" xfId="612" xr:uid="{00000000-0005-0000-0000-000045050000}"/>
    <cellStyle name="Εισαγωγή" xfId="613" xr:uid="{00000000-0005-0000-0000-000046050000}"/>
    <cellStyle name="Εισαγωγή 2" xfId="614" xr:uid="{00000000-0005-0000-0000-000047050000}"/>
    <cellStyle name="Εισαγωγή 2 2" xfId="821" xr:uid="{00000000-0005-0000-0000-000048050000}"/>
    <cellStyle name="Εισαγωγή 2 2 2" xfId="1208" xr:uid="{00000000-0005-0000-0000-000049050000}"/>
    <cellStyle name="Εισαγωγή 2 2 3" xfId="1448" xr:uid="{00000000-0005-0000-0000-00004A050000}"/>
    <cellStyle name="Εισαγωγή 2 3" xfId="835" xr:uid="{00000000-0005-0000-0000-00004B050000}"/>
    <cellStyle name="Εισαγωγή 2 3 2" xfId="1222" xr:uid="{00000000-0005-0000-0000-00004C050000}"/>
    <cellStyle name="Εισαγωγή 2 3 3" xfId="1462" xr:uid="{00000000-0005-0000-0000-00004D050000}"/>
    <cellStyle name="Εισαγωγή 2 4" xfId="899" xr:uid="{00000000-0005-0000-0000-00004E050000}"/>
    <cellStyle name="Εισαγωγή 2 4 2" xfId="1286" xr:uid="{00000000-0005-0000-0000-00004F050000}"/>
    <cellStyle name="Εισαγωγή 2 4 3" xfId="1526" xr:uid="{00000000-0005-0000-0000-000050050000}"/>
    <cellStyle name="Εισαγωγή 2 5" xfId="1044" xr:uid="{00000000-0005-0000-0000-000051050000}"/>
    <cellStyle name="Εισαγωγή 2 6" xfId="1304" xr:uid="{00000000-0005-0000-0000-000052050000}"/>
    <cellStyle name="Εισαγωγή 3" xfId="820" xr:uid="{00000000-0005-0000-0000-000053050000}"/>
    <cellStyle name="Εισαγωγή 3 2" xfId="1207" xr:uid="{00000000-0005-0000-0000-000054050000}"/>
    <cellStyle name="Εισαγωγή 3 3" xfId="1447" xr:uid="{00000000-0005-0000-0000-000055050000}"/>
    <cellStyle name="Εισαγωγή 4" xfId="834" xr:uid="{00000000-0005-0000-0000-000056050000}"/>
    <cellStyle name="Εισαγωγή 4 2" xfId="1221" xr:uid="{00000000-0005-0000-0000-000057050000}"/>
    <cellStyle name="Εισαγωγή 4 3" xfId="1461" xr:uid="{00000000-0005-0000-0000-000058050000}"/>
    <cellStyle name="Εισαγωγή 5" xfId="898" xr:uid="{00000000-0005-0000-0000-000059050000}"/>
    <cellStyle name="Εισαγωγή 5 2" xfId="1285" xr:uid="{00000000-0005-0000-0000-00005A050000}"/>
    <cellStyle name="Εισαγωγή 5 3" xfId="1525" xr:uid="{00000000-0005-0000-0000-00005B050000}"/>
    <cellStyle name="Εισαγωγή 6" xfId="1043" xr:uid="{00000000-0005-0000-0000-00005C050000}"/>
    <cellStyle name="Εισαγωγή 7" xfId="1303" xr:uid="{00000000-0005-0000-0000-00005D050000}"/>
    <cellStyle name="Έλεγχος κελιού" xfId="615" xr:uid="{00000000-0005-0000-0000-00005E050000}"/>
    <cellStyle name="Έμφαση1" xfId="616" xr:uid="{00000000-0005-0000-0000-00005F050000}"/>
    <cellStyle name="Έμφαση2" xfId="617" xr:uid="{00000000-0005-0000-0000-000060050000}"/>
    <cellStyle name="Έμφαση3" xfId="618" xr:uid="{00000000-0005-0000-0000-000061050000}"/>
    <cellStyle name="Έμφαση4" xfId="619" xr:uid="{00000000-0005-0000-0000-000062050000}"/>
    <cellStyle name="Έμφαση5" xfId="620" xr:uid="{00000000-0005-0000-0000-000063050000}"/>
    <cellStyle name="Έμφαση6" xfId="621" xr:uid="{00000000-0005-0000-0000-000064050000}"/>
    <cellStyle name="Έξοδος" xfId="622" xr:uid="{00000000-0005-0000-0000-000065050000}"/>
    <cellStyle name="Έξοδος 2" xfId="623" xr:uid="{00000000-0005-0000-0000-000066050000}"/>
    <cellStyle name="Έξοδος 2 2" xfId="823" xr:uid="{00000000-0005-0000-0000-000067050000}"/>
    <cellStyle name="Έξοδος 2 2 2" xfId="1210" xr:uid="{00000000-0005-0000-0000-000068050000}"/>
    <cellStyle name="Έξοδος 2 2 3" xfId="1450" xr:uid="{00000000-0005-0000-0000-000069050000}"/>
    <cellStyle name="Έξοδος 2 3" xfId="837" xr:uid="{00000000-0005-0000-0000-00006A050000}"/>
    <cellStyle name="Έξοδος 2 3 2" xfId="1224" xr:uid="{00000000-0005-0000-0000-00006B050000}"/>
    <cellStyle name="Έξοδος 2 3 3" xfId="1464" xr:uid="{00000000-0005-0000-0000-00006C050000}"/>
    <cellStyle name="Έξοδος 2 4" xfId="901" xr:uid="{00000000-0005-0000-0000-00006D050000}"/>
    <cellStyle name="Έξοδος 2 4 2" xfId="1288" xr:uid="{00000000-0005-0000-0000-00006E050000}"/>
    <cellStyle name="Έξοδος 2 4 3" xfId="1528" xr:uid="{00000000-0005-0000-0000-00006F050000}"/>
    <cellStyle name="Έξοδος 2 5" xfId="1046" xr:uid="{00000000-0005-0000-0000-000070050000}"/>
    <cellStyle name="Έξοδος 2 6" xfId="1306" xr:uid="{00000000-0005-0000-0000-000071050000}"/>
    <cellStyle name="Έξοδος 3" xfId="822" xr:uid="{00000000-0005-0000-0000-000072050000}"/>
    <cellStyle name="Έξοδος 3 2" xfId="1209" xr:uid="{00000000-0005-0000-0000-000073050000}"/>
    <cellStyle name="Έξοδος 3 3" xfId="1449" xr:uid="{00000000-0005-0000-0000-000074050000}"/>
    <cellStyle name="Έξοδος 4" xfId="836" xr:uid="{00000000-0005-0000-0000-000075050000}"/>
    <cellStyle name="Έξοδος 4 2" xfId="1223" xr:uid="{00000000-0005-0000-0000-000076050000}"/>
    <cellStyle name="Έξοδος 4 3" xfId="1463" xr:uid="{00000000-0005-0000-0000-000077050000}"/>
    <cellStyle name="Έξοδος 5" xfId="900" xr:uid="{00000000-0005-0000-0000-000078050000}"/>
    <cellStyle name="Έξοδος 5 2" xfId="1287" xr:uid="{00000000-0005-0000-0000-000079050000}"/>
    <cellStyle name="Έξοδος 5 3" xfId="1527" xr:uid="{00000000-0005-0000-0000-00007A050000}"/>
    <cellStyle name="Έξοδος 6" xfId="1045" xr:uid="{00000000-0005-0000-0000-00007B050000}"/>
    <cellStyle name="Έξοδος 7" xfId="1305" xr:uid="{00000000-0005-0000-0000-00007C050000}"/>
    <cellStyle name="Επεξηγηματικό κείμενο" xfId="624" xr:uid="{00000000-0005-0000-0000-00007D050000}"/>
    <cellStyle name="Επικεφαλίδα 1" xfId="625" xr:uid="{00000000-0005-0000-0000-00007E050000}"/>
    <cellStyle name="Επικεφαλίδα 2" xfId="626" xr:uid="{00000000-0005-0000-0000-00007F050000}"/>
    <cellStyle name="Επικεφαλίδα 3" xfId="627" xr:uid="{00000000-0005-0000-0000-000080050000}"/>
    <cellStyle name="Επικεφαλίδα 4" xfId="628" xr:uid="{00000000-0005-0000-0000-000081050000}"/>
    <cellStyle name="Κακό" xfId="629" xr:uid="{00000000-0005-0000-0000-000082050000}"/>
    <cellStyle name="Καλό" xfId="630" xr:uid="{00000000-0005-0000-0000-000083050000}"/>
    <cellStyle name="Κανονικό 2" xfId="631" xr:uid="{00000000-0005-0000-0000-000084050000}"/>
    <cellStyle name="Κανονικό 3" xfId="632" xr:uid="{00000000-0005-0000-0000-000085050000}"/>
    <cellStyle name="Κανονικό 3 18 2" xfId="633" xr:uid="{00000000-0005-0000-0000-000086050000}"/>
    <cellStyle name="Κανονικό 3 19" xfId="634" xr:uid="{00000000-0005-0000-0000-000087050000}"/>
    <cellStyle name="Κανονικό 3 2" xfId="635" xr:uid="{00000000-0005-0000-0000-000088050000}"/>
    <cellStyle name="Κανονικό 4" xfId="636" xr:uid="{00000000-0005-0000-0000-000089050000}"/>
    <cellStyle name="Κανονικό 4 2" xfId="637" xr:uid="{00000000-0005-0000-0000-00008A050000}"/>
    <cellStyle name="Κόμμα 2" xfId="638" xr:uid="{00000000-0005-0000-0000-00008B050000}"/>
    <cellStyle name="Κόμμα 2 2" xfId="639" xr:uid="{00000000-0005-0000-0000-00008C050000}"/>
    <cellStyle name="Κόμμα 3" xfId="640" xr:uid="{00000000-0005-0000-0000-00008D050000}"/>
    <cellStyle name="Κόμμα 3 2" xfId="641" xr:uid="{00000000-0005-0000-0000-00008E050000}"/>
    <cellStyle name="Ουδέτερο" xfId="642" xr:uid="{00000000-0005-0000-0000-00008F050000}"/>
    <cellStyle name="Προειδοποιητικό κείμενο" xfId="643" xr:uid="{00000000-0005-0000-0000-000090050000}"/>
    <cellStyle name="Σημείωση" xfId="644" xr:uid="{00000000-0005-0000-0000-000091050000}"/>
    <cellStyle name="Σημείωση 2" xfId="645" xr:uid="{00000000-0005-0000-0000-000092050000}"/>
    <cellStyle name="Σημείωση 2 2" xfId="646" xr:uid="{00000000-0005-0000-0000-000093050000}"/>
    <cellStyle name="Σημείωση 2 2 2" xfId="826" xr:uid="{00000000-0005-0000-0000-000094050000}"/>
    <cellStyle name="Σημείωση 2 2 2 2" xfId="1213" xr:uid="{00000000-0005-0000-0000-000095050000}"/>
    <cellStyle name="Σημείωση 2 2 2 3" xfId="1453" xr:uid="{00000000-0005-0000-0000-000096050000}"/>
    <cellStyle name="Σημείωση 2 2 3" xfId="840" xr:uid="{00000000-0005-0000-0000-000097050000}"/>
    <cellStyle name="Σημείωση 2 2 3 2" xfId="1227" xr:uid="{00000000-0005-0000-0000-000098050000}"/>
    <cellStyle name="Σημείωση 2 2 3 3" xfId="1467" xr:uid="{00000000-0005-0000-0000-000099050000}"/>
    <cellStyle name="Σημείωση 2 2 4" xfId="904" xr:uid="{00000000-0005-0000-0000-00009A050000}"/>
    <cellStyle name="Σημείωση 2 2 4 2" xfId="1291" xr:uid="{00000000-0005-0000-0000-00009B050000}"/>
    <cellStyle name="Σημείωση 2 2 4 3" xfId="1531" xr:uid="{00000000-0005-0000-0000-00009C050000}"/>
    <cellStyle name="Σημείωση 2 2 5" xfId="1049" xr:uid="{00000000-0005-0000-0000-00009D050000}"/>
    <cellStyle name="Σημείωση 2 2 6" xfId="1309" xr:uid="{00000000-0005-0000-0000-00009E050000}"/>
    <cellStyle name="Σημείωση 2 3" xfId="825" xr:uid="{00000000-0005-0000-0000-00009F050000}"/>
    <cellStyle name="Σημείωση 2 3 2" xfId="1212" xr:uid="{00000000-0005-0000-0000-0000A0050000}"/>
    <cellStyle name="Σημείωση 2 3 3" xfId="1452" xr:uid="{00000000-0005-0000-0000-0000A1050000}"/>
    <cellStyle name="Σημείωση 2 4" xfId="839" xr:uid="{00000000-0005-0000-0000-0000A2050000}"/>
    <cellStyle name="Σημείωση 2 4 2" xfId="1226" xr:uid="{00000000-0005-0000-0000-0000A3050000}"/>
    <cellStyle name="Σημείωση 2 4 3" xfId="1466" xr:uid="{00000000-0005-0000-0000-0000A4050000}"/>
    <cellStyle name="Σημείωση 2 5" xfId="903" xr:uid="{00000000-0005-0000-0000-0000A5050000}"/>
    <cellStyle name="Σημείωση 2 5 2" xfId="1290" xr:uid="{00000000-0005-0000-0000-0000A6050000}"/>
    <cellStyle name="Σημείωση 2 5 3" xfId="1530" xr:uid="{00000000-0005-0000-0000-0000A7050000}"/>
    <cellStyle name="Σημείωση 2 6" xfId="1048" xr:uid="{00000000-0005-0000-0000-0000A8050000}"/>
    <cellStyle name="Σημείωση 2 7" xfId="1308" xr:uid="{00000000-0005-0000-0000-0000A9050000}"/>
    <cellStyle name="Σημείωση 3" xfId="647" xr:uid="{00000000-0005-0000-0000-0000AA050000}"/>
    <cellStyle name="Σημείωση 3 2" xfId="827" xr:uid="{00000000-0005-0000-0000-0000AB050000}"/>
    <cellStyle name="Σημείωση 3 2 2" xfId="1214" xr:uid="{00000000-0005-0000-0000-0000AC050000}"/>
    <cellStyle name="Σημείωση 3 2 3" xfId="1454" xr:uid="{00000000-0005-0000-0000-0000AD050000}"/>
    <cellStyle name="Σημείωση 3 3" xfId="841" xr:uid="{00000000-0005-0000-0000-0000AE050000}"/>
    <cellStyle name="Σημείωση 3 3 2" xfId="1228" xr:uid="{00000000-0005-0000-0000-0000AF050000}"/>
    <cellStyle name="Σημείωση 3 3 3" xfId="1468" xr:uid="{00000000-0005-0000-0000-0000B0050000}"/>
    <cellStyle name="Σημείωση 3 4" xfId="905" xr:uid="{00000000-0005-0000-0000-0000B1050000}"/>
    <cellStyle name="Σημείωση 3 4 2" xfId="1292" xr:uid="{00000000-0005-0000-0000-0000B2050000}"/>
    <cellStyle name="Σημείωση 3 4 3" xfId="1532" xr:uid="{00000000-0005-0000-0000-0000B3050000}"/>
    <cellStyle name="Σημείωση 3 5" xfId="1050" xr:uid="{00000000-0005-0000-0000-0000B4050000}"/>
    <cellStyle name="Σημείωση 3 6" xfId="1310" xr:uid="{00000000-0005-0000-0000-0000B5050000}"/>
    <cellStyle name="Σημείωση 4" xfId="824" xr:uid="{00000000-0005-0000-0000-0000B6050000}"/>
    <cellStyle name="Σημείωση 4 2" xfId="1211" xr:uid="{00000000-0005-0000-0000-0000B7050000}"/>
    <cellStyle name="Σημείωση 4 3" xfId="1451" xr:uid="{00000000-0005-0000-0000-0000B8050000}"/>
    <cellStyle name="Σημείωση 5" xfId="838" xr:uid="{00000000-0005-0000-0000-0000B9050000}"/>
    <cellStyle name="Σημείωση 5 2" xfId="1225" xr:uid="{00000000-0005-0000-0000-0000BA050000}"/>
    <cellStyle name="Σημείωση 5 3" xfId="1465" xr:uid="{00000000-0005-0000-0000-0000BB050000}"/>
    <cellStyle name="Σημείωση 6" xfId="902" xr:uid="{00000000-0005-0000-0000-0000BC050000}"/>
    <cellStyle name="Σημείωση 6 2" xfId="1289" xr:uid="{00000000-0005-0000-0000-0000BD050000}"/>
    <cellStyle name="Σημείωση 6 3" xfId="1529" xr:uid="{00000000-0005-0000-0000-0000BE050000}"/>
    <cellStyle name="Σημείωση 7" xfId="1047" xr:uid="{00000000-0005-0000-0000-0000BF050000}"/>
    <cellStyle name="Σημείωση 8" xfId="1307" xr:uid="{00000000-0005-0000-0000-0000C0050000}"/>
    <cellStyle name="Συνδεδεμένο κελί" xfId="648" xr:uid="{00000000-0005-0000-0000-0000C1050000}"/>
    <cellStyle name="Συνδεδεμένο κελί 2" xfId="649" xr:uid="{00000000-0005-0000-0000-0000C2050000}"/>
    <cellStyle name="Συνδεδεμένο κελί 3" xfId="650" xr:uid="{00000000-0005-0000-0000-0000C3050000}"/>
    <cellStyle name="Σύνολο" xfId="651" xr:uid="{00000000-0005-0000-0000-0000C4050000}"/>
    <cellStyle name="Σύνολο 2" xfId="652" xr:uid="{00000000-0005-0000-0000-0000C5050000}"/>
    <cellStyle name="Σύνολο 2 2" xfId="829" xr:uid="{00000000-0005-0000-0000-0000C6050000}"/>
    <cellStyle name="Σύνολο 2 2 2" xfId="1216" xr:uid="{00000000-0005-0000-0000-0000C7050000}"/>
    <cellStyle name="Σύνολο 2 2 3" xfId="1456" xr:uid="{00000000-0005-0000-0000-0000C8050000}"/>
    <cellStyle name="Σύνολο 2 3" xfId="843" xr:uid="{00000000-0005-0000-0000-0000C9050000}"/>
    <cellStyle name="Σύνολο 2 3 2" xfId="1230" xr:uid="{00000000-0005-0000-0000-0000CA050000}"/>
    <cellStyle name="Σύνολο 2 3 3" xfId="1470" xr:uid="{00000000-0005-0000-0000-0000CB050000}"/>
    <cellStyle name="Σύνολο 2 4" xfId="907" xr:uid="{00000000-0005-0000-0000-0000CC050000}"/>
    <cellStyle name="Σύνολο 2 4 2" xfId="1294" xr:uid="{00000000-0005-0000-0000-0000CD050000}"/>
    <cellStyle name="Σύνολο 2 4 3" xfId="1534" xr:uid="{00000000-0005-0000-0000-0000CE050000}"/>
    <cellStyle name="Σύνολο 2 5" xfId="1052" xr:uid="{00000000-0005-0000-0000-0000CF050000}"/>
    <cellStyle name="Σύνολο 2 6" xfId="1312" xr:uid="{00000000-0005-0000-0000-0000D0050000}"/>
    <cellStyle name="Σύνολο 3" xfId="828" xr:uid="{00000000-0005-0000-0000-0000D1050000}"/>
    <cellStyle name="Σύνολο 3 2" xfId="1215" xr:uid="{00000000-0005-0000-0000-0000D2050000}"/>
    <cellStyle name="Σύνολο 3 3" xfId="1455" xr:uid="{00000000-0005-0000-0000-0000D3050000}"/>
    <cellStyle name="Σύνολο 4" xfId="842" xr:uid="{00000000-0005-0000-0000-0000D4050000}"/>
    <cellStyle name="Σύνολο 4 2" xfId="1229" xr:uid="{00000000-0005-0000-0000-0000D5050000}"/>
    <cellStyle name="Σύνολο 4 3" xfId="1469" xr:uid="{00000000-0005-0000-0000-0000D6050000}"/>
    <cellStyle name="Σύνολο 5" xfId="906" xr:uid="{00000000-0005-0000-0000-0000D7050000}"/>
    <cellStyle name="Σύνολο 5 2" xfId="1293" xr:uid="{00000000-0005-0000-0000-0000D8050000}"/>
    <cellStyle name="Σύνολο 5 3" xfId="1533" xr:uid="{00000000-0005-0000-0000-0000D9050000}"/>
    <cellStyle name="Σύνολο 6" xfId="1051" xr:uid="{00000000-0005-0000-0000-0000DA050000}"/>
    <cellStyle name="Σύνολο 7" xfId="1311" xr:uid="{00000000-0005-0000-0000-0000DB050000}"/>
    <cellStyle name="Τίτλος" xfId="653" xr:uid="{00000000-0005-0000-0000-0000DC050000}"/>
    <cellStyle name="Υπολογισμός" xfId="654" xr:uid="{00000000-0005-0000-0000-0000DD050000}"/>
    <cellStyle name="Υπολογισμός 2" xfId="655" xr:uid="{00000000-0005-0000-0000-0000DE050000}"/>
    <cellStyle name="Υπολογισμός 2 2" xfId="831" xr:uid="{00000000-0005-0000-0000-0000DF050000}"/>
    <cellStyle name="Υπολογισμός 2 2 2" xfId="1218" xr:uid="{00000000-0005-0000-0000-0000E0050000}"/>
    <cellStyle name="Υπολογισμός 2 2 3" xfId="1458" xr:uid="{00000000-0005-0000-0000-0000E1050000}"/>
    <cellStyle name="Υπολογισμός 2 3" xfId="845" xr:uid="{00000000-0005-0000-0000-0000E2050000}"/>
    <cellStyle name="Υπολογισμός 2 3 2" xfId="1232" xr:uid="{00000000-0005-0000-0000-0000E3050000}"/>
    <cellStyle name="Υπολογισμός 2 3 3" xfId="1472" xr:uid="{00000000-0005-0000-0000-0000E4050000}"/>
    <cellStyle name="Υπολογισμός 2 4" xfId="909" xr:uid="{00000000-0005-0000-0000-0000E5050000}"/>
    <cellStyle name="Υπολογισμός 2 4 2" xfId="1296" xr:uid="{00000000-0005-0000-0000-0000E6050000}"/>
    <cellStyle name="Υπολογισμός 2 4 3" xfId="1536" xr:uid="{00000000-0005-0000-0000-0000E7050000}"/>
    <cellStyle name="Υπολογισμός 2 5" xfId="1054" xr:uid="{00000000-0005-0000-0000-0000E8050000}"/>
    <cellStyle name="Υπολογισμός 2 6" xfId="1314" xr:uid="{00000000-0005-0000-0000-0000E9050000}"/>
    <cellStyle name="Υπολογισμός 3" xfId="830" xr:uid="{00000000-0005-0000-0000-0000EA050000}"/>
    <cellStyle name="Υπολογισμός 3 2" xfId="1217" xr:uid="{00000000-0005-0000-0000-0000EB050000}"/>
    <cellStyle name="Υπολογισμός 3 3" xfId="1457" xr:uid="{00000000-0005-0000-0000-0000EC050000}"/>
    <cellStyle name="Υπολογισμός 4" xfId="844" xr:uid="{00000000-0005-0000-0000-0000ED050000}"/>
    <cellStyle name="Υπολογισμός 4 2" xfId="1231" xr:uid="{00000000-0005-0000-0000-0000EE050000}"/>
    <cellStyle name="Υπολογισμός 4 3" xfId="1471" xr:uid="{00000000-0005-0000-0000-0000EF050000}"/>
    <cellStyle name="Υπολογισμός 5" xfId="908" xr:uid="{00000000-0005-0000-0000-0000F0050000}"/>
    <cellStyle name="Υπολογισμός 5 2" xfId="1295" xr:uid="{00000000-0005-0000-0000-0000F1050000}"/>
    <cellStyle name="Υπολογισμός 5 3" xfId="1535" xr:uid="{00000000-0005-0000-0000-0000F2050000}"/>
    <cellStyle name="Υπολογισμός 6" xfId="1053" xr:uid="{00000000-0005-0000-0000-0000F3050000}"/>
    <cellStyle name="Υπολογισμός 7" xfId="1313" xr:uid="{00000000-0005-0000-0000-0000F4050000}"/>
    <cellStyle name="ДАТА" xfId="656" xr:uid="{00000000-0005-0000-0000-0000F5050000}"/>
    <cellStyle name="Денежный [0]_BARNARD" xfId="657" xr:uid="{00000000-0005-0000-0000-0000F6050000}"/>
    <cellStyle name="Денежный_BARNARD" xfId="658" xr:uid="{00000000-0005-0000-0000-0000F7050000}"/>
    <cellStyle name="ЗАГОЛОВОК1" xfId="659" xr:uid="{00000000-0005-0000-0000-0000F8050000}"/>
    <cellStyle name="ЗАГОЛОВОК2" xfId="660" xr:uid="{00000000-0005-0000-0000-0000F9050000}"/>
    <cellStyle name="ИТОГОВЫЙ" xfId="661" xr:uid="{00000000-0005-0000-0000-0000FA050000}"/>
    <cellStyle name="Обычный_1-Б (6)_1" xfId="662" xr:uid="{00000000-0005-0000-0000-0000FB050000}"/>
    <cellStyle name="ПРОЦЕНТНЫЙ_BOPENGC" xfId="663" xr:uid="{00000000-0005-0000-0000-0000FC050000}"/>
    <cellStyle name="ТЕКСТ" xfId="664" xr:uid="{00000000-0005-0000-0000-0000FD050000}"/>
    <cellStyle name="ФИКСИРОВАННЫЙ" xfId="665" xr:uid="{00000000-0005-0000-0000-0000FE050000}"/>
    <cellStyle name="Финансовый [0]_BARNARD" xfId="666" xr:uid="{00000000-0005-0000-0000-0000FF050000}"/>
    <cellStyle name="Финансовый_BARNARD" xfId="667" xr:uid="{00000000-0005-0000-0000-00000006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515151"/>
      <rgbColor rgb="FFD5D5D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36"/>
  <sheetViews>
    <sheetView tabSelected="1" workbookViewId="0"/>
  </sheetViews>
  <sheetFormatPr defaultColWidth="0" defaultRowHeight="15" zeroHeight="1"/>
  <cols>
    <col min="1" max="1" width="4.5703125" style="98" customWidth="1"/>
    <col min="2" max="2" width="43.140625" style="100" customWidth="1"/>
    <col min="3" max="3" width="3.42578125" style="98" customWidth="1"/>
    <col min="4" max="4" width="16.42578125" style="98" customWidth="1"/>
    <col min="5" max="5" width="18" style="98" customWidth="1"/>
    <col min="6" max="7" width="11.42578125" style="98" customWidth="1"/>
    <col min="8" max="8" width="5.140625" style="99" customWidth="1"/>
    <col min="9" max="23" width="0" style="99" hidden="1" customWidth="1"/>
    <col min="24" max="16384" width="8.85546875" style="99" hidden="1"/>
  </cols>
  <sheetData>
    <row r="1" spans="1:23" ht="21">
      <c r="A1" s="128"/>
      <c r="B1" s="216" t="s">
        <v>103</v>
      </c>
      <c r="C1" s="216"/>
      <c r="D1" s="216"/>
      <c r="E1" s="216"/>
      <c r="F1" s="216"/>
      <c r="G1" s="216"/>
      <c r="H1" s="128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27"/>
      <c r="V1" s="127"/>
      <c r="W1" s="127"/>
    </row>
    <row r="2" spans="1:23" ht="15.75" thickBot="1">
      <c r="A2" s="128"/>
      <c r="B2" s="132"/>
      <c r="C2" s="129"/>
      <c r="D2" s="129"/>
      <c r="E2" s="129"/>
      <c r="F2" s="129"/>
      <c r="G2" s="129"/>
      <c r="H2" s="128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3"/>
      <c r="V2" s="133"/>
      <c r="W2" s="133"/>
    </row>
    <row r="3" spans="1:23" ht="16.5" thickBot="1">
      <c r="A3" s="128"/>
      <c r="B3" s="134" t="s">
        <v>104</v>
      </c>
      <c r="C3" s="135"/>
      <c r="D3" s="136"/>
      <c r="E3" s="135"/>
      <c r="F3" s="137"/>
      <c r="G3" s="137"/>
      <c r="H3" s="128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</row>
    <row r="4" spans="1:23" ht="16.5" thickBot="1">
      <c r="A4" s="128"/>
      <c r="B4" s="134"/>
      <c r="C4" s="135"/>
      <c r="D4" s="139"/>
      <c r="E4" s="135"/>
      <c r="F4" s="137"/>
      <c r="G4" s="137"/>
      <c r="H4" s="128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</row>
    <row r="5" spans="1:23" ht="16.5" thickBot="1">
      <c r="A5" s="128"/>
      <c r="B5" s="134" t="s">
        <v>105</v>
      </c>
      <c r="C5" s="135"/>
      <c r="D5" s="217"/>
      <c r="E5" s="218"/>
      <c r="F5" s="137"/>
      <c r="G5" s="137"/>
      <c r="H5" s="128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</row>
    <row r="6" spans="1:23" ht="16.5" thickBot="1">
      <c r="A6" s="128"/>
      <c r="B6" s="134"/>
      <c r="C6" s="135"/>
      <c r="D6" s="135"/>
      <c r="E6" s="135"/>
      <c r="F6" s="137"/>
      <c r="G6" s="137"/>
      <c r="H6" s="128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</row>
    <row r="7" spans="1:23" ht="16.5" thickBot="1">
      <c r="A7" s="128"/>
      <c r="B7" s="134" t="s">
        <v>92</v>
      </c>
      <c r="C7" s="138"/>
      <c r="D7" s="217"/>
      <c r="E7" s="218"/>
      <c r="F7" s="137"/>
      <c r="G7" s="137"/>
      <c r="H7" s="128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</row>
    <row r="8" spans="1:23" ht="16.5" thickBot="1">
      <c r="A8" s="128"/>
      <c r="B8" s="134"/>
      <c r="C8" s="135"/>
      <c r="D8" s="135"/>
      <c r="E8" s="135"/>
      <c r="F8" s="137"/>
      <c r="G8" s="137"/>
      <c r="H8" s="128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</row>
    <row r="9" spans="1:23" ht="16.5" thickBot="1">
      <c r="A9" s="128"/>
      <c r="B9" s="134" t="s">
        <v>106</v>
      </c>
      <c r="C9" s="141"/>
      <c r="D9" s="219" t="s">
        <v>95</v>
      </c>
      <c r="E9" s="220"/>
      <c r="F9" s="220"/>
      <c r="G9" s="218"/>
      <c r="H9" s="128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</row>
    <row r="10" spans="1:23" ht="16.5" thickBot="1">
      <c r="A10" s="128"/>
      <c r="B10" s="134"/>
      <c r="C10" s="141"/>
      <c r="D10" s="141"/>
      <c r="E10" s="141"/>
      <c r="F10" s="137"/>
      <c r="G10" s="137"/>
      <c r="H10" s="128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</row>
    <row r="11" spans="1:23" ht="16.5" thickBot="1">
      <c r="A11" s="128"/>
      <c r="B11" s="134" t="s">
        <v>107</v>
      </c>
      <c r="C11" s="137"/>
      <c r="D11" s="221"/>
      <c r="E11" s="222"/>
      <c r="F11" s="137"/>
      <c r="G11" s="137"/>
      <c r="H11" s="128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</row>
    <row r="12" spans="1:23" ht="16.5" thickBot="1">
      <c r="A12" s="128"/>
      <c r="B12" s="134"/>
      <c r="C12" s="141"/>
      <c r="D12" s="141"/>
      <c r="E12" s="141"/>
      <c r="F12" s="137"/>
      <c r="G12" s="137"/>
      <c r="H12" s="128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</row>
    <row r="13" spans="1:23" ht="16.5" thickBot="1">
      <c r="A13" s="128"/>
      <c r="B13" s="134" t="s">
        <v>93</v>
      </c>
      <c r="C13" s="137"/>
      <c r="D13" s="223"/>
      <c r="E13" s="224"/>
      <c r="F13" s="137"/>
      <c r="G13" s="137"/>
      <c r="H13" s="128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</row>
    <row r="14" spans="1:23" ht="15.75">
      <c r="A14" s="138"/>
      <c r="B14" s="142"/>
      <c r="C14" s="138"/>
      <c r="D14" s="138"/>
      <c r="E14" s="138"/>
      <c r="F14" s="138"/>
      <c r="G14" s="138"/>
      <c r="H14" s="138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</row>
    <row r="15" spans="1:23" ht="15.75">
      <c r="A15" s="138"/>
      <c r="B15" s="142"/>
      <c r="C15" s="138"/>
      <c r="D15" s="138"/>
      <c r="E15" s="138"/>
      <c r="F15" s="138"/>
      <c r="G15" s="138"/>
      <c r="H15" s="138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</row>
    <row r="16" spans="1:23" ht="16.5" thickBot="1">
      <c r="A16" s="138"/>
      <c r="B16" s="142"/>
      <c r="C16" s="138"/>
      <c r="D16" s="138"/>
      <c r="E16" s="138"/>
      <c r="F16" s="138"/>
      <c r="G16" s="138"/>
      <c r="H16" s="138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</row>
    <row r="17" spans="1:8" ht="15.75">
      <c r="A17" s="138"/>
      <c r="B17" s="134" t="s">
        <v>94</v>
      </c>
      <c r="C17" s="138"/>
      <c r="D17" s="207"/>
      <c r="E17" s="208"/>
      <c r="F17" s="208"/>
      <c r="G17" s="209"/>
      <c r="H17" s="138"/>
    </row>
    <row r="18" spans="1:8">
      <c r="A18" s="138"/>
      <c r="B18" s="143"/>
      <c r="C18" s="138"/>
      <c r="D18" s="210"/>
      <c r="E18" s="211"/>
      <c r="F18" s="211"/>
      <c r="G18" s="212"/>
      <c r="H18" s="138"/>
    </row>
    <row r="19" spans="1:8">
      <c r="A19" s="138"/>
      <c r="B19" s="144"/>
      <c r="C19" s="138"/>
      <c r="D19" s="210"/>
      <c r="E19" s="211"/>
      <c r="F19" s="211"/>
      <c r="G19" s="212"/>
      <c r="H19" s="138"/>
    </row>
    <row r="20" spans="1:8">
      <c r="A20" s="138"/>
      <c r="B20" s="144"/>
      <c r="C20" s="138"/>
      <c r="D20" s="210"/>
      <c r="E20" s="211"/>
      <c r="F20" s="211"/>
      <c r="G20" s="212"/>
      <c r="H20" s="138"/>
    </row>
    <row r="21" spans="1:8" s="101" customFormat="1" ht="16.5" thickBot="1">
      <c r="A21" s="135"/>
      <c r="B21" s="137"/>
      <c r="C21" s="135"/>
      <c r="D21" s="213"/>
      <c r="E21" s="214"/>
      <c r="F21" s="214"/>
      <c r="G21" s="215"/>
      <c r="H21" s="135"/>
    </row>
    <row r="22" spans="1:8" s="101" customFormat="1" ht="15.75">
      <c r="A22" s="135"/>
      <c r="B22" s="137"/>
      <c r="C22" s="135"/>
      <c r="D22" s="135"/>
      <c r="E22" s="135"/>
      <c r="F22" s="135"/>
      <c r="G22" s="135"/>
      <c r="H22" s="135"/>
    </row>
    <row r="23" spans="1:8" ht="15" hidden="1" customHeight="1">
      <c r="A23" s="127"/>
      <c r="B23" s="127"/>
      <c r="C23" s="127"/>
      <c r="D23" s="127"/>
      <c r="E23" s="127"/>
      <c r="F23" s="127"/>
      <c r="G23" s="127"/>
    </row>
    <row r="24" spans="1:8" ht="15" hidden="1" customHeight="1">
      <c r="A24" s="127"/>
      <c r="B24" s="127"/>
      <c r="C24" s="127"/>
      <c r="D24" s="127"/>
      <c r="E24" s="127"/>
      <c r="F24" s="127"/>
      <c r="G24" s="127"/>
    </row>
    <row r="25" spans="1:8" ht="15" hidden="1" customHeight="1">
      <c r="A25" s="127"/>
      <c r="B25" s="127"/>
      <c r="C25" s="127"/>
      <c r="D25" s="127"/>
      <c r="E25" s="127"/>
      <c r="F25" s="127"/>
      <c r="G25" s="127"/>
    </row>
    <row r="26" spans="1:8" ht="15" hidden="1" customHeight="1">
      <c r="A26" s="127"/>
      <c r="B26" s="127"/>
      <c r="C26" s="127"/>
      <c r="D26" s="127"/>
      <c r="E26" s="127"/>
      <c r="F26" s="127"/>
      <c r="G26" s="127"/>
    </row>
    <row r="27" spans="1:8" ht="14.25" hidden="1" customHeight="1">
      <c r="A27" s="127"/>
      <c r="B27" s="145"/>
      <c r="C27" s="127"/>
      <c r="D27" s="127"/>
      <c r="E27" s="127"/>
      <c r="F27" s="127"/>
      <c r="G27" s="127"/>
    </row>
    <row r="28" spans="1:8" ht="14.25" hidden="1" customHeight="1">
      <c r="A28" s="127"/>
      <c r="B28" s="145"/>
      <c r="C28" s="127"/>
      <c r="D28" s="127"/>
      <c r="E28" s="127"/>
      <c r="F28" s="127"/>
      <c r="G28" s="127"/>
    </row>
    <row r="29" spans="1:8" ht="14.25" hidden="1" customHeight="1">
      <c r="A29" s="127"/>
      <c r="B29" s="145"/>
      <c r="C29" s="127"/>
      <c r="D29" s="127"/>
      <c r="E29" s="127"/>
      <c r="F29" s="127"/>
      <c r="G29" s="127"/>
    </row>
    <row r="30" spans="1:8" ht="14.25" hidden="1" customHeight="1">
      <c r="A30" s="127"/>
      <c r="B30" s="145"/>
      <c r="C30" s="127"/>
      <c r="D30" s="127"/>
      <c r="E30" s="127"/>
      <c r="F30" s="127"/>
      <c r="G30" s="127"/>
    </row>
    <row r="31" spans="1:8" ht="14.25" hidden="1" customHeight="1">
      <c r="A31" s="127"/>
      <c r="B31" s="145"/>
      <c r="C31" s="127"/>
      <c r="D31" s="127"/>
      <c r="E31" s="127"/>
      <c r="F31" s="127"/>
      <c r="G31" s="127"/>
    </row>
    <row r="32" spans="1:8" ht="14.25" hidden="1" customHeight="1">
      <c r="A32" s="127"/>
      <c r="B32" s="145"/>
      <c r="C32" s="127"/>
      <c r="D32" s="127"/>
      <c r="E32" s="127"/>
      <c r="F32" s="127"/>
      <c r="G32" s="127"/>
    </row>
    <row r="33" spans="1:7" ht="14.25" hidden="1" customHeight="1">
      <c r="A33" s="99"/>
      <c r="B33" s="145"/>
      <c r="C33" s="131"/>
      <c r="D33" s="131"/>
      <c r="E33" s="131"/>
      <c r="F33" s="131"/>
      <c r="G33" s="131"/>
    </row>
    <row r="34" spans="1:7" ht="14.25" hidden="1" customHeight="1">
      <c r="A34" s="99"/>
      <c r="B34" s="145"/>
      <c r="C34" s="131"/>
      <c r="D34" s="131"/>
      <c r="E34" s="131"/>
      <c r="F34" s="131"/>
      <c r="G34" s="131"/>
    </row>
    <row r="35" spans="1:7" ht="14.25" hidden="1" customHeight="1">
      <c r="A35" s="99"/>
      <c r="B35" s="145"/>
      <c r="C35" s="131"/>
      <c r="D35" s="131"/>
      <c r="E35" s="131"/>
      <c r="F35" s="131"/>
      <c r="G35" s="131"/>
    </row>
    <row r="36" spans="1:7" ht="14.25" hidden="1" customHeight="1">
      <c r="A36" s="99"/>
      <c r="B36" s="145"/>
      <c r="C36" s="131"/>
      <c r="D36" s="131"/>
      <c r="E36" s="131"/>
      <c r="F36" s="131"/>
      <c r="G36" s="131"/>
    </row>
    <row r="37" spans="1:7" ht="14.25" hidden="1" customHeight="1">
      <c r="A37" s="99"/>
      <c r="B37" s="145"/>
      <c r="C37" s="131"/>
      <c r="D37" s="131"/>
      <c r="E37" s="131"/>
      <c r="F37" s="131"/>
      <c r="G37" s="131"/>
    </row>
    <row r="38" spans="1:7" ht="14.25" hidden="1" customHeight="1">
      <c r="A38" s="99"/>
      <c r="B38" s="145"/>
      <c r="C38" s="131"/>
      <c r="D38" s="131"/>
      <c r="E38" s="131"/>
      <c r="F38" s="131"/>
      <c r="G38" s="131"/>
    </row>
    <row r="39" spans="1:7" ht="14.25" hidden="1" customHeight="1">
      <c r="A39" s="99"/>
      <c r="B39" s="145"/>
      <c r="C39" s="131"/>
      <c r="D39" s="131"/>
      <c r="E39" s="131"/>
      <c r="F39" s="131"/>
      <c r="G39" s="131"/>
    </row>
    <row r="40" spans="1:7" ht="14.25" hidden="1" customHeight="1">
      <c r="A40" s="99"/>
      <c r="B40" s="145"/>
      <c r="C40" s="131"/>
      <c r="D40" s="131"/>
      <c r="E40" s="131"/>
      <c r="F40" s="131"/>
      <c r="G40" s="131"/>
    </row>
    <row r="41" spans="1:7" ht="14.25" hidden="1" customHeight="1">
      <c r="A41" s="99"/>
      <c r="B41" s="145"/>
      <c r="C41" s="131"/>
      <c r="D41" s="131"/>
      <c r="E41" s="131"/>
      <c r="F41" s="131"/>
      <c r="G41" s="131"/>
    </row>
    <row r="42" spans="1:7" ht="14.25" hidden="1" customHeight="1">
      <c r="A42" s="99"/>
      <c r="B42" s="145"/>
      <c r="C42" s="131"/>
      <c r="D42" s="131"/>
      <c r="E42" s="131"/>
      <c r="F42" s="131"/>
      <c r="G42" s="131"/>
    </row>
    <row r="43" spans="1:7" ht="14.25" hidden="1" customHeight="1">
      <c r="A43" s="99"/>
      <c r="B43" s="145"/>
      <c r="C43" s="131"/>
      <c r="D43" s="131"/>
      <c r="E43" s="131"/>
      <c r="F43" s="131"/>
      <c r="G43" s="131"/>
    </row>
    <row r="44" spans="1:7" ht="14.25" hidden="1" customHeight="1">
      <c r="A44" s="99"/>
      <c r="B44" s="145"/>
      <c r="C44" s="131"/>
      <c r="D44" s="131"/>
      <c r="E44" s="131"/>
      <c r="F44" s="131"/>
      <c r="G44" s="131"/>
    </row>
    <row r="45" spans="1:7" ht="14.25" hidden="1" customHeight="1">
      <c r="A45" s="99"/>
      <c r="B45" s="145"/>
      <c r="C45" s="131"/>
      <c r="D45" s="131"/>
      <c r="E45" s="131"/>
      <c r="F45" s="131"/>
      <c r="G45" s="131"/>
    </row>
    <row r="46" spans="1:7" ht="14.25" hidden="1" customHeight="1">
      <c r="A46" s="99"/>
      <c r="B46" s="145"/>
      <c r="C46" s="131"/>
      <c r="D46" s="131"/>
      <c r="E46" s="131"/>
      <c r="F46" s="131"/>
      <c r="G46" s="131"/>
    </row>
    <row r="47" spans="1:7" ht="14.25" hidden="1" customHeight="1">
      <c r="A47" s="99"/>
      <c r="B47" s="145"/>
      <c r="C47" s="131"/>
      <c r="D47" s="131"/>
      <c r="E47" s="131"/>
      <c r="F47" s="131"/>
      <c r="G47" s="131"/>
    </row>
    <row r="48" spans="1:7" ht="14.25" hidden="1" customHeight="1">
      <c r="A48" s="99"/>
      <c r="B48" s="145"/>
      <c r="C48" s="131"/>
      <c r="D48" s="131"/>
      <c r="E48" s="131"/>
      <c r="F48" s="131"/>
      <c r="G48" s="131"/>
    </row>
    <row r="49" spans="1:7" ht="14.25" hidden="1" customHeight="1">
      <c r="A49" s="99"/>
      <c r="B49" s="145"/>
      <c r="C49" s="131"/>
      <c r="D49" s="131"/>
      <c r="E49" s="131"/>
      <c r="F49" s="131"/>
      <c r="G49" s="131"/>
    </row>
    <row r="50" spans="1:7" ht="14.25" hidden="1" customHeight="1">
      <c r="A50" s="99"/>
      <c r="B50" s="145"/>
      <c r="C50" s="131"/>
      <c r="D50" s="131"/>
      <c r="E50" s="131"/>
      <c r="F50" s="131"/>
      <c r="G50" s="131"/>
    </row>
    <row r="51" spans="1:7" ht="14.25" hidden="1" customHeight="1">
      <c r="A51" s="99"/>
      <c r="B51" s="145"/>
      <c r="C51" s="131"/>
      <c r="D51" s="131"/>
      <c r="E51" s="131"/>
      <c r="F51" s="131"/>
      <c r="G51" s="131"/>
    </row>
    <row r="52" spans="1:7" ht="14.25" hidden="1" customHeight="1">
      <c r="A52" s="99"/>
      <c r="B52" s="145"/>
      <c r="C52" s="131"/>
      <c r="D52" s="131"/>
      <c r="E52" s="131"/>
      <c r="F52" s="131"/>
      <c r="G52" s="131"/>
    </row>
    <row r="53" spans="1:7" ht="14.25" hidden="1" customHeight="1">
      <c r="A53" s="99"/>
      <c r="B53" s="145"/>
      <c r="C53" s="131"/>
      <c r="D53" s="131"/>
      <c r="E53" s="131"/>
      <c r="F53" s="131"/>
      <c r="G53" s="131"/>
    </row>
    <row r="54" spans="1:7" ht="14.25" hidden="1" customHeight="1">
      <c r="A54" s="99"/>
      <c r="B54" s="145"/>
      <c r="C54" s="131"/>
      <c r="D54" s="131"/>
      <c r="E54" s="131"/>
      <c r="F54" s="131"/>
      <c r="G54" s="131"/>
    </row>
    <row r="55" spans="1:7" ht="14.25" hidden="1" customHeight="1">
      <c r="A55" s="99"/>
      <c r="B55" s="145"/>
      <c r="C55" s="131"/>
      <c r="D55" s="131"/>
      <c r="E55" s="131"/>
      <c r="F55" s="131"/>
      <c r="G55" s="131"/>
    </row>
    <row r="56" spans="1:7" ht="14.25" hidden="1" customHeight="1">
      <c r="A56" s="99"/>
      <c r="B56" s="145"/>
      <c r="C56" s="131"/>
      <c r="D56" s="131"/>
      <c r="E56" s="131"/>
      <c r="F56" s="131"/>
      <c r="G56" s="131"/>
    </row>
    <row r="57" spans="1:7" ht="14.25" hidden="1" customHeight="1">
      <c r="A57" s="99"/>
      <c r="B57" s="145"/>
      <c r="C57" s="131"/>
      <c r="D57" s="131"/>
      <c r="E57" s="131"/>
      <c r="F57" s="131"/>
      <c r="G57" s="131"/>
    </row>
    <row r="58" spans="1:7" ht="14.25" hidden="1" customHeight="1">
      <c r="A58" s="99"/>
      <c r="B58" s="145"/>
      <c r="C58" s="131"/>
      <c r="D58" s="131"/>
      <c r="E58" s="131"/>
      <c r="F58" s="131"/>
      <c r="G58" s="131"/>
    </row>
    <row r="59" spans="1:7" ht="14.25" hidden="1" customHeight="1">
      <c r="A59" s="99"/>
      <c r="B59" s="145"/>
      <c r="C59" s="131"/>
      <c r="D59" s="131"/>
      <c r="E59" s="131"/>
      <c r="F59" s="131"/>
      <c r="G59" s="131"/>
    </row>
    <row r="60" spans="1:7" ht="14.25" hidden="1" customHeight="1">
      <c r="A60" s="99"/>
      <c r="B60" s="145"/>
      <c r="C60" s="131"/>
      <c r="D60" s="131"/>
      <c r="E60" s="131"/>
      <c r="F60" s="131"/>
      <c r="G60" s="131"/>
    </row>
    <row r="61" spans="1:7" ht="14.25" hidden="1" customHeight="1">
      <c r="A61" s="99"/>
      <c r="B61" s="145"/>
      <c r="C61" s="131"/>
      <c r="D61" s="131"/>
      <c r="E61" s="131"/>
      <c r="F61" s="131"/>
      <c r="G61" s="131"/>
    </row>
    <row r="62" spans="1:7" ht="14.25" hidden="1" customHeight="1">
      <c r="A62" s="99"/>
      <c r="B62" s="145"/>
      <c r="C62" s="131"/>
      <c r="D62" s="131"/>
      <c r="E62" s="131"/>
      <c r="F62" s="131"/>
      <c r="G62" s="131"/>
    </row>
    <row r="63" spans="1:7" ht="14.25" hidden="1" customHeight="1">
      <c r="A63" s="99"/>
      <c r="B63" s="145"/>
      <c r="C63" s="131"/>
      <c r="D63" s="131"/>
      <c r="E63" s="131"/>
      <c r="F63" s="131"/>
      <c r="G63" s="131"/>
    </row>
    <row r="64" spans="1:7" ht="14.25" hidden="1" customHeight="1">
      <c r="A64" s="99"/>
      <c r="B64" s="145"/>
      <c r="C64" s="131"/>
      <c r="D64" s="131"/>
      <c r="E64" s="131"/>
      <c r="F64" s="131"/>
      <c r="G64" s="131"/>
    </row>
    <row r="65" spans="1:7" ht="14.25" hidden="1" customHeight="1">
      <c r="A65" s="99"/>
      <c r="B65" s="145"/>
      <c r="C65" s="131"/>
      <c r="D65" s="131"/>
      <c r="E65" s="131"/>
      <c r="F65" s="131"/>
      <c r="G65" s="131"/>
    </row>
    <row r="66" spans="1:7" ht="14.25" hidden="1" customHeight="1">
      <c r="A66" s="99"/>
      <c r="B66" s="145"/>
      <c r="C66" s="131"/>
      <c r="D66" s="131"/>
      <c r="E66" s="131"/>
      <c r="F66" s="131"/>
      <c r="G66" s="131"/>
    </row>
    <row r="67" spans="1:7" ht="14.25" hidden="1" customHeight="1">
      <c r="A67" s="99"/>
      <c r="B67" s="145"/>
      <c r="C67" s="131"/>
      <c r="D67" s="131"/>
      <c r="E67" s="131"/>
      <c r="F67" s="131"/>
      <c r="G67" s="131"/>
    </row>
    <row r="68" spans="1:7" ht="14.25" hidden="1" customHeight="1">
      <c r="A68" s="99"/>
      <c r="B68" s="145"/>
      <c r="C68" s="131"/>
      <c r="D68" s="131"/>
      <c r="E68" s="131"/>
      <c r="F68" s="131"/>
      <c r="G68" s="131"/>
    </row>
    <row r="69" spans="1:7" ht="14.25" hidden="1" customHeight="1">
      <c r="A69" s="99"/>
      <c r="B69" s="145"/>
      <c r="C69" s="131"/>
      <c r="D69" s="131"/>
      <c r="E69" s="131"/>
      <c r="F69" s="131"/>
      <c r="G69" s="131"/>
    </row>
    <row r="70" spans="1:7" ht="14.25" hidden="1" customHeight="1">
      <c r="A70" s="99"/>
      <c r="B70" s="145"/>
      <c r="C70" s="131"/>
      <c r="D70" s="131"/>
      <c r="E70" s="131"/>
      <c r="F70" s="131"/>
      <c r="G70" s="131"/>
    </row>
    <row r="71" spans="1:7" ht="14.25" hidden="1" customHeight="1">
      <c r="A71" s="99"/>
      <c r="B71" s="145"/>
      <c r="C71" s="131"/>
      <c r="D71" s="131"/>
      <c r="E71" s="131"/>
      <c r="F71" s="131"/>
      <c r="G71" s="131"/>
    </row>
    <row r="72" spans="1:7" ht="14.25" hidden="1" customHeight="1">
      <c r="A72" s="99"/>
      <c r="B72" s="145"/>
      <c r="C72" s="131"/>
      <c r="D72" s="131"/>
      <c r="E72" s="131"/>
      <c r="F72" s="131"/>
      <c r="G72" s="131"/>
    </row>
    <row r="73" spans="1:7" ht="14.25" hidden="1" customHeight="1">
      <c r="A73" s="99"/>
      <c r="B73" s="145"/>
      <c r="C73" s="131"/>
      <c r="D73" s="131"/>
      <c r="E73" s="131"/>
      <c r="F73" s="131"/>
      <c r="G73" s="131"/>
    </row>
    <row r="74" spans="1:7" ht="14.25" hidden="1" customHeight="1">
      <c r="A74" s="99"/>
      <c r="B74" s="145"/>
      <c r="C74" s="131"/>
      <c r="D74" s="131"/>
      <c r="E74" s="131"/>
      <c r="F74" s="131"/>
      <c r="G74" s="131"/>
    </row>
    <row r="75" spans="1:7" ht="14.25" hidden="1" customHeight="1">
      <c r="A75" s="99"/>
      <c r="B75" s="145"/>
      <c r="C75" s="131"/>
      <c r="D75" s="131"/>
      <c r="E75" s="131"/>
      <c r="F75" s="131"/>
      <c r="G75" s="131"/>
    </row>
    <row r="76" spans="1:7" ht="14.25" hidden="1" customHeight="1">
      <c r="A76" s="99"/>
      <c r="B76" s="145"/>
      <c r="C76" s="131"/>
      <c r="D76" s="131"/>
      <c r="E76" s="131"/>
      <c r="F76" s="131"/>
      <c r="G76" s="131"/>
    </row>
    <row r="77" spans="1:7" ht="14.25" hidden="1" customHeight="1">
      <c r="A77" s="99"/>
      <c r="B77" s="145"/>
      <c r="C77" s="131"/>
      <c r="D77" s="131"/>
      <c r="E77" s="131"/>
      <c r="F77" s="131"/>
      <c r="G77" s="131"/>
    </row>
    <row r="78" spans="1:7" ht="14.25" hidden="1" customHeight="1">
      <c r="A78" s="99"/>
      <c r="B78" s="145"/>
      <c r="C78" s="131"/>
      <c r="D78" s="131"/>
      <c r="E78" s="131"/>
      <c r="F78" s="131"/>
      <c r="G78" s="131"/>
    </row>
    <row r="79" spans="1:7" ht="14.25" hidden="1" customHeight="1">
      <c r="A79" s="99"/>
      <c r="B79" s="145"/>
      <c r="C79" s="131"/>
      <c r="D79" s="131"/>
      <c r="E79" s="131"/>
      <c r="F79" s="131"/>
      <c r="G79" s="131"/>
    </row>
    <row r="80" spans="1:7" ht="14.25" hidden="1" customHeight="1">
      <c r="A80" s="99"/>
      <c r="B80" s="145"/>
      <c r="C80" s="131"/>
      <c r="D80" s="131"/>
      <c r="E80" s="131"/>
      <c r="F80" s="131"/>
      <c r="G80" s="131"/>
    </row>
    <row r="81" spans="1:7" ht="14.25" hidden="1" customHeight="1">
      <c r="A81" s="99"/>
      <c r="B81" s="145"/>
      <c r="C81" s="131"/>
      <c r="D81" s="131"/>
      <c r="E81" s="131"/>
      <c r="F81" s="131"/>
      <c r="G81" s="131"/>
    </row>
    <row r="82" spans="1:7" ht="14.25" hidden="1" customHeight="1">
      <c r="A82" s="99"/>
      <c r="B82" s="145"/>
      <c r="C82" s="131"/>
      <c r="D82" s="131"/>
      <c r="E82" s="131"/>
      <c r="F82" s="131"/>
      <c r="G82" s="131"/>
    </row>
    <row r="83" spans="1:7" ht="14.25" hidden="1" customHeight="1">
      <c r="A83" s="99"/>
      <c r="B83" s="145"/>
      <c r="C83" s="131"/>
      <c r="D83" s="131"/>
      <c r="E83" s="131"/>
      <c r="F83" s="131"/>
      <c r="G83" s="131"/>
    </row>
    <row r="84" spans="1:7" ht="14.25" hidden="1" customHeight="1">
      <c r="A84" s="99"/>
      <c r="B84" s="145"/>
      <c r="C84" s="131"/>
      <c r="D84" s="131"/>
      <c r="E84" s="131"/>
      <c r="F84" s="131"/>
      <c r="G84" s="131"/>
    </row>
    <row r="85" spans="1:7" ht="14.25" hidden="1" customHeight="1">
      <c r="A85" s="99"/>
      <c r="B85" s="145"/>
      <c r="C85" s="131"/>
      <c r="D85" s="131"/>
      <c r="E85" s="131"/>
      <c r="F85" s="131"/>
      <c r="G85" s="131"/>
    </row>
    <row r="86" spans="1:7" ht="14.25" hidden="1" customHeight="1">
      <c r="A86" s="99"/>
      <c r="B86" s="145"/>
      <c r="C86" s="131"/>
      <c r="D86" s="131"/>
      <c r="E86" s="131"/>
      <c r="F86" s="131"/>
      <c r="G86" s="131"/>
    </row>
    <row r="87" spans="1:7" ht="14.25" hidden="1" customHeight="1">
      <c r="A87" s="99"/>
      <c r="B87" s="145"/>
      <c r="C87" s="131"/>
      <c r="D87" s="131"/>
      <c r="E87" s="131"/>
      <c r="F87" s="131"/>
      <c r="G87" s="131"/>
    </row>
    <row r="88" spans="1:7" ht="14.25" hidden="1" customHeight="1">
      <c r="A88" s="99"/>
      <c r="B88" s="145"/>
      <c r="C88" s="131"/>
      <c r="D88" s="131"/>
      <c r="E88" s="131"/>
      <c r="F88" s="131"/>
      <c r="G88" s="131"/>
    </row>
    <row r="89" spans="1:7" ht="14.25" hidden="1" customHeight="1">
      <c r="A89" s="99"/>
      <c r="B89" s="145"/>
      <c r="C89" s="131"/>
      <c r="D89" s="131"/>
      <c r="E89" s="131"/>
      <c r="F89" s="131"/>
      <c r="G89" s="131"/>
    </row>
    <row r="90" spans="1:7" ht="14.25" hidden="1" customHeight="1">
      <c r="A90" s="99"/>
      <c r="B90" s="145"/>
      <c r="C90" s="131"/>
      <c r="D90" s="131"/>
      <c r="E90" s="131"/>
      <c r="F90" s="131"/>
      <c r="G90" s="131"/>
    </row>
    <row r="91" spans="1:7" ht="14.25" hidden="1" customHeight="1">
      <c r="A91" s="99"/>
      <c r="B91" s="145"/>
      <c r="C91" s="131"/>
      <c r="D91" s="131"/>
      <c r="E91" s="131"/>
      <c r="F91" s="131"/>
      <c r="G91" s="131"/>
    </row>
    <row r="92" spans="1:7" ht="14.25" hidden="1" customHeight="1">
      <c r="A92" s="99"/>
      <c r="B92" s="145"/>
      <c r="C92" s="131"/>
      <c r="D92" s="131"/>
      <c r="E92" s="131"/>
      <c r="F92" s="131"/>
      <c r="G92" s="131"/>
    </row>
    <row r="93" spans="1:7" ht="14.25" hidden="1" customHeight="1">
      <c r="A93" s="99"/>
      <c r="B93" s="145"/>
      <c r="C93" s="131"/>
      <c r="D93" s="131"/>
      <c r="E93" s="131"/>
      <c r="F93" s="131"/>
      <c r="G93" s="131"/>
    </row>
    <row r="94" spans="1:7" ht="14.25" hidden="1" customHeight="1">
      <c r="A94" s="99"/>
      <c r="B94" s="145"/>
      <c r="C94" s="131"/>
      <c r="D94" s="131"/>
      <c r="E94" s="131"/>
      <c r="F94" s="131"/>
      <c r="G94" s="131"/>
    </row>
    <row r="95" spans="1:7" ht="14.25" hidden="1" customHeight="1">
      <c r="A95" s="99"/>
      <c r="B95" s="145"/>
      <c r="C95" s="131"/>
      <c r="D95" s="131"/>
      <c r="E95" s="131"/>
      <c r="F95" s="131"/>
      <c r="G95" s="131"/>
    </row>
    <row r="96" spans="1:7" ht="14.25" hidden="1" customHeight="1">
      <c r="A96" s="99"/>
      <c r="B96" s="145"/>
      <c r="C96" s="131"/>
      <c r="D96" s="131"/>
      <c r="E96" s="131"/>
      <c r="F96" s="131"/>
      <c r="G96" s="131"/>
    </row>
    <row r="97" spans="1:7" ht="14.25" hidden="1" customHeight="1">
      <c r="A97" s="99"/>
      <c r="B97" s="145"/>
      <c r="C97" s="131"/>
      <c r="D97" s="131"/>
      <c r="E97" s="131"/>
      <c r="F97" s="131"/>
      <c r="G97" s="131"/>
    </row>
    <row r="98" spans="1:7" ht="14.25" hidden="1" customHeight="1">
      <c r="A98" s="99"/>
      <c r="B98" s="145"/>
      <c r="C98" s="131"/>
      <c r="D98" s="131"/>
      <c r="E98" s="131"/>
      <c r="F98" s="131"/>
      <c r="G98" s="131"/>
    </row>
    <row r="99" spans="1:7" ht="14.25" hidden="1" customHeight="1">
      <c r="A99" s="99"/>
      <c r="B99" s="145"/>
      <c r="C99" s="131"/>
      <c r="D99" s="131"/>
      <c r="E99" s="131"/>
      <c r="F99" s="131"/>
      <c r="G99" s="131"/>
    </row>
    <row r="100" spans="1:7" ht="14.25" hidden="1" customHeight="1">
      <c r="A100" s="99"/>
      <c r="B100" s="145"/>
      <c r="C100" s="131"/>
      <c r="D100" s="131"/>
      <c r="E100" s="131"/>
      <c r="F100" s="131"/>
      <c r="G100" s="131"/>
    </row>
    <row r="101" spans="1:7" ht="14.25" hidden="1" customHeight="1">
      <c r="A101" s="99"/>
      <c r="B101" s="145"/>
      <c r="C101" s="131"/>
      <c r="D101" s="131"/>
      <c r="E101" s="131"/>
      <c r="F101" s="131"/>
      <c r="G101" s="131"/>
    </row>
    <row r="102" spans="1:7" ht="14.25" hidden="1" customHeight="1">
      <c r="A102" s="99"/>
      <c r="B102" s="145"/>
      <c r="C102" s="131"/>
      <c r="D102" s="131"/>
      <c r="E102" s="131"/>
      <c r="F102" s="131"/>
      <c r="G102" s="131"/>
    </row>
    <row r="103" spans="1:7" ht="14.25" hidden="1" customHeight="1">
      <c r="A103" s="99"/>
      <c r="B103" s="145"/>
      <c r="C103" s="131"/>
      <c r="D103" s="131"/>
      <c r="E103" s="131"/>
      <c r="F103" s="131"/>
      <c r="G103" s="131"/>
    </row>
    <row r="104" spans="1:7" ht="14.25" hidden="1" customHeight="1">
      <c r="A104" s="99"/>
      <c r="B104" s="145"/>
      <c r="C104" s="131"/>
      <c r="D104" s="131"/>
      <c r="E104" s="131"/>
      <c r="F104" s="131"/>
      <c r="G104" s="131"/>
    </row>
    <row r="105" spans="1:7" ht="14.25" hidden="1" customHeight="1">
      <c r="A105" s="99"/>
      <c r="B105" s="145"/>
      <c r="C105" s="131"/>
      <c r="D105" s="131"/>
      <c r="E105" s="131"/>
      <c r="F105" s="131"/>
      <c r="G105" s="131"/>
    </row>
    <row r="106" spans="1:7" ht="14.25" hidden="1" customHeight="1">
      <c r="A106" s="99"/>
      <c r="B106" s="145"/>
      <c r="C106" s="131"/>
      <c r="D106" s="131"/>
      <c r="E106" s="131"/>
      <c r="F106" s="131"/>
      <c r="G106" s="131"/>
    </row>
    <row r="107" spans="1:7" ht="14.25" hidden="1" customHeight="1">
      <c r="A107" s="99"/>
      <c r="B107" s="145"/>
      <c r="C107" s="131"/>
      <c r="D107" s="131"/>
      <c r="E107" s="131"/>
      <c r="F107" s="131"/>
      <c r="G107" s="131"/>
    </row>
    <row r="108" spans="1:7" ht="14.25" hidden="1" customHeight="1">
      <c r="A108" s="99"/>
      <c r="B108" s="145"/>
      <c r="C108" s="131"/>
      <c r="D108" s="131"/>
      <c r="E108" s="131"/>
      <c r="F108" s="131"/>
      <c r="G108" s="131"/>
    </row>
    <row r="109" spans="1:7" ht="14.25" hidden="1" customHeight="1">
      <c r="A109" s="99"/>
      <c r="B109" s="145"/>
      <c r="C109" s="131"/>
      <c r="D109" s="131"/>
      <c r="E109" s="131"/>
      <c r="F109" s="131"/>
      <c r="G109" s="131"/>
    </row>
    <row r="110" spans="1:7" ht="14.25" hidden="1" customHeight="1">
      <c r="A110" s="99"/>
      <c r="B110" s="145"/>
      <c r="C110" s="131"/>
      <c r="D110" s="131"/>
      <c r="E110" s="131"/>
      <c r="F110" s="131"/>
      <c r="G110" s="131"/>
    </row>
    <row r="111" spans="1:7" ht="14.25" hidden="1" customHeight="1">
      <c r="A111" s="99"/>
      <c r="B111" s="145"/>
      <c r="C111" s="131"/>
      <c r="D111" s="131"/>
      <c r="E111" s="131"/>
      <c r="F111" s="131"/>
      <c r="G111" s="131"/>
    </row>
    <row r="112" spans="1:7" ht="14.25" hidden="1" customHeight="1">
      <c r="A112" s="99"/>
      <c r="B112" s="145"/>
      <c r="C112" s="131"/>
      <c r="D112" s="131"/>
      <c r="E112" s="131"/>
      <c r="F112" s="131"/>
      <c r="G112" s="131"/>
    </row>
    <row r="113" spans="1:7" ht="14.25" hidden="1" customHeight="1">
      <c r="A113" s="99"/>
      <c r="B113" s="145"/>
      <c r="C113" s="145"/>
      <c r="D113" s="145"/>
      <c r="E113" s="145"/>
      <c r="F113" s="145"/>
      <c r="G113" s="145"/>
    </row>
    <row r="114" spans="1:7" ht="14.25" hidden="1" customHeight="1">
      <c r="A114" s="99"/>
      <c r="B114" s="145"/>
      <c r="C114" s="145"/>
      <c r="D114" s="145"/>
      <c r="E114" s="145"/>
      <c r="F114" s="145"/>
      <c r="G114" s="145"/>
    </row>
    <row r="115" spans="1:7" ht="14.25" hidden="1" customHeight="1">
      <c r="A115" s="99"/>
      <c r="B115" s="145"/>
      <c r="C115" s="145"/>
      <c r="D115" s="145"/>
      <c r="E115" s="145"/>
      <c r="F115" s="145"/>
      <c r="G115" s="145"/>
    </row>
    <row r="116" spans="1:7" ht="14.25" hidden="1" customHeight="1">
      <c r="A116" s="99"/>
      <c r="B116" s="145"/>
      <c r="C116" s="145"/>
      <c r="D116" s="145"/>
      <c r="E116" s="145"/>
      <c r="F116" s="145"/>
      <c r="G116" s="145"/>
    </row>
    <row r="117" spans="1:7" ht="14.25" hidden="1" customHeight="1">
      <c r="A117" s="99"/>
      <c r="B117" s="145"/>
      <c r="C117" s="145"/>
      <c r="D117" s="145"/>
      <c r="E117" s="145"/>
      <c r="F117" s="145"/>
      <c r="G117" s="145"/>
    </row>
    <row r="118" spans="1:7" ht="14.25" hidden="1" customHeight="1">
      <c r="A118" s="99"/>
      <c r="B118" s="145"/>
      <c r="C118" s="145"/>
      <c r="D118" s="145"/>
      <c r="E118" s="145"/>
      <c r="F118" s="145"/>
      <c r="G118" s="145"/>
    </row>
    <row r="119" spans="1:7" ht="14.25" hidden="1" customHeight="1">
      <c r="A119" s="99"/>
      <c r="B119" s="145"/>
      <c r="C119" s="145"/>
      <c r="D119" s="145"/>
      <c r="E119" s="145"/>
      <c r="F119" s="145"/>
      <c r="G119" s="145"/>
    </row>
    <row r="120" spans="1:7" ht="14.25" hidden="1" customHeight="1">
      <c r="A120" s="99"/>
      <c r="B120" s="145"/>
      <c r="C120" s="145"/>
      <c r="D120" s="145"/>
      <c r="E120" s="145"/>
      <c r="F120" s="145"/>
      <c r="G120" s="145"/>
    </row>
    <row r="121" spans="1:7" ht="14.25" hidden="1" customHeight="1">
      <c r="A121" s="99"/>
      <c r="B121" s="145"/>
      <c r="C121" s="145"/>
      <c r="D121" s="145"/>
      <c r="E121" s="145"/>
      <c r="F121" s="145"/>
      <c r="G121" s="145"/>
    </row>
    <row r="122" spans="1:7" ht="14.25" hidden="1" customHeight="1">
      <c r="A122" s="99"/>
      <c r="B122" s="145"/>
      <c r="C122" s="145"/>
      <c r="D122" s="145"/>
      <c r="E122" s="145"/>
      <c r="F122" s="145"/>
      <c r="G122" s="145"/>
    </row>
    <row r="123" spans="1:7" ht="15" hidden="1" customHeight="1">
      <c r="A123" s="99"/>
      <c r="B123" s="146"/>
      <c r="C123" s="145"/>
      <c r="D123" s="145"/>
      <c r="E123" s="145"/>
      <c r="F123" s="145"/>
      <c r="G123" s="145"/>
    </row>
    <row r="124" spans="1:7" ht="15" hidden="1" customHeight="1">
      <c r="A124" s="99"/>
      <c r="B124" s="146"/>
      <c r="C124" s="145"/>
      <c r="D124" s="145"/>
      <c r="E124" s="145"/>
      <c r="F124" s="145"/>
      <c r="G124" s="145"/>
    </row>
    <row r="125" spans="1:7" ht="15" hidden="1" customHeight="1">
      <c r="A125" s="99"/>
      <c r="B125" s="146"/>
      <c r="C125" s="145"/>
      <c r="D125" s="145"/>
      <c r="E125" s="145"/>
      <c r="F125" s="145"/>
      <c r="G125" s="145"/>
    </row>
    <row r="126" spans="1:7" ht="15" hidden="1" customHeight="1">
      <c r="A126" s="99"/>
      <c r="B126" s="146"/>
      <c r="C126" s="145"/>
      <c r="D126" s="145"/>
      <c r="E126" s="145"/>
      <c r="F126" s="145"/>
      <c r="G126" s="145"/>
    </row>
    <row r="127" spans="1:7" ht="14.25" hidden="1" customHeight="1">
      <c r="A127" s="99"/>
      <c r="B127" s="145"/>
      <c r="C127" s="145"/>
      <c r="D127" s="145"/>
      <c r="E127" s="145"/>
      <c r="F127" s="145"/>
      <c r="G127" s="145"/>
    </row>
    <row r="128" spans="1:7" ht="14.25" hidden="1" customHeight="1">
      <c r="A128" s="99"/>
      <c r="B128" s="145"/>
      <c r="C128" s="145"/>
      <c r="D128" s="145"/>
      <c r="E128" s="145"/>
      <c r="F128" s="145"/>
      <c r="G128" s="145"/>
    </row>
    <row r="129" s="99" customFormat="1" ht="14.25" hidden="1" customHeight="1"/>
    <row r="130" s="99" customFormat="1" ht="14.25" hidden="1" customHeight="1"/>
    <row r="131" s="99" customFormat="1" ht="14.25" hidden="1" customHeight="1"/>
    <row r="132" s="99" customFormat="1" ht="14.25" hidden="1" customHeight="1"/>
    <row r="133" s="99" customFormat="1" ht="14.25" hidden="1" customHeight="1"/>
    <row r="134" s="99" customFormat="1" ht="14.25" hidden="1" customHeight="1"/>
    <row r="135" s="99" customFormat="1" ht="14.25" hidden="1" customHeight="1"/>
    <row r="136" s="99" customFormat="1" ht="14.25" hidden="1" customHeight="1"/>
  </sheetData>
  <mergeCells count="7">
    <mergeCell ref="D17:G21"/>
    <mergeCell ref="B1:G1"/>
    <mergeCell ref="D5:E5"/>
    <mergeCell ref="D7:E7"/>
    <mergeCell ref="D9:G9"/>
    <mergeCell ref="D11:E11"/>
    <mergeCell ref="D13:E13"/>
  </mergeCells>
  <dataValidations count="4">
    <dataValidation type="list" allowBlank="1" showInputMessage="1" showErrorMessage="1" sqref="D13:E13" xr:uid="{00000000-0002-0000-0000-000000000000}">
      <formula1>"CONS,SOLO"</formula1>
    </dataValidation>
    <dataValidation type="custom" allowBlank="1" showInputMessage="1" showErrorMessage="1" errorTitle="Error - String size" error="LEI code must have exactly 20 characters." sqref="D7:E7" xr:uid="{00000000-0002-0000-0000-000001000000}">
      <formula1>LEN(D7)=20</formula1>
    </dataValidation>
    <dataValidation type="list" allowBlank="1" showInputMessage="1" showErrorMessage="1" sqref="D3" xr:uid="{00000000-0002-0000-0000-000002000000}">
      <formula1>"AT,BE,BG,CY,DE,EE,ES,FI,FR,GR,HR,IE,IT,LT,LU,LV,MT,NL,PT,SI,SK"</formula1>
    </dataValidation>
    <dataValidation type="list" allowBlank="1" showInputMessage="1" showErrorMessage="1" sqref="D11:E11" xr:uid="{00000000-0002-0000-0000-000003000000}">
      <formula1>"31/12/2022,31/12/2023"</formula1>
    </dataValidation>
  </dataValidation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-0.499984740745262"/>
    <pageSetUpPr fitToPage="1"/>
  </sheetPr>
  <dimension ref="A1:IT27"/>
  <sheetViews>
    <sheetView zoomScale="70" zoomScaleNormal="70" workbookViewId="0"/>
  </sheetViews>
  <sheetFormatPr defaultColWidth="0" defaultRowHeight="12.75" zeroHeight="1"/>
  <cols>
    <col min="1" max="1" width="3.42578125" style="159" customWidth="1"/>
    <col min="2" max="2" width="8.5703125" style="20" customWidth="1"/>
    <col min="3" max="3" width="8.85546875" style="19" customWidth="1"/>
    <col min="4" max="4" width="26" style="19" customWidth="1"/>
    <col min="5" max="5" width="15.5703125" style="19" customWidth="1"/>
    <col min="6" max="6" width="8.140625" style="19" bestFit="1" customWidth="1"/>
    <col min="7" max="14" width="11.5703125" style="19" customWidth="1"/>
    <col min="15" max="15" width="8.85546875" style="159" customWidth="1"/>
    <col min="16" max="17" width="0" style="159" hidden="1" customWidth="1"/>
    <col min="18" max="254" width="0" style="19" hidden="1" customWidth="1"/>
    <col min="255" max="16384" width="8.85546875" style="19" hidden="1"/>
  </cols>
  <sheetData>
    <row r="1" spans="1:254" s="13" customFormat="1" ht="21" customHeight="1">
      <c r="A1" s="157"/>
      <c r="B1" s="225" t="s">
        <v>108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157"/>
      <c r="P1" s="157"/>
      <c r="Q1" s="157"/>
    </row>
    <row r="2" spans="1:254" s="22" customFormat="1" ht="11.25">
      <c r="A2" s="160"/>
      <c r="B2" s="251"/>
      <c r="C2" s="252"/>
      <c r="D2" s="252"/>
      <c r="E2" s="253"/>
      <c r="F2" s="247" t="s">
        <v>6</v>
      </c>
      <c r="G2" s="249" t="s">
        <v>37</v>
      </c>
      <c r="H2" s="249"/>
      <c r="I2" s="249"/>
      <c r="J2" s="249"/>
      <c r="K2" s="249"/>
      <c r="L2" s="249"/>
      <c r="M2" s="249"/>
      <c r="N2" s="249"/>
      <c r="O2" s="163"/>
      <c r="P2" s="163"/>
      <c r="Q2" s="163"/>
      <c r="IG2" s="21"/>
      <c r="IH2" s="21"/>
      <c r="II2" s="21"/>
      <c r="IJ2" s="21"/>
    </row>
    <row r="3" spans="1:254" s="22" customFormat="1" ht="22.5">
      <c r="A3" s="160"/>
      <c r="B3" s="254"/>
      <c r="C3" s="255"/>
      <c r="D3" s="255"/>
      <c r="E3" s="256"/>
      <c r="F3" s="248"/>
      <c r="G3" s="23" t="s">
        <v>56</v>
      </c>
      <c r="H3" s="24" t="s">
        <v>58</v>
      </c>
      <c r="I3" s="24" t="s">
        <v>48</v>
      </c>
      <c r="J3" s="24" t="s">
        <v>49</v>
      </c>
      <c r="K3" s="24" t="s">
        <v>50</v>
      </c>
      <c r="L3" s="24" t="s">
        <v>51</v>
      </c>
      <c r="M3" s="24" t="s">
        <v>52</v>
      </c>
      <c r="N3" s="24" t="s">
        <v>57</v>
      </c>
      <c r="O3" s="163"/>
      <c r="P3" s="163"/>
      <c r="Q3" s="163"/>
      <c r="IH3" s="21"/>
      <c r="II3" s="21"/>
      <c r="IJ3" s="21"/>
      <c r="IK3" s="21"/>
    </row>
    <row r="4" spans="1:254" s="22" customFormat="1" ht="11.25">
      <c r="A4" s="160"/>
      <c r="B4" s="257"/>
      <c r="C4" s="258"/>
      <c r="D4" s="258"/>
      <c r="E4" s="259"/>
      <c r="F4" s="27" t="s">
        <v>71</v>
      </c>
      <c r="G4" s="27" t="s">
        <v>72</v>
      </c>
      <c r="H4" s="27" t="s">
        <v>73</v>
      </c>
      <c r="I4" s="27" t="s">
        <v>74</v>
      </c>
      <c r="J4" s="27" t="s">
        <v>75</v>
      </c>
      <c r="K4" s="27" t="s">
        <v>76</v>
      </c>
      <c r="L4" s="27" t="s">
        <v>77</v>
      </c>
      <c r="M4" s="27" t="s">
        <v>78</v>
      </c>
      <c r="N4" s="27" t="s">
        <v>79</v>
      </c>
      <c r="O4" s="164"/>
      <c r="P4" s="163"/>
      <c r="Q4" s="163"/>
      <c r="IQ4" s="21"/>
      <c r="IR4" s="21"/>
      <c r="IS4" s="21"/>
      <c r="IT4" s="21"/>
    </row>
    <row r="5" spans="1:254" s="22" customFormat="1" ht="21" customHeight="1">
      <c r="A5" s="160"/>
      <c r="B5" s="86" t="s">
        <v>71</v>
      </c>
      <c r="C5" s="244" t="s">
        <v>8</v>
      </c>
      <c r="D5" s="244"/>
      <c r="E5" s="171" t="s">
        <v>20</v>
      </c>
      <c r="F5" s="72">
        <f>SUM(I5:N5)</f>
        <v>0</v>
      </c>
      <c r="G5" s="71"/>
      <c r="H5" s="71"/>
      <c r="I5" s="118">
        <f t="shared" ref="I5:M5" si="0">MAX(I8-I16,0)</f>
        <v>0</v>
      </c>
      <c r="J5" s="118">
        <f t="shared" si="0"/>
        <v>0</v>
      </c>
      <c r="K5" s="118">
        <f t="shared" si="0"/>
        <v>0</v>
      </c>
      <c r="L5" s="118">
        <f t="shared" si="0"/>
        <v>0</v>
      </c>
      <c r="M5" s="118">
        <f t="shared" si="0"/>
        <v>0</v>
      </c>
      <c r="N5" s="118">
        <f>MAX(N8-N16,0)</f>
        <v>0</v>
      </c>
      <c r="O5" s="164"/>
      <c r="P5" s="163"/>
      <c r="Q5" s="163"/>
      <c r="IQ5" s="21"/>
      <c r="IR5" s="21"/>
      <c r="IS5" s="21"/>
      <c r="IT5" s="21"/>
    </row>
    <row r="6" spans="1:254" s="29" customFormat="1" ht="21" customHeight="1">
      <c r="A6" s="161"/>
      <c r="B6" s="33" t="s">
        <v>72</v>
      </c>
      <c r="C6" s="250" t="s">
        <v>9</v>
      </c>
      <c r="D6" s="243"/>
      <c r="E6" s="171" t="s">
        <v>20</v>
      </c>
      <c r="F6" s="72">
        <f>SUM(I6:N6)</f>
        <v>0</v>
      </c>
      <c r="G6" s="73"/>
      <c r="H6" s="73"/>
      <c r="I6" s="173"/>
      <c r="J6" s="173"/>
      <c r="K6" s="173"/>
      <c r="L6" s="173"/>
      <c r="M6" s="173"/>
      <c r="N6" s="173"/>
      <c r="O6" s="165"/>
      <c r="P6" s="155"/>
      <c r="Q6" s="155"/>
      <c r="IQ6" s="28"/>
      <c r="IR6" s="28"/>
      <c r="IS6" s="28"/>
      <c r="IT6" s="28"/>
    </row>
    <row r="7" spans="1:254" s="35" customFormat="1" ht="21" customHeight="1">
      <c r="A7" s="162"/>
      <c r="B7" s="230" t="s">
        <v>29</v>
      </c>
      <c r="C7" s="231"/>
      <c r="D7" s="231"/>
      <c r="E7" s="169"/>
      <c r="F7" s="74"/>
      <c r="G7" s="74"/>
      <c r="H7" s="74"/>
      <c r="I7" s="74"/>
      <c r="J7" s="74"/>
      <c r="K7" s="74"/>
      <c r="L7" s="74"/>
      <c r="M7" s="74"/>
      <c r="N7" s="74"/>
      <c r="O7" s="166"/>
      <c r="P7" s="154"/>
      <c r="Q7" s="154"/>
      <c r="IQ7" s="34"/>
      <c r="IR7" s="34"/>
      <c r="IS7" s="34"/>
      <c r="IT7" s="34"/>
    </row>
    <row r="8" spans="1:254" s="22" customFormat="1" ht="21" customHeight="1">
      <c r="A8" s="160"/>
      <c r="B8" s="87" t="s">
        <v>73</v>
      </c>
      <c r="C8" s="242" t="s">
        <v>35</v>
      </c>
      <c r="D8" s="243"/>
      <c r="E8" s="170"/>
      <c r="F8" s="119">
        <f>SUM(I8:N8)</f>
        <v>0</v>
      </c>
      <c r="G8" s="75"/>
      <c r="H8" s="75"/>
      <c r="I8" s="76">
        <f>+I9</f>
        <v>0</v>
      </c>
      <c r="J8" s="76">
        <f>+J9</f>
        <v>0</v>
      </c>
      <c r="K8" s="76">
        <f>+K9</f>
        <v>0</v>
      </c>
      <c r="L8" s="76">
        <f>+L9</f>
        <v>0</v>
      </c>
      <c r="M8" s="76">
        <f>+M9</f>
        <v>0</v>
      </c>
      <c r="N8" s="76">
        <f>+N12+N9</f>
        <v>0</v>
      </c>
      <c r="O8" s="164"/>
      <c r="P8" s="163"/>
      <c r="Q8" s="163"/>
      <c r="IQ8" s="21"/>
      <c r="IR8" s="21"/>
      <c r="IS8" s="21"/>
      <c r="IT8" s="21"/>
    </row>
    <row r="9" spans="1:254" s="22" customFormat="1" ht="21" customHeight="1">
      <c r="A9" s="160"/>
      <c r="B9" s="31" t="s">
        <v>74</v>
      </c>
      <c r="C9" s="232" t="s">
        <v>0</v>
      </c>
      <c r="D9" s="25" t="s">
        <v>33</v>
      </c>
      <c r="E9" s="171" t="s">
        <v>20</v>
      </c>
      <c r="F9" s="77">
        <f>+SUM(I9:N9)</f>
        <v>0</v>
      </c>
      <c r="G9" s="78"/>
      <c r="H9" s="78"/>
      <c r="I9" s="79">
        <f t="shared" ref="I9:N9" si="1">I10*I11</f>
        <v>0</v>
      </c>
      <c r="J9" s="79">
        <f t="shared" si="1"/>
        <v>0</v>
      </c>
      <c r="K9" s="79">
        <f t="shared" si="1"/>
        <v>0</v>
      </c>
      <c r="L9" s="79">
        <f t="shared" si="1"/>
        <v>0</v>
      </c>
      <c r="M9" s="79">
        <f t="shared" si="1"/>
        <v>0</v>
      </c>
      <c r="N9" s="79">
        <f t="shared" si="1"/>
        <v>0</v>
      </c>
      <c r="O9" s="164"/>
      <c r="P9" s="163"/>
      <c r="Q9" s="163"/>
      <c r="IQ9" s="21"/>
      <c r="IR9" s="21"/>
      <c r="IS9" s="21"/>
      <c r="IT9" s="21"/>
    </row>
    <row r="10" spans="1:254" s="22" customFormat="1" ht="21" customHeight="1">
      <c r="A10" s="160"/>
      <c r="B10" s="30" t="s">
        <v>75</v>
      </c>
      <c r="C10" s="233"/>
      <c r="D10" s="26" t="s">
        <v>19</v>
      </c>
      <c r="E10" s="171" t="s">
        <v>20</v>
      </c>
      <c r="F10" s="77">
        <f>SUM(G10:N10)</f>
        <v>0</v>
      </c>
      <c r="G10" s="174"/>
      <c r="H10" s="174"/>
      <c r="I10" s="174"/>
      <c r="J10" s="174"/>
      <c r="K10" s="174"/>
      <c r="L10" s="174"/>
      <c r="M10" s="174"/>
      <c r="N10" s="174"/>
      <c r="O10" s="164"/>
      <c r="P10" s="163"/>
      <c r="Q10" s="163"/>
      <c r="IQ10" s="21"/>
      <c r="IR10" s="21"/>
      <c r="IS10" s="21"/>
      <c r="IT10" s="21"/>
    </row>
    <row r="11" spans="1:254" s="22" customFormat="1" ht="21" customHeight="1">
      <c r="A11" s="160"/>
      <c r="B11" s="85" t="s">
        <v>76</v>
      </c>
      <c r="C11" s="234"/>
      <c r="D11" s="37" t="s">
        <v>1</v>
      </c>
      <c r="E11" s="171" t="s">
        <v>60</v>
      </c>
      <c r="F11" s="80"/>
      <c r="G11" s="80"/>
      <c r="H11" s="80"/>
      <c r="I11" s="183"/>
      <c r="J11" s="123">
        <f>I11</f>
        <v>0</v>
      </c>
      <c r="K11" s="123">
        <f>J11</f>
        <v>0</v>
      </c>
      <c r="L11" s="123">
        <f>K11</f>
        <v>0</v>
      </c>
      <c r="M11" s="123">
        <f>L11</f>
        <v>0</v>
      </c>
      <c r="N11" s="123">
        <f>M11</f>
        <v>0</v>
      </c>
      <c r="O11" s="164"/>
      <c r="P11" s="163"/>
      <c r="Q11" s="163"/>
      <c r="IQ11" s="21"/>
      <c r="IR11" s="21"/>
      <c r="IS11" s="21"/>
      <c r="IT11" s="21"/>
    </row>
    <row r="12" spans="1:254" s="22" customFormat="1" ht="21" customHeight="1">
      <c r="A12" s="160"/>
      <c r="B12" s="30" t="s">
        <v>77</v>
      </c>
      <c r="C12" s="235" t="s">
        <v>30</v>
      </c>
      <c r="D12" s="32" t="s">
        <v>33</v>
      </c>
      <c r="E12" s="171" t="s">
        <v>20</v>
      </c>
      <c r="F12" s="81">
        <f>+N12</f>
        <v>0</v>
      </c>
      <c r="G12" s="82"/>
      <c r="H12" s="82"/>
      <c r="I12" s="82"/>
      <c r="J12" s="82"/>
      <c r="K12" s="82"/>
      <c r="L12" s="82"/>
      <c r="M12" s="82"/>
      <c r="N12" s="83">
        <f>N13*N14</f>
        <v>0</v>
      </c>
      <c r="O12" s="164"/>
      <c r="P12" s="163"/>
      <c r="Q12" s="163"/>
      <c r="IQ12" s="21"/>
      <c r="IR12" s="21"/>
      <c r="IS12" s="21"/>
      <c r="IT12" s="21"/>
    </row>
    <row r="13" spans="1:254" s="22" customFormat="1" ht="21" customHeight="1">
      <c r="A13" s="160"/>
      <c r="B13" s="30" t="s">
        <v>78</v>
      </c>
      <c r="C13" s="236"/>
      <c r="D13" s="26" t="s">
        <v>19</v>
      </c>
      <c r="E13" s="171" t="s">
        <v>20</v>
      </c>
      <c r="F13" s="81">
        <f>SUM(G13:N13)</f>
        <v>0</v>
      </c>
      <c r="G13" s="174"/>
      <c r="H13" s="174"/>
      <c r="I13" s="174"/>
      <c r="J13" s="174"/>
      <c r="K13" s="174"/>
      <c r="L13" s="174"/>
      <c r="M13" s="174"/>
      <c r="N13" s="174"/>
      <c r="O13" s="164"/>
      <c r="P13" s="163"/>
      <c r="Q13" s="163"/>
      <c r="IQ13" s="21"/>
      <c r="IR13" s="21"/>
      <c r="IS13" s="21"/>
      <c r="IT13" s="21"/>
    </row>
    <row r="14" spans="1:254" s="22" customFormat="1" ht="21" customHeight="1">
      <c r="A14" s="160"/>
      <c r="B14" s="30" t="s">
        <v>79</v>
      </c>
      <c r="C14" s="236"/>
      <c r="D14" s="37" t="s">
        <v>1</v>
      </c>
      <c r="E14" s="171" t="s">
        <v>60</v>
      </c>
      <c r="F14" s="80"/>
      <c r="G14" s="80"/>
      <c r="H14" s="84"/>
      <c r="I14" s="84"/>
      <c r="J14" s="84"/>
      <c r="K14" s="84"/>
      <c r="L14" s="84"/>
      <c r="M14" s="84"/>
      <c r="N14" s="183"/>
      <c r="O14" s="164"/>
      <c r="P14" s="163"/>
      <c r="Q14" s="163"/>
      <c r="IQ14" s="21"/>
      <c r="IR14" s="21"/>
      <c r="IS14" s="21"/>
      <c r="IT14" s="21"/>
    </row>
    <row r="15" spans="1:254" s="35" customFormat="1" ht="21" customHeight="1">
      <c r="A15" s="162"/>
      <c r="B15" s="230" t="s">
        <v>34</v>
      </c>
      <c r="C15" s="231"/>
      <c r="D15" s="231"/>
      <c r="E15" s="169"/>
      <c r="F15" s="74"/>
      <c r="G15" s="74"/>
      <c r="H15" s="74"/>
      <c r="I15" s="74"/>
      <c r="J15" s="74"/>
      <c r="K15" s="74"/>
      <c r="L15" s="74"/>
      <c r="M15" s="74"/>
      <c r="N15" s="74"/>
      <c r="O15" s="166"/>
      <c r="P15" s="154"/>
      <c r="Q15" s="154"/>
      <c r="IQ15" s="34"/>
      <c r="IR15" s="34"/>
      <c r="IS15" s="34"/>
      <c r="IT15" s="34"/>
    </row>
    <row r="16" spans="1:254" s="22" customFormat="1" ht="21" customHeight="1">
      <c r="A16" s="160"/>
      <c r="B16" s="102" t="s">
        <v>83</v>
      </c>
      <c r="C16" s="244" t="s">
        <v>36</v>
      </c>
      <c r="D16" s="244"/>
      <c r="E16" s="171" t="s">
        <v>20</v>
      </c>
      <c r="F16" s="119">
        <f>SUM(I16:N16)</f>
        <v>0</v>
      </c>
      <c r="G16" s="108"/>
      <c r="H16" s="108"/>
      <c r="I16" s="175"/>
      <c r="J16" s="175"/>
      <c r="K16" s="175"/>
      <c r="L16" s="175"/>
      <c r="M16" s="175"/>
      <c r="N16" s="175"/>
      <c r="O16" s="164"/>
      <c r="P16" s="163"/>
      <c r="Q16" s="163"/>
      <c r="IQ16" s="21"/>
      <c r="IR16" s="21"/>
      <c r="IS16" s="21"/>
      <c r="IT16" s="21"/>
    </row>
    <row r="17" spans="1:254" s="22" customFormat="1" ht="29.1" customHeight="1">
      <c r="A17" s="156"/>
      <c r="B17" s="113">
        <v>210</v>
      </c>
      <c r="C17" s="237" t="s">
        <v>38</v>
      </c>
      <c r="D17" s="237"/>
      <c r="E17" s="171" t="s">
        <v>20</v>
      </c>
      <c r="F17" s="106">
        <f t="shared" ref="F17:F23" si="2">SUM(G17:N17)</f>
        <v>0</v>
      </c>
      <c r="G17" s="107">
        <f t="shared" ref="G17:N17" si="3">SUM(G18:G23)</f>
        <v>0</v>
      </c>
      <c r="H17" s="107">
        <f t="shared" si="3"/>
        <v>0</v>
      </c>
      <c r="I17" s="107">
        <f t="shared" si="3"/>
        <v>0</v>
      </c>
      <c r="J17" s="107">
        <f t="shared" si="3"/>
        <v>0</v>
      </c>
      <c r="K17" s="107">
        <f t="shared" si="3"/>
        <v>0</v>
      </c>
      <c r="L17" s="107">
        <f t="shared" si="3"/>
        <v>0</v>
      </c>
      <c r="M17" s="107">
        <f t="shared" si="3"/>
        <v>0</v>
      </c>
      <c r="N17" s="107">
        <f t="shared" si="3"/>
        <v>0</v>
      </c>
      <c r="O17" s="163"/>
      <c r="P17" s="163"/>
      <c r="Q17" s="163"/>
    </row>
    <row r="18" spans="1:254" s="22" customFormat="1" ht="21" customHeight="1">
      <c r="A18" s="156"/>
      <c r="B18" s="31">
        <v>220</v>
      </c>
      <c r="C18" s="245" t="s">
        <v>3</v>
      </c>
      <c r="D18" s="246"/>
      <c r="E18" s="171" t="s">
        <v>20</v>
      </c>
      <c r="F18" s="92">
        <f t="shared" si="2"/>
        <v>0</v>
      </c>
      <c r="G18" s="176"/>
      <c r="H18" s="177"/>
      <c r="I18" s="177"/>
      <c r="J18" s="177"/>
      <c r="K18" s="177"/>
      <c r="L18" s="177"/>
      <c r="M18" s="177"/>
      <c r="N18" s="177"/>
      <c r="O18" s="164"/>
      <c r="P18" s="163"/>
      <c r="Q18" s="163"/>
      <c r="IQ18" s="21"/>
      <c r="IR18" s="21"/>
      <c r="IS18" s="21"/>
      <c r="IT18" s="21"/>
    </row>
    <row r="19" spans="1:254" s="22" customFormat="1" ht="21" customHeight="1">
      <c r="A19" s="156"/>
      <c r="B19" s="91">
        <v>230</v>
      </c>
      <c r="C19" s="238" t="s">
        <v>4</v>
      </c>
      <c r="D19" s="239"/>
      <c r="E19" s="171" t="s">
        <v>20</v>
      </c>
      <c r="F19" s="93">
        <f t="shared" si="2"/>
        <v>0</v>
      </c>
      <c r="G19" s="178"/>
      <c r="H19" s="179"/>
      <c r="I19" s="179"/>
      <c r="J19" s="179"/>
      <c r="K19" s="179"/>
      <c r="L19" s="179"/>
      <c r="M19" s="179"/>
      <c r="N19" s="179"/>
      <c r="O19" s="164"/>
      <c r="P19" s="163"/>
      <c r="Q19" s="163"/>
      <c r="IQ19" s="21"/>
      <c r="IR19" s="21"/>
      <c r="IS19" s="21"/>
      <c r="IT19" s="21"/>
    </row>
    <row r="20" spans="1:254" s="22" customFormat="1" ht="21" customHeight="1">
      <c r="A20" s="156"/>
      <c r="B20" s="91">
        <v>240</v>
      </c>
      <c r="C20" s="238" t="s">
        <v>2</v>
      </c>
      <c r="D20" s="239"/>
      <c r="E20" s="171" t="s">
        <v>20</v>
      </c>
      <c r="F20" s="93">
        <f t="shared" si="2"/>
        <v>0</v>
      </c>
      <c r="G20" s="178"/>
      <c r="H20" s="178"/>
      <c r="I20" s="178"/>
      <c r="J20" s="178"/>
      <c r="K20" s="178"/>
      <c r="L20" s="178"/>
      <c r="M20" s="178"/>
      <c r="N20" s="178"/>
      <c r="O20" s="164"/>
      <c r="P20" s="163"/>
      <c r="Q20" s="163"/>
      <c r="IQ20" s="21"/>
      <c r="IR20" s="21"/>
      <c r="IS20" s="21"/>
      <c r="IT20" s="21"/>
    </row>
    <row r="21" spans="1:254" s="22" customFormat="1" ht="21" customHeight="1">
      <c r="A21" s="156"/>
      <c r="B21" s="91">
        <v>250</v>
      </c>
      <c r="C21" s="238" t="s">
        <v>44</v>
      </c>
      <c r="D21" s="239"/>
      <c r="E21" s="171" t="s">
        <v>20</v>
      </c>
      <c r="F21" s="93">
        <f t="shared" si="2"/>
        <v>0</v>
      </c>
      <c r="G21" s="178"/>
      <c r="H21" s="178"/>
      <c r="I21" s="178"/>
      <c r="J21" s="178"/>
      <c r="K21" s="178"/>
      <c r="L21" s="178"/>
      <c r="M21" s="178"/>
      <c r="N21" s="178"/>
      <c r="O21" s="163"/>
      <c r="P21" s="163"/>
      <c r="Q21" s="163"/>
    </row>
    <row r="22" spans="1:254" ht="21" customHeight="1">
      <c r="A22" s="156"/>
      <c r="B22" s="91">
        <v>260</v>
      </c>
      <c r="C22" s="238" t="s">
        <v>96</v>
      </c>
      <c r="D22" s="239"/>
      <c r="E22" s="171" t="s">
        <v>20</v>
      </c>
      <c r="F22" s="93">
        <f t="shared" si="2"/>
        <v>0</v>
      </c>
      <c r="G22" s="178"/>
      <c r="H22" s="178"/>
      <c r="I22" s="178"/>
      <c r="J22" s="178"/>
      <c r="K22" s="178"/>
      <c r="L22" s="178"/>
      <c r="M22" s="178"/>
      <c r="N22" s="178"/>
    </row>
    <row r="23" spans="1:254" ht="21" customHeight="1">
      <c r="A23" s="156"/>
      <c r="B23" s="103">
        <v>270</v>
      </c>
      <c r="C23" s="240" t="s">
        <v>5</v>
      </c>
      <c r="D23" s="241"/>
      <c r="E23" s="171" t="s">
        <v>20</v>
      </c>
      <c r="F23" s="109">
        <f t="shared" si="2"/>
        <v>0</v>
      </c>
      <c r="G23" s="180"/>
      <c r="H23" s="180"/>
      <c r="I23" s="180"/>
      <c r="J23" s="180"/>
      <c r="K23" s="180"/>
      <c r="L23" s="180"/>
      <c r="M23" s="180"/>
      <c r="N23" s="180"/>
    </row>
    <row r="24" spans="1:254" ht="21" customHeight="1">
      <c r="A24" s="156"/>
      <c r="B24" s="114">
        <v>280</v>
      </c>
      <c r="C24" s="226" t="s">
        <v>98</v>
      </c>
      <c r="D24" s="227"/>
      <c r="E24" s="171" t="s">
        <v>20</v>
      </c>
      <c r="F24" s="77">
        <f>SUM(I24:N24)</f>
        <v>0</v>
      </c>
      <c r="G24" s="110"/>
      <c r="H24" s="110"/>
      <c r="I24" s="181"/>
      <c r="J24" s="181"/>
      <c r="K24" s="181"/>
      <c r="L24" s="181"/>
      <c r="M24" s="181"/>
      <c r="N24" s="181"/>
    </row>
    <row r="25" spans="1:254" s="22" customFormat="1" ht="21" customHeight="1">
      <c r="A25" s="156"/>
      <c r="B25" s="115">
        <v>290</v>
      </c>
      <c r="C25" s="228" t="s">
        <v>101</v>
      </c>
      <c r="D25" s="229"/>
      <c r="E25" s="171" t="s">
        <v>20</v>
      </c>
      <c r="F25" s="88">
        <f>N25</f>
        <v>0</v>
      </c>
      <c r="G25" s="89"/>
      <c r="H25" s="90"/>
      <c r="I25" s="90"/>
      <c r="J25" s="90"/>
      <c r="K25" s="90"/>
      <c r="L25" s="90"/>
      <c r="M25" s="90"/>
      <c r="N25" s="182"/>
      <c r="O25" s="163"/>
      <c r="P25" s="163"/>
      <c r="Q25" s="163"/>
    </row>
    <row r="26" spans="1:254" s="159" customFormat="1">
      <c r="A26" s="156"/>
      <c r="B26" s="167"/>
    </row>
    <row r="27" spans="1:254" s="159" customFormat="1" hidden="1">
      <c r="A27" s="156"/>
      <c r="B27" s="167"/>
    </row>
  </sheetData>
  <mergeCells count="21">
    <mergeCell ref="F2:F3"/>
    <mergeCell ref="G2:N2"/>
    <mergeCell ref="C5:D5"/>
    <mergeCell ref="C6:D6"/>
    <mergeCell ref="B2:E4"/>
    <mergeCell ref="B1:N1"/>
    <mergeCell ref="C24:D24"/>
    <mergeCell ref="C25:D25"/>
    <mergeCell ref="B7:D7"/>
    <mergeCell ref="C9:C11"/>
    <mergeCell ref="C12:C14"/>
    <mergeCell ref="C17:D17"/>
    <mergeCell ref="B15:D15"/>
    <mergeCell ref="C19:D19"/>
    <mergeCell ref="C20:D20"/>
    <mergeCell ref="C21:D21"/>
    <mergeCell ref="C22:D22"/>
    <mergeCell ref="C23:D23"/>
    <mergeCell ref="C8:D8"/>
    <mergeCell ref="C16:D16"/>
    <mergeCell ref="C18:D18"/>
  </mergeCells>
  <dataValidations count="5">
    <dataValidation type="decimal" operator="greaterThanOrEqual" allowBlank="1" showInputMessage="1" showErrorMessage="1" errorTitle="Incorrect data entered" error="A non negative number (in unit of 'euros') must be entered" sqref="G10:N10 I6:N6" xr:uid="{00000000-0002-0000-0100-000000000000}">
      <formula1>0</formula1>
    </dataValidation>
    <dataValidation type="decimal" allowBlank="1" showInputMessage="1" showErrorMessage="1" errorTitle="Incorrect data entered" error="A number between 0.5 and 1.0 must be entered" sqref="I11" xr:uid="{00000000-0002-0000-0100-000001000000}">
      <formula1>0.5</formula1>
      <formula2>1</formula2>
    </dataValidation>
    <dataValidation type="decimal" operator="greaterThanOrEqual" allowBlank="1" showInputMessage="1" showErrorMessage="1" errorTitle="Incorrect data entered" error="A non negative number (in units of 'euros') must be entered" sqref="G13:N13 G18:N23 I24:N24 N25" xr:uid="{00000000-0002-0000-0100-000002000000}">
      <formula1>0</formula1>
    </dataValidation>
    <dataValidation type="decimal" allowBlank="1" showInputMessage="1" showErrorMessage="1" errorTitle="Incorrect data entered" error="A number between 0.4 and 1 must be entered" sqref="N14" xr:uid="{00000000-0002-0000-0100-000003000000}">
      <formula1>0.4</formula1>
      <formula2>1</formula2>
    </dataValidation>
    <dataValidation type="decimal" operator="greaterThanOrEqual" allowBlank="1" showInputMessage="1" showErrorMessage="1" errorTitle="Incorrect data entered" error="A non negative number must be entered" sqref="I16:N16" xr:uid="{00000000-0002-0000-0100-000005000000}">
      <formula1>0</formula1>
    </dataValidation>
  </dataValidations>
  <pageMargins left="0.25" right="0.25" top="0.75" bottom="0.75" header="0.3" footer="0.3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 tint="-0.499984740745262"/>
    <pageSetUpPr fitToPage="1"/>
  </sheetPr>
  <dimension ref="A1:IX34"/>
  <sheetViews>
    <sheetView zoomScale="55" zoomScaleNormal="55" workbookViewId="0"/>
  </sheetViews>
  <sheetFormatPr defaultColWidth="0" defaultRowHeight="12.75" zeroHeight="1"/>
  <cols>
    <col min="1" max="1" width="3.5703125" style="157" customWidth="1"/>
    <col min="2" max="2" width="8.5703125" style="12" customWidth="1"/>
    <col min="3" max="3" width="25.85546875" style="13" customWidth="1"/>
    <col min="4" max="4" width="26.5703125" style="13" customWidth="1"/>
    <col min="5" max="5" width="15.5703125" style="127" customWidth="1"/>
    <col min="6" max="6" width="8.140625" style="13" bestFit="1" customWidth="1"/>
    <col min="7" max="16" width="11.5703125" style="13" customWidth="1"/>
    <col min="17" max="17" width="6" style="157" customWidth="1"/>
    <col min="18" max="258" width="0" style="13" hidden="1" customWidth="1"/>
    <col min="259" max="16384" width="8.85546875" style="13" hidden="1"/>
  </cols>
  <sheetData>
    <row r="1" spans="1:258" ht="21" customHeight="1">
      <c r="B1" s="260" t="s">
        <v>317</v>
      </c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</row>
    <row r="2" spans="1:258" s="14" customFormat="1" ht="21" customHeight="1">
      <c r="A2" s="156"/>
      <c r="B2" s="284"/>
      <c r="C2" s="285"/>
      <c r="D2" s="286"/>
      <c r="E2" s="124"/>
      <c r="F2" s="273" t="s">
        <v>6</v>
      </c>
      <c r="G2" s="275" t="s">
        <v>37</v>
      </c>
      <c r="H2" s="275"/>
      <c r="I2" s="275"/>
      <c r="J2" s="275"/>
      <c r="K2" s="275"/>
      <c r="L2" s="275"/>
      <c r="M2" s="275"/>
      <c r="N2" s="275"/>
      <c r="O2" s="275"/>
      <c r="P2" s="276"/>
      <c r="Q2" s="152"/>
      <c r="IK2" s="15"/>
      <c r="IL2" s="15"/>
      <c r="IM2" s="15"/>
      <c r="IN2" s="15"/>
    </row>
    <row r="3" spans="1:258" s="14" customFormat="1" ht="21" customHeight="1">
      <c r="A3" s="156"/>
      <c r="B3" s="287"/>
      <c r="C3" s="288"/>
      <c r="D3" s="289"/>
      <c r="E3" s="125"/>
      <c r="F3" s="274"/>
      <c r="G3" s="2" t="s">
        <v>56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3" t="s">
        <v>55</v>
      </c>
      <c r="Q3" s="152"/>
      <c r="IL3" s="15"/>
      <c r="IM3" s="15"/>
      <c r="IN3" s="15"/>
      <c r="IO3" s="15"/>
    </row>
    <row r="4" spans="1:258" s="14" customFormat="1" ht="21" customHeight="1">
      <c r="A4" s="156"/>
      <c r="B4" s="290"/>
      <c r="C4" s="291"/>
      <c r="D4" s="292"/>
      <c r="E4" s="126"/>
      <c r="F4" s="27" t="s">
        <v>71</v>
      </c>
      <c r="G4" s="27" t="s">
        <v>72</v>
      </c>
      <c r="H4" s="27" t="s">
        <v>73</v>
      </c>
      <c r="I4" s="27" t="s">
        <v>74</v>
      </c>
      <c r="J4" s="27" t="s">
        <v>75</v>
      </c>
      <c r="K4" s="27" t="s">
        <v>76</v>
      </c>
      <c r="L4" s="27" t="s">
        <v>77</v>
      </c>
      <c r="M4" s="27" t="s">
        <v>78</v>
      </c>
      <c r="N4" s="27" t="s">
        <v>80</v>
      </c>
      <c r="O4" s="27">
        <v>110</v>
      </c>
      <c r="P4" s="27">
        <v>120</v>
      </c>
      <c r="Q4" s="151"/>
      <c r="IU4" s="15"/>
      <c r="IV4" s="15"/>
      <c r="IW4" s="15"/>
      <c r="IX4" s="15"/>
    </row>
    <row r="5" spans="1:258" s="14" customFormat="1" ht="21" customHeight="1">
      <c r="A5" s="156"/>
      <c r="B5" s="86" t="s">
        <v>71</v>
      </c>
      <c r="C5" s="277" t="s">
        <v>8</v>
      </c>
      <c r="D5" s="277"/>
      <c r="E5" s="171" t="s">
        <v>20</v>
      </c>
      <c r="F5" s="121">
        <f>SUM(I5:P5)</f>
        <v>0</v>
      </c>
      <c r="G5" s="50"/>
      <c r="H5" s="50"/>
      <c r="I5" s="118">
        <f>MAX(I8-I22,0)</f>
        <v>0</v>
      </c>
      <c r="J5" s="118">
        <f t="shared" ref="J5:P5" si="0">MAX(J8-J22,0)</f>
        <v>0</v>
      </c>
      <c r="K5" s="118">
        <f t="shared" si="0"/>
        <v>0</v>
      </c>
      <c r="L5" s="118">
        <f t="shared" si="0"/>
        <v>0</v>
      </c>
      <c r="M5" s="118">
        <f t="shared" si="0"/>
        <v>0</v>
      </c>
      <c r="N5" s="118">
        <f t="shared" si="0"/>
        <v>0</v>
      </c>
      <c r="O5" s="118">
        <f t="shared" si="0"/>
        <v>0</v>
      </c>
      <c r="P5" s="118">
        <f t="shared" si="0"/>
        <v>0</v>
      </c>
      <c r="Q5" s="151"/>
      <c r="IU5" s="15"/>
      <c r="IV5" s="15"/>
      <c r="IW5" s="15"/>
      <c r="IX5" s="15"/>
    </row>
    <row r="6" spans="1:258" s="17" customFormat="1" ht="21" customHeight="1">
      <c r="A6" s="153"/>
      <c r="B6" s="33" t="s">
        <v>72</v>
      </c>
      <c r="C6" s="278" t="s">
        <v>9</v>
      </c>
      <c r="D6" s="279"/>
      <c r="E6" s="171" t="s">
        <v>20</v>
      </c>
      <c r="F6" s="121">
        <f>SUM(I6:P6)</f>
        <v>0</v>
      </c>
      <c r="G6" s="51"/>
      <c r="H6" s="51"/>
      <c r="I6" s="184"/>
      <c r="J6" s="184"/>
      <c r="K6" s="184"/>
      <c r="L6" s="184"/>
      <c r="M6" s="184"/>
      <c r="N6" s="184"/>
      <c r="O6" s="184"/>
      <c r="P6" s="184"/>
      <c r="Q6" s="150"/>
      <c r="IU6" s="16"/>
      <c r="IV6" s="16"/>
      <c r="IW6" s="16"/>
      <c r="IX6" s="16"/>
    </row>
    <row r="7" spans="1:258" s="14" customFormat="1" ht="21" customHeight="1">
      <c r="A7" s="156"/>
      <c r="B7" s="230" t="s">
        <v>29</v>
      </c>
      <c r="C7" s="231"/>
      <c r="D7" s="231"/>
      <c r="E7" s="168"/>
      <c r="F7" s="52"/>
      <c r="G7" s="53"/>
      <c r="H7" s="53"/>
      <c r="I7" s="53"/>
      <c r="J7" s="53"/>
      <c r="K7" s="53"/>
      <c r="L7" s="53"/>
      <c r="M7" s="53"/>
      <c r="N7" s="53"/>
      <c r="O7" s="53"/>
      <c r="P7" s="54"/>
      <c r="Q7" s="151"/>
      <c r="IU7" s="15"/>
      <c r="IV7" s="15"/>
      <c r="IW7" s="15"/>
      <c r="IX7" s="15"/>
    </row>
    <row r="8" spans="1:258" s="14" customFormat="1" ht="21" customHeight="1">
      <c r="A8" s="156"/>
      <c r="B8" s="87" t="s">
        <v>73</v>
      </c>
      <c r="C8" s="269" t="s">
        <v>43</v>
      </c>
      <c r="D8" s="270"/>
      <c r="E8" s="171" t="s">
        <v>20</v>
      </c>
      <c r="F8" s="49">
        <f>SUM(I8:P8)</f>
        <v>0</v>
      </c>
      <c r="G8" s="55"/>
      <c r="H8" s="55"/>
      <c r="I8" s="57">
        <f>+I9</f>
        <v>0</v>
      </c>
      <c r="J8" s="57">
        <f>+J9+J12+J15</f>
        <v>0</v>
      </c>
      <c r="K8" s="57">
        <f>+K9+K12+K15</f>
        <v>0</v>
      </c>
      <c r="L8" s="57">
        <f>+L9+L12+L15</f>
        <v>0</v>
      </c>
      <c r="M8" s="57">
        <f>+M9+M12+M15</f>
        <v>0</v>
      </c>
      <c r="N8" s="57">
        <f>+N9+N12+N15+N18</f>
        <v>0</v>
      </c>
      <c r="O8" s="57">
        <f>+O9+O12+O15+O18</f>
        <v>0</v>
      </c>
      <c r="P8" s="57">
        <f>+P9+P12+P15+P18</f>
        <v>0</v>
      </c>
      <c r="Q8" s="151"/>
      <c r="IU8" s="15"/>
      <c r="IV8" s="15"/>
      <c r="IW8" s="15"/>
      <c r="IX8" s="15"/>
    </row>
    <row r="9" spans="1:258" s="14" customFormat="1" ht="21" customHeight="1">
      <c r="A9" s="156"/>
      <c r="B9" s="31" t="s">
        <v>74</v>
      </c>
      <c r="C9" s="232" t="s">
        <v>32</v>
      </c>
      <c r="D9" s="25" t="s">
        <v>33</v>
      </c>
      <c r="E9" s="171" t="s">
        <v>20</v>
      </c>
      <c r="F9" s="56">
        <f>SUM(I9:P9)</f>
        <v>0</v>
      </c>
      <c r="G9" s="55"/>
      <c r="H9" s="55"/>
      <c r="I9" s="57">
        <f>+I10*I11</f>
        <v>0</v>
      </c>
      <c r="J9" s="57">
        <f t="shared" ref="J9:P9" si="1">+J10*J11</f>
        <v>0</v>
      </c>
      <c r="K9" s="57">
        <f t="shared" si="1"/>
        <v>0</v>
      </c>
      <c r="L9" s="57">
        <f t="shared" si="1"/>
        <v>0</v>
      </c>
      <c r="M9" s="57">
        <f t="shared" si="1"/>
        <v>0</v>
      </c>
      <c r="N9" s="57">
        <f t="shared" si="1"/>
        <v>0</v>
      </c>
      <c r="O9" s="57">
        <f t="shared" si="1"/>
        <v>0</v>
      </c>
      <c r="P9" s="57">
        <f t="shared" si="1"/>
        <v>0</v>
      </c>
      <c r="Q9" s="151"/>
      <c r="IU9" s="15"/>
      <c r="IV9" s="15"/>
      <c r="IW9" s="15"/>
      <c r="IX9" s="15"/>
    </row>
    <row r="10" spans="1:258" s="14" customFormat="1" ht="21" customHeight="1">
      <c r="A10" s="156"/>
      <c r="B10" s="30" t="s">
        <v>75</v>
      </c>
      <c r="C10" s="233"/>
      <c r="D10" s="26" t="s">
        <v>19</v>
      </c>
      <c r="E10" s="171" t="s">
        <v>20</v>
      </c>
      <c r="F10" s="58">
        <f>SUM(G10:P10)</f>
        <v>0</v>
      </c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51"/>
      <c r="IU10" s="15"/>
      <c r="IV10" s="15"/>
      <c r="IW10" s="15"/>
      <c r="IX10" s="15"/>
    </row>
    <row r="11" spans="1:258" s="41" customFormat="1" ht="21" customHeight="1">
      <c r="A11" s="156"/>
      <c r="B11" s="85" t="s">
        <v>76</v>
      </c>
      <c r="C11" s="39"/>
      <c r="D11" s="40" t="s">
        <v>1</v>
      </c>
      <c r="E11" s="171" t="s">
        <v>60</v>
      </c>
      <c r="F11" s="59"/>
      <c r="G11" s="59"/>
      <c r="H11" s="59"/>
      <c r="I11" s="69">
        <v>0.35</v>
      </c>
      <c r="J11" s="69">
        <v>1</v>
      </c>
      <c r="K11" s="69">
        <v>1</v>
      </c>
      <c r="L11" s="69">
        <v>1</v>
      </c>
      <c r="M11" s="69">
        <v>1</v>
      </c>
      <c r="N11" s="69">
        <v>1</v>
      </c>
      <c r="O11" s="69">
        <v>1</v>
      </c>
      <c r="P11" s="69">
        <v>1</v>
      </c>
      <c r="Q11" s="151"/>
      <c r="IU11" s="42"/>
      <c r="IV11" s="42"/>
      <c r="IW11" s="42"/>
      <c r="IX11" s="42"/>
    </row>
    <row r="12" spans="1:258" s="14" customFormat="1" ht="21" customHeight="1">
      <c r="A12" s="156"/>
      <c r="B12" s="30">
        <v>100</v>
      </c>
      <c r="C12" s="282" t="s">
        <v>102</v>
      </c>
      <c r="D12" s="25" t="s">
        <v>33</v>
      </c>
      <c r="E12" s="171" t="s">
        <v>20</v>
      </c>
      <c r="F12" s="60">
        <f>SUM(J12:P12)</f>
        <v>0</v>
      </c>
      <c r="G12" s="61"/>
      <c r="H12" s="61"/>
      <c r="I12" s="61"/>
      <c r="J12" s="120">
        <f>J14*J13</f>
        <v>0</v>
      </c>
      <c r="K12" s="120">
        <f t="shared" ref="K12:P12" si="2">K14*K13</f>
        <v>0</v>
      </c>
      <c r="L12" s="120">
        <f t="shared" si="2"/>
        <v>0</v>
      </c>
      <c r="M12" s="120">
        <f t="shared" si="2"/>
        <v>0</v>
      </c>
      <c r="N12" s="120">
        <f t="shared" si="2"/>
        <v>0</v>
      </c>
      <c r="O12" s="120">
        <f t="shared" si="2"/>
        <v>0</v>
      </c>
      <c r="P12" s="120">
        <f t="shared" si="2"/>
        <v>0</v>
      </c>
      <c r="Q12" s="151"/>
      <c r="IU12" s="15"/>
      <c r="IV12" s="15"/>
      <c r="IW12" s="15"/>
      <c r="IX12" s="15"/>
    </row>
    <row r="13" spans="1:258" s="14" customFormat="1" ht="21" customHeight="1">
      <c r="A13" s="156"/>
      <c r="B13" s="30">
        <v>110</v>
      </c>
      <c r="C13" s="283"/>
      <c r="D13" s="36" t="s">
        <v>31</v>
      </c>
      <c r="E13" s="171" t="s">
        <v>20</v>
      </c>
      <c r="F13" s="58">
        <f>SUM(G13:P13)</f>
        <v>0</v>
      </c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51"/>
      <c r="IU13" s="15"/>
      <c r="IV13" s="15"/>
      <c r="IW13" s="15"/>
      <c r="IX13" s="15"/>
    </row>
    <row r="14" spans="1:258" s="14" customFormat="1" ht="21" customHeight="1">
      <c r="A14" s="156"/>
      <c r="B14" s="30">
        <v>120</v>
      </c>
      <c r="C14" s="235"/>
      <c r="D14" s="40" t="s">
        <v>1</v>
      </c>
      <c r="E14" s="171" t="s">
        <v>60</v>
      </c>
      <c r="F14" s="62"/>
      <c r="G14" s="62"/>
      <c r="H14" s="63"/>
      <c r="I14" s="63"/>
      <c r="J14" s="70">
        <v>0.25</v>
      </c>
      <c r="K14" s="70">
        <v>0.35</v>
      </c>
      <c r="L14" s="70">
        <v>0.55000000000000004</v>
      </c>
      <c r="M14" s="70">
        <v>0.7</v>
      </c>
      <c r="N14" s="70">
        <v>0.8</v>
      </c>
      <c r="O14" s="70">
        <v>0.85</v>
      </c>
      <c r="P14" s="70">
        <v>1</v>
      </c>
      <c r="Q14" s="151"/>
      <c r="IU14" s="15"/>
      <c r="IV14" s="15"/>
      <c r="IW14" s="15"/>
      <c r="IX14" s="15"/>
    </row>
    <row r="15" spans="1:258" s="41" customFormat="1" ht="21" customHeight="1">
      <c r="A15" s="156"/>
      <c r="B15" s="30">
        <v>130</v>
      </c>
      <c r="C15" s="282" t="s">
        <v>7</v>
      </c>
      <c r="D15" s="25" t="s">
        <v>33</v>
      </c>
      <c r="E15" s="171" t="s">
        <v>20</v>
      </c>
      <c r="F15" s="64">
        <f>SUM(J15:P15)</f>
        <v>0</v>
      </c>
      <c r="G15" s="62"/>
      <c r="H15" s="63"/>
      <c r="I15" s="63"/>
      <c r="J15" s="120">
        <f>J17*J16</f>
        <v>0</v>
      </c>
      <c r="K15" s="120">
        <f t="shared" ref="K15:P15" si="3">K17*K16</f>
        <v>0</v>
      </c>
      <c r="L15" s="120">
        <f t="shared" si="3"/>
        <v>0</v>
      </c>
      <c r="M15" s="120">
        <f t="shared" si="3"/>
        <v>0</v>
      </c>
      <c r="N15" s="120">
        <f t="shared" si="3"/>
        <v>0</v>
      </c>
      <c r="O15" s="120">
        <f t="shared" si="3"/>
        <v>0</v>
      </c>
      <c r="P15" s="120">
        <f t="shared" si="3"/>
        <v>0</v>
      </c>
      <c r="Q15" s="151"/>
      <c r="IU15" s="42"/>
      <c r="IV15" s="42"/>
      <c r="IW15" s="42"/>
      <c r="IX15" s="42"/>
    </row>
    <row r="16" spans="1:258" s="14" customFormat="1" ht="21" customHeight="1">
      <c r="A16" s="156"/>
      <c r="B16" s="30">
        <v>140</v>
      </c>
      <c r="C16" s="283"/>
      <c r="D16" s="36" t="s">
        <v>31</v>
      </c>
      <c r="E16" s="171" t="s">
        <v>20</v>
      </c>
      <c r="F16" s="58">
        <f>SUM(G16:P16)</f>
        <v>0</v>
      </c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51"/>
      <c r="IU16" s="15"/>
      <c r="IV16" s="15"/>
      <c r="IW16" s="15"/>
      <c r="IX16" s="15"/>
    </row>
    <row r="17" spans="1:258" s="41" customFormat="1" ht="21" customHeight="1">
      <c r="A17" s="156"/>
      <c r="B17" s="30">
        <v>150</v>
      </c>
      <c r="C17" s="235"/>
      <c r="D17" s="40" t="s">
        <v>1</v>
      </c>
      <c r="E17" s="171" t="s">
        <v>60</v>
      </c>
      <c r="F17" s="62"/>
      <c r="G17" s="62"/>
      <c r="H17" s="62"/>
      <c r="I17" s="62"/>
      <c r="J17" s="70">
        <v>0.25</v>
      </c>
      <c r="K17" s="70">
        <v>0.35</v>
      </c>
      <c r="L17" s="70">
        <v>0.55000000000000004</v>
      </c>
      <c r="M17" s="70">
        <v>0.8</v>
      </c>
      <c r="N17" s="70">
        <v>1</v>
      </c>
      <c r="O17" s="70">
        <v>1</v>
      </c>
      <c r="P17" s="70">
        <v>1</v>
      </c>
      <c r="Q17" s="151"/>
      <c r="IU17" s="42"/>
      <c r="IV17" s="42"/>
      <c r="IW17" s="42"/>
      <c r="IX17" s="42"/>
    </row>
    <row r="18" spans="1:258" s="14" customFormat="1" ht="21" customHeight="1">
      <c r="A18" s="156"/>
      <c r="B18" s="30">
        <v>160</v>
      </c>
      <c r="C18" s="282" t="s">
        <v>319</v>
      </c>
      <c r="D18" s="25" t="s">
        <v>33</v>
      </c>
      <c r="E18" s="171" t="s">
        <v>20</v>
      </c>
      <c r="F18" s="65">
        <f>SUM(N18:P18)</f>
        <v>0</v>
      </c>
      <c r="G18" s="59"/>
      <c r="H18" s="59"/>
      <c r="I18" s="59"/>
      <c r="J18" s="59"/>
      <c r="K18" s="59"/>
      <c r="L18" s="59"/>
      <c r="M18" s="59"/>
      <c r="N18" s="120">
        <f>N20*N19</f>
        <v>0</v>
      </c>
      <c r="O18" s="120">
        <f>O20*O19</f>
        <v>0</v>
      </c>
      <c r="P18" s="120">
        <f>P20*P19</f>
        <v>0</v>
      </c>
      <c r="Q18" s="151"/>
      <c r="IU18" s="15"/>
      <c r="IV18" s="15"/>
      <c r="IW18" s="15"/>
      <c r="IX18" s="15"/>
    </row>
    <row r="19" spans="1:258" s="41" customFormat="1" ht="21" customHeight="1">
      <c r="A19" s="156"/>
      <c r="B19" s="30">
        <v>170</v>
      </c>
      <c r="C19" s="283"/>
      <c r="D19" s="36" t="s">
        <v>31</v>
      </c>
      <c r="E19" s="171" t="s">
        <v>20</v>
      </c>
      <c r="F19" s="66">
        <f>SUM(G19:P19)</f>
        <v>0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51"/>
      <c r="IU19" s="42"/>
      <c r="IV19" s="42"/>
      <c r="IW19" s="42"/>
      <c r="IX19" s="42"/>
    </row>
    <row r="20" spans="1:258" s="41" customFormat="1" ht="21" customHeight="1">
      <c r="A20" s="156"/>
      <c r="B20" s="30">
        <v>180</v>
      </c>
      <c r="C20" s="235"/>
      <c r="D20" s="40" t="s">
        <v>1</v>
      </c>
      <c r="E20" s="171" t="s">
        <v>60</v>
      </c>
      <c r="F20" s="59"/>
      <c r="G20" s="59"/>
      <c r="H20" s="59"/>
      <c r="I20" s="59"/>
      <c r="J20" s="59"/>
      <c r="K20" s="59"/>
      <c r="L20" s="59"/>
      <c r="M20" s="59"/>
      <c r="N20" s="69">
        <v>1</v>
      </c>
      <c r="O20" s="69">
        <v>1</v>
      </c>
      <c r="P20" s="69">
        <v>1</v>
      </c>
      <c r="Q20" s="151"/>
      <c r="IU20" s="42"/>
      <c r="IV20" s="42"/>
      <c r="IW20" s="42"/>
      <c r="IX20" s="42"/>
    </row>
    <row r="21" spans="1:258" s="14" customFormat="1" ht="21" customHeight="1">
      <c r="A21" s="156"/>
      <c r="B21" s="230" t="s">
        <v>34</v>
      </c>
      <c r="C21" s="231"/>
      <c r="D21" s="231"/>
      <c r="E21" s="168"/>
      <c r="F21" s="52"/>
      <c r="G21" s="53"/>
      <c r="H21" s="53"/>
      <c r="I21" s="53"/>
      <c r="J21" s="53"/>
      <c r="K21" s="53"/>
      <c r="L21" s="53"/>
      <c r="M21" s="53"/>
      <c r="N21" s="53"/>
      <c r="O21" s="53"/>
      <c r="P21" s="54"/>
      <c r="Q21" s="151"/>
      <c r="IU21" s="15"/>
      <c r="IV21" s="15"/>
      <c r="IW21" s="15"/>
      <c r="IX21" s="15"/>
    </row>
    <row r="22" spans="1:258" s="14" customFormat="1" ht="21" customHeight="1">
      <c r="A22" s="156"/>
      <c r="B22" s="102" t="s">
        <v>83</v>
      </c>
      <c r="C22" s="271" t="s">
        <v>39</v>
      </c>
      <c r="D22" s="272"/>
      <c r="E22" s="171" t="s">
        <v>20</v>
      </c>
      <c r="F22" s="49">
        <f>SUM(I22:P22)</f>
        <v>0</v>
      </c>
      <c r="G22" s="105"/>
      <c r="H22" s="105"/>
      <c r="I22" s="187"/>
      <c r="J22" s="187"/>
      <c r="K22" s="187"/>
      <c r="L22" s="187"/>
      <c r="M22" s="187"/>
      <c r="N22" s="187"/>
      <c r="O22" s="187"/>
      <c r="P22" s="187"/>
      <c r="Q22" s="152"/>
    </row>
    <row r="23" spans="1:258" s="14" customFormat="1" ht="21" customHeight="1">
      <c r="A23" s="156"/>
      <c r="B23" s="113">
        <v>210</v>
      </c>
      <c r="C23" s="263" t="s">
        <v>38</v>
      </c>
      <c r="D23" s="264"/>
      <c r="E23" s="171" t="s">
        <v>20</v>
      </c>
      <c r="F23" s="122">
        <f t="shared" ref="F23:F29" si="4">SUM(G23:P23)</f>
        <v>0</v>
      </c>
      <c r="G23" s="104">
        <f t="shared" ref="G23:P23" si="5">SUM(G24:G29)</f>
        <v>0</v>
      </c>
      <c r="H23" s="104">
        <f t="shared" si="5"/>
        <v>0</v>
      </c>
      <c r="I23" s="104">
        <f t="shared" si="5"/>
        <v>0</v>
      </c>
      <c r="J23" s="104">
        <f t="shared" si="5"/>
        <v>0</v>
      </c>
      <c r="K23" s="104">
        <f t="shared" si="5"/>
        <v>0</v>
      </c>
      <c r="L23" s="104">
        <f t="shared" si="5"/>
        <v>0</v>
      </c>
      <c r="M23" s="104">
        <f t="shared" si="5"/>
        <v>0</v>
      </c>
      <c r="N23" s="104">
        <f t="shared" si="5"/>
        <v>0</v>
      </c>
      <c r="O23" s="104">
        <f t="shared" si="5"/>
        <v>0</v>
      </c>
      <c r="P23" s="104">
        <f t="shared" si="5"/>
        <v>0</v>
      </c>
      <c r="Q23" s="152"/>
    </row>
    <row r="24" spans="1:258" s="14" customFormat="1" ht="21" customHeight="1">
      <c r="A24" s="156"/>
      <c r="B24" s="114">
        <v>220</v>
      </c>
      <c r="C24" s="280" t="s">
        <v>3</v>
      </c>
      <c r="D24" s="281"/>
      <c r="E24" s="171" t="s">
        <v>20</v>
      </c>
      <c r="F24" s="56">
        <f t="shared" si="4"/>
        <v>0</v>
      </c>
      <c r="G24" s="188"/>
      <c r="H24" s="189"/>
      <c r="I24" s="189"/>
      <c r="J24" s="189"/>
      <c r="K24" s="189"/>
      <c r="L24" s="189"/>
      <c r="M24" s="189"/>
      <c r="N24" s="189"/>
      <c r="O24" s="189"/>
      <c r="P24" s="189"/>
      <c r="Q24" s="151"/>
      <c r="IU24" s="15"/>
      <c r="IV24" s="15"/>
      <c r="IW24" s="15"/>
      <c r="IX24" s="15"/>
    </row>
    <row r="25" spans="1:258" s="14" customFormat="1" ht="21" customHeight="1">
      <c r="A25" s="156"/>
      <c r="B25" s="116">
        <v>230</v>
      </c>
      <c r="C25" s="265" t="s">
        <v>4</v>
      </c>
      <c r="D25" s="266"/>
      <c r="E25" s="171" t="s">
        <v>20</v>
      </c>
      <c r="F25" s="94">
        <f t="shared" si="4"/>
        <v>0</v>
      </c>
      <c r="G25" s="190"/>
      <c r="H25" s="191"/>
      <c r="I25" s="191"/>
      <c r="J25" s="191"/>
      <c r="K25" s="191"/>
      <c r="L25" s="191"/>
      <c r="M25" s="191"/>
      <c r="N25" s="191"/>
      <c r="O25" s="191"/>
      <c r="P25" s="191"/>
      <c r="Q25" s="151"/>
      <c r="IU25" s="15"/>
      <c r="IV25" s="15"/>
      <c r="IW25" s="15"/>
      <c r="IX25" s="15"/>
    </row>
    <row r="26" spans="1:258" s="14" customFormat="1" ht="21" customHeight="1">
      <c r="A26" s="156"/>
      <c r="B26" s="116">
        <v>240</v>
      </c>
      <c r="C26" s="265" t="s">
        <v>2</v>
      </c>
      <c r="D26" s="266"/>
      <c r="E26" s="171" t="s">
        <v>20</v>
      </c>
      <c r="F26" s="94">
        <f t="shared" si="4"/>
        <v>0</v>
      </c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51"/>
      <c r="IU26" s="15"/>
      <c r="IV26" s="15"/>
      <c r="IW26" s="15"/>
      <c r="IX26" s="15"/>
    </row>
    <row r="27" spans="1:258" s="14" customFormat="1" ht="21" customHeight="1">
      <c r="A27" s="156"/>
      <c r="B27" s="116">
        <v>250</v>
      </c>
      <c r="C27" s="265" t="s">
        <v>97</v>
      </c>
      <c r="D27" s="266"/>
      <c r="E27" s="171" t="s">
        <v>20</v>
      </c>
      <c r="F27" s="94">
        <f t="shared" si="4"/>
        <v>0</v>
      </c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51"/>
      <c r="IU27" s="15"/>
      <c r="IV27" s="15"/>
      <c r="IW27" s="15"/>
      <c r="IX27" s="15"/>
    </row>
    <row r="28" spans="1:258" s="14" customFormat="1" ht="21" customHeight="1">
      <c r="A28" s="156"/>
      <c r="B28" s="116">
        <v>260</v>
      </c>
      <c r="C28" s="265" t="s">
        <v>96</v>
      </c>
      <c r="D28" s="266"/>
      <c r="E28" s="171" t="s">
        <v>20</v>
      </c>
      <c r="F28" s="94">
        <f t="shared" si="4"/>
        <v>0</v>
      </c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51"/>
      <c r="IU28" s="15"/>
      <c r="IV28" s="15"/>
      <c r="IW28" s="15"/>
      <c r="IX28" s="15"/>
    </row>
    <row r="29" spans="1:258" s="14" customFormat="1" ht="21" customHeight="1">
      <c r="A29" s="156"/>
      <c r="B29" s="117">
        <v>270</v>
      </c>
      <c r="C29" s="267" t="s">
        <v>5</v>
      </c>
      <c r="D29" s="268"/>
      <c r="E29" s="203" t="s">
        <v>20</v>
      </c>
      <c r="F29" s="111">
        <f t="shared" si="4"/>
        <v>0</v>
      </c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51"/>
      <c r="IU29" s="15"/>
      <c r="IV29" s="15"/>
      <c r="IW29" s="15"/>
      <c r="IX29" s="15"/>
    </row>
    <row r="30" spans="1:258" s="18" customFormat="1" ht="21" customHeight="1">
      <c r="A30" s="156"/>
      <c r="B30" s="114">
        <v>280</v>
      </c>
      <c r="C30" s="226" t="s">
        <v>98</v>
      </c>
      <c r="D30" s="227"/>
      <c r="E30" s="171" t="s">
        <v>20</v>
      </c>
      <c r="F30" s="56">
        <f>SUM(I30:P30)</f>
        <v>0</v>
      </c>
      <c r="G30" s="112"/>
      <c r="H30" s="112"/>
      <c r="I30" s="193"/>
      <c r="J30" s="193"/>
      <c r="K30" s="193"/>
      <c r="L30" s="193"/>
      <c r="M30" s="193"/>
      <c r="N30" s="193"/>
      <c r="O30" s="193"/>
      <c r="P30" s="193"/>
      <c r="Q30" s="149"/>
    </row>
    <row r="31" spans="1:258" s="18" customFormat="1" ht="21" customHeight="1">
      <c r="A31" s="156"/>
      <c r="B31" s="116">
        <v>290</v>
      </c>
      <c r="C31" s="261" t="s">
        <v>99</v>
      </c>
      <c r="D31" s="262"/>
      <c r="E31" s="203" t="s">
        <v>20</v>
      </c>
      <c r="F31" s="111">
        <f>SUM(J31:P31)</f>
        <v>0</v>
      </c>
      <c r="G31" s="67"/>
      <c r="H31" s="68"/>
      <c r="I31" s="68"/>
      <c r="J31" s="194"/>
      <c r="K31" s="194"/>
      <c r="L31" s="194"/>
      <c r="M31" s="194"/>
      <c r="N31" s="194"/>
      <c r="O31" s="194"/>
      <c r="P31" s="194"/>
      <c r="Q31" s="149"/>
    </row>
    <row r="32" spans="1:258" s="18" customFormat="1" ht="21" customHeight="1">
      <c r="A32" s="156"/>
      <c r="B32" s="116">
        <v>300</v>
      </c>
      <c r="C32" s="261" t="s">
        <v>100</v>
      </c>
      <c r="D32" s="262"/>
      <c r="E32" s="171" t="s">
        <v>20</v>
      </c>
      <c r="F32" s="204">
        <f>SUM(J32:P32)</f>
        <v>0</v>
      </c>
      <c r="G32" s="67"/>
      <c r="H32" s="67"/>
      <c r="I32" s="67"/>
      <c r="J32" s="195"/>
      <c r="K32" s="195"/>
      <c r="L32" s="195"/>
      <c r="M32" s="195"/>
      <c r="N32" s="195"/>
      <c r="O32" s="195"/>
      <c r="P32" s="195"/>
      <c r="Q32" s="149"/>
    </row>
    <row r="33" spans="1:17" s="18" customFormat="1" ht="37.700000000000003" customHeight="1">
      <c r="A33" s="156"/>
      <c r="B33" s="115">
        <v>310</v>
      </c>
      <c r="C33" s="228" t="s">
        <v>320</v>
      </c>
      <c r="D33" s="229"/>
      <c r="E33" s="171" t="s">
        <v>20</v>
      </c>
      <c r="F33" s="95">
        <f>SUM(N33:P33)</f>
        <v>0</v>
      </c>
      <c r="G33" s="96"/>
      <c r="H33" s="96"/>
      <c r="I33" s="97"/>
      <c r="J33" s="97"/>
      <c r="K33" s="97"/>
      <c r="L33" s="97"/>
      <c r="M33" s="96"/>
      <c r="N33" s="196"/>
      <c r="O33" s="196"/>
      <c r="P33" s="196"/>
      <c r="Q33" s="149"/>
    </row>
    <row r="34" spans="1:17" s="152" customFormat="1" ht="10.5">
      <c r="A34" s="156"/>
      <c r="B34" s="148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</row>
  </sheetData>
  <mergeCells count="25">
    <mergeCell ref="F2:F3"/>
    <mergeCell ref="G2:P2"/>
    <mergeCell ref="C5:D5"/>
    <mergeCell ref="C6:D6"/>
    <mergeCell ref="C24:D24"/>
    <mergeCell ref="C12:C14"/>
    <mergeCell ref="C15:C17"/>
    <mergeCell ref="C18:C20"/>
    <mergeCell ref="B2:D4"/>
    <mergeCell ref="B1:P1"/>
    <mergeCell ref="C30:D30"/>
    <mergeCell ref="C31:D31"/>
    <mergeCell ref="C32:D32"/>
    <mergeCell ref="C33:D33"/>
    <mergeCell ref="C23:D23"/>
    <mergeCell ref="C28:D28"/>
    <mergeCell ref="C29:D29"/>
    <mergeCell ref="B7:D7"/>
    <mergeCell ref="B21:D21"/>
    <mergeCell ref="C25:D25"/>
    <mergeCell ref="C26:D26"/>
    <mergeCell ref="C27:D27"/>
    <mergeCell ref="C8:D8"/>
    <mergeCell ref="C9:C10"/>
    <mergeCell ref="C22:D22"/>
  </mergeCells>
  <dataValidations count="1">
    <dataValidation type="decimal" operator="greaterThanOrEqual" allowBlank="1" showInputMessage="1" showErrorMessage="1" errorTitle="Incorrect data entered" error="A non negative number (in units of 'euros') must be entered" sqref="I6:P6 G10:P10 G13:P13 G16:P16 G19:P19 I22:P22 G24:P29 I30:P30 J31:P32 N33:P33" xr:uid="{00000000-0002-0000-0200-000000000000}">
      <formula1>0</formula1>
    </dataValidation>
  </dataValidation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00000"/>
    <pageSetUpPr fitToPage="1"/>
  </sheetPr>
  <dimension ref="A1:V220"/>
  <sheetViews>
    <sheetView zoomScale="55" zoomScaleNormal="55" workbookViewId="0">
      <selection sqref="A1:U1"/>
    </sheetView>
  </sheetViews>
  <sheetFormatPr defaultColWidth="0" defaultRowHeight="10.35" customHeight="1" zeroHeight="1"/>
  <cols>
    <col min="1" max="1" width="8.85546875" style="11" customWidth="1"/>
    <col min="2" max="2" width="14.42578125" style="11" customWidth="1"/>
    <col min="3" max="3" width="7.140625" style="11" customWidth="1"/>
    <col min="4" max="5" width="7.5703125" style="11" customWidth="1"/>
    <col min="6" max="6" width="12.140625" style="11" customWidth="1"/>
    <col min="7" max="7" width="10.5703125" style="11" customWidth="1"/>
    <col min="8" max="8" width="11.5703125" style="11" customWidth="1"/>
    <col min="9" max="10" width="12.85546875" style="11" customWidth="1"/>
    <col min="11" max="12" width="10.42578125" style="11" customWidth="1"/>
    <col min="13" max="13" width="11.42578125" style="11" customWidth="1"/>
    <col min="14" max="14" width="13.5703125" style="11" customWidth="1"/>
    <col min="15" max="15" width="12.42578125" style="11" customWidth="1"/>
    <col min="16" max="16" width="18.140625" style="11" customWidth="1"/>
    <col min="17" max="17" width="10.42578125" style="11" customWidth="1"/>
    <col min="18" max="18" width="8.85546875" style="11" customWidth="1"/>
    <col min="19" max="19" width="10" style="11" customWidth="1"/>
    <col min="20" max="20" width="14" style="11" customWidth="1"/>
    <col min="21" max="21" width="27.140625" style="11" customWidth="1"/>
    <col min="22" max="22" width="8.85546875" style="11" customWidth="1"/>
    <col min="23" max="16384" width="8.85546875" style="11" hidden="1"/>
  </cols>
  <sheetData>
    <row r="1" spans="1:22" s="10" customFormat="1" ht="21" customHeight="1">
      <c r="A1" s="260" t="s">
        <v>316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</row>
    <row r="2" spans="1:22" ht="14.1" customHeight="1">
      <c r="A2" s="10"/>
      <c r="B2" s="298" t="s">
        <v>45</v>
      </c>
      <c r="C2" s="299"/>
      <c r="D2" s="299"/>
      <c r="E2" s="299"/>
      <c r="F2" s="299"/>
      <c r="G2" s="300"/>
      <c r="H2" s="296" t="s">
        <v>19</v>
      </c>
      <c r="I2" s="296" t="s">
        <v>3</v>
      </c>
      <c r="J2" s="296" t="s">
        <v>39</v>
      </c>
      <c r="K2" s="296" t="s">
        <v>29</v>
      </c>
      <c r="L2" s="297" t="s">
        <v>18</v>
      </c>
      <c r="M2" s="297"/>
      <c r="N2" s="297"/>
      <c r="O2" s="297"/>
      <c r="P2" s="297"/>
      <c r="Q2" s="297"/>
      <c r="R2" s="297"/>
      <c r="S2" s="297"/>
      <c r="T2" s="297"/>
      <c r="U2" s="297"/>
      <c r="V2" s="297"/>
    </row>
    <row r="3" spans="1:22" ht="168">
      <c r="A3" s="4" t="s">
        <v>10</v>
      </c>
      <c r="B3" s="43" t="s">
        <v>28</v>
      </c>
      <c r="C3" s="43" t="s">
        <v>11</v>
      </c>
      <c r="D3" s="43" t="s">
        <v>12</v>
      </c>
      <c r="E3" s="43" t="s">
        <v>40</v>
      </c>
      <c r="F3" s="43" t="s">
        <v>63</v>
      </c>
      <c r="G3" s="43" t="s">
        <v>321</v>
      </c>
      <c r="H3" s="296"/>
      <c r="I3" s="296"/>
      <c r="J3" s="296"/>
      <c r="K3" s="296"/>
      <c r="L3" s="43" t="s">
        <v>16</v>
      </c>
      <c r="M3" s="43" t="s">
        <v>17</v>
      </c>
      <c r="N3" s="43" t="s">
        <v>13</v>
      </c>
      <c r="O3" s="43" t="s">
        <v>64</v>
      </c>
      <c r="P3" s="43" t="s">
        <v>65</v>
      </c>
      <c r="Q3" s="43" t="s">
        <v>25</v>
      </c>
      <c r="R3" s="43" t="s">
        <v>14</v>
      </c>
      <c r="S3" s="43" t="s">
        <v>15</v>
      </c>
      <c r="T3" s="43" t="s">
        <v>59</v>
      </c>
      <c r="U3" s="43" t="s">
        <v>324</v>
      </c>
      <c r="V3" s="43" t="s">
        <v>61</v>
      </c>
    </row>
    <row r="4" spans="1:22" ht="11.25">
      <c r="A4" s="27" t="s">
        <v>71</v>
      </c>
      <c r="B4" s="27" t="s">
        <v>72</v>
      </c>
      <c r="C4" s="27" t="s">
        <v>73</v>
      </c>
      <c r="D4" s="27" t="s">
        <v>74</v>
      </c>
      <c r="E4" s="27" t="s">
        <v>75</v>
      </c>
      <c r="F4" s="27" t="s">
        <v>76</v>
      </c>
      <c r="G4" s="158" t="s">
        <v>322</v>
      </c>
      <c r="H4" s="27" t="s">
        <v>77</v>
      </c>
      <c r="I4" s="27" t="s">
        <v>78</v>
      </c>
      <c r="J4" s="27" t="s">
        <v>79</v>
      </c>
      <c r="K4" s="27" t="s">
        <v>80</v>
      </c>
      <c r="L4" s="27" t="s">
        <v>81</v>
      </c>
      <c r="M4" s="27" t="s">
        <v>82</v>
      </c>
      <c r="N4" s="27" t="s">
        <v>85</v>
      </c>
      <c r="O4" s="27" t="s">
        <v>86</v>
      </c>
      <c r="P4" s="27" t="s">
        <v>87</v>
      </c>
      <c r="Q4" s="27" t="s">
        <v>88</v>
      </c>
      <c r="R4" s="27" t="s">
        <v>89</v>
      </c>
      <c r="S4" s="27" t="s">
        <v>90</v>
      </c>
      <c r="T4" s="27" t="s">
        <v>91</v>
      </c>
      <c r="U4" s="27" t="s">
        <v>83</v>
      </c>
      <c r="V4" s="27" t="s">
        <v>84</v>
      </c>
    </row>
    <row r="5" spans="1:22" ht="21">
      <c r="A5" s="38" t="s">
        <v>109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2" ht="68.45" customHeight="1">
      <c r="A6" s="38" t="s">
        <v>26</v>
      </c>
      <c r="B6" s="44" t="s">
        <v>27</v>
      </c>
      <c r="C6" s="44" t="s">
        <v>27</v>
      </c>
      <c r="D6" s="44" t="s">
        <v>27</v>
      </c>
      <c r="E6" s="44" t="s">
        <v>27</v>
      </c>
      <c r="F6" s="44" t="s">
        <v>27</v>
      </c>
      <c r="G6" s="44" t="s">
        <v>323</v>
      </c>
      <c r="H6" s="38" t="s">
        <v>20</v>
      </c>
      <c r="I6" s="38" t="s">
        <v>20</v>
      </c>
      <c r="J6" s="38" t="s">
        <v>20</v>
      </c>
      <c r="K6" s="38" t="s">
        <v>20</v>
      </c>
      <c r="L6" s="38" t="s">
        <v>21</v>
      </c>
      <c r="M6" s="38" t="s">
        <v>46</v>
      </c>
      <c r="N6" s="38" t="s">
        <v>21</v>
      </c>
      <c r="O6" s="38" t="s">
        <v>22</v>
      </c>
      <c r="P6" s="38" t="s">
        <v>22</v>
      </c>
      <c r="Q6" s="38" t="s">
        <v>21</v>
      </c>
      <c r="R6" s="38" t="s">
        <v>21</v>
      </c>
      <c r="S6" s="38" t="s">
        <v>23</v>
      </c>
      <c r="T6" s="38" t="s">
        <v>60</v>
      </c>
      <c r="U6" s="38" t="s">
        <v>20</v>
      </c>
      <c r="V6" s="38" t="s">
        <v>24</v>
      </c>
    </row>
    <row r="7" spans="1:22" ht="56.25">
      <c r="A7" s="6"/>
      <c r="B7" s="202" t="s">
        <v>66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312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spans="1:22" ht="22.5">
      <c r="A8" s="6"/>
      <c r="B8" s="202" t="s">
        <v>68</v>
      </c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spans="1:22" ht="11.25">
      <c r="A9" s="6"/>
      <c r="B9" s="202" t="s">
        <v>67</v>
      </c>
      <c r="C9" s="45"/>
      <c r="D9" s="45"/>
      <c r="E9" s="45"/>
      <c r="F9" s="45"/>
      <c r="G9" s="45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</row>
    <row r="10" spans="1:22" ht="33.75">
      <c r="A10" s="6"/>
      <c r="B10" s="202" t="s">
        <v>69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33.75">
      <c r="A11" s="6"/>
      <c r="B11" s="202" t="s">
        <v>70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78.75">
      <c r="A12" s="6"/>
      <c r="B12" s="202" t="s">
        <v>311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22.5">
      <c r="A13" s="6"/>
      <c r="B13" s="202" t="s">
        <v>315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1.25">
      <c r="A14" s="6"/>
      <c r="B14" s="202" t="s">
        <v>314</v>
      </c>
      <c r="C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22.5">
      <c r="A15" s="6"/>
      <c r="B15" s="202" t="s">
        <v>313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1.25">
      <c r="B16" s="205"/>
      <c r="C16" s="200"/>
      <c r="D16" s="200"/>
      <c r="E16" s="200"/>
      <c r="F16" s="201"/>
      <c r="G16" s="20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4.25">
      <c r="A17" s="10"/>
      <c r="B17" s="293" t="s">
        <v>45</v>
      </c>
      <c r="C17" s="294"/>
      <c r="D17" s="294"/>
      <c r="E17" s="294"/>
      <c r="F17" s="295"/>
      <c r="G17" s="206"/>
      <c r="H17" s="296" t="s">
        <v>19</v>
      </c>
      <c r="I17" s="296" t="s">
        <v>3</v>
      </c>
      <c r="J17" s="296" t="s">
        <v>39</v>
      </c>
      <c r="K17" s="296" t="s">
        <v>29</v>
      </c>
      <c r="L17" s="297" t="s">
        <v>18</v>
      </c>
      <c r="M17" s="297"/>
      <c r="N17" s="297"/>
      <c r="O17" s="297"/>
      <c r="P17" s="297"/>
      <c r="Q17" s="297"/>
      <c r="R17" s="297"/>
      <c r="S17" s="297"/>
      <c r="T17" s="297"/>
      <c r="U17" s="297"/>
      <c r="V17" s="297"/>
    </row>
    <row r="18" spans="1:22" ht="168">
      <c r="A18" s="4" t="s">
        <v>10</v>
      </c>
      <c r="B18" s="43" t="s">
        <v>28</v>
      </c>
      <c r="C18" s="43" t="s">
        <v>11</v>
      </c>
      <c r="D18" s="43" t="s">
        <v>12</v>
      </c>
      <c r="E18" s="43" t="s">
        <v>40</v>
      </c>
      <c r="F18" s="43" t="s">
        <v>63</v>
      </c>
      <c r="G18" s="43" t="s">
        <v>321</v>
      </c>
      <c r="H18" s="296"/>
      <c r="I18" s="296"/>
      <c r="J18" s="296"/>
      <c r="K18" s="296"/>
      <c r="L18" s="43" t="s">
        <v>16</v>
      </c>
      <c r="M18" s="43" t="s">
        <v>17</v>
      </c>
      <c r="N18" s="43" t="s">
        <v>13</v>
      </c>
      <c r="O18" s="43" t="s">
        <v>64</v>
      </c>
      <c r="P18" s="43" t="s">
        <v>65</v>
      </c>
      <c r="Q18" s="43" t="s">
        <v>25</v>
      </c>
      <c r="R18" s="43" t="s">
        <v>14</v>
      </c>
      <c r="S18" s="43" t="s">
        <v>15</v>
      </c>
      <c r="T18" s="43" t="s">
        <v>59</v>
      </c>
      <c r="U18" s="43" t="s">
        <v>324</v>
      </c>
      <c r="V18" s="43" t="s">
        <v>61</v>
      </c>
    </row>
    <row r="19" spans="1:22" ht="11.25">
      <c r="A19" s="158" t="s">
        <v>71</v>
      </c>
      <c r="B19" s="158" t="s">
        <v>72</v>
      </c>
      <c r="C19" s="158" t="s">
        <v>73</v>
      </c>
      <c r="D19" s="158" t="s">
        <v>74</v>
      </c>
      <c r="E19" s="158" t="s">
        <v>75</v>
      </c>
      <c r="F19" s="158" t="s">
        <v>76</v>
      </c>
      <c r="G19" s="158" t="s">
        <v>322</v>
      </c>
      <c r="H19" s="158" t="s">
        <v>77</v>
      </c>
      <c r="I19" s="158" t="s">
        <v>78</v>
      </c>
      <c r="J19" s="158" t="s">
        <v>79</v>
      </c>
      <c r="K19" s="158" t="s">
        <v>80</v>
      </c>
      <c r="L19" s="158" t="s">
        <v>81</v>
      </c>
      <c r="M19" s="158" t="s">
        <v>82</v>
      </c>
      <c r="N19" s="158" t="s">
        <v>85</v>
      </c>
      <c r="O19" s="158" t="s">
        <v>86</v>
      </c>
      <c r="P19" s="158" t="s">
        <v>87</v>
      </c>
      <c r="Q19" s="158" t="s">
        <v>88</v>
      </c>
      <c r="R19" s="158" t="s">
        <v>89</v>
      </c>
      <c r="S19" s="158" t="s">
        <v>90</v>
      </c>
      <c r="T19" s="158" t="s">
        <v>91</v>
      </c>
      <c r="U19" s="158" t="s">
        <v>83</v>
      </c>
      <c r="V19" s="158" t="s">
        <v>84</v>
      </c>
    </row>
    <row r="20" spans="1:22" ht="10.5">
      <c r="A20" s="197" t="s">
        <v>110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8"/>
      <c r="P20" s="198"/>
      <c r="Q20" s="197"/>
      <c r="R20" s="197"/>
      <c r="S20" s="197"/>
      <c r="T20" s="197"/>
      <c r="U20" s="197"/>
      <c r="V20" s="197"/>
    </row>
    <row r="21" spans="1:22" ht="10.5">
      <c r="A21" s="197" t="s">
        <v>111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8"/>
      <c r="P21" s="198"/>
      <c r="Q21" s="197"/>
      <c r="R21" s="197"/>
      <c r="S21" s="197"/>
      <c r="T21" s="197"/>
      <c r="U21" s="197"/>
      <c r="V21" s="197"/>
    </row>
    <row r="22" spans="1:22" ht="10.5">
      <c r="A22" s="197" t="s">
        <v>112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8"/>
      <c r="P22" s="198"/>
      <c r="Q22" s="197"/>
      <c r="R22" s="197"/>
      <c r="S22" s="197"/>
      <c r="T22" s="197"/>
      <c r="U22" s="197"/>
      <c r="V22" s="197"/>
    </row>
    <row r="23" spans="1:22" ht="10.5">
      <c r="A23" s="197" t="s">
        <v>113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8"/>
      <c r="P23" s="198"/>
      <c r="Q23" s="197"/>
      <c r="R23" s="197"/>
      <c r="S23" s="197"/>
      <c r="T23" s="197"/>
      <c r="U23" s="197"/>
      <c r="V23" s="197"/>
    </row>
    <row r="24" spans="1:22" ht="10.5">
      <c r="A24" s="197" t="s">
        <v>114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8"/>
      <c r="P24" s="198"/>
      <c r="Q24" s="197"/>
      <c r="R24" s="197"/>
      <c r="S24" s="197"/>
      <c r="T24" s="197"/>
      <c r="U24" s="197"/>
      <c r="V24" s="197"/>
    </row>
    <row r="25" spans="1:22" ht="10.5">
      <c r="A25" s="197" t="s">
        <v>115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8"/>
      <c r="P25" s="198"/>
      <c r="Q25" s="197"/>
      <c r="R25" s="197"/>
      <c r="S25" s="197"/>
      <c r="T25" s="197"/>
      <c r="U25" s="197"/>
      <c r="V25" s="197"/>
    </row>
    <row r="26" spans="1:22" ht="10.5">
      <c r="A26" s="197" t="s">
        <v>116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8"/>
      <c r="P26" s="198"/>
      <c r="Q26" s="197"/>
      <c r="R26" s="197"/>
      <c r="S26" s="197"/>
      <c r="T26" s="197"/>
      <c r="U26" s="197"/>
      <c r="V26" s="197"/>
    </row>
    <row r="27" spans="1:22" ht="10.5">
      <c r="A27" s="197" t="s">
        <v>117</v>
      </c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8"/>
      <c r="P27" s="198"/>
      <c r="Q27" s="197"/>
      <c r="R27" s="197"/>
      <c r="S27" s="197"/>
      <c r="T27" s="197"/>
      <c r="U27" s="197"/>
      <c r="V27" s="197"/>
    </row>
    <row r="28" spans="1:22" ht="10.5">
      <c r="A28" s="197" t="s">
        <v>118</v>
      </c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8"/>
      <c r="P28" s="198"/>
      <c r="Q28" s="197"/>
      <c r="R28" s="197"/>
      <c r="S28" s="197"/>
      <c r="T28" s="197"/>
      <c r="U28" s="197"/>
      <c r="V28" s="197"/>
    </row>
    <row r="29" spans="1:22" ht="10.5">
      <c r="A29" s="197" t="s">
        <v>119</v>
      </c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8"/>
      <c r="P29" s="198"/>
      <c r="Q29" s="197"/>
      <c r="R29" s="197"/>
      <c r="S29" s="197"/>
      <c r="T29" s="197"/>
      <c r="U29" s="197"/>
      <c r="V29" s="197"/>
    </row>
    <row r="30" spans="1:22" ht="10.5">
      <c r="A30" s="197" t="s">
        <v>120</v>
      </c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8"/>
      <c r="P30" s="198"/>
      <c r="Q30" s="197"/>
      <c r="R30" s="197"/>
      <c r="S30" s="197"/>
      <c r="T30" s="197"/>
      <c r="U30" s="197"/>
      <c r="V30" s="197"/>
    </row>
    <row r="31" spans="1:22" ht="10.5">
      <c r="A31" s="197" t="s">
        <v>121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8"/>
      <c r="P31" s="198"/>
      <c r="Q31" s="197"/>
      <c r="R31" s="197"/>
      <c r="S31" s="197"/>
      <c r="T31" s="197"/>
      <c r="U31" s="197"/>
      <c r="V31" s="197"/>
    </row>
    <row r="32" spans="1:22" ht="10.5">
      <c r="A32" s="197" t="s">
        <v>122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8"/>
      <c r="P32" s="198"/>
      <c r="Q32" s="197"/>
      <c r="R32" s="197"/>
      <c r="S32" s="197"/>
      <c r="T32" s="197"/>
      <c r="U32" s="197"/>
      <c r="V32" s="197"/>
    </row>
    <row r="33" spans="1:22" ht="10.5">
      <c r="A33" s="197" t="s">
        <v>123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8"/>
      <c r="P33" s="198"/>
      <c r="Q33" s="197"/>
      <c r="R33" s="197"/>
      <c r="S33" s="197"/>
      <c r="T33" s="197"/>
      <c r="U33" s="197"/>
      <c r="V33" s="197"/>
    </row>
    <row r="34" spans="1:22" ht="10.5">
      <c r="A34" s="197" t="s">
        <v>124</v>
      </c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8"/>
      <c r="P34" s="198"/>
      <c r="Q34" s="197"/>
      <c r="R34" s="197"/>
      <c r="S34" s="197"/>
      <c r="T34" s="197"/>
      <c r="U34" s="197"/>
      <c r="V34" s="197"/>
    </row>
    <row r="35" spans="1:22" ht="10.5">
      <c r="A35" s="197" t="s">
        <v>125</v>
      </c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8"/>
      <c r="P35" s="198"/>
      <c r="Q35" s="197"/>
      <c r="R35" s="197"/>
      <c r="S35" s="197"/>
      <c r="T35" s="197"/>
      <c r="U35" s="197"/>
      <c r="V35" s="197"/>
    </row>
    <row r="36" spans="1:22" ht="10.5">
      <c r="A36" s="197" t="s">
        <v>126</v>
      </c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8"/>
      <c r="P36" s="198"/>
      <c r="Q36" s="197"/>
      <c r="R36" s="197"/>
      <c r="S36" s="197"/>
      <c r="T36" s="197"/>
      <c r="U36" s="197"/>
      <c r="V36" s="197"/>
    </row>
    <row r="37" spans="1:22" ht="10.5">
      <c r="A37" s="197" t="s">
        <v>127</v>
      </c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8"/>
      <c r="P37" s="198"/>
      <c r="Q37" s="197"/>
      <c r="R37" s="197"/>
      <c r="S37" s="197"/>
      <c r="T37" s="197"/>
      <c r="U37" s="197"/>
      <c r="V37" s="197"/>
    </row>
    <row r="38" spans="1:22" ht="10.5">
      <c r="A38" s="197" t="s">
        <v>128</v>
      </c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8"/>
      <c r="P38" s="198"/>
      <c r="Q38" s="197"/>
      <c r="R38" s="197"/>
      <c r="S38" s="197"/>
      <c r="T38" s="197"/>
      <c r="U38" s="197"/>
      <c r="V38" s="197"/>
    </row>
    <row r="39" spans="1:22" ht="10.5">
      <c r="A39" s="197" t="s">
        <v>129</v>
      </c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8"/>
      <c r="P39" s="198"/>
      <c r="Q39" s="197"/>
      <c r="R39" s="197"/>
      <c r="S39" s="197"/>
      <c r="T39" s="197"/>
      <c r="U39" s="197"/>
      <c r="V39" s="197"/>
    </row>
    <row r="40" spans="1:22" ht="10.5">
      <c r="A40" s="197" t="s">
        <v>130</v>
      </c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8"/>
      <c r="P40" s="198"/>
      <c r="Q40" s="197"/>
      <c r="R40" s="197"/>
      <c r="S40" s="197"/>
      <c r="T40" s="197"/>
      <c r="U40" s="197"/>
      <c r="V40" s="197"/>
    </row>
    <row r="41" spans="1:22" ht="10.5">
      <c r="A41" s="197" t="s">
        <v>131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8"/>
      <c r="P41" s="198"/>
      <c r="Q41" s="197"/>
      <c r="R41" s="197"/>
      <c r="S41" s="197"/>
      <c r="T41" s="197"/>
      <c r="U41" s="197"/>
      <c r="V41" s="197"/>
    </row>
    <row r="42" spans="1:22" ht="10.5">
      <c r="A42" s="197" t="s">
        <v>132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8"/>
      <c r="P42" s="198"/>
      <c r="Q42" s="197"/>
      <c r="R42" s="197"/>
      <c r="S42" s="197"/>
      <c r="T42" s="197"/>
      <c r="U42" s="197"/>
      <c r="V42" s="197"/>
    </row>
    <row r="43" spans="1:22" ht="10.5">
      <c r="A43" s="197" t="s">
        <v>133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8"/>
      <c r="P43" s="198"/>
      <c r="Q43" s="197"/>
      <c r="R43" s="197"/>
      <c r="S43" s="197"/>
      <c r="T43" s="197"/>
      <c r="U43" s="197"/>
      <c r="V43" s="197"/>
    </row>
    <row r="44" spans="1:22" ht="10.5">
      <c r="A44" s="197" t="s">
        <v>134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8"/>
      <c r="P44" s="198"/>
      <c r="Q44" s="197"/>
      <c r="R44" s="197"/>
      <c r="S44" s="197"/>
      <c r="T44" s="197"/>
      <c r="U44" s="197"/>
      <c r="V44" s="197"/>
    </row>
    <row r="45" spans="1:22" ht="10.5">
      <c r="A45" s="197" t="s">
        <v>135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8"/>
      <c r="P45" s="198"/>
      <c r="Q45" s="197"/>
      <c r="R45" s="197"/>
      <c r="S45" s="197"/>
      <c r="T45" s="197"/>
      <c r="U45" s="197"/>
      <c r="V45" s="197"/>
    </row>
    <row r="46" spans="1:22" ht="10.5">
      <c r="A46" s="197" t="s">
        <v>136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8"/>
      <c r="P46" s="198"/>
      <c r="Q46" s="197"/>
      <c r="R46" s="197"/>
      <c r="S46" s="197"/>
      <c r="T46" s="197"/>
      <c r="U46" s="197"/>
      <c r="V46" s="197"/>
    </row>
    <row r="47" spans="1:22" ht="10.5">
      <c r="A47" s="197" t="s">
        <v>137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8"/>
      <c r="P47" s="198"/>
      <c r="Q47" s="197"/>
      <c r="R47" s="197"/>
      <c r="S47" s="197"/>
      <c r="T47" s="197"/>
      <c r="U47" s="197"/>
      <c r="V47" s="197"/>
    </row>
    <row r="48" spans="1:22" ht="10.5">
      <c r="A48" s="197" t="s">
        <v>138</v>
      </c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8"/>
      <c r="P48" s="198"/>
      <c r="Q48" s="197"/>
      <c r="R48" s="197"/>
      <c r="S48" s="197"/>
      <c r="T48" s="197"/>
      <c r="U48" s="197"/>
      <c r="V48" s="197"/>
    </row>
    <row r="49" spans="1:22" ht="10.5">
      <c r="A49" s="197" t="s">
        <v>139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8"/>
      <c r="P49" s="198"/>
      <c r="Q49" s="197"/>
      <c r="R49" s="197"/>
      <c r="S49" s="197"/>
      <c r="T49" s="197"/>
      <c r="U49" s="197"/>
      <c r="V49" s="197"/>
    </row>
    <row r="50" spans="1:22" ht="10.5">
      <c r="A50" s="197" t="s">
        <v>140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8"/>
      <c r="P50" s="198"/>
      <c r="Q50" s="197"/>
      <c r="R50" s="197"/>
      <c r="S50" s="197"/>
      <c r="T50" s="197"/>
      <c r="U50" s="197"/>
      <c r="V50" s="197"/>
    </row>
    <row r="51" spans="1:22" ht="10.5">
      <c r="A51" s="197" t="s">
        <v>141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8"/>
      <c r="P51" s="198"/>
      <c r="Q51" s="197"/>
      <c r="R51" s="197"/>
      <c r="S51" s="197"/>
      <c r="T51" s="197"/>
      <c r="U51" s="197"/>
      <c r="V51" s="197"/>
    </row>
    <row r="52" spans="1:22" ht="10.5">
      <c r="A52" s="197" t="s">
        <v>142</v>
      </c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8"/>
      <c r="P52" s="198"/>
      <c r="Q52" s="197"/>
      <c r="R52" s="197"/>
      <c r="S52" s="197"/>
      <c r="T52" s="197"/>
      <c r="U52" s="197"/>
      <c r="V52" s="197"/>
    </row>
    <row r="53" spans="1:22" ht="10.5">
      <c r="A53" s="197" t="s">
        <v>143</v>
      </c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8"/>
      <c r="P53" s="198"/>
      <c r="Q53" s="197"/>
      <c r="R53" s="197"/>
      <c r="S53" s="197"/>
      <c r="T53" s="197"/>
      <c r="U53" s="197"/>
      <c r="V53" s="197"/>
    </row>
    <row r="54" spans="1:22" ht="10.5">
      <c r="A54" s="197" t="s">
        <v>144</v>
      </c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8"/>
      <c r="P54" s="198"/>
      <c r="Q54" s="197"/>
      <c r="R54" s="197"/>
      <c r="S54" s="197"/>
      <c r="T54" s="197"/>
      <c r="U54" s="197"/>
      <c r="V54" s="197"/>
    </row>
    <row r="55" spans="1:22" ht="10.5">
      <c r="A55" s="197" t="s">
        <v>145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8"/>
      <c r="P55" s="198"/>
      <c r="Q55" s="197"/>
      <c r="R55" s="197"/>
      <c r="S55" s="197"/>
      <c r="T55" s="197"/>
      <c r="U55" s="197"/>
      <c r="V55" s="197"/>
    </row>
    <row r="56" spans="1:22" ht="10.5">
      <c r="A56" s="197" t="s">
        <v>146</v>
      </c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8"/>
      <c r="P56" s="198"/>
      <c r="Q56" s="197"/>
      <c r="R56" s="197"/>
      <c r="S56" s="197"/>
      <c r="T56" s="197"/>
      <c r="U56" s="197"/>
      <c r="V56" s="197"/>
    </row>
    <row r="57" spans="1:22" ht="10.5">
      <c r="A57" s="197" t="s">
        <v>147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8"/>
      <c r="P57" s="198"/>
      <c r="Q57" s="197"/>
      <c r="R57" s="197"/>
      <c r="S57" s="197"/>
      <c r="T57" s="197"/>
      <c r="U57" s="197"/>
      <c r="V57" s="197"/>
    </row>
    <row r="58" spans="1:22" ht="10.5">
      <c r="A58" s="197" t="s">
        <v>148</v>
      </c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8"/>
      <c r="P58" s="198"/>
      <c r="Q58" s="197"/>
      <c r="R58" s="197"/>
      <c r="S58" s="197"/>
      <c r="T58" s="197"/>
      <c r="U58" s="197"/>
      <c r="V58" s="197"/>
    </row>
    <row r="59" spans="1:22" ht="10.5">
      <c r="A59" s="197" t="s">
        <v>149</v>
      </c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8"/>
      <c r="P59" s="198"/>
      <c r="Q59" s="197"/>
      <c r="R59" s="197"/>
      <c r="S59" s="197"/>
      <c r="T59" s="197"/>
      <c r="U59" s="197"/>
      <c r="V59" s="197"/>
    </row>
    <row r="60" spans="1:22" ht="10.5">
      <c r="A60" s="197" t="s">
        <v>150</v>
      </c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8"/>
      <c r="P60" s="198"/>
      <c r="Q60" s="197"/>
      <c r="R60" s="197"/>
      <c r="S60" s="197"/>
      <c r="T60" s="197"/>
      <c r="U60" s="197"/>
      <c r="V60" s="197"/>
    </row>
    <row r="61" spans="1:22" ht="10.5">
      <c r="A61" s="197" t="s">
        <v>151</v>
      </c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8"/>
      <c r="P61" s="198"/>
      <c r="Q61" s="197"/>
      <c r="R61" s="197"/>
      <c r="S61" s="197"/>
      <c r="T61" s="197"/>
      <c r="U61" s="197"/>
      <c r="V61" s="197"/>
    </row>
    <row r="62" spans="1:22" ht="10.5">
      <c r="A62" s="197" t="s">
        <v>152</v>
      </c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8"/>
      <c r="P62" s="198"/>
      <c r="Q62" s="197"/>
      <c r="R62" s="197"/>
      <c r="S62" s="197"/>
      <c r="T62" s="197"/>
      <c r="U62" s="197"/>
      <c r="V62" s="197"/>
    </row>
    <row r="63" spans="1:22" ht="10.5">
      <c r="A63" s="197" t="s">
        <v>153</v>
      </c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8"/>
      <c r="P63" s="198"/>
      <c r="Q63" s="197"/>
      <c r="R63" s="197"/>
      <c r="S63" s="197"/>
      <c r="T63" s="197"/>
      <c r="U63" s="197"/>
      <c r="V63" s="197"/>
    </row>
    <row r="64" spans="1:22" ht="10.5">
      <c r="A64" s="197" t="s">
        <v>154</v>
      </c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8"/>
      <c r="P64" s="198"/>
      <c r="Q64" s="197"/>
      <c r="R64" s="197"/>
      <c r="S64" s="197"/>
      <c r="T64" s="197"/>
      <c r="U64" s="197"/>
      <c r="V64" s="197"/>
    </row>
    <row r="65" spans="1:22" ht="10.5">
      <c r="A65" s="197" t="s">
        <v>155</v>
      </c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8"/>
      <c r="P65" s="198"/>
      <c r="Q65" s="197"/>
      <c r="R65" s="197"/>
      <c r="S65" s="197"/>
      <c r="T65" s="197"/>
      <c r="U65" s="197"/>
      <c r="V65" s="197"/>
    </row>
    <row r="66" spans="1:22" ht="10.5">
      <c r="A66" s="197" t="s">
        <v>156</v>
      </c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8"/>
      <c r="P66" s="198"/>
      <c r="Q66" s="197"/>
      <c r="R66" s="197"/>
      <c r="S66" s="197"/>
      <c r="T66" s="197"/>
      <c r="U66" s="197"/>
      <c r="V66" s="197"/>
    </row>
    <row r="67" spans="1:22" ht="10.5">
      <c r="A67" s="197" t="s">
        <v>157</v>
      </c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8"/>
      <c r="P67" s="198"/>
      <c r="Q67" s="197"/>
      <c r="R67" s="197"/>
      <c r="S67" s="197"/>
      <c r="T67" s="197"/>
      <c r="U67" s="197"/>
      <c r="V67" s="197"/>
    </row>
    <row r="68" spans="1:22" ht="10.5">
      <c r="A68" s="197" t="s">
        <v>158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8"/>
      <c r="P68" s="198"/>
      <c r="Q68" s="197"/>
      <c r="R68" s="197"/>
      <c r="S68" s="197"/>
      <c r="T68" s="197"/>
      <c r="U68" s="197"/>
      <c r="V68" s="197"/>
    </row>
    <row r="69" spans="1:22" ht="10.5">
      <c r="A69" s="197" t="s">
        <v>159</v>
      </c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8"/>
      <c r="P69" s="198"/>
      <c r="Q69" s="197"/>
      <c r="R69" s="197"/>
      <c r="S69" s="197"/>
      <c r="T69" s="197"/>
      <c r="U69" s="197"/>
      <c r="V69" s="197"/>
    </row>
    <row r="70" spans="1:22" ht="10.5">
      <c r="A70" s="197" t="s">
        <v>160</v>
      </c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8"/>
      <c r="P70" s="198"/>
      <c r="Q70" s="197"/>
      <c r="R70" s="197"/>
      <c r="S70" s="197"/>
      <c r="T70" s="197"/>
      <c r="U70" s="197"/>
      <c r="V70" s="197"/>
    </row>
    <row r="71" spans="1:22" ht="10.5">
      <c r="A71" s="197" t="s">
        <v>161</v>
      </c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8"/>
      <c r="P71" s="198"/>
      <c r="Q71" s="197"/>
      <c r="R71" s="197"/>
      <c r="S71" s="197"/>
      <c r="T71" s="197"/>
      <c r="U71" s="197"/>
      <c r="V71" s="197"/>
    </row>
    <row r="72" spans="1:22" ht="10.5">
      <c r="A72" s="197" t="s">
        <v>162</v>
      </c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8"/>
      <c r="P72" s="198"/>
      <c r="Q72" s="197"/>
      <c r="R72" s="197"/>
      <c r="S72" s="197"/>
      <c r="T72" s="197"/>
      <c r="U72" s="197"/>
      <c r="V72" s="197"/>
    </row>
    <row r="73" spans="1:22" ht="10.5">
      <c r="A73" s="197" t="s">
        <v>163</v>
      </c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8"/>
      <c r="P73" s="198"/>
      <c r="Q73" s="197"/>
      <c r="R73" s="197"/>
      <c r="S73" s="197"/>
      <c r="T73" s="197"/>
      <c r="U73" s="197"/>
      <c r="V73" s="197"/>
    </row>
    <row r="74" spans="1:22" ht="10.5">
      <c r="A74" s="197" t="s">
        <v>164</v>
      </c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8"/>
      <c r="P74" s="198"/>
      <c r="Q74" s="197"/>
      <c r="R74" s="197"/>
      <c r="S74" s="197"/>
      <c r="T74" s="197"/>
      <c r="U74" s="197"/>
      <c r="V74" s="197"/>
    </row>
    <row r="75" spans="1:22" ht="10.5">
      <c r="A75" s="197" t="s">
        <v>165</v>
      </c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8"/>
      <c r="P75" s="198"/>
      <c r="Q75" s="197"/>
      <c r="R75" s="197"/>
      <c r="S75" s="197"/>
      <c r="T75" s="197"/>
      <c r="U75" s="197"/>
      <c r="V75" s="197"/>
    </row>
    <row r="76" spans="1:22" ht="10.5">
      <c r="A76" s="197" t="s">
        <v>166</v>
      </c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8"/>
      <c r="P76" s="198"/>
      <c r="Q76" s="197"/>
      <c r="R76" s="197"/>
      <c r="S76" s="197"/>
      <c r="T76" s="197"/>
      <c r="U76" s="197"/>
      <c r="V76" s="197"/>
    </row>
    <row r="77" spans="1:22" ht="10.5">
      <c r="A77" s="197" t="s">
        <v>167</v>
      </c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8"/>
      <c r="P77" s="198"/>
      <c r="Q77" s="197"/>
      <c r="R77" s="197"/>
      <c r="S77" s="197"/>
      <c r="T77" s="197"/>
      <c r="U77" s="197"/>
      <c r="V77" s="197"/>
    </row>
    <row r="78" spans="1:22" ht="10.5">
      <c r="A78" s="197" t="s">
        <v>168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8"/>
      <c r="P78" s="198"/>
      <c r="Q78" s="197"/>
      <c r="R78" s="197"/>
      <c r="S78" s="197"/>
      <c r="T78" s="197"/>
      <c r="U78" s="197"/>
      <c r="V78" s="197"/>
    </row>
    <row r="79" spans="1:22" ht="10.5">
      <c r="A79" s="197" t="s">
        <v>169</v>
      </c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8"/>
      <c r="P79" s="198"/>
      <c r="Q79" s="197"/>
      <c r="R79" s="197"/>
      <c r="S79" s="197"/>
      <c r="T79" s="197"/>
      <c r="U79" s="197"/>
      <c r="V79" s="197"/>
    </row>
    <row r="80" spans="1:22" ht="10.5">
      <c r="A80" s="197" t="s">
        <v>170</v>
      </c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8"/>
      <c r="P80" s="198"/>
      <c r="Q80" s="197"/>
      <c r="R80" s="197"/>
      <c r="S80" s="197"/>
      <c r="T80" s="197"/>
      <c r="U80" s="197"/>
      <c r="V80" s="197"/>
    </row>
    <row r="81" spans="1:22" ht="10.5">
      <c r="A81" s="197" t="s">
        <v>171</v>
      </c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8"/>
      <c r="P81" s="198"/>
      <c r="Q81" s="197"/>
      <c r="R81" s="197"/>
      <c r="S81" s="197"/>
      <c r="T81" s="197"/>
      <c r="U81" s="197"/>
      <c r="V81" s="197"/>
    </row>
    <row r="82" spans="1:22" ht="10.5">
      <c r="A82" s="197" t="s">
        <v>172</v>
      </c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8"/>
      <c r="P82" s="198"/>
      <c r="Q82" s="197"/>
      <c r="R82" s="197"/>
      <c r="S82" s="197"/>
      <c r="T82" s="197"/>
      <c r="U82" s="197"/>
      <c r="V82" s="197"/>
    </row>
    <row r="83" spans="1:22" ht="10.5">
      <c r="A83" s="197" t="s">
        <v>173</v>
      </c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8"/>
      <c r="P83" s="198"/>
      <c r="Q83" s="197"/>
      <c r="R83" s="197"/>
      <c r="S83" s="197"/>
      <c r="T83" s="197"/>
      <c r="U83" s="197"/>
      <c r="V83" s="197"/>
    </row>
    <row r="84" spans="1:22" ht="10.5">
      <c r="A84" s="197" t="s">
        <v>174</v>
      </c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8"/>
      <c r="P84" s="198"/>
      <c r="Q84" s="197"/>
      <c r="R84" s="197"/>
      <c r="S84" s="197"/>
      <c r="T84" s="197"/>
      <c r="U84" s="197"/>
      <c r="V84" s="197"/>
    </row>
    <row r="85" spans="1:22" ht="10.5">
      <c r="A85" s="197" t="s">
        <v>175</v>
      </c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8"/>
      <c r="P85" s="198"/>
      <c r="Q85" s="197"/>
      <c r="R85" s="197"/>
      <c r="S85" s="197"/>
      <c r="T85" s="197"/>
      <c r="U85" s="197"/>
      <c r="V85" s="197"/>
    </row>
    <row r="86" spans="1:22" ht="10.5">
      <c r="A86" s="197" t="s">
        <v>176</v>
      </c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8"/>
      <c r="P86" s="198"/>
      <c r="Q86" s="197"/>
      <c r="R86" s="197"/>
      <c r="S86" s="197"/>
      <c r="T86" s="197"/>
      <c r="U86" s="197"/>
      <c r="V86" s="197"/>
    </row>
    <row r="87" spans="1:22" ht="10.5">
      <c r="A87" s="197" t="s">
        <v>177</v>
      </c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8"/>
      <c r="P87" s="198"/>
      <c r="Q87" s="197"/>
      <c r="R87" s="197"/>
      <c r="S87" s="197"/>
      <c r="T87" s="197"/>
      <c r="U87" s="197"/>
      <c r="V87" s="197"/>
    </row>
    <row r="88" spans="1:22" ht="10.5">
      <c r="A88" s="197" t="s">
        <v>178</v>
      </c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8"/>
      <c r="P88" s="198"/>
      <c r="Q88" s="197"/>
      <c r="R88" s="197"/>
      <c r="S88" s="197"/>
      <c r="T88" s="197"/>
      <c r="U88" s="197"/>
      <c r="V88" s="197"/>
    </row>
    <row r="89" spans="1:22" ht="10.5">
      <c r="A89" s="197" t="s">
        <v>179</v>
      </c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8"/>
      <c r="P89" s="198"/>
      <c r="Q89" s="197"/>
      <c r="R89" s="197"/>
      <c r="S89" s="197"/>
      <c r="T89" s="197"/>
      <c r="U89" s="197"/>
      <c r="V89" s="197"/>
    </row>
    <row r="90" spans="1:22" ht="10.5">
      <c r="A90" s="197" t="s">
        <v>180</v>
      </c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8"/>
      <c r="P90" s="198"/>
      <c r="Q90" s="197"/>
      <c r="R90" s="197"/>
      <c r="S90" s="197"/>
      <c r="T90" s="197"/>
      <c r="U90" s="197"/>
      <c r="V90" s="197"/>
    </row>
    <row r="91" spans="1:22" ht="10.5">
      <c r="A91" s="197" t="s">
        <v>181</v>
      </c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8"/>
      <c r="P91" s="198"/>
      <c r="Q91" s="197"/>
      <c r="R91" s="197"/>
      <c r="S91" s="197"/>
      <c r="T91" s="197"/>
      <c r="U91" s="197"/>
      <c r="V91" s="197"/>
    </row>
    <row r="92" spans="1:22" ht="10.5">
      <c r="A92" s="197" t="s">
        <v>182</v>
      </c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8"/>
      <c r="P92" s="198"/>
      <c r="Q92" s="197"/>
      <c r="R92" s="197"/>
      <c r="S92" s="197"/>
      <c r="T92" s="197"/>
      <c r="U92" s="197"/>
      <c r="V92" s="197"/>
    </row>
    <row r="93" spans="1:22" ht="10.5">
      <c r="A93" s="197" t="s">
        <v>183</v>
      </c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8"/>
      <c r="P93" s="198"/>
      <c r="Q93" s="197"/>
      <c r="R93" s="197"/>
      <c r="S93" s="197"/>
      <c r="T93" s="197"/>
      <c r="U93" s="197"/>
      <c r="V93" s="197"/>
    </row>
    <row r="94" spans="1:22" ht="10.5">
      <c r="A94" s="197" t="s">
        <v>184</v>
      </c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8"/>
      <c r="P94" s="198"/>
      <c r="Q94" s="197"/>
      <c r="R94" s="197"/>
      <c r="S94" s="197"/>
      <c r="T94" s="197"/>
      <c r="U94" s="197"/>
      <c r="V94" s="197"/>
    </row>
    <row r="95" spans="1:22" ht="10.5">
      <c r="A95" s="197" t="s">
        <v>185</v>
      </c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8"/>
      <c r="P95" s="198"/>
      <c r="Q95" s="197"/>
      <c r="R95" s="197"/>
      <c r="S95" s="197"/>
      <c r="T95" s="197"/>
      <c r="U95" s="197"/>
      <c r="V95" s="197"/>
    </row>
    <row r="96" spans="1:22" ht="10.5">
      <c r="A96" s="197" t="s">
        <v>186</v>
      </c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8"/>
      <c r="P96" s="198"/>
      <c r="Q96" s="197"/>
      <c r="R96" s="197"/>
      <c r="S96" s="197"/>
      <c r="T96" s="197"/>
      <c r="U96" s="197"/>
      <c r="V96" s="197"/>
    </row>
    <row r="97" spans="1:22" ht="10.5">
      <c r="A97" s="197" t="s">
        <v>187</v>
      </c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8"/>
      <c r="P97" s="198"/>
      <c r="Q97" s="197"/>
      <c r="R97" s="197"/>
      <c r="S97" s="197"/>
      <c r="T97" s="197"/>
      <c r="U97" s="197"/>
      <c r="V97" s="197"/>
    </row>
    <row r="98" spans="1:22" ht="10.5">
      <c r="A98" s="197" t="s">
        <v>188</v>
      </c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8"/>
      <c r="P98" s="198"/>
      <c r="Q98" s="197"/>
      <c r="R98" s="197"/>
      <c r="S98" s="197"/>
      <c r="T98" s="197"/>
      <c r="U98" s="197"/>
      <c r="V98" s="197"/>
    </row>
    <row r="99" spans="1:22" ht="10.5">
      <c r="A99" s="197" t="s">
        <v>189</v>
      </c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8"/>
      <c r="P99" s="198"/>
      <c r="Q99" s="197"/>
      <c r="R99" s="197"/>
      <c r="S99" s="197"/>
      <c r="T99" s="197"/>
      <c r="U99" s="197"/>
      <c r="V99" s="197"/>
    </row>
    <row r="100" spans="1:22" ht="10.5">
      <c r="A100" s="197" t="s">
        <v>190</v>
      </c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8"/>
      <c r="P100" s="198"/>
      <c r="Q100" s="197"/>
      <c r="R100" s="197"/>
      <c r="S100" s="197"/>
      <c r="T100" s="197"/>
      <c r="U100" s="197"/>
      <c r="V100" s="197"/>
    </row>
    <row r="101" spans="1:22" ht="10.5">
      <c r="A101" s="197" t="s">
        <v>191</v>
      </c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8"/>
      <c r="P101" s="198"/>
      <c r="Q101" s="197"/>
      <c r="R101" s="197"/>
      <c r="S101" s="197"/>
      <c r="T101" s="197"/>
      <c r="U101" s="197"/>
      <c r="V101" s="197"/>
    </row>
    <row r="102" spans="1:22" ht="10.5">
      <c r="A102" s="197" t="s">
        <v>192</v>
      </c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8"/>
      <c r="P102" s="198"/>
      <c r="Q102" s="197"/>
      <c r="R102" s="197"/>
      <c r="S102" s="197"/>
      <c r="T102" s="197"/>
      <c r="U102" s="197"/>
      <c r="V102" s="197"/>
    </row>
    <row r="103" spans="1:22" ht="10.5">
      <c r="A103" s="197" t="s">
        <v>193</v>
      </c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8"/>
      <c r="P103" s="198"/>
      <c r="Q103" s="197"/>
      <c r="R103" s="197"/>
      <c r="S103" s="197"/>
      <c r="T103" s="197"/>
      <c r="U103" s="197"/>
      <c r="V103" s="197"/>
    </row>
    <row r="104" spans="1:22" ht="10.5">
      <c r="A104" s="197" t="s">
        <v>194</v>
      </c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8"/>
      <c r="P104" s="198"/>
      <c r="Q104" s="197"/>
      <c r="R104" s="197"/>
      <c r="S104" s="197"/>
      <c r="T104" s="197"/>
      <c r="U104" s="197"/>
      <c r="V104" s="197"/>
    </row>
    <row r="105" spans="1:22" ht="10.5">
      <c r="A105" s="197" t="s">
        <v>195</v>
      </c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8"/>
      <c r="P105" s="198"/>
      <c r="Q105" s="197"/>
      <c r="R105" s="197"/>
      <c r="S105" s="197"/>
      <c r="T105" s="197"/>
      <c r="U105" s="197"/>
      <c r="V105" s="197"/>
    </row>
    <row r="106" spans="1:22" ht="10.5">
      <c r="A106" s="197" t="s">
        <v>196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8"/>
      <c r="P106" s="198"/>
      <c r="Q106" s="197"/>
      <c r="R106" s="197"/>
      <c r="S106" s="197"/>
      <c r="T106" s="197"/>
      <c r="U106" s="197"/>
      <c r="V106" s="197"/>
    </row>
    <row r="107" spans="1:22" ht="10.5">
      <c r="A107" s="197" t="s">
        <v>197</v>
      </c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8"/>
      <c r="P107" s="198"/>
      <c r="Q107" s="197"/>
      <c r="R107" s="197"/>
      <c r="S107" s="197"/>
      <c r="T107" s="197"/>
      <c r="U107" s="197"/>
      <c r="V107" s="197"/>
    </row>
    <row r="108" spans="1:22" ht="10.5">
      <c r="A108" s="197" t="s">
        <v>198</v>
      </c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8"/>
      <c r="P108" s="198"/>
      <c r="Q108" s="197"/>
      <c r="R108" s="197"/>
      <c r="S108" s="197"/>
      <c r="T108" s="197"/>
      <c r="U108" s="197"/>
      <c r="V108" s="197"/>
    </row>
    <row r="109" spans="1:22" ht="10.5">
      <c r="A109" s="197" t="s">
        <v>199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8"/>
      <c r="P109" s="198"/>
      <c r="Q109" s="197"/>
      <c r="R109" s="197"/>
      <c r="S109" s="197"/>
      <c r="T109" s="197"/>
      <c r="U109" s="197"/>
      <c r="V109" s="197"/>
    </row>
    <row r="110" spans="1:22" ht="10.5">
      <c r="A110" s="197" t="s">
        <v>200</v>
      </c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8"/>
      <c r="P110" s="198"/>
      <c r="Q110" s="197"/>
      <c r="R110" s="197"/>
      <c r="S110" s="197"/>
      <c r="T110" s="197"/>
      <c r="U110" s="197"/>
      <c r="V110" s="197"/>
    </row>
    <row r="111" spans="1:22" ht="10.5">
      <c r="A111" s="197" t="s">
        <v>201</v>
      </c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8"/>
      <c r="P111" s="198"/>
      <c r="Q111" s="197"/>
      <c r="R111" s="197"/>
      <c r="S111" s="197"/>
      <c r="T111" s="197"/>
      <c r="U111" s="197"/>
      <c r="V111" s="197"/>
    </row>
    <row r="112" spans="1:22" ht="10.5">
      <c r="A112" s="197" t="s">
        <v>202</v>
      </c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8"/>
      <c r="P112" s="198"/>
      <c r="Q112" s="197"/>
      <c r="R112" s="197"/>
      <c r="S112" s="197"/>
      <c r="T112" s="197"/>
      <c r="U112" s="197"/>
      <c r="V112" s="197"/>
    </row>
    <row r="113" spans="1:22" ht="10.5">
      <c r="A113" s="197" t="s">
        <v>203</v>
      </c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8"/>
      <c r="P113" s="198"/>
      <c r="Q113" s="197"/>
      <c r="R113" s="197"/>
      <c r="S113" s="197"/>
      <c r="T113" s="197"/>
      <c r="U113" s="197"/>
      <c r="V113" s="197"/>
    </row>
    <row r="114" spans="1:22" ht="10.5">
      <c r="A114" s="197" t="s">
        <v>204</v>
      </c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8"/>
      <c r="P114" s="198"/>
      <c r="Q114" s="197"/>
      <c r="R114" s="197"/>
      <c r="S114" s="197"/>
      <c r="T114" s="197"/>
      <c r="U114" s="197"/>
      <c r="V114" s="197"/>
    </row>
    <row r="115" spans="1:22" ht="10.5">
      <c r="A115" s="197" t="s">
        <v>205</v>
      </c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8"/>
      <c r="P115" s="198"/>
      <c r="Q115" s="197"/>
      <c r="R115" s="197"/>
      <c r="S115" s="197"/>
      <c r="T115" s="197"/>
      <c r="U115" s="197"/>
      <c r="V115" s="197"/>
    </row>
    <row r="116" spans="1:22" ht="10.5">
      <c r="A116" s="197" t="s">
        <v>206</v>
      </c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8"/>
      <c r="P116" s="198"/>
      <c r="Q116" s="197"/>
      <c r="R116" s="197"/>
      <c r="S116" s="197"/>
      <c r="T116" s="197"/>
      <c r="U116" s="197"/>
      <c r="V116" s="197"/>
    </row>
    <row r="117" spans="1:22" ht="10.5">
      <c r="A117" s="197" t="s">
        <v>207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8"/>
      <c r="P117" s="198"/>
      <c r="Q117" s="197"/>
      <c r="R117" s="197"/>
      <c r="S117" s="197"/>
      <c r="T117" s="197"/>
      <c r="U117" s="197"/>
      <c r="V117" s="197"/>
    </row>
    <row r="118" spans="1:22" ht="10.5">
      <c r="A118" s="197" t="s">
        <v>208</v>
      </c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8"/>
      <c r="P118" s="198"/>
      <c r="Q118" s="197"/>
      <c r="R118" s="197"/>
      <c r="S118" s="197"/>
      <c r="T118" s="197"/>
      <c r="U118" s="197"/>
      <c r="V118" s="197"/>
    </row>
    <row r="119" spans="1:22" ht="10.5">
      <c r="A119" s="197" t="s">
        <v>209</v>
      </c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8"/>
      <c r="P119" s="198"/>
      <c r="Q119" s="197"/>
      <c r="R119" s="197"/>
      <c r="S119" s="197"/>
      <c r="T119" s="197"/>
      <c r="U119" s="197"/>
      <c r="V119" s="197"/>
    </row>
    <row r="120" spans="1:22" ht="10.5">
      <c r="A120" s="197" t="s">
        <v>211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8"/>
      <c r="P120" s="198"/>
      <c r="Q120" s="197"/>
      <c r="R120" s="197"/>
      <c r="S120" s="197"/>
      <c r="T120" s="197"/>
      <c r="U120" s="197"/>
      <c r="V120" s="197"/>
    </row>
    <row r="121" spans="1:22" ht="10.5">
      <c r="A121" s="197" t="s">
        <v>212</v>
      </c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8"/>
      <c r="P121" s="198"/>
      <c r="Q121" s="197"/>
      <c r="R121" s="197"/>
      <c r="S121" s="197"/>
      <c r="T121" s="197"/>
      <c r="U121" s="197"/>
      <c r="V121" s="197"/>
    </row>
    <row r="122" spans="1:22" ht="10.5">
      <c r="A122" s="197" t="s">
        <v>213</v>
      </c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8"/>
      <c r="P122" s="198"/>
      <c r="Q122" s="197"/>
      <c r="R122" s="197"/>
      <c r="S122" s="197"/>
      <c r="T122" s="197"/>
      <c r="U122" s="197"/>
      <c r="V122" s="197"/>
    </row>
    <row r="123" spans="1:22" ht="10.5">
      <c r="A123" s="197" t="s">
        <v>214</v>
      </c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8"/>
      <c r="P123" s="198"/>
      <c r="Q123" s="197"/>
      <c r="R123" s="197"/>
      <c r="S123" s="197"/>
      <c r="T123" s="197"/>
      <c r="U123" s="197"/>
      <c r="V123" s="197"/>
    </row>
    <row r="124" spans="1:22" ht="10.5">
      <c r="A124" s="197" t="s">
        <v>215</v>
      </c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8"/>
      <c r="P124" s="198"/>
      <c r="Q124" s="197"/>
      <c r="R124" s="197"/>
      <c r="S124" s="197"/>
      <c r="T124" s="197"/>
      <c r="U124" s="197"/>
      <c r="V124" s="197"/>
    </row>
    <row r="125" spans="1:22" ht="10.5">
      <c r="A125" s="197" t="s">
        <v>216</v>
      </c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8"/>
      <c r="P125" s="198"/>
      <c r="Q125" s="197"/>
      <c r="R125" s="197"/>
      <c r="S125" s="197"/>
      <c r="T125" s="197"/>
      <c r="U125" s="197"/>
      <c r="V125" s="197"/>
    </row>
    <row r="126" spans="1:22" ht="10.5">
      <c r="A126" s="197" t="s">
        <v>217</v>
      </c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8"/>
      <c r="P126" s="198"/>
      <c r="Q126" s="197"/>
      <c r="R126" s="197"/>
      <c r="S126" s="197"/>
      <c r="T126" s="197"/>
      <c r="U126" s="197"/>
      <c r="V126" s="197"/>
    </row>
    <row r="127" spans="1:22" ht="10.5">
      <c r="A127" s="197" t="s">
        <v>218</v>
      </c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8"/>
      <c r="P127" s="198"/>
      <c r="Q127" s="197"/>
      <c r="R127" s="197"/>
      <c r="S127" s="197"/>
      <c r="T127" s="197"/>
      <c r="U127" s="197"/>
      <c r="V127" s="197"/>
    </row>
    <row r="128" spans="1:22" ht="10.5">
      <c r="A128" s="197" t="s">
        <v>219</v>
      </c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8"/>
      <c r="P128" s="198"/>
      <c r="Q128" s="197"/>
      <c r="R128" s="197"/>
      <c r="S128" s="197"/>
      <c r="T128" s="197"/>
      <c r="U128" s="197"/>
      <c r="V128" s="197"/>
    </row>
    <row r="129" spans="1:22" ht="10.5">
      <c r="A129" s="197" t="s">
        <v>220</v>
      </c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8"/>
      <c r="P129" s="198"/>
      <c r="Q129" s="197"/>
      <c r="R129" s="197"/>
      <c r="S129" s="197"/>
      <c r="T129" s="197"/>
      <c r="U129" s="197"/>
      <c r="V129" s="197"/>
    </row>
    <row r="130" spans="1:22" ht="10.5">
      <c r="A130" s="197" t="s">
        <v>221</v>
      </c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8"/>
      <c r="P130" s="198"/>
      <c r="Q130" s="197"/>
      <c r="R130" s="197"/>
      <c r="S130" s="197"/>
      <c r="T130" s="197"/>
      <c r="U130" s="197"/>
      <c r="V130" s="197"/>
    </row>
    <row r="131" spans="1:22" ht="10.5">
      <c r="A131" s="197" t="s">
        <v>222</v>
      </c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8"/>
      <c r="P131" s="198"/>
      <c r="Q131" s="197"/>
      <c r="R131" s="197"/>
      <c r="S131" s="197"/>
      <c r="T131" s="197"/>
      <c r="U131" s="197"/>
      <c r="V131" s="197"/>
    </row>
    <row r="132" spans="1:22" ht="10.5">
      <c r="A132" s="197" t="s">
        <v>223</v>
      </c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8"/>
      <c r="P132" s="198"/>
      <c r="Q132" s="197"/>
      <c r="R132" s="197"/>
      <c r="S132" s="197"/>
      <c r="T132" s="197"/>
      <c r="U132" s="197"/>
      <c r="V132" s="197"/>
    </row>
    <row r="133" spans="1:22" ht="10.5">
      <c r="A133" s="197" t="s">
        <v>224</v>
      </c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8"/>
      <c r="P133" s="198"/>
      <c r="Q133" s="197"/>
      <c r="R133" s="197"/>
      <c r="S133" s="197"/>
      <c r="T133" s="197"/>
      <c r="U133" s="197"/>
      <c r="V133" s="197"/>
    </row>
    <row r="134" spans="1:22" ht="10.5">
      <c r="A134" s="197" t="s">
        <v>225</v>
      </c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8"/>
      <c r="P134" s="198"/>
      <c r="Q134" s="197"/>
      <c r="R134" s="197"/>
      <c r="S134" s="197"/>
      <c r="T134" s="197"/>
      <c r="U134" s="197"/>
      <c r="V134" s="197"/>
    </row>
    <row r="135" spans="1:22" ht="10.5">
      <c r="A135" s="197" t="s">
        <v>226</v>
      </c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8"/>
      <c r="P135" s="198"/>
      <c r="Q135" s="197"/>
      <c r="R135" s="197"/>
      <c r="S135" s="197"/>
      <c r="T135" s="197"/>
      <c r="U135" s="197"/>
      <c r="V135" s="197"/>
    </row>
    <row r="136" spans="1:22" ht="10.5">
      <c r="A136" s="197" t="s">
        <v>227</v>
      </c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8"/>
      <c r="P136" s="198"/>
      <c r="Q136" s="197"/>
      <c r="R136" s="197"/>
      <c r="S136" s="197"/>
      <c r="T136" s="197"/>
      <c r="U136" s="197"/>
      <c r="V136" s="197"/>
    </row>
    <row r="137" spans="1:22" ht="10.5">
      <c r="A137" s="197" t="s">
        <v>228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8"/>
      <c r="P137" s="198"/>
      <c r="Q137" s="197"/>
      <c r="R137" s="197"/>
      <c r="S137" s="197"/>
      <c r="T137" s="197"/>
      <c r="U137" s="197"/>
      <c r="V137" s="197"/>
    </row>
    <row r="138" spans="1:22" ht="10.5">
      <c r="A138" s="197" t="s">
        <v>229</v>
      </c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8"/>
      <c r="P138" s="198"/>
      <c r="Q138" s="197"/>
      <c r="R138" s="197"/>
      <c r="S138" s="197"/>
      <c r="T138" s="197"/>
      <c r="U138" s="197"/>
      <c r="V138" s="197"/>
    </row>
    <row r="139" spans="1:22" ht="10.5">
      <c r="A139" s="197" t="s">
        <v>230</v>
      </c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8"/>
      <c r="P139" s="198"/>
      <c r="Q139" s="197"/>
      <c r="R139" s="197"/>
      <c r="S139" s="197"/>
      <c r="T139" s="197"/>
      <c r="U139" s="197"/>
      <c r="V139" s="197"/>
    </row>
    <row r="140" spans="1:22" ht="10.5">
      <c r="A140" s="197" t="s">
        <v>231</v>
      </c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8"/>
      <c r="P140" s="198"/>
      <c r="Q140" s="197"/>
      <c r="R140" s="197"/>
      <c r="S140" s="197"/>
      <c r="T140" s="197"/>
      <c r="U140" s="197"/>
      <c r="V140" s="197"/>
    </row>
    <row r="141" spans="1:22" ht="10.5">
      <c r="A141" s="197" t="s">
        <v>232</v>
      </c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8"/>
      <c r="P141" s="198"/>
      <c r="Q141" s="197"/>
      <c r="R141" s="197"/>
      <c r="S141" s="197"/>
      <c r="T141" s="197"/>
      <c r="U141" s="197"/>
      <c r="V141" s="197"/>
    </row>
    <row r="142" spans="1:22" ht="10.5">
      <c r="A142" s="197" t="s">
        <v>233</v>
      </c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8"/>
      <c r="P142" s="198"/>
      <c r="Q142" s="197"/>
      <c r="R142" s="197"/>
      <c r="S142" s="197"/>
      <c r="T142" s="197"/>
      <c r="U142" s="197"/>
      <c r="V142" s="197"/>
    </row>
    <row r="143" spans="1:22" ht="10.5">
      <c r="A143" s="197" t="s">
        <v>234</v>
      </c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8"/>
      <c r="P143" s="198"/>
      <c r="Q143" s="197"/>
      <c r="R143" s="197"/>
      <c r="S143" s="197"/>
      <c r="T143" s="197"/>
      <c r="U143" s="197"/>
      <c r="V143" s="197"/>
    </row>
    <row r="144" spans="1:22" ht="10.5">
      <c r="A144" s="197" t="s">
        <v>235</v>
      </c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8"/>
      <c r="P144" s="198"/>
      <c r="Q144" s="197"/>
      <c r="R144" s="197"/>
      <c r="S144" s="197"/>
      <c r="T144" s="197"/>
      <c r="U144" s="197"/>
      <c r="V144" s="197"/>
    </row>
    <row r="145" spans="1:22" ht="10.5">
      <c r="A145" s="197" t="s">
        <v>236</v>
      </c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8"/>
      <c r="P145" s="198"/>
      <c r="Q145" s="197"/>
      <c r="R145" s="197"/>
      <c r="S145" s="197"/>
      <c r="T145" s="197"/>
      <c r="U145" s="197"/>
      <c r="V145" s="197"/>
    </row>
    <row r="146" spans="1:22" ht="10.5">
      <c r="A146" s="197" t="s">
        <v>237</v>
      </c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8"/>
      <c r="P146" s="198"/>
      <c r="Q146" s="197"/>
      <c r="R146" s="197"/>
      <c r="S146" s="197"/>
      <c r="T146" s="197"/>
      <c r="U146" s="197"/>
      <c r="V146" s="197"/>
    </row>
    <row r="147" spans="1:22" ht="10.5">
      <c r="A147" s="197" t="s">
        <v>238</v>
      </c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8"/>
      <c r="P147" s="198"/>
      <c r="Q147" s="197"/>
      <c r="R147" s="197"/>
      <c r="S147" s="197"/>
      <c r="T147" s="197"/>
      <c r="U147" s="197"/>
      <c r="V147" s="197"/>
    </row>
    <row r="148" spans="1:22" ht="10.5">
      <c r="A148" s="197" t="s">
        <v>239</v>
      </c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8"/>
      <c r="P148" s="198"/>
      <c r="Q148" s="197"/>
      <c r="R148" s="197"/>
      <c r="S148" s="197"/>
      <c r="T148" s="197"/>
      <c r="U148" s="197"/>
      <c r="V148" s="197"/>
    </row>
    <row r="149" spans="1:22" ht="10.5">
      <c r="A149" s="197" t="s">
        <v>240</v>
      </c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8"/>
      <c r="P149" s="198"/>
      <c r="Q149" s="197"/>
      <c r="R149" s="197"/>
      <c r="S149" s="197"/>
      <c r="T149" s="197"/>
      <c r="U149" s="197"/>
      <c r="V149" s="197"/>
    </row>
    <row r="150" spans="1:22" ht="10.5">
      <c r="A150" s="197" t="s">
        <v>241</v>
      </c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8"/>
      <c r="P150" s="198"/>
      <c r="Q150" s="197"/>
      <c r="R150" s="197"/>
      <c r="S150" s="197"/>
      <c r="T150" s="197"/>
      <c r="U150" s="197"/>
      <c r="V150" s="197"/>
    </row>
    <row r="151" spans="1:22" ht="10.5">
      <c r="A151" s="197" t="s">
        <v>242</v>
      </c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8"/>
      <c r="P151" s="198"/>
      <c r="Q151" s="197"/>
      <c r="R151" s="197"/>
      <c r="S151" s="197"/>
      <c r="T151" s="197"/>
      <c r="U151" s="197"/>
      <c r="V151" s="197"/>
    </row>
    <row r="152" spans="1:22" ht="10.5">
      <c r="A152" s="197" t="s">
        <v>243</v>
      </c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8"/>
      <c r="P152" s="198"/>
      <c r="Q152" s="197"/>
      <c r="R152" s="197"/>
      <c r="S152" s="197"/>
      <c r="T152" s="197"/>
      <c r="U152" s="197"/>
      <c r="V152" s="197"/>
    </row>
    <row r="153" spans="1:22" ht="10.5">
      <c r="A153" s="197" t="s">
        <v>244</v>
      </c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8"/>
      <c r="P153" s="198"/>
      <c r="Q153" s="197"/>
      <c r="R153" s="197"/>
      <c r="S153" s="197"/>
      <c r="T153" s="197"/>
      <c r="U153" s="197"/>
      <c r="V153" s="197"/>
    </row>
    <row r="154" spans="1:22" ht="10.5">
      <c r="A154" s="197" t="s">
        <v>245</v>
      </c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8"/>
      <c r="P154" s="198"/>
      <c r="Q154" s="197"/>
      <c r="R154" s="197"/>
      <c r="S154" s="197"/>
      <c r="T154" s="197"/>
      <c r="U154" s="197"/>
      <c r="V154" s="197"/>
    </row>
    <row r="155" spans="1:22" ht="10.5">
      <c r="A155" s="197" t="s">
        <v>246</v>
      </c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8"/>
      <c r="P155" s="198"/>
      <c r="Q155" s="197"/>
      <c r="R155" s="197"/>
      <c r="S155" s="197"/>
      <c r="T155" s="197"/>
      <c r="U155" s="197"/>
      <c r="V155" s="197"/>
    </row>
    <row r="156" spans="1:22" ht="10.5">
      <c r="A156" s="197" t="s">
        <v>247</v>
      </c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8"/>
      <c r="P156" s="198"/>
      <c r="Q156" s="197"/>
      <c r="R156" s="197"/>
      <c r="S156" s="197"/>
      <c r="T156" s="197"/>
      <c r="U156" s="197"/>
      <c r="V156" s="197"/>
    </row>
    <row r="157" spans="1:22" ht="10.5">
      <c r="A157" s="197" t="s">
        <v>248</v>
      </c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8"/>
      <c r="P157" s="198"/>
      <c r="Q157" s="197"/>
      <c r="R157" s="197"/>
      <c r="S157" s="197"/>
      <c r="T157" s="197"/>
      <c r="U157" s="197"/>
      <c r="V157" s="197"/>
    </row>
    <row r="158" spans="1:22" ht="10.5">
      <c r="A158" s="197" t="s">
        <v>249</v>
      </c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8"/>
      <c r="P158" s="198"/>
      <c r="Q158" s="197"/>
      <c r="R158" s="197"/>
      <c r="S158" s="197"/>
      <c r="T158" s="197"/>
      <c r="U158" s="197"/>
      <c r="V158" s="197"/>
    </row>
    <row r="159" spans="1:22" ht="10.5">
      <c r="A159" s="197" t="s">
        <v>250</v>
      </c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8"/>
      <c r="P159" s="198"/>
      <c r="Q159" s="197"/>
      <c r="R159" s="197"/>
      <c r="S159" s="197"/>
      <c r="T159" s="197"/>
      <c r="U159" s="197"/>
      <c r="V159" s="197"/>
    </row>
    <row r="160" spans="1:22" ht="10.5">
      <c r="A160" s="197" t="s">
        <v>251</v>
      </c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8"/>
      <c r="P160" s="198"/>
      <c r="Q160" s="197"/>
      <c r="R160" s="197"/>
      <c r="S160" s="197"/>
      <c r="T160" s="197"/>
      <c r="U160" s="197"/>
      <c r="V160" s="197"/>
    </row>
    <row r="161" spans="1:22" ht="10.5">
      <c r="A161" s="197" t="s">
        <v>252</v>
      </c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8"/>
      <c r="P161" s="198"/>
      <c r="Q161" s="197"/>
      <c r="R161" s="197"/>
      <c r="S161" s="197"/>
      <c r="T161" s="197"/>
      <c r="U161" s="197"/>
      <c r="V161" s="197"/>
    </row>
    <row r="162" spans="1:22" ht="10.5">
      <c r="A162" s="197" t="s">
        <v>253</v>
      </c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8"/>
      <c r="P162" s="198"/>
      <c r="Q162" s="197"/>
      <c r="R162" s="197"/>
      <c r="S162" s="197"/>
      <c r="T162" s="197"/>
      <c r="U162" s="197"/>
      <c r="V162" s="197"/>
    </row>
    <row r="163" spans="1:22" ht="10.5">
      <c r="A163" s="197" t="s">
        <v>254</v>
      </c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8"/>
      <c r="P163" s="198"/>
      <c r="Q163" s="197"/>
      <c r="R163" s="197"/>
      <c r="S163" s="197"/>
      <c r="T163" s="197"/>
      <c r="U163" s="197"/>
      <c r="V163" s="197"/>
    </row>
    <row r="164" spans="1:22" ht="10.5">
      <c r="A164" s="197" t="s">
        <v>255</v>
      </c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8"/>
      <c r="P164" s="198"/>
      <c r="Q164" s="197"/>
      <c r="R164" s="197"/>
      <c r="S164" s="197"/>
      <c r="T164" s="197"/>
      <c r="U164" s="197"/>
      <c r="V164" s="197"/>
    </row>
    <row r="165" spans="1:22" ht="10.5">
      <c r="A165" s="197" t="s">
        <v>256</v>
      </c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8"/>
      <c r="P165" s="198"/>
      <c r="Q165" s="197"/>
      <c r="R165" s="197"/>
      <c r="S165" s="197"/>
      <c r="T165" s="197"/>
      <c r="U165" s="197"/>
      <c r="V165" s="197"/>
    </row>
    <row r="166" spans="1:22" ht="10.5">
      <c r="A166" s="197" t="s">
        <v>257</v>
      </c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8"/>
      <c r="P166" s="198"/>
      <c r="Q166" s="197"/>
      <c r="R166" s="197"/>
      <c r="S166" s="197"/>
      <c r="T166" s="197"/>
      <c r="U166" s="197"/>
      <c r="V166" s="197"/>
    </row>
    <row r="167" spans="1:22" ht="10.5">
      <c r="A167" s="197" t="s">
        <v>258</v>
      </c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8"/>
      <c r="P167" s="198"/>
      <c r="Q167" s="197"/>
      <c r="R167" s="197"/>
      <c r="S167" s="197"/>
      <c r="T167" s="197"/>
      <c r="U167" s="197"/>
      <c r="V167" s="197"/>
    </row>
    <row r="168" spans="1:22" ht="10.5">
      <c r="A168" s="197" t="s">
        <v>259</v>
      </c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8"/>
      <c r="P168" s="198"/>
      <c r="Q168" s="197"/>
      <c r="R168" s="197"/>
      <c r="S168" s="197"/>
      <c r="T168" s="197"/>
      <c r="U168" s="197"/>
      <c r="V168" s="197"/>
    </row>
    <row r="169" spans="1:22" ht="10.5">
      <c r="A169" s="197" t="s">
        <v>260</v>
      </c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8"/>
      <c r="P169" s="198"/>
      <c r="Q169" s="197"/>
      <c r="R169" s="197"/>
      <c r="S169" s="197"/>
      <c r="T169" s="197"/>
      <c r="U169" s="197"/>
      <c r="V169" s="197"/>
    </row>
    <row r="170" spans="1:22" ht="10.5">
      <c r="A170" s="197" t="s">
        <v>261</v>
      </c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8"/>
      <c r="P170" s="198"/>
      <c r="Q170" s="197"/>
      <c r="R170" s="197"/>
      <c r="S170" s="197"/>
      <c r="T170" s="197"/>
      <c r="U170" s="197"/>
      <c r="V170" s="197"/>
    </row>
    <row r="171" spans="1:22" ht="10.5">
      <c r="A171" s="197" t="s">
        <v>262</v>
      </c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8"/>
      <c r="P171" s="198"/>
      <c r="Q171" s="197"/>
      <c r="R171" s="197"/>
      <c r="S171" s="197"/>
      <c r="T171" s="197"/>
      <c r="U171" s="197"/>
      <c r="V171" s="197"/>
    </row>
    <row r="172" spans="1:22" ht="10.5">
      <c r="A172" s="197" t="s">
        <v>263</v>
      </c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8"/>
      <c r="P172" s="198"/>
      <c r="Q172" s="197"/>
      <c r="R172" s="197"/>
      <c r="S172" s="197"/>
      <c r="T172" s="197"/>
      <c r="U172" s="197"/>
      <c r="V172" s="197"/>
    </row>
    <row r="173" spans="1:22" ht="10.5">
      <c r="A173" s="197" t="s">
        <v>264</v>
      </c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8"/>
      <c r="P173" s="198"/>
      <c r="Q173" s="197"/>
      <c r="R173" s="197"/>
      <c r="S173" s="197"/>
      <c r="T173" s="197"/>
      <c r="U173" s="197"/>
      <c r="V173" s="197"/>
    </row>
    <row r="174" spans="1:22" ht="10.5">
      <c r="A174" s="197" t="s">
        <v>265</v>
      </c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8"/>
      <c r="P174" s="198"/>
      <c r="Q174" s="197"/>
      <c r="R174" s="197"/>
      <c r="S174" s="197"/>
      <c r="T174" s="197"/>
      <c r="U174" s="197"/>
      <c r="V174" s="197"/>
    </row>
    <row r="175" spans="1:22" ht="10.5">
      <c r="A175" s="197" t="s">
        <v>266</v>
      </c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8"/>
      <c r="P175" s="198"/>
      <c r="Q175" s="197"/>
      <c r="R175" s="197"/>
      <c r="S175" s="197"/>
      <c r="T175" s="197"/>
      <c r="U175" s="197"/>
      <c r="V175" s="197"/>
    </row>
    <row r="176" spans="1:22" ht="10.5">
      <c r="A176" s="197" t="s">
        <v>267</v>
      </c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8"/>
      <c r="P176" s="198"/>
      <c r="Q176" s="197"/>
      <c r="R176" s="197"/>
      <c r="S176" s="197"/>
      <c r="T176" s="197"/>
      <c r="U176" s="197"/>
      <c r="V176" s="197"/>
    </row>
    <row r="177" spans="1:22" ht="10.5">
      <c r="A177" s="197" t="s">
        <v>268</v>
      </c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8"/>
      <c r="P177" s="198"/>
      <c r="Q177" s="197"/>
      <c r="R177" s="197"/>
      <c r="S177" s="197"/>
      <c r="T177" s="197"/>
      <c r="U177" s="197"/>
      <c r="V177" s="197"/>
    </row>
    <row r="178" spans="1:22" ht="10.5">
      <c r="A178" s="197" t="s">
        <v>269</v>
      </c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8"/>
      <c r="P178" s="198"/>
      <c r="Q178" s="197"/>
      <c r="R178" s="197"/>
      <c r="S178" s="197"/>
      <c r="T178" s="197"/>
      <c r="U178" s="197"/>
      <c r="V178" s="197"/>
    </row>
    <row r="179" spans="1:22" ht="10.5">
      <c r="A179" s="197" t="s">
        <v>270</v>
      </c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8"/>
      <c r="P179" s="198"/>
      <c r="Q179" s="197"/>
      <c r="R179" s="197"/>
      <c r="S179" s="197"/>
      <c r="T179" s="197"/>
      <c r="U179" s="197"/>
      <c r="V179" s="197"/>
    </row>
    <row r="180" spans="1:22" ht="10.5">
      <c r="A180" s="197" t="s">
        <v>271</v>
      </c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8"/>
      <c r="P180" s="198"/>
      <c r="Q180" s="197"/>
      <c r="R180" s="197"/>
      <c r="S180" s="197"/>
      <c r="T180" s="197"/>
      <c r="U180" s="197"/>
      <c r="V180" s="197"/>
    </row>
    <row r="181" spans="1:22" ht="10.5">
      <c r="A181" s="197" t="s">
        <v>272</v>
      </c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8"/>
      <c r="P181" s="198"/>
      <c r="Q181" s="197"/>
      <c r="R181" s="197"/>
      <c r="S181" s="197"/>
      <c r="T181" s="197"/>
      <c r="U181" s="197"/>
      <c r="V181" s="197"/>
    </row>
    <row r="182" spans="1:22" ht="10.5">
      <c r="A182" s="197" t="s">
        <v>273</v>
      </c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8"/>
      <c r="P182" s="198"/>
      <c r="Q182" s="197"/>
      <c r="R182" s="197"/>
      <c r="S182" s="197"/>
      <c r="T182" s="197"/>
      <c r="U182" s="197"/>
      <c r="V182" s="197"/>
    </row>
    <row r="183" spans="1:22" ht="10.5">
      <c r="A183" s="197" t="s">
        <v>274</v>
      </c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8"/>
      <c r="P183" s="198"/>
      <c r="Q183" s="197"/>
      <c r="R183" s="197"/>
      <c r="S183" s="197"/>
      <c r="T183" s="197"/>
      <c r="U183" s="197"/>
      <c r="V183" s="197"/>
    </row>
    <row r="184" spans="1:22" ht="10.5">
      <c r="A184" s="197" t="s">
        <v>275</v>
      </c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8"/>
      <c r="P184" s="198"/>
      <c r="Q184" s="197"/>
      <c r="R184" s="197"/>
      <c r="S184" s="197"/>
      <c r="T184" s="197"/>
      <c r="U184" s="197"/>
      <c r="V184" s="197"/>
    </row>
    <row r="185" spans="1:22" ht="10.5">
      <c r="A185" s="197" t="s">
        <v>276</v>
      </c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8"/>
      <c r="P185" s="198"/>
      <c r="Q185" s="197"/>
      <c r="R185" s="197"/>
      <c r="S185" s="197"/>
      <c r="T185" s="197"/>
      <c r="U185" s="197"/>
      <c r="V185" s="197"/>
    </row>
    <row r="186" spans="1:22" ht="10.5">
      <c r="A186" s="197" t="s">
        <v>277</v>
      </c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8"/>
      <c r="P186" s="198"/>
      <c r="Q186" s="197"/>
      <c r="R186" s="197"/>
      <c r="S186" s="197"/>
      <c r="T186" s="197"/>
      <c r="U186" s="197"/>
      <c r="V186" s="197"/>
    </row>
    <row r="187" spans="1:22" ht="10.5">
      <c r="A187" s="197" t="s">
        <v>278</v>
      </c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8"/>
      <c r="P187" s="198"/>
      <c r="Q187" s="197"/>
      <c r="R187" s="197"/>
      <c r="S187" s="197"/>
      <c r="T187" s="197"/>
      <c r="U187" s="197"/>
      <c r="V187" s="197"/>
    </row>
    <row r="188" spans="1:22" ht="10.5">
      <c r="A188" s="197" t="s">
        <v>279</v>
      </c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8"/>
      <c r="P188" s="198"/>
      <c r="Q188" s="197"/>
      <c r="R188" s="197"/>
      <c r="S188" s="197"/>
      <c r="T188" s="197"/>
      <c r="U188" s="197"/>
      <c r="V188" s="197"/>
    </row>
    <row r="189" spans="1:22" ht="10.5">
      <c r="A189" s="197" t="s">
        <v>280</v>
      </c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8"/>
      <c r="P189" s="198"/>
      <c r="Q189" s="197"/>
      <c r="R189" s="197"/>
      <c r="S189" s="197"/>
      <c r="T189" s="197"/>
      <c r="U189" s="197"/>
      <c r="V189" s="197"/>
    </row>
    <row r="190" spans="1:22" ht="10.5">
      <c r="A190" s="197" t="s">
        <v>281</v>
      </c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8"/>
      <c r="P190" s="198"/>
      <c r="Q190" s="197"/>
      <c r="R190" s="197"/>
      <c r="S190" s="197"/>
      <c r="T190" s="197"/>
      <c r="U190" s="197"/>
      <c r="V190" s="197"/>
    </row>
    <row r="191" spans="1:22" ht="10.5">
      <c r="A191" s="197" t="s">
        <v>282</v>
      </c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8"/>
      <c r="P191" s="198"/>
      <c r="Q191" s="197"/>
      <c r="R191" s="197"/>
      <c r="S191" s="197"/>
      <c r="T191" s="197"/>
      <c r="U191" s="197"/>
      <c r="V191" s="197"/>
    </row>
    <row r="192" spans="1:22" ht="10.5">
      <c r="A192" s="197" t="s">
        <v>283</v>
      </c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8"/>
      <c r="P192" s="198"/>
      <c r="Q192" s="197"/>
      <c r="R192" s="197"/>
      <c r="S192" s="197"/>
      <c r="T192" s="197"/>
      <c r="U192" s="197"/>
      <c r="V192" s="197"/>
    </row>
    <row r="193" spans="1:22" ht="10.5">
      <c r="A193" s="197" t="s">
        <v>284</v>
      </c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8"/>
      <c r="P193" s="198"/>
      <c r="Q193" s="197"/>
      <c r="R193" s="197"/>
      <c r="S193" s="197"/>
      <c r="T193" s="197"/>
      <c r="U193" s="197"/>
      <c r="V193" s="197"/>
    </row>
    <row r="194" spans="1:22" ht="10.5">
      <c r="A194" s="197" t="s">
        <v>285</v>
      </c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8"/>
      <c r="P194" s="198"/>
      <c r="Q194" s="197"/>
      <c r="R194" s="197"/>
      <c r="S194" s="197"/>
      <c r="T194" s="197"/>
      <c r="U194" s="197"/>
      <c r="V194" s="197"/>
    </row>
    <row r="195" spans="1:22" ht="10.5">
      <c r="A195" s="197" t="s">
        <v>286</v>
      </c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8"/>
      <c r="P195" s="198"/>
      <c r="Q195" s="197"/>
      <c r="R195" s="197"/>
      <c r="S195" s="197"/>
      <c r="T195" s="197"/>
      <c r="U195" s="197"/>
      <c r="V195" s="197"/>
    </row>
    <row r="196" spans="1:22" ht="10.5">
      <c r="A196" s="197" t="s">
        <v>287</v>
      </c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8"/>
      <c r="P196" s="198"/>
      <c r="Q196" s="197"/>
      <c r="R196" s="197"/>
      <c r="S196" s="197"/>
      <c r="T196" s="197"/>
      <c r="U196" s="197"/>
      <c r="V196" s="197"/>
    </row>
    <row r="197" spans="1:22" ht="10.5">
      <c r="A197" s="197" t="s">
        <v>288</v>
      </c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8"/>
      <c r="P197" s="198"/>
      <c r="Q197" s="197"/>
      <c r="R197" s="197"/>
      <c r="S197" s="197"/>
      <c r="T197" s="197"/>
      <c r="U197" s="197"/>
      <c r="V197" s="197"/>
    </row>
    <row r="198" spans="1:22" ht="10.5">
      <c r="A198" s="197" t="s">
        <v>289</v>
      </c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8"/>
      <c r="P198" s="198"/>
      <c r="Q198" s="197"/>
      <c r="R198" s="197"/>
      <c r="S198" s="197"/>
      <c r="T198" s="197"/>
      <c r="U198" s="197"/>
      <c r="V198" s="197"/>
    </row>
    <row r="199" spans="1:22" ht="10.5">
      <c r="A199" s="197" t="s">
        <v>290</v>
      </c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8"/>
      <c r="P199" s="198"/>
      <c r="Q199" s="197"/>
      <c r="R199" s="197"/>
      <c r="S199" s="197"/>
      <c r="T199" s="197"/>
      <c r="U199" s="197"/>
      <c r="V199" s="197"/>
    </row>
    <row r="200" spans="1:22" ht="10.5">
      <c r="A200" s="197" t="s">
        <v>291</v>
      </c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8"/>
      <c r="P200" s="198"/>
      <c r="Q200" s="197"/>
      <c r="R200" s="197"/>
      <c r="S200" s="197"/>
      <c r="T200" s="197"/>
      <c r="U200" s="197"/>
      <c r="V200" s="197"/>
    </row>
    <row r="201" spans="1:22" ht="10.5">
      <c r="A201" s="197" t="s">
        <v>292</v>
      </c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8"/>
      <c r="P201" s="198"/>
      <c r="Q201" s="197"/>
      <c r="R201" s="197"/>
      <c r="S201" s="197"/>
      <c r="T201" s="197"/>
      <c r="U201" s="197"/>
      <c r="V201" s="197"/>
    </row>
    <row r="202" spans="1:22" ht="10.5">
      <c r="A202" s="197" t="s">
        <v>293</v>
      </c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8"/>
      <c r="P202" s="198"/>
      <c r="Q202" s="197"/>
      <c r="R202" s="197"/>
      <c r="S202" s="197"/>
      <c r="T202" s="197"/>
      <c r="U202" s="197"/>
      <c r="V202" s="197"/>
    </row>
    <row r="203" spans="1:22" ht="10.5">
      <c r="A203" s="197" t="s">
        <v>294</v>
      </c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8"/>
      <c r="P203" s="198"/>
      <c r="Q203" s="197"/>
      <c r="R203" s="197"/>
      <c r="S203" s="197"/>
      <c r="T203" s="197"/>
      <c r="U203" s="197"/>
      <c r="V203" s="197"/>
    </row>
    <row r="204" spans="1:22" ht="10.5">
      <c r="A204" s="197" t="s">
        <v>295</v>
      </c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8"/>
      <c r="P204" s="198"/>
      <c r="Q204" s="197"/>
      <c r="R204" s="197"/>
      <c r="S204" s="197"/>
      <c r="T204" s="197"/>
      <c r="U204" s="197"/>
      <c r="V204" s="197"/>
    </row>
    <row r="205" spans="1:22" ht="10.5">
      <c r="A205" s="197" t="s">
        <v>296</v>
      </c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8"/>
      <c r="P205" s="198"/>
      <c r="Q205" s="197"/>
      <c r="R205" s="197"/>
      <c r="S205" s="197"/>
      <c r="T205" s="197"/>
      <c r="U205" s="197"/>
      <c r="V205" s="197"/>
    </row>
    <row r="206" spans="1:22" ht="10.5">
      <c r="A206" s="197" t="s">
        <v>297</v>
      </c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8"/>
      <c r="P206" s="198"/>
      <c r="Q206" s="197"/>
      <c r="R206" s="197"/>
      <c r="S206" s="197"/>
      <c r="T206" s="197"/>
      <c r="U206" s="197"/>
      <c r="V206" s="197"/>
    </row>
    <row r="207" spans="1:22" ht="10.5">
      <c r="A207" s="197" t="s">
        <v>298</v>
      </c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8"/>
      <c r="P207" s="198"/>
      <c r="Q207" s="197"/>
      <c r="R207" s="197"/>
      <c r="S207" s="197"/>
      <c r="T207" s="197"/>
      <c r="U207" s="197"/>
      <c r="V207" s="197"/>
    </row>
    <row r="208" spans="1:22" ht="10.5">
      <c r="A208" s="197" t="s">
        <v>299</v>
      </c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8"/>
      <c r="P208" s="198"/>
      <c r="Q208" s="197"/>
      <c r="R208" s="197"/>
      <c r="S208" s="197"/>
      <c r="T208" s="197"/>
      <c r="U208" s="197"/>
      <c r="V208" s="197"/>
    </row>
    <row r="209" spans="1:22" ht="10.5">
      <c r="A209" s="197" t="s">
        <v>300</v>
      </c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8"/>
      <c r="P209" s="198"/>
      <c r="Q209" s="197"/>
      <c r="R209" s="197"/>
      <c r="S209" s="197"/>
      <c r="T209" s="197"/>
      <c r="U209" s="197"/>
      <c r="V209" s="197"/>
    </row>
    <row r="210" spans="1:22" ht="10.5">
      <c r="A210" s="197" t="s">
        <v>301</v>
      </c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8"/>
      <c r="P210" s="198"/>
      <c r="Q210" s="197"/>
      <c r="R210" s="197"/>
      <c r="S210" s="197"/>
      <c r="T210" s="197"/>
      <c r="U210" s="197"/>
      <c r="V210" s="197"/>
    </row>
    <row r="211" spans="1:22" ht="10.5">
      <c r="A211" s="197" t="s">
        <v>302</v>
      </c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8"/>
      <c r="P211" s="198"/>
      <c r="Q211" s="197"/>
      <c r="R211" s="197"/>
      <c r="S211" s="197"/>
      <c r="T211" s="197"/>
      <c r="U211" s="197"/>
      <c r="V211" s="197"/>
    </row>
    <row r="212" spans="1:22" ht="10.5">
      <c r="A212" s="197" t="s">
        <v>303</v>
      </c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8"/>
      <c r="P212" s="198"/>
      <c r="Q212" s="197"/>
      <c r="R212" s="197"/>
      <c r="S212" s="197"/>
      <c r="T212" s="197"/>
      <c r="U212" s="197"/>
      <c r="V212" s="197"/>
    </row>
    <row r="213" spans="1:22" ht="10.5">
      <c r="A213" s="197" t="s">
        <v>304</v>
      </c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8"/>
      <c r="P213" s="198"/>
      <c r="Q213" s="197"/>
      <c r="R213" s="197"/>
      <c r="S213" s="197"/>
      <c r="T213" s="197"/>
      <c r="U213" s="197"/>
      <c r="V213" s="197"/>
    </row>
    <row r="214" spans="1:22" ht="10.5">
      <c r="A214" s="197" t="s">
        <v>305</v>
      </c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8"/>
      <c r="P214" s="198"/>
      <c r="Q214" s="197"/>
      <c r="R214" s="197"/>
      <c r="S214" s="197"/>
      <c r="T214" s="197"/>
      <c r="U214" s="197"/>
      <c r="V214" s="197"/>
    </row>
    <row r="215" spans="1:22" ht="10.5">
      <c r="A215" s="197" t="s">
        <v>306</v>
      </c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8"/>
      <c r="P215" s="198"/>
      <c r="Q215" s="197"/>
      <c r="R215" s="197"/>
      <c r="S215" s="197"/>
      <c r="T215" s="197"/>
      <c r="U215" s="197"/>
      <c r="V215" s="197"/>
    </row>
    <row r="216" spans="1:22" ht="10.5">
      <c r="A216" s="197" t="s">
        <v>307</v>
      </c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8"/>
      <c r="P216" s="198"/>
      <c r="Q216" s="197"/>
      <c r="R216" s="197"/>
      <c r="S216" s="197"/>
      <c r="T216" s="197"/>
      <c r="U216" s="197"/>
      <c r="V216" s="197"/>
    </row>
    <row r="217" spans="1:22" ht="10.5">
      <c r="A217" s="197" t="s">
        <v>308</v>
      </c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8"/>
      <c r="P217" s="198"/>
      <c r="Q217" s="197"/>
      <c r="R217" s="197"/>
      <c r="S217" s="197"/>
      <c r="T217" s="197"/>
      <c r="U217" s="197"/>
      <c r="V217" s="197"/>
    </row>
    <row r="218" spans="1:22" ht="10.5">
      <c r="A218" s="197" t="s">
        <v>309</v>
      </c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8"/>
      <c r="P218" s="198"/>
      <c r="Q218" s="197"/>
      <c r="R218" s="197"/>
      <c r="S218" s="197"/>
      <c r="T218" s="197"/>
      <c r="U218" s="197"/>
      <c r="V218" s="197"/>
    </row>
    <row r="219" spans="1:22" ht="10.5">
      <c r="A219" s="197" t="s">
        <v>310</v>
      </c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8"/>
      <c r="P219" s="198"/>
      <c r="Q219" s="197"/>
      <c r="R219" s="197"/>
      <c r="S219" s="197"/>
      <c r="T219" s="197"/>
      <c r="U219" s="197"/>
      <c r="V219" s="197"/>
    </row>
    <row r="220" spans="1:22" ht="10.35" customHeight="1"/>
  </sheetData>
  <mergeCells count="13">
    <mergeCell ref="A1:U1"/>
    <mergeCell ref="B17:F17"/>
    <mergeCell ref="H17:H18"/>
    <mergeCell ref="I17:I18"/>
    <mergeCell ref="J17:J18"/>
    <mergeCell ref="K17:K18"/>
    <mergeCell ref="L17:V17"/>
    <mergeCell ref="L2:V2"/>
    <mergeCell ref="H2:H3"/>
    <mergeCell ref="I2:I3"/>
    <mergeCell ref="J2:J3"/>
    <mergeCell ref="K2:K3"/>
    <mergeCell ref="B2:G2"/>
  </mergeCells>
  <dataValidations count="5">
    <dataValidation type="list" allowBlank="1" showInputMessage="1" showErrorMessage="1" errorTitle="Incorrect data entered" error="The entry shall be selected from the list of possible entries" sqref="C20:G219" xr:uid="{00000000-0002-0000-0300-000001000000}">
      <formula1>$C$7:$C$8</formula1>
    </dataValidation>
    <dataValidation type="decimal" operator="greaterThanOrEqual" allowBlank="1" showInputMessage="1" showErrorMessage="1" errorTitle="Incorrect data entered" error="A non negative number (in units of 'euros') must be entered" sqref="H20:K219 U20:U219" xr:uid="{00000000-0002-0000-0300-000002000000}">
      <formula1>0</formula1>
    </dataValidation>
    <dataValidation type="decimal" operator="greaterThanOrEqual" allowBlank="1" showInputMessage="1" showErrorMessage="1" errorTitle="Incorrect data entered" error="A non negative number must be entered" sqref="A20:A219 L20:N219 Q20:T219" xr:uid="{00000000-0002-0000-0300-000003000000}">
      <formula1>0</formula1>
    </dataValidation>
    <dataValidation type="decimal" allowBlank="1" showInputMessage="1" showErrorMessage="1" errorTitle="Incorrect data entered" error="A number between 0 and 1 must be entered" sqref="O20:P219" xr:uid="{00000000-0002-0000-0300-000004000000}">
      <formula1>0</formula1>
      <formula2>1</formula2>
    </dataValidation>
    <dataValidation type="list" allowBlank="1" showInputMessage="1" showErrorMessage="1" errorTitle="Incorrect data entered" error="The entry shall be selected from the list of possible entries" sqref="B20:B219" xr:uid="{B07C4332-A81E-4D4E-8DE2-AE0F249513D9}">
      <formula1>$B$7:$B$15</formula1>
    </dataValidation>
  </dataValidations>
  <pageMargins left="0.25" right="0.25" top="0.75" bottom="0.75" header="0.3" footer="0.3"/>
  <pageSetup paperSize="9" scale="5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1:V220"/>
  <sheetViews>
    <sheetView zoomScale="55" zoomScaleNormal="55" workbookViewId="0">
      <selection sqref="A1:U1"/>
    </sheetView>
  </sheetViews>
  <sheetFormatPr defaultColWidth="0" defaultRowHeight="10.5" zeroHeight="1"/>
  <cols>
    <col min="1" max="1" width="8.85546875" style="11" customWidth="1"/>
    <col min="2" max="2" width="13.42578125" style="11" customWidth="1"/>
    <col min="3" max="3" width="10.42578125" style="11" customWidth="1"/>
    <col min="4" max="5" width="7.42578125" style="11" customWidth="1"/>
    <col min="6" max="6" width="12.5703125" style="11" customWidth="1"/>
    <col min="7" max="8" width="8.85546875" style="11" customWidth="1"/>
    <col min="9" max="9" width="11.5703125" style="11" customWidth="1"/>
    <col min="10" max="10" width="12.85546875" style="11" customWidth="1"/>
    <col min="11" max="12" width="10.42578125" style="11" customWidth="1"/>
    <col min="13" max="13" width="10.140625" style="11" customWidth="1"/>
    <col min="14" max="14" width="13.5703125" style="11" customWidth="1"/>
    <col min="15" max="15" width="12.42578125" style="11" customWidth="1"/>
    <col min="16" max="16" width="18.140625" style="11" customWidth="1"/>
    <col min="17" max="17" width="8" style="11" customWidth="1"/>
    <col min="18" max="18" width="8.85546875" style="11" customWidth="1"/>
    <col min="19" max="19" width="10" style="11" customWidth="1"/>
    <col min="20" max="20" width="13.5703125" style="11" customWidth="1"/>
    <col min="21" max="21" width="30.42578125" style="11" customWidth="1"/>
    <col min="22" max="22" width="8.85546875" style="1" customWidth="1"/>
    <col min="23" max="23" width="8.85546875" style="1" hidden="1" customWidth="1"/>
    <col min="24" max="16384" width="8.85546875" style="1" hidden="1"/>
  </cols>
  <sheetData>
    <row r="1" spans="1:22" s="5" customFormat="1" ht="24" customHeight="1">
      <c r="A1" s="260" t="s">
        <v>318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</row>
    <row r="2" spans="1:22" s="5" customFormat="1" ht="19.350000000000001" customHeight="1">
      <c r="A2" s="47"/>
      <c r="B2" s="298" t="s">
        <v>45</v>
      </c>
      <c r="C2" s="299"/>
      <c r="D2" s="299"/>
      <c r="E2" s="299"/>
      <c r="F2" s="299"/>
      <c r="G2" s="300"/>
      <c r="H2" s="296" t="s">
        <v>19</v>
      </c>
      <c r="I2" s="296" t="s">
        <v>3</v>
      </c>
      <c r="J2" s="296" t="s">
        <v>39</v>
      </c>
      <c r="K2" s="296" t="s">
        <v>29</v>
      </c>
      <c r="L2" s="297" t="s">
        <v>18</v>
      </c>
      <c r="M2" s="297"/>
      <c r="N2" s="297"/>
      <c r="O2" s="297"/>
      <c r="P2" s="297"/>
      <c r="Q2" s="297"/>
      <c r="R2" s="297"/>
      <c r="S2" s="297"/>
      <c r="T2" s="297"/>
      <c r="U2" s="297"/>
      <c r="V2" s="297"/>
    </row>
    <row r="3" spans="1:22" ht="74.099999999999994" customHeight="1">
      <c r="A3" s="48" t="s">
        <v>10</v>
      </c>
      <c r="B3" s="43" t="s">
        <v>28</v>
      </c>
      <c r="C3" s="43" t="s">
        <v>11</v>
      </c>
      <c r="D3" s="43" t="s">
        <v>12</v>
      </c>
      <c r="E3" s="43" t="s">
        <v>40</v>
      </c>
      <c r="F3" s="43" t="s">
        <v>63</v>
      </c>
      <c r="G3" s="43" t="s">
        <v>321</v>
      </c>
      <c r="H3" s="296"/>
      <c r="I3" s="296"/>
      <c r="J3" s="296"/>
      <c r="K3" s="296"/>
      <c r="L3" s="43" t="s">
        <v>16</v>
      </c>
      <c r="M3" s="43" t="s">
        <v>17</v>
      </c>
      <c r="N3" s="43" t="s">
        <v>13</v>
      </c>
      <c r="O3" s="43" t="s">
        <v>64</v>
      </c>
      <c r="P3" s="43" t="s">
        <v>65</v>
      </c>
      <c r="Q3" s="43" t="s">
        <v>25</v>
      </c>
      <c r="R3" s="43" t="s">
        <v>14</v>
      </c>
      <c r="S3" s="43" t="s">
        <v>15</v>
      </c>
      <c r="T3" s="43" t="s">
        <v>59</v>
      </c>
      <c r="U3" s="43" t="s">
        <v>324</v>
      </c>
      <c r="V3" s="43" t="s">
        <v>62</v>
      </c>
    </row>
    <row r="4" spans="1:22" s="11" customFormat="1" ht="14.1" customHeight="1">
      <c r="A4" s="27" t="s">
        <v>71</v>
      </c>
      <c r="B4" s="27" t="s">
        <v>72</v>
      </c>
      <c r="C4" s="27" t="s">
        <v>73</v>
      </c>
      <c r="D4" s="27" t="s">
        <v>74</v>
      </c>
      <c r="E4" s="27" t="s">
        <v>75</v>
      </c>
      <c r="F4" s="27" t="s">
        <v>76</v>
      </c>
      <c r="G4" s="158" t="s">
        <v>322</v>
      </c>
      <c r="H4" s="27" t="s">
        <v>77</v>
      </c>
      <c r="I4" s="27" t="s">
        <v>78</v>
      </c>
      <c r="J4" s="27" t="s">
        <v>79</v>
      </c>
      <c r="K4" s="27" t="s">
        <v>80</v>
      </c>
      <c r="L4" s="27" t="s">
        <v>81</v>
      </c>
      <c r="M4" s="27" t="s">
        <v>82</v>
      </c>
      <c r="N4" s="27" t="s">
        <v>85</v>
      </c>
      <c r="O4" s="27" t="s">
        <v>86</v>
      </c>
      <c r="P4" s="27" t="s">
        <v>87</v>
      </c>
      <c r="Q4" s="27" t="s">
        <v>88</v>
      </c>
      <c r="R4" s="27" t="s">
        <v>89</v>
      </c>
      <c r="S4" s="27" t="s">
        <v>90</v>
      </c>
      <c r="T4" s="27" t="s">
        <v>91</v>
      </c>
      <c r="U4" s="27" t="s">
        <v>83</v>
      </c>
      <c r="V4" s="27" t="s">
        <v>84</v>
      </c>
    </row>
    <row r="5" spans="1:22" s="11" customFormat="1" ht="14.1" customHeight="1">
      <c r="A5" s="38" t="s">
        <v>210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spans="1:22" s="172" customFormat="1" ht="42">
      <c r="A6" s="38" t="s">
        <v>26</v>
      </c>
      <c r="B6" s="44" t="s">
        <v>27</v>
      </c>
      <c r="C6" s="44" t="s">
        <v>27</v>
      </c>
      <c r="D6" s="44" t="s">
        <v>27</v>
      </c>
      <c r="E6" s="44" t="s">
        <v>27</v>
      </c>
      <c r="F6" s="44" t="s">
        <v>27</v>
      </c>
      <c r="G6" s="44" t="s">
        <v>323</v>
      </c>
      <c r="H6" s="38" t="s">
        <v>20</v>
      </c>
      <c r="I6" s="38" t="s">
        <v>20</v>
      </c>
      <c r="J6" s="38" t="s">
        <v>20</v>
      </c>
      <c r="K6" s="38" t="s">
        <v>20</v>
      </c>
      <c r="L6" s="38" t="s">
        <v>21</v>
      </c>
      <c r="M6" s="38" t="s">
        <v>46</v>
      </c>
      <c r="N6" s="38" t="s">
        <v>21</v>
      </c>
      <c r="O6" s="38" t="s">
        <v>22</v>
      </c>
      <c r="P6" s="38" t="s">
        <v>22</v>
      </c>
      <c r="Q6" s="38" t="s">
        <v>21</v>
      </c>
      <c r="R6" s="38" t="s">
        <v>21</v>
      </c>
      <c r="S6" s="38" t="s">
        <v>23</v>
      </c>
      <c r="T6" s="38" t="s">
        <v>60</v>
      </c>
      <c r="U6" s="38" t="s">
        <v>20</v>
      </c>
      <c r="V6" s="38" t="s">
        <v>24</v>
      </c>
    </row>
    <row r="7" spans="1:22" ht="67.5">
      <c r="A7" s="46"/>
      <c r="B7" s="202" t="s">
        <v>66</v>
      </c>
      <c r="C7" s="9" t="s">
        <v>312</v>
      </c>
      <c r="D7" s="9" t="s">
        <v>312</v>
      </c>
      <c r="E7" s="9" t="s">
        <v>41</v>
      </c>
      <c r="F7" s="9" t="s">
        <v>41</v>
      </c>
      <c r="G7" s="9" t="s">
        <v>312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 spans="1:22" ht="33.75">
      <c r="A8" s="46"/>
      <c r="B8" s="202" t="s">
        <v>68</v>
      </c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 spans="1:22" ht="22.5">
      <c r="A9" s="6"/>
      <c r="B9" s="202" t="s">
        <v>67</v>
      </c>
      <c r="C9" s="8"/>
      <c r="D9" s="8"/>
      <c r="E9" s="8"/>
      <c r="F9" s="8"/>
      <c r="G9" s="8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46"/>
      <c r="U9" s="46"/>
      <c r="V9" s="6"/>
    </row>
    <row r="10" spans="1:22" ht="33.75">
      <c r="A10" s="6"/>
      <c r="B10" s="202" t="s">
        <v>69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33.75">
      <c r="A11" s="6"/>
      <c r="B11" s="202" t="s">
        <v>70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78.75">
      <c r="A12" s="199"/>
      <c r="B12" s="202" t="s">
        <v>311</v>
      </c>
      <c r="C12" s="200"/>
      <c r="D12" s="6"/>
      <c r="E12" s="6"/>
      <c r="F12" s="6"/>
      <c r="G12" s="20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s="11" customFormat="1" ht="22.5">
      <c r="A13" s="6"/>
      <c r="B13" s="202" t="s">
        <v>315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s="11" customFormat="1" ht="22.5">
      <c r="A14" s="6"/>
      <c r="B14" s="202" t="s">
        <v>314</v>
      </c>
      <c r="C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s="11" customFormat="1" ht="22.5">
      <c r="A15" s="6"/>
      <c r="B15" s="202" t="s">
        <v>313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4.25">
      <c r="A16" s="47"/>
      <c r="B16" s="293" t="s">
        <v>45</v>
      </c>
      <c r="C16" s="301"/>
      <c r="D16" s="301"/>
      <c r="E16" s="301"/>
      <c r="F16" s="302"/>
      <c r="G16" s="206"/>
      <c r="H16" s="296" t="s">
        <v>19</v>
      </c>
      <c r="I16" s="296" t="s">
        <v>3</v>
      </c>
      <c r="J16" s="296" t="s">
        <v>39</v>
      </c>
      <c r="K16" s="296" t="s">
        <v>29</v>
      </c>
      <c r="L16" s="297" t="s">
        <v>18</v>
      </c>
      <c r="M16" s="297"/>
      <c r="N16" s="297"/>
      <c r="O16" s="297"/>
      <c r="P16" s="297"/>
      <c r="Q16" s="297"/>
      <c r="R16" s="297"/>
      <c r="S16" s="297"/>
      <c r="T16" s="297"/>
      <c r="U16" s="297"/>
      <c r="V16" s="297"/>
    </row>
    <row r="17" spans="1:22" ht="241.5">
      <c r="A17" s="48" t="s">
        <v>10</v>
      </c>
      <c r="B17" s="43" t="s">
        <v>28</v>
      </c>
      <c r="C17" s="43" t="s">
        <v>11</v>
      </c>
      <c r="D17" s="43" t="s">
        <v>12</v>
      </c>
      <c r="E17" s="43" t="s">
        <v>40</v>
      </c>
      <c r="F17" s="43" t="s">
        <v>63</v>
      </c>
      <c r="G17" s="43" t="s">
        <v>321</v>
      </c>
      <c r="H17" s="296"/>
      <c r="I17" s="296"/>
      <c r="J17" s="296"/>
      <c r="K17" s="296"/>
      <c r="L17" s="43" t="s">
        <v>16</v>
      </c>
      <c r="M17" s="43" t="s">
        <v>17</v>
      </c>
      <c r="N17" s="43" t="s">
        <v>13</v>
      </c>
      <c r="O17" s="43" t="s">
        <v>64</v>
      </c>
      <c r="P17" s="43" t="s">
        <v>65</v>
      </c>
      <c r="Q17" s="43" t="s">
        <v>25</v>
      </c>
      <c r="R17" s="43" t="s">
        <v>14</v>
      </c>
      <c r="S17" s="43" t="s">
        <v>15</v>
      </c>
      <c r="T17" s="43" t="s">
        <v>59</v>
      </c>
      <c r="U17" s="43" t="s">
        <v>324</v>
      </c>
      <c r="V17" s="43" t="s">
        <v>62</v>
      </c>
    </row>
    <row r="18" spans="1:22" ht="11.25">
      <c r="A18" s="158" t="s">
        <v>71</v>
      </c>
      <c r="B18" s="158" t="s">
        <v>72</v>
      </c>
      <c r="C18" s="158" t="s">
        <v>73</v>
      </c>
      <c r="D18" s="158" t="s">
        <v>74</v>
      </c>
      <c r="E18" s="158" t="s">
        <v>75</v>
      </c>
      <c r="F18" s="158" t="s">
        <v>76</v>
      </c>
      <c r="G18" s="158" t="s">
        <v>322</v>
      </c>
      <c r="H18" s="158" t="s">
        <v>77</v>
      </c>
      <c r="I18" s="158" t="s">
        <v>78</v>
      </c>
      <c r="J18" s="158" t="s">
        <v>79</v>
      </c>
      <c r="K18" s="158" t="s">
        <v>80</v>
      </c>
      <c r="L18" s="158" t="s">
        <v>81</v>
      </c>
      <c r="M18" s="158" t="s">
        <v>82</v>
      </c>
      <c r="N18" s="158" t="s">
        <v>85</v>
      </c>
      <c r="O18" s="158" t="s">
        <v>86</v>
      </c>
      <c r="P18" s="158" t="s">
        <v>87</v>
      </c>
      <c r="Q18" s="158" t="s">
        <v>88</v>
      </c>
      <c r="R18" s="158" t="s">
        <v>89</v>
      </c>
      <c r="S18" s="158" t="s">
        <v>90</v>
      </c>
      <c r="T18" s="158" t="s">
        <v>91</v>
      </c>
      <c r="U18" s="158" t="s">
        <v>83</v>
      </c>
      <c r="V18" s="158" t="s">
        <v>84</v>
      </c>
    </row>
    <row r="19" spans="1:22">
      <c r="A19" s="197" t="s">
        <v>110</v>
      </c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8"/>
      <c r="P19" s="198"/>
      <c r="Q19" s="197"/>
      <c r="R19" s="197"/>
      <c r="S19" s="197"/>
      <c r="T19" s="197"/>
      <c r="U19" s="197"/>
      <c r="V19" s="197"/>
    </row>
    <row r="20" spans="1:22">
      <c r="A20" s="197" t="s">
        <v>111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8"/>
      <c r="P20" s="198"/>
      <c r="Q20" s="197"/>
      <c r="R20" s="197"/>
      <c r="S20" s="197"/>
      <c r="T20" s="197"/>
      <c r="U20" s="197"/>
      <c r="V20" s="197"/>
    </row>
    <row r="21" spans="1:22">
      <c r="A21" s="197" t="s">
        <v>112</v>
      </c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8"/>
      <c r="P21" s="198"/>
      <c r="Q21" s="197"/>
      <c r="R21" s="197"/>
      <c r="S21" s="197"/>
      <c r="T21" s="197"/>
      <c r="U21" s="197"/>
      <c r="V21" s="197"/>
    </row>
    <row r="22" spans="1:22">
      <c r="A22" s="197" t="s">
        <v>113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8"/>
      <c r="P22" s="198"/>
      <c r="Q22" s="197"/>
      <c r="R22" s="197"/>
      <c r="S22" s="197"/>
      <c r="T22" s="197"/>
      <c r="U22" s="197"/>
      <c r="V22" s="197"/>
    </row>
    <row r="23" spans="1:22">
      <c r="A23" s="197" t="s">
        <v>114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8"/>
      <c r="P23" s="198"/>
      <c r="Q23" s="197"/>
      <c r="R23" s="197"/>
      <c r="S23" s="197"/>
      <c r="T23" s="197"/>
      <c r="U23" s="197"/>
      <c r="V23" s="197"/>
    </row>
    <row r="24" spans="1:22">
      <c r="A24" s="197" t="s">
        <v>115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8"/>
      <c r="P24" s="198"/>
      <c r="Q24" s="197"/>
      <c r="R24" s="197"/>
      <c r="S24" s="197"/>
      <c r="T24" s="197"/>
      <c r="U24" s="197"/>
      <c r="V24" s="197"/>
    </row>
    <row r="25" spans="1:22">
      <c r="A25" s="197" t="s">
        <v>116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8"/>
      <c r="P25" s="198"/>
      <c r="Q25" s="197"/>
      <c r="R25" s="197"/>
      <c r="S25" s="197"/>
      <c r="T25" s="197"/>
      <c r="U25" s="197"/>
      <c r="V25" s="197"/>
    </row>
    <row r="26" spans="1:22">
      <c r="A26" s="197" t="s">
        <v>117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8"/>
      <c r="P26" s="198"/>
      <c r="Q26" s="197"/>
      <c r="R26" s="197"/>
      <c r="S26" s="197"/>
      <c r="T26" s="197"/>
      <c r="U26" s="197"/>
      <c r="V26" s="197"/>
    </row>
    <row r="27" spans="1:22">
      <c r="A27" s="197" t="s">
        <v>118</v>
      </c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8"/>
      <c r="P27" s="198"/>
      <c r="Q27" s="197"/>
      <c r="R27" s="197"/>
      <c r="S27" s="197"/>
      <c r="T27" s="197"/>
      <c r="U27" s="197"/>
      <c r="V27" s="197"/>
    </row>
    <row r="28" spans="1:22">
      <c r="A28" s="197" t="s">
        <v>119</v>
      </c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8"/>
      <c r="P28" s="198"/>
      <c r="Q28" s="197"/>
      <c r="R28" s="197"/>
      <c r="S28" s="197"/>
      <c r="T28" s="197"/>
      <c r="U28" s="197"/>
      <c r="V28" s="197"/>
    </row>
    <row r="29" spans="1:22">
      <c r="A29" s="197" t="s">
        <v>120</v>
      </c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8"/>
      <c r="P29" s="198"/>
      <c r="Q29" s="197"/>
      <c r="R29" s="197"/>
      <c r="S29" s="197"/>
      <c r="T29" s="197"/>
      <c r="U29" s="197"/>
      <c r="V29" s="197"/>
    </row>
    <row r="30" spans="1:22">
      <c r="A30" s="197" t="s">
        <v>121</v>
      </c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8"/>
      <c r="P30" s="198"/>
      <c r="Q30" s="197"/>
      <c r="R30" s="197"/>
      <c r="S30" s="197"/>
      <c r="T30" s="197"/>
      <c r="U30" s="197"/>
      <c r="V30" s="197"/>
    </row>
    <row r="31" spans="1:22">
      <c r="A31" s="197" t="s">
        <v>122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8"/>
      <c r="P31" s="198"/>
      <c r="Q31" s="197"/>
      <c r="R31" s="197"/>
      <c r="S31" s="197"/>
      <c r="T31" s="197"/>
      <c r="U31" s="197"/>
      <c r="V31" s="197"/>
    </row>
    <row r="32" spans="1:22">
      <c r="A32" s="197" t="s">
        <v>123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8"/>
      <c r="P32" s="198"/>
      <c r="Q32" s="197"/>
      <c r="R32" s="197"/>
      <c r="S32" s="197"/>
      <c r="T32" s="197"/>
      <c r="U32" s="197"/>
      <c r="V32" s="197"/>
    </row>
    <row r="33" spans="1:22">
      <c r="A33" s="197" t="s">
        <v>124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8"/>
      <c r="P33" s="198"/>
      <c r="Q33" s="197"/>
      <c r="R33" s="197"/>
      <c r="S33" s="197"/>
      <c r="T33" s="197"/>
      <c r="U33" s="197"/>
      <c r="V33" s="197"/>
    </row>
    <row r="34" spans="1:22">
      <c r="A34" s="197" t="s">
        <v>125</v>
      </c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8"/>
      <c r="P34" s="198"/>
      <c r="Q34" s="197"/>
      <c r="R34" s="197"/>
      <c r="S34" s="197"/>
      <c r="T34" s="197"/>
      <c r="U34" s="197"/>
      <c r="V34" s="197"/>
    </row>
    <row r="35" spans="1:22">
      <c r="A35" s="197" t="s">
        <v>126</v>
      </c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8"/>
      <c r="P35" s="198"/>
      <c r="Q35" s="197"/>
      <c r="R35" s="197"/>
      <c r="S35" s="197"/>
      <c r="T35" s="197"/>
      <c r="U35" s="197"/>
      <c r="V35" s="197"/>
    </row>
    <row r="36" spans="1:22">
      <c r="A36" s="197" t="s">
        <v>127</v>
      </c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8"/>
      <c r="P36" s="198"/>
      <c r="Q36" s="197"/>
      <c r="R36" s="197"/>
      <c r="S36" s="197"/>
      <c r="T36" s="197"/>
      <c r="U36" s="197"/>
      <c r="V36" s="197"/>
    </row>
    <row r="37" spans="1:22">
      <c r="A37" s="197" t="s">
        <v>128</v>
      </c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8"/>
      <c r="P37" s="198"/>
      <c r="Q37" s="197"/>
      <c r="R37" s="197"/>
      <c r="S37" s="197"/>
      <c r="T37" s="197"/>
      <c r="U37" s="197"/>
      <c r="V37" s="197"/>
    </row>
    <row r="38" spans="1:22">
      <c r="A38" s="197" t="s">
        <v>129</v>
      </c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8"/>
      <c r="P38" s="198"/>
      <c r="Q38" s="197"/>
      <c r="R38" s="197"/>
      <c r="S38" s="197"/>
      <c r="T38" s="197"/>
      <c r="U38" s="197"/>
      <c r="V38" s="197"/>
    </row>
    <row r="39" spans="1:22">
      <c r="A39" s="197" t="s">
        <v>130</v>
      </c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8"/>
      <c r="P39" s="198"/>
      <c r="Q39" s="197"/>
      <c r="R39" s="197"/>
      <c r="S39" s="197"/>
      <c r="T39" s="197"/>
      <c r="U39" s="197"/>
      <c r="V39" s="197"/>
    </row>
    <row r="40" spans="1:22">
      <c r="A40" s="197" t="s">
        <v>131</v>
      </c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8"/>
      <c r="P40" s="198"/>
      <c r="Q40" s="197"/>
      <c r="R40" s="197"/>
      <c r="S40" s="197"/>
      <c r="T40" s="197"/>
      <c r="U40" s="197"/>
      <c r="V40" s="197"/>
    </row>
    <row r="41" spans="1:22">
      <c r="A41" s="197" t="s">
        <v>132</v>
      </c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8"/>
      <c r="P41" s="198"/>
      <c r="Q41" s="197"/>
      <c r="R41" s="197"/>
      <c r="S41" s="197"/>
      <c r="T41" s="197"/>
      <c r="U41" s="197"/>
      <c r="V41" s="197"/>
    </row>
    <row r="42" spans="1:22">
      <c r="A42" s="197" t="s">
        <v>133</v>
      </c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8"/>
      <c r="P42" s="198"/>
      <c r="Q42" s="197"/>
      <c r="R42" s="197"/>
      <c r="S42" s="197"/>
      <c r="T42" s="197"/>
      <c r="U42" s="197"/>
      <c r="V42" s="197"/>
    </row>
    <row r="43" spans="1:22">
      <c r="A43" s="197" t="s">
        <v>134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8"/>
      <c r="P43" s="198"/>
      <c r="Q43" s="197"/>
      <c r="R43" s="197"/>
      <c r="S43" s="197"/>
      <c r="T43" s="197"/>
      <c r="U43" s="197"/>
      <c r="V43" s="197"/>
    </row>
    <row r="44" spans="1:22">
      <c r="A44" s="197" t="s">
        <v>135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8"/>
      <c r="P44" s="198"/>
      <c r="Q44" s="197"/>
      <c r="R44" s="197"/>
      <c r="S44" s="197"/>
      <c r="T44" s="197"/>
      <c r="U44" s="197"/>
      <c r="V44" s="197"/>
    </row>
    <row r="45" spans="1:22">
      <c r="A45" s="197" t="s">
        <v>136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8"/>
      <c r="P45" s="198"/>
      <c r="Q45" s="197"/>
      <c r="R45" s="197"/>
      <c r="S45" s="197"/>
      <c r="T45" s="197"/>
      <c r="U45" s="197"/>
      <c r="V45" s="197"/>
    </row>
    <row r="46" spans="1:22">
      <c r="A46" s="197" t="s">
        <v>137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8"/>
      <c r="P46" s="198"/>
      <c r="Q46" s="197"/>
      <c r="R46" s="197"/>
      <c r="S46" s="197"/>
      <c r="T46" s="197"/>
      <c r="U46" s="197"/>
      <c r="V46" s="197"/>
    </row>
    <row r="47" spans="1:22">
      <c r="A47" s="197" t="s">
        <v>138</v>
      </c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8"/>
      <c r="P47" s="198"/>
      <c r="Q47" s="197"/>
      <c r="R47" s="197"/>
      <c r="S47" s="197"/>
      <c r="T47" s="197"/>
      <c r="U47" s="197"/>
      <c r="V47" s="197"/>
    </row>
    <row r="48" spans="1:22">
      <c r="A48" s="197" t="s">
        <v>139</v>
      </c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8"/>
      <c r="P48" s="198"/>
      <c r="Q48" s="197"/>
      <c r="R48" s="197"/>
      <c r="S48" s="197"/>
      <c r="T48" s="197"/>
      <c r="U48" s="197"/>
      <c r="V48" s="197"/>
    </row>
    <row r="49" spans="1:22">
      <c r="A49" s="197" t="s">
        <v>140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8"/>
      <c r="P49" s="198"/>
      <c r="Q49" s="197"/>
      <c r="R49" s="197"/>
      <c r="S49" s="197"/>
      <c r="T49" s="197"/>
      <c r="U49" s="197"/>
      <c r="V49" s="197"/>
    </row>
    <row r="50" spans="1:22">
      <c r="A50" s="197" t="s">
        <v>141</v>
      </c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8"/>
      <c r="P50" s="198"/>
      <c r="Q50" s="197"/>
      <c r="R50" s="197"/>
      <c r="S50" s="197"/>
      <c r="T50" s="197"/>
      <c r="U50" s="197"/>
      <c r="V50" s="197"/>
    </row>
    <row r="51" spans="1:22">
      <c r="A51" s="197" t="s">
        <v>142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8"/>
      <c r="P51" s="198"/>
      <c r="Q51" s="197"/>
      <c r="R51" s="197"/>
      <c r="S51" s="197"/>
      <c r="T51" s="197"/>
      <c r="U51" s="197"/>
      <c r="V51" s="197"/>
    </row>
    <row r="52" spans="1:22">
      <c r="A52" s="197" t="s">
        <v>143</v>
      </c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8"/>
      <c r="P52" s="198"/>
      <c r="Q52" s="197"/>
      <c r="R52" s="197"/>
      <c r="S52" s="197"/>
      <c r="T52" s="197"/>
      <c r="U52" s="197"/>
      <c r="V52" s="197"/>
    </row>
    <row r="53" spans="1:22">
      <c r="A53" s="197" t="s">
        <v>144</v>
      </c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8"/>
      <c r="P53" s="198"/>
      <c r="Q53" s="197"/>
      <c r="R53" s="197"/>
      <c r="S53" s="197"/>
      <c r="T53" s="197"/>
      <c r="U53" s="197"/>
      <c r="V53" s="197"/>
    </row>
    <row r="54" spans="1:22">
      <c r="A54" s="197" t="s">
        <v>145</v>
      </c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8"/>
      <c r="P54" s="198"/>
      <c r="Q54" s="197"/>
      <c r="R54" s="197"/>
      <c r="S54" s="197"/>
      <c r="T54" s="197"/>
      <c r="U54" s="197"/>
      <c r="V54" s="197"/>
    </row>
    <row r="55" spans="1:22">
      <c r="A55" s="197" t="s">
        <v>146</v>
      </c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8"/>
      <c r="P55" s="198"/>
      <c r="Q55" s="197"/>
      <c r="R55" s="197"/>
      <c r="S55" s="197"/>
      <c r="T55" s="197"/>
      <c r="U55" s="197"/>
      <c r="V55" s="197"/>
    </row>
    <row r="56" spans="1:22">
      <c r="A56" s="197" t="s">
        <v>147</v>
      </c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8"/>
      <c r="P56" s="198"/>
      <c r="Q56" s="197"/>
      <c r="R56" s="197"/>
      <c r="S56" s="197"/>
      <c r="T56" s="197"/>
      <c r="U56" s="197"/>
      <c r="V56" s="197"/>
    </row>
    <row r="57" spans="1:22">
      <c r="A57" s="197" t="s">
        <v>148</v>
      </c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8"/>
      <c r="P57" s="198"/>
      <c r="Q57" s="197"/>
      <c r="R57" s="197"/>
      <c r="S57" s="197"/>
      <c r="T57" s="197"/>
      <c r="U57" s="197"/>
      <c r="V57" s="197"/>
    </row>
    <row r="58" spans="1:22">
      <c r="A58" s="197" t="s">
        <v>149</v>
      </c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8"/>
      <c r="P58" s="198"/>
      <c r="Q58" s="197"/>
      <c r="R58" s="197"/>
      <c r="S58" s="197"/>
      <c r="T58" s="197"/>
      <c r="U58" s="197"/>
      <c r="V58" s="197"/>
    </row>
    <row r="59" spans="1:22">
      <c r="A59" s="197" t="s">
        <v>150</v>
      </c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8"/>
      <c r="P59" s="198"/>
      <c r="Q59" s="197"/>
      <c r="R59" s="197"/>
      <c r="S59" s="197"/>
      <c r="T59" s="197"/>
      <c r="U59" s="197"/>
      <c r="V59" s="197"/>
    </row>
    <row r="60" spans="1:22">
      <c r="A60" s="197" t="s">
        <v>151</v>
      </c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8"/>
      <c r="P60" s="198"/>
      <c r="Q60" s="197"/>
      <c r="R60" s="197"/>
      <c r="S60" s="197"/>
      <c r="T60" s="197"/>
      <c r="U60" s="197"/>
      <c r="V60" s="197"/>
    </row>
    <row r="61" spans="1:22">
      <c r="A61" s="197" t="s">
        <v>152</v>
      </c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8"/>
      <c r="P61" s="198"/>
      <c r="Q61" s="197"/>
      <c r="R61" s="197"/>
      <c r="S61" s="197"/>
      <c r="T61" s="197"/>
      <c r="U61" s="197"/>
      <c r="V61" s="197"/>
    </row>
    <row r="62" spans="1:22">
      <c r="A62" s="197" t="s">
        <v>153</v>
      </c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8"/>
      <c r="P62" s="198"/>
      <c r="Q62" s="197"/>
      <c r="R62" s="197"/>
      <c r="S62" s="197"/>
      <c r="T62" s="197"/>
      <c r="U62" s="197"/>
      <c r="V62" s="197"/>
    </row>
    <row r="63" spans="1:22">
      <c r="A63" s="197" t="s">
        <v>154</v>
      </c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8"/>
      <c r="P63" s="198"/>
      <c r="Q63" s="197"/>
      <c r="R63" s="197"/>
      <c r="S63" s="197"/>
      <c r="T63" s="197"/>
      <c r="U63" s="197"/>
      <c r="V63" s="197"/>
    </row>
    <row r="64" spans="1:22">
      <c r="A64" s="197" t="s">
        <v>155</v>
      </c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8"/>
      <c r="P64" s="198"/>
      <c r="Q64" s="197"/>
      <c r="R64" s="197"/>
      <c r="S64" s="197"/>
      <c r="T64" s="197"/>
      <c r="U64" s="197"/>
      <c r="V64" s="197"/>
    </row>
    <row r="65" spans="1:22">
      <c r="A65" s="197" t="s">
        <v>156</v>
      </c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8"/>
      <c r="P65" s="198"/>
      <c r="Q65" s="197"/>
      <c r="R65" s="197"/>
      <c r="S65" s="197"/>
      <c r="T65" s="197"/>
      <c r="U65" s="197"/>
      <c r="V65" s="197"/>
    </row>
    <row r="66" spans="1:22">
      <c r="A66" s="197" t="s">
        <v>157</v>
      </c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8"/>
      <c r="P66" s="198"/>
      <c r="Q66" s="197"/>
      <c r="R66" s="197"/>
      <c r="S66" s="197"/>
      <c r="T66" s="197"/>
      <c r="U66" s="197"/>
      <c r="V66" s="197"/>
    </row>
    <row r="67" spans="1:22">
      <c r="A67" s="197" t="s">
        <v>158</v>
      </c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8"/>
      <c r="P67" s="198"/>
      <c r="Q67" s="197"/>
      <c r="R67" s="197"/>
      <c r="S67" s="197"/>
      <c r="T67" s="197"/>
      <c r="U67" s="197"/>
      <c r="V67" s="197"/>
    </row>
    <row r="68" spans="1:22">
      <c r="A68" s="197" t="s">
        <v>159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8"/>
      <c r="P68" s="198"/>
      <c r="Q68" s="197"/>
      <c r="R68" s="197"/>
      <c r="S68" s="197"/>
      <c r="T68" s="197"/>
      <c r="U68" s="197"/>
      <c r="V68" s="197"/>
    </row>
    <row r="69" spans="1:22">
      <c r="A69" s="197" t="s">
        <v>160</v>
      </c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8"/>
      <c r="P69" s="198"/>
      <c r="Q69" s="197"/>
      <c r="R69" s="197"/>
      <c r="S69" s="197"/>
      <c r="T69" s="197"/>
      <c r="U69" s="197"/>
      <c r="V69" s="197"/>
    </row>
    <row r="70" spans="1:22">
      <c r="A70" s="197" t="s">
        <v>161</v>
      </c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8"/>
      <c r="P70" s="198"/>
      <c r="Q70" s="197"/>
      <c r="R70" s="197"/>
      <c r="S70" s="197"/>
      <c r="T70" s="197"/>
      <c r="U70" s="197"/>
      <c r="V70" s="197"/>
    </row>
    <row r="71" spans="1:22">
      <c r="A71" s="197" t="s">
        <v>162</v>
      </c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8"/>
      <c r="P71" s="198"/>
      <c r="Q71" s="197"/>
      <c r="R71" s="197"/>
      <c r="S71" s="197"/>
      <c r="T71" s="197"/>
      <c r="U71" s="197"/>
      <c r="V71" s="197"/>
    </row>
    <row r="72" spans="1:22">
      <c r="A72" s="197" t="s">
        <v>163</v>
      </c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8"/>
      <c r="P72" s="198"/>
      <c r="Q72" s="197"/>
      <c r="R72" s="197"/>
      <c r="S72" s="197"/>
      <c r="T72" s="197"/>
      <c r="U72" s="197"/>
      <c r="V72" s="197"/>
    </row>
    <row r="73" spans="1:22">
      <c r="A73" s="197" t="s">
        <v>164</v>
      </c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8"/>
      <c r="P73" s="198"/>
      <c r="Q73" s="197"/>
      <c r="R73" s="197"/>
      <c r="S73" s="197"/>
      <c r="T73" s="197"/>
      <c r="U73" s="197"/>
      <c r="V73" s="197"/>
    </row>
    <row r="74" spans="1:22">
      <c r="A74" s="197" t="s">
        <v>165</v>
      </c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8"/>
      <c r="P74" s="198"/>
      <c r="Q74" s="197"/>
      <c r="R74" s="197"/>
      <c r="S74" s="197"/>
      <c r="T74" s="197"/>
      <c r="U74" s="197"/>
      <c r="V74" s="197"/>
    </row>
    <row r="75" spans="1:22">
      <c r="A75" s="197" t="s">
        <v>166</v>
      </c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8"/>
      <c r="P75" s="198"/>
      <c r="Q75" s="197"/>
      <c r="R75" s="197"/>
      <c r="S75" s="197"/>
      <c r="T75" s="197"/>
      <c r="U75" s="197"/>
      <c r="V75" s="197"/>
    </row>
    <row r="76" spans="1:22">
      <c r="A76" s="197" t="s">
        <v>167</v>
      </c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8"/>
      <c r="P76" s="198"/>
      <c r="Q76" s="197"/>
      <c r="R76" s="197"/>
      <c r="S76" s="197"/>
      <c r="T76" s="197"/>
      <c r="U76" s="197"/>
      <c r="V76" s="197"/>
    </row>
    <row r="77" spans="1:22">
      <c r="A77" s="197" t="s">
        <v>168</v>
      </c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8"/>
      <c r="P77" s="198"/>
      <c r="Q77" s="197"/>
      <c r="R77" s="197"/>
      <c r="S77" s="197"/>
      <c r="T77" s="197"/>
      <c r="U77" s="197"/>
      <c r="V77" s="197"/>
    </row>
    <row r="78" spans="1:22">
      <c r="A78" s="197" t="s">
        <v>169</v>
      </c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8"/>
      <c r="P78" s="198"/>
      <c r="Q78" s="197"/>
      <c r="R78" s="197"/>
      <c r="S78" s="197"/>
      <c r="T78" s="197"/>
      <c r="U78" s="197"/>
      <c r="V78" s="197"/>
    </row>
    <row r="79" spans="1:22">
      <c r="A79" s="197" t="s">
        <v>170</v>
      </c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8"/>
      <c r="P79" s="198"/>
      <c r="Q79" s="197"/>
      <c r="R79" s="197"/>
      <c r="S79" s="197"/>
      <c r="T79" s="197"/>
      <c r="U79" s="197"/>
      <c r="V79" s="197"/>
    </row>
    <row r="80" spans="1:22">
      <c r="A80" s="197" t="s">
        <v>171</v>
      </c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8"/>
      <c r="P80" s="198"/>
      <c r="Q80" s="197"/>
      <c r="R80" s="197"/>
      <c r="S80" s="197"/>
      <c r="T80" s="197"/>
      <c r="U80" s="197"/>
      <c r="V80" s="197"/>
    </row>
    <row r="81" spans="1:22">
      <c r="A81" s="197" t="s">
        <v>172</v>
      </c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8"/>
      <c r="P81" s="198"/>
      <c r="Q81" s="197"/>
      <c r="R81" s="197"/>
      <c r="S81" s="197"/>
      <c r="T81" s="197"/>
      <c r="U81" s="197"/>
      <c r="V81" s="197"/>
    </row>
    <row r="82" spans="1:22">
      <c r="A82" s="197" t="s">
        <v>173</v>
      </c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8"/>
      <c r="P82" s="198"/>
      <c r="Q82" s="197"/>
      <c r="R82" s="197"/>
      <c r="S82" s="197"/>
      <c r="T82" s="197"/>
      <c r="U82" s="197"/>
      <c r="V82" s="197"/>
    </row>
    <row r="83" spans="1:22">
      <c r="A83" s="197" t="s">
        <v>174</v>
      </c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8"/>
      <c r="P83" s="198"/>
      <c r="Q83" s="197"/>
      <c r="R83" s="197"/>
      <c r="S83" s="197"/>
      <c r="T83" s="197"/>
      <c r="U83" s="197"/>
      <c r="V83" s="197"/>
    </row>
    <row r="84" spans="1:22">
      <c r="A84" s="197" t="s">
        <v>175</v>
      </c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8"/>
      <c r="P84" s="198"/>
      <c r="Q84" s="197"/>
      <c r="R84" s="197"/>
      <c r="S84" s="197"/>
      <c r="T84" s="197"/>
      <c r="U84" s="197"/>
      <c r="V84" s="197"/>
    </row>
    <row r="85" spans="1:22">
      <c r="A85" s="197" t="s">
        <v>176</v>
      </c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8"/>
      <c r="P85" s="198"/>
      <c r="Q85" s="197"/>
      <c r="R85" s="197"/>
      <c r="S85" s="197"/>
      <c r="T85" s="197"/>
      <c r="U85" s="197"/>
      <c r="V85" s="197"/>
    </row>
    <row r="86" spans="1:22">
      <c r="A86" s="197" t="s">
        <v>177</v>
      </c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8"/>
      <c r="P86" s="198"/>
      <c r="Q86" s="197"/>
      <c r="R86" s="197"/>
      <c r="S86" s="197"/>
      <c r="T86" s="197"/>
      <c r="U86" s="197"/>
      <c r="V86" s="197"/>
    </row>
    <row r="87" spans="1:22">
      <c r="A87" s="197" t="s">
        <v>178</v>
      </c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8"/>
      <c r="P87" s="198"/>
      <c r="Q87" s="197"/>
      <c r="R87" s="197"/>
      <c r="S87" s="197"/>
      <c r="T87" s="197"/>
      <c r="U87" s="197"/>
      <c r="V87" s="197"/>
    </row>
    <row r="88" spans="1:22">
      <c r="A88" s="197" t="s">
        <v>179</v>
      </c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8"/>
      <c r="P88" s="198"/>
      <c r="Q88" s="197"/>
      <c r="R88" s="197"/>
      <c r="S88" s="197"/>
      <c r="T88" s="197"/>
      <c r="U88" s="197"/>
      <c r="V88" s="197"/>
    </row>
    <row r="89" spans="1:22">
      <c r="A89" s="197" t="s">
        <v>180</v>
      </c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8"/>
      <c r="P89" s="198"/>
      <c r="Q89" s="197"/>
      <c r="R89" s="197"/>
      <c r="S89" s="197"/>
      <c r="T89" s="197"/>
      <c r="U89" s="197"/>
      <c r="V89" s="197"/>
    </row>
    <row r="90" spans="1:22">
      <c r="A90" s="197" t="s">
        <v>181</v>
      </c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8"/>
      <c r="P90" s="198"/>
      <c r="Q90" s="197"/>
      <c r="R90" s="197"/>
      <c r="S90" s="197"/>
      <c r="T90" s="197"/>
      <c r="U90" s="197"/>
      <c r="V90" s="197"/>
    </row>
    <row r="91" spans="1:22">
      <c r="A91" s="197" t="s">
        <v>182</v>
      </c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8"/>
      <c r="P91" s="198"/>
      <c r="Q91" s="197"/>
      <c r="R91" s="197"/>
      <c r="S91" s="197"/>
      <c r="T91" s="197"/>
      <c r="U91" s="197"/>
      <c r="V91" s="197"/>
    </row>
    <row r="92" spans="1:22">
      <c r="A92" s="197" t="s">
        <v>183</v>
      </c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8"/>
      <c r="P92" s="198"/>
      <c r="Q92" s="197"/>
      <c r="R92" s="197"/>
      <c r="S92" s="197"/>
      <c r="T92" s="197"/>
      <c r="U92" s="197"/>
      <c r="V92" s="197"/>
    </row>
    <row r="93" spans="1:22">
      <c r="A93" s="197" t="s">
        <v>184</v>
      </c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8"/>
      <c r="P93" s="198"/>
      <c r="Q93" s="197"/>
      <c r="R93" s="197"/>
      <c r="S93" s="197"/>
      <c r="T93" s="197"/>
      <c r="U93" s="197"/>
      <c r="V93" s="197"/>
    </row>
    <row r="94" spans="1:22">
      <c r="A94" s="197" t="s">
        <v>185</v>
      </c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8"/>
      <c r="P94" s="198"/>
      <c r="Q94" s="197"/>
      <c r="R94" s="197"/>
      <c r="S94" s="197"/>
      <c r="T94" s="197"/>
      <c r="U94" s="197"/>
      <c r="V94" s="197"/>
    </row>
    <row r="95" spans="1:22">
      <c r="A95" s="197" t="s">
        <v>186</v>
      </c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8"/>
      <c r="P95" s="198"/>
      <c r="Q95" s="197"/>
      <c r="R95" s="197"/>
      <c r="S95" s="197"/>
      <c r="T95" s="197"/>
      <c r="U95" s="197"/>
      <c r="V95" s="197"/>
    </row>
    <row r="96" spans="1:22">
      <c r="A96" s="197" t="s">
        <v>187</v>
      </c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8"/>
      <c r="P96" s="198"/>
      <c r="Q96" s="197"/>
      <c r="R96" s="197"/>
      <c r="S96" s="197"/>
      <c r="T96" s="197"/>
      <c r="U96" s="197"/>
      <c r="V96" s="197"/>
    </row>
    <row r="97" spans="1:22">
      <c r="A97" s="197" t="s">
        <v>188</v>
      </c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8"/>
      <c r="P97" s="198"/>
      <c r="Q97" s="197"/>
      <c r="R97" s="197"/>
      <c r="S97" s="197"/>
      <c r="T97" s="197"/>
      <c r="U97" s="197"/>
      <c r="V97" s="197"/>
    </row>
    <row r="98" spans="1:22">
      <c r="A98" s="197" t="s">
        <v>189</v>
      </c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8"/>
      <c r="P98" s="198"/>
      <c r="Q98" s="197"/>
      <c r="R98" s="197"/>
      <c r="S98" s="197"/>
      <c r="T98" s="197"/>
      <c r="U98" s="197"/>
      <c r="V98" s="197"/>
    </row>
    <row r="99" spans="1:22">
      <c r="A99" s="197" t="s">
        <v>190</v>
      </c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8"/>
      <c r="P99" s="198"/>
      <c r="Q99" s="197"/>
      <c r="R99" s="197"/>
      <c r="S99" s="197"/>
      <c r="T99" s="197"/>
      <c r="U99" s="197"/>
      <c r="V99" s="197"/>
    </row>
    <row r="100" spans="1:22">
      <c r="A100" s="197" t="s">
        <v>191</v>
      </c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8"/>
      <c r="P100" s="198"/>
      <c r="Q100" s="197"/>
      <c r="R100" s="197"/>
      <c r="S100" s="197"/>
      <c r="T100" s="197"/>
      <c r="U100" s="197"/>
      <c r="V100" s="197"/>
    </row>
    <row r="101" spans="1:22">
      <c r="A101" s="197" t="s">
        <v>192</v>
      </c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8"/>
      <c r="P101" s="198"/>
      <c r="Q101" s="197"/>
      <c r="R101" s="197"/>
      <c r="S101" s="197"/>
      <c r="T101" s="197"/>
      <c r="U101" s="197"/>
      <c r="V101" s="197"/>
    </row>
    <row r="102" spans="1:22">
      <c r="A102" s="197" t="s">
        <v>193</v>
      </c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8"/>
      <c r="P102" s="198"/>
      <c r="Q102" s="197"/>
      <c r="R102" s="197"/>
      <c r="S102" s="197"/>
      <c r="T102" s="197"/>
      <c r="U102" s="197"/>
      <c r="V102" s="197"/>
    </row>
    <row r="103" spans="1:22">
      <c r="A103" s="197" t="s">
        <v>194</v>
      </c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8"/>
      <c r="P103" s="198"/>
      <c r="Q103" s="197"/>
      <c r="R103" s="197"/>
      <c r="S103" s="197"/>
      <c r="T103" s="197"/>
      <c r="U103" s="197"/>
      <c r="V103" s="197"/>
    </row>
    <row r="104" spans="1:22">
      <c r="A104" s="197" t="s">
        <v>195</v>
      </c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8"/>
      <c r="P104" s="198"/>
      <c r="Q104" s="197"/>
      <c r="R104" s="197"/>
      <c r="S104" s="197"/>
      <c r="T104" s="197"/>
      <c r="U104" s="197"/>
      <c r="V104" s="197"/>
    </row>
    <row r="105" spans="1:22">
      <c r="A105" s="197" t="s">
        <v>196</v>
      </c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8"/>
      <c r="P105" s="198"/>
      <c r="Q105" s="197"/>
      <c r="R105" s="197"/>
      <c r="S105" s="197"/>
      <c r="T105" s="197"/>
      <c r="U105" s="197"/>
      <c r="V105" s="197"/>
    </row>
    <row r="106" spans="1:22">
      <c r="A106" s="197" t="s">
        <v>197</v>
      </c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8"/>
      <c r="P106" s="198"/>
      <c r="Q106" s="197"/>
      <c r="R106" s="197"/>
      <c r="S106" s="197"/>
      <c r="T106" s="197"/>
      <c r="U106" s="197"/>
      <c r="V106" s="197"/>
    </row>
    <row r="107" spans="1:22">
      <c r="A107" s="197" t="s">
        <v>198</v>
      </c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8"/>
      <c r="P107" s="198"/>
      <c r="Q107" s="197"/>
      <c r="R107" s="197"/>
      <c r="S107" s="197"/>
      <c r="T107" s="197"/>
      <c r="U107" s="197"/>
      <c r="V107" s="197"/>
    </row>
    <row r="108" spans="1:22">
      <c r="A108" s="197" t="s">
        <v>199</v>
      </c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8"/>
      <c r="P108" s="198"/>
      <c r="Q108" s="197"/>
      <c r="R108" s="197"/>
      <c r="S108" s="197"/>
      <c r="T108" s="197"/>
      <c r="U108" s="197"/>
      <c r="V108" s="197"/>
    </row>
    <row r="109" spans="1:22">
      <c r="A109" s="197" t="s">
        <v>200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8"/>
      <c r="P109" s="198"/>
      <c r="Q109" s="197"/>
      <c r="R109" s="197"/>
      <c r="S109" s="197"/>
      <c r="T109" s="197"/>
      <c r="U109" s="197"/>
      <c r="V109" s="197"/>
    </row>
    <row r="110" spans="1:22">
      <c r="A110" s="197" t="s">
        <v>201</v>
      </c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8"/>
      <c r="P110" s="198"/>
      <c r="Q110" s="197"/>
      <c r="R110" s="197"/>
      <c r="S110" s="197"/>
      <c r="T110" s="197"/>
      <c r="U110" s="197"/>
      <c r="V110" s="197"/>
    </row>
    <row r="111" spans="1:22">
      <c r="A111" s="197" t="s">
        <v>202</v>
      </c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8"/>
      <c r="P111" s="198"/>
      <c r="Q111" s="197"/>
      <c r="R111" s="197"/>
      <c r="S111" s="197"/>
      <c r="T111" s="197"/>
      <c r="U111" s="197"/>
      <c r="V111" s="197"/>
    </row>
    <row r="112" spans="1:22">
      <c r="A112" s="197" t="s">
        <v>203</v>
      </c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8"/>
      <c r="P112" s="198"/>
      <c r="Q112" s="197"/>
      <c r="R112" s="197"/>
      <c r="S112" s="197"/>
      <c r="T112" s="197"/>
      <c r="U112" s="197"/>
      <c r="V112" s="197"/>
    </row>
    <row r="113" spans="1:22">
      <c r="A113" s="197" t="s">
        <v>204</v>
      </c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8"/>
      <c r="P113" s="198"/>
      <c r="Q113" s="197"/>
      <c r="R113" s="197"/>
      <c r="S113" s="197"/>
      <c r="T113" s="197"/>
      <c r="U113" s="197"/>
      <c r="V113" s="197"/>
    </row>
    <row r="114" spans="1:22">
      <c r="A114" s="197" t="s">
        <v>205</v>
      </c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8"/>
      <c r="P114" s="198"/>
      <c r="Q114" s="197"/>
      <c r="R114" s="197"/>
      <c r="S114" s="197"/>
      <c r="T114" s="197"/>
      <c r="U114" s="197"/>
      <c r="V114" s="197"/>
    </row>
    <row r="115" spans="1:22">
      <c r="A115" s="197" t="s">
        <v>206</v>
      </c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8"/>
      <c r="P115" s="198"/>
      <c r="Q115" s="197"/>
      <c r="R115" s="197"/>
      <c r="S115" s="197"/>
      <c r="T115" s="197"/>
      <c r="U115" s="197"/>
      <c r="V115" s="197"/>
    </row>
    <row r="116" spans="1:22">
      <c r="A116" s="197" t="s">
        <v>207</v>
      </c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8"/>
      <c r="P116" s="198"/>
      <c r="Q116" s="197"/>
      <c r="R116" s="197"/>
      <c r="S116" s="197"/>
      <c r="T116" s="197"/>
      <c r="U116" s="197"/>
      <c r="V116" s="197"/>
    </row>
    <row r="117" spans="1:22">
      <c r="A117" s="197" t="s">
        <v>208</v>
      </c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8"/>
      <c r="P117" s="198"/>
      <c r="Q117" s="197"/>
      <c r="R117" s="197"/>
      <c r="S117" s="197"/>
      <c r="T117" s="197"/>
      <c r="U117" s="197"/>
      <c r="V117" s="197"/>
    </row>
    <row r="118" spans="1:22">
      <c r="A118" s="197" t="s">
        <v>209</v>
      </c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8"/>
      <c r="P118" s="198"/>
      <c r="Q118" s="197"/>
      <c r="R118" s="197"/>
      <c r="S118" s="197"/>
      <c r="T118" s="197"/>
      <c r="U118" s="197"/>
      <c r="V118" s="197"/>
    </row>
    <row r="119" spans="1:22" s="11" customFormat="1">
      <c r="A119" s="197" t="s">
        <v>211</v>
      </c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8"/>
      <c r="P119" s="198"/>
      <c r="Q119" s="197"/>
      <c r="R119" s="197"/>
      <c r="S119" s="197"/>
      <c r="T119" s="197"/>
      <c r="U119" s="197"/>
      <c r="V119" s="197"/>
    </row>
    <row r="120" spans="1:22" s="11" customFormat="1">
      <c r="A120" s="197" t="s">
        <v>212</v>
      </c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8"/>
      <c r="P120" s="198"/>
      <c r="Q120" s="197"/>
      <c r="R120" s="197"/>
      <c r="S120" s="197"/>
      <c r="T120" s="197"/>
      <c r="U120" s="197"/>
      <c r="V120" s="197"/>
    </row>
    <row r="121" spans="1:22" s="11" customFormat="1">
      <c r="A121" s="197" t="s">
        <v>213</v>
      </c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8"/>
      <c r="P121" s="198"/>
      <c r="Q121" s="197"/>
      <c r="R121" s="197"/>
      <c r="S121" s="197"/>
      <c r="T121" s="197"/>
      <c r="U121" s="197"/>
      <c r="V121" s="197"/>
    </row>
    <row r="122" spans="1:22" s="11" customFormat="1">
      <c r="A122" s="197" t="s">
        <v>214</v>
      </c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8"/>
      <c r="P122" s="198"/>
      <c r="Q122" s="197"/>
      <c r="R122" s="197"/>
      <c r="S122" s="197"/>
      <c r="T122" s="197"/>
      <c r="U122" s="197"/>
      <c r="V122" s="197"/>
    </row>
    <row r="123" spans="1:22" s="11" customFormat="1">
      <c r="A123" s="197" t="s">
        <v>215</v>
      </c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8"/>
      <c r="P123" s="198"/>
      <c r="Q123" s="197"/>
      <c r="R123" s="197"/>
      <c r="S123" s="197"/>
      <c r="T123" s="197"/>
      <c r="U123" s="197"/>
      <c r="V123" s="197"/>
    </row>
    <row r="124" spans="1:22" s="11" customFormat="1">
      <c r="A124" s="197" t="s">
        <v>216</v>
      </c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8"/>
      <c r="P124" s="198"/>
      <c r="Q124" s="197"/>
      <c r="R124" s="197"/>
      <c r="S124" s="197"/>
      <c r="T124" s="197"/>
      <c r="U124" s="197"/>
      <c r="V124" s="197"/>
    </row>
    <row r="125" spans="1:22" s="11" customFormat="1">
      <c r="A125" s="197" t="s">
        <v>217</v>
      </c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8"/>
      <c r="P125" s="198"/>
      <c r="Q125" s="197"/>
      <c r="R125" s="197"/>
      <c r="S125" s="197"/>
      <c r="T125" s="197"/>
      <c r="U125" s="197"/>
      <c r="V125" s="197"/>
    </row>
    <row r="126" spans="1:22" s="11" customFormat="1">
      <c r="A126" s="197" t="s">
        <v>218</v>
      </c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8"/>
      <c r="P126" s="198"/>
      <c r="Q126" s="197"/>
      <c r="R126" s="197"/>
      <c r="S126" s="197"/>
      <c r="T126" s="197"/>
      <c r="U126" s="197"/>
      <c r="V126" s="197"/>
    </row>
    <row r="127" spans="1:22" s="11" customFormat="1">
      <c r="A127" s="197" t="s">
        <v>219</v>
      </c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8"/>
      <c r="P127" s="198"/>
      <c r="Q127" s="197"/>
      <c r="R127" s="197"/>
      <c r="S127" s="197"/>
      <c r="T127" s="197"/>
      <c r="U127" s="197"/>
      <c r="V127" s="197"/>
    </row>
    <row r="128" spans="1:22" s="11" customFormat="1">
      <c r="A128" s="197" t="s">
        <v>220</v>
      </c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8"/>
      <c r="P128" s="198"/>
      <c r="Q128" s="197"/>
      <c r="R128" s="197"/>
      <c r="S128" s="197"/>
      <c r="T128" s="197"/>
      <c r="U128" s="197"/>
      <c r="V128" s="197"/>
    </row>
    <row r="129" spans="1:22" s="11" customFormat="1">
      <c r="A129" s="197" t="s">
        <v>221</v>
      </c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8"/>
      <c r="P129" s="198"/>
      <c r="Q129" s="197"/>
      <c r="R129" s="197"/>
      <c r="S129" s="197"/>
      <c r="T129" s="197"/>
      <c r="U129" s="197"/>
      <c r="V129" s="197"/>
    </row>
    <row r="130" spans="1:22" s="11" customFormat="1">
      <c r="A130" s="197" t="s">
        <v>222</v>
      </c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8"/>
      <c r="P130" s="198"/>
      <c r="Q130" s="197"/>
      <c r="R130" s="197"/>
      <c r="S130" s="197"/>
      <c r="T130" s="197"/>
      <c r="U130" s="197"/>
      <c r="V130" s="197"/>
    </row>
    <row r="131" spans="1:22" s="11" customFormat="1">
      <c r="A131" s="197" t="s">
        <v>223</v>
      </c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8"/>
      <c r="P131" s="198"/>
      <c r="Q131" s="197"/>
      <c r="R131" s="197"/>
      <c r="S131" s="197"/>
      <c r="T131" s="197"/>
      <c r="U131" s="197"/>
      <c r="V131" s="197"/>
    </row>
    <row r="132" spans="1:22" s="11" customFormat="1">
      <c r="A132" s="197" t="s">
        <v>224</v>
      </c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8"/>
      <c r="P132" s="198"/>
      <c r="Q132" s="197"/>
      <c r="R132" s="197"/>
      <c r="S132" s="197"/>
      <c r="T132" s="197"/>
      <c r="U132" s="197"/>
      <c r="V132" s="197"/>
    </row>
    <row r="133" spans="1:22" s="11" customFormat="1">
      <c r="A133" s="197" t="s">
        <v>225</v>
      </c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8"/>
      <c r="P133" s="198"/>
      <c r="Q133" s="197"/>
      <c r="R133" s="197"/>
      <c r="S133" s="197"/>
      <c r="T133" s="197"/>
      <c r="U133" s="197"/>
      <c r="V133" s="197"/>
    </row>
    <row r="134" spans="1:22" s="11" customFormat="1">
      <c r="A134" s="197" t="s">
        <v>226</v>
      </c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8"/>
      <c r="P134" s="198"/>
      <c r="Q134" s="197"/>
      <c r="R134" s="197"/>
      <c r="S134" s="197"/>
      <c r="T134" s="197"/>
      <c r="U134" s="197"/>
      <c r="V134" s="197"/>
    </row>
    <row r="135" spans="1:22" s="11" customFormat="1">
      <c r="A135" s="197" t="s">
        <v>227</v>
      </c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8"/>
      <c r="P135" s="198"/>
      <c r="Q135" s="197"/>
      <c r="R135" s="197"/>
      <c r="S135" s="197"/>
      <c r="T135" s="197"/>
      <c r="U135" s="197"/>
      <c r="V135" s="197"/>
    </row>
    <row r="136" spans="1:22" s="11" customFormat="1">
      <c r="A136" s="197" t="s">
        <v>228</v>
      </c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8"/>
      <c r="P136" s="198"/>
      <c r="Q136" s="197"/>
      <c r="R136" s="197"/>
      <c r="S136" s="197"/>
      <c r="T136" s="197"/>
      <c r="U136" s="197"/>
      <c r="V136" s="197"/>
    </row>
    <row r="137" spans="1:22" s="11" customFormat="1">
      <c r="A137" s="197" t="s">
        <v>229</v>
      </c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8"/>
      <c r="P137" s="198"/>
      <c r="Q137" s="197"/>
      <c r="R137" s="197"/>
      <c r="S137" s="197"/>
      <c r="T137" s="197"/>
      <c r="U137" s="197"/>
      <c r="V137" s="197"/>
    </row>
    <row r="138" spans="1:22" s="11" customFormat="1">
      <c r="A138" s="197" t="s">
        <v>230</v>
      </c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8"/>
      <c r="P138" s="198"/>
      <c r="Q138" s="197"/>
      <c r="R138" s="197"/>
      <c r="S138" s="197"/>
      <c r="T138" s="197"/>
      <c r="U138" s="197"/>
      <c r="V138" s="197"/>
    </row>
    <row r="139" spans="1:22" s="11" customFormat="1">
      <c r="A139" s="197" t="s">
        <v>231</v>
      </c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8"/>
      <c r="P139" s="198"/>
      <c r="Q139" s="197"/>
      <c r="R139" s="197"/>
      <c r="S139" s="197"/>
      <c r="T139" s="197"/>
      <c r="U139" s="197"/>
      <c r="V139" s="197"/>
    </row>
    <row r="140" spans="1:22" s="11" customFormat="1">
      <c r="A140" s="197" t="s">
        <v>232</v>
      </c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8"/>
      <c r="P140" s="198"/>
      <c r="Q140" s="197"/>
      <c r="R140" s="197"/>
      <c r="S140" s="197"/>
      <c r="T140" s="197"/>
      <c r="U140" s="197"/>
      <c r="V140" s="197"/>
    </row>
    <row r="141" spans="1:22" s="11" customFormat="1">
      <c r="A141" s="197" t="s">
        <v>233</v>
      </c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8"/>
      <c r="P141" s="198"/>
      <c r="Q141" s="197"/>
      <c r="R141" s="197"/>
      <c r="S141" s="197"/>
      <c r="T141" s="197"/>
      <c r="U141" s="197"/>
      <c r="V141" s="197"/>
    </row>
    <row r="142" spans="1:22" s="11" customFormat="1">
      <c r="A142" s="197" t="s">
        <v>234</v>
      </c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8"/>
      <c r="P142" s="198"/>
      <c r="Q142" s="197"/>
      <c r="R142" s="197"/>
      <c r="S142" s="197"/>
      <c r="T142" s="197"/>
      <c r="U142" s="197"/>
      <c r="V142" s="197"/>
    </row>
    <row r="143" spans="1:22" s="11" customFormat="1">
      <c r="A143" s="197" t="s">
        <v>235</v>
      </c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8"/>
      <c r="P143" s="198"/>
      <c r="Q143" s="197"/>
      <c r="R143" s="197"/>
      <c r="S143" s="197"/>
      <c r="T143" s="197"/>
      <c r="U143" s="197"/>
      <c r="V143" s="197"/>
    </row>
    <row r="144" spans="1:22" s="11" customFormat="1">
      <c r="A144" s="197" t="s">
        <v>236</v>
      </c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8"/>
      <c r="P144" s="198"/>
      <c r="Q144" s="197"/>
      <c r="R144" s="197"/>
      <c r="S144" s="197"/>
      <c r="T144" s="197"/>
      <c r="U144" s="197"/>
      <c r="V144" s="197"/>
    </row>
    <row r="145" spans="1:22" s="11" customFormat="1">
      <c r="A145" s="197" t="s">
        <v>237</v>
      </c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8"/>
      <c r="P145" s="198"/>
      <c r="Q145" s="197"/>
      <c r="R145" s="197"/>
      <c r="S145" s="197"/>
      <c r="T145" s="197"/>
      <c r="U145" s="197"/>
      <c r="V145" s="197"/>
    </row>
    <row r="146" spans="1:22" s="11" customFormat="1">
      <c r="A146" s="197" t="s">
        <v>238</v>
      </c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8"/>
      <c r="P146" s="198"/>
      <c r="Q146" s="197"/>
      <c r="R146" s="197"/>
      <c r="S146" s="197"/>
      <c r="T146" s="197"/>
      <c r="U146" s="197"/>
      <c r="V146" s="197"/>
    </row>
    <row r="147" spans="1:22" s="11" customFormat="1">
      <c r="A147" s="197" t="s">
        <v>239</v>
      </c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8"/>
      <c r="P147" s="198"/>
      <c r="Q147" s="197"/>
      <c r="R147" s="197"/>
      <c r="S147" s="197"/>
      <c r="T147" s="197"/>
      <c r="U147" s="197"/>
      <c r="V147" s="197"/>
    </row>
    <row r="148" spans="1:22" s="11" customFormat="1">
      <c r="A148" s="197" t="s">
        <v>240</v>
      </c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8"/>
      <c r="P148" s="198"/>
      <c r="Q148" s="197"/>
      <c r="R148" s="197"/>
      <c r="S148" s="197"/>
      <c r="T148" s="197"/>
      <c r="U148" s="197"/>
      <c r="V148" s="197"/>
    </row>
    <row r="149" spans="1:22" s="11" customFormat="1">
      <c r="A149" s="197" t="s">
        <v>241</v>
      </c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8"/>
      <c r="P149" s="198"/>
      <c r="Q149" s="197"/>
      <c r="R149" s="197"/>
      <c r="S149" s="197"/>
      <c r="T149" s="197"/>
      <c r="U149" s="197"/>
      <c r="V149" s="197"/>
    </row>
    <row r="150" spans="1:22" s="11" customFormat="1">
      <c r="A150" s="197" t="s">
        <v>242</v>
      </c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8"/>
      <c r="P150" s="198"/>
      <c r="Q150" s="197"/>
      <c r="R150" s="197"/>
      <c r="S150" s="197"/>
      <c r="T150" s="197"/>
      <c r="U150" s="197"/>
      <c r="V150" s="197"/>
    </row>
    <row r="151" spans="1:22" s="11" customFormat="1">
      <c r="A151" s="197" t="s">
        <v>243</v>
      </c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8"/>
      <c r="P151" s="198"/>
      <c r="Q151" s="197"/>
      <c r="R151" s="197"/>
      <c r="S151" s="197"/>
      <c r="T151" s="197"/>
      <c r="U151" s="197"/>
      <c r="V151" s="197"/>
    </row>
    <row r="152" spans="1:22" s="11" customFormat="1">
      <c r="A152" s="197" t="s">
        <v>244</v>
      </c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8"/>
      <c r="P152" s="198"/>
      <c r="Q152" s="197"/>
      <c r="R152" s="197"/>
      <c r="S152" s="197"/>
      <c r="T152" s="197"/>
      <c r="U152" s="197"/>
      <c r="V152" s="197"/>
    </row>
    <row r="153" spans="1:22" s="11" customFormat="1">
      <c r="A153" s="197" t="s">
        <v>245</v>
      </c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8"/>
      <c r="P153" s="198"/>
      <c r="Q153" s="197"/>
      <c r="R153" s="197"/>
      <c r="S153" s="197"/>
      <c r="T153" s="197"/>
      <c r="U153" s="197"/>
      <c r="V153" s="197"/>
    </row>
    <row r="154" spans="1:22" s="11" customFormat="1">
      <c r="A154" s="197" t="s">
        <v>246</v>
      </c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8"/>
      <c r="P154" s="198"/>
      <c r="Q154" s="197"/>
      <c r="R154" s="197"/>
      <c r="S154" s="197"/>
      <c r="T154" s="197"/>
      <c r="U154" s="197"/>
      <c r="V154" s="197"/>
    </row>
    <row r="155" spans="1:22" s="11" customFormat="1">
      <c r="A155" s="197" t="s">
        <v>247</v>
      </c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8"/>
      <c r="P155" s="198"/>
      <c r="Q155" s="197"/>
      <c r="R155" s="197"/>
      <c r="S155" s="197"/>
      <c r="T155" s="197"/>
      <c r="U155" s="197"/>
      <c r="V155" s="197"/>
    </row>
    <row r="156" spans="1:22" s="11" customFormat="1">
      <c r="A156" s="197" t="s">
        <v>248</v>
      </c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8"/>
      <c r="P156" s="198"/>
      <c r="Q156" s="197"/>
      <c r="R156" s="197"/>
      <c r="S156" s="197"/>
      <c r="T156" s="197"/>
      <c r="U156" s="197"/>
      <c r="V156" s="197"/>
    </row>
    <row r="157" spans="1:22" s="11" customFormat="1">
      <c r="A157" s="197" t="s">
        <v>249</v>
      </c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8"/>
      <c r="P157" s="198"/>
      <c r="Q157" s="197"/>
      <c r="R157" s="197"/>
      <c r="S157" s="197"/>
      <c r="T157" s="197"/>
      <c r="U157" s="197"/>
      <c r="V157" s="197"/>
    </row>
    <row r="158" spans="1:22" s="11" customFormat="1">
      <c r="A158" s="197" t="s">
        <v>250</v>
      </c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8"/>
      <c r="P158" s="198"/>
      <c r="Q158" s="197"/>
      <c r="R158" s="197"/>
      <c r="S158" s="197"/>
      <c r="T158" s="197"/>
      <c r="U158" s="197"/>
      <c r="V158" s="197"/>
    </row>
    <row r="159" spans="1:22" s="11" customFormat="1">
      <c r="A159" s="197" t="s">
        <v>251</v>
      </c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8"/>
      <c r="P159" s="198"/>
      <c r="Q159" s="197"/>
      <c r="R159" s="197"/>
      <c r="S159" s="197"/>
      <c r="T159" s="197"/>
      <c r="U159" s="197"/>
      <c r="V159" s="197"/>
    </row>
    <row r="160" spans="1:22" s="11" customFormat="1">
      <c r="A160" s="197" t="s">
        <v>252</v>
      </c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8"/>
      <c r="P160" s="198"/>
      <c r="Q160" s="197"/>
      <c r="R160" s="197"/>
      <c r="S160" s="197"/>
      <c r="T160" s="197"/>
      <c r="U160" s="197"/>
      <c r="V160" s="197"/>
    </row>
    <row r="161" spans="1:22" s="11" customFormat="1">
      <c r="A161" s="197" t="s">
        <v>253</v>
      </c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8"/>
      <c r="P161" s="198"/>
      <c r="Q161" s="197"/>
      <c r="R161" s="197"/>
      <c r="S161" s="197"/>
      <c r="T161" s="197"/>
      <c r="U161" s="197"/>
      <c r="V161" s="197"/>
    </row>
    <row r="162" spans="1:22" s="11" customFormat="1">
      <c r="A162" s="197" t="s">
        <v>254</v>
      </c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8"/>
      <c r="P162" s="198"/>
      <c r="Q162" s="197"/>
      <c r="R162" s="197"/>
      <c r="S162" s="197"/>
      <c r="T162" s="197"/>
      <c r="U162" s="197"/>
      <c r="V162" s="197"/>
    </row>
    <row r="163" spans="1:22" s="11" customFormat="1">
      <c r="A163" s="197" t="s">
        <v>255</v>
      </c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8"/>
      <c r="P163" s="198"/>
      <c r="Q163" s="197"/>
      <c r="R163" s="197"/>
      <c r="S163" s="197"/>
      <c r="T163" s="197"/>
      <c r="U163" s="197"/>
      <c r="V163" s="197"/>
    </row>
    <row r="164" spans="1:22" s="11" customFormat="1">
      <c r="A164" s="197" t="s">
        <v>256</v>
      </c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8"/>
      <c r="P164" s="198"/>
      <c r="Q164" s="197"/>
      <c r="R164" s="197"/>
      <c r="S164" s="197"/>
      <c r="T164" s="197"/>
      <c r="U164" s="197"/>
      <c r="V164" s="197"/>
    </row>
    <row r="165" spans="1:22" s="11" customFormat="1">
      <c r="A165" s="197" t="s">
        <v>257</v>
      </c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8"/>
      <c r="P165" s="198"/>
      <c r="Q165" s="197"/>
      <c r="R165" s="197"/>
      <c r="S165" s="197"/>
      <c r="T165" s="197"/>
      <c r="U165" s="197"/>
      <c r="V165" s="197"/>
    </row>
    <row r="166" spans="1:22" s="11" customFormat="1">
      <c r="A166" s="197" t="s">
        <v>258</v>
      </c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8"/>
      <c r="P166" s="198"/>
      <c r="Q166" s="197"/>
      <c r="R166" s="197"/>
      <c r="S166" s="197"/>
      <c r="T166" s="197"/>
      <c r="U166" s="197"/>
      <c r="V166" s="197"/>
    </row>
    <row r="167" spans="1:22" s="11" customFormat="1">
      <c r="A167" s="197" t="s">
        <v>259</v>
      </c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8"/>
      <c r="P167" s="198"/>
      <c r="Q167" s="197"/>
      <c r="R167" s="197"/>
      <c r="S167" s="197"/>
      <c r="T167" s="197"/>
      <c r="U167" s="197"/>
      <c r="V167" s="197"/>
    </row>
    <row r="168" spans="1:22" s="11" customFormat="1">
      <c r="A168" s="197" t="s">
        <v>260</v>
      </c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8"/>
      <c r="P168" s="198"/>
      <c r="Q168" s="197"/>
      <c r="R168" s="197"/>
      <c r="S168" s="197"/>
      <c r="T168" s="197"/>
      <c r="U168" s="197"/>
      <c r="V168" s="197"/>
    </row>
    <row r="169" spans="1:22" s="11" customFormat="1">
      <c r="A169" s="197" t="s">
        <v>261</v>
      </c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8"/>
      <c r="P169" s="198"/>
      <c r="Q169" s="197"/>
      <c r="R169" s="197"/>
      <c r="S169" s="197"/>
      <c r="T169" s="197"/>
      <c r="U169" s="197"/>
      <c r="V169" s="197"/>
    </row>
    <row r="170" spans="1:22" s="11" customFormat="1">
      <c r="A170" s="197" t="s">
        <v>262</v>
      </c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8"/>
      <c r="P170" s="198"/>
      <c r="Q170" s="197"/>
      <c r="R170" s="197"/>
      <c r="S170" s="197"/>
      <c r="T170" s="197"/>
      <c r="U170" s="197"/>
      <c r="V170" s="197"/>
    </row>
    <row r="171" spans="1:22" s="11" customFormat="1">
      <c r="A171" s="197" t="s">
        <v>263</v>
      </c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8"/>
      <c r="P171" s="198"/>
      <c r="Q171" s="197"/>
      <c r="R171" s="197"/>
      <c r="S171" s="197"/>
      <c r="T171" s="197"/>
      <c r="U171" s="197"/>
      <c r="V171" s="197"/>
    </row>
    <row r="172" spans="1:22" s="11" customFormat="1">
      <c r="A172" s="197" t="s">
        <v>264</v>
      </c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8"/>
      <c r="P172" s="198"/>
      <c r="Q172" s="197"/>
      <c r="R172" s="197"/>
      <c r="S172" s="197"/>
      <c r="T172" s="197"/>
      <c r="U172" s="197"/>
      <c r="V172" s="197"/>
    </row>
    <row r="173" spans="1:22" s="11" customFormat="1">
      <c r="A173" s="197" t="s">
        <v>265</v>
      </c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8"/>
      <c r="P173" s="198"/>
      <c r="Q173" s="197"/>
      <c r="R173" s="197"/>
      <c r="S173" s="197"/>
      <c r="T173" s="197"/>
      <c r="U173" s="197"/>
      <c r="V173" s="197"/>
    </row>
    <row r="174" spans="1:22" s="11" customFormat="1">
      <c r="A174" s="197" t="s">
        <v>266</v>
      </c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8"/>
      <c r="P174" s="198"/>
      <c r="Q174" s="197"/>
      <c r="R174" s="197"/>
      <c r="S174" s="197"/>
      <c r="T174" s="197"/>
      <c r="U174" s="197"/>
      <c r="V174" s="197"/>
    </row>
    <row r="175" spans="1:22" s="11" customFormat="1">
      <c r="A175" s="197" t="s">
        <v>267</v>
      </c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8"/>
      <c r="P175" s="198"/>
      <c r="Q175" s="197"/>
      <c r="R175" s="197"/>
      <c r="S175" s="197"/>
      <c r="T175" s="197"/>
      <c r="U175" s="197"/>
      <c r="V175" s="197"/>
    </row>
    <row r="176" spans="1:22" s="11" customFormat="1">
      <c r="A176" s="197" t="s">
        <v>268</v>
      </c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8"/>
      <c r="P176" s="198"/>
      <c r="Q176" s="197"/>
      <c r="R176" s="197"/>
      <c r="S176" s="197"/>
      <c r="T176" s="197"/>
      <c r="U176" s="197"/>
      <c r="V176" s="197"/>
    </row>
    <row r="177" spans="1:22" s="11" customFormat="1">
      <c r="A177" s="197" t="s">
        <v>269</v>
      </c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8"/>
      <c r="P177" s="198"/>
      <c r="Q177" s="197"/>
      <c r="R177" s="197"/>
      <c r="S177" s="197"/>
      <c r="T177" s="197"/>
      <c r="U177" s="197"/>
      <c r="V177" s="197"/>
    </row>
    <row r="178" spans="1:22" s="11" customFormat="1">
      <c r="A178" s="197" t="s">
        <v>270</v>
      </c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8"/>
      <c r="P178" s="198"/>
      <c r="Q178" s="197"/>
      <c r="R178" s="197"/>
      <c r="S178" s="197"/>
      <c r="T178" s="197"/>
      <c r="U178" s="197"/>
      <c r="V178" s="197"/>
    </row>
    <row r="179" spans="1:22" s="11" customFormat="1">
      <c r="A179" s="197" t="s">
        <v>271</v>
      </c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8"/>
      <c r="P179" s="198"/>
      <c r="Q179" s="197"/>
      <c r="R179" s="197"/>
      <c r="S179" s="197"/>
      <c r="T179" s="197"/>
      <c r="U179" s="197"/>
      <c r="V179" s="197"/>
    </row>
    <row r="180" spans="1:22" s="11" customFormat="1">
      <c r="A180" s="197" t="s">
        <v>272</v>
      </c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8"/>
      <c r="P180" s="198"/>
      <c r="Q180" s="197"/>
      <c r="R180" s="197"/>
      <c r="S180" s="197"/>
      <c r="T180" s="197"/>
      <c r="U180" s="197"/>
      <c r="V180" s="197"/>
    </row>
    <row r="181" spans="1:22" s="11" customFormat="1">
      <c r="A181" s="197" t="s">
        <v>273</v>
      </c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8"/>
      <c r="P181" s="198"/>
      <c r="Q181" s="197"/>
      <c r="R181" s="197"/>
      <c r="S181" s="197"/>
      <c r="T181" s="197"/>
      <c r="U181" s="197"/>
      <c r="V181" s="197"/>
    </row>
    <row r="182" spans="1:22" s="11" customFormat="1">
      <c r="A182" s="197" t="s">
        <v>274</v>
      </c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8"/>
      <c r="P182" s="198"/>
      <c r="Q182" s="197"/>
      <c r="R182" s="197"/>
      <c r="S182" s="197"/>
      <c r="T182" s="197"/>
      <c r="U182" s="197"/>
      <c r="V182" s="197"/>
    </row>
    <row r="183" spans="1:22" s="11" customFormat="1">
      <c r="A183" s="197" t="s">
        <v>275</v>
      </c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8"/>
      <c r="P183" s="198"/>
      <c r="Q183" s="197"/>
      <c r="R183" s="197"/>
      <c r="S183" s="197"/>
      <c r="T183" s="197"/>
      <c r="U183" s="197"/>
      <c r="V183" s="197"/>
    </row>
    <row r="184" spans="1:22" s="11" customFormat="1">
      <c r="A184" s="197" t="s">
        <v>276</v>
      </c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8"/>
      <c r="P184" s="198"/>
      <c r="Q184" s="197"/>
      <c r="R184" s="197"/>
      <c r="S184" s="197"/>
      <c r="T184" s="197"/>
      <c r="U184" s="197"/>
      <c r="V184" s="197"/>
    </row>
    <row r="185" spans="1:22" s="11" customFormat="1">
      <c r="A185" s="197" t="s">
        <v>277</v>
      </c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8"/>
      <c r="P185" s="198"/>
      <c r="Q185" s="197"/>
      <c r="R185" s="197"/>
      <c r="S185" s="197"/>
      <c r="T185" s="197"/>
      <c r="U185" s="197"/>
      <c r="V185" s="197"/>
    </row>
    <row r="186" spans="1:22" s="11" customFormat="1">
      <c r="A186" s="197" t="s">
        <v>278</v>
      </c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8"/>
      <c r="P186" s="198"/>
      <c r="Q186" s="197"/>
      <c r="R186" s="197"/>
      <c r="S186" s="197"/>
      <c r="T186" s="197"/>
      <c r="U186" s="197"/>
      <c r="V186" s="197"/>
    </row>
    <row r="187" spans="1:22" s="11" customFormat="1">
      <c r="A187" s="197" t="s">
        <v>279</v>
      </c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8"/>
      <c r="P187" s="198"/>
      <c r="Q187" s="197"/>
      <c r="R187" s="197"/>
      <c r="S187" s="197"/>
      <c r="T187" s="197"/>
      <c r="U187" s="197"/>
      <c r="V187" s="197"/>
    </row>
    <row r="188" spans="1:22" s="11" customFormat="1">
      <c r="A188" s="197" t="s">
        <v>280</v>
      </c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8"/>
      <c r="P188" s="198"/>
      <c r="Q188" s="197"/>
      <c r="R188" s="197"/>
      <c r="S188" s="197"/>
      <c r="T188" s="197"/>
      <c r="U188" s="197"/>
      <c r="V188" s="197"/>
    </row>
    <row r="189" spans="1:22" s="11" customFormat="1">
      <c r="A189" s="197" t="s">
        <v>281</v>
      </c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8"/>
      <c r="P189" s="198"/>
      <c r="Q189" s="197"/>
      <c r="R189" s="197"/>
      <c r="S189" s="197"/>
      <c r="T189" s="197"/>
      <c r="U189" s="197"/>
      <c r="V189" s="197"/>
    </row>
    <row r="190" spans="1:22" s="11" customFormat="1">
      <c r="A190" s="197" t="s">
        <v>282</v>
      </c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8"/>
      <c r="P190" s="198"/>
      <c r="Q190" s="197"/>
      <c r="R190" s="197"/>
      <c r="S190" s="197"/>
      <c r="T190" s="197"/>
      <c r="U190" s="197"/>
      <c r="V190" s="197"/>
    </row>
    <row r="191" spans="1:22" s="11" customFormat="1">
      <c r="A191" s="197" t="s">
        <v>283</v>
      </c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8"/>
      <c r="P191" s="198"/>
      <c r="Q191" s="197"/>
      <c r="R191" s="197"/>
      <c r="S191" s="197"/>
      <c r="T191" s="197"/>
      <c r="U191" s="197"/>
      <c r="V191" s="197"/>
    </row>
    <row r="192" spans="1:22" s="11" customFormat="1">
      <c r="A192" s="197" t="s">
        <v>284</v>
      </c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8"/>
      <c r="P192" s="198"/>
      <c r="Q192" s="197"/>
      <c r="R192" s="197"/>
      <c r="S192" s="197"/>
      <c r="T192" s="197"/>
      <c r="U192" s="197"/>
      <c r="V192" s="197"/>
    </row>
    <row r="193" spans="1:22" s="11" customFormat="1">
      <c r="A193" s="197" t="s">
        <v>285</v>
      </c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8"/>
      <c r="P193" s="198"/>
      <c r="Q193" s="197"/>
      <c r="R193" s="197"/>
      <c r="S193" s="197"/>
      <c r="T193" s="197"/>
      <c r="U193" s="197"/>
      <c r="V193" s="197"/>
    </row>
    <row r="194" spans="1:22" s="11" customFormat="1">
      <c r="A194" s="197" t="s">
        <v>286</v>
      </c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8"/>
      <c r="P194" s="198"/>
      <c r="Q194" s="197"/>
      <c r="R194" s="197"/>
      <c r="S194" s="197"/>
      <c r="T194" s="197"/>
      <c r="U194" s="197"/>
      <c r="V194" s="197"/>
    </row>
    <row r="195" spans="1:22" s="11" customFormat="1">
      <c r="A195" s="197" t="s">
        <v>287</v>
      </c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8"/>
      <c r="P195" s="198"/>
      <c r="Q195" s="197"/>
      <c r="R195" s="197"/>
      <c r="S195" s="197"/>
      <c r="T195" s="197"/>
      <c r="U195" s="197"/>
      <c r="V195" s="197"/>
    </row>
    <row r="196" spans="1:22" s="11" customFormat="1">
      <c r="A196" s="197" t="s">
        <v>288</v>
      </c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8"/>
      <c r="P196" s="198"/>
      <c r="Q196" s="197"/>
      <c r="R196" s="197"/>
      <c r="S196" s="197"/>
      <c r="T196" s="197"/>
      <c r="U196" s="197"/>
      <c r="V196" s="197"/>
    </row>
    <row r="197" spans="1:22" s="11" customFormat="1">
      <c r="A197" s="197" t="s">
        <v>289</v>
      </c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8"/>
      <c r="P197" s="198"/>
      <c r="Q197" s="197"/>
      <c r="R197" s="197"/>
      <c r="S197" s="197"/>
      <c r="T197" s="197"/>
      <c r="U197" s="197"/>
      <c r="V197" s="197"/>
    </row>
    <row r="198" spans="1:22" s="11" customFormat="1">
      <c r="A198" s="197" t="s">
        <v>290</v>
      </c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8"/>
      <c r="P198" s="198"/>
      <c r="Q198" s="197"/>
      <c r="R198" s="197"/>
      <c r="S198" s="197"/>
      <c r="T198" s="197"/>
      <c r="U198" s="197"/>
      <c r="V198" s="197"/>
    </row>
    <row r="199" spans="1:22" s="11" customFormat="1">
      <c r="A199" s="197" t="s">
        <v>291</v>
      </c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8"/>
      <c r="P199" s="198"/>
      <c r="Q199" s="197"/>
      <c r="R199" s="197"/>
      <c r="S199" s="197"/>
      <c r="T199" s="197"/>
      <c r="U199" s="197"/>
      <c r="V199" s="197"/>
    </row>
    <row r="200" spans="1:22" s="11" customFormat="1">
      <c r="A200" s="197" t="s">
        <v>292</v>
      </c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8"/>
      <c r="P200" s="198"/>
      <c r="Q200" s="197"/>
      <c r="R200" s="197"/>
      <c r="S200" s="197"/>
      <c r="T200" s="197"/>
      <c r="U200" s="197"/>
      <c r="V200" s="197"/>
    </row>
    <row r="201" spans="1:22" s="11" customFormat="1">
      <c r="A201" s="197" t="s">
        <v>293</v>
      </c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8"/>
      <c r="P201" s="198"/>
      <c r="Q201" s="197"/>
      <c r="R201" s="197"/>
      <c r="S201" s="197"/>
      <c r="T201" s="197"/>
      <c r="U201" s="197"/>
      <c r="V201" s="197"/>
    </row>
    <row r="202" spans="1:22" s="11" customFormat="1">
      <c r="A202" s="197" t="s">
        <v>294</v>
      </c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8"/>
      <c r="P202" s="198"/>
      <c r="Q202" s="197"/>
      <c r="R202" s="197"/>
      <c r="S202" s="197"/>
      <c r="T202" s="197"/>
      <c r="U202" s="197"/>
      <c r="V202" s="197"/>
    </row>
    <row r="203" spans="1:22" s="11" customFormat="1">
      <c r="A203" s="197" t="s">
        <v>295</v>
      </c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8"/>
      <c r="P203" s="198"/>
      <c r="Q203" s="197"/>
      <c r="R203" s="197"/>
      <c r="S203" s="197"/>
      <c r="T203" s="197"/>
      <c r="U203" s="197"/>
      <c r="V203" s="197"/>
    </row>
    <row r="204" spans="1:22" s="11" customFormat="1">
      <c r="A204" s="197" t="s">
        <v>296</v>
      </c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8"/>
      <c r="P204" s="198"/>
      <c r="Q204" s="197"/>
      <c r="R204" s="197"/>
      <c r="S204" s="197"/>
      <c r="T204" s="197"/>
      <c r="U204" s="197"/>
      <c r="V204" s="197"/>
    </row>
    <row r="205" spans="1:22" s="11" customFormat="1">
      <c r="A205" s="197" t="s">
        <v>297</v>
      </c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8"/>
      <c r="P205" s="198"/>
      <c r="Q205" s="197"/>
      <c r="R205" s="197"/>
      <c r="S205" s="197"/>
      <c r="T205" s="197"/>
      <c r="U205" s="197"/>
      <c r="V205" s="197"/>
    </row>
    <row r="206" spans="1:22" s="11" customFormat="1">
      <c r="A206" s="197" t="s">
        <v>298</v>
      </c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8"/>
      <c r="P206" s="198"/>
      <c r="Q206" s="197"/>
      <c r="R206" s="197"/>
      <c r="S206" s="197"/>
      <c r="T206" s="197"/>
      <c r="U206" s="197"/>
      <c r="V206" s="197"/>
    </row>
    <row r="207" spans="1:22" s="11" customFormat="1">
      <c r="A207" s="197" t="s">
        <v>299</v>
      </c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8"/>
      <c r="P207" s="198"/>
      <c r="Q207" s="197"/>
      <c r="R207" s="197"/>
      <c r="S207" s="197"/>
      <c r="T207" s="197"/>
      <c r="U207" s="197"/>
      <c r="V207" s="197"/>
    </row>
    <row r="208" spans="1:22" s="11" customFormat="1">
      <c r="A208" s="197" t="s">
        <v>300</v>
      </c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8"/>
      <c r="P208" s="198"/>
      <c r="Q208" s="197"/>
      <c r="R208" s="197"/>
      <c r="S208" s="197"/>
      <c r="T208" s="197"/>
      <c r="U208" s="197"/>
      <c r="V208" s="197"/>
    </row>
    <row r="209" spans="1:22" s="11" customFormat="1">
      <c r="A209" s="197" t="s">
        <v>301</v>
      </c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8"/>
      <c r="P209" s="198"/>
      <c r="Q209" s="197"/>
      <c r="R209" s="197"/>
      <c r="S209" s="197"/>
      <c r="T209" s="197"/>
      <c r="U209" s="197"/>
      <c r="V209" s="197"/>
    </row>
    <row r="210" spans="1:22" s="11" customFormat="1">
      <c r="A210" s="197" t="s">
        <v>302</v>
      </c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8"/>
      <c r="P210" s="198"/>
      <c r="Q210" s="197"/>
      <c r="R210" s="197"/>
      <c r="S210" s="197"/>
      <c r="T210" s="197"/>
      <c r="U210" s="197"/>
      <c r="V210" s="197"/>
    </row>
    <row r="211" spans="1:22" s="11" customFormat="1">
      <c r="A211" s="197" t="s">
        <v>303</v>
      </c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8"/>
      <c r="P211" s="198"/>
      <c r="Q211" s="197"/>
      <c r="R211" s="197"/>
      <c r="S211" s="197"/>
      <c r="T211" s="197"/>
      <c r="U211" s="197"/>
      <c r="V211" s="197"/>
    </row>
    <row r="212" spans="1:22" s="11" customFormat="1">
      <c r="A212" s="197" t="s">
        <v>304</v>
      </c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8"/>
      <c r="P212" s="198"/>
      <c r="Q212" s="197"/>
      <c r="R212" s="197"/>
      <c r="S212" s="197"/>
      <c r="T212" s="197"/>
      <c r="U212" s="197"/>
      <c r="V212" s="197"/>
    </row>
    <row r="213" spans="1:22" s="11" customFormat="1">
      <c r="A213" s="197" t="s">
        <v>305</v>
      </c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8"/>
      <c r="P213" s="198"/>
      <c r="Q213" s="197"/>
      <c r="R213" s="197"/>
      <c r="S213" s="197"/>
      <c r="T213" s="197"/>
      <c r="U213" s="197"/>
      <c r="V213" s="197"/>
    </row>
    <row r="214" spans="1:22" s="11" customFormat="1">
      <c r="A214" s="197" t="s">
        <v>306</v>
      </c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8"/>
      <c r="P214" s="198"/>
      <c r="Q214" s="197"/>
      <c r="R214" s="197"/>
      <c r="S214" s="197"/>
      <c r="T214" s="197"/>
      <c r="U214" s="197"/>
      <c r="V214" s="197"/>
    </row>
    <row r="215" spans="1:22" s="11" customFormat="1">
      <c r="A215" s="197" t="s">
        <v>307</v>
      </c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8"/>
      <c r="P215" s="198"/>
      <c r="Q215" s="197"/>
      <c r="R215" s="197"/>
      <c r="S215" s="197"/>
      <c r="T215" s="197"/>
      <c r="U215" s="197"/>
      <c r="V215" s="197"/>
    </row>
    <row r="216" spans="1:22" s="11" customFormat="1">
      <c r="A216" s="197" t="s">
        <v>308</v>
      </c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8"/>
      <c r="P216" s="198"/>
      <c r="Q216" s="197"/>
      <c r="R216" s="197"/>
      <c r="S216" s="197"/>
      <c r="T216" s="197"/>
      <c r="U216" s="197"/>
      <c r="V216" s="197"/>
    </row>
    <row r="217" spans="1:22" s="11" customFormat="1">
      <c r="A217" s="197" t="s">
        <v>309</v>
      </c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8"/>
      <c r="P217" s="198"/>
      <c r="Q217" s="197"/>
      <c r="R217" s="197"/>
      <c r="S217" s="197"/>
      <c r="T217" s="197"/>
      <c r="U217" s="197"/>
      <c r="V217" s="197"/>
    </row>
    <row r="218" spans="1:22" s="11" customFormat="1">
      <c r="A218" s="197" t="s">
        <v>310</v>
      </c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8"/>
      <c r="P218" s="198"/>
      <c r="Q218" s="197"/>
      <c r="R218" s="197"/>
      <c r="S218" s="197"/>
      <c r="T218" s="197"/>
      <c r="U218" s="197"/>
      <c r="V218" s="197"/>
    </row>
    <row r="219" spans="1:22" s="147" customFormat="1"/>
    <row r="220" spans="1:22"/>
  </sheetData>
  <mergeCells count="13">
    <mergeCell ref="L16:V16"/>
    <mergeCell ref="A1:U1"/>
    <mergeCell ref="B16:F16"/>
    <mergeCell ref="H16:H17"/>
    <mergeCell ref="I16:I17"/>
    <mergeCell ref="J16:J17"/>
    <mergeCell ref="K16:K17"/>
    <mergeCell ref="L2:V2"/>
    <mergeCell ref="H2:H3"/>
    <mergeCell ref="I2:I3"/>
    <mergeCell ref="J2:J3"/>
    <mergeCell ref="K2:K3"/>
    <mergeCell ref="B2:G2"/>
  </mergeCells>
  <dataValidations count="5">
    <dataValidation type="list" allowBlank="1" showInputMessage="1" showErrorMessage="1" errorTitle="Incorrect data entered" error="The entry shall be selected from the list of possible entries" sqref="C19:G218" xr:uid="{00000000-0002-0000-0400-000000000000}">
      <formula1>$C$7:$C$8</formula1>
    </dataValidation>
    <dataValidation type="decimal" operator="greaterThanOrEqual" allowBlank="1" showInputMessage="1" showErrorMessage="1" errorTitle="Incorrect data entered" error="A non negative number (in units of 'euros') must be entered" sqref="H19:K218 U19:U218" xr:uid="{00000000-0002-0000-0400-000001000000}">
      <formula1>0</formula1>
    </dataValidation>
    <dataValidation type="decimal" operator="greaterThanOrEqual" allowBlank="1" showInputMessage="1" showErrorMessage="1" errorTitle="Incorrect data entered" error="A non negative number must be entered" sqref="A19:A218 L19:N218 Q19:T218" xr:uid="{00000000-0002-0000-0400-000002000000}">
      <formula1>0</formula1>
    </dataValidation>
    <dataValidation type="decimal" allowBlank="1" showInputMessage="1" showErrorMessage="1" errorTitle="Incorrect data entered" error="A number between 0 and 1 must be entered" sqref="O19:P218" xr:uid="{00000000-0002-0000-0400-000003000000}">
      <formula1>0</formula1>
      <formula2>1</formula2>
    </dataValidation>
    <dataValidation type="list" allowBlank="1" showInputMessage="1" showErrorMessage="1" errorTitle="Incorrect data entered" error="The entry shall be selected from the list of possible entries" sqref="B19:B218" xr:uid="{18D8704B-2E51-42F2-9BF3-668C6A251A90}">
      <formula1>$B$7:$B$15</formula1>
    </dataValidation>
  </dataValidations>
  <pageMargins left="0.25" right="0.25" top="0.75" bottom="0.75" header="0.3" footer="0.3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XMLData TextToDisplay="%CLASSIFICATIONDATETIME%">11:04 30/07/2019</XMLData>
</file>

<file path=customXml/item2.xml><?xml version="1.0" encoding="utf-8"?>
<XMLData TextToDisplay="%EMAILADDRESS%">midrumond@bportugal.pt</XMLData>
</file>

<file path=customXml/item3.xml><?xml version="1.0" encoding="utf-8"?>
<XMLData TextToDisplay="%DOCUMENTGUID%">{00000000-0000-0000-0000-000000000000}</XMLData>
</file>

<file path=customXml/item4.xml><?xml version="1.0" encoding="utf-8"?>
<XMLData TextToDisplay="%HOSTNAME%">L019734.bdp.pt</XMLData>
</file>

<file path=customXml/item5.xml><?xml version="1.0" encoding="utf-8"?>
<XMLData TextToDisplay="RightsWATCHMark">9|BDP-Externo-Confidencial|{00000000-0000-0000-0000-000000000000}</XMLData>
</file>

<file path=customXml/item6.xml><?xml version="1.0" encoding="utf-8"?>
<XMLData TextToDisplay="%USERNAME%">DSU061</XMLData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C09795A-898A-4EDD-AE90-B180602D4E74}">
  <ds:schemaRefs/>
</ds:datastoreItem>
</file>

<file path=customXml/itemProps2.xml><?xml version="1.0" encoding="utf-8"?>
<ds:datastoreItem xmlns:ds="http://schemas.openxmlformats.org/officeDocument/2006/customXml" ds:itemID="{CE181FAF-F515-41E1-B286-5C6F263DF301}">
  <ds:schemaRefs/>
</ds:datastoreItem>
</file>

<file path=customXml/itemProps3.xml><?xml version="1.0" encoding="utf-8"?>
<ds:datastoreItem xmlns:ds="http://schemas.openxmlformats.org/officeDocument/2006/customXml" ds:itemID="{BA0EE55E-A0A1-4662-BE68-73FD31D6B4C4}">
  <ds:schemaRefs/>
</ds:datastoreItem>
</file>

<file path=customXml/itemProps4.xml><?xml version="1.0" encoding="utf-8"?>
<ds:datastoreItem xmlns:ds="http://schemas.openxmlformats.org/officeDocument/2006/customXml" ds:itemID="{77F79B2F-5B10-4511-A597-FE94F5F14076}">
  <ds:schemaRefs/>
</ds:datastoreItem>
</file>

<file path=customXml/itemProps5.xml><?xml version="1.0" encoding="utf-8"?>
<ds:datastoreItem xmlns:ds="http://schemas.openxmlformats.org/officeDocument/2006/customXml" ds:itemID="{97433A03-FA66-44B8-8244-2A82BA21CF69}">
  <ds:schemaRefs/>
</ds:datastoreItem>
</file>

<file path=customXml/itemProps6.xml><?xml version="1.0" encoding="utf-8"?>
<ds:datastoreItem xmlns:ds="http://schemas.openxmlformats.org/officeDocument/2006/customXml" ds:itemID="{8E731AFA-88D8-4386-80E7-ACB84B06FF34}">
  <ds:schemaRefs/>
</ds:datastoreItem>
</file>

<file path=customXml/itemProps7.xml><?xml version="1.0" encoding="utf-8"?>
<ds:datastoreItem xmlns:ds="http://schemas.openxmlformats.org/officeDocument/2006/customXml" ds:itemID="{99AFBD80-74B4-4418-AE7E-981AD1223335}"/>
</file>

<file path=customXml/itemProps8.xml><?xml version="1.0" encoding="utf-8"?>
<ds:datastoreItem xmlns:ds="http://schemas.openxmlformats.org/officeDocument/2006/customXml" ds:itemID="{8B1C641A-80C7-4969-B9E7-F59DC2D240F3}"/>
</file>

<file path=customXml/itemProps9.xml><?xml version="1.0" encoding="utf-8"?>
<ds:datastoreItem xmlns:ds="http://schemas.openxmlformats.org/officeDocument/2006/customXml" ds:itemID="{85F7C366-EC20-4121-95B4-A9B177E10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0_Identification</vt:lpstr>
      <vt:lpstr>1. NPE Stock - total</vt:lpstr>
      <vt:lpstr>2. NPE Addendum - total</vt:lpstr>
      <vt:lpstr>3. Exemptions Annex - Stock</vt:lpstr>
      <vt:lpstr>4. Exemptions Annex - Addendum</vt:lpstr>
      <vt:lpstr>'1. NPE Stock - total'!Print_Area</vt:lpstr>
      <vt:lpstr>'2. NPE Addendum - total'!Print_Area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2019-06-06T09:19:41Z</dcterms:created>
  <dcterms:modified xsi:type="dcterms:W3CDTF">2023-10-09T09:02:02Z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{CCE22FC4-83AC-4259-AE14-79A6843A5E9A}</vt:lpwstr>
  </property>
  <property fmtid="{D5CDD505-2E9C-101B-9397-08002B2CF9AE}" pid="3" name="RightsWATCHMark">
    <vt:lpwstr>9|BDP-Externo-Confidencial|{00000000-0000-0000-0000-000000000000}</vt:lpwstr>
  </property>
  <property fmtid="{D5CDD505-2E9C-101B-9397-08002B2CF9AE}" pid="4" name="ContentTypeId">
    <vt:lpwstr>0x010100845A6BCA4ACA584C9A1C03FD3956D51C</vt:lpwstr>
  </property>
</Properties>
</file>