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hidePivotFieldList="1" defaultThemeVersion="166925"/>
  <mc:AlternateContent xmlns:mc="http://schemas.openxmlformats.org/markup-compatibility/2006">
    <mc:Choice Requires="x15">
      <x15ac:absPath xmlns:x15ac="http://schemas.microsoft.com/office/spreadsheetml/2010/11/ac" url="C:\Users\puellbe\AppData\Roaming\OpenText\OTEdit\EC_darwin\c1749357028\"/>
    </mc:Choice>
  </mc:AlternateContent>
  <xr:revisionPtr revIDLastSave="0" documentId="13_ncr:1_{190EAE6C-F160-487E-9749-1BAC25AB3482}" xr6:coauthVersionLast="47" xr6:coauthVersionMax="47" xr10:uidLastSave="{00000000-0000-0000-0000-000000000000}"/>
  <bookViews>
    <workbookView xWindow="-120" yWindow="-120" windowWidth="29040" windowHeight="15840" tabRatio="890" activeTab="5" xr2:uid="{00000000-000D-0000-FFFF-FFFF00000000}"/>
  </bookViews>
  <sheets>
    <sheet name="0_ReadMe" sheetId="34" r:id="rId1"/>
    <sheet name="0_Identification" sheetId="32" r:id="rId2"/>
    <sheet name="1_Overall impacts" sheetId="29" r:id="rId3"/>
    <sheet name="1a_PnL and OCI impacts" sheetId="18" r:id="rId4"/>
    <sheet name="1b_PRR impacts" sheetId="26" r:id="rId5"/>
    <sheet name="2_VaR" sheetId="36" r:id="rId6"/>
    <sheet name="3_EQRBB" sheetId="10" r:id="rId7"/>
    <sheet name="4_SFX" sheetId="17" r:id="rId8"/>
    <sheet name="5_FVadj" sheetId="25" r:id="rId9"/>
    <sheet name="6_PRR levelling" sheetId="31" r:id="rId10"/>
    <sheet name="Currencies" sheetId="35" state="hidden" r:id="rId11"/>
  </sheets>
  <definedNames>
    <definedName name="_xlnm._FilterDatabase" localSheetId="3" hidden="1">'1a_PnL and OCI impacts'!$A$7:$K$33</definedName>
    <definedName name="_xlnm._FilterDatabase" localSheetId="10" hidden="1">Currencies!$A$1:$B$160</definedName>
    <definedName name="_ftn1" localSheetId="3">'1a_PnL and OCI impacts'!#REF!</definedName>
    <definedName name="_ftn2" localSheetId="3">'1a_PnL and OCI impacts'!#REF!</definedName>
    <definedName name="all_data" localSheetId="8">#REF!</definedName>
    <definedName name="all_data" localSheetId="9">#REF!</definedName>
    <definedName name="all_data">#REF!</definedName>
    <definedName name="base_krzystof" localSheetId="8">#REF!</definedName>
    <definedName name="base_krzystof" localSheetId="9">#REF!</definedName>
    <definedName name="base_krzystof">#REF!</definedName>
    <definedName name="CIQWBGuid" hidden="1">"7e525bda-e4cc-4a79-82c8-23442e82dee3"</definedName>
    <definedName name="DataPointIDs" localSheetId="8">#REF!</definedName>
    <definedName name="DataPointIDs" localSheetId="9">#REF!</definedName>
    <definedName name="DataPointIDs">#REF!</definedName>
    <definedName name="DataPointTooltips" localSheetId="8">#REF!</definedName>
    <definedName name="DataPointTooltips" localSheetId="9">#REF!</definedName>
    <definedName name="DataPointTooltips">#REF!</definedName>
    <definedName name="DBName" localSheetId="8">#REF!</definedName>
    <definedName name="DBName" localSheetId="9">#REF!</definedName>
    <definedName name="DBName">#REF!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yData" localSheetId="8">OFFSET(#REF!,0,0,MATCH("*",#REF!,-1),6)</definedName>
    <definedName name="myData" localSheetId="9">OFFSET(#REF!,0,0,MATCH("*",#REF!,-1),6)</definedName>
    <definedName name="myData">OFFSET(#REF!,0,0,MATCH("*",#REF!,-1),6)</definedName>
    <definedName name="myFilterSelection" localSheetId="8">#REF!</definedName>
    <definedName name="myFilterSelection" localSheetId="9">#REF!</definedName>
    <definedName name="myFilterSelection">#REF!</definedName>
    <definedName name="myPivotTable" localSheetId="8">#REF!</definedName>
    <definedName name="myPivotTable" localSheetId="9">#REF!</definedName>
    <definedName name="myPivotTable">#REF!</definedName>
    <definedName name="myPivotTableStart" localSheetId="8">#REF!</definedName>
    <definedName name="myPivotTableStart" localSheetId="9">#REF!</definedName>
    <definedName name="myPivotTableStart">#REF!</definedName>
    <definedName name="_xlnm.Print_Area" localSheetId="0">'0_ReadMe'!$A$1:$G$46</definedName>
    <definedName name="_xlnm.Print_Area" localSheetId="7">'4_SFX'!$A$1:$AM$29</definedName>
    <definedName name="suba" localSheetId="8">#REF!</definedName>
    <definedName name="suba" localSheetId="9">#REF!</definedName>
    <definedName name="suba">#REF!</definedName>
    <definedName name="tbl_1_Overall_impacts">'1_Overall impacts'!$B$7:$J$17</definedName>
    <definedName name="tbl_1a_PnL_OCI_impacts">'1a_PnL and OCI impacts'!$G$6:$K$33</definedName>
    <definedName name="tbl_1b_PRR_Impacts">'1b_PRR impacts'!$F$6:$I$39</definedName>
    <definedName name="tbl_2_VaR_ES" localSheetId="5">'2_VaR'!$C$6:$H$10</definedName>
    <definedName name="tbl_2_VaR_ES">#REF!</definedName>
    <definedName name="tbl_2_VaR_overshooring" localSheetId="5">'2_VaR'!$B$14:$E$20</definedName>
    <definedName name="tbl_2_VaR_overshooring">#REF!</definedName>
    <definedName name="tbl_2_VaR_Qualitative_questions" localSheetId="5">'2_VaR'!#REF!</definedName>
    <definedName name="tbl_2_VaR_Qualitative_questions">#REF!</definedName>
    <definedName name="tbl_3_EQRBB">'3_EQRBB'!$E$7:$I$20</definedName>
    <definedName name="tbl_4_SFX">'4_SFX'!$D$6:$N$28</definedName>
    <definedName name="tbl_5_FVadj">'5_FVadj'!$C$6:$G$8</definedName>
    <definedName name="tbl_6_PRR_levelling">'6_PRR levelling'!$D$7:$AC$19</definedName>
    <definedName name="Templates" localSheetId="8">#REF!</definedName>
    <definedName name="Templates" localSheetId="9">#REF!</definedName>
    <definedName name="Templa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32" l="1"/>
  <c r="E32" i="32" l="1"/>
  <c r="H8" i="29" l="1"/>
  <c r="E21" i="32" l="1"/>
  <c r="I9" i="29"/>
  <c r="E40" i="32"/>
  <c r="G17" i="29" l="1"/>
  <c r="H4" i="18" l="1"/>
  <c r="G4" i="29"/>
  <c r="E37" i="32" l="1"/>
  <c r="E29" i="32"/>
  <c r="J8" i="29" l="1"/>
  <c r="G38" i="26" l="1"/>
  <c r="H34" i="26"/>
  <c r="G34" i="26"/>
  <c r="H29" i="26"/>
  <c r="G29" i="26"/>
  <c r="I24" i="26"/>
  <c r="H23" i="26"/>
  <c r="G23" i="26"/>
  <c r="H22" i="26"/>
  <c r="G22" i="26"/>
  <c r="H21" i="26"/>
  <c r="G21" i="26"/>
  <c r="H18" i="26"/>
  <c r="G18" i="26"/>
  <c r="H15" i="26"/>
  <c r="G15" i="26"/>
  <c r="H12" i="26"/>
  <c r="G12" i="26"/>
  <c r="H9" i="26"/>
  <c r="G9" i="26"/>
  <c r="J14" i="29" l="1"/>
  <c r="H24" i="26"/>
  <c r="G35" i="26"/>
  <c r="G24" i="26"/>
  <c r="H35" i="26"/>
  <c r="I26" i="18"/>
  <c r="H9" i="29" s="1"/>
  <c r="H26" i="18"/>
  <c r="I12" i="29" l="1"/>
  <c r="I13" i="29"/>
  <c r="J13" i="18"/>
  <c r="I11" i="29" s="1"/>
  <c r="I13" i="18"/>
  <c r="H11" i="29" s="1"/>
  <c r="H13" i="18"/>
  <c r="J33" i="18"/>
  <c r="I10" i="29" s="1"/>
  <c r="I33" i="18"/>
  <c r="H10" i="29" s="1"/>
  <c r="H33" i="18"/>
  <c r="J26" i="18"/>
</calcChain>
</file>

<file path=xl/sharedStrings.xml><?xml version="1.0" encoding="utf-8"?>
<sst xmlns="http://schemas.openxmlformats.org/spreadsheetml/2006/main" count="933" uniqueCount="563">
  <si>
    <t>Currencies</t>
  </si>
  <si>
    <t>Net open position in the currency previous to any exemption</t>
  </si>
  <si>
    <t>Positions not suitable for the exemption</t>
  </si>
  <si>
    <t>Max open position</t>
  </si>
  <si>
    <t>Excluded open position</t>
  </si>
  <si>
    <t>Sensitivity - prescribed formula</t>
  </si>
  <si>
    <t xml:space="preserve">Sensitivity - internal methodogies </t>
  </si>
  <si>
    <t xml:space="preserve">Structural positions included in the sensitivity </t>
  </si>
  <si>
    <t>Credit risk RWA in the foreign CCY over total RWA (%)</t>
  </si>
  <si>
    <t>Number</t>
  </si>
  <si>
    <t>Identifier (e.g. USD)</t>
  </si>
  <si>
    <t>Bucket</t>
  </si>
  <si>
    <t>Delta risk factors</t>
  </si>
  <si>
    <t>Spot prices</t>
  </si>
  <si>
    <t>Large</t>
  </si>
  <si>
    <t>Emerging market economy</t>
  </si>
  <si>
    <t>Consumer goods and services, transportation and storage, administrative and support service activities, healthcare, utilities</t>
  </si>
  <si>
    <t>Telecommunications, industrials</t>
  </si>
  <si>
    <t>Basic materials, energy, agriculture, manufacturing, mining and quarrying</t>
  </si>
  <si>
    <t>Financials including government-backed financials, real estate activities, technology</t>
  </si>
  <si>
    <t>Advanced economy</t>
  </si>
  <si>
    <t>Small</t>
  </si>
  <si>
    <t>Other sector</t>
  </si>
  <si>
    <t>Large market capitalisation, advanced economy indices</t>
  </si>
  <si>
    <t>FVOCI</t>
  </si>
  <si>
    <t>Net asset and liabilities</t>
  </si>
  <si>
    <t xml:space="preserve"> FVPL</t>
  </si>
  <si>
    <t>Held with a trading intent and their related economic hedges</t>
  </si>
  <si>
    <t>Economic hedges excluding hedges of items held with a trading intent</t>
  </si>
  <si>
    <t>Mandatory or optional at  FVPL</t>
  </si>
  <si>
    <t>Actual</t>
  </si>
  <si>
    <t>Adverse Scenario</t>
  </si>
  <si>
    <t>Notional exposure</t>
  </si>
  <si>
    <t xml:space="preserve">Gains (+) / losses (-) from full revaluation </t>
  </si>
  <si>
    <t>Total</t>
  </si>
  <si>
    <t xml:space="preserve">Total </t>
  </si>
  <si>
    <t xml:space="preserve">PnL impact </t>
  </si>
  <si>
    <t>OCI impact</t>
  </si>
  <si>
    <t>Balance sheet</t>
  </si>
  <si>
    <t>Hedging instruments / hedged item / other use</t>
  </si>
  <si>
    <t>FINREP (breakdown of FINREP 16.4 applied to categories with derivatives and FINREP 4.4 for amortised cost items)</t>
  </si>
  <si>
    <t>Linear or Optional for derivative products</t>
  </si>
  <si>
    <t>Asset</t>
  </si>
  <si>
    <t>Equity instruments</t>
  </si>
  <si>
    <t>Other</t>
  </si>
  <si>
    <t>Credit risk instruments and related derivatives</t>
  </si>
  <si>
    <t>Derivatives related with commodities</t>
  </si>
  <si>
    <t>Equity instruments and related derivatives</t>
  </si>
  <si>
    <t>Foreign exchange trading and derivatives related with foreign exchange and gold</t>
  </si>
  <si>
    <t xml:space="preserve">Interest rate instruments and related derivatives </t>
  </si>
  <si>
    <t xml:space="preserve"> FVPL (HFT)</t>
  </si>
  <si>
    <t>Linear</t>
  </si>
  <si>
    <t>Optional derivatives</t>
  </si>
  <si>
    <t>Managerial 1d-VaR</t>
  </si>
  <si>
    <t>Impact of eligible CVA hedges according to Art. 386 CRR</t>
  </si>
  <si>
    <t xml:space="preserve">Counterparty </t>
  </si>
  <si>
    <t>Credit  or L1/L2/L3 category</t>
  </si>
  <si>
    <t>CVA reserve</t>
  </si>
  <si>
    <t xml:space="preserve">Financial Institutions (Banks, Funds, Asset Managers, etc.)
</t>
  </si>
  <si>
    <t>IG</t>
  </si>
  <si>
    <t>Sub-IG</t>
  </si>
  <si>
    <t xml:space="preserve">Insurers </t>
  </si>
  <si>
    <t xml:space="preserve">Corporates </t>
  </si>
  <si>
    <t xml:space="preserve">Others </t>
  </si>
  <si>
    <t>Level 1</t>
  </si>
  <si>
    <t>Cleared Level 2</t>
  </si>
  <si>
    <t>Other Level 2</t>
  </si>
  <si>
    <t>Level 3</t>
  </si>
  <si>
    <t xml:space="preserve">Memo item - Other reserves </t>
  </si>
  <si>
    <t xml:space="preserve">Day one profit and loss related reserves </t>
  </si>
  <si>
    <t>Fair value adjustments</t>
  </si>
  <si>
    <t>Day 1 P&amp;L</t>
  </si>
  <si>
    <t>Market price uncertainty</t>
  </si>
  <si>
    <t>Close-out costs</t>
  </si>
  <si>
    <t>Model risk</t>
  </si>
  <si>
    <t>Concentrated positions</t>
  </si>
  <si>
    <t>Unearned credit spreads</t>
  </si>
  <si>
    <t>Investing and funding costs</t>
  </si>
  <si>
    <t>Of which: trading book</t>
  </si>
  <si>
    <t>Equities</t>
  </si>
  <si>
    <t>Vega risk factors</t>
  </si>
  <si>
    <t>Other indices</t>
  </si>
  <si>
    <t>#</t>
  </si>
  <si>
    <t>Derivatives</t>
  </si>
  <si>
    <t>Debt securities</t>
  </si>
  <si>
    <t>Weighted sensitivities</t>
  </si>
  <si>
    <t>Positions that are not structural</t>
  </si>
  <si>
    <t xml:space="preserve">Positions suitable for the exemption </t>
  </si>
  <si>
    <t>FVPL</t>
  </si>
  <si>
    <t>FVPL&amp;FVOCI</t>
  </si>
  <si>
    <t>Fair-valued assets and liabilities (Gross)</t>
  </si>
  <si>
    <t>Category level AVA</t>
  </si>
  <si>
    <t>Interest rates</t>
  </si>
  <si>
    <t>Foreign exchange</t>
  </si>
  <si>
    <t>Credit</t>
  </si>
  <si>
    <t>Commodities</t>
  </si>
  <si>
    <t>Others</t>
  </si>
  <si>
    <t>Day1 P&amp;L</t>
  </si>
  <si>
    <t>IPV difference</t>
  </si>
  <si>
    <t>Carrying amount</t>
  </si>
  <si>
    <t>Expected shortfall (optional)</t>
  </si>
  <si>
    <t>Sum of fair value of asset (positive) and liabilities (positive)</t>
  </si>
  <si>
    <t>Fair value</t>
  </si>
  <si>
    <t>PnL</t>
  </si>
  <si>
    <t>Items under stress</t>
  </si>
  <si>
    <t>Assets</t>
  </si>
  <si>
    <t>Reserves - Stress impact under the adverse scenario</t>
  </si>
  <si>
    <t>CVA net of eligible CVA hedges</t>
  </si>
  <si>
    <t>Accounting Liquidity and modelling uncertainty reserves  - FVOCI</t>
  </si>
  <si>
    <t>OCI</t>
  </si>
  <si>
    <t>Daily VaR at reference date</t>
  </si>
  <si>
    <t>75th percentile of daily VaR over the last 250 business days</t>
  </si>
  <si>
    <t>Accounting Liquidity and modelling uncertainty reserves - FVPL</t>
  </si>
  <si>
    <t>o/w Level 3</t>
  </si>
  <si>
    <t>Fair value adjustments (Fvadj)</t>
  </si>
  <si>
    <t>Other Fvadj</t>
  </si>
  <si>
    <t>Template 0_Identification</t>
  </si>
  <si>
    <t>General information</t>
  </si>
  <si>
    <t>Bank LEI code:</t>
  </si>
  <si>
    <t>Level of consolidation:</t>
  </si>
  <si>
    <t>Template "2_VaR"</t>
  </si>
  <si>
    <t>Template "3_EQRBB"</t>
  </si>
  <si>
    <t>Template "4_SFX"</t>
  </si>
  <si>
    <t>Template "5_FVadj"</t>
  </si>
  <si>
    <t>Template "6_PRR levelling"</t>
  </si>
  <si>
    <t>Does the template need to be reported?</t>
  </si>
  <si>
    <t>Please specify which approach you follow: Comprehensive  Approach (CA) or Trading Exemption (TE)?</t>
  </si>
  <si>
    <t>Template "1_Overall Impacts", "1a_PnL and OCI Impacts" and "1b_PRR Impacts"</t>
  </si>
  <si>
    <t>MARKET RISK</t>
  </si>
  <si>
    <t>GENERAL INSTRUCTIONS</t>
  </si>
  <si>
    <t># Total list of currencies</t>
  </si>
  <si>
    <t>Materiality checks</t>
  </si>
  <si>
    <t>Data shall be reported in thousands of euros, i.e. EUR 1 million is to be reported as 1000. Amounts should be rounded to the nearest thousand of euros, i.e. the number should not contain decimals. Numbers should not use thousand separators (no spaces or commas).</t>
  </si>
  <si>
    <t xml:space="preserve">
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
</t>
  </si>
  <si>
    <t>Color codes:</t>
  </si>
  <si>
    <t>Automatic calculations</t>
  </si>
  <si>
    <t>Cell not to be filled in</t>
  </si>
  <si>
    <t>DETAILS</t>
  </si>
  <si>
    <t>Additional Comments box</t>
  </si>
  <si>
    <t>The text box should be used for reporting information regarding: (a) material positions outside the scope of the STE for SREP data collection; (b) quality assurance; (c) empty cells; (d) other information.</t>
  </si>
  <si>
    <t>Sheets "1_Overall impacts", "1a_PnL and OCI impacts" and "1b_PRR impacts"</t>
  </si>
  <si>
    <t>https://www.bankingsupervision.europa.eu/banking/srep/html/STEreportingtemplates.en.html</t>
  </si>
  <si>
    <t>For the detailed instructions of this template, please refer to the dedicated word document ("STE for SREP - READ ME Market risk - reporting instructions"), which is part of the Short Term Exercise for SREP data collection package in Annex 2.</t>
  </si>
  <si>
    <t>Sheet "2_VaR"</t>
  </si>
  <si>
    <t>Sheet "3_EQRBB"</t>
  </si>
  <si>
    <t>Sheet "4_SFX"</t>
  </si>
  <si>
    <t>Sheet "5_FVadj"</t>
  </si>
  <si>
    <t>Sheet "6_PRR levelling"</t>
  </si>
  <si>
    <t>https://www.eba.europa.eu/eba-launches-2023-eu-wide-stress-test-0</t>
  </si>
  <si>
    <r>
      <t xml:space="preserve">Data shall be reported on a </t>
    </r>
    <r>
      <rPr>
        <u/>
        <sz val="11"/>
        <rFont val="Times New Roman"/>
        <family val="1"/>
      </rPr>
      <t>quarterly basis</t>
    </r>
    <r>
      <rPr>
        <sz val="11"/>
        <rFont val="Times New Roman"/>
        <family val="1"/>
      </rPr>
      <t>.</t>
    </r>
  </si>
  <si>
    <t xml:space="preserve">Scaling factor </t>
  </si>
  <si>
    <t>Template 2: VaR</t>
  </si>
  <si>
    <r>
      <t xml:space="preserve">Bank code: </t>
    </r>
    <r>
      <rPr>
        <sz val="11"/>
        <color indexed="8"/>
        <rFont val="Times New Roman"/>
        <family val="1"/>
      </rPr>
      <t>(RIAD MFI code)</t>
    </r>
  </si>
  <si>
    <r>
      <t xml:space="preserve">Bank: </t>
    </r>
    <r>
      <rPr>
        <sz val="11"/>
        <color indexed="8"/>
        <rFont val="Times New Roman"/>
        <family val="1"/>
      </rPr>
      <t>(name)</t>
    </r>
  </si>
  <si>
    <r>
      <t>Reference date:</t>
    </r>
    <r>
      <rPr>
        <sz val="11"/>
        <color indexed="8"/>
        <rFont val="Times New Roman"/>
        <family val="1"/>
      </rPr>
      <t xml:space="preserve"> T (dd/mm/yyyy format)</t>
    </r>
  </si>
  <si>
    <t>Template 3: EQRBB</t>
  </si>
  <si>
    <t>Template 4: SFX</t>
  </si>
  <si>
    <t>Template 5: FVadj</t>
  </si>
  <si>
    <t>Template 6: PRR levelling</t>
  </si>
  <si>
    <t>Other AVA 
(Future administrative costs, Early termination, Operational risk)</t>
  </si>
  <si>
    <t>0010</t>
  </si>
  <si>
    <t>0020</t>
  </si>
  <si>
    <t>0030</t>
  </si>
  <si>
    <t>0040</t>
  </si>
  <si>
    <t>0050</t>
  </si>
  <si>
    <t>0060</t>
  </si>
  <si>
    <t>0070</t>
  </si>
  <si>
    <t>Expected value</t>
  </si>
  <si>
    <t>0080</t>
  </si>
  <si>
    <t>0090</t>
  </si>
  <si>
    <t>0100</t>
  </si>
  <si>
    <t>(thousands EUR)</t>
  </si>
  <si>
    <t>0110</t>
  </si>
  <si>
    <t>0120</t>
  </si>
  <si>
    <t>0130</t>
  </si>
  <si>
    <t>0140</t>
  </si>
  <si>
    <t>0150</t>
  </si>
  <si>
    <t>0160</t>
  </si>
  <si>
    <t>0170</t>
  </si>
  <si>
    <t>0180</t>
  </si>
  <si>
    <t>0190</t>
  </si>
  <si>
    <t>0200</t>
  </si>
  <si>
    <t>0210</t>
  </si>
  <si>
    <t>0220</t>
  </si>
  <si>
    <t>0230</t>
  </si>
  <si>
    <t>0240</t>
  </si>
  <si>
    <t>0250</t>
  </si>
  <si>
    <t>0260</t>
  </si>
  <si>
    <t>0270</t>
  </si>
  <si>
    <t>0280</t>
  </si>
  <si>
    <t>0290</t>
  </si>
  <si>
    <t>0300</t>
  </si>
  <si>
    <t>0310</t>
  </si>
  <si>
    <t>0320</t>
  </si>
  <si>
    <t>0330</t>
  </si>
  <si>
    <t xml:space="preserve">This template contains the inputs and results for the full revaluation of positions under partial or full fair value measurement that should be subject to the market risk scenario as defined under section 3.3 of the Methodological Note of EBA Stress Test. </t>
  </si>
  <si>
    <t>o/w Unearned credit spreads</t>
  </si>
  <si>
    <t>All sectors described under row numbers 0010, 0020, 0030 and 0040</t>
  </si>
  <si>
    <t>All sectors described under row numbers 0050, 0060, 0070 and 0080</t>
  </si>
  <si>
    <t>For the instructions of sheets "1_Overall impacts", "1a_PnL and OCI impacts" and "1b_PRR impacts", please refer to the EBA reporting instructions of the EBA stress-test exercise:</t>
  </si>
  <si>
    <t>Sheets "1_Overall impacts", "1a_PnL and OCI impacts" and "1b_PRR impacts" are based on the related EBA reporting templates, but reduced to capture only the relevant market risk scope.</t>
  </si>
  <si>
    <t>The template gathers data on the Structural FX given the reporting obligations set out in para. 136-137 of EBA/GL/2020/09 (EBA GLs).</t>
  </si>
  <si>
    <r>
      <t xml:space="preserve">Country: </t>
    </r>
    <r>
      <rPr>
        <sz val="11"/>
        <color indexed="8"/>
        <rFont val="Times New Roman"/>
        <family val="1"/>
      </rPr>
      <t>(two-letter ISO code)</t>
    </r>
  </si>
  <si>
    <t>Does the institution use a simplified approach to calculate the AVAs?</t>
  </si>
  <si>
    <t>Does the institution use the core approach to calculate the AVAs?</t>
  </si>
  <si>
    <t>Template 1: Overall impacts</t>
  </si>
  <si>
    <t>Template 1a: PnL and OCI impacts</t>
  </si>
  <si>
    <t>IFRS 9 measurement type</t>
  </si>
  <si>
    <t>Adverse scenario</t>
  </si>
  <si>
    <t>Debt instruments</t>
  </si>
  <si>
    <t>Template 1b: PRR impacts</t>
  </si>
  <si>
    <t>Assets and liabilities</t>
  </si>
  <si>
    <t>Sovereigns, supranationals, local authorities, etc.</t>
  </si>
  <si>
    <t>This template is used to complement the information reported in the COREP template “C 32.02 - Prudent Valuation: Core Approach (PruVal 2)” on the composition of the total AVAs to be deducted from own funds under articles 34 and 105 of Regulation (EU) No 575/2013 alongside relevant information about the accounting valuation of the positions that give rise to the determination of AVAs.</t>
  </si>
  <si>
    <t>This template is used to complement the information reported in the COREP template “C 32.01 - Prudent Valuation: Fair-Valued Assets and Liabilities (PruVal 1)” for the institutions that use the simplified approach.</t>
  </si>
  <si>
    <t>This template gathers detailed information for the calculation of own funds requirements for Equity risk in the Banking Book (EQRBB) on the basis of the sensitivities-based method defined in article 325e of Regulation(EU) No 575/2013.</t>
  </si>
  <si>
    <t>Country/Currency</t>
  </si>
  <si>
    <t>Abbreviation</t>
  </si>
  <si>
    <t>Australia Dollar</t>
  </si>
  <si>
    <t>AUD</t>
  </si>
  <si>
    <t>Great Britain Pound</t>
  </si>
  <si>
    <t>GBP</t>
  </si>
  <si>
    <t>Euro</t>
  </si>
  <si>
    <t>EUR</t>
  </si>
  <si>
    <t>Japan Yen</t>
  </si>
  <si>
    <t>JPY</t>
  </si>
  <si>
    <t>Switzerland Franc</t>
  </si>
  <si>
    <t>CHF</t>
  </si>
  <si>
    <t>USA Dollar</t>
  </si>
  <si>
    <t>USD</t>
  </si>
  <si>
    <t>Afghanistan Afghani</t>
  </si>
  <si>
    <t>AFN</t>
  </si>
  <si>
    <t>Albania Lek</t>
  </si>
  <si>
    <t>ALL</t>
  </si>
  <si>
    <t>Algeria Dinar</t>
  </si>
  <si>
    <t>DZD</t>
  </si>
  <si>
    <t>Angola Kwanza</t>
  </si>
  <si>
    <t>AOA</t>
  </si>
  <si>
    <t>Argentina Peso</t>
  </si>
  <si>
    <t>ARS</t>
  </si>
  <si>
    <t>Armenia Dram</t>
  </si>
  <si>
    <t>AMD</t>
  </si>
  <si>
    <t>Aruba Florin</t>
  </si>
  <si>
    <t>AWG</t>
  </si>
  <si>
    <t>Azerbaijan New Manat</t>
  </si>
  <si>
    <t>AZN</t>
  </si>
  <si>
    <t>Bahamas Dollar</t>
  </si>
  <si>
    <t>BSD</t>
  </si>
  <si>
    <t>Bahrain Dinar</t>
  </si>
  <si>
    <t>BHD</t>
  </si>
  <si>
    <t>Bangladesh Taka</t>
  </si>
  <si>
    <t>BDT</t>
  </si>
  <si>
    <t>Barbados Dollar</t>
  </si>
  <si>
    <t>BBD</t>
  </si>
  <si>
    <t>Belarus Ruble</t>
  </si>
  <si>
    <t>BYR</t>
  </si>
  <si>
    <t>Belize Dollar</t>
  </si>
  <si>
    <t>BZD</t>
  </si>
  <si>
    <t>Bermuda Dollar</t>
  </si>
  <si>
    <t>BMD</t>
  </si>
  <si>
    <t>Bhutan Ngultrum</t>
  </si>
  <si>
    <t>BTN</t>
  </si>
  <si>
    <t>Bolivia Boliviano</t>
  </si>
  <si>
    <t>BOB</t>
  </si>
  <si>
    <t>Bosnia Mark</t>
  </si>
  <si>
    <t>BAM</t>
  </si>
  <si>
    <t>Botswana Pula</t>
  </si>
  <si>
    <t>BWP</t>
  </si>
  <si>
    <t>Brazil Real</t>
  </si>
  <si>
    <t>BRL</t>
  </si>
  <si>
    <t>Brunei Dollar</t>
  </si>
  <si>
    <t>BND</t>
  </si>
  <si>
    <t>Bulgaria Lev</t>
  </si>
  <si>
    <t>BGN</t>
  </si>
  <si>
    <t>Burundi Franc</t>
  </si>
  <si>
    <t>BIF</t>
  </si>
  <si>
    <t>CFA Franc BCEAO</t>
  </si>
  <si>
    <t>XOF</t>
  </si>
  <si>
    <t>CFA Franc BEAC</t>
  </si>
  <si>
    <t>XAF</t>
  </si>
  <si>
    <t>CFP Franc</t>
  </si>
  <si>
    <t>XPF</t>
  </si>
  <si>
    <t>Cambodia Riel</t>
  </si>
  <si>
    <t>KHR</t>
  </si>
  <si>
    <t>Canada Dollar</t>
  </si>
  <si>
    <t>CAD</t>
  </si>
  <si>
    <t>Cape Verde Escudo</t>
  </si>
  <si>
    <t>CVE</t>
  </si>
  <si>
    <t>Cayman Islands Dollar</t>
  </si>
  <si>
    <t>KYD</t>
  </si>
  <si>
    <t>Chili Peso</t>
  </si>
  <si>
    <t>CLP</t>
  </si>
  <si>
    <t>China Yuan/Renminbi</t>
  </si>
  <si>
    <t>CNY</t>
  </si>
  <si>
    <t>Colombia Peso</t>
  </si>
  <si>
    <t>COP</t>
  </si>
  <si>
    <t>Comoros Franc</t>
  </si>
  <si>
    <t>KMF</t>
  </si>
  <si>
    <t>Congo Franc</t>
  </si>
  <si>
    <t>CDF</t>
  </si>
  <si>
    <t>Costa Rica Colon</t>
  </si>
  <si>
    <t>CRC</t>
  </si>
  <si>
    <t>Croatia Kuna</t>
  </si>
  <si>
    <t>HRK</t>
  </si>
  <si>
    <t>Cuba Convertible Peso</t>
  </si>
  <si>
    <t>CUC</t>
  </si>
  <si>
    <t>Cuba Peso</t>
  </si>
  <si>
    <t>CUP</t>
  </si>
  <si>
    <t>Czech Koruna</t>
  </si>
  <si>
    <t>CZK</t>
  </si>
  <si>
    <t>Denmark Krone</t>
  </si>
  <si>
    <t>DKK</t>
  </si>
  <si>
    <t>Djibouti Franc</t>
  </si>
  <si>
    <t>DJF</t>
  </si>
  <si>
    <t>Dominican Republich Peso</t>
  </si>
  <si>
    <t>DOP</t>
  </si>
  <si>
    <t>East Caribbean Dollar</t>
  </si>
  <si>
    <t>XCD</t>
  </si>
  <si>
    <t>Egypt Pound</t>
  </si>
  <si>
    <t>EGP</t>
  </si>
  <si>
    <t>El Salvador Colon</t>
  </si>
  <si>
    <t>SVC</t>
  </si>
  <si>
    <t>Ethiopia Birr</t>
  </si>
  <si>
    <t>ETB</t>
  </si>
  <si>
    <t>Falkland Islands Pound</t>
  </si>
  <si>
    <t>FKP</t>
  </si>
  <si>
    <t>Fiji Dollar</t>
  </si>
  <si>
    <t>FJD</t>
  </si>
  <si>
    <t>Gambia Dalasi</t>
  </si>
  <si>
    <t>GMD</t>
  </si>
  <si>
    <t>Georgia Lari</t>
  </si>
  <si>
    <t>GEL</t>
  </si>
  <si>
    <t>Ghana New Cedi</t>
  </si>
  <si>
    <t>GHS</t>
  </si>
  <si>
    <t>Gibraltar Pound</t>
  </si>
  <si>
    <t>GIP</t>
  </si>
  <si>
    <t>Guatemala Quetzal</t>
  </si>
  <si>
    <t>GTQ</t>
  </si>
  <si>
    <t>Guinea Franc</t>
  </si>
  <si>
    <t>GNF</t>
  </si>
  <si>
    <t>Guyana Dollar</t>
  </si>
  <si>
    <t>GYD</t>
  </si>
  <si>
    <t>Haiti Gourde</t>
  </si>
  <si>
    <t>HTG</t>
  </si>
  <si>
    <t>Honduras Lempira</t>
  </si>
  <si>
    <t>HNL</t>
  </si>
  <si>
    <t>Hong Kong Dollar</t>
  </si>
  <si>
    <t>HKD</t>
  </si>
  <si>
    <t>Hungary Forint</t>
  </si>
  <si>
    <t>HUF</t>
  </si>
  <si>
    <t>Iceland Krona</t>
  </si>
  <si>
    <t>ISK</t>
  </si>
  <si>
    <t>India Rupee</t>
  </si>
  <si>
    <t>INR</t>
  </si>
  <si>
    <t>Indonesia Rupiah</t>
  </si>
  <si>
    <t>IDR</t>
  </si>
  <si>
    <t>Iran Rial</t>
  </si>
  <si>
    <t>IRR</t>
  </si>
  <si>
    <t>Iraq Dinar</t>
  </si>
  <si>
    <t>IQD</t>
  </si>
  <si>
    <t>Israel New Shekel</t>
  </si>
  <si>
    <t>ILS</t>
  </si>
  <si>
    <t>Jamaica Dollar</t>
  </si>
  <si>
    <t>JMD</t>
  </si>
  <si>
    <t>Jordan Dinar</t>
  </si>
  <si>
    <t>JOD</t>
  </si>
  <si>
    <t>Kazakhstan Tenge</t>
  </si>
  <si>
    <t>KZT</t>
  </si>
  <si>
    <t>Kenya Shilling</t>
  </si>
  <si>
    <t>KES</t>
  </si>
  <si>
    <t>Kuwait Dinar</t>
  </si>
  <si>
    <t>KWD</t>
  </si>
  <si>
    <t>Kyrgyzstan Som</t>
  </si>
  <si>
    <t>KGS</t>
  </si>
  <si>
    <t>Laos Kip</t>
  </si>
  <si>
    <t>LAK</t>
  </si>
  <si>
    <t>Lebanon Pound</t>
  </si>
  <si>
    <t>LBP</t>
  </si>
  <si>
    <t>Lesotho Loti</t>
  </si>
  <si>
    <t>LSL</t>
  </si>
  <si>
    <t>Liberia Dollar</t>
  </si>
  <si>
    <t>LRD</t>
  </si>
  <si>
    <t>Libya Dinar</t>
  </si>
  <si>
    <t>LYD</t>
  </si>
  <si>
    <t>Macau Pataca</t>
  </si>
  <si>
    <t>MOP</t>
  </si>
  <si>
    <t>Macedonia Denar</t>
  </si>
  <si>
    <t>MKD</t>
  </si>
  <si>
    <t>Malagasy Ariary</t>
  </si>
  <si>
    <t>MGA</t>
  </si>
  <si>
    <t>Malawi Kwacha</t>
  </si>
  <si>
    <t>MWK</t>
  </si>
  <si>
    <t>Malaysia Ringgit</t>
  </si>
  <si>
    <t>MYR</t>
  </si>
  <si>
    <t>Maldives Rufiyaa</t>
  </si>
  <si>
    <t>MVR</t>
  </si>
  <si>
    <t>Mauritania Ouguiya</t>
  </si>
  <si>
    <t>MRO</t>
  </si>
  <si>
    <t>Mauritius Rupee</t>
  </si>
  <si>
    <t>MUR</t>
  </si>
  <si>
    <t>Mexico Peso</t>
  </si>
  <si>
    <t>MXN</t>
  </si>
  <si>
    <t>Moldova Leu</t>
  </si>
  <si>
    <t>MDL</t>
  </si>
  <si>
    <t>Mongolia Tugrik</t>
  </si>
  <si>
    <t>MNT</t>
  </si>
  <si>
    <t>Morocco Dirham</t>
  </si>
  <si>
    <t>MAD</t>
  </si>
  <si>
    <t>Mozambique New Metical</t>
  </si>
  <si>
    <t>MZN</t>
  </si>
  <si>
    <t>Myanmar Kyat</t>
  </si>
  <si>
    <t>MMK</t>
  </si>
  <si>
    <t>NL Antilles Guilder</t>
  </si>
  <si>
    <t>ANG</t>
  </si>
  <si>
    <t>Namibia Dollar</t>
  </si>
  <si>
    <t>NAD</t>
  </si>
  <si>
    <t>Nepal Rupee</t>
  </si>
  <si>
    <t>NPR</t>
  </si>
  <si>
    <t>New Zealand Dollar</t>
  </si>
  <si>
    <t>NZD</t>
  </si>
  <si>
    <t>Nicaragua Cordoba Oro</t>
  </si>
  <si>
    <t>NIO</t>
  </si>
  <si>
    <t>Nigeria Naira</t>
  </si>
  <si>
    <t>NGN</t>
  </si>
  <si>
    <t>North Korea Won</t>
  </si>
  <si>
    <t>KPW</t>
  </si>
  <si>
    <t>Norway Kroner</t>
  </si>
  <si>
    <t>NOK</t>
  </si>
  <si>
    <t>Oman Rial</t>
  </si>
  <si>
    <t>OMR</t>
  </si>
  <si>
    <t>Pakistan Rupee</t>
  </si>
  <si>
    <t>PKR</t>
  </si>
  <si>
    <t>Panama Balboa</t>
  </si>
  <si>
    <t>PAB</t>
  </si>
  <si>
    <t>Papua New Guinea Kina</t>
  </si>
  <si>
    <t>PGK</t>
  </si>
  <si>
    <t>Paraguay Guarani</t>
  </si>
  <si>
    <t>PYG</t>
  </si>
  <si>
    <t>Peru Nuevo Sol</t>
  </si>
  <si>
    <t>PEN</t>
  </si>
  <si>
    <t>Philippines Peso</t>
  </si>
  <si>
    <t>PHP</t>
  </si>
  <si>
    <t>Poland Zloty</t>
  </si>
  <si>
    <t>PLN</t>
  </si>
  <si>
    <t>Qatar Rial</t>
  </si>
  <si>
    <t>QAR</t>
  </si>
  <si>
    <t>Romania New Lei</t>
  </si>
  <si>
    <t>RON</t>
  </si>
  <si>
    <t>Russia Rouble</t>
  </si>
  <si>
    <t>RUB</t>
  </si>
  <si>
    <t>Rwanda Franc</t>
  </si>
  <si>
    <t>RWF</t>
  </si>
  <si>
    <t>Samoa Tala</t>
  </si>
  <si>
    <t>WST</t>
  </si>
  <si>
    <t>Sao Tome/Principe Dobra</t>
  </si>
  <si>
    <t>STD</t>
  </si>
  <si>
    <t>Saudi Arabia Riyal</t>
  </si>
  <si>
    <t>SAR</t>
  </si>
  <si>
    <t>Serbia Dinar</t>
  </si>
  <si>
    <t>RSD</t>
  </si>
  <si>
    <t>Seychelles Rupee</t>
  </si>
  <si>
    <t>SCR</t>
  </si>
  <si>
    <t>Sierra Leone Leone</t>
  </si>
  <si>
    <t>SLL</t>
  </si>
  <si>
    <t>Singapore Dollar</t>
  </si>
  <si>
    <t>SGD</t>
  </si>
  <si>
    <t>Solomon Islands Dollar</t>
  </si>
  <si>
    <t>SBD</t>
  </si>
  <si>
    <t>Somali Shilling</t>
  </si>
  <si>
    <t>SOS</t>
  </si>
  <si>
    <t>South Africa Rand</t>
  </si>
  <si>
    <t>ZAR</t>
  </si>
  <si>
    <t>South Korea Won</t>
  </si>
  <si>
    <t>KRW</t>
  </si>
  <si>
    <t>Sri Lanka Rupee</t>
  </si>
  <si>
    <t>LKR</t>
  </si>
  <si>
    <t>St Helena Pound</t>
  </si>
  <si>
    <t>SHP</t>
  </si>
  <si>
    <t>Sudan Pound</t>
  </si>
  <si>
    <t>SDG</t>
  </si>
  <si>
    <t>Suriname Dollar</t>
  </si>
  <si>
    <t>SRD</t>
  </si>
  <si>
    <t>Swaziland Lilangeni</t>
  </si>
  <si>
    <t>SZL</t>
  </si>
  <si>
    <t>Sweden Krona</t>
  </si>
  <si>
    <t>SEK</t>
  </si>
  <si>
    <t>Syria Pound</t>
  </si>
  <si>
    <t>SYP</t>
  </si>
  <si>
    <t>Taiwan Dollar</t>
  </si>
  <si>
    <t>TWD</t>
  </si>
  <si>
    <t>Tanzania Shilling</t>
  </si>
  <si>
    <t>TZS</t>
  </si>
  <si>
    <t>Thailand Baht</t>
  </si>
  <si>
    <t>THB</t>
  </si>
  <si>
    <t>Tonga Pa'anga</t>
  </si>
  <si>
    <t>TOP</t>
  </si>
  <si>
    <t>Trinidad/Tobago Dollar</t>
  </si>
  <si>
    <t>TTD</t>
  </si>
  <si>
    <t>Tunisia Dinar</t>
  </si>
  <si>
    <t>TND</t>
  </si>
  <si>
    <t>Turkish New Lira</t>
  </si>
  <si>
    <t>TRY</t>
  </si>
  <si>
    <t>Turkmenistan Manat</t>
  </si>
  <si>
    <t>TMM</t>
  </si>
  <si>
    <t>Uganda Shilling</t>
  </si>
  <si>
    <t>UGX</t>
  </si>
  <si>
    <t>Ukraine Hryvnia</t>
  </si>
  <si>
    <t>UAH</t>
  </si>
  <si>
    <t>Uruguay Peso</t>
  </si>
  <si>
    <t>UYU</t>
  </si>
  <si>
    <t>United Arab Emirates Dirham</t>
  </si>
  <si>
    <t>AED</t>
  </si>
  <si>
    <t>Vanuatu Vatu</t>
  </si>
  <si>
    <t>VUV</t>
  </si>
  <si>
    <t>Venezuela Bolivar</t>
  </si>
  <si>
    <t>VEB</t>
  </si>
  <si>
    <t>Vietnam Dong</t>
  </si>
  <si>
    <t>VND</t>
  </si>
  <si>
    <t>Yemen Rial</t>
  </si>
  <si>
    <t>YER</t>
  </si>
  <si>
    <t>Zambia Kwacha</t>
  </si>
  <si>
    <t>ZMK</t>
  </si>
  <si>
    <t>Zimbabwe Dollar</t>
  </si>
  <si>
    <t>ZWD</t>
  </si>
  <si>
    <t>Accounting reserves
(CVA or Liquidity&amp;Modelling Uncertainty)</t>
  </si>
  <si>
    <t>Market liquidity and model uncertainty reserve*</t>
  </si>
  <si>
    <t>* Reserves do not include hedge accounting.</t>
  </si>
  <si>
    <t>Does this ratio exceed the specified threshold?
[(F_0101_r0142_c0010 + F_0101_r0176_c0010)] / C_0200_r0010_c0010 &gt; 0.3%</t>
  </si>
  <si>
    <t xml:space="preserve">(i) Holding or selling equity position </t>
  </si>
  <si>
    <t>Equities in the Banking book</t>
  </si>
  <si>
    <t>Level of VaR</t>
  </si>
  <si>
    <t>Standard deviation</t>
  </si>
  <si>
    <t>3. If no to question 2., does the institution meet one or more of the conditions set out in paragraph 1 of Article 325a CRR?</t>
  </si>
  <si>
    <t>1. Does the institution have a structural FX waiver?</t>
  </si>
  <si>
    <t>1a. If the institution has a waiver, when was it obtained? (dd/mm/yyyy format)</t>
  </si>
  <si>
    <t xml:space="preserve">2. If no to question 1., does the institution only calculate the VaR for prudential purposes?
</t>
  </si>
  <si>
    <t>1. Does the institution compute the VaR for internal risk management purposes, or does the institution calculate the VaR for prudential purposes and uses in parallel a different VaR for internal risk management purposes?</t>
  </si>
  <si>
    <t>Reporting perimeter</t>
  </si>
  <si>
    <t>Managerial perimeter</t>
  </si>
  <si>
    <r>
      <t xml:space="preserve"># limit breach
</t>
    </r>
    <r>
      <rPr>
        <b/>
        <sz val="9"/>
        <rFont val="Times New Roman"/>
        <family val="1"/>
      </rPr>
      <t>(Last quarter)</t>
    </r>
  </si>
  <si>
    <t>Please describe the VaR/ ES methodology</t>
  </si>
  <si>
    <t>Trading Book</t>
  </si>
  <si>
    <t>Total Trading Book + Equities in the Banking book</t>
  </si>
  <si>
    <t>(free text)</t>
  </si>
  <si>
    <t>Additional information on perimeter</t>
  </si>
  <si>
    <t>0071</t>
  </si>
  <si>
    <t>0072</t>
  </si>
  <si>
    <t>0073</t>
  </si>
  <si>
    <t>0074</t>
  </si>
  <si>
    <t>Coverage (%)</t>
  </si>
  <si>
    <r>
      <t xml:space="preserve">Average of VaR/ES
</t>
    </r>
    <r>
      <rPr>
        <b/>
        <sz val="9"/>
        <rFont val="Times New Roman"/>
        <family val="1"/>
      </rPr>
      <t>(Last quarter)</t>
    </r>
  </si>
  <si>
    <r>
      <t xml:space="preserve">Limit of VaR/ES
</t>
    </r>
    <r>
      <rPr>
        <b/>
        <sz val="9"/>
        <rFont val="Times New Roman"/>
        <family val="1"/>
      </rPr>
      <t>(Last quarter)</t>
    </r>
  </si>
  <si>
    <t>Level at which limit is set</t>
  </si>
  <si>
    <t>0065</t>
  </si>
  <si>
    <t>Date
(dd/mm/yyyy)</t>
  </si>
  <si>
    <t>Comments and explanations</t>
  </si>
  <si>
    <t>Managerial P&amp;L</t>
  </si>
  <si>
    <t>Top overshootings in the last 250 days
(ranked down in terms of difference between the overshooting and the VaR on the day in which the overshooting was observed)</t>
  </si>
  <si>
    <t>2. Does this ratio exceed the specified threshold?
[Size of the net open Structural FX position suitable for the exemption, expressed in Euro] / [Total RWAs] &gt; 1%</t>
  </si>
  <si>
    <r>
      <t xml:space="preserve"># Overshootings
</t>
    </r>
    <r>
      <rPr>
        <b/>
        <sz val="9"/>
        <rFont val="Times New Roman"/>
        <family val="1"/>
      </rPr>
      <t>(Last 250 days)</t>
    </r>
  </si>
  <si>
    <t>This template gathers information about the value at risk (VaR), the expected shortfall and related limits/breaches, as well as the standard deviation of the daily P&amp;L of the prudential trading book and equities in the banking book</t>
  </si>
  <si>
    <t>Other currencies</t>
  </si>
  <si>
    <t>Additional comments: 
The text box should be used for reporting information regarding: (a) scope issues; (b) clarifications on processes; (c) applicable but not reported data; (d) other required or additional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</si>
</sst>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0"/>
      <color theme="1"/>
      <name val="Arial"/>
      <family val="2"/>
    </font>
    <font>
      <sz val="11"/>
      <color theme="1"/>
      <name val="Arial"/>
      <family val="2"/>
    </font>
    <font>
      <sz val="10"/>
      <name val="Arial"/>
      <family val="2"/>
    </font>
    <font>
      <sz val="10"/>
      <name val="Helv"/>
    </font>
    <font>
      <sz val="8"/>
      <name val="Calibri"/>
      <family val="2"/>
      <scheme val="minor"/>
    </font>
    <font>
      <sz val="11"/>
      <color theme="0"/>
      <name val="Times New Roman"/>
      <family val="1"/>
    </font>
    <font>
      <sz val="11"/>
      <color theme="1"/>
      <name val="Times New Roman"/>
      <family val="1"/>
    </font>
    <font>
      <sz val="11"/>
      <name val="Times New Roman"/>
      <family val="1"/>
    </font>
    <font>
      <b/>
      <sz val="11"/>
      <name val="Times New Roman"/>
      <family val="1"/>
    </font>
    <font>
      <b/>
      <sz val="11"/>
      <color indexed="8"/>
      <name val="Times New Roman"/>
      <family val="1"/>
    </font>
    <font>
      <sz val="11"/>
      <color indexed="8"/>
      <name val="Times New Roman"/>
      <family val="1"/>
    </font>
    <font>
      <b/>
      <sz val="11"/>
      <color theme="1"/>
      <name val="Times New Roman"/>
      <family val="1"/>
    </font>
    <font>
      <u/>
      <sz val="11"/>
      <color theme="10"/>
      <name val="Calibri"/>
      <family val="2"/>
      <scheme val="minor"/>
    </font>
    <font>
      <b/>
      <u/>
      <sz val="11"/>
      <color theme="1"/>
      <name val="Times New Roman"/>
      <family val="1"/>
    </font>
    <font>
      <u/>
      <sz val="11"/>
      <color theme="10"/>
      <name val="Times New Roman"/>
      <family val="1"/>
    </font>
    <font>
      <b/>
      <i/>
      <sz val="11"/>
      <color theme="1"/>
      <name val="Times New Roman"/>
      <family val="1"/>
    </font>
    <font>
      <i/>
      <sz val="11"/>
      <name val="Times New Roman"/>
      <family val="1"/>
    </font>
    <font>
      <sz val="11"/>
      <color theme="0" tint="-0.499984740745262"/>
      <name val="Times New Roman"/>
      <family val="1"/>
    </font>
    <font>
      <u/>
      <sz val="11"/>
      <name val="Times New Roman"/>
      <family val="1"/>
    </font>
    <font>
      <b/>
      <sz val="11"/>
      <color indexed="10"/>
      <name val="Times New Roman"/>
      <family val="1"/>
    </font>
    <font>
      <b/>
      <u/>
      <sz val="16"/>
      <name val="Times New Roman"/>
      <family val="1"/>
    </font>
    <font>
      <b/>
      <u/>
      <sz val="11"/>
      <name val="Times New Roman"/>
      <family val="1"/>
    </font>
    <font>
      <b/>
      <sz val="9"/>
      <name val="Times New Roman"/>
      <family val="1"/>
    </font>
    <font>
      <i/>
      <sz val="10"/>
      <color theme="1"/>
      <name val="Times New Roman"/>
      <family val="1"/>
    </font>
    <font>
      <i/>
      <sz val="11"/>
      <color theme="1"/>
      <name val="Times New Roman"/>
      <family val="1"/>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00B0F0"/>
        <bgColor indexed="64"/>
      </patternFill>
    </fill>
    <fill>
      <patternFill patternType="solid">
        <fgColor rgb="FF92D050"/>
        <bgColor indexed="64"/>
      </patternFill>
    </fill>
  </fills>
  <borders count="56">
    <border>
      <left/>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auto="1"/>
      </right>
      <top/>
      <bottom style="medium">
        <color auto="1"/>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dotted">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s>
  <cellStyleXfs count="13">
    <xf numFmtId="0" fontId="0" fillId="0" borderId="0"/>
    <xf numFmtId="0" fontId="1" fillId="0" borderId="0"/>
    <xf numFmtId="0" fontId="4" fillId="0" borderId="0"/>
    <xf numFmtId="0" fontId="1" fillId="0" borderId="0"/>
    <xf numFmtId="0" fontId="4" fillId="0" borderId="0"/>
    <xf numFmtId="0" fontId="3" fillId="0" borderId="0"/>
    <xf numFmtId="0" fontId="4" fillId="0" borderId="0"/>
    <xf numFmtId="0" fontId="5" fillId="0" borderId="0"/>
    <xf numFmtId="0" fontId="1" fillId="0" borderId="0"/>
    <xf numFmtId="0" fontId="2" fillId="0" borderId="0"/>
    <xf numFmtId="0" fontId="1" fillId="0" borderId="0"/>
    <xf numFmtId="9" fontId="1" fillId="0" borderId="0" applyFont="0" applyFill="0" applyBorder="0" applyAlignment="0" applyProtection="0"/>
    <xf numFmtId="0" fontId="14" fillId="0" borderId="0" applyNumberFormat="0" applyFill="0" applyBorder="0" applyAlignment="0" applyProtection="0"/>
  </cellStyleXfs>
  <cellXfs count="271">
    <xf numFmtId="0" fontId="0" fillId="0" borderId="0" xfId="0"/>
    <xf numFmtId="0" fontId="7" fillId="0" borderId="0" xfId="0" applyFont="1" applyFill="1"/>
    <xf numFmtId="0" fontId="8" fillId="0" borderId="0" xfId="0" applyFont="1" applyFill="1"/>
    <xf numFmtId="0" fontId="10" fillId="0" borderId="0" xfId="0" applyFont="1" applyFill="1"/>
    <xf numFmtId="0" fontId="11" fillId="0" borderId="0" xfId="0" applyFont="1" applyFill="1" applyAlignment="1">
      <alignment horizontal="left"/>
    </xf>
    <xf numFmtId="0" fontId="11" fillId="0" borderId="0" xfId="0" applyFont="1" applyFill="1"/>
    <xf numFmtId="0" fontId="12" fillId="0" borderId="0" xfId="0" applyFont="1" applyFill="1" applyAlignment="1">
      <alignment horizontal="left"/>
    </xf>
    <xf numFmtId="0" fontId="8" fillId="0" borderId="0" xfId="0" applyFont="1" applyFill="1" applyAlignment="1">
      <alignment wrapText="1"/>
    </xf>
    <xf numFmtId="0" fontId="8" fillId="0" borderId="1" xfId="0" applyFont="1" applyFill="1" applyBorder="1" applyAlignment="1">
      <alignment horizontal="center"/>
    </xf>
    <xf numFmtId="0" fontId="8" fillId="0" borderId="0" xfId="0" applyFont="1" applyFill="1" applyBorder="1" applyAlignment="1">
      <alignment horizontal="center"/>
    </xf>
    <xf numFmtId="0" fontId="10" fillId="0" borderId="2" xfId="0" applyFont="1" applyFill="1" applyBorder="1"/>
    <xf numFmtId="0" fontId="8" fillId="0" borderId="0" xfId="0" applyFont="1" applyFill="1" applyBorder="1"/>
    <xf numFmtId="0" fontId="8" fillId="0" borderId="1" xfId="0" applyFont="1" applyFill="1" applyBorder="1"/>
    <xf numFmtId="0" fontId="13" fillId="0" borderId="0" xfId="0" applyFont="1" applyFill="1" applyBorder="1"/>
    <xf numFmtId="0" fontId="8" fillId="0" borderId="2" xfId="0" applyFont="1" applyFill="1" applyBorder="1"/>
    <xf numFmtId="0" fontId="8" fillId="0" borderId="14" xfId="0" applyFont="1" applyFill="1" applyBorder="1"/>
    <xf numFmtId="0" fontId="8" fillId="0" borderId="13" xfId="0" applyFont="1" applyFill="1" applyBorder="1"/>
    <xf numFmtId="0" fontId="8" fillId="2" borderId="0" xfId="0" applyFont="1" applyFill="1"/>
    <xf numFmtId="0" fontId="13" fillId="2" borderId="0" xfId="0" applyFont="1" applyFill="1"/>
    <xf numFmtId="10" fontId="10" fillId="6" borderId="2" xfId="11" applyNumberFormat="1" applyFont="1" applyFill="1" applyBorder="1" applyAlignment="1" applyProtection="1">
      <alignment horizontal="center" vertical="center" wrapText="1"/>
    </xf>
    <xf numFmtId="0" fontId="8" fillId="2" borderId="0" xfId="0" applyFont="1" applyFill="1" applyAlignment="1">
      <alignment wrapText="1"/>
    </xf>
    <xf numFmtId="0" fontId="8" fillId="0" borderId="0" xfId="0" applyFont="1" applyAlignment="1">
      <alignment wrapText="1"/>
    </xf>
    <xf numFmtId="0" fontId="8" fillId="0" borderId="0" xfId="0" applyFont="1"/>
    <xf numFmtId="0" fontId="8" fillId="4" borderId="0" xfId="0" applyFont="1" applyFill="1" applyAlignment="1">
      <alignment wrapText="1"/>
    </xf>
    <xf numFmtId="0" fontId="13" fillId="7" borderId="0" xfId="0" applyFont="1" applyFill="1" applyAlignment="1">
      <alignment wrapText="1"/>
    </xf>
    <xf numFmtId="0" fontId="15" fillId="4" borderId="0" xfId="0" applyFont="1" applyFill="1" applyAlignment="1">
      <alignment wrapText="1"/>
    </xf>
    <xf numFmtId="0" fontId="16" fillId="4" borderId="0" xfId="12" applyFont="1" applyFill="1" applyAlignment="1" applyProtection="1">
      <alignment wrapText="1"/>
    </xf>
    <xf numFmtId="0" fontId="9" fillId="4" borderId="0" xfId="0" applyFont="1" applyFill="1" applyAlignment="1">
      <alignment wrapText="1"/>
    </xf>
    <xf numFmtId="0" fontId="10" fillId="3" borderId="0" xfId="0" applyFont="1" applyFill="1" applyAlignment="1">
      <alignment wrapText="1"/>
    </xf>
    <xf numFmtId="0" fontId="9" fillId="4" borderId="0" xfId="0" applyFont="1" applyFill="1" applyAlignment="1">
      <alignment vertical="center" wrapText="1"/>
    </xf>
    <xf numFmtId="0" fontId="9" fillId="2" borderId="0" xfId="0" applyFont="1" applyFill="1" applyAlignment="1">
      <alignment wrapText="1"/>
    </xf>
    <xf numFmtId="0" fontId="19" fillId="2" borderId="0" xfId="0" applyFont="1" applyFill="1" applyAlignment="1">
      <alignment wrapText="1"/>
    </xf>
    <xf numFmtId="0" fontId="10" fillId="2" borderId="0" xfId="0" applyFont="1" applyFill="1" applyAlignment="1">
      <alignment wrapText="1"/>
    </xf>
    <xf numFmtId="0" fontId="9" fillId="2" borderId="0" xfId="0" applyFont="1" applyFill="1" applyAlignment="1">
      <alignment horizontal="justify" vertical="center" wrapText="1"/>
    </xf>
    <xf numFmtId="0" fontId="19" fillId="2" borderId="0" xfId="0" applyFont="1" applyFill="1" applyAlignment="1">
      <alignment horizontal="justify" vertical="center" wrapText="1"/>
    </xf>
    <xf numFmtId="0" fontId="13" fillId="2" borderId="0" xfId="0" applyFont="1" applyFill="1" applyAlignment="1">
      <alignment wrapText="1"/>
    </xf>
    <xf numFmtId="0" fontId="16" fillId="4" borderId="0" xfId="12" applyFont="1" applyFill="1" applyAlignment="1">
      <alignment wrapText="1"/>
    </xf>
    <xf numFmtId="0" fontId="8" fillId="0" borderId="0" xfId="0" applyFont="1" applyProtection="1">
      <protection locked="0"/>
    </xf>
    <xf numFmtId="0" fontId="10" fillId="0" borderId="0" xfId="0" applyFont="1" applyFill="1" applyAlignment="1">
      <alignment horizontal="right"/>
    </xf>
    <xf numFmtId="0" fontId="11" fillId="0" borderId="0" xfId="0" applyFont="1" applyFill="1" applyAlignment="1">
      <alignment horizontal="right"/>
    </xf>
    <xf numFmtId="0" fontId="13" fillId="0" borderId="2" xfId="0" applyFont="1" applyFill="1" applyBorder="1" applyAlignment="1">
      <alignment horizontal="center"/>
    </xf>
    <xf numFmtId="0" fontId="13" fillId="0" borderId="1" xfId="0" applyFont="1" applyFill="1" applyBorder="1" applyAlignment="1">
      <alignment horizontal="left"/>
    </xf>
    <xf numFmtId="0" fontId="13" fillId="0" borderId="0" xfId="0" applyFont="1" applyFill="1" applyBorder="1" applyAlignment="1">
      <alignment horizontal="left"/>
    </xf>
    <xf numFmtId="0" fontId="8" fillId="0" borderId="1" xfId="0" applyFont="1" applyFill="1" applyBorder="1" applyAlignment="1">
      <alignment horizontal="left" wrapText="1"/>
    </xf>
    <xf numFmtId="0" fontId="8" fillId="0" borderId="1" xfId="0" applyFont="1" applyFill="1" applyBorder="1" applyAlignment="1">
      <alignment horizontal="left" wrapText="1" indent="1"/>
    </xf>
    <xf numFmtId="0" fontId="13" fillId="0" borderId="12" xfId="0" applyFont="1" applyFill="1" applyBorder="1" applyAlignment="1">
      <alignment horizontal="left"/>
    </xf>
    <xf numFmtId="0" fontId="13" fillId="0" borderId="0" xfId="0" applyFont="1" applyFill="1" applyAlignment="1">
      <alignment horizontal="right"/>
    </xf>
    <xf numFmtId="0" fontId="8" fillId="0" borderId="0" xfId="0" applyFont="1" applyBorder="1" applyProtection="1">
      <protection locked="0"/>
    </xf>
    <xf numFmtId="0" fontId="8" fillId="2" borderId="0" xfId="6" applyFont="1" applyFill="1" applyBorder="1" applyAlignment="1" applyProtection="1">
      <alignment horizontal="right"/>
      <protection locked="0"/>
    </xf>
    <xf numFmtId="2" fontId="8" fillId="3" borderId="4" xfId="0" applyNumberFormat="1" applyFont="1" applyFill="1" applyBorder="1" applyAlignment="1" applyProtection="1">
      <alignment horizontal="center" vertical="center" wrapText="1"/>
    </xf>
    <xf numFmtId="0" fontId="8" fillId="0" borderId="0" xfId="0" applyFont="1" applyBorder="1"/>
    <xf numFmtId="0" fontId="19" fillId="0" borderId="0" xfId="0" applyFont="1" applyBorder="1" applyProtection="1">
      <protection locked="0"/>
    </xf>
    <xf numFmtId="0" fontId="8" fillId="2" borderId="0" xfId="0" applyFont="1" applyFill="1" applyProtection="1">
      <protection locked="0"/>
    </xf>
    <xf numFmtId="0" fontId="9" fillId="2" borderId="0" xfId="0" applyFont="1" applyFill="1" applyProtection="1">
      <protection locked="0"/>
    </xf>
    <xf numFmtId="2" fontId="8" fillId="5" borderId="17" xfId="0" applyNumberFormat="1" applyFont="1" applyFill="1" applyBorder="1" applyAlignment="1" applyProtection="1">
      <alignment horizontal="right"/>
      <protection locked="0"/>
    </xf>
    <xf numFmtId="2" fontId="8" fillId="5" borderId="18" xfId="0" applyNumberFormat="1" applyFont="1" applyFill="1" applyBorder="1" applyAlignment="1" applyProtection="1">
      <alignment horizontal="right"/>
      <protection locked="0"/>
    </xf>
    <xf numFmtId="2" fontId="8" fillId="5" borderId="19" xfId="0" applyNumberFormat="1" applyFont="1" applyFill="1" applyBorder="1" applyAlignment="1" applyProtection="1">
      <alignment horizontal="right"/>
      <protection locked="0"/>
    </xf>
    <xf numFmtId="0" fontId="9" fillId="0" borderId="0" xfId="6" applyFont="1"/>
    <xf numFmtId="0" fontId="9" fillId="2" borderId="0" xfId="6" applyFont="1" applyFill="1" applyAlignment="1" applyProtection="1">
      <alignment horizontal="right" wrapText="1"/>
      <protection locked="0"/>
    </xf>
    <xf numFmtId="0" fontId="21" fillId="0" borderId="0" xfId="0" applyFont="1" applyAlignment="1">
      <alignment horizontal="right" vertical="center" wrapText="1"/>
    </xf>
    <xf numFmtId="0" fontId="9" fillId="0" borderId="4" xfId="6" applyFont="1" applyBorder="1" applyAlignment="1">
      <alignment horizontal="center" vertical="center"/>
    </xf>
    <xf numFmtId="0" fontId="9" fillId="0" borderId="4" xfId="0" applyFont="1" applyFill="1" applyBorder="1" applyAlignment="1">
      <alignment horizontal="left" vertical="center" wrapText="1"/>
    </xf>
    <xf numFmtId="0" fontId="10" fillId="9" borderId="4" xfId="7"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8" xfId="0" applyFont="1" applyFill="1" applyBorder="1" applyAlignment="1">
      <alignment horizontal="left" vertical="center" wrapText="1"/>
    </xf>
    <xf numFmtId="0" fontId="9" fillId="0" borderId="8" xfId="0" applyFont="1" applyFill="1" applyBorder="1" applyAlignment="1">
      <alignment horizontal="left" vertical="center" wrapText="1" indent="2"/>
    </xf>
    <xf numFmtId="0" fontId="9" fillId="0" borderId="20" xfId="0" applyFont="1" applyFill="1" applyBorder="1" applyAlignment="1">
      <alignment horizontal="center" vertical="center" wrapText="1"/>
    </xf>
    <xf numFmtId="0" fontId="9" fillId="0" borderId="31" xfId="0" applyFont="1" applyFill="1" applyBorder="1" applyAlignment="1">
      <alignment horizontal="center" vertical="center" wrapText="1"/>
    </xf>
    <xf numFmtId="0" fontId="9" fillId="0" borderId="32" xfId="0" applyFont="1" applyFill="1" applyBorder="1" applyAlignment="1">
      <alignment horizontal="center" vertical="center" wrapText="1"/>
    </xf>
    <xf numFmtId="0" fontId="10" fillId="9" borderId="4" xfId="0" applyFont="1" applyFill="1" applyBorder="1" applyAlignment="1">
      <alignment horizontal="left" vertical="top"/>
    </xf>
    <xf numFmtId="0" fontId="10" fillId="9" borderId="4" xfId="0" applyFont="1" applyFill="1" applyBorder="1" applyAlignment="1">
      <alignment horizontal="center" vertical="center"/>
    </xf>
    <xf numFmtId="0" fontId="10" fillId="0" borderId="4" xfId="0" applyFont="1" applyFill="1" applyBorder="1" applyAlignment="1">
      <alignment horizontal="center" vertical="center"/>
    </xf>
    <xf numFmtId="0" fontId="10" fillId="9" borderId="4" xfId="9" applyFont="1" applyFill="1" applyBorder="1" applyAlignment="1">
      <alignment horizontal="center" vertical="center" wrapText="1"/>
    </xf>
    <xf numFmtId="14" fontId="10" fillId="9" borderId="4" xfId="7" applyNumberFormat="1" applyFont="1" applyFill="1" applyBorder="1" applyAlignment="1">
      <alignment horizontal="center" vertical="center" wrapText="1"/>
    </xf>
    <xf numFmtId="0" fontId="9" fillId="0" borderId="4" xfId="0" applyFont="1" applyFill="1" applyBorder="1" applyAlignment="1">
      <alignment horizontal="left" wrapText="1"/>
    </xf>
    <xf numFmtId="0" fontId="9" fillId="0" borderId="6" xfId="0" applyFont="1" applyFill="1" applyBorder="1" applyAlignment="1">
      <alignment horizontal="center" vertical="center" wrapText="1"/>
    </xf>
    <xf numFmtId="0" fontId="9" fillId="0" borderId="4" xfId="0" applyFont="1" applyFill="1" applyBorder="1" applyAlignment="1">
      <alignment horizontal="center" wrapText="1"/>
    </xf>
    <xf numFmtId="2" fontId="8" fillId="5" borderId="39" xfId="0" applyNumberFormat="1" applyFont="1" applyFill="1" applyBorder="1" applyAlignment="1" applyProtection="1">
      <alignment horizontal="right"/>
      <protection locked="0"/>
    </xf>
    <xf numFmtId="1" fontId="10" fillId="0" borderId="4" xfId="5" applyNumberFormat="1" applyFont="1" applyFill="1" applyBorder="1" applyAlignment="1">
      <alignment horizontal="center" vertical="center" wrapText="1"/>
    </xf>
    <xf numFmtId="1" fontId="10" fillId="9" borderId="4" xfId="5" applyNumberFormat="1" applyFont="1" applyFill="1" applyBorder="1" applyAlignment="1">
      <alignment horizontal="center" vertical="center" wrapText="1"/>
    </xf>
    <xf numFmtId="49" fontId="9" fillId="0" borderId="8" xfId="7" applyNumberFormat="1" applyFont="1" applyFill="1" applyBorder="1" applyAlignment="1">
      <alignment horizontal="left" vertical="center" wrapText="1"/>
    </xf>
    <xf numFmtId="0" fontId="13" fillId="9" borderId="3" xfId="0" applyFont="1" applyFill="1" applyBorder="1" applyAlignment="1">
      <alignment horizontal="center" wrapText="1"/>
    </xf>
    <xf numFmtId="0" fontId="17" fillId="8" borderId="4" xfId="0" applyFont="1" applyFill="1" applyBorder="1"/>
    <xf numFmtId="1" fontId="18" fillId="7" borderId="4" xfId="0" applyNumberFormat="1" applyFont="1" applyFill="1" applyBorder="1" applyAlignment="1">
      <alignment wrapText="1"/>
    </xf>
    <xf numFmtId="0" fontId="22" fillId="9" borderId="3" xfId="0" applyFont="1" applyFill="1" applyBorder="1" applyAlignment="1">
      <alignment horizontal="center" vertical="center"/>
    </xf>
    <xf numFmtId="0" fontId="9" fillId="0" borderId="4" xfId="0" applyFont="1" applyFill="1" applyBorder="1" applyAlignment="1">
      <alignment horizontal="center" vertical="center" wrapText="1"/>
    </xf>
    <xf numFmtId="0" fontId="9" fillId="0" borderId="45" xfId="9" applyFont="1" applyFill="1" applyBorder="1" applyAlignment="1">
      <alignment vertical="center" wrapText="1"/>
    </xf>
    <xf numFmtId="0" fontId="10" fillId="0" borderId="0"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0" xfId="0" applyFont="1" applyFill="1" applyAlignment="1">
      <alignment wrapText="1"/>
    </xf>
    <xf numFmtId="2" fontId="8" fillId="3" borderId="6" xfId="0" applyNumberFormat="1" applyFont="1" applyFill="1" applyBorder="1" applyAlignment="1" applyProtection="1">
      <alignment horizontal="center" vertical="center" wrapText="1"/>
    </xf>
    <xf numFmtId="2" fontId="8" fillId="5" borderId="49" xfId="0" applyNumberFormat="1" applyFont="1" applyFill="1" applyBorder="1" applyAlignment="1" applyProtection="1">
      <alignment horizontal="right"/>
      <protection locked="0"/>
    </xf>
    <xf numFmtId="0" fontId="9" fillId="0" borderId="4" xfId="0" applyFont="1" applyFill="1" applyBorder="1" applyAlignment="1">
      <alignment horizontal="center" vertical="center" wrapText="1"/>
    </xf>
    <xf numFmtId="0" fontId="10" fillId="0" borderId="4" xfId="0" applyFont="1" applyFill="1" applyBorder="1" applyAlignment="1">
      <alignment horizontal="center" vertical="center" wrapText="1"/>
    </xf>
    <xf numFmtId="2" fontId="8" fillId="5" borderId="17" xfId="0" applyNumberFormat="1" applyFont="1" applyFill="1" applyBorder="1" applyAlignment="1" applyProtection="1">
      <alignment horizontal="right" wrapText="1"/>
      <protection locked="0"/>
    </xf>
    <xf numFmtId="0" fontId="10" fillId="0" borderId="4" xfId="0" applyFont="1" applyFill="1" applyBorder="1" applyAlignment="1">
      <alignment horizontal="left" vertical="top" wrapText="1"/>
    </xf>
    <xf numFmtId="0" fontId="9" fillId="0" borderId="4" xfId="0" applyFont="1" applyFill="1" applyBorder="1" applyAlignment="1">
      <alignment horizontal="left" vertical="top" wrapText="1"/>
    </xf>
    <xf numFmtId="0" fontId="9" fillId="0" borderId="4" xfId="0" applyFont="1" applyFill="1" applyBorder="1" applyAlignment="1">
      <alignment vertical="top" wrapText="1"/>
    </xf>
    <xf numFmtId="0" fontId="8" fillId="0" borderId="0" xfId="0" applyFont="1" applyAlignment="1">
      <alignment vertical="top" wrapText="1"/>
    </xf>
    <xf numFmtId="0" fontId="10" fillId="9" borderId="4" xfId="0" applyFont="1" applyFill="1" applyBorder="1" applyAlignment="1">
      <alignment horizontal="right" vertical="center"/>
    </xf>
    <xf numFmtId="0" fontId="10" fillId="0" borderId="4" xfId="0" applyFont="1" applyFill="1" applyBorder="1" applyAlignment="1">
      <alignment horizontal="left" vertical="top"/>
    </xf>
    <xf numFmtId="2" fontId="8" fillId="5" borderId="17" xfId="0" applyNumberFormat="1" applyFont="1" applyFill="1" applyBorder="1" applyAlignment="1">
      <alignment horizontal="center" vertical="center" wrapText="1"/>
    </xf>
    <xf numFmtId="2" fontId="8" fillId="5" borderId="49" xfId="0" applyNumberFormat="1" applyFont="1" applyFill="1" applyBorder="1" applyAlignment="1">
      <alignment horizontal="center" vertical="center" wrapText="1"/>
    </xf>
    <xf numFmtId="2" fontId="8" fillId="5" borderId="38" xfId="0" applyNumberFormat="1" applyFont="1" applyFill="1" applyBorder="1"/>
    <xf numFmtId="2" fontId="8" fillId="5" borderId="17" xfId="0" applyNumberFormat="1" applyFont="1" applyFill="1" applyBorder="1"/>
    <xf numFmtId="2" fontId="8" fillId="5" borderId="37" xfId="0" applyNumberFormat="1" applyFont="1" applyFill="1" applyBorder="1"/>
    <xf numFmtId="2" fontId="8" fillId="5" borderId="41" xfId="0" applyNumberFormat="1" applyFont="1" applyFill="1" applyBorder="1"/>
    <xf numFmtId="2" fontId="8" fillId="5" borderId="18" xfId="0" applyNumberFormat="1" applyFont="1" applyFill="1" applyBorder="1"/>
    <xf numFmtId="2" fontId="8" fillId="5" borderId="40" xfId="0" applyNumberFormat="1" applyFont="1" applyFill="1" applyBorder="1"/>
    <xf numFmtId="2" fontId="8" fillId="5" borderId="44" xfId="0" applyNumberFormat="1" applyFont="1" applyFill="1" applyBorder="1"/>
    <xf numFmtId="2" fontId="8" fillId="5" borderId="42" xfId="0" applyNumberFormat="1" applyFont="1" applyFill="1" applyBorder="1"/>
    <xf numFmtId="2" fontId="8" fillId="5" borderId="43" xfId="0" applyNumberFormat="1" applyFont="1" applyFill="1"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0" borderId="4" xfId="0" applyFill="1" applyBorder="1" applyAlignment="1">
      <alignment horizontal="center"/>
    </xf>
    <xf numFmtId="0" fontId="0" fillId="0" borderId="4" xfId="0" applyFill="1" applyBorder="1" applyAlignment="1">
      <alignment horizontal="center" vertical="center"/>
    </xf>
    <xf numFmtId="49" fontId="9" fillId="10" borderId="4" xfId="6" applyNumberFormat="1" applyFont="1" applyFill="1" applyBorder="1" applyAlignment="1">
      <alignment horizontal="right" vertical="center" indent="1"/>
    </xf>
    <xf numFmtId="49" fontId="8" fillId="11" borderId="32" xfId="0" applyNumberFormat="1" applyFont="1" applyFill="1" applyBorder="1" applyAlignment="1">
      <alignment horizontal="center" vertical="center"/>
    </xf>
    <xf numFmtId="49" fontId="8" fillId="11" borderId="4" xfId="0" applyNumberFormat="1" applyFont="1" applyFill="1" applyBorder="1" applyAlignment="1">
      <alignment horizontal="center" vertical="center"/>
    </xf>
    <xf numFmtId="49" fontId="8" fillId="11" borderId="31" xfId="0" applyNumberFormat="1" applyFont="1" applyFill="1" applyBorder="1" applyAlignment="1">
      <alignment horizontal="center" vertical="center"/>
    </xf>
    <xf numFmtId="49" fontId="9" fillId="10" borderId="8" xfId="6" applyNumberFormat="1" applyFont="1" applyFill="1" applyBorder="1" applyAlignment="1">
      <alignment horizontal="right" vertical="center" indent="1"/>
    </xf>
    <xf numFmtId="0" fontId="9" fillId="10" borderId="4" xfId="6" applyFont="1" applyFill="1" applyBorder="1" applyAlignment="1">
      <alignment horizontal="right" vertical="center" indent="1"/>
    </xf>
    <xf numFmtId="0" fontId="9" fillId="10" borderId="4" xfId="6" applyFont="1" applyFill="1" applyBorder="1" applyAlignment="1">
      <alignment horizontal="right" vertical="top"/>
    </xf>
    <xf numFmtId="49" fontId="9" fillId="11" borderId="4" xfId="0" applyNumberFormat="1" applyFont="1" applyFill="1" applyBorder="1" applyAlignment="1" applyProtection="1">
      <alignment horizontal="center" vertical="center" wrapText="1"/>
    </xf>
    <xf numFmtId="0" fontId="9" fillId="11" borderId="4" xfId="6" applyFont="1" applyFill="1" applyBorder="1" applyAlignment="1">
      <alignment horizontal="center" vertical="center"/>
    </xf>
    <xf numFmtId="49" fontId="8" fillId="11" borderId="4" xfId="0" applyNumberFormat="1" applyFont="1" applyFill="1" applyBorder="1" applyAlignment="1">
      <alignment horizontal="center"/>
    </xf>
    <xf numFmtId="0" fontId="9" fillId="0" borderId="0" xfId="0" applyFont="1" applyFill="1" applyAlignment="1">
      <alignment horizontal="center" vertical="center" wrapText="1"/>
    </xf>
    <xf numFmtId="0" fontId="13" fillId="4" borderId="0" xfId="0" applyFont="1" applyFill="1" applyAlignment="1">
      <alignment horizontal="left" vertical="center" wrapText="1"/>
    </xf>
    <xf numFmtId="1" fontId="18" fillId="5" borderId="4" xfId="0" applyNumberFormat="1" applyFont="1" applyFill="1" applyBorder="1" applyAlignment="1">
      <alignment wrapText="1"/>
    </xf>
    <xf numFmtId="2" fontId="8" fillId="3" borderId="36" xfId="9" applyNumberFormat="1" applyFont="1" applyFill="1" applyBorder="1"/>
    <xf numFmtId="2" fontId="8" fillId="3" borderId="39" xfId="9" applyNumberFormat="1" applyFont="1" applyFill="1" applyBorder="1"/>
    <xf numFmtId="2" fontId="8" fillId="5" borderId="39" xfId="9" applyNumberFormat="1" applyFont="1" applyFill="1" applyBorder="1" applyProtection="1">
      <protection locked="0"/>
    </xf>
    <xf numFmtId="2" fontId="8" fillId="5" borderId="19" xfId="9" applyNumberFormat="1" applyFont="1" applyFill="1" applyBorder="1" applyProtection="1">
      <protection locked="0"/>
    </xf>
    <xf numFmtId="2" fontId="8" fillId="3" borderId="50" xfId="9" applyNumberFormat="1" applyFont="1" applyFill="1" applyBorder="1"/>
    <xf numFmtId="2" fontId="8" fillId="5" borderId="49" xfId="0" applyNumberFormat="1" applyFont="1" applyFill="1" applyBorder="1" applyProtection="1">
      <protection locked="0"/>
    </xf>
    <xf numFmtId="2" fontId="8" fillId="3" borderId="4" xfId="0" applyNumberFormat="1" applyFont="1" applyFill="1" applyBorder="1" applyProtection="1"/>
    <xf numFmtId="2" fontId="8" fillId="5" borderId="18" xfId="0" applyNumberFormat="1" applyFont="1" applyFill="1" applyBorder="1" applyProtection="1">
      <protection locked="0"/>
    </xf>
    <xf numFmtId="2" fontId="9" fillId="3" borderId="4" xfId="0" applyNumberFormat="1" applyFont="1" applyFill="1" applyBorder="1" applyAlignment="1" applyProtection="1">
      <alignment horizontal="center" vertical="center" wrapText="1"/>
    </xf>
    <xf numFmtId="2" fontId="8" fillId="0" borderId="0" xfId="0" applyNumberFormat="1" applyFont="1" applyProtection="1">
      <protection locked="0"/>
    </xf>
    <xf numFmtId="0" fontId="8" fillId="5" borderId="3" xfId="0" applyFont="1" applyFill="1" applyBorder="1" applyAlignment="1" applyProtection="1">
      <alignment horizontal="left"/>
      <protection locked="0"/>
    </xf>
    <xf numFmtId="49" fontId="8" fillId="5" borderId="3" xfId="0" applyNumberFormat="1" applyFont="1" applyFill="1" applyBorder="1" applyAlignment="1" applyProtection="1">
      <alignment horizontal="left"/>
      <protection locked="0"/>
    </xf>
    <xf numFmtId="14" fontId="12" fillId="5" borderId="3" xfId="0" applyNumberFormat="1" applyFont="1" applyFill="1" applyBorder="1" applyAlignment="1" applyProtection="1">
      <alignment horizontal="left"/>
      <protection locked="0"/>
    </xf>
    <xf numFmtId="49" fontId="12" fillId="5" borderId="3" xfId="0" applyNumberFormat="1" applyFont="1" applyFill="1" applyBorder="1" applyAlignment="1" applyProtection="1">
      <alignment horizontal="left"/>
      <protection locked="0"/>
    </xf>
    <xf numFmtId="10" fontId="10" fillId="5" borderId="3" xfId="11" applyNumberFormat="1" applyFont="1" applyFill="1" applyBorder="1" applyAlignment="1" applyProtection="1">
      <alignment horizontal="center" vertical="center"/>
    </xf>
    <xf numFmtId="49" fontId="11" fillId="5" borderId="3" xfId="0" applyNumberFormat="1" applyFont="1" applyFill="1" applyBorder="1" applyAlignment="1" applyProtection="1">
      <alignment horizontal="center" vertical="center"/>
      <protection locked="0"/>
    </xf>
    <xf numFmtId="2" fontId="13" fillId="5" borderId="3" xfId="0" applyNumberFormat="1" applyFont="1" applyFill="1" applyBorder="1" applyAlignment="1" applyProtection="1">
      <alignment horizontal="center" vertical="center"/>
      <protection locked="0"/>
    </xf>
    <xf numFmtId="49" fontId="11" fillId="5" borderId="3" xfId="0" applyNumberFormat="1" applyFont="1" applyFill="1" applyBorder="1" applyAlignment="1" applyProtection="1">
      <alignment horizontal="center"/>
      <protection locked="0"/>
    </xf>
    <xf numFmtId="0" fontId="18" fillId="0" borderId="4" xfId="0" applyFont="1" applyFill="1" applyBorder="1" applyAlignment="1">
      <alignment wrapText="1"/>
    </xf>
    <xf numFmtId="2" fontId="9" fillId="0" borderId="4" xfId="0" applyNumberFormat="1" applyFont="1" applyFill="1" applyBorder="1" applyAlignment="1">
      <alignment horizontal="center" vertical="center" wrapText="1"/>
    </xf>
    <xf numFmtId="2" fontId="9" fillId="0" borderId="6" xfId="0" applyNumberFormat="1" applyFont="1" applyFill="1" applyBorder="1" applyAlignment="1">
      <alignment horizontal="center" vertical="center" wrapText="1"/>
    </xf>
    <xf numFmtId="2" fontId="9" fillId="0" borderId="45" xfId="0" applyNumberFormat="1" applyFont="1" applyFill="1" applyBorder="1" applyAlignment="1">
      <alignment horizontal="center" vertical="center" wrapText="1"/>
    </xf>
    <xf numFmtId="2" fontId="9" fillId="0" borderId="18" xfId="0" applyNumberFormat="1" applyFont="1" applyFill="1" applyBorder="1" applyAlignment="1">
      <alignment horizontal="center" vertical="center" wrapText="1"/>
    </xf>
    <xf numFmtId="2" fontId="9" fillId="0" borderId="19" xfId="0" applyNumberFormat="1" applyFont="1" applyFill="1" applyBorder="1" applyAlignment="1">
      <alignment horizontal="center" vertical="center" wrapText="1"/>
    </xf>
    <xf numFmtId="49" fontId="9" fillId="11" borderId="4" xfId="6" applyNumberFormat="1" applyFont="1" applyFill="1" applyBorder="1" applyAlignment="1">
      <alignment horizontal="center" vertical="center"/>
    </xf>
    <xf numFmtId="0" fontId="8" fillId="0" borderId="1" xfId="0" applyFont="1" applyBorder="1" applyAlignment="1">
      <alignment horizontal="left" vertical="top" wrapText="1"/>
    </xf>
    <xf numFmtId="0" fontId="9" fillId="0" borderId="6" xfId="0" applyFont="1" applyFill="1" applyBorder="1" applyAlignment="1">
      <alignment horizontal="left" vertical="center" wrapText="1"/>
    </xf>
    <xf numFmtId="0" fontId="10" fillId="9" borderId="8" xfId="8" quotePrefix="1" applyFont="1" applyFill="1" applyBorder="1" applyAlignment="1" applyProtection="1">
      <alignment vertical="center" wrapText="1"/>
      <protection hidden="1"/>
    </xf>
    <xf numFmtId="0" fontId="10" fillId="9" borderId="4" xfId="8" quotePrefix="1" applyFont="1" applyFill="1" applyBorder="1" applyAlignment="1" applyProtection="1">
      <alignment horizontal="center" vertical="center" wrapText="1"/>
      <protection hidden="1"/>
    </xf>
    <xf numFmtId="2" fontId="25" fillId="5" borderId="49" xfId="0" applyNumberFormat="1" applyFont="1" applyFill="1" applyBorder="1" applyAlignment="1" applyProtection="1">
      <alignment horizontal="center"/>
      <protection locked="0"/>
    </xf>
    <xf numFmtId="0" fontId="10" fillId="9" borderId="4" xfId="8" quotePrefix="1" applyFont="1" applyFill="1" applyBorder="1" applyAlignment="1" applyProtection="1">
      <alignment vertical="center" wrapText="1"/>
      <protection hidden="1"/>
    </xf>
    <xf numFmtId="0" fontId="10" fillId="0" borderId="0" xfId="0" applyFont="1"/>
    <xf numFmtId="0" fontId="10" fillId="0" borderId="4" xfId="8" quotePrefix="1" applyFont="1" applyBorder="1" applyAlignment="1" applyProtection="1">
      <alignment horizontal="center" vertical="center" wrapText="1"/>
      <protection hidden="1"/>
    </xf>
    <xf numFmtId="0" fontId="8" fillId="2" borderId="0" xfId="6" applyFont="1" applyFill="1" applyAlignment="1" applyProtection="1">
      <alignment horizontal="right"/>
      <protection locked="0"/>
    </xf>
    <xf numFmtId="0" fontId="10" fillId="0" borderId="8" xfId="9" applyFont="1" applyBorder="1" applyAlignment="1">
      <alignment horizontal="left" vertical="center" wrapText="1" indent="6"/>
    </xf>
    <xf numFmtId="2" fontId="8" fillId="5" borderId="45" xfId="0" applyNumberFormat="1" applyFont="1" applyFill="1" applyBorder="1" applyAlignment="1" applyProtection="1">
      <alignment horizontal="right"/>
      <protection locked="0"/>
    </xf>
    <xf numFmtId="0" fontId="7" fillId="0" borderId="0" xfId="0" applyFont="1"/>
    <xf numFmtId="2" fontId="8" fillId="3" borderId="4" xfId="0" applyNumberFormat="1" applyFont="1" applyFill="1" applyBorder="1" applyAlignment="1">
      <alignment horizontal="center" vertical="center" wrapText="1"/>
    </xf>
    <xf numFmtId="2" fontId="26" fillId="5" borderId="49" xfId="0" applyNumberFormat="1" applyFont="1" applyFill="1" applyBorder="1" applyAlignment="1" applyProtection="1">
      <alignment horizontal="center" vertical="center"/>
      <protection locked="0"/>
    </xf>
    <xf numFmtId="2" fontId="8" fillId="0" borderId="0" xfId="0" applyNumberFormat="1" applyFont="1" applyAlignment="1" applyProtection="1">
      <alignment horizontal="center"/>
      <protection locked="0"/>
    </xf>
    <xf numFmtId="0" fontId="9" fillId="0" borderId="4" xfId="6" applyFont="1" applyBorder="1" applyAlignment="1">
      <alignment horizontal="left" indent="1"/>
    </xf>
    <xf numFmtId="0" fontId="9" fillId="0" borderId="4" xfId="6" applyFont="1" applyBorder="1" applyAlignment="1">
      <alignment horizontal="left" wrapText="1" indent="1"/>
    </xf>
    <xf numFmtId="0" fontId="10" fillId="9" borderId="4" xfId="8" quotePrefix="1" applyFont="1" applyFill="1" applyBorder="1" applyAlignment="1" applyProtection="1">
      <alignment horizontal="center" vertical="center" wrapText="1"/>
      <protection hidden="1"/>
    </xf>
    <xf numFmtId="0" fontId="12" fillId="0" borderId="0" xfId="0" applyFont="1" applyFill="1" applyAlignment="1">
      <alignment horizontal="left" vertical="top" wrapText="1"/>
    </xf>
    <xf numFmtId="0" fontId="8" fillId="0" borderId="1" xfId="0" applyFont="1" applyBorder="1" applyAlignment="1">
      <alignment horizontal="left" wrapText="1"/>
    </xf>
    <xf numFmtId="0" fontId="22" fillId="9" borderId="9" xfId="0" applyFont="1" applyFill="1" applyBorder="1" applyAlignment="1">
      <alignment horizontal="center" vertical="center"/>
    </xf>
    <xf numFmtId="0" fontId="22" fillId="9" borderId="10" xfId="0" applyFont="1" applyFill="1" applyBorder="1" applyAlignment="1">
      <alignment horizontal="center" vertical="center"/>
    </xf>
    <xf numFmtId="0" fontId="22" fillId="9" borderId="11" xfId="0" applyFont="1" applyFill="1" applyBorder="1" applyAlignment="1">
      <alignment horizontal="center" vertical="center"/>
    </xf>
    <xf numFmtId="49" fontId="8" fillId="5" borderId="9" xfId="0" applyNumberFormat="1" applyFont="1" applyFill="1" applyBorder="1" applyAlignment="1" applyProtection="1">
      <alignment horizontal="left"/>
      <protection locked="0"/>
    </xf>
    <xf numFmtId="49" fontId="8" fillId="5" borderId="11" xfId="0" applyNumberFormat="1" applyFont="1" applyFill="1" applyBorder="1" applyAlignment="1" applyProtection="1">
      <alignment horizontal="left"/>
      <protection locked="0"/>
    </xf>
    <xf numFmtId="0" fontId="8" fillId="5" borderId="9" xfId="0" applyFont="1" applyFill="1" applyBorder="1" applyAlignment="1" applyProtection="1">
      <alignment horizontal="center" vertical="top" wrapText="1"/>
      <protection locked="0"/>
    </xf>
    <xf numFmtId="0" fontId="8" fillId="5" borderId="10" xfId="0" applyFont="1" applyFill="1" applyBorder="1" applyAlignment="1" applyProtection="1">
      <alignment horizontal="center" vertical="top" wrapText="1"/>
      <protection locked="0"/>
    </xf>
    <xf numFmtId="0" fontId="8" fillId="5" borderId="11" xfId="0" applyFont="1" applyFill="1" applyBorder="1" applyAlignment="1" applyProtection="1">
      <alignment horizontal="center" vertical="top" wrapText="1"/>
      <protection locked="0"/>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10" fontId="10" fillId="6" borderId="2" xfId="11" applyNumberFormat="1" applyFont="1" applyFill="1" applyBorder="1" applyAlignment="1" applyProtection="1">
      <alignment horizontal="center" vertical="center" wrapText="1"/>
    </xf>
    <xf numFmtId="0" fontId="9" fillId="9" borderId="8" xfId="0" applyFont="1" applyFill="1" applyBorder="1" applyAlignment="1">
      <alignment horizontal="center" vertical="center" wrapText="1"/>
    </xf>
    <xf numFmtId="0" fontId="9" fillId="9" borderId="46" xfId="0" applyFont="1" applyFill="1" applyBorder="1" applyAlignment="1">
      <alignment horizontal="center" vertical="center" wrapText="1"/>
    </xf>
    <xf numFmtId="0" fontId="9" fillId="9" borderId="7" xfId="0" applyFont="1" applyFill="1" applyBorder="1" applyAlignment="1">
      <alignment horizontal="center" vertical="center" wrapText="1"/>
    </xf>
    <xf numFmtId="49" fontId="9" fillId="9" borderId="4" xfId="7" applyNumberFormat="1" applyFont="1" applyFill="1" applyBorder="1" applyAlignment="1">
      <alignment horizontal="left" vertical="center" wrapText="1"/>
    </xf>
    <xf numFmtId="0" fontId="22" fillId="9" borderId="9" xfId="0" applyFont="1" applyFill="1" applyBorder="1" applyAlignment="1">
      <alignment horizontal="center" vertical="center" wrapText="1"/>
    </xf>
    <xf numFmtId="0" fontId="22" fillId="9" borderId="10" xfId="0" applyFont="1" applyFill="1" applyBorder="1" applyAlignment="1">
      <alignment horizontal="center" vertical="center" wrapText="1"/>
    </xf>
    <xf numFmtId="0" fontId="22" fillId="9" borderId="11" xfId="0" applyFont="1" applyFill="1" applyBorder="1" applyAlignment="1">
      <alignment horizontal="center" vertical="center" wrapText="1"/>
    </xf>
    <xf numFmtId="49" fontId="10" fillId="9" borderId="4" xfId="7" applyNumberFormat="1" applyFont="1" applyFill="1" applyBorder="1" applyAlignment="1">
      <alignment horizontal="center" vertical="center" wrapText="1"/>
    </xf>
    <xf numFmtId="14" fontId="10" fillId="9" borderId="4" xfId="7" applyNumberFormat="1" applyFont="1" applyFill="1" applyBorder="1" applyAlignment="1">
      <alignment horizontal="center" vertical="center"/>
    </xf>
    <xf numFmtId="0" fontId="9" fillId="0" borderId="8"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10" fillId="9" borderId="5" xfId="0" applyFont="1" applyFill="1" applyBorder="1" applyAlignment="1" applyProtection="1">
      <alignment horizontal="center" vertical="center" wrapText="1"/>
    </xf>
    <xf numFmtId="0" fontId="10" fillId="9" borderId="6" xfId="0" applyFont="1" applyFill="1" applyBorder="1" applyAlignment="1" applyProtection="1">
      <alignment horizontal="center" vertical="center" wrapText="1"/>
    </xf>
    <xf numFmtId="0" fontId="10" fillId="9" borderId="4" xfId="5" applyFont="1" applyFill="1" applyBorder="1" applyAlignment="1">
      <alignment horizontal="center" vertical="center" wrapText="1"/>
    </xf>
    <xf numFmtId="1" fontId="10" fillId="9" borderId="4" xfId="5" applyNumberFormat="1" applyFont="1" applyFill="1" applyBorder="1" applyAlignment="1">
      <alignment horizontal="center" vertical="center" wrapText="1"/>
    </xf>
    <xf numFmtId="1" fontId="10" fillId="0" borderId="4" xfId="5" applyNumberFormat="1" applyFont="1" applyFill="1" applyBorder="1" applyAlignment="1">
      <alignment horizontal="center" vertical="center" wrapText="1"/>
    </xf>
    <xf numFmtId="0" fontId="9" fillId="0" borderId="45" xfId="5" applyFont="1" applyFill="1" applyBorder="1" applyAlignment="1">
      <alignment horizontal="center" vertical="center" wrapText="1"/>
    </xf>
    <xf numFmtId="0" fontId="9" fillId="0" borderId="6" xfId="5" applyFont="1" applyFill="1" applyBorder="1" applyAlignment="1">
      <alignment horizontal="center" vertical="center" wrapText="1"/>
    </xf>
    <xf numFmtId="0" fontId="10" fillId="9" borderId="5" xfId="5" applyFont="1" applyFill="1" applyBorder="1" applyAlignment="1">
      <alignment horizontal="center" vertical="center" wrapText="1"/>
    </xf>
    <xf numFmtId="0" fontId="10" fillId="9" borderId="6" xfId="5" applyFont="1" applyFill="1" applyBorder="1" applyAlignment="1">
      <alignment horizontal="center" vertical="center" wrapText="1"/>
    </xf>
    <xf numFmtId="0" fontId="10" fillId="9" borderId="4" xfId="9" applyFont="1" applyFill="1" applyBorder="1" applyAlignment="1">
      <alignment horizontal="center" vertical="center" wrapText="1"/>
    </xf>
    <xf numFmtId="0" fontId="9" fillId="9" borderId="5" xfId="9" applyFont="1" applyFill="1" applyBorder="1" applyAlignment="1">
      <alignment horizontal="center" vertical="center" wrapText="1"/>
    </xf>
    <xf numFmtId="0" fontId="9" fillId="9" borderId="6" xfId="9" applyFont="1" applyFill="1" applyBorder="1" applyAlignment="1">
      <alignment horizontal="center" vertical="center" wrapText="1"/>
    </xf>
    <xf numFmtId="0" fontId="9" fillId="9" borderId="15" xfId="9" applyFont="1" applyFill="1" applyBorder="1" applyAlignment="1">
      <alignment horizontal="center" vertical="center" wrapText="1"/>
    </xf>
    <xf numFmtId="0" fontId="9" fillId="9" borderId="21" xfId="9" applyFont="1" applyFill="1" applyBorder="1" applyAlignment="1">
      <alignment horizontal="center" vertical="center" wrapText="1"/>
    </xf>
    <xf numFmtId="0" fontId="9" fillId="9" borderId="22" xfId="9" applyFont="1" applyFill="1" applyBorder="1" applyAlignment="1">
      <alignment horizontal="center" vertical="center" wrapText="1"/>
    </xf>
    <xf numFmtId="0" fontId="9" fillId="9" borderId="23" xfId="9"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45"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10" fillId="9" borderId="6" xfId="7" applyFont="1" applyFill="1" applyBorder="1" applyAlignment="1">
      <alignment horizontal="center" vertical="center" wrapText="1"/>
    </xf>
    <xf numFmtId="0" fontId="10" fillId="9" borderId="4" xfId="7" applyFont="1" applyFill="1" applyBorder="1" applyAlignment="1">
      <alignment horizontal="center" vertical="center" wrapText="1"/>
    </xf>
    <xf numFmtId="0" fontId="9" fillId="0" borderId="4" xfId="0" applyFont="1" applyFill="1" applyBorder="1" applyAlignment="1">
      <alignment horizontal="center" wrapText="1"/>
    </xf>
    <xf numFmtId="0" fontId="23" fillId="9" borderId="9" xfId="0" applyFont="1" applyFill="1" applyBorder="1" applyAlignment="1">
      <alignment horizontal="center" vertical="center" wrapText="1"/>
    </xf>
    <xf numFmtId="0" fontId="23" fillId="9" borderId="10" xfId="0" applyFont="1" applyFill="1" applyBorder="1" applyAlignment="1">
      <alignment horizontal="center" vertical="center" wrapText="1"/>
    </xf>
    <xf numFmtId="0" fontId="23" fillId="9" borderId="11" xfId="0" applyFont="1" applyFill="1" applyBorder="1" applyAlignment="1">
      <alignment horizontal="center" vertical="center" wrapText="1"/>
    </xf>
    <xf numFmtId="0" fontId="10" fillId="9" borderId="4" xfId="8" quotePrefix="1" applyFont="1" applyFill="1" applyBorder="1" applyAlignment="1" applyProtection="1">
      <alignment horizontal="center" vertical="center" wrapText="1"/>
      <protection hidden="1"/>
    </xf>
    <xf numFmtId="2" fontId="26" fillId="5" borderId="5" xfId="0" applyNumberFormat="1" applyFont="1" applyFill="1" applyBorder="1" applyAlignment="1" applyProtection="1">
      <alignment horizontal="center" vertical="center"/>
      <protection locked="0"/>
    </xf>
    <xf numFmtId="2" fontId="26" fillId="5" borderId="45" xfId="0" applyNumberFormat="1" applyFont="1" applyFill="1" applyBorder="1" applyAlignment="1" applyProtection="1">
      <alignment horizontal="center" vertical="center"/>
      <protection locked="0"/>
    </xf>
    <xf numFmtId="2" fontId="26" fillId="5" borderId="49" xfId="0" applyNumberFormat="1" applyFont="1" applyFill="1" applyBorder="1" applyAlignment="1" applyProtection="1">
      <alignment horizontal="center" vertical="center"/>
      <protection locked="0"/>
    </xf>
    <xf numFmtId="2" fontId="8" fillId="5" borderId="51" xfId="0" applyNumberFormat="1" applyFont="1" applyFill="1" applyBorder="1" applyAlignment="1" applyProtection="1">
      <alignment horizontal="center"/>
      <protection locked="0"/>
    </xf>
    <xf numFmtId="2" fontId="8" fillId="5" borderId="52" xfId="0" applyNumberFormat="1" applyFont="1" applyFill="1" applyBorder="1" applyAlignment="1" applyProtection="1">
      <alignment horizontal="center"/>
      <protection locked="0"/>
    </xf>
    <xf numFmtId="2" fontId="8" fillId="5" borderId="53" xfId="0" applyNumberFormat="1" applyFont="1" applyFill="1" applyBorder="1" applyAlignment="1" applyProtection="1">
      <alignment horizontal="center"/>
      <protection locked="0"/>
    </xf>
    <xf numFmtId="0" fontId="10" fillId="9" borderId="8" xfId="8" quotePrefix="1" applyFont="1" applyFill="1" applyBorder="1" applyAlignment="1" applyProtection="1">
      <alignment horizontal="center" vertical="center" wrapText="1"/>
      <protection hidden="1"/>
    </xf>
    <xf numFmtId="0" fontId="10" fillId="9" borderId="46" xfId="8" quotePrefix="1" applyFont="1" applyFill="1" applyBorder="1" applyAlignment="1" applyProtection="1">
      <alignment horizontal="center" vertical="center" wrapText="1"/>
      <protection hidden="1"/>
    </xf>
    <xf numFmtId="0" fontId="10" fillId="9" borderId="7" xfId="8" quotePrefix="1" applyFont="1" applyFill="1" applyBorder="1" applyAlignment="1" applyProtection="1">
      <alignment horizontal="center" vertical="center" wrapText="1"/>
      <protection hidden="1"/>
    </xf>
    <xf numFmtId="49" fontId="9" fillId="11" borderId="4" xfId="6" applyNumberFormat="1" applyFont="1" applyFill="1" applyBorder="1" applyAlignment="1">
      <alignment horizontal="center" vertical="center"/>
    </xf>
    <xf numFmtId="2" fontId="8" fillId="5" borderId="4" xfId="0" applyNumberFormat="1" applyFont="1" applyFill="1" applyBorder="1" applyAlignment="1" applyProtection="1">
      <alignment horizontal="center"/>
      <protection locked="0"/>
    </xf>
    <xf numFmtId="2" fontId="25" fillId="5" borderId="54" xfId="0" applyNumberFormat="1" applyFont="1" applyFill="1" applyBorder="1" applyAlignment="1" applyProtection="1">
      <alignment horizontal="center" vertical="center"/>
      <protection locked="0"/>
    </xf>
    <xf numFmtId="2" fontId="25" fillId="5" borderId="55" xfId="0" applyNumberFormat="1" applyFont="1" applyFill="1" applyBorder="1" applyAlignment="1" applyProtection="1">
      <alignment horizontal="center" vertical="center"/>
      <protection locked="0"/>
    </xf>
    <xf numFmtId="2" fontId="25" fillId="5" borderId="39" xfId="0" applyNumberFormat="1" applyFont="1" applyFill="1" applyBorder="1" applyAlignment="1" applyProtection="1">
      <alignment horizontal="center" vertical="center"/>
      <protection locked="0"/>
    </xf>
    <xf numFmtId="0" fontId="10" fillId="9" borderId="4" xfId="0" applyFont="1" applyFill="1" applyBorder="1" applyAlignment="1">
      <alignment horizontal="center" vertical="center"/>
    </xf>
    <xf numFmtId="0" fontId="10" fillId="9" borderId="15" xfId="0" applyFont="1" applyFill="1" applyBorder="1" applyAlignment="1">
      <alignment horizontal="center" vertical="center"/>
    </xf>
    <xf numFmtId="0" fontId="10" fillId="9" borderId="16" xfId="0" applyFont="1" applyFill="1" applyBorder="1" applyAlignment="1">
      <alignment horizontal="center" vertical="center"/>
    </xf>
    <xf numFmtId="0" fontId="10" fillId="9" borderId="21" xfId="0" applyFont="1" applyFill="1" applyBorder="1" applyAlignment="1">
      <alignment horizontal="center" vertical="center"/>
    </xf>
    <xf numFmtId="0" fontId="10" fillId="9" borderId="48" xfId="0" applyFont="1" applyFill="1" applyBorder="1" applyAlignment="1">
      <alignment horizontal="center" vertical="center"/>
    </xf>
    <xf numFmtId="0" fontId="10" fillId="9" borderId="0" xfId="0" applyFont="1" applyFill="1" applyBorder="1" applyAlignment="1">
      <alignment horizontal="center" vertical="center"/>
    </xf>
    <xf numFmtId="0" fontId="10" fillId="9" borderId="47" xfId="0" applyFont="1" applyFill="1" applyBorder="1" applyAlignment="1">
      <alignment horizontal="center" vertical="center"/>
    </xf>
    <xf numFmtId="0" fontId="10" fillId="9" borderId="22" xfId="0" applyFont="1" applyFill="1" applyBorder="1" applyAlignment="1">
      <alignment horizontal="center" vertical="center"/>
    </xf>
    <xf numFmtId="0" fontId="10" fillId="9" borderId="24" xfId="0" applyFont="1" applyFill="1" applyBorder="1" applyAlignment="1">
      <alignment horizontal="center" vertical="center"/>
    </xf>
    <xf numFmtId="0" fontId="10" fillId="9" borderId="23" xfId="0" applyFont="1" applyFill="1" applyBorder="1" applyAlignment="1">
      <alignment horizontal="center" vertical="center"/>
    </xf>
    <xf numFmtId="0" fontId="10" fillId="9" borderId="4" xfId="0" applyFont="1" applyFill="1" applyBorder="1" applyAlignment="1">
      <alignment horizontal="left" vertical="center" wrapText="1"/>
    </xf>
    <xf numFmtId="0" fontId="10" fillId="0" borderId="4"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10" fillId="9" borderId="45" xfId="0" applyFont="1" applyFill="1" applyBorder="1" applyAlignment="1">
      <alignment horizontal="center" vertical="center" wrapText="1"/>
    </xf>
    <xf numFmtId="0" fontId="10" fillId="9" borderId="6"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9" borderId="27" xfId="0" applyFont="1" applyFill="1" applyBorder="1" applyAlignment="1">
      <alignment horizontal="center" vertical="center" wrapText="1"/>
    </xf>
    <xf numFmtId="0" fontId="10" fillId="9" borderId="26" xfId="0" applyFont="1" applyFill="1" applyBorder="1" applyAlignment="1">
      <alignment horizontal="center" vertical="center" wrapText="1"/>
    </xf>
    <xf numFmtId="0" fontId="10" fillId="9" borderId="22" xfId="0" applyFont="1" applyFill="1" applyBorder="1" applyAlignment="1">
      <alignment horizontal="center" vertical="center" wrapText="1"/>
    </xf>
    <xf numFmtId="0" fontId="10" fillId="9" borderId="23" xfId="0" applyFont="1" applyFill="1" applyBorder="1" applyAlignment="1">
      <alignment horizontal="center" vertical="center" wrapText="1"/>
    </xf>
    <xf numFmtId="0" fontId="10" fillId="9" borderId="25" xfId="0" applyFont="1" applyFill="1" applyBorder="1" applyAlignment="1">
      <alignment horizontal="center" vertical="center" wrapText="1"/>
    </xf>
    <xf numFmtId="0" fontId="10" fillId="9" borderId="29" xfId="0" applyFont="1" applyFill="1" applyBorder="1" applyAlignment="1">
      <alignment horizontal="center" vertical="center" wrapText="1"/>
    </xf>
    <xf numFmtId="0" fontId="10" fillId="9" borderId="28" xfId="0" applyFont="1" applyFill="1" applyBorder="1" applyAlignment="1">
      <alignment horizontal="center" vertical="center" wrapText="1"/>
    </xf>
    <xf numFmtId="0" fontId="10" fillId="9" borderId="30" xfId="0" applyFont="1" applyFill="1" applyBorder="1" applyAlignment="1">
      <alignment horizontal="center" vertical="center" wrapText="1"/>
    </xf>
    <xf numFmtId="0" fontId="10" fillId="9" borderId="33" xfId="0" applyFont="1" applyFill="1" applyBorder="1" applyAlignment="1">
      <alignment horizontal="center" vertical="center" wrapText="1"/>
    </xf>
    <xf numFmtId="0" fontId="10" fillId="9" borderId="34" xfId="0" applyFont="1" applyFill="1" applyBorder="1" applyAlignment="1">
      <alignment horizontal="center" vertical="center" wrapText="1"/>
    </xf>
    <xf numFmtId="0" fontId="10" fillId="9" borderId="35" xfId="0" applyFont="1" applyFill="1" applyBorder="1" applyAlignment="1">
      <alignment horizontal="center" vertical="center" wrapText="1"/>
    </xf>
    <xf numFmtId="0" fontId="10" fillId="9" borderId="32" xfId="0" applyFont="1" applyFill="1" applyBorder="1" applyAlignment="1">
      <alignment horizontal="center" vertical="center" wrapText="1"/>
    </xf>
    <xf numFmtId="0" fontId="10" fillId="9" borderId="31" xfId="0" applyFont="1" applyFill="1" applyBorder="1" applyAlignment="1">
      <alignment horizontal="center" vertical="center" wrapText="1"/>
    </xf>
  </cellXfs>
  <cellStyles count="13">
    <cellStyle name="Hyperlink" xfId="12" builtinId="8"/>
    <cellStyle name="Normal" xfId="0" builtinId="0"/>
    <cellStyle name="Normal 10" xfId="6" xr:uid="{00000000-0005-0000-0000-000001000000}"/>
    <cellStyle name="Normal 11" xfId="1" xr:uid="{00000000-0005-0000-0000-000002000000}"/>
    <cellStyle name="Normal 11 3" xfId="5" xr:uid="{00000000-0005-0000-0000-000003000000}"/>
    <cellStyle name="Normal 2" xfId="3" xr:uid="{00000000-0005-0000-0000-000004000000}"/>
    <cellStyle name="Normal 2 4" xfId="8" xr:uid="{00000000-0005-0000-0000-000005000000}"/>
    <cellStyle name="Normal 2_~0149226 2" xfId="2" xr:uid="{00000000-0005-0000-0000-000006000000}"/>
    <cellStyle name="Normal 3 2" xfId="4" xr:uid="{00000000-0005-0000-0000-000007000000}"/>
    <cellStyle name="Normal 6" xfId="9" xr:uid="{00000000-0005-0000-0000-000008000000}"/>
    <cellStyle name="Normal_ListMarketRiskParameters" xfId="7" xr:uid="{00000000-0005-0000-0000-000009000000}"/>
    <cellStyle name="Normale 2 2" xfId="10" xr:uid="{00000000-0005-0000-0000-00000B000000}"/>
    <cellStyle name="Percent" xfId="11" builtinId="5"/>
  </cellStyles>
  <dxfs count="21">
    <dxf>
      <fill>
        <patternFill>
          <bgColor theme="1" tint="0.499984740745262"/>
        </patternFill>
      </fill>
    </dxf>
    <dxf>
      <fill>
        <patternFill>
          <bgColor theme="1" tint="0.499984740745262"/>
        </patternFill>
      </fill>
    </dxf>
    <dxf>
      <fill>
        <patternFill>
          <bgColor theme="2"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0" tint="-0.24994659260841701"/>
        </patternFill>
      </fill>
    </dxf>
    <dxf>
      <fill>
        <patternFill>
          <bgColor theme="1" tint="0.499984740745262"/>
        </patternFill>
      </fill>
    </dxf>
    <dxf>
      <fill>
        <patternFill>
          <bgColor theme="1"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ankingsupervision.europa.eu/banking/srep/html/STEreportingtemplates.en.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8"/>
  <sheetViews>
    <sheetView showGridLines="0" zoomScaleNormal="100" zoomScaleSheetLayoutView="70" workbookViewId="0">
      <selection activeCell="B16" sqref="B16"/>
    </sheetView>
  </sheetViews>
  <sheetFormatPr defaultColWidth="0" defaultRowHeight="15" zeroHeight="1" x14ac:dyDescent="0.25"/>
  <cols>
    <col min="1" max="1" width="1.5703125" style="22" customWidth="1"/>
    <col min="2" max="2" width="112.5703125" style="22" customWidth="1"/>
    <col min="3" max="3" width="1.5703125" style="22" customWidth="1"/>
    <col min="4" max="16384" width="9.42578125" style="22" hidden="1"/>
  </cols>
  <sheetData>
    <row r="1" spans="1:12" s="2" customFormat="1" ht="8.1" customHeight="1" thickBot="1" x14ac:dyDescent="0.3">
      <c r="B1" s="3"/>
    </row>
    <row r="2" spans="1:12" ht="26.1" customHeight="1" thickBot="1" x14ac:dyDescent="0.3">
      <c r="A2" s="37"/>
      <c r="B2" s="85" t="s">
        <v>128</v>
      </c>
      <c r="C2" s="37"/>
      <c r="H2" s="2"/>
      <c r="I2" s="2"/>
      <c r="J2" s="2"/>
      <c r="K2" s="2"/>
      <c r="L2" s="2"/>
    </row>
    <row r="3" spans="1:12" s="17" customFormat="1" x14ac:dyDescent="0.25"/>
    <row r="4" spans="1:12" x14ac:dyDescent="0.25">
      <c r="B4" s="24" t="s">
        <v>129</v>
      </c>
    </row>
    <row r="5" spans="1:12" x14ac:dyDescent="0.25">
      <c r="B5" s="23"/>
    </row>
    <row r="6" spans="1:12" x14ac:dyDescent="0.25">
      <c r="B6" s="25" t="s">
        <v>140</v>
      </c>
    </row>
    <row r="7" spans="1:12" ht="30" x14ac:dyDescent="0.25">
      <c r="B7" s="23" t="s">
        <v>199</v>
      </c>
    </row>
    <row r="8" spans="1:12" x14ac:dyDescent="0.25">
      <c r="B8" s="26" t="s">
        <v>148</v>
      </c>
    </row>
    <row r="9" spans="1:12" ht="30" x14ac:dyDescent="0.25">
      <c r="B9" s="23" t="s">
        <v>200</v>
      </c>
    </row>
    <row r="10" spans="1:12" ht="30" x14ac:dyDescent="0.25">
      <c r="B10" s="23" t="s">
        <v>195</v>
      </c>
    </row>
    <row r="11" spans="1:12" x14ac:dyDescent="0.25">
      <c r="B11" s="23"/>
    </row>
    <row r="12" spans="1:12" x14ac:dyDescent="0.25">
      <c r="B12" s="25" t="s">
        <v>143</v>
      </c>
    </row>
    <row r="13" spans="1:12" ht="30" x14ac:dyDescent="0.25">
      <c r="B13" s="91" t="s">
        <v>560</v>
      </c>
    </row>
    <row r="14" spans="1:12" x14ac:dyDescent="0.25">
      <c r="B14" s="23"/>
    </row>
    <row r="15" spans="1:12" x14ac:dyDescent="0.25">
      <c r="B15" s="25" t="s">
        <v>144</v>
      </c>
    </row>
    <row r="16" spans="1:12" ht="30" x14ac:dyDescent="0.25">
      <c r="B16" s="91" t="s">
        <v>215</v>
      </c>
    </row>
    <row r="17" spans="1:3" x14ac:dyDescent="0.25">
      <c r="B17" s="23"/>
    </row>
    <row r="18" spans="1:3" x14ac:dyDescent="0.25">
      <c r="B18" s="25" t="s">
        <v>145</v>
      </c>
    </row>
    <row r="19" spans="1:3" ht="30" x14ac:dyDescent="0.25">
      <c r="A19" s="1"/>
      <c r="B19" s="7" t="s">
        <v>201</v>
      </c>
      <c r="C19" s="1"/>
    </row>
    <row r="20" spans="1:3" x14ac:dyDescent="0.25">
      <c r="B20" s="23"/>
    </row>
    <row r="21" spans="1:3" x14ac:dyDescent="0.25">
      <c r="B21" s="25" t="s">
        <v>146</v>
      </c>
    </row>
    <row r="22" spans="1:3" ht="30" x14ac:dyDescent="0.25">
      <c r="B22" s="91" t="s">
        <v>214</v>
      </c>
    </row>
    <row r="23" spans="1:3" x14ac:dyDescent="0.25">
      <c r="B23" s="23"/>
    </row>
    <row r="24" spans="1:3" x14ac:dyDescent="0.25">
      <c r="B24" s="25" t="s">
        <v>147</v>
      </c>
    </row>
    <row r="25" spans="1:3" ht="60" x14ac:dyDescent="0.25">
      <c r="B25" s="91" t="s">
        <v>213</v>
      </c>
    </row>
    <row r="26" spans="1:3" x14ac:dyDescent="0.25">
      <c r="B26" s="23"/>
    </row>
    <row r="27" spans="1:3" ht="30" x14ac:dyDescent="0.25">
      <c r="B27" s="23" t="s">
        <v>142</v>
      </c>
    </row>
    <row r="28" spans="1:3" x14ac:dyDescent="0.25">
      <c r="B28" s="36" t="s">
        <v>141</v>
      </c>
    </row>
    <row r="29" spans="1:3" x14ac:dyDescent="0.25">
      <c r="B29" s="26"/>
    </row>
    <row r="30" spans="1:3" x14ac:dyDescent="0.25">
      <c r="B30" s="27" t="s">
        <v>149</v>
      </c>
    </row>
    <row r="31" spans="1:3" x14ac:dyDescent="0.25">
      <c r="B31" s="23"/>
    </row>
    <row r="32" spans="1:3" ht="45" x14ac:dyDescent="0.25">
      <c r="B32" s="129" t="s">
        <v>132</v>
      </c>
    </row>
    <row r="33" spans="2:2" x14ac:dyDescent="0.25">
      <c r="B33" s="23"/>
    </row>
    <row r="34" spans="2:2" ht="99.75" x14ac:dyDescent="0.25">
      <c r="B34" s="130" t="s">
        <v>133</v>
      </c>
    </row>
    <row r="35" spans="2:2" x14ac:dyDescent="0.25">
      <c r="B35" s="23"/>
    </row>
    <row r="36" spans="2:2" x14ac:dyDescent="0.25">
      <c r="B36" s="83" t="s">
        <v>134</v>
      </c>
    </row>
    <row r="37" spans="2:2" x14ac:dyDescent="0.25">
      <c r="B37" s="131" t="s">
        <v>167</v>
      </c>
    </row>
    <row r="38" spans="2:2" x14ac:dyDescent="0.25">
      <c r="B38" s="150" t="s">
        <v>135</v>
      </c>
    </row>
    <row r="39" spans="2:2" x14ac:dyDescent="0.25">
      <c r="B39" s="84" t="s">
        <v>136</v>
      </c>
    </row>
    <row r="40" spans="2:2" x14ac:dyDescent="0.25">
      <c r="B40" s="23"/>
    </row>
    <row r="41" spans="2:2" x14ac:dyDescent="0.25">
      <c r="B41" s="24" t="s">
        <v>137</v>
      </c>
    </row>
    <row r="42" spans="2:2" x14ac:dyDescent="0.25">
      <c r="B42" s="23"/>
    </row>
    <row r="43" spans="2:2" x14ac:dyDescent="0.25">
      <c r="B43" s="28" t="s">
        <v>138</v>
      </c>
    </row>
    <row r="44" spans="2:2" x14ac:dyDescent="0.25">
      <c r="B44" s="27"/>
    </row>
    <row r="45" spans="2:2" ht="30" x14ac:dyDescent="0.25">
      <c r="B45" s="29" t="s">
        <v>139</v>
      </c>
    </row>
    <row r="46" spans="2:2" x14ac:dyDescent="0.25">
      <c r="B46" s="23"/>
    </row>
    <row r="47" spans="2:2" hidden="1" x14ac:dyDescent="0.25">
      <c r="B47" s="20"/>
    </row>
    <row r="48" spans="2:2" hidden="1" x14ac:dyDescent="0.25">
      <c r="B48" s="30"/>
    </row>
    <row r="49" spans="2:2" hidden="1" x14ac:dyDescent="0.25">
      <c r="B49" s="31"/>
    </row>
    <row r="50" spans="2:2" hidden="1" x14ac:dyDescent="0.25">
      <c r="B50" s="32"/>
    </row>
    <row r="51" spans="2:2" hidden="1" x14ac:dyDescent="0.25">
      <c r="B51" s="30"/>
    </row>
    <row r="52" spans="2:2" hidden="1" x14ac:dyDescent="0.25">
      <c r="B52" s="31"/>
    </row>
    <row r="53" spans="2:2" hidden="1" x14ac:dyDescent="0.25">
      <c r="B53" s="32"/>
    </row>
    <row r="54" spans="2:2" hidden="1" x14ac:dyDescent="0.25">
      <c r="B54" s="30"/>
    </row>
    <row r="55" spans="2:2" hidden="1" x14ac:dyDescent="0.25">
      <c r="B55" s="31"/>
    </row>
    <row r="56" spans="2:2" hidden="1" x14ac:dyDescent="0.25">
      <c r="B56" s="32"/>
    </row>
    <row r="57" spans="2:2" hidden="1" x14ac:dyDescent="0.25">
      <c r="B57" s="30"/>
    </row>
    <row r="58" spans="2:2" hidden="1" x14ac:dyDescent="0.25">
      <c r="B58" s="30"/>
    </row>
    <row r="59" spans="2:2" hidden="1" x14ac:dyDescent="0.25">
      <c r="B59" s="32"/>
    </row>
    <row r="60" spans="2:2" hidden="1" x14ac:dyDescent="0.25">
      <c r="B60" s="33"/>
    </row>
    <row r="61" spans="2:2" hidden="1" x14ac:dyDescent="0.25">
      <c r="B61" s="34"/>
    </row>
    <row r="62" spans="2:2" hidden="1" x14ac:dyDescent="0.25">
      <c r="B62" s="32"/>
    </row>
    <row r="63" spans="2:2" hidden="1" x14ac:dyDescent="0.25">
      <c r="B63" s="30"/>
    </row>
    <row r="64" spans="2:2" hidden="1" x14ac:dyDescent="0.25">
      <c r="B64" s="34"/>
    </row>
    <row r="65" spans="2:2" hidden="1" x14ac:dyDescent="0.25">
      <c r="B65" s="32"/>
    </row>
    <row r="66" spans="2:2" hidden="1" x14ac:dyDescent="0.25">
      <c r="B66" s="30"/>
    </row>
    <row r="67" spans="2:2" hidden="1" x14ac:dyDescent="0.25">
      <c r="B67" s="20"/>
    </row>
    <row r="68" spans="2:2" hidden="1" x14ac:dyDescent="0.25">
      <c r="B68" s="35"/>
    </row>
    <row r="69" spans="2:2" hidden="1" x14ac:dyDescent="0.25">
      <c r="B69" s="35"/>
    </row>
    <row r="70" spans="2:2" hidden="1" x14ac:dyDescent="0.25">
      <c r="B70" s="20"/>
    </row>
    <row r="71" spans="2:2" hidden="1" x14ac:dyDescent="0.25">
      <c r="B71" s="20"/>
    </row>
    <row r="72" spans="2:2" hidden="1" x14ac:dyDescent="0.25">
      <c r="B72" s="20"/>
    </row>
    <row r="73" spans="2:2" hidden="1" x14ac:dyDescent="0.25">
      <c r="B73" s="20"/>
    </row>
    <row r="74" spans="2:2" hidden="1" x14ac:dyDescent="0.25">
      <c r="B74" s="20"/>
    </row>
    <row r="75" spans="2:2" hidden="1" x14ac:dyDescent="0.25">
      <c r="B75" s="20"/>
    </row>
    <row r="76" spans="2:2" hidden="1" x14ac:dyDescent="0.25">
      <c r="B76" s="20"/>
    </row>
    <row r="77" spans="2:2" hidden="1" x14ac:dyDescent="0.25">
      <c r="B77" s="20"/>
    </row>
    <row r="78" spans="2:2" hidden="1" x14ac:dyDescent="0.25">
      <c r="B78" s="20"/>
    </row>
    <row r="79" spans="2:2" hidden="1" x14ac:dyDescent="0.25">
      <c r="B79" s="20"/>
    </row>
    <row r="80" spans="2:2" hidden="1" x14ac:dyDescent="0.25">
      <c r="B80" s="20"/>
    </row>
    <row r="81" spans="2:2" hidden="1" x14ac:dyDescent="0.25">
      <c r="B81" s="20"/>
    </row>
    <row r="82" spans="2:2" hidden="1" x14ac:dyDescent="0.25">
      <c r="B82" s="20"/>
    </row>
    <row r="83" spans="2:2" hidden="1" x14ac:dyDescent="0.25">
      <c r="B83" s="20"/>
    </row>
    <row r="84" spans="2:2" hidden="1" x14ac:dyDescent="0.25">
      <c r="B84" s="20"/>
    </row>
    <row r="85" spans="2:2" hidden="1" x14ac:dyDescent="0.25">
      <c r="B85" s="20"/>
    </row>
    <row r="86" spans="2:2" hidden="1" x14ac:dyDescent="0.25">
      <c r="B86" s="20"/>
    </row>
    <row r="87" spans="2:2" hidden="1" x14ac:dyDescent="0.25">
      <c r="B87" s="20"/>
    </row>
    <row r="88" spans="2:2" hidden="1" x14ac:dyDescent="0.25">
      <c r="B88" s="20"/>
    </row>
    <row r="89" spans="2:2" hidden="1" x14ac:dyDescent="0.25">
      <c r="B89" s="20"/>
    </row>
    <row r="90" spans="2:2" hidden="1" x14ac:dyDescent="0.25">
      <c r="B90" s="20"/>
    </row>
    <row r="91" spans="2:2" hidden="1" x14ac:dyDescent="0.25">
      <c r="B91" s="20"/>
    </row>
    <row r="92" spans="2:2" hidden="1" x14ac:dyDescent="0.25">
      <c r="B92" s="20"/>
    </row>
    <row r="93" spans="2:2" hidden="1" x14ac:dyDescent="0.25">
      <c r="B93" s="20"/>
    </row>
    <row r="94" spans="2:2" hidden="1" x14ac:dyDescent="0.25">
      <c r="B94" s="20"/>
    </row>
    <row r="95" spans="2:2" hidden="1" x14ac:dyDescent="0.25">
      <c r="B95" s="20"/>
    </row>
    <row r="96" spans="2:2" hidden="1" x14ac:dyDescent="0.25">
      <c r="B96" s="20"/>
    </row>
    <row r="97" spans="2:2" hidden="1" x14ac:dyDescent="0.25">
      <c r="B97" s="20"/>
    </row>
    <row r="98" spans="2:2" hidden="1" x14ac:dyDescent="0.25">
      <c r="B98" s="20"/>
    </row>
    <row r="99" spans="2:2" hidden="1" x14ac:dyDescent="0.25">
      <c r="B99" s="20"/>
    </row>
    <row r="100" spans="2:2" hidden="1" x14ac:dyDescent="0.25">
      <c r="B100" s="20"/>
    </row>
    <row r="101" spans="2:2" hidden="1" x14ac:dyDescent="0.25">
      <c r="B101" s="20"/>
    </row>
    <row r="102" spans="2:2" hidden="1" x14ac:dyDescent="0.25">
      <c r="B102" s="20"/>
    </row>
    <row r="103" spans="2:2" hidden="1" x14ac:dyDescent="0.25">
      <c r="B103" s="20"/>
    </row>
    <row r="104" spans="2:2" hidden="1" x14ac:dyDescent="0.25">
      <c r="B104" s="20"/>
    </row>
    <row r="105" spans="2:2" hidden="1" x14ac:dyDescent="0.25">
      <c r="B105" s="20"/>
    </row>
    <row r="106" spans="2:2" hidden="1" x14ac:dyDescent="0.25">
      <c r="B106" s="20"/>
    </row>
    <row r="107" spans="2:2" hidden="1" x14ac:dyDescent="0.25">
      <c r="B107" s="20"/>
    </row>
    <row r="108" spans="2:2" hidden="1" x14ac:dyDescent="0.25">
      <c r="B108" s="20"/>
    </row>
    <row r="109" spans="2:2" hidden="1" x14ac:dyDescent="0.25">
      <c r="B109" s="20"/>
    </row>
    <row r="110" spans="2:2" hidden="1" x14ac:dyDescent="0.25">
      <c r="B110" s="20"/>
    </row>
    <row r="111" spans="2:2" hidden="1" x14ac:dyDescent="0.25">
      <c r="B111" s="21"/>
    </row>
    <row r="112" spans="2:2" hidden="1" x14ac:dyDescent="0.25">
      <c r="B112" s="21"/>
    </row>
    <row r="113" spans="2:2" hidden="1" x14ac:dyDescent="0.25">
      <c r="B113" s="21"/>
    </row>
    <row r="114" spans="2:2" hidden="1" x14ac:dyDescent="0.25">
      <c r="B114" s="21"/>
    </row>
    <row r="115" spans="2:2" hidden="1" x14ac:dyDescent="0.25">
      <c r="B115" s="21"/>
    </row>
    <row r="116" spans="2:2" hidden="1" x14ac:dyDescent="0.25">
      <c r="B116" s="21"/>
    </row>
    <row r="117" spans="2:2" hidden="1" x14ac:dyDescent="0.25">
      <c r="B117" s="21"/>
    </row>
    <row r="118" spans="2:2" hidden="1" x14ac:dyDescent="0.25">
      <c r="B118" s="21"/>
    </row>
    <row r="119" spans="2:2" hidden="1" x14ac:dyDescent="0.25">
      <c r="B119" s="21"/>
    </row>
    <row r="120" spans="2:2" hidden="1" x14ac:dyDescent="0.25">
      <c r="B120" s="21"/>
    </row>
    <row r="121" spans="2:2" hidden="1" x14ac:dyDescent="0.25">
      <c r="B121" s="21"/>
    </row>
    <row r="122" spans="2:2" hidden="1" x14ac:dyDescent="0.25">
      <c r="B122" s="21"/>
    </row>
    <row r="123" spans="2:2" hidden="1" x14ac:dyDescent="0.25">
      <c r="B123" s="21"/>
    </row>
    <row r="124" spans="2:2" hidden="1" x14ac:dyDescent="0.25">
      <c r="B124" s="21"/>
    </row>
    <row r="125" spans="2:2" hidden="1" x14ac:dyDescent="0.25">
      <c r="B125" s="21"/>
    </row>
    <row r="137" spans="1:3" s="17" customFormat="1" hidden="1" x14ac:dyDescent="0.25">
      <c r="A137" s="22"/>
      <c r="B137" s="22"/>
      <c r="C137" s="22"/>
    </row>
    <row r="138" spans="1:3" s="17" customFormat="1" hidden="1" x14ac:dyDescent="0.25">
      <c r="A138" s="22"/>
      <c r="B138" s="22"/>
      <c r="C138" s="22"/>
    </row>
    <row r="139" spans="1:3" s="17" customFormat="1" hidden="1" x14ac:dyDescent="0.25">
      <c r="A139" s="22"/>
      <c r="B139" s="22"/>
      <c r="C139" s="22"/>
    </row>
    <row r="140" spans="1:3" s="17" customFormat="1" hidden="1" x14ac:dyDescent="0.25">
      <c r="A140" s="22"/>
      <c r="B140" s="22"/>
      <c r="C140" s="22"/>
    </row>
    <row r="141" spans="1:3" s="17" customFormat="1" hidden="1" x14ac:dyDescent="0.25">
      <c r="A141" s="22"/>
      <c r="B141" s="22"/>
      <c r="C141" s="22"/>
    </row>
    <row r="142" spans="1:3" s="17" customFormat="1" hidden="1" x14ac:dyDescent="0.25">
      <c r="A142" s="22"/>
      <c r="B142" s="22"/>
      <c r="C142" s="22"/>
    </row>
    <row r="143" spans="1:3" s="17" customFormat="1" hidden="1" x14ac:dyDescent="0.25">
      <c r="A143" s="22"/>
      <c r="B143" s="22"/>
      <c r="C143" s="22"/>
    </row>
    <row r="144" spans="1:3" s="17" customFormat="1" hidden="1" x14ac:dyDescent="0.25">
      <c r="A144" s="22"/>
      <c r="B144" s="22"/>
      <c r="C144" s="22"/>
    </row>
    <row r="145" spans="1:3" s="17" customFormat="1" hidden="1" x14ac:dyDescent="0.25">
      <c r="A145" s="22"/>
      <c r="B145" s="22"/>
      <c r="C145" s="22"/>
    </row>
    <row r="146" spans="1:3" s="17" customFormat="1" hidden="1" x14ac:dyDescent="0.25">
      <c r="A146" s="22"/>
      <c r="B146" s="22"/>
      <c r="C146" s="22"/>
    </row>
    <row r="147" spans="1:3" s="17" customFormat="1" hidden="1" x14ac:dyDescent="0.25">
      <c r="A147" s="22"/>
      <c r="B147" s="22"/>
      <c r="C147" s="22"/>
    </row>
    <row r="148" spans="1:3" s="17" customFormat="1" hidden="1" x14ac:dyDescent="0.25">
      <c r="A148" s="22"/>
      <c r="B148" s="22"/>
      <c r="C148" s="22"/>
    </row>
    <row r="149" spans="1:3" s="17" customFormat="1" hidden="1" x14ac:dyDescent="0.25">
      <c r="A149" s="22"/>
      <c r="B149" s="22"/>
      <c r="C149" s="22"/>
    </row>
    <row r="150" spans="1:3" s="17" customFormat="1" hidden="1" x14ac:dyDescent="0.25">
      <c r="A150" s="22"/>
      <c r="B150" s="22"/>
      <c r="C150" s="22"/>
    </row>
    <row r="151" spans="1:3" s="17" customFormat="1" hidden="1" x14ac:dyDescent="0.25">
      <c r="A151" s="22"/>
      <c r="B151" s="22"/>
      <c r="C151" s="22"/>
    </row>
    <row r="152" spans="1:3" s="17" customFormat="1" hidden="1" x14ac:dyDescent="0.25">
      <c r="A152" s="22"/>
      <c r="B152" s="22"/>
      <c r="C152" s="22"/>
    </row>
    <row r="153" spans="1:3" s="17" customFormat="1" hidden="1" x14ac:dyDescent="0.25">
      <c r="A153" s="22"/>
      <c r="B153" s="22"/>
      <c r="C153" s="22"/>
    </row>
    <row r="154" spans="1:3" s="17" customFormat="1" hidden="1" x14ac:dyDescent="0.25">
      <c r="A154" s="22"/>
      <c r="B154" s="22"/>
      <c r="C154" s="22"/>
    </row>
    <row r="155" spans="1:3" s="17" customFormat="1" hidden="1" x14ac:dyDescent="0.25">
      <c r="A155" s="22"/>
      <c r="B155" s="22"/>
      <c r="C155" s="22"/>
    </row>
    <row r="156" spans="1:3" s="17" customFormat="1" hidden="1" x14ac:dyDescent="0.25">
      <c r="A156" s="22"/>
      <c r="B156" s="22"/>
      <c r="C156" s="22"/>
    </row>
    <row r="157" spans="1:3" s="17" customFormat="1" hidden="1" x14ac:dyDescent="0.25">
      <c r="A157" s="22"/>
      <c r="B157" s="22"/>
      <c r="C157" s="22"/>
    </row>
    <row r="158" spans="1:3" s="17" customFormat="1" hidden="1" x14ac:dyDescent="0.25">
      <c r="A158" s="22"/>
      <c r="B158" s="22"/>
      <c r="C158" s="22"/>
    </row>
    <row r="159" spans="1:3" s="17" customFormat="1" hidden="1" x14ac:dyDescent="0.25">
      <c r="A159" s="22"/>
      <c r="B159" s="22"/>
      <c r="C159" s="22"/>
    </row>
    <row r="160" spans="1:3" s="17" customFormat="1" hidden="1" x14ac:dyDescent="0.25">
      <c r="A160" s="22"/>
      <c r="B160" s="22"/>
      <c r="C160" s="22"/>
    </row>
    <row r="161" spans="1:3" s="17" customFormat="1" hidden="1" x14ac:dyDescent="0.25">
      <c r="A161" s="22"/>
      <c r="B161" s="22"/>
      <c r="C161" s="22"/>
    </row>
    <row r="162" spans="1:3" s="17" customFormat="1" hidden="1" x14ac:dyDescent="0.25">
      <c r="A162" s="22"/>
      <c r="B162" s="22"/>
      <c r="C162" s="22"/>
    </row>
    <row r="163" spans="1:3" s="17" customFormat="1" hidden="1" x14ac:dyDescent="0.25">
      <c r="A163" s="22"/>
      <c r="B163" s="22"/>
      <c r="C163" s="22"/>
    </row>
    <row r="164" spans="1:3" s="17" customFormat="1" hidden="1" x14ac:dyDescent="0.25">
      <c r="A164" s="22"/>
      <c r="B164" s="22"/>
      <c r="C164" s="22"/>
    </row>
    <row r="165" spans="1:3" s="17" customFormat="1" hidden="1" x14ac:dyDescent="0.25">
      <c r="A165" s="22"/>
      <c r="B165" s="22"/>
      <c r="C165" s="22"/>
    </row>
    <row r="166" spans="1:3" s="17" customFormat="1" hidden="1" x14ac:dyDescent="0.25">
      <c r="A166" s="22"/>
      <c r="B166" s="22"/>
      <c r="C166" s="22"/>
    </row>
    <row r="167" spans="1:3" s="17" customFormat="1" hidden="1" x14ac:dyDescent="0.25">
      <c r="A167" s="22"/>
      <c r="B167" s="22"/>
      <c r="C167" s="22"/>
    </row>
    <row r="168" spans="1:3" s="17" customFormat="1" hidden="1" x14ac:dyDescent="0.25">
      <c r="A168" s="22"/>
      <c r="B168" s="22"/>
      <c r="C168" s="22"/>
    </row>
  </sheetData>
  <dataValidations count="2">
    <dataValidation type="custom" allowBlank="1" showInputMessage="1" showErrorMessage="1" errorTitle="Incorrect data entered" error="A positive number, or .v (if the value for this item is not available), must be entered." sqref="B39 B36" xr:uid="{00000000-0002-0000-0000-000000000000}">
      <formula1>OR(B36&gt;=0,LOWER(B36)=".v")</formula1>
    </dataValidation>
    <dataValidation allowBlank="1" showInputMessage="1" sqref="B37" xr:uid="{00000000-0002-0000-0000-000001000000}"/>
  </dataValidations>
  <hyperlinks>
    <hyperlink ref="B28" r:id="rId1" xr:uid="{00000000-0004-0000-0000-000000000000}"/>
  </hyperlinks>
  <pageMargins left="0.7" right="0.7" top="0.75" bottom="0.75" header="0.3" footer="0.3"/>
  <pageSetup scale="68"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S44"/>
  <sheetViews>
    <sheetView showGridLines="0" topLeftCell="A19" zoomScale="90" zoomScaleNormal="90" workbookViewId="0">
      <selection activeCell="B34" sqref="B34"/>
    </sheetView>
  </sheetViews>
  <sheetFormatPr defaultColWidth="0" defaultRowHeight="15" zeroHeight="1" x14ac:dyDescent="0.25"/>
  <cols>
    <col min="1" max="1" width="1.5703125" style="22" customWidth="1"/>
    <col min="2" max="2" width="65" style="2" customWidth="1"/>
    <col min="3" max="3" width="25.42578125" style="2" customWidth="1"/>
    <col min="4" max="4" width="5.42578125" style="2" customWidth="1"/>
    <col min="5" max="5" width="33.85546875" style="2" customWidth="1"/>
    <col min="6" max="6" width="1.5703125" style="22" customWidth="1"/>
    <col min="7" max="19" width="0" style="2" hidden="1" customWidth="1"/>
    <col min="20" max="16384" width="9.140625" style="2" hidden="1"/>
  </cols>
  <sheetData>
    <row r="1" spans="1:15" ht="8.1" customHeight="1" thickBot="1" x14ac:dyDescent="0.3">
      <c r="A1" s="2"/>
      <c r="B1" s="3"/>
      <c r="C1" s="3"/>
      <c r="F1" s="2"/>
    </row>
    <row r="2" spans="1:15" s="22" customFormat="1" ht="26.1" customHeight="1" thickBot="1" x14ac:dyDescent="0.3">
      <c r="A2" s="37"/>
      <c r="B2" s="177" t="s">
        <v>116</v>
      </c>
      <c r="C2" s="178"/>
      <c r="D2" s="178"/>
      <c r="E2" s="179"/>
      <c r="F2" s="37"/>
      <c r="K2" s="2"/>
      <c r="L2" s="2"/>
      <c r="M2" s="2"/>
      <c r="N2" s="2"/>
      <c r="O2" s="2"/>
    </row>
    <row r="3" spans="1:15" s="17" customFormat="1" x14ac:dyDescent="0.25"/>
    <row r="4" spans="1:15" x14ac:dyDescent="0.25">
      <c r="B4" s="38" t="s">
        <v>117</v>
      </c>
      <c r="C4" s="3"/>
      <c r="D4" s="3"/>
    </row>
    <row r="5" spans="1:15" ht="15.75" thickBot="1" x14ac:dyDescent="0.3">
      <c r="B5" s="3"/>
      <c r="C5" s="3"/>
      <c r="D5" s="3"/>
    </row>
    <row r="6" spans="1:15" ht="15.75" thickBot="1" x14ac:dyDescent="0.3">
      <c r="B6" s="39" t="s">
        <v>202</v>
      </c>
      <c r="C6" s="142"/>
      <c r="D6" s="3"/>
    </row>
    <row r="7" spans="1:15" ht="15.75" thickBot="1" x14ac:dyDescent="0.3">
      <c r="B7" s="39"/>
      <c r="C7" s="4"/>
      <c r="D7" s="3"/>
    </row>
    <row r="8" spans="1:15" ht="15.75" thickBot="1" x14ac:dyDescent="0.3">
      <c r="B8" s="39" t="s">
        <v>152</v>
      </c>
      <c r="C8" s="143"/>
      <c r="D8" s="3"/>
    </row>
    <row r="9" spans="1:15" ht="15.75" thickBot="1" x14ac:dyDescent="0.3">
      <c r="B9" s="39"/>
      <c r="C9" s="4"/>
      <c r="D9" s="3"/>
    </row>
    <row r="10" spans="1:15" ht="15.75" thickBot="1" x14ac:dyDescent="0.3">
      <c r="B10" s="39" t="s">
        <v>118</v>
      </c>
      <c r="C10" s="143"/>
      <c r="D10" s="3"/>
    </row>
    <row r="11" spans="1:15" ht="15.75" thickBot="1" x14ac:dyDescent="0.3">
      <c r="B11" s="39"/>
      <c r="C11" s="4"/>
      <c r="D11" s="5"/>
    </row>
    <row r="12" spans="1:15" ht="15.75" thickBot="1" x14ac:dyDescent="0.3">
      <c r="B12" s="39" t="s">
        <v>153</v>
      </c>
      <c r="C12" s="180"/>
      <c r="D12" s="181"/>
    </row>
    <row r="13" spans="1:15" ht="15.75" thickBot="1" x14ac:dyDescent="0.3">
      <c r="B13" s="39"/>
      <c r="C13" s="6"/>
    </row>
    <row r="14" spans="1:15" ht="15.75" thickBot="1" x14ac:dyDescent="0.3">
      <c r="B14" s="39" t="s">
        <v>154</v>
      </c>
      <c r="C14" s="144"/>
    </row>
    <row r="15" spans="1:15" ht="15.75" thickBot="1" x14ac:dyDescent="0.3">
      <c r="B15" s="39"/>
      <c r="C15" s="6"/>
    </row>
    <row r="16" spans="1:15" ht="15.75" thickBot="1" x14ac:dyDescent="0.3">
      <c r="B16" s="39" t="s">
        <v>119</v>
      </c>
      <c r="C16" s="145"/>
    </row>
    <row r="17" spans="1:6" ht="15.75" thickBot="1" x14ac:dyDescent="0.3"/>
    <row r="18" spans="1:6" s="7" customFormat="1" ht="32.25" customHeight="1" thickBot="1" x14ac:dyDescent="0.3">
      <c r="A18" s="1"/>
      <c r="B18" s="185" t="s">
        <v>131</v>
      </c>
      <c r="C18" s="186"/>
      <c r="D18" s="186"/>
      <c r="E18" s="82" t="s">
        <v>125</v>
      </c>
      <c r="F18" s="1"/>
    </row>
    <row r="19" spans="1:6" ht="9.75" customHeight="1" x14ac:dyDescent="0.25">
      <c r="B19" s="8"/>
      <c r="C19" s="9"/>
      <c r="D19" s="9"/>
      <c r="E19" s="40"/>
    </row>
    <row r="20" spans="1:6" ht="15.75" thickBot="1" x14ac:dyDescent="0.3">
      <c r="B20" s="41" t="s">
        <v>127</v>
      </c>
      <c r="C20" s="42"/>
      <c r="D20" s="42"/>
      <c r="E20" s="10"/>
    </row>
    <row r="21" spans="1:6" ht="31.5" customHeight="1" thickBot="1" x14ac:dyDescent="0.3">
      <c r="B21" s="43" t="s">
        <v>126</v>
      </c>
      <c r="C21" s="146"/>
      <c r="D21" s="11"/>
      <c r="E21" s="19" t="str">
        <f>IF(C21="CA","Reported via CA",IF(C21="TE","Reported via TE","Please answer the question"))</f>
        <v>Please answer the question</v>
      </c>
    </row>
    <row r="22" spans="1:6" x14ac:dyDescent="0.25">
      <c r="B22" s="12"/>
      <c r="C22" s="13"/>
      <c r="D22" s="11"/>
      <c r="E22" s="14"/>
    </row>
    <row r="23" spans="1:6" ht="15.75" thickBot="1" x14ac:dyDescent="0.3">
      <c r="B23" s="41" t="s">
        <v>120</v>
      </c>
      <c r="C23" s="13"/>
      <c r="D23" s="11"/>
      <c r="E23" s="14"/>
    </row>
    <row r="24" spans="1:6" ht="60.75" thickBot="1" x14ac:dyDescent="0.3">
      <c r="B24" s="157" t="s">
        <v>536</v>
      </c>
      <c r="C24" s="147"/>
      <c r="D24" s="11"/>
      <c r="E24" s="187" t="str">
        <f>IF(C24="yes","Please report the VaR for internal purposes and the standard deviation",IF(AND(C24="no",C25="no",C26="no"),"No reporting needed",IF(AND(C24="no",C25="yes"),"Please report the VaR for prudential purposes and standard deviation",IF(AND(C24="no",C25="no",C26="yes"),"Report the standard deviation of daily P&amp;L on the FV portfolio","Please answer all the questions"))))</f>
        <v>Please answer all the questions</v>
      </c>
    </row>
    <row r="25" spans="1:6" ht="33.6" customHeight="1" thickBot="1" x14ac:dyDescent="0.3">
      <c r="B25" s="157" t="s">
        <v>535</v>
      </c>
      <c r="C25" s="147"/>
      <c r="D25" s="11"/>
      <c r="E25" s="187"/>
    </row>
    <row r="26" spans="1:6" ht="30.75" thickBot="1" x14ac:dyDescent="0.3">
      <c r="B26" s="157" t="s">
        <v>532</v>
      </c>
      <c r="C26" s="148"/>
      <c r="D26" s="11"/>
      <c r="E26" s="187"/>
    </row>
    <row r="27" spans="1:6" x14ac:dyDescent="0.25">
      <c r="B27" s="41"/>
      <c r="C27" s="13"/>
      <c r="D27" s="11"/>
      <c r="E27" s="14"/>
    </row>
    <row r="28" spans="1:6" ht="15.75" thickBot="1" x14ac:dyDescent="0.3">
      <c r="B28" s="41" t="s">
        <v>121</v>
      </c>
      <c r="C28" s="13"/>
      <c r="D28" s="11"/>
      <c r="E28" s="14"/>
    </row>
    <row r="29" spans="1:6" ht="46.5" customHeight="1" thickBot="1" x14ac:dyDescent="0.3">
      <c r="B29" s="43" t="s">
        <v>527</v>
      </c>
      <c r="C29" s="147"/>
      <c r="D29" s="11"/>
      <c r="E29" s="19" t="str">
        <f>IF(C29="yes", "Needs to be reported", IF(C29 = "no", "No reporting needed", "Please calculate the ratio and compare with the set threshold"))</f>
        <v>Please calculate the ratio and compare with the set threshold</v>
      </c>
    </row>
    <row r="30" spans="1:6" x14ac:dyDescent="0.25">
      <c r="B30" s="41"/>
      <c r="C30" s="13"/>
      <c r="D30" s="11"/>
      <c r="E30" s="14"/>
    </row>
    <row r="31" spans="1:6" ht="15.75" thickBot="1" x14ac:dyDescent="0.3">
      <c r="B31" s="41" t="s">
        <v>122</v>
      </c>
      <c r="C31" s="13"/>
      <c r="D31" s="11"/>
      <c r="E31" s="14"/>
    </row>
    <row r="32" spans="1:6" ht="15.75" thickBot="1" x14ac:dyDescent="0.3">
      <c r="B32" s="43" t="s">
        <v>533</v>
      </c>
      <c r="C32" s="149"/>
      <c r="D32" s="11"/>
      <c r="E32" s="187" t="str">
        <f>IF(OR(C32="yes",C34="yes"), "Needs to be reported", IF(AND(C32="no",C34="no"), "No reporting needed", "Please answer all the question"))</f>
        <v>Please answer all the question</v>
      </c>
    </row>
    <row r="33" spans="2:5" ht="30.75" thickBot="1" x14ac:dyDescent="0.3">
      <c r="B33" s="44" t="s">
        <v>534</v>
      </c>
      <c r="C33" s="148"/>
      <c r="D33" s="11"/>
      <c r="E33" s="187"/>
    </row>
    <row r="34" spans="2:5" ht="45.75" thickBot="1" x14ac:dyDescent="0.3">
      <c r="B34" s="176" t="s">
        <v>558</v>
      </c>
      <c r="C34" s="147"/>
      <c r="D34" s="11"/>
      <c r="E34" s="187"/>
    </row>
    <row r="35" spans="2:5" x14ac:dyDescent="0.25">
      <c r="B35" s="44"/>
      <c r="C35" s="11"/>
      <c r="D35" s="11"/>
      <c r="E35" s="14"/>
    </row>
    <row r="36" spans="2:5" ht="15.75" thickBot="1" x14ac:dyDescent="0.3">
      <c r="B36" s="41" t="s">
        <v>123</v>
      </c>
      <c r="C36" s="13"/>
      <c r="D36" s="11"/>
      <c r="E36" s="14"/>
    </row>
    <row r="37" spans="2:5" ht="15.75" thickBot="1" x14ac:dyDescent="0.3">
      <c r="B37" s="43" t="s">
        <v>203</v>
      </c>
      <c r="C37" s="147"/>
      <c r="D37" s="11"/>
      <c r="E37" s="19" t="str">
        <f>IF(C37="yes", "Needs to be reported", IF(C37= "no", "No reporting needed", "Please answer the question"))</f>
        <v>Please answer the question</v>
      </c>
    </row>
    <row r="38" spans="2:5" x14ac:dyDescent="0.25">
      <c r="B38" s="41"/>
      <c r="C38" s="11"/>
      <c r="D38" s="11"/>
      <c r="E38" s="14"/>
    </row>
    <row r="39" spans="2:5" ht="15.75" thickBot="1" x14ac:dyDescent="0.3">
      <c r="B39" s="41" t="s">
        <v>124</v>
      </c>
      <c r="C39" s="11"/>
      <c r="D39" s="11"/>
      <c r="E39" s="14"/>
    </row>
    <row r="40" spans="2:5" ht="15.75" thickBot="1" x14ac:dyDescent="0.3">
      <c r="B40" s="43" t="s">
        <v>204</v>
      </c>
      <c r="C40" s="147"/>
      <c r="D40" s="11"/>
      <c r="E40" s="19" t="str">
        <f>IF(C40="yes", "Needs to be reported",IF(C40="no", "No reporting needed", "Please answer the question"))</f>
        <v>Please answer the question</v>
      </c>
    </row>
    <row r="41" spans="2:5" ht="15.75" thickBot="1" x14ac:dyDescent="0.3">
      <c r="B41" s="45"/>
      <c r="C41" s="15"/>
      <c r="D41" s="15"/>
      <c r="E41" s="16"/>
    </row>
    <row r="42" spans="2:5" ht="15.75" thickBot="1" x14ac:dyDescent="0.3">
      <c r="B42" s="46"/>
    </row>
    <row r="43" spans="2:5" ht="96.6" customHeight="1" thickBot="1" x14ac:dyDescent="0.3">
      <c r="B43" s="175" t="s">
        <v>562</v>
      </c>
      <c r="C43" s="182"/>
      <c r="D43" s="183"/>
      <c r="E43" s="184"/>
    </row>
    <row r="44" spans="2:5" ht="13.35" customHeight="1" x14ac:dyDescent="0.25"/>
  </sheetData>
  <mergeCells count="6">
    <mergeCell ref="B2:E2"/>
    <mergeCell ref="C12:D12"/>
    <mergeCell ref="C43:E43"/>
    <mergeCell ref="B18:D18"/>
    <mergeCell ref="E24:E26"/>
    <mergeCell ref="E32:E34"/>
  </mergeCells>
  <conditionalFormatting sqref="D21">
    <cfRule type="expression" dxfId="20" priority="15">
      <formula>#REF!&lt;&gt;"-"</formula>
    </cfRule>
  </conditionalFormatting>
  <conditionalFormatting sqref="C22:D23 C30:D31 D29 C27:D28 D24:D26">
    <cfRule type="expression" dxfId="19" priority="9">
      <formula>#REF!&lt;&gt;"-"</formula>
    </cfRule>
  </conditionalFormatting>
  <conditionalFormatting sqref="E30:E31">
    <cfRule type="expression" dxfId="18" priority="7">
      <formula>#REF!&lt;&gt;"-"</formula>
    </cfRule>
  </conditionalFormatting>
  <conditionalFormatting sqref="E22:E23">
    <cfRule type="expression" dxfId="17" priority="6">
      <formula>#REF!&lt;&gt;"-"</formula>
    </cfRule>
  </conditionalFormatting>
  <conditionalFormatting sqref="E27:E28">
    <cfRule type="expression" dxfId="16" priority="5">
      <formula>#REF!&lt;&gt;"-"</formula>
    </cfRule>
  </conditionalFormatting>
  <conditionalFormatting sqref="C26">
    <cfRule type="expression" dxfId="15" priority="3">
      <formula>$C$25="Yes"</formula>
    </cfRule>
  </conditionalFormatting>
  <conditionalFormatting sqref="C33">
    <cfRule type="expression" dxfId="14" priority="2">
      <formula>$C$32="No"</formula>
    </cfRule>
  </conditionalFormatting>
  <conditionalFormatting sqref="C25:C26">
    <cfRule type="expression" dxfId="13" priority="1">
      <formula>$C$24="Yes"</formula>
    </cfRule>
  </conditionalFormatting>
  <dataValidations count="12">
    <dataValidation type="custom" allowBlank="1" showInputMessage="1" showErrorMessage="1" error="Value must be between 0% and 100% and size of the banking book of the 2nd most material currency cannot be higher than the size of the banking book of the 1st most material currency." sqref="D21" xr:uid="{00000000-0002-0000-0100-000000000000}">
      <formula1>AND(D21&gt;=0,D21&lt;=1,D21&lt;=D20)</formula1>
    </dataValidation>
    <dataValidation type="list" allowBlank="1" showInputMessage="1" showErrorMessage="1" sqref="C16" xr:uid="{00000000-0002-0000-0100-000001000000}">
      <formula1>"CONS,SOLO"</formula1>
    </dataValidation>
    <dataValidation type="list" allowBlank="1" showInputMessage="1" showErrorMessage="1" sqref="C14" xr:uid="{00000000-0002-0000-0100-000002000000}">
      <formula1>"31/12/2022,31/03/2023,30/06/2023,30/09/2023"</formula1>
    </dataValidation>
    <dataValidation type="textLength" operator="equal" allowBlank="1" showInputMessage="1" showErrorMessage="1" errorTitle="Error - String size" error="LEI code must have exactly 20 characters." sqref="C10" xr:uid="{00000000-0002-0000-0100-000003000000}">
      <formula1>20</formula1>
    </dataValidation>
    <dataValidation type="list" allowBlank="1" showInputMessage="1" showErrorMessage="1" sqref="C6" xr:uid="{00000000-0002-0000-0100-000004000000}">
      <formula1>"AT,BE,BG,CY,DE,EE,ES,FI,FR,GR,HR,IE,IT,LT,LU,LV,MT,NL,PT,SI,SK"</formula1>
    </dataValidation>
    <dataValidation type="list" allowBlank="1" showInputMessage="1" showErrorMessage="1" sqref="C32 C29 C37 C40 C24:C26 C34" xr:uid="{00000000-0002-0000-0100-000005000000}">
      <formula1>"Yes, No"</formula1>
    </dataValidation>
    <dataValidation type="custom" allowBlank="1" showInputMessage="1" showErrorMessage="1" error="Value must be between 0% and 100% and size of the banking book of the 4th most material currency cannot be higher than the size of the banking book of the 3rd most material currency." sqref="D23:D24" xr:uid="{00000000-0002-0000-0100-000006000000}">
      <formula1>AND(D23&gt;=0,D23&lt;=1,D23&lt;=#REF!)</formula1>
    </dataValidation>
    <dataValidation type="list" allowBlank="1" showInputMessage="1" showErrorMessage="1" sqref="C21" xr:uid="{00000000-0002-0000-0100-000007000000}">
      <formula1>"CA, TE"</formula1>
    </dataValidation>
    <dataValidation type="custom" allowBlank="1" showInputMessage="1" showErrorMessage="1" error="Value must be between 0% and 100% and size of the banking book of the 3rd most material currency cannot be higher than the size of the banking book of the 2nd most material currency." sqref="D22" xr:uid="{00000000-0002-0000-0100-000008000000}">
      <formula1>AND(D22&gt;=0,D22&lt;=1,D22&lt;=#REF!)</formula1>
    </dataValidation>
    <dataValidation type="decimal" allowBlank="1" showInputMessage="1" showErrorMessage="1" sqref="E20" xr:uid="{00000000-0002-0000-0100-000009000000}">
      <formula1>0</formula1>
      <formula2>1</formula2>
    </dataValidation>
    <dataValidation type="custom" allowBlank="1" showInputMessage="1" showErrorMessage="1" error="Value must be between 0% and 100% and size of the banking book of the 4th most material currency cannot be higher than the size of the banking book of the 3rd most material currency." sqref="D27 D25" xr:uid="{00000000-0002-0000-0100-00000A000000}">
      <formula1>AND(D25&gt;=0,D25&lt;=1,D25&lt;=D23)</formula1>
    </dataValidation>
    <dataValidation type="custom" allowBlank="1" showInputMessage="1" showErrorMessage="1" error="Value must be between 0% and 100% and size of the banking book of the 4th most material currency cannot be higher than the size of the banking book of the 3rd most material currency." sqref="D26" xr:uid="{00000000-0002-0000-0100-00000B000000}">
      <formula1>AND(D26&gt;=0,D26&lt;=1,D26&lt;=D25)</formula1>
    </dataValidation>
  </dataValidations>
  <pageMargins left="0.7" right="0.7" top="0.75" bottom="0.75" header="0.3" footer="0.3"/>
  <pageSetup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T19"/>
  <sheetViews>
    <sheetView showGridLines="0" zoomScaleNormal="100" workbookViewId="0">
      <selection activeCell="I9" sqref="I9"/>
    </sheetView>
  </sheetViews>
  <sheetFormatPr defaultColWidth="0" defaultRowHeight="15" zeroHeight="1" x14ac:dyDescent="0.25"/>
  <cols>
    <col min="1" max="1" width="1.5703125" style="22" customWidth="1"/>
    <col min="2" max="2" width="15.42578125" style="22" bestFit="1" customWidth="1"/>
    <col min="3" max="3" width="12.42578125" style="22" customWidth="1"/>
    <col min="4" max="4" width="9.42578125" style="22" customWidth="1"/>
    <col min="5" max="5" width="61" style="22" customWidth="1"/>
    <col min="6" max="6" width="12.42578125" style="22" customWidth="1"/>
    <col min="7" max="7" width="27.42578125" style="22" customWidth="1"/>
    <col min="8" max="10" width="19" style="22" customWidth="1"/>
    <col min="11" max="11" width="1.5703125" style="22" customWidth="1"/>
    <col min="12" max="18" width="11.5703125" style="22" hidden="1" customWidth="1"/>
    <col min="19" max="19" width="8.85546875" style="22" hidden="1" customWidth="1"/>
    <col min="20" max="20" width="0" style="22" hidden="1" customWidth="1"/>
    <col min="21" max="16384" width="8.85546875" style="22" hidden="1"/>
  </cols>
  <sheetData>
    <row r="1" spans="1:20" s="2" customFormat="1" ht="8.1" customHeight="1" thickBot="1" x14ac:dyDescent="0.3">
      <c r="B1" s="3"/>
      <c r="C1" s="3"/>
    </row>
    <row r="2" spans="1:20" ht="26.1" customHeight="1" thickBot="1" x14ac:dyDescent="0.3">
      <c r="A2" s="37"/>
      <c r="B2" s="192" t="s">
        <v>205</v>
      </c>
      <c r="C2" s="193"/>
      <c r="D2" s="193"/>
      <c r="E2" s="193"/>
      <c r="F2" s="193"/>
      <c r="G2" s="193"/>
      <c r="H2" s="193"/>
      <c r="I2" s="193"/>
      <c r="J2" s="194"/>
      <c r="K2" s="37"/>
      <c r="P2" s="2"/>
      <c r="Q2" s="2"/>
      <c r="R2" s="2"/>
      <c r="S2" s="2"/>
      <c r="T2" s="2"/>
    </row>
    <row r="3" spans="1:20" s="17" customFormat="1" x14ac:dyDescent="0.25"/>
    <row r="4" spans="1:20" ht="14.1" customHeight="1" x14ac:dyDescent="0.25">
      <c r="B4" s="37"/>
      <c r="C4" s="37"/>
      <c r="D4" s="37"/>
      <c r="E4" s="37"/>
      <c r="F4" s="37"/>
      <c r="G4" s="197">
        <f>'0_Identification'!C21</f>
        <v>0</v>
      </c>
      <c r="H4" s="198"/>
      <c r="I4" s="196" t="s">
        <v>31</v>
      </c>
      <c r="J4" s="196"/>
    </row>
    <row r="5" spans="1:20" ht="25.5" customHeight="1" x14ac:dyDescent="0.25">
      <c r="B5" s="47"/>
      <c r="C5" s="47"/>
      <c r="D5" s="47"/>
      <c r="F5" s="48"/>
      <c r="G5" s="201" t="s">
        <v>101</v>
      </c>
      <c r="H5" s="201" t="s">
        <v>102</v>
      </c>
      <c r="I5" s="201" t="s">
        <v>103</v>
      </c>
      <c r="J5" s="201" t="s">
        <v>109</v>
      </c>
    </row>
    <row r="6" spans="1:20" ht="25.5" customHeight="1" x14ac:dyDescent="0.25">
      <c r="B6" s="47"/>
      <c r="C6" s="47"/>
      <c r="D6" s="47"/>
      <c r="E6" s="48"/>
      <c r="F6" s="48" t="s">
        <v>171</v>
      </c>
      <c r="G6" s="202"/>
      <c r="H6" s="202"/>
      <c r="I6" s="202"/>
      <c r="J6" s="202"/>
    </row>
    <row r="7" spans="1:20" ht="14.1" customHeight="1" x14ac:dyDescent="0.25">
      <c r="B7" s="188" t="s">
        <v>104</v>
      </c>
      <c r="C7" s="189"/>
      <c r="D7" s="189"/>
      <c r="E7" s="189"/>
      <c r="F7" s="190"/>
      <c r="G7" s="126" t="s">
        <v>160</v>
      </c>
      <c r="H7" s="126" t="s">
        <v>161</v>
      </c>
      <c r="I7" s="126" t="s">
        <v>162</v>
      </c>
      <c r="J7" s="126" t="s">
        <v>163</v>
      </c>
    </row>
    <row r="8" spans="1:20" s="21" customFormat="1" x14ac:dyDescent="0.25">
      <c r="B8" s="199" t="s">
        <v>38</v>
      </c>
      <c r="C8" s="94" t="s">
        <v>105</v>
      </c>
      <c r="D8" s="94" t="s">
        <v>24</v>
      </c>
      <c r="E8" s="81" t="s">
        <v>528</v>
      </c>
      <c r="F8" s="124" t="s">
        <v>160</v>
      </c>
      <c r="G8" s="49"/>
      <c r="H8" s="152">
        <f>'1a_PnL and OCI impacts'!I9</f>
        <v>0</v>
      </c>
      <c r="I8" s="49"/>
      <c r="J8" s="151">
        <f>'1a_PnL and OCI impacts'!K9</f>
        <v>0</v>
      </c>
    </row>
    <row r="9" spans="1:20" s="21" customFormat="1" x14ac:dyDescent="0.25">
      <c r="B9" s="199"/>
      <c r="C9" s="200" t="s">
        <v>25</v>
      </c>
      <c r="D9" s="200" t="s">
        <v>88</v>
      </c>
      <c r="E9" s="81" t="s">
        <v>27</v>
      </c>
      <c r="F9" s="124" t="s">
        <v>161</v>
      </c>
      <c r="G9" s="96"/>
      <c r="H9" s="152">
        <f>'1a_PnL and OCI impacts'!I26</f>
        <v>0</v>
      </c>
      <c r="I9" s="152">
        <f>IF('0_Identification'!C21="CA",$G$17*MIN('1a_PnL and OCI impacts'!J26,-0.2%*G9),-0.2%*G9)</f>
        <v>0</v>
      </c>
      <c r="J9" s="140"/>
    </row>
    <row r="10" spans="1:20" s="21" customFormat="1" x14ac:dyDescent="0.25">
      <c r="B10" s="199"/>
      <c r="C10" s="200"/>
      <c r="D10" s="200"/>
      <c r="E10" s="81" t="s">
        <v>28</v>
      </c>
      <c r="F10" s="124" t="s">
        <v>162</v>
      </c>
      <c r="G10" s="92"/>
      <c r="H10" s="152">
        <f>'1a_PnL and OCI impacts'!I33</f>
        <v>0</v>
      </c>
      <c r="I10" s="152">
        <f>'1a_PnL and OCI impacts'!J33</f>
        <v>0</v>
      </c>
      <c r="J10" s="140"/>
    </row>
    <row r="11" spans="1:20" s="21" customFormat="1" x14ac:dyDescent="0.25">
      <c r="B11" s="199"/>
      <c r="C11" s="200"/>
      <c r="D11" s="200"/>
      <c r="E11" s="81" t="s">
        <v>29</v>
      </c>
      <c r="F11" s="124" t="s">
        <v>163</v>
      </c>
      <c r="G11" s="49"/>
      <c r="H11" s="152">
        <f>'1a_PnL and OCI impacts'!I13</f>
        <v>0</v>
      </c>
      <c r="I11" s="152">
        <f>'1a_PnL and OCI impacts'!J13</f>
        <v>0</v>
      </c>
      <c r="J11" s="140"/>
    </row>
    <row r="12" spans="1:20" s="21" customFormat="1" x14ac:dyDescent="0.25">
      <c r="B12" s="195" t="s">
        <v>106</v>
      </c>
      <c r="C12" s="195"/>
      <c r="D12" s="195"/>
      <c r="E12" s="81" t="s">
        <v>107</v>
      </c>
      <c r="F12" s="124" t="s">
        <v>164</v>
      </c>
      <c r="G12" s="49"/>
      <c r="H12" s="49"/>
      <c r="I12" s="152">
        <f>('1b_PRR impacts'!H24-'1b_PRR impacts'!G24)-'1b_PRR impacts'!I24</f>
        <v>0</v>
      </c>
      <c r="J12" s="140"/>
    </row>
    <row r="13" spans="1:20" s="21" customFormat="1" x14ac:dyDescent="0.25">
      <c r="B13" s="195"/>
      <c r="C13" s="195"/>
      <c r="D13" s="195"/>
      <c r="E13" s="81" t="s">
        <v>112</v>
      </c>
      <c r="F13" s="124" t="s">
        <v>165</v>
      </c>
      <c r="G13" s="49"/>
      <c r="H13" s="49"/>
      <c r="I13" s="152">
        <f>'1b_PRR impacts'!H24-'1b_PRR impacts'!H29-'1b_PRR impacts'!G29</f>
        <v>0</v>
      </c>
      <c r="J13" s="140"/>
    </row>
    <row r="14" spans="1:20" s="21" customFormat="1" x14ac:dyDescent="0.25">
      <c r="B14" s="195"/>
      <c r="C14" s="195"/>
      <c r="D14" s="195"/>
      <c r="E14" s="81" t="s">
        <v>108</v>
      </c>
      <c r="F14" s="124" t="s">
        <v>166</v>
      </c>
      <c r="G14" s="49"/>
      <c r="H14" s="49"/>
      <c r="I14" s="140"/>
      <c r="J14" s="151">
        <f>'1b_PRR impacts'!H34-'1b_PRR impacts'!G34</f>
        <v>0</v>
      </c>
    </row>
    <row r="15" spans="1:20" ht="14.45" customHeight="1" x14ac:dyDescent="0.25">
      <c r="B15" s="191" t="s">
        <v>110</v>
      </c>
      <c r="C15" s="191"/>
      <c r="D15" s="191"/>
      <c r="E15" s="191"/>
      <c r="F15" s="124" t="s">
        <v>168</v>
      </c>
      <c r="G15" s="54"/>
      <c r="H15" s="141"/>
      <c r="I15" s="141"/>
      <c r="J15" s="141"/>
    </row>
    <row r="16" spans="1:20" ht="14.45" customHeight="1" x14ac:dyDescent="0.25">
      <c r="B16" s="191" t="s">
        <v>111</v>
      </c>
      <c r="C16" s="191"/>
      <c r="D16" s="191"/>
      <c r="E16" s="191"/>
      <c r="F16" s="124" t="s">
        <v>169</v>
      </c>
      <c r="G16" s="93"/>
      <c r="H16" s="141"/>
      <c r="I16" s="141"/>
      <c r="J16" s="141"/>
    </row>
    <row r="17" spans="1:11" ht="14.45" customHeight="1" x14ac:dyDescent="0.25">
      <c r="B17" s="191" t="s">
        <v>150</v>
      </c>
      <c r="C17" s="191"/>
      <c r="D17" s="191"/>
      <c r="E17" s="191"/>
      <c r="F17" s="124" t="s">
        <v>170</v>
      </c>
      <c r="G17" s="152">
        <f>IFERROR(MAX(1,G16/G15),0)</f>
        <v>0</v>
      </c>
      <c r="H17" s="141"/>
      <c r="I17" s="141"/>
      <c r="J17" s="141"/>
    </row>
    <row r="18" spans="1:11" s="2" customFormat="1" ht="13.35" customHeight="1" x14ac:dyDescent="0.25">
      <c r="A18" s="1"/>
      <c r="K18" s="1"/>
    </row>
    <row r="19" spans="1:11" x14ac:dyDescent="0.25"/>
  </sheetData>
  <mergeCells count="15">
    <mergeCell ref="B7:F7"/>
    <mergeCell ref="B17:E17"/>
    <mergeCell ref="B16:E16"/>
    <mergeCell ref="B15:E15"/>
    <mergeCell ref="B2:J2"/>
    <mergeCell ref="B12:D14"/>
    <mergeCell ref="I4:J4"/>
    <mergeCell ref="G4:H4"/>
    <mergeCell ref="B8:B11"/>
    <mergeCell ref="C9:C11"/>
    <mergeCell ref="D9:D11"/>
    <mergeCell ref="J5:J6"/>
    <mergeCell ref="I5:I6"/>
    <mergeCell ref="H5:H6"/>
    <mergeCell ref="G5:G6"/>
  </mergeCells>
  <pageMargins left="0.7" right="0.7" top="0.75" bottom="0.75" header="0.3" footer="0.3"/>
  <pageSetup scale="62"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1" id="{82FCCF56-989E-485D-8FAF-67A0A3CA069C}">
            <xm:f>'0_Identification'!$E$21="No reporting needed"</xm:f>
            <x14:dxf>
              <fill>
                <patternFill>
                  <bgColor theme="1" tint="0.499984740745262"/>
                </patternFill>
              </fill>
            </x14:dxf>
          </x14:cfRule>
          <xm:sqref>G9 G15:G16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U34"/>
  <sheetViews>
    <sheetView showGridLines="0" zoomScale="70" zoomScaleNormal="70" zoomScaleSheetLayoutView="100" workbookViewId="0">
      <selection activeCell="J5" sqref="J5:K5"/>
    </sheetView>
  </sheetViews>
  <sheetFormatPr defaultColWidth="0" defaultRowHeight="15" zeroHeight="1" x14ac:dyDescent="0.25"/>
  <cols>
    <col min="1" max="1" width="1.5703125" style="22" customWidth="1"/>
    <col min="2" max="2" width="24" style="22" customWidth="1"/>
    <col min="3" max="3" width="15.140625" style="22" customWidth="1"/>
    <col min="4" max="4" width="59.5703125" style="22" customWidth="1"/>
    <col min="5" max="5" width="40.5703125" style="22" customWidth="1"/>
    <col min="6" max="6" width="23.5703125" style="22" customWidth="1"/>
    <col min="7" max="7" width="13.85546875" style="22" customWidth="1"/>
    <col min="8" max="8" width="15.42578125" style="22" bestFit="1" customWidth="1"/>
    <col min="9" max="9" width="14.5703125" style="22" customWidth="1"/>
    <col min="10" max="10" width="13.42578125" style="22" customWidth="1"/>
    <col min="11" max="11" width="11" style="22" customWidth="1"/>
    <col min="12" max="12" width="1.5703125" style="22" customWidth="1"/>
    <col min="13" max="21" width="0" style="22" hidden="1" customWidth="1"/>
    <col min="22" max="16384" width="9.42578125" style="22" hidden="1"/>
  </cols>
  <sheetData>
    <row r="1" spans="1:21" s="2" customFormat="1" ht="8.1" customHeight="1" thickBot="1" x14ac:dyDescent="0.3">
      <c r="B1" s="3"/>
      <c r="C1" s="3"/>
    </row>
    <row r="2" spans="1:21" ht="26.1" customHeight="1" thickBot="1" x14ac:dyDescent="0.3">
      <c r="A2" s="37"/>
      <c r="B2" s="192" t="s">
        <v>206</v>
      </c>
      <c r="C2" s="193"/>
      <c r="D2" s="193"/>
      <c r="E2" s="193"/>
      <c r="F2" s="193"/>
      <c r="G2" s="193"/>
      <c r="H2" s="193"/>
      <c r="I2" s="193"/>
      <c r="J2" s="193"/>
      <c r="K2" s="194"/>
      <c r="L2" s="37"/>
      <c r="Q2" s="2"/>
      <c r="R2" s="2"/>
      <c r="S2" s="2"/>
      <c r="T2" s="2"/>
      <c r="U2" s="2"/>
    </row>
    <row r="3" spans="1:21" s="17" customFormat="1" x14ac:dyDescent="0.25"/>
    <row r="4" spans="1:21" x14ac:dyDescent="0.25">
      <c r="H4" s="197">
        <f>'0_Identification'!C21</f>
        <v>0</v>
      </c>
      <c r="I4" s="198"/>
      <c r="J4" s="203" t="s">
        <v>208</v>
      </c>
      <c r="K4" s="203"/>
    </row>
    <row r="5" spans="1:21" ht="48.75" customHeight="1" x14ac:dyDescent="0.25">
      <c r="H5" s="80" t="s">
        <v>32</v>
      </c>
      <c r="I5" s="80" t="s">
        <v>102</v>
      </c>
      <c r="J5" s="204" t="s">
        <v>33</v>
      </c>
      <c r="K5" s="204"/>
    </row>
    <row r="6" spans="1:21" ht="18.75" customHeight="1" x14ac:dyDescent="0.25">
      <c r="B6" s="50"/>
      <c r="C6" s="50"/>
      <c r="D6" s="50"/>
      <c r="E6" s="51"/>
      <c r="H6" s="205" t="s">
        <v>34</v>
      </c>
      <c r="I6" s="205" t="s">
        <v>34</v>
      </c>
      <c r="J6" s="205" t="s">
        <v>35</v>
      </c>
      <c r="K6" s="205"/>
    </row>
    <row r="7" spans="1:21" ht="68.25" customHeight="1" x14ac:dyDescent="0.25">
      <c r="B7" s="208" t="s">
        <v>38</v>
      </c>
      <c r="C7" s="208" t="s">
        <v>207</v>
      </c>
      <c r="D7" s="208" t="s">
        <v>39</v>
      </c>
      <c r="E7" s="208" t="s">
        <v>40</v>
      </c>
      <c r="F7" s="208" t="s">
        <v>41</v>
      </c>
      <c r="G7" s="206" t="s">
        <v>171</v>
      </c>
      <c r="H7" s="205"/>
      <c r="I7" s="205"/>
      <c r="J7" s="79" t="s">
        <v>36</v>
      </c>
      <c r="K7" s="79" t="s">
        <v>37</v>
      </c>
    </row>
    <row r="8" spans="1:21" ht="16.350000000000001" customHeight="1" x14ac:dyDescent="0.25">
      <c r="B8" s="209"/>
      <c r="C8" s="209"/>
      <c r="D8" s="209"/>
      <c r="E8" s="209"/>
      <c r="F8" s="209"/>
      <c r="G8" s="207"/>
      <c r="H8" s="126" t="s">
        <v>160</v>
      </c>
      <c r="I8" s="126" t="s">
        <v>161</v>
      </c>
      <c r="J8" s="126" t="s">
        <v>162</v>
      </c>
      <c r="K8" s="126" t="s">
        <v>163</v>
      </c>
    </row>
    <row r="9" spans="1:21" x14ac:dyDescent="0.25">
      <c r="B9" s="102" t="s">
        <v>42</v>
      </c>
      <c r="C9" s="97" t="s">
        <v>24</v>
      </c>
      <c r="D9" s="98" t="s">
        <v>528</v>
      </c>
      <c r="E9" s="99" t="s">
        <v>43</v>
      </c>
      <c r="F9" s="99" t="s">
        <v>34</v>
      </c>
      <c r="G9" s="125" t="s">
        <v>160</v>
      </c>
      <c r="H9" s="137"/>
      <c r="I9" s="137"/>
      <c r="J9" s="138"/>
      <c r="K9" s="137"/>
    </row>
    <row r="10" spans="1:21" x14ac:dyDescent="0.25">
      <c r="B10" s="102" t="s">
        <v>25</v>
      </c>
      <c r="C10" s="97" t="s">
        <v>26</v>
      </c>
      <c r="D10" s="98" t="s">
        <v>29</v>
      </c>
      <c r="E10" s="99" t="s">
        <v>43</v>
      </c>
      <c r="F10" s="99" t="s">
        <v>34</v>
      </c>
      <c r="G10" s="125" t="s">
        <v>161</v>
      </c>
      <c r="H10" s="139"/>
      <c r="I10" s="139"/>
      <c r="J10" s="137"/>
      <c r="K10" s="92"/>
    </row>
    <row r="11" spans="1:21" x14ac:dyDescent="0.25">
      <c r="B11" s="102" t="s">
        <v>25</v>
      </c>
      <c r="C11" s="97" t="s">
        <v>26</v>
      </c>
      <c r="D11" s="98" t="s">
        <v>29</v>
      </c>
      <c r="E11" s="99" t="s">
        <v>209</v>
      </c>
      <c r="F11" s="99" t="s">
        <v>34</v>
      </c>
      <c r="G11" s="125" t="s">
        <v>162</v>
      </c>
      <c r="H11" s="139"/>
      <c r="I11" s="139"/>
      <c r="J11" s="139"/>
      <c r="K11" s="49"/>
    </row>
    <row r="12" spans="1:21" x14ac:dyDescent="0.25">
      <c r="B12" s="102" t="s">
        <v>25</v>
      </c>
      <c r="C12" s="97" t="s">
        <v>26</v>
      </c>
      <c r="D12" s="98" t="s">
        <v>29</v>
      </c>
      <c r="E12" s="99" t="s">
        <v>44</v>
      </c>
      <c r="F12" s="99" t="s">
        <v>34</v>
      </c>
      <c r="G12" s="125" t="s">
        <v>163</v>
      </c>
      <c r="H12" s="139"/>
      <c r="I12" s="139"/>
      <c r="J12" s="139"/>
      <c r="K12" s="49"/>
    </row>
    <row r="13" spans="1:21" x14ac:dyDescent="0.25">
      <c r="B13" s="102" t="s">
        <v>25</v>
      </c>
      <c r="C13" s="97" t="s">
        <v>26</v>
      </c>
      <c r="D13" s="98" t="s">
        <v>29</v>
      </c>
      <c r="E13" s="98" t="s">
        <v>34</v>
      </c>
      <c r="F13" s="98" t="s">
        <v>34</v>
      </c>
      <c r="G13" s="125" t="s">
        <v>164</v>
      </c>
      <c r="H13" s="153">
        <f t="shared" ref="H13:J13" si="0">SUM(H10:H12)</f>
        <v>0</v>
      </c>
      <c r="I13" s="153">
        <f t="shared" si="0"/>
        <v>0</v>
      </c>
      <c r="J13" s="153">
        <f t="shared" si="0"/>
        <v>0</v>
      </c>
      <c r="K13" s="49"/>
    </row>
    <row r="14" spans="1:21" x14ac:dyDescent="0.25">
      <c r="B14" s="102" t="s">
        <v>25</v>
      </c>
      <c r="C14" s="97" t="s">
        <v>50</v>
      </c>
      <c r="D14" s="98" t="s">
        <v>27</v>
      </c>
      <c r="E14" s="99" t="s">
        <v>45</v>
      </c>
      <c r="F14" s="99" t="s">
        <v>51</v>
      </c>
      <c r="G14" s="125" t="s">
        <v>165</v>
      </c>
      <c r="H14" s="139"/>
      <c r="I14" s="139"/>
      <c r="J14" s="139"/>
      <c r="K14" s="49"/>
    </row>
    <row r="15" spans="1:21" x14ac:dyDescent="0.25">
      <c r="B15" s="102" t="s">
        <v>25</v>
      </c>
      <c r="C15" s="97" t="s">
        <v>50</v>
      </c>
      <c r="D15" s="98" t="s">
        <v>27</v>
      </c>
      <c r="E15" s="99" t="s">
        <v>45</v>
      </c>
      <c r="F15" s="99" t="s">
        <v>52</v>
      </c>
      <c r="G15" s="125" t="s">
        <v>166</v>
      </c>
      <c r="H15" s="139"/>
      <c r="I15" s="139"/>
      <c r="J15" s="139"/>
      <c r="K15" s="49"/>
    </row>
    <row r="16" spans="1:21" x14ac:dyDescent="0.25">
      <c r="B16" s="102" t="s">
        <v>25</v>
      </c>
      <c r="C16" s="97" t="s">
        <v>50</v>
      </c>
      <c r="D16" s="98" t="s">
        <v>27</v>
      </c>
      <c r="E16" s="99" t="s">
        <v>46</v>
      </c>
      <c r="F16" s="99" t="s">
        <v>51</v>
      </c>
      <c r="G16" s="125" t="s">
        <v>168</v>
      </c>
      <c r="H16" s="139"/>
      <c r="I16" s="139"/>
      <c r="J16" s="139"/>
      <c r="K16" s="49"/>
    </row>
    <row r="17" spans="1:12" x14ac:dyDescent="0.25">
      <c r="B17" s="102" t="s">
        <v>25</v>
      </c>
      <c r="C17" s="97" t="s">
        <v>50</v>
      </c>
      <c r="D17" s="98" t="s">
        <v>27</v>
      </c>
      <c r="E17" s="99" t="s">
        <v>46</v>
      </c>
      <c r="F17" s="99" t="s">
        <v>52</v>
      </c>
      <c r="G17" s="125" t="s">
        <v>169</v>
      </c>
      <c r="H17" s="139"/>
      <c r="I17" s="139"/>
      <c r="J17" s="139"/>
      <c r="K17" s="49"/>
    </row>
    <row r="18" spans="1:12" x14ac:dyDescent="0.25">
      <c r="B18" s="102" t="s">
        <v>25</v>
      </c>
      <c r="C18" s="97" t="s">
        <v>50</v>
      </c>
      <c r="D18" s="98" t="s">
        <v>27</v>
      </c>
      <c r="E18" s="99" t="s">
        <v>47</v>
      </c>
      <c r="F18" s="99" t="s">
        <v>51</v>
      </c>
      <c r="G18" s="125" t="s">
        <v>170</v>
      </c>
      <c r="H18" s="139"/>
      <c r="I18" s="139"/>
      <c r="J18" s="139"/>
      <c r="K18" s="49"/>
    </row>
    <row r="19" spans="1:12" x14ac:dyDescent="0.25">
      <c r="A19" s="1"/>
      <c r="B19" s="102" t="s">
        <v>25</v>
      </c>
      <c r="C19" s="97" t="s">
        <v>50</v>
      </c>
      <c r="D19" s="98" t="s">
        <v>27</v>
      </c>
      <c r="E19" s="99" t="s">
        <v>47</v>
      </c>
      <c r="F19" s="99" t="s">
        <v>52</v>
      </c>
      <c r="G19" s="125" t="s">
        <v>172</v>
      </c>
      <c r="H19" s="139"/>
      <c r="I19" s="139"/>
      <c r="J19" s="139"/>
      <c r="K19" s="49"/>
      <c r="L19" s="1"/>
    </row>
    <row r="20" spans="1:12" ht="30" x14ac:dyDescent="0.25">
      <c r="B20" s="102" t="s">
        <v>25</v>
      </c>
      <c r="C20" s="97" t="s">
        <v>50</v>
      </c>
      <c r="D20" s="98" t="s">
        <v>27</v>
      </c>
      <c r="E20" s="99" t="s">
        <v>48</v>
      </c>
      <c r="F20" s="99" t="s">
        <v>51</v>
      </c>
      <c r="G20" s="125" t="s">
        <v>173</v>
      </c>
      <c r="H20" s="139"/>
      <c r="I20" s="139"/>
      <c r="J20" s="139"/>
      <c r="K20" s="49"/>
    </row>
    <row r="21" spans="1:12" ht="30" x14ac:dyDescent="0.25">
      <c r="B21" s="102" t="s">
        <v>25</v>
      </c>
      <c r="C21" s="97" t="s">
        <v>50</v>
      </c>
      <c r="D21" s="98" t="s">
        <v>27</v>
      </c>
      <c r="E21" s="99" t="s">
        <v>48</v>
      </c>
      <c r="F21" s="99" t="s">
        <v>52</v>
      </c>
      <c r="G21" s="125" t="s">
        <v>174</v>
      </c>
      <c r="H21" s="139"/>
      <c r="I21" s="139"/>
      <c r="J21" s="139"/>
      <c r="K21" s="49"/>
    </row>
    <row r="22" spans="1:12" ht="30" x14ac:dyDescent="0.25">
      <c r="B22" s="102" t="s">
        <v>25</v>
      </c>
      <c r="C22" s="97" t="s">
        <v>50</v>
      </c>
      <c r="D22" s="98" t="s">
        <v>27</v>
      </c>
      <c r="E22" s="99" t="s">
        <v>49</v>
      </c>
      <c r="F22" s="99" t="s">
        <v>51</v>
      </c>
      <c r="G22" s="125" t="s">
        <v>175</v>
      </c>
      <c r="H22" s="139"/>
      <c r="I22" s="139"/>
      <c r="J22" s="139"/>
      <c r="K22" s="49"/>
    </row>
    <row r="23" spans="1:12" ht="30" x14ac:dyDescent="0.25">
      <c r="B23" s="102" t="s">
        <v>25</v>
      </c>
      <c r="C23" s="97" t="s">
        <v>50</v>
      </c>
      <c r="D23" s="98" t="s">
        <v>27</v>
      </c>
      <c r="E23" s="99" t="s">
        <v>49</v>
      </c>
      <c r="F23" s="99" t="s">
        <v>52</v>
      </c>
      <c r="G23" s="125" t="s">
        <v>176</v>
      </c>
      <c r="H23" s="139"/>
      <c r="I23" s="139"/>
      <c r="J23" s="139"/>
      <c r="K23" s="49"/>
    </row>
    <row r="24" spans="1:12" x14ac:dyDescent="0.25">
      <c r="B24" s="102" t="s">
        <v>25</v>
      </c>
      <c r="C24" s="97" t="s">
        <v>50</v>
      </c>
      <c r="D24" s="98" t="s">
        <v>27</v>
      </c>
      <c r="E24" s="99" t="s">
        <v>44</v>
      </c>
      <c r="F24" s="99" t="s">
        <v>51</v>
      </c>
      <c r="G24" s="125" t="s">
        <v>177</v>
      </c>
      <c r="H24" s="139"/>
      <c r="I24" s="139"/>
      <c r="J24" s="139"/>
      <c r="K24" s="49"/>
    </row>
    <row r="25" spans="1:12" x14ac:dyDescent="0.25">
      <c r="B25" s="102" t="s">
        <v>25</v>
      </c>
      <c r="C25" s="97" t="s">
        <v>50</v>
      </c>
      <c r="D25" s="98" t="s">
        <v>27</v>
      </c>
      <c r="E25" s="99" t="s">
        <v>44</v>
      </c>
      <c r="F25" s="99" t="s">
        <v>52</v>
      </c>
      <c r="G25" s="125" t="s">
        <v>178</v>
      </c>
      <c r="H25" s="139"/>
      <c r="I25" s="139"/>
      <c r="J25" s="139"/>
      <c r="K25" s="49"/>
    </row>
    <row r="26" spans="1:12" x14ac:dyDescent="0.25">
      <c r="B26" s="102" t="s">
        <v>25</v>
      </c>
      <c r="C26" s="97" t="s">
        <v>50</v>
      </c>
      <c r="D26" s="98" t="s">
        <v>27</v>
      </c>
      <c r="E26" s="98" t="s">
        <v>34</v>
      </c>
      <c r="F26" s="98" t="s">
        <v>34</v>
      </c>
      <c r="G26" s="125" t="s">
        <v>179</v>
      </c>
      <c r="H26" s="153">
        <f>SUM(H14:H25)</f>
        <v>0</v>
      </c>
      <c r="I26" s="153">
        <f>SUM(I14:I25)</f>
        <v>0</v>
      </c>
      <c r="J26" s="153">
        <f>SUM(J14:J25)</f>
        <v>0</v>
      </c>
      <c r="K26" s="49"/>
    </row>
    <row r="27" spans="1:12" ht="30" x14ac:dyDescent="0.25">
      <c r="B27" s="102" t="s">
        <v>25</v>
      </c>
      <c r="C27" s="97" t="s">
        <v>50</v>
      </c>
      <c r="D27" s="98" t="s">
        <v>28</v>
      </c>
      <c r="E27" s="99" t="s">
        <v>45</v>
      </c>
      <c r="F27" s="99" t="s">
        <v>34</v>
      </c>
      <c r="G27" s="125" t="s">
        <v>180</v>
      </c>
      <c r="H27" s="139"/>
      <c r="I27" s="139"/>
      <c r="J27" s="139"/>
      <c r="K27" s="49"/>
    </row>
    <row r="28" spans="1:12" ht="30" x14ac:dyDescent="0.25">
      <c r="B28" s="102" t="s">
        <v>25</v>
      </c>
      <c r="C28" s="97" t="s">
        <v>50</v>
      </c>
      <c r="D28" s="98" t="s">
        <v>28</v>
      </c>
      <c r="E28" s="99" t="s">
        <v>46</v>
      </c>
      <c r="F28" s="99" t="s">
        <v>34</v>
      </c>
      <c r="G28" s="125" t="s">
        <v>181</v>
      </c>
      <c r="H28" s="139"/>
      <c r="I28" s="139"/>
      <c r="J28" s="139"/>
      <c r="K28" s="49"/>
    </row>
    <row r="29" spans="1:12" ht="30" x14ac:dyDescent="0.25">
      <c r="B29" s="102" t="s">
        <v>25</v>
      </c>
      <c r="C29" s="97" t="s">
        <v>50</v>
      </c>
      <c r="D29" s="98" t="s">
        <v>28</v>
      </c>
      <c r="E29" s="99" t="s">
        <v>47</v>
      </c>
      <c r="F29" s="99" t="s">
        <v>34</v>
      </c>
      <c r="G29" s="125" t="s">
        <v>182</v>
      </c>
      <c r="H29" s="139"/>
      <c r="I29" s="139"/>
      <c r="J29" s="139"/>
      <c r="K29" s="49"/>
    </row>
    <row r="30" spans="1:12" ht="30" x14ac:dyDescent="0.25">
      <c r="B30" s="102" t="s">
        <v>25</v>
      </c>
      <c r="C30" s="97" t="s">
        <v>50</v>
      </c>
      <c r="D30" s="98" t="s">
        <v>28</v>
      </c>
      <c r="E30" s="99" t="s">
        <v>48</v>
      </c>
      <c r="F30" s="99" t="s">
        <v>34</v>
      </c>
      <c r="G30" s="125" t="s">
        <v>183</v>
      </c>
      <c r="H30" s="139"/>
      <c r="I30" s="139"/>
      <c r="J30" s="139"/>
      <c r="K30" s="49"/>
    </row>
    <row r="31" spans="1:12" ht="30" x14ac:dyDescent="0.25">
      <c r="B31" s="102" t="s">
        <v>25</v>
      </c>
      <c r="C31" s="97" t="s">
        <v>50</v>
      </c>
      <c r="D31" s="98" t="s">
        <v>28</v>
      </c>
      <c r="E31" s="99" t="s">
        <v>49</v>
      </c>
      <c r="F31" s="99" t="s">
        <v>34</v>
      </c>
      <c r="G31" s="125" t="s">
        <v>184</v>
      </c>
      <c r="H31" s="139"/>
      <c r="I31" s="139"/>
      <c r="J31" s="139"/>
      <c r="K31" s="49"/>
    </row>
    <row r="32" spans="1:12" ht="30" x14ac:dyDescent="0.25">
      <c r="B32" s="102" t="s">
        <v>25</v>
      </c>
      <c r="C32" s="97" t="s">
        <v>50</v>
      </c>
      <c r="D32" s="98" t="s">
        <v>28</v>
      </c>
      <c r="E32" s="99" t="s">
        <v>44</v>
      </c>
      <c r="F32" s="99" t="s">
        <v>34</v>
      </c>
      <c r="G32" s="125" t="s">
        <v>185</v>
      </c>
      <c r="H32" s="139"/>
      <c r="I32" s="139"/>
      <c r="J32" s="139"/>
      <c r="K32" s="49"/>
    </row>
    <row r="33" spans="2:11" ht="30" x14ac:dyDescent="0.25">
      <c r="B33" s="102" t="s">
        <v>25</v>
      </c>
      <c r="C33" s="97" t="s">
        <v>50</v>
      </c>
      <c r="D33" s="98" t="s">
        <v>28</v>
      </c>
      <c r="E33" s="98" t="s">
        <v>34</v>
      </c>
      <c r="F33" s="98" t="s">
        <v>34</v>
      </c>
      <c r="G33" s="125" t="s">
        <v>186</v>
      </c>
      <c r="H33" s="152">
        <f>SUM(H27:H32)</f>
        <v>0</v>
      </c>
      <c r="I33" s="152">
        <f>SUM(I27:I32)</f>
        <v>0</v>
      </c>
      <c r="J33" s="152">
        <f>SUM(J27:J32)</f>
        <v>0</v>
      </c>
      <c r="K33" s="49"/>
    </row>
    <row r="34" spans="2:11" x14ac:dyDescent="0.25">
      <c r="C34" s="100"/>
      <c r="D34" s="100"/>
      <c r="E34" s="100"/>
      <c r="F34" s="100"/>
    </row>
  </sheetData>
  <mergeCells count="13">
    <mergeCell ref="B2:K2"/>
    <mergeCell ref="H4:I4"/>
    <mergeCell ref="J4:K4"/>
    <mergeCell ref="J5:K5"/>
    <mergeCell ref="H6:H7"/>
    <mergeCell ref="I6:I7"/>
    <mergeCell ref="J6:K6"/>
    <mergeCell ref="G7:G8"/>
    <mergeCell ref="F7:F8"/>
    <mergeCell ref="E7:E8"/>
    <mergeCell ref="D7:D8"/>
    <mergeCell ref="C7:C8"/>
    <mergeCell ref="B7:B8"/>
  </mergeCells>
  <phoneticPr fontId="6" type="noConversion"/>
  <dataValidations count="1">
    <dataValidation type="list" allowBlank="1" showInputMessage="1" showErrorMessage="1" sqref="H1" xr:uid="{00000000-0002-0000-0300-000000000000}">
      <formula1>"CA, Trading examption"</formula1>
    </dataValidation>
  </dataValidations>
  <pageMargins left="0.7" right="0.7" top="0.75" bottom="0.75" header="0.3" footer="0.3"/>
  <pageSetup paperSize="9" scale="57"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2" id="{EEC63D72-1FEB-49AB-B0E5-604CD6D25679}">
            <xm:f>'0_Identification'!$E$21="No reporting needed"</xm:f>
            <x14:dxf>
              <fill>
                <patternFill>
                  <bgColor theme="1" tint="0.499984740745262"/>
                </patternFill>
              </fill>
            </x14:dxf>
          </x14:cfRule>
          <xm:sqref>H9:I12 J10:J12 K9 H14:J25 H27:J32</xm:sqref>
        </x14:conditionalFormatting>
        <x14:conditionalFormatting xmlns:xm="http://schemas.microsoft.com/office/excel/2006/main">
          <x14:cfRule type="expression" priority="1" id="{D31717B1-46CC-4F28-A932-4CCF53987EEA}">
            <xm:f>'0_Identification'!$C$21="TE"</xm:f>
            <x14:dxf>
              <fill>
                <patternFill>
                  <bgColor theme="1" tint="0.499984740745262"/>
                </patternFill>
              </fill>
            </x14:dxf>
          </x14:cfRule>
          <xm:sqref>H14:J25 H27:J32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U42"/>
  <sheetViews>
    <sheetView showGridLines="0" zoomScaleNormal="100" workbookViewId="0">
      <selection activeCell="G15" sqref="G15"/>
    </sheetView>
  </sheetViews>
  <sheetFormatPr defaultColWidth="0" defaultRowHeight="15" zeroHeight="1" x14ac:dyDescent="0.25"/>
  <cols>
    <col min="1" max="1" width="1.5703125" style="22" customWidth="1"/>
    <col min="2" max="2" width="21.5703125" style="17" customWidth="1"/>
    <col min="3" max="3" width="18" style="17" customWidth="1"/>
    <col min="4" max="4" width="16.42578125" style="17" customWidth="1"/>
    <col min="5" max="5" width="16.5703125" style="17" customWidth="1"/>
    <col min="6" max="6" width="15.42578125" style="17" bestFit="1" customWidth="1"/>
    <col min="7" max="8" width="16.85546875" style="17" customWidth="1"/>
    <col min="9" max="9" width="19.5703125" style="17" bestFit="1" customWidth="1"/>
    <col min="10" max="10" width="1.5703125" style="22" customWidth="1"/>
    <col min="11" max="21" width="0" style="17" hidden="1" customWidth="1"/>
    <col min="22" max="16384" width="9.42578125" style="17" hidden="1"/>
  </cols>
  <sheetData>
    <row r="1" spans="1:21" s="2" customFormat="1" ht="8.1" customHeight="1" thickBot="1" x14ac:dyDescent="0.3">
      <c r="B1" s="3"/>
      <c r="C1" s="3"/>
    </row>
    <row r="2" spans="1:21" s="22" customFormat="1" ht="26.1" customHeight="1" thickBot="1" x14ac:dyDescent="0.3">
      <c r="A2" s="37"/>
      <c r="B2" s="192" t="s">
        <v>210</v>
      </c>
      <c r="C2" s="193"/>
      <c r="D2" s="193"/>
      <c r="E2" s="193"/>
      <c r="F2" s="193"/>
      <c r="G2" s="193"/>
      <c r="H2" s="193"/>
      <c r="I2" s="194"/>
      <c r="J2" s="37"/>
      <c r="Q2" s="2"/>
      <c r="R2" s="2"/>
      <c r="S2" s="2"/>
      <c r="T2" s="2"/>
      <c r="U2" s="2"/>
    </row>
    <row r="3" spans="1:21" x14ac:dyDescent="0.25">
      <c r="A3" s="17"/>
      <c r="J3" s="17"/>
    </row>
    <row r="4" spans="1:21" x14ac:dyDescent="0.25">
      <c r="E4" s="52"/>
      <c r="F4" s="52"/>
      <c r="G4" s="74" t="s">
        <v>30</v>
      </c>
      <c r="H4" s="196" t="s">
        <v>208</v>
      </c>
      <c r="I4" s="196"/>
    </row>
    <row r="5" spans="1:21" ht="57" x14ac:dyDescent="0.25">
      <c r="C5" s="213" t="s">
        <v>55</v>
      </c>
      <c r="D5" s="214"/>
      <c r="E5" s="211" t="s">
        <v>56</v>
      </c>
      <c r="F5" s="87"/>
      <c r="G5" s="210" t="s">
        <v>524</v>
      </c>
      <c r="H5" s="210"/>
      <c r="I5" s="73" t="s">
        <v>54</v>
      </c>
    </row>
    <row r="6" spans="1:21" x14ac:dyDescent="0.25">
      <c r="B6" s="48"/>
      <c r="C6" s="215"/>
      <c r="D6" s="216"/>
      <c r="E6" s="212"/>
      <c r="F6" s="48" t="s">
        <v>171</v>
      </c>
      <c r="G6" s="126" t="s">
        <v>160</v>
      </c>
      <c r="H6" s="126" t="s">
        <v>161</v>
      </c>
      <c r="I6" s="126" t="s">
        <v>162</v>
      </c>
    </row>
    <row r="7" spans="1:21" ht="15" customHeight="1" x14ac:dyDescent="0.25">
      <c r="B7" s="221" t="s">
        <v>57</v>
      </c>
      <c r="C7" s="200" t="s">
        <v>58</v>
      </c>
      <c r="D7" s="200"/>
      <c r="E7" s="75" t="s">
        <v>59</v>
      </c>
      <c r="F7" s="124" t="s">
        <v>160</v>
      </c>
      <c r="G7" s="54"/>
      <c r="H7" s="54"/>
      <c r="I7" s="132"/>
    </row>
    <row r="8" spans="1:21" ht="15" customHeight="1" x14ac:dyDescent="0.25">
      <c r="B8" s="221"/>
      <c r="C8" s="200"/>
      <c r="D8" s="200"/>
      <c r="E8" s="75" t="s">
        <v>60</v>
      </c>
      <c r="F8" s="124" t="s">
        <v>161</v>
      </c>
      <c r="G8" s="55"/>
      <c r="H8" s="55"/>
      <c r="I8" s="133"/>
    </row>
    <row r="9" spans="1:21" x14ac:dyDescent="0.25">
      <c r="B9" s="221"/>
      <c r="C9" s="200"/>
      <c r="D9" s="200"/>
      <c r="E9" s="75" t="s">
        <v>34</v>
      </c>
      <c r="F9" s="124" t="s">
        <v>162</v>
      </c>
      <c r="G9" s="154">
        <f>SUM(G7:G8)</f>
        <v>0</v>
      </c>
      <c r="H9" s="154">
        <f>SUM(H7:H8)</f>
        <v>0</v>
      </c>
      <c r="I9" s="78"/>
    </row>
    <row r="10" spans="1:21" x14ac:dyDescent="0.25">
      <c r="B10" s="221"/>
      <c r="C10" s="200" t="s">
        <v>61</v>
      </c>
      <c r="D10" s="200"/>
      <c r="E10" s="75" t="s">
        <v>59</v>
      </c>
      <c r="F10" s="124" t="s">
        <v>163</v>
      </c>
      <c r="G10" s="55"/>
      <c r="H10" s="55"/>
      <c r="I10" s="133"/>
    </row>
    <row r="11" spans="1:21" x14ac:dyDescent="0.25">
      <c r="B11" s="221"/>
      <c r="C11" s="200"/>
      <c r="D11" s="200"/>
      <c r="E11" s="75" t="s">
        <v>60</v>
      </c>
      <c r="F11" s="124" t="s">
        <v>164</v>
      </c>
      <c r="G11" s="55"/>
      <c r="H11" s="55"/>
      <c r="I11" s="133"/>
    </row>
    <row r="12" spans="1:21" x14ac:dyDescent="0.25">
      <c r="B12" s="221"/>
      <c r="C12" s="200"/>
      <c r="D12" s="200"/>
      <c r="E12" s="75" t="s">
        <v>34</v>
      </c>
      <c r="F12" s="124" t="s">
        <v>165</v>
      </c>
      <c r="G12" s="154">
        <f>SUM(G10:G11)</f>
        <v>0</v>
      </c>
      <c r="H12" s="154">
        <f>SUM(H10:H11)</f>
        <v>0</v>
      </c>
      <c r="I12" s="78"/>
    </row>
    <row r="13" spans="1:21" ht="14.45" customHeight="1" x14ac:dyDescent="0.25">
      <c r="B13" s="221"/>
      <c r="C13" s="200" t="s">
        <v>62</v>
      </c>
      <c r="D13" s="200"/>
      <c r="E13" s="75" t="s">
        <v>59</v>
      </c>
      <c r="F13" s="124" t="s">
        <v>166</v>
      </c>
      <c r="G13" s="55"/>
      <c r="H13" s="55"/>
      <c r="I13" s="133"/>
    </row>
    <row r="14" spans="1:21" x14ac:dyDescent="0.25">
      <c r="B14" s="221"/>
      <c r="C14" s="200"/>
      <c r="D14" s="200"/>
      <c r="E14" s="75" t="s">
        <v>60</v>
      </c>
      <c r="F14" s="124" t="s">
        <v>168</v>
      </c>
      <c r="G14" s="55"/>
      <c r="H14" s="55"/>
      <c r="I14" s="133"/>
      <c r="K14" s="18"/>
    </row>
    <row r="15" spans="1:21" x14ac:dyDescent="0.25">
      <c r="B15" s="221"/>
      <c r="C15" s="200"/>
      <c r="D15" s="200"/>
      <c r="E15" s="75" t="s">
        <v>34</v>
      </c>
      <c r="F15" s="124" t="s">
        <v>169</v>
      </c>
      <c r="G15" s="154">
        <f>SUM(G13:G14)</f>
        <v>0</v>
      </c>
      <c r="H15" s="154">
        <f>SUM(H13:H14)</f>
        <v>0</v>
      </c>
      <c r="I15" s="134"/>
    </row>
    <row r="16" spans="1:21" ht="15" customHeight="1" x14ac:dyDescent="0.25">
      <c r="B16" s="221"/>
      <c r="C16" s="200" t="s">
        <v>212</v>
      </c>
      <c r="D16" s="200"/>
      <c r="E16" s="75" t="s">
        <v>59</v>
      </c>
      <c r="F16" s="124" t="s">
        <v>170</v>
      </c>
      <c r="G16" s="55"/>
      <c r="H16" s="55"/>
      <c r="I16" s="133"/>
    </row>
    <row r="17" spans="1:11" x14ac:dyDescent="0.25">
      <c r="B17" s="221"/>
      <c r="C17" s="200"/>
      <c r="D17" s="200"/>
      <c r="E17" s="75" t="s">
        <v>60</v>
      </c>
      <c r="F17" s="124" t="s">
        <v>172</v>
      </c>
      <c r="G17" s="55"/>
      <c r="H17" s="55"/>
      <c r="I17" s="133"/>
    </row>
    <row r="18" spans="1:11" x14ac:dyDescent="0.25">
      <c r="B18" s="221"/>
      <c r="C18" s="200"/>
      <c r="D18" s="200"/>
      <c r="E18" s="75" t="s">
        <v>34</v>
      </c>
      <c r="F18" s="124" t="s">
        <v>173</v>
      </c>
      <c r="G18" s="154">
        <f>SUM(G16:G17)</f>
        <v>0</v>
      </c>
      <c r="H18" s="154">
        <f>SUM(H16:H17)</f>
        <v>0</v>
      </c>
      <c r="I18" s="134"/>
    </row>
    <row r="19" spans="1:11" x14ac:dyDescent="0.25">
      <c r="A19" s="1"/>
      <c r="B19" s="221"/>
      <c r="C19" s="200" t="s">
        <v>63</v>
      </c>
      <c r="D19" s="200"/>
      <c r="E19" s="75" t="s">
        <v>59</v>
      </c>
      <c r="F19" s="124" t="s">
        <v>174</v>
      </c>
      <c r="G19" s="55"/>
      <c r="H19" s="55"/>
      <c r="I19" s="133"/>
      <c r="J19" s="1"/>
    </row>
    <row r="20" spans="1:11" x14ac:dyDescent="0.25">
      <c r="B20" s="221"/>
      <c r="C20" s="200"/>
      <c r="D20" s="200"/>
      <c r="E20" s="75" t="s">
        <v>60</v>
      </c>
      <c r="F20" s="124" t="s">
        <v>175</v>
      </c>
      <c r="G20" s="55"/>
      <c r="H20" s="55"/>
      <c r="I20" s="133"/>
    </row>
    <row r="21" spans="1:11" x14ac:dyDescent="0.25">
      <c r="B21" s="221"/>
      <c r="C21" s="200"/>
      <c r="D21" s="200"/>
      <c r="E21" s="75" t="s">
        <v>34</v>
      </c>
      <c r="F21" s="124" t="s">
        <v>176</v>
      </c>
      <c r="G21" s="154">
        <f>SUM(G19:G20)</f>
        <v>0</v>
      </c>
      <c r="H21" s="154">
        <f>SUM(H19:H20)</f>
        <v>0</v>
      </c>
      <c r="I21" s="134"/>
    </row>
    <row r="22" spans="1:11" x14ac:dyDescent="0.25">
      <c r="B22" s="221"/>
      <c r="C22" s="200" t="s">
        <v>34</v>
      </c>
      <c r="D22" s="200"/>
      <c r="E22" s="75" t="s">
        <v>59</v>
      </c>
      <c r="F22" s="124" t="s">
        <v>177</v>
      </c>
      <c r="G22" s="154">
        <f t="shared" ref="G22:H24" si="0">SUM(G7,G10,G13,G16,G19)</f>
        <v>0</v>
      </c>
      <c r="H22" s="154">
        <f t="shared" si="0"/>
        <v>0</v>
      </c>
      <c r="I22" s="133"/>
    </row>
    <row r="23" spans="1:11" x14ac:dyDescent="0.25">
      <c r="B23" s="221"/>
      <c r="C23" s="200"/>
      <c r="D23" s="200"/>
      <c r="E23" s="75" t="s">
        <v>60</v>
      </c>
      <c r="F23" s="124" t="s">
        <v>178</v>
      </c>
      <c r="G23" s="154">
        <f t="shared" si="0"/>
        <v>0</v>
      </c>
      <c r="H23" s="154">
        <f t="shared" si="0"/>
        <v>0</v>
      </c>
      <c r="I23" s="133"/>
    </row>
    <row r="24" spans="1:11" x14ac:dyDescent="0.25">
      <c r="B24" s="221"/>
      <c r="C24" s="200"/>
      <c r="D24" s="200"/>
      <c r="E24" s="75" t="s">
        <v>34</v>
      </c>
      <c r="F24" s="124" t="s">
        <v>179</v>
      </c>
      <c r="G24" s="155">
        <f t="shared" si="0"/>
        <v>0</v>
      </c>
      <c r="H24" s="155">
        <f t="shared" si="0"/>
        <v>0</v>
      </c>
      <c r="I24" s="155">
        <f>SUM(I9,I12,I15,I18,I21)</f>
        <v>0</v>
      </c>
    </row>
    <row r="25" spans="1:11" ht="15" customHeight="1" x14ac:dyDescent="0.25">
      <c r="B25" s="221" t="s">
        <v>525</v>
      </c>
      <c r="C25" s="200" t="s">
        <v>211</v>
      </c>
      <c r="D25" s="200" t="s">
        <v>26</v>
      </c>
      <c r="E25" s="61" t="s">
        <v>64</v>
      </c>
      <c r="F25" s="124" t="s">
        <v>180</v>
      </c>
      <c r="G25" s="54"/>
      <c r="H25" s="54"/>
      <c r="I25" s="133"/>
    </row>
    <row r="26" spans="1:11" ht="15" customHeight="1" x14ac:dyDescent="0.25">
      <c r="B26" s="221"/>
      <c r="C26" s="200"/>
      <c r="D26" s="200"/>
      <c r="E26" s="61" t="s">
        <v>65</v>
      </c>
      <c r="F26" s="124" t="s">
        <v>181</v>
      </c>
      <c r="G26" s="55"/>
      <c r="H26" s="55"/>
      <c r="I26" s="133"/>
    </row>
    <row r="27" spans="1:11" x14ac:dyDescent="0.25">
      <c r="B27" s="221"/>
      <c r="C27" s="200"/>
      <c r="D27" s="200"/>
      <c r="E27" s="61" t="s">
        <v>66</v>
      </c>
      <c r="F27" s="124" t="s">
        <v>182</v>
      </c>
      <c r="G27" s="55"/>
      <c r="H27" s="55"/>
      <c r="I27" s="133"/>
    </row>
    <row r="28" spans="1:11" x14ac:dyDescent="0.25">
      <c r="B28" s="221"/>
      <c r="C28" s="200"/>
      <c r="D28" s="200"/>
      <c r="E28" s="61" t="s">
        <v>67</v>
      </c>
      <c r="F28" s="124" t="s">
        <v>183</v>
      </c>
      <c r="G28" s="55"/>
      <c r="H28" s="55"/>
      <c r="I28" s="133"/>
    </row>
    <row r="29" spans="1:11" x14ac:dyDescent="0.25">
      <c r="B29" s="221"/>
      <c r="C29" s="200"/>
      <c r="D29" s="200"/>
      <c r="E29" s="75" t="s">
        <v>34</v>
      </c>
      <c r="F29" s="124" t="s">
        <v>184</v>
      </c>
      <c r="G29" s="154">
        <f>SUM(G25:G28)</f>
        <v>0</v>
      </c>
      <c r="H29" s="154">
        <f>SUM(H25:H28)</f>
        <v>0</v>
      </c>
      <c r="I29" s="133"/>
      <c r="K29" s="18"/>
    </row>
    <row r="30" spans="1:11" x14ac:dyDescent="0.25">
      <c r="B30" s="221"/>
      <c r="C30" s="200" t="s">
        <v>105</v>
      </c>
      <c r="D30" s="217" t="s">
        <v>24</v>
      </c>
      <c r="E30" s="61" t="s">
        <v>64</v>
      </c>
      <c r="F30" s="124" t="s">
        <v>185</v>
      </c>
      <c r="G30" s="55"/>
      <c r="H30" s="55"/>
      <c r="I30" s="133"/>
    </row>
    <row r="31" spans="1:11" x14ac:dyDescent="0.25">
      <c r="B31" s="221"/>
      <c r="C31" s="200"/>
      <c r="D31" s="218"/>
      <c r="E31" s="61" t="s">
        <v>65</v>
      </c>
      <c r="F31" s="124" t="s">
        <v>186</v>
      </c>
      <c r="G31" s="55"/>
      <c r="H31" s="55"/>
      <c r="I31" s="133"/>
    </row>
    <row r="32" spans="1:11" x14ac:dyDescent="0.25">
      <c r="B32" s="221"/>
      <c r="C32" s="200"/>
      <c r="D32" s="218"/>
      <c r="E32" s="61" t="s">
        <v>66</v>
      </c>
      <c r="F32" s="124" t="s">
        <v>187</v>
      </c>
      <c r="G32" s="55"/>
      <c r="H32" s="55"/>
      <c r="I32" s="133"/>
    </row>
    <row r="33" spans="2:11" x14ac:dyDescent="0.25">
      <c r="B33" s="221"/>
      <c r="C33" s="200"/>
      <c r="D33" s="218"/>
      <c r="E33" s="61" t="s">
        <v>67</v>
      </c>
      <c r="F33" s="124" t="s">
        <v>188</v>
      </c>
      <c r="G33" s="55"/>
      <c r="H33" s="55"/>
      <c r="I33" s="133"/>
    </row>
    <row r="34" spans="2:11" x14ac:dyDescent="0.25">
      <c r="B34" s="221"/>
      <c r="C34" s="200"/>
      <c r="D34" s="219"/>
      <c r="E34" s="75" t="s">
        <v>34</v>
      </c>
      <c r="F34" s="124" t="s">
        <v>189</v>
      </c>
      <c r="G34" s="154">
        <f>SUM(G30:G33)</f>
        <v>0</v>
      </c>
      <c r="H34" s="154">
        <f>SUM(H30:H33)</f>
        <v>0</v>
      </c>
      <c r="I34" s="133"/>
    </row>
    <row r="35" spans="2:11" x14ac:dyDescent="0.25">
      <c r="B35" s="221"/>
      <c r="C35" s="222" t="s">
        <v>34</v>
      </c>
      <c r="D35" s="222"/>
      <c r="E35" s="75" t="s">
        <v>34</v>
      </c>
      <c r="F35" s="124" t="s">
        <v>190</v>
      </c>
      <c r="G35" s="155">
        <f>G29+G34</f>
        <v>0</v>
      </c>
      <c r="H35" s="155">
        <f>H29+H34</f>
        <v>0</v>
      </c>
      <c r="I35" s="133"/>
    </row>
    <row r="36" spans="2:11" ht="29.1" customHeight="1" x14ac:dyDescent="0.25">
      <c r="B36" s="220" t="s">
        <v>68</v>
      </c>
      <c r="C36" s="76" t="s">
        <v>211</v>
      </c>
      <c r="D36" s="76" t="s">
        <v>88</v>
      </c>
      <c r="E36" s="158" t="s">
        <v>34</v>
      </c>
      <c r="F36" s="124" t="s">
        <v>191</v>
      </c>
      <c r="G36" s="54"/>
      <c r="H36" s="133"/>
      <c r="I36" s="133"/>
    </row>
    <row r="37" spans="2:11" x14ac:dyDescent="0.25">
      <c r="B37" s="221"/>
      <c r="C37" s="64" t="s">
        <v>105</v>
      </c>
      <c r="D37" s="64" t="s">
        <v>24</v>
      </c>
      <c r="E37" s="61" t="s">
        <v>34</v>
      </c>
      <c r="F37" s="124" t="s">
        <v>192</v>
      </c>
      <c r="G37" s="55"/>
      <c r="H37" s="133"/>
      <c r="I37" s="133"/>
    </row>
    <row r="38" spans="2:11" x14ac:dyDescent="0.25">
      <c r="B38" s="221"/>
      <c r="C38" s="222" t="s">
        <v>34</v>
      </c>
      <c r="D38" s="222"/>
      <c r="E38" s="61" t="s">
        <v>34</v>
      </c>
      <c r="F38" s="124" t="s">
        <v>193</v>
      </c>
      <c r="G38" s="154">
        <f>SUM(G36:G37)</f>
        <v>0</v>
      </c>
      <c r="H38" s="133"/>
      <c r="I38" s="133"/>
    </row>
    <row r="39" spans="2:11" ht="33.75" customHeight="1" x14ac:dyDescent="0.25">
      <c r="B39" s="62" t="s">
        <v>69</v>
      </c>
      <c r="C39" s="77" t="s">
        <v>211</v>
      </c>
      <c r="D39" s="64" t="s">
        <v>89</v>
      </c>
      <c r="E39" s="61" t="s">
        <v>34</v>
      </c>
      <c r="F39" s="124" t="s">
        <v>194</v>
      </c>
      <c r="G39" s="135"/>
      <c r="H39" s="136"/>
      <c r="I39" s="136"/>
    </row>
    <row r="40" spans="2:11" x14ac:dyDescent="0.25">
      <c r="B40" s="52"/>
      <c r="C40" s="52"/>
      <c r="D40" s="52"/>
      <c r="E40" s="52"/>
      <c r="F40" s="52"/>
      <c r="G40" s="52"/>
      <c r="H40" s="52"/>
    </row>
    <row r="41" spans="2:11" x14ac:dyDescent="0.25">
      <c r="B41" s="53" t="s">
        <v>526</v>
      </c>
      <c r="C41" s="52"/>
      <c r="D41" s="52"/>
      <c r="E41" s="52"/>
      <c r="F41" s="52"/>
      <c r="G41" s="52"/>
      <c r="H41" s="52"/>
      <c r="I41" s="52"/>
      <c r="K41" s="52"/>
    </row>
    <row r="42" spans="2:11" s="22" customFormat="1" x14ac:dyDescent="0.25"/>
  </sheetData>
  <mergeCells count="20">
    <mergeCell ref="B36:B38"/>
    <mergeCell ref="C38:D38"/>
    <mergeCell ref="B7:B24"/>
    <mergeCell ref="C7:D9"/>
    <mergeCell ref="C10:D12"/>
    <mergeCell ref="C13:D15"/>
    <mergeCell ref="C16:D18"/>
    <mergeCell ref="B25:B35"/>
    <mergeCell ref="C35:D35"/>
    <mergeCell ref="C19:D21"/>
    <mergeCell ref="C22:D24"/>
    <mergeCell ref="C25:C29"/>
    <mergeCell ref="D25:D29"/>
    <mergeCell ref="B2:I2"/>
    <mergeCell ref="H4:I4"/>
    <mergeCell ref="C30:C34"/>
    <mergeCell ref="G5:H5"/>
    <mergeCell ref="E5:E6"/>
    <mergeCell ref="C5:D6"/>
    <mergeCell ref="D30:D34"/>
  </mergeCells>
  <phoneticPr fontId="6" type="noConversion"/>
  <pageMargins left="0.7" right="0.7" top="0.75" bottom="0.75" header="0.3" footer="0.3"/>
  <pageSetup scale="63" orientation="portrait" r:id="rId1"/>
  <extLst>
    <ext xmlns:x14="http://schemas.microsoft.com/office/spreadsheetml/2009/9/main" uri="{78C0D931-6437-407d-A8EE-F0AAD7539E65}">
      <x14:conditionalFormattings>
        <x14:conditionalFormatting xmlns:xm="http://schemas.microsoft.com/office/excel/2006/main">
          <x14:cfRule type="expression" priority="1" id="{942FC8C5-5DA8-49F6-82FA-8006DA11F4AC}">
            <xm:f>'0_Identification'!$E$21="No reporting needed"</xm:f>
            <x14:dxf>
              <fill>
                <patternFill>
                  <bgColor theme="1" tint="0.499984740745262"/>
                </patternFill>
              </fill>
            </x14:dxf>
          </x14:cfRule>
          <xm:sqref>G7:H8 I9 I12 G10:H11 G13:H14 I15 G16:H17 G19:H20 I18 I21 G25:H28 G30:H33 G36:G37 G39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1"/>
  <sheetViews>
    <sheetView showGridLines="0" tabSelected="1" zoomScale="70" zoomScaleNormal="70" workbookViewId="0">
      <selection activeCell="G16" sqref="G16:K20"/>
    </sheetView>
  </sheetViews>
  <sheetFormatPr defaultColWidth="0" defaultRowHeight="15" customHeight="1" zeroHeight="1" x14ac:dyDescent="0.25"/>
  <cols>
    <col min="1" max="1" width="1.5703125" style="22" customWidth="1"/>
    <col min="2" max="2" width="45.140625" style="57" customWidth="1"/>
    <col min="3" max="3" width="15.42578125" style="57" customWidth="1"/>
    <col min="4" max="4" width="25.42578125" style="57" customWidth="1"/>
    <col min="5" max="5" width="17.42578125" style="57" customWidth="1"/>
    <col min="6" max="6" width="19.28515625" style="57" bestFit="1" customWidth="1"/>
    <col min="7" max="8" width="17.42578125" style="57" customWidth="1"/>
    <col min="9" max="10" width="16.7109375" style="57" customWidth="1"/>
    <col min="11" max="11" width="18.7109375" style="57" customWidth="1"/>
    <col min="12" max="12" width="1.5703125" style="22" customWidth="1"/>
    <col min="13" max="13" width="22.85546875" style="57" hidden="1" customWidth="1"/>
    <col min="14" max="14" width="11.42578125" style="57" hidden="1" customWidth="1"/>
    <col min="15" max="15" width="20.42578125" style="57" hidden="1" customWidth="1"/>
    <col min="16" max="16" width="18.5703125" style="57" hidden="1" customWidth="1"/>
    <col min="17" max="26" width="0" style="57" hidden="1" customWidth="1"/>
    <col min="27" max="16384" width="11.42578125" style="57" hidden="1"/>
  </cols>
  <sheetData>
    <row r="1" spans="1:12" s="22" customFormat="1" ht="8.1" customHeight="1" thickBot="1" x14ac:dyDescent="0.3">
      <c r="B1" s="163"/>
      <c r="C1" s="163"/>
    </row>
    <row r="2" spans="1:12" s="22" customFormat="1" ht="26.1" customHeight="1" thickBot="1" x14ac:dyDescent="0.3">
      <c r="A2" s="37"/>
      <c r="B2" s="223" t="s">
        <v>151</v>
      </c>
      <c r="C2" s="224"/>
      <c r="D2" s="224"/>
      <c r="E2" s="224"/>
      <c r="F2" s="224"/>
      <c r="G2" s="224"/>
      <c r="H2" s="224"/>
      <c r="I2" s="224"/>
      <c r="J2" s="224"/>
      <c r="K2" s="225"/>
      <c r="L2" s="37"/>
    </row>
    <row r="3" spans="1:12" s="17" customFormat="1" x14ac:dyDescent="0.25"/>
    <row r="4" spans="1:12" ht="15" customHeight="1" x14ac:dyDescent="0.25">
      <c r="C4" s="58"/>
      <c r="D4" s="226" t="s">
        <v>537</v>
      </c>
      <c r="E4" s="226"/>
      <c r="F4" s="233" t="s">
        <v>538</v>
      </c>
      <c r="G4" s="234"/>
      <c r="H4" s="234"/>
      <c r="I4" s="234"/>
      <c r="J4" s="235"/>
      <c r="K4" s="226" t="s">
        <v>540</v>
      </c>
    </row>
    <row r="5" spans="1:12" ht="42.6" customHeight="1" x14ac:dyDescent="0.25">
      <c r="D5" s="164" t="s">
        <v>531</v>
      </c>
      <c r="E5" s="164" t="s">
        <v>530</v>
      </c>
      <c r="F5" s="164" t="s">
        <v>550</v>
      </c>
      <c r="G5" s="164" t="s">
        <v>551</v>
      </c>
      <c r="H5" s="164" t="s">
        <v>539</v>
      </c>
      <c r="I5" s="164" t="s">
        <v>552</v>
      </c>
      <c r="J5" s="164" t="s">
        <v>559</v>
      </c>
      <c r="K5" s="226"/>
    </row>
    <row r="6" spans="1:12" x14ac:dyDescent="0.25">
      <c r="C6" s="165" t="s">
        <v>171</v>
      </c>
      <c r="D6" s="156" t="s">
        <v>160</v>
      </c>
      <c r="E6" s="127" t="s">
        <v>161</v>
      </c>
      <c r="F6" s="127" t="s">
        <v>162</v>
      </c>
      <c r="G6" s="127" t="s">
        <v>163</v>
      </c>
      <c r="H6" s="127" t="s">
        <v>164</v>
      </c>
      <c r="I6" s="156" t="s">
        <v>165</v>
      </c>
      <c r="J6" s="156" t="s">
        <v>553</v>
      </c>
      <c r="K6" s="127" t="s">
        <v>166</v>
      </c>
    </row>
    <row r="7" spans="1:12" ht="30" customHeight="1" x14ac:dyDescent="0.25">
      <c r="B7" s="159" t="s">
        <v>542</v>
      </c>
      <c r="C7" s="119" t="s">
        <v>160</v>
      </c>
      <c r="D7" s="55"/>
      <c r="E7" s="93"/>
      <c r="F7" s="93"/>
      <c r="G7" s="93"/>
      <c r="H7" s="93"/>
      <c r="I7" s="93"/>
      <c r="J7" s="93"/>
      <c r="K7" s="227" t="s">
        <v>543</v>
      </c>
    </row>
    <row r="8" spans="1:12" ht="14.45" customHeight="1" x14ac:dyDescent="0.25">
      <c r="B8" s="166" t="s">
        <v>541</v>
      </c>
      <c r="C8" s="119" t="s">
        <v>161</v>
      </c>
      <c r="D8" s="55"/>
      <c r="E8" s="93"/>
      <c r="F8" s="93"/>
      <c r="G8" s="93"/>
      <c r="H8" s="93"/>
      <c r="I8" s="93"/>
      <c r="J8" s="93"/>
      <c r="K8" s="228"/>
    </row>
    <row r="9" spans="1:12" ht="15.6" customHeight="1" x14ac:dyDescent="0.25">
      <c r="B9" s="166" t="s">
        <v>529</v>
      </c>
      <c r="C9" s="119" t="s">
        <v>162</v>
      </c>
      <c r="D9" s="55"/>
      <c r="E9" s="93"/>
      <c r="F9" s="167"/>
      <c r="G9" s="167"/>
      <c r="H9" s="167"/>
      <c r="I9" s="93"/>
      <c r="J9" s="167"/>
      <c r="K9" s="229"/>
    </row>
    <row r="10" spans="1:12" ht="15.6" customHeight="1" x14ac:dyDescent="0.25">
      <c r="A10" s="168"/>
      <c r="B10" s="159" t="s">
        <v>100</v>
      </c>
      <c r="C10" s="119" t="s">
        <v>163</v>
      </c>
      <c r="D10" s="169"/>
      <c r="E10" s="169"/>
      <c r="F10" s="55"/>
      <c r="G10" s="55"/>
      <c r="H10" s="55"/>
      <c r="I10" s="93"/>
      <c r="J10" s="169"/>
      <c r="K10" s="170" t="s">
        <v>543</v>
      </c>
      <c r="L10" s="168"/>
    </row>
    <row r="11" spans="1:12" ht="15.6" customHeight="1" x14ac:dyDescent="0.25">
      <c r="A11" s="168"/>
      <c r="B11" s="159" t="s">
        <v>549</v>
      </c>
      <c r="C11" s="119" t="s">
        <v>164</v>
      </c>
      <c r="D11" s="161"/>
      <c r="E11" s="54"/>
      <c r="F11" s="230"/>
      <c r="G11" s="231"/>
      <c r="H11" s="232"/>
      <c r="I11" s="171"/>
      <c r="J11" s="171"/>
      <c r="K11" s="171"/>
      <c r="L11" s="168"/>
    </row>
    <row r="12" spans="1:12" ht="15.6" customHeight="1" x14ac:dyDescent="0.25">
      <c r="A12" s="168"/>
      <c r="B12" s="162" t="s">
        <v>544</v>
      </c>
      <c r="C12" s="119" t="s">
        <v>165</v>
      </c>
      <c r="D12" s="238" t="s">
        <v>543</v>
      </c>
      <c r="E12" s="239"/>
      <c r="F12" s="239"/>
      <c r="G12" s="239"/>
      <c r="H12" s="240"/>
      <c r="I12" s="171"/>
      <c r="J12" s="171"/>
      <c r="K12" s="171"/>
      <c r="L12" s="168"/>
    </row>
    <row r="13" spans="1:12" x14ac:dyDescent="0.25"/>
    <row r="14" spans="1:12" ht="42.75" customHeight="1" x14ac:dyDescent="0.25">
      <c r="B14" s="226" t="s">
        <v>557</v>
      </c>
      <c r="C14" s="226"/>
      <c r="D14" s="160" t="s">
        <v>53</v>
      </c>
      <c r="E14" s="160" t="s">
        <v>556</v>
      </c>
      <c r="F14" s="174" t="s">
        <v>554</v>
      </c>
      <c r="G14" s="226" t="s">
        <v>555</v>
      </c>
      <c r="H14" s="226"/>
      <c r="I14" s="226"/>
      <c r="J14" s="226"/>
      <c r="K14" s="226"/>
    </row>
    <row r="15" spans="1:12" x14ac:dyDescent="0.25">
      <c r="B15" s="226"/>
      <c r="C15" s="226"/>
      <c r="D15" s="156" t="s">
        <v>168</v>
      </c>
      <c r="E15" s="156" t="s">
        <v>169</v>
      </c>
      <c r="F15" s="156" t="s">
        <v>170</v>
      </c>
      <c r="G15" s="236" t="s">
        <v>172</v>
      </c>
      <c r="H15" s="236"/>
      <c r="I15" s="236"/>
      <c r="J15" s="236"/>
      <c r="K15" s="236"/>
    </row>
    <row r="16" spans="1:12" x14ac:dyDescent="0.25">
      <c r="B16" s="172">
        <v>1</v>
      </c>
      <c r="C16" s="119" t="s">
        <v>166</v>
      </c>
      <c r="D16" s="54"/>
      <c r="E16" s="54"/>
      <c r="F16" s="54"/>
      <c r="G16" s="237"/>
      <c r="H16" s="237"/>
      <c r="I16" s="237"/>
      <c r="J16" s="237"/>
      <c r="K16" s="237"/>
    </row>
    <row r="17" spans="2:11" x14ac:dyDescent="0.25">
      <c r="B17" s="173">
        <v>2</v>
      </c>
      <c r="C17" s="119" t="s">
        <v>545</v>
      </c>
      <c r="D17" s="93"/>
      <c r="E17" s="93"/>
      <c r="F17" s="93"/>
      <c r="G17" s="237"/>
      <c r="H17" s="237"/>
      <c r="I17" s="237"/>
      <c r="J17" s="237"/>
      <c r="K17" s="237"/>
    </row>
    <row r="18" spans="2:11" x14ac:dyDescent="0.25">
      <c r="B18" s="172">
        <v>3</v>
      </c>
      <c r="C18" s="119" t="s">
        <v>546</v>
      </c>
      <c r="D18" s="93"/>
      <c r="E18" s="93"/>
      <c r="F18" s="93"/>
      <c r="G18" s="237"/>
      <c r="H18" s="237"/>
      <c r="I18" s="237"/>
      <c r="J18" s="237"/>
      <c r="K18" s="237"/>
    </row>
    <row r="19" spans="2:11" x14ac:dyDescent="0.25">
      <c r="B19" s="172">
        <v>4</v>
      </c>
      <c r="C19" s="119" t="s">
        <v>547</v>
      </c>
      <c r="D19" s="93"/>
      <c r="E19" s="93"/>
      <c r="F19" s="93"/>
      <c r="G19" s="237"/>
      <c r="H19" s="237"/>
      <c r="I19" s="237"/>
      <c r="J19" s="237"/>
      <c r="K19" s="237"/>
    </row>
    <row r="20" spans="2:11" x14ac:dyDescent="0.25">
      <c r="B20" s="172">
        <v>5</v>
      </c>
      <c r="C20" s="119" t="s">
        <v>548</v>
      </c>
      <c r="D20" s="93"/>
      <c r="E20" s="93"/>
      <c r="F20" s="93"/>
      <c r="G20" s="237"/>
      <c r="H20" s="237"/>
      <c r="I20" s="237"/>
      <c r="J20" s="237"/>
      <c r="K20" s="237"/>
    </row>
    <row r="21" spans="2:11" s="22" customFormat="1" x14ac:dyDescent="0.25"/>
  </sheetData>
  <mergeCells count="11">
    <mergeCell ref="G14:K14"/>
    <mergeCell ref="G15:K15"/>
    <mergeCell ref="G16:K20"/>
    <mergeCell ref="D12:H12"/>
    <mergeCell ref="B14:C15"/>
    <mergeCell ref="B2:K2"/>
    <mergeCell ref="D4:E4"/>
    <mergeCell ref="K4:K5"/>
    <mergeCell ref="K7:K9"/>
    <mergeCell ref="F11:H11"/>
    <mergeCell ref="F4:J4"/>
  </mergeCells>
  <phoneticPr fontId="6" type="noConversion"/>
  <dataValidations count="1">
    <dataValidation type="list" allowBlank="1" showInputMessage="1" showErrorMessage="1" sqref="I7:I10" xr:uid="{00000000-0002-0000-0500-000000000000}">
      <formula1>"RAF, Operational Limit"</formula1>
    </dataValidation>
  </dataValidations>
  <pageMargins left="0.7" right="0.7" top="0.75" bottom="0.75" header="0.3" footer="0.3"/>
  <pageSetup scale="66" orientation="landscape" r:id="rId1"/>
  <extLst>
    <ext xmlns:x14="http://schemas.microsoft.com/office/spreadsheetml/2009/9/main" uri="{78C0D931-6437-407d-A8EE-F0AAD7539E65}">
      <x14:conditionalFormattings>
        <x14:conditionalFormatting xmlns:xm="http://schemas.microsoft.com/office/excel/2006/main">
          <x14:cfRule type="expression" priority="4" id="{FE2932D7-0548-4525-BA92-7FD2AC37F5C1}">
            <xm:f>'0_Identification'!$E$24="No reporting needed"</xm:f>
            <x14:dxf>
              <fill>
                <patternFill>
                  <bgColor theme="1" tint="0.499984740745262"/>
                </patternFill>
              </fill>
            </x14:dxf>
          </x14:cfRule>
          <xm:sqref>D11:H12 D16:F20 D7:K10</xm:sqref>
        </x14:conditionalFormatting>
        <x14:conditionalFormatting xmlns:xm="http://schemas.microsoft.com/office/excel/2006/main">
          <x14:cfRule type="expression" priority="3" id="{4ABDB15E-361A-41F2-BF2C-E4D732D99FA3}">
            <xm:f>'0_Identification'!$E$24="Report the standard deviation of daily P&amp;L on the FV portfolio"</xm:f>
            <x14:dxf>
              <fill>
                <patternFill>
                  <bgColor theme="1" tint="0.499984740745262"/>
                </patternFill>
              </fill>
            </x14:dxf>
          </x14:cfRule>
          <xm:sqref>E7:J9 F10:J10 E11:H11 D16:F20 I7:K10</xm:sqref>
        </x14:conditionalFormatting>
        <x14:conditionalFormatting xmlns:xm="http://schemas.microsoft.com/office/excel/2006/main">
          <x14:cfRule type="expression" priority="2" id="{F75491BB-56DB-44D1-9A12-FB78C52673C0}">
            <xm:f>'0_Identification'!$E$24="No reporting needed"</xm:f>
            <x14:dxf>
              <fill>
                <patternFill>
                  <bgColor theme="1" tint="0.499984740745262"/>
                </patternFill>
              </fill>
            </x14:dxf>
          </x14:cfRule>
          <xm:sqref>G16</xm:sqref>
        </x14:conditionalFormatting>
        <x14:conditionalFormatting xmlns:xm="http://schemas.microsoft.com/office/excel/2006/main">
          <x14:cfRule type="expression" priority="1" id="{9DE00452-C77A-464A-8632-7E17ED5D8C51}">
            <xm:f>'0_Identification'!$E$24="Report the standard deviation of daily P&amp;L on the FV portfolio"</xm:f>
            <x14:dxf>
              <fill>
                <patternFill>
                  <bgColor theme="1" tint="0.499984740745262"/>
                </patternFill>
              </fill>
            </x14:dxf>
          </x14:cfRule>
          <xm:sqref>G16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U21"/>
  <sheetViews>
    <sheetView showGridLines="0" zoomScale="85" zoomScaleNormal="85" workbookViewId="0">
      <selection activeCell="F12" sqref="F12"/>
    </sheetView>
  </sheetViews>
  <sheetFormatPr defaultColWidth="0" defaultRowHeight="15" zeroHeight="1" x14ac:dyDescent="0.25"/>
  <cols>
    <col min="1" max="1" width="1.5703125" style="22" customWidth="1"/>
    <col min="2" max="2" width="13.140625" style="22" bestFit="1" customWidth="1"/>
    <col min="3" max="3" width="27" style="22" customWidth="1"/>
    <col min="4" max="4" width="47.42578125" style="22" customWidth="1"/>
    <col min="5" max="5" width="15.5703125" style="22" bestFit="1" customWidth="1"/>
    <col min="6" max="8" width="20.140625" style="22" customWidth="1"/>
    <col min="9" max="9" width="19.140625" style="22" customWidth="1"/>
    <col min="10" max="10" width="1.5703125" style="22" customWidth="1"/>
    <col min="11" max="14" width="10.140625" style="22" hidden="1" customWidth="1"/>
    <col min="15" max="15" width="19.140625" style="22" hidden="1" customWidth="1"/>
    <col min="16" max="21" width="0" style="22" hidden="1" customWidth="1"/>
    <col min="22" max="16384" width="9.140625" style="22" hidden="1"/>
  </cols>
  <sheetData>
    <row r="1" spans="1:21" s="2" customFormat="1" ht="8.1" customHeight="1" thickBot="1" x14ac:dyDescent="0.3">
      <c r="B1" s="3"/>
      <c r="C1" s="3"/>
    </row>
    <row r="2" spans="1:21" ht="26.1" customHeight="1" thickBot="1" x14ac:dyDescent="0.3">
      <c r="A2" s="37"/>
      <c r="B2" s="177" t="s">
        <v>155</v>
      </c>
      <c r="C2" s="178"/>
      <c r="D2" s="178"/>
      <c r="E2" s="178"/>
      <c r="F2" s="178"/>
      <c r="G2" s="178"/>
      <c r="H2" s="178"/>
      <c r="I2" s="179"/>
      <c r="J2" s="37"/>
      <c r="Q2" s="2"/>
      <c r="R2" s="2"/>
      <c r="S2" s="2"/>
      <c r="T2" s="2"/>
      <c r="U2" s="2"/>
    </row>
    <row r="3" spans="1:21" s="17" customFormat="1" x14ac:dyDescent="0.25"/>
    <row r="4" spans="1:21" ht="14.25" customHeight="1" x14ac:dyDescent="0.25">
      <c r="B4" s="242" t="s">
        <v>11</v>
      </c>
      <c r="C4" s="243"/>
      <c r="D4" s="244"/>
      <c r="E4" s="48"/>
      <c r="F4" s="241" t="s">
        <v>99</v>
      </c>
      <c r="G4" s="241"/>
      <c r="H4" s="241" t="s">
        <v>85</v>
      </c>
      <c r="I4" s="241"/>
    </row>
    <row r="5" spans="1:21" x14ac:dyDescent="0.25">
      <c r="B5" s="245"/>
      <c r="C5" s="246"/>
      <c r="D5" s="247"/>
      <c r="E5" s="48"/>
      <c r="F5" s="241"/>
      <c r="G5" s="241"/>
      <c r="H5" s="241" t="s">
        <v>13</v>
      </c>
      <c r="I5" s="241"/>
    </row>
    <row r="6" spans="1:21" x14ac:dyDescent="0.25">
      <c r="B6" s="245"/>
      <c r="C6" s="246"/>
      <c r="D6" s="247"/>
      <c r="E6" s="48"/>
      <c r="F6" s="72" t="s">
        <v>88</v>
      </c>
      <c r="G6" s="72" t="s">
        <v>24</v>
      </c>
      <c r="H6" s="72" t="s">
        <v>12</v>
      </c>
      <c r="I6" s="72" t="s">
        <v>80</v>
      </c>
    </row>
    <row r="7" spans="1:21" x14ac:dyDescent="0.25">
      <c r="B7" s="248"/>
      <c r="C7" s="249"/>
      <c r="D7" s="250"/>
      <c r="E7" s="48" t="s">
        <v>171</v>
      </c>
      <c r="F7" s="126" t="s">
        <v>160</v>
      </c>
      <c r="G7" s="126" t="s">
        <v>161</v>
      </c>
      <c r="H7" s="126" t="s">
        <v>162</v>
      </c>
      <c r="I7" s="126" t="s">
        <v>163</v>
      </c>
    </row>
    <row r="8" spans="1:21" ht="41.25" customHeight="1" x14ac:dyDescent="0.25">
      <c r="B8" s="199" t="s">
        <v>14</v>
      </c>
      <c r="C8" s="252" t="s">
        <v>15</v>
      </c>
      <c r="D8" s="61" t="s">
        <v>16</v>
      </c>
      <c r="E8" s="119" t="s">
        <v>160</v>
      </c>
      <c r="F8" s="54"/>
      <c r="G8" s="54"/>
      <c r="H8" s="54"/>
      <c r="I8" s="54"/>
    </row>
    <row r="9" spans="1:21" ht="33.75" customHeight="1" x14ac:dyDescent="0.25">
      <c r="B9" s="199"/>
      <c r="C9" s="252"/>
      <c r="D9" s="61" t="s">
        <v>17</v>
      </c>
      <c r="E9" s="119" t="s">
        <v>161</v>
      </c>
      <c r="F9" s="55"/>
      <c r="G9" s="55"/>
      <c r="H9" s="55"/>
      <c r="I9" s="55"/>
    </row>
    <row r="10" spans="1:21" ht="33.75" customHeight="1" x14ac:dyDescent="0.25">
      <c r="B10" s="199"/>
      <c r="C10" s="252"/>
      <c r="D10" s="61" t="s">
        <v>18</v>
      </c>
      <c r="E10" s="119" t="s">
        <v>162</v>
      </c>
      <c r="F10" s="55"/>
      <c r="G10" s="55"/>
      <c r="H10" s="55"/>
      <c r="I10" s="55"/>
    </row>
    <row r="11" spans="1:21" ht="30" x14ac:dyDescent="0.25">
      <c r="B11" s="199"/>
      <c r="C11" s="252"/>
      <c r="D11" s="61" t="s">
        <v>19</v>
      </c>
      <c r="E11" s="119" t="s">
        <v>163</v>
      </c>
      <c r="F11" s="55"/>
      <c r="G11" s="55"/>
      <c r="H11" s="55"/>
      <c r="I11" s="55"/>
    </row>
    <row r="12" spans="1:21" ht="58.5" customHeight="1" x14ac:dyDescent="0.25">
      <c r="B12" s="199"/>
      <c r="C12" s="252" t="s">
        <v>20</v>
      </c>
      <c r="D12" s="61" t="s">
        <v>16</v>
      </c>
      <c r="E12" s="119" t="s">
        <v>164</v>
      </c>
      <c r="F12" s="55"/>
      <c r="G12" s="55"/>
      <c r="H12" s="55"/>
      <c r="I12" s="55"/>
    </row>
    <row r="13" spans="1:21" ht="29.25" customHeight="1" x14ac:dyDescent="0.25">
      <c r="B13" s="199"/>
      <c r="C13" s="252"/>
      <c r="D13" s="61" t="s">
        <v>17</v>
      </c>
      <c r="E13" s="119" t="s">
        <v>165</v>
      </c>
      <c r="F13" s="55"/>
      <c r="G13" s="55"/>
      <c r="H13" s="55"/>
      <c r="I13" s="55"/>
    </row>
    <row r="14" spans="1:21" ht="29.25" customHeight="1" x14ac:dyDescent="0.25">
      <c r="B14" s="199"/>
      <c r="C14" s="252"/>
      <c r="D14" s="61" t="s">
        <v>18</v>
      </c>
      <c r="E14" s="119" t="s">
        <v>166</v>
      </c>
      <c r="F14" s="55"/>
      <c r="G14" s="55"/>
      <c r="H14" s="55"/>
      <c r="I14" s="55"/>
    </row>
    <row r="15" spans="1:21" ht="29.25" customHeight="1" x14ac:dyDescent="0.25">
      <c r="B15" s="199"/>
      <c r="C15" s="252"/>
      <c r="D15" s="61" t="s">
        <v>19</v>
      </c>
      <c r="E15" s="119" t="s">
        <v>168</v>
      </c>
      <c r="F15" s="55"/>
      <c r="G15" s="55"/>
      <c r="H15" s="55"/>
      <c r="I15" s="55"/>
    </row>
    <row r="16" spans="1:21" ht="29.25" customHeight="1" x14ac:dyDescent="0.25">
      <c r="B16" s="199" t="s">
        <v>21</v>
      </c>
      <c r="C16" s="95" t="s">
        <v>15</v>
      </c>
      <c r="D16" s="61" t="s">
        <v>197</v>
      </c>
      <c r="E16" s="119" t="s">
        <v>169</v>
      </c>
      <c r="F16" s="55"/>
      <c r="G16" s="55"/>
      <c r="H16" s="55"/>
      <c r="I16" s="55"/>
    </row>
    <row r="17" spans="1:10" ht="29.25" customHeight="1" x14ac:dyDescent="0.25">
      <c r="B17" s="199"/>
      <c r="C17" s="95" t="s">
        <v>20</v>
      </c>
      <c r="D17" s="61" t="s">
        <v>198</v>
      </c>
      <c r="E17" s="119" t="s">
        <v>170</v>
      </c>
      <c r="F17" s="55"/>
      <c r="G17" s="55"/>
      <c r="H17" s="55"/>
      <c r="I17" s="55"/>
    </row>
    <row r="18" spans="1:10" x14ac:dyDescent="0.25">
      <c r="B18" s="251" t="s">
        <v>22</v>
      </c>
      <c r="C18" s="251"/>
      <c r="D18" s="251"/>
      <c r="E18" s="119" t="s">
        <v>172</v>
      </c>
      <c r="F18" s="55"/>
      <c r="G18" s="55"/>
      <c r="H18" s="55"/>
      <c r="I18" s="55"/>
    </row>
    <row r="19" spans="1:10" ht="14.25" customHeight="1" x14ac:dyDescent="0.25">
      <c r="A19" s="1"/>
      <c r="B19" s="251" t="s">
        <v>23</v>
      </c>
      <c r="C19" s="251"/>
      <c r="D19" s="251"/>
      <c r="E19" s="119" t="s">
        <v>173</v>
      </c>
      <c r="F19" s="55"/>
      <c r="G19" s="55"/>
      <c r="H19" s="55"/>
      <c r="I19" s="55"/>
      <c r="J19" s="1"/>
    </row>
    <row r="20" spans="1:10" x14ac:dyDescent="0.25">
      <c r="B20" s="251" t="s">
        <v>81</v>
      </c>
      <c r="C20" s="251"/>
      <c r="D20" s="251"/>
      <c r="E20" s="119" t="s">
        <v>174</v>
      </c>
      <c r="F20" s="56"/>
      <c r="G20" s="56"/>
      <c r="H20" s="56"/>
      <c r="I20" s="56"/>
    </row>
    <row r="21" spans="1:10" x14ac:dyDescent="0.25"/>
  </sheetData>
  <mergeCells count="12">
    <mergeCell ref="B19:D19"/>
    <mergeCell ref="B20:D20"/>
    <mergeCell ref="B8:B15"/>
    <mergeCell ref="C8:C11"/>
    <mergeCell ref="C12:C15"/>
    <mergeCell ref="B16:B17"/>
    <mergeCell ref="B18:D18"/>
    <mergeCell ref="B2:I2"/>
    <mergeCell ref="F4:G5"/>
    <mergeCell ref="H5:I5"/>
    <mergeCell ref="H4:I4"/>
    <mergeCell ref="B4:D7"/>
  </mergeCells>
  <phoneticPr fontId="6" type="noConversion"/>
  <pageMargins left="0.7" right="0.7" top="0.75" bottom="0.75" header="0.3" footer="0.3"/>
  <pageSetup scale="65"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1" id="{B04F09AB-6F61-4E2E-B828-053BA3C72D4B}">
            <xm:f>'0_Identification'!$E$29="No reporting needed"</xm:f>
            <x14:dxf>
              <fill>
                <patternFill>
                  <bgColor theme="1" tint="0.499984740745262"/>
                </patternFill>
              </fill>
            </x14:dxf>
          </x14:cfRule>
          <xm:sqref>F8:I20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T42"/>
  <sheetViews>
    <sheetView showGridLines="0" topLeftCell="B1" zoomScaleNormal="100" workbookViewId="0">
      <selection activeCell="G17" sqref="G17"/>
    </sheetView>
  </sheetViews>
  <sheetFormatPr defaultColWidth="0" defaultRowHeight="15" zeroHeight="1" x14ac:dyDescent="0.25"/>
  <cols>
    <col min="1" max="1" width="1.5703125" style="22" customWidth="1"/>
    <col min="2" max="2" width="29.140625" style="2" customWidth="1"/>
    <col min="3" max="3" width="31.42578125" style="2" customWidth="1"/>
    <col min="4" max="4" width="10.28515625" style="2" customWidth="1"/>
    <col min="5" max="14" width="15.5703125" style="2" customWidth="1"/>
    <col min="15" max="15" width="1.5703125" style="22" customWidth="1"/>
    <col min="16" max="16" width="13.42578125" style="2" hidden="1" customWidth="1"/>
    <col min="17" max="17" width="24.42578125" style="2" hidden="1" customWidth="1"/>
    <col min="18" max="18" width="30.85546875" style="2" hidden="1" customWidth="1"/>
    <col min="19" max="19" width="48.140625" style="2" hidden="1" customWidth="1"/>
    <col min="20" max="20" width="15.42578125" style="2" hidden="1" customWidth="1"/>
    <col min="21" max="16384" width="9.140625" style="2" hidden="1"/>
  </cols>
  <sheetData>
    <row r="1" spans="1:20" ht="8.1" customHeight="1" thickBot="1" x14ac:dyDescent="0.3">
      <c r="A1" s="2"/>
      <c r="B1" s="3"/>
      <c r="C1" s="3"/>
      <c r="O1" s="2"/>
    </row>
    <row r="2" spans="1:20" s="22" customFormat="1" ht="26.1" customHeight="1" thickBot="1" x14ac:dyDescent="0.3">
      <c r="A2" s="37"/>
      <c r="B2" s="177" t="s">
        <v>156</v>
      </c>
      <c r="C2" s="178"/>
      <c r="D2" s="178"/>
      <c r="E2" s="178"/>
      <c r="F2" s="178"/>
      <c r="G2" s="178"/>
      <c r="H2" s="178"/>
      <c r="I2" s="178"/>
      <c r="J2" s="178"/>
      <c r="K2" s="178"/>
      <c r="L2" s="178"/>
      <c r="M2" s="178"/>
      <c r="N2" s="179"/>
      <c r="O2" s="37"/>
      <c r="P2" s="2"/>
      <c r="Q2" s="2"/>
      <c r="R2" s="2"/>
      <c r="S2" s="2"/>
      <c r="T2" s="2"/>
    </row>
    <row r="3" spans="1:20" s="17" customFormat="1" x14ac:dyDescent="0.25"/>
    <row r="4" spans="1:20" ht="20.45" customHeight="1" x14ac:dyDescent="0.25">
      <c r="B4" s="71" t="s">
        <v>130</v>
      </c>
      <c r="C4" s="60" t="s">
        <v>82</v>
      </c>
    </row>
    <row r="5" spans="1:20" x14ac:dyDescent="0.25"/>
    <row r="6" spans="1:20" ht="14.25" customHeight="1" x14ac:dyDescent="0.25">
      <c r="B6" s="242" t="s">
        <v>0</v>
      </c>
      <c r="C6" s="243"/>
      <c r="D6" s="254" t="s">
        <v>171</v>
      </c>
      <c r="E6" s="253" t="s">
        <v>1</v>
      </c>
      <c r="F6" s="199" t="s">
        <v>86</v>
      </c>
      <c r="G6" s="199" t="s">
        <v>87</v>
      </c>
      <c r="H6" s="199" t="s">
        <v>2</v>
      </c>
      <c r="I6" s="199" t="s">
        <v>3</v>
      </c>
      <c r="J6" s="199" t="s">
        <v>4</v>
      </c>
      <c r="K6" s="199" t="s">
        <v>5</v>
      </c>
      <c r="L6" s="199" t="s">
        <v>6</v>
      </c>
      <c r="M6" s="199" t="s">
        <v>7</v>
      </c>
      <c r="N6" s="199" t="s">
        <v>8</v>
      </c>
    </row>
    <row r="7" spans="1:20" ht="42" customHeight="1" x14ac:dyDescent="0.25">
      <c r="B7" s="248"/>
      <c r="C7" s="249"/>
      <c r="D7" s="255"/>
      <c r="E7" s="253"/>
      <c r="F7" s="199"/>
      <c r="G7" s="199"/>
      <c r="H7" s="199"/>
      <c r="I7" s="199"/>
      <c r="J7" s="199"/>
      <c r="K7" s="199"/>
      <c r="L7" s="199"/>
      <c r="M7" s="199"/>
      <c r="N7" s="199"/>
    </row>
    <row r="8" spans="1:20" x14ac:dyDescent="0.25">
      <c r="B8" s="72" t="s">
        <v>9</v>
      </c>
      <c r="C8" s="72" t="s">
        <v>10</v>
      </c>
      <c r="D8" s="256"/>
      <c r="E8" s="128" t="s">
        <v>160</v>
      </c>
      <c r="F8" s="128" t="s">
        <v>161</v>
      </c>
      <c r="G8" s="128" t="s">
        <v>162</v>
      </c>
      <c r="H8" s="128" t="s">
        <v>163</v>
      </c>
      <c r="I8" s="128" t="s">
        <v>164</v>
      </c>
      <c r="J8" s="128" t="s">
        <v>165</v>
      </c>
      <c r="K8" s="128" t="s">
        <v>166</v>
      </c>
      <c r="L8" s="128" t="s">
        <v>168</v>
      </c>
      <c r="M8" s="128" t="s">
        <v>169</v>
      </c>
      <c r="N8" s="128" t="s">
        <v>170</v>
      </c>
    </row>
    <row r="9" spans="1:20" x14ac:dyDescent="0.25">
      <c r="B9" s="72">
        <v>1</v>
      </c>
      <c r="C9" s="54"/>
      <c r="D9" s="119" t="s">
        <v>160</v>
      </c>
      <c r="E9" s="54"/>
      <c r="F9" s="54"/>
      <c r="G9" s="54"/>
      <c r="H9" s="54"/>
      <c r="I9" s="54"/>
      <c r="J9" s="54"/>
      <c r="K9" s="54"/>
      <c r="L9" s="54"/>
      <c r="M9" s="54"/>
      <c r="N9" s="54"/>
    </row>
    <row r="10" spans="1:20" x14ac:dyDescent="0.25">
      <c r="B10" s="72">
        <v>2</v>
      </c>
      <c r="C10" s="54"/>
      <c r="D10" s="119" t="s">
        <v>161</v>
      </c>
      <c r="E10" s="55"/>
      <c r="F10" s="55"/>
      <c r="G10" s="55"/>
      <c r="H10" s="55"/>
      <c r="I10" s="55"/>
      <c r="J10" s="55"/>
      <c r="K10" s="55"/>
      <c r="L10" s="55"/>
      <c r="M10" s="55"/>
      <c r="N10" s="55"/>
    </row>
    <row r="11" spans="1:20" x14ac:dyDescent="0.25">
      <c r="B11" s="72">
        <v>3</v>
      </c>
      <c r="C11" s="54"/>
      <c r="D11" s="119" t="s">
        <v>162</v>
      </c>
      <c r="E11" s="55"/>
      <c r="F11" s="55"/>
      <c r="G11" s="55"/>
      <c r="H11" s="55"/>
      <c r="I11" s="55"/>
      <c r="J11" s="55"/>
      <c r="K11" s="55"/>
      <c r="L11" s="55"/>
      <c r="M11" s="55"/>
      <c r="N11" s="55"/>
    </row>
    <row r="12" spans="1:20" x14ac:dyDescent="0.25">
      <c r="B12" s="72">
        <v>4</v>
      </c>
      <c r="C12" s="54"/>
      <c r="D12" s="119" t="s">
        <v>163</v>
      </c>
      <c r="E12" s="55"/>
      <c r="F12" s="55"/>
      <c r="G12" s="55"/>
      <c r="H12" s="55"/>
      <c r="I12" s="55"/>
      <c r="J12" s="55"/>
      <c r="K12" s="55"/>
      <c r="L12" s="55"/>
      <c r="M12" s="55"/>
      <c r="N12" s="55"/>
    </row>
    <row r="13" spans="1:20" x14ac:dyDescent="0.25">
      <c r="B13" s="72">
        <v>5</v>
      </c>
      <c r="C13" s="54"/>
      <c r="D13" s="119" t="s">
        <v>164</v>
      </c>
      <c r="E13" s="55"/>
      <c r="F13" s="55"/>
      <c r="G13" s="55"/>
      <c r="H13" s="55"/>
      <c r="I13" s="55"/>
      <c r="J13" s="55"/>
      <c r="K13" s="55"/>
      <c r="L13" s="55"/>
      <c r="M13" s="55"/>
      <c r="N13" s="55"/>
    </row>
    <row r="14" spans="1:20" x14ac:dyDescent="0.25">
      <c r="B14" s="72">
        <v>6</v>
      </c>
      <c r="C14" s="54"/>
      <c r="D14" s="119" t="s">
        <v>165</v>
      </c>
      <c r="E14" s="55"/>
      <c r="F14" s="55"/>
      <c r="G14" s="55"/>
      <c r="H14" s="55"/>
      <c r="I14" s="55"/>
      <c r="J14" s="55"/>
      <c r="K14" s="55"/>
      <c r="L14" s="55"/>
      <c r="M14" s="55"/>
      <c r="N14" s="55"/>
    </row>
    <row r="15" spans="1:20" x14ac:dyDescent="0.25">
      <c r="B15" s="72">
        <v>7</v>
      </c>
      <c r="C15" s="54"/>
      <c r="D15" s="119" t="s">
        <v>166</v>
      </c>
      <c r="E15" s="55"/>
      <c r="F15" s="55"/>
      <c r="G15" s="55"/>
      <c r="H15" s="55"/>
      <c r="I15" s="55"/>
      <c r="J15" s="55"/>
      <c r="K15" s="55"/>
      <c r="L15" s="55"/>
      <c r="M15" s="55"/>
      <c r="N15" s="55"/>
    </row>
    <row r="16" spans="1:20" x14ac:dyDescent="0.25">
      <c r="B16" s="72">
        <v>8</v>
      </c>
      <c r="C16" s="54"/>
      <c r="D16" s="119" t="s">
        <v>168</v>
      </c>
      <c r="E16" s="55"/>
      <c r="F16" s="55"/>
      <c r="G16" s="55"/>
      <c r="H16" s="55"/>
      <c r="I16" s="55"/>
      <c r="J16" s="55"/>
      <c r="K16" s="55"/>
      <c r="L16" s="55"/>
      <c r="M16" s="55"/>
      <c r="N16" s="55"/>
    </row>
    <row r="17" spans="1:15" x14ac:dyDescent="0.25">
      <c r="A17" s="1"/>
      <c r="B17" s="72">
        <v>9</v>
      </c>
      <c r="C17" s="54"/>
      <c r="D17" s="119" t="s">
        <v>169</v>
      </c>
      <c r="E17" s="55"/>
      <c r="F17" s="55"/>
      <c r="G17" s="55"/>
      <c r="H17" s="55"/>
      <c r="I17" s="55"/>
      <c r="J17" s="55"/>
      <c r="K17" s="55"/>
      <c r="L17" s="55"/>
      <c r="M17" s="55"/>
      <c r="N17" s="55"/>
      <c r="O17" s="1"/>
    </row>
    <row r="18" spans="1:15" x14ac:dyDescent="0.25">
      <c r="B18" s="72">
        <v>10</v>
      </c>
      <c r="C18" s="54"/>
      <c r="D18" s="119" t="s">
        <v>170</v>
      </c>
      <c r="E18" s="55"/>
      <c r="F18" s="55"/>
      <c r="G18" s="55"/>
      <c r="H18" s="55"/>
      <c r="I18" s="55"/>
      <c r="J18" s="55"/>
      <c r="K18" s="55"/>
      <c r="L18" s="55"/>
      <c r="M18" s="55"/>
      <c r="N18" s="55"/>
    </row>
    <row r="19" spans="1:15" x14ac:dyDescent="0.25">
      <c r="B19" s="72">
        <v>11</v>
      </c>
      <c r="C19" s="54"/>
      <c r="D19" s="119" t="s">
        <v>172</v>
      </c>
      <c r="E19" s="55"/>
      <c r="F19" s="55"/>
      <c r="G19" s="55"/>
      <c r="H19" s="55"/>
      <c r="I19" s="55"/>
      <c r="J19" s="55"/>
      <c r="K19" s="55"/>
      <c r="L19" s="55"/>
      <c r="M19" s="55"/>
      <c r="N19" s="55"/>
    </row>
    <row r="20" spans="1:15" x14ac:dyDescent="0.25">
      <c r="B20" s="72">
        <v>12</v>
      </c>
      <c r="C20" s="54"/>
      <c r="D20" s="119" t="s">
        <v>173</v>
      </c>
      <c r="E20" s="55"/>
      <c r="F20" s="55"/>
      <c r="G20" s="55"/>
      <c r="H20" s="55"/>
      <c r="I20" s="55"/>
      <c r="J20" s="55"/>
      <c r="K20" s="55"/>
      <c r="L20" s="55"/>
      <c r="M20" s="55"/>
      <c r="N20" s="55"/>
    </row>
    <row r="21" spans="1:15" x14ac:dyDescent="0.25">
      <c r="B21" s="72">
        <v>13</v>
      </c>
      <c r="C21" s="54"/>
      <c r="D21" s="119" t="s">
        <v>174</v>
      </c>
      <c r="E21" s="55"/>
      <c r="F21" s="55"/>
      <c r="G21" s="55"/>
      <c r="H21" s="55"/>
      <c r="I21" s="55"/>
      <c r="J21" s="55"/>
      <c r="K21" s="55"/>
      <c r="L21" s="55"/>
      <c r="M21" s="55"/>
      <c r="N21" s="55"/>
    </row>
    <row r="22" spans="1:15" x14ac:dyDescent="0.25">
      <c r="B22" s="72">
        <v>14</v>
      </c>
      <c r="C22" s="54"/>
      <c r="D22" s="119" t="s">
        <v>175</v>
      </c>
      <c r="E22" s="55"/>
      <c r="F22" s="55"/>
      <c r="G22" s="55"/>
      <c r="H22" s="55"/>
      <c r="I22" s="55"/>
      <c r="J22" s="55"/>
      <c r="K22" s="55"/>
      <c r="L22" s="55"/>
      <c r="M22" s="55"/>
      <c r="N22" s="55"/>
    </row>
    <row r="23" spans="1:15" x14ac:dyDescent="0.25">
      <c r="B23" s="72">
        <v>15</v>
      </c>
      <c r="C23" s="54"/>
      <c r="D23" s="119" t="s">
        <v>176</v>
      </c>
      <c r="E23" s="55"/>
      <c r="F23" s="55"/>
      <c r="G23" s="55"/>
      <c r="H23" s="55"/>
      <c r="I23" s="55"/>
      <c r="J23" s="55"/>
      <c r="K23" s="55"/>
      <c r="L23" s="55"/>
      <c r="M23" s="55"/>
      <c r="N23" s="55"/>
    </row>
    <row r="24" spans="1:15" x14ac:dyDescent="0.25">
      <c r="B24" s="72">
        <v>16</v>
      </c>
      <c r="C24" s="54"/>
      <c r="D24" s="119" t="s">
        <v>177</v>
      </c>
      <c r="E24" s="55"/>
      <c r="F24" s="55"/>
      <c r="G24" s="55"/>
      <c r="H24" s="55"/>
      <c r="I24" s="55"/>
      <c r="J24" s="55"/>
      <c r="K24" s="55"/>
      <c r="L24" s="55"/>
      <c r="M24" s="55"/>
      <c r="N24" s="55"/>
    </row>
    <row r="25" spans="1:15" x14ac:dyDescent="0.25">
      <c r="B25" s="72">
        <v>17</v>
      </c>
      <c r="C25" s="54"/>
      <c r="D25" s="119" t="s">
        <v>178</v>
      </c>
      <c r="E25" s="55"/>
      <c r="F25" s="55"/>
      <c r="G25" s="55"/>
      <c r="H25" s="55"/>
      <c r="I25" s="55"/>
      <c r="J25" s="55"/>
      <c r="K25" s="55"/>
      <c r="L25" s="55"/>
      <c r="M25" s="55"/>
      <c r="N25" s="55"/>
    </row>
    <row r="26" spans="1:15" x14ac:dyDescent="0.25">
      <c r="B26" s="72">
        <v>18</v>
      </c>
      <c r="C26" s="54"/>
      <c r="D26" s="119" t="s">
        <v>179</v>
      </c>
      <c r="E26" s="55"/>
      <c r="F26" s="55"/>
      <c r="G26" s="55"/>
      <c r="H26" s="55"/>
      <c r="I26" s="55"/>
      <c r="J26" s="55"/>
      <c r="K26" s="55"/>
      <c r="L26" s="55"/>
      <c r="M26" s="55"/>
      <c r="N26" s="55"/>
    </row>
    <row r="27" spans="1:15" x14ac:dyDescent="0.25">
      <c r="B27" s="72">
        <v>19</v>
      </c>
      <c r="C27" s="54"/>
      <c r="D27" s="119" t="s">
        <v>180</v>
      </c>
      <c r="E27" s="55"/>
      <c r="F27" s="55"/>
      <c r="G27" s="55"/>
      <c r="H27" s="55"/>
      <c r="I27" s="55"/>
      <c r="J27" s="55"/>
      <c r="K27" s="55"/>
      <c r="L27" s="55"/>
      <c r="M27" s="55"/>
      <c r="N27" s="55"/>
    </row>
    <row r="28" spans="1:15" x14ac:dyDescent="0.25">
      <c r="B28" s="72">
        <v>20</v>
      </c>
      <c r="C28" s="54"/>
      <c r="D28" s="119" t="s">
        <v>181</v>
      </c>
      <c r="E28" s="56"/>
      <c r="F28" s="56"/>
      <c r="G28" s="56"/>
      <c r="H28" s="56"/>
      <c r="I28" s="56"/>
      <c r="J28" s="56"/>
      <c r="K28" s="56"/>
      <c r="L28" s="56"/>
      <c r="M28" s="56"/>
      <c r="N28" s="56"/>
    </row>
    <row r="29" spans="1:15" x14ac:dyDescent="0.25"/>
    <row r="30" spans="1:15" x14ac:dyDescent="0.25"/>
    <row r="31" spans="1:15" x14ac:dyDescent="0.25"/>
    <row r="32" spans="1:15" x14ac:dyDescent="0.25"/>
    <row r="33" x14ac:dyDescent="0.25"/>
    <row r="34" x14ac:dyDescent="0.25"/>
    <row r="35" x14ac:dyDescent="0.25"/>
    <row r="36" x14ac:dyDescent="0.25"/>
    <row r="37" x14ac:dyDescent="0.25"/>
    <row r="38" x14ac:dyDescent="0.25"/>
    <row r="39" x14ac:dyDescent="0.25"/>
    <row r="40" x14ac:dyDescent="0.25"/>
    <row r="41" x14ac:dyDescent="0.25"/>
    <row r="42" x14ac:dyDescent="0.25"/>
  </sheetData>
  <protectedRanges>
    <protectedRange sqref="B8:C8" name="Range1"/>
  </protectedRanges>
  <mergeCells count="13">
    <mergeCell ref="B2:N2"/>
    <mergeCell ref="L6:L7"/>
    <mergeCell ref="M6:M7"/>
    <mergeCell ref="N6:N7"/>
    <mergeCell ref="E6:E7"/>
    <mergeCell ref="F6:F7"/>
    <mergeCell ref="G6:G7"/>
    <mergeCell ref="H6:H7"/>
    <mergeCell ref="I6:I7"/>
    <mergeCell ref="J6:J7"/>
    <mergeCell ref="K6:K7"/>
    <mergeCell ref="B6:C7"/>
    <mergeCell ref="D6:D8"/>
  </mergeCells>
  <phoneticPr fontId="6" type="noConversion"/>
  <pageMargins left="0.7" right="0.7" top="0.75" bottom="0.75" header="0.3" footer="0.3"/>
  <pageSetup scale="44" orientation="landscape" r:id="rId1"/>
  <extLst>
    <ext xmlns:x14="http://schemas.microsoft.com/office/spreadsheetml/2009/9/main" uri="{78C0D931-6437-407d-A8EE-F0AAD7539E65}">
      <x14:conditionalFormattings>
        <x14:conditionalFormatting xmlns:xm="http://schemas.microsoft.com/office/excel/2006/main">
          <x14:cfRule type="expression" priority="3" id="{1001BB03-1124-48F0-98B9-360C32E5BFFE}">
            <xm:f>'0_Identification'!$E$32="No reporting needed"</xm:f>
            <x14:dxf>
              <fill>
                <patternFill>
                  <bgColor theme="1" tint="0.499984740745262"/>
                </patternFill>
              </fill>
            </x14:dxf>
          </x14:cfRule>
          <xm:sqref>E9:N28 C9:C28</xm:sqref>
        </x14:conditionalFormatting>
        <x14:conditionalFormatting xmlns:xm="http://schemas.microsoft.com/office/excel/2006/main">
          <x14:cfRule type="expression" priority="1" id="{143B556B-CF64-45F9-8C5C-4E138FB0ACE7}">
            <xm:f>'0_Identification'!$C$34="Yes"</xm:f>
            <x14:dxf>
              <fill>
                <patternFill>
                  <bgColor theme="2" tint="-0.499984740745262"/>
                </patternFill>
              </fill>
            </x14:dxf>
          </x14:cfRule>
          <xm:sqref>I9:M28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E701A94-E894-41E8-B4E4-13F5D9D887C5}">
          <x14:formula1>
            <xm:f>Currencies!B$2:B$161</xm:f>
          </x14:formula1>
          <xm:sqref>C9:C28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R18"/>
  <sheetViews>
    <sheetView showGridLines="0" zoomScaleNormal="100" workbookViewId="0">
      <selection activeCell="D7" sqref="D7:F8"/>
    </sheetView>
  </sheetViews>
  <sheetFormatPr defaultColWidth="0" defaultRowHeight="15" zeroHeight="1" x14ac:dyDescent="0.25"/>
  <cols>
    <col min="1" max="1" width="1.5703125" style="22" customWidth="1"/>
    <col min="2" max="2" width="24.140625" style="22" customWidth="1" collapsed="1"/>
    <col min="3" max="3" width="8.5703125" style="22" customWidth="1"/>
    <col min="4" max="5" width="19.5703125" style="22" customWidth="1"/>
    <col min="6" max="7" width="17.85546875" style="22" customWidth="1"/>
    <col min="8" max="8" width="1.5703125" style="22" customWidth="1"/>
    <col min="9" max="15" width="19.5703125" style="22" hidden="1" customWidth="1"/>
    <col min="16" max="16" width="1.5703125" style="22" hidden="1" customWidth="1"/>
    <col min="17" max="17" width="19.5703125" style="22" hidden="1" customWidth="1"/>
    <col min="18" max="18" width="1.5703125" style="22" hidden="1" customWidth="1"/>
    <col min="19" max="16384" width="9.140625" style="22" hidden="1"/>
  </cols>
  <sheetData>
    <row r="1" spans="1:16" s="2" customFormat="1" ht="8.1" customHeight="1" thickBot="1" x14ac:dyDescent="0.3">
      <c r="B1" s="3"/>
      <c r="C1" s="3"/>
      <c r="F1" s="3"/>
      <c r="G1" s="3"/>
    </row>
    <row r="2" spans="1:16" ht="26.1" customHeight="1" thickBot="1" x14ac:dyDescent="0.3">
      <c r="A2" s="37"/>
      <c r="B2" s="177" t="s">
        <v>157</v>
      </c>
      <c r="C2" s="178"/>
      <c r="D2" s="178"/>
      <c r="E2" s="178"/>
      <c r="F2" s="178"/>
      <c r="G2" s="179"/>
      <c r="H2" s="37"/>
      <c r="P2" s="37"/>
    </row>
    <row r="3" spans="1:16" s="17" customFormat="1" x14ac:dyDescent="0.25"/>
    <row r="4" spans="1:16" ht="21" customHeight="1" x14ac:dyDescent="0.25">
      <c r="B4" s="257"/>
      <c r="C4" s="88"/>
      <c r="D4" s="241" t="s">
        <v>71</v>
      </c>
      <c r="E4" s="241" t="s">
        <v>98</v>
      </c>
      <c r="F4" s="199" t="s">
        <v>70</v>
      </c>
      <c r="G4" s="199"/>
    </row>
    <row r="5" spans="1:16" ht="30" x14ac:dyDescent="0.25">
      <c r="B5" s="257"/>
      <c r="C5" s="88"/>
      <c r="D5" s="241"/>
      <c r="E5" s="241"/>
      <c r="F5" s="90" t="s">
        <v>34</v>
      </c>
      <c r="G5" s="90" t="s">
        <v>196</v>
      </c>
    </row>
    <row r="6" spans="1:16" x14ac:dyDescent="0.25">
      <c r="B6" s="89"/>
      <c r="C6" s="48" t="s">
        <v>171</v>
      </c>
      <c r="D6" s="121" t="s">
        <v>160</v>
      </c>
      <c r="E6" s="121" t="s">
        <v>161</v>
      </c>
      <c r="F6" s="121" t="s">
        <v>162</v>
      </c>
      <c r="G6" s="121" t="s">
        <v>163</v>
      </c>
    </row>
    <row r="7" spans="1:16" x14ac:dyDescent="0.25">
      <c r="B7" s="70" t="s">
        <v>34</v>
      </c>
      <c r="C7" s="119" t="s">
        <v>160</v>
      </c>
      <c r="D7" s="103"/>
      <c r="E7" s="103"/>
      <c r="F7" s="103"/>
      <c r="G7" s="103"/>
    </row>
    <row r="8" spans="1:16" ht="45" customHeight="1" x14ac:dyDescent="0.25">
      <c r="B8" s="101" t="s">
        <v>78</v>
      </c>
      <c r="C8" s="119" t="s">
        <v>161</v>
      </c>
      <c r="D8" s="104"/>
      <c r="E8" s="104"/>
      <c r="F8" s="104"/>
      <c r="G8" s="104"/>
    </row>
    <row r="9" spans="1:16" ht="6.6" customHeight="1" x14ac:dyDescent="0.25">
      <c r="B9" s="59"/>
      <c r="C9" s="59"/>
    </row>
    <row r="18" spans="8:8" hidden="1" x14ac:dyDescent="0.25">
      <c r="H18" s="1"/>
    </row>
  </sheetData>
  <mergeCells count="5">
    <mergeCell ref="B2:G2"/>
    <mergeCell ref="D4:D5"/>
    <mergeCell ref="B4:B5"/>
    <mergeCell ref="E4:E5"/>
    <mergeCell ref="F4:G4"/>
  </mergeCells>
  <pageMargins left="0.7" right="0.7" top="0.75" bottom="0.75" header="0.3" footer="0.3"/>
  <pageSetup scale="82" orientation="landscape" r:id="rId1"/>
  <extLst>
    <ext xmlns:x14="http://schemas.microsoft.com/office/spreadsheetml/2009/9/main" uri="{78C0D931-6437-407d-A8EE-F0AAD7539E65}">
      <x14:conditionalFormattings>
        <x14:conditionalFormatting xmlns:xm="http://schemas.microsoft.com/office/excel/2006/main">
          <x14:cfRule type="expression" priority="1" id="{BF4535C4-6AFE-4A0B-9142-7190A3ACD913}">
            <xm:f>'0_Identification'!$E$37="No reporting needed"</xm:f>
            <x14:dxf>
              <fill>
                <patternFill>
                  <bgColor theme="1" tint="0.499984740745262"/>
                </patternFill>
              </fill>
            </x14:dxf>
          </x14:cfRule>
          <xm:sqref>D7:G8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AD20"/>
  <sheetViews>
    <sheetView showGridLines="0" zoomScale="90" zoomScaleNormal="90" workbookViewId="0">
      <selection activeCell="Y16" sqref="Y16"/>
    </sheetView>
  </sheetViews>
  <sheetFormatPr defaultColWidth="0" defaultRowHeight="15" zeroHeight="1" x14ac:dyDescent="0.25"/>
  <cols>
    <col min="1" max="1" width="1.5703125" style="22" customWidth="1"/>
    <col min="2" max="2" width="10.140625" style="17" customWidth="1"/>
    <col min="3" max="3" width="20.140625" style="17" customWidth="1"/>
    <col min="4" max="4" width="7.7109375" style="17" customWidth="1"/>
    <col min="5" max="11" width="13.5703125" style="17" customWidth="1"/>
    <col min="12" max="12" width="15.140625" style="17" bestFit="1" customWidth="1"/>
    <col min="13" max="29" width="13.5703125" style="17" customWidth="1"/>
    <col min="30" max="30" width="1.5703125" style="22" customWidth="1"/>
    <col min="31" max="16384" width="9.42578125" style="17" hidden="1"/>
  </cols>
  <sheetData>
    <row r="1" spans="1:30" s="2" customFormat="1" ht="8.1" customHeight="1" thickBot="1" x14ac:dyDescent="0.3">
      <c r="B1" s="3"/>
      <c r="C1" s="3"/>
      <c r="D1" s="3"/>
    </row>
    <row r="2" spans="1:30" s="22" customFormat="1" ht="26.1" customHeight="1" thickBot="1" x14ac:dyDescent="0.3">
      <c r="A2" s="37"/>
      <c r="B2" s="177" t="s">
        <v>158</v>
      </c>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9"/>
      <c r="AD2" s="37"/>
    </row>
    <row r="3" spans="1:30" ht="15.75" thickBot="1" x14ac:dyDescent="0.3">
      <c r="A3" s="17"/>
      <c r="AD3" s="17"/>
    </row>
    <row r="4" spans="1:30" ht="14.45" customHeight="1" x14ac:dyDescent="0.25">
      <c r="E4" s="262" t="s">
        <v>90</v>
      </c>
      <c r="F4" s="259"/>
      <c r="G4" s="258" t="s">
        <v>97</v>
      </c>
      <c r="H4" s="259"/>
      <c r="I4" s="258" t="s">
        <v>98</v>
      </c>
      <c r="J4" s="264"/>
      <c r="K4" s="266" t="s">
        <v>114</v>
      </c>
      <c r="L4" s="267"/>
      <c r="M4" s="267"/>
      <c r="N4" s="267"/>
      <c r="O4" s="267"/>
      <c r="P4" s="267"/>
      <c r="Q4" s="267"/>
      <c r="R4" s="267"/>
      <c r="S4" s="267"/>
      <c r="T4" s="267"/>
      <c r="U4" s="267"/>
      <c r="V4" s="267"/>
      <c r="W4" s="267"/>
      <c r="X4" s="268"/>
      <c r="Y4" s="266" t="s">
        <v>91</v>
      </c>
      <c r="Z4" s="267"/>
      <c r="AA4" s="267"/>
      <c r="AB4" s="267"/>
      <c r="AC4" s="268"/>
    </row>
    <row r="5" spans="1:30" ht="15" customHeight="1" x14ac:dyDescent="0.25">
      <c r="E5" s="263"/>
      <c r="F5" s="261"/>
      <c r="G5" s="260"/>
      <c r="H5" s="261"/>
      <c r="I5" s="260"/>
      <c r="J5" s="265"/>
      <c r="K5" s="269" t="s">
        <v>72</v>
      </c>
      <c r="L5" s="199"/>
      <c r="M5" s="199" t="s">
        <v>73</v>
      </c>
      <c r="N5" s="199"/>
      <c r="O5" s="199" t="s">
        <v>74</v>
      </c>
      <c r="P5" s="199"/>
      <c r="Q5" s="199" t="s">
        <v>75</v>
      </c>
      <c r="R5" s="199"/>
      <c r="S5" s="199" t="s">
        <v>76</v>
      </c>
      <c r="T5" s="199"/>
      <c r="U5" s="199" t="s">
        <v>77</v>
      </c>
      <c r="V5" s="199"/>
      <c r="W5" s="199" t="s">
        <v>115</v>
      </c>
      <c r="X5" s="270"/>
      <c r="Y5" s="269"/>
      <c r="Z5" s="199"/>
      <c r="AA5" s="199"/>
      <c r="AB5" s="199"/>
      <c r="AC5" s="270"/>
    </row>
    <row r="6" spans="1:30" ht="54" customHeight="1" x14ac:dyDescent="0.25">
      <c r="E6" s="67" t="s">
        <v>34</v>
      </c>
      <c r="F6" s="63" t="s">
        <v>113</v>
      </c>
      <c r="G6" s="63" t="s">
        <v>34</v>
      </c>
      <c r="H6" s="63" t="s">
        <v>113</v>
      </c>
      <c r="I6" s="63" t="s">
        <v>34</v>
      </c>
      <c r="J6" s="68" t="s">
        <v>113</v>
      </c>
      <c r="K6" s="67" t="s">
        <v>34</v>
      </c>
      <c r="L6" s="63" t="s">
        <v>113</v>
      </c>
      <c r="M6" s="63" t="s">
        <v>34</v>
      </c>
      <c r="N6" s="63" t="s">
        <v>113</v>
      </c>
      <c r="O6" s="63" t="s">
        <v>34</v>
      </c>
      <c r="P6" s="63" t="s">
        <v>113</v>
      </c>
      <c r="Q6" s="63" t="s">
        <v>34</v>
      </c>
      <c r="R6" s="63" t="s">
        <v>113</v>
      </c>
      <c r="S6" s="63" t="s">
        <v>34</v>
      </c>
      <c r="T6" s="63" t="s">
        <v>113</v>
      </c>
      <c r="U6" s="63" t="s">
        <v>34</v>
      </c>
      <c r="V6" s="63" t="s">
        <v>113</v>
      </c>
      <c r="W6" s="63" t="s">
        <v>34</v>
      </c>
      <c r="X6" s="68" t="s">
        <v>113</v>
      </c>
      <c r="Y6" s="69" t="s">
        <v>72</v>
      </c>
      <c r="Z6" s="86" t="s">
        <v>73</v>
      </c>
      <c r="AA6" s="86" t="s">
        <v>74</v>
      </c>
      <c r="AB6" s="86" t="s">
        <v>75</v>
      </c>
      <c r="AC6" s="68" t="s">
        <v>159</v>
      </c>
    </row>
    <row r="7" spans="1:30" x14ac:dyDescent="0.25">
      <c r="D7" s="48" t="s">
        <v>171</v>
      </c>
      <c r="E7" s="120" t="s">
        <v>160</v>
      </c>
      <c r="F7" s="121" t="s">
        <v>161</v>
      </c>
      <c r="G7" s="121" t="s">
        <v>162</v>
      </c>
      <c r="H7" s="121" t="s">
        <v>163</v>
      </c>
      <c r="I7" s="121" t="s">
        <v>164</v>
      </c>
      <c r="J7" s="122" t="s">
        <v>165</v>
      </c>
      <c r="K7" s="120" t="s">
        <v>166</v>
      </c>
      <c r="L7" s="121" t="s">
        <v>168</v>
      </c>
      <c r="M7" s="121" t="s">
        <v>169</v>
      </c>
      <c r="N7" s="121" t="s">
        <v>170</v>
      </c>
      <c r="O7" s="121" t="s">
        <v>172</v>
      </c>
      <c r="P7" s="121" t="s">
        <v>173</v>
      </c>
      <c r="Q7" s="121" t="s">
        <v>174</v>
      </c>
      <c r="R7" s="121" t="s">
        <v>175</v>
      </c>
      <c r="S7" s="121" t="s">
        <v>176</v>
      </c>
      <c r="T7" s="121" t="s">
        <v>177</v>
      </c>
      <c r="U7" s="121" t="s">
        <v>178</v>
      </c>
      <c r="V7" s="121" t="s">
        <v>179</v>
      </c>
      <c r="W7" s="121" t="s">
        <v>180</v>
      </c>
      <c r="X7" s="122" t="s">
        <v>181</v>
      </c>
      <c r="Y7" s="120" t="s">
        <v>182</v>
      </c>
      <c r="Z7" s="121" t="s">
        <v>183</v>
      </c>
      <c r="AA7" s="121" t="s">
        <v>184</v>
      </c>
      <c r="AB7" s="121" t="s">
        <v>185</v>
      </c>
      <c r="AC7" s="122" t="s">
        <v>186</v>
      </c>
    </row>
    <row r="8" spans="1:30" ht="14.45" customHeight="1" x14ac:dyDescent="0.25">
      <c r="B8" s="199" t="s">
        <v>88</v>
      </c>
      <c r="C8" s="65" t="s">
        <v>83</v>
      </c>
      <c r="D8" s="123" t="s">
        <v>160</v>
      </c>
      <c r="E8" s="105"/>
      <c r="F8" s="106"/>
      <c r="G8" s="106"/>
      <c r="H8" s="106"/>
      <c r="I8" s="106"/>
      <c r="J8" s="107"/>
      <c r="K8" s="105"/>
      <c r="L8" s="106"/>
      <c r="M8" s="106"/>
      <c r="N8" s="106"/>
      <c r="O8" s="106"/>
      <c r="P8" s="106"/>
      <c r="Q8" s="106"/>
      <c r="R8" s="106"/>
      <c r="S8" s="106"/>
      <c r="T8" s="106"/>
      <c r="U8" s="106"/>
      <c r="V8" s="106"/>
      <c r="W8" s="106"/>
      <c r="X8" s="107"/>
      <c r="Y8" s="105"/>
      <c r="Z8" s="106"/>
      <c r="AA8" s="106"/>
      <c r="AB8" s="106"/>
      <c r="AC8" s="107"/>
    </row>
    <row r="9" spans="1:30" x14ac:dyDescent="0.25">
      <c r="B9" s="199"/>
      <c r="C9" s="66" t="s">
        <v>92</v>
      </c>
      <c r="D9" s="123" t="s">
        <v>161</v>
      </c>
      <c r="E9" s="108"/>
      <c r="F9" s="109"/>
      <c r="G9" s="109"/>
      <c r="H9" s="109"/>
      <c r="I9" s="109"/>
      <c r="J9" s="110"/>
      <c r="K9" s="108"/>
      <c r="L9" s="109"/>
      <c r="M9" s="109"/>
      <c r="N9" s="109"/>
      <c r="O9" s="109"/>
      <c r="P9" s="109"/>
      <c r="Q9" s="109"/>
      <c r="R9" s="109"/>
      <c r="S9" s="109"/>
      <c r="T9" s="109"/>
      <c r="U9" s="109"/>
      <c r="V9" s="109"/>
      <c r="W9" s="109"/>
      <c r="X9" s="110"/>
      <c r="Y9" s="108"/>
      <c r="Z9" s="109"/>
      <c r="AA9" s="109"/>
      <c r="AB9" s="109"/>
      <c r="AC9" s="110"/>
    </row>
    <row r="10" spans="1:30" x14ac:dyDescent="0.25">
      <c r="B10" s="199"/>
      <c r="C10" s="66" t="s">
        <v>93</v>
      </c>
      <c r="D10" s="123" t="s">
        <v>162</v>
      </c>
      <c r="E10" s="108"/>
      <c r="F10" s="109"/>
      <c r="G10" s="109"/>
      <c r="H10" s="109"/>
      <c r="I10" s="109"/>
      <c r="J10" s="110"/>
      <c r="K10" s="108"/>
      <c r="L10" s="109"/>
      <c r="M10" s="109"/>
      <c r="N10" s="109"/>
      <c r="O10" s="109"/>
      <c r="P10" s="109"/>
      <c r="Q10" s="109"/>
      <c r="R10" s="109"/>
      <c r="S10" s="109"/>
      <c r="T10" s="109"/>
      <c r="U10" s="109"/>
      <c r="V10" s="109"/>
      <c r="W10" s="109"/>
      <c r="X10" s="110"/>
      <c r="Y10" s="108"/>
      <c r="Z10" s="109"/>
      <c r="AA10" s="109"/>
      <c r="AB10" s="109"/>
      <c r="AC10" s="110"/>
    </row>
    <row r="11" spans="1:30" x14ac:dyDescent="0.25">
      <c r="B11" s="199"/>
      <c r="C11" s="66" t="s">
        <v>94</v>
      </c>
      <c r="D11" s="123" t="s">
        <v>163</v>
      </c>
      <c r="E11" s="108"/>
      <c r="F11" s="109"/>
      <c r="G11" s="109"/>
      <c r="H11" s="109"/>
      <c r="I11" s="109"/>
      <c r="J11" s="110"/>
      <c r="K11" s="108"/>
      <c r="L11" s="109"/>
      <c r="M11" s="109"/>
      <c r="N11" s="109"/>
      <c r="O11" s="109"/>
      <c r="P11" s="109"/>
      <c r="Q11" s="109"/>
      <c r="R11" s="109"/>
      <c r="S11" s="109"/>
      <c r="T11" s="109"/>
      <c r="U11" s="109"/>
      <c r="V11" s="109"/>
      <c r="W11" s="109"/>
      <c r="X11" s="110"/>
      <c r="Y11" s="108"/>
      <c r="Z11" s="109"/>
      <c r="AA11" s="109"/>
      <c r="AB11" s="109"/>
      <c r="AC11" s="110"/>
    </row>
    <row r="12" spans="1:30" x14ac:dyDescent="0.25">
      <c r="B12" s="199"/>
      <c r="C12" s="66" t="s">
        <v>79</v>
      </c>
      <c r="D12" s="123" t="s">
        <v>164</v>
      </c>
      <c r="E12" s="108"/>
      <c r="F12" s="109"/>
      <c r="G12" s="109"/>
      <c r="H12" s="109"/>
      <c r="I12" s="109"/>
      <c r="J12" s="110"/>
      <c r="K12" s="108"/>
      <c r="L12" s="109"/>
      <c r="M12" s="109"/>
      <c r="N12" s="109"/>
      <c r="O12" s="109"/>
      <c r="P12" s="109"/>
      <c r="Q12" s="109"/>
      <c r="R12" s="109"/>
      <c r="S12" s="109"/>
      <c r="T12" s="109"/>
      <c r="U12" s="109"/>
      <c r="V12" s="109"/>
      <c r="W12" s="109"/>
      <c r="X12" s="110"/>
      <c r="Y12" s="108"/>
      <c r="Z12" s="109"/>
      <c r="AA12" s="109"/>
      <c r="AB12" s="109"/>
      <c r="AC12" s="110"/>
    </row>
    <row r="13" spans="1:30" x14ac:dyDescent="0.25">
      <c r="B13" s="199"/>
      <c r="C13" s="66" t="s">
        <v>95</v>
      </c>
      <c r="D13" s="123" t="s">
        <v>165</v>
      </c>
      <c r="E13" s="108"/>
      <c r="F13" s="109"/>
      <c r="G13" s="109"/>
      <c r="H13" s="109"/>
      <c r="I13" s="109"/>
      <c r="J13" s="110"/>
      <c r="K13" s="108"/>
      <c r="L13" s="109"/>
      <c r="M13" s="109"/>
      <c r="N13" s="109"/>
      <c r="O13" s="109"/>
      <c r="P13" s="109"/>
      <c r="Q13" s="109"/>
      <c r="R13" s="109"/>
      <c r="S13" s="109"/>
      <c r="T13" s="109"/>
      <c r="U13" s="109"/>
      <c r="V13" s="109"/>
      <c r="W13" s="109"/>
      <c r="X13" s="110"/>
      <c r="Y13" s="108"/>
      <c r="Z13" s="109"/>
      <c r="AA13" s="109"/>
      <c r="AB13" s="109"/>
      <c r="AC13" s="110"/>
    </row>
    <row r="14" spans="1:30" x14ac:dyDescent="0.25">
      <c r="B14" s="199"/>
      <c r="C14" s="65" t="s">
        <v>43</v>
      </c>
      <c r="D14" s="123" t="s">
        <v>166</v>
      </c>
      <c r="E14" s="108"/>
      <c r="F14" s="109"/>
      <c r="G14" s="109"/>
      <c r="H14" s="109"/>
      <c r="I14" s="109"/>
      <c r="J14" s="110"/>
      <c r="K14" s="108"/>
      <c r="L14" s="109"/>
      <c r="M14" s="109"/>
      <c r="N14" s="109"/>
      <c r="O14" s="109"/>
      <c r="P14" s="109"/>
      <c r="Q14" s="109"/>
      <c r="R14" s="109"/>
      <c r="S14" s="109"/>
      <c r="T14" s="109"/>
      <c r="U14" s="109"/>
      <c r="V14" s="109"/>
      <c r="W14" s="109"/>
      <c r="X14" s="110"/>
      <c r="Y14" s="108"/>
      <c r="Z14" s="109"/>
      <c r="AA14" s="109"/>
      <c r="AB14" s="109"/>
      <c r="AC14" s="110"/>
    </row>
    <row r="15" spans="1:30" x14ac:dyDescent="0.25">
      <c r="B15" s="199"/>
      <c r="C15" s="65" t="s">
        <v>84</v>
      </c>
      <c r="D15" s="123" t="s">
        <v>168</v>
      </c>
      <c r="E15" s="108"/>
      <c r="F15" s="109"/>
      <c r="G15" s="109"/>
      <c r="H15" s="109"/>
      <c r="I15" s="109"/>
      <c r="J15" s="110"/>
      <c r="K15" s="108"/>
      <c r="L15" s="109"/>
      <c r="M15" s="109"/>
      <c r="N15" s="109"/>
      <c r="O15" s="109"/>
      <c r="P15" s="109"/>
      <c r="Q15" s="109"/>
      <c r="R15" s="109"/>
      <c r="S15" s="109"/>
      <c r="T15" s="109"/>
      <c r="U15" s="109"/>
      <c r="V15" s="109"/>
      <c r="W15" s="109"/>
      <c r="X15" s="110"/>
      <c r="Y15" s="108"/>
      <c r="Z15" s="109"/>
      <c r="AA15" s="109"/>
      <c r="AB15" s="109"/>
      <c r="AC15" s="110"/>
    </row>
    <row r="16" spans="1:30" x14ac:dyDescent="0.25">
      <c r="B16" s="199"/>
      <c r="C16" s="65" t="s">
        <v>96</v>
      </c>
      <c r="D16" s="123" t="s">
        <v>169</v>
      </c>
      <c r="E16" s="108"/>
      <c r="F16" s="109"/>
      <c r="G16" s="109"/>
      <c r="H16" s="109"/>
      <c r="I16" s="109"/>
      <c r="J16" s="110"/>
      <c r="K16" s="108"/>
      <c r="L16" s="109"/>
      <c r="M16" s="109"/>
      <c r="N16" s="109"/>
      <c r="O16" s="109"/>
      <c r="P16" s="109"/>
      <c r="Q16" s="109"/>
      <c r="R16" s="109"/>
      <c r="S16" s="109"/>
      <c r="T16" s="109"/>
      <c r="U16" s="109"/>
      <c r="V16" s="109"/>
      <c r="W16" s="109"/>
      <c r="X16" s="110"/>
      <c r="Y16" s="108"/>
      <c r="Z16" s="109"/>
      <c r="AA16" s="109"/>
      <c r="AB16" s="109"/>
      <c r="AC16" s="110"/>
    </row>
    <row r="17" spans="1:30" x14ac:dyDescent="0.25">
      <c r="B17" s="199" t="s">
        <v>24</v>
      </c>
      <c r="C17" s="65" t="s">
        <v>43</v>
      </c>
      <c r="D17" s="123" t="s">
        <v>170</v>
      </c>
      <c r="E17" s="108"/>
      <c r="F17" s="109"/>
      <c r="G17" s="109"/>
      <c r="H17" s="109"/>
      <c r="I17" s="109"/>
      <c r="J17" s="110"/>
      <c r="K17" s="108"/>
      <c r="L17" s="109"/>
      <c r="M17" s="109"/>
      <c r="N17" s="109"/>
      <c r="O17" s="109"/>
      <c r="P17" s="109"/>
      <c r="Q17" s="109"/>
      <c r="R17" s="109"/>
      <c r="S17" s="109"/>
      <c r="T17" s="109"/>
      <c r="U17" s="109"/>
      <c r="V17" s="109"/>
      <c r="W17" s="109"/>
      <c r="X17" s="110"/>
      <c r="Y17" s="108"/>
      <c r="Z17" s="109"/>
      <c r="AA17" s="109"/>
      <c r="AB17" s="109"/>
      <c r="AC17" s="110"/>
    </row>
    <row r="18" spans="1:30" x14ac:dyDescent="0.25">
      <c r="B18" s="199"/>
      <c r="C18" s="65" t="s">
        <v>84</v>
      </c>
      <c r="D18" s="123" t="s">
        <v>172</v>
      </c>
      <c r="E18" s="108"/>
      <c r="F18" s="109"/>
      <c r="G18" s="109"/>
      <c r="H18" s="109"/>
      <c r="I18" s="109"/>
      <c r="J18" s="110"/>
      <c r="K18" s="108"/>
      <c r="L18" s="109"/>
      <c r="M18" s="109"/>
      <c r="N18" s="109"/>
      <c r="O18" s="109"/>
      <c r="P18" s="109"/>
      <c r="Q18" s="109"/>
      <c r="R18" s="109"/>
      <c r="S18" s="109"/>
      <c r="T18" s="109"/>
      <c r="U18" s="109"/>
      <c r="V18" s="109"/>
      <c r="W18" s="109"/>
      <c r="X18" s="110"/>
      <c r="Y18" s="108"/>
      <c r="Z18" s="109"/>
      <c r="AA18" s="109"/>
      <c r="AB18" s="109"/>
      <c r="AC18" s="110"/>
    </row>
    <row r="19" spans="1:30" ht="15.75" thickBot="1" x14ac:dyDescent="0.3">
      <c r="A19" s="1"/>
      <c r="B19" s="199"/>
      <c r="C19" s="65" t="s">
        <v>96</v>
      </c>
      <c r="D19" s="123" t="s">
        <v>173</v>
      </c>
      <c r="E19" s="111"/>
      <c r="F19" s="112"/>
      <c r="G19" s="112"/>
      <c r="H19" s="112"/>
      <c r="I19" s="112"/>
      <c r="J19" s="113"/>
      <c r="K19" s="111"/>
      <c r="L19" s="112"/>
      <c r="M19" s="112"/>
      <c r="N19" s="112"/>
      <c r="O19" s="112"/>
      <c r="P19" s="112"/>
      <c r="Q19" s="112"/>
      <c r="R19" s="112"/>
      <c r="S19" s="112"/>
      <c r="T19" s="112"/>
      <c r="U19" s="112"/>
      <c r="V19" s="112"/>
      <c r="W19" s="112"/>
      <c r="X19" s="113"/>
      <c r="Y19" s="111"/>
      <c r="Z19" s="112"/>
      <c r="AA19" s="112"/>
      <c r="AB19" s="112"/>
      <c r="AC19" s="113"/>
      <c r="AD19" s="1"/>
    </row>
    <row r="20" spans="1:30" x14ac:dyDescent="0.25"/>
  </sheetData>
  <mergeCells count="15">
    <mergeCell ref="B2:AC2"/>
    <mergeCell ref="B8:B16"/>
    <mergeCell ref="B17:B19"/>
    <mergeCell ref="M5:N5"/>
    <mergeCell ref="O5:P5"/>
    <mergeCell ref="G4:H5"/>
    <mergeCell ref="E4:F5"/>
    <mergeCell ref="I4:J5"/>
    <mergeCell ref="Y4:AC5"/>
    <mergeCell ref="K4:X4"/>
    <mergeCell ref="Q5:R5"/>
    <mergeCell ref="S5:T5"/>
    <mergeCell ref="U5:V5"/>
    <mergeCell ref="W5:X5"/>
    <mergeCell ref="K5:L5"/>
  </mergeCells>
  <phoneticPr fontId="6" type="noConversion"/>
  <pageMargins left="0.7" right="0.7" top="0.75" bottom="0.75" header="0.3" footer="0.3"/>
  <pageSetup paperSize="9" fitToWidth="0" orientation="landscape" r:id="rId1"/>
  <colBreaks count="3" manualBreakCount="3">
    <brk id="10" max="19" man="1"/>
    <brk id="18" max="1048575" man="1"/>
    <brk id="24" max="1048575" man="1"/>
  </colBreaks>
  <extLst>
    <ext xmlns:x14="http://schemas.microsoft.com/office/spreadsheetml/2009/9/main" uri="{78C0D931-6437-407d-A8EE-F0AAD7539E65}">
      <x14:conditionalFormattings>
        <x14:conditionalFormatting xmlns:xm="http://schemas.microsoft.com/office/excel/2006/main">
          <x14:cfRule type="expression" priority="1" id="{126E87D6-F72B-41A4-B3DA-DBF8CABBDD3D}">
            <xm:f>'0_Identification'!$E$40="No reporting needed"</xm:f>
            <x14:dxf>
              <fill>
                <patternFill>
                  <bgColor theme="1" tint="0.499984740745262"/>
                </patternFill>
              </fill>
            </x14:dxf>
          </x14:cfRule>
          <xm:sqref>E8:AC19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61"/>
  <sheetViews>
    <sheetView showGridLines="0" topLeftCell="A133" workbookViewId="0">
      <selection activeCell="D158" sqref="D158"/>
    </sheetView>
  </sheetViews>
  <sheetFormatPr defaultRowHeight="15" x14ac:dyDescent="0.25"/>
  <cols>
    <col min="1" max="1" width="28.5703125" customWidth="1"/>
    <col min="2" max="2" width="19.5703125" style="116" customWidth="1"/>
  </cols>
  <sheetData>
    <row r="1" spans="1:2" x14ac:dyDescent="0.25">
      <c r="A1" s="117" t="s">
        <v>216</v>
      </c>
      <c r="B1" s="118" t="s">
        <v>217</v>
      </c>
    </row>
    <row r="2" spans="1:2" x14ac:dyDescent="0.25">
      <c r="A2" s="114" t="s">
        <v>218</v>
      </c>
      <c r="B2" s="115" t="s">
        <v>219</v>
      </c>
    </row>
    <row r="3" spans="1:2" x14ac:dyDescent="0.25">
      <c r="A3" s="114" t="s">
        <v>220</v>
      </c>
      <c r="B3" s="115" t="s">
        <v>221</v>
      </c>
    </row>
    <row r="4" spans="1:2" x14ac:dyDescent="0.25">
      <c r="A4" s="114" t="s">
        <v>222</v>
      </c>
      <c r="B4" s="115" t="s">
        <v>223</v>
      </c>
    </row>
    <row r="5" spans="1:2" x14ac:dyDescent="0.25">
      <c r="A5" s="114" t="s">
        <v>224</v>
      </c>
      <c r="B5" s="115" t="s">
        <v>225</v>
      </c>
    </row>
    <row r="6" spans="1:2" x14ac:dyDescent="0.25">
      <c r="A6" s="114" t="s">
        <v>226</v>
      </c>
      <c r="B6" s="115" t="s">
        <v>227</v>
      </c>
    </row>
    <row r="7" spans="1:2" x14ac:dyDescent="0.25">
      <c r="A7" s="114" t="s">
        <v>228</v>
      </c>
      <c r="B7" s="115" t="s">
        <v>229</v>
      </c>
    </row>
    <row r="8" spans="1:2" x14ac:dyDescent="0.25">
      <c r="A8" s="114" t="s">
        <v>230</v>
      </c>
      <c r="B8" s="115" t="s">
        <v>231</v>
      </c>
    </row>
    <row r="9" spans="1:2" x14ac:dyDescent="0.25">
      <c r="A9" s="114" t="s">
        <v>232</v>
      </c>
      <c r="B9" s="115" t="s">
        <v>233</v>
      </c>
    </row>
    <row r="10" spans="1:2" x14ac:dyDescent="0.25">
      <c r="A10" s="114" t="s">
        <v>234</v>
      </c>
      <c r="B10" s="115" t="s">
        <v>235</v>
      </c>
    </row>
    <row r="11" spans="1:2" x14ac:dyDescent="0.25">
      <c r="A11" s="114" t="s">
        <v>236</v>
      </c>
      <c r="B11" s="115" t="s">
        <v>237</v>
      </c>
    </row>
    <row r="12" spans="1:2" x14ac:dyDescent="0.25">
      <c r="A12" s="114" t="s">
        <v>238</v>
      </c>
      <c r="B12" s="115" t="s">
        <v>239</v>
      </c>
    </row>
    <row r="13" spans="1:2" x14ac:dyDescent="0.25">
      <c r="A13" s="114" t="s">
        <v>240</v>
      </c>
      <c r="B13" s="115" t="s">
        <v>241</v>
      </c>
    </row>
    <row r="14" spans="1:2" x14ac:dyDescent="0.25">
      <c r="A14" s="114" t="s">
        <v>242</v>
      </c>
      <c r="B14" s="115" t="s">
        <v>243</v>
      </c>
    </row>
    <row r="15" spans="1:2" x14ac:dyDescent="0.25">
      <c r="A15" s="114" t="s">
        <v>218</v>
      </c>
      <c r="B15" s="115" t="s">
        <v>219</v>
      </c>
    </row>
    <row r="16" spans="1:2" x14ac:dyDescent="0.25">
      <c r="A16" s="114" t="s">
        <v>244</v>
      </c>
      <c r="B16" s="115" t="s">
        <v>245</v>
      </c>
    </row>
    <row r="17" spans="1:2" x14ac:dyDescent="0.25">
      <c r="A17" s="114" t="s">
        <v>246</v>
      </c>
      <c r="B17" s="115" t="s">
        <v>247</v>
      </c>
    </row>
    <row r="18" spans="1:2" x14ac:dyDescent="0.25">
      <c r="A18" s="114" t="s">
        <v>248</v>
      </c>
      <c r="B18" s="115" t="s">
        <v>249</v>
      </c>
    </row>
    <row r="19" spans="1:2" x14ac:dyDescent="0.25">
      <c r="A19" s="114" t="s">
        <v>250</v>
      </c>
      <c r="B19" s="115" t="s">
        <v>251</v>
      </c>
    </row>
    <row r="20" spans="1:2" x14ac:dyDescent="0.25">
      <c r="A20" s="114" t="s">
        <v>252</v>
      </c>
      <c r="B20" s="115" t="s">
        <v>253</v>
      </c>
    </row>
    <row r="21" spans="1:2" x14ac:dyDescent="0.25">
      <c r="A21" s="114" t="s">
        <v>254</v>
      </c>
      <c r="B21" s="115" t="s">
        <v>255</v>
      </c>
    </row>
    <row r="22" spans="1:2" x14ac:dyDescent="0.25">
      <c r="A22" s="114" t="s">
        <v>256</v>
      </c>
      <c r="B22" s="115" t="s">
        <v>257</v>
      </c>
    </row>
    <row r="23" spans="1:2" x14ac:dyDescent="0.25">
      <c r="A23" s="114" t="s">
        <v>258</v>
      </c>
      <c r="B23" s="115" t="s">
        <v>259</v>
      </c>
    </row>
    <row r="24" spans="1:2" x14ac:dyDescent="0.25">
      <c r="A24" s="114" t="s">
        <v>260</v>
      </c>
      <c r="B24" s="115" t="s">
        <v>261</v>
      </c>
    </row>
    <row r="25" spans="1:2" x14ac:dyDescent="0.25">
      <c r="A25" s="114" t="s">
        <v>262</v>
      </c>
      <c r="B25" s="115" t="s">
        <v>263</v>
      </c>
    </row>
    <row r="26" spans="1:2" x14ac:dyDescent="0.25">
      <c r="A26" s="114" t="s">
        <v>264</v>
      </c>
      <c r="B26" s="115" t="s">
        <v>265</v>
      </c>
    </row>
    <row r="27" spans="1:2" x14ac:dyDescent="0.25">
      <c r="A27" s="114" t="s">
        <v>266</v>
      </c>
      <c r="B27" s="115" t="s">
        <v>267</v>
      </c>
    </row>
    <row r="28" spans="1:2" x14ac:dyDescent="0.25">
      <c r="A28" s="114" t="s">
        <v>268</v>
      </c>
      <c r="B28" s="115" t="s">
        <v>269</v>
      </c>
    </row>
    <row r="29" spans="1:2" x14ac:dyDescent="0.25">
      <c r="A29" s="114" t="s">
        <v>220</v>
      </c>
      <c r="B29" s="115" t="s">
        <v>221</v>
      </c>
    </row>
    <row r="30" spans="1:2" x14ac:dyDescent="0.25">
      <c r="A30" s="114" t="s">
        <v>270</v>
      </c>
      <c r="B30" s="115" t="s">
        <v>271</v>
      </c>
    </row>
    <row r="31" spans="1:2" x14ac:dyDescent="0.25">
      <c r="A31" s="114" t="s">
        <v>272</v>
      </c>
      <c r="B31" s="115" t="s">
        <v>273</v>
      </c>
    </row>
    <row r="32" spans="1:2" x14ac:dyDescent="0.25">
      <c r="A32" s="114" t="s">
        <v>274</v>
      </c>
      <c r="B32" s="115" t="s">
        <v>275</v>
      </c>
    </row>
    <row r="33" spans="1:2" x14ac:dyDescent="0.25">
      <c r="A33" s="114" t="s">
        <v>276</v>
      </c>
      <c r="B33" s="115" t="s">
        <v>277</v>
      </c>
    </row>
    <row r="34" spans="1:2" x14ac:dyDescent="0.25">
      <c r="A34" s="114" t="s">
        <v>278</v>
      </c>
      <c r="B34" s="115" t="s">
        <v>279</v>
      </c>
    </row>
    <row r="35" spans="1:2" x14ac:dyDescent="0.25">
      <c r="A35" s="114" t="s">
        <v>280</v>
      </c>
      <c r="B35" s="115" t="s">
        <v>281</v>
      </c>
    </row>
    <row r="36" spans="1:2" x14ac:dyDescent="0.25">
      <c r="A36" s="114" t="s">
        <v>282</v>
      </c>
      <c r="B36" s="115" t="s">
        <v>283</v>
      </c>
    </row>
    <row r="37" spans="1:2" x14ac:dyDescent="0.25">
      <c r="A37" s="114" t="s">
        <v>284</v>
      </c>
      <c r="B37" s="115" t="s">
        <v>285</v>
      </c>
    </row>
    <row r="38" spans="1:2" x14ac:dyDescent="0.25">
      <c r="A38" s="114" t="s">
        <v>286</v>
      </c>
      <c r="B38" s="115" t="s">
        <v>287</v>
      </c>
    </row>
    <row r="39" spans="1:2" x14ac:dyDescent="0.25">
      <c r="A39" s="114" t="s">
        <v>288</v>
      </c>
      <c r="B39" s="115" t="s">
        <v>289</v>
      </c>
    </row>
    <row r="40" spans="1:2" x14ac:dyDescent="0.25">
      <c r="A40" s="114" t="s">
        <v>290</v>
      </c>
      <c r="B40" s="115" t="s">
        <v>291</v>
      </c>
    </row>
    <row r="41" spans="1:2" x14ac:dyDescent="0.25">
      <c r="A41" s="114" t="s">
        <v>292</v>
      </c>
      <c r="B41" s="115" t="s">
        <v>293</v>
      </c>
    </row>
    <row r="42" spans="1:2" x14ac:dyDescent="0.25">
      <c r="A42" s="114" t="s">
        <v>294</v>
      </c>
      <c r="B42" s="115" t="s">
        <v>295</v>
      </c>
    </row>
    <row r="43" spans="1:2" x14ac:dyDescent="0.25">
      <c r="A43" s="114" t="s">
        <v>296</v>
      </c>
      <c r="B43" s="115" t="s">
        <v>297</v>
      </c>
    </row>
    <row r="44" spans="1:2" x14ac:dyDescent="0.25">
      <c r="A44" s="114" t="s">
        <v>298</v>
      </c>
      <c r="B44" s="115" t="s">
        <v>299</v>
      </c>
    </row>
    <row r="45" spans="1:2" x14ac:dyDescent="0.25">
      <c r="A45" s="114" t="s">
        <v>300</v>
      </c>
      <c r="B45" s="115" t="s">
        <v>301</v>
      </c>
    </row>
    <row r="46" spans="1:2" x14ac:dyDescent="0.25">
      <c r="A46" s="114" t="s">
        <v>302</v>
      </c>
      <c r="B46" s="115" t="s">
        <v>303</v>
      </c>
    </row>
    <row r="47" spans="1:2" x14ac:dyDescent="0.25">
      <c r="A47" s="114" t="s">
        <v>304</v>
      </c>
      <c r="B47" s="115" t="s">
        <v>305</v>
      </c>
    </row>
    <row r="48" spans="1:2" x14ac:dyDescent="0.25">
      <c r="A48" s="114" t="s">
        <v>306</v>
      </c>
      <c r="B48" s="115" t="s">
        <v>307</v>
      </c>
    </row>
    <row r="49" spans="1:2" x14ac:dyDescent="0.25">
      <c r="A49" s="114" t="s">
        <v>308</v>
      </c>
      <c r="B49" s="115" t="s">
        <v>309</v>
      </c>
    </row>
    <row r="50" spans="1:2" x14ac:dyDescent="0.25">
      <c r="A50" s="114" t="s">
        <v>310</v>
      </c>
      <c r="B50" s="115" t="s">
        <v>311</v>
      </c>
    </row>
    <row r="51" spans="1:2" x14ac:dyDescent="0.25">
      <c r="A51" s="114" t="s">
        <v>312</v>
      </c>
      <c r="B51" s="115" t="s">
        <v>313</v>
      </c>
    </row>
    <row r="52" spans="1:2" x14ac:dyDescent="0.25">
      <c r="A52" s="114" t="s">
        <v>314</v>
      </c>
      <c r="B52" s="115" t="s">
        <v>315</v>
      </c>
    </row>
    <row r="53" spans="1:2" x14ac:dyDescent="0.25">
      <c r="A53" s="114" t="s">
        <v>316</v>
      </c>
      <c r="B53" s="115" t="s">
        <v>317</v>
      </c>
    </row>
    <row r="54" spans="1:2" x14ac:dyDescent="0.25">
      <c r="A54" s="114" t="s">
        <v>318</v>
      </c>
      <c r="B54" s="115" t="s">
        <v>319</v>
      </c>
    </row>
    <row r="55" spans="1:2" x14ac:dyDescent="0.25">
      <c r="A55" s="114" t="s">
        <v>320</v>
      </c>
      <c r="B55" s="115" t="s">
        <v>321</v>
      </c>
    </row>
    <row r="56" spans="1:2" x14ac:dyDescent="0.25">
      <c r="A56" s="114" t="s">
        <v>322</v>
      </c>
      <c r="B56" s="115" t="s">
        <v>323</v>
      </c>
    </row>
    <row r="57" spans="1:2" x14ac:dyDescent="0.25">
      <c r="A57" s="114" t="s">
        <v>222</v>
      </c>
      <c r="B57" s="115" t="s">
        <v>223</v>
      </c>
    </row>
    <row r="58" spans="1:2" x14ac:dyDescent="0.25">
      <c r="A58" s="114" t="s">
        <v>324</v>
      </c>
      <c r="B58" s="115" t="s">
        <v>325</v>
      </c>
    </row>
    <row r="59" spans="1:2" x14ac:dyDescent="0.25">
      <c r="A59" s="114" t="s">
        <v>326</v>
      </c>
      <c r="B59" s="115" t="s">
        <v>327</v>
      </c>
    </row>
    <row r="60" spans="1:2" x14ac:dyDescent="0.25">
      <c r="A60" s="114" t="s">
        <v>328</v>
      </c>
      <c r="B60" s="115" t="s">
        <v>329</v>
      </c>
    </row>
    <row r="61" spans="1:2" x14ac:dyDescent="0.25">
      <c r="A61" s="114" t="s">
        <v>330</v>
      </c>
      <c r="B61" s="115" t="s">
        <v>331</v>
      </c>
    </row>
    <row r="62" spans="1:2" x14ac:dyDescent="0.25">
      <c r="A62" s="114" t="s">
        <v>332</v>
      </c>
      <c r="B62" s="115" t="s">
        <v>333</v>
      </c>
    </row>
    <row r="63" spans="1:2" x14ac:dyDescent="0.25">
      <c r="A63" s="114" t="s">
        <v>334</v>
      </c>
      <c r="B63" s="115" t="s">
        <v>335</v>
      </c>
    </row>
    <row r="64" spans="1:2" x14ac:dyDescent="0.25">
      <c r="A64" s="114" t="s">
        <v>336</v>
      </c>
      <c r="B64" s="115" t="s">
        <v>337</v>
      </c>
    </row>
    <row r="65" spans="1:2" x14ac:dyDescent="0.25">
      <c r="A65" s="114" t="s">
        <v>338</v>
      </c>
      <c r="B65" s="115" t="s">
        <v>339</v>
      </c>
    </row>
    <row r="66" spans="1:2" x14ac:dyDescent="0.25">
      <c r="A66" s="114" t="s">
        <v>340</v>
      </c>
      <c r="B66" s="115" t="s">
        <v>341</v>
      </c>
    </row>
    <row r="67" spans="1:2" x14ac:dyDescent="0.25">
      <c r="A67" s="114" t="s">
        <v>342</v>
      </c>
      <c r="B67" s="115" t="s">
        <v>343</v>
      </c>
    </row>
    <row r="68" spans="1:2" x14ac:dyDescent="0.25">
      <c r="A68" s="114" t="s">
        <v>344</v>
      </c>
      <c r="B68" s="115" t="s">
        <v>345</v>
      </c>
    </row>
    <row r="69" spans="1:2" x14ac:dyDescent="0.25">
      <c r="A69" s="114" t="s">
        <v>346</v>
      </c>
      <c r="B69" s="115" t="s">
        <v>347</v>
      </c>
    </row>
    <row r="70" spans="1:2" x14ac:dyDescent="0.25">
      <c r="A70" s="114" t="s">
        <v>348</v>
      </c>
      <c r="B70" s="115" t="s">
        <v>349</v>
      </c>
    </row>
    <row r="71" spans="1:2" x14ac:dyDescent="0.25">
      <c r="A71" s="114" t="s">
        <v>350</v>
      </c>
      <c r="B71" s="115" t="s">
        <v>351</v>
      </c>
    </row>
    <row r="72" spans="1:2" x14ac:dyDescent="0.25">
      <c r="A72" s="114" t="s">
        <v>352</v>
      </c>
      <c r="B72" s="115" t="s">
        <v>353</v>
      </c>
    </row>
    <row r="73" spans="1:2" x14ac:dyDescent="0.25">
      <c r="A73" s="114" t="s">
        <v>354</v>
      </c>
      <c r="B73" s="115" t="s">
        <v>355</v>
      </c>
    </row>
    <row r="74" spans="1:2" x14ac:dyDescent="0.25">
      <c r="A74" s="114" t="s">
        <v>356</v>
      </c>
      <c r="B74" s="115" t="s">
        <v>357</v>
      </c>
    </row>
    <row r="75" spans="1:2" x14ac:dyDescent="0.25">
      <c r="A75" s="114" t="s">
        <v>358</v>
      </c>
      <c r="B75" s="115" t="s">
        <v>359</v>
      </c>
    </row>
    <row r="76" spans="1:2" x14ac:dyDescent="0.25">
      <c r="A76" s="114" t="s">
        <v>360</v>
      </c>
      <c r="B76" s="115" t="s">
        <v>361</v>
      </c>
    </row>
    <row r="77" spans="1:2" x14ac:dyDescent="0.25">
      <c r="A77" s="114" t="s">
        <v>362</v>
      </c>
      <c r="B77" s="115" t="s">
        <v>363</v>
      </c>
    </row>
    <row r="78" spans="1:2" x14ac:dyDescent="0.25">
      <c r="A78" s="114" t="s">
        <v>224</v>
      </c>
      <c r="B78" s="115" t="s">
        <v>225</v>
      </c>
    </row>
    <row r="79" spans="1:2" x14ac:dyDescent="0.25">
      <c r="A79" s="114" t="s">
        <v>364</v>
      </c>
      <c r="B79" s="115" t="s">
        <v>365</v>
      </c>
    </row>
    <row r="80" spans="1:2" x14ac:dyDescent="0.25">
      <c r="A80" s="114" t="s">
        <v>366</v>
      </c>
      <c r="B80" s="115" t="s">
        <v>367</v>
      </c>
    </row>
    <row r="81" spans="1:2" x14ac:dyDescent="0.25">
      <c r="A81" s="114" t="s">
        <v>368</v>
      </c>
      <c r="B81" s="115" t="s">
        <v>369</v>
      </c>
    </row>
    <row r="82" spans="1:2" x14ac:dyDescent="0.25">
      <c r="A82" s="114" t="s">
        <v>370</v>
      </c>
      <c r="B82" s="115" t="s">
        <v>371</v>
      </c>
    </row>
    <row r="83" spans="1:2" x14ac:dyDescent="0.25">
      <c r="A83" s="114" t="s">
        <v>372</v>
      </c>
      <c r="B83" s="115" t="s">
        <v>373</v>
      </c>
    </row>
    <row r="84" spans="1:2" x14ac:dyDescent="0.25">
      <c r="A84" s="114" t="s">
        <v>374</v>
      </c>
      <c r="B84" s="115" t="s">
        <v>375</v>
      </c>
    </row>
    <row r="85" spans="1:2" x14ac:dyDescent="0.25">
      <c r="A85" s="114" t="s">
        <v>376</v>
      </c>
      <c r="B85" s="115" t="s">
        <v>377</v>
      </c>
    </row>
    <row r="86" spans="1:2" x14ac:dyDescent="0.25">
      <c r="A86" s="114" t="s">
        <v>378</v>
      </c>
      <c r="B86" s="115" t="s">
        <v>379</v>
      </c>
    </row>
    <row r="87" spans="1:2" x14ac:dyDescent="0.25">
      <c r="A87" s="114" t="s">
        <v>380</v>
      </c>
      <c r="B87" s="115" t="s">
        <v>381</v>
      </c>
    </row>
    <row r="88" spans="1:2" x14ac:dyDescent="0.25">
      <c r="A88" s="114" t="s">
        <v>382</v>
      </c>
      <c r="B88" s="115" t="s">
        <v>383</v>
      </c>
    </row>
    <row r="89" spans="1:2" x14ac:dyDescent="0.25">
      <c r="A89" s="114" t="s">
        <v>384</v>
      </c>
      <c r="B89" s="115" t="s">
        <v>385</v>
      </c>
    </row>
    <row r="90" spans="1:2" x14ac:dyDescent="0.25">
      <c r="A90" s="114" t="s">
        <v>386</v>
      </c>
      <c r="B90" s="115" t="s">
        <v>387</v>
      </c>
    </row>
    <row r="91" spans="1:2" x14ac:dyDescent="0.25">
      <c r="A91" s="114" t="s">
        <v>388</v>
      </c>
      <c r="B91" s="115" t="s">
        <v>389</v>
      </c>
    </row>
    <row r="92" spans="1:2" x14ac:dyDescent="0.25">
      <c r="A92" s="114" t="s">
        <v>390</v>
      </c>
      <c r="B92" s="115" t="s">
        <v>391</v>
      </c>
    </row>
    <row r="93" spans="1:2" x14ac:dyDescent="0.25">
      <c r="A93" s="114" t="s">
        <v>392</v>
      </c>
      <c r="B93" s="115" t="s">
        <v>393</v>
      </c>
    </row>
    <row r="94" spans="1:2" x14ac:dyDescent="0.25">
      <c r="A94" s="114" t="s">
        <v>394</v>
      </c>
      <c r="B94" s="115" t="s">
        <v>395</v>
      </c>
    </row>
    <row r="95" spans="1:2" x14ac:dyDescent="0.25">
      <c r="A95" s="114" t="s">
        <v>396</v>
      </c>
      <c r="B95" s="115" t="s">
        <v>397</v>
      </c>
    </row>
    <row r="96" spans="1:2" x14ac:dyDescent="0.25">
      <c r="A96" s="114" t="s">
        <v>398</v>
      </c>
      <c r="B96" s="115" t="s">
        <v>399</v>
      </c>
    </row>
    <row r="97" spans="1:2" x14ac:dyDescent="0.25">
      <c r="A97" s="114" t="s">
        <v>400</v>
      </c>
      <c r="B97" s="115" t="s">
        <v>401</v>
      </c>
    </row>
    <row r="98" spans="1:2" x14ac:dyDescent="0.25">
      <c r="A98" s="114" t="s">
        <v>402</v>
      </c>
      <c r="B98" s="115" t="s">
        <v>403</v>
      </c>
    </row>
    <row r="99" spans="1:2" x14ac:dyDescent="0.25">
      <c r="A99" s="114" t="s">
        <v>404</v>
      </c>
      <c r="B99" s="115" t="s">
        <v>405</v>
      </c>
    </row>
    <row r="100" spans="1:2" x14ac:dyDescent="0.25">
      <c r="A100" s="114" t="s">
        <v>406</v>
      </c>
      <c r="B100" s="115" t="s">
        <v>407</v>
      </c>
    </row>
    <row r="101" spans="1:2" x14ac:dyDescent="0.25">
      <c r="A101" s="114" t="s">
        <v>408</v>
      </c>
      <c r="B101" s="115" t="s">
        <v>409</v>
      </c>
    </row>
    <row r="102" spans="1:2" x14ac:dyDescent="0.25">
      <c r="A102" s="114" t="s">
        <v>410</v>
      </c>
      <c r="B102" s="115" t="s">
        <v>411</v>
      </c>
    </row>
    <row r="103" spans="1:2" x14ac:dyDescent="0.25">
      <c r="A103" s="114" t="s">
        <v>412</v>
      </c>
      <c r="B103" s="115" t="s">
        <v>413</v>
      </c>
    </row>
    <row r="104" spans="1:2" x14ac:dyDescent="0.25">
      <c r="A104" s="114" t="s">
        <v>414</v>
      </c>
      <c r="B104" s="115" t="s">
        <v>415</v>
      </c>
    </row>
    <row r="105" spans="1:2" x14ac:dyDescent="0.25">
      <c r="A105" s="114" t="s">
        <v>416</v>
      </c>
      <c r="B105" s="115" t="s">
        <v>417</v>
      </c>
    </row>
    <row r="106" spans="1:2" x14ac:dyDescent="0.25">
      <c r="A106" s="114" t="s">
        <v>418</v>
      </c>
      <c r="B106" s="115" t="s">
        <v>419</v>
      </c>
    </row>
    <row r="107" spans="1:2" x14ac:dyDescent="0.25">
      <c r="A107" s="114" t="s">
        <v>420</v>
      </c>
      <c r="B107" s="115" t="s">
        <v>421</v>
      </c>
    </row>
    <row r="108" spans="1:2" x14ac:dyDescent="0.25">
      <c r="A108" s="114" t="s">
        <v>422</v>
      </c>
      <c r="B108" s="115" t="s">
        <v>423</v>
      </c>
    </row>
    <row r="109" spans="1:2" x14ac:dyDescent="0.25">
      <c r="A109" s="114" t="s">
        <v>424</v>
      </c>
      <c r="B109" s="115" t="s">
        <v>425</v>
      </c>
    </row>
    <row r="110" spans="1:2" x14ac:dyDescent="0.25">
      <c r="A110" s="114" t="s">
        <v>426</v>
      </c>
      <c r="B110" s="115" t="s">
        <v>427</v>
      </c>
    </row>
    <row r="111" spans="1:2" x14ac:dyDescent="0.25">
      <c r="A111" s="114" t="s">
        <v>428</v>
      </c>
      <c r="B111" s="115" t="s">
        <v>429</v>
      </c>
    </row>
    <row r="112" spans="1:2" x14ac:dyDescent="0.25">
      <c r="A112" s="114" t="s">
        <v>430</v>
      </c>
      <c r="B112" s="115" t="s">
        <v>431</v>
      </c>
    </row>
    <row r="113" spans="1:2" x14ac:dyDescent="0.25">
      <c r="A113" s="114" t="s">
        <v>432</v>
      </c>
      <c r="B113" s="115" t="s">
        <v>433</v>
      </c>
    </row>
    <row r="114" spans="1:2" x14ac:dyDescent="0.25">
      <c r="A114" s="114" t="s">
        <v>434</v>
      </c>
      <c r="B114" s="115" t="s">
        <v>435</v>
      </c>
    </row>
    <row r="115" spans="1:2" x14ac:dyDescent="0.25">
      <c r="A115" s="114" t="s">
        <v>436</v>
      </c>
      <c r="B115" s="115" t="s">
        <v>437</v>
      </c>
    </row>
    <row r="116" spans="1:2" x14ac:dyDescent="0.25">
      <c r="A116" s="114" t="s">
        <v>438</v>
      </c>
      <c r="B116" s="115" t="s">
        <v>439</v>
      </c>
    </row>
    <row r="117" spans="1:2" x14ac:dyDescent="0.25">
      <c r="A117" s="114" t="s">
        <v>440</v>
      </c>
      <c r="B117" s="115" t="s">
        <v>441</v>
      </c>
    </row>
    <row r="118" spans="1:2" x14ac:dyDescent="0.25">
      <c r="A118" s="114" t="s">
        <v>442</v>
      </c>
      <c r="B118" s="115" t="s">
        <v>443</v>
      </c>
    </row>
    <row r="119" spans="1:2" x14ac:dyDescent="0.25">
      <c r="A119" s="114" t="s">
        <v>444</v>
      </c>
      <c r="B119" s="115" t="s">
        <v>445</v>
      </c>
    </row>
    <row r="120" spans="1:2" x14ac:dyDescent="0.25">
      <c r="A120" s="114" t="s">
        <v>446</v>
      </c>
      <c r="B120" s="115" t="s">
        <v>447</v>
      </c>
    </row>
    <row r="121" spans="1:2" x14ac:dyDescent="0.25">
      <c r="A121" s="114" t="s">
        <v>448</v>
      </c>
      <c r="B121" s="115" t="s">
        <v>449</v>
      </c>
    </row>
    <row r="122" spans="1:2" x14ac:dyDescent="0.25">
      <c r="A122" s="114" t="s">
        <v>450</v>
      </c>
      <c r="B122" s="115" t="s">
        <v>451</v>
      </c>
    </row>
    <row r="123" spans="1:2" x14ac:dyDescent="0.25">
      <c r="A123" s="114" t="s">
        <v>452</v>
      </c>
      <c r="B123" s="115" t="s">
        <v>453</v>
      </c>
    </row>
    <row r="124" spans="1:2" x14ac:dyDescent="0.25">
      <c r="A124" s="114" t="s">
        <v>454</v>
      </c>
      <c r="B124" s="115" t="s">
        <v>455</v>
      </c>
    </row>
    <row r="125" spans="1:2" x14ac:dyDescent="0.25">
      <c r="A125" s="114" t="s">
        <v>456</v>
      </c>
      <c r="B125" s="115" t="s">
        <v>457</v>
      </c>
    </row>
    <row r="126" spans="1:2" x14ac:dyDescent="0.25">
      <c r="A126" s="114" t="s">
        <v>458</v>
      </c>
      <c r="B126" s="115" t="s">
        <v>459</v>
      </c>
    </row>
    <row r="127" spans="1:2" x14ac:dyDescent="0.25">
      <c r="A127" s="114" t="s">
        <v>460</v>
      </c>
      <c r="B127" s="115" t="s">
        <v>461</v>
      </c>
    </row>
    <row r="128" spans="1:2" x14ac:dyDescent="0.25">
      <c r="A128" s="114" t="s">
        <v>462</v>
      </c>
      <c r="B128" s="115" t="s">
        <v>463</v>
      </c>
    </row>
    <row r="129" spans="1:2" x14ac:dyDescent="0.25">
      <c r="A129" s="114" t="s">
        <v>464</v>
      </c>
      <c r="B129" s="115" t="s">
        <v>465</v>
      </c>
    </row>
    <row r="130" spans="1:2" x14ac:dyDescent="0.25">
      <c r="A130" s="114" t="s">
        <v>466</v>
      </c>
      <c r="B130" s="115" t="s">
        <v>467</v>
      </c>
    </row>
    <row r="131" spans="1:2" x14ac:dyDescent="0.25">
      <c r="A131" s="114" t="s">
        <v>468</v>
      </c>
      <c r="B131" s="115" t="s">
        <v>469</v>
      </c>
    </row>
    <row r="132" spans="1:2" x14ac:dyDescent="0.25">
      <c r="A132" s="114" t="s">
        <v>470</v>
      </c>
      <c r="B132" s="115" t="s">
        <v>471</v>
      </c>
    </row>
    <row r="133" spans="1:2" x14ac:dyDescent="0.25">
      <c r="A133" s="114" t="s">
        <v>472</v>
      </c>
      <c r="B133" s="115" t="s">
        <v>473</v>
      </c>
    </row>
    <row r="134" spans="1:2" x14ac:dyDescent="0.25">
      <c r="A134" s="114" t="s">
        <v>474</v>
      </c>
      <c r="B134" s="115" t="s">
        <v>475</v>
      </c>
    </row>
    <row r="135" spans="1:2" x14ac:dyDescent="0.25">
      <c r="A135" s="114" t="s">
        <v>476</v>
      </c>
      <c r="B135" s="115" t="s">
        <v>477</v>
      </c>
    </row>
    <row r="136" spans="1:2" x14ac:dyDescent="0.25">
      <c r="A136" s="114" t="s">
        <v>478</v>
      </c>
      <c r="B136" s="115" t="s">
        <v>479</v>
      </c>
    </row>
    <row r="137" spans="1:2" x14ac:dyDescent="0.25">
      <c r="A137" s="114" t="s">
        <v>480</v>
      </c>
      <c r="B137" s="115" t="s">
        <v>481</v>
      </c>
    </row>
    <row r="138" spans="1:2" x14ac:dyDescent="0.25">
      <c r="A138" s="114" t="s">
        <v>482</v>
      </c>
      <c r="B138" s="115" t="s">
        <v>483</v>
      </c>
    </row>
    <row r="139" spans="1:2" x14ac:dyDescent="0.25">
      <c r="A139" s="114" t="s">
        <v>484</v>
      </c>
      <c r="B139" s="115" t="s">
        <v>485</v>
      </c>
    </row>
    <row r="140" spans="1:2" x14ac:dyDescent="0.25">
      <c r="A140" s="114" t="s">
        <v>226</v>
      </c>
      <c r="B140" s="115" t="s">
        <v>227</v>
      </c>
    </row>
    <row r="141" spans="1:2" x14ac:dyDescent="0.25">
      <c r="A141" s="114" t="s">
        <v>486</v>
      </c>
      <c r="B141" s="115" t="s">
        <v>487</v>
      </c>
    </row>
    <row r="142" spans="1:2" x14ac:dyDescent="0.25">
      <c r="A142" s="114" t="s">
        <v>488</v>
      </c>
      <c r="B142" s="115" t="s">
        <v>489</v>
      </c>
    </row>
    <row r="143" spans="1:2" x14ac:dyDescent="0.25">
      <c r="A143" s="114" t="s">
        <v>490</v>
      </c>
      <c r="B143" s="115" t="s">
        <v>491</v>
      </c>
    </row>
    <row r="144" spans="1:2" x14ac:dyDescent="0.25">
      <c r="A144" s="114" t="s">
        <v>492</v>
      </c>
      <c r="B144" s="115" t="s">
        <v>493</v>
      </c>
    </row>
    <row r="145" spans="1:2" x14ac:dyDescent="0.25">
      <c r="A145" s="114" t="s">
        <v>494</v>
      </c>
      <c r="B145" s="115" t="s">
        <v>495</v>
      </c>
    </row>
    <row r="146" spans="1:2" x14ac:dyDescent="0.25">
      <c r="A146" s="114" t="s">
        <v>496</v>
      </c>
      <c r="B146" s="115" t="s">
        <v>497</v>
      </c>
    </row>
    <row r="147" spans="1:2" x14ac:dyDescent="0.25">
      <c r="A147" s="114" t="s">
        <v>498</v>
      </c>
      <c r="B147" s="115" t="s">
        <v>499</v>
      </c>
    </row>
    <row r="148" spans="1:2" x14ac:dyDescent="0.25">
      <c r="A148" s="114" t="s">
        <v>500</v>
      </c>
      <c r="B148" s="115" t="s">
        <v>501</v>
      </c>
    </row>
    <row r="149" spans="1:2" x14ac:dyDescent="0.25">
      <c r="A149" s="114" t="s">
        <v>502</v>
      </c>
      <c r="B149" s="115" t="s">
        <v>503</v>
      </c>
    </row>
    <row r="150" spans="1:2" x14ac:dyDescent="0.25">
      <c r="A150" s="114" t="s">
        <v>228</v>
      </c>
      <c r="B150" s="115" t="s">
        <v>229</v>
      </c>
    </row>
    <row r="151" spans="1:2" x14ac:dyDescent="0.25">
      <c r="A151" s="114" t="s">
        <v>504</v>
      </c>
      <c r="B151" s="115" t="s">
        <v>505</v>
      </c>
    </row>
    <row r="152" spans="1:2" x14ac:dyDescent="0.25">
      <c r="A152" s="114" t="s">
        <v>506</v>
      </c>
      <c r="B152" s="115" t="s">
        <v>507</v>
      </c>
    </row>
    <row r="153" spans="1:2" x14ac:dyDescent="0.25">
      <c r="A153" s="114" t="s">
        <v>508</v>
      </c>
      <c r="B153" s="115" t="s">
        <v>509</v>
      </c>
    </row>
    <row r="154" spans="1:2" x14ac:dyDescent="0.25">
      <c r="A154" s="114" t="s">
        <v>510</v>
      </c>
      <c r="B154" s="115" t="s">
        <v>511</v>
      </c>
    </row>
    <row r="155" spans="1:2" x14ac:dyDescent="0.25">
      <c r="A155" s="114" t="s">
        <v>512</v>
      </c>
      <c r="B155" s="115" t="s">
        <v>513</v>
      </c>
    </row>
    <row r="156" spans="1:2" x14ac:dyDescent="0.25">
      <c r="A156" s="114" t="s">
        <v>514</v>
      </c>
      <c r="B156" s="115" t="s">
        <v>515</v>
      </c>
    </row>
    <row r="157" spans="1:2" x14ac:dyDescent="0.25">
      <c r="A157" s="114" t="s">
        <v>516</v>
      </c>
      <c r="B157" s="115" t="s">
        <v>517</v>
      </c>
    </row>
    <row r="158" spans="1:2" x14ac:dyDescent="0.25">
      <c r="A158" s="114" t="s">
        <v>518</v>
      </c>
      <c r="B158" s="115" t="s">
        <v>519</v>
      </c>
    </row>
    <row r="159" spans="1:2" x14ac:dyDescent="0.25">
      <c r="A159" s="114" t="s">
        <v>520</v>
      </c>
      <c r="B159" s="115" t="s">
        <v>521</v>
      </c>
    </row>
    <row r="160" spans="1:2" x14ac:dyDescent="0.25">
      <c r="A160" s="114" t="s">
        <v>522</v>
      </c>
      <c r="B160" s="115" t="s">
        <v>523</v>
      </c>
    </row>
    <row r="161" spans="1:2" x14ac:dyDescent="0.25">
      <c r="A161" s="114" t="s">
        <v>561</v>
      </c>
      <c r="B161" s="115" t="s">
        <v>44</v>
      </c>
    </row>
  </sheetData>
  <autoFilter ref="A1:B160" xr:uid="{00000000-0009-0000-0000-00000A000000}"/>
  <dataConsolid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34A35E5C-2D80-4235-930B-21EA73128D9F}"/>
</file>

<file path=customXml/itemProps2.xml><?xml version="1.0" encoding="utf-8"?>
<ds:datastoreItem xmlns:ds="http://schemas.openxmlformats.org/officeDocument/2006/customXml" ds:itemID="{DC8EC570-9E96-445E-817C-D9069C5A8534}"/>
</file>

<file path=customXml/itemProps3.xml><?xml version="1.0" encoding="utf-8"?>
<ds:datastoreItem xmlns:ds="http://schemas.openxmlformats.org/officeDocument/2006/customXml" ds:itemID="{8A1F238D-FBDE-4572-A856-4B64612D89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0_ReadMe</vt:lpstr>
      <vt:lpstr>0_Identification</vt:lpstr>
      <vt:lpstr>1_Overall impacts</vt:lpstr>
      <vt:lpstr>1a_PnL and OCI impacts</vt:lpstr>
      <vt:lpstr>1b_PRR impacts</vt:lpstr>
      <vt:lpstr>2_VaR</vt:lpstr>
      <vt:lpstr>3_EQRBB</vt:lpstr>
      <vt:lpstr>4_SFX</vt:lpstr>
      <vt:lpstr>5_FVadj</vt:lpstr>
      <vt:lpstr>6_PRR levelling</vt:lpstr>
      <vt:lpstr>Currencies</vt:lpstr>
      <vt:lpstr>'0_ReadMe'!Print_Area</vt:lpstr>
      <vt:lpstr>'4_SFX'!Print_Area</vt:lpstr>
      <vt:lpstr>tbl_1_Overall_impacts</vt:lpstr>
      <vt:lpstr>tbl_1a_PnL_OCI_impacts</vt:lpstr>
      <vt:lpstr>tbl_1b_PRR_Impacts</vt:lpstr>
      <vt:lpstr>'2_VaR'!tbl_2_VaR_ES</vt:lpstr>
      <vt:lpstr>'2_VaR'!tbl_2_VaR_overshooring</vt:lpstr>
      <vt:lpstr>tbl_3_EQRBB</vt:lpstr>
      <vt:lpstr>tbl_4_SFX</vt:lpstr>
      <vt:lpstr>tbl_5_FVadj</vt:lpstr>
      <vt:lpstr>tbl_6_PRR_levelling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ECB</dc:creator>
  <cp:lastModifiedBy>DG-HOL/SMD</cp:lastModifiedBy>
  <cp:lastPrinted>2023-07-27T16:01:51Z</cp:lastPrinted>
  <dcterms:created xsi:type="dcterms:W3CDTF">2023-04-13T12:04:45Z</dcterms:created>
  <dcterms:modified xsi:type="dcterms:W3CDTF">2023-10-04T14:59:36Z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ies>
</file>