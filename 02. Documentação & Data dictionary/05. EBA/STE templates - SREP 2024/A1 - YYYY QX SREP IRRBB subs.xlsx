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icolaa\AppData\Roaming\OpenText\OTEdit\EC_darwin\c1735405048\"/>
    </mc:Choice>
  </mc:AlternateContent>
  <xr:revisionPtr revIDLastSave="0" documentId="13_ncr:1_{F6425FB0-1C9C-45C8-B159-D733278AEE93}" xr6:coauthVersionLast="47" xr6:coauthVersionMax="47" xr10:uidLastSave="{00000000-0000-0000-0000-000000000000}"/>
  <bookViews>
    <workbookView xWindow="-120" yWindow="-120" windowWidth="29040" windowHeight="15720" tabRatio="918" xr2:uid="{00000000-000D-0000-FFFF-FFFF00000000}"/>
  </bookViews>
  <sheets>
    <sheet name="0_ReadMe" sheetId="7" r:id="rId1"/>
    <sheet name="0_Identification" sheetId="8" r:id="rId2"/>
    <sheet name="6_IRRBB_Additional" sheetId="11" r:id="rId3"/>
    <sheet name="Currencies_ISO" sheetId="9" state="veryHidden" r:id="rId4"/>
  </sheets>
  <externalReferences>
    <externalReference r:id="rId5"/>
  </externalReferences>
  <definedNames>
    <definedName name="_xlnm._FilterDatabase" localSheetId="3" hidden="1">Currencies_ISO!$B$4:$B$168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52" i="11" l="1"/>
  <c r="I52" i="11"/>
  <c r="H52" i="11"/>
  <c r="G52" i="11"/>
  <c r="F52" i="11"/>
  <c r="J50" i="11"/>
  <c r="I50" i="11"/>
  <c r="H50" i="11"/>
  <c r="G50" i="11"/>
  <c r="F50" i="11"/>
  <c r="J48" i="11"/>
  <c r="I48" i="11"/>
  <c r="H48" i="11"/>
  <c r="G48" i="11"/>
  <c r="F48" i="11"/>
  <c r="J46" i="11"/>
  <c r="I46" i="11"/>
  <c r="H46" i="11"/>
  <c r="G46" i="11"/>
  <c r="F46" i="11"/>
  <c r="J40" i="11"/>
  <c r="I40" i="11"/>
  <c r="H40" i="11"/>
  <c r="G40" i="11"/>
  <c r="F40" i="11"/>
  <c r="E40" i="11"/>
  <c r="J37" i="11"/>
  <c r="I37" i="11"/>
  <c r="H37" i="11"/>
  <c r="G37" i="11"/>
  <c r="F37" i="11"/>
  <c r="E37" i="11"/>
  <c r="J32" i="11"/>
  <c r="I32" i="11"/>
  <c r="H32" i="11"/>
  <c r="G32" i="11"/>
  <c r="F32" i="11"/>
  <c r="E32" i="11"/>
  <c r="J29" i="11"/>
  <c r="I29" i="11"/>
  <c r="H29" i="11"/>
  <c r="G29" i="11"/>
  <c r="F29" i="11"/>
  <c r="E29" i="11"/>
  <c r="E23" i="11"/>
  <c r="E22" i="11"/>
  <c r="E21" i="11"/>
  <c r="E20" i="11"/>
  <c r="E19" i="11"/>
  <c r="E18" i="11"/>
  <c r="I7" i="11"/>
  <c r="H7" i="11"/>
  <c r="G7" i="11"/>
  <c r="F7" i="11"/>
  <c r="E17" i="11"/>
  <c r="E19" i="8"/>
  <c r="E20" i="8"/>
  <c r="E21" i="8"/>
  <c r="E22" i="8"/>
  <c r="E23" i="8"/>
</calcChain>
</file>

<file path=xl/sharedStrings.xml><?xml version="1.0" encoding="utf-8"?>
<sst xmlns="http://schemas.openxmlformats.org/spreadsheetml/2006/main" count="316" uniqueCount="293">
  <si>
    <t>Please consult the instructions to fill-in the IRRBB templates</t>
  </si>
  <si>
    <t>USD</t>
  </si>
  <si>
    <t>CHF</t>
  </si>
  <si>
    <t>JPY</t>
  </si>
  <si>
    <t>RUB</t>
  </si>
  <si>
    <t>TRY</t>
  </si>
  <si>
    <t>AUD</t>
  </si>
  <si>
    <t>CAD</t>
  </si>
  <si>
    <t>RSD</t>
  </si>
  <si>
    <t>ALL</t>
  </si>
  <si>
    <t>UAH</t>
  </si>
  <si>
    <t>MKD</t>
  </si>
  <si>
    <t>EGP</t>
  </si>
  <si>
    <t>ARS</t>
  </si>
  <si>
    <t>BRL</t>
  </si>
  <si>
    <t>MXN</t>
  </si>
  <si>
    <t>HKD</t>
  </si>
  <si>
    <t>TWD</t>
  </si>
  <si>
    <t>NZD</t>
  </si>
  <si>
    <t>NOK</t>
  </si>
  <si>
    <t>SGD</t>
  </si>
  <si>
    <t>KRW</t>
  </si>
  <si>
    <t>CNY</t>
  </si>
  <si>
    <t>EUR</t>
  </si>
  <si>
    <t>HRK</t>
  </si>
  <si>
    <t>HUF</t>
  </si>
  <si>
    <t>BGN</t>
  </si>
  <si>
    <t>PLN</t>
  </si>
  <si>
    <t>SEK</t>
  </si>
  <si>
    <t>CZK</t>
  </si>
  <si>
    <t>DKK</t>
  </si>
  <si>
    <t>RON</t>
  </si>
  <si>
    <t>GBP</t>
  </si>
  <si>
    <t>Shock arising from exposures in:</t>
  </si>
  <si>
    <t>Data point</t>
  </si>
  <si>
    <t>Description</t>
  </si>
  <si>
    <t>Amount</t>
  </si>
  <si>
    <t xml:space="preserve">   Steepener</t>
  </si>
  <si>
    <t>Other material currencies</t>
  </si>
  <si>
    <t>Template 0_Identification</t>
  </si>
  <si>
    <t>General information</t>
  </si>
  <si>
    <r>
      <t xml:space="preserve">Country: </t>
    </r>
    <r>
      <rPr>
        <sz val="12"/>
        <color indexed="8"/>
        <rFont val="Calibri"/>
        <family val="2"/>
        <scheme val="minor"/>
      </rPr>
      <t>(two letter ISO code)</t>
    </r>
  </si>
  <si>
    <r>
      <t xml:space="preserve">Bank code: </t>
    </r>
    <r>
      <rPr>
        <sz val="12"/>
        <color indexed="8"/>
        <rFont val="Calibri"/>
        <family val="2"/>
        <scheme val="minor"/>
      </rPr>
      <t>(RIAD MFI code)</t>
    </r>
  </si>
  <si>
    <t>Bank LEI code:</t>
  </si>
  <si>
    <r>
      <t xml:space="preserve">Bank: </t>
    </r>
    <r>
      <rPr>
        <sz val="12"/>
        <color indexed="8"/>
        <rFont val="Calibri"/>
        <family val="2"/>
        <scheme val="minor"/>
      </rPr>
      <t>(name)</t>
    </r>
  </si>
  <si>
    <r>
      <t>Reference date:</t>
    </r>
    <r>
      <rPr>
        <sz val="12"/>
        <color indexed="8"/>
        <rFont val="Calibri"/>
        <family val="2"/>
        <scheme val="minor"/>
      </rPr>
      <t xml:space="preserve"> T (dd/mm/yyyy format)</t>
    </r>
  </si>
  <si>
    <t>Level of consolidation:</t>
  </si>
  <si>
    <t>% Banking book</t>
  </si>
  <si>
    <t>% Cumulative Banking Book</t>
  </si>
  <si>
    <t xml:space="preserve">Additional comments: </t>
  </si>
  <si>
    <t>AFN</t>
  </si>
  <si>
    <t>DZD</t>
  </si>
  <si>
    <t>AOA</t>
  </si>
  <si>
    <t>AMD</t>
  </si>
  <si>
    <t>AWG</t>
  </si>
  <si>
    <t>AZN</t>
  </si>
  <si>
    <t>BSD</t>
  </si>
  <si>
    <t>BHD</t>
  </si>
  <si>
    <t>BDT</t>
  </si>
  <si>
    <t>BBD</t>
  </si>
  <si>
    <t>BYN</t>
  </si>
  <si>
    <t>BZD</t>
  </si>
  <si>
    <t>BMD</t>
  </si>
  <si>
    <t>INR</t>
  </si>
  <si>
    <t>BTN</t>
  </si>
  <si>
    <t>BOB</t>
  </si>
  <si>
    <t>BOV</t>
  </si>
  <si>
    <t>BAM</t>
  </si>
  <si>
    <t>BWP</t>
  </si>
  <si>
    <t>BND</t>
  </si>
  <si>
    <t>BIF</t>
  </si>
  <si>
    <t>CVE</t>
  </si>
  <si>
    <t>KHR</t>
  </si>
  <si>
    <t>KYD</t>
  </si>
  <si>
    <t>CLP</t>
  </si>
  <si>
    <t>CLF</t>
  </si>
  <si>
    <t>COP</t>
  </si>
  <si>
    <t>COU</t>
  </si>
  <si>
    <t>KMF</t>
  </si>
  <si>
    <t>CDF</t>
  </si>
  <si>
    <t>CRC</t>
  </si>
  <si>
    <t>CUP</t>
  </si>
  <si>
    <t>CUC</t>
  </si>
  <si>
    <t>ANG</t>
  </si>
  <si>
    <t>DJF</t>
  </si>
  <si>
    <t>DOP</t>
  </si>
  <si>
    <t>SVC</t>
  </si>
  <si>
    <t>ERN</t>
  </si>
  <si>
    <t>ETB</t>
  </si>
  <si>
    <t>FKP</t>
  </si>
  <si>
    <t>FJD</t>
  </si>
  <si>
    <t>XPF</t>
  </si>
  <si>
    <t>GMD</t>
  </si>
  <si>
    <t>GEL</t>
  </si>
  <si>
    <t>GHS</t>
  </si>
  <si>
    <t>GIP</t>
  </si>
  <si>
    <t>GTQ</t>
  </si>
  <si>
    <t>GNF</t>
  </si>
  <si>
    <t>GYD</t>
  </si>
  <si>
    <t>HTG</t>
  </si>
  <si>
    <t>HNL</t>
  </si>
  <si>
    <t>ISK</t>
  </si>
  <si>
    <t>IDR</t>
  </si>
  <si>
    <t>IRR</t>
  </si>
  <si>
    <t>IQD</t>
  </si>
  <si>
    <t>ILS</t>
  </si>
  <si>
    <t>JMD</t>
  </si>
  <si>
    <t>JOD</t>
  </si>
  <si>
    <t>KZT</t>
  </si>
  <si>
    <t>KES</t>
  </si>
  <si>
    <t>KPW</t>
  </si>
  <si>
    <t>KWD</t>
  </si>
  <si>
    <t>KGS</t>
  </si>
  <si>
    <t>LAK</t>
  </si>
  <si>
    <t>LBP</t>
  </si>
  <si>
    <t>LSL</t>
  </si>
  <si>
    <t>ZAR</t>
  </si>
  <si>
    <t>LRD</t>
  </si>
  <si>
    <t>LYD</t>
  </si>
  <si>
    <t>MOP</t>
  </si>
  <si>
    <t>MGA</t>
  </si>
  <si>
    <t>MWK</t>
  </si>
  <si>
    <t>MYR</t>
  </si>
  <si>
    <t>MVR</t>
  </si>
  <si>
    <t>MRU</t>
  </si>
  <si>
    <t>MUR</t>
  </si>
  <si>
    <t>MXV</t>
  </si>
  <si>
    <t>MDL</t>
  </si>
  <si>
    <t>MNT</t>
  </si>
  <si>
    <t>MAD</t>
  </si>
  <si>
    <t>MZN</t>
  </si>
  <si>
    <t>MMK</t>
  </si>
  <si>
    <t>NAD</t>
  </si>
  <si>
    <t>NPR</t>
  </si>
  <si>
    <t>NIO</t>
  </si>
  <si>
    <t>NGN</t>
  </si>
  <si>
    <t>OMR</t>
  </si>
  <si>
    <t>PKR</t>
  </si>
  <si>
    <t>PAB</t>
  </si>
  <si>
    <t>PGK</t>
  </si>
  <si>
    <t>PYG</t>
  </si>
  <si>
    <t>PEN</t>
  </si>
  <si>
    <t>PHP</t>
  </si>
  <si>
    <t>QAR</t>
  </si>
  <si>
    <t>RWF</t>
  </si>
  <si>
    <t>SHP</t>
  </si>
  <si>
    <t>WST</t>
  </si>
  <si>
    <t>STN</t>
  </si>
  <si>
    <t>SAR</t>
  </si>
  <si>
    <t>SCR</t>
  </si>
  <si>
    <t>SLL</t>
  </si>
  <si>
    <t>SBD</t>
  </si>
  <si>
    <t>SOS</t>
  </si>
  <si>
    <t>SSP</t>
  </si>
  <si>
    <t>LKR</t>
  </si>
  <si>
    <t>SDG</t>
  </si>
  <si>
    <t>SRD</t>
  </si>
  <si>
    <t>SZL</t>
  </si>
  <si>
    <t>CHE</t>
  </si>
  <si>
    <t>CHW</t>
  </si>
  <si>
    <t>SYP</t>
  </si>
  <si>
    <t>TJS</t>
  </si>
  <si>
    <t>TZS</t>
  </si>
  <si>
    <t>THB</t>
  </si>
  <si>
    <t>TOP</t>
  </si>
  <si>
    <t>TTD</t>
  </si>
  <si>
    <t>TND</t>
  </si>
  <si>
    <t>TMT</t>
  </si>
  <si>
    <t>UGX</t>
  </si>
  <si>
    <t>AED</t>
  </si>
  <si>
    <t>USN</t>
  </si>
  <si>
    <t>UYU</t>
  </si>
  <si>
    <t>UYI</t>
  </si>
  <si>
    <t>UYW</t>
  </si>
  <si>
    <t>UZS</t>
  </si>
  <si>
    <t>VUV</t>
  </si>
  <si>
    <t>VES</t>
  </si>
  <si>
    <t>VND</t>
  </si>
  <si>
    <t>YER</t>
  </si>
  <si>
    <t>ZMW</t>
  </si>
  <si>
    <t>ZWL</t>
  </si>
  <si>
    <t>Forecasted Net Interest Income expected within 12 months in a baseline scenario</t>
  </si>
  <si>
    <t xml:space="preserve">   Paralell</t>
  </si>
  <si>
    <t xml:space="preserve">   Short</t>
  </si>
  <si>
    <t xml:space="preserve">   Long</t>
  </si>
  <si>
    <t>Drop-Down List ISO Currencies as of Februay 2019</t>
  </si>
  <si>
    <t>ISO Code</t>
  </si>
  <si>
    <t>-</t>
  </si>
  <si>
    <t>EBA specified shock (Annex III)</t>
  </si>
  <si>
    <t xml:space="preserve">   Parallel Shock Down</t>
  </si>
  <si>
    <t xml:space="preserve">   Parallel Shock Up</t>
  </si>
  <si>
    <t xml:space="preserve">   Flattener</t>
  </si>
  <si>
    <t>Forecasted Earnings expected within 12 months in a baseline scenario</t>
  </si>
  <si>
    <t>Change in the forecasted Net Interest income within 12 months under a parallel interest rate shock down</t>
  </si>
  <si>
    <t>Forecasted Net interest income within 12 months after a parallel interest rate shock down</t>
  </si>
  <si>
    <t>Change in the forecasted Net Interest income within 12 months under a parallel interest rate shock up</t>
  </si>
  <si>
    <t>Forecasted Net interest income within 12 months after a parallel interest rate shock up</t>
  </si>
  <si>
    <t>Change in the forecasted Earnings within 12 months under a parallel interest rate shock down</t>
  </si>
  <si>
    <t>Forecasted Earnings  within 12 months after a parallel interest rate shock down</t>
  </si>
  <si>
    <t>Change in the forecasted Earnings within 12 months under a parallel interest rate shock up</t>
  </si>
  <si>
    <t>Forecasted Earnings  within 12 months after a parallel interest rate shock up</t>
  </si>
  <si>
    <t>Material Currency 1:</t>
  </si>
  <si>
    <t>Material Currency 2:</t>
  </si>
  <si>
    <t>Material Currency 4:</t>
  </si>
  <si>
    <t>Material Currency 3:</t>
  </si>
  <si>
    <t>Other material currencies:</t>
  </si>
  <si>
    <t>The text box should be used for reporting information regarding: (a) material positions outside the scope of the STE for SREP data collection; (b) quality assurance; (c) empty cells; (d) other information.</t>
  </si>
  <si>
    <t xml:space="preserve">   Short Rates Shock Down</t>
  </si>
  <si>
    <t xml:space="preserve">   Short Rates Shock Up</t>
  </si>
  <si>
    <t>If yes, please list the changes, the reasons and the impact:</t>
  </si>
  <si>
    <t>Main assumptions:</t>
  </si>
  <si>
    <t>For economic value:</t>
  </si>
  <si>
    <t>For earnings:</t>
  </si>
  <si>
    <t>Supervisory standard shock</t>
  </si>
  <si>
    <t>Section "Questions"</t>
  </si>
  <si>
    <t>Liabilities in the Banking Book with embedded behavioural optionality / Total Liabilities in the Banking Book</t>
  </si>
  <si>
    <t>Liabilities in the Banking Book with embedded behavioural optionality</t>
  </si>
  <si>
    <t>Assets in the Banking Book with embedded behavioural optionality / Total Assets in the Banking Book</t>
  </si>
  <si>
    <t>Assets in the Banking Book with embedded behavioural optionality</t>
  </si>
  <si>
    <t>Liabilities in the Banking Book with embedded automatic optionality / Total Liabilities in the Banking Book</t>
  </si>
  <si>
    <t>Liabilities in the Banking Book with embedded automatic optionality</t>
  </si>
  <si>
    <t>Assets in the Banking Book with embedded automatic optionality / Total Assets in the Banking Book</t>
  </si>
  <si>
    <t>Assets in the Banking Book with embedded automatic optionality</t>
  </si>
  <si>
    <t>Total Liabilities in the Banking Book</t>
  </si>
  <si>
    <t>Total Assets in the Banking Book</t>
  </si>
  <si>
    <t>Realized Net Interest Income (annualized)</t>
  </si>
  <si>
    <t xml:space="preserve">   Parallel</t>
  </si>
  <si>
    <t>Level of EVE under baseline scenario</t>
  </si>
  <si>
    <r>
      <t>Specifie</t>
    </r>
    <r>
      <rPr>
        <sz val="11"/>
        <rFont val="Calibri"/>
        <family val="2"/>
        <scheme val="minor"/>
      </rPr>
      <t>d size of interest rate shocks in bps (according to paragraph 92 of EBA/GL/2022/14)</t>
    </r>
  </si>
  <si>
    <t>Outcome of the supervisory outlier test (according to paragraph 92 of EBA/GL/2022/14)</t>
  </si>
  <si>
    <t>0010</t>
  </si>
  <si>
    <t>0020</t>
  </si>
  <si>
    <t>0030</t>
  </si>
  <si>
    <t>0040</t>
  </si>
  <si>
    <t>0050</t>
  </si>
  <si>
    <t>0060</t>
  </si>
  <si>
    <t>0070</t>
  </si>
  <si>
    <t>0080</t>
  </si>
  <si>
    <t>0090</t>
  </si>
  <si>
    <t>0100</t>
  </si>
  <si>
    <t>0110</t>
  </si>
  <si>
    <t>0120</t>
  </si>
  <si>
    <t>0130</t>
  </si>
  <si>
    <t>0140</t>
  </si>
  <si>
    <t>0150</t>
  </si>
  <si>
    <t>0160</t>
  </si>
  <si>
    <t>0170</t>
  </si>
  <si>
    <t>0180</t>
  </si>
  <si>
    <t>0190</t>
  </si>
  <si>
    <t>0200</t>
  </si>
  <si>
    <t>0210</t>
  </si>
  <si>
    <t>0220</t>
  </si>
  <si>
    <t>0230</t>
  </si>
  <si>
    <t>0240</t>
  </si>
  <si>
    <t>0250</t>
  </si>
  <si>
    <t>0260</t>
  </si>
  <si>
    <t>0270</t>
  </si>
  <si>
    <t>0280</t>
  </si>
  <si>
    <t>0290</t>
  </si>
  <si>
    <t>0300</t>
  </si>
  <si>
    <t>0310</t>
  </si>
  <si>
    <t>0320</t>
  </si>
  <si>
    <t>0330</t>
  </si>
  <si>
    <t>0340</t>
  </si>
  <si>
    <t>0350</t>
  </si>
  <si>
    <t>2 - Which risk-free yield curves have been used in order to compute the supervisory standard shock?
Please read the instructions before answering the question.</t>
  </si>
  <si>
    <t>0360</t>
  </si>
  <si>
    <t>If yes, please provide an explanation on how they were incorporated in the methodology to compute the supervisory standard shock and NII/Earnings metrics.</t>
  </si>
  <si>
    <t>4 - Have commercial margins and other spread components been excluded in the Level of EVE under baseline scenario?</t>
  </si>
  <si>
    <t>If yes, please provide an explanation of the methodology used to exclude them.</t>
  </si>
  <si>
    <t>0370</t>
  </si>
  <si>
    <t>0380</t>
  </si>
  <si>
    <t>0390</t>
  </si>
  <si>
    <t>0400</t>
  </si>
  <si>
    <t>0410</t>
  </si>
  <si>
    <t>0420</t>
  </si>
  <si>
    <t>0430</t>
  </si>
  <si>
    <t>0440</t>
  </si>
  <si>
    <t>0450</t>
  </si>
  <si>
    <t>6 - Have any other material assumptions underlying the calculation of the supervisory standard shock and in earnings metrics changed since the STE for SREP data collection was last submitted?</t>
  </si>
  <si>
    <t>(free text)</t>
  </si>
  <si>
    <t>5 - Have pension obligations and pension plan assets been included in the computation of the supervisory standard shock and in earnings metrics?</t>
  </si>
  <si>
    <t>Template 6_IRRBB_Additional</t>
  </si>
  <si>
    <t>According to EBA/RTS/2022/10, article 4, institutions should report to the competent authority the change in economic value of equity (∆ EVE) that results from calculating the outcome of the standard shock, as referred to in Article 98(5) of Directive 2013/36/EU and in the Guidelines. When calculating the outcome of the standard shock, institutions apply some assumptions. Please explain below some of these assumptions by replying to the below stated questions.</t>
  </si>
  <si>
    <t>1 - Does the institution have more than 4 material currencies according to Article 1(3) of EBA/RTS/2022/10?</t>
  </si>
  <si>
    <t>If yes, please provide a list material currencies include in Other Material Currency using the currency ISO codes, as well as the specified interest rate shock used according to the methodology prescribed in Annex I of the EBA/RTS/2022/10.</t>
  </si>
  <si>
    <t>3 - Which IRRBB Measurement Methods from Annexes 1 and 2 (of EBA/GL/2022/14) have been used to compute the supervisory standard shock and earnings measures?</t>
  </si>
  <si>
    <t>Please consult the instructions to fill-in this template.</t>
  </si>
  <si>
    <t>The assumptions regarding the calculation of these datapoints must be explained below. Please consult the instructions to fill-in this template</t>
  </si>
  <si>
    <t>IRRBB/CSRBB - Interest Rate Risk/Credit Spread Risk in the Banking Book</t>
  </si>
  <si>
    <t>GENERAL INSTRUCTIONS</t>
  </si>
  <si>
    <r>
      <t xml:space="preserve">The instructions to fill-in this template are specified in a dedicated word document named </t>
    </r>
    <r>
      <rPr>
        <b/>
        <sz val="11"/>
        <rFont val="Calibri"/>
        <family val="2"/>
        <scheme val="minor"/>
      </rPr>
      <t>"STE for SREP - READ ME reporting instructions IRRBB / CSRBB"</t>
    </r>
    <r>
      <rPr>
        <sz val="11"/>
        <rFont val="Calibri"/>
        <family val="2"/>
        <scheme val="minor"/>
      </rPr>
      <t xml:space="preserve"> which is part of the Short Term Exercise for SREP data collection package.</t>
    </r>
  </si>
  <si>
    <t>Please refer to those to fill-in the template.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</si>
</sst>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Arial"/>
      <family val="2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Helv"/>
    </font>
    <font>
      <b/>
      <u/>
      <sz val="16"/>
      <name val="Times New Roman"/>
      <family val="1"/>
    </font>
    <font>
      <b/>
      <sz val="14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1" fillId="0" borderId="0"/>
    <xf numFmtId="0" fontId="20" fillId="0" borderId="0"/>
    <xf numFmtId="0" fontId="11" fillId="0" borderId="0"/>
    <xf numFmtId="0" fontId="23" fillId="0" borderId="0"/>
  </cellStyleXfs>
  <cellXfs count="141">
    <xf numFmtId="0" fontId="0" fillId="0" borderId="0" xfId="0"/>
    <xf numFmtId="0" fontId="0" fillId="0" borderId="0" xfId="0"/>
    <xf numFmtId="0" fontId="0" fillId="4" borderId="0" xfId="0" applyFont="1" applyFill="1" applyProtection="1"/>
    <xf numFmtId="4" fontId="5" fillId="5" borderId="2" xfId="1" applyNumberFormat="1" applyFont="1" applyFill="1" applyBorder="1" applyAlignment="1" applyProtection="1">
      <alignment horizontal="center" vertical="center" wrapText="1"/>
      <protection locked="0"/>
    </xf>
    <xf numFmtId="0" fontId="3" fillId="2" borderId="0" xfId="0" applyFont="1" applyFill="1" applyProtection="1"/>
    <xf numFmtId="0" fontId="3" fillId="4" borderId="0" xfId="0" applyFont="1" applyFill="1" applyProtection="1"/>
    <xf numFmtId="0" fontId="9" fillId="4" borderId="0" xfId="0" applyFont="1" applyFill="1" applyAlignment="1" applyProtection="1">
      <alignment horizontal="right"/>
    </xf>
    <xf numFmtId="0" fontId="6" fillId="4" borderId="0" xfId="0" applyFont="1" applyFill="1" applyProtection="1"/>
    <xf numFmtId="0" fontId="12" fillId="4" borderId="0" xfId="0" applyFont="1" applyFill="1" applyBorder="1" applyAlignment="1" applyProtection="1">
      <alignment horizontal="right"/>
    </xf>
    <xf numFmtId="0" fontId="14" fillId="4" borderId="0" xfId="0" applyFont="1" applyFill="1" applyBorder="1" applyAlignment="1" applyProtection="1">
      <alignment horizontal="left"/>
    </xf>
    <xf numFmtId="0" fontId="14" fillId="4" borderId="0" xfId="0" applyFont="1" applyFill="1" applyBorder="1" applyAlignment="1" applyProtection="1"/>
    <xf numFmtId="0" fontId="15" fillId="4" borderId="0" xfId="0" applyFont="1" applyFill="1" applyBorder="1" applyAlignment="1" applyProtection="1">
      <alignment horizontal="left"/>
    </xf>
    <xf numFmtId="14" fontId="13" fillId="5" borderId="13" xfId="0" applyNumberFormat="1" applyFont="1" applyFill="1" applyBorder="1" applyAlignment="1" applyProtection="1">
      <alignment horizontal="left"/>
      <protection locked="0"/>
    </xf>
    <xf numFmtId="0" fontId="2" fillId="4" borderId="0" xfId="0" applyFont="1" applyFill="1" applyAlignment="1" applyProtection="1">
      <alignment horizontal="right"/>
    </xf>
    <xf numFmtId="0" fontId="0" fillId="2" borderId="0" xfId="0" applyFont="1" applyFill="1" applyProtection="1"/>
    <xf numFmtId="0" fontId="0" fillId="0" borderId="0" xfId="0" applyBorder="1"/>
    <xf numFmtId="0" fontId="2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3" borderId="2" xfId="2" applyFont="1" applyFill="1" applyBorder="1" applyAlignment="1" applyProtection="1">
      <alignment horizontal="center" vertical="center" wrapText="1"/>
    </xf>
    <xf numFmtId="0" fontId="2" fillId="3" borderId="3" xfId="2" applyFont="1" applyFill="1" applyBorder="1" applyAlignment="1" applyProtection="1">
      <alignment horizontal="center" vertical="center" wrapText="1"/>
    </xf>
    <xf numFmtId="0" fontId="8" fillId="4" borderId="0" xfId="0" applyFont="1" applyFill="1" applyAlignment="1" applyProtection="1">
      <alignment horizontal="right"/>
    </xf>
    <xf numFmtId="0" fontId="8" fillId="4" borderId="0" xfId="0" applyFont="1" applyFill="1" applyAlignment="1" applyProtection="1">
      <alignment horizontal="center"/>
    </xf>
    <xf numFmtId="0" fontId="12" fillId="4" borderId="0" xfId="0" applyFont="1" applyFill="1" applyBorder="1" applyAlignment="1" applyProtection="1">
      <alignment horizontal="right" vertical="top"/>
    </xf>
    <xf numFmtId="0" fontId="7" fillId="5" borderId="13" xfId="0" applyFont="1" applyFill="1" applyBorder="1" applyAlignment="1" applyProtection="1">
      <alignment horizontal="left"/>
      <protection locked="0"/>
    </xf>
    <xf numFmtId="49" fontId="7" fillId="5" borderId="13" xfId="0" applyNumberFormat="1" applyFont="1" applyFill="1" applyBorder="1" applyAlignment="1" applyProtection="1">
      <alignment horizontal="left"/>
      <protection locked="0"/>
    </xf>
    <xf numFmtId="49" fontId="15" fillId="5" borderId="13" xfId="0" applyNumberFormat="1" applyFont="1" applyFill="1" applyBorder="1" applyAlignment="1" applyProtection="1">
      <alignment horizontal="center"/>
      <protection locked="0"/>
    </xf>
    <xf numFmtId="10" fontId="14" fillId="5" borderId="13" xfId="1" applyNumberFormat="1" applyFont="1" applyFill="1" applyBorder="1" applyAlignment="1" applyProtection="1">
      <alignment horizontal="center" vertical="center"/>
      <protection locked="0"/>
    </xf>
    <xf numFmtId="10" fontId="6" fillId="3" borderId="13" xfId="1" applyNumberFormat="1" applyFont="1" applyFill="1" applyBorder="1" applyAlignment="1" applyProtection="1">
      <alignment horizontal="center" vertical="center"/>
    </xf>
    <xf numFmtId="1" fontId="6" fillId="5" borderId="2" xfId="0" applyNumberFormat="1" applyFont="1" applyFill="1" applyBorder="1" applyAlignment="1" applyProtection="1">
      <alignment horizontal="center" vertical="center"/>
      <protection locked="0"/>
    </xf>
    <xf numFmtId="49" fontId="5" fillId="5" borderId="13" xfId="0" applyNumberFormat="1" applyFont="1" applyFill="1" applyBorder="1" applyAlignment="1" applyProtection="1">
      <alignment horizontal="center" vertical="center"/>
      <protection locked="0"/>
    </xf>
    <xf numFmtId="10" fontId="6" fillId="5" borderId="13" xfId="0" applyNumberFormat="1" applyFont="1" applyFill="1" applyBorder="1" applyAlignment="1" applyProtection="1">
      <alignment horizontal="center" vertical="center"/>
      <protection locked="0"/>
    </xf>
    <xf numFmtId="4" fontId="6" fillId="5" borderId="2" xfId="0" applyNumberFormat="1" applyFont="1" applyFill="1" applyBorder="1" applyAlignment="1" applyProtection="1">
      <alignment horizontal="center" vertical="center"/>
      <protection locked="0"/>
    </xf>
    <xf numFmtId="49" fontId="13" fillId="5" borderId="13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vertical="center"/>
    </xf>
    <xf numFmtId="0" fontId="7" fillId="4" borderId="0" xfId="0" applyFont="1" applyFill="1" applyAlignment="1">
      <alignment vertical="center"/>
    </xf>
    <xf numFmtId="0" fontId="7" fillId="4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7" fillId="5" borderId="2" xfId="0" applyFont="1" applyFill="1" applyBorder="1" applyAlignment="1" applyProtection="1">
      <alignment horizontal="left" vertical="center"/>
      <protection locked="0"/>
    </xf>
    <xf numFmtId="0" fontId="8" fillId="4" borderId="0" xfId="0" applyFont="1" applyFill="1" applyAlignment="1">
      <alignment vertical="center"/>
    </xf>
    <xf numFmtId="0" fontId="10" fillId="4" borderId="0" xfId="0" applyFont="1" applyFill="1" applyAlignment="1">
      <alignment vertical="center"/>
    </xf>
    <xf numFmtId="0" fontId="7" fillId="4" borderId="0" xfId="0" applyFont="1" applyFill="1" applyAlignment="1">
      <alignment horizontal="left" vertical="center" wrapText="1"/>
    </xf>
    <xf numFmtId="0" fontId="7" fillId="4" borderId="0" xfId="0" applyFont="1" applyFill="1"/>
    <xf numFmtId="0" fontId="0" fillId="4" borderId="0" xfId="2" applyFont="1" applyFill="1" applyAlignment="1">
      <alignment vertical="center"/>
    </xf>
    <xf numFmtId="0" fontId="0" fillId="4" borderId="0" xfId="2" applyFont="1" applyFill="1" applyAlignment="1">
      <alignment horizontal="left" vertical="center"/>
    </xf>
    <xf numFmtId="0" fontId="2" fillId="4" borderId="0" xfId="2" applyFont="1" applyFill="1" applyAlignment="1">
      <alignment horizontal="center" vertical="center"/>
    </xf>
    <xf numFmtId="0" fontId="3" fillId="2" borderId="0" xfId="0" applyFont="1" applyFill="1"/>
    <xf numFmtId="0" fontId="0" fillId="4" borderId="0" xfId="2" applyFont="1" applyFill="1" applyAlignment="1">
      <alignment horizontal="center" vertical="center"/>
    </xf>
    <xf numFmtId="0" fontId="7" fillId="0" borderId="0" xfId="0" applyFont="1"/>
    <xf numFmtId="0" fontId="0" fillId="0" borderId="0" xfId="2" applyFont="1" applyAlignment="1">
      <alignment horizontal="left" vertical="center"/>
    </xf>
    <xf numFmtId="0" fontId="0" fillId="0" borderId="0" xfId="2" applyFont="1" applyAlignment="1">
      <alignment horizontal="center" vertical="center"/>
    </xf>
    <xf numFmtId="4" fontId="0" fillId="0" borderId="0" xfId="0" applyNumberFormat="1"/>
    <xf numFmtId="4" fontId="0" fillId="4" borderId="0" xfId="2" applyNumberFormat="1" applyFont="1" applyFill="1" applyAlignment="1">
      <alignment vertical="center"/>
    </xf>
    <xf numFmtId="4" fontId="0" fillId="4" borderId="0" xfId="2" applyNumberFormat="1" applyFont="1" applyFill="1" applyAlignment="1">
      <alignment horizontal="left" vertical="center"/>
    </xf>
    <xf numFmtId="0" fontId="3" fillId="4" borderId="0" xfId="2" applyFont="1" applyFill="1"/>
    <xf numFmtId="4" fontId="0" fillId="4" borderId="0" xfId="2" applyNumberFormat="1" applyFont="1" applyFill="1" applyAlignment="1">
      <alignment horizontal="center" vertical="center" wrapText="1"/>
    </xf>
    <xf numFmtId="0" fontId="0" fillId="4" borderId="0" xfId="2" applyFont="1" applyFill="1" applyAlignment="1">
      <alignment horizontal="left" vertical="center" wrapText="1"/>
    </xf>
    <xf numFmtId="0" fontId="3" fillId="4" borderId="0" xfId="2" applyFont="1" applyFill="1" applyAlignment="1">
      <alignment horizontal="left" vertical="center"/>
    </xf>
    <xf numFmtId="0" fontId="3" fillId="4" borderId="0" xfId="2" applyFont="1" applyFill="1" applyAlignment="1">
      <alignment horizontal="center" vertical="center"/>
    </xf>
    <xf numFmtId="4" fontId="3" fillId="2" borderId="0" xfId="0" applyNumberFormat="1" applyFont="1" applyFill="1"/>
    <xf numFmtId="0" fontId="0" fillId="4" borderId="0" xfId="2" applyFont="1" applyFill="1" applyAlignment="1">
      <alignment horizontal="center" vertical="center" wrapText="1"/>
    </xf>
    <xf numFmtId="0" fontId="0" fillId="4" borderId="0" xfId="2" applyFont="1" applyFill="1" applyAlignment="1">
      <alignment vertical="top" wrapText="1"/>
    </xf>
    <xf numFmtId="0" fontId="17" fillId="0" borderId="0" xfId="0" applyFont="1"/>
    <xf numFmtId="0" fontId="5" fillId="4" borderId="0" xfId="0" applyFont="1" applyFill="1"/>
    <xf numFmtId="0" fontId="3" fillId="0" borderId="0" xfId="0" applyFont="1" applyFill="1"/>
    <xf numFmtId="0" fontId="18" fillId="0" borderId="0" xfId="0" applyFont="1" applyFill="1"/>
    <xf numFmtId="0" fontId="0" fillId="0" borderId="0" xfId="0" applyFill="1"/>
    <xf numFmtId="49" fontId="0" fillId="4" borderId="0" xfId="2" applyNumberFormat="1" applyFont="1" applyFill="1" applyAlignment="1">
      <alignment horizontal="left" vertical="center" wrapText="1"/>
    </xf>
    <xf numFmtId="49" fontId="3" fillId="2" borderId="0" xfId="0" applyNumberFormat="1" applyFont="1" applyFill="1"/>
    <xf numFmtId="49" fontId="0" fillId="4" borderId="0" xfId="2" applyNumberFormat="1" applyFont="1" applyFill="1" applyAlignment="1">
      <alignment horizontal="left" vertical="center"/>
    </xf>
    <xf numFmtId="49" fontId="3" fillId="4" borderId="0" xfId="2" applyNumberFormat="1" applyFont="1" applyFill="1" applyAlignment="1">
      <alignment horizontal="left" vertical="center"/>
    </xf>
    <xf numFmtId="49" fontId="0" fillId="0" borderId="0" xfId="0" applyNumberFormat="1"/>
    <xf numFmtId="49" fontId="0" fillId="0" borderId="0" xfId="2" applyNumberFormat="1" applyFont="1" applyAlignment="1">
      <alignment horizontal="left" vertical="center"/>
    </xf>
    <xf numFmtId="0" fontId="7" fillId="5" borderId="2" xfId="0" applyFont="1" applyFill="1" applyBorder="1" applyAlignment="1" applyProtection="1">
      <alignment vertical="top" wrapText="1"/>
      <protection locked="0"/>
    </xf>
    <xf numFmtId="0" fontId="21" fillId="6" borderId="2" xfId="4" applyFont="1" applyFill="1" applyBorder="1" applyAlignment="1">
      <alignment horizontal="right" vertical="center" indent="1"/>
    </xf>
    <xf numFmtId="49" fontId="21" fillId="7" borderId="2" xfId="0" applyNumberFormat="1" applyFont="1" applyFill="1" applyBorder="1" applyAlignment="1">
      <alignment horizontal="center" vertical="center" wrapText="1"/>
    </xf>
    <xf numFmtId="0" fontId="22" fillId="8" borderId="2" xfId="6" applyNumberFormat="1" applyFont="1" applyFill="1" applyBorder="1" applyAlignment="1">
      <alignment horizontal="center" vertical="center" wrapText="1"/>
    </xf>
    <xf numFmtId="0" fontId="1" fillId="4" borderId="2" xfId="2" applyFont="1" applyFill="1" applyBorder="1" applyAlignment="1">
      <alignment horizontal="left" vertical="center" wrapText="1"/>
    </xf>
    <xf numFmtId="0" fontId="1" fillId="4" borderId="8" xfId="2" applyFont="1" applyFill="1" applyBorder="1" applyAlignment="1">
      <alignment horizontal="left" vertical="center" wrapText="1"/>
    </xf>
    <xf numFmtId="0" fontId="0" fillId="4" borderId="2" xfId="2" applyFont="1" applyFill="1" applyBorder="1" applyAlignment="1">
      <alignment horizontal="left" vertical="center" wrapText="1"/>
    </xf>
    <xf numFmtId="0" fontId="3" fillId="4" borderId="0" xfId="0" applyFont="1" applyFill="1"/>
    <xf numFmtId="0" fontId="5" fillId="4" borderId="8" xfId="2" applyFont="1" applyFill="1" applyBorder="1" applyAlignment="1">
      <alignment horizontal="left" vertical="center" wrapText="1"/>
    </xf>
    <xf numFmtId="0" fontId="0" fillId="4" borderId="8" xfId="2" applyFont="1" applyFill="1" applyBorder="1" applyAlignment="1">
      <alignment horizontal="left" vertical="center" wrapText="1"/>
    </xf>
    <xf numFmtId="49" fontId="21" fillId="6" borderId="2" xfId="4" applyNumberFormat="1" applyFont="1" applyFill="1" applyBorder="1" applyAlignment="1">
      <alignment horizontal="right" vertical="center" indent="1"/>
    </xf>
    <xf numFmtId="4" fontId="0" fillId="0" borderId="2" xfId="2" applyNumberFormat="1" applyFont="1" applyFill="1" applyBorder="1" applyAlignment="1">
      <alignment horizontal="center" vertical="center" wrapText="1"/>
    </xf>
    <xf numFmtId="4" fontId="3" fillId="0" borderId="0" xfId="2" applyNumberFormat="1" applyFont="1" applyFill="1" applyAlignment="1">
      <alignment vertical="center"/>
    </xf>
    <xf numFmtId="4" fontId="3" fillId="0" borderId="0" xfId="2" applyNumberFormat="1" applyFont="1" applyFill="1" applyAlignment="1">
      <alignment horizontal="left" vertical="center"/>
    </xf>
    <xf numFmtId="4" fontId="0" fillId="0" borderId="0" xfId="0" applyNumberFormat="1" applyFill="1"/>
    <xf numFmtId="4" fontId="0" fillId="0" borderId="10" xfId="2" applyNumberFormat="1" applyFont="1" applyFill="1" applyBorder="1" applyAlignment="1">
      <alignment horizontal="center" vertical="center" wrapText="1"/>
    </xf>
    <xf numFmtId="4" fontId="0" fillId="0" borderId="0" xfId="2" applyNumberFormat="1" applyFont="1" applyFill="1" applyAlignment="1">
      <alignment vertical="center"/>
    </xf>
    <xf numFmtId="4" fontId="0" fillId="0" borderId="0" xfId="2" applyNumberFormat="1" applyFont="1" applyFill="1" applyAlignment="1">
      <alignment horizontal="left" vertical="center"/>
    </xf>
    <xf numFmtId="4" fontId="5" fillId="0" borderId="2" xfId="1" applyNumberFormat="1" applyFont="1" applyFill="1" applyBorder="1" applyAlignment="1" applyProtection="1">
      <alignment horizontal="center" vertical="center" wrapText="1"/>
      <protection locked="0"/>
    </xf>
    <xf numFmtId="0" fontId="25" fillId="8" borderId="13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4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5" fillId="4" borderId="0" xfId="0" applyFont="1" applyFill="1" applyAlignment="1">
      <alignment vertical="top" wrapText="1"/>
    </xf>
    <xf numFmtId="0" fontId="0" fillId="4" borderId="0" xfId="0" applyFill="1"/>
    <xf numFmtId="0" fontId="0" fillId="4" borderId="0" xfId="0" applyFill="1" applyAlignment="1">
      <alignment horizontal="left"/>
    </xf>
    <xf numFmtId="0" fontId="2" fillId="4" borderId="0" xfId="0" applyFont="1" applyFill="1" applyAlignment="1">
      <alignment horizontal="left"/>
    </xf>
    <xf numFmtId="0" fontId="4" fillId="3" borderId="8" xfId="2" applyFont="1" applyFill="1" applyBorder="1" applyAlignment="1" applyProtection="1">
      <alignment horizontal="center" vertical="center"/>
    </xf>
    <xf numFmtId="0" fontId="4" fillId="3" borderId="9" xfId="2" applyFont="1" applyFill="1" applyBorder="1" applyAlignment="1" applyProtection="1">
      <alignment horizontal="center" vertical="center"/>
    </xf>
    <xf numFmtId="0" fontId="4" fillId="3" borderId="10" xfId="2" applyFont="1" applyFill="1" applyBorder="1" applyAlignment="1" applyProtection="1">
      <alignment horizontal="center" vertical="center"/>
    </xf>
    <xf numFmtId="0" fontId="5" fillId="4" borderId="7" xfId="0" applyFont="1" applyFill="1" applyBorder="1" applyAlignment="1" applyProtection="1">
      <alignment horizontal="center" vertical="center"/>
    </xf>
    <xf numFmtId="49" fontId="7" fillId="5" borderId="4" xfId="0" applyNumberFormat="1" applyFont="1" applyFill="1" applyBorder="1" applyAlignment="1" applyProtection="1">
      <alignment horizontal="left"/>
      <protection locked="0"/>
    </xf>
    <xf numFmtId="49" fontId="7" fillId="5" borderId="6" xfId="0" applyNumberFormat="1" applyFont="1" applyFill="1" applyBorder="1" applyAlignment="1" applyProtection="1">
      <alignment horizontal="left"/>
      <protection locked="0"/>
    </xf>
    <xf numFmtId="0" fontId="13" fillId="4" borderId="0" xfId="0" applyFont="1" applyFill="1" applyBorder="1" applyAlignment="1" applyProtection="1">
      <alignment vertical="top" wrapText="1"/>
    </xf>
    <xf numFmtId="0" fontId="0" fillId="5" borderId="4" xfId="0" applyFont="1" applyFill="1" applyBorder="1" applyAlignment="1" applyProtection="1">
      <alignment horizontal="center" vertical="top" wrapText="1"/>
      <protection locked="0"/>
    </xf>
    <xf numFmtId="0" fontId="0" fillId="5" borderId="5" xfId="0" applyFont="1" applyFill="1" applyBorder="1" applyAlignment="1" applyProtection="1">
      <alignment horizontal="center" vertical="top" wrapText="1"/>
      <protection locked="0"/>
    </xf>
    <xf numFmtId="0" fontId="0" fillId="5" borderId="6" xfId="0" applyFont="1" applyFill="1" applyBorder="1" applyAlignment="1" applyProtection="1">
      <alignment horizontal="center" vertical="top" wrapText="1"/>
      <protection locked="0"/>
    </xf>
    <xf numFmtId="0" fontId="21" fillId="8" borderId="23" xfId="6" applyNumberFormat="1" applyFont="1" applyFill="1" applyBorder="1" applyAlignment="1">
      <alignment horizontal="left" vertical="center" wrapText="1"/>
    </xf>
    <xf numFmtId="0" fontId="21" fillId="8" borderId="7" xfId="6" applyNumberFormat="1" applyFont="1" applyFill="1" applyBorder="1" applyAlignment="1">
      <alignment horizontal="left" vertical="center" wrapText="1"/>
    </xf>
    <xf numFmtId="0" fontId="21" fillId="8" borderId="22" xfId="6" applyNumberFormat="1" applyFont="1" applyFill="1" applyBorder="1" applyAlignment="1">
      <alignment horizontal="left" vertical="center" wrapText="1"/>
    </xf>
    <xf numFmtId="0" fontId="21" fillId="8" borderId="21" xfId="6" applyNumberFormat="1" applyFont="1" applyFill="1" applyBorder="1" applyAlignment="1">
      <alignment horizontal="left" vertical="center" wrapText="1"/>
    </xf>
    <xf numFmtId="0" fontId="21" fillId="8" borderId="20" xfId="6" applyNumberFormat="1" applyFont="1" applyFill="1" applyBorder="1" applyAlignment="1">
      <alignment horizontal="left" vertical="center" wrapText="1"/>
    </xf>
    <xf numFmtId="0" fontId="21" fillId="8" borderId="19" xfId="6" applyNumberFormat="1" applyFont="1" applyFill="1" applyBorder="1" applyAlignment="1">
      <alignment horizontal="left" vertical="center" wrapText="1"/>
    </xf>
    <xf numFmtId="0" fontId="22" fillId="8" borderId="8" xfId="6" applyNumberFormat="1" applyFont="1" applyFill="1" applyBorder="1" applyAlignment="1">
      <alignment horizontal="left" vertical="top" wrapText="1"/>
    </xf>
    <xf numFmtId="0" fontId="22" fillId="8" borderId="9" xfId="6" applyNumberFormat="1" applyFont="1" applyFill="1" applyBorder="1" applyAlignment="1">
      <alignment horizontal="left" vertical="top" wrapText="1"/>
    </xf>
    <xf numFmtId="0" fontId="22" fillId="8" borderId="10" xfId="6" applyNumberFormat="1" applyFont="1" applyFill="1" applyBorder="1" applyAlignment="1">
      <alignment horizontal="left" vertical="top" wrapText="1"/>
    </xf>
    <xf numFmtId="0" fontId="22" fillId="8" borderId="2" xfId="5" applyFont="1" applyFill="1" applyBorder="1" applyAlignment="1">
      <alignment horizontal="center" vertical="center" wrapText="1"/>
    </xf>
    <xf numFmtId="0" fontId="22" fillId="8" borderId="23" xfId="5" applyFont="1" applyFill="1" applyBorder="1" applyAlignment="1">
      <alignment horizontal="center" vertical="center" wrapText="1"/>
    </xf>
    <xf numFmtId="0" fontId="22" fillId="8" borderId="21" xfId="5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top" wrapText="1"/>
    </xf>
    <xf numFmtId="0" fontId="24" fillId="8" borderId="4" xfId="0" applyFont="1" applyFill="1" applyBorder="1" applyAlignment="1">
      <alignment horizontal="center" vertical="center" wrapText="1"/>
    </xf>
    <xf numFmtId="0" fontId="24" fillId="8" borderId="5" xfId="0" applyFont="1" applyFill="1" applyBorder="1" applyAlignment="1">
      <alignment horizontal="center" vertical="center" wrapText="1"/>
    </xf>
    <xf numFmtId="0" fontId="24" fillId="8" borderId="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22" fillId="8" borderId="8" xfId="6" applyNumberFormat="1" applyFont="1" applyFill="1" applyBorder="1" applyAlignment="1">
      <alignment horizontal="center" vertical="center" wrapText="1"/>
    </xf>
    <xf numFmtId="0" fontId="22" fillId="8" borderId="9" xfId="6" applyNumberFormat="1" applyFont="1" applyFill="1" applyBorder="1" applyAlignment="1">
      <alignment horizontal="center" vertical="center" wrapText="1"/>
    </xf>
    <xf numFmtId="0" fontId="22" fillId="8" borderId="10" xfId="6" applyNumberFormat="1" applyFont="1" applyFill="1" applyBorder="1" applyAlignment="1">
      <alignment horizontal="center" vertical="center" wrapText="1"/>
    </xf>
    <xf numFmtId="0" fontId="22" fillId="8" borderId="2" xfId="6" applyNumberFormat="1" applyFont="1" applyFill="1" applyBorder="1" applyAlignment="1">
      <alignment horizontal="left" vertical="top" wrapText="1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</cellXfs>
  <cellStyles count="7">
    <cellStyle name="Normal" xfId="0" builtinId="0"/>
    <cellStyle name="Normal 10" xfId="4" xr:uid="{A5660392-8EE1-45F2-8750-C008F82C22D3}"/>
    <cellStyle name="Normal 2" xfId="2" xr:uid="{00000000-0005-0000-0000-000001000000}"/>
    <cellStyle name="Normal 3" xfId="3" xr:uid="{00000000-0005-0000-0000-000002000000}"/>
    <cellStyle name="Normal 6" xfId="5" xr:uid="{290DB370-D53C-41B4-BA2F-2A8A0AA22375}"/>
    <cellStyle name="Normal_ListMarketRiskParameters" xfId="6" xr:uid="{EC45A0B0-09BC-429C-B897-4086A25E6E76}"/>
    <cellStyle name="Percent" xfId="1" builtinId="5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arwin.escb.eu/livelinkdav/nodes/1747208300/05%20-%20YYYY%20QX%20SREP%20IRRBB%20-%20update%20-%20CLEAN%20VERSION%20(13)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_ReadMe"/>
      <sheetName val="0_Identification"/>
      <sheetName val="1_IRRBB_CSRBB_mapping"/>
      <sheetName val="2_IRRBB_Material_Currency_1"/>
      <sheetName val="3_IRRBB_Material Currency_2"/>
      <sheetName val="4_IRRBB_Material_Currency_3"/>
      <sheetName val="5a_Sensitivities_Mat_Curr_1"/>
      <sheetName val="5b_Sensitivities_Mat_Curr_2"/>
      <sheetName val="5c_Sensitivities_Mat_Curr_3"/>
      <sheetName val="7_IRRBB_Assumptions"/>
      <sheetName val="10_Unrealised losses (old)"/>
      <sheetName val="8_CSRBB_sensitivities"/>
      <sheetName val="10_Unrealised losses_(new)"/>
      <sheetName val="9_Unrealised losses"/>
      <sheetName val="10_CSRBB_Additional"/>
      <sheetName val="11_NMD_Stratification"/>
      <sheetName val="Currencies_ISO"/>
    </sheetNames>
    <sheetDataSet>
      <sheetData sheetId="0" refreshError="1"/>
      <sheetData sheetId="1">
        <row r="22">
          <cell r="C22" t="str">
            <v>-</v>
          </cell>
        </row>
      </sheetData>
      <sheetData sheetId="2" refreshError="1"/>
      <sheetData sheetId="3">
        <row r="2">
          <cell r="C2" t="str">
            <v>-</v>
          </cell>
        </row>
      </sheetData>
      <sheetData sheetId="4">
        <row r="2">
          <cell r="C2" t="str">
            <v>-</v>
          </cell>
        </row>
      </sheetData>
      <sheetData sheetId="5">
        <row r="2">
          <cell r="C2" t="str">
            <v>-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D116"/>
  <sheetViews>
    <sheetView tabSelected="1" zoomScale="70" zoomScaleNormal="70" workbookViewId="0"/>
  </sheetViews>
  <sheetFormatPr defaultColWidth="0" defaultRowHeight="14.45" customHeight="1" zeroHeight="1" x14ac:dyDescent="0.25"/>
  <cols>
    <col min="1" max="1" width="4.5703125" customWidth="1"/>
    <col min="2" max="2" width="85.5703125" customWidth="1"/>
    <col min="3" max="3" width="6.140625" customWidth="1"/>
    <col min="4" max="4" width="4.5703125" hidden="1" customWidth="1"/>
    <col min="5" max="16384" width="9.140625" hidden="1"/>
  </cols>
  <sheetData>
    <row r="1" spans="1:3" ht="83.45" customHeight="1" thickBot="1" x14ac:dyDescent="0.3">
      <c r="A1" s="53"/>
      <c r="B1" s="99" t="s">
        <v>289</v>
      </c>
      <c r="C1" s="53"/>
    </row>
    <row r="2" spans="1:3" ht="15" x14ac:dyDescent="0.25">
      <c r="A2" s="53"/>
      <c r="B2" s="100"/>
      <c r="C2" s="53"/>
    </row>
    <row r="3" spans="1:3" ht="15" x14ac:dyDescent="0.25">
      <c r="A3" s="53"/>
      <c r="B3" s="100"/>
      <c r="C3" s="53"/>
    </row>
    <row r="4" spans="1:3" ht="18.75" x14ac:dyDescent="0.3">
      <c r="A4" s="53"/>
      <c r="B4" s="101" t="s">
        <v>290</v>
      </c>
      <c r="C4" s="53"/>
    </row>
    <row r="5" spans="1:3" ht="15" x14ac:dyDescent="0.25">
      <c r="A5" s="53"/>
      <c r="B5" s="102"/>
      <c r="C5" s="53"/>
    </row>
    <row r="6" spans="1:3" ht="45" x14ac:dyDescent="0.25">
      <c r="A6" s="53"/>
      <c r="B6" s="103" t="s">
        <v>291</v>
      </c>
      <c r="C6" s="53"/>
    </row>
    <row r="7" spans="1:3" ht="15" x14ac:dyDescent="0.25">
      <c r="A7" s="53"/>
      <c r="B7" s="104"/>
      <c r="C7" s="53"/>
    </row>
    <row r="8" spans="1:3" ht="15" x14ac:dyDescent="0.25">
      <c r="A8" s="53"/>
      <c r="B8" s="105" t="s">
        <v>292</v>
      </c>
      <c r="C8" s="53"/>
    </row>
    <row r="9" spans="1:3" ht="9" customHeight="1" x14ac:dyDescent="0.25">
      <c r="A9" s="53"/>
      <c r="B9" s="106"/>
      <c r="C9" s="53"/>
    </row>
    <row r="10" spans="1:3" ht="15" hidden="1" x14ac:dyDescent="0.25"/>
    <row r="11" spans="1:3" ht="36" hidden="1" customHeight="1" x14ac:dyDescent="0.25"/>
    <row r="12" spans="1:3" ht="15" hidden="1" x14ac:dyDescent="0.25"/>
    <row r="13" spans="1:3" ht="43.35" hidden="1" customHeight="1" x14ac:dyDescent="0.25"/>
    <row r="14" spans="1:3" ht="15" hidden="1" x14ac:dyDescent="0.25"/>
    <row r="15" spans="1:3" ht="15" hidden="1" x14ac:dyDescent="0.25"/>
    <row r="16" spans="1:3" ht="15" hidden="1" x14ac:dyDescent="0.25"/>
    <row r="17" ht="15" hidden="1" x14ac:dyDescent="0.25"/>
    <row r="18" ht="15" hidden="1" x14ac:dyDescent="0.25"/>
    <row r="19" ht="9.6" hidden="1" customHeight="1" x14ac:dyDescent="0.25"/>
    <row r="20" ht="15.6" hidden="1" customHeight="1" x14ac:dyDescent="0.25"/>
    <row r="21" ht="36" hidden="1" customHeight="1" x14ac:dyDescent="0.25"/>
    <row r="22" ht="15" hidden="1" x14ac:dyDescent="0.25"/>
    <row r="23" ht="15" hidden="1" x14ac:dyDescent="0.25"/>
    <row r="24" ht="15" hidden="1" x14ac:dyDescent="0.25"/>
    <row r="25" ht="15" hidden="1" x14ac:dyDescent="0.25"/>
    <row r="26" ht="15" hidden="1" x14ac:dyDescent="0.25"/>
    <row r="27" ht="15" hidden="1" x14ac:dyDescent="0.25"/>
    <row r="28" ht="54" hidden="1" customHeight="1" x14ac:dyDescent="0.25"/>
    <row r="29" ht="23.45" hidden="1" customHeight="1" x14ac:dyDescent="0.25"/>
    <row r="30" ht="22.35" hidden="1" customHeight="1" x14ac:dyDescent="0.25"/>
    <row r="31" ht="30" hidden="1" customHeight="1" x14ac:dyDescent="0.25"/>
    <row r="32" ht="38.450000000000003" hidden="1" customHeight="1" x14ac:dyDescent="0.25"/>
    <row r="33" ht="78" hidden="1" customHeight="1" x14ac:dyDescent="0.25"/>
    <row r="34" ht="60" hidden="1" customHeight="1" x14ac:dyDescent="0.25"/>
    <row r="35" ht="27.6" hidden="1" customHeight="1" x14ac:dyDescent="0.25"/>
    <row r="36" ht="15" hidden="1" x14ac:dyDescent="0.25"/>
    <row r="37" ht="15" hidden="1" x14ac:dyDescent="0.25"/>
    <row r="38" ht="32.450000000000003" hidden="1" customHeight="1" x14ac:dyDescent="0.25"/>
    <row r="39" ht="15" hidden="1" x14ac:dyDescent="0.25"/>
    <row r="40" ht="15" hidden="1" x14ac:dyDescent="0.25"/>
    <row r="41" ht="62.45" hidden="1" customHeight="1" x14ac:dyDescent="0.25"/>
    <row r="42" ht="15" hidden="1" x14ac:dyDescent="0.25"/>
    <row r="43" ht="15" hidden="1" x14ac:dyDescent="0.25"/>
    <row r="44" ht="15" hidden="1" x14ac:dyDescent="0.25"/>
    <row r="45" ht="32.1" hidden="1" customHeight="1" x14ac:dyDescent="0.25"/>
    <row r="46" ht="65.099999999999994" hidden="1" customHeight="1" x14ac:dyDescent="0.25"/>
    <row r="47" ht="50.45" hidden="1" customHeight="1" x14ac:dyDescent="0.25"/>
    <row r="48" ht="41.45" hidden="1" customHeight="1" x14ac:dyDescent="0.25"/>
    <row r="49" ht="28.35" hidden="1" customHeight="1" x14ac:dyDescent="0.25"/>
    <row r="50" ht="35.1" hidden="1" customHeight="1" x14ac:dyDescent="0.25"/>
    <row r="51" ht="106.35" hidden="1" customHeight="1" x14ac:dyDescent="0.25"/>
    <row r="52" ht="50.45" hidden="1" customHeight="1" x14ac:dyDescent="0.25"/>
    <row r="53" ht="32.450000000000003" hidden="1" customHeight="1" x14ac:dyDescent="0.25"/>
    <row r="54" ht="36.6" hidden="1" customHeight="1" x14ac:dyDescent="0.25"/>
    <row r="55" ht="15" hidden="1" x14ac:dyDescent="0.25"/>
    <row r="56" ht="35.450000000000003" hidden="1" customHeight="1" x14ac:dyDescent="0.25"/>
    <row r="57" ht="26.45" hidden="1" customHeight="1" x14ac:dyDescent="0.25"/>
    <row r="58" ht="49.35" hidden="1" customHeight="1" x14ac:dyDescent="0.25"/>
    <row r="59" ht="22.35" hidden="1" customHeight="1" x14ac:dyDescent="0.25"/>
    <row r="60" ht="33.6" hidden="1" customHeight="1" x14ac:dyDescent="0.25"/>
    <row r="61" ht="21.6" hidden="1" customHeight="1" x14ac:dyDescent="0.25"/>
    <row r="62" ht="22.35" hidden="1" customHeight="1" x14ac:dyDescent="0.25"/>
    <row r="63" ht="15" hidden="1" x14ac:dyDescent="0.25"/>
    <row r="64" ht="15" hidden="1" x14ac:dyDescent="0.25"/>
    <row r="65" ht="15" hidden="1" x14ac:dyDescent="0.25"/>
    <row r="66" ht="15" hidden="1" x14ac:dyDescent="0.25"/>
    <row r="67" ht="31.35" hidden="1" customHeight="1" x14ac:dyDescent="0.25"/>
    <row r="68" ht="43.35" hidden="1" customHeight="1" x14ac:dyDescent="0.25"/>
    <row r="69" ht="20.45" hidden="1" customHeight="1" x14ac:dyDescent="0.25"/>
    <row r="70" ht="51.6" hidden="1" customHeight="1" x14ac:dyDescent="0.25"/>
    <row r="71" ht="15" hidden="1" x14ac:dyDescent="0.25"/>
    <row r="72" ht="15" hidden="1" x14ac:dyDescent="0.25"/>
    <row r="73" ht="15" hidden="1" x14ac:dyDescent="0.25"/>
    <row r="74" ht="15" hidden="1" x14ac:dyDescent="0.25"/>
    <row r="75" ht="15" hidden="1" x14ac:dyDescent="0.25"/>
    <row r="76" ht="15" hidden="1" x14ac:dyDescent="0.25"/>
    <row r="77" ht="15" hidden="1" x14ac:dyDescent="0.25"/>
    <row r="78" ht="15" hidden="1" x14ac:dyDescent="0.25"/>
    <row r="79" ht="15" hidden="1" x14ac:dyDescent="0.25"/>
    <row r="80" ht="15" hidden="1" x14ac:dyDescent="0.25"/>
    <row r="81" ht="15" hidden="1" x14ac:dyDescent="0.25"/>
    <row r="82" ht="15" hidden="1" x14ac:dyDescent="0.25"/>
    <row r="83" ht="15" hidden="1" x14ac:dyDescent="0.25"/>
    <row r="84" ht="15" hidden="1" x14ac:dyDescent="0.25"/>
    <row r="85" ht="15" hidden="1" x14ac:dyDescent="0.25"/>
    <row r="86" ht="15" hidden="1" x14ac:dyDescent="0.25"/>
    <row r="87" ht="15" hidden="1" x14ac:dyDescent="0.25"/>
    <row r="88" ht="15" hidden="1" x14ac:dyDescent="0.25"/>
    <row r="89" ht="15" hidden="1" x14ac:dyDescent="0.25"/>
    <row r="90" ht="15" hidden="1" x14ac:dyDescent="0.25"/>
    <row r="91" ht="15" hidden="1" x14ac:dyDescent="0.25"/>
    <row r="92" ht="15" hidden="1" x14ac:dyDescent="0.25"/>
    <row r="93" ht="15" hidden="1" x14ac:dyDescent="0.25"/>
    <row r="94" ht="15" hidden="1" x14ac:dyDescent="0.25"/>
    <row r="95" ht="15" hidden="1" x14ac:dyDescent="0.25"/>
    <row r="96" ht="15" hidden="1" x14ac:dyDescent="0.25"/>
    <row r="97" ht="15" hidden="1" x14ac:dyDescent="0.25"/>
    <row r="98" ht="15" hidden="1" x14ac:dyDescent="0.25"/>
    <row r="99" ht="15" hidden="1" x14ac:dyDescent="0.25"/>
    <row r="100" ht="15" hidden="1" x14ac:dyDescent="0.25"/>
    <row r="101" ht="15" hidden="1" x14ac:dyDescent="0.25"/>
    <row r="102" ht="15" hidden="1" x14ac:dyDescent="0.25"/>
    <row r="103" ht="15" hidden="1" x14ac:dyDescent="0.25"/>
    <row r="104" ht="15" hidden="1" x14ac:dyDescent="0.25"/>
    <row r="105" ht="15" hidden="1" x14ac:dyDescent="0.25"/>
    <row r="106" ht="15" hidden="1" x14ac:dyDescent="0.25"/>
    <row r="107" ht="15" hidden="1" x14ac:dyDescent="0.25"/>
    <row r="108" ht="15" hidden="1" x14ac:dyDescent="0.25"/>
    <row r="109" ht="15" hidden="1" x14ac:dyDescent="0.25"/>
    <row r="110" ht="15" hidden="1" x14ac:dyDescent="0.25"/>
    <row r="111" ht="15" hidden="1" x14ac:dyDescent="0.25"/>
    <row r="112" ht="15" hidden="1" x14ac:dyDescent="0.25"/>
    <row r="113" ht="15" hidden="1" x14ac:dyDescent="0.25"/>
    <row r="114" ht="15" hidden="1" x14ac:dyDescent="0.25"/>
    <row r="115" ht="15" hidden="1" x14ac:dyDescent="0.25"/>
    <row r="116" ht="15" hidden="1" x14ac:dyDescent="0.25"/>
  </sheetData>
  <pageMargins left="0.7" right="0.7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H97"/>
  <sheetViews>
    <sheetView zoomScale="80" zoomScaleNormal="80" workbookViewId="0"/>
  </sheetViews>
  <sheetFormatPr defaultColWidth="0" defaultRowHeight="0" customHeight="1" zeroHeight="1" x14ac:dyDescent="0.25"/>
  <cols>
    <col min="1" max="1" width="4.5703125" style="2" customWidth="1"/>
    <col min="2" max="2" width="38.5703125" style="2" bestFit="1" customWidth="1"/>
    <col min="3" max="4" width="25.42578125" style="2" customWidth="1"/>
    <col min="5" max="5" width="29.140625" style="2" customWidth="1"/>
    <col min="6" max="6" width="4.5703125" style="2" customWidth="1"/>
    <col min="7" max="8" width="9.140625" style="2" hidden="1" customWidth="1"/>
    <col min="9" max="16384" width="0" style="2" hidden="1"/>
  </cols>
  <sheetData>
    <row r="1" spans="1:7" ht="15" x14ac:dyDescent="0.25">
      <c r="A1" s="4"/>
      <c r="B1" s="4"/>
      <c r="C1" s="4"/>
      <c r="D1" s="4"/>
      <c r="E1" s="4"/>
      <c r="F1" s="4"/>
    </row>
    <row r="2" spans="1:7" ht="18.75" x14ac:dyDescent="0.25">
      <c r="A2" s="4"/>
      <c r="B2" s="107" t="s">
        <v>39</v>
      </c>
      <c r="C2" s="108"/>
      <c r="D2" s="108"/>
      <c r="E2" s="109"/>
      <c r="F2" s="4"/>
      <c r="G2" s="5"/>
    </row>
    <row r="3" spans="1:7" ht="15" x14ac:dyDescent="0.25">
      <c r="A3" s="4"/>
      <c r="B3" s="110" t="s">
        <v>0</v>
      </c>
      <c r="C3" s="110"/>
      <c r="D3" s="110"/>
      <c r="E3" s="110"/>
      <c r="F3" s="4"/>
    </row>
    <row r="4" spans="1:7" ht="21" x14ac:dyDescent="0.35">
      <c r="A4" s="4"/>
      <c r="B4" s="6" t="s">
        <v>40</v>
      </c>
      <c r="C4" s="7"/>
      <c r="D4" s="7"/>
      <c r="F4" s="4"/>
    </row>
    <row r="5" spans="1:7" ht="15.75" thickBot="1" x14ac:dyDescent="0.3">
      <c r="A5" s="4"/>
      <c r="B5" s="7"/>
      <c r="C5" s="7"/>
      <c r="D5" s="7"/>
    </row>
    <row r="6" spans="1:7" ht="16.5" thickBot="1" x14ac:dyDescent="0.3">
      <c r="A6" s="4"/>
      <c r="B6" s="8" t="s">
        <v>41</v>
      </c>
      <c r="C6" s="31"/>
      <c r="D6" s="7"/>
    </row>
    <row r="7" spans="1:7" ht="16.5" thickBot="1" x14ac:dyDescent="0.3">
      <c r="A7" s="4"/>
      <c r="B7" s="8"/>
      <c r="C7" s="9"/>
      <c r="D7" s="7"/>
    </row>
    <row r="8" spans="1:7" ht="16.5" thickBot="1" x14ac:dyDescent="0.3">
      <c r="A8" s="4"/>
      <c r="B8" s="8" t="s">
        <v>42</v>
      </c>
      <c r="C8" s="32"/>
      <c r="D8" s="7"/>
    </row>
    <row r="9" spans="1:7" ht="16.5" thickBot="1" x14ac:dyDescent="0.3">
      <c r="A9" s="4"/>
      <c r="B9" s="8"/>
      <c r="C9" s="9"/>
      <c r="D9" s="7"/>
    </row>
    <row r="10" spans="1:7" ht="16.5" thickBot="1" x14ac:dyDescent="0.3">
      <c r="A10" s="4"/>
      <c r="B10" s="8" t="s">
        <v>43</v>
      </c>
      <c r="C10" s="32"/>
      <c r="D10" s="7"/>
    </row>
    <row r="11" spans="1:7" ht="16.5" thickBot="1" x14ac:dyDescent="0.3">
      <c r="A11" s="4"/>
      <c r="B11" s="8"/>
      <c r="C11" s="9"/>
      <c r="D11" s="10"/>
    </row>
    <row r="12" spans="1:7" ht="16.5" thickBot="1" x14ac:dyDescent="0.3">
      <c r="A12" s="4"/>
      <c r="B12" s="8" t="s">
        <v>44</v>
      </c>
      <c r="C12" s="111"/>
      <c r="D12" s="112"/>
    </row>
    <row r="13" spans="1:7" ht="16.5" thickBot="1" x14ac:dyDescent="0.3">
      <c r="A13" s="4"/>
      <c r="B13" s="8"/>
      <c r="C13" s="11"/>
    </row>
    <row r="14" spans="1:7" ht="16.5" thickBot="1" x14ac:dyDescent="0.3">
      <c r="A14" s="4"/>
      <c r="B14" s="8" t="s">
        <v>45</v>
      </c>
      <c r="C14" s="12"/>
    </row>
    <row r="15" spans="1:7" ht="16.5" thickBot="1" x14ac:dyDescent="0.3">
      <c r="A15" s="4"/>
      <c r="B15" s="8"/>
      <c r="C15" s="11"/>
    </row>
    <row r="16" spans="1:7" ht="15.75" customHeight="1" thickBot="1" x14ac:dyDescent="0.3">
      <c r="A16" s="4"/>
      <c r="B16" s="8" t="s">
        <v>46</v>
      </c>
      <c r="C16" s="40"/>
    </row>
    <row r="17" spans="1:6" ht="15.75" customHeight="1" x14ac:dyDescent="0.25">
      <c r="A17" s="4"/>
    </row>
    <row r="18" spans="1:6" ht="15.75" customHeight="1" thickBot="1" x14ac:dyDescent="0.3">
      <c r="A18" s="4"/>
      <c r="D18" s="29" t="s">
        <v>47</v>
      </c>
      <c r="E18" s="29" t="s">
        <v>48</v>
      </c>
    </row>
    <row r="19" spans="1:6" ht="16.5" thickBot="1" x14ac:dyDescent="0.3">
      <c r="A19" s="4"/>
      <c r="B19" s="28" t="s">
        <v>201</v>
      </c>
      <c r="C19" s="33" t="s">
        <v>187</v>
      </c>
      <c r="D19" s="34"/>
      <c r="E19" s="35" t="str">
        <f>IF(ISBLANK(D19),"",SUM($D$19:D19))</f>
        <v/>
      </c>
    </row>
    <row r="20" spans="1:6" ht="16.5" thickBot="1" x14ac:dyDescent="0.3">
      <c r="A20" s="4"/>
      <c r="B20" s="28" t="s">
        <v>202</v>
      </c>
      <c r="C20" s="37" t="s">
        <v>187</v>
      </c>
      <c r="D20" s="38"/>
      <c r="E20" s="35" t="str">
        <f>IF(ISBLANK(D20),"",SUM($D$19:D20))</f>
        <v/>
      </c>
    </row>
    <row r="21" spans="1:6" ht="16.5" thickBot="1" x14ac:dyDescent="0.3">
      <c r="A21" s="4"/>
      <c r="B21" s="28" t="s">
        <v>204</v>
      </c>
      <c r="C21" s="37" t="s">
        <v>187</v>
      </c>
      <c r="D21" s="38"/>
      <c r="E21" s="35" t="str">
        <f>IF(ISBLANK(D21),"",SUM($D$19:D21))</f>
        <v/>
      </c>
    </row>
    <row r="22" spans="1:6" ht="16.5" thickBot="1" x14ac:dyDescent="0.3">
      <c r="A22" s="4"/>
      <c r="B22" s="28" t="s">
        <v>203</v>
      </c>
      <c r="C22" s="37" t="s">
        <v>187</v>
      </c>
      <c r="D22" s="38"/>
      <c r="E22" s="35" t="str">
        <f>IF(ISBLANK(D22),"",SUM($D$19:D22))</f>
        <v/>
      </c>
    </row>
    <row r="23" spans="1:6" ht="16.5" thickBot="1" x14ac:dyDescent="0.3">
      <c r="A23" s="4"/>
      <c r="B23" s="28" t="s">
        <v>205</v>
      </c>
      <c r="C23" s="13"/>
      <c r="D23" s="38"/>
      <c r="E23" s="35" t="str">
        <f>IF(ISBLANK(D23),"",SUM($D$19:D23))</f>
        <v/>
      </c>
    </row>
    <row r="24" spans="1:6" ht="15" x14ac:dyDescent="0.25">
      <c r="A24" s="4"/>
      <c r="B24" s="13"/>
      <c r="C24" s="13"/>
    </row>
    <row r="25" spans="1:6" ht="15" x14ac:dyDescent="0.25">
      <c r="A25" s="4"/>
    </row>
    <row r="26" spans="1:6" ht="47.25" customHeight="1" thickBot="1" x14ac:dyDescent="0.3">
      <c r="A26" s="4"/>
      <c r="B26" s="30" t="s">
        <v>49</v>
      </c>
      <c r="C26" s="113" t="s">
        <v>206</v>
      </c>
      <c r="D26" s="113"/>
      <c r="E26" s="113"/>
    </row>
    <row r="27" spans="1:6" ht="135" customHeight="1" thickBot="1" x14ac:dyDescent="0.3">
      <c r="A27" s="4"/>
      <c r="B27" s="14"/>
      <c r="C27" s="114"/>
      <c r="D27" s="115"/>
      <c r="E27" s="116"/>
      <c r="F27" s="14"/>
    </row>
    <row r="28" spans="1:6" ht="15" x14ac:dyDescent="0.25"/>
    <row r="29" spans="1:6" ht="15" hidden="1" x14ac:dyDescent="0.25"/>
    <row r="30" spans="1:6" ht="15" hidden="1" x14ac:dyDescent="0.25"/>
    <row r="31" spans="1:6" ht="15" hidden="1" x14ac:dyDescent="0.25"/>
    <row r="32" spans="1:6" ht="15" hidden="1" x14ac:dyDescent="0.25"/>
    <row r="33" ht="15" hidden="1" x14ac:dyDescent="0.25"/>
    <row r="34" ht="15" hidden="1" x14ac:dyDescent="0.25"/>
    <row r="35" ht="15" hidden="1" x14ac:dyDescent="0.25"/>
    <row r="36" ht="15" hidden="1" x14ac:dyDescent="0.25"/>
    <row r="37" ht="15" hidden="1" x14ac:dyDescent="0.25"/>
    <row r="38" ht="15" hidden="1" x14ac:dyDescent="0.25"/>
    <row r="39" ht="15" hidden="1" x14ac:dyDescent="0.25"/>
    <row r="40" ht="15" hidden="1" x14ac:dyDescent="0.25"/>
    <row r="41" ht="15" hidden="1" x14ac:dyDescent="0.25"/>
    <row r="42" ht="15" hidden="1" x14ac:dyDescent="0.25"/>
    <row r="43" ht="15" hidden="1" x14ac:dyDescent="0.25"/>
    <row r="44" ht="15" hidden="1" x14ac:dyDescent="0.25"/>
    <row r="45" ht="15" hidden="1" x14ac:dyDescent="0.25"/>
    <row r="46" ht="15" hidden="1" x14ac:dyDescent="0.25"/>
    <row r="47" ht="15" hidden="1" x14ac:dyDescent="0.25"/>
    <row r="48" ht="15" hidden="1" x14ac:dyDescent="0.25"/>
    <row r="49" ht="15" hidden="1" x14ac:dyDescent="0.25"/>
    <row r="50" ht="15" hidden="1" x14ac:dyDescent="0.25"/>
    <row r="51" ht="15" hidden="1" x14ac:dyDescent="0.25"/>
    <row r="52" ht="15" hidden="1" x14ac:dyDescent="0.25"/>
    <row r="53" ht="15" hidden="1" x14ac:dyDescent="0.25"/>
    <row r="54" ht="15" hidden="1" x14ac:dyDescent="0.25"/>
    <row r="55" ht="15" hidden="1" x14ac:dyDescent="0.25"/>
    <row r="56" ht="15" hidden="1" x14ac:dyDescent="0.25"/>
    <row r="57" ht="15" hidden="1" x14ac:dyDescent="0.25"/>
    <row r="58" ht="15" hidden="1" x14ac:dyDescent="0.25"/>
    <row r="59" ht="15" hidden="1" x14ac:dyDescent="0.25"/>
    <row r="60" ht="15" hidden="1" x14ac:dyDescent="0.25"/>
    <row r="61" ht="15" hidden="1" x14ac:dyDescent="0.25"/>
    <row r="62" ht="15" hidden="1" x14ac:dyDescent="0.25"/>
    <row r="63" ht="15" hidden="1" x14ac:dyDescent="0.25"/>
    <row r="64" ht="15" hidden="1" x14ac:dyDescent="0.25"/>
    <row r="65" ht="15" hidden="1" x14ac:dyDescent="0.25"/>
    <row r="66" ht="15" hidden="1" x14ac:dyDescent="0.25"/>
    <row r="67" ht="15" hidden="1" x14ac:dyDescent="0.25"/>
    <row r="68" ht="15" hidden="1" x14ac:dyDescent="0.25"/>
    <row r="69" ht="15" hidden="1" x14ac:dyDescent="0.25"/>
    <row r="70" ht="15" hidden="1" x14ac:dyDescent="0.25"/>
    <row r="71" ht="15" hidden="1" x14ac:dyDescent="0.25"/>
    <row r="72" ht="15" hidden="1" x14ac:dyDescent="0.25"/>
    <row r="73" ht="15" hidden="1" x14ac:dyDescent="0.25"/>
    <row r="74" ht="15" hidden="1" x14ac:dyDescent="0.25"/>
    <row r="75" ht="15" hidden="1" x14ac:dyDescent="0.25"/>
    <row r="76" ht="15" hidden="1" x14ac:dyDescent="0.25"/>
    <row r="77" ht="15" hidden="1" x14ac:dyDescent="0.25"/>
    <row r="78" ht="15" hidden="1" x14ac:dyDescent="0.25"/>
    <row r="79" ht="15" hidden="1" x14ac:dyDescent="0.25"/>
    <row r="80" ht="15" hidden="1" x14ac:dyDescent="0.25"/>
    <row r="81" ht="15" hidden="1" x14ac:dyDescent="0.25"/>
    <row r="82" ht="15" hidden="1" x14ac:dyDescent="0.25"/>
    <row r="83" ht="15" hidden="1" x14ac:dyDescent="0.25"/>
    <row r="84" ht="15" hidden="1" x14ac:dyDescent="0.25"/>
    <row r="85" ht="15" hidden="1" x14ac:dyDescent="0.25"/>
    <row r="86" ht="15" hidden="1" x14ac:dyDescent="0.25"/>
    <row r="87" ht="15" hidden="1" x14ac:dyDescent="0.25"/>
    <row r="88" ht="15" hidden="1" x14ac:dyDescent="0.25"/>
    <row r="89" ht="15" hidden="1" x14ac:dyDescent="0.25"/>
    <row r="90" ht="15" hidden="1" x14ac:dyDescent="0.25"/>
    <row r="91" ht="15" hidden="1" x14ac:dyDescent="0.25"/>
    <row r="92" ht="15" hidden="1" x14ac:dyDescent="0.25"/>
    <row r="93" ht="15" hidden="1" x14ac:dyDescent="0.25"/>
    <row r="94" ht="15" hidden="1" x14ac:dyDescent="0.25"/>
    <row r="95" ht="15" hidden="1" x14ac:dyDescent="0.25"/>
    <row r="96" ht="15" hidden="1" x14ac:dyDescent="0.25"/>
    <row r="97" ht="15" hidden="1" x14ac:dyDescent="0.25"/>
  </sheetData>
  <mergeCells count="5">
    <mergeCell ref="B2:E2"/>
    <mergeCell ref="B3:E3"/>
    <mergeCell ref="C12:D12"/>
    <mergeCell ref="C26:E26"/>
    <mergeCell ref="C27:E27"/>
  </mergeCells>
  <conditionalFormatting sqref="D20:D22">
    <cfRule type="expression" dxfId="2" priority="3">
      <formula>$C20&lt;&gt;"-"</formula>
    </cfRule>
  </conditionalFormatting>
  <conditionalFormatting sqref="C20">
    <cfRule type="expression" dxfId="1" priority="2">
      <formula>$C19&lt;&gt;"-"</formula>
    </cfRule>
  </conditionalFormatting>
  <conditionalFormatting sqref="D23">
    <cfRule type="expression" dxfId="0" priority="1">
      <formula>$C23&lt;&gt;"-"</formula>
    </cfRule>
  </conditionalFormatting>
  <dataValidations count="9">
    <dataValidation type="list" allowBlank="1" showInputMessage="1" showErrorMessage="1" sqref="C6" xr:uid="{00000000-0002-0000-0100-000000000000}">
      <formula1>"AT,BE,BG,CY,DE,EE,ES,FI,FR,GR,HR,IE,IT,LT,LU,LV,MT,NL,PT,SI,SK"</formula1>
    </dataValidation>
    <dataValidation type="textLength" operator="equal" allowBlank="1" showInputMessage="1" showErrorMessage="1" errorTitle="Error - String size" error="LEI code must have exactly 20 characters." sqref="C10" xr:uid="{00000000-0002-0000-0100-000001000000}">
      <formula1>20</formula1>
    </dataValidation>
    <dataValidation type="list" allowBlank="1" showInputMessage="1" showErrorMessage="1" sqref="C14" xr:uid="{00000000-0002-0000-0100-000002000000}">
      <formula1>"31/12/2022,31/12/2023"</formula1>
    </dataValidation>
    <dataValidation type="list" allowBlank="1" showInputMessage="1" showErrorMessage="1" sqref="C16" xr:uid="{00000000-0002-0000-0100-000003000000}">
      <formula1>"CONS,SOLO"</formula1>
    </dataValidation>
    <dataValidation type="decimal" allowBlank="1" showInputMessage="1" showErrorMessage="1" sqref="E19:E23" xr:uid="{00000000-0002-0000-0100-000004000000}">
      <formula1>0</formula1>
      <formula2>1</formula2>
    </dataValidation>
    <dataValidation type="decimal" allowBlank="1" showInputMessage="1" showErrorMessage="1" error="Value must be between 0% and 100%." sqref="D19" xr:uid="{00000000-0002-0000-0100-000005000000}">
      <formula1>0</formula1>
      <formula2>1</formula2>
    </dataValidation>
    <dataValidation type="custom" allowBlank="1" showInputMessage="1" showErrorMessage="1" error="Value must be between 0% and 100% and size of the banking book of the 2nd most material currency cannot be higher than the size of the banking book of the 1st most material currency." sqref="D20" xr:uid="{00000000-0002-0000-0100-000006000000}">
      <formula1>AND(D20&gt;=0,D20&lt;=1,D20&lt;=D19)</formula1>
    </dataValidation>
    <dataValidation type="custom" allowBlank="1" showInputMessage="1" showErrorMessage="1" error="Value must be between 0% and 100% and size of the banking book of the 3rd most material currency cannot be higher than the size of the banking book of the 2nd most material currency." sqref="D21" xr:uid="{00000000-0002-0000-0100-000007000000}">
      <formula1>AND(D21&gt;=0,D21&lt;=1,D21&lt;=D20)</formula1>
    </dataValidation>
    <dataValidation type="custom" allowBlank="1" showInputMessage="1" showErrorMessage="1" error="Value must be between 0% and 100% and size of the banking book of the 4th most material currency cannot be higher than the size of the banking book of the 3rd most material currency." sqref="D22" xr:uid="{00000000-0002-0000-0100-000008000000}">
      <formula1>AND(D22&gt;=0,D22&lt;=1,D22&lt;=D21)</formula1>
    </dataValidation>
  </dataValidations>
  <pageMargins left="0.7" right="0.7" top="0.75" bottom="0.75" header="0.3" footer="0.3"/>
  <pageSetup paperSize="9" scale="7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9000000}">
          <x14:formula1>
            <xm:f>Currencies_ISO!$B$5:$B$168</xm:f>
          </x14:formula1>
          <xm:sqref>C19:C22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FF7E-91B1-47D6-9511-B4053427DC83}">
  <dimension ref="A1:K75"/>
  <sheetViews>
    <sheetView showGridLines="0" zoomScale="70" zoomScaleNormal="70" workbookViewId="0">
      <selection activeCell="B6" sqref="B6"/>
    </sheetView>
  </sheetViews>
  <sheetFormatPr defaultColWidth="0" defaultRowHeight="0" customHeight="1" zeroHeight="1" x14ac:dyDescent="0.25"/>
  <cols>
    <col min="1" max="1" width="4.5703125" style="1" customWidth="1"/>
    <col min="2" max="2" width="26.5703125" style="1" customWidth="1"/>
    <col min="3" max="3" width="96.42578125" style="1" customWidth="1"/>
    <col min="4" max="4" width="19.85546875" style="1" customWidth="1"/>
    <col min="5" max="10" width="24.140625" style="1" customWidth="1"/>
    <col min="11" max="11" width="4.5703125" style="1" customWidth="1"/>
    <col min="12" max="16384" width="8.85546875" style="1" hidden="1"/>
  </cols>
  <sheetData>
    <row r="1" spans="1:11" ht="17.100000000000001" customHeight="1" thickBot="1" x14ac:dyDescent="0.3">
      <c r="B1" s="53"/>
      <c r="C1" s="53"/>
      <c r="D1" s="53"/>
      <c r="E1" s="53"/>
      <c r="F1" s="53"/>
      <c r="G1" s="53"/>
      <c r="H1" s="53"/>
      <c r="I1" s="53"/>
      <c r="J1" s="53"/>
      <c r="K1" s="53"/>
    </row>
    <row r="2" spans="1:11" ht="26.1" customHeight="1" thickBot="1" x14ac:dyDescent="0.3">
      <c r="A2" s="53"/>
      <c r="B2" s="130" t="s">
        <v>282</v>
      </c>
      <c r="C2" s="131"/>
      <c r="D2" s="131"/>
      <c r="E2" s="131"/>
      <c r="F2" s="131"/>
      <c r="G2" s="131"/>
      <c r="H2" s="131"/>
      <c r="I2" s="131"/>
      <c r="J2" s="132"/>
      <c r="K2" s="53"/>
    </row>
    <row r="3" spans="1:11" ht="17.100000000000001" customHeight="1" x14ac:dyDescent="0.25">
      <c r="A3" s="53"/>
      <c r="B3" s="133"/>
      <c r="C3" s="133"/>
      <c r="D3" s="133"/>
      <c r="E3" s="133"/>
      <c r="F3" s="70"/>
      <c r="G3" s="70"/>
      <c r="H3" s="70"/>
      <c r="I3" s="70"/>
      <c r="J3" s="70"/>
      <c r="K3" s="53"/>
    </row>
    <row r="4" spans="1:11" ht="26.1" customHeight="1" x14ac:dyDescent="0.25">
      <c r="A4" s="53"/>
      <c r="B4" s="134" t="s">
        <v>287</v>
      </c>
      <c r="C4" s="134"/>
      <c r="D4" s="134"/>
      <c r="E4" s="134"/>
      <c r="F4" s="63"/>
      <c r="G4" s="63"/>
      <c r="H4" s="63"/>
      <c r="I4" s="63"/>
      <c r="J4" s="67"/>
      <c r="K4" s="53"/>
    </row>
    <row r="5" spans="1:11" ht="26.1" customHeight="1" x14ac:dyDescent="0.25">
      <c r="A5" s="53"/>
      <c r="B5" s="50" t="s">
        <v>288</v>
      </c>
      <c r="C5" s="50"/>
      <c r="D5" s="50"/>
      <c r="E5" s="50"/>
      <c r="F5" s="50"/>
      <c r="G5" s="50"/>
      <c r="H5" s="50"/>
      <c r="I5" s="50"/>
      <c r="J5" s="50"/>
      <c r="K5" s="53"/>
    </row>
    <row r="6" spans="1:11" ht="26.1" customHeight="1" x14ac:dyDescent="0.25">
      <c r="A6" s="53"/>
      <c r="B6" s="54"/>
      <c r="C6" s="63"/>
      <c r="D6" s="63"/>
      <c r="E6" s="63"/>
      <c r="F6" s="135" t="s">
        <v>33</v>
      </c>
      <c r="G6" s="136"/>
      <c r="H6" s="136"/>
      <c r="I6" s="136"/>
      <c r="J6" s="137"/>
    </row>
    <row r="7" spans="1:11" ht="26.1" customHeight="1" x14ac:dyDescent="0.25">
      <c r="A7" s="71"/>
      <c r="B7" s="54"/>
      <c r="C7" s="63"/>
      <c r="D7" s="63"/>
      <c r="E7" s="63"/>
      <c r="F7" s="83" t="str">
        <f>'[1]2_IRRBB_Material_Currency_1'!$C$2</f>
        <v>-</v>
      </c>
      <c r="G7" s="83" t="str">
        <f>'[1]3_IRRBB_Material Currency_2'!$C$2</f>
        <v>-</v>
      </c>
      <c r="H7" s="83" t="str">
        <f>'[1]4_IRRBB_Material_Currency_3'!$C$2</f>
        <v>-</v>
      </c>
      <c r="I7" s="83" t="str">
        <f>'[1]0_Identification'!C22</f>
        <v>-</v>
      </c>
      <c r="J7" s="83" t="s">
        <v>38</v>
      </c>
    </row>
    <row r="8" spans="1:11" ht="26.1" customHeight="1" x14ac:dyDescent="0.25">
      <c r="A8" s="71"/>
      <c r="B8" s="127" t="s">
        <v>34</v>
      </c>
      <c r="C8" s="126" t="s">
        <v>35</v>
      </c>
      <c r="D8" s="63"/>
      <c r="E8" s="83" t="s">
        <v>36</v>
      </c>
      <c r="F8" s="83" t="s">
        <v>36</v>
      </c>
      <c r="G8" s="83" t="s">
        <v>36</v>
      </c>
      <c r="H8" s="83" t="s">
        <v>36</v>
      </c>
      <c r="I8" s="83" t="s">
        <v>36</v>
      </c>
      <c r="J8" s="83" t="s">
        <v>36</v>
      </c>
    </row>
    <row r="9" spans="1:11" ht="26.1" customHeight="1" x14ac:dyDescent="0.25">
      <c r="A9" s="71"/>
      <c r="B9" s="128"/>
      <c r="C9" s="126"/>
      <c r="D9" s="63"/>
      <c r="E9" s="82" t="s">
        <v>230</v>
      </c>
      <c r="F9" s="82" t="s">
        <v>231</v>
      </c>
      <c r="G9" s="82" t="s">
        <v>232</v>
      </c>
      <c r="H9" s="82" t="s">
        <v>233</v>
      </c>
      <c r="I9" s="82" t="s">
        <v>234</v>
      </c>
      <c r="J9" s="82" t="s">
        <v>235</v>
      </c>
    </row>
    <row r="10" spans="1:11" ht="26.1" customHeight="1" x14ac:dyDescent="0.25">
      <c r="A10" s="71"/>
      <c r="B10" s="83">
        <v>1</v>
      </c>
      <c r="C10" s="86" t="s">
        <v>227</v>
      </c>
      <c r="D10" s="81" t="s">
        <v>230</v>
      </c>
      <c r="E10" s="3"/>
      <c r="F10" s="3"/>
      <c r="G10" s="3"/>
      <c r="H10" s="3"/>
      <c r="I10" s="39"/>
      <c r="J10" s="39"/>
    </row>
    <row r="11" spans="1:11" s="69" customFormat="1" ht="26.1" customHeight="1" x14ac:dyDescent="0.25">
      <c r="A11" s="72"/>
      <c r="B11" s="54"/>
      <c r="C11" s="63"/>
      <c r="D11" s="74"/>
      <c r="E11" s="67"/>
      <c r="F11" s="67"/>
      <c r="G11" s="67"/>
      <c r="H11" s="67"/>
      <c r="I11" s="67"/>
      <c r="J11" s="67"/>
    </row>
    <row r="12" spans="1:11" s="69" customFormat="1" ht="26.1" customHeight="1" x14ac:dyDescent="0.25">
      <c r="A12" s="72"/>
      <c r="B12" s="83">
        <v>2</v>
      </c>
      <c r="C12" s="86" t="s">
        <v>228</v>
      </c>
      <c r="D12" s="67"/>
      <c r="E12" s="67"/>
      <c r="F12" s="67"/>
      <c r="G12" s="67"/>
      <c r="H12" s="67"/>
      <c r="I12" s="67"/>
      <c r="J12" s="67"/>
    </row>
    <row r="13" spans="1:11" s="69" customFormat="1" ht="26.1" customHeight="1" x14ac:dyDescent="0.25">
      <c r="A13" s="72"/>
      <c r="B13" s="83">
        <v>3</v>
      </c>
      <c r="C13" s="86" t="s">
        <v>226</v>
      </c>
      <c r="D13" s="90" t="s">
        <v>231</v>
      </c>
      <c r="E13" s="67"/>
      <c r="F13" s="36"/>
      <c r="G13" s="36"/>
      <c r="H13" s="36"/>
      <c r="I13" s="36"/>
      <c r="J13" s="67"/>
    </row>
    <row r="14" spans="1:11" ht="26.1" customHeight="1" x14ac:dyDescent="0.25">
      <c r="A14" s="71"/>
      <c r="B14" s="83">
        <v>4</v>
      </c>
      <c r="C14" s="86" t="s">
        <v>183</v>
      </c>
      <c r="D14" s="90" t="s">
        <v>232</v>
      </c>
      <c r="E14" s="67"/>
      <c r="F14" s="36"/>
      <c r="G14" s="36"/>
      <c r="H14" s="36"/>
      <c r="I14" s="36"/>
      <c r="J14" s="67"/>
    </row>
    <row r="15" spans="1:11" ht="26.1" customHeight="1" x14ac:dyDescent="0.25">
      <c r="A15" s="71"/>
      <c r="B15" s="83">
        <v>5</v>
      </c>
      <c r="C15" s="86" t="s">
        <v>184</v>
      </c>
      <c r="D15" s="90" t="s">
        <v>233</v>
      </c>
      <c r="E15" s="67"/>
      <c r="F15" s="36"/>
      <c r="G15" s="36"/>
      <c r="H15" s="36"/>
      <c r="I15" s="36"/>
      <c r="J15" s="67"/>
      <c r="K15" s="49"/>
    </row>
    <row r="16" spans="1:11" ht="26.1" customHeight="1" x14ac:dyDescent="0.25">
      <c r="A16" s="71"/>
      <c r="B16" s="53"/>
      <c r="C16" s="87"/>
      <c r="D16" s="74"/>
      <c r="E16" s="53"/>
      <c r="F16" s="53"/>
      <c r="G16" s="53"/>
      <c r="H16" s="53"/>
      <c r="I16" s="53"/>
      <c r="J16" s="67"/>
      <c r="K16" s="49"/>
    </row>
    <row r="17" spans="1:11" ht="26.1" customHeight="1" x14ac:dyDescent="0.25">
      <c r="A17" s="71"/>
      <c r="B17" s="83">
        <v>6</v>
      </c>
      <c r="C17" s="88" t="s">
        <v>229</v>
      </c>
      <c r="D17" s="90" t="s">
        <v>234</v>
      </c>
      <c r="E17" s="91">
        <f>+MIN(E18:E23)</f>
        <v>0</v>
      </c>
      <c r="G17" s="68"/>
      <c r="H17" s="68"/>
      <c r="I17" s="68"/>
      <c r="J17" s="67"/>
      <c r="K17" s="49"/>
    </row>
    <row r="18" spans="1:11" ht="26.1" customHeight="1" x14ac:dyDescent="0.25">
      <c r="A18" s="71"/>
      <c r="B18" s="83">
        <v>7</v>
      </c>
      <c r="C18" s="89" t="s">
        <v>189</v>
      </c>
      <c r="D18" s="90" t="s">
        <v>235</v>
      </c>
      <c r="E18" s="91">
        <f t="shared" ref="E18:E23" si="0">+SUMIF(F18:I18,"&lt;0")+0.5*SUMIF(F18:I18,"&gt;0")+J18</f>
        <v>0</v>
      </c>
      <c r="F18" s="3"/>
      <c r="G18" s="39"/>
      <c r="H18" s="39"/>
      <c r="I18" s="39"/>
      <c r="J18" s="3"/>
      <c r="K18" s="49"/>
    </row>
    <row r="19" spans="1:11" ht="26.1" customHeight="1" x14ac:dyDescent="0.25">
      <c r="A19" s="71"/>
      <c r="B19" s="83">
        <v>8</v>
      </c>
      <c r="C19" s="89" t="s">
        <v>190</v>
      </c>
      <c r="D19" s="90" t="s">
        <v>236</v>
      </c>
      <c r="E19" s="91">
        <f t="shared" si="0"/>
        <v>0</v>
      </c>
      <c r="F19" s="3"/>
      <c r="G19" s="3"/>
      <c r="H19" s="3"/>
      <c r="I19" s="3"/>
      <c r="J19" s="3"/>
      <c r="K19" s="49"/>
    </row>
    <row r="20" spans="1:11" ht="26.1" customHeight="1" x14ac:dyDescent="0.25">
      <c r="A20" s="71"/>
      <c r="B20" s="83">
        <v>9</v>
      </c>
      <c r="C20" s="89" t="s">
        <v>207</v>
      </c>
      <c r="D20" s="90" t="s">
        <v>237</v>
      </c>
      <c r="E20" s="91">
        <f t="shared" si="0"/>
        <v>0</v>
      </c>
      <c r="F20" s="3"/>
      <c r="G20" s="39"/>
      <c r="H20" s="39"/>
      <c r="I20" s="39"/>
      <c r="J20" s="3"/>
      <c r="K20" s="49"/>
    </row>
    <row r="21" spans="1:11" ht="26.1" customHeight="1" x14ac:dyDescent="0.25">
      <c r="A21" s="71"/>
      <c r="B21" s="83">
        <v>10</v>
      </c>
      <c r="C21" s="89" t="s">
        <v>208</v>
      </c>
      <c r="D21" s="90" t="s">
        <v>238</v>
      </c>
      <c r="E21" s="91">
        <f t="shared" si="0"/>
        <v>0</v>
      </c>
      <c r="F21" s="3"/>
      <c r="G21" s="3"/>
      <c r="H21" s="3"/>
      <c r="I21" s="3"/>
      <c r="J21" s="3"/>
      <c r="K21" s="49"/>
    </row>
    <row r="22" spans="1:11" ht="26.1" customHeight="1" x14ac:dyDescent="0.25">
      <c r="A22" s="71"/>
      <c r="B22" s="83">
        <v>11</v>
      </c>
      <c r="C22" s="89" t="s">
        <v>37</v>
      </c>
      <c r="D22" s="90" t="s">
        <v>239</v>
      </c>
      <c r="E22" s="91">
        <f t="shared" si="0"/>
        <v>0</v>
      </c>
      <c r="F22" s="3"/>
      <c r="G22" s="39"/>
      <c r="H22" s="39"/>
      <c r="I22" s="39"/>
      <c r="J22" s="3"/>
      <c r="K22" s="49"/>
    </row>
    <row r="23" spans="1:11" ht="26.1" customHeight="1" x14ac:dyDescent="0.25">
      <c r="A23" s="71"/>
      <c r="B23" s="83">
        <v>12</v>
      </c>
      <c r="C23" s="89" t="s">
        <v>191</v>
      </c>
      <c r="D23" s="90" t="s">
        <v>240</v>
      </c>
      <c r="E23" s="91">
        <f t="shared" si="0"/>
        <v>0</v>
      </c>
      <c r="F23" s="3"/>
      <c r="G23" s="3"/>
      <c r="H23" s="3"/>
      <c r="I23" s="3"/>
      <c r="J23" s="3"/>
      <c r="K23" s="49"/>
    </row>
    <row r="24" spans="1:11" ht="26.1" customHeight="1" x14ac:dyDescent="0.25">
      <c r="A24" s="71"/>
      <c r="B24" s="53"/>
      <c r="C24" s="87"/>
      <c r="D24" s="75"/>
      <c r="E24" s="53"/>
      <c r="F24" s="53"/>
      <c r="G24" s="53"/>
      <c r="H24" s="53"/>
      <c r="I24" s="53"/>
      <c r="K24" s="49"/>
    </row>
    <row r="25" spans="1:11" ht="26.1" customHeight="1" x14ac:dyDescent="0.25">
      <c r="A25" s="71"/>
      <c r="B25" s="83">
        <v>13</v>
      </c>
      <c r="C25" s="89" t="s">
        <v>181</v>
      </c>
      <c r="D25" s="90" t="s">
        <v>241</v>
      </c>
      <c r="E25" s="3"/>
      <c r="F25" s="3"/>
      <c r="G25" s="3"/>
      <c r="H25" s="3"/>
      <c r="I25" s="3"/>
      <c r="J25" s="3"/>
      <c r="K25" s="49"/>
    </row>
    <row r="26" spans="1:11" ht="26.1" customHeight="1" x14ac:dyDescent="0.25">
      <c r="A26" s="71"/>
      <c r="B26" s="83">
        <v>14</v>
      </c>
      <c r="C26" s="86" t="s">
        <v>225</v>
      </c>
      <c r="D26" s="90" t="s">
        <v>242</v>
      </c>
      <c r="E26" s="3"/>
      <c r="F26" s="3"/>
      <c r="G26" s="3"/>
      <c r="H26" s="3"/>
      <c r="I26" s="3"/>
      <c r="J26" s="3"/>
      <c r="K26" s="49"/>
    </row>
    <row r="27" spans="1:11" ht="26.1" customHeight="1" x14ac:dyDescent="0.25">
      <c r="A27" s="71"/>
      <c r="B27" s="53"/>
      <c r="C27" s="87"/>
      <c r="D27" s="75"/>
      <c r="E27" s="66"/>
      <c r="F27" s="66"/>
      <c r="G27" s="66"/>
      <c r="H27" s="66"/>
      <c r="I27" s="66"/>
      <c r="J27" s="66"/>
      <c r="K27" s="49"/>
    </row>
    <row r="28" spans="1:11" ht="26.1" customHeight="1" x14ac:dyDescent="0.25">
      <c r="A28" s="71"/>
      <c r="B28" s="83">
        <v>15</v>
      </c>
      <c r="C28" s="86" t="s">
        <v>193</v>
      </c>
      <c r="D28" s="90" t="s">
        <v>243</v>
      </c>
      <c r="E28" s="3"/>
      <c r="F28" s="3"/>
      <c r="G28" s="3"/>
      <c r="H28" s="3"/>
      <c r="I28" s="3"/>
      <c r="J28" s="3"/>
      <c r="K28" s="49"/>
    </row>
    <row r="29" spans="1:11" ht="26.1" customHeight="1" x14ac:dyDescent="0.25">
      <c r="A29" s="71"/>
      <c r="B29" s="54"/>
      <c r="C29" s="86" t="s">
        <v>194</v>
      </c>
      <c r="D29" s="90" t="s">
        <v>244</v>
      </c>
      <c r="E29" s="91">
        <f t="shared" ref="E29:J29" si="1">+E25+E28</f>
        <v>0</v>
      </c>
      <c r="F29" s="91">
        <f t="shared" si="1"/>
        <v>0</v>
      </c>
      <c r="G29" s="91">
        <f t="shared" si="1"/>
        <v>0</v>
      </c>
      <c r="H29" s="91">
        <f t="shared" si="1"/>
        <v>0</v>
      </c>
      <c r="I29" s="91">
        <f t="shared" si="1"/>
        <v>0</v>
      </c>
      <c r="J29" s="91">
        <f t="shared" si="1"/>
        <v>0</v>
      </c>
      <c r="K29" s="49"/>
    </row>
    <row r="30" spans="1:11" ht="26.1" customHeight="1" x14ac:dyDescent="0.25">
      <c r="A30" s="71"/>
      <c r="B30" s="54"/>
      <c r="C30" s="51"/>
      <c r="D30" s="76"/>
      <c r="E30" s="60"/>
      <c r="F30" s="60"/>
      <c r="G30" s="59"/>
      <c r="H30" s="59"/>
      <c r="I30" s="59"/>
      <c r="J30" s="58"/>
      <c r="K30" s="53"/>
    </row>
    <row r="31" spans="1:11" ht="26.1" customHeight="1" x14ac:dyDescent="0.25">
      <c r="A31" s="71"/>
      <c r="B31" s="83">
        <v>16</v>
      </c>
      <c r="C31" s="86" t="s">
        <v>195</v>
      </c>
      <c r="D31" s="90" t="s">
        <v>245</v>
      </c>
      <c r="E31" s="3"/>
      <c r="F31" s="3"/>
      <c r="G31" s="3"/>
      <c r="H31" s="3"/>
      <c r="I31" s="3"/>
      <c r="J31" s="3"/>
      <c r="K31" s="49"/>
    </row>
    <row r="32" spans="1:11" ht="26.1" customHeight="1" x14ac:dyDescent="0.25">
      <c r="A32" s="71"/>
      <c r="B32" s="61">
        <v>17</v>
      </c>
      <c r="C32" s="86" t="s">
        <v>196</v>
      </c>
      <c r="D32" s="90" t="s">
        <v>246</v>
      </c>
      <c r="E32" s="91">
        <f t="shared" ref="E32:J32" si="2">+E25+E31</f>
        <v>0</v>
      </c>
      <c r="F32" s="91">
        <f t="shared" si="2"/>
        <v>0</v>
      </c>
      <c r="G32" s="91">
        <f t="shared" si="2"/>
        <v>0</v>
      </c>
      <c r="H32" s="91">
        <f t="shared" si="2"/>
        <v>0</v>
      </c>
      <c r="I32" s="91">
        <f t="shared" si="2"/>
        <v>0</v>
      </c>
      <c r="J32" s="91">
        <f t="shared" si="2"/>
        <v>0</v>
      </c>
      <c r="K32" s="49"/>
    </row>
    <row r="33" spans="1:11" ht="26.1" customHeight="1" x14ac:dyDescent="0.25">
      <c r="A33" s="71"/>
      <c r="B33" s="65"/>
      <c r="C33" s="64"/>
      <c r="D33" s="77"/>
      <c r="E33" s="92"/>
      <c r="F33" s="93"/>
      <c r="G33" s="92"/>
      <c r="H33" s="92"/>
      <c r="I33" s="92"/>
      <c r="J33" s="94"/>
      <c r="K33" s="49"/>
    </row>
    <row r="34" spans="1:11" ht="26.1" customHeight="1" x14ac:dyDescent="0.25">
      <c r="A34" s="71"/>
      <c r="B34" s="83">
        <v>17</v>
      </c>
      <c r="C34" s="85" t="s">
        <v>192</v>
      </c>
      <c r="D34" s="90" t="s">
        <v>247</v>
      </c>
      <c r="E34" s="3"/>
      <c r="F34" s="3"/>
      <c r="G34" s="3"/>
      <c r="H34" s="3"/>
      <c r="I34" s="3"/>
      <c r="J34" s="3"/>
      <c r="K34" s="49"/>
    </row>
    <row r="35" spans="1:11" ht="26.1" customHeight="1" x14ac:dyDescent="0.25">
      <c r="A35" s="71"/>
      <c r="B35" s="54"/>
      <c r="C35" s="63"/>
      <c r="D35" s="74"/>
      <c r="E35" s="62"/>
      <c r="F35" s="60"/>
      <c r="G35" s="60"/>
      <c r="H35" s="60"/>
      <c r="I35" s="60"/>
      <c r="J35" s="60"/>
      <c r="K35" s="49"/>
    </row>
    <row r="36" spans="1:11" ht="26.1" customHeight="1" x14ac:dyDescent="0.25">
      <c r="A36" s="71"/>
      <c r="B36" s="83">
        <v>18</v>
      </c>
      <c r="C36" s="84" t="s">
        <v>197</v>
      </c>
      <c r="D36" s="90" t="s">
        <v>248</v>
      </c>
      <c r="E36" s="3"/>
      <c r="F36" s="3"/>
      <c r="G36" s="3"/>
      <c r="H36" s="3"/>
      <c r="I36" s="3"/>
      <c r="J36" s="3"/>
      <c r="K36" s="49"/>
    </row>
    <row r="37" spans="1:11" ht="26.1" customHeight="1" x14ac:dyDescent="0.25">
      <c r="A37" s="73"/>
      <c r="B37" s="61"/>
      <c r="C37" s="84" t="s">
        <v>198</v>
      </c>
      <c r="D37" s="90" t="s">
        <v>249</v>
      </c>
      <c r="E37" s="95">
        <f t="shared" ref="E37:J37" si="3">+E34+E36</f>
        <v>0</v>
      </c>
      <c r="F37" s="91">
        <f t="shared" si="3"/>
        <v>0</v>
      </c>
      <c r="G37" s="91">
        <f t="shared" si="3"/>
        <v>0</v>
      </c>
      <c r="H37" s="91">
        <f t="shared" si="3"/>
        <v>0</v>
      </c>
      <c r="I37" s="91">
        <f t="shared" si="3"/>
        <v>0</v>
      </c>
      <c r="J37" s="91">
        <f t="shared" si="3"/>
        <v>0</v>
      </c>
      <c r="K37" s="49"/>
    </row>
    <row r="38" spans="1:11" ht="26.1" customHeight="1" x14ac:dyDescent="0.25">
      <c r="A38" s="73"/>
      <c r="B38" s="54"/>
      <c r="C38" s="51"/>
      <c r="D38" s="76"/>
      <c r="E38" s="96"/>
      <c r="F38" s="97"/>
      <c r="G38" s="96"/>
      <c r="H38" s="96"/>
      <c r="I38" s="96"/>
      <c r="J38" s="94"/>
      <c r="K38" s="49"/>
    </row>
    <row r="39" spans="1:11" ht="26.1" customHeight="1" x14ac:dyDescent="0.25">
      <c r="A39" s="73"/>
      <c r="B39" s="83">
        <v>19</v>
      </c>
      <c r="C39" s="84" t="s">
        <v>199</v>
      </c>
      <c r="D39" s="90" t="s">
        <v>250</v>
      </c>
      <c r="E39" s="3"/>
      <c r="F39" s="3"/>
      <c r="G39" s="3"/>
      <c r="H39" s="3"/>
      <c r="I39" s="3"/>
      <c r="J39" s="3"/>
      <c r="K39" s="49"/>
    </row>
    <row r="40" spans="1:11" ht="26.1" customHeight="1" x14ac:dyDescent="0.25">
      <c r="A40" s="73"/>
      <c r="C40" s="84" t="s">
        <v>200</v>
      </c>
      <c r="D40" s="90" t="s">
        <v>251</v>
      </c>
      <c r="E40" s="91">
        <f t="shared" ref="E40:J40" si="4">+E34+E39</f>
        <v>0</v>
      </c>
      <c r="F40" s="91">
        <f t="shared" si="4"/>
        <v>0</v>
      </c>
      <c r="G40" s="91">
        <f t="shared" si="4"/>
        <v>0</v>
      </c>
      <c r="H40" s="91">
        <f t="shared" si="4"/>
        <v>0</v>
      </c>
      <c r="I40" s="91">
        <f t="shared" si="4"/>
        <v>0</v>
      </c>
      <c r="J40" s="91">
        <f t="shared" si="4"/>
        <v>0</v>
      </c>
      <c r="K40" s="49"/>
    </row>
    <row r="41" spans="1:11" ht="26.1" customHeight="1" x14ac:dyDescent="0.25">
      <c r="A41" s="73"/>
      <c r="D41" s="78"/>
      <c r="K41" s="49"/>
    </row>
    <row r="42" spans="1:11" ht="26.1" customHeight="1" x14ac:dyDescent="0.25">
      <c r="A42" s="73"/>
      <c r="B42" s="83">
        <v>20</v>
      </c>
      <c r="C42" s="84" t="s">
        <v>224</v>
      </c>
      <c r="D42" s="90" t="s">
        <v>252</v>
      </c>
      <c r="E42" s="51"/>
      <c r="F42" s="3"/>
      <c r="G42" s="3"/>
      <c r="H42" s="3"/>
      <c r="I42" s="3"/>
      <c r="J42" s="3"/>
      <c r="K42" s="49"/>
    </row>
    <row r="43" spans="1:11" ht="26.1" customHeight="1" x14ac:dyDescent="0.25">
      <c r="A43" s="73"/>
      <c r="B43" s="83">
        <v>21</v>
      </c>
      <c r="C43" s="84" t="s">
        <v>223</v>
      </c>
      <c r="D43" s="90" t="s">
        <v>253</v>
      </c>
      <c r="E43" s="51"/>
      <c r="F43" s="3"/>
      <c r="G43" s="3"/>
      <c r="H43" s="3"/>
      <c r="I43" s="3"/>
      <c r="J43" s="3"/>
      <c r="K43" s="49"/>
    </row>
    <row r="44" spans="1:11" ht="26.1" customHeight="1" x14ac:dyDescent="0.25">
      <c r="A44" s="71"/>
      <c r="B44" s="57"/>
      <c r="C44" s="56"/>
      <c r="D44" s="79"/>
      <c r="E44" s="56"/>
      <c r="F44" s="56"/>
      <c r="G44" s="56"/>
      <c r="H44" s="56"/>
      <c r="I44" s="56"/>
      <c r="J44" s="56"/>
      <c r="K44" s="49"/>
    </row>
    <row r="45" spans="1:11" ht="26.1" customHeight="1" x14ac:dyDescent="0.25">
      <c r="A45" s="71"/>
      <c r="B45" s="83">
        <v>22</v>
      </c>
      <c r="C45" s="84" t="s">
        <v>222</v>
      </c>
      <c r="D45" s="90" t="s">
        <v>254</v>
      </c>
      <c r="E45" s="51"/>
      <c r="F45" s="3"/>
      <c r="G45" s="3"/>
      <c r="H45" s="3"/>
      <c r="I45" s="3"/>
      <c r="J45" s="3"/>
      <c r="K45" s="49"/>
    </row>
    <row r="46" spans="1:11" ht="26.1" customHeight="1" x14ac:dyDescent="0.25">
      <c r="A46" s="71"/>
      <c r="B46" s="83">
        <v>23</v>
      </c>
      <c r="C46" s="84" t="s">
        <v>221</v>
      </c>
      <c r="D46" s="90" t="s">
        <v>255</v>
      </c>
      <c r="E46" s="51"/>
      <c r="F46" s="98" t="e">
        <f>F45/F42</f>
        <v>#DIV/0!</v>
      </c>
      <c r="G46" s="98" t="e">
        <f>G45/G42</f>
        <v>#DIV/0!</v>
      </c>
      <c r="H46" s="98" t="e">
        <f>H45/H42</f>
        <v>#DIV/0!</v>
      </c>
      <c r="I46" s="98" t="e">
        <f>I45/I42</f>
        <v>#DIV/0!</v>
      </c>
      <c r="J46" s="98" t="e">
        <f>J45/J42</f>
        <v>#DIV/0!</v>
      </c>
      <c r="K46" s="49"/>
    </row>
    <row r="47" spans="1:11" ht="26.1" customHeight="1" x14ac:dyDescent="0.25">
      <c r="A47" s="71"/>
      <c r="B47" s="83">
        <v>24</v>
      </c>
      <c r="C47" s="84" t="s">
        <v>220</v>
      </c>
      <c r="D47" s="90" t="s">
        <v>256</v>
      </c>
      <c r="E47" s="51"/>
      <c r="F47" s="3"/>
      <c r="G47" s="3"/>
      <c r="H47" s="3"/>
      <c r="I47" s="3"/>
      <c r="J47" s="3"/>
      <c r="K47" s="55"/>
    </row>
    <row r="48" spans="1:11" ht="26.1" customHeight="1" x14ac:dyDescent="0.25">
      <c r="A48" s="71"/>
      <c r="B48" s="83">
        <v>25</v>
      </c>
      <c r="C48" s="84" t="s">
        <v>219</v>
      </c>
      <c r="D48" s="90" t="s">
        <v>257</v>
      </c>
      <c r="E48" s="51"/>
      <c r="F48" s="98" t="e">
        <f>F47/F43</f>
        <v>#DIV/0!</v>
      </c>
      <c r="G48" s="98" t="e">
        <f>G47/G43</f>
        <v>#DIV/0!</v>
      </c>
      <c r="H48" s="98" t="e">
        <f>H47/H43</f>
        <v>#DIV/0!</v>
      </c>
      <c r="I48" s="98" t="e">
        <f>I47/I43</f>
        <v>#DIV/0!</v>
      </c>
      <c r="J48" s="98" t="e">
        <f>J47/J43</f>
        <v>#DIV/0!</v>
      </c>
      <c r="K48" s="49"/>
    </row>
    <row r="49" spans="1:11" ht="26.1" customHeight="1" x14ac:dyDescent="0.25">
      <c r="A49" s="71"/>
      <c r="B49" s="83">
        <v>26</v>
      </c>
      <c r="C49" s="84" t="s">
        <v>218</v>
      </c>
      <c r="D49" s="90" t="s">
        <v>258</v>
      </c>
      <c r="E49" s="51"/>
      <c r="F49" s="3"/>
      <c r="G49" s="3"/>
      <c r="H49" s="3"/>
      <c r="I49" s="3"/>
      <c r="J49" s="3"/>
      <c r="K49" s="49"/>
    </row>
    <row r="50" spans="1:11" ht="26.1" customHeight="1" x14ac:dyDescent="0.25">
      <c r="A50" s="71"/>
      <c r="B50" s="83">
        <v>27</v>
      </c>
      <c r="C50" s="84" t="s">
        <v>217</v>
      </c>
      <c r="D50" s="90" t="s">
        <v>259</v>
      </c>
      <c r="E50" s="51"/>
      <c r="F50" s="98" t="e">
        <f>F49/F42</f>
        <v>#DIV/0!</v>
      </c>
      <c r="G50" s="98" t="e">
        <f>G49/G42</f>
        <v>#DIV/0!</v>
      </c>
      <c r="H50" s="98" t="e">
        <f>H49/H42</f>
        <v>#DIV/0!</v>
      </c>
      <c r="I50" s="98" t="e">
        <f>I49/I42</f>
        <v>#DIV/0!</v>
      </c>
      <c r="J50" s="98" t="e">
        <f>J49/J42</f>
        <v>#DIV/0!</v>
      </c>
      <c r="K50" s="49"/>
    </row>
    <row r="51" spans="1:11" ht="26.1" customHeight="1" x14ac:dyDescent="0.25">
      <c r="A51" s="71"/>
      <c r="B51" s="83">
        <v>28</v>
      </c>
      <c r="C51" s="84" t="s">
        <v>216</v>
      </c>
      <c r="D51" s="90" t="s">
        <v>260</v>
      </c>
      <c r="E51" s="51"/>
      <c r="F51" s="3"/>
      <c r="G51" s="3"/>
      <c r="H51" s="3"/>
      <c r="I51" s="3"/>
      <c r="J51" s="3"/>
      <c r="K51" s="49"/>
    </row>
    <row r="52" spans="1:11" ht="26.1" customHeight="1" x14ac:dyDescent="0.25">
      <c r="A52" s="71"/>
      <c r="B52" s="83">
        <v>29</v>
      </c>
      <c r="C52" s="84" t="s">
        <v>215</v>
      </c>
      <c r="D52" s="90" t="s">
        <v>261</v>
      </c>
      <c r="E52" s="51"/>
      <c r="F52" s="98" t="e">
        <f>F51/F43</f>
        <v>#DIV/0!</v>
      </c>
      <c r="G52" s="98" t="e">
        <f>G51/G43</f>
        <v>#DIV/0!</v>
      </c>
      <c r="H52" s="98" t="e">
        <f>H51/H43</f>
        <v>#DIV/0!</v>
      </c>
      <c r="I52" s="98" t="e">
        <f>I51/I43</f>
        <v>#DIV/0!</v>
      </c>
      <c r="J52" s="98" t="e">
        <f>J51/J43</f>
        <v>#DIV/0!</v>
      </c>
      <c r="K52" s="49"/>
    </row>
    <row r="53" spans="1:11" ht="15" customHeight="1" thickBot="1" x14ac:dyDescent="0.3">
      <c r="A53" s="53"/>
      <c r="B53" s="54"/>
      <c r="C53" s="51"/>
      <c r="D53" s="51"/>
      <c r="E53" s="51"/>
      <c r="F53" s="51"/>
      <c r="G53" s="51"/>
      <c r="H53" s="51"/>
      <c r="I53" s="51"/>
      <c r="J53" s="51"/>
      <c r="K53" s="49"/>
    </row>
    <row r="54" spans="1:11" ht="21.75" customHeight="1" thickBot="1" x14ac:dyDescent="0.3">
      <c r="A54" s="53"/>
      <c r="B54" s="130" t="s">
        <v>214</v>
      </c>
      <c r="C54" s="131"/>
      <c r="D54" s="131"/>
      <c r="E54" s="131"/>
      <c r="F54" s="131"/>
      <c r="G54" s="131"/>
      <c r="H54" s="131"/>
      <c r="I54" s="131"/>
      <c r="J54" s="132"/>
      <c r="K54" s="49"/>
    </row>
    <row r="55" spans="1:11" ht="15" customHeight="1" x14ac:dyDescent="0.25">
      <c r="A55" s="53"/>
      <c r="B55" s="52"/>
      <c r="C55" s="51"/>
      <c r="D55" s="51"/>
      <c r="E55" s="50"/>
      <c r="K55" s="49"/>
    </row>
    <row r="56" spans="1:11" ht="15" customHeight="1" x14ac:dyDescent="0.25">
      <c r="A56" s="53"/>
      <c r="B56" s="123" t="s">
        <v>213</v>
      </c>
      <c r="C56" s="124"/>
      <c r="D56" s="124"/>
      <c r="E56" s="124"/>
      <c r="F56" s="124"/>
      <c r="G56" s="124"/>
      <c r="H56" s="124"/>
      <c r="I56" s="124"/>
      <c r="J56" s="125"/>
      <c r="K56" s="49"/>
    </row>
    <row r="57" spans="1:11" ht="15.75" customHeight="1" x14ac:dyDescent="0.25">
      <c r="A57" s="53"/>
      <c r="B57" s="117" t="s">
        <v>283</v>
      </c>
      <c r="C57" s="118"/>
      <c r="D57" s="118"/>
      <c r="E57" s="118"/>
      <c r="F57" s="118"/>
      <c r="G57" s="118"/>
      <c r="H57" s="118"/>
      <c r="I57" s="118"/>
      <c r="J57" s="119"/>
      <c r="K57" s="49"/>
    </row>
    <row r="58" spans="1:11" ht="15.75" x14ac:dyDescent="0.25">
      <c r="A58" s="53"/>
      <c r="B58" s="120"/>
      <c r="C58" s="121"/>
      <c r="D58" s="121"/>
      <c r="E58" s="121"/>
      <c r="F58" s="121"/>
      <c r="G58" s="121"/>
      <c r="H58" s="121"/>
      <c r="I58" s="121"/>
      <c r="J58" s="122"/>
      <c r="K58" s="49"/>
    </row>
    <row r="59" spans="1:11" s="41" customFormat="1" ht="15.75" x14ac:dyDescent="0.25">
      <c r="A59" s="44"/>
      <c r="B59" s="48"/>
      <c r="C59" s="48"/>
      <c r="D59" s="48"/>
      <c r="E59" s="48"/>
      <c r="F59" s="48"/>
      <c r="G59" s="48"/>
      <c r="H59" s="48"/>
      <c r="I59" s="48"/>
      <c r="J59" s="48"/>
      <c r="K59" s="42"/>
    </row>
    <row r="60" spans="1:11" s="41" customFormat="1" ht="15.75" x14ac:dyDescent="0.25">
      <c r="A60" s="44"/>
      <c r="B60" s="42"/>
      <c r="C60" s="42"/>
      <c r="D60" s="42"/>
      <c r="E60" s="82" t="s">
        <v>230</v>
      </c>
      <c r="F60" s="42"/>
      <c r="G60" s="42"/>
      <c r="H60" s="42"/>
      <c r="I60" s="42"/>
      <c r="J60" s="42"/>
      <c r="K60" s="42"/>
    </row>
    <row r="61" spans="1:11" s="41" customFormat="1" ht="15.75" customHeight="1" x14ac:dyDescent="0.25">
      <c r="A61" s="44"/>
      <c r="B61" s="123" t="s">
        <v>284</v>
      </c>
      <c r="C61" s="124"/>
      <c r="D61" s="90" t="s">
        <v>262</v>
      </c>
      <c r="E61" s="45"/>
      <c r="F61" s="43"/>
      <c r="G61" s="43"/>
      <c r="H61" s="43"/>
      <c r="I61" s="43"/>
      <c r="J61" s="43"/>
      <c r="K61" s="42"/>
    </row>
    <row r="62" spans="1:11" s="41" customFormat="1" ht="43.5" customHeight="1" x14ac:dyDescent="0.25">
      <c r="A62" s="44"/>
      <c r="B62" s="129" t="s">
        <v>285</v>
      </c>
      <c r="C62" s="129"/>
      <c r="D62" s="90" t="s">
        <v>263</v>
      </c>
      <c r="E62" s="80"/>
      <c r="F62" s="43"/>
      <c r="G62" s="43"/>
      <c r="H62" s="43"/>
      <c r="I62" s="43"/>
      <c r="J62" s="43"/>
      <c r="K62" s="42"/>
    </row>
    <row r="63" spans="1:11" s="41" customFormat="1" ht="78" customHeight="1" x14ac:dyDescent="0.25">
      <c r="A63" s="44"/>
      <c r="B63" s="123" t="s">
        <v>265</v>
      </c>
      <c r="C63" s="124"/>
      <c r="D63" s="90" t="s">
        <v>264</v>
      </c>
      <c r="E63" s="80" t="s">
        <v>280</v>
      </c>
      <c r="F63" s="43"/>
      <c r="G63" s="43"/>
      <c r="H63" s="43"/>
      <c r="I63" s="43"/>
      <c r="J63" s="43"/>
      <c r="K63" s="42"/>
    </row>
    <row r="64" spans="1:11" s="41" customFormat="1" ht="45" customHeight="1" x14ac:dyDescent="0.25">
      <c r="A64" s="44"/>
      <c r="B64" s="138" t="s">
        <v>286</v>
      </c>
      <c r="C64" s="138"/>
      <c r="D64" s="1"/>
      <c r="E64" s="1"/>
      <c r="F64" s="1"/>
      <c r="G64" s="1"/>
      <c r="H64" s="1"/>
      <c r="I64" s="1"/>
      <c r="J64" s="1"/>
      <c r="K64" s="42"/>
    </row>
    <row r="65" spans="1:11" s="41" customFormat="1" ht="15.75" x14ac:dyDescent="0.25">
      <c r="A65" s="44"/>
      <c r="B65" s="129" t="s">
        <v>212</v>
      </c>
      <c r="C65" s="129"/>
      <c r="D65" s="81" t="s">
        <v>266</v>
      </c>
      <c r="E65" s="45"/>
      <c r="F65" s="1"/>
      <c r="G65" s="1"/>
      <c r="H65" s="1"/>
      <c r="I65" s="1"/>
      <c r="J65" s="1"/>
      <c r="K65" s="42"/>
    </row>
    <row r="66" spans="1:11" s="41" customFormat="1" ht="15.75" x14ac:dyDescent="0.25">
      <c r="A66" s="44"/>
      <c r="B66" s="129" t="s">
        <v>210</v>
      </c>
      <c r="C66" s="129"/>
      <c r="D66" s="81" t="s">
        <v>270</v>
      </c>
      <c r="E66" s="80" t="s">
        <v>280</v>
      </c>
      <c r="F66" s="1"/>
      <c r="G66" s="1"/>
      <c r="H66" s="1"/>
      <c r="I66" s="1"/>
      <c r="J66" s="1"/>
      <c r="K66" s="47"/>
    </row>
    <row r="67" spans="1:11" s="41" customFormat="1" ht="15.75" x14ac:dyDescent="0.25">
      <c r="A67" s="44"/>
      <c r="B67" s="129" t="s">
        <v>211</v>
      </c>
      <c r="C67" s="129"/>
      <c r="D67" s="81" t="s">
        <v>271</v>
      </c>
      <c r="E67" s="45"/>
      <c r="F67" s="1"/>
      <c r="G67" s="1"/>
      <c r="H67" s="1"/>
      <c r="I67" s="1"/>
      <c r="J67" s="1"/>
      <c r="K67" s="47"/>
    </row>
    <row r="68" spans="1:11" s="41" customFormat="1" ht="15.75" x14ac:dyDescent="0.25">
      <c r="A68" s="44"/>
      <c r="B68" s="129" t="s">
        <v>210</v>
      </c>
      <c r="C68" s="129"/>
      <c r="D68" s="81" t="s">
        <v>272</v>
      </c>
      <c r="E68" s="80" t="s">
        <v>280</v>
      </c>
      <c r="F68" s="1"/>
      <c r="G68" s="1"/>
      <c r="H68" s="1"/>
      <c r="I68" s="1"/>
      <c r="J68" s="1"/>
      <c r="K68" s="42"/>
    </row>
    <row r="69" spans="1:11" s="41" customFormat="1" ht="15.75" customHeight="1" x14ac:dyDescent="0.25">
      <c r="A69" s="44"/>
      <c r="B69" s="123" t="s">
        <v>268</v>
      </c>
      <c r="C69" s="124"/>
      <c r="D69" s="81" t="s">
        <v>273</v>
      </c>
      <c r="E69" s="45"/>
      <c r="F69" s="1"/>
      <c r="G69" s="1"/>
      <c r="H69" s="1"/>
      <c r="I69" s="1"/>
      <c r="J69" s="1"/>
      <c r="K69" s="42"/>
    </row>
    <row r="70" spans="1:11" s="41" customFormat="1" ht="70.349999999999994" customHeight="1" x14ac:dyDescent="0.25">
      <c r="A70" s="44"/>
      <c r="B70" s="129" t="s">
        <v>269</v>
      </c>
      <c r="C70" s="129"/>
      <c r="D70" s="81" t="s">
        <v>274</v>
      </c>
      <c r="E70" s="80"/>
      <c r="F70" s="1"/>
      <c r="G70" s="1"/>
      <c r="H70" s="1"/>
      <c r="I70" s="1"/>
      <c r="J70" s="1"/>
      <c r="K70" s="42"/>
    </row>
    <row r="71" spans="1:11" s="41" customFormat="1" ht="37.5" customHeight="1" x14ac:dyDescent="0.25">
      <c r="A71" s="44"/>
      <c r="B71" s="123" t="s">
        <v>281</v>
      </c>
      <c r="C71" s="124"/>
      <c r="D71" s="81" t="s">
        <v>275</v>
      </c>
      <c r="E71" s="45"/>
      <c r="F71" s="1"/>
      <c r="G71" s="1"/>
      <c r="H71" s="1"/>
      <c r="I71" s="1"/>
      <c r="J71" s="1"/>
      <c r="K71" s="42"/>
    </row>
    <row r="72" spans="1:11" s="41" customFormat="1" ht="70.349999999999994" customHeight="1" x14ac:dyDescent="0.25">
      <c r="A72" s="44"/>
      <c r="B72" s="129" t="s">
        <v>267</v>
      </c>
      <c r="C72" s="129"/>
      <c r="D72" s="81" t="s">
        <v>276</v>
      </c>
      <c r="E72" s="80" t="s">
        <v>280</v>
      </c>
      <c r="F72" s="1"/>
      <c r="G72" s="1"/>
      <c r="H72" s="1"/>
      <c r="I72" s="1"/>
      <c r="J72" s="1"/>
      <c r="K72" s="42"/>
    </row>
    <row r="73" spans="1:11" s="41" customFormat="1" ht="38.25" customHeight="1" x14ac:dyDescent="0.25">
      <c r="A73" s="44"/>
      <c r="B73" s="123" t="s">
        <v>279</v>
      </c>
      <c r="C73" s="124"/>
      <c r="D73" s="81" t="s">
        <v>277</v>
      </c>
      <c r="E73" s="45"/>
      <c r="F73" s="1"/>
      <c r="G73" s="1"/>
      <c r="H73" s="1"/>
      <c r="I73" s="1"/>
      <c r="J73" s="1"/>
      <c r="K73" s="46"/>
    </row>
    <row r="74" spans="1:11" s="41" customFormat="1" ht="70.349999999999994" customHeight="1" x14ac:dyDescent="0.25">
      <c r="A74" s="44"/>
      <c r="B74" s="129" t="s">
        <v>209</v>
      </c>
      <c r="C74" s="129"/>
      <c r="D74" s="81" t="s">
        <v>278</v>
      </c>
      <c r="E74" s="80" t="s">
        <v>280</v>
      </c>
      <c r="F74" s="1"/>
      <c r="G74" s="1"/>
      <c r="H74" s="1"/>
      <c r="I74" s="1"/>
      <c r="J74" s="1"/>
      <c r="K74" s="46"/>
    </row>
    <row r="75" spans="1:11" s="41" customFormat="1" ht="70.349999999999994" customHeight="1" x14ac:dyDescent="0.25">
      <c r="A75" s="44"/>
      <c r="B75" s="1"/>
      <c r="C75" s="1"/>
      <c r="D75" s="1"/>
      <c r="E75" s="1"/>
      <c r="F75" s="1"/>
      <c r="G75" s="1"/>
      <c r="H75" s="1"/>
      <c r="I75" s="1"/>
      <c r="J75" s="1"/>
      <c r="K75" s="42"/>
    </row>
  </sheetData>
  <mergeCells count="23">
    <mergeCell ref="B72:C72"/>
    <mergeCell ref="B71:C71"/>
    <mergeCell ref="B74:C74"/>
    <mergeCell ref="B73:C73"/>
    <mergeCell ref="B70:C70"/>
    <mergeCell ref="B69:C69"/>
    <mergeCell ref="B68:C68"/>
    <mergeCell ref="B67:C67"/>
    <mergeCell ref="B66:C66"/>
    <mergeCell ref="B64:C64"/>
    <mergeCell ref="B65:C65"/>
    <mergeCell ref="B2:J2"/>
    <mergeCell ref="B3:E3"/>
    <mergeCell ref="B4:E4"/>
    <mergeCell ref="F6:J6"/>
    <mergeCell ref="B54:J54"/>
    <mergeCell ref="B57:J58"/>
    <mergeCell ref="B56:J56"/>
    <mergeCell ref="C8:C9"/>
    <mergeCell ref="B8:B9"/>
    <mergeCell ref="B63:C63"/>
    <mergeCell ref="B61:C61"/>
    <mergeCell ref="B62:C62"/>
  </mergeCells>
  <phoneticPr fontId="19" type="noConversion"/>
  <dataValidations count="5">
    <dataValidation type="list" allowBlank="1" showInputMessage="1" showErrorMessage="1" sqref="E61 E69 E71 E73" xr:uid="{EBFED068-1402-4038-8F89-1A7D10EDFC85}">
      <formula1>"Yes, No"</formula1>
    </dataValidation>
    <dataValidation type="whole" allowBlank="1" showInputMessage="1" showErrorMessage="1" error="Value must be between 100 bps and 400 bps for the size of the Parallel shock according to the Annex III of the EBA/GL/2018/02." sqref="F13:I13" xr:uid="{66A7B762-5526-4843-86E8-A3BD90E45EA6}">
      <formula1>100</formula1>
      <formula2>400</formula2>
    </dataValidation>
    <dataValidation type="whole" allowBlank="1" showInputMessage="1" showErrorMessage="1" error="Value must be between 100 bps and 500 bps for the size of the Short term shock according to the Annex III of the EBA/GL/2018/02." sqref="F14:I14" xr:uid="{27D852E3-D18D-4F93-A23F-750FFA084001}">
      <formula1>100</formula1>
      <formula2>500</formula2>
    </dataValidation>
    <dataValidation type="whole" allowBlank="1" showInputMessage="1" showErrorMessage="1" error="Value must be between 100 bps and 300 bps for the size of the Long term shock according to the Annex III of the EBA/GL/2018/02." sqref="F15:I15" xr:uid="{05EFA330-1435-4F0C-8F8F-8DBCC4D0B43A}">
      <formula1>100</formula1>
      <formula2>300</formula2>
    </dataValidation>
    <dataValidation type="list" allowBlank="1" showInputMessage="1" showErrorMessage="1" sqref="E65 E67" xr:uid="{917427F5-9266-408E-9139-9F19C0C6A277}">
      <formula1>"Unconditional cash flows, Cash flows partially or fully conditional on interest rate scenario"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0"/>
  <dimension ref="A2:F279"/>
  <sheetViews>
    <sheetView workbookViewId="0">
      <selection activeCell="A10" sqref="A10"/>
    </sheetView>
  </sheetViews>
  <sheetFormatPr defaultColWidth="8.85546875" defaultRowHeight="15" x14ac:dyDescent="0.25"/>
  <cols>
    <col min="1" max="1" width="2.5703125" style="1" customWidth="1"/>
    <col min="2" max="2" width="43.42578125" style="1" customWidth="1"/>
    <col min="3" max="5" width="11.5703125" style="1" customWidth="1"/>
    <col min="6" max="16384" width="8.85546875" style="1"/>
  </cols>
  <sheetData>
    <row r="2" spans="1:6" ht="15.75" thickBot="1" x14ac:dyDescent="0.3"/>
    <row r="3" spans="1:6" x14ac:dyDescent="0.25">
      <c r="A3" s="15"/>
      <c r="B3" s="19" t="s">
        <v>185</v>
      </c>
      <c r="C3" s="139" t="s">
        <v>188</v>
      </c>
      <c r="D3" s="139"/>
      <c r="E3" s="140"/>
      <c r="F3" s="15"/>
    </row>
    <row r="4" spans="1:6" x14ac:dyDescent="0.25">
      <c r="A4" s="15"/>
      <c r="B4" s="16" t="s">
        <v>186</v>
      </c>
      <c r="C4" s="26" t="s">
        <v>182</v>
      </c>
      <c r="D4" s="26" t="s">
        <v>183</v>
      </c>
      <c r="E4" s="27" t="s">
        <v>184</v>
      </c>
      <c r="F4" s="15"/>
    </row>
    <row r="5" spans="1:6" x14ac:dyDescent="0.25">
      <c r="A5" s="15"/>
      <c r="B5" s="17" t="s">
        <v>187</v>
      </c>
      <c r="C5" s="20"/>
      <c r="D5" s="20"/>
      <c r="E5" s="21"/>
      <c r="F5" s="15"/>
    </row>
    <row r="6" spans="1:6" x14ac:dyDescent="0.25">
      <c r="A6" s="15"/>
      <c r="B6" s="17" t="s">
        <v>169</v>
      </c>
      <c r="C6" s="20"/>
      <c r="D6" s="20"/>
      <c r="E6" s="21"/>
      <c r="F6" s="15"/>
    </row>
    <row r="7" spans="1:6" x14ac:dyDescent="0.25">
      <c r="A7" s="15"/>
      <c r="B7" s="17" t="s">
        <v>50</v>
      </c>
      <c r="C7" s="20"/>
      <c r="D7" s="20"/>
      <c r="E7" s="21"/>
      <c r="F7" s="15"/>
    </row>
    <row r="8" spans="1:6" x14ac:dyDescent="0.25">
      <c r="A8" s="15"/>
      <c r="B8" s="17" t="s">
        <v>9</v>
      </c>
      <c r="C8" s="20"/>
      <c r="D8" s="20"/>
      <c r="E8" s="21"/>
      <c r="F8" s="15"/>
    </row>
    <row r="9" spans="1:6" x14ac:dyDescent="0.25">
      <c r="A9" s="15"/>
      <c r="B9" s="17" t="s">
        <v>53</v>
      </c>
      <c r="C9" s="20"/>
      <c r="D9" s="20"/>
      <c r="E9" s="21"/>
      <c r="F9" s="15"/>
    </row>
    <row r="10" spans="1:6" x14ac:dyDescent="0.25">
      <c r="A10" s="15"/>
      <c r="B10" s="17" t="s">
        <v>83</v>
      </c>
      <c r="C10" s="20"/>
      <c r="D10" s="20"/>
      <c r="E10" s="21"/>
      <c r="F10" s="15"/>
    </row>
    <row r="11" spans="1:6" x14ac:dyDescent="0.25">
      <c r="A11" s="15"/>
      <c r="B11" s="17" t="s">
        <v>52</v>
      </c>
      <c r="C11" s="20"/>
      <c r="D11" s="20"/>
      <c r="E11" s="21"/>
      <c r="F11" s="15"/>
    </row>
    <row r="12" spans="1:6" x14ac:dyDescent="0.25">
      <c r="A12" s="15"/>
      <c r="B12" s="17" t="s">
        <v>13</v>
      </c>
      <c r="C12" s="20">
        <v>400</v>
      </c>
      <c r="D12" s="20">
        <v>500</v>
      </c>
      <c r="E12" s="21">
        <v>300</v>
      </c>
      <c r="F12" s="15"/>
    </row>
    <row r="13" spans="1:6" x14ac:dyDescent="0.25">
      <c r="A13" s="15"/>
      <c r="B13" s="17" t="s">
        <v>6</v>
      </c>
      <c r="C13" s="20">
        <v>300</v>
      </c>
      <c r="D13" s="20">
        <v>450</v>
      </c>
      <c r="E13" s="21">
        <v>200</v>
      </c>
      <c r="F13" s="15"/>
    </row>
    <row r="14" spans="1:6" x14ac:dyDescent="0.25">
      <c r="A14" s="15"/>
      <c r="B14" s="17" t="s">
        <v>54</v>
      </c>
      <c r="C14" s="20"/>
      <c r="D14" s="20"/>
      <c r="E14" s="21"/>
      <c r="F14" s="15"/>
    </row>
    <row r="15" spans="1:6" x14ac:dyDescent="0.25">
      <c r="A15" s="15"/>
      <c r="B15" s="17" t="s">
        <v>55</v>
      </c>
      <c r="C15" s="20"/>
      <c r="D15" s="20"/>
      <c r="E15" s="21"/>
      <c r="F15" s="15"/>
    </row>
    <row r="16" spans="1:6" x14ac:dyDescent="0.25">
      <c r="A16" s="15"/>
      <c r="B16" s="17" t="s">
        <v>67</v>
      </c>
      <c r="C16" s="20"/>
      <c r="D16" s="20"/>
      <c r="E16" s="21"/>
      <c r="F16" s="15"/>
    </row>
    <row r="17" spans="1:6" x14ac:dyDescent="0.25">
      <c r="A17" s="15"/>
      <c r="B17" s="17" t="s">
        <v>59</v>
      </c>
      <c r="C17" s="20"/>
      <c r="D17" s="20"/>
      <c r="E17" s="21"/>
      <c r="F17" s="15"/>
    </row>
    <row r="18" spans="1:6" x14ac:dyDescent="0.25">
      <c r="A18" s="15"/>
      <c r="B18" s="17" t="s">
        <v>58</v>
      </c>
      <c r="C18" s="20"/>
      <c r="D18" s="20"/>
      <c r="E18" s="21"/>
      <c r="F18" s="15"/>
    </row>
    <row r="19" spans="1:6" x14ac:dyDescent="0.25">
      <c r="A19" s="15"/>
      <c r="B19" s="17" t="s">
        <v>26</v>
      </c>
      <c r="C19" s="20">
        <v>250</v>
      </c>
      <c r="D19" s="20">
        <v>350</v>
      </c>
      <c r="E19" s="21">
        <v>150</v>
      </c>
      <c r="F19" s="15"/>
    </row>
    <row r="20" spans="1:6" x14ac:dyDescent="0.25">
      <c r="A20" s="15"/>
      <c r="B20" s="17" t="s">
        <v>57</v>
      </c>
      <c r="C20" s="20"/>
      <c r="D20" s="20"/>
      <c r="E20" s="21"/>
      <c r="F20" s="15"/>
    </row>
    <row r="21" spans="1:6" x14ac:dyDescent="0.25">
      <c r="A21" s="15"/>
      <c r="B21" s="17" t="s">
        <v>70</v>
      </c>
      <c r="C21" s="20"/>
      <c r="D21" s="20"/>
      <c r="E21" s="21"/>
      <c r="F21" s="15"/>
    </row>
    <row r="22" spans="1:6" x14ac:dyDescent="0.25">
      <c r="A22" s="15"/>
      <c r="B22" s="17" t="s">
        <v>62</v>
      </c>
      <c r="C22" s="20"/>
      <c r="D22" s="20"/>
      <c r="E22" s="21"/>
      <c r="F22" s="15"/>
    </row>
    <row r="23" spans="1:6" x14ac:dyDescent="0.25">
      <c r="A23" s="15"/>
      <c r="B23" s="17" t="s">
        <v>69</v>
      </c>
      <c r="C23" s="20"/>
      <c r="D23" s="20"/>
      <c r="E23" s="21"/>
      <c r="F23" s="15"/>
    </row>
    <row r="24" spans="1:6" x14ac:dyDescent="0.25">
      <c r="A24" s="15"/>
      <c r="B24" s="17" t="s">
        <v>65</v>
      </c>
      <c r="C24" s="20"/>
      <c r="D24" s="20"/>
      <c r="E24" s="21"/>
      <c r="F24" s="15"/>
    </row>
    <row r="25" spans="1:6" x14ac:dyDescent="0.25">
      <c r="A25" s="15"/>
      <c r="B25" s="17" t="s">
        <v>66</v>
      </c>
      <c r="C25" s="20"/>
      <c r="D25" s="20"/>
      <c r="E25" s="21"/>
      <c r="F25" s="15"/>
    </row>
    <row r="26" spans="1:6" x14ac:dyDescent="0.25">
      <c r="A26" s="15"/>
      <c r="B26" s="17" t="s">
        <v>14</v>
      </c>
      <c r="C26" s="20">
        <v>400</v>
      </c>
      <c r="D26" s="20">
        <v>500</v>
      </c>
      <c r="E26" s="21">
        <v>300</v>
      </c>
      <c r="F26" s="15"/>
    </row>
    <row r="27" spans="1:6" x14ac:dyDescent="0.25">
      <c r="A27" s="15"/>
      <c r="B27" s="17" t="s">
        <v>56</v>
      </c>
      <c r="C27" s="20"/>
      <c r="D27" s="20"/>
      <c r="E27" s="21"/>
      <c r="F27" s="15"/>
    </row>
    <row r="28" spans="1:6" x14ac:dyDescent="0.25">
      <c r="A28" s="15"/>
      <c r="B28" s="17" t="s">
        <v>64</v>
      </c>
      <c r="C28" s="20"/>
      <c r="D28" s="20"/>
      <c r="E28" s="21"/>
      <c r="F28" s="15"/>
    </row>
    <row r="29" spans="1:6" x14ac:dyDescent="0.25">
      <c r="A29" s="15"/>
      <c r="B29" s="17" t="s">
        <v>68</v>
      </c>
      <c r="C29" s="20"/>
      <c r="D29" s="20"/>
      <c r="E29" s="21"/>
      <c r="F29" s="15"/>
    </row>
    <row r="30" spans="1:6" x14ac:dyDescent="0.25">
      <c r="A30" s="15"/>
      <c r="B30" s="17" t="s">
        <v>60</v>
      </c>
      <c r="C30" s="20"/>
      <c r="D30" s="20"/>
      <c r="E30" s="21"/>
      <c r="F30" s="15"/>
    </row>
    <row r="31" spans="1:6" x14ac:dyDescent="0.25">
      <c r="A31" s="15"/>
      <c r="B31" s="17" t="s">
        <v>61</v>
      </c>
      <c r="C31" s="20"/>
      <c r="D31" s="20"/>
      <c r="E31" s="21"/>
      <c r="F31" s="15"/>
    </row>
    <row r="32" spans="1:6" x14ac:dyDescent="0.25">
      <c r="A32" s="15"/>
      <c r="B32" s="17" t="s">
        <v>7</v>
      </c>
      <c r="C32" s="20">
        <v>200</v>
      </c>
      <c r="D32" s="20">
        <v>300</v>
      </c>
      <c r="E32" s="21">
        <v>150</v>
      </c>
      <c r="F32" s="15"/>
    </row>
    <row r="33" spans="1:6" x14ac:dyDescent="0.25">
      <c r="A33" s="15"/>
      <c r="B33" s="17" t="s">
        <v>79</v>
      </c>
      <c r="C33" s="20"/>
      <c r="D33" s="20"/>
      <c r="E33" s="21"/>
      <c r="F33" s="15"/>
    </row>
    <row r="34" spans="1:6" x14ac:dyDescent="0.25">
      <c r="A34" s="15"/>
      <c r="B34" s="17" t="s">
        <v>158</v>
      </c>
      <c r="C34" s="20"/>
      <c r="D34" s="20"/>
      <c r="E34" s="21"/>
      <c r="F34" s="15"/>
    </row>
    <row r="35" spans="1:6" x14ac:dyDescent="0.25">
      <c r="A35" s="15"/>
      <c r="B35" s="17" t="s">
        <v>2</v>
      </c>
      <c r="C35" s="20">
        <v>100</v>
      </c>
      <c r="D35" s="20">
        <v>150</v>
      </c>
      <c r="E35" s="21">
        <v>100</v>
      </c>
      <c r="F35" s="15"/>
    </row>
    <row r="36" spans="1:6" x14ac:dyDescent="0.25">
      <c r="A36" s="15"/>
      <c r="B36" s="17" t="s">
        <v>159</v>
      </c>
      <c r="C36" s="20"/>
      <c r="D36" s="20"/>
      <c r="E36" s="21"/>
      <c r="F36" s="15"/>
    </row>
    <row r="37" spans="1:6" x14ac:dyDescent="0.25">
      <c r="A37" s="15"/>
      <c r="B37" s="17" t="s">
        <v>75</v>
      </c>
      <c r="C37" s="20"/>
      <c r="D37" s="20"/>
      <c r="E37" s="21"/>
      <c r="F37" s="15"/>
    </row>
    <row r="38" spans="1:6" x14ac:dyDescent="0.25">
      <c r="A38" s="15"/>
      <c r="B38" s="17" t="s">
        <v>74</v>
      </c>
      <c r="C38" s="20"/>
      <c r="D38" s="20"/>
      <c r="E38" s="21"/>
      <c r="F38" s="15"/>
    </row>
    <row r="39" spans="1:6" x14ac:dyDescent="0.25">
      <c r="A39" s="15"/>
      <c r="B39" s="17" t="s">
        <v>22</v>
      </c>
      <c r="C39" s="20">
        <v>250</v>
      </c>
      <c r="D39" s="20">
        <v>300</v>
      </c>
      <c r="E39" s="21">
        <v>150</v>
      </c>
      <c r="F39" s="15"/>
    </row>
    <row r="40" spans="1:6" x14ac:dyDescent="0.25">
      <c r="A40" s="15"/>
      <c r="B40" s="17" t="s">
        <v>76</v>
      </c>
      <c r="C40" s="20"/>
      <c r="D40" s="20"/>
      <c r="E40" s="21"/>
      <c r="F40" s="15"/>
    </row>
    <row r="41" spans="1:6" x14ac:dyDescent="0.25">
      <c r="A41" s="15"/>
      <c r="B41" s="17" t="s">
        <v>77</v>
      </c>
      <c r="C41" s="20"/>
      <c r="D41" s="20"/>
      <c r="E41" s="21"/>
      <c r="F41" s="15"/>
    </row>
    <row r="42" spans="1:6" x14ac:dyDescent="0.25">
      <c r="A42" s="15"/>
      <c r="B42" s="17" t="s">
        <v>80</v>
      </c>
      <c r="C42" s="20"/>
      <c r="D42" s="20"/>
      <c r="E42" s="21"/>
      <c r="F42" s="15"/>
    </row>
    <row r="43" spans="1:6" x14ac:dyDescent="0.25">
      <c r="A43" s="15"/>
      <c r="B43" s="17" t="s">
        <v>82</v>
      </c>
      <c r="C43" s="20"/>
      <c r="D43" s="20"/>
      <c r="E43" s="21"/>
      <c r="F43" s="15"/>
    </row>
    <row r="44" spans="1:6" x14ac:dyDescent="0.25">
      <c r="A44" s="15"/>
      <c r="B44" s="17" t="s">
        <v>81</v>
      </c>
      <c r="C44" s="20"/>
      <c r="D44" s="20"/>
      <c r="E44" s="21"/>
      <c r="F44" s="15"/>
    </row>
    <row r="45" spans="1:6" x14ac:dyDescent="0.25">
      <c r="A45" s="15"/>
      <c r="B45" s="17" t="s">
        <v>71</v>
      </c>
      <c r="C45" s="20"/>
      <c r="D45" s="20"/>
      <c r="E45" s="21"/>
      <c r="F45" s="15"/>
    </row>
    <row r="46" spans="1:6" x14ac:dyDescent="0.25">
      <c r="A46" s="15"/>
      <c r="B46" s="17" t="s">
        <v>29</v>
      </c>
      <c r="C46" s="20">
        <v>200</v>
      </c>
      <c r="D46" s="20">
        <v>250</v>
      </c>
      <c r="E46" s="21">
        <v>100</v>
      </c>
      <c r="F46" s="15"/>
    </row>
    <row r="47" spans="1:6" x14ac:dyDescent="0.25">
      <c r="A47" s="15"/>
      <c r="B47" s="17" t="s">
        <v>84</v>
      </c>
      <c r="C47" s="20"/>
      <c r="D47" s="20"/>
      <c r="E47" s="21"/>
      <c r="F47" s="15"/>
    </row>
    <row r="48" spans="1:6" x14ac:dyDescent="0.25">
      <c r="A48" s="15"/>
      <c r="B48" s="17" t="s">
        <v>30</v>
      </c>
      <c r="C48" s="20">
        <v>200</v>
      </c>
      <c r="D48" s="20">
        <v>250</v>
      </c>
      <c r="E48" s="21">
        <v>150</v>
      </c>
      <c r="F48" s="15"/>
    </row>
    <row r="49" spans="1:6" x14ac:dyDescent="0.25">
      <c r="A49" s="15"/>
      <c r="B49" s="17" t="s">
        <v>85</v>
      </c>
      <c r="C49" s="20"/>
      <c r="D49" s="20"/>
      <c r="E49" s="21"/>
      <c r="F49" s="15"/>
    </row>
    <row r="50" spans="1:6" x14ac:dyDescent="0.25">
      <c r="A50" s="15"/>
      <c r="B50" s="17" t="s">
        <v>51</v>
      </c>
      <c r="C50" s="20"/>
      <c r="D50" s="20"/>
      <c r="E50" s="21"/>
      <c r="F50" s="15"/>
    </row>
    <row r="51" spans="1:6" x14ac:dyDescent="0.25">
      <c r="A51" s="15"/>
      <c r="B51" s="17" t="s">
        <v>12</v>
      </c>
      <c r="C51" s="20"/>
      <c r="D51" s="20"/>
      <c r="E51" s="21"/>
      <c r="F51" s="15"/>
    </row>
    <row r="52" spans="1:6" x14ac:dyDescent="0.25">
      <c r="A52" s="15"/>
      <c r="B52" s="17" t="s">
        <v>87</v>
      </c>
      <c r="C52" s="20"/>
      <c r="D52" s="20"/>
      <c r="E52" s="21"/>
      <c r="F52" s="15"/>
    </row>
    <row r="53" spans="1:6" x14ac:dyDescent="0.25">
      <c r="A53" s="15"/>
      <c r="B53" s="17" t="s">
        <v>88</v>
      </c>
      <c r="C53" s="20"/>
      <c r="D53" s="20"/>
      <c r="E53" s="21"/>
      <c r="F53" s="15"/>
    </row>
    <row r="54" spans="1:6" x14ac:dyDescent="0.25">
      <c r="A54" s="15"/>
      <c r="B54" s="17" t="s">
        <v>23</v>
      </c>
      <c r="C54" s="20">
        <v>200</v>
      </c>
      <c r="D54" s="20">
        <v>250</v>
      </c>
      <c r="E54" s="21">
        <v>100</v>
      </c>
      <c r="F54" s="15"/>
    </row>
    <row r="55" spans="1:6" x14ac:dyDescent="0.25">
      <c r="A55" s="15"/>
      <c r="B55" s="17" t="s">
        <v>90</v>
      </c>
      <c r="C55" s="20"/>
      <c r="D55" s="20"/>
      <c r="E55" s="21"/>
      <c r="F55" s="15"/>
    </row>
    <row r="56" spans="1:6" x14ac:dyDescent="0.25">
      <c r="A56" s="15"/>
      <c r="B56" s="17" t="s">
        <v>89</v>
      </c>
      <c r="C56" s="20"/>
      <c r="D56" s="20"/>
      <c r="E56" s="21"/>
      <c r="F56" s="15"/>
    </row>
    <row r="57" spans="1:6" x14ac:dyDescent="0.25">
      <c r="A57" s="15"/>
      <c r="B57" s="17" t="s">
        <v>32</v>
      </c>
      <c r="C57" s="20">
        <v>250</v>
      </c>
      <c r="D57" s="20">
        <v>300</v>
      </c>
      <c r="E57" s="21">
        <v>150</v>
      </c>
      <c r="F57" s="15"/>
    </row>
    <row r="58" spans="1:6" x14ac:dyDescent="0.25">
      <c r="A58" s="15"/>
      <c r="B58" s="17" t="s">
        <v>93</v>
      </c>
      <c r="C58" s="20"/>
      <c r="D58" s="20"/>
      <c r="E58" s="21"/>
      <c r="F58" s="15"/>
    </row>
    <row r="59" spans="1:6" x14ac:dyDescent="0.25">
      <c r="A59" s="15"/>
      <c r="B59" s="17" t="s">
        <v>94</v>
      </c>
      <c r="C59" s="20"/>
      <c r="D59" s="20"/>
      <c r="E59" s="21"/>
      <c r="F59" s="15"/>
    </row>
    <row r="60" spans="1:6" x14ac:dyDescent="0.25">
      <c r="A60" s="15"/>
      <c r="B60" s="17" t="s">
        <v>95</v>
      </c>
      <c r="C60" s="20"/>
      <c r="D60" s="20"/>
      <c r="E60" s="21"/>
      <c r="F60" s="15"/>
    </row>
    <row r="61" spans="1:6" x14ac:dyDescent="0.25">
      <c r="A61" s="15"/>
      <c r="B61" s="17" t="s">
        <v>92</v>
      </c>
      <c r="C61" s="20"/>
      <c r="D61" s="20"/>
      <c r="E61" s="21"/>
      <c r="F61" s="15"/>
    </row>
    <row r="62" spans="1:6" x14ac:dyDescent="0.25">
      <c r="A62" s="15"/>
      <c r="B62" s="17" t="s">
        <v>97</v>
      </c>
      <c r="C62" s="20"/>
      <c r="D62" s="20"/>
      <c r="E62" s="21"/>
      <c r="F62" s="15"/>
    </row>
    <row r="63" spans="1:6" x14ac:dyDescent="0.25">
      <c r="A63" s="15"/>
      <c r="B63" s="17" t="s">
        <v>96</v>
      </c>
      <c r="C63" s="20"/>
      <c r="D63" s="20"/>
      <c r="E63" s="21"/>
      <c r="F63" s="15"/>
    </row>
    <row r="64" spans="1:6" x14ac:dyDescent="0.25">
      <c r="A64" s="15"/>
      <c r="B64" s="17" t="s">
        <v>98</v>
      </c>
      <c r="C64" s="20"/>
      <c r="D64" s="20"/>
      <c r="E64" s="21"/>
      <c r="F64" s="15"/>
    </row>
    <row r="65" spans="1:6" x14ac:dyDescent="0.25">
      <c r="A65" s="15"/>
      <c r="B65" s="17" t="s">
        <v>16</v>
      </c>
      <c r="C65" s="20">
        <v>200</v>
      </c>
      <c r="D65" s="20">
        <v>250</v>
      </c>
      <c r="E65" s="21">
        <v>100</v>
      </c>
      <c r="F65" s="15"/>
    </row>
    <row r="66" spans="1:6" x14ac:dyDescent="0.25">
      <c r="A66" s="15"/>
      <c r="B66" s="17" t="s">
        <v>100</v>
      </c>
      <c r="C66" s="20"/>
      <c r="D66" s="20"/>
      <c r="E66" s="21"/>
      <c r="F66" s="15"/>
    </row>
    <row r="67" spans="1:6" x14ac:dyDescent="0.25">
      <c r="A67" s="15"/>
      <c r="B67" s="17" t="s">
        <v>24</v>
      </c>
      <c r="C67" s="20">
        <v>250</v>
      </c>
      <c r="D67" s="20">
        <v>400</v>
      </c>
      <c r="E67" s="21">
        <v>200</v>
      </c>
      <c r="F67" s="15"/>
    </row>
    <row r="68" spans="1:6" x14ac:dyDescent="0.25">
      <c r="A68" s="15"/>
      <c r="B68" s="17" t="s">
        <v>99</v>
      </c>
      <c r="C68" s="20"/>
      <c r="D68" s="20"/>
      <c r="E68" s="21"/>
      <c r="F68" s="15"/>
    </row>
    <row r="69" spans="1:6" x14ac:dyDescent="0.25">
      <c r="A69" s="15"/>
      <c r="B69" s="17" t="s">
        <v>25</v>
      </c>
      <c r="C69" s="20">
        <v>300</v>
      </c>
      <c r="D69" s="20">
        <v>450</v>
      </c>
      <c r="E69" s="21">
        <v>200</v>
      </c>
      <c r="F69" s="15"/>
    </row>
    <row r="70" spans="1:6" x14ac:dyDescent="0.25">
      <c r="A70" s="15"/>
      <c r="B70" s="17" t="s">
        <v>102</v>
      </c>
      <c r="C70" s="22">
        <v>400</v>
      </c>
      <c r="D70" s="22">
        <v>500</v>
      </c>
      <c r="E70" s="23">
        <v>350</v>
      </c>
      <c r="F70" s="15"/>
    </row>
    <row r="71" spans="1:6" x14ac:dyDescent="0.25">
      <c r="A71" s="15"/>
      <c r="B71" s="17" t="s">
        <v>105</v>
      </c>
      <c r="C71" s="20"/>
      <c r="D71" s="20"/>
      <c r="E71" s="21"/>
      <c r="F71" s="15"/>
    </row>
    <row r="72" spans="1:6" x14ac:dyDescent="0.25">
      <c r="A72" s="15"/>
      <c r="B72" s="17" t="s">
        <v>63</v>
      </c>
      <c r="C72" s="22">
        <v>400</v>
      </c>
      <c r="D72" s="22">
        <v>500</v>
      </c>
      <c r="E72" s="23">
        <v>300</v>
      </c>
      <c r="F72" s="15"/>
    </row>
    <row r="73" spans="1:6" x14ac:dyDescent="0.25">
      <c r="A73" s="15"/>
      <c r="B73" s="17" t="s">
        <v>104</v>
      </c>
      <c r="C73" s="20"/>
      <c r="D73" s="20"/>
      <c r="E73" s="21"/>
      <c r="F73" s="15"/>
    </row>
    <row r="74" spans="1:6" x14ac:dyDescent="0.25">
      <c r="A74" s="15"/>
      <c r="B74" s="17" t="s">
        <v>103</v>
      </c>
      <c r="C74" s="20"/>
      <c r="D74" s="20"/>
      <c r="E74" s="21"/>
      <c r="F74" s="15"/>
    </row>
    <row r="75" spans="1:6" x14ac:dyDescent="0.25">
      <c r="A75" s="15"/>
      <c r="B75" s="17" t="s">
        <v>101</v>
      </c>
      <c r="C75" s="20"/>
      <c r="D75" s="20"/>
      <c r="E75" s="21"/>
      <c r="F75" s="15"/>
    </row>
    <row r="76" spans="1:6" x14ac:dyDescent="0.25">
      <c r="A76" s="15"/>
      <c r="B76" s="17" t="s">
        <v>106</v>
      </c>
      <c r="C76" s="20"/>
      <c r="D76" s="20"/>
      <c r="E76" s="21"/>
      <c r="F76" s="15"/>
    </row>
    <row r="77" spans="1:6" x14ac:dyDescent="0.25">
      <c r="A77" s="15"/>
      <c r="B77" s="17" t="s">
        <v>107</v>
      </c>
      <c r="C77" s="20"/>
      <c r="D77" s="20"/>
      <c r="E77" s="21"/>
      <c r="F77" s="15"/>
    </row>
    <row r="78" spans="1:6" x14ac:dyDescent="0.25">
      <c r="A78" s="15"/>
      <c r="B78" s="17" t="s">
        <v>3</v>
      </c>
      <c r="C78" s="20">
        <v>100</v>
      </c>
      <c r="D78" s="20">
        <v>100</v>
      </c>
      <c r="E78" s="21">
        <v>100</v>
      </c>
      <c r="F78" s="15"/>
    </row>
    <row r="79" spans="1:6" x14ac:dyDescent="0.25">
      <c r="A79" s="15"/>
      <c r="B79" s="17" t="s">
        <v>109</v>
      </c>
      <c r="C79" s="20"/>
      <c r="D79" s="20"/>
      <c r="E79" s="21"/>
      <c r="F79" s="15"/>
    </row>
    <row r="80" spans="1:6" x14ac:dyDescent="0.25">
      <c r="A80" s="15"/>
      <c r="B80" s="17" t="s">
        <v>112</v>
      </c>
      <c r="C80" s="20"/>
      <c r="D80" s="20"/>
      <c r="E80" s="21"/>
      <c r="F80" s="15"/>
    </row>
    <row r="81" spans="1:6" x14ac:dyDescent="0.25">
      <c r="A81" s="15"/>
      <c r="B81" s="17" t="s">
        <v>72</v>
      </c>
      <c r="C81" s="20"/>
      <c r="D81" s="20"/>
      <c r="E81" s="21"/>
      <c r="F81" s="15"/>
    </row>
    <row r="82" spans="1:6" x14ac:dyDescent="0.25">
      <c r="A82" s="15"/>
      <c r="B82" s="17" t="s">
        <v>78</v>
      </c>
      <c r="C82" s="20"/>
      <c r="D82" s="20"/>
      <c r="E82" s="21"/>
      <c r="F82" s="15"/>
    </row>
    <row r="83" spans="1:6" x14ac:dyDescent="0.25">
      <c r="A83" s="15"/>
      <c r="B83" s="17" t="s">
        <v>110</v>
      </c>
      <c r="C83" s="20"/>
      <c r="D83" s="20"/>
      <c r="E83" s="21"/>
      <c r="F83" s="15"/>
    </row>
    <row r="84" spans="1:6" x14ac:dyDescent="0.25">
      <c r="A84" s="15"/>
      <c r="B84" s="17" t="s">
        <v>21</v>
      </c>
      <c r="C84" s="20">
        <v>300</v>
      </c>
      <c r="D84" s="20">
        <v>400</v>
      </c>
      <c r="E84" s="21">
        <v>200</v>
      </c>
      <c r="F84" s="15"/>
    </row>
    <row r="85" spans="1:6" x14ac:dyDescent="0.25">
      <c r="A85" s="15"/>
      <c r="B85" s="17" t="s">
        <v>111</v>
      </c>
      <c r="C85" s="20"/>
      <c r="D85" s="20"/>
      <c r="E85" s="21"/>
      <c r="F85" s="15"/>
    </row>
    <row r="86" spans="1:6" x14ac:dyDescent="0.25">
      <c r="A86" s="15"/>
      <c r="B86" s="17" t="s">
        <v>73</v>
      </c>
      <c r="C86" s="20"/>
      <c r="D86" s="20"/>
      <c r="E86" s="21"/>
      <c r="F86" s="15"/>
    </row>
    <row r="87" spans="1:6" x14ac:dyDescent="0.25">
      <c r="A87" s="15"/>
      <c r="B87" s="17" t="s">
        <v>108</v>
      </c>
      <c r="C87" s="20"/>
      <c r="D87" s="20"/>
      <c r="E87" s="21"/>
      <c r="F87" s="15"/>
    </row>
    <row r="88" spans="1:6" x14ac:dyDescent="0.25">
      <c r="A88" s="15"/>
      <c r="B88" s="17" t="s">
        <v>113</v>
      </c>
      <c r="C88" s="20"/>
      <c r="D88" s="20"/>
      <c r="E88" s="21"/>
      <c r="F88" s="15"/>
    </row>
    <row r="89" spans="1:6" x14ac:dyDescent="0.25">
      <c r="A89" s="15"/>
      <c r="B89" s="17" t="s">
        <v>114</v>
      </c>
      <c r="C89" s="20"/>
      <c r="D89" s="20"/>
      <c r="E89" s="21"/>
      <c r="F89" s="15"/>
    </row>
    <row r="90" spans="1:6" x14ac:dyDescent="0.25">
      <c r="A90" s="15"/>
      <c r="B90" s="17" t="s">
        <v>154</v>
      </c>
      <c r="C90" s="20"/>
      <c r="D90" s="20"/>
      <c r="E90" s="21"/>
      <c r="F90" s="15"/>
    </row>
    <row r="91" spans="1:6" x14ac:dyDescent="0.25">
      <c r="A91" s="15"/>
      <c r="B91" s="17" t="s">
        <v>117</v>
      </c>
      <c r="C91" s="20"/>
      <c r="D91" s="20"/>
      <c r="E91" s="21"/>
      <c r="F91" s="15"/>
    </row>
    <row r="92" spans="1:6" x14ac:dyDescent="0.25">
      <c r="A92" s="15"/>
      <c r="B92" s="17" t="s">
        <v>115</v>
      </c>
      <c r="C92" s="20"/>
      <c r="D92" s="20"/>
      <c r="E92" s="21"/>
      <c r="F92" s="15"/>
    </row>
    <row r="93" spans="1:6" x14ac:dyDescent="0.25">
      <c r="A93" s="15"/>
      <c r="B93" s="17" t="s">
        <v>118</v>
      </c>
      <c r="C93" s="20"/>
      <c r="D93" s="20"/>
      <c r="E93" s="21"/>
      <c r="F93" s="15"/>
    </row>
    <row r="94" spans="1:6" x14ac:dyDescent="0.25">
      <c r="A94" s="15"/>
      <c r="B94" s="17" t="s">
        <v>129</v>
      </c>
      <c r="C94" s="20"/>
      <c r="D94" s="20"/>
      <c r="E94" s="21"/>
      <c r="F94" s="15"/>
    </row>
    <row r="95" spans="1:6" x14ac:dyDescent="0.25">
      <c r="A95" s="15"/>
      <c r="B95" s="17" t="s">
        <v>127</v>
      </c>
      <c r="C95" s="20"/>
      <c r="D95" s="20"/>
      <c r="E95" s="21"/>
      <c r="F95" s="15"/>
    </row>
    <row r="96" spans="1:6" x14ac:dyDescent="0.25">
      <c r="A96" s="15"/>
      <c r="B96" s="17" t="s">
        <v>120</v>
      </c>
      <c r="C96" s="20"/>
      <c r="D96" s="20"/>
      <c r="E96" s="21"/>
      <c r="F96" s="15"/>
    </row>
    <row r="97" spans="1:6" x14ac:dyDescent="0.25">
      <c r="A97" s="15"/>
      <c r="B97" s="17" t="s">
        <v>11</v>
      </c>
      <c r="C97" s="20"/>
      <c r="D97" s="20"/>
      <c r="E97" s="21"/>
      <c r="F97" s="15"/>
    </row>
    <row r="98" spans="1:6" x14ac:dyDescent="0.25">
      <c r="A98" s="15"/>
      <c r="B98" s="17" t="s">
        <v>131</v>
      </c>
      <c r="C98" s="20"/>
      <c r="D98" s="20"/>
      <c r="E98" s="21"/>
      <c r="F98" s="15"/>
    </row>
    <row r="99" spans="1:6" x14ac:dyDescent="0.25">
      <c r="A99" s="15"/>
      <c r="B99" s="17" t="s">
        <v>128</v>
      </c>
      <c r="C99" s="20"/>
      <c r="D99" s="20"/>
      <c r="E99" s="21"/>
      <c r="F99" s="15"/>
    </row>
    <row r="100" spans="1:6" x14ac:dyDescent="0.25">
      <c r="A100" s="15"/>
      <c r="B100" s="17" t="s">
        <v>119</v>
      </c>
      <c r="C100" s="20"/>
      <c r="D100" s="20"/>
      <c r="E100" s="21"/>
      <c r="F100" s="15"/>
    </row>
    <row r="101" spans="1:6" x14ac:dyDescent="0.25">
      <c r="A101" s="15"/>
      <c r="B101" s="17" t="s">
        <v>124</v>
      </c>
      <c r="C101" s="20"/>
      <c r="D101" s="20"/>
      <c r="E101" s="21"/>
      <c r="F101" s="15"/>
    </row>
    <row r="102" spans="1:6" x14ac:dyDescent="0.25">
      <c r="A102" s="15"/>
      <c r="B102" s="17" t="s">
        <v>125</v>
      </c>
      <c r="C102" s="20"/>
      <c r="D102" s="20"/>
      <c r="E102" s="21"/>
      <c r="F102" s="15"/>
    </row>
    <row r="103" spans="1:6" x14ac:dyDescent="0.25">
      <c r="A103" s="15"/>
      <c r="B103" s="17" t="s">
        <v>123</v>
      </c>
      <c r="C103" s="20"/>
      <c r="D103" s="20"/>
      <c r="E103" s="21"/>
      <c r="F103" s="15"/>
    </row>
    <row r="104" spans="1:6" x14ac:dyDescent="0.25">
      <c r="A104" s="15"/>
      <c r="B104" s="17" t="s">
        <v>121</v>
      </c>
      <c r="C104" s="20"/>
      <c r="D104" s="20"/>
      <c r="E104" s="21"/>
      <c r="F104" s="15"/>
    </row>
    <row r="105" spans="1:6" x14ac:dyDescent="0.25">
      <c r="A105" s="15"/>
      <c r="B105" s="17" t="s">
        <v>15</v>
      </c>
      <c r="C105" s="20">
        <v>400</v>
      </c>
      <c r="D105" s="20">
        <v>500</v>
      </c>
      <c r="E105" s="21">
        <v>300</v>
      </c>
      <c r="F105" s="15"/>
    </row>
    <row r="106" spans="1:6" x14ac:dyDescent="0.25">
      <c r="A106" s="15"/>
      <c r="B106" s="17" t="s">
        <v>126</v>
      </c>
      <c r="C106" s="20"/>
      <c r="D106" s="20"/>
      <c r="E106" s="21"/>
      <c r="F106" s="15"/>
    </row>
    <row r="107" spans="1:6" x14ac:dyDescent="0.25">
      <c r="A107" s="15"/>
      <c r="B107" s="17" t="s">
        <v>122</v>
      </c>
      <c r="C107" s="20"/>
      <c r="D107" s="20"/>
      <c r="E107" s="21"/>
      <c r="F107" s="15"/>
    </row>
    <row r="108" spans="1:6" x14ac:dyDescent="0.25">
      <c r="A108" s="15"/>
      <c r="B108" s="17" t="s">
        <v>130</v>
      </c>
      <c r="C108" s="20"/>
      <c r="D108" s="20"/>
      <c r="E108" s="21"/>
      <c r="F108" s="15"/>
    </row>
    <row r="109" spans="1:6" x14ac:dyDescent="0.25">
      <c r="A109" s="15"/>
      <c r="B109" s="17" t="s">
        <v>132</v>
      </c>
      <c r="C109" s="20"/>
      <c r="D109" s="20"/>
      <c r="E109" s="21"/>
      <c r="F109" s="15"/>
    </row>
    <row r="110" spans="1:6" x14ac:dyDescent="0.25">
      <c r="A110" s="15"/>
      <c r="B110" s="17" t="s">
        <v>135</v>
      </c>
      <c r="C110" s="20"/>
      <c r="D110" s="20"/>
      <c r="E110" s="21"/>
      <c r="F110" s="15"/>
    </row>
    <row r="111" spans="1:6" x14ac:dyDescent="0.25">
      <c r="A111" s="15"/>
      <c r="B111" s="17" t="s">
        <v>134</v>
      </c>
      <c r="C111" s="20"/>
      <c r="D111" s="20"/>
      <c r="E111" s="21"/>
      <c r="F111" s="15"/>
    </row>
    <row r="112" spans="1:6" x14ac:dyDescent="0.25">
      <c r="A112" s="15"/>
      <c r="B112" s="17" t="s">
        <v>19</v>
      </c>
      <c r="C112" s="20"/>
      <c r="D112" s="20"/>
      <c r="E112" s="21"/>
      <c r="F112" s="15"/>
    </row>
    <row r="113" spans="1:6" x14ac:dyDescent="0.25">
      <c r="A113" s="15"/>
      <c r="B113" s="17" t="s">
        <v>133</v>
      </c>
      <c r="C113" s="20"/>
      <c r="D113" s="20"/>
      <c r="E113" s="21"/>
      <c r="F113" s="15"/>
    </row>
    <row r="114" spans="1:6" x14ac:dyDescent="0.25">
      <c r="A114" s="15"/>
      <c r="B114" s="17" t="s">
        <v>18</v>
      </c>
      <c r="C114" s="20"/>
      <c r="D114" s="20"/>
      <c r="E114" s="21"/>
      <c r="F114" s="15"/>
    </row>
    <row r="115" spans="1:6" x14ac:dyDescent="0.25">
      <c r="A115" s="15"/>
      <c r="B115" s="17" t="s">
        <v>136</v>
      </c>
      <c r="C115" s="20"/>
      <c r="D115" s="20"/>
      <c r="E115" s="21"/>
      <c r="F115" s="15"/>
    </row>
    <row r="116" spans="1:6" x14ac:dyDescent="0.25">
      <c r="A116" s="15"/>
      <c r="B116" s="17" t="s">
        <v>138</v>
      </c>
      <c r="C116" s="20"/>
      <c r="D116" s="20"/>
      <c r="E116" s="21"/>
      <c r="F116" s="15"/>
    </row>
    <row r="117" spans="1:6" x14ac:dyDescent="0.25">
      <c r="A117" s="15"/>
      <c r="B117" s="17" t="s">
        <v>141</v>
      </c>
      <c r="C117" s="20"/>
      <c r="D117" s="20"/>
      <c r="E117" s="21"/>
      <c r="F117" s="15"/>
    </row>
    <row r="118" spans="1:6" x14ac:dyDescent="0.25">
      <c r="A118" s="15"/>
      <c r="B118" s="17" t="s">
        <v>139</v>
      </c>
      <c r="C118" s="20"/>
      <c r="D118" s="20"/>
      <c r="E118" s="21"/>
      <c r="F118" s="15"/>
    </row>
    <row r="119" spans="1:6" x14ac:dyDescent="0.25">
      <c r="A119" s="15"/>
      <c r="B119" s="17" t="s">
        <v>142</v>
      </c>
      <c r="C119" s="20"/>
      <c r="D119" s="20"/>
      <c r="E119" s="21"/>
      <c r="F119" s="15"/>
    </row>
    <row r="120" spans="1:6" x14ac:dyDescent="0.25">
      <c r="A120" s="15"/>
      <c r="B120" s="17" t="s">
        <v>137</v>
      </c>
      <c r="C120" s="20"/>
      <c r="D120" s="20"/>
      <c r="E120" s="21"/>
      <c r="F120" s="15"/>
    </row>
    <row r="121" spans="1:6" x14ac:dyDescent="0.25">
      <c r="A121" s="15"/>
      <c r="B121" s="17" t="s">
        <v>27</v>
      </c>
      <c r="C121" s="20">
        <v>250</v>
      </c>
      <c r="D121" s="20">
        <v>350</v>
      </c>
      <c r="E121" s="21">
        <v>150</v>
      </c>
      <c r="F121" s="15"/>
    </row>
    <row r="122" spans="1:6" x14ac:dyDescent="0.25">
      <c r="A122" s="15"/>
      <c r="B122" s="17" t="s">
        <v>140</v>
      </c>
      <c r="C122" s="20"/>
      <c r="D122" s="20"/>
      <c r="E122" s="21"/>
      <c r="F122" s="15"/>
    </row>
    <row r="123" spans="1:6" x14ac:dyDescent="0.25">
      <c r="A123" s="15"/>
      <c r="B123" s="17" t="s">
        <v>143</v>
      </c>
      <c r="C123" s="20"/>
      <c r="D123" s="20"/>
      <c r="E123" s="21"/>
      <c r="F123" s="15"/>
    </row>
    <row r="124" spans="1:6" x14ac:dyDescent="0.25">
      <c r="A124" s="15"/>
      <c r="B124" s="17" t="s">
        <v>31</v>
      </c>
      <c r="C124" s="20">
        <v>350</v>
      </c>
      <c r="D124" s="20">
        <v>500</v>
      </c>
      <c r="E124" s="21">
        <v>250</v>
      </c>
      <c r="F124" s="15"/>
    </row>
    <row r="125" spans="1:6" x14ac:dyDescent="0.25">
      <c r="A125" s="15"/>
      <c r="B125" s="17" t="s">
        <v>8</v>
      </c>
      <c r="C125" s="20"/>
      <c r="D125" s="20"/>
      <c r="E125" s="21"/>
      <c r="F125" s="15"/>
    </row>
    <row r="126" spans="1:6" x14ac:dyDescent="0.25">
      <c r="A126" s="15"/>
      <c r="B126" s="17" t="s">
        <v>4</v>
      </c>
      <c r="C126" s="20">
        <v>400</v>
      </c>
      <c r="D126" s="20">
        <v>500</v>
      </c>
      <c r="E126" s="21">
        <v>300</v>
      </c>
      <c r="F126" s="15"/>
    </row>
    <row r="127" spans="1:6" x14ac:dyDescent="0.25">
      <c r="A127" s="15"/>
      <c r="B127" s="17" t="s">
        <v>144</v>
      </c>
      <c r="C127" s="20"/>
      <c r="D127" s="20"/>
      <c r="E127" s="21"/>
      <c r="F127" s="15"/>
    </row>
    <row r="128" spans="1:6" x14ac:dyDescent="0.25">
      <c r="A128" s="15"/>
      <c r="B128" s="17" t="s">
        <v>148</v>
      </c>
      <c r="C128" s="20">
        <v>200</v>
      </c>
      <c r="D128" s="20">
        <v>300</v>
      </c>
      <c r="E128" s="21">
        <v>150</v>
      </c>
      <c r="F128" s="15"/>
    </row>
    <row r="129" spans="1:6" x14ac:dyDescent="0.25">
      <c r="A129" s="15"/>
      <c r="B129" s="17" t="s">
        <v>151</v>
      </c>
      <c r="C129" s="20"/>
      <c r="D129" s="20"/>
      <c r="E129" s="21"/>
      <c r="F129" s="15"/>
    </row>
    <row r="130" spans="1:6" x14ac:dyDescent="0.25">
      <c r="A130" s="15"/>
      <c r="B130" s="17" t="s">
        <v>149</v>
      </c>
      <c r="C130" s="20"/>
      <c r="D130" s="20"/>
      <c r="E130" s="21"/>
      <c r="F130" s="15"/>
    </row>
    <row r="131" spans="1:6" x14ac:dyDescent="0.25">
      <c r="A131" s="15"/>
      <c r="B131" s="17" t="s">
        <v>155</v>
      </c>
      <c r="C131" s="20"/>
      <c r="D131" s="20"/>
      <c r="E131" s="21"/>
      <c r="F131" s="15"/>
    </row>
    <row r="132" spans="1:6" x14ac:dyDescent="0.25">
      <c r="A132" s="15"/>
      <c r="B132" s="17" t="s">
        <v>28</v>
      </c>
      <c r="C132" s="20">
        <v>200</v>
      </c>
      <c r="D132" s="20">
        <v>300</v>
      </c>
      <c r="E132" s="21">
        <v>150</v>
      </c>
      <c r="F132" s="15"/>
    </row>
    <row r="133" spans="1:6" x14ac:dyDescent="0.25">
      <c r="A133" s="15"/>
      <c r="B133" s="17" t="s">
        <v>20</v>
      </c>
      <c r="C133" s="20">
        <v>150</v>
      </c>
      <c r="D133" s="20">
        <v>200</v>
      </c>
      <c r="E133" s="21">
        <v>100</v>
      </c>
      <c r="F133" s="15"/>
    </row>
    <row r="134" spans="1:6" x14ac:dyDescent="0.25">
      <c r="A134" s="15"/>
      <c r="B134" s="17" t="s">
        <v>145</v>
      </c>
      <c r="C134" s="20"/>
      <c r="D134" s="20"/>
      <c r="E134" s="21"/>
      <c r="F134" s="15"/>
    </row>
    <row r="135" spans="1:6" x14ac:dyDescent="0.25">
      <c r="A135" s="15"/>
      <c r="B135" s="17" t="s">
        <v>150</v>
      </c>
      <c r="C135" s="20"/>
      <c r="D135" s="20"/>
      <c r="E135" s="21"/>
      <c r="F135" s="15"/>
    </row>
    <row r="136" spans="1:6" x14ac:dyDescent="0.25">
      <c r="A136" s="15"/>
      <c r="B136" s="17" t="s">
        <v>152</v>
      </c>
      <c r="C136" s="20"/>
      <c r="D136" s="20"/>
      <c r="E136" s="21"/>
      <c r="F136" s="15"/>
    </row>
    <row r="137" spans="1:6" x14ac:dyDescent="0.25">
      <c r="A137" s="15"/>
      <c r="B137" s="17" t="s">
        <v>156</v>
      </c>
      <c r="C137" s="20"/>
      <c r="D137" s="20"/>
      <c r="E137" s="21"/>
      <c r="F137" s="15"/>
    </row>
    <row r="138" spans="1:6" x14ac:dyDescent="0.25">
      <c r="A138" s="15"/>
      <c r="B138" s="17" t="s">
        <v>153</v>
      </c>
      <c r="C138" s="20"/>
      <c r="D138" s="20"/>
      <c r="E138" s="21"/>
      <c r="F138" s="15"/>
    </row>
    <row r="139" spans="1:6" x14ac:dyDescent="0.25">
      <c r="A139" s="15"/>
      <c r="B139" s="17" t="s">
        <v>147</v>
      </c>
      <c r="C139" s="20"/>
      <c r="D139" s="20"/>
      <c r="E139" s="21"/>
      <c r="F139" s="15"/>
    </row>
    <row r="140" spans="1:6" x14ac:dyDescent="0.25">
      <c r="A140" s="15"/>
      <c r="B140" s="17" t="s">
        <v>86</v>
      </c>
      <c r="C140" s="20"/>
      <c r="D140" s="20"/>
      <c r="E140" s="21"/>
      <c r="F140" s="15"/>
    </row>
    <row r="141" spans="1:6" x14ac:dyDescent="0.25">
      <c r="A141" s="15"/>
      <c r="B141" s="17" t="s">
        <v>160</v>
      </c>
      <c r="C141" s="20"/>
      <c r="D141" s="20"/>
      <c r="E141" s="21"/>
      <c r="F141" s="15"/>
    </row>
    <row r="142" spans="1:6" x14ac:dyDescent="0.25">
      <c r="A142" s="15"/>
      <c r="B142" s="17" t="s">
        <v>157</v>
      </c>
      <c r="C142" s="20"/>
      <c r="D142" s="20"/>
      <c r="E142" s="21"/>
      <c r="F142" s="15"/>
    </row>
    <row r="143" spans="1:6" x14ac:dyDescent="0.25">
      <c r="A143" s="15"/>
      <c r="B143" s="17" t="s">
        <v>163</v>
      </c>
      <c r="C143" s="20"/>
      <c r="D143" s="20"/>
      <c r="E143" s="21"/>
      <c r="F143" s="15"/>
    </row>
    <row r="144" spans="1:6" x14ac:dyDescent="0.25">
      <c r="A144" s="15"/>
      <c r="B144" s="17" t="s">
        <v>161</v>
      </c>
      <c r="C144" s="20"/>
      <c r="D144" s="20"/>
      <c r="E144" s="21"/>
      <c r="F144" s="15"/>
    </row>
    <row r="145" spans="1:6" x14ac:dyDescent="0.25">
      <c r="A145" s="15"/>
      <c r="B145" s="17" t="s">
        <v>167</v>
      </c>
      <c r="C145" s="20"/>
      <c r="D145" s="20"/>
      <c r="E145" s="21"/>
      <c r="F145" s="15"/>
    </row>
    <row r="146" spans="1:6" x14ac:dyDescent="0.25">
      <c r="A146" s="15"/>
      <c r="B146" s="17" t="s">
        <v>166</v>
      </c>
      <c r="C146" s="20"/>
      <c r="D146" s="20"/>
      <c r="E146" s="21"/>
      <c r="F146" s="15"/>
    </row>
    <row r="147" spans="1:6" x14ac:dyDescent="0.25">
      <c r="A147" s="15"/>
      <c r="B147" s="17" t="s">
        <v>164</v>
      </c>
      <c r="C147" s="20"/>
      <c r="D147" s="20"/>
      <c r="E147" s="21"/>
      <c r="F147" s="15"/>
    </row>
    <row r="148" spans="1:6" x14ac:dyDescent="0.25">
      <c r="A148" s="15"/>
      <c r="B148" s="17" t="s">
        <v>5</v>
      </c>
      <c r="C148" s="20">
        <v>400</v>
      </c>
      <c r="D148" s="20">
        <v>500</v>
      </c>
      <c r="E148" s="21">
        <v>300</v>
      </c>
      <c r="F148" s="15"/>
    </row>
    <row r="149" spans="1:6" x14ac:dyDescent="0.25">
      <c r="A149" s="15"/>
      <c r="B149" s="17" t="s">
        <v>165</v>
      </c>
      <c r="C149" s="20"/>
      <c r="D149" s="20"/>
      <c r="E149" s="21"/>
      <c r="F149" s="15"/>
    </row>
    <row r="150" spans="1:6" x14ac:dyDescent="0.25">
      <c r="A150" s="15"/>
      <c r="B150" s="17" t="s">
        <v>17</v>
      </c>
      <c r="C150" s="20"/>
      <c r="D150" s="20"/>
      <c r="E150" s="21"/>
      <c r="F150" s="15"/>
    </row>
    <row r="151" spans="1:6" x14ac:dyDescent="0.25">
      <c r="A151" s="15"/>
      <c r="B151" s="17" t="s">
        <v>162</v>
      </c>
      <c r="C151" s="20"/>
      <c r="D151" s="20"/>
      <c r="E151" s="21"/>
      <c r="F151" s="15"/>
    </row>
    <row r="152" spans="1:6" x14ac:dyDescent="0.25">
      <c r="A152" s="15"/>
      <c r="B152" s="17" t="s">
        <v>10</v>
      </c>
      <c r="C152" s="20"/>
      <c r="D152" s="20"/>
      <c r="E152" s="21"/>
      <c r="F152" s="15"/>
    </row>
    <row r="153" spans="1:6" x14ac:dyDescent="0.25">
      <c r="A153" s="15"/>
      <c r="B153" s="17" t="s">
        <v>168</v>
      </c>
      <c r="C153" s="20"/>
      <c r="D153" s="20"/>
      <c r="E153" s="21"/>
      <c r="F153" s="15"/>
    </row>
    <row r="154" spans="1:6" x14ac:dyDescent="0.25">
      <c r="A154" s="15"/>
      <c r="B154" s="17" t="s">
        <v>1</v>
      </c>
      <c r="C154" s="20">
        <v>200</v>
      </c>
      <c r="D154" s="20">
        <v>300</v>
      </c>
      <c r="E154" s="21">
        <v>150</v>
      </c>
      <c r="F154" s="15"/>
    </row>
    <row r="155" spans="1:6" x14ac:dyDescent="0.25">
      <c r="A155" s="15"/>
      <c r="B155" s="17" t="s">
        <v>170</v>
      </c>
      <c r="C155" s="20"/>
      <c r="D155" s="20"/>
      <c r="E155" s="21"/>
      <c r="F155" s="15"/>
    </row>
    <row r="156" spans="1:6" x14ac:dyDescent="0.25">
      <c r="A156" s="15"/>
      <c r="B156" s="17" t="s">
        <v>172</v>
      </c>
      <c r="C156" s="20"/>
      <c r="D156" s="20"/>
      <c r="E156" s="21"/>
      <c r="F156" s="15"/>
    </row>
    <row r="157" spans="1:6" x14ac:dyDescent="0.25">
      <c r="A157" s="15"/>
      <c r="B157" s="17" t="s">
        <v>171</v>
      </c>
      <c r="C157" s="20"/>
      <c r="D157" s="20"/>
      <c r="E157" s="21"/>
      <c r="F157" s="15"/>
    </row>
    <row r="158" spans="1:6" x14ac:dyDescent="0.25">
      <c r="A158" s="15"/>
      <c r="B158" s="17" t="s">
        <v>173</v>
      </c>
      <c r="C158" s="20"/>
      <c r="D158" s="20"/>
      <c r="E158" s="21"/>
      <c r="F158" s="15"/>
    </row>
    <row r="159" spans="1:6" x14ac:dyDescent="0.25">
      <c r="A159" s="15"/>
      <c r="B159" s="17" t="s">
        <v>174</v>
      </c>
      <c r="C159" s="20"/>
      <c r="D159" s="20"/>
      <c r="E159" s="21"/>
      <c r="F159" s="15"/>
    </row>
    <row r="160" spans="1:6" x14ac:dyDescent="0.25">
      <c r="A160" s="15"/>
      <c r="B160" s="17" t="s">
        <v>176</v>
      </c>
      <c r="C160" s="20"/>
      <c r="D160" s="20"/>
      <c r="E160" s="21"/>
      <c r="F160" s="15"/>
    </row>
    <row r="161" spans="1:6" x14ac:dyDescent="0.25">
      <c r="A161" s="15"/>
      <c r="B161" s="17" t="s">
        <v>177</v>
      </c>
      <c r="C161" s="20"/>
      <c r="D161" s="20"/>
      <c r="E161" s="21"/>
      <c r="F161" s="15"/>
    </row>
    <row r="162" spans="1:6" x14ac:dyDescent="0.25">
      <c r="A162" s="15"/>
      <c r="B162" s="17" t="s">
        <v>175</v>
      </c>
      <c r="C162" s="20"/>
      <c r="D162" s="20"/>
      <c r="E162" s="21"/>
      <c r="F162" s="15"/>
    </row>
    <row r="163" spans="1:6" x14ac:dyDescent="0.25">
      <c r="A163" s="15"/>
      <c r="B163" s="17" t="s">
        <v>146</v>
      </c>
      <c r="C163" s="20"/>
      <c r="D163" s="20"/>
      <c r="E163" s="21"/>
      <c r="F163" s="15"/>
    </row>
    <row r="164" spans="1:6" x14ac:dyDescent="0.25">
      <c r="A164" s="15"/>
      <c r="B164" s="17" t="s">
        <v>91</v>
      </c>
      <c r="C164" s="20"/>
      <c r="D164" s="20"/>
      <c r="E164" s="21"/>
      <c r="F164" s="15"/>
    </row>
    <row r="165" spans="1:6" x14ac:dyDescent="0.25">
      <c r="A165" s="15"/>
      <c r="B165" s="17" t="s">
        <v>178</v>
      </c>
      <c r="C165" s="20"/>
      <c r="D165" s="20"/>
      <c r="E165" s="21"/>
      <c r="F165" s="15"/>
    </row>
    <row r="166" spans="1:6" x14ac:dyDescent="0.25">
      <c r="A166" s="15"/>
      <c r="B166" s="17" t="s">
        <v>116</v>
      </c>
      <c r="C166" s="20">
        <v>400</v>
      </c>
      <c r="D166" s="20">
        <v>500</v>
      </c>
      <c r="E166" s="21">
        <v>300</v>
      </c>
      <c r="F166" s="15"/>
    </row>
    <row r="167" spans="1:6" x14ac:dyDescent="0.25">
      <c r="A167" s="15"/>
      <c r="B167" s="17" t="s">
        <v>179</v>
      </c>
      <c r="C167" s="20"/>
      <c r="D167" s="20"/>
      <c r="E167" s="21"/>
      <c r="F167" s="15"/>
    </row>
    <row r="168" spans="1:6" ht="15.75" thickBot="1" x14ac:dyDescent="0.3">
      <c r="A168" s="15"/>
      <c r="B168" s="18" t="s">
        <v>180</v>
      </c>
      <c r="C168" s="24"/>
      <c r="D168" s="24"/>
      <c r="E168" s="25"/>
      <c r="F168" s="15"/>
    </row>
    <row r="169" spans="1:6" x14ac:dyDescent="0.25">
      <c r="A169" s="15"/>
      <c r="B169"/>
      <c r="C169" s="15"/>
      <c r="D169" s="15"/>
      <c r="E169" s="15"/>
      <c r="F169" s="15"/>
    </row>
    <row r="170" spans="1:6" x14ac:dyDescent="0.25">
      <c r="A170" s="15"/>
      <c r="B170"/>
      <c r="C170" s="15"/>
      <c r="D170" s="15"/>
      <c r="E170" s="15"/>
      <c r="F170" s="15"/>
    </row>
    <row r="171" spans="1:6" x14ac:dyDescent="0.25">
      <c r="A171" s="15"/>
      <c r="B171"/>
      <c r="C171" s="15"/>
      <c r="D171" s="15"/>
      <c r="E171" s="15"/>
      <c r="F171" s="15"/>
    </row>
    <row r="172" spans="1:6" x14ac:dyDescent="0.25">
      <c r="A172" s="15"/>
      <c r="B172"/>
      <c r="C172" s="15"/>
      <c r="D172" s="15"/>
      <c r="E172" s="15"/>
      <c r="F172" s="15"/>
    </row>
    <row r="173" spans="1:6" x14ac:dyDescent="0.25">
      <c r="A173" s="15"/>
      <c r="B173"/>
      <c r="C173" s="15"/>
      <c r="D173" s="15"/>
      <c r="E173" s="15"/>
      <c r="F173" s="15"/>
    </row>
    <row r="174" spans="1:6" x14ac:dyDescent="0.25">
      <c r="A174" s="15"/>
      <c r="B174"/>
      <c r="C174" s="15"/>
      <c r="D174" s="15"/>
      <c r="E174" s="15"/>
      <c r="F174" s="15"/>
    </row>
    <row r="175" spans="1:6" x14ac:dyDescent="0.25">
      <c r="A175" s="15"/>
      <c r="B175"/>
      <c r="C175" s="15"/>
      <c r="D175" s="15"/>
      <c r="E175" s="15"/>
      <c r="F175" s="15"/>
    </row>
    <row r="176" spans="1:6" x14ac:dyDescent="0.25">
      <c r="A176" s="15"/>
      <c r="B176"/>
      <c r="C176" s="15"/>
      <c r="D176" s="15"/>
      <c r="E176" s="15"/>
      <c r="F176" s="15"/>
    </row>
    <row r="177" spans="1:6" x14ac:dyDescent="0.25">
      <c r="A177" s="15"/>
      <c r="B177"/>
      <c r="C177" s="15"/>
      <c r="D177" s="15"/>
      <c r="E177" s="15"/>
      <c r="F177" s="15"/>
    </row>
    <row r="178" spans="1:6" x14ac:dyDescent="0.25">
      <c r="A178" s="15"/>
      <c r="B178"/>
      <c r="C178" s="15"/>
      <c r="D178" s="15"/>
      <c r="E178" s="15"/>
      <c r="F178" s="15"/>
    </row>
    <row r="179" spans="1:6" x14ac:dyDescent="0.25">
      <c r="A179" s="15"/>
      <c r="B179"/>
      <c r="C179" s="15"/>
      <c r="D179" s="15"/>
      <c r="E179" s="15"/>
      <c r="F179" s="15"/>
    </row>
    <row r="180" spans="1:6" x14ac:dyDescent="0.25">
      <c r="A180" s="15"/>
      <c r="B180"/>
      <c r="C180" s="15"/>
      <c r="D180" s="15"/>
      <c r="E180" s="15"/>
      <c r="F180" s="15"/>
    </row>
    <row r="181" spans="1:6" x14ac:dyDescent="0.25">
      <c r="A181" s="15"/>
      <c r="B181"/>
      <c r="C181" s="15"/>
      <c r="D181" s="15"/>
      <c r="E181" s="15"/>
      <c r="F181" s="15"/>
    </row>
    <row r="182" spans="1:6" x14ac:dyDescent="0.25">
      <c r="A182" s="15"/>
      <c r="B182"/>
      <c r="C182" s="15"/>
      <c r="D182" s="15"/>
      <c r="E182" s="15"/>
      <c r="F182" s="15"/>
    </row>
    <row r="183" spans="1:6" x14ac:dyDescent="0.25">
      <c r="A183" s="15"/>
      <c r="B183"/>
      <c r="C183" s="15"/>
      <c r="D183" s="15"/>
      <c r="E183" s="15"/>
      <c r="F183" s="15"/>
    </row>
    <row r="184" spans="1:6" x14ac:dyDescent="0.25">
      <c r="A184" s="15"/>
      <c r="B184"/>
      <c r="C184" s="15"/>
      <c r="D184" s="15"/>
      <c r="E184" s="15"/>
      <c r="F184" s="15"/>
    </row>
    <row r="185" spans="1:6" x14ac:dyDescent="0.25">
      <c r="A185" s="15"/>
      <c r="B185"/>
      <c r="C185" s="15"/>
      <c r="D185" s="15"/>
      <c r="E185" s="15"/>
      <c r="F185" s="15"/>
    </row>
    <row r="186" spans="1:6" x14ac:dyDescent="0.25">
      <c r="A186" s="15"/>
      <c r="B186"/>
      <c r="C186" s="15"/>
      <c r="D186" s="15"/>
      <c r="E186" s="15"/>
      <c r="F186" s="15"/>
    </row>
    <row r="187" spans="1:6" x14ac:dyDescent="0.25">
      <c r="A187" s="15"/>
      <c r="B187"/>
      <c r="C187" s="15"/>
      <c r="D187" s="15"/>
      <c r="E187" s="15"/>
      <c r="F187" s="15"/>
    </row>
    <row r="188" spans="1:6" x14ac:dyDescent="0.25">
      <c r="A188" s="15"/>
      <c r="B188"/>
      <c r="C188" s="15"/>
      <c r="D188" s="15"/>
      <c r="E188" s="15"/>
      <c r="F188" s="15"/>
    </row>
    <row r="189" spans="1:6" x14ac:dyDescent="0.25">
      <c r="A189" s="15"/>
      <c r="B189"/>
      <c r="C189" s="15"/>
      <c r="D189" s="15"/>
      <c r="E189" s="15"/>
      <c r="F189" s="15"/>
    </row>
    <row r="190" spans="1:6" x14ac:dyDescent="0.25">
      <c r="A190" s="15"/>
      <c r="B190"/>
      <c r="C190" s="15"/>
      <c r="D190" s="15"/>
      <c r="E190" s="15"/>
      <c r="F190" s="15"/>
    </row>
    <row r="191" spans="1:6" x14ac:dyDescent="0.25">
      <c r="A191" s="15"/>
      <c r="B191"/>
      <c r="C191" s="15"/>
      <c r="D191" s="15"/>
      <c r="E191" s="15"/>
      <c r="F191" s="15"/>
    </row>
    <row r="192" spans="1:6" x14ac:dyDescent="0.25">
      <c r="A192" s="15"/>
      <c r="B192"/>
      <c r="C192" s="15"/>
      <c r="D192" s="15"/>
      <c r="E192" s="15"/>
      <c r="F192" s="15"/>
    </row>
    <row r="193" spans="1:6" x14ac:dyDescent="0.25">
      <c r="A193" s="15"/>
      <c r="B193"/>
      <c r="C193" s="15"/>
      <c r="D193" s="15"/>
      <c r="E193" s="15"/>
      <c r="F193" s="15"/>
    </row>
    <row r="194" spans="1:6" x14ac:dyDescent="0.25">
      <c r="A194" s="15"/>
      <c r="B194"/>
      <c r="C194" s="15"/>
      <c r="D194" s="15"/>
      <c r="E194" s="15"/>
      <c r="F194" s="15"/>
    </row>
    <row r="195" spans="1:6" x14ac:dyDescent="0.25">
      <c r="A195" s="15"/>
      <c r="B195"/>
      <c r="C195" s="15"/>
      <c r="D195" s="15"/>
      <c r="E195" s="15"/>
      <c r="F195" s="15"/>
    </row>
    <row r="196" spans="1:6" x14ac:dyDescent="0.25">
      <c r="A196" s="15"/>
      <c r="B196"/>
      <c r="C196" s="15"/>
      <c r="D196" s="15"/>
      <c r="E196" s="15"/>
      <c r="F196" s="15"/>
    </row>
    <row r="197" spans="1:6" x14ac:dyDescent="0.25">
      <c r="A197" s="15"/>
      <c r="B197"/>
      <c r="C197" s="15"/>
      <c r="D197" s="15"/>
      <c r="E197" s="15"/>
      <c r="F197" s="15"/>
    </row>
    <row r="198" spans="1:6" x14ac:dyDescent="0.25">
      <c r="A198" s="15"/>
      <c r="B198"/>
      <c r="C198" s="15"/>
      <c r="D198" s="15"/>
      <c r="E198" s="15"/>
      <c r="F198" s="15"/>
    </row>
    <row r="199" spans="1:6" x14ac:dyDescent="0.25">
      <c r="A199" s="15"/>
      <c r="B199"/>
      <c r="C199" s="15"/>
      <c r="D199" s="15"/>
      <c r="E199" s="15"/>
      <c r="F199" s="15"/>
    </row>
    <row r="200" spans="1:6" x14ac:dyDescent="0.25">
      <c r="A200" s="15"/>
      <c r="B200"/>
      <c r="C200" s="15"/>
      <c r="D200" s="15"/>
      <c r="E200" s="15"/>
      <c r="F200" s="15"/>
    </row>
    <row r="201" spans="1:6" x14ac:dyDescent="0.25">
      <c r="A201" s="15"/>
      <c r="B201"/>
      <c r="C201" s="15"/>
      <c r="D201" s="15"/>
      <c r="E201" s="15"/>
      <c r="F201" s="15"/>
    </row>
    <row r="202" spans="1:6" x14ac:dyDescent="0.25">
      <c r="A202" s="15"/>
      <c r="B202"/>
      <c r="C202" s="15"/>
      <c r="D202" s="15"/>
      <c r="E202" s="15"/>
      <c r="F202" s="15"/>
    </row>
    <row r="203" spans="1:6" x14ac:dyDescent="0.25">
      <c r="A203" s="15"/>
      <c r="B203"/>
      <c r="C203" s="15"/>
      <c r="D203" s="15"/>
      <c r="E203" s="15"/>
      <c r="F203" s="15"/>
    </row>
    <row r="204" spans="1:6" x14ac:dyDescent="0.25">
      <c r="A204" s="15"/>
      <c r="B204"/>
      <c r="C204" s="15"/>
      <c r="D204" s="15"/>
      <c r="E204" s="15"/>
      <c r="F204" s="15"/>
    </row>
    <row r="205" spans="1:6" x14ac:dyDescent="0.25">
      <c r="A205" s="15"/>
      <c r="B205"/>
      <c r="C205" s="15"/>
      <c r="D205" s="15"/>
      <c r="E205" s="15"/>
      <c r="F205" s="15"/>
    </row>
    <row r="206" spans="1:6" x14ac:dyDescent="0.25">
      <c r="A206" s="15"/>
      <c r="B206"/>
      <c r="C206" s="15"/>
      <c r="D206" s="15"/>
      <c r="E206" s="15"/>
      <c r="F206" s="15"/>
    </row>
    <row r="207" spans="1:6" x14ac:dyDescent="0.25">
      <c r="A207" s="15"/>
      <c r="B207"/>
      <c r="C207" s="15"/>
      <c r="D207" s="15"/>
      <c r="E207" s="15"/>
      <c r="F207" s="15"/>
    </row>
    <row r="208" spans="1:6" x14ac:dyDescent="0.25">
      <c r="A208" s="15"/>
      <c r="B208"/>
      <c r="C208" s="15"/>
      <c r="D208" s="15"/>
      <c r="E208" s="15"/>
      <c r="F208" s="15"/>
    </row>
    <row r="209" spans="1:6" x14ac:dyDescent="0.25">
      <c r="A209" s="15"/>
      <c r="B209"/>
      <c r="C209" s="15"/>
      <c r="D209" s="15"/>
      <c r="E209" s="15"/>
      <c r="F209" s="15"/>
    </row>
    <row r="210" spans="1:6" x14ac:dyDescent="0.25">
      <c r="A210" s="15"/>
      <c r="B210"/>
      <c r="C210" s="15"/>
      <c r="D210" s="15"/>
      <c r="E210" s="15"/>
      <c r="F210" s="15"/>
    </row>
    <row r="211" spans="1:6" x14ac:dyDescent="0.25">
      <c r="A211" s="15"/>
      <c r="B211"/>
      <c r="C211" s="15"/>
      <c r="D211" s="15"/>
      <c r="E211" s="15"/>
      <c r="F211" s="15"/>
    </row>
    <row r="212" spans="1:6" x14ac:dyDescent="0.25">
      <c r="A212" s="15"/>
      <c r="B212"/>
      <c r="C212" s="15"/>
      <c r="D212" s="15"/>
      <c r="E212" s="15"/>
      <c r="F212" s="15"/>
    </row>
    <row r="213" spans="1:6" x14ac:dyDescent="0.25">
      <c r="A213" s="15"/>
      <c r="B213"/>
      <c r="C213" s="15"/>
      <c r="D213" s="15"/>
      <c r="E213" s="15"/>
      <c r="F213" s="15"/>
    </row>
    <row r="214" spans="1:6" x14ac:dyDescent="0.25">
      <c r="A214" s="15"/>
      <c r="B214"/>
      <c r="C214" s="15"/>
      <c r="D214" s="15"/>
      <c r="E214" s="15"/>
      <c r="F214" s="15"/>
    </row>
    <row r="215" spans="1:6" x14ac:dyDescent="0.25">
      <c r="A215" s="15"/>
      <c r="B215"/>
      <c r="C215" s="15"/>
      <c r="D215" s="15"/>
      <c r="E215" s="15"/>
      <c r="F215" s="15"/>
    </row>
    <row r="216" spans="1:6" x14ac:dyDescent="0.25">
      <c r="A216" s="15"/>
      <c r="B216"/>
      <c r="C216" s="15"/>
      <c r="D216" s="15"/>
      <c r="E216" s="15"/>
      <c r="F216" s="15"/>
    </row>
    <row r="217" spans="1:6" x14ac:dyDescent="0.25">
      <c r="A217" s="15"/>
      <c r="B217"/>
      <c r="C217" s="15"/>
      <c r="D217" s="15"/>
      <c r="E217" s="15"/>
      <c r="F217" s="15"/>
    </row>
    <row r="218" spans="1:6" x14ac:dyDescent="0.25">
      <c r="A218" s="15"/>
      <c r="B218"/>
      <c r="C218" s="15"/>
      <c r="D218" s="15"/>
      <c r="E218" s="15"/>
      <c r="F218" s="15"/>
    </row>
    <row r="219" spans="1:6" x14ac:dyDescent="0.25">
      <c r="A219" s="15"/>
      <c r="B219"/>
      <c r="C219" s="15"/>
      <c r="D219" s="15"/>
      <c r="E219" s="15"/>
      <c r="F219" s="15"/>
    </row>
    <row r="220" spans="1:6" x14ac:dyDescent="0.25">
      <c r="A220" s="15"/>
      <c r="B220"/>
      <c r="C220" s="15"/>
      <c r="D220" s="15"/>
      <c r="E220" s="15"/>
      <c r="F220" s="15"/>
    </row>
    <row r="221" spans="1:6" x14ac:dyDescent="0.25">
      <c r="A221" s="15"/>
      <c r="B221"/>
      <c r="C221" s="15"/>
      <c r="D221" s="15"/>
      <c r="E221" s="15"/>
      <c r="F221" s="15"/>
    </row>
    <row r="222" spans="1:6" x14ac:dyDescent="0.25">
      <c r="A222" s="15"/>
      <c r="B222"/>
      <c r="C222" s="15"/>
      <c r="D222" s="15"/>
      <c r="E222" s="15"/>
      <c r="F222" s="15"/>
    </row>
    <row r="223" spans="1:6" x14ac:dyDescent="0.25">
      <c r="A223" s="15"/>
      <c r="B223"/>
      <c r="C223" s="15"/>
      <c r="D223" s="15"/>
      <c r="E223" s="15"/>
      <c r="F223" s="15"/>
    </row>
    <row r="224" spans="1:6" x14ac:dyDescent="0.25">
      <c r="A224" s="15"/>
      <c r="B224"/>
      <c r="C224" s="15"/>
      <c r="D224" s="15"/>
      <c r="E224" s="15"/>
      <c r="F224" s="15"/>
    </row>
    <row r="225" spans="1:6" x14ac:dyDescent="0.25">
      <c r="A225" s="15"/>
      <c r="B225"/>
      <c r="C225" s="15"/>
      <c r="D225" s="15"/>
      <c r="E225" s="15"/>
      <c r="F225" s="15"/>
    </row>
    <row r="226" spans="1:6" x14ac:dyDescent="0.25">
      <c r="A226" s="15"/>
      <c r="B226"/>
      <c r="C226" s="15"/>
      <c r="D226" s="15"/>
      <c r="E226" s="15"/>
      <c r="F226" s="15"/>
    </row>
    <row r="227" spans="1:6" x14ac:dyDescent="0.25">
      <c r="A227" s="15"/>
      <c r="B227"/>
      <c r="C227" s="15"/>
      <c r="D227" s="15"/>
      <c r="E227" s="15"/>
      <c r="F227" s="15"/>
    </row>
    <row r="228" spans="1:6" x14ac:dyDescent="0.25">
      <c r="A228" s="15"/>
      <c r="B228"/>
      <c r="C228" s="15"/>
      <c r="D228" s="15"/>
      <c r="E228" s="15"/>
      <c r="F228" s="15"/>
    </row>
    <row r="229" spans="1:6" x14ac:dyDescent="0.25">
      <c r="A229" s="15"/>
      <c r="B229"/>
      <c r="C229" s="15"/>
      <c r="D229" s="15"/>
      <c r="E229" s="15"/>
      <c r="F229" s="15"/>
    </row>
    <row r="230" spans="1:6" x14ac:dyDescent="0.25">
      <c r="A230" s="15"/>
      <c r="B230"/>
      <c r="C230" s="15"/>
      <c r="D230" s="15"/>
      <c r="E230" s="15"/>
      <c r="F230" s="15"/>
    </row>
    <row r="231" spans="1:6" x14ac:dyDescent="0.25">
      <c r="A231" s="15"/>
      <c r="B231"/>
      <c r="C231" s="15"/>
      <c r="D231" s="15"/>
      <c r="E231" s="15"/>
      <c r="F231" s="15"/>
    </row>
    <row r="232" spans="1:6" x14ac:dyDescent="0.25">
      <c r="A232" s="15"/>
      <c r="B232"/>
      <c r="C232" s="15"/>
      <c r="D232" s="15"/>
      <c r="E232" s="15"/>
      <c r="F232" s="15"/>
    </row>
    <row r="233" spans="1:6" x14ac:dyDescent="0.25">
      <c r="A233" s="15"/>
      <c r="B233"/>
      <c r="C233" s="15"/>
      <c r="D233" s="15"/>
      <c r="E233" s="15"/>
      <c r="F233" s="15"/>
    </row>
    <row r="234" spans="1:6" x14ac:dyDescent="0.25">
      <c r="A234" s="15"/>
      <c r="B234"/>
      <c r="C234" s="15"/>
      <c r="D234" s="15"/>
      <c r="E234" s="15"/>
      <c r="F234" s="15"/>
    </row>
    <row r="235" spans="1:6" x14ac:dyDescent="0.25">
      <c r="A235" s="15"/>
      <c r="B235"/>
      <c r="C235" s="15"/>
      <c r="D235" s="15"/>
      <c r="E235" s="15"/>
      <c r="F235" s="15"/>
    </row>
    <row r="236" spans="1:6" x14ac:dyDescent="0.25">
      <c r="A236" s="15"/>
      <c r="B236"/>
      <c r="C236" s="15"/>
      <c r="D236" s="15"/>
      <c r="E236" s="15"/>
      <c r="F236" s="15"/>
    </row>
    <row r="237" spans="1:6" x14ac:dyDescent="0.25">
      <c r="A237" s="15"/>
      <c r="B237"/>
      <c r="C237" s="15"/>
      <c r="D237" s="15"/>
      <c r="E237" s="15"/>
      <c r="F237" s="15"/>
    </row>
    <row r="238" spans="1:6" x14ac:dyDescent="0.25">
      <c r="A238" s="15"/>
      <c r="B238"/>
      <c r="C238" s="15"/>
      <c r="D238" s="15"/>
      <c r="E238" s="15"/>
      <c r="F238" s="15"/>
    </row>
    <row r="239" spans="1:6" x14ac:dyDescent="0.25">
      <c r="A239" s="15"/>
      <c r="B239"/>
      <c r="C239" s="15"/>
      <c r="D239" s="15"/>
      <c r="E239" s="15"/>
      <c r="F239" s="15"/>
    </row>
    <row r="240" spans="1:6" x14ac:dyDescent="0.25">
      <c r="A240" s="15"/>
      <c r="B240"/>
      <c r="C240" s="15"/>
      <c r="D240" s="15"/>
      <c r="E240" s="15"/>
      <c r="F240" s="15"/>
    </row>
    <row r="241" spans="1:6" x14ac:dyDescent="0.25">
      <c r="A241" s="15"/>
      <c r="B241"/>
      <c r="C241" s="15"/>
      <c r="D241" s="15"/>
      <c r="E241" s="15"/>
      <c r="F241" s="15"/>
    </row>
    <row r="242" spans="1:6" x14ac:dyDescent="0.25">
      <c r="A242" s="15"/>
      <c r="B242"/>
      <c r="C242" s="15"/>
      <c r="D242" s="15"/>
      <c r="E242" s="15"/>
      <c r="F242" s="15"/>
    </row>
    <row r="243" spans="1:6" x14ac:dyDescent="0.25">
      <c r="A243" s="15"/>
      <c r="B243"/>
      <c r="C243" s="15"/>
      <c r="D243" s="15"/>
      <c r="E243" s="15"/>
      <c r="F243" s="15"/>
    </row>
    <row r="244" spans="1:6" x14ac:dyDescent="0.25">
      <c r="A244" s="15"/>
      <c r="B244"/>
      <c r="C244" s="15"/>
      <c r="D244" s="15"/>
      <c r="E244" s="15"/>
      <c r="F244" s="15"/>
    </row>
    <row r="245" spans="1:6" x14ac:dyDescent="0.25">
      <c r="A245" s="15"/>
      <c r="B245"/>
      <c r="C245" s="15"/>
      <c r="D245" s="15"/>
      <c r="E245" s="15"/>
      <c r="F245" s="15"/>
    </row>
    <row r="246" spans="1:6" x14ac:dyDescent="0.25">
      <c r="A246" s="15"/>
      <c r="B246"/>
      <c r="C246" s="15"/>
      <c r="D246" s="15"/>
      <c r="E246" s="15"/>
      <c r="F246" s="15"/>
    </row>
    <row r="247" spans="1:6" x14ac:dyDescent="0.25">
      <c r="A247" s="15"/>
      <c r="B247"/>
      <c r="C247" s="15"/>
      <c r="D247" s="15"/>
      <c r="E247" s="15"/>
      <c r="F247" s="15"/>
    </row>
    <row r="248" spans="1:6" x14ac:dyDescent="0.25">
      <c r="A248" s="15"/>
      <c r="B248"/>
      <c r="C248" s="15"/>
      <c r="D248" s="15"/>
      <c r="E248" s="15"/>
      <c r="F248" s="15"/>
    </row>
    <row r="249" spans="1:6" x14ac:dyDescent="0.25">
      <c r="A249" s="15"/>
      <c r="B249"/>
      <c r="C249" s="15"/>
      <c r="D249" s="15"/>
      <c r="E249" s="15"/>
      <c r="F249" s="15"/>
    </row>
    <row r="250" spans="1:6" x14ac:dyDescent="0.25">
      <c r="A250" s="15"/>
      <c r="B250"/>
      <c r="C250" s="15"/>
      <c r="D250" s="15"/>
      <c r="E250" s="15"/>
      <c r="F250" s="15"/>
    </row>
    <row r="251" spans="1:6" x14ac:dyDescent="0.25">
      <c r="A251" s="15"/>
      <c r="B251"/>
      <c r="C251" s="15"/>
      <c r="D251" s="15"/>
      <c r="E251" s="15"/>
      <c r="F251" s="15"/>
    </row>
    <row r="252" spans="1:6" x14ac:dyDescent="0.25">
      <c r="A252" s="15"/>
      <c r="B252"/>
      <c r="C252" s="15"/>
      <c r="D252" s="15"/>
      <c r="E252" s="15"/>
      <c r="F252" s="15"/>
    </row>
    <row r="253" spans="1:6" x14ac:dyDescent="0.25">
      <c r="A253" s="15"/>
      <c r="B253"/>
      <c r="C253" s="15"/>
      <c r="D253" s="15"/>
      <c r="E253" s="15"/>
      <c r="F253" s="15"/>
    </row>
    <row r="254" spans="1:6" x14ac:dyDescent="0.25">
      <c r="A254" s="15"/>
      <c r="B254"/>
      <c r="C254" s="15"/>
      <c r="D254" s="15"/>
      <c r="E254" s="15"/>
      <c r="F254" s="15"/>
    </row>
    <row r="255" spans="1:6" x14ac:dyDescent="0.25">
      <c r="A255" s="15"/>
      <c r="B255"/>
      <c r="C255" s="15"/>
      <c r="D255" s="15"/>
      <c r="E255" s="15"/>
      <c r="F255" s="15"/>
    </row>
    <row r="256" spans="1:6" x14ac:dyDescent="0.25">
      <c r="A256" s="15"/>
      <c r="B256"/>
      <c r="C256" s="15"/>
      <c r="D256" s="15"/>
      <c r="E256" s="15"/>
      <c r="F256" s="15"/>
    </row>
    <row r="257" spans="1:6" x14ac:dyDescent="0.25">
      <c r="A257" s="15"/>
      <c r="B257"/>
      <c r="C257" s="15"/>
      <c r="D257" s="15"/>
      <c r="E257" s="15"/>
      <c r="F257" s="15"/>
    </row>
    <row r="258" spans="1:6" x14ac:dyDescent="0.25">
      <c r="A258" s="15"/>
      <c r="B258"/>
      <c r="C258" s="15"/>
      <c r="D258" s="15"/>
      <c r="E258" s="15"/>
      <c r="F258" s="15"/>
    </row>
    <row r="259" spans="1:6" x14ac:dyDescent="0.25">
      <c r="A259" s="15"/>
      <c r="B259"/>
      <c r="C259" s="15"/>
      <c r="D259" s="15"/>
      <c r="E259" s="15"/>
      <c r="F259" s="15"/>
    </row>
    <row r="260" spans="1:6" x14ac:dyDescent="0.25">
      <c r="A260" s="15"/>
      <c r="B260"/>
      <c r="C260" s="15"/>
      <c r="D260" s="15"/>
      <c r="E260" s="15"/>
      <c r="F260" s="15"/>
    </row>
    <row r="261" spans="1:6" x14ac:dyDescent="0.25">
      <c r="A261" s="15"/>
      <c r="B261"/>
      <c r="C261" s="15"/>
      <c r="D261" s="15"/>
      <c r="E261" s="15"/>
      <c r="F261" s="15"/>
    </row>
    <row r="262" spans="1:6" x14ac:dyDescent="0.25">
      <c r="A262" s="15"/>
      <c r="B262"/>
      <c r="C262" s="15"/>
      <c r="D262" s="15"/>
      <c r="E262" s="15"/>
      <c r="F262" s="15"/>
    </row>
    <row r="263" spans="1:6" x14ac:dyDescent="0.25">
      <c r="A263" s="15"/>
      <c r="B263"/>
      <c r="C263" s="15"/>
      <c r="D263" s="15"/>
      <c r="E263" s="15"/>
      <c r="F263" s="15"/>
    </row>
    <row r="264" spans="1:6" x14ac:dyDescent="0.25">
      <c r="A264" s="15"/>
      <c r="B264"/>
      <c r="C264" s="15"/>
      <c r="D264" s="15"/>
      <c r="E264" s="15"/>
      <c r="F264" s="15"/>
    </row>
    <row r="265" spans="1:6" x14ac:dyDescent="0.25">
      <c r="A265" s="15"/>
      <c r="B265"/>
      <c r="C265" s="15"/>
      <c r="D265" s="15"/>
      <c r="E265" s="15"/>
      <c r="F265" s="15"/>
    </row>
    <row r="266" spans="1:6" x14ac:dyDescent="0.25">
      <c r="A266" s="15"/>
      <c r="B266"/>
      <c r="C266" s="15"/>
      <c r="D266" s="15"/>
      <c r="E266" s="15"/>
      <c r="F266" s="15"/>
    </row>
    <row r="267" spans="1:6" x14ac:dyDescent="0.25">
      <c r="A267" s="15"/>
      <c r="B267"/>
      <c r="C267" s="15"/>
      <c r="D267" s="15"/>
      <c r="E267" s="15"/>
      <c r="F267" s="15"/>
    </row>
    <row r="268" spans="1:6" x14ac:dyDescent="0.25">
      <c r="A268" s="15"/>
      <c r="B268"/>
      <c r="C268" s="15"/>
      <c r="D268" s="15"/>
      <c r="E268" s="15"/>
      <c r="F268" s="15"/>
    </row>
    <row r="269" spans="1:6" x14ac:dyDescent="0.25">
      <c r="A269" s="15"/>
      <c r="B269" s="15"/>
      <c r="C269" s="15"/>
      <c r="D269" s="15"/>
      <c r="E269" s="15"/>
      <c r="F269" s="15"/>
    </row>
    <row r="270" spans="1:6" x14ac:dyDescent="0.25">
      <c r="A270" s="15"/>
      <c r="B270" s="15"/>
      <c r="C270" s="15"/>
      <c r="D270" s="15"/>
      <c r="E270" s="15"/>
      <c r="F270" s="15"/>
    </row>
    <row r="271" spans="1:6" x14ac:dyDescent="0.25">
      <c r="A271" s="15"/>
      <c r="B271" s="15"/>
      <c r="C271" s="15"/>
      <c r="D271" s="15"/>
      <c r="E271" s="15"/>
      <c r="F271" s="15"/>
    </row>
    <row r="272" spans="1:6" x14ac:dyDescent="0.25">
      <c r="A272" s="15"/>
      <c r="B272" s="15"/>
      <c r="C272" s="15"/>
      <c r="D272" s="15"/>
      <c r="E272" s="15"/>
      <c r="F272" s="15"/>
    </row>
    <row r="273" spans="1:6" x14ac:dyDescent="0.25">
      <c r="A273" s="15"/>
      <c r="B273" s="15"/>
      <c r="C273" s="15"/>
      <c r="D273" s="15"/>
      <c r="E273" s="15"/>
      <c r="F273" s="15"/>
    </row>
    <row r="274" spans="1:6" x14ac:dyDescent="0.25">
      <c r="A274" s="15"/>
      <c r="B274" s="15"/>
      <c r="C274" s="15"/>
      <c r="D274" s="15"/>
      <c r="E274" s="15"/>
      <c r="F274" s="15"/>
    </row>
    <row r="275" spans="1:6" x14ac:dyDescent="0.25">
      <c r="A275" s="15"/>
      <c r="B275" s="15"/>
      <c r="C275" s="15"/>
      <c r="D275" s="15"/>
      <c r="E275" s="15"/>
      <c r="F275" s="15"/>
    </row>
    <row r="276" spans="1:6" x14ac:dyDescent="0.25">
      <c r="A276" s="15"/>
      <c r="B276" s="15"/>
      <c r="C276" s="15"/>
      <c r="D276" s="15"/>
      <c r="E276" s="15"/>
      <c r="F276" s="15"/>
    </row>
    <row r="277" spans="1:6" x14ac:dyDescent="0.25">
      <c r="A277" s="15"/>
      <c r="B277" s="15"/>
      <c r="C277" s="15"/>
      <c r="D277" s="15"/>
      <c r="E277" s="15"/>
      <c r="F277" s="15"/>
    </row>
    <row r="278" spans="1:6" x14ac:dyDescent="0.25">
      <c r="A278" s="15"/>
      <c r="B278" s="15"/>
      <c r="C278" s="15"/>
      <c r="D278" s="15"/>
      <c r="E278" s="15"/>
      <c r="F278" s="15"/>
    </row>
    <row r="279" spans="1:6" x14ac:dyDescent="0.25">
      <c r="A279" s="15"/>
      <c r="B279" s="15"/>
      <c r="C279" s="15"/>
      <c r="D279" s="15"/>
      <c r="E279" s="15"/>
      <c r="F279" s="15"/>
    </row>
  </sheetData>
  <sheetProtection password="9E77" sheet="1" objects="1" scenarios="1"/>
  <mergeCells count="1">
    <mergeCell ref="C3:E3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5A6BCA4ACA584C9A1C03FD3956D51C" ma:contentTypeVersion="16" ma:contentTypeDescription="Criar um novo documento." ma:contentTypeScope="" ma:versionID="25cd4bb1aaf04bf7c36d581853a12fbf">
  <xsd:schema xmlns:xsd="http://www.w3.org/2001/XMLSchema" xmlns:xs="http://www.w3.org/2001/XMLSchema" xmlns:p="http://schemas.microsoft.com/office/2006/metadata/properties" xmlns:ns1="http://schemas.microsoft.com/sharepoint/v3" xmlns:ns2="767d911d-09c2-43d9-a326-6ded42ddccd2" xmlns:ns3="1f788909-93b9-4481-96a4-a6ab2493c341" targetNamespace="http://schemas.microsoft.com/office/2006/metadata/properties" ma:root="true" ma:fieldsID="2898a58c724212c25df4c06f581a570c" ns1:_="" ns2:_="" ns3:_="">
    <xsd:import namespace="http://schemas.microsoft.com/sharepoint/v3"/>
    <xsd:import namespace="767d911d-09c2-43d9-a326-6ded42ddccd2"/>
    <xsd:import namespace="1f788909-93b9-4481-96a4-a6ab2493c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d911d-09c2-43d9-a326-6ded42dd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88909-93b9-4481-96a4-a6ab2493c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d344041-97b7-4534-958d-616959bb7958}" ma:internalName="TaxCatchAll" ma:showField="CatchAllData" ma:web="1f788909-93b9-4481-96a4-a6ab2493c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f788909-93b9-4481-96a4-a6ab2493c341" xsi:nil="true"/>
    <lcf76f155ced4ddcb4097134ff3c332f xmlns="767d911d-09c2-43d9-a326-6ded42ddccd2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F7B07B4-5E22-485B-9D7E-572A134EBEAD}"/>
</file>

<file path=customXml/itemProps2.xml><?xml version="1.0" encoding="utf-8"?>
<ds:datastoreItem xmlns:ds="http://schemas.openxmlformats.org/officeDocument/2006/customXml" ds:itemID="{AFC68DDE-7B3E-49B6-AF36-D94637FFCF02}"/>
</file>

<file path=customXml/itemProps3.xml><?xml version="1.0" encoding="utf-8"?>
<ds:datastoreItem xmlns:ds="http://schemas.openxmlformats.org/officeDocument/2006/customXml" ds:itemID="{473BB723-6BB6-490A-8185-96451A9C71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0_ReadMe</vt:lpstr>
      <vt:lpstr>0_Identification</vt:lpstr>
      <vt:lpstr>6_IRRBB_Additional</vt:lpstr>
    </vt:vector>
  </TitlesOfParts>
  <Company>European Central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Joana.Peralta@ecb.europa.eu</dc:creator>
  <cp:lastModifiedBy>Nicolae, Antonia-Ioana</cp:lastModifiedBy>
  <dcterms:created xsi:type="dcterms:W3CDTF">2018-11-19T10:27:12Z</dcterms:created>
  <dcterms:modified xsi:type="dcterms:W3CDTF">2023-10-09T09:10:41Z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{C2D054DF-548A-4C65-AE09-9431DEC7B4EA}</vt:lpwstr>
  </property>
  <property fmtid="{D5CDD505-2E9C-101B-9397-08002B2CF9AE}" pid="3" name="ContentTypeId">
    <vt:lpwstr>0x010100845A6BCA4ACA584C9A1C03FD3956D51C</vt:lpwstr>
  </property>
</Properties>
</file>