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5.xml" ContentType="application/vnd.openxmlformats-officedocument.spreadsheetml.worksheet+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updateLinks="neve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CBD35669-7102-4F40-BB18-2028A2784504}" xr6:coauthVersionLast="47" xr6:coauthVersionMax="47" xr10:uidLastSave="{00000000-0000-0000-0000-000000000000}"/>
  <bookViews>
    <workbookView xWindow="-120" yWindow="-120" windowWidth="29040" windowHeight="15720" tabRatio="834" activeTab="2" xr2:uid="{00000000-000D-0000-FFFF-FFFF00000000}"/>
  </bookViews>
  <sheets>
    <sheet name="0_ReadMe" sheetId="36" r:id="rId1"/>
    <sheet name="0_Identification" sheetId="35" r:id="rId2"/>
    <sheet name="1_Key data" sheetId="1" r:id="rId3"/>
    <sheet name="2.1_P&amp;L_drivers" sheetId="44" r:id="rId4"/>
    <sheet name="3_AM &amp; Custodian activities" sheetId="42" r:id="rId5"/>
    <sheet name="4.1_Loan pricing" sheetId="43" r:id="rId6"/>
    <sheet name="5.2_Markets &amp; Positioning" sheetId="12" r:id="rId7"/>
    <sheet name="6_Remuneration" sheetId="39" r:id="rId8"/>
    <sheet name="Reference for drop-down menus" sheetId="30" state="hidden" r:id="rId9"/>
  </sheets>
  <definedNames>
    <definedName name="BM">#REF!</definedName>
    <definedName name="CIQWBGuid" hidden="1">"03f4930e-b33c-4382-a597-a94ab15a402c"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'1_Key data'!$A$1:$F$84</definedName>
    <definedName name="_xlnm.Print_Area" localSheetId="5">'4.1_Loan pricing'!$A$1:$AE$30</definedName>
    <definedName name="_xlnm.Print_Area" localSheetId="6">'5.2_Markets &amp; Positioning'!$A$1:$K$38</definedName>
    <definedName name="_xlnm.Print_Area" localSheetId="8">'Reference for drop-down menus'!$A$1:$AL$44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60" i="42" l="1"/>
  <c r="E66" i="42"/>
  <c r="E70" i="42"/>
  <c r="C21" i="12" l="1"/>
  <c r="A6" i="12" l="1"/>
  <c r="C25" i="12" l="1"/>
  <c r="C23" i="12"/>
  <c r="A21" i="12" l="1"/>
  <c r="A22" i="12" l="1"/>
  <c r="A23" i="12" s="1"/>
  <c r="A24" i="12" s="1"/>
  <c r="A25" i="12" s="1"/>
  <c r="A26" i="12" s="1"/>
  <c r="A27" i="12" s="1"/>
  <c r="A28" i="12" s="1"/>
  <c r="A2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Sailis, Debora</author>
    <author>Kirnágová, Kristína</author>
  </authors>
  <commentList>
    <comment ref="C7" authorId="0" shapeId="0" xr:uid="{C3A37894-F92C-43DD-9A9F-FB9D777B455D}">
      <text>
        <r>
          <rPr>
            <b/>
            <sz val="9"/>
            <color indexed="81"/>
            <rFont val="Tahoma"/>
            <family val="2"/>
          </rPr>
          <t xml:space="preserve">please select country
</t>
        </r>
        <r>
          <rPr>
            <sz val="9"/>
            <color indexed="81"/>
            <rFont val="Tahoma"/>
            <family val="2"/>
          </rPr>
          <t xml:space="preserve">
</t>
        </r>
      </text>
    </comment>
    <comment ref="C8" authorId="0" shapeId="0" xr:uid="{6905BF44-215D-449C-82CA-19FA0084D440}">
      <text>
        <r>
          <rPr>
            <b/>
            <sz val="9"/>
            <color indexed="81"/>
            <rFont val="Tahoma"/>
            <family val="2"/>
          </rPr>
          <t xml:space="preserve">please select geographical region
</t>
        </r>
      </text>
    </comment>
    <comment ref="C9" authorId="0" shapeId="0" xr:uid="{0793C178-D608-4169-8484-12C81B35A0AA}">
      <text>
        <r>
          <rPr>
            <b/>
            <sz val="9"/>
            <color indexed="81"/>
            <rFont val="Tahoma"/>
            <family val="2"/>
          </rPr>
          <t xml:space="preserve">please select geographical region
</t>
        </r>
      </text>
    </comment>
    <comment ref="C10" authorId="0" shapeId="0" xr:uid="{FB5C2CED-5317-41A2-8828-9DDC93DC2B3B}">
      <text>
        <r>
          <rPr>
            <b/>
            <sz val="9"/>
            <color indexed="81"/>
            <rFont val="Tahoma"/>
            <family val="2"/>
          </rPr>
          <t xml:space="preserve">please select geographical region
</t>
        </r>
      </text>
    </comment>
    <comment ref="C13" authorId="0" shapeId="0" xr:uid="{C2DBEEB8-A48A-4000-8678-7C249CF2DFE4}">
      <text>
        <r>
          <rPr>
            <b/>
            <sz val="9"/>
            <color indexed="81"/>
            <rFont val="Tahoma"/>
            <family val="2"/>
          </rPr>
          <t xml:space="preserve">Please select level of benchmarking
</t>
        </r>
      </text>
    </comment>
    <comment ref="D13" authorId="0" shapeId="0" xr:uid="{3823B77F-40FD-4F81-8705-2E498A97B63C}">
      <text>
        <r>
          <rPr>
            <b/>
            <sz val="9"/>
            <color indexed="81"/>
            <rFont val="Tahoma"/>
            <family val="2"/>
          </rPr>
          <t xml:space="preserve">Please select banks in peer group
</t>
        </r>
      </text>
    </comment>
    <comment ref="C14" authorId="0" shapeId="0" xr:uid="{63B7A5F1-5525-432A-823E-DB210A01BCD2}">
      <text>
        <r>
          <rPr>
            <b/>
            <sz val="9"/>
            <color indexed="81"/>
            <rFont val="Tahoma"/>
            <family val="2"/>
          </rPr>
          <t xml:space="preserve">Please select level of benchmarking
</t>
        </r>
      </text>
    </comment>
    <comment ref="D14" authorId="0" shapeId="0" xr:uid="{DDFDE27B-E4CE-452D-A9FF-95B78450AD44}">
      <text>
        <r>
          <rPr>
            <b/>
            <sz val="9"/>
            <color indexed="81"/>
            <rFont val="Tahoma"/>
            <family val="2"/>
          </rPr>
          <t xml:space="preserve">Please select banks in peer group
</t>
        </r>
      </text>
    </comment>
    <comment ref="C15" authorId="0" shapeId="0" xr:uid="{EC21851B-F5DA-400C-B699-1EEBB6520D24}">
      <text>
        <r>
          <rPr>
            <b/>
            <sz val="9"/>
            <color indexed="81"/>
            <rFont val="Tahoma"/>
            <family val="2"/>
          </rPr>
          <t xml:space="preserve">Please select level of benchmarking
</t>
        </r>
      </text>
    </comment>
    <comment ref="D15" authorId="0" shapeId="0" xr:uid="{99487E71-308B-4B17-A871-CEC28CCA52C1}">
      <text>
        <r>
          <rPr>
            <b/>
            <sz val="9"/>
            <color indexed="81"/>
            <rFont val="Tahoma"/>
            <family val="2"/>
          </rPr>
          <t xml:space="preserve">Please select banks in peer group
</t>
        </r>
      </text>
    </comment>
    <comment ref="C16" authorId="0" shapeId="0" xr:uid="{3F77F1D5-55AB-4114-A466-830F8439A21A}">
      <text>
        <r>
          <rPr>
            <b/>
            <sz val="9"/>
            <color indexed="81"/>
            <rFont val="Tahoma"/>
            <family val="2"/>
          </rPr>
          <t xml:space="preserve">Please select level of benchmarking
</t>
        </r>
      </text>
    </comment>
    <comment ref="D16" authorId="0" shapeId="0" xr:uid="{2EE036D3-4D4C-4532-9DFC-D2CF87DE29D0}">
      <text>
        <r>
          <rPr>
            <b/>
            <sz val="9"/>
            <color indexed="81"/>
            <rFont val="Tahoma"/>
            <family val="2"/>
          </rPr>
          <t xml:space="preserve">Please select banks in peer group
</t>
        </r>
      </text>
    </comment>
    <comment ref="C17" authorId="0" shapeId="0" xr:uid="{1EECDF65-0496-4C6A-A610-71FF09885E7D}">
      <text>
        <r>
          <rPr>
            <b/>
            <sz val="9"/>
            <color indexed="81"/>
            <rFont val="Tahoma"/>
            <family val="2"/>
          </rPr>
          <t xml:space="preserve">Please select level of benchmarking
</t>
        </r>
      </text>
    </comment>
    <comment ref="D17" authorId="0" shapeId="0" xr:uid="{12D5969A-557A-40ED-BA55-38A4EB0C3800}">
      <text>
        <r>
          <rPr>
            <b/>
            <sz val="9"/>
            <color indexed="81"/>
            <rFont val="Tahoma"/>
            <family val="2"/>
          </rPr>
          <t xml:space="preserve">Please select banks in peer group
</t>
        </r>
      </text>
    </comment>
    <comment ref="C18" authorId="0" shapeId="0" xr:uid="{08FB0A6C-1068-4811-922D-4F0DCD9571CF}">
      <text>
        <r>
          <rPr>
            <b/>
            <sz val="9"/>
            <color indexed="81"/>
            <rFont val="Tahoma"/>
            <family val="2"/>
          </rPr>
          <t xml:space="preserve">Please select level of benchmarking
</t>
        </r>
      </text>
    </comment>
    <comment ref="D18" authorId="0" shapeId="0" xr:uid="{5D161F22-111C-4A17-BE17-75E0E5EFDE87}">
      <text>
        <r>
          <rPr>
            <b/>
            <sz val="9"/>
            <color indexed="81"/>
            <rFont val="Tahoma"/>
            <family val="2"/>
          </rPr>
          <t xml:space="preserve">Please select banks in peer group
</t>
        </r>
      </text>
    </comment>
    <comment ref="C19" authorId="0" shapeId="0" xr:uid="{D4BF1A32-9000-4613-9410-0B846A1DB84B}">
      <text>
        <r>
          <rPr>
            <b/>
            <sz val="9"/>
            <color indexed="81"/>
            <rFont val="Tahoma"/>
            <family val="2"/>
          </rPr>
          <t xml:space="preserve">Please select level of benchmarking
</t>
        </r>
      </text>
    </comment>
    <comment ref="D19" authorId="0" shapeId="0" xr:uid="{7AB8B052-48AE-4A03-8F1D-EF06C6940C3F}">
      <text>
        <r>
          <rPr>
            <b/>
            <sz val="9"/>
            <color indexed="81"/>
            <rFont val="Tahoma"/>
            <family val="2"/>
          </rPr>
          <t xml:space="preserve">Please select banks in peer group
</t>
        </r>
      </text>
    </comment>
    <comment ref="C20" authorId="0" shapeId="0" xr:uid="{B93D7269-95D4-4F19-B4FB-507478472EEF}">
      <text>
        <r>
          <rPr>
            <b/>
            <sz val="9"/>
            <color indexed="81"/>
            <rFont val="Tahoma"/>
            <family val="2"/>
          </rPr>
          <t xml:space="preserve">Please select level of benchmarking
</t>
        </r>
      </text>
    </comment>
    <comment ref="D20" authorId="0" shapeId="0" xr:uid="{529D8F71-C9B8-4519-A465-5D33A124B3BA}">
      <text>
        <r>
          <rPr>
            <b/>
            <sz val="9"/>
            <color indexed="81"/>
            <rFont val="Tahoma"/>
            <family val="2"/>
          </rPr>
          <t xml:space="preserve">Please select banks in peer group
</t>
        </r>
      </text>
    </comment>
    <comment ref="C21" authorId="0" shapeId="0" xr:uid="{4AFC7B40-DDDC-41C5-9E0A-BE7A9D5DAC28}">
      <text>
        <r>
          <rPr>
            <b/>
            <sz val="9"/>
            <color indexed="81"/>
            <rFont val="Tahoma"/>
            <family val="2"/>
          </rPr>
          <t xml:space="preserve">Please select level of benchmarking
</t>
        </r>
      </text>
    </comment>
    <comment ref="D21" authorId="0" shapeId="0" xr:uid="{CF5B3D9C-34C3-42C2-91F1-A3983AF12CFB}">
      <text>
        <r>
          <rPr>
            <b/>
            <sz val="9"/>
            <color indexed="81"/>
            <rFont val="Tahoma"/>
            <family val="2"/>
          </rPr>
          <t xml:space="preserve">Please select banks in peer group
</t>
        </r>
      </text>
    </comment>
    <comment ref="C22" authorId="0" shapeId="0" xr:uid="{6CA29827-179C-4556-8B44-6DA8E728EC23}">
      <text>
        <r>
          <rPr>
            <b/>
            <sz val="9"/>
            <color indexed="81"/>
            <rFont val="Tahoma"/>
            <family val="2"/>
          </rPr>
          <t xml:space="preserve">Please select level of benchmarking
</t>
        </r>
      </text>
    </comment>
    <comment ref="D22" authorId="0" shapeId="0" xr:uid="{D016B9E9-765C-4CAD-A78B-C7237A593662}">
      <text>
        <r>
          <rPr>
            <b/>
            <sz val="9"/>
            <color indexed="81"/>
            <rFont val="Tahoma"/>
            <family val="2"/>
          </rPr>
          <t xml:space="preserve">Please select banks in peer group
</t>
        </r>
      </text>
    </comment>
    <comment ref="B29" authorId="0" shapeId="0" xr:uid="{47609226-6764-4265-8C80-0A679E1FA603}">
      <text>
        <r>
          <rPr>
            <b/>
            <sz val="9"/>
            <color indexed="81"/>
            <rFont val="Tahoma"/>
            <family val="2"/>
          </rPr>
          <t xml:space="preserve">Please select frequency
</t>
        </r>
      </text>
    </comment>
    <comment ref="B32" authorId="0" shapeId="0" xr:uid="{C75EA957-2D0F-4F03-8F58-CA6DEA7D4697}">
      <text>
        <r>
          <rPr>
            <b/>
            <sz val="9"/>
            <color indexed="81"/>
            <rFont val="Tahoma"/>
            <family val="2"/>
          </rPr>
          <t>insert text</t>
        </r>
      </text>
    </comment>
    <comment ref="B34" authorId="0" shapeId="0" xr:uid="{87A0D536-0A5A-4529-B582-8089F82927E0}">
      <text>
        <r>
          <rPr>
            <b/>
            <sz val="9"/>
            <color indexed="81"/>
            <rFont val="Tahoma"/>
            <family val="2"/>
          </rPr>
          <t>insert text</t>
        </r>
      </text>
    </comment>
    <comment ref="D53" authorId="1" shapeId="0" xr:uid="{0A2989BA-612C-405D-BCC1-5BAB0191358C}">
      <text>
        <r>
          <rPr>
            <b/>
            <sz val="9"/>
            <color indexed="81"/>
            <rFont val="Tahoma"/>
            <family val="2"/>
          </rPr>
          <t xml:space="preserve">Please select
</t>
        </r>
      </text>
    </comment>
    <comment ref="D56" authorId="1" shapeId="0" xr:uid="{030E11C9-6FB6-4E43-A892-EDDFF1276ADF}">
      <text>
        <r>
          <rPr>
            <b/>
            <sz val="9"/>
            <color indexed="81"/>
            <rFont val="Tahoma"/>
            <family val="2"/>
          </rPr>
          <t xml:space="preserve">Please select
</t>
        </r>
      </text>
    </comment>
    <comment ref="D65" authorId="0" shapeId="0" xr:uid="{F11E5795-9BC7-4746-AC01-BE213882DEEB}">
      <text>
        <r>
          <rPr>
            <b/>
            <sz val="9"/>
            <color indexed="81"/>
            <rFont val="Tahoma"/>
            <family val="2"/>
          </rPr>
          <t xml:space="preserve">Please select
</t>
        </r>
      </text>
    </comment>
    <comment ref="B72" authorId="0" shapeId="0" xr:uid="{E8ED245C-316D-4BF8-91C4-ECF80FA85FAA}">
      <text>
        <r>
          <rPr>
            <b/>
            <sz val="9"/>
            <color indexed="81"/>
            <rFont val="Tahoma"/>
            <family val="2"/>
          </rPr>
          <t xml:space="preserve">please specify the scope of consolidation used in your STE profitability template
</t>
        </r>
      </text>
    </comment>
    <comment ref="B75" authorId="0" shapeId="0" xr:uid="{7FD9B72A-6453-4561-A842-36C01EFB00CC}">
      <text>
        <r>
          <rPr>
            <b/>
            <sz val="9"/>
            <color indexed="81"/>
            <rFont val="Tahoma"/>
            <family val="2"/>
          </rPr>
          <t>insert text</t>
        </r>
      </text>
    </comment>
    <comment ref="C78" authorId="0" shapeId="0" xr:uid="{8CDAA446-D8A3-4EF2-A7F0-86C591DF4FE0}">
      <text>
        <r>
          <rPr>
            <b/>
            <sz val="9"/>
            <color indexed="81"/>
            <rFont val="Tahoma"/>
            <family val="2"/>
          </rPr>
          <t xml:space="preserve">please specify challenge
</t>
        </r>
      </text>
    </comment>
    <comment ref="D78" authorId="0" shapeId="0" xr:uid="{ABC81FCB-06FA-4F64-BAC4-B379DEC26D43}">
      <text>
        <r>
          <rPr>
            <b/>
            <sz val="9"/>
            <color indexed="81"/>
            <rFont val="Tahoma"/>
            <family val="2"/>
          </rPr>
          <t xml:space="preserve">please specify challenge
</t>
        </r>
      </text>
    </comment>
    <comment ref="E78" authorId="0" shapeId="0" xr:uid="{5D9872EF-E8D5-4CD2-A469-92108ACB3FE7}">
      <text>
        <r>
          <rPr>
            <b/>
            <sz val="9"/>
            <color indexed="81"/>
            <rFont val="Tahoma"/>
            <family val="2"/>
          </rPr>
          <t xml:space="preserve">please specify challenge
</t>
        </r>
      </text>
    </comment>
    <comment ref="C82" authorId="0" shapeId="0" xr:uid="{AAE0E29D-44A2-4388-B4A3-0516E3B54030}">
      <text>
        <r>
          <rPr>
            <b/>
            <sz val="9"/>
            <color indexed="81"/>
            <rFont val="Tahoma"/>
            <family val="2"/>
          </rPr>
          <t xml:space="preserve">please specify challenge
</t>
        </r>
      </text>
    </comment>
    <comment ref="D82" authorId="0" shapeId="0" xr:uid="{F19ACE0C-6DE4-4B6B-8388-7D09D7788E6D}">
      <text>
        <r>
          <rPr>
            <b/>
            <sz val="9"/>
            <color indexed="81"/>
            <rFont val="Tahoma"/>
            <family val="2"/>
          </rPr>
          <t xml:space="preserve">please specify challenge
</t>
        </r>
      </text>
    </comment>
    <comment ref="E82" authorId="0" shapeId="0" xr:uid="{2829D602-1A90-48B3-BF74-3693C17EDF34}">
      <text>
        <r>
          <rPr>
            <b/>
            <sz val="9"/>
            <color indexed="81"/>
            <rFont val="Tahoma"/>
            <family val="2"/>
          </rPr>
          <t xml:space="preserve">please specify challenge
</t>
        </r>
      </text>
    </comment>
    <comment ref="D87" authorId="0" shapeId="0" xr:uid="{F80E07BF-3A6E-42AB-A40B-0CE589D9BA9D}">
      <text>
        <r>
          <rPr>
            <b/>
            <sz val="9"/>
            <color indexed="81"/>
            <rFont val="Tahoma"/>
            <family val="2"/>
          </rPr>
          <t xml:space="preserve">Please select
</t>
        </r>
      </text>
    </comment>
    <comment ref="D88" authorId="0" shapeId="0" xr:uid="{4D2E6722-F77E-43EE-8E56-1C56491B72F5}">
      <text>
        <r>
          <rPr>
            <b/>
            <sz val="9"/>
            <color indexed="81"/>
            <rFont val="Tahoma"/>
            <family val="2"/>
          </rPr>
          <t xml:space="preserve">Please select
</t>
        </r>
      </text>
    </comment>
    <comment ref="D89" authorId="0" shapeId="0" xr:uid="{2D429C0C-7874-4ED2-818E-CA394952E228}">
      <text>
        <r>
          <rPr>
            <b/>
            <sz val="9"/>
            <color indexed="81"/>
            <rFont val="Tahoma"/>
            <family val="2"/>
          </rPr>
          <t xml:space="preserve">Please select
</t>
        </r>
      </text>
    </comment>
    <comment ref="E89" authorId="0" shapeId="0" xr:uid="{C4490980-E0F1-4B9E-8FE6-A5AA60BBDCA6}">
      <text>
        <r>
          <rPr>
            <b/>
            <sz val="9"/>
            <color indexed="81"/>
            <rFont val="Tahoma"/>
            <family val="2"/>
          </rPr>
          <t xml:space="preserve">Please select
</t>
        </r>
      </text>
    </comment>
    <comment ref="F89" authorId="0" shapeId="0" xr:uid="{B9C2F498-56FA-4787-A5DF-756F8AE28EE6}">
      <text>
        <r>
          <rPr>
            <b/>
            <sz val="9"/>
            <color indexed="81"/>
            <rFont val="Tahoma"/>
            <family val="2"/>
          </rPr>
          <t xml:space="preserve">Please select
</t>
        </r>
      </text>
    </comment>
    <comment ref="D90" authorId="0" shapeId="0" xr:uid="{97C7A77D-EE9A-4816-8EC5-747A8D4AA551}">
      <text>
        <r>
          <rPr>
            <b/>
            <sz val="9"/>
            <color indexed="81"/>
            <rFont val="Tahoma"/>
            <family val="2"/>
          </rPr>
          <t xml:space="preserve">Please select
</t>
        </r>
      </text>
    </comment>
    <comment ref="D91" authorId="0" shapeId="0" xr:uid="{284947EF-6EE5-4A82-9297-7E7583311650}">
      <text>
        <r>
          <rPr>
            <b/>
            <sz val="9"/>
            <color indexed="81"/>
            <rFont val="Tahoma"/>
            <family val="2"/>
          </rPr>
          <t xml:space="preserve">Please select
</t>
        </r>
      </text>
    </comment>
    <comment ref="E91" authorId="0" shapeId="0" xr:uid="{B568CFAB-CAC0-430B-9D34-203286DC123D}">
      <text>
        <r>
          <rPr>
            <b/>
            <sz val="9"/>
            <color indexed="81"/>
            <rFont val="Tahoma"/>
            <family val="2"/>
          </rPr>
          <t xml:space="preserve">Please select
</t>
        </r>
      </text>
    </comment>
    <comment ref="F91" authorId="0" shapeId="0" xr:uid="{B22E1109-74C3-4D11-A622-05009BB252DF}">
      <text>
        <r>
          <rPr>
            <b/>
            <sz val="9"/>
            <color indexed="81"/>
            <rFont val="Tahoma"/>
            <family val="2"/>
          </rPr>
          <t xml:space="preserve">Please select
</t>
        </r>
      </text>
    </comment>
    <comment ref="D97" authorId="0" shapeId="0" xr:uid="{AC4364D3-A2C3-461B-8714-9899B9BBD29F}">
      <text>
        <r>
          <rPr>
            <b/>
            <sz val="9"/>
            <color indexed="81"/>
            <rFont val="Tahoma"/>
            <family val="2"/>
          </rPr>
          <t xml:space="preserve">Please select
</t>
        </r>
      </text>
    </comment>
    <comment ref="E97" authorId="0" shapeId="0" xr:uid="{59CE5D3C-6F94-4FFD-A65C-230524E28C65}">
      <text>
        <r>
          <rPr>
            <b/>
            <sz val="9"/>
            <color indexed="81"/>
            <rFont val="Tahoma"/>
            <family val="2"/>
          </rPr>
          <t xml:space="preserve">Please select
</t>
        </r>
      </text>
    </comment>
    <comment ref="F97" authorId="0" shapeId="0" xr:uid="{65A86504-0A3A-4066-9D99-CEFDB81E4D43}">
      <text>
        <r>
          <rPr>
            <b/>
            <sz val="9"/>
            <color indexed="81"/>
            <rFont val="Tahoma"/>
            <family val="2"/>
          </rPr>
          <t xml:space="preserve">Please select
</t>
        </r>
      </text>
    </comment>
    <comment ref="D105" authorId="0" shapeId="0" xr:uid="{BD1810AF-D648-4DAB-81E4-4A614DB797D5}">
      <text>
        <r>
          <rPr>
            <b/>
            <sz val="9"/>
            <color indexed="81"/>
            <rFont val="Tahoma"/>
            <family val="2"/>
          </rPr>
          <t xml:space="preserve">Please select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Sailis, Debora</author>
  </authors>
  <commentList>
    <comment ref="E6" authorId="0" shapeId="0" xr:uid="{2E7260B8-BA0F-425A-85BC-D30B4CD25CAC}">
      <text>
        <r>
          <rPr>
            <b/>
            <sz val="9"/>
            <color indexed="81"/>
            <rFont val="Tahoma"/>
            <family val="2"/>
          </rPr>
          <t>Please select direction of impact on op.earnings before tax</t>
        </r>
      </text>
    </comment>
    <comment ref="F6" authorId="0" shapeId="0" xr:uid="{334A7C12-27B9-4B22-9D78-8F1675299D5D}">
      <text>
        <r>
          <rPr>
            <b/>
            <sz val="9"/>
            <color indexed="81"/>
            <rFont val="Tahoma"/>
            <family val="2"/>
          </rPr>
          <t>Please select your perceived direction of competition in this market</t>
        </r>
      </text>
    </comment>
    <comment ref="G6" authorId="0" shapeId="0" xr:uid="{CAE1F238-E091-4A88-ADCA-E85B444F9010}">
      <text>
        <r>
          <rPr>
            <b/>
            <sz val="9"/>
            <color indexed="81"/>
            <rFont val="Tahoma"/>
            <family val="2"/>
          </rPr>
          <t>Please select expected involvement in this market/business line</t>
        </r>
      </text>
    </comment>
    <comment ref="H6" authorId="0" shapeId="0" xr:uid="{AC24CDF4-F48C-4608-99F8-B5CF43F652B6}">
      <text>
        <r>
          <rPr>
            <b/>
            <sz val="9"/>
            <color indexed="81"/>
            <rFont val="Tahoma"/>
            <family val="2"/>
          </rPr>
          <t>Please select the primary focus of your bank in this market</t>
        </r>
      </text>
    </comment>
    <comment ref="I6" authorId="0" shapeId="0" xr:uid="{A09C2299-0347-4DA6-AAA1-637EC0382E1C}">
      <text>
        <r>
          <rPr>
            <b/>
            <sz val="9"/>
            <color indexed="81"/>
            <rFont val="Tahoma"/>
            <family val="2"/>
          </rPr>
          <t>Please select direction/evolution of profits</t>
        </r>
      </text>
    </comment>
    <comment ref="E7" authorId="0" shapeId="0" xr:uid="{1FB81144-CF0B-4EB8-8CD8-127858E667DF}">
      <text>
        <r>
          <rPr>
            <b/>
            <sz val="9"/>
            <color indexed="81"/>
            <rFont val="Tahoma"/>
            <family val="2"/>
          </rPr>
          <t>Please select direction of impact on op.earnings before tax</t>
        </r>
      </text>
    </comment>
    <comment ref="F7" authorId="0" shapeId="0" xr:uid="{1DC4E080-87ED-43DA-A72B-78B6457BB0EB}">
      <text>
        <r>
          <rPr>
            <b/>
            <sz val="9"/>
            <color indexed="81"/>
            <rFont val="Tahoma"/>
            <family val="2"/>
          </rPr>
          <t>Please select your perceived direction of competition in this market</t>
        </r>
      </text>
    </comment>
    <comment ref="G7" authorId="0" shapeId="0" xr:uid="{6BDD0097-F1EA-47AD-B3C4-C0D2CE2C9B68}">
      <text>
        <r>
          <rPr>
            <b/>
            <sz val="9"/>
            <color indexed="81"/>
            <rFont val="Tahoma"/>
            <family val="2"/>
          </rPr>
          <t>Please select expected involvement in this market/business line</t>
        </r>
      </text>
    </comment>
    <comment ref="H7" authorId="0" shapeId="0" xr:uid="{76493C0E-AA1A-4E14-8638-009CD0FEA581}">
      <text>
        <r>
          <rPr>
            <b/>
            <sz val="9"/>
            <color indexed="81"/>
            <rFont val="Tahoma"/>
            <family val="2"/>
          </rPr>
          <t>Please select the primary focus of your bank in this market</t>
        </r>
      </text>
    </comment>
    <comment ref="I7" authorId="0" shapeId="0" xr:uid="{7D514394-1576-46C4-9EDE-41A7BEDB2ACD}">
      <text>
        <r>
          <rPr>
            <b/>
            <sz val="9"/>
            <color indexed="81"/>
            <rFont val="Tahoma"/>
            <family val="2"/>
          </rPr>
          <t>Please select direction/evolution of profits</t>
        </r>
      </text>
    </comment>
    <comment ref="E8" authorId="0" shapeId="0" xr:uid="{FB2B6B63-6BC3-466E-A043-2C12F760B5AF}">
      <text>
        <r>
          <rPr>
            <b/>
            <sz val="9"/>
            <color indexed="81"/>
            <rFont val="Tahoma"/>
            <family val="2"/>
          </rPr>
          <t>Please select direction of impact on op.earnings before tax</t>
        </r>
      </text>
    </comment>
    <comment ref="F8" authorId="0" shapeId="0" xr:uid="{6EEAC3F1-DAE1-4580-85D2-D91C11486D7E}">
      <text>
        <r>
          <rPr>
            <b/>
            <sz val="9"/>
            <color indexed="81"/>
            <rFont val="Tahoma"/>
            <family val="2"/>
          </rPr>
          <t>Please select your perceived direction of competition in this market</t>
        </r>
      </text>
    </comment>
    <comment ref="G8" authorId="0" shapeId="0" xr:uid="{AFF3F49D-AC39-4360-86DB-4E40A4925AF7}">
      <text>
        <r>
          <rPr>
            <b/>
            <sz val="9"/>
            <color indexed="81"/>
            <rFont val="Tahoma"/>
            <family val="2"/>
          </rPr>
          <t>Please select expected involvement in this market/business line</t>
        </r>
      </text>
    </comment>
    <comment ref="H8" authorId="0" shapeId="0" xr:uid="{476196F7-11F2-47FE-B3CA-73E3E44D2F2D}">
      <text>
        <r>
          <rPr>
            <b/>
            <sz val="9"/>
            <color indexed="81"/>
            <rFont val="Tahoma"/>
            <family val="2"/>
          </rPr>
          <t>Please select the primary focus of your bank in this market</t>
        </r>
      </text>
    </comment>
    <comment ref="I8" authorId="0" shapeId="0" xr:uid="{D8D58C9D-A33C-43BD-BFBE-7F5850D82D36}">
      <text>
        <r>
          <rPr>
            <b/>
            <sz val="9"/>
            <color indexed="81"/>
            <rFont val="Tahoma"/>
            <family val="2"/>
          </rPr>
          <t>Please select direction/evolution of profits</t>
        </r>
      </text>
    </comment>
    <comment ref="E9" authorId="0" shapeId="0" xr:uid="{9CBC98D9-B9BC-4907-9D26-ADDBECB5E629}">
      <text>
        <r>
          <rPr>
            <b/>
            <sz val="9"/>
            <color indexed="81"/>
            <rFont val="Tahoma"/>
            <family val="2"/>
          </rPr>
          <t>Please select direction of impact on op.earnings before tax</t>
        </r>
      </text>
    </comment>
    <comment ref="F9" authorId="0" shapeId="0" xr:uid="{FD316200-B608-43C8-BDA4-8D74FADF6A80}">
      <text>
        <r>
          <rPr>
            <b/>
            <sz val="9"/>
            <color indexed="81"/>
            <rFont val="Tahoma"/>
            <family val="2"/>
          </rPr>
          <t>Please select your perceived direction of competition in this market</t>
        </r>
      </text>
    </comment>
    <comment ref="G9" authorId="0" shapeId="0" xr:uid="{D7D75CE9-509E-4EFE-98A0-6415F0EEC6C4}">
      <text>
        <r>
          <rPr>
            <b/>
            <sz val="9"/>
            <color indexed="81"/>
            <rFont val="Tahoma"/>
            <family val="2"/>
          </rPr>
          <t>Please select expected involvement in this market/business line</t>
        </r>
      </text>
    </comment>
    <comment ref="H9" authorId="0" shapeId="0" xr:uid="{18112542-C9FD-49F4-9644-3689F9D90CC8}">
      <text>
        <r>
          <rPr>
            <b/>
            <sz val="9"/>
            <color indexed="81"/>
            <rFont val="Tahoma"/>
            <family val="2"/>
          </rPr>
          <t>Please select the primary focus of your bank in this market</t>
        </r>
      </text>
    </comment>
    <comment ref="I9" authorId="0" shapeId="0" xr:uid="{09720739-F7FA-4CB1-B3BD-70CE44398BAC}">
      <text>
        <r>
          <rPr>
            <b/>
            <sz val="9"/>
            <color indexed="81"/>
            <rFont val="Tahoma"/>
            <family val="2"/>
          </rPr>
          <t>Please select direction/evolution of profits</t>
        </r>
      </text>
    </comment>
    <comment ref="E10" authorId="0" shapeId="0" xr:uid="{2D193C54-8BB8-4C63-8D01-CC5F15B7F5A8}">
      <text>
        <r>
          <rPr>
            <b/>
            <sz val="9"/>
            <color indexed="81"/>
            <rFont val="Tahoma"/>
            <family val="2"/>
          </rPr>
          <t>Please select direction of impact on op.earnings before tax</t>
        </r>
      </text>
    </comment>
    <comment ref="F10" authorId="0" shapeId="0" xr:uid="{B3104EB5-40A5-4A9B-9E61-543B880D5157}">
      <text>
        <r>
          <rPr>
            <b/>
            <sz val="9"/>
            <color indexed="81"/>
            <rFont val="Tahoma"/>
            <family val="2"/>
          </rPr>
          <t>Please select your perceived direction of competition in this market</t>
        </r>
      </text>
    </comment>
    <comment ref="G10" authorId="0" shapeId="0" xr:uid="{46B471EE-3FBE-4547-B3DF-2BFDB8E87B00}">
      <text>
        <r>
          <rPr>
            <b/>
            <sz val="9"/>
            <color indexed="81"/>
            <rFont val="Tahoma"/>
            <family val="2"/>
          </rPr>
          <t>Please select expected involvement in this market/business line</t>
        </r>
      </text>
    </comment>
    <comment ref="H10" authorId="0" shapeId="0" xr:uid="{05F8090A-2722-48C9-B931-B608DBB3E43B}">
      <text>
        <r>
          <rPr>
            <b/>
            <sz val="9"/>
            <color indexed="81"/>
            <rFont val="Tahoma"/>
            <family val="2"/>
          </rPr>
          <t>Please select the primary focus of your bank in this market</t>
        </r>
      </text>
    </comment>
    <comment ref="I10" authorId="0" shapeId="0" xr:uid="{C290D03D-D1A1-49CD-B50C-DD83C5AE2586}">
      <text>
        <r>
          <rPr>
            <b/>
            <sz val="9"/>
            <color indexed="81"/>
            <rFont val="Tahoma"/>
            <family val="2"/>
          </rPr>
          <t>Please select direction/evolution of profits</t>
        </r>
      </text>
    </comment>
    <comment ref="E11" authorId="0" shapeId="0" xr:uid="{E49C76B9-0CA3-48D8-AC7A-55D8FD65DA5F}">
      <text>
        <r>
          <rPr>
            <b/>
            <sz val="9"/>
            <color indexed="81"/>
            <rFont val="Tahoma"/>
            <family val="2"/>
          </rPr>
          <t>Please select direction of impact on op.earnings before tax</t>
        </r>
      </text>
    </comment>
    <comment ref="F11" authorId="0" shapeId="0" xr:uid="{E0CA0FE8-4F34-4D9B-A4DC-39638EE7DF97}">
      <text>
        <r>
          <rPr>
            <b/>
            <sz val="9"/>
            <color indexed="81"/>
            <rFont val="Tahoma"/>
            <family val="2"/>
          </rPr>
          <t>Please select your perceived direction of competition in this market</t>
        </r>
      </text>
    </comment>
    <comment ref="G11" authorId="0" shapeId="0" xr:uid="{BC8E0FD5-FA7F-4D16-AFF8-8111A06293A5}">
      <text>
        <r>
          <rPr>
            <b/>
            <sz val="9"/>
            <color indexed="81"/>
            <rFont val="Tahoma"/>
            <family val="2"/>
          </rPr>
          <t>Please select expected involvement in this market/business line</t>
        </r>
      </text>
    </comment>
    <comment ref="H11" authorId="0" shapeId="0" xr:uid="{D3B4F352-3E3E-415E-9DD8-24EF93C0A778}">
      <text>
        <r>
          <rPr>
            <b/>
            <sz val="9"/>
            <color indexed="81"/>
            <rFont val="Tahoma"/>
            <family val="2"/>
          </rPr>
          <t>Please select the primary focus of your bank in this market</t>
        </r>
      </text>
    </comment>
    <comment ref="I11" authorId="0" shapeId="0" xr:uid="{31433088-A76E-4D22-B406-7A5A7D22651A}">
      <text>
        <r>
          <rPr>
            <b/>
            <sz val="9"/>
            <color indexed="81"/>
            <rFont val="Tahoma"/>
            <family val="2"/>
          </rPr>
          <t>Please select direction/evolution of profits</t>
        </r>
      </text>
    </comment>
    <comment ref="E12" authorId="0" shapeId="0" xr:uid="{6DFE17BA-AB13-42A6-8FD3-401C1B515EE9}">
      <text>
        <r>
          <rPr>
            <b/>
            <sz val="9"/>
            <color indexed="81"/>
            <rFont val="Tahoma"/>
            <family val="2"/>
          </rPr>
          <t>Please select direction of impact on op.earnings before tax</t>
        </r>
      </text>
    </comment>
    <comment ref="F12" authorId="0" shapeId="0" xr:uid="{7DF6A126-96F7-4E97-8A73-6217EF16D2DE}">
      <text>
        <r>
          <rPr>
            <b/>
            <sz val="9"/>
            <color indexed="81"/>
            <rFont val="Tahoma"/>
            <family val="2"/>
          </rPr>
          <t>Please select your perceived direction of competition in this market</t>
        </r>
      </text>
    </comment>
    <comment ref="G12" authorId="0" shapeId="0" xr:uid="{6C04155D-E079-4942-99BB-DAA118341D86}">
      <text>
        <r>
          <rPr>
            <b/>
            <sz val="9"/>
            <color indexed="81"/>
            <rFont val="Tahoma"/>
            <family val="2"/>
          </rPr>
          <t>Please select expected involvement in this market/business line</t>
        </r>
      </text>
    </comment>
    <comment ref="H12" authorId="0" shapeId="0" xr:uid="{AEB2C513-3770-4E95-B51B-14D9F19A1C34}">
      <text>
        <r>
          <rPr>
            <b/>
            <sz val="9"/>
            <color indexed="81"/>
            <rFont val="Tahoma"/>
            <family val="2"/>
          </rPr>
          <t>Please select the primary focus of your bank in this market</t>
        </r>
      </text>
    </comment>
    <comment ref="I12" authorId="0" shapeId="0" xr:uid="{5843F379-AE53-4E81-AA81-D2459362DC94}">
      <text>
        <r>
          <rPr>
            <b/>
            <sz val="9"/>
            <color indexed="81"/>
            <rFont val="Tahoma"/>
            <family val="2"/>
          </rPr>
          <t>Please select direction/evolution of profits</t>
        </r>
      </text>
    </comment>
    <comment ref="E13" authorId="0" shapeId="0" xr:uid="{CE93D81C-6A86-4519-8924-5053B59FE702}">
      <text>
        <r>
          <rPr>
            <b/>
            <sz val="9"/>
            <color indexed="81"/>
            <rFont val="Tahoma"/>
            <family val="2"/>
          </rPr>
          <t>Please select direction of impact on op.earnings before tax</t>
        </r>
      </text>
    </comment>
    <comment ref="F13" authorId="0" shapeId="0" xr:uid="{661809E4-3ACC-4EA7-B8DE-8150187EA058}">
      <text>
        <r>
          <rPr>
            <b/>
            <sz val="9"/>
            <color indexed="81"/>
            <rFont val="Tahoma"/>
            <family val="2"/>
          </rPr>
          <t>Please select your perceived direction of competition in this market</t>
        </r>
      </text>
    </comment>
    <comment ref="G13" authorId="0" shapeId="0" xr:uid="{3F29C27E-136B-45C4-979C-EF22BE978E07}">
      <text>
        <r>
          <rPr>
            <b/>
            <sz val="9"/>
            <color indexed="81"/>
            <rFont val="Tahoma"/>
            <family val="2"/>
          </rPr>
          <t>Please select expected involvement in this market/business line</t>
        </r>
      </text>
    </comment>
    <comment ref="H13" authorId="0" shapeId="0" xr:uid="{ECD0F27F-37F0-4AF8-AB2A-3BEFB7991A81}">
      <text>
        <r>
          <rPr>
            <b/>
            <sz val="9"/>
            <color indexed="81"/>
            <rFont val="Tahoma"/>
            <family val="2"/>
          </rPr>
          <t>Please select the primary focus of your bank in this market</t>
        </r>
      </text>
    </comment>
    <comment ref="I13" authorId="0" shapeId="0" xr:uid="{82BB81EC-9935-49BD-8E5D-1FA336E4A178}">
      <text>
        <r>
          <rPr>
            <b/>
            <sz val="9"/>
            <color indexed="81"/>
            <rFont val="Tahoma"/>
            <family val="2"/>
          </rPr>
          <t>Please select direction/evolution of profits</t>
        </r>
      </text>
    </comment>
    <comment ref="E14" authorId="0" shapeId="0" xr:uid="{0F19EB43-5DA7-4B5C-A72E-0586705353B1}">
      <text>
        <r>
          <rPr>
            <b/>
            <sz val="9"/>
            <color indexed="81"/>
            <rFont val="Tahoma"/>
            <family val="2"/>
          </rPr>
          <t>Please select direction of impact on op.earnings before tax</t>
        </r>
      </text>
    </comment>
    <comment ref="F14" authorId="0" shapeId="0" xr:uid="{D265086A-5063-414C-AB47-F3CAC809A1FB}">
      <text>
        <r>
          <rPr>
            <b/>
            <sz val="9"/>
            <color indexed="81"/>
            <rFont val="Tahoma"/>
            <family val="2"/>
          </rPr>
          <t>Please select your perceived direction of competition in this market</t>
        </r>
      </text>
    </comment>
    <comment ref="G14" authorId="0" shapeId="0" xr:uid="{CD711302-6594-4D1A-9CB3-39D94005E9D4}">
      <text>
        <r>
          <rPr>
            <b/>
            <sz val="9"/>
            <color indexed="81"/>
            <rFont val="Tahoma"/>
            <family val="2"/>
          </rPr>
          <t>Please select expected involvement in this market/business line</t>
        </r>
      </text>
    </comment>
    <comment ref="H14" authorId="0" shapeId="0" xr:uid="{568D052E-6BEB-4BAE-94AD-368015826A8F}">
      <text>
        <r>
          <rPr>
            <b/>
            <sz val="9"/>
            <color indexed="81"/>
            <rFont val="Tahoma"/>
            <family val="2"/>
          </rPr>
          <t>Please select the primary focus of your bank in this market</t>
        </r>
      </text>
    </comment>
    <comment ref="I14" authorId="0" shapeId="0" xr:uid="{1CA57B84-7E22-49B0-B578-12F0876F9DB0}">
      <text>
        <r>
          <rPr>
            <b/>
            <sz val="9"/>
            <color indexed="81"/>
            <rFont val="Tahoma"/>
            <family val="2"/>
          </rPr>
          <t>Please select direction/evolution of profits</t>
        </r>
      </text>
    </comment>
    <comment ref="E15" authorId="0" shapeId="0" xr:uid="{762B358A-D2EF-4DE0-B635-771048C16061}">
      <text>
        <r>
          <rPr>
            <b/>
            <sz val="9"/>
            <color indexed="81"/>
            <rFont val="Tahoma"/>
            <family val="2"/>
          </rPr>
          <t>Please select direction of impact on op.earnings before tax</t>
        </r>
      </text>
    </comment>
    <comment ref="F15" authorId="0" shapeId="0" xr:uid="{6984BC40-521C-4A52-AE42-C2BFF12DBCA0}">
      <text>
        <r>
          <rPr>
            <b/>
            <sz val="9"/>
            <color indexed="81"/>
            <rFont val="Tahoma"/>
            <family val="2"/>
          </rPr>
          <t>Please select your perceived direction of competition in this market</t>
        </r>
      </text>
    </comment>
    <comment ref="G15" authorId="0" shapeId="0" xr:uid="{9FC40FAE-860A-4015-A4BC-2BF2BB0D0D29}">
      <text>
        <r>
          <rPr>
            <b/>
            <sz val="9"/>
            <color indexed="81"/>
            <rFont val="Tahoma"/>
            <family val="2"/>
          </rPr>
          <t>Please select expected involvement in this market/business line</t>
        </r>
      </text>
    </comment>
    <comment ref="H15" authorId="0" shapeId="0" xr:uid="{2BB46A43-6910-4821-B0F1-7C473AED3AF6}">
      <text>
        <r>
          <rPr>
            <b/>
            <sz val="9"/>
            <color indexed="81"/>
            <rFont val="Tahoma"/>
            <family val="2"/>
          </rPr>
          <t>Please select the primary focus of your bank in this market</t>
        </r>
      </text>
    </comment>
    <comment ref="I15" authorId="0" shapeId="0" xr:uid="{93B83388-7713-423D-B39D-4BADC2F67B88}">
      <text>
        <r>
          <rPr>
            <b/>
            <sz val="9"/>
            <color indexed="81"/>
            <rFont val="Tahoma"/>
            <family val="2"/>
          </rPr>
          <t>Please select direction/evolution of profits</t>
        </r>
      </text>
    </comment>
    <comment ref="E21" authorId="0" shapeId="0" xr:uid="{4B35FBE0-9E41-4326-9856-8C72816825BC}">
      <text>
        <r>
          <rPr>
            <b/>
            <sz val="9"/>
            <color indexed="81"/>
            <rFont val="Tahoma"/>
            <family val="2"/>
          </rPr>
          <t>Please select direction of impact on op.earnings before tax</t>
        </r>
      </text>
    </comment>
    <comment ref="F21" authorId="0" shapeId="0" xr:uid="{2DE47B11-5AB8-4A55-B5B7-7F45F1BF3B29}">
      <text>
        <r>
          <rPr>
            <b/>
            <sz val="9"/>
            <color indexed="81"/>
            <rFont val="Tahoma"/>
            <family val="2"/>
          </rPr>
          <t>Please select your perceived direction of competition in this market</t>
        </r>
      </text>
    </comment>
    <comment ref="G21" authorId="0" shapeId="0" xr:uid="{93AD727B-D42F-44E4-9033-2ECE624266C6}">
      <text>
        <r>
          <rPr>
            <b/>
            <sz val="9"/>
            <color indexed="81"/>
            <rFont val="Tahoma"/>
            <family val="2"/>
          </rPr>
          <t>Please select expected involvement in this market/business line</t>
        </r>
      </text>
    </comment>
    <comment ref="H21" authorId="0" shapeId="0" xr:uid="{41DA5243-02D1-4FDE-8152-9C1FD403DD9C}">
      <text>
        <r>
          <rPr>
            <b/>
            <sz val="9"/>
            <color indexed="81"/>
            <rFont val="Tahoma"/>
            <family val="2"/>
          </rPr>
          <t>Please select the primary focus of your bank in this market</t>
        </r>
      </text>
    </comment>
    <comment ref="I21" authorId="0" shapeId="0" xr:uid="{2F70B9D1-F0ED-492E-B1C5-50C7F818B6CA}">
      <text>
        <r>
          <rPr>
            <b/>
            <sz val="9"/>
            <color indexed="81"/>
            <rFont val="Tahoma"/>
            <family val="2"/>
          </rPr>
          <t>Please select direction/evolution of profits</t>
        </r>
      </text>
    </comment>
    <comment ref="E22" authorId="0" shapeId="0" xr:uid="{19D222AA-7F6D-4819-9036-AE86039F6F51}">
      <text>
        <r>
          <rPr>
            <b/>
            <sz val="9"/>
            <color indexed="81"/>
            <rFont val="Tahoma"/>
            <family val="2"/>
          </rPr>
          <t>Please select direction of impact on op.earnings before tax</t>
        </r>
      </text>
    </comment>
    <comment ref="F22" authorId="0" shapeId="0" xr:uid="{B1369FB6-6B63-4AA4-AC37-3ECA48450D95}">
      <text>
        <r>
          <rPr>
            <b/>
            <sz val="9"/>
            <color indexed="81"/>
            <rFont val="Tahoma"/>
            <family val="2"/>
          </rPr>
          <t>Please select your perceived direction of competition in this market</t>
        </r>
      </text>
    </comment>
    <comment ref="G22" authorId="0" shapeId="0" xr:uid="{AEE4C162-BBD6-44E7-8783-5FCEC1586488}">
      <text>
        <r>
          <rPr>
            <b/>
            <sz val="9"/>
            <color indexed="81"/>
            <rFont val="Tahoma"/>
            <family val="2"/>
          </rPr>
          <t>Please select expected involvement in this market/business line</t>
        </r>
      </text>
    </comment>
    <comment ref="H22" authorId="0" shapeId="0" xr:uid="{C3E2B4D9-7864-4493-BD32-3E798A4B01E4}">
      <text>
        <r>
          <rPr>
            <b/>
            <sz val="9"/>
            <color indexed="81"/>
            <rFont val="Tahoma"/>
            <family val="2"/>
          </rPr>
          <t>Please select the primary focus of your bank in this market</t>
        </r>
      </text>
    </comment>
    <comment ref="I22" authorId="0" shapeId="0" xr:uid="{6B081EB6-A08F-4CE8-A3A6-704977EE2080}">
      <text>
        <r>
          <rPr>
            <b/>
            <sz val="9"/>
            <color indexed="81"/>
            <rFont val="Tahoma"/>
            <family val="2"/>
          </rPr>
          <t>Please select direction/evolution of profits</t>
        </r>
      </text>
    </comment>
    <comment ref="E23" authorId="0" shapeId="0" xr:uid="{8E74A615-98DC-4987-A7BF-52A9A13A903B}">
      <text>
        <r>
          <rPr>
            <b/>
            <sz val="9"/>
            <color indexed="81"/>
            <rFont val="Tahoma"/>
            <family val="2"/>
          </rPr>
          <t>Please select direction of impact on op.earnings before tax</t>
        </r>
      </text>
    </comment>
    <comment ref="F23" authorId="0" shapeId="0" xr:uid="{8456DB78-CC85-4E91-9B4F-D142B4B4F488}">
      <text>
        <r>
          <rPr>
            <b/>
            <sz val="9"/>
            <color indexed="81"/>
            <rFont val="Tahoma"/>
            <family val="2"/>
          </rPr>
          <t>Please select your perceived direction of competition in this market</t>
        </r>
      </text>
    </comment>
    <comment ref="G23" authorId="0" shapeId="0" xr:uid="{210DFD5D-1C93-4983-8FCE-3E46B5CADF69}">
      <text>
        <r>
          <rPr>
            <b/>
            <sz val="9"/>
            <color indexed="81"/>
            <rFont val="Tahoma"/>
            <family val="2"/>
          </rPr>
          <t>Please select expected involvement in this market/business line</t>
        </r>
      </text>
    </comment>
    <comment ref="H23" authorId="0" shapeId="0" xr:uid="{B08F7463-5B18-4C33-BBE7-159B71EACB58}">
      <text>
        <r>
          <rPr>
            <b/>
            <sz val="9"/>
            <color indexed="81"/>
            <rFont val="Tahoma"/>
            <family val="2"/>
          </rPr>
          <t>Please select the primary focus of your bank in this market</t>
        </r>
      </text>
    </comment>
    <comment ref="I23" authorId="0" shapeId="0" xr:uid="{35402C53-529C-4F51-BBED-1CAC5C2CDD56}">
      <text>
        <r>
          <rPr>
            <b/>
            <sz val="9"/>
            <color indexed="81"/>
            <rFont val="Tahoma"/>
            <family val="2"/>
          </rPr>
          <t>Please select direction/evolution of profits</t>
        </r>
      </text>
    </comment>
    <comment ref="E24" authorId="0" shapeId="0" xr:uid="{88430E31-9CD6-4E61-A94C-DBD278D178D8}">
      <text>
        <r>
          <rPr>
            <b/>
            <sz val="9"/>
            <color indexed="81"/>
            <rFont val="Tahoma"/>
            <family val="2"/>
          </rPr>
          <t>Please select direction of impact on op.earnings before tax</t>
        </r>
      </text>
    </comment>
    <comment ref="F24" authorId="0" shapeId="0" xr:uid="{7632FB53-6F90-45D5-B1FF-8081538BB99D}">
      <text>
        <r>
          <rPr>
            <b/>
            <sz val="9"/>
            <color indexed="81"/>
            <rFont val="Tahoma"/>
            <family val="2"/>
          </rPr>
          <t>Please select your perceived direction of competition in this market</t>
        </r>
      </text>
    </comment>
    <comment ref="G24" authorId="0" shapeId="0" xr:uid="{ED2A89C4-516A-49C7-BE57-D0D92D277FD1}">
      <text>
        <r>
          <rPr>
            <b/>
            <sz val="9"/>
            <color indexed="81"/>
            <rFont val="Tahoma"/>
            <family val="2"/>
          </rPr>
          <t>Please select expected involvement in this market/business line</t>
        </r>
      </text>
    </comment>
    <comment ref="H24" authorId="0" shapeId="0" xr:uid="{79FE6B36-C3B7-428E-BAEB-CE17A1649F2A}">
      <text>
        <r>
          <rPr>
            <b/>
            <sz val="9"/>
            <color indexed="81"/>
            <rFont val="Tahoma"/>
            <family val="2"/>
          </rPr>
          <t>Please select the primary focus of your bank in this market</t>
        </r>
      </text>
    </comment>
    <comment ref="I24" authorId="0" shapeId="0" xr:uid="{F32F96FF-4858-44DA-9744-5C0008CC25F4}">
      <text>
        <r>
          <rPr>
            <b/>
            <sz val="9"/>
            <color indexed="81"/>
            <rFont val="Tahoma"/>
            <family val="2"/>
          </rPr>
          <t>Please select direction/evolution of profits</t>
        </r>
      </text>
    </comment>
    <comment ref="E25" authorId="0" shapeId="0" xr:uid="{EDECC241-362C-4672-A76D-A1037C4BF075}">
      <text>
        <r>
          <rPr>
            <b/>
            <sz val="9"/>
            <color indexed="81"/>
            <rFont val="Tahoma"/>
            <family val="2"/>
          </rPr>
          <t>Please select direction of impact on op.earnings before tax</t>
        </r>
      </text>
    </comment>
    <comment ref="F25" authorId="0" shapeId="0" xr:uid="{BBAECE84-FD83-4D88-B82F-C4006A8EEACB}">
      <text>
        <r>
          <rPr>
            <b/>
            <sz val="9"/>
            <color indexed="81"/>
            <rFont val="Tahoma"/>
            <family val="2"/>
          </rPr>
          <t>Please select your perceived direction of competition in this market</t>
        </r>
      </text>
    </comment>
    <comment ref="G25" authorId="0" shapeId="0" xr:uid="{E95DB79C-7DB0-4372-9EC5-8DCE76E9D6A0}">
      <text>
        <r>
          <rPr>
            <b/>
            <sz val="9"/>
            <color indexed="81"/>
            <rFont val="Tahoma"/>
            <family val="2"/>
          </rPr>
          <t>Please select expected involvement in this market/business line</t>
        </r>
      </text>
    </comment>
    <comment ref="H25" authorId="0" shapeId="0" xr:uid="{84992508-8C16-4F33-B7B2-E995B7BD76AD}">
      <text>
        <r>
          <rPr>
            <b/>
            <sz val="9"/>
            <color indexed="81"/>
            <rFont val="Tahoma"/>
            <family val="2"/>
          </rPr>
          <t>Please select the primary focus of your bank in this market</t>
        </r>
      </text>
    </comment>
    <comment ref="I25" authorId="0" shapeId="0" xr:uid="{4C0F0756-AD16-43D7-9438-7D95640575B8}">
      <text>
        <r>
          <rPr>
            <b/>
            <sz val="9"/>
            <color indexed="81"/>
            <rFont val="Tahoma"/>
            <family val="2"/>
          </rPr>
          <t>Please select direction/evolution of profits</t>
        </r>
      </text>
    </comment>
    <comment ref="E26" authorId="0" shapeId="0" xr:uid="{EC800584-E2BD-4ED8-9FC8-10F2F0F3FF3A}">
      <text>
        <r>
          <rPr>
            <b/>
            <sz val="9"/>
            <color indexed="81"/>
            <rFont val="Tahoma"/>
            <family val="2"/>
          </rPr>
          <t>Please select direction of impact on op.earnings before tax</t>
        </r>
      </text>
    </comment>
    <comment ref="F26" authorId="0" shapeId="0" xr:uid="{86BDE8D6-A8F2-4326-A0E7-C770C23F074A}">
      <text>
        <r>
          <rPr>
            <b/>
            <sz val="9"/>
            <color indexed="81"/>
            <rFont val="Tahoma"/>
            <family val="2"/>
          </rPr>
          <t>Please select your perceived direction of competition in this market</t>
        </r>
      </text>
    </comment>
    <comment ref="G26" authorId="0" shapeId="0" xr:uid="{C520417D-D58F-4317-8A70-072E2CA36FB2}">
      <text>
        <r>
          <rPr>
            <b/>
            <sz val="9"/>
            <color indexed="81"/>
            <rFont val="Tahoma"/>
            <family val="2"/>
          </rPr>
          <t>Please select expected involvement in this market/business line</t>
        </r>
      </text>
    </comment>
    <comment ref="H26" authorId="0" shapeId="0" xr:uid="{87C2EB9A-E3EA-492F-BD4D-F5F3626917BF}">
      <text>
        <r>
          <rPr>
            <b/>
            <sz val="9"/>
            <color indexed="81"/>
            <rFont val="Tahoma"/>
            <family val="2"/>
          </rPr>
          <t>Please select the primary focus of your bank in this market</t>
        </r>
      </text>
    </comment>
    <comment ref="I26" authorId="0" shapeId="0" xr:uid="{2129807F-90EB-43D8-94FA-3E31B78F386D}">
      <text>
        <r>
          <rPr>
            <b/>
            <sz val="9"/>
            <color indexed="81"/>
            <rFont val="Tahoma"/>
            <family val="2"/>
          </rPr>
          <t>Please select direction/evolution of profits</t>
        </r>
      </text>
    </comment>
    <comment ref="C27" authorId="0" shapeId="0" xr:uid="{821E6C49-C537-4149-BF18-8447AFC26B41}">
      <text>
        <r>
          <rPr>
            <b/>
            <sz val="9"/>
            <color indexed="81"/>
            <rFont val="Tahoma"/>
            <family val="2"/>
          </rPr>
          <t>please select geographical region</t>
        </r>
      </text>
    </comment>
    <comment ref="E27" authorId="0" shapeId="0" xr:uid="{A814BB92-5F8D-4D37-BC68-0E9D78CB6606}">
      <text>
        <r>
          <rPr>
            <b/>
            <sz val="9"/>
            <color indexed="81"/>
            <rFont val="Tahoma"/>
            <family val="2"/>
          </rPr>
          <t>Please select direction of impact on op.earnings before tax</t>
        </r>
      </text>
    </comment>
    <comment ref="F27" authorId="0" shapeId="0" xr:uid="{B14A2A5F-8FF8-42F6-AEBE-F20A8107F7FB}">
      <text>
        <r>
          <rPr>
            <b/>
            <sz val="9"/>
            <color indexed="81"/>
            <rFont val="Tahoma"/>
            <family val="2"/>
          </rPr>
          <t>Please select your perceived direction of competition in this market</t>
        </r>
      </text>
    </comment>
    <comment ref="G27" authorId="0" shapeId="0" xr:uid="{29A68619-E740-440E-B599-10F6E01265AD}">
      <text>
        <r>
          <rPr>
            <b/>
            <sz val="9"/>
            <color indexed="81"/>
            <rFont val="Tahoma"/>
            <family val="2"/>
          </rPr>
          <t>Please select expected involvement in this market/business line</t>
        </r>
      </text>
    </comment>
    <comment ref="H27" authorId="0" shapeId="0" xr:uid="{47921E04-A880-4859-BAC4-A50FC2D31A01}">
      <text>
        <r>
          <rPr>
            <b/>
            <sz val="9"/>
            <color indexed="81"/>
            <rFont val="Tahoma"/>
            <family val="2"/>
          </rPr>
          <t>Please select the primary focus of your bank in this market</t>
        </r>
      </text>
    </comment>
    <comment ref="I27" authorId="0" shapeId="0" xr:uid="{7F2C3F3F-E55A-4697-BE9A-D6E1467A9D51}">
      <text>
        <r>
          <rPr>
            <b/>
            <sz val="9"/>
            <color indexed="81"/>
            <rFont val="Tahoma"/>
            <family val="2"/>
          </rPr>
          <t>Please select direction/evolution of profits</t>
        </r>
      </text>
    </comment>
    <comment ref="E28" authorId="0" shapeId="0" xr:uid="{AC7C1987-A62C-4618-8DF7-EBD51A55365D}">
      <text>
        <r>
          <rPr>
            <b/>
            <sz val="9"/>
            <color indexed="81"/>
            <rFont val="Tahoma"/>
            <family val="2"/>
          </rPr>
          <t>Please select direction of impact on op.earnings before tax</t>
        </r>
      </text>
    </comment>
    <comment ref="F28" authorId="0" shapeId="0" xr:uid="{6A212902-0ECD-48F7-93D1-7FFC789F1CCC}">
      <text>
        <r>
          <rPr>
            <b/>
            <sz val="9"/>
            <color indexed="81"/>
            <rFont val="Tahoma"/>
            <family val="2"/>
          </rPr>
          <t>Please select your perceived direction of competition in this market</t>
        </r>
      </text>
    </comment>
    <comment ref="G28" authorId="0" shapeId="0" xr:uid="{D97BEF73-31C7-4A27-9CEB-D924986E96DD}">
      <text>
        <r>
          <rPr>
            <b/>
            <sz val="9"/>
            <color indexed="81"/>
            <rFont val="Tahoma"/>
            <family val="2"/>
          </rPr>
          <t>Please select expected involvement in this market/business line</t>
        </r>
      </text>
    </comment>
    <comment ref="H28" authorId="0" shapeId="0" xr:uid="{9D34A254-D640-41EF-AD46-DFCF3BC81E3F}">
      <text>
        <r>
          <rPr>
            <b/>
            <sz val="9"/>
            <color indexed="81"/>
            <rFont val="Tahoma"/>
            <family val="2"/>
          </rPr>
          <t>Please select the primary focus of your bank in this market</t>
        </r>
      </text>
    </comment>
    <comment ref="I28" authorId="0" shapeId="0" xr:uid="{DE3063A2-41E4-45A9-A157-8BB036FEB606}">
      <text>
        <r>
          <rPr>
            <b/>
            <sz val="9"/>
            <color indexed="81"/>
            <rFont val="Tahoma"/>
            <family val="2"/>
          </rPr>
          <t>Please select direction/evolution of profits</t>
        </r>
      </text>
    </comment>
  </commentList>
</comments>
</file>

<file path=xl/sharedStrings.xml><?xml version="1.0" encoding="utf-8"?>
<sst xmlns="http://schemas.openxmlformats.org/spreadsheetml/2006/main" count="1598" uniqueCount="1170">
  <si>
    <t>T+1</t>
  </si>
  <si>
    <t>T+2</t>
  </si>
  <si>
    <t>T+3</t>
  </si>
  <si>
    <t>bank comments:</t>
  </si>
  <si>
    <t>Assets</t>
  </si>
  <si>
    <t>Total Capital</t>
  </si>
  <si>
    <t>RWA</t>
  </si>
  <si>
    <t>bank comments</t>
  </si>
  <si>
    <t>Corporate Finance</t>
  </si>
  <si>
    <t>Retail Banking</t>
  </si>
  <si>
    <t>Asset Management</t>
  </si>
  <si>
    <t>Insurance</t>
  </si>
  <si>
    <t>Tier 2</t>
  </si>
  <si>
    <t>- negative effect on profit/ profitability</t>
  </si>
  <si>
    <t>+ positive effect on profit/profitability</t>
  </si>
  <si>
    <t>++ very positive effect on profit/profitability</t>
  </si>
  <si>
    <t>direction of impact</t>
  </si>
  <si>
    <t>[Other major geographical market]</t>
  </si>
  <si>
    <t>[please select/add RWA measure]</t>
  </si>
  <si>
    <t>[please select/add capital measure]</t>
  </si>
  <si>
    <t>China</t>
  </si>
  <si>
    <t xml:space="preserve">Additional Tier 1 </t>
  </si>
  <si>
    <t>Middle East and Africa</t>
  </si>
  <si>
    <t>Asia (excl. China)</t>
  </si>
  <si>
    <t>Color codes:</t>
  </si>
  <si>
    <t>Numeric value expected</t>
  </si>
  <si>
    <t>Comment field</t>
  </si>
  <si>
    <t>Drop Down menu/free text</t>
  </si>
  <si>
    <t>Identification of Key Markets (operating income)</t>
  </si>
  <si>
    <t>Indication of key markets (operating income)</t>
  </si>
  <si>
    <t>Client Segment</t>
  </si>
  <si>
    <t>Retail</t>
  </si>
  <si>
    <t>Corporate</t>
  </si>
  <si>
    <t>Bank 1</t>
  </si>
  <si>
    <t>Bank 2</t>
  </si>
  <si>
    <t>Bank 3</t>
  </si>
  <si>
    <t>Bank 4</t>
  </si>
  <si>
    <t>Bank 5</t>
  </si>
  <si>
    <t>Bank 6</t>
  </si>
  <si>
    <t>Bank 7</t>
  </si>
  <si>
    <t>Bank 8</t>
  </si>
  <si>
    <t>Bank 9</t>
  </si>
  <si>
    <t>Bank 10</t>
  </si>
  <si>
    <t>Erste Group Bank AG</t>
  </si>
  <si>
    <t>AS SEB Pank</t>
  </si>
  <si>
    <t>OP Osuuskunta</t>
  </si>
  <si>
    <t>Confédération Nationale du Crédit Mutuel</t>
  </si>
  <si>
    <t>La Banque Postale</t>
  </si>
  <si>
    <t>Aareal Bank AG</t>
  </si>
  <si>
    <t>Bayerische Landesbank</t>
  </si>
  <si>
    <t>DekaBank Deutsche Girozentrale</t>
  </si>
  <si>
    <t>DZ BANK AG Deutsche Zentral-Genossenschaftsbank, Frankfurt am Main</t>
  </si>
  <si>
    <t>Landesbank Baden-Württemberg</t>
  </si>
  <si>
    <t>Landesbank Hessen-Thüringen Girozentrale</t>
  </si>
  <si>
    <t>Münchener Hypothekenbank eG</t>
  </si>
  <si>
    <t>Norddeutsche Landesbank -Girozentrale-</t>
  </si>
  <si>
    <t>National Bank of Greece, S.A.</t>
  </si>
  <si>
    <t>Piraeus Bank, S.A.</t>
  </si>
  <si>
    <t>RBC Investor Services Bank S.A.</t>
  </si>
  <si>
    <t>Bank of Valletta plc</t>
  </si>
  <si>
    <t>Nederlandse Waterschapsbank N.V.</t>
  </si>
  <si>
    <t>Caixa Geral de Depósitos, SA</t>
  </si>
  <si>
    <t>Slovenská sporiteľňa, a.s.</t>
  </si>
  <si>
    <t>Tatra banka, a.s.</t>
  </si>
  <si>
    <t>Všeobecná úverová banka, a.s.</t>
  </si>
  <si>
    <t>Kutxabank, S.A.</t>
  </si>
  <si>
    <t>HASPA Finanzholding</t>
  </si>
  <si>
    <t>AB SEB bankas</t>
  </si>
  <si>
    <t>Raiffeisenbankengruppe OÖ Verbund eGen</t>
  </si>
  <si>
    <t>Novo Banco, SA</t>
  </si>
  <si>
    <t>ING Groep N.V.</t>
  </si>
  <si>
    <t>Erwerbsgesellschaft der S-Finanzgruppe mbH &amp; Co. KG</t>
  </si>
  <si>
    <t>Kuntarahoitus Oyj</t>
  </si>
  <si>
    <t>Deutsche Pfandbriefbank AG</t>
  </si>
  <si>
    <t>GROUPE BPCE</t>
  </si>
  <si>
    <t>State Street Europe Holdings Germany S.a.r.l. &amp; Co. KG</t>
  </si>
  <si>
    <t>List of Banks for peer group</t>
  </si>
  <si>
    <t>[Please select banks in peer group]</t>
  </si>
  <si>
    <t>Austria</t>
  </si>
  <si>
    <t>Belgium</t>
  </si>
  <si>
    <t>Germany</t>
  </si>
  <si>
    <t>Estonia</t>
  </si>
  <si>
    <t>Spain</t>
  </si>
  <si>
    <t>Finland</t>
  </si>
  <si>
    <t>France</t>
  </si>
  <si>
    <t>Greece</t>
  </si>
  <si>
    <t>Ireland</t>
  </si>
  <si>
    <t>Italy</t>
  </si>
  <si>
    <t>Lithuania</t>
  </si>
  <si>
    <t>Latvia</t>
  </si>
  <si>
    <t>Malta</t>
  </si>
  <si>
    <t>Netherlands</t>
  </si>
  <si>
    <t>Portugal</t>
  </si>
  <si>
    <t>Slovenia</t>
  </si>
  <si>
    <t>Slovakia</t>
  </si>
  <si>
    <t>Country</t>
  </si>
  <si>
    <t>row</t>
  </si>
  <si>
    <t>column</t>
  </si>
  <si>
    <t>Template</t>
  </si>
  <si>
    <t>[please specify other]</t>
  </si>
  <si>
    <t>Cyprus</t>
  </si>
  <si>
    <t>level: by major business line</t>
  </si>
  <si>
    <t>level: overall bank level</t>
  </si>
  <si>
    <t>Domestic market:</t>
  </si>
  <si>
    <t>[New foreign market]</t>
  </si>
  <si>
    <t>[Please select level of benchmarking]</t>
  </si>
  <si>
    <t>FIXED RATE PORTFOLIO</t>
  </si>
  <si>
    <t>FLOATING RATE PORTFOLIO</t>
  </si>
  <si>
    <t xml:space="preserve">T </t>
  </si>
  <si>
    <t>FTE projections (end of year)</t>
  </si>
  <si>
    <t>Number of branches (open to customers) (end of year)</t>
  </si>
  <si>
    <t>Driver for changes in Expected cost of risk</t>
  </si>
  <si>
    <t>note: Please indicate which banks (up to 10) you use to benchmark your profitability evolution (overall or for major business lines). The drop down menu covers only the Sis - for other banks, please specify "other" (both full name and LEI code).</t>
  </si>
  <si>
    <t>In the trade-off between market share and margins, what will be your focus?</t>
  </si>
  <si>
    <t>What evolution of profits do you expect from a given market/business line?</t>
  </si>
  <si>
    <t>(T+1 to T+3)</t>
  </si>
  <si>
    <t>degree of involvment</t>
  </si>
  <si>
    <t>margins versus market share</t>
  </si>
  <si>
    <t>evolution of profitability</t>
  </si>
  <si>
    <t>[Please select direction of impact on op.earnings before tax]</t>
  </si>
  <si>
    <t>[Please select your percived direction of competition in this market]</t>
  </si>
  <si>
    <t>[Please select expected involvment in this market/business line]</t>
  </si>
  <si>
    <t>[Please select the primary focus of your bank in this market]</t>
  </si>
  <si>
    <t>[Please select direction/evolution of profits]</t>
  </si>
  <si>
    <t>++ Strongly intensified competition</t>
  </si>
  <si>
    <t>++ stong increase in activity/priority for the bank</t>
  </si>
  <si>
    <t>++ stong focus on margins</t>
  </si>
  <si>
    <t>++ very positive evolution of profits</t>
  </si>
  <si>
    <t>+ intensified competition</t>
  </si>
  <si>
    <t>+ increase in activity</t>
  </si>
  <si>
    <t>+ focus primarily on margins</t>
  </si>
  <si>
    <t>+ positive  evolution of profits</t>
  </si>
  <si>
    <t>0  both positive and negative effect on profit/ profitability</t>
  </si>
  <si>
    <t>0  broadly unchanged competition</t>
  </si>
  <si>
    <t>0  broadly unchanged involvment</t>
  </si>
  <si>
    <t>0  broadly unchanged pricing policy</t>
  </si>
  <si>
    <t>0  broadly unchanged profits</t>
  </si>
  <si>
    <t>-  decrease in competition</t>
  </si>
  <si>
    <t>-  reduction in activity</t>
  </si>
  <si>
    <t>-  focus primarily on market share</t>
  </si>
  <si>
    <t>- negative evolution of profits</t>
  </si>
  <si>
    <t>-- very negative effect on profit/ profitability</t>
  </si>
  <si>
    <t>-- strong decrease in competition</t>
  </si>
  <si>
    <t>-- Strong reduction in activity/Exit the market</t>
  </si>
  <si>
    <t>-- strong focus on market share</t>
  </si>
  <si>
    <t>-- very negative  evolution of profits</t>
  </si>
  <si>
    <t>Markets and positioning</t>
  </si>
  <si>
    <t>direction of impact (market developments)</t>
  </si>
  <si>
    <t>direction of competition (competition)</t>
  </si>
  <si>
    <t>[please choose/specify one of top 3 strategic decision]</t>
  </si>
  <si>
    <t>monthly</t>
  </si>
  <si>
    <t>quarterly</t>
  </si>
  <si>
    <t>semiannual</t>
  </si>
  <si>
    <t>annual</t>
  </si>
  <si>
    <t>annual + ad hoc</t>
  </si>
  <si>
    <t>What are your expectations of market growth in the respective market/business line?</t>
  </si>
  <si>
    <t>Is the pricing of this product affected by cross-selling (fees and commissions)</t>
  </si>
  <si>
    <t>Is the pricing of this product affected by cross-selling considerations (deposits/funding)</t>
  </si>
  <si>
    <t>Other EU (excluding Euro area,UK and Sweden)</t>
  </si>
  <si>
    <t>USA</t>
  </si>
  <si>
    <t>Canada</t>
  </si>
  <si>
    <t>Brasil</t>
  </si>
  <si>
    <t>Chile</t>
  </si>
  <si>
    <t>Argentina</t>
  </si>
  <si>
    <t>Other southern American countries</t>
  </si>
  <si>
    <t>Mexico</t>
  </si>
  <si>
    <t>Other middle American countries</t>
  </si>
  <si>
    <t>Luxembourg</t>
  </si>
  <si>
    <t>UK</t>
  </si>
  <si>
    <t>Sweden</t>
  </si>
  <si>
    <t>[please select country]</t>
  </si>
  <si>
    <t>01-issuance of new AT1 instruments</t>
  </si>
  <si>
    <t>01-issuance of new T2 instruments</t>
  </si>
  <si>
    <t>01-issuance</t>
  </si>
  <si>
    <t>02-retained earnings</t>
  </si>
  <si>
    <t>02-expiring AT1 instruments</t>
  </si>
  <si>
    <t>02-expiring T2 instruments</t>
  </si>
  <si>
    <t>03-compliance with MREL/TLAC requirements </t>
  </si>
  <si>
    <t>04-Change in regulatory deductions  </t>
  </si>
  <si>
    <t>05-change in regulatory deductions </t>
  </si>
  <si>
    <t>05-[please specify other]</t>
  </si>
  <si>
    <t>06-[please specify other]</t>
  </si>
  <si>
    <t>01-increase in maturity</t>
  </si>
  <si>
    <t>02-decrease in maturity</t>
  </si>
  <si>
    <t>03-increase in processing costs</t>
  </si>
  <si>
    <t>04-decrease in processing costs</t>
  </si>
  <si>
    <t>05-increase in swaprates/funding costs</t>
  </si>
  <si>
    <t>06-decrease in swaprates/funding costs</t>
  </si>
  <si>
    <t>07-increase in regulatory add-on</t>
  </si>
  <si>
    <t>08-decrease in regulatory add-on</t>
  </si>
  <si>
    <t>09-increase due to lower competition</t>
  </si>
  <si>
    <t>10-decrease due to higher competition</t>
  </si>
  <si>
    <r>
      <t> </t>
    </r>
    <r>
      <rPr>
        <sz val="8"/>
        <color theme="1"/>
        <rFont val="Calibri"/>
        <family val="2"/>
        <scheme val="minor"/>
      </rPr>
      <t>[please specify other]</t>
    </r>
  </si>
  <si>
    <t>01-strategic increase of risk taking: retail</t>
  </si>
  <si>
    <t>02-strategic decrease of risk taking: retail</t>
  </si>
  <si>
    <t>03-strategic increase of risk taking: corporates</t>
  </si>
  <si>
    <t>04-strategic decrease of risk taking: corporates</t>
  </si>
  <si>
    <t>05-strategic  increase of risk taking: financial counterparties</t>
  </si>
  <si>
    <t>06-strategic decrease of risk taking: financial counterparties</t>
  </si>
  <si>
    <t>07-strategic increase of risk taking: public services</t>
  </si>
  <si>
    <t>08-strategic decrease of risk taking: public services</t>
  </si>
  <si>
    <t>09-exogenous increase of risk: retail</t>
  </si>
  <si>
    <t>10-exogenous decrease of risk: retail</t>
  </si>
  <si>
    <t>11-exogenous increase of risk: corporates</t>
  </si>
  <si>
    <t>12-exogenous decrease of risk: corporates</t>
  </si>
  <si>
    <t>13-exogenous increase of risk: financial counterparties</t>
  </si>
  <si>
    <t>14-exogenous decrease of risk: financial counterparties</t>
  </si>
  <si>
    <t>15-exogenous increase of risk: public services</t>
  </si>
  <si>
    <t>16-exogenous decrease of risk: public services</t>
  </si>
  <si>
    <t>[Please select frequency]</t>
  </si>
  <si>
    <t>no</t>
  </si>
  <si>
    <t>yes, mainly</t>
  </si>
  <si>
    <t>yes, partly</t>
  </si>
  <si>
    <t>What are your expectations about the competition in a given market/business line?</t>
  </si>
  <si>
    <t>Title</t>
  </si>
  <si>
    <t>frequency of budget updates</t>
  </si>
  <si>
    <t>benchmarking</t>
  </si>
  <si>
    <t>strategic management decisions</t>
  </si>
  <si>
    <t>CET1 capital</t>
  </si>
  <si>
    <t>direction of competition</t>
  </si>
  <si>
    <t>Monthly</t>
  </si>
  <si>
    <t>Quarterly</t>
  </si>
  <si>
    <t>Semi-annual</t>
  </si>
  <si>
    <t>Annual</t>
  </si>
  <si>
    <t>Annual + ad-hoc</t>
  </si>
  <si>
    <t> [please specify other]</t>
  </si>
  <si>
    <t>GENERAL INSTRUCTIONS</t>
  </si>
  <si>
    <t xml:space="preserve">Where your internal budgeting items differ, please map your management data to the regulatory template on a best effort basis. </t>
  </si>
  <si>
    <t>Values have to be set to:</t>
  </si>
  <si>
    <t>Sign convention:</t>
  </si>
  <si>
    <t>Expenses/costs: Positive</t>
  </si>
  <si>
    <t>Income: Positive</t>
  </si>
  <si>
    <t>Profit: Positive</t>
  </si>
  <si>
    <r>
      <t xml:space="preserve">Loss: </t>
    </r>
    <r>
      <rPr>
        <b/>
        <sz val="11"/>
        <color indexed="8"/>
        <rFont val="Calibri"/>
        <family val="2"/>
        <scheme val="minor"/>
      </rPr>
      <t>Negative</t>
    </r>
  </si>
  <si>
    <t>Cell not to be filled in</t>
  </si>
  <si>
    <t>DETAILS</t>
  </si>
  <si>
    <t>Explanations of the columns</t>
  </si>
  <si>
    <t>of which domestic</t>
  </si>
  <si>
    <t>note: The major markets should be aligned with the major geographical markets as indicated in lines 6-8 on this template, i.e. only banks with major geographical markets outside the country of headquarters need to provide this information.</t>
  </si>
  <si>
    <t>This template only serves as a reference for the various pulldown menues on the respective templates, covering also the relevant STE templates - this template does not need to be processed</t>
  </si>
  <si>
    <t>classification oriented at BCBS and ORX clustering: 
[e.g. Consultative Doc. Operational Risk (01/2001) [https://www.bis.org/publ/bcbsca07.pdf]</t>
  </si>
  <si>
    <t>[please specify the scope of consolidation used in your STE profitability template]</t>
  </si>
  <si>
    <t>Average maturity of these loans</t>
  </si>
  <si>
    <t>yes</t>
  </si>
  <si>
    <t>[Please select expected involvement in this market/business line]</t>
  </si>
  <si>
    <t>[Please select your perceived direction of competition in this market]</t>
  </si>
  <si>
    <t>degree of involvement</t>
  </si>
  <si>
    <t>evolution of Leverage Ration</t>
  </si>
  <si>
    <t>[please select/add LR drivers]</t>
  </si>
  <si>
    <t>T</t>
  </si>
  <si>
    <t>11-[please specify other]</t>
  </si>
  <si>
    <t>01 -increase on-balance sheet exposure: loans</t>
  </si>
  <si>
    <t>01- Issuance of new instruments</t>
  </si>
  <si>
    <t>02-Retained earnings</t>
  </si>
  <si>
    <t>04-Change in regulatory deductions</t>
  </si>
  <si>
    <t>01- Mainly increase/decrease of underlying exposures (e.g. EaD)</t>
  </si>
  <si>
    <t>02-Mainly methodological impacts  (e.g.application of IRB approach, change in internal models parameters,…)</t>
  </si>
  <si>
    <t>03- Mainly change risk structure (e.g.increased market risk exposure..)</t>
  </si>
  <si>
    <t>03-increase on-balance sheet exposure: non-loan investments</t>
  </si>
  <si>
    <t>05-reduce off balance sheet exposure: derivatives</t>
  </si>
  <si>
    <t>06-increase off balance sheet exposure: derivatives</t>
  </si>
  <si>
    <t>07-reduce off-balance sheet exposures: loan commitments and guarantees</t>
  </si>
  <si>
    <t>08-increase off-balance sheet exposures: loan commitments and guarantees</t>
  </si>
  <si>
    <t>09-reduce off-balance sheet exposures: Securities Financing Transactions</t>
  </si>
  <si>
    <t>10-increase off-balance sheet exposures: Securities Financing Transactions</t>
  </si>
  <si>
    <t>02 -decrease on-balance sheet exposure: loans</t>
  </si>
  <si>
    <t>04-decrease on-balance sheet exposure: non-loan investments</t>
  </si>
  <si>
    <t>scope of consolidation</t>
  </si>
  <si>
    <t>01-Charge more fees and commissions</t>
  </si>
  <si>
    <t>02-Reduce staff costs</t>
  </si>
  <si>
    <t>03-Rationalize branch network</t>
  </si>
  <si>
    <t>04-Reduce admin. expeses (other than staff costs)</t>
  </si>
  <si>
    <t>05-Spin-off/sales of business lines</t>
  </si>
  <si>
    <t>06-Merge with other institutions</t>
  </si>
  <si>
    <t>07-Enter in cooperations/joint venture with other financial institutions</t>
  </si>
  <si>
    <t>08-Charge negative interest rates to clients</t>
  </si>
  <si>
    <t>09-Invest into new technologies/new products</t>
  </si>
  <si>
    <t>10-Raise advertising/marketing budget</t>
  </si>
  <si>
    <t>01-management reporting (significantly differs from prudential scope of consolidation)</t>
  </si>
  <si>
    <t>02-management reporting (does not differ significantly from prudential scope of consolidation)</t>
  </si>
  <si>
    <t>03-partly mapped to prudential scope in order to address main discrepancies</t>
  </si>
  <si>
    <t>04-fully mapped to prudential scope</t>
  </si>
  <si>
    <t>[Please select]</t>
  </si>
  <si>
    <t>What are your estimates for your cost of equity</t>
  </si>
  <si>
    <t>How do you estimate your cost of equity</t>
  </si>
  <si>
    <t>How has your cost of equity changed over the past three years</t>
  </si>
  <si>
    <t>How do you expect your cost of equity to change over the next three years</t>
  </si>
  <si>
    <t>What were the main drivers of these changes</t>
  </si>
  <si>
    <t>What are the main drivers of these expected changes</t>
  </si>
  <si>
    <t>Model-based (CAPM) - Use Comments field to specify equity premium</t>
  </si>
  <si>
    <t>Model-based (other)</t>
  </si>
  <si>
    <t>Discussions with Stakeholders</t>
  </si>
  <si>
    <t>Qualitative considerations</t>
  </si>
  <si>
    <t>Model-based - Discounted Cash Flow/Dividends</t>
  </si>
  <si>
    <t>Increased significantly</t>
  </si>
  <si>
    <t>Increased marginally</t>
  </si>
  <si>
    <t>Stayed the same</t>
  </si>
  <si>
    <t>Decreased marginally</t>
  </si>
  <si>
    <t>Decreased significantly</t>
  </si>
  <si>
    <t>Decrease in bank's asset risk (market perception)</t>
  </si>
  <si>
    <t>Increase in bank's asset risk (market perception)</t>
  </si>
  <si>
    <t>Increase in leverage ratio (as defined by equity/TA)</t>
  </si>
  <si>
    <t>Decrease in leverage ratio (as defined by equity/TA)</t>
  </si>
  <si>
    <t>other (please specify in comments)</t>
  </si>
  <si>
    <t>Expected increases in the level of risk free rate</t>
  </si>
  <si>
    <t>Expected decreses in the level of risk free rate</t>
  </si>
  <si>
    <t>Past changes in the level of the risk free rate</t>
  </si>
  <si>
    <t>Other (Please overwrite)</t>
  </si>
  <si>
    <t>Floating &amp; Fixed rate portfolio</t>
  </si>
  <si>
    <t>12-[other: please specify in comment field]</t>
  </si>
  <si>
    <t>11-Acquisitions</t>
  </si>
  <si>
    <t>Cost of Equity Method</t>
  </si>
  <si>
    <t>Cost of Equity Trend</t>
  </si>
  <si>
    <t>Cost of Equity Drivers</t>
  </si>
  <si>
    <t>03-Reduction of CET1 instruments</t>
  </si>
  <si>
    <t>04-Reduction of T1 instruments</t>
  </si>
  <si>
    <t>03-Reduction</t>
  </si>
  <si>
    <t>04-Change in regulatory deductions </t>
  </si>
  <si>
    <t>BAWAG Group AG</t>
  </si>
  <si>
    <t>Raiffeisen Bank International AG</t>
  </si>
  <si>
    <t>Belfius Banque S.A.</t>
  </si>
  <si>
    <t>Investeringsmaatschappij Argenta nv</t>
  </si>
  <si>
    <t>Hellenic Bank Public Company Limited</t>
  </si>
  <si>
    <t>COMMERZBANK Aktiengesellschaft</t>
  </si>
  <si>
    <t>DEUTSCHE APOTHEKER- UND ÄRZTEBANK EG</t>
  </si>
  <si>
    <t>DEUTSCHE BANK AKTIENGESELLSCHAFT</t>
  </si>
  <si>
    <t>Volkswagen Bank Gesellschaft mit beschränkter Haftung</t>
  </si>
  <si>
    <t>Banco Bilbao Vizcaya Argentaria, S.A.</t>
  </si>
  <si>
    <t>Banco Santander, S.A.</t>
  </si>
  <si>
    <t>Banco de Sabadell, S.A.</t>
  </si>
  <si>
    <t>Bankinter, S.A.</t>
  </si>
  <si>
    <t>Ibercaja Banco, S.A.</t>
  </si>
  <si>
    <t>Unicaja Banco, S.A.</t>
  </si>
  <si>
    <t>RCI Banque</t>
  </si>
  <si>
    <t>AIB Group plc</t>
  </si>
  <si>
    <t>Bank of Ireland Group plc</t>
  </si>
  <si>
    <t>Barclays Bank Ireland plc</t>
  </si>
  <si>
    <t>Citibank Holdings Ireland Limited</t>
  </si>
  <si>
    <t>Ulster Bank Ireland Designated Activity Company</t>
  </si>
  <si>
    <t>BANCA MONTE DEI PASCHI DI SIENA S.P.A.</t>
  </si>
  <si>
    <t>BANCO BPM SOCIETA' PER AZIONI</t>
  </si>
  <si>
    <t>BPER BANCA S.P.A.</t>
  </si>
  <si>
    <t>INTESA SANPAOLO S.P.A.</t>
  </si>
  <si>
    <t>MEDIOBANCA - BANCA DI CREDITO FINANZIARIO S.P.A.</t>
  </si>
  <si>
    <t>Banque Internationale à Luxembourg S.A.</t>
  </si>
  <si>
    <t>Banque et Caisse d’Epargne de l’Etat, Luxembourg</t>
  </si>
  <si>
    <t>AS "SEB banka"</t>
  </si>
  <si>
    <t>MDB Group Limited</t>
  </si>
  <si>
    <t>Coöperatieve Rabobank U.A.</t>
  </si>
  <si>
    <t>Abanka d.d.</t>
  </si>
  <si>
    <t>Biser Topco S.à.r.l.</t>
  </si>
  <si>
    <t>Nova Ljubljanska Banka d.d. Ljubljana</t>
  </si>
  <si>
    <t>Volume of new/renegotiated loans (thousand euro)</t>
  </si>
  <si>
    <t> 11-[please specify other]</t>
  </si>
  <si>
    <t>01- Geopolitical uncertainties(1)</t>
  </si>
  <si>
    <t>03- Global economic outlook (ex. EA)</t>
  </si>
  <si>
    <t>[please specify risk]</t>
  </si>
  <si>
    <t>Risks</t>
  </si>
  <si>
    <t>Impact of risks on profitability</t>
  </si>
  <si>
    <t>02- Euro area economic outlook</t>
  </si>
  <si>
    <t xml:space="preserve">04 -NPL </t>
  </si>
  <si>
    <t>05- Cybercrime &amp; IT deficiencies</t>
  </si>
  <si>
    <t>06- Repricing in financial markets</t>
  </si>
  <si>
    <t>07- Real estate valuations</t>
  </si>
  <si>
    <t>08- Euro area low interest rates environment</t>
  </si>
  <si>
    <t>09- Misconduct risk</t>
  </si>
  <si>
    <t>10-Competition with other banks</t>
  </si>
  <si>
    <t>11-Non-bank competition(1)</t>
  </si>
  <si>
    <t>12-Climate-change related risks</t>
  </si>
  <si>
    <t>13-Business model transformation (1)</t>
  </si>
  <si>
    <t>14-Other (please specify):</t>
  </si>
  <si>
    <t>Top 1</t>
  </si>
  <si>
    <t>Top 2</t>
  </si>
  <si>
    <t>Top 3</t>
  </si>
  <si>
    <t>Driver</t>
  </si>
  <si>
    <t>Segment</t>
  </si>
  <si>
    <t>Interest income</t>
  </si>
  <si>
    <t>interest income</t>
  </si>
  <si>
    <t>interest expenses</t>
  </si>
  <si>
    <t>net interest income</t>
  </si>
  <si>
    <t>Fee income</t>
  </si>
  <si>
    <t>fee and commission income</t>
  </si>
  <si>
    <t>fee and commission expenses</t>
  </si>
  <si>
    <t>net fee and commission income</t>
  </si>
  <si>
    <t>.</t>
  </si>
  <si>
    <t>administration costs: Staff expenses</t>
  </si>
  <si>
    <t>administration costs: other</t>
  </si>
  <si>
    <t>(Impairment or (-) reversal of impairment on financial assets not measured at fair value through profit or loss</t>
  </si>
  <si>
    <r>
      <t xml:space="preserve">Home country: Major drivers for observed changes over the next 3 years
</t>
    </r>
    <r>
      <rPr>
        <b/>
        <i/>
        <sz val="11"/>
        <color theme="0"/>
        <rFont val="Calibri"/>
        <family val="2"/>
        <scheme val="minor"/>
      </rPr>
      <t>[please specify the top 3 drivers ranked by relevance and the direction of impact on net income after tax]</t>
    </r>
  </si>
  <si>
    <r>
      <t xml:space="preserve">Major foreign market/second most important market: Major drivers for observed changes over the next 3 years
</t>
    </r>
    <r>
      <rPr>
        <b/>
        <i/>
        <sz val="11"/>
        <color theme="0"/>
        <rFont val="Calibri"/>
        <family val="2"/>
        <scheme val="minor"/>
      </rPr>
      <t>[please specify the top 3 drivers ranked by relevance and the direction of impact on net income after tax]</t>
    </r>
  </si>
  <si>
    <t>Direction</t>
  </si>
  <si>
    <t>total profit or loss before tax</t>
  </si>
  <si>
    <t>rows 043, 044, 045, 070, 080, 085, 205</t>
  </si>
  <si>
    <t>rows 043, 044, 045, 070, 080, 085, 190, 195, 205, 215</t>
  </si>
  <si>
    <t>row 043</t>
  </si>
  <si>
    <t>row 044</t>
  </si>
  <si>
    <t>row 045</t>
  </si>
  <si>
    <t>row 070</t>
  </si>
  <si>
    <t>row 080</t>
  </si>
  <si>
    <t>row 085</t>
  </si>
  <si>
    <t>row 190</t>
  </si>
  <si>
    <t>row 195</t>
  </si>
  <si>
    <t>row 205</t>
  </si>
  <si>
    <t>row 215</t>
  </si>
  <si>
    <t>columns F, H, J, L, O, R</t>
  </si>
  <si>
    <t>columns M, P, S</t>
  </si>
  <si>
    <t>columns E, G, I, K, N, Q</t>
  </si>
  <si>
    <t>Country
-
Major markets abroad</t>
  </si>
  <si>
    <t>Interest Income</t>
  </si>
  <si>
    <t>Interest Expenses</t>
  </si>
  <si>
    <t>Net interest income</t>
  </si>
  <si>
    <t>Fee and commission income</t>
  </si>
  <si>
    <t>Fee and commission expense</t>
  </si>
  <si>
    <t>Net fee and commission income</t>
  </si>
  <si>
    <t>Administrative costs: Staff expenses</t>
  </si>
  <si>
    <t>Administrative costs: other</t>
  </si>
  <si>
    <t>Impairment or (/) reversal of impairment on fninancial assets not measured at fair value through profit or loss</t>
  </si>
  <si>
    <t>Impact</t>
  </si>
  <si>
    <t>01-retail</t>
  </si>
  <si>
    <t>01-increase in the level of reference market interest rates</t>
  </si>
  <si>
    <r>
      <t>01-increase in transaction account</t>
    </r>
    <r>
      <rPr>
        <b/>
        <sz val="8"/>
        <color indexed="8"/>
        <rFont val="Calibri"/>
        <family val="2"/>
        <scheme val="minor"/>
      </rPr>
      <t xml:space="preserve"> </t>
    </r>
    <r>
      <rPr>
        <sz val="8"/>
        <color indexed="8"/>
        <rFont val="Calibri"/>
        <family val="2"/>
        <scheme val="minor"/>
      </rPr>
      <t>fees</t>
    </r>
  </si>
  <si>
    <t>01-increase of fee expenses related to clearing and settlement</t>
  </si>
  <si>
    <t>01-increase in total headcount</t>
  </si>
  <si>
    <t>01-increase in IT related costs</t>
  </si>
  <si>
    <t>01-increase of the amount of non-performing loans in the retail segment (non-mortgage business)</t>
  </si>
  <si>
    <t>++ very positive effect on profitability</t>
  </si>
  <si>
    <t>02-non-financial corporate</t>
  </si>
  <si>
    <t>02-decrease in the level of reference market interest rates</t>
  </si>
  <si>
    <t>02-decrease in in the level of reference market interest rates</t>
  </si>
  <si>
    <r>
      <t>02-decrease in transaction account</t>
    </r>
    <r>
      <rPr>
        <b/>
        <sz val="8"/>
        <color indexed="8"/>
        <rFont val="Calibri"/>
        <family val="2"/>
        <scheme val="minor"/>
      </rPr>
      <t xml:space="preserve"> </t>
    </r>
    <r>
      <rPr>
        <sz val="8"/>
        <color indexed="8"/>
        <rFont val="Calibri"/>
        <family val="2"/>
        <scheme val="minor"/>
      </rPr>
      <t>fees</t>
    </r>
  </si>
  <si>
    <t>02-decrease of fee expenses related to clearing and settlement</t>
  </si>
  <si>
    <t>02-decrease in total headcount</t>
  </si>
  <si>
    <t>02-decrease in IT related costs</t>
  </si>
  <si>
    <t>02-decrease of the amount of non-performing loans in the retail segment (non-mortgage business)</t>
  </si>
  <si>
    <t>+  positive effect on profitability</t>
  </si>
  <si>
    <t>03-securities holding</t>
  </si>
  <si>
    <t>03-idiosyncratic increase in spreads applied on loans (e.g. mark-up)</t>
  </si>
  <si>
    <t>03-idiosyncratic increase in cost of funding (e.g. spreads widening)</t>
  </si>
  <si>
    <t>03-increase in prepayment fees</t>
  </si>
  <si>
    <t>03-increase of fee expenses related to distribution of banking/investment products</t>
  </si>
  <si>
    <t>03-increase in the level of fixed compensation</t>
  </si>
  <si>
    <t>03-increase of costs related to management of real estate assets</t>
  </si>
  <si>
    <r>
      <t xml:space="preserve">03-increase in </t>
    </r>
    <r>
      <rPr>
        <sz val="8"/>
        <color indexed="8"/>
        <rFont val="Calibri"/>
        <family val="2"/>
        <scheme val="minor"/>
      </rPr>
      <t>total amount of non-performing loans in residential/SME mortgages</t>
    </r>
  </si>
  <si>
    <t>03-increase general risk appetite</t>
  </si>
  <si>
    <t>0  net neutral effect on profitability</t>
  </si>
  <si>
    <t>04-other</t>
  </si>
  <si>
    <t>04-idiosyncratic decrease in spreads applied on loans (e.g. mark-down)</t>
  </si>
  <si>
    <t>04-idiosyncratic decrease in cost of funding (e.g. spreads tightening)</t>
  </si>
  <si>
    <t>04-decrease in prepayment fees</t>
  </si>
  <si>
    <t>04-decrease of fee expenses related to distribution of banking/investment products</t>
  </si>
  <si>
    <t>04-decrease in the level of fixed compensation</t>
  </si>
  <si>
    <t>04-decrease of costs related to management of real estate assets</t>
  </si>
  <si>
    <t>04-decrease in total amount of non-performing loans in residential/SME mortgages</t>
  </si>
  <si>
    <t>04-decrease general risk appetite</t>
  </si>
  <si>
    <t>-  negative effect on profitability</t>
  </si>
  <si>
    <t>05-across all relevant sectors</t>
  </si>
  <si>
    <t>05-increase of amount of total interest earning assets</t>
  </si>
  <si>
    <t>05-increase of cheaper sources of funding (e.g. change in funding mix)</t>
  </si>
  <si>
    <t>05-volume-driven increase of asset management driven fees (e.g. increase in AuM)</t>
  </si>
  <si>
    <t>05-increase of fees related to public services (e.g. state guarantees)</t>
  </si>
  <si>
    <t>05-increase in variable compensation</t>
  </si>
  <si>
    <t>05-increase of consultancy and legal costs</t>
  </si>
  <si>
    <t>05-increase in total amount of non-performing loans in commercial/large corporate mortgages</t>
  </si>
  <si>
    <t>05-increase in refinancing spread (own spread) vs. Euribor</t>
  </si>
  <si>
    <t>-- very negative effect on profitability</t>
  </si>
  <si>
    <t>06-decrease of amount of total interest earning assets</t>
  </si>
  <si>
    <t>06-decrease of cheaper sources of funding (e.g. change in funding mix)</t>
  </si>
  <si>
    <t>06-volume-driven decrease of asset management driven fees (e.g. decrease in AuM)</t>
  </si>
  <si>
    <t>06-decrease of fees related to public services (e.g. state guarantees)</t>
  </si>
  <si>
    <t>06-decrease in variable compensation</t>
  </si>
  <si>
    <t>06-decrease of consultancy and legal costs</t>
  </si>
  <si>
    <t>06-decrease in total amount of non-performing loans in commercial/large corporate mortgages</t>
  </si>
  <si>
    <t>06-decrease in refinancing spread (own spread) vs. Euribor</t>
  </si>
  <si>
    <t>07-stronger competition</t>
  </si>
  <si>
    <t>07-increase of amount of total funding</t>
  </si>
  <si>
    <t>07-price/margin-driven increase in asset management fees</t>
  </si>
  <si>
    <t>07-increased contribution to Deposit Insurance Schemes</t>
  </si>
  <si>
    <t>07-increase in pension contributions</t>
  </si>
  <si>
    <t>07-increase in advertising and promotional expenses</t>
  </si>
  <si>
    <t>07-increase in total amount of non-performing loans in corporate loans</t>
  </si>
  <si>
    <t>07-decrease of amount of total interest earning asset</t>
  </si>
  <si>
    <t>08-weaker competition</t>
  </si>
  <si>
    <t>08-decrease of amount of total funding</t>
  </si>
  <si>
    <t>08-price/margin-driven decrease in asset management fees</t>
  </si>
  <si>
    <t>08-decreased contribution to Deposit Insurance Schemes</t>
  </si>
  <si>
    <t>08-decrease in pension contributions</t>
  </si>
  <si>
    <t>08-decrease in advertising and promotional expenses</t>
  </si>
  <si>
    <t>08-decrease in total amount of non-performing loans in corporate loans</t>
  </si>
  <si>
    <t>08-increase in maturity transformation</t>
  </si>
  <si>
    <t>09-increase in the average maturity of interest-earning assets</t>
  </si>
  <si>
    <t>09-increase in the average liabilities duration</t>
  </si>
  <si>
    <t>09-volume-driven increase in investment banking fees</t>
  </si>
  <si>
    <t>09-increase in expenses for received loan commitments/guarantees</t>
  </si>
  <si>
    <t>09-increase in termination pay</t>
  </si>
  <si>
    <t>09-increase of indirect taxes</t>
  </si>
  <si>
    <t>09-increased recoveries/collections of retail non-performing loans</t>
  </si>
  <si>
    <t>09-decrease in maturity transformation</t>
  </si>
  <si>
    <t>10-decrease in the average maturity of interest-earning assets</t>
  </si>
  <si>
    <t>10-decrease in the average liabilities duration</t>
  </si>
  <si>
    <t>10-volume-driven decrease in investment banking fees</t>
  </si>
  <si>
    <t>10-decrease in expenses for received loan commitments/guarantees</t>
  </si>
  <si>
    <t>10-decrease in termination pay</t>
  </si>
  <si>
    <t>10-decrease of indirect taxes</t>
  </si>
  <si>
    <t>10-decreased recoveries/collections of retail non-performing loans</t>
  </si>
  <si>
    <t>10-increase in credit demand</t>
  </si>
  <si>
    <t>11-increase in risk taking</t>
  </si>
  <si>
    <t>11-recourse to central bank II at favourable rates</t>
  </si>
  <si>
    <t>11-price/margin-driven increase in investment banking fees</t>
  </si>
  <si>
    <t>11-relocation of staff due to potential changes related to the Brexit</t>
  </si>
  <si>
    <t>11-increase of pension provisions</t>
  </si>
  <si>
    <t>11-increased recoveries/collections of corporate non-performing loans</t>
  </si>
  <si>
    <t>11-decrease in credit demand</t>
  </si>
  <si>
    <t>12-decrease in risk taking</t>
  </si>
  <si>
    <t>12-negative deposit rates for customer deposits</t>
  </si>
  <si>
    <t>12-price/margin-driven decrease in investment banking fees</t>
  </si>
  <si>
    <t>12-relocation of staff due to changes in governance/group structure</t>
  </si>
  <si>
    <t>12-decrease of pension provisions</t>
  </si>
  <si>
    <t>12-decreased recoveries/collections of corporate non-performing loans</t>
  </si>
  <si>
    <t>12-increase of market share</t>
  </si>
  <si>
    <t>13-increase in prepayment fees</t>
  </si>
  <si>
    <t>13-volume driven decrease in income from custody services</t>
  </si>
  <si>
    <t>13-increased restructuring costs</t>
  </si>
  <si>
    <t>13-increase in coverage of non-performing loans</t>
  </si>
  <si>
    <t>13-decrease of market share</t>
  </si>
  <si>
    <t>14-decrease in prepayment fees</t>
  </si>
  <si>
    <t>14-price driven decrease in income from custody services</t>
  </si>
  <si>
    <t>14-decreased restructuring costs</t>
  </si>
  <si>
    <t>14-decrease in coverage of non-performing loans</t>
  </si>
  <si>
    <t>14-compression of margins/higher competition</t>
  </si>
  <si>
    <t>15-decrease of non-performing loans ratio</t>
  </si>
  <si>
    <t>15-volume driven increase in income from custody services</t>
  </si>
  <si>
    <t>15-relocation of operations due to Brexit</t>
  </si>
  <si>
    <t>15-increase in coverage of performing loans</t>
  </si>
  <si>
    <t>15-widening of margins/lower competition</t>
  </si>
  <si>
    <t>16-increase of non-performing loans ratio</t>
  </si>
  <si>
    <t>16-price driven increase in income from custody services</t>
  </si>
  <si>
    <t>16-decrease in coverage for performing loans</t>
  </si>
  <si>
    <t>16-increased/decreased transaction account fees</t>
  </si>
  <si>
    <t>17-idiosyncratic increase in cost of funding (e.g. spreads widening)</t>
  </si>
  <si>
    <t>17-increase in fees related to the distribution of insurance/investment products</t>
  </si>
  <si>
    <r>
      <t>17-increased recoveries/collections of commercial mortgages</t>
    </r>
    <r>
      <rPr>
        <b/>
        <sz val="8"/>
        <color indexed="8"/>
        <rFont val="Calibri"/>
        <family val="2"/>
        <scheme val="minor"/>
      </rPr>
      <t xml:space="preserve"> </t>
    </r>
    <r>
      <rPr>
        <sz val="8"/>
        <color indexed="8"/>
        <rFont val="Calibri"/>
        <family val="2"/>
        <scheme val="minor"/>
      </rPr>
      <t>non-performing loans</t>
    </r>
  </si>
  <si>
    <t>17-increased/decreased fee income from distribution of banking and insurance products</t>
  </si>
  <si>
    <t>18-idiosyncratic decrease in cost of funding (e.g. spreads tightening)</t>
  </si>
  <si>
    <t>18-decrease in fees related to the distribution of insurance/investment products</t>
  </si>
  <si>
    <r>
      <t>18-decreased recoveries/collections of commercial mortgages</t>
    </r>
    <r>
      <rPr>
        <b/>
        <sz val="8"/>
        <color indexed="8"/>
        <rFont val="Calibri"/>
        <family val="2"/>
        <scheme val="minor"/>
      </rPr>
      <t xml:space="preserve"> </t>
    </r>
    <r>
      <rPr>
        <sz val="8"/>
        <color indexed="8"/>
        <rFont val="Calibri"/>
        <family val="2"/>
        <scheme val="minor"/>
      </rPr>
      <t>non-performing loans</t>
    </r>
  </si>
  <si>
    <t>18-increased/decreased fee income from payment and settlement services</t>
  </si>
  <si>
    <t>19-increase of cheaper sources of funding (e.g. change in funding mix)</t>
  </si>
  <si>
    <t>19-increase in fees from loan commitments/guarantees (granted)</t>
  </si>
  <si>
    <t>19-increase in amount of collective provisions</t>
  </si>
  <si>
    <t>19-increased/decreased fee income from advisory services/investment banking</t>
  </si>
  <si>
    <t>20-decrease of cheaper sources of funding (e.g. change in funding mix)</t>
  </si>
  <si>
    <t>20-decrease in fees from loan commitments/guarantees (granted)</t>
  </si>
  <si>
    <t>20-decrease in amount of collective provisions</t>
  </si>
  <si>
    <t>20-increase administrative expenses and depreciation</t>
  </si>
  <si>
    <t>21-increase of amount of total funding</t>
  </si>
  <si>
    <t>21-increased income from transfer of banking products to third party</t>
  </si>
  <si>
    <t>21-decrease administrative expenses and depreciation</t>
  </si>
  <si>
    <t>22-decrease of amount of total funding</t>
  </si>
  <si>
    <t>22-decreased income from transfer of banking products to third party</t>
  </si>
  <si>
    <t>22-decrease/reversal of impairments</t>
  </si>
  <si>
    <t>23-increase in the average liabilities duration</t>
  </si>
  <si>
    <t>23-increased fee income from distribution of banking and insurance products</t>
  </si>
  <si>
    <t>23-increase in income from clearing and settlement</t>
  </si>
  <si>
    <t>23-increase of impairments</t>
  </si>
  <si>
    <t>24-decrease in the average liabilities duration</t>
  </si>
  <si>
    <t>24-decreased fee income from distribution of banking and insurance products</t>
  </si>
  <si>
    <t>24-decrease in income from clearing and settlement</t>
  </si>
  <si>
    <t>24-losses due to geopolitical risks</t>
  </si>
  <si>
    <t>25-recourse to central bank funding at favourable rates</t>
  </si>
  <si>
    <t>25-increased income payment and settlement</t>
  </si>
  <si>
    <t>25-decrease in loan fees (granted)</t>
  </si>
  <si>
    <t>25-losses from legacy portfolios</t>
  </si>
  <si>
    <t>26-negative deposit rates for large customer deposits</t>
  </si>
  <si>
    <t>26-decreased income payment and settlement</t>
  </si>
  <si>
    <t>26-increase in loan fees (granted)</t>
  </si>
  <si>
    <t>26-gains from legacy portfolios</t>
  </si>
  <si>
    <t>27-increase in income from clearing and settlement</t>
  </si>
  <si>
    <t>27-decrease in fees from payment services (e.g. credit and debit cards)</t>
  </si>
  <si>
    <t>27-increase in litigation costs</t>
  </si>
  <si>
    <t>28-decrease in income from clearing and settlement</t>
  </si>
  <si>
    <t>28-increase in fees from payment services (e.g. credit and debit cards)</t>
  </si>
  <si>
    <t>28-decrease in litigation costs</t>
  </si>
  <si>
    <t>29-decrease in loan fees (granted)</t>
  </si>
  <si>
    <t>29-increase of fee expenses related to clearing and settlement</t>
  </si>
  <si>
    <t>29-increase in restructuring costs</t>
  </si>
  <si>
    <t>30-increase in loan fees (granted)</t>
  </si>
  <si>
    <t>30-decrease of fee expenses related to clearing and settlement</t>
  </si>
  <si>
    <t>30-decrease in restructuring costs</t>
  </si>
  <si>
    <t>31-decrease in fees from payment services (e.g. credit and debit cards)</t>
  </si>
  <si>
    <t>31-increase of fee expenses related to distribution of banking/investment products</t>
  </si>
  <si>
    <t>31-special item: costs/losses in relation Brexit</t>
  </si>
  <si>
    <t>32-increase in fees from payment services (e.g. credit and debit cards)</t>
  </si>
  <si>
    <t>32-decrease of fee expenses related to distribution of banking/investment products</t>
  </si>
  <si>
    <t>32-increased cost related to regulatory issues – capital/liquidity regulatory rules</t>
  </si>
  <si>
    <t>33-increase of fees related to public services (e.g. state guarantees)</t>
  </si>
  <si>
    <t>33-decreased cost related to regulatory issues – capital/liquidity regulatory rules</t>
  </si>
  <si>
    <t>34-decrease of fees related to public services (e.g. state guarantees)</t>
  </si>
  <si>
    <t>34-increased cost related to regulatory issues – regulatory governance (e.g. reporting, engagement, supervisory fees, …)</t>
  </si>
  <si>
    <t>35-increased contribution to Deposit Insurance Schemes</t>
  </si>
  <si>
    <t>35-decreased cost related to regulatory issues – regulatory governance (e.g. reporting, engagement, supervisory fees, …)</t>
  </si>
  <si>
    <t>36-decreased contribution to Deposit Insurance Schemes</t>
  </si>
  <si>
    <t>36-increased cost related to regulatory issues – contributions to SRB, DGS, national schemes, …</t>
  </si>
  <si>
    <t>37-increase in expenses for received loan commitments/guarantees</t>
  </si>
  <si>
    <t>37-decreased cost related to regulatory issues – contributions to SRB, DGS, national schemes, …</t>
  </si>
  <si>
    <t>38-decrease in expenses for received loan commitments/guarantees</t>
  </si>
  <si>
    <t>39-increased fee income from distribution of banking and insurance products</t>
  </si>
  <si>
    <t>40-decreased fee income from distribution of banking and insurance products</t>
  </si>
  <si>
    <t>41-increased income payment and settlement</t>
  </si>
  <si>
    <t>42-decreased income payment and settlement</t>
  </si>
  <si>
    <t>PROFITABILITY ASSESSMENT</t>
  </si>
  <si>
    <r>
      <t xml:space="preserve">Bank code: </t>
    </r>
    <r>
      <rPr>
        <sz val="12"/>
        <color indexed="8"/>
        <rFont val="Calibri"/>
        <family val="2"/>
        <scheme val="minor"/>
      </rPr>
      <t>(RIAD MFI code)</t>
    </r>
  </si>
  <si>
    <r>
      <t xml:space="preserve">Bank: </t>
    </r>
    <r>
      <rPr>
        <sz val="12"/>
        <color indexed="8"/>
        <rFont val="Calibri"/>
        <family val="2"/>
        <scheme val="minor"/>
      </rPr>
      <t>(name)</t>
    </r>
  </si>
  <si>
    <r>
      <t>Reference date:</t>
    </r>
    <r>
      <rPr>
        <sz val="12"/>
        <color indexed="8"/>
        <rFont val="Calibri"/>
        <family val="2"/>
        <scheme val="minor"/>
      </rPr>
      <t xml:space="preserve"> T (dd/mm/yyyy format)</t>
    </r>
  </si>
  <si>
    <r>
      <t xml:space="preserve">Country: </t>
    </r>
    <r>
      <rPr>
        <sz val="12"/>
        <color indexed="8"/>
        <rFont val="Calibri"/>
        <family val="2"/>
        <scheme val="minor"/>
      </rPr>
      <t>(two letter ISO code)</t>
    </r>
  </si>
  <si>
    <t>Bank LEI code:</t>
  </si>
  <si>
    <t>Level of consolidation:</t>
  </si>
  <si>
    <t>In comparison to the FINREP Income scheme, this template does not request all items (e.g. valuation yield HTM, AFS, L&amp;R; tax; allowances). Those items do not need to be reported separately. They are however included in the total items.</t>
  </si>
  <si>
    <t>Data shall be reported in thousands of euros, i.e. EUR 1 million is to be reported as 1000. Amounts should be rounded to the nearest thousand of euros, i.e. the number should not contain decimals. Numbers should not use thousand separators (no spaces or commas).</t>
  </si>
  <si>
    <r>
      <rPr>
        <sz val="7"/>
        <color indexed="8"/>
        <rFont val="Calibri"/>
        <family val="2"/>
        <scheme val="minor"/>
      </rPr>
      <t xml:space="preserve"> </t>
    </r>
    <r>
      <rPr>
        <sz val="11"/>
        <color theme="1"/>
        <rFont val="Calibri"/>
        <family val="2"/>
        <scheme val="minor"/>
      </rPr>
      <t>0 (the digit zero) when the item is applicable to the bank, but the phenomenon does not occur for that specific bank;</t>
    </r>
  </si>
  <si>
    <t>General information about the institution is requested in sheet "0_Identification".</t>
  </si>
  <si>
    <t>Comment box</t>
  </si>
  <si>
    <t>The comment box can be used for any comment.</t>
  </si>
  <si>
    <t>4.2 Capital Position</t>
  </si>
  <si>
    <t>4.1 Loan pricing</t>
  </si>
  <si>
    <t>5.2 Markets &amp; Positioning</t>
  </si>
  <si>
    <t>1 Key data</t>
  </si>
  <si>
    <t>1.1 Regional Characteristics</t>
  </si>
  <si>
    <t>1.2 Peer group</t>
  </si>
  <si>
    <t>1.3 Please indicate by which day and month you complete the budget planning for the following year.</t>
  </si>
  <si>
    <t>1.4 Please indicate the update frequence of your budget.</t>
  </si>
  <si>
    <t>1.7 FTE and branches projections</t>
  </si>
  <si>
    <t>1.8 Scope of Consolidation: Please indicate whether the P&amp;L projections in the STE profitability template are according to management reporting or have been restated under the FINREP scope of consolidation</t>
  </si>
  <si>
    <t>1.9 Please indicate which P&amp;L/Balance sheet lines might be distorted if you have not restated them under the prudential scope of consolidation.</t>
  </si>
  <si>
    <t>1.11 Estimates for cost of equity</t>
  </si>
  <si>
    <t>5.2 External Factors: markets and positioning</t>
  </si>
  <si>
    <t>5.2.1 Forecast: Domestic markets</t>
  </si>
  <si>
    <t>4.1 Pricing of new loans</t>
  </si>
  <si>
    <t>Margin vs. ALM/Swap rate (of same maturity) of these new loans
(at T, annual rate in %)</t>
  </si>
  <si>
    <t>Margin vs. ALM/Swap rate (of same maturity) of these new loans
(at T+1, annual rate in %)</t>
  </si>
  <si>
    <t>Drivers for T+1</t>
  </si>
  <si>
    <t>[please select driver]</t>
  </si>
  <si>
    <t>Driver of changes in margins vs. ALM/Swap rate of new loans</t>
  </si>
  <si>
    <t>blank (empty) when the phenomenon is not applicable or not available</t>
  </si>
  <si>
    <t>Columns requesting for values in year T, refer to actual values for the reference date T.</t>
  </si>
  <si>
    <r>
      <t xml:space="preserve">Column requesting </t>
    </r>
    <r>
      <rPr>
        <sz val="11"/>
        <rFont val="Calibri"/>
        <family val="2"/>
      </rPr>
      <t>for values in year T+1, T+2 and T+3 should be reported as is budgeted in the year T.</t>
    </r>
  </si>
  <si>
    <t>For the planned figures (years T+1 to T+3), annual end-of-year data is requested.</t>
  </si>
  <si>
    <t>Driver for changes in expected cost of risk</t>
  </si>
  <si>
    <t>05–reduction in retained earnings reserve </t>
  </si>
  <si>
    <t>05-expiring instruments</t>
  </si>
  <si>
    <t>04-[please specify other]</t>
  </si>
  <si>
    <t>Total number of High Earners</t>
  </si>
  <si>
    <t>1.7.1 Internal Control Functions - FTEs</t>
  </si>
  <si>
    <t>Total number of FTEs in Internal Audit Function</t>
  </si>
  <si>
    <t>1.7.2 Governance - General information</t>
  </si>
  <si>
    <t>Governance structure of the bank</t>
  </si>
  <si>
    <t>Number of members in the Executive Board</t>
  </si>
  <si>
    <t>Number of meeting of the Executive Board per year</t>
  </si>
  <si>
    <t>Number of members in the Supervisory Board</t>
  </si>
  <si>
    <t>of which Fix Remuneration for all High Earners (thousand euro)</t>
  </si>
  <si>
    <t>of which Variable Remuneration for all High Earners (thousand euro)</t>
  </si>
  <si>
    <t>of which Variable Remuneration for all High Earners paid in CASH (thousand euro)</t>
  </si>
  <si>
    <t>of which Variable Remuneration for all High Earners paid in Instruments (thousand euro)</t>
  </si>
  <si>
    <t>of which Variable Remuneration (thousand euro)</t>
  </si>
  <si>
    <t>of which Variable Remuneration paid in CASH (thousand euro)</t>
  </si>
  <si>
    <t>of which Variable Remuneration paid in instruments (thousand euro)</t>
  </si>
  <si>
    <t>Unitary board</t>
  </si>
  <si>
    <t>Other structure</t>
  </si>
  <si>
    <t>Dual board</t>
  </si>
  <si>
    <t>Column1</t>
  </si>
  <si>
    <t>Agency Services</t>
  </si>
  <si>
    <t>Others</t>
  </si>
  <si>
    <t>Retail Brokerage</t>
  </si>
  <si>
    <t>Trading and Sales</t>
  </si>
  <si>
    <t>Definition</t>
  </si>
  <si>
    <t xml:space="preserve">FINREP mapping </t>
  </si>
  <si>
    <t>not included in FINREP</t>
  </si>
  <si>
    <t>Note: The purpose of the data collection is to access to a breakdown of the "Asset Management Income" (provided in FINREP {F22.01;c010;r070}) between the "Mangement income" and the "Performance income". The "Management income" and the "Performance income" are sub-categories of the "Asset Management Income" .</t>
  </si>
  <si>
    <t>Replacement ratio of assets under management:</t>
  </si>
  <si>
    <t>Additional clients assets received to invest</t>
  </si>
  <si>
    <t>Assets redeemed by the asset manager for its clients</t>
  </si>
  <si>
    <t>Additional Clients assets received for custody</t>
  </si>
  <si>
    <t>Outflows of Clients assets under custody</t>
  </si>
  <si>
    <t>1. Key Data</t>
  </si>
  <si>
    <t>ASSET MANAGEMENT ACTIVITY - Part 1</t>
  </si>
  <si>
    <t>Fees and commissions charged for generating 
performance over predetermined thresholds and thus positive returns</t>
  </si>
  <si>
    <t>Asset Management (Assets involved in the services provided - {F22.02;c010;r010})</t>
  </si>
  <si>
    <t>CUSTODIAN ACTIVITY - Part 2</t>
  </si>
  <si>
    <t>In sheet "3_AM &amp; Custodian activities":</t>
  </si>
  <si>
    <t>6. Planned Remuneration Payments</t>
  </si>
  <si>
    <t>Payment &amp; Settlement</t>
  </si>
  <si>
    <t>1)</t>
  </si>
  <si>
    <t>Notes</t>
  </si>
  <si>
    <t xml:space="preserve">Fees and commissions charged for the management of the assets without regards to targeted performance.  </t>
  </si>
  <si>
    <t>Management fee and commission income linked 
to passive management</t>
  </si>
  <si>
    <t>Management fee and commission income linked 
to active management</t>
  </si>
  <si>
    <t>Asset Management (Fee and commission income - {F22.01;c010;r070})</t>
  </si>
  <si>
    <t>Management fee and commission income</t>
  </si>
  <si>
    <t xml:space="preserve">Assets under active management </t>
  </si>
  <si>
    <t xml:space="preserve">Assets under passive management </t>
  </si>
  <si>
    <t>O/w assets under active management that generates management fee and commission income</t>
  </si>
  <si>
    <t>O/w assets under active management that generate 
performance fee and commission income</t>
  </si>
  <si>
    <t>Performance fee and commission income</t>
  </si>
  <si>
    <t>3. Asset management and Custodian activities</t>
  </si>
  <si>
    <t>PROFITABILITY ASSESSMENT 
(FEE AND COMMISSION INCOME)
(ASSETS INVOLVED IN THE SERVICES PROVIDED)
Asset Management and Custody activities</t>
  </si>
  <si>
    <t>Value (T)
-column C-</t>
  </si>
  <si>
    <t>Share of the assets under management {F22.02;c010;r010}
 that are subject to passive management (Amount of the assets involved in the services provided)</t>
  </si>
  <si>
    <t>Share of the assets under management {F22.02;c010;r010}
 that are subject to active management (Amount of the assets involved in the services provided)</t>
  </si>
  <si>
    <t>Share of the management fee and commission income linked to passive management (amount)</t>
  </si>
  <si>
    <t>Share of the management fee and commission income linked to active management (amount)</t>
  </si>
  <si>
    <t xml:space="preserve">For the instructions of this template, please refer to the dedicated word document ("STE for SREP - READ ME Profitability - reporting instructions"), which is part of the Short Term Exercise for SREP data collection package.  </t>
  </si>
  <si>
    <t>Bulgaria</t>
  </si>
  <si>
    <t>Croatia</t>
  </si>
  <si>
    <t>What is your expected degree of involvement in the given market/business line?</t>
  </si>
  <si>
    <t>Loans and advances to households (excl. reverse repurchase loans)</t>
  </si>
  <si>
    <t>Domestic activities</t>
  </si>
  <si>
    <t>Other EEA countries activities</t>
  </si>
  <si>
    <t>Non-EEA countries activities</t>
  </si>
  <si>
    <t>Loans to non-financial corporations (excl. reverse repurchase loans)</t>
  </si>
  <si>
    <t>Loans and advances to credit institutions (excl. reverse repurchase loans)</t>
  </si>
  <si>
    <t>Loans and advances to other financial corporations (excl. reverse repurchase loans)</t>
  </si>
  <si>
    <t>Loans and advances to central banks (excl. reverse repurchase loans)</t>
  </si>
  <si>
    <t>Loans and advances general governments (excl. reverse repurchase loans)</t>
  </si>
  <si>
    <t>6.1 Identified Staff (ID Staff)</t>
  </si>
  <si>
    <t>6.2 High Earners</t>
  </si>
  <si>
    <t>6.3 Management Body in Management Function (MBMF)</t>
  </si>
  <si>
    <t>[please select]</t>
  </si>
  <si>
    <t>FINREP mapping</t>
  </si>
  <si>
    <t>[please specify challenge]</t>
  </si>
  <si>
    <t>10. Digital transformation investment</t>
  </si>
  <si>
    <t>11. Maintenance of IT systems</t>
  </si>
  <si>
    <t>12. Outsourcing costs</t>
  </si>
  <si>
    <t>13. Misconduct costs</t>
  </si>
  <si>
    <t>01. Decrease in credit volumes</t>
  </si>
  <si>
    <t>02. Inability to increase margins</t>
  </si>
  <si>
    <t>03. Deterioration in asset quality</t>
  </si>
  <si>
    <t>04. Increase in funding costs</t>
  </si>
  <si>
    <t>05. Decrease in assets under management</t>
  </si>
  <si>
    <t>06. Inability to increase fees and commissions</t>
  </si>
  <si>
    <t>07. Staff and branches expenses</t>
  </si>
  <si>
    <t>08. Competition for talent</t>
  </si>
  <si>
    <t>09. Green transformation investment</t>
  </si>
  <si>
    <t>14. Other (please specify):</t>
  </si>
  <si>
    <t>01. Geopolitical uncertainties</t>
  </si>
  <si>
    <t>02. Economic growth outlook</t>
  </si>
  <si>
    <t>03. Monetary policy decisions</t>
  </si>
  <si>
    <t xml:space="preserve">04. Repricing in financial markets </t>
  </si>
  <si>
    <t>05. Real estate valuations</t>
  </si>
  <si>
    <t>06. Competition from other banks</t>
  </si>
  <si>
    <t>07. Competition from non-bank financial institutions</t>
  </si>
  <si>
    <t>08. Climate-related and environmental risks</t>
  </si>
  <si>
    <t>09. Cyber risk</t>
  </si>
  <si>
    <t>10. Regulatory environment</t>
  </si>
  <si>
    <t>11. Other (please specify):</t>
  </si>
  <si>
    <t>Assets under custody:</t>
  </si>
  <si>
    <t>Custody assets</t>
  </si>
  <si>
    <t>Custody assets entrusted to other entities established in the EU/EEA</t>
  </si>
  <si>
    <t>Custody assets entrusted to other entities established outside the EU/EEA</t>
  </si>
  <si>
    <t>FINREP {F22.02;c0010;r0060}</t>
  </si>
  <si>
    <t>Fee and commission income from activities linked to assets under custody:</t>
  </si>
  <si>
    <t>Total fee and commission income from activities linked to assets under custody</t>
  </si>
  <si>
    <t>Fee and commission income from activities linked to assets under custody not entrusted to other entities</t>
  </si>
  <si>
    <t>Fee and commission income from activities linked to assets under custody entrusted to other entities established in the EU/EEA</t>
  </si>
  <si>
    <t>Fee and commission income from activities linked to assets under custody entrusted to other entities established outside the EU/EEA</t>
  </si>
  <si>
    <t>Custody assets related to collective investments</t>
  </si>
  <si>
    <t>The sum of the below. Expected to match the total of custody assets as reported in {F22.02;c0010;r0070}. The purpose of the below split is to understand the size of custody assets related to collective investments held with third-party sub-custodians in the EU/EEA and in third countries</t>
  </si>
  <si>
    <t>Custody assets related to collective investments not entrusted to other entities</t>
  </si>
  <si>
    <t>Custody assets related to collective investments entrusted to other entities established outside the EU/EEA</t>
  </si>
  <si>
    <t>Custody assets related to collective investments entrusted to other entities established in the EU/EEA</t>
  </si>
  <si>
    <t>FINREP {F22.02;c0010;r0070}</t>
  </si>
  <si>
    <t>Total fee and commission income from activities linked to assets under custody related to collective investments</t>
  </si>
  <si>
    <t>Fee and commission income from activities linked to assets under custody related to collective investments not entrusted to other entities</t>
  </si>
  <si>
    <t>Fee and commission income from activities linked to assets under custody related to collective investments entrusted to other entities established in the EU/EEA</t>
  </si>
  <si>
    <t>Fee and commission income from activities linked to assets under custody related to collective investments entrusted to other entities established outside the EU/EEA</t>
  </si>
  <si>
    <t>The sum of the below. The purpose of the below split is to understand the split of (net) fees and commission income related to asset custody business between the custodian activities entirely carried out by the reporting institution and those performed through third-party sub-custodians in the EU/EEA and in third countries</t>
  </si>
  <si>
    <t>The sum of the below. The purpose of the below split is to understand the split of (net) fees and commission income related to asset custody business (related to collective investments) between the custodian activities entirely carried out by the reporting institution and those performed through third-party sub-custodians in the EU/EEA and in third countries</t>
  </si>
  <si>
    <t>Replacement ratio of the asset under custody:</t>
  </si>
  <si>
    <t>Volume of outstanding loans (thousand euro)</t>
  </si>
  <si>
    <t>additional breakdown</t>
  </si>
  <si>
    <t>The purpose of the below split is to understand the size of custody assets held with sub-custodians in the EU/EEA and in third countries</t>
  </si>
  <si>
    <t>6.4   CEO + CFO + CRO (aggregated information for the three functions)</t>
  </si>
  <si>
    <t>13-Business model transformation</t>
  </si>
  <si>
    <t>11-Non-bank competition</t>
  </si>
  <si>
    <t>01- Geopolitical uncertainties</t>
  </si>
  <si>
    <r>
      <t xml:space="preserve">B) Markets abroad: Major drivers for observed changes over the next 3 years
</t>
    </r>
    <r>
      <rPr>
        <b/>
        <i/>
        <sz val="11"/>
        <color theme="0"/>
        <rFont val="Calibri"/>
        <family val="2"/>
        <scheme val="minor"/>
      </rPr>
      <t>[for each row, please specify the top 3 drivers ranked by relevance]</t>
    </r>
  </si>
  <si>
    <r>
      <t xml:space="preserve">1.5 In case there is a significant one-off item (merger, demerger, restructuring, NPL sale, exceptional write-offs etc.) expected during the forecasting period which is </t>
    </r>
    <r>
      <rPr>
        <b/>
        <u/>
        <sz val="9"/>
        <rFont val="Calibri"/>
        <family val="2"/>
        <scheme val="minor"/>
      </rPr>
      <t>accounted for in the EBA funding plan P&amp;L and balance sheet projections</t>
    </r>
    <r>
      <rPr>
        <b/>
        <sz val="9"/>
        <rFont val="Calibri"/>
        <family val="2"/>
        <scheme val="minor"/>
      </rPr>
      <t xml:space="preserve"> please briefly describe event and effects below:</t>
    </r>
  </si>
  <si>
    <r>
      <t xml:space="preserve">1.6 In case there is a significant on-off transaction (merger, demerger, restructuring, NPL sale, exceptional write-offs etc.) expected during the forecasting period which is </t>
    </r>
    <r>
      <rPr>
        <b/>
        <u/>
        <sz val="9"/>
        <rFont val="Calibri"/>
        <family val="2"/>
        <scheme val="minor"/>
      </rPr>
      <t xml:space="preserve">NOT reflected  in the EBA funding plan P&amp;L and balance sheet projections </t>
    </r>
    <r>
      <rPr>
        <b/>
        <sz val="9"/>
        <rFont val="Calibri"/>
        <family val="2"/>
        <scheme val="minor"/>
      </rPr>
      <t>please briefly describe event and effects below:</t>
    </r>
  </si>
  <si>
    <r>
      <t xml:space="preserve">1.10.a What are the top-3 key challenges to your banks’ profitability in the period T+1 to T+3? Please focus on </t>
    </r>
    <r>
      <rPr>
        <b/>
        <u/>
        <sz val="9"/>
        <rFont val="Calibri"/>
        <family val="2"/>
        <scheme val="minor"/>
      </rPr>
      <t>internal drivers</t>
    </r>
    <r>
      <rPr>
        <b/>
        <sz val="9"/>
        <rFont val="Calibri"/>
        <family val="2"/>
        <scheme val="minor"/>
      </rPr>
      <t>.</t>
    </r>
  </si>
  <si>
    <r>
      <t xml:space="preserve">1.10.b What are the top-3 key challenges to your banks’ profitability in the period T+1 to T+3? Please focus on </t>
    </r>
    <r>
      <rPr>
        <b/>
        <u/>
        <sz val="9"/>
        <rFont val="Calibri"/>
        <family val="2"/>
        <scheme val="minor"/>
      </rPr>
      <t>external drivers</t>
    </r>
    <r>
      <rPr>
        <b/>
        <sz val="9"/>
        <rFont val="Calibri"/>
        <family val="2"/>
        <scheme val="minor"/>
      </rPr>
      <t>.</t>
    </r>
  </si>
  <si>
    <t>For rows that relates to the amount of the Assets under Management, please provide the value at 31/12 of the relevant year T.</t>
  </si>
  <si>
    <t>2.1 P&amp;L Drivers</t>
  </si>
  <si>
    <r>
      <t xml:space="preserve">A) Home country: Major drivers for observed changes over the next 3 years
</t>
    </r>
    <r>
      <rPr>
        <b/>
        <i/>
        <sz val="11"/>
        <color theme="0"/>
        <rFont val="Calibri"/>
        <family val="2"/>
        <scheme val="minor"/>
      </rPr>
      <t>[for each row, please specify the top 3 drivers ranked by relevance]</t>
    </r>
  </si>
  <si>
    <t>Commercial Banking</t>
  </si>
  <si>
    <t>This template should be filled in only if the bank is active to a significant extent in non-domestic markets. If relevant, please use the last two lines of the table to communicate any intentions to expand to a significant extent into a new market.</t>
  </si>
  <si>
    <t>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</si>
  <si>
    <t>Custody assets subject to restitution liability:</t>
  </si>
  <si>
    <t>1. Total value of alternative investment funds for which the institution has been appointed as depositary according to AIFMD Article 21</t>
  </si>
  <si>
    <t>1.1. Of which: Total value of alternative investment funds for which the institution has decided to delegate the safekeeping function to a third party according to AIFMD Article 21</t>
  </si>
  <si>
    <t>1.1.1. Of which: Total value of alternative investment funds for which the institution has decided to delegate the safekeeping function to a third party according to AIFMD Article 21 and for which a further sub-delegation is contractually allowed</t>
  </si>
  <si>
    <t>1.1.2. Of which: Total value of alternative investment funds for which the institution has decided to delegate the safekeeping function to a third party located in an investment graded country outside the EU/EEA</t>
  </si>
  <si>
    <t>1.1.2.1. Of which: Total value of alternative investment funds for which the institution has decided to delegate the safekeeping function to a third party located in an investment graded country outside the EU/EEA and which is not part of the consolidation scope of the banking group to which reporting institution belongs on a global scale</t>
  </si>
  <si>
    <t>1.1.3. Of which: Total value of alternative investment funds for which the institution has decided to delegate the safekeeping function to a third party located in a non-investment-graded country outside the EU/EEA</t>
  </si>
  <si>
    <t>1.1.3.1. Of which: Total value of alternative investment funds for which the institution has decided to delegate the safekeeping function to a third party located in a non-investment-graded country outside the EU/EEA and which is not part of the consolidation scope of the banking group to which reporting institution belongs on a global scale</t>
  </si>
  <si>
    <t>1.2. Of which: Total value of alternative investment funds for which the institution has been appointed as depositary and where the institution will not be liable if it can prove that the loss has arisen as a result of an external event beyond its reasonable control according to AIFMD Article 21</t>
  </si>
  <si>
    <t>2. Total value of common funds for which the institution has been appointed as depositary according to UCITS Article 22</t>
  </si>
  <si>
    <t>2.1.2. Of which: Total value of common funds for which the institution has decided to delegate the safekeeping function to a third party located in an investment graded country outside the EU/EEA</t>
  </si>
  <si>
    <t>2.1.2.1. Of which: Total value of common funds for which the institution has decided to delegate the safekeeping function to a third party located in an investment graded country outside the EU/EEA and which is not part of the consolidation scope of the banking group to which reporting institution belongs on a global scale</t>
  </si>
  <si>
    <t>2.1.3. Of which: Total value of common funds for which the institution has decided to delegate the safekeeping function to a third party located in a non-investment-graded country outside the EU/EEA</t>
  </si>
  <si>
    <t>2.1.3.1. Of which: Total value of common funds for which the institution has decided to delegate the safekeeping function to a third party located in a non-investment-graded country outside the EU/EEA and which is not part of the consolidation scope of the banking group to which reporting institution belongs on a global scale</t>
  </si>
  <si>
    <t>3.1.1. Of which: Total value of assets under custody subject to contractual restitution liability for which the institution has decided to delegate the safekeeping function to a third party and for which a further sub-delegation is contractually allowed.</t>
  </si>
  <si>
    <t>2.1. Of which: Total value of common funds for which the institution has decided to delegate the safekeeping function to a third party according to UCITS Article 22a</t>
  </si>
  <si>
    <t>2.1.1. Of which: Total value of common funds for which the institution has decided to delegate the safekeeping function to a third party according to UCITS Article 22a and for which a further sub-delegation is contractually allowed</t>
  </si>
  <si>
    <t>3. Total value of assets under custody for which the institution offered to clients to electively take a restitution liability similar to the restitution liability according to  AIFMD Article 21 and UCITS Article 24 ('contractual restitution liability')</t>
  </si>
  <si>
    <t>3.1.2. Of which: Total value of assets under custody subject to contractual restitution liability for which the institution has decided to delegate the safekeeping function to a third party located in an investment graded country outside the EU/EEA</t>
  </si>
  <si>
    <t>3.1.2.1. Of which: Total value of assets under custody subject to contractual restitution liability for which the institution has decided to delegate the safekeeping function to a third party located in an investment graded country outside the EU/EEA and which is not part of the consolidation scope of the banking group to which reporting institution belongs on a global scale</t>
  </si>
  <si>
    <t>3.1.3. Of which: Total value of assets under custody subject to contractual restitution liability for which the institution has decided to delegate the safekeeping function to a third party located in a non-investment-graded country outside the EU/EEA</t>
  </si>
  <si>
    <t>3.1.3.1. Of which: Total value of assets under custody subject to contractual restitution liability for which the institution has decided to delegate the safekeeping function to a third party located in a non-investment-graded country outside the EU/EEA and which is not part of the consolidation scope of the banking group to which reporting institution belongs on a global scale</t>
  </si>
  <si>
    <t>Are Compliance and AML functions combined?</t>
  </si>
  <si>
    <t>Are Risk Management Function and Compliance Function combined?</t>
  </si>
  <si>
    <t>Total number of FTEs in the AML departments (excluding Compliance Function)</t>
  </si>
  <si>
    <t>Total number of certified auditors within the Internal Audit Function</t>
  </si>
  <si>
    <t>Internal Control Functions - FTEs</t>
  </si>
  <si>
    <t xml:space="preserve">Yes </t>
  </si>
  <si>
    <t>No</t>
  </si>
  <si>
    <t xml:space="preserve">Total number of FTEs of all bank internal control functions at consolidated level </t>
  </si>
  <si>
    <t>In case no, please include total number of FTEs in the Risk Management Function</t>
  </si>
  <si>
    <t>In case yes, please only include only total number of FTEs of the Compliance Function (and exclude AML FTEs)</t>
  </si>
  <si>
    <t>In case yes, please only include total number of FTEs in the Risk Management Function (and exclude Compliance Function FTEs)</t>
  </si>
  <si>
    <t xml:space="preserve">In case no, please include total number of FTEs in the Compliance Function </t>
  </si>
  <si>
    <t>AD - Andorra</t>
  </si>
  <si>
    <t>AE - United Arab Emirates</t>
  </si>
  <si>
    <t>AF - Afghanistan</t>
  </si>
  <si>
    <t>AG - Antigua and Barbuda</t>
  </si>
  <si>
    <t>AI - Anguilla</t>
  </si>
  <si>
    <t>AL - Albania</t>
  </si>
  <si>
    <t>AM - Armenia</t>
  </si>
  <si>
    <t>AO - Angola</t>
  </si>
  <si>
    <t>AQ - Antarctica</t>
  </si>
  <si>
    <t>AR - Argentina</t>
  </si>
  <si>
    <t>AS - American Samoa</t>
  </si>
  <si>
    <t>AT - Austria</t>
  </si>
  <si>
    <t>AU - Australia</t>
  </si>
  <si>
    <t>AW - Aruba</t>
  </si>
  <si>
    <t>AX - Åland Islands</t>
  </si>
  <si>
    <t>AZ - Azerbaijan</t>
  </si>
  <si>
    <t>BA - Bosnia and Herzegovina</t>
  </si>
  <si>
    <t>BB - Barbados</t>
  </si>
  <si>
    <t>BD - Bangladesh</t>
  </si>
  <si>
    <t>BE - Belgium</t>
  </si>
  <si>
    <t>BF - Burkina Faso</t>
  </si>
  <si>
    <t>BG - Bulgaria</t>
  </si>
  <si>
    <t>BH - Bahrain</t>
  </si>
  <si>
    <t>BI - Burundi</t>
  </si>
  <si>
    <t>BJ - Benin</t>
  </si>
  <si>
    <t>BL - Saint Barthélemy</t>
  </si>
  <si>
    <t>BM - Bermuda</t>
  </si>
  <si>
    <t>BN - Brunei Darussalam</t>
  </si>
  <si>
    <t>BO - Bolivia (Plurinational State of)</t>
  </si>
  <si>
    <t>BQ - Bonaire, Sint Eustatius and Saba</t>
  </si>
  <si>
    <t>BR - Brazil</t>
  </si>
  <si>
    <t>BS - Bahamas</t>
  </si>
  <si>
    <t>BT - Bhutan</t>
  </si>
  <si>
    <t>BV - Bouvet Island</t>
  </si>
  <si>
    <t>BW - Botswana</t>
  </si>
  <si>
    <t>BY - Belarus</t>
  </si>
  <si>
    <t>BZ - Belize</t>
  </si>
  <si>
    <t>CA - Canada</t>
  </si>
  <si>
    <t>CC - Cocos (Keeling) Islands</t>
  </si>
  <si>
    <t>CD - Congo, Democratic Republic of the</t>
  </si>
  <si>
    <t>CF - Central African Republic</t>
  </si>
  <si>
    <t>CG - Congo</t>
  </si>
  <si>
    <t>CH - Switzerland</t>
  </si>
  <si>
    <t>CI - Côte d'Ivoire</t>
  </si>
  <si>
    <t>CK - Cook Islands</t>
  </si>
  <si>
    <t>CL - Chile</t>
  </si>
  <si>
    <t>CM - Cameroon</t>
  </si>
  <si>
    <t>CN - China</t>
  </si>
  <si>
    <t>CO - Colombia</t>
  </si>
  <si>
    <t>CR - Costa Rica</t>
  </si>
  <si>
    <t>CU - Cuba</t>
  </si>
  <si>
    <t>CV - Cabo Verde</t>
  </si>
  <si>
    <t>CW - Curaçao</t>
  </si>
  <si>
    <t>CX - Christmas Island</t>
  </si>
  <si>
    <t>CY - Cyprus</t>
  </si>
  <si>
    <t>CZ - Czechia</t>
  </si>
  <si>
    <t>DE - Germany</t>
  </si>
  <si>
    <t>DJ - Djibouti</t>
  </si>
  <si>
    <t>DK - Denmark</t>
  </si>
  <si>
    <t>DM - Dominica</t>
  </si>
  <si>
    <t>DO - Dominican Republic</t>
  </si>
  <si>
    <t>DZ - Algeria</t>
  </si>
  <si>
    <t>EC - Ecuador</t>
  </si>
  <si>
    <t>EE - Estonia</t>
  </si>
  <si>
    <t>EG - Egypt</t>
  </si>
  <si>
    <t>EH - Western Sahara</t>
  </si>
  <si>
    <t>ER - Eritrea</t>
  </si>
  <si>
    <t>ES - Spain</t>
  </si>
  <si>
    <t>ET - Ethiopia</t>
  </si>
  <si>
    <t>FI - Finland</t>
  </si>
  <si>
    <t>FJ - Fiji</t>
  </si>
  <si>
    <t>FK - Falkland Islands (Malvinas)</t>
  </si>
  <si>
    <t>FM - Micronesia (Federated States of)</t>
  </si>
  <si>
    <t>FO - Faroe Islands</t>
  </si>
  <si>
    <t>FR - France</t>
  </si>
  <si>
    <t>GA - Gabon</t>
  </si>
  <si>
    <t>GB - United Kingdom of Great Britain and Northern Ireland</t>
  </si>
  <si>
    <t>GD - Grenada</t>
  </si>
  <si>
    <t>GE - Georgia</t>
  </si>
  <si>
    <t>GF - French Guiana</t>
  </si>
  <si>
    <t>GG - Guernsey</t>
  </si>
  <si>
    <t>GH - Ghana</t>
  </si>
  <si>
    <t>GI - Gibraltar</t>
  </si>
  <si>
    <t>GL - Greenland</t>
  </si>
  <si>
    <t>GM - Gambia</t>
  </si>
  <si>
    <t>GN - Guinea</t>
  </si>
  <si>
    <t>GP - Guadeloupe</t>
  </si>
  <si>
    <t>GQ - Equatorial Guinea</t>
  </si>
  <si>
    <t>GR - Greece</t>
  </si>
  <si>
    <t>GS - South Georgia and the South Sandwich Islands</t>
  </si>
  <si>
    <t>GT - Guatemala</t>
  </si>
  <si>
    <t>GU - Guam</t>
  </si>
  <si>
    <t>GW - Guinea-Bissau</t>
  </si>
  <si>
    <t>GY - Guyana</t>
  </si>
  <si>
    <t>HK - Hong Kong</t>
  </si>
  <si>
    <t>HM - Heard Island and McDonald Islands</t>
  </si>
  <si>
    <t>HN - Honduras</t>
  </si>
  <si>
    <t>HR - Croatia</t>
  </si>
  <si>
    <t>HT - Haiti</t>
  </si>
  <si>
    <t>HU - Hungary</t>
  </si>
  <si>
    <t>ID - Indonesia</t>
  </si>
  <si>
    <t>IE - Ireland</t>
  </si>
  <si>
    <t>IL - Israel</t>
  </si>
  <si>
    <t>IM - Isle of Man</t>
  </si>
  <si>
    <t>IN - India</t>
  </si>
  <si>
    <t>IO - British Indian Ocean Territory</t>
  </si>
  <si>
    <t>IQ - Iraq</t>
  </si>
  <si>
    <t>IR - Iran (Islamic Republic of)</t>
  </si>
  <si>
    <t>IS - Iceland</t>
  </si>
  <si>
    <t>IT - Italy</t>
  </si>
  <si>
    <t>JE - Jersey</t>
  </si>
  <si>
    <t>JM - Jamaica</t>
  </si>
  <si>
    <t>JO - Jordan</t>
  </si>
  <si>
    <t>JP - Japan</t>
  </si>
  <si>
    <t>KE - Kenya</t>
  </si>
  <si>
    <t>KG - Kyrgyzstan</t>
  </si>
  <si>
    <t>KH - Cambodia</t>
  </si>
  <si>
    <t>KI - Kiribati</t>
  </si>
  <si>
    <t>KM - Comoros</t>
  </si>
  <si>
    <t>KN - Saint Kitts and Nevis</t>
  </si>
  <si>
    <t>KP - Korea (Democratic People's Republic of)</t>
  </si>
  <si>
    <t>KR - Korea, Republic of</t>
  </si>
  <si>
    <t>KW - Kuwait</t>
  </si>
  <si>
    <t>KY - Cayman Islands</t>
  </si>
  <si>
    <t>KZ - Kazakhstan</t>
  </si>
  <si>
    <t>LA - Lao People's Democratic Republic</t>
  </si>
  <si>
    <t>LB - Lebanon</t>
  </si>
  <si>
    <t>LC - Saint Lucia</t>
  </si>
  <si>
    <t>LI - Liechtenstein</t>
  </si>
  <si>
    <t>LK - Sri Lanka</t>
  </si>
  <si>
    <t>LR - Liberia</t>
  </si>
  <si>
    <t>LS - Lesotho</t>
  </si>
  <si>
    <t>LT - Lithuania</t>
  </si>
  <si>
    <t>LU - Luxembourg</t>
  </si>
  <si>
    <t>LV - Latvia</t>
  </si>
  <si>
    <t>LY - Libya</t>
  </si>
  <si>
    <t>MA - Morocco</t>
  </si>
  <si>
    <t>MC - Monaco</t>
  </si>
  <si>
    <t>MD - Moldova, Republic of</t>
  </si>
  <si>
    <t>ME - Montenegro</t>
  </si>
  <si>
    <t>MF - Saint Martin (French part)</t>
  </si>
  <si>
    <t>MG - Madagascar</t>
  </si>
  <si>
    <t>MH - Marshall Islands</t>
  </si>
  <si>
    <t>MK - North Macedonia</t>
  </si>
  <si>
    <t>ML - Mali</t>
  </si>
  <si>
    <t>MM - Myanmar</t>
  </si>
  <si>
    <t>MN - Mongolia</t>
  </si>
  <si>
    <t>MO - Macao</t>
  </si>
  <si>
    <t>MP - Northern Mariana Islands</t>
  </si>
  <si>
    <t>MQ - Martinique</t>
  </si>
  <si>
    <t>MR - Mauritania</t>
  </si>
  <si>
    <t>MS - Montserrat</t>
  </si>
  <si>
    <t>MT - Malta</t>
  </si>
  <si>
    <t>MU - Mauritius</t>
  </si>
  <si>
    <t>MV - Maldives</t>
  </si>
  <si>
    <t>MW - Malawi</t>
  </si>
  <si>
    <t>MX - Mexico</t>
  </si>
  <si>
    <t>MY - Malaysia</t>
  </si>
  <si>
    <t>MZ - Mozambique</t>
  </si>
  <si>
    <t>NA - Namibia</t>
  </si>
  <si>
    <t>NC - New Caledonia</t>
  </si>
  <si>
    <t>NE - Niger</t>
  </si>
  <si>
    <t>NF - Norfolk Island</t>
  </si>
  <si>
    <t>NG - Nigeria</t>
  </si>
  <si>
    <t>NI - Nicaragua</t>
  </si>
  <si>
    <t>NL - Netherlands</t>
  </si>
  <si>
    <t>NO - Norway</t>
  </si>
  <si>
    <t>NP - Nepal</t>
  </si>
  <si>
    <t>NR - Nauru</t>
  </si>
  <si>
    <t>NU - Niue</t>
  </si>
  <si>
    <t>NZ - New Zealand</t>
  </si>
  <si>
    <t>OM - Oman</t>
  </si>
  <si>
    <t>PA - Panama</t>
  </si>
  <si>
    <t>PE - Peru</t>
  </si>
  <si>
    <t>PF - French Polynesia</t>
  </si>
  <si>
    <t>PG - Papua New Guinea</t>
  </si>
  <si>
    <t>PH - Philippines</t>
  </si>
  <si>
    <t>PK - Pakistan</t>
  </si>
  <si>
    <t>PL - Poland</t>
  </si>
  <si>
    <t>PM - Saint Pierre and Miquelon</t>
  </si>
  <si>
    <t>PN - Pitcairn</t>
  </si>
  <si>
    <t>PR - Puerto Rico</t>
  </si>
  <si>
    <t>PS - Palestine, State of</t>
  </si>
  <si>
    <t>PT - Portugal</t>
  </si>
  <si>
    <t>PW - Palau</t>
  </si>
  <si>
    <t>PY - Paraguay</t>
  </si>
  <si>
    <t>QA - Qatar</t>
  </si>
  <si>
    <t>RE - Réunion</t>
  </si>
  <si>
    <t>RO - Romania</t>
  </si>
  <si>
    <t>RS - Serbia</t>
  </si>
  <si>
    <t>RU - Russian Federation</t>
  </si>
  <si>
    <t>RW - Rwanda</t>
  </si>
  <si>
    <t>SA - Saudi Arabia</t>
  </si>
  <si>
    <t>SB - Solomon Islands</t>
  </si>
  <si>
    <t>SC - Seychelles</t>
  </si>
  <si>
    <t>SD - Sudan</t>
  </si>
  <si>
    <t>SE - Sweden</t>
  </si>
  <si>
    <t>SG - Singapore</t>
  </si>
  <si>
    <t>SH - Saint Helena, Ascension and Tristan da Cunha</t>
  </si>
  <si>
    <t>SI - Slovenia</t>
  </si>
  <si>
    <t>SJ - Svalbard and Jan Mayen</t>
  </si>
  <si>
    <t>SK - Slovakia</t>
  </si>
  <si>
    <t>SL - Sierra Leone</t>
  </si>
  <si>
    <t>SM - San Marino</t>
  </si>
  <si>
    <t>SN - Senegal</t>
  </si>
  <si>
    <t>SO - Somalia</t>
  </si>
  <si>
    <t>SR - Suriname</t>
  </si>
  <si>
    <t>SS - South Sudan</t>
  </si>
  <si>
    <t>ST - Sao Tome and Principe</t>
  </si>
  <si>
    <t>SV - El Salvador</t>
  </si>
  <si>
    <t>SX - Sint Maarten (Dutch part)</t>
  </si>
  <si>
    <t>SY - Syrian Arab Republic</t>
  </si>
  <si>
    <t>SZ - Eswatini</t>
  </si>
  <si>
    <t>TC - Turks and Caicos Islands</t>
  </si>
  <si>
    <t>TD - Chad</t>
  </si>
  <si>
    <t>TF - French Southern Territories</t>
  </si>
  <si>
    <t>TG - Togo</t>
  </si>
  <si>
    <t>TH - Thailand</t>
  </si>
  <si>
    <t>TJ - Tajikistan</t>
  </si>
  <si>
    <t>TK - Tokelau</t>
  </si>
  <si>
    <t>TL - Timor-Leste</t>
  </si>
  <si>
    <t>TM - Turkmenistan</t>
  </si>
  <si>
    <t>TN - Tunisia</t>
  </si>
  <si>
    <t>TO - Tonga</t>
  </si>
  <si>
    <t>TR - Turkey</t>
  </si>
  <si>
    <t>TT - Trinidad and Tobago</t>
  </si>
  <si>
    <t>TV - Tuvalu</t>
  </si>
  <si>
    <t>TW - Taiwan, Province of China</t>
  </si>
  <si>
    <t>TZ - Tanzania, United Republic of</t>
  </si>
  <si>
    <t>UA - Ukraine</t>
  </si>
  <si>
    <t>UG - Uganda</t>
  </si>
  <si>
    <t>UM - United States Minor Outlying Islands</t>
  </si>
  <si>
    <t>US - United States of America</t>
  </si>
  <si>
    <t>UY - Uruguay</t>
  </si>
  <si>
    <t>UZ - Uzbekistan</t>
  </si>
  <si>
    <t>VA - Holy See</t>
  </si>
  <si>
    <t>VC - Saint Vincent and the Grenadines</t>
  </si>
  <si>
    <t>VE - Venezuela (Bolivarian Republic of)</t>
  </si>
  <si>
    <t>VG - Virgin Islands (British)</t>
  </si>
  <si>
    <t>VI - Virgin Islands (U.S.)</t>
  </si>
  <si>
    <t>VN - Viet Nam</t>
  </si>
  <si>
    <t>VU - Vanuatu</t>
  </si>
  <si>
    <t>WF - Wallis and Futuna</t>
  </si>
  <si>
    <t>WS - Samoa</t>
  </si>
  <si>
    <t>YE - Yemen</t>
  </si>
  <si>
    <t>YT - Mayotte</t>
  </si>
  <si>
    <t>ZA - South Africa</t>
  </si>
  <si>
    <t>ZM - Zambia</t>
  </si>
  <si>
    <t>ZW - Zimbabwe</t>
  </si>
  <si>
    <t>Home country</t>
  </si>
  <si>
    <t>Major markets</t>
  </si>
  <si>
    <t>Other major market 1</t>
  </si>
  <si>
    <t>Other major market 2</t>
  </si>
  <si>
    <t>Other major market 3</t>
  </si>
  <si>
    <t>of which in other major market 1</t>
  </si>
  <si>
    <t>of which in other major market 2</t>
  </si>
  <si>
    <t>of which in other major market 3</t>
  </si>
  <si>
    <t>Number of meeting of the Supervisory Board per year</t>
  </si>
  <si>
    <t>F02.00; r0385; c0010</t>
  </si>
  <si>
    <t>Where is this item booked in the EBA funding plans?</t>
  </si>
  <si>
    <t>Are the non-performing loans and advances to households in the EBA funding plans {P 01.01; r035} reported as net of accumulated impairments?</t>
  </si>
  <si>
    <t>Are the non-performing loans and advances to non-financial corporations in the EBA funding plans {P 01.01; r105} reported as net of accumulated impairments?</t>
  </si>
  <si>
    <t>Other (please specify)</t>
  </si>
  <si>
    <t>(Cash contributions to resolution funds and deposit guarantee schemes)</t>
  </si>
  <si>
    <t>(EUR thousands)</t>
  </si>
  <si>
    <t>1.12 Projected cash contributions to resolution funds and deposit guarantee schemes</t>
  </si>
  <si>
    <t>Yes</t>
  </si>
  <si>
    <t>5.2.2 Forecast: other major markets</t>
  </si>
  <si>
    <t>1. {P04.01; r609} Other items (+/-)contributing to the profit or (-)loss before tax from continuing operations</t>
  </si>
  <si>
    <t>2. {P04.01; r380} (Other administrative Expenses)</t>
  </si>
  <si>
    <t>3. {P04.01; r350} (Other operating expenses)</t>
  </si>
  <si>
    <t xml:space="preserve">4. {P04.01; r340} Other operating income </t>
  </si>
  <si>
    <t>5. {P04.01; r354} Other items (+/-) contributing to total net operating income, net</t>
  </si>
  <si>
    <t>Variable Remuneration for all ID Staff paid in CASH (thousand euro)</t>
  </si>
  <si>
    <t>Variable Remuneration for all ID Staff paid in Instruments (thousand euro)</t>
  </si>
  <si>
    <t>Total Remuneration for all High Earners (thousand euro)</t>
  </si>
  <si>
    <t>Total Remuneration of CEO + CFO + CRO</t>
  </si>
  <si>
    <t>Variable Remuneration for MBMF paid in CASH (thousand euro)</t>
  </si>
  <si>
    <t>Variable Remuneration for MBMF paid in instruments (thousand euro)</t>
  </si>
  <si>
    <t>Is the pricing of this product affected by cross-selling considerations (deposits/funding)?</t>
  </si>
  <si>
    <t>Is the pricing of this product affected by cross-selling (fees and commissions)?</t>
  </si>
  <si>
    <t>Expected cost of risk of these new loans (in %)</t>
  </si>
  <si>
    <t>1.13 Projected gross non-performing loans</t>
  </si>
  <si>
    <t>Reference date is 31/12/2023 as in 0_Identification, hence year T is 2023.</t>
  </si>
  <si>
    <t>3.1. Of which: Total value of assets under custody subject to contractual restitution liability for which the institution has decided to delegate the safekeeping function to a third party</t>
  </si>
  <si>
    <t>Abanca Corporación Bancaria, S.A.</t>
  </si>
  <si>
    <t>ABN AMRO Bank N.V.</t>
  </si>
  <si>
    <t>Addiko Bank AG</t>
  </si>
  <si>
    <t>AGRI EUROPE CYPRUS LIMITED</t>
  </si>
  <si>
    <t>Akciju sabiedriba "Citadele banka"</t>
  </si>
  <si>
    <t>Akcinė bendrovė Šiaulių bankas</t>
  </si>
  <si>
    <t>ALPHA SERVICES AND HOLDINGS S.A.</t>
  </si>
  <si>
    <t>AS LHV Group</t>
  </si>
  <si>
    <t>BANCA MEDIOLANUM S.P.A.</t>
  </si>
  <si>
    <t>Banca Popolare di Sondrio, Società Cooperativa per Azioni</t>
  </si>
  <si>
    <t>BANCO COMERCIAL PORTUGUÊS, SA</t>
  </si>
  <si>
    <t>Banco de Crédito Social Cooperativo</t>
  </si>
  <si>
    <t>Bank of America Europe Designated Activity Company</t>
  </si>
  <si>
    <t>BANK OF CYPRUS HOLDINGS PUBLIC LIMITED COMPANY</t>
  </si>
  <si>
    <t>BISER TOPCO S.A R.L.</t>
  </si>
  <si>
    <t>BNG Bank N.V.</t>
  </si>
  <si>
    <t>BNP Paribas S.A.</t>
  </si>
  <si>
    <t>BofA Securities Europe SA</t>
  </si>
  <si>
    <t>Bpifrance</t>
  </si>
  <si>
    <t>Caixabank, S.A.</t>
  </si>
  <si>
    <t>CASSA CENTRALE BANCA - CREDITO COOPERATIVO ITALIANOSOCIETA' PER AZIONI</t>
  </si>
  <si>
    <t>Citigroup Global Markets Europe AG</t>
  </si>
  <si>
    <t>CREDITO EMILIANO HOLDING SOCIETA' PER AZIONI</t>
  </si>
  <si>
    <t>CRELAN</t>
  </si>
  <si>
    <t>Danske Bank A/S, Suomen sivuliike</t>
  </si>
  <si>
    <t>de Volksbank N.V.</t>
  </si>
  <si>
    <t>DSK Bank AD</t>
  </si>
  <si>
    <t>Eurobank Ergasias Services and Holdings S.A.</t>
  </si>
  <si>
    <t>FINECOBANK BANCA FINECO S.P.A. (IN BREVE FINECOBANK S.P.A. OVVERO BANCA</t>
  </si>
  <si>
    <t>Goldman Sachs Bank Europe SE</t>
  </si>
  <si>
    <t>Groupe Crédit Agricole</t>
  </si>
  <si>
    <t>Hamburg Commercial Bank AG</t>
  </si>
  <si>
    <t>HSBC Continental Europe</t>
  </si>
  <si>
    <t>ICCREA BANCA S.P.A. - ISTITUTO CENTRALE DEL CREDITO COOPERATIVO (IN FOR</t>
  </si>
  <si>
    <t>J.P. Morgan SE</t>
  </si>
  <si>
    <t>KBC Groep</t>
  </si>
  <si>
    <t>LP Group B.V.</t>
  </si>
  <si>
    <t>Luminor Holding AS</t>
  </si>
  <si>
    <t>Morgan Stanley Europe Holding SE</t>
  </si>
  <si>
    <t>Nordea Bank Abp</t>
  </si>
  <si>
    <t>Quintet Private Bank (Europe) S.A.</t>
  </si>
  <si>
    <t>SFIL S.A.</t>
  </si>
  <si>
    <t>Société Générale S.A.</t>
  </si>
  <si>
    <t>Swedbank Baltics AS</t>
  </si>
  <si>
    <t>THE BANK OF NEW YORK MELLON</t>
  </si>
  <si>
    <t>UBS Europe SE</t>
  </si>
  <si>
    <t>UniCredit S.p.A.</t>
  </si>
  <si>
    <t>Volksbanken Verbund</t>
  </si>
  <si>
    <t>P01.01; r035</t>
  </si>
  <si>
    <t>P01.01; r105</t>
  </si>
  <si>
    <t>P01.01; r030</t>
  </si>
  <si>
    <t>P01.01; r100</t>
  </si>
  <si>
    <t>Are loans and advances to households in the EBA funding plans {P 01.01; r030} reported as net of accumulated impairments?</t>
  </si>
  <si>
    <t>Reference to EBA funding plans</t>
  </si>
  <si>
    <t>Are loans and advances to non-financial corporates in the EBA funding plans {P 01.01; r100} reported as net of accumulated impairments?</t>
  </si>
  <si>
    <r>
      <t xml:space="preserve">Please report the </t>
    </r>
    <r>
      <rPr>
        <b/>
        <u/>
        <sz val="9"/>
        <color theme="0"/>
        <rFont val="Calibri"/>
        <family val="2"/>
        <scheme val="minor"/>
      </rPr>
      <t>gross</t>
    </r>
    <r>
      <rPr>
        <b/>
        <sz val="9"/>
        <color theme="0"/>
        <rFont val="Calibri"/>
        <family val="2"/>
        <scheme val="minor"/>
      </rPr>
      <t xml:space="preserve"> amount of non-performing loans and advances to households</t>
    </r>
  </si>
  <si>
    <r>
      <t xml:space="preserve">Please report the </t>
    </r>
    <r>
      <rPr>
        <b/>
        <u/>
        <sz val="9"/>
        <color theme="0"/>
        <rFont val="Calibri"/>
        <family val="2"/>
        <scheme val="minor"/>
      </rPr>
      <t>gross</t>
    </r>
    <r>
      <rPr>
        <b/>
        <sz val="9"/>
        <color theme="0"/>
        <rFont val="Calibri"/>
        <family val="2"/>
        <scheme val="minor"/>
      </rPr>
      <t xml:space="preserve"> amount of non-performing loans and advances to non-financial corporations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</si>
</sst>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 #,##0.00_-;_-* \-??_-;_-@_-"/>
    <numFmt numFmtId="165" formatCode="0.0"/>
    <numFmt numFmtId="166" formatCode="dd/mm/yyyy;@"/>
  </numFmts>
  <fonts count="104">
    <font>
      <sz val="11"/>
      <color theme="1"/>
      <name val="Calibri"/>
      <family val="2"/>
      <scheme val="minor"/>
    </font>
    <font>
      <b/>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
      <sz val="10"/>
      <name val="Arial"/>
      <family val="2"/>
    </font>
    <font>
      <sz val="11"/>
      <color theme="1"/>
      <name val="Times New Roman"/>
      <family val="1"/>
    </font>
    <font>
      <b/>
      <sz val="11"/>
      <color theme="0"/>
      <name val="Calibri"/>
      <family val="2"/>
      <scheme val="minor"/>
    </font>
    <font>
      <sz val="11"/>
      <color theme="0"/>
      <name val="Calibri"/>
      <family val="2"/>
      <scheme val="minor"/>
    </font>
    <font>
      <sz val="9"/>
      <color theme="1"/>
      <name val="Calibri"/>
      <family val="2"/>
      <scheme val="minor"/>
    </font>
    <font>
      <b/>
      <sz val="16"/>
      <color indexed="8"/>
      <name val="Calibri"/>
      <family val="2"/>
      <scheme val="minor"/>
    </font>
    <font>
      <b/>
      <sz val="9"/>
      <color theme="0"/>
      <name val="Calibri"/>
      <family val="2"/>
      <scheme val="minor"/>
    </font>
    <font>
      <b/>
      <i/>
      <sz val="11"/>
      <color theme="0"/>
      <name val="Calibri"/>
      <family val="2"/>
      <scheme val="minor"/>
    </font>
    <font>
      <sz val="9"/>
      <color theme="0"/>
      <name val="Calibri"/>
      <family val="2"/>
      <scheme val="minor"/>
    </font>
    <font>
      <b/>
      <i/>
      <sz val="10"/>
      <color theme="1"/>
      <name val="Calibri"/>
      <family val="2"/>
      <scheme val="minor"/>
    </font>
    <font>
      <b/>
      <sz val="14"/>
      <color theme="0"/>
      <name val="Calibri"/>
      <family val="2"/>
      <scheme val="minor"/>
    </font>
    <font>
      <b/>
      <sz val="16"/>
      <color theme="0"/>
      <name val="Calibri"/>
      <family val="2"/>
      <scheme val="minor"/>
    </font>
    <font>
      <sz val="8"/>
      <color theme="1"/>
      <name val="Calibri"/>
      <family val="2"/>
      <scheme val="minor"/>
    </font>
    <font>
      <b/>
      <sz val="10"/>
      <color theme="0"/>
      <name val="Calibri"/>
      <family val="2"/>
      <scheme val="minor"/>
    </font>
    <font>
      <sz val="8"/>
      <color rgb="FF000000"/>
      <name val="Calibri"/>
      <family val="2"/>
      <scheme val="minor"/>
    </font>
    <font>
      <i/>
      <sz val="8"/>
      <color theme="1"/>
      <name val="Calibri"/>
      <family val="2"/>
      <scheme val="minor"/>
    </font>
    <font>
      <sz val="10"/>
      <name val="Arial"/>
      <family val="2"/>
    </font>
    <font>
      <sz val="11"/>
      <color indexed="8"/>
      <name val="Calibri"/>
      <family val="2"/>
    </font>
    <font>
      <sz val="10"/>
      <color indexed="8"/>
      <name val="Arial"/>
      <family val="2"/>
    </font>
    <font>
      <sz val="11"/>
      <color indexed="9"/>
      <name val="Calibri"/>
      <family val="2"/>
    </font>
    <font>
      <sz val="10"/>
      <color indexed="9"/>
      <name val="Arial"/>
      <family val="2"/>
    </font>
    <font>
      <sz val="10"/>
      <color indexed="20"/>
      <name val="Arial"/>
      <family val="2"/>
    </font>
    <font>
      <sz val="11"/>
      <color indexed="62"/>
      <name val="Calibri"/>
      <family val="2"/>
    </font>
    <font>
      <sz val="11"/>
      <color indexed="17"/>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1"/>
      <color indexed="20"/>
      <name val="Calibri"/>
      <family val="2"/>
    </font>
    <font>
      <sz val="10"/>
      <color indexed="62"/>
      <name val="Arial"/>
      <family val="2"/>
    </font>
    <font>
      <b/>
      <sz val="11"/>
      <color indexed="63"/>
      <name val="Calibri"/>
      <family val="2"/>
    </font>
    <font>
      <u/>
      <sz val="6.5"/>
      <color indexed="12"/>
      <name val="Arial"/>
      <family val="2"/>
    </font>
    <font>
      <sz val="10"/>
      <color indexed="52"/>
      <name val="Arial"/>
      <family val="2"/>
    </font>
    <font>
      <i/>
      <sz val="11"/>
      <color indexed="23"/>
      <name val="Calibri"/>
      <family val="2"/>
    </font>
    <font>
      <sz val="10"/>
      <color indexed="60"/>
      <name val="Arial"/>
      <family val="2"/>
    </font>
    <font>
      <sz val="10"/>
      <color theme="1"/>
      <name val="BdE Neue Helvetica 45 Light"/>
      <family val="2"/>
    </font>
    <font>
      <sz val="10"/>
      <color theme="1"/>
      <name val="Arial"/>
      <family val="2"/>
    </font>
    <font>
      <b/>
      <sz val="11"/>
      <color indexed="8"/>
      <name val="Calibri"/>
      <family val="2"/>
    </font>
    <font>
      <b/>
      <sz val="10"/>
      <color indexed="63"/>
      <name val="Arial"/>
      <family val="2"/>
    </font>
    <font>
      <sz val="11"/>
      <color indexed="60"/>
      <name val="Calibri"/>
      <family val="2"/>
    </font>
    <font>
      <b/>
      <sz val="10"/>
      <color indexed="8"/>
      <name val="Arial"/>
      <family val="2"/>
    </font>
    <font>
      <sz val="10"/>
      <color indexed="10"/>
      <name val="Arial"/>
      <family val="2"/>
    </font>
    <font>
      <i/>
      <sz val="10"/>
      <color theme="1"/>
      <name val="Calibri"/>
      <family val="2"/>
      <scheme val="minor"/>
    </font>
    <font>
      <sz val="8"/>
      <color rgb="FFFF0000"/>
      <name val="Calibri"/>
      <family val="2"/>
      <scheme val="minor"/>
    </font>
    <font>
      <i/>
      <sz val="8"/>
      <color rgb="FF000000"/>
      <name val="Calibri"/>
      <family val="2"/>
      <scheme val="minor"/>
    </font>
    <font>
      <sz val="11"/>
      <color indexed="8"/>
      <name val="Calibri"/>
      <family val="2"/>
      <scheme val="minor"/>
    </font>
    <font>
      <b/>
      <i/>
      <sz val="11"/>
      <color theme="1"/>
      <name val="Calibri"/>
      <family val="2"/>
      <scheme val="minor"/>
    </font>
    <font>
      <b/>
      <sz val="11"/>
      <color indexed="8"/>
      <name val="Calibri"/>
      <family val="2"/>
      <scheme val="minor"/>
    </font>
    <font>
      <b/>
      <sz val="11"/>
      <color rgb="FFFF0000"/>
      <name val="Calibri"/>
      <family val="2"/>
      <scheme val="minor"/>
    </font>
    <font>
      <sz val="11"/>
      <name val="Calibri"/>
      <family val="2"/>
    </font>
    <font>
      <sz val="26"/>
      <color rgb="FFFF0000"/>
      <name val="Calibri"/>
      <family val="2"/>
      <scheme val="minor"/>
    </font>
    <font>
      <b/>
      <sz val="11"/>
      <name val="Calibri"/>
      <family val="2"/>
      <scheme val="minor"/>
    </font>
    <font>
      <sz val="11"/>
      <color theme="0" tint="-0.499984740745262"/>
      <name val="Calibri"/>
      <family val="2"/>
      <scheme val="minor"/>
    </font>
    <font>
      <sz val="7"/>
      <color indexed="8"/>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b/>
      <sz val="11"/>
      <color rgb="FF000000"/>
      <name val="Calibri"/>
      <family val="2"/>
      <scheme val="minor"/>
    </font>
    <font>
      <sz val="12"/>
      <name val="Calibri"/>
      <family val="2"/>
      <scheme val="minor"/>
    </font>
    <font>
      <b/>
      <sz val="12"/>
      <name val="Calibri"/>
      <family val="2"/>
      <scheme val="minor"/>
    </font>
    <font>
      <b/>
      <sz val="16"/>
      <name val="Calibri"/>
      <family val="2"/>
      <scheme val="minor"/>
    </font>
    <font>
      <i/>
      <sz val="11"/>
      <color theme="0"/>
      <name val="Calibri"/>
      <family val="2"/>
      <scheme val="minor"/>
    </font>
    <font>
      <b/>
      <sz val="8"/>
      <color indexed="8"/>
      <name val="Calibri"/>
      <family val="2"/>
      <scheme val="minor"/>
    </font>
    <font>
      <sz val="8"/>
      <color indexed="8"/>
      <name val="Calibri"/>
      <family val="2"/>
      <scheme val="minor"/>
    </font>
    <font>
      <b/>
      <sz val="9"/>
      <color indexed="8"/>
      <name val="Calibri"/>
      <family val="2"/>
      <scheme val="minor"/>
    </font>
    <font>
      <b/>
      <i/>
      <sz val="9"/>
      <color theme="1"/>
      <name val="Calibri"/>
      <family val="2"/>
      <scheme val="minor"/>
    </font>
    <font>
      <i/>
      <sz val="9"/>
      <color theme="1"/>
      <name val="Calibri"/>
      <family val="2"/>
      <scheme val="minor"/>
    </font>
    <font>
      <i/>
      <sz val="14"/>
      <color theme="0"/>
      <name val="Calibri"/>
      <family val="2"/>
      <scheme val="minor"/>
    </font>
    <font>
      <sz val="10"/>
      <color indexed="8"/>
      <name val="Calibri"/>
      <family val="2"/>
      <scheme val="minor"/>
    </font>
    <font>
      <sz val="8"/>
      <name val="Calibri"/>
      <family val="2"/>
      <scheme val="minor"/>
    </font>
    <font>
      <b/>
      <sz val="9"/>
      <name val="Calibri"/>
      <family val="2"/>
      <scheme val="minor"/>
    </font>
    <font>
      <b/>
      <i/>
      <sz val="9"/>
      <name val="Calibri"/>
      <family val="2"/>
      <scheme val="minor"/>
    </font>
    <font>
      <i/>
      <sz val="9"/>
      <name val="Calibri"/>
      <family val="2"/>
      <scheme val="minor"/>
    </font>
    <font>
      <b/>
      <sz val="16"/>
      <color theme="1"/>
      <name val="Calibri"/>
      <family val="2"/>
      <scheme val="minor"/>
    </font>
    <font>
      <b/>
      <sz val="12"/>
      <color theme="1"/>
      <name val="Calibri"/>
      <family val="2"/>
      <scheme val="minor"/>
    </font>
    <font>
      <sz val="11"/>
      <color theme="1"/>
      <name val="Calibri"/>
      <family val="2"/>
    </font>
    <font>
      <sz val="9"/>
      <color indexed="81"/>
      <name val="Tahoma"/>
      <family val="2"/>
    </font>
    <font>
      <b/>
      <sz val="9"/>
      <color indexed="81"/>
      <name val="Tahoma"/>
      <family val="2"/>
    </font>
    <font>
      <sz val="9"/>
      <name val="Calibri"/>
      <family val="2"/>
      <scheme val="minor"/>
    </font>
    <font>
      <b/>
      <u/>
      <sz val="9"/>
      <name val="Calibri"/>
      <family val="2"/>
      <scheme val="minor"/>
    </font>
    <font>
      <b/>
      <strike/>
      <sz val="11"/>
      <color rgb="FFFF0000"/>
      <name val="Calibri"/>
      <family val="2"/>
      <scheme val="minor"/>
    </font>
    <font>
      <b/>
      <i/>
      <strike/>
      <sz val="10"/>
      <color rgb="FFFF0000"/>
      <name val="Calibri"/>
      <family val="2"/>
      <scheme val="minor"/>
    </font>
    <font>
      <strike/>
      <sz val="11"/>
      <color rgb="FFFF0000"/>
      <name val="Calibri"/>
      <family val="2"/>
      <scheme val="minor"/>
    </font>
    <font>
      <strike/>
      <sz val="9"/>
      <color rgb="FFFF0000"/>
      <name val="Calibri"/>
      <family val="2"/>
      <scheme val="minor"/>
    </font>
    <font>
      <b/>
      <u/>
      <sz val="9"/>
      <color theme="0"/>
      <name val="Calibri"/>
      <family val="2"/>
      <scheme val="minor"/>
    </font>
  </fonts>
  <fills count="47">
    <fill>
      <patternFill patternType="none"/>
    </fill>
    <fill>
      <patternFill patternType="gray125"/>
    </fill>
    <fill>
      <patternFill patternType="solid">
        <fgColor theme="0" tint="-0.249977111117893"/>
        <bgColor indexed="64"/>
      </patternFill>
    </fill>
    <fill>
      <patternFill patternType="solid">
        <fgColor theme="3" tint="0.39997558519241921"/>
        <bgColor indexed="64"/>
      </patternFill>
    </fill>
    <fill>
      <patternFill patternType="solid">
        <fgColor indexed="9"/>
        <bgColor indexed="64"/>
      </patternFill>
    </fill>
    <fill>
      <patternFill patternType="solid">
        <fgColor indexed="13"/>
        <bgColor indexed="64"/>
      </patternFill>
    </fill>
    <fill>
      <patternFill patternType="solid">
        <fgColor rgb="FFFFFFCC"/>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26"/>
      </patternFill>
    </fill>
    <fill>
      <patternFill patternType="solid">
        <fgColor indexed="43"/>
      </patternFill>
    </fill>
    <fill>
      <patternFill patternType="solid">
        <fgColor indexed="55"/>
        <bgColor indexed="64"/>
      </patternFill>
    </fill>
    <fill>
      <patternFill patternType="solid">
        <fgColor theme="4"/>
        <bgColor indexed="64"/>
      </patternFill>
    </fill>
    <fill>
      <patternFill patternType="solid">
        <fgColor rgb="FFFFFFFF"/>
        <bgColor rgb="FF000000"/>
      </patternFill>
    </fill>
    <fill>
      <patternFill patternType="solid">
        <fgColor rgb="FF969696"/>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0000"/>
        <bgColor indexed="64"/>
      </patternFill>
    </fill>
    <fill>
      <patternFill patternType="solid">
        <fgColor theme="1" tint="0.14999847407452621"/>
        <bgColor indexed="64"/>
      </patternFill>
    </fill>
  </fills>
  <borders count="8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dashed">
        <color auto="1"/>
      </bottom>
      <diagonal/>
    </border>
    <border>
      <left style="medium">
        <color indexed="64"/>
      </left>
      <right style="medium">
        <color indexed="64"/>
      </right>
      <top style="dashed">
        <color auto="1"/>
      </top>
      <bottom style="dashed">
        <color auto="1"/>
      </bottom>
      <diagonal/>
    </border>
    <border>
      <left style="medium">
        <color indexed="64"/>
      </left>
      <right style="medium">
        <color indexed="64"/>
      </right>
      <top style="dashed">
        <color auto="1"/>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right style="thin">
        <color auto="1"/>
      </right>
      <top style="thin">
        <color indexed="64"/>
      </top>
      <bottom style="dashed">
        <color auto="1"/>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diagonal/>
    </border>
  </borders>
  <cellStyleXfs count="250">
    <xf numFmtId="0" fontId="0"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23" fillId="0" borderId="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21" borderId="0" applyNumberFormat="0" applyBorder="0" applyAlignment="0" applyProtection="0"/>
    <xf numFmtId="0" fontId="24" fillId="24" borderId="0" applyNumberFormat="0" applyBorder="0" applyAlignment="0" applyProtection="0"/>
    <xf numFmtId="0" fontId="26" fillId="25"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6" fillId="25"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27" fillId="26"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9" fillId="20" borderId="50" applyNumberFormat="0" applyAlignment="0" applyProtection="0"/>
    <xf numFmtId="0" fontId="30" fillId="17" borderId="0" applyNumberFormat="0" applyBorder="0" applyAlignment="0" applyProtection="0"/>
    <xf numFmtId="0" fontId="31" fillId="33" borderId="50" applyNumberFormat="0" applyAlignment="0" applyProtection="0"/>
    <xf numFmtId="0" fontId="31" fillId="33" borderId="50" applyNumberFormat="0" applyAlignment="0" applyProtection="0"/>
    <xf numFmtId="0" fontId="32" fillId="33" borderId="50" applyNumberFormat="0" applyAlignment="0" applyProtection="0"/>
    <xf numFmtId="0" fontId="33" fillId="34" borderId="51" applyNumberFormat="0" applyAlignment="0" applyProtection="0"/>
    <xf numFmtId="0" fontId="34" fillId="0" borderId="52" applyNumberFormat="0" applyFill="0" applyAlignment="0" applyProtection="0"/>
    <xf numFmtId="0" fontId="35" fillId="34" borderId="51" applyNumberFormat="0" applyAlignment="0" applyProtection="0"/>
    <xf numFmtId="0" fontId="35" fillId="34" borderId="51" applyNumberFormat="0" applyAlignment="0" applyProtection="0"/>
    <xf numFmtId="0" fontId="36" fillId="0" borderId="0" applyNumberFormat="0" applyFill="0" applyBorder="0" applyAlignment="0" applyProtection="0"/>
    <xf numFmtId="0" fontId="37" fillId="0" borderId="53" applyNumberFormat="0" applyFill="0" applyAlignment="0" applyProtection="0"/>
    <xf numFmtId="0" fontId="38" fillId="0" borderId="54" applyNumberFormat="0" applyFill="0" applyAlignment="0" applyProtection="0"/>
    <xf numFmtId="0" fontId="39" fillId="0" borderId="55" applyNumberFormat="0" applyFill="0" applyAlignment="0" applyProtection="0"/>
    <xf numFmtId="0" fontId="39" fillId="0" borderId="0" applyNumberFormat="0" applyFill="0" applyBorder="0" applyAlignment="0" applyProtection="0"/>
    <xf numFmtId="0" fontId="33" fillId="34" borderId="51" applyNumberFormat="0" applyAlignment="0" applyProtection="0"/>
    <xf numFmtId="0" fontId="39" fillId="0" borderId="0" applyNumberFormat="0" applyFill="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32" borderId="0" applyNumberFormat="0" applyBorder="0" applyAlignment="0" applyProtection="0"/>
    <xf numFmtId="0" fontId="29" fillId="20" borderId="50"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17" borderId="0" applyNumberFormat="0" applyBorder="0" applyAlignment="0" applyProtection="0"/>
    <xf numFmtId="0" fontId="42" fillId="17" borderId="0" applyNumberFormat="0" applyBorder="0" applyAlignment="0" applyProtection="0"/>
    <xf numFmtId="0" fontId="7" fillId="35" borderId="11" applyNumberFormat="0" applyFont="0" applyBorder="0" applyProtection="0">
      <alignment horizontal="center" vertical="center"/>
    </xf>
    <xf numFmtId="0" fontId="43" fillId="0" borderId="53" applyNumberFormat="0" applyFill="0" applyAlignment="0" applyProtection="0"/>
    <xf numFmtId="0" fontId="43" fillId="0" borderId="53" applyNumberFormat="0" applyFill="0" applyAlignment="0" applyProtection="0"/>
    <xf numFmtId="0" fontId="44" fillId="0" borderId="54" applyNumberFormat="0" applyFill="0" applyAlignment="0" applyProtection="0"/>
    <xf numFmtId="0" fontId="44" fillId="0" borderId="54" applyNumberFormat="0" applyFill="0" applyAlignment="0" applyProtection="0"/>
    <xf numFmtId="0" fontId="45" fillId="0" borderId="55" applyNumberFormat="0" applyFill="0" applyAlignment="0" applyProtection="0"/>
    <xf numFmtId="0" fontId="45" fillId="0" borderId="55"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3" fontId="7" fillId="36" borderId="11" applyFont="0" applyProtection="0">
      <alignment horizontal="right" vertical="center"/>
    </xf>
    <xf numFmtId="0" fontId="7" fillId="36" borderId="34" applyNumberFormat="0" applyFont="0" applyBorder="0" applyProtection="0">
      <alignment horizontal="left" vertical="center"/>
    </xf>
    <xf numFmtId="0" fontId="46" fillId="0" borderId="0" applyNumberFormat="0" applyFill="0" applyBorder="0" applyAlignment="0" applyProtection="0">
      <alignment vertical="top"/>
      <protection locked="0"/>
    </xf>
    <xf numFmtId="0" fontId="34" fillId="0" borderId="52" applyNumberFormat="0" applyFill="0" applyAlignment="0" applyProtection="0"/>
    <xf numFmtId="0" fontId="46"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47" fillId="16" borderId="0" applyNumberFormat="0" applyBorder="0" applyAlignment="0" applyProtection="0"/>
    <xf numFmtId="0" fontId="48" fillId="20" borderId="50" applyNumberFormat="0" applyAlignment="0" applyProtection="0"/>
    <xf numFmtId="0" fontId="48" fillId="20" borderId="50" applyNumberFormat="0" applyAlignment="0" applyProtection="0"/>
    <xf numFmtId="3" fontId="7" fillId="5" borderId="11" applyFont="0">
      <alignment horizontal="right" vertical="center"/>
      <protection locked="0"/>
    </xf>
    <xf numFmtId="0" fontId="7" fillId="37" borderId="56" applyNumberFormat="0" applyFont="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32" borderId="0" applyNumberFormat="0" applyBorder="0" applyAlignment="0" applyProtection="0"/>
    <xf numFmtId="0" fontId="30" fillId="17" borderId="0" applyNumberFormat="0" applyBorder="0" applyAlignment="0" applyProtection="0"/>
    <xf numFmtId="0" fontId="49" fillId="33" borderId="57" applyNumberFormat="0" applyAlignment="0" applyProtection="0"/>
    <xf numFmtId="0" fontId="46"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1" fillId="0" borderId="52" applyNumberFormat="0" applyFill="0" applyAlignment="0" applyProtection="0"/>
    <xf numFmtId="0" fontId="51" fillId="0" borderId="52" applyNumberFormat="0" applyFill="0" applyAlignment="0" applyProtection="0"/>
    <xf numFmtId="0" fontId="52" fillId="0" borderId="0" applyNumberFormat="0" applyFill="0" applyBorder="0" applyAlignment="0" applyProtection="0"/>
    <xf numFmtId="164" fontId="7" fillId="0" borderId="0" applyFill="0" applyBorder="0" applyAlignment="0" applyProtection="0"/>
    <xf numFmtId="164" fontId="7" fillId="0" borderId="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53" fillId="38" borderId="0" applyNumberFormat="0" applyBorder="0" applyAlignment="0" applyProtection="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7" fillId="0" borderId="0"/>
    <xf numFmtId="0" fontId="24" fillId="0" borderId="0"/>
    <xf numFmtId="0" fontId="24" fillId="0" borderId="0"/>
    <xf numFmtId="0" fontId="7" fillId="0" borderId="0"/>
    <xf numFmtId="0" fontId="54" fillId="0" borderId="0"/>
    <xf numFmtId="0" fontId="7" fillId="0" borderId="0"/>
    <xf numFmtId="0" fontId="7" fillId="0" borderId="0"/>
    <xf numFmtId="0" fontId="24" fillId="0" borderId="0"/>
    <xf numFmtId="0" fontId="55" fillId="0" borderId="0"/>
    <xf numFmtId="0" fontId="6" fillId="0" borderId="0"/>
    <xf numFmtId="0" fontId="7" fillId="0" borderId="0"/>
    <xf numFmtId="0" fontId="7" fillId="0" borderId="0"/>
    <xf numFmtId="0" fontId="7" fillId="0" borderId="0"/>
    <xf numFmtId="0" fontId="7" fillId="37" borderId="56" applyNumberFormat="0" applyFont="0" applyAlignment="0" applyProtection="0"/>
    <xf numFmtId="0" fontId="7" fillId="37" borderId="56" applyNumberFormat="0" applyFont="0" applyAlignment="0" applyProtection="0"/>
    <xf numFmtId="0" fontId="7" fillId="37" borderId="56" applyNumberFormat="0" applyFont="0" applyAlignment="0" applyProtection="0"/>
    <xf numFmtId="0" fontId="56" fillId="0" borderId="58" applyNumberFormat="0" applyFill="0" applyAlignment="0" applyProtection="0"/>
    <xf numFmtId="0" fontId="57" fillId="33" borderId="57" applyNumberFormat="0" applyAlignment="0" applyProtection="0"/>
    <xf numFmtId="0" fontId="57" fillId="33" borderId="57" applyNumberForma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47" fillId="16" borderId="0" applyNumberFormat="0" applyBorder="0" applyAlignment="0" applyProtection="0"/>
    <xf numFmtId="0" fontId="49" fillId="33" borderId="57" applyNumberFormat="0" applyAlignment="0" applyProtection="0"/>
    <xf numFmtId="0" fontId="58" fillId="38" borderId="0" applyNumberFormat="0" applyBorder="0" applyAlignment="0" applyProtection="0"/>
    <xf numFmtId="3" fontId="7" fillId="4" borderId="11" applyFont="0">
      <alignment horizontal="right" vertical="center"/>
    </xf>
    <xf numFmtId="0" fontId="7" fillId="0" borderId="0"/>
    <xf numFmtId="0" fontId="7" fillId="0" borderId="0"/>
    <xf numFmtId="0" fontId="24" fillId="0" borderId="0"/>
    <xf numFmtId="0" fontId="7" fillId="0" borderId="0"/>
    <xf numFmtId="0" fontId="24" fillId="0" borderId="0"/>
    <xf numFmtId="0" fontId="32" fillId="33" borderId="50" applyNumberFormat="0" applyAlignment="0" applyProtection="0"/>
    <xf numFmtId="0" fontId="41" fillId="0" borderId="0" applyNumberFormat="0" applyFill="0" applyBorder="0" applyAlignment="0" applyProtection="0"/>
    <xf numFmtId="0" fontId="52"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53" applyNumberFormat="0" applyFill="0" applyAlignment="0" applyProtection="0"/>
    <xf numFmtId="0" fontId="38" fillId="0" borderId="54" applyNumberFormat="0" applyFill="0" applyAlignment="0" applyProtection="0"/>
    <xf numFmtId="0" fontId="39" fillId="0" borderId="55" applyNumberFormat="0" applyFill="0" applyAlignment="0" applyProtection="0"/>
    <xf numFmtId="0" fontId="36" fillId="0" borderId="0" applyNumberFormat="0" applyFill="0" applyBorder="0" applyAlignment="0" applyProtection="0"/>
    <xf numFmtId="0" fontId="59" fillId="0" borderId="58" applyNumberFormat="0" applyFill="0" applyAlignment="0" applyProtection="0"/>
    <xf numFmtId="0" fontId="59" fillId="0" borderId="58"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xf numFmtId="0" fontId="6" fillId="0" borderId="0"/>
    <xf numFmtId="0" fontId="6" fillId="0" borderId="0"/>
  </cellStyleXfs>
  <cellXfs count="642">
    <xf numFmtId="0" fontId="0" fillId="0" borderId="0" xfId="0"/>
    <xf numFmtId="0" fontId="18" fillId="3" borderId="6" xfId="0" applyFont="1" applyFill="1" applyBorder="1" applyAlignment="1" applyProtection="1">
      <alignment vertical="center"/>
    </xf>
    <xf numFmtId="0" fontId="18" fillId="3" borderId="7" xfId="0" applyFont="1" applyFill="1" applyBorder="1" applyAlignment="1" applyProtection="1">
      <alignment vertical="center"/>
    </xf>
    <xf numFmtId="0" fontId="19" fillId="0" borderId="35" xfId="0" applyFont="1" applyBorder="1" applyAlignment="1">
      <alignment vertical="center" wrapText="1"/>
    </xf>
    <xf numFmtId="0" fontId="19" fillId="0" borderId="19" xfId="0" applyFont="1" applyBorder="1" applyAlignment="1">
      <alignment vertical="center" wrapText="1"/>
    </xf>
    <xf numFmtId="0" fontId="22" fillId="0" borderId="9" xfId="0" applyFont="1" applyBorder="1" applyAlignment="1">
      <alignment vertical="center" wrapText="1"/>
    </xf>
    <xf numFmtId="0" fontId="8" fillId="0" borderId="11" xfId="0" applyFont="1" applyBorder="1"/>
    <xf numFmtId="0" fontId="61" fillId="0" borderId="9" xfId="0" applyFont="1" applyBorder="1" applyAlignment="1">
      <alignment vertical="center" wrapText="1"/>
    </xf>
    <xf numFmtId="0" fontId="19" fillId="0" borderId="0" xfId="0" applyFont="1" applyAlignment="1">
      <alignment horizontal="center" vertical="center" wrapText="1"/>
    </xf>
    <xf numFmtId="0" fontId="62" fillId="0" borderId="0" xfId="0" applyFont="1" applyAlignment="1">
      <alignment horizontal="center" vertical="center" wrapText="1"/>
    </xf>
    <xf numFmtId="0" fontId="63" fillId="0" borderId="9" xfId="0" applyFont="1" applyBorder="1" applyAlignment="1">
      <alignment horizontal="left" vertical="center" wrapText="1"/>
    </xf>
    <xf numFmtId="0" fontId="22" fillId="0" borderId="11" xfId="0" applyFont="1" applyBorder="1" applyAlignment="1">
      <alignment vertical="center" wrapText="1"/>
    </xf>
    <xf numFmtId="0" fontId="19" fillId="0" borderId="35" xfId="0" quotePrefix="1" applyFont="1" applyBorder="1" applyAlignment="1">
      <alignment vertical="center" wrapText="1"/>
    </xf>
    <xf numFmtId="0" fontId="63" fillId="0" borderId="35" xfId="0" applyFont="1" applyBorder="1" applyAlignment="1">
      <alignment horizontal="left" vertical="center" wrapText="1"/>
    </xf>
    <xf numFmtId="0" fontId="19" fillId="0" borderId="9" xfId="0" applyFont="1" applyBorder="1" applyAlignment="1">
      <alignment vertical="center" wrapText="1"/>
    </xf>
    <xf numFmtId="0" fontId="1" fillId="2" borderId="0" xfId="0" applyFont="1" applyFill="1" applyAlignment="1">
      <alignment wrapText="1"/>
    </xf>
    <xf numFmtId="0" fontId="0" fillId="4" borderId="0" xfId="0" applyFont="1" applyFill="1" applyAlignment="1">
      <alignment wrapText="1"/>
    </xf>
    <xf numFmtId="0" fontId="65" fillId="10" borderId="40" xfId="0" applyFont="1" applyFill="1" applyBorder="1" applyAlignment="1"/>
    <xf numFmtId="0" fontId="4" fillId="6" borderId="40" xfId="0" applyFont="1" applyFill="1" applyBorder="1" applyAlignment="1">
      <alignment wrapText="1"/>
    </xf>
    <xf numFmtId="0" fontId="4" fillId="11" borderId="61" xfId="0" applyFont="1" applyFill="1" applyBorder="1" applyAlignment="1">
      <alignment wrapText="1"/>
    </xf>
    <xf numFmtId="0" fontId="67" fillId="14" borderId="0" xfId="0" applyFont="1" applyFill="1" applyAlignment="1">
      <alignment horizontal="center"/>
    </xf>
    <xf numFmtId="0" fontId="1" fillId="12" borderId="0" xfId="0" applyFont="1" applyFill="1" applyAlignment="1">
      <alignment wrapText="1"/>
    </xf>
    <xf numFmtId="0" fontId="2" fillId="4" borderId="0" xfId="0" applyFont="1" applyFill="1" applyAlignment="1">
      <alignment wrapText="1"/>
    </xf>
    <xf numFmtId="0" fontId="69" fillId="0" borderId="0" xfId="0" applyFont="1" applyAlignment="1"/>
    <xf numFmtId="0" fontId="11" fillId="11" borderId="64" xfId="0" applyFont="1" applyFill="1" applyBorder="1" applyProtection="1">
      <protection locked="0"/>
    </xf>
    <xf numFmtId="0" fontId="11" fillId="11" borderId="65" xfId="0" applyFont="1" applyFill="1" applyBorder="1" applyProtection="1">
      <protection locked="0"/>
    </xf>
    <xf numFmtId="0" fontId="11" fillId="11" borderId="66" xfId="0" applyFont="1" applyFill="1" applyBorder="1" applyProtection="1">
      <protection locked="0"/>
    </xf>
    <xf numFmtId="0" fontId="13" fillId="7" borderId="20" xfId="0" applyFont="1" applyFill="1" applyBorder="1" applyAlignment="1" applyProtection="1">
      <alignment horizontal="center" vertical="center" wrapText="1"/>
    </xf>
    <xf numFmtId="0" fontId="13" fillId="7" borderId="21" xfId="0" applyFont="1" applyFill="1" applyBorder="1" applyAlignment="1" applyProtection="1">
      <alignment horizontal="center" vertical="center" wrapText="1"/>
    </xf>
    <xf numFmtId="0" fontId="13" fillId="7" borderId="39" xfId="0" applyFont="1" applyFill="1" applyBorder="1" applyAlignment="1" applyProtection="1">
      <alignment horizontal="center" vertical="center" wrapText="1"/>
    </xf>
    <xf numFmtId="0" fontId="13" fillId="7" borderId="22" xfId="0" applyFont="1" applyFill="1" applyBorder="1" applyAlignment="1" applyProtection="1">
      <alignment horizontal="center" vertical="center" wrapText="1"/>
    </xf>
    <xf numFmtId="0" fontId="20" fillId="7" borderId="10" xfId="0" applyFont="1" applyFill="1" applyBorder="1" applyAlignment="1" applyProtection="1">
      <alignment horizontal="center" vertical="center" wrapText="1"/>
    </xf>
    <xf numFmtId="0" fontId="20" fillId="7" borderId="11" xfId="0" applyFont="1" applyFill="1" applyBorder="1" applyAlignment="1" applyProtection="1">
      <alignment horizontal="center" vertical="center" wrapText="1"/>
    </xf>
    <xf numFmtId="0" fontId="20" fillId="7" borderId="12" xfId="0" applyFont="1" applyFill="1" applyBorder="1" applyAlignment="1" applyProtection="1">
      <alignment horizontal="center" vertical="center" wrapText="1"/>
    </xf>
    <xf numFmtId="0" fontId="20" fillId="7" borderId="13" xfId="0" applyFont="1" applyFill="1" applyBorder="1" applyAlignment="1" applyProtection="1">
      <alignment horizontal="center" vertical="center" wrapText="1"/>
    </xf>
    <xf numFmtId="0" fontId="20" fillId="7" borderId="41" xfId="0" applyFont="1" applyFill="1" applyBorder="1" applyAlignment="1" applyProtection="1">
      <alignment horizontal="center" vertical="center" wrapText="1"/>
    </xf>
    <xf numFmtId="0" fontId="20" fillId="7" borderId="34" xfId="0" applyFont="1" applyFill="1" applyBorder="1" applyAlignment="1" applyProtection="1">
      <alignment horizontal="center" vertical="center" wrapText="1"/>
    </xf>
    <xf numFmtId="0" fontId="16" fillId="10" borderId="0" xfId="0" applyFont="1" applyFill="1" applyBorder="1" applyAlignment="1" applyProtection="1">
      <alignment horizontal="right"/>
    </xf>
    <xf numFmtId="0" fontId="62" fillId="0" borderId="0" xfId="0" applyFont="1" applyFill="1" applyAlignment="1">
      <alignment horizontal="center" vertical="center" wrapText="1"/>
    </xf>
    <xf numFmtId="0" fontId="80" fillId="7" borderId="46" xfId="0" applyFont="1" applyFill="1" applyBorder="1" applyAlignment="1" applyProtection="1">
      <alignment horizontal="left" vertical="center" wrapText="1"/>
    </xf>
    <xf numFmtId="0" fontId="80" fillId="7" borderId="34" xfId="0" applyFont="1" applyFill="1" applyBorder="1" applyAlignment="1" applyProtection="1">
      <alignment horizontal="left" vertical="center" wrapText="1"/>
    </xf>
    <xf numFmtId="0" fontId="80" fillId="7" borderId="43" xfId="0" applyFont="1" applyFill="1" applyBorder="1" applyAlignment="1" applyProtection="1">
      <alignment horizontal="left" vertical="center" wrapText="1"/>
    </xf>
    <xf numFmtId="0" fontId="80" fillId="7" borderId="46" xfId="0" applyFont="1" applyFill="1" applyBorder="1" applyAlignment="1" applyProtection="1">
      <alignment vertical="center" wrapText="1"/>
    </xf>
    <xf numFmtId="0" fontId="80" fillId="7" borderId="34" xfId="0" applyFont="1" applyFill="1" applyBorder="1" applyAlignment="1" applyProtection="1">
      <alignment vertical="center" wrapText="1"/>
    </xf>
    <xf numFmtId="0" fontId="80" fillId="7" borderId="43" xfId="0" applyFont="1" applyFill="1" applyBorder="1" applyAlignment="1" applyProtection="1">
      <alignment vertical="center" wrapText="1"/>
    </xf>
    <xf numFmtId="0" fontId="0" fillId="11" borderId="35" xfId="0" applyFont="1" applyFill="1" applyBorder="1" applyAlignment="1" applyProtection="1">
      <alignment vertical="center" wrapText="1"/>
      <protection locked="0"/>
    </xf>
    <xf numFmtId="0" fontId="0" fillId="11" borderId="74" xfId="0" applyFont="1" applyFill="1" applyBorder="1" applyAlignment="1" applyProtection="1">
      <alignment vertical="center" wrapText="1"/>
      <protection locked="0"/>
    </xf>
    <xf numFmtId="0" fontId="0" fillId="11" borderId="76" xfId="0" applyFont="1" applyFill="1" applyBorder="1" applyAlignment="1" applyProtection="1">
      <alignment vertical="center" wrapText="1"/>
      <protection locked="0"/>
    </xf>
    <xf numFmtId="0" fontId="0" fillId="11" borderId="75" xfId="0" applyFont="1" applyFill="1" applyBorder="1" applyAlignment="1" applyProtection="1">
      <alignment vertical="center" wrapText="1"/>
      <protection locked="0"/>
    </xf>
    <xf numFmtId="0" fontId="10" fillId="14" borderId="0" xfId="0" applyFont="1" applyFill="1" applyProtection="1"/>
    <xf numFmtId="0" fontId="0" fillId="14" borderId="0" xfId="0" applyFont="1" applyFill="1" applyProtection="1"/>
    <xf numFmtId="0" fontId="0" fillId="14" borderId="0" xfId="0" applyFont="1" applyFill="1" applyAlignment="1" applyProtection="1">
      <alignment vertical="center"/>
    </xf>
    <xf numFmtId="0" fontId="0" fillId="14" borderId="0" xfId="0" applyFont="1" applyFill="1" applyAlignment="1" applyProtection="1">
      <alignment vertical="center" wrapText="1"/>
    </xf>
    <xf numFmtId="0" fontId="0" fillId="14" borderId="0" xfId="0" applyFont="1" applyFill="1" applyBorder="1" applyAlignment="1" applyProtection="1">
      <alignment vertical="center"/>
    </xf>
    <xf numFmtId="0" fontId="0" fillId="14" borderId="0" xfId="0" applyFont="1" applyFill="1" applyBorder="1" applyAlignment="1" applyProtection="1">
      <alignment vertical="center" wrapText="1"/>
    </xf>
    <xf numFmtId="0" fontId="0" fillId="14" borderId="0" xfId="0" applyFill="1" applyAlignment="1" applyProtection="1">
      <alignment vertical="center"/>
    </xf>
    <xf numFmtId="0" fontId="19" fillId="0" borderId="11" xfId="0" applyFont="1" applyFill="1" applyBorder="1" applyAlignment="1" applyProtection="1">
      <alignment vertical="center" wrapText="1"/>
    </xf>
    <xf numFmtId="0" fontId="0" fillId="0" borderId="0" xfId="0" applyAlignment="1">
      <alignment wrapText="1"/>
    </xf>
    <xf numFmtId="0" fontId="0" fillId="11" borderId="67" xfId="0" applyFont="1" applyFill="1" applyBorder="1" applyAlignment="1" applyProtection="1">
      <alignment vertical="center" wrapText="1"/>
      <protection locked="0"/>
    </xf>
    <xf numFmtId="0" fontId="0" fillId="11" borderId="9" xfId="0" applyFont="1" applyFill="1" applyBorder="1" applyAlignment="1" applyProtection="1">
      <alignment vertical="center" wrapText="1"/>
      <protection locked="0"/>
    </xf>
    <xf numFmtId="0" fontId="2" fillId="9" borderId="74" xfId="0" applyFont="1" applyFill="1" applyBorder="1" applyAlignment="1" applyProtection="1">
      <alignment vertical="center" wrapText="1"/>
      <protection locked="0"/>
    </xf>
    <xf numFmtId="49" fontId="2" fillId="9" borderId="76" xfId="0" applyNumberFormat="1" applyFont="1" applyFill="1" applyBorder="1" applyAlignment="1" applyProtection="1">
      <alignment vertical="center" wrapText="1"/>
      <protection locked="0"/>
    </xf>
    <xf numFmtId="0" fontId="0" fillId="11" borderId="68" xfId="0" applyFont="1" applyFill="1" applyBorder="1" applyAlignment="1" applyProtection="1">
      <alignment vertical="center" wrapText="1"/>
      <protection locked="0"/>
    </xf>
    <xf numFmtId="0" fontId="0" fillId="11" borderId="70" xfId="0" applyFont="1" applyFill="1" applyBorder="1" applyAlignment="1" applyProtection="1">
      <alignment vertical="center" wrapText="1"/>
      <protection locked="0"/>
    </xf>
    <xf numFmtId="0" fontId="77" fillId="4" borderId="0" xfId="0" applyFont="1" applyFill="1" applyBorder="1" applyProtection="1"/>
    <xf numFmtId="0" fontId="77" fillId="41" borderId="0" xfId="0" applyFont="1" applyFill="1" applyBorder="1" applyProtection="1"/>
    <xf numFmtId="0" fontId="0" fillId="0" borderId="0" xfId="0" applyFont="1" applyProtection="1"/>
    <xf numFmtId="0" fontId="0" fillId="14" borderId="0" xfId="0" applyFill="1"/>
    <xf numFmtId="0" fontId="11" fillId="6" borderId="11" xfId="0" applyFont="1" applyFill="1" applyBorder="1" applyAlignment="1" applyProtection="1">
      <alignment horizontal="right"/>
      <protection locked="0"/>
    </xf>
    <xf numFmtId="0" fontId="11" fillId="11" borderId="13" xfId="0" applyFont="1" applyFill="1" applyBorder="1" applyAlignment="1" applyProtection="1">
      <alignment horizontal="right"/>
      <protection locked="0"/>
    </xf>
    <xf numFmtId="0" fontId="15" fillId="7" borderId="10" xfId="0" applyFont="1" applyFill="1" applyBorder="1" applyAlignment="1" applyProtection="1">
      <alignment horizontal="right"/>
    </xf>
    <xf numFmtId="0" fontId="11" fillId="6" borderId="15" xfId="0" applyFont="1" applyFill="1" applyBorder="1" applyAlignment="1" applyProtection="1">
      <alignment horizontal="right"/>
      <protection locked="0"/>
    </xf>
    <xf numFmtId="0" fontId="11" fillId="6" borderId="72" xfId="0" applyFont="1" applyFill="1" applyBorder="1" applyAlignment="1" applyProtection="1">
      <alignment horizontal="right"/>
      <protection locked="0"/>
    </xf>
    <xf numFmtId="0" fontId="11" fillId="6" borderId="73" xfId="0" applyFont="1" applyFill="1" applyBorder="1" applyAlignment="1" applyProtection="1">
      <alignment horizontal="right"/>
      <protection locked="0"/>
    </xf>
    <xf numFmtId="0" fontId="0" fillId="12" borderId="0" xfId="0" applyFont="1" applyFill="1" applyProtection="1"/>
    <xf numFmtId="1" fontId="87" fillId="9" borderId="10" xfId="0" applyNumberFormat="1" applyFont="1" applyFill="1" applyBorder="1" applyAlignment="1" applyProtection="1">
      <protection locked="0"/>
    </xf>
    <xf numFmtId="9" fontId="87" fillId="9" borderId="11" xfId="2" applyFont="1" applyFill="1" applyBorder="1" applyAlignment="1" applyProtection="1">
      <protection locked="0"/>
    </xf>
    <xf numFmtId="165" fontId="87" fillId="9" borderId="34" xfId="2" applyNumberFormat="1" applyFont="1" applyFill="1" applyBorder="1" applyAlignment="1" applyProtection="1">
      <protection locked="0"/>
    </xf>
    <xf numFmtId="0" fontId="4" fillId="6" borderId="13" xfId="0" applyFont="1" applyFill="1" applyBorder="1" applyAlignment="1" applyProtection="1">
      <protection locked="0"/>
    </xf>
    <xf numFmtId="1" fontId="87" fillId="9" borderId="14" xfId="0" applyNumberFormat="1" applyFont="1" applyFill="1" applyBorder="1" applyAlignment="1" applyProtection="1">
      <protection locked="0"/>
    </xf>
    <xf numFmtId="9" fontId="87" fillId="9" borderId="15" xfId="2" applyFont="1" applyFill="1" applyBorder="1" applyAlignment="1" applyProtection="1">
      <protection locked="0"/>
    </xf>
    <xf numFmtId="165" fontId="87" fillId="9" borderId="43" xfId="2" applyNumberFormat="1" applyFont="1" applyFill="1" applyBorder="1" applyAlignment="1" applyProtection="1">
      <protection locked="0"/>
    </xf>
    <xf numFmtId="0" fontId="4" fillId="6" borderId="16" xfId="0" applyFont="1" applyFill="1" applyBorder="1" applyAlignment="1" applyProtection="1">
      <protection locked="0"/>
    </xf>
    <xf numFmtId="0" fontId="11" fillId="11" borderId="12" xfId="0" applyFont="1" applyFill="1" applyBorder="1" applyProtection="1">
      <protection locked="0"/>
    </xf>
    <xf numFmtId="0" fontId="11" fillId="14" borderId="0" xfId="0" applyFont="1" applyFill="1" applyBorder="1" applyProtection="1"/>
    <xf numFmtId="0" fontId="0" fillId="6" borderId="10" xfId="0" applyFont="1" applyFill="1" applyBorder="1" applyProtection="1">
      <protection locked="0"/>
    </xf>
    <xf numFmtId="0" fontId="0" fillId="6" borderId="11" xfId="0" applyFont="1" applyFill="1" applyBorder="1" applyProtection="1">
      <protection locked="0"/>
    </xf>
    <xf numFmtId="0" fontId="0" fillId="6" borderId="12" xfId="0" applyFont="1" applyFill="1" applyBorder="1" applyProtection="1">
      <protection locked="0"/>
    </xf>
    <xf numFmtId="0" fontId="0" fillId="6" borderId="13" xfId="0" applyFont="1" applyFill="1" applyBorder="1" applyProtection="1">
      <protection locked="0"/>
    </xf>
    <xf numFmtId="0" fontId="11" fillId="11" borderId="24" xfId="0" applyFont="1" applyFill="1" applyBorder="1" applyAlignment="1" applyProtection="1">
      <alignment vertical="center"/>
      <protection locked="0"/>
    </xf>
    <xf numFmtId="0" fontId="0" fillId="14" borderId="59" xfId="0" applyFont="1" applyFill="1" applyBorder="1" applyAlignment="1" applyProtection="1">
      <alignment horizontal="right"/>
    </xf>
    <xf numFmtId="0" fontId="0" fillId="14" borderId="28" xfId="0" applyFont="1" applyFill="1" applyBorder="1" applyProtection="1"/>
    <xf numFmtId="0" fontId="0" fillId="14" borderId="60" xfId="0" applyFont="1" applyFill="1" applyBorder="1" applyProtection="1"/>
    <xf numFmtId="0" fontId="0" fillId="14" borderId="30" xfId="0" applyFont="1" applyFill="1" applyBorder="1" applyAlignment="1" applyProtection="1">
      <alignment horizontal="right" vertical="top"/>
    </xf>
    <xf numFmtId="0" fontId="73" fillId="4" borderId="0" xfId="0" applyFont="1" applyFill="1" applyBorder="1" applyProtection="1"/>
    <xf numFmtId="0" fontId="12" fillId="4" borderId="0" xfId="0" applyFont="1" applyFill="1" applyBorder="1" applyProtection="1"/>
    <xf numFmtId="0" fontId="74" fillId="4" borderId="0" xfId="0" applyFont="1" applyFill="1" applyBorder="1" applyProtection="1"/>
    <xf numFmtId="0" fontId="75" fillId="4" borderId="0" xfId="0" applyFont="1" applyFill="1" applyBorder="1" applyProtection="1"/>
    <xf numFmtId="0" fontId="66" fillId="4" borderId="0" xfId="0" applyFont="1" applyFill="1" applyBorder="1" applyAlignment="1" applyProtection="1">
      <alignment horizontal="left"/>
    </xf>
    <xf numFmtId="0" fontId="64" fillId="4" borderId="0" xfId="0" applyFont="1" applyFill="1" applyBorder="1" applyProtection="1"/>
    <xf numFmtId="0" fontId="76" fillId="41" borderId="0" xfId="0" applyFont="1" applyFill="1" applyBorder="1" applyProtection="1"/>
    <xf numFmtId="0" fontId="76" fillId="41" borderId="0" xfId="0" applyFont="1" applyFill="1" applyBorder="1" applyAlignment="1" applyProtection="1">
      <alignment horizontal="left"/>
    </xf>
    <xf numFmtId="0" fontId="64" fillId="4" borderId="0" xfId="0" applyFont="1" applyFill="1" applyBorder="1" applyAlignment="1" applyProtection="1">
      <alignment horizontal="left"/>
    </xf>
    <xf numFmtId="49" fontId="64" fillId="5" borderId="9" xfId="0" applyNumberFormat="1" applyFont="1" applyFill="1" applyBorder="1" applyAlignment="1" applyProtection="1">
      <protection locked="0"/>
    </xf>
    <xf numFmtId="0" fontId="10" fillId="4" borderId="0" xfId="0" applyFont="1" applyFill="1" applyProtection="1"/>
    <xf numFmtId="49" fontId="64" fillId="0" borderId="0" xfId="0" applyNumberFormat="1" applyFont="1" applyFill="1" applyBorder="1" applyAlignment="1" applyProtection="1"/>
    <xf numFmtId="49" fontId="64" fillId="14" borderId="0" xfId="0" applyNumberFormat="1" applyFont="1" applyFill="1" applyBorder="1" applyAlignment="1" applyProtection="1"/>
    <xf numFmtId="0" fontId="64" fillId="14" borderId="0" xfId="0" applyFont="1" applyFill="1" applyBorder="1" applyProtection="1"/>
    <xf numFmtId="0" fontId="75" fillId="14" borderId="0" xfId="0" applyFont="1" applyFill="1" applyBorder="1" applyProtection="1"/>
    <xf numFmtId="0" fontId="12" fillId="39" borderId="0" xfId="0" applyFont="1" applyFill="1" applyBorder="1" applyAlignment="1" applyProtection="1">
      <alignment horizontal="center" vertical="center" wrapText="1"/>
    </xf>
    <xf numFmtId="0" fontId="0" fillId="0" borderId="0" xfId="0"/>
    <xf numFmtId="0" fontId="0" fillId="4" borderId="0" xfId="0" applyFont="1" applyFill="1" applyAlignment="1" applyProtection="1">
      <alignment wrapText="1"/>
    </xf>
    <xf numFmtId="0" fontId="1" fillId="2" borderId="0" xfId="0" applyFont="1" applyFill="1" applyAlignment="1" applyProtection="1">
      <alignment wrapText="1"/>
    </xf>
    <xf numFmtId="0" fontId="2" fillId="4" borderId="0" xfId="0" applyFont="1" applyFill="1" applyAlignment="1" applyProtection="1">
      <alignment wrapText="1"/>
    </xf>
    <xf numFmtId="0" fontId="71" fillId="4" borderId="0" xfId="0" applyFont="1" applyFill="1" applyAlignment="1" applyProtection="1">
      <alignment wrapText="1"/>
    </xf>
    <xf numFmtId="0" fontId="2" fillId="4" borderId="0" xfId="0" applyFont="1" applyFill="1" applyAlignment="1" applyProtection="1">
      <alignment vertical="top" wrapText="1"/>
    </xf>
    <xf numFmtId="0" fontId="70" fillId="12" borderId="0" xfId="0" applyFont="1" applyFill="1" applyAlignment="1" applyProtection="1">
      <alignment wrapText="1"/>
    </xf>
    <xf numFmtId="0" fontId="0" fillId="14" borderId="0" xfId="0" applyFont="1" applyFill="1" applyAlignment="1" applyProtection="1">
      <alignment wrapText="1"/>
    </xf>
    <xf numFmtId="0" fontId="70" fillId="14" borderId="0" xfId="0" applyFont="1" applyFill="1" applyAlignment="1" applyProtection="1">
      <alignment wrapText="1"/>
    </xf>
    <xf numFmtId="0" fontId="2" fillId="14" borderId="0" xfId="0" applyFont="1" applyFill="1" applyAlignment="1" applyProtection="1">
      <alignment wrapText="1"/>
    </xf>
    <xf numFmtId="0" fontId="71" fillId="14" borderId="0" xfId="0" applyFont="1" applyFill="1" applyAlignment="1" applyProtection="1">
      <alignment wrapText="1"/>
    </xf>
    <xf numFmtId="0" fontId="2" fillId="14" borderId="0" xfId="0" applyFont="1" applyFill="1" applyAlignment="1" applyProtection="1">
      <alignment horizontal="justify" vertical="center" wrapText="1"/>
    </xf>
    <xf numFmtId="0" fontId="71" fillId="14" borderId="0" xfId="0" applyFont="1" applyFill="1" applyAlignment="1" applyProtection="1">
      <alignment horizontal="justify" vertical="center" wrapText="1"/>
    </xf>
    <xf numFmtId="0" fontId="1" fillId="14" borderId="0" xfId="0" applyFont="1" applyFill="1" applyAlignment="1" applyProtection="1">
      <alignment wrapText="1"/>
    </xf>
    <xf numFmtId="0" fontId="0" fillId="14" borderId="0" xfId="0" applyFill="1" applyAlignment="1">
      <alignment wrapText="1"/>
    </xf>
    <xf numFmtId="0" fontId="2" fillId="14" borderId="4" xfId="0" applyFont="1" applyFill="1" applyBorder="1" applyProtection="1"/>
    <xf numFmtId="0" fontId="11" fillId="6" borderId="79" xfId="0" applyFont="1" applyFill="1" applyBorder="1" applyAlignment="1" applyProtection="1">
      <alignment horizontal="right"/>
      <protection locked="0"/>
    </xf>
    <xf numFmtId="0" fontId="2" fillId="14" borderId="0" xfId="0" applyFont="1" applyFill="1" applyProtection="1"/>
    <xf numFmtId="0" fontId="2" fillId="14" borderId="1" xfId="0" applyFont="1" applyFill="1" applyBorder="1" applyProtection="1"/>
    <xf numFmtId="1" fontId="87" fillId="9" borderId="12" xfId="0" applyNumberFormat="1" applyFont="1" applyFill="1" applyBorder="1" applyAlignment="1" applyProtection="1">
      <protection locked="0"/>
    </xf>
    <xf numFmtId="0" fontId="4" fillId="6" borderId="10" xfId="0" applyFont="1" applyFill="1" applyBorder="1" applyAlignment="1" applyProtection="1">
      <protection locked="0"/>
    </xf>
    <xf numFmtId="0" fontId="4" fillId="6" borderId="14" xfId="0" applyFont="1" applyFill="1" applyBorder="1" applyAlignment="1" applyProtection="1">
      <protection locked="0"/>
    </xf>
    <xf numFmtId="0" fontId="9" fillId="7" borderId="22" xfId="0" applyFont="1" applyFill="1" applyBorder="1" applyAlignment="1" applyProtection="1">
      <alignment wrapText="1"/>
    </xf>
    <xf numFmtId="0" fontId="9" fillId="7" borderId="4" xfId="0" applyFont="1" applyFill="1" applyBorder="1" applyAlignment="1" applyProtection="1">
      <alignment horizontal="center" vertical="center"/>
    </xf>
    <xf numFmtId="0" fontId="9" fillId="7" borderId="31" xfId="0" applyFont="1" applyFill="1" applyBorder="1" applyAlignment="1" applyProtection="1">
      <alignment horizontal="center" vertical="center"/>
    </xf>
    <xf numFmtId="0" fontId="9" fillId="7" borderId="32" xfId="0" applyFont="1" applyFill="1" applyBorder="1" applyAlignment="1" applyProtection="1">
      <alignment wrapText="1"/>
    </xf>
    <xf numFmtId="0" fontId="10" fillId="7" borderId="34" xfId="0" applyFont="1" applyFill="1" applyBorder="1" applyAlignment="1" applyProtection="1">
      <alignment vertical="center"/>
    </xf>
    <xf numFmtId="0" fontId="10" fillId="7" borderId="43" xfId="0" applyFont="1" applyFill="1" applyBorder="1" applyAlignment="1" applyProtection="1">
      <alignment vertical="center"/>
    </xf>
    <xf numFmtId="166" fontId="64" fillId="5" borderId="9" xfId="0" applyNumberFormat="1" applyFont="1" applyFill="1" applyBorder="1" applyAlignment="1" applyProtection="1">
      <protection locked="0"/>
    </xf>
    <xf numFmtId="49" fontId="64" fillId="5" borderId="9" xfId="0" applyNumberFormat="1" applyFont="1" applyFill="1" applyBorder="1" applyProtection="1">
      <protection locked="0"/>
    </xf>
    <xf numFmtId="0" fontId="8" fillId="0" borderId="0" xfId="0" applyFont="1" applyBorder="1"/>
    <xf numFmtId="0" fontId="5" fillId="14" borderId="4" xfId="0" applyFont="1" applyFill="1" applyBorder="1" applyProtection="1"/>
    <xf numFmtId="0" fontId="78" fillId="14" borderId="0" xfId="0" applyFont="1" applyFill="1" applyBorder="1" applyProtection="1"/>
    <xf numFmtId="1" fontId="2" fillId="9" borderId="15" xfId="0" applyNumberFormat="1" applyFont="1" applyFill="1" applyBorder="1" applyProtection="1">
      <protection locked="0"/>
    </xf>
    <xf numFmtId="0" fontId="2" fillId="0" borderId="0" xfId="0" applyFont="1" applyFill="1" applyBorder="1" applyProtection="1"/>
    <xf numFmtId="1" fontId="2" fillId="9" borderId="11" xfId="0" applyNumberFormat="1" applyFont="1" applyFill="1" applyBorder="1" applyProtection="1">
      <protection locked="0"/>
    </xf>
    <xf numFmtId="0" fontId="91" fillId="7" borderId="40" xfId="0" applyFont="1" applyFill="1" applyBorder="1" applyAlignment="1" applyProtection="1">
      <alignment horizontal="right" vertical="center" wrapText="1"/>
    </xf>
    <xf numFmtId="0" fontId="89" fillId="7" borderId="5" xfId="0" applyFont="1" applyFill="1" applyBorder="1" applyAlignment="1" applyProtection="1">
      <alignment horizontal="right" vertical="center" wrapText="1"/>
    </xf>
    <xf numFmtId="0" fontId="91" fillId="7" borderId="37" xfId="0" applyFont="1" applyFill="1" applyBorder="1" applyAlignment="1" applyProtection="1">
      <alignment horizontal="right" vertical="center" wrapText="1"/>
    </xf>
    <xf numFmtId="0" fontId="0" fillId="14" borderId="0" xfId="0" applyFont="1" applyFill="1" applyBorder="1" applyAlignment="1" applyProtection="1">
      <alignment horizontal="right" vertical="top"/>
    </xf>
    <xf numFmtId="0" fontId="79" fillId="43" borderId="6" xfId="0" applyFont="1" applyFill="1" applyBorder="1" applyAlignment="1" applyProtection="1">
      <alignment vertical="center"/>
    </xf>
    <xf numFmtId="0" fontId="79" fillId="0" borderId="0" xfId="0" applyFont="1" applyFill="1" applyBorder="1" applyAlignment="1" applyProtection="1">
      <alignment vertical="center"/>
    </xf>
    <xf numFmtId="0" fontId="90" fillId="10" borderId="13" xfId="0" applyFont="1" applyFill="1" applyBorder="1" applyAlignment="1" applyProtection="1">
      <alignment wrapText="1"/>
    </xf>
    <xf numFmtId="1" fontId="2" fillId="9" borderId="11" xfId="2" applyNumberFormat="1" applyFont="1" applyFill="1" applyBorder="1" applyProtection="1">
      <protection locked="0"/>
    </xf>
    <xf numFmtId="0" fontId="2" fillId="11" borderId="13" xfId="0" applyFont="1" applyFill="1" applyBorder="1" applyAlignment="1" applyProtection="1">
      <protection locked="0"/>
    </xf>
    <xf numFmtId="1" fontId="2" fillId="9" borderId="15" xfId="2" applyNumberFormat="1" applyFont="1" applyFill="1" applyBorder="1" applyProtection="1">
      <protection locked="0"/>
    </xf>
    <xf numFmtId="0" fontId="2" fillId="11" borderId="16" xfId="0" applyFont="1" applyFill="1" applyBorder="1" applyAlignment="1" applyProtection="1">
      <protection locked="0"/>
    </xf>
    <xf numFmtId="1" fontId="2" fillId="9" borderId="11" xfId="1" applyNumberFormat="1" applyFont="1" applyFill="1" applyBorder="1" applyProtection="1">
      <protection locked="0"/>
    </xf>
    <xf numFmtId="1" fontId="3" fillId="5" borderId="40" xfId="0" applyNumberFormat="1" applyFont="1" applyFill="1" applyBorder="1" applyAlignment="1" applyProtection="1">
      <alignment wrapText="1"/>
    </xf>
    <xf numFmtId="1" fontId="3" fillId="12" borderId="40" xfId="0" applyNumberFormat="1" applyFont="1" applyFill="1" applyBorder="1" applyAlignment="1" applyProtection="1">
      <alignment wrapText="1"/>
    </xf>
    <xf numFmtId="0" fontId="0" fillId="9" borderId="25" xfId="0" applyFill="1" applyBorder="1" applyAlignment="1" applyProtection="1">
      <alignment vertical="center"/>
      <protection locked="0"/>
    </xf>
    <xf numFmtId="0" fontId="0" fillId="9" borderId="13" xfId="0" applyFill="1" applyBorder="1" applyAlignment="1" applyProtection="1">
      <alignment vertical="center"/>
      <protection locked="0"/>
    </xf>
    <xf numFmtId="0" fontId="0" fillId="9" borderId="16" xfId="0" applyFill="1" applyBorder="1" applyAlignment="1" applyProtection="1">
      <alignment vertical="center"/>
      <protection locked="0"/>
    </xf>
    <xf numFmtId="0" fontId="0" fillId="14" borderId="8" xfId="0" applyFont="1" applyFill="1" applyBorder="1" applyProtection="1"/>
    <xf numFmtId="0" fontId="0" fillId="14" borderId="0" xfId="0" applyFont="1" applyFill="1" applyBorder="1" applyProtection="1"/>
    <xf numFmtId="0" fontId="0" fillId="14" borderId="18" xfId="0" applyFont="1" applyFill="1" applyBorder="1" applyProtection="1"/>
    <xf numFmtId="0" fontId="0" fillId="14" borderId="19" xfId="0" applyFont="1" applyFill="1" applyBorder="1" applyProtection="1"/>
    <xf numFmtId="0" fontId="16" fillId="10" borderId="0" xfId="0" applyFont="1" applyFill="1" applyBorder="1" applyProtection="1"/>
    <xf numFmtId="0" fontId="11" fillId="10" borderId="0" xfId="0" applyFont="1" applyFill="1" applyBorder="1" applyProtection="1"/>
    <xf numFmtId="0" fontId="1" fillId="0" borderId="11" xfId="0" applyFont="1" applyBorder="1" applyAlignment="1" applyProtection="1">
      <alignment wrapText="1"/>
    </xf>
    <xf numFmtId="0" fontId="4" fillId="0" borderId="11" xfId="0" applyFont="1" applyBorder="1" applyAlignment="1" applyProtection="1">
      <alignment wrapText="1"/>
    </xf>
    <xf numFmtId="0" fontId="0" fillId="0" borderId="11" xfId="0" applyFont="1" applyBorder="1" applyAlignment="1" applyProtection="1">
      <alignment wrapText="1"/>
    </xf>
    <xf numFmtId="0" fontId="11" fillId="2" borderId="2" xfId="0" applyFont="1" applyFill="1" applyBorder="1" applyProtection="1"/>
    <xf numFmtId="0" fontId="11" fillId="2" borderId="2" xfId="0" applyFont="1" applyFill="1" applyBorder="1" applyAlignment="1" applyProtection="1">
      <alignment horizontal="center"/>
    </xf>
    <xf numFmtId="0" fontId="0" fillId="14" borderId="2" xfId="0" applyFont="1" applyFill="1" applyBorder="1" applyProtection="1"/>
    <xf numFmtId="0" fontId="0" fillId="14" borderId="31" xfId="0" applyFont="1" applyFill="1" applyBorder="1" applyProtection="1"/>
    <xf numFmtId="0" fontId="11" fillId="14" borderId="0" xfId="0" applyFont="1" applyFill="1" applyBorder="1" applyAlignment="1" applyProtection="1">
      <alignment horizontal="right"/>
    </xf>
    <xf numFmtId="0" fontId="84" fillId="10" borderId="8" xfId="0" applyFont="1" applyFill="1" applyBorder="1" applyAlignment="1" applyProtection="1">
      <alignment horizontal="right" wrapText="1"/>
    </xf>
    <xf numFmtId="0" fontId="70" fillId="13" borderId="74" xfId="0" applyFont="1" applyFill="1" applyBorder="1" applyAlignment="1" applyProtection="1">
      <alignment horizontal="center" vertical="center"/>
    </xf>
    <xf numFmtId="0" fontId="70" fillId="13" borderId="75" xfId="0" applyFont="1" applyFill="1" applyBorder="1" applyAlignment="1" applyProtection="1">
      <alignment horizontal="center" vertical="center"/>
    </xf>
    <xf numFmtId="0" fontId="70" fillId="13" borderId="76" xfId="0" applyFont="1" applyFill="1" applyBorder="1" applyAlignment="1" applyProtection="1">
      <alignment horizontal="center" vertical="center"/>
    </xf>
    <xf numFmtId="0" fontId="70" fillId="13" borderId="11" xfId="0" applyFont="1" applyFill="1" applyBorder="1" applyAlignment="1" applyProtection="1">
      <alignment horizontal="center" vertical="center"/>
    </xf>
    <xf numFmtId="0" fontId="2" fillId="0" borderId="0" xfId="0" applyFont="1" applyProtection="1"/>
    <xf numFmtId="0" fontId="61" fillId="0" borderId="9" xfId="0" applyFont="1" applyBorder="1" applyAlignment="1" applyProtection="1">
      <alignment vertical="center" wrapText="1"/>
    </xf>
    <xf numFmtId="0" fontId="0" fillId="0" borderId="11" xfId="0" applyFont="1" applyBorder="1" applyProtection="1"/>
    <xf numFmtId="0" fontId="19" fillId="0" borderId="19" xfId="0" applyFont="1" applyBorder="1" applyAlignment="1" applyProtection="1">
      <alignment vertical="center" wrapText="1"/>
    </xf>
    <xf numFmtId="0" fontId="0" fillId="0" borderId="0" xfId="0" applyProtection="1"/>
    <xf numFmtId="0" fontId="9" fillId="7" borderId="74" xfId="0" applyFont="1" applyFill="1" applyBorder="1" applyAlignment="1" applyProtection="1">
      <alignment horizontal="center" vertical="center" wrapText="1"/>
    </xf>
    <xf numFmtId="0" fontId="0" fillId="0" borderId="0" xfId="0" applyAlignment="1" applyProtection="1">
      <alignment horizontal="center"/>
    </xf>
    <xf numFmtId="0" fontId="10" fillId="7" borderId="10" xfId="0" applyFont="1" applyFill="1" applyBorder="1" applyAlignment="1" applyProtection="1">
      <alignment horizontal="left" vertical="center" indent="2"/>
    </xf>
    <xf numFmtId="0" fontId="10" fillId="7" borderId="11" xfId="0" applyFont="1" applyFill="1" applyBorder="1" applyAlignment="1" applyProtection="1">
      <alignment vertical="center" wrapText="1"/>
    </xf>
    <xf numFmtId="0" fontId="0" fillId="0" borderId="24" xfId="0" applyBorder="1" applyAlignment="1" applyProtection="1">
      <alignment horizontal="center" vertical="center"/>
    </xf>
    <xf numFmtId="0" fontId="10" fillId="7" borderId="10" xfId="0" applyFont="1" applyFill="1" applyBorder="1" applyAlignment="1" applyProtection="1">
      <alignment horizontal="left" vertical="center" wrapText="1" indent="6"/>
    </xf>
    <xf numFmtId="0" fontId="0" fillId="0" borderId="11" xfId="0" applyBorder="1" applyAlignment="1" applyProtection="1">
      <alignment horizontal="center" vertical="center"/>
    </xf>
    <xf numFmtId="0" fontId="10" fillId="7" borderId="10" xfId="0" applyFont="1" applyFill="1" applyBorder="1" applyAlignment="1" applyProtection="1">
      <alignment horizontal="left" vertical="center" wrapText="1" indent="2"/>
    </xf>
    <xf numFmtId="0" fontId="10" fillId="7" borderId="24" xfId="0" applyFont="1" applyFill="1" applyBorder="1" applyAlignment="1" applyProtection="1">
      <alignment vertical="center" wrapText="1"/>
    </xf>
    <xf numFmtId="0" fontId="10" fillId="7" borderId="23" xfId="0" applyFont="1" applyFill="1" applyBorder="1" applyAlignment="1" applyProtection="1">
      <alignment horizontal="left" vertical="center" indent="2"/>
    </xf>
    <xf numFmtId="0" fontId="10" fillId="7" borderId="23" xfId="0" applyFont="1" applyFill="1" applyBorder="1" applyAlignment="1" applyProtection="1">
      <alignment horizontal="left" vertical="center" wrapText="1" indent="6"/>
    </xf>
    <xf numFmtId="0" fontId="0" fillId="2" borderId="11" xfId="0" applyFill="1" applyBorder="1" applyAlignment="1" applyProtection="1">
      <alignment vertical="center"/>
    </xf>
    <xf numFmtId="0" fontId="10" fillId="7" borderId="26" xfId="0" applyFont="1" applyFill="1" applyBorder="1" applyAlignment="1" applyProtection="1">
      <alignment horizontal="left" vertical="center" wrapText="1" indent="6"/>
    </xf>
    <xf numFmtId="0" fontId="0" fillId="2" borderId="15" xfId="0" applyFill="1" applyBorder="1" applyAlignment="1" applyProtection="1">
      <alignment vertical="center"/>
    </xf>
    <xf numFmtId="0" fontId="0" fillId="0" borderId="43" xfId="0" applyBorder="1" applyAlignment="1" applyProtection="1">
      <alignment horizontal="center" vertical="center"/>
    </xf>
    <xf numFmtId="0" fontId="10" fillId="7" borderId="14" xfId="0" applyFont="1" applyFill="1" applyBorder="1" applyAlignment="1" applyProtection="1">
      <alignment horizontal="left" vertical="center" indent="2"/>
    </xf>
    <xf numFmtId="0" fontId="0" fillId="0" borderId="15" xfId="0" applyBorder="1" applyAlignment="1" applyProtection="1">
      <alignment horizontal="center" vertical="center"/>
    </xf>
    <xf numFmtId="0" fontId="88" fillId="14" borderId="0" xfId="7" applyFont="1" applyFill="1" applyProtection="1"/>
    <xf numFmtId="0" fontId="88" fillId="12" borderId="0" xfId="7" applyFont="1" applyFill="1" applyProtection="1"/>
    <xf numFmtId="0" fontId="19" fillId="0" borderId="35" xfId="0" applyFont="1" applyBorder="1" applyAlignment="1" applyProtection="1">
      <alignment vertical="center" wrapText="1"/>
    </xf>
    <xf numFmtId="0" fontId="21" fillId="0" borderId="35" xfId="0" applyFont="1" applyBorder="1" applyAlignment="1" applyProtection="1">
      <alignment vertical="center" wrapText="1"/>
    </xf>
    <xf numFmtId="0" fontId="21" fillId="0" borderId="0" xfId="0" applyFont="1" applyBorder="1" applyAlignment="1" applyProtection="1">
      <alignment vertical="center" wrapText="1"/>
    </xf>
    <xf numFmtId="0" fontId="0" fillId="0" borderId="0" xfId="0" applyFont="1" applyFill="1" applyProtection="1"/>
    <xf numFmtId="1" fontId="5" fillId="9" borderId="11" xfId="0" applyNumberFormat="1" applyFont="1" applyFill="1" applyBorder="1" applyProtection="1">
      <protection locked="0"/>
    </xf>
    <xf numFmtId="1" fontId="5" fillId="9" borderId="15" xfId="0" applyNumberFormat="1" applyFont="1" applyFill="1" applyBorder="1" applyProtection="1">
      <protection locked="0"/>
    </xf>
    <xf numFmtId="0" fontId="11" fillId="11" borderId="16" xfId="0" applyFont="1" applyFill="1" applyBorder="1" applyAlignment="1" applyProtection="1">
      <alignment horizontal="right"/>
      <protection locked="0"/>
    </xf>
    <xf numFmtId="0" fontId="84" fillId="10" borderId="25" xfId="0" applyFont="1" applyFill="1" applyBorder="1" applyAlignment="1" applyProtection="1">
      <alignment horizontal="right" wrapText="1"/>
    </xf>
    <xf numFmtId="0" fontId="2" fillId="14" borderId="23" xfId="0" applyFont="1" applyFill="1" applyBorder="1" applyProtection="1"/>
    <xf numFmtId="0" fontId="70" fillId="13" borderId="24" xfId="0" applyFont="1" applyFill="1" applyBorder="1" applyAlignment="1" applyProtection="1">
      <alignment horizontal="center" vertical="center"/>
    </xf>
    <xf numFmtId="0" fontId="11" fillId="6" borderId="62" xfId="0" applyFont="1" applyFill="1" applyBorder="1" applyAlignment="1" applyProtection="1">
      <alignment horizontal="right"/>
      <protection locked="0"/>
    </xf>
    <xf numFmtId="0" fontId="11" fillId="6" borderId="16" xfId="0" applyFont="1" applyFill="1" applyBorder="1" applyAlignment="1" applyProtection="1">
      <alignment horizontal="right"/>
      <protection locked="0"/>
    </xf>
    <xf numFmtId="0" fontId="61" fillId="0" borderId="4" xfId="0" applyFont="1" applyFill="1" applyBorder="1" applyAlignment="1" applyProtection="1">
      <alignment vertical="center" wrapText="1"/>
    </xf>
    <xf numFmtId="0" fontId="5" fillId="0" borderId="0" xfId="0" applyFont="1" applyProtection="1"/>
    <xf numFmtId="0" fontId="61" fillId="0" borderId="4" xfId="0" applyFont="1" applyFill="1" applyBorder="1" applyAlignment="1" applyProtection="1">
      <alignment vertical="center"/>
    </xf>
    <xf numFmtId="0" fontId="15" fillId="14" borderId="1" xfId="0" applyFont="1" applyFill="1" applyBorder="1" applyProtection="1"/>
    <xf numFmtId="0" fontId="15" fillId="14" borderId="4" xfId="0" applyFont="1" applyFill="1" applyBorder="1" applyProtection="1"/>
    <xf numFmtId="0" fontId="15" fillId="14" borderId="0" xfId="0" applyFont="1" applyFill="1" applyBorder="1" applyProtection="1"/>
    <xf numFmtId="0" fontId="15" fillId="14" borderId="17" xfId="0" applyFont="1" applyFill="1" applyBorder="1" applyProtection="1"/>
    <xf numFmtId="0" fontId="97" fillId="10" borderId="2" xfId="0" applyFont="1" applyFill="1" applyBorder="1" applyProtection="1"/>
    <xf numFmtId="0" fontId="97" fillId="10" borderId="2" xfId="0" applyFont="1" applyFill="1" applyBorder="1" applyAlignment="1" applyProtection="1">
      <alignment horizontal="center"/>
    </xf>
    <xf numFmtId="0" fontId="2" fillId="10" borderId="2" xfId="0" applyFont="1" applyFill="1" applyBorder="1" applyProtection="1"/>
    <xf numFmtId="0" fontId="2" fillId="10" borderId="3" xfId="0" applyFont="1" applyFill="1" applyBorder="1" applyProtection="1"/>
    <xf numFmtId="0" fontId="0" fillId="0" borderId="0" xfId="0" applyFont="1" applyBorder="1" applyAlignment="1" applyProtection="1">
      <alignment vertical="center"/>
    </xf>
    <xf numFmtId="0" fontId="0" fillId="0" borderId="0" xfId="0" applyFont="1" applyBorder="1" applyAlignment="1" applyProtection="1">
      <alignment vertical="center" wrapText="1"/>
    </xf>
    <xf numFmtId="0" fontId="65" fillId="10" borderId="3" xfId="0" applyFont="1" applyFill="1" applyBorder="1" applyAlignment="1" applyProtection="1">
      <alignment horizontal="left" vertical="center"/>
    </xf>
    <xf numFmtId="0" fontId="0" fillId="0" borderId="33" xfId="0" applyFont="1" applyBorder="1" applyAlignment="1" applyProtection="1">
      <alignment horizontal="center" vertical="center" wrapText="1"/>
    </xf>
    <xf numFmtId="0" fontId="0" fillId="0" borderId="73" xfId="0" applyFont="1" applyBorder="1" applyAlignment="1" applyProtection="1">
      <alignment horizontal="center" vertical="center" wrapText="1"/>
    </xf>
    <xf numFmtId="0" fontId="0" fillId="0" borderId="72" xfId="0" applyFont="1" applyBorder="1" applyAlignment="1" applyProtection="1">
      <alignment horizontal="center" vertical="center" wrapText="1"/>
    </xf>
    <xf numFmtId="0" fontId="0" fillId="0" borderId="14" xfId="0" applyFont="1" applyBorder="1" applyAlignment="1" applyProtection="1">
      <alignment horizontal="center" vertical="center" wrapText="1"/>
    </xf>
    <xf numFmtId="0" fontId="0" fillId="0" borderId="16" xfId="0" applyFont="1" applyBorder="1" applyAlignment="1" applyProtection="1">
      <alignment horizontal="center" vertical="center" wrapText="1"/>
    </xf>
    <xf numFmtId="0" fontId="2" fillId="9" borderId="74" xfId="0" applyFont="1" applyFill="1" applyBorder="1" applyProtection="1">
      <protection locked="0"/>
    </xf>
    <xf numFmtId="0" fontId="2" fillId="9" borderId="75" xfId="0" applyFont="1" applyFill="1" applyBorder="1" applyProtection="1">
      <protection locked="0"/>
    </xf>
    <xf numFmtId="0" fontId="2" fillId="9" borderId="76" xfId="0" applyFont="1" applyFill="1" applyBorder="1" applyProtection="1">
      <protection locked="0"/>
    </xf>
    <xf numFmtId="0" fontId="2" fillId="9" borderId="23" xfId="0" applyFont="1" applyFill="1" applyBorder="1" applyProtection="1">
      <protection locked="0"/>
    </xf>
    <xf numFmtId="0" fontId="2" fillId="9" borderId="24" xfId="0" applyFont="1" applyFill="1" applyBorder="1" applyProtection="1">
      <protection locked="0"/>
    </xf>
    <xf numFmtId="0" fontId="2" fillId="9" borderId="25" xfId="0" applyFont="1" applyFill="1" applyBorder="1" applyProtection="1">
      <protection locked="0"/>
    </xf>
    <xf numFmtId="0" fontId="2" fillId="9" borderId="10" xfId="0" applyFont="1" applyFill="1" applyBorder="1" applyProtection="1">
      <protection locked="0"/>
    </xf>
    <xf numFmtId="0" fontId="2" fillId="9" borderId="11" xfId="0" applyFont="1" applyFill="1" applyBorder="1" applyProtection="1">
      <protection locked="0"/>
    </xf>
    <xf numFmtId="0" fontId="2" fillId="9" borderId="13" xfId="0" applyFont="1" applyFill="1" applyBorder="1" applyProtection="1">
      <protection locked="0"/>
    </xf>
    <xf numFmtId="0" fontId="2" fillId="9" borderId="33" xfId="0" applyFont="1" applyFill="1" applyBorder="1" applyProtection="1">
      <protection locked="0"/>
    </xf>
    <xf numFmtId="0" fontId="2" fillId="9" borderId="72" xfId="0" applyFont="1" applyFill="1" applyBorder="1" applyProtection="1">
      <protection locked="0"/>
    </xf>
    <xf numFmtId="0" fontId="2" fillId="9" borderId="73" xfId="0" applyFont="1" applyFill="1" applyBorder="1" applyProtection="1">
      <protection locked="0"/>
    </xf>
    <xf numFmtId="0" fontId="2" fillId="9" borderId="26" xfId="0" applyFont="1" applyFill="1" applyBorder="1" applyProtection="1">
      <protection locked="0"/>
    </xf>
    <xf numFmtId="0" fontId="2" fillId="9" borderId="27" xfId="0" applyFont="1" applyFill="1" applyBorder="1" applyProtection="1">
      <protection locked="0"/>
    </xf>
    <xf numFmtId="0" fontId="2" fillId="9" borderId="81" xfId="0" applyFont="1" applyFill="1" applyBorder="1" applyProtection="1">
      <protection locked="0"/>
    </xf>
    <xf numFmtId="0" fontId="10" fillId="0" borderId="1" xfId="0" applyFont="1" applyFill="1" applyBorder="1" applyProtection="1"/>
    <xf numFmtId="0" fontId="10" fillId="14" borderId="31" xfId="0" applyFont="1" applyFill="1" applyBorder="1" applyProtection="1"/>
    <xf numFmtId="0" fontId="10" fillId="14" borderId="0" xfId="0" applyFont="1" applyFill="1" applyBorder="1" applyProtection="1"/>
    <xf numFmtId="0" fontId="0" fillId="14" borderId="0" xfId="0" applyFont="1" applyFill="1" applyBorder="1" applyAlignment="1" applyProtection="1">
      <alignment vertical="top" wrapText="1"/>
    </xf>
    <xf numFmtId="0" fontId="94" fillId="0" borderId="0" xfId="0" applyFont="1" applyAlignment="1" applyProtection="1">
      <alignment vertical="center"/>
    </xf>
    <xf numFmtId="0" fontId="94" fillId="0" borderId="4" xfId="0" applyFont="1" applyBorder="1" applyAlignment="1" applyProtection="1">
      <alignment vertical="center"/>
    </xf>
    <xf numFmtId="0" fontId="94" fillId="0" borderId="8" xfId="0" applyFont="1" applyBorder="1" applyAlignment="1" applyProtection="1">
      <alignment horizontal="justify" vertical="center"/>
    </xf>
    <xf numFmtId="0" fontId="94" fillId="0" borderId="18" xfId="0" applyFont="1" applyBorder="1" applyAlignment="1" applyProtection="1">
      <alignment vertical="center"/>
    </xf>
    <xf numFmtId="0" fontId="5" fillId="14" borderId="23" xfId="0" applyFont="1" applyFill="1" applyBorder="1" applyProtection="1"/>
    <xf numFmtId="0" fontId="0" fillId="0" borderId="0" xfId="0" applyFill="1" applyProtection="1"/>
    <xf numFmtId="0" fontId="0" fillId="0" borderId="0" xfId="0" applyFont="1" applyFill="1" applyAlignment="1" applyProtection="1">
      <alignment horizontal="center" vertical="center" wrapText="1"/>
    </xf>
    <xf numFmtId="0" fontId="1" fillId="0" borderId="11" xfId="0" applyFont="1" applyFill="1" applyBorder="1" applyAlignment="1" applyProtection="1">
      <alignment horizontal="center" vertical="center" wrapText="1"/>
    </xf>
    <xf numFmtId="0" fontId="21" fillId="0" borderId="11" xfId="0" applyFont="1" applyFill="1" applyBorder="1" applyAlignment="1" applyProtection="1">
      <alignment vertical="center"/>
    </xf>
    <xf numFmtId="0" fontId="21" fillId="0" borderId="11" xfId="0" applyFont="1" applyFill="1" applyBorder="1" applyAlignment="1" applyProtection="1">
      <alignment vertical="center" wrapText="1"/>
    </xf>
    <xf numFmtId="0" fontId="21" fillId="0" borderId="11" xfId="0" quotePrefix="1" applyFont="1" applyFill="1" applyBorder="1" applyAlignment="1" applyProtection="1">
      <alignment vertical="center" wrapText="1"/>
    </xf>
    <xf numFmtId="0" fontId="19" fillId="0" borderId="11" xfId="0" applyFont="1" applyFill="1" applyBorder="1" applyAlignment="1" applyProtection="1">
      <alignment wrapText="1"/>
    </xf>
    <xf numFmtId="0" fontId="21" fillId="0" borderId="11" xfId="0" applyFont="1" applyFill="1" applyBorder="1" applyAlignment="1" applyProtection="1">
      <alignment horizontal="left" vertical="center" wrapText="1"/>
    </xf>
    <xf numFmtId="0" fontId="1" fillId="0" borderId="0" xfId="0" applyFont="1" applyFill="1" applyAlignment="1">
      <alignment horizontal="left" vertical="top" wrapText="1"/>
    </xf>
    <xf numFmtId="0" fontId="100" fillId="10" borderId="0" xfId="0" applyFont="1" applyFill="1" applyBorder="1" applyAlignment="1" applyProtection="1">
      <alignment horizontal="right"/>
    </xf>
    <xf numFmtId="0" fontId="101" fillId="7" borderId="10" xfId="0" applyFont="1" applyFill="1" applyBorder="1" applyAlignment="1" applyProtection="1">
      <alignment horizontal="left" vertical="center" indent="2"/>
    </xf>
    <xf numFmtId="0" fontId="101" fillId="7" borderId="24" xfId="0" applyFont="1" applyFill="1" applyBorder="1" applyAlignment="1" applyProtection="1">
      <alignment vertical="center" wrapText="1"/>
    </xf>
    <xf numFmtId="0" fontId="101" fillId="0" borderId="11" xfId="0" applyFont="1" applyBorder="1" applyAlignment="1" applyProtection="1">
      <alignment horizontal="center" vertical="center" wrapText="1"/>
    </xf>
    <xf numFmtId="2" fontId="101" fillId="2" borderId="13" xfId="0" applyNumberFormat="1" applyFont="1" applyFill="1" applyBorder="1" applyAlignment="1" applyProtection="1">
      <alignment vertical="center"/>
    </xf>
    <xf numFmtId="0" fontId="101" fillId="2" borderId="13" xfId="0" applyFont="1" applyFill="1" applyBorder="1" applyAlignment="1" applyProtection="1">
      <alignment vertical="center"/>
    </xf>
    <xf numFmtId="0" fontId="101" fillId="7" borderId="33" xfId="0" applyFont="1" applyFill="1" applyBorder="1" applyAlignment="1" applyProtection="1">
      <alignment horizontal="left" vertical="center" wrapText="1" indent="6"/>
    </xf>
    <xf numFmtId="0" fontId="101" fillId="2" borderId="72" xfId="0" applyFont="1" applyFill="1" applyBorder="1" applyAlignment="1" applyProtection="1">
      <alignment vertical="center"/>
    </xf>
    <xf numFmtId="0" fontId="101" fillId="0" borderId="72" xfId="0" applyFont="1" applyBorder="1" applyAlignment="1" applyProtection="1">
      <alignment horizontal="center" vertical="center"/>
    </xf>
    <xf numFmtId="2" fontId="101" fillId="9" borderId="73" xfId="0" applyNumberFormat="1" applyFont="1" applyFill="1" applyBorder="1" applyAlignment="1" applyProtection="1">
      <alignment vertical="center"/>
      <protection locked="0"/>
    </xf>
    <xf numFmtId="0" fontId="102" fillId="11" borderId="12" xfId="0" applyFont="1" applyFill="1" applyBorder="1" applyProtection="1">
      <protection locked="0"/>
    </xf>
    <xf numFmtId="0" fontId="101" fillId="7" borderId="14" xfId="0" applyFont="1" applyFill="1" applyBorder="1" applyAlignment="1" applyProtection="1">
      <alignment horizontal="left" vertical="center" wrapText="1" indent="6"/>
    </xf>
    <xf numFmtId="0" fontId="101" fillId="2" borderId="15" xfId="0" applyFont="1" applyFill="1" applyBorder="1" applyAlignment="1" applyProtection="1">
      <alignment vertical="center"/>
    </xf>
    <xf numFmtId="0" fontId="101" fillId="0" borderId="15" xfId="0" applyFont="1" applyBorder="1" applyAlignment="1" applyProtection="1">
      <alignment horizontal="center" vertical="center"/>
    </xf>
    <xf numFmtId="2" fontId="101" fillId="9" borderId="16" xfId="0" applyNumberFormat="1" applyFont="1" applyFill="1" applyBorder="1" applyAlignment="1" applyProtection="1">
      <alignment vertical="center"/>
      <protection locked="0"/>
    </xf>
    <xf numFmtId="0" fontId="101" fillId="7" borderId="23" xfId="0" applyFont="1" applyFill="1" applyBorder="1" applyAlignment="1" applyProtection="1">
      <alignment horizontal="left" vertical="center" wrapText="1" indent="6"/>
    </xf>
    <xf numFmtId="0" fontId="101" fillId="0" borderId="0" xfId="0" applyFont="1" applyProtection="1"/>
    <xf numFmtId="0" fontId="101" fillId="0" borderId="0" xfId="0" applyFont="1" applyAlignment="1" applyProtection="1">
      <alignment horizontal="center"/>
    </xf>
    <xf numFmtId="0" fontId="101" fillId="7" borderId="10" xfId="0" applyFont="1" applyFill="1" applyBorder="1" applyAlignment="1" applyProtection="1">
      <alignment horizontal="left" vertical="center" wrapText="1" indent="2"/>
    </xf>
    <xf numFmtId="0" fontId="9" fillId="7" borderId="7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16" fillId="10" borderId="0" xfId="0" applyFont="1" applyFill="1" applyAlignment="1">
      <alignment horizontal="right"/>
    </xf>
    <xf numFmtId="0" fontId="0" fillId="0" borderId="21" xfId="0" applyBorder="1" applyAlignment="1">
      <alignment horizontal="center" vertical="center"/>
    </xf>
    <xf numFmtId="0" fontId="0" fillId="0" borderId="11"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xf>
    <xf numFmtId="0" fontId="0" fillId="45" borderId="22" xfId="0" applyFill="1" applyBorder="1" applyAlignment="1" applyProtection="1">
      <alignment vertical="center"/>
      <protection locked="0"/>
    </xf>
    <xf numFmtId="0" fontId="0" fillId="45" borderId="13" xfId="0" applyFill="1" applyBorder="1" applyAlignment="1" applyProtection="1">
      <alignment vertical="center"/>
      <protection locked="0"/>
    </xf>
    <xf numFmtId="0" fontId="0" fillId="45" borderId="16" xfId="0" applyFill="1" applyBorder="1" applyAlignment="1" applyProtection="1">
      <alignment vertical="center"/>
      <protection locked="0"/>
    </xf>
    <xf numFmtId="0" fontId="0" fillId="0" borderId="0" xfId="0"/>
    <xf numFmtId="1" fontId="2" fillId="9" borderId="72" xfId="2" applyNumberFormat="1" applyFont="1" applyFill="1" applyBorder="1" applyProtection="1">
      <protection locked="0"/>
    </xf>
    <xf numFmtId="0" fontId="2" fillId="11" borderId="73" xfId="0" applyFont="1" applyFill="1" applyBorder="1" applyAlignment="1" applyProtection="1">
      <protection locked="0"/>
    </xf>
    <xf numFmtId="1" fontId="2" fillId="9" borderId="72" xfId="2" applyNumberFormat="1" applyFont="1" applyFill="1" applyBorder="1" applyAlignment="1" applyProtection="1">
      <alignment horizontal="center" vertical="center"/>
      <protection locked="0"/>
    </xf>
    <xf numFmtId="0" fontId="0" fillId="0" borderId="0" xfId="0"/>
    <xf numFmtId="0" fontId="13" fillId="7" borderId="11" xfId="0" applyFont="1" applyFill="1" applyBorder="1" applyAlignment="1" applyProtection="1">
      <alignment horizontal="left" vertical="center" wrapText="1"/>
    </xf>
    <xf numFmtId="0" fontId="15" fillId="7" borderId="14" xfId="0" applyFont="1" applyFill="1" applyBorder="1" applyAlignment="1" applyProtection="1">
      <alignment horizontal="right"/>
    </xf>
    <xf numFmtId="0" fontId="13" fillId="7" borderId="11" xfId="0" applyFont="1" applyFill="1" applyBorder="1" applyAlignment="1" applyProtection="1">
      <alignment horizontal="center" vertical="center" wrapText="1"/>
    </xf>
    <xf numFmtId="2" fontId="0" fillId="9" borderId="11" xfId="2" applyNumberFormat="1" applyFont="1" applyFill="1" applyBorder="1" applyProtection="1">
      <protection locked="0"/>
    </xf>
    <xf numFmtId="0" fontId="11" fillId="6" borderId="11" xfId="0" applyFont="1" applyFill="1" applyBorder="1" applyAlignment="1" applyProtection="1">
      <alignment horizontal="left" vertical="center"/>
      <protection locked="0"/>
    </xf>
    <xf numFmtId="2" fontId="0" fillId="9" borderId="13" xfId="2" applyNumberFormat="1" applyFont="1" applyFill="1" applyBorder="1" applyProtection="1">
      <protection locked="0"/>
    </xf>
    <xf numFmtId="0" fontId="70" fillId="13" borderId="60" xfId="0" applyFont="1" applyFill="1" applyBorder="1" applyAlignment="1" applyProtection="1">
      <alignment horizontal="center" vertical="center"/>
    </xf>
    <xf numFmtId="0" fontId="70" fillId="13" borderId="72" xfId="0" applyFont="1" applyFill="1" applyBorder="1" applyAlignment="1" applyProtection="1">
      <alignment horizontal="center" vertical="center"/>
    </xf>
    <xf numFmtId="0" fontId="70" fillId="13" borderId="73" xfId="0" applyFont="1" applyFill="1" applyBorder="1" applyAlignment="1" applyProtection="1">
      <alignment horizontal="center" vertical="center"/>
    </xf>
    <xf numFmtId="0" fontId="13" fillId="7" borderId="10" xfId="0" applyFont="1" applyFill="1" applyBorder="1" applyAlignment="1" applyProtection="1">
      <alignment horizontal="left" vertical="center" wrapText="1"/>
    </xf>
    <xf numFmtId="0" fontId="85" fillId="11" borderId="15" xfId="0" applyFont="1" applyFill="1" applyBorder="1" applyAlignment="1" applyProtection="1">
      <alignment horizontal="left" vertical="top" wrapText="1"/>
      <protection locked="0"/>
    </xf>
    <xf numFmtId="0" fontId="85" fillId="11" borderId="16" xfId="0" applyFont="1" applyFill="1" applyBorder="1" applyAlignment="1" applyProtection="1">
      <alignment horizontal="left" vertical="top" wrapText="1"/>
      <protection locked="0"/>
    </xf>
    <xf numFmtId="0" fontId="19" fillId="0" borderId="0" xfId="0" applyFont="1" applyFill="1" applyBorder="1" applyAlignment="1" applyProtection="1">
      <alignment vertical="center" wrapText="1"/>
    </xf>
    <xf numFmtId="0" fontId="13" fillId="7" borderId="11" xfId="0" applyFont="1" applyFill="1" applyBorder="1" applyAlignment="1" applyProtection="1">
      <alignment horizontal="left" vertical="center" wrapText="1"/>
    </xf>
    <xf numFmtId="0" fontId="0" fillId="46" borderId="0" xfId="0" applyFont="1" applyFill="1" applyBorder="1" applyProtection="1"/>
    <xf numFmtId="0" fontId="11" fillId="46" borderId="0" xfId="0" applyFont="1" applyFill="1" applyBorder="1" applyAlignment="1" applyProtection="1">
      <alignment horizontal="right"/>
    </xf>
    <xf numFmtId="0" fontId="84" fillId="46" borderId="36" xfId="0" applyFont="1" applyFill="1" applyBorder="1" applyAlignment="1" applyProtection="1">
      <alignment horizontal="right" wrapText="1"/>
    </xf>
    <xf numFmtId="0" fontId="11" fillId="46" borderId="70" xfId="0" applyFont="1" applyFill="1" applyBorder="1" applyAlignment="1" applyProtection="1">
      <alignment horizontal="right"/>
      <protection locked="0"/>
    </xf>
    <xf numFmtId="0" fontId="0" fillId="46" borderId="0" xfId="0" applyFont="1" applyFill="1" applyProtection="1"/>
    <xf numFmtId="0" fontId="84" fillId="10" borderId="14" xfId="0" applyFont="1" applyFill="1" applyBorder="1" applyAlignment="1" applyProtection="1">
      <alignment wrapText="1"/>
    </xf>
    <xf numFmtId="0" fontId="84" fillId="10" borderId="15" xfId="0" applyFont="1" applyFill="1" applyBorder="1" applyAlignment="1" applyProtection="1">
      <alignment wrapText="1"/>
    </xf>
    <xf numFmtId="0" fontId="0" fillId="45" borderId="11" xfId="0" applyFont="1" applyFill="1" applyBorder="1" applyProtection="1"/>
    <xf numFmtId="0" fontId="70" fillId="13" borderId="13" xfId="0" applyFont="1" applyFill="1" applyBorder="1" applyAlignment="1" applyProtection="1">
      <alignment horizontal="center" vertical="center"/>
    </xf>
    <xf numFmtId="0" fontId="0" fillId="45" borderId="13" xfId="0" applyFont="1" applyFill="1" applyBorder="1" applyProtection="1"/>
    <xf numFmtId="0" fontId="13" fillId="7" borderId="11" xfId="0" applyFont="1" applyFill="1" applyBorder="1" applyAlignment="1" applyProtection="1">
      <alignment horizontal="left" vertical="center" wrapText="1" indent="5"/>
    </xf>
    <xf numFmtId="0" fontId="2" fillId="14" borderId="0" xfId="0" applyFont="1" applyFill="1" applyAlignment="1" applyProtection="1">
      <alignment vertical="center"/>
    </xf>
    <xf numFmtId="0" fontId="0" fillId="12" borderId="0" xfId="0" applyFont="1" applyFill="1" applyAlignment="1" applyProtection="1">
      <alignment vertical="center"/>
    </xf>
    <xf numFmtId="0" fontId="13" fillId="7" borderId="34" xfId="7" applyFont="1" applyFill="1" applyBorder="1" applyAlignment="1" applyProtection="1">
      <alignment vertical="center"/>
    </xf>
    <xf numFmtId="0" fontId="15" fillId="7" borderId="34" xfId="7" applyFont="1" applyFill="1" applyBorder="1" applyAlignment="1" applyProtection="1">
      <alignment horizontal="left" indent="2"/>
    </xf>
    <xf numFmtId="0" fontId="13" fillId="7" borderId="34" xfId="7" applyFont="1" applyFill="1" applyBorder="1" applyAlignment="1" applyProtection="1"/>
    <xf numFmtId="0" fontId="13" fillId="7" borderId="61" xfId="7" applyFont="1" applyFill="1" applyBorder="1" applyProtection="1"/>
    <xf numFmtId="1" fontId="87" fillId="9" borderId="62" xfId="0" applyNumberFormat="1" applyFont="1" applyFill="1" applyBorder="1" applyAlignment="1" applyProtection="1">
      <protection locked="0"/>
    </xf>
    <xf numFmtId="1" fontId="87" fillId="9" borderId="11" xfId="0" applyNumberFormat="1" applyFont="1" applyFill="1" applyBorder="1" applyAlignment="1" applyProtection="1">
      <protection locked="0"/>
    </xf>
    <xf numFmtId="1" fontId="87" fillId="9" borderId="15" xfId="0" applyNumberFormat="1" applyFont="1" applyFill="1" applyBorder="1" applyAlignment="1" applyProtection="1">
      <protection locked="0"/>
    </xf>
    <xf numFmtId="0" fontId="4" fillId="6" borderId="34" xfId="0" applyFont="1" applyFill="1" applyBorder="1" applyAlignment="1" applyProtection="1">
      <protection locked="0"/>
    </xf>
    <xf numFmtId="0" fontId="4" fillId="6" borderId="43" xfId="0" applyFont="1" applyFill="1" applyBorder="1" applyAlignment="1" applyProtection="1">
      <protection locked="0"/>
    </xf>
    <xf numFmtId="0" fontId="0" fillId="12" borderId="11" xfId="0" applyFont="1" applyFill="1" applyBorder="1" applyProtection="1"/>
    <xf numFmtId="0" fontId="0" fillId="12" borderId="10" xfId="0" applyFont="1" applyFill="1" applyBorder="1" applyProtection="1"/>
    <xf numFmtId="0" fontId="0" fillId="12" borderId="13" xfId="0" applyFont="1" applyFill="1" applyBorder="1" applyProtection="1"/>
    <xf numFmtId="0" fontId="0" fillId="0" borderId="10" xfId="0" applyFont="1" applyBorder="1" applyProtection="1"/>
    <xf numFmtId="0" fontId="0" fillId="0" borderId="13" xfId="0" applyFont="1" applyBorder="1" applyProtection="1"/>
    <xf numFmtId="0" fontId="0" fillId="12" borderId="23" xfId="0" applyFont="1" applyFill="1" applyBorder="1" applyProtection="1"/>
    <xf numFmtId="0" fontId="0" fillId="12" borderId="24" xfId="0" applyFont="1" applyFill="1" applyBorder="1" applyProtection="1"/>
    <xf numFmtId="0" fontId="0" fillId="12" borderId="25" xfId="0" applyFont="1" applyFill="1" applyBorder="1" applyProtection="1"/>
    <xf numFmtId="0" fontId="0" fillId="12" borderId="4" xfId="0" applyFont="1" applyFill="1" applyBorder="1" applyProtection="1"/>
    <xf numFmtId="0" fontId="0" fillId="12" borderId="0" xfId="0" applyFont="1" applyFill="1" applyBorder="1" applyProtection="1"/>
    <xf numFmtId="0" fontId="0" fillId="12" borderId="8" xfId="0" applyFont="1" applyFill="1" applyBorder="1" applyProtection="1"/>
    <xf numFmtId="0" fontId="0" fillId="0" borderId="4" xfId="0" applyFont="1" applyBorder="1" applyProtection="1"/>
    <xf numFmtId="0" fontId="0" fillId="0" borderId="0" xfId="0" applyFont="1" applyBorder="1" applyProtection="1"/>
    <xf numFmtId="0" fontId="0" fillId="0" borderId="8" xfId="0" applyFont="1" applyBorder="1" applyProtection="1"/>
    <xf numFmtId="0" fontId="13" fillId="7" borderId="32" xfId="7" applyFont="1" applyFill="1" applyBorder="1" applyAlignment="1" applyProtection="1">
      <alignment vertical="center"/>
    </xf>
    <xf numFmtId="1" fontId="87" fillId="9" borderId="23" xfId="0" applyNumberFormat="1" applyFont="1" applyFill="1" applyBorder="1" applyAlignment="1" applyProtection="1">
      <protection locked="0"/>
    </xf>
    <xf numFmtId="1" fontId="87" fillId="9" borderId="24" xfId="0" applyNumberFormat="1" applyFont="1" applyFill="1" applyBorder="1" applyAlignment="1" applyProtection="1">
      <protection locked="0"/>
    </xf>
    <xf numFmtId="9" fontId="87" fillId="9" borderId="24" xfId="2" applyFont="1" applyFill="1" applyBorder="1" applyAlignment="1" applyProtection="1">
      <protection locked="0"/>
    </xf>
    <xf numFmtId="165" fontId="87" fillId="9" borderId="32" xfId="2" applyNumberFormat="1" applyFont="1" applyFill="1" applyBorder="1" applyAlignment="1" applyProtection="1">
      <protection locked="0"/>
    </xf>
    <xf numFmtId="0" fontId="4" fillId="6" borderId="23" xfId="0" applyFont="1" applyFill="1" applyBorder="1" applyAlignment="1" applyProtection="1">
      <protection locked="0"/>
    </xf>
    <xf numFmtId="0" fontId="4" fillId="6" borderId="25" xfId="0" applyFont="1" applyFill="1" applyBorder="1" applyAlignment="1" applyProtection="1">
      <protection locked="0"/>
    </xf>
    <xf numFmtId="1" fontId="87" fillId="9" borderId="82" xfId="0" applyNumberFormat="1" applyFont="1" applyFill="1" applyBorder="1" applyAlignment="1" applyProtection="1">
      <protection locked="0"/>
    </xf>
    <xf numFmtId="0" fontId="4" fillId="6" borderId="32" xfId="0" applyFont="1" applyFill="1" applyBorder="1" applyAlignment="1" applyProtection="1">
      <protection locked="0"/>
    </xf>
    <xf numFmtId="0" fontId="86" fillId="7" borderId="5" xfId="7" applyFont="1" applyFill="1" applyBorder="1" applyAlignment="1" applyProtection="1">
      <alignment horizontal="center" vertical="center"/>
    </xf>
    <xf numFmtId="0" fontId="20" fillId="7" borderId="74" xfId="6" applyNumberFormat="1" applyFont="1" applyFill="1" applyBorder="1" applyAlignment="1" applyProtection="1">
      <alignment horizontal="center" vertical="center" wrapText="1"/>
    </xf>
    <xf numFmtId="0" fontId="20" fillId="7" borderId="75" xfId="6" applyNumberFormat="1" applyFont="1" applyFill="1" applyBorder="1" applyAlignment="1" applyProtection="1">
      <alignment horizontal="center" vertical="center" wrapText="1"/>
    </xf>
    <xf numFmtId="0" fontId="20" fillId="7" borderId="77" xfId="6" applyNumberFormat="1" applyFont="1" applyFill="1" applyBorder="1" applyAlignment="1" applyProtection="1">
      <alignment horizontal="center" vertical="center" wrapText="1"/>
    </xf>
    <xf numFmtId="0" fontId="20" fillId="7" borderId="76" xfId="6" applyNumberFormat="1" applyFont="1" applyFill="1" applyBorder="1" applyAlignment="1" applyProtection="1">
      <alignment horizontal="center" vertical="center" wrapText="1"/>
    </xf>
    <xf numFmtId="0" fontId="20" fillId="7" borderId="83" xfId="6" applyNumberFormat="1" applyFont="1" applyFill="1" applyBorder="1" applyAlignment="1" applyProtection="1">
      <alignment horizontal="center" vertical="center" wrapText="1"/>
    </xf>
    <xf numFmtId="0" fontId="20" fillId="7" borderId="7" xfId="6" applyNumberFormat="1" applyFont="1" applyFill="1" applyBorder="1" applyAlignment="1" applyProtection="1">
      <alignment horizontal="center" vertical="center" wrapText="1"/>
    </xf>
    <xf numFmtId="0" fontId="20" fillId="7" borderId="6" xfId="6" applyNumberFormat="1" applyFont="1" applyFill="1" applyBorder="1" applyAlignment="1" applyProtection="1">
      <alignment horizontal="center" vertical="center" wrapText="1"/>
    </xf>
    <xf numFmtId="0" fontId="22" fillId="11" borderId="80" xfId="0" applyFont="1" applyFill="1" applyBorder="1" applyAlignment="1" applyProtection="1">
      <alignment vertical="center" wrapText="1"/>
      <protection locked="0"/>
    </xf>
    <xf numFmtId="0" fontId="11" fillId="11" borderId="80" xfId="0" applyFont="1" applyFill="1" applyBorder="1" applyAlignment="1" applyProtection="1">
      <alignment vertical="center"/>
      <protection locked="0"/>
    </xf>
    <xf numFmtId="0" fontId="2" fillId="14" borderId="36" xfId="0" applyFont="1" applyFill="1" applyBorder="1" applyProtection="1"/>
    <xf numFmtId="0" fontId="2" fillId="14" borderId="85" xfId="0" applyFont="1" applyFill="1" applyBorder="1" applyProtection="1"/>
    <xf numFmtId="0" fontId="90" fillId="14" borderId="35" xfId="0" applyFont="1" applyFill="1" applyBorder="1" applyAlignment="1" applyProtection="1">
      <alignment horizontal="left" vertical="center" wrapText="1"/>
    </xf>
    <xf numFmtId="0" fontId="22" fillId="11" borderId="86" xfId="0" applyFont="1" applyFill="1" applyBorder="1" applyAlignment="1" applyProtection="1">
      <alignment vertical="center" wrapText="1"/>
      <protection locked="0"/>
    </xf>
    <xf numFmtId="0" fontId="11" fillId="11" borderId="49" xfId="0" applyFont="1" applyFill="1" applyBorder="1" applyAlignment="1" applyProtection="1">
      <alignment vertical="center"/>
      <protection locked="0"/>
    </xf>
    <xf numFmtId="0" fontId="90" fillId="10" borderId="67" xfId="0" applyFont="1" applyFill="1" applyBorder="1" applyAlignment="1" applyProtection="1">
      <alignment wrapText="1"/>
    </xf>
    <xf numFmtId="0" fontId="2" fillId="11" borderId="67" xfId="0" applyFont="1" applyFill="1" applyBorder="1" applyAlignment="1" applyProtection="1">
      <protection locked="0"/>
    </xf>
    <xf numFmtId="0" fontId="91" fillId="6" borderId="11" xfId="0" applyFont="1" applyFill="1" applyBorder="1" applyAlignment="1" applyProtection="1">
      <alignment horizontal="left"/>
      <protection locked="0"/>
    </xf>
    <xf numFmtId="9" fontId="0" fillId="9" borderId="24" xfId="2" applyFont="1" applyFill="1" applyBorder="1" applyProtection="1">
      <protection locked="0"/>
    </xf>
    <xf numFmtId="0" fontId="85" fillId="6" borderId="21" xfId="0" applyFont="1" applyFill="1" applyBorder="1" applyAlignment="1" applyProtection="1">
      <alignment horizontal="left" vertical="center" wrapText="1"/>
      <protection locked="0"/>
    </xf>
    <xf numFmtId="0" fontId="85" fillId="6" borderId="22" xfId="0" applyFont="1" applyFill="1" applyBorder="1" applyAlignment="1" applyProtection="1">
      <alignment horizontal="left" vertical="center" wrapText="1"/>
      <protection locked="0"/>
    </xf>
    <xf numFmtId="0" fontId="85" fillId="11" borderId="16" xfId="0" applyFont="1" applyFill="1" applyBorder="1" applyAlignment="1" applyProtection="1">
      <alignment vertical="top"/>
      <protection locked="0"/>
    </xf>
    <xf numFmtId="0" fontId="11" fillId="6" borderId="21" xfId="0" applyFont="1" applyFill="1" applyBorder="1" applyAlignment="1" applyProtection="1">
      <alignment horizontal="left" vertical="center" wrapText="1"/>
      <protection locked="0"/>
    </xf>
    <xf numFmtId="0" fontId="11" fillId="6" borderId="22" xfId="0" applyFont="1" applyFill="1" applyBorder="1" applyAlignment="1" applyProtection="1">
      <alignment horizontal="left" vertical="center" wrapText="1"/>
      <protection locked="0"/>
    </xf>
    <xf numFmtId="0" fontId="11" fillId="11" borderId="15" xfId="0" applyFont="1" applyFill="1" applyBorder="1" applyAlignment="1" applyProtection="1">
      <alignment horizontal="left" vertical="top" wrapText="1"/>
      <protection locked="0"/>
    </xf>
    <xf numFmtId="0" fontId="11" fillId="11" borderId="16" xfId="0" applyFont="1" applyFill="1" applyBorder="1" applyAlignment="1" applyProtection="1">
      <alignment vertical="top"/>
      <protection locked="0"/>
    </xf>
    <xf numFmtId="0" fontId="84" fillId="10" borderId="9" xfId="0" applyFont="1" applyFill="1" applyBorder="1" applyAlignment="1" applyProtection="1">
      <alignment horizontal="right" wrapText="1"/>
    </xf>
    <xf numFmtId="0" fontId="15" fillId="7" borderId="10" xfId="0" applyFont="1" applyFill="1" applyBorder="1" applyAlignment="1" applyProtection="1"/>
    <xf numFmtId="0" fontId="15" fillId="7" borderId="23" xfId="0" applyFont="1" applyFill="1" applyBorder="1" applyAlignment="1" applyProtection="1"/>
    <xf numFmtId="0" fontId="11" fillId="6" borderId="24" xfId="0" applyFont="1" applyFill="1" applyBorder="1" applyAlignment="1" applyProtection="1">
      <alignment horizontal="right"/>
      <protection locked="0"/>
    </xf>
    <xf numFmtId="0" fontId="11" fillId="11" borderId="25" xfId="0" applyFont="1" applyFill="1" applyBorder="1" applyAlignment="1" applyProtection="1">
      <alignment horizontal="right"/>
      <protection locked="0"/>
    </xf>
    <xf numFmtId="0" fontId="13" fillId="7" borderId="10" xfId="0" applyFont="1" applyFill="1" applyBorder="1" applyAlignment="1" applyProtection="1">
      <alignment vertical="center" wrapText="1"/>
    </xf>
    <xf numFmtId="0" fontId="13" fillId="7" borderId="11" xfId="0" applyFont="1" applyFill="1" applyBorder="1" applyAlignment="1" applyProtection="1">
      <alignment vertical="center" wrapText="1"/>
    </xf>
    <xf numFmtId="0" fontId="12" fillId="39" borderId="0" xfId="0" applyFont="1" applyFill="1" applyBorder="1" applyAlignment="1" applyProtection="1">
      <alignment horizontal="center" vertical="center"/>
    </xf>
    <xf numFmtId="49" fontId="64" fillId="5" borderId="5" xfId="0" applyNumberFormat="1" applyFont="1" applyFill="1" applyBorder="1" applyAlignment="1" applyProtection="1">
      <alignment horizontal="left"/>
      <protection locked="0"/>
    </xf>
    <xf numFmtId="49" fontId="64" fillId="5" borderId="7" xfId="0" applyNumberFormat="1" applyFont="1" applyFill="1" applyBorder="1" applyAlignment="1" applyProtection="1">
      <alignment horizontal="left"/>
      <protection locked="0"/>
    </xf>
    <xf numFmtId="49" fontId="64" fillId="5" borderId="6" xfId="0" applyNumberFormat="1" applyFont="1" applyFill="1" applyBorder="1" applyAlignment="1" applyProtection="1">
      <alignment horizontal="left"/>
      <protection locked="0"/>
    </xf>
    <xf numFmtId="0" fontId="11" fillId="45" borderId="34" xfId="0" applyFont="1" applyFill="1" applyBorder="1" applyAlignment="1" applyProtection="1">
      <alignment horizontal="center" vertical="center"/>
      <protection locked="0"/>
    </xf>
    <xf numFmtId="0" fontId="11" fillId="45" borderId="42" xfId="0" applyFont="1" applyFill="1" applyBorder="1" applyAlignment="1" applyProtection="1">
      <alignment horizontal="center" vertical="center"/>
      <protection locked="0"/>
    </xf>
    <xf numFmtId="0" fontId="11" fillId="45" borderId="67" xfId="0" applyFont="1" applyFill="1" applyBorder="1" applyAlignment="1" applyProtection="1">
      <alignment horizontal="center" vertical="center"/>
      <protection locked="0"/>
    </xf>
    <xf numFmtId="0" fontId="89" fillId="40" borderId="5" xfId="0" applyFont="1" applyFill="1" applyBorder="1" applyAlignment="1" applyProtection="1">
      <alignment horizontal="left" vertical="center" wrapText="1"/>
    </xf>
    <xf numFmtId="0" fontId="89" fillId="40" borderId="6" xfId="0" applyFont="1" applyFill="1" applyBorder="1" applyAlignment="1" applyProtection="1">
      <alignment horizontal="left" vertical="center" wrapText="1"/>
    </xf>
    <xf numFmtId="0" fontId="89" fillId="40" borderId="7" xfId="0" applyFont="1" applyFill="1" applyBorder="1" applyAlignment="1" applyProtection="1">
      <alignment horizontal="left" vertical="center" wrapText="1"/>
    </xf>
    <xf numFmtId="0" fontId="13" fillId="7" borderId="1" xfId="0" applyFont="1" applyFill="1" applyBorder="1" applyAlignment="1" applyProtection="1">
      <alignment horizontal="center" vertical="center"/>
    </xf>
    <xf numFmtId="0" fontId="13" fillId="7" borderId="17" xfId="0" applyFont="1" applyFill="1" applyBorder="1" applyAlignment="1" applyProtection="1">
      <alignment horizontal="center" vertical="center"/>
    </xf>
    <xf numFmtId="0" fontId="13" fillId="7" borderId="14" xfId="0" applyFont="1" applyFill="1" applyBorder="1" applyAlignment="1" applyProtection="1">
      <alignment horizontal="left" vertical="center" wrapText="1"/>
    </xf>
    <xf numFmtId="0" fontId="10" fillId="7" borderId="15" xfId="0" applyFont="1" applyFill="1" applyBorder="1" applyAlignment="1" applyProtection="1">
      <alignment horizontal="left"/>
    </xf>
    <xf numFmtId="0" fontId="0" fillId="11" borderId="32" xfId="0" applyFont="1" applyFill="1" applyBorder="1" applyAlignment="1" applyProtection="1">
      <protection locked="0"/>
    </xf>
    <xf numFmtId="0" fontId="0" fillId="11" borderId="63" xfId="0" applyFont="1" applyFill="1" applyBorder="1" applyAlignment="1" applyProtection="1">
      <protection locked="0"/>
    </xf>
    <xf numFmtId="0" fontId="0" fillId="11" borderId="34" xfId="0" applyFont="1" applyFill="1" applyBorder="1" applyAlignment="1" applyProtection="1">
      <protection locked="0"/>
    </xf>
    <xf numFmtId="0" fontId="0" fillId="11" borderId="67" xfId="0" applyFont="1" applyFill="1" applyBorder="1" applyAlignment="1" applyProtection="1">
      <protection locked="0"/>
    </xf>
    <xf numFmtId="0" fontId="89" fillId="3" borderId="5" xfId="0" applyFont="1" applyFill="1" applyBorder="1" applyAlignment="1" applyProtection="1">
      <alignment horizontal="left" vertical="center" wrapText="1"/>
    </xf>
    <xf numFmtId="0" fontId="89" fillId="3" borderId="6" xfId="0" applyFont="1" applyFill="1" applyBorder="1" applyAlignment="1" applyProtection="1">
      <alignment horizontal="left" vertical="center" wrapText="1"/>
    </xf>
    <xf numFmtId="0" fontId="89" fillId="3" borderId="7" xfId="0" applyFont="1" applyFill="1" applyBorder="1" applyAlignment="1" applyProtection="1">
      <alignment horizontal="left" vertical="center" wrapText="1"/>
    </xf>
    <xf numFmtId="0" fontId="70" fillId="13" borderId="24" xfId="0" applyFont="1" applyFill="1" applyBorder="1" applyAlignment="1" applyProtection="1">
      <alignment horizontal="center" vertical="center"/>
    </xf>
    <xf numFmtId="0" fontId="70" fillId="13" borderId="25" xfId="0" applyFont="1" applyFill="1" applyBorder="1" applyAlignment="1" applyProtection="1">
      <alignment horizontal="center" vertical="center"/>
    </xf>
    <xf numFmtId="0" fontId="9" fillId="13" borderId="48" xfId="0" applyFont="1" applyFill="1" applyBorder="1" applyAlignment="1" applyProtection="1">
      <alignment horizontal="center" vertical="center"/>
    </xf>
    <xf numFmtId="0" fontId="9" fillId="13" borderId="24" xfId="0" applyFont="1" applyFill="1" applyBorder="1" applyAlignment="1" applyProtection="1">
      <alignment horizontal="center" vertical="center"/>
    </xf>
    <xf numFmtId="0" fontId="9" fillId="0" borderId="45" xfId="0" applyFont="1" applyFill="1" applyBorder="1" applyAlignment="1" applyProtection="1">
      <alignment horizontal="center" vertical="center"/>
    </xf>
    <xf numFmtId="0" fontId="9" fillId="0" borderId="23" xfId="0" applyFont="1" applyFill="1" applyBorder="1" applyAlignment="1" applyProtection="1">
      <alignment horizontal="center" vertical="center"/>
    </xf>
    <xf numFmtId="0" fontId="89" fillId="46" borderId="5" xfId="0" applyFont="1" applyFill="1" applyBorder="1" applyAlignment="1" applyProtection="1">
      <alignment horizontal="left" vertical="center" wrapText="1"/>
    </xf>
    <xf numFmtId="0" fontId="89" fillId="46" borderId="6" xfId="0" applyFont="1" applyFill="1" applyBorder="1" applyAlignment="1" applyProtection="1">
      <alignment horizontal="left" vertical="center" wrapText="1"/>
    </xf>
    <xf numFmtId="0" fontId="89" fillId="46" borderId="7" xfId="0" applyFont="1" applyFill="1" applyBorder="1" applyAlignment="1" applyProtection="1">
      <alignment horizontal="left" vertical="center" wrapText="1"/>
    </xf>
    <xf numFmtId="0" fontId="0" fillId="46" borderId="5" xfId="0" applyFont="1" applyFill="1" applyBorder="1" applyAlignment="1" applyProtection="1">
      <alignment horizontal="left" vertical="top" wrapText="1"/>
      <protection locked="0"/>
    </xf>
    <xf numFmtId="0" fontId="0" fillId="46" borderId="6" xfId="0" applyFont="1" applyFill="1" applyBorder="1" applyAlignment="1" applyProtection="1">
      <alignment horizontal="left" vertical="top" wrapText="1"/>
      <protection locked="0"/>
    </xf>
    <xf numFmtId="0" fontId="0" fillId="46" borderId="7" xfId="0" applyFont="1" applyFill="1" applyBorder="1" applyAlignment="1" applyProtection="1">
      <alignment horizontal="left" vertical="top" wrapText="1"/>
      <protection locked="0"/>
    </xf>
    <xf numFmtId="0" fontId="61" fillId="14" borderId="17" xfId="0" applyFont="1" applyFill="1" applyBorder="1" applyAlignment="1" applyProtection="1">
      <alignment horizontal="center" vertical="top" wrapText="1"/>
    </xf>
    <xf numFmtId="0" fontId="61" fillId="14" borderId="18" xfId="0" applyFont="1" applyFill="1" applyBorder="1" applyAlignment="1" applyProtection="1">
      <alignment horizontal="center" vertical="top" wrapText="1"/>
    </xf>
    <xf numFmtId="0" fontId="61" fillId="14" borderId="19" xfId="0" applyFont="1" applyFill="1" applyBorder="1" applyAlignment="1" applyProtection="1">
      <alignment horizontal="center" vertical="top" wrapText="1"/>
    </xf>
    <xf numFmtId="0" fontId="89" fillId="40" borderId="1" xfId="0" applyFont="1" applyFill="1" applyBorder="1" applyAlignment="1" applyProtection="1">
      <alignment horizontal="left" vertical="top" wrapText="1"/>
    </xf>
    <xf numFmtId="0" fontId="89" fillId="40" borderId="2" xfId="0" applyFont="1" applyFill="1" applyBorder="1" applyAlignment="1" applyProtection="1">
      <alignment horizontal="left" vertical="top" wrapText="1"/>
    </xf>
    <xf numFmtId="0" fontId="89" fillId="40" borderId="3" xfId="0" applyFont="1" applyFill="1" applyBorder="1" applyAlignment="1" applyProtection="1">
      <alignment horizontal="left" vertical="top" wrapText="1"/>
    </xf>
    <xf numFmtId="0" fontId="85" fillId="46" borderId="17" xfId="0" applyFont="1" applyFill="1" applyBorder="1" applyAlignment="1" applyProtection="1">
      <alignment horizontal="left" wrapText="1"/>
      <protection locked="0"/>
    </xf>
    <xf numFmtId="0" fontId="85" fillId="46" borderId="18" xfId="0" applyFont="1" applyFill="1" applyBorder="1" applyAlignment="1" applyProtection="1">
      <alignment horizontal="left" wrapText="1"/>
      <protection locked="0"/>
    </xf>
    <xf numFmtId="0" fontId="0" fillId="46" borderId="18" xfId="0" applyFont="1" applyFill="1" applyBorder="1" applyAlignment="1" applyProtection="1">
      <protection locked="0"/>
    </xf>
    <xf numFmtId="0" fontId="83" fillId="46" borderId="1" xfId="0" applyFont="1" applyFill="1" applyBorder="1" applyAlignment="1" applyProtection="1">
      <alignment horizontal="left" vertical="top" wrapText="1"/>
    </xf>
    <xf numFmtId="0" fontId="0" fillId="46" borderId="2" xfId="0" applyFont="1" applyFill="1" applyBorder="1" applyAlignment="1" applyProtection="1">
      <alignment horizontal="left" vertical="top" wrapText="1"/>
    </xf>
    <xf numFmtId="0" fontId="89" fillId="3" borderId="1" xfId="0" applyFont="1" applyFill="1" applyBorder="1" applyAlignment="1" applyProtection="1">
      <alignment horizontal="left" vertical="center" wrapText="1"/>
    </xf>
    <xf numFmtId="0" fontId="89" fillId="3" borderId="2" xfId="0" applyFont="1" applyFill="1" applyBorder="1" applyAlignment="1" applyProtection="1">
      <alignment horizontal="left" vertical="center" wrapText="1"/>
    </xf>
    <xf numFmtId="0" fontId="89" fillId="3" borderId="3" xfId="0" applyFont="1" applyFill="1" applyBorder="1" applyAlignment="1" applyProtection="1">
      <alignment horizontal="left" vertical="center" wrapText="1"/>
    </xf>
    <xf numFmtId="0" fontId="89" fillId="7" borderId="40" xfId="0" applyFont="1" applyFill="1" applyBorder="1" applyAlignment="1" applyProtection="1">
      <alignment horizontal="left" vertical="center" wrapText="1"/>
    </xf>
    <xf numFmtId="0" fontId="89" fillId="7" borderId="12" xfId="0" applyFont="1" applyFill="1" applyBorder="1" applyAlignment="1" applyProtection="1">
      <alignment horizontal="left" vertical="center" wrapText="1"/>
    </xf>
    <xf numFmtId="0" fontId="89" fillId="7" borderId="61" xfId="0" applyFont="1" applyFill="1" applyBorder="1" applyAlignment="1" applyProtection="1">
      <alignment horizontal="left" vertical="center" wrapText="1"/>
    </xf>
    <xf numFmtId="0" fontId="89" fillId="7" borderId="62" xfId="0" applyFont="1" applyFill="1" applyBorder="1" applyAlignment="1" applyProtection="1">
      <alignment horizontal="left" vertical="center" wrapText="1"/>
    </xf>
    <xf numFmtId="0" fontId="89" fillId="7" borderId="10" xfId="0" applyFont="1" applyFill="1" applyBorder="1" applyAlignment="1" applyProtection="1">
      <alignment horizontal="left" vertical="center" wrapText="1"/>
    </xf>
    <xf numFmtId="0" fontId="2" fillId="7" borderId="11" xfId="0" applyFont="1" applyFill="1" applyBorder="1" applyAlignment="1" applyProtection="1">
      <alignment horizontal="left"/>
    </xf>
    <xf numFmtId="0" fontId="2" fillId="0" borderId="37" xfId="0" applyFont="1" applyBorder="1" applyAlignment="1" applyProtection="1">
      <alignment horizontal="center"/>
    </xf>
    <xf numFmtId="0" fontId="2" fillId="0" borderId="82" xfId="0" applyFont="1" applyBorder="1" applyAlignment="1" applyProtection="1">
      <alignment horizontal="center"/>
    </xf>
    <xf numFmtId="0" fontId="9" fillId="13" borderId="31" xfId="0" applyFont="1" applyFill="1" applyBorder="1" applyAlignment="1" applyProtection="1">
      <alignment horizontal="center" vertical="center"/>
    </xf>
    <xf numFmtId="0" fontId="9" fillId="13" borderId="82" xfId="0" applyFont="1" applyFill="1" applyBorder="1" applyAlignment="1" applyProtection="1">
      <alignment horizontal="center" vertical="center"/>
    </xf>
    <xf numFmtId="0" fontId="9" fillId="0" borderId="87" xfId="0" applyFont="1" applyFill="1" applyBorder="1" applyAlignment="1" applyProtection="1">
      <alignment horizontal="center" vertical="center"/>
    </xf>
    <xf numFmtId="0" fontId="12" fillId="44" borderId="5" xfId="0" applyFont="1" applyFill="1" applyBorder="1" applyAlignment="1" applyProtection="1">
      <alignment horizontal="center" vertical="center"/>
    </xf>
    <xf numFmtId="0" fontId="12" fillId="44" borderId="6" xfId="0" applyFont="1" applyFill="1" applyBorder="1" applyAlignment="1" applyProtection="1">
      <alignment horizontal="center" vertical="center"/>
    </xf>
    <xf numFmtId="0" fontId="12" fillId="44" borderId="7" xfId="0" applyFont="1" applyFill="1" applyBorder="1" applyAlignment="1" applyProtection="1">
      <alignment horizontal="center" vertical="center"/>
    </xf>
    <xf numFmtId="0" fontId="13" fillId="7" borderId="38" xfId="0" applyFont="1" applyFill="1" applyBorder="1" applyAlignment="1" applyProtection="1">
      <alignment horizontal="right" vertical="center"/>
    </xf>
    <xf numFmtId="0" fontId="13" fillId="7" borderId="39" xfId="0" applyFont="1" applyFill="1" applyBorder="1" applyAlignment="1" applyProtection="1">
      <alignment horizontal="right" vertical="center"/>
    </xf>
    <xf numFmtId="0" fontId="89" fillId="40" borderId="5" xfId="0" applyFont="1" applyFill="1" applyBorder="1" applyAlignment="1" applyProtection="1">
      <alignment horizontal="right" vertical="center"/>
    </xf>
    <xf numFmtId="0" fontId="89" fillId="40" borderId="6" xfId="0" applyFont="1" applyFill="1" applyBorder="1" applyAlignment="1" applyProtection="1">
      <alignment horizontal="right" vertical="center"/>
    </xf>
    <xf numFmtId="0" fontId="89" fillId="40" borderId="7" xfId="0" applyFont="1" applyFill="1" applyBorder="1" applyAlignment="1" applyProtection="1">
      <alignment horizontal="right" vertical="center"/>
    </xf>
    <xf numFmtId="0" fontId="89" fillId="40" borderId="74" xfId="0" applyFont="1" applyFill="1" applyBorder="1" applyAlignment="1" applyProtection="1">
      <alignment horizontal="right" vertical="center"/>
    </xf>
    <xf numFmtId="0" fontId="89" fillId="40" borderId="75" xfId="0" applyFont="1" applyFill="1" applyBorder="1" applyAlignment="1" applyProtection="1">
      <alignment horizontal="right" vertical="center"/>
    </xf>
    <xf numFmtId="0" fontId="89" fillId="40" borderId="77" xfId="0" applyFont="1" applyFill="1" applyBorder="1" applyAlignment="1" applyProtection="1">
      <alignment horizontal="right" vertical="center"/>
    </xf>
    <xf numFmtId="0" fontId="83" fillId="46" borderId="5" xfId="0" applyFont="1" applyFill="1" applyBorder="1" applyAlignment="1" applyProtection="1">
      <alignment horizontal="left" vertical="center" wrapText="1"/>
    </xf>
    <xf numFmtId="0" fontId="83" fillId="46" borderId="6" xfId="0" applyFont="1" applyFill="1" applyBorder="1" applyAlignment="1" applyProtection="1">
      <alignment horizontal="left" vertical="center" wrapText="1"/>
    </xf>
    <xf numFmtId="0" fontId="83" fillId="46" borderId="7" xfId="0" applyFont="1" applyFill="1" applyBorder="1" applyAlignment="1" applyProtection="1">
      <alignment horizontal="left" vertical="center" wrapText="1"/>
    </xf>
    <xf numFmtId="14" fontId="75" fillId="46" borderId="1" xfId="0" applyNumberFormat="1" applyFont="1" applyFill="1" applyBorder="1" applyAlignment="1" applyProtection="1">
      <alignment horizontal="center" vertical="center" wrapText="1"/>
      <protection locked="0"/>
    </xf>
    <xf numFmtId="14" fontId="75" fillId="46" borderId="2" xfId="0" applyNumberFormat="1" applyFont="1" applyFill="1" applyBorder="1" applyAlignment="1" applyProtection="1">
      <alignment horizontal="center" vertical="center" wrapText="1"/>
      <protection locked="0"/>
    </xf>
    <xf numFmtId="0" fontId="85" fillId="14" borderId="17" xfId="0" applyFont="1" applyFill="1" applyBorder="1" applyAlignment="1" applyProtection="1">
      <alignment horizontal="left" wrapText="1"/>
    </xf>
    <xf numFmtId="0" fontId="85" fillId="14" borderId="18" xfId="0" applyFont="1" applyFill="1" applyBorder="1" applyAlignment="1" applyProtection="1">
      <alignment horizontal="left" wrapText="1"/>
    </xf>
    <xf numFmtId="0" fontId="0" fillId="0" borderId="19" xfId="0" applyFont="1" applyBorder="1" applyAlignment="1" applyProtection="1"/>
    <xf numFmtId="0" fontId="11" fillId="46" borderId="69" xfId="0" applyFont="1" applyFill="1" applyBorder="1" applyAlignment="1" applyProtection="1">
      <alignment horizontal="center"/>
      <protection locked="0"/>
    </xf>
    <xf numFmtId="0" fontId="11" fillId="46" borderId="2" xfId="0" applyFont="1" applyFill="1" applyBorder="1" applyAlignment="1" applyProtection="1">
      <alignment horizontal="center"/>
      <protection locked="0"/>
    </xf>
    <xf numFmtId="0" fontId="4" fillId="14" borderId="0" xfId="0" applyFont="1" applyFill="1" applyBorder="1" applyAlignment="1" applyProtection="1">
      <alignment horizontal="left"/>
    </xf>
    <xf numFmtId="0" fontId="84" fillId="10" borderId="6" xfId="0" applyFont="1" applyFill="1" applyBorder="1" applyAlignment="1" applyProtection="1">
      <alignment horizontal="right" wrapText="1"/>
    </xf>
    <xf numFmtId="0" fontId="84" fillId="10" borderId="7" xfId="0" applyFont="1" applyFill="1" applyBorder="1" applyAlignment="1" applyProtection="1">
      <alignment horizontal="right" wrapText="1"/>
    </xf>
    <xf numFmtId="0" fontId="13" fillId="7" borderId="10" xfId="0" applyFont="1" applyFill="1" applyBorder="1" applyAlignment="1" applyProtection="1">
      <alignment horizontal="left" vertical="center" wrapText="1"/>
    </xf>
    <xf numFmtId="0" fontId="13" fillId="7" borderId="11" xfId="0" applyFont="1" applyFill="1" applyBorder="1" applyAlignment="1" applyProtection="1">
      <alignment horizontal="left" vertical="center" wrapText="1"/>
    </xf>
    <xf numFmtId="0" fontId="83" fillId="3" borderId="74" xfId="0" applyFont="1" applyFill="1" applyBorder="1" applyAlignment="1" applyProtection="1">
      <alignment horizontal="left" vertical="center" wrapText="1"/>
    </xf>
    <xf numFmtId="0" fontId="0" fillId="0" borderId="75" xfId="0" applyFont="1" applyBorder="1" applyAlignment="1" applyProtection="1">
      <alignment horizontal="left" vertical="center" wrapText="1"/>
    </xf>
    <xf numFmtId="0" fontId="13" fillId="7" borderId="23" xfId="0" applyFont="1" applyFill="1" applyBorder="1" applyAlignment="1" applyProtection="1">
      <alignment horizontal="left" vertical="center" wrapText="1"/>
    </xf>
    <xf numFmtId="0" fontId="10" fillId="7" borderId="24" xfId="0" applyFont="1" applyFill="1" applyBorder="1" applyAlignment="1" applyProtection="1">
      <alignment horizontal="left"/>
    </xf>
    <xf numFmtId="0" fontId="10" fillId="7" borderId="11" xfId="0" applyFont="1" applyFill="1" applyBorder="1" applyAlignment="1" applyProtection="1">
      <alignment horizontal="left"/>
    </xf>
    <xf numFmtId="0" fontId="84" fillId="10" borderId="14" xfId="0" applyFont="1" applyFill="1" applyBorder="1" applyAlignment="1" applyProtection="1">
      <alignment horizontal="right" wrapText="1"/>
    </xf>
    <xf numFmtId="0" fontId="84" fillId="10" borderId="15" xfId="0" applyFont="1" applyFill="1" applyBorder="1" applyAlignment="1" applyProtection="1">
      <alignment horizontal="right" wrapText="1"/>
    </xf>
    <xf numFmtId="0" fontId="89" fillId="40" borderId="1" xfId="0" applyFont="1" applyFill="1" applyBorder="1" applyAlignment="1" applyProtection="1">
      <alignment horizontal="left" vertical="center" wrapText="1"/>
    </xf>
    <xf numFmtId="0" fontId="89" fillId="40" borderId="2" xfId="0" applyFont="1" applyFill="1" applyBorder="1" applyAlignment="1" applyProtection="1">
      <alignment horizontal="left" vertical="center" wrapText="1"/>
    </xf>
    <xf numFmtId="0" fontId="89" fillId="40" borderId="3" xfId="0" applyFont="1" applyFill="1" applyBorder="1" applyAlignment="1" applyProtection="1">
      <alignment horizontal="left" vertical="center" wrapText="1"/>
    </xf>
    <xf numFmtId="0" fontId="0" fillId="46" borderId="3" xfId="0" applyFont="1" applyFill="1" applyBorder="1" applyAlignment="1" applyProtection="1">
      <alignment horizontal="left" vertical="top" wrapText="1"/>
    </xf>
    <xf numFmtId="0" fontId="0" fillId="46" borderId="17" xfId="0" applyFont="1" applyFill="1" applyBorder="1" applyAlignment="1" applyProtection="1">
      <alignment horizontal="center" vertical="top" wrapText="1"/>
      <protection locked="0"/>
    </xf>
    <xf numFmtId="0" fontId="0" fillId="46" borderId="18" xfId="0" applyFont="1" applyFill="1" applyBorder="1" applyAlignment="1" applyProtection="1">
      <alignment horizontal="center" vertical="top" wrapText="1"/>
      <protection locked="0"/>
    </xf>
    <xf numFmtId="0" fontId="0" fillId="46" borderId="19" xfId="0" applyFont="1" applyFill="1" applyBorder="1" applyAlignment="1" applyProtection="1">
      <alignment horizontal="center" vertical="top" wrapText="1"/>
      <protection locked="0"/>
    </xf>
    <xf numFmtId="0" fontId="79" fillId="42" borderId="0" xfId="0" applyFont="1" applyFill="1" applyBorder="1" applyAlignment="1" applyProtection="1">
      <alignment horizontal="center" vertical="center"/>
    </xf>
    <xf numFmtId="0" fontId="9" fillId="7" borderId="5" xfId="0" applyFont="1" applyFill="1" applyBorder="1" applyAlignment="1" applyProtection="1">
      <alignment horizontal="center" vertical="center" wrapText="1"/>
    </xf>
    <xf numFmtId="0" fontId="9" fillId="7" borderId="6" xfId="0" applyFont="1" applyFill="1" applyBorder="1" applyAlignment="1" applyProtection="1">
      <alignment horizontal="center" vertical="center" wrapText="1"/>
    </xf>
    <xf numFmtId="0" fontId="9" fillId="7" borderId="7" xfId="0" applyFont="1" applyFill="1" applyBorder="1" applyAlignment="1" applyProtection="1">
      <alignment horizontal="center" vertical="center" wrapText="1"/>
    </xf>
    <xf numFmtId="0" fontId="0" fillId="0" borderId="20" xfId="0" applyFont="1" applyBorder="1" applyAlignment="1" applyProtection="1">
      <alignment horizontal="center" vertical="center" wrapText="1"/>
    </xf>
    <xf numFmtId="0" fontId="0" fillId="0" borderId="22" xfId="0" applyFont="1" applyBorder="1" applyAlignment="1" applyProtection="1">
      <alignment horizontal="center" vertical="center" wrapText="1"/>
    </xf>
    <xf numFmtId="0" fontId="0" fillId="0" borderId="37" xfId="0" applyFont="1" applyBorder="1" applyAlignment="1" applyProtection="1">
      <alignment horizontal="center" vertical="center" wrapText="1"/>
    </xf>
    <xf numFmtId="0" fontId="0" fillId="0" borderId="29" xfId="0" applyFont="1" applyBorder="1" applyAlignment="1" applyProtection="1">
      <alignment horizontal="center" vertical="center" wrapText="1"/>
    </xf>
    <xf numFmtId="0" fontId="9" fillId="7" borderId="2" xfId="0" applyFont="1" applyFill="1" applyBorder="1" applyAlignment="1" applyProtection="1">
      <alignment horizontal="center" vertical="center" wrapText="1"/>
    </xf>
    <xf numFmtId="0" fontId="9" fillId="7" borderId="3" xfId="0" applyFont="1" applyFill="1" applyBorder="1" applyAlignment="1" applyProtection="1">
      <alignment horizontal="center" vertical="center" wrapText="1"/>
    </xf>
    <xf numFmtId="0" fontId="9" fillId="7" borderId="1" xfId="0" applyFont="1" applyFill="1" applyBorder="1" applyAlignment="1" applyProtection="1">
      <alignment horizontal="center" vertical="center" wrapText="1"/>
    </xf>
    <xf numFmtId="0" fontId="1" fillId="7" borderId="78" xfId="0" applyFont="1" applyFill="1" applyBorder="1" applyAlignment="1" applyProtection="1">
      <alignment horizontal="center" vertical="center" textRotation="90" wrapText="1"/>
    </xf>
    <xf numFmtId="0" fontId="1" fillId="7" borderId="31" xfId="0" applyFont="1" applyFill="1" applyBorder="1" applyAlignment="1" applyProtection="1">
      <alignment horizontal="center" vertical="center" textRotation="90" wrapText="1"/>
    </xf>
    <xf numFmtId="0" fontId="1" fillId="7" borderId="71" xfId="0" applyFont="1" applyFill="1" applyBorder="1" applyAlignment="1" applyProtection="1">
      <alignment horizontal="center" vertical="center" textRotation="90" wrapText="1"/>
    </xf>
    <xf numFmtId="0" fontId="80" fillId="7" borderId="75" xfId="0" applyFont="1" applyFill="1" applyBorder="1" applyAlignment="1" applyProtection="1">
      <alignment vertical="center" wrapText="1"/>
    </xf>
    <xf numFmtId="0" fontId="80" fillId="7" borderId="76" xfId="0" applyFont="1" applyFill="1" applyBorder="1" applyAlignment="1" applyProtection="1">
      <alignment vertical="center" wrapText="1"/>
    </xf>
    <xf numFmtId="0" fontId="80" fillId="7" borderId="5" xfId="0" applyFont="1" applyFill="1" applyBorder="1" applyAlignment="1" applyProtection="1">
      <alignment vertical="center" wrapText="1"/>
    </xf>
    <xf numFmtId="0" fontId="80" fillId="7" borderId="7" xfId="0" applyFont="1" applyFill="1" applyBorder="1" applyAlignment="1" applyProtection="1">
      <alignment vertical="center" wrapText="1"/>
    </xf>
    <xf numFmtId="0" fontId="80" fillId="7" borderId="77" xfId="0" applyFont="1" applyFill="1" applyBorder="1" applyAlignment="1" applyProtection="1">
      <alignment horizontal="left" vertical="center" wrapText="1"/>
    </xf>
    <xf numFmtId="0" fontId="80" fillId="7" borderId="7" xfId="0" applyFont="1" applyFill="1" applyBorder="1" applyAlignment="1" applyProtection="1">
      <alignment horizontal="left" vertical="center" wrapText="1"/>
    </xf>
    <xf numFmtId="0" fontId="0" fillId="9" borderId="38" xfId="0" applyFont="1" applyFill="1" applyBorder="1" applyAlignment="1" applyProtection="1">
      <alignment horizontal="center" vertical="center" wrapText="1"/>
      <protection locked="0"/>
    </xf>
    <xf numFmtId="0" fontId="0" fillId="9" borderId="39" xfId="0" applyFont="1" applyFill="1" applyBorder="1" applyAlignment="1" applyProtection="1">
      <alignment horizontal="center" vertical="center" wrapText="1"/>
      <protection locked="0"/>
    </xf>
    <xf numFmtId="0" fontId="0" fillId="9" borderId="40" xfId="0" applyFont="1" applyFill="1" applyBorder="1" applyAlignment="1" applyProtection="1">
      <alignment horizontal="center" vertical="center" wrapText="1"/>
      <protection locked="0"/>
    </xf>
    <xf numFmtId="0" fontId="0" fillId="9" borderId="12" xfId="0" applyFont="1" applyFill="1" applyBorder="1" applyAlignment="1" applyProtection="1">
      <alignment horizontal="center" vertical="center" wrapText="1"/>
      <protection locked="0"/>
    </xf>
    <xf numFmtId="0" fontId="0" fillId="9" borderId="61" xfId="0" applyFont="1" applyFill="1" applyBorder="1" applyAlignment="1" applyProtection="1">
      <alignment horizontal="center" vertical="center" wrapText="1"/>
      <protection locked="0"/>
    </xf>
    <xf numFmtId="0" fontId="0" fillId="9" borderId="62" xfId="0" applyFont="1" applyFill="1" applyBorder="1" applyAlignment="1" applyProtection="1">
      <alignment horizontal="center" vertical="center" wrapText="1"/>
      <protection locked="0"/>
    </xf>
    <xf numFmtId="0" fontId="0" fillId="9" borderId="46" xfId="0" applyFont="1" applyFill="1" applyBorder="1" applyAlignment="1" applyProtection="1">
      <alignment horizontal="center" vertical="center" wrapText="1"/>
      <protection locked="0"/>
    </xf>
    <xf numFmtId="0" fontId="0" fillId="9" borderId="34" xfId="0" applyFont="1" applyFill="1" applyBorder="1" applyAlignment="1" applyProtection="1">
      <alignment horizontal="center" vertical="center" wrapText="1"/>
      <protection locked="0"/>
    </xf>
    <xf numFmtId="0" fontId="0" fillId="9" borderId="43" xfId="0" applyFont="1" applyFill="1" applyBorder="1" applyAlignment="1" applyProtection="1">
      <alignment horizontal="center" vertical="center" wrapText="1"/>
      <protection locked="0"/>
    </xf>
    <xf numFmtId="0" fontId="0" fillId="9" borderId="5" xfId="0" applyFont="1" applyFill="1" applyBorder="1" applyAlignment="1" applyProtection="1">
      <alignment horizontal="center" vertical="center" wrapText="1"/>
      <protection locked="0"/>
    </xf>
    <xf numFmtId="0" fontId="0" fillId="9" borderId="7" xfId="0" applyFont="1" applyFill="1" applyBorder="1" applyAlignment="1" applyProtection="1">
      <alignment horizontal="center" vertical="center" wrapText="1"/>
      <protection locked="0"/>
    </xf>
    <xf numFmtId="0" fontId="65" fillId="10" borderId="5" xfId="0" applyFont="1" applyFill="1" applyBorder="1" applyAlignment="1" applyProtection="1">
      <alignment horizontal="left" vertical="center"/>
    </xf>
    <xf numFmtId="0" fontId="65" fillId="10" borderId="7" xfId="0" applyFont="1" applyFill="1" applyBorder="1" applyAlignment="1" applyProtection="1">
      <alignment horizontal="left" vertical="center"/>
    </xf>
    <xf numFmtId="0" fontId="0" fillId="0" borderId="61" xfId="0" applyFont="1" applyBorder="1" applyAlignment="1" applyProtection="1">
      <alignment horizontal="center" vertical="center"/>
    </xf>
    <xf numFmtId="0" fontId="0" fillId="0" borderId="70" xfId="0" applyFont="1" applyBorder="1" applyAlignment="1" applyProtection="1">
      <alignment horizontal="center" vertical="center"/>
    </xf>
    <xf numFmtId="0" fontId="0" fillId="0" borderId="84" xfId="0" applyFont="1" applyBorder="1" applyAlignment="1" applyProtection="1">
      <alignment horizontal="center" vertical="center"/>
    </xf>
    <xf numFmtId="0" fontId="0" fillId="0" borderId="14" xfId="0" applyFont="1" applyBorder="1" applyAlignment="1" applyProtection="1">
      <alignment horizontal="center" vertical="center"/>
    </xf>
    <xf numFmtId="0" fontId="0" fillId="0" borderId="16" xfId="0" applyFont="1" applyBorder="1" applyAlignment="1" applyProtection="1">
      <alignment horizontal="center" vertical="center"/>
    </xf>
    <xf numFmtId="0" fontId="0" fillId="9" borderId="32" xfId="0" applyFont="1" applyFill="1" applyBorder="1" applyAlignment="1" applyProtection="1">
      <alignment horizontal="center" vertical="center" wrapText="1"/>
      <protection locked="0"/>
    </xf>
    <xf numFmtId="0" fontId="0" fillId="9" borderId="82" xfId="0" applyFont="1" applyFill="1" applyBorder="1" applyAlignment="1" applyProtection="1">
      <alignment horizontal="center" vertical="center" wrapText="1"/>
      <protection locked="0"/>
    </xf>
    <xf numFmtId="0" fontId="0" fillId="9" borderId="83" xfId="0" applyFont="1" applyFill="1" applyBorder="1" applyAlignment="1" applyProtection="1">
      <alignment horizontal="center" vertical="center" wrapText="1"/>
      <protection locked="0"/>
    </xf>
    <xf numFmtId="0" fontId="0" fillId="0" borderId="38" xfId="0" applyFont="1" applyBorder="1" applyAlignment="1" applyProtection="1">
      <alignment horizontal="center" vertical="center" wrapText="1"/>
    </xf>
    <xf numFmtId="0" fontId="0" fillId="0" borderId="68" xfId="0" applyFont="1" applyBorder="1" applyAlignment="1" applyProtection="1">
      <alignment horizontal="center" vertical="center" wrapText="1"/>
    </xf>
    <xf numFmtId="0" fontId="10" fillId="7" borderId="14" xfId="0" applyFont="1" applyFill="1" applyBorder="1" applyAlignment="1">
      <alignment horizontal="left" vertical="center" wrapText="1" indent="5"/>
    </xf>
    <xf numFmtId="0" fontId="10" fillId="7" borderId="15" xfId="0" applyFont="1" applyFill="1" applyBorder="1" applyAlignment="1">
      <alignment horizontal="left" vertical="center" wrapText="1" indent="5"/>
    </xf>
    <xf numFmtId="0" fontId="10" fillId="7" borderId="10" xfId="0" applyFont="1" applyFill="1" applyBorder="1" applyAlignment="1">
      <alignment horizontal="left" vertical="top" wrapText="1" indent="2"/>
    </xf>
    <xf numFmtId="0" fontId="10" fillId="7" borderId="11" xfId="0" applyFont="1" applyFill="1" applyBorder="1" applyAlignment="1">
      <alignment horizontal="left" vertical="top" wrapText="1" indent="2"/>
    </xf>
    <xf numFmtId="0" fontId="10" fillId="7" borderId="10" xfId="0" applyFont="1" applyFill="1" applyBorder="1" applyAlignment="1">
      <alignment horizontal="left" vertical="top" wrapText="1" indent="4"/>
    </xf>
    <xf numFmtId="0" fontId="10" fillId="7" borderId="11" xfId="0" applyFont="1" applyFill="1" applyBorder="1" applyAlignment="1">
      <alignment horizontal="left" vertical="top" wrapText="1" indent="4"/>
    </xf>
    <xf numFmtId="0" fontId="10" fillId="7" borderId="10" xfId="0" applyFont="1" applyFill="1" applyBorder="1" applyAlignment="1">
      <alignment horizontal="left" vertical="top" wrapText="1" indent="5"/>
    </xf>
    <xf numFmtId="0" fontId="10" fillId="7" borderId="11" xfId="0" applyFont="1" applyFill="1" applyBorder="1" applyAlignment="1">
      <alignment horizontal="left" vertical="top" wrapText="1" indent="5"/>
    </xf>
    <xf numFmtId="0" fontId="10" fillId="7" borderId="20" xfId="0" applyFont="1" applyFill="1" applyBorder="1" applyAlignment="1">
      <alignment horizontal="left" vertical="top" wrapText="1"/>
    </xf>
    <xf numFmtId="0" fontId="10" fillId="7" borderId="21" xfId="0" applyFont="1" applyFill="1" applyBorder="1" applyAlignment="1">
      <alignment horizontal="left" vertical="top" wrapText="1"/>
    </xf>
    <xf numFmtId="0" fontId="10" fillId="7" borderId="14" xfId="0" applyFont="1" applyFill="1" applyBorder="1" applyAlignment="1">
      <alignment horizontal="left" vertical="top" wrapText="1" indent="2"/>
    </xf>
    <xf numFmtId="0" fontId="10" fillId="7" borderId="15" xfId="0" applyFont="1" applyFill="1" applyBorder="1" applyAlignment="1">
      <alignment horizontal="left" vertical="top" wrapText="1" indent="2"/>
    </xf>
    <xf numFmtId="0" fontId="0" fillId="0" borderId="0" xfId="0"/>
    <xf numFmtId="0" fontId="92" fillId="2" borderId="5" xfId="0" applyFont="1" applyFill="1" applyBorder="1" applyAlignment="1" applyProtection="1">
      <alignment horizontal="center" vertical="center"/>
    </xf>
    <xf numFmtId="0" fontId="92" fillId="2" borderId="6" xfId="0" applyFont="1" applyFill="1" applyBorder="1" applyAlignment="1" applyProtection="1">
      <alignment horizontal="center" vertical="center"/>
    </xf>
    <xf numFmtId="0" fontId="92" fillId="2" borderId="7" xfId="0" applyFont="1" applyFill="1" applyBorder="1" applyAlignment="1" applyProtection="1">
      <alignment horizontal="center" vertical="center"/>
    </xf>
    <xf numFmtId="0" fontId="93" fillId="2" borderId="5" xfId="0" applyFont="1" applyFill="1" applyBorder="1" applyAlignment="1" applyProtection="1">
      <alignment horizontal="center" vertical="center"/>
    </xf>
    <xf numFmtId="0" fontId="93" fillId="2" borderId="6" xfId="0" applyFont="1" applyFill="1" applyBorder="1" applyAlignment="1" applyProtection="1">
      <alignment horizontal="center" vertical="center"/>
    </xf>
    <xf numFmtId="0" fontId="93" fillId="2" borderId="7" xfId="0" applyFont="1" applyFill="1" applyBorder="1" applyAlignment="1" applyProtection="1">
      <alignment horizontal="center" vertical="center"/>
    </xf>
    <xf numFmtId="0" fontId="9" fillId="7" borderId="38" xfId="0" applyFont="1" applyFill="1" applyBorder="1" applyAlignment="1" applyProtection="1">
      <alignment horizontal="left" vertical="center" wrapText="1"/>
    </xf>
    <xf numFmtId="0" fontId="9" fillId="7" borderId="44" xfId="0" applyFont="1" applyFill="1" applyBorder="1" applyAlignment="1" applyProtection="1">
      <alignment horizontal="left" vertical="center" wrapText="1"/>
    </xf>
    <xf numFmtId="0" fontId="0" fillId="7" borderId="6" xfId="0" applyFill="1" applyBorder="1" applyAlignment="1" applyProtection="1">
      <alignment horizontal="center" vertical="center"/>
    </xf>
    <xf numFmtId="0" fontId="0" fillId="7" borderId="7" xfId="0" applyFill="1" applyBorder="1" applyAlignment="1" applyProtection="1">
      <alignment horizontal="center" vertical="center"/>
    </xf>
    <xf numFmtId="0" fontId="0" fillId="2" borderId="43" xfId="0" applyFill="1" applyBorder="1" applyAlignment="1" applyProtection="1">
      <alignment horizontal="center" vertical="center"/>
    </xf>
    <xf numFmtId="0" fontId="0" fillId="2" borderId="70" xfId="0" applyFill="1" applyBorder="1" applyAlignment="1" applyProtection="1">
      <alignment horizontal="center" vertical="center"/>
    </xf>
    <xf numFmtId="0" fontId="9" fillId="7" borderId="38" xfId="0" applyFont="1" applyFill="1" applyBorder="1" applyAlignment="1" applyProtection="1">
      <alignment horizontal="left" vertical="center"/>
    </xf>
    <xf numFmtId="0" fontId="9" fillId="7" borderId="44" xfId="0" applyFont="1" applyFill="1" applyBorder="1" applyAlignment="1" applyProtection="1">
      <alignment horizontal="left" vertical="center"/>
    </xf>
    <xf numFmtId="0" fontId="9" fillId="7" borderId="68" xfId="0" applyFont="1" applyFill="1" applyBorder="1" applyAlignment="1" applyProtection="1">
      <alignment horizontal="left" vertical="center"/>
    </xf>
    <xf numFmtId="0" fontId="10" fillId="7" borderId="61" xfId="0" applyFont="1" applyFill="1" applyBorder="1" applyAlignment="1" applyProtection="1">
      <alignment horizontal="left" vertical="center" wrapText="1"/>
    </xf>
    <xf numFmtId="0" fontId="10" fillId="7" borderId="62" xfId="0" applyFont="1" applyFill="1" applyBorder="1" applyAlignment="1" applyProtection="1">
      <alignment horizontal="left" vertical="center"/>
    </xf>
    <xf numFmtId="0" fontId="99" fillId="7" borderId="38" xfId="0" applyFont="1" applyFill="1" applyBorder="1" applyAlignment="1" applyProtection="1">
      <alignment horizontal="left" vertical="center"/>
    </xf>
    <xf numFmtId="0" fontId="99" fillId="7" borderId="44" xfId="0" applyFont="1" applyFill="1" applyBorder="1" applyAlignment="1" applyProtection="1">
      <alignment horizontal="left" vertical="center"/>
    </xf>
    <xf numFmtId="0" fontId="99" fillId="7" borderId="68" xfId="0" applyFont="1" applyFill="1" applyBorder="1" applyAlignment="1" applyProtection="1">
      <alignment horizontal="left" vertical="center"/>
    </xf>
    <xf numFmtId="0" fontId="9" fillId="7" borderId="5"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9" fillId="7" borderId="5" xfId="0" applyFont="1" applyFill="1" applyBorder="1" applyAlignment="1">
      <alignment horizontal="left" vertical="center"/>
    </xf>
    <xf numFmtId="0" fontId="9" fillId="7" borderId="6" xfId="0" applyFont="1" applyFill="1" applyBorder="1" applyAlignment="1">
      <alignment horizontal="left" vertical="center"/>
    </xf>
    <xf numFmtId="0" fontId="9" fillId="7" borderId="7" xfId="0" applyFont="1" applyFill="1" applyBorder="1" applyAlignment="1">
      <alignment horizontal="left" vertical="center"/>
    </xf>
    <xf numFmtId="0" fontId="10" fillId="7" borderId="10" xfId="0" applyFont="1" applyFill="1" applyBorder="1" applyAlignment="1">
      <alignment horizontal="left" vertical="center" wrapText="1" indent="5"/>
    </xf>
    <xf numFmtId="0" fontId="10" fillId="7" borderId="11" xfId="0" applyFont="1" applyFill="1" applyBorder="1" applyAlignment="1">
      <alignment horizontal="left" vertical="center" wrapText="1" indent="5"/>
    </xf>
    <xf numFmtId="0" fontId="79" fillId="43" borderId="5" xfId="0" applyNumberFormat="1" applyFont="1" applyFill="1" applyBorder="1" applyAlignment="1" applyProtection="1">
      <alignment horizontal="center" vertical="center"/>
    </xf>
    <xf numFmtId="0" fontId="79" fillId="43" borderId="6" xfId="0" applyNumberFormat="1" applyFont="1" applyFill="1" applyBorder="1" applyAlignment="1" applyProtection="1">
      <alignment horizontal="center" vertical="center"/>
    </xf>
    <xf numFmtId="0" fontId="17" fillId="7" borderId="1" xfId="6" applyFont="1" applyFill="1" applyBorder="1" applyAlignment="1" applyProtection="1">
      <alignment horizontal="center" vertical="center" wrapText="1"/>
    </xf>
    <xf numFmtId="0" fontId="17" fillId="7" borderId="2" xfId="6" applyFont="1" applyFill="1" applyBorder="1" applyAlignment="1" applyProtection="1">
      <alignment horizontal="center" vertical="center" wrapText="1"/>
    </xf>
    <xf numFmtId="0" fontId="10" fillId="7" borderId="2" xfId="0" applyFont="1" applyFill="1" applyBorder="1" applyAlignment="1" applyProtection="1">
      <alignment horizontal="center" vertical="center" wrapText="1"/>
    </xf>
    <xf numFmtId="0" fontId="9" fillId="7" borderId="1" xfId="0" applyFont="1" applyFill="1" applyBorder="1" applyAlignment="1" applyProtection="1">
      <alignment horizontal="center"/>
    </xf>
    <xf numFmtId="0" fontId="9" fillId="7" borderId="3" xfId="0" applyFont="1" applyFill="1" applyBorder="1" applyAlignment="1" applyProtection="1">
      <alignment horizontal="center"/>
    </xf>
    <xf numFmtId="0" fontId="17" fillId="7" borderId="6" xfId="0" applyFont="1" applyFill="1" applyBorder="1" applyAlignment="1" applyProtection="1">
      <alignment horizontal="center"/>
    </xf>
    <xf numFmtId="0" fontId="10" fillId="7" borderId="6" xfId="0" applyFont="1" applyFill="1" applyBorder="1" applyAlignment="1" applyProtection="1"/>
    <xf numFmtId="0" fontId="10" fillId="7" borderId="7" xfId="0" applyFont="1" applyFill="1" applyBorder="1" applyAlignment="1" applyProtection="1"/>
    <xf numFmtId="0" fontId="17" fillId="7" borderId="5" xfId="0" applyFont="1" applyFill="1" applyBorder="1" applyAlignment="1" applyProtection="1">
      <alignment horizontal="center"/>
    </xf>
    <xf numFmtId="0" fontId="9" fillId="7" borderId="5" xfId="0" applyFont="1" applyFill="1" applyBorder="1" applyAlignment="1" applyProtection="1">
      <alignment horizontal="center"/>
    </xf>
    <xf numFmtId="0" fontId="9" fillId="7" borderId="7" xfId="0" applyFont="1" applyFill="1" applyBorder="1" applyAlignment="1" applyProtection="1">
      <alignment horizontal="center"/>
    </xf>
    <xf numFmtId="0" fontId="9" fillId="7" borderId="45" xfId="0" applyFont="1" applyFill="1" applyBorder="1" applyAlignment="1" applyProtection="1">
      <alignment horizontal="center"/>
    </xf>
    <xf numFmtId="0" fontId="1" fillId="0" borderId="48" xfId="0" applyFont="1" applyBorder="1" applyAlignment="1" applyProtection="1">
      <alignment horizontal="center"/>
    </xf>
    <xf numFmtId="0" fontId="1" fillId="0" borderId="47" xfId="0" applyFont="1" applyBorder="1" applyAlignment="1" applyProtection="1">
      <alignment horizontal="center"/>
    </xf>
    <xf numFmtId="0" fontId="1" fillId="0" borderId="2" xfId="0" applyFont="1" applyBorder="1" applyAlignment="1" applyProtection="1">
      <alignment horizontal="center"/>
    </xf>
    <xf numFmtId="0" fontId="1" fillId="0" borderId="6" xfId="0" applyFont="1" applyBorder="1" applyAlignment="1" applyProtection="1">
      <alignment horizontal="center"/>
    </xf>
    <xf numFmtId="0" fontId="0" fillId="0" borderId="2" xfId="0" applyBorder="1" applyAlignment="1" applyProtection="1">
      <alignment horizontal="center"/>
    </xf>
    <xf numFmtId="0" fontId="0" fillId="0" borderId="3" xfId="0" applyBorder="1" applyAlignment="1" applyProtection="1">
      <alignment horizontal="center"/>
    </xf>
    <xf numFmtId="0" fontId="9" fillId="7" borderId="17" xfId="0" applyFont="1" applyFill="1" applyBorder="1" applyAlignment="1" applyProtection="1">
      <alignment horizontal="left" vertical="center" wrapText="1"/>
    </xf>
    <xf numFmtId="0" fontId="9" fillId="7" borderId="18" xfId="0" applyFont="1" applyFill="1" applyBorder="1" applyAlignment="1" applyProtection="1">
      <alignment horizontal="left" vertical="center" wrapText="1"/>
    </xf>
    <xf numFmtId="0" fontId="9" fillId="7" borderId="19" xfId="0" applyFont="1" applyFill="1" applyBorder="1" applyAlignment="1" applyProtection="1">
      <alignment horizontal="left" vertical="center" wrapText="1"/>
    </xf>
    <xf numFmtId="0" fontId="79" fillId="43" borderId="5" xfId="0" applyFont="1" applyFill="1" applyBorder="1" applyAlignment="1" applyProtection="1">
      <alignment horizontal="center" vertical="center"/>
    </xf>
    <xf numFmtId="0" fontId="79" fillId="43" borderId="6" xfId="0" applyFont="1" applyFill="1" applyBorder="1" applyAlignment="1" applyProtection="1">
      <alignment horizontal="center" vertical="center"/>
    </xf>
    <xf numFmtId="0" fontId="12" fillId="40" borderId="5" xfId="0" applyFont="1" applyFill="1" applyBorder="1" applyAlignment="1" applyProtection="1">
      <alignment horizontal="center" vertical="center"/>
    </xf>
    <xf numFmtId="0" fontId="12" fillId="40" borderId="6" xfId="0" applyFont="1" applyFill="1" applyBorder="1" applyAlignment="1" applyProtection="1">
      <alignment horizontal="center" vertical="center"/>
    </xf>
    <xf numFmtId="0" fontId="12" fillId="40" borderId="2" xfId="0" applyFont="1" applyFill="1" applyBorder="1" applyAlignment="1" applyProtection="1">
      <alignment horizontal="center" vertical="center"/>
    </xf>
    <xf numFmtId="0" fontId="12" fillId="40" borderId="3" xfId="0" applyFont="1" applyFill="1" applyBorder="1" applyAlignment="1" applyProtection="1">
      <alignment horizontal="center" vertical="center"/>
    </xf>
    <xf numFmtId="0" fontId="14" fillId="7" borderId="20" xfId="0" applyFont="1" applyFill="1" applyBorder="1" applyAlignment="1" applyProtection="1">
      <alignment horizontal="center" wrapText="1"/>
    </xf>
    <xf numFmtId="0" fontId="14" fillId="7" borderId="21" xfId="0" applyFont="1" applyFill="1" applyBorder="1" applyAlignment="1" applyProtection="1">
      <alignment horizontal="center"/>
    </xf>
    <xf numFmtId="0" fontId="14" fillId="7" borderId="22" xfId="0" applyFont="1" applyFill="1" applyBorder="1" applyAlignment="1" applyProtection="1">
      <alignment horizontal="center"/>
    </xf>
    <xf numFmtId="0" fontId="14" fillId="7" borderId="10" xfId="0" applyFont="1" applyFill="1" applyBorder="1" applyAlignment="1" applyProtection="1">
      <alignment horizontal="center" wrapText="1"/>
    </xf>
    <xf numFmtId="0" fontId="14" fillId="7" borderId="11" xfId="0" applyFont="1" applyFill="1" applyBorder="1" applyAlignment="1" applyProtection="1">
      <alignment horizontal="center"/>
    </xf>
    <xf numFmtId="0" fontId="14" fillId="7" borderId="13" xfId="0" applyFont="1" applyFill="1" applyBorder="1" applyAlignment="1" applyProtection="1">
      <alignment horizontal="center"/>
    </xf>
    <xf numFmtId="0" fontId="9" fillId="7" borderId="40" xfId="0" applyFont="1" applyFill="1" applyBorder="1" applyAlignment="1" applyProtection="1">
      <alignment horizontal="left" vertical="center" wrapText="1"/>
    </xf>
    <xf numFmtId="0" fontId="9" fillId="7" borderId="42" xfId="0" applyFont="1" applyFill="1" applyBorder="1" applyAlignment="1" applyProtection="1">
      <alignment horizontal="left" vertical="center" wrapText="1"/>
    </xf>
    <xf numFmtId="0" fontId="9" fillId="7" borderId="67" xfId="0" applyFont="1" applyFill="1" applyBorder="1" applyAlignment="1" applyProtection="1">
      <alignment horizontal="left" vertical="center" wrapText="1"/>
    </xf>
    <xf numFmtId="0" fontId="9" fillId="7" borderId="37" xfId="0" applyFont="1" applyFill="1" applyBorder="1" applyAlignment="1" applyProtection="1">
      <alignment horizontal="left" vertical="center" wrapText="1"/>
    </xf>
    <xf numFmtId="0" fontId="9" fillId="7" borderId="29" xfId="0" applyFont="1" applyFill="1" applyBorder="1" applyAlignment="1" applyProtection="1">
      <alignment horizontal="left" vertical="center" wrapText="1"/>
    </xf>
    <xf numFmtId="0" fontId="9" fillId="7" borderId="63" xfId="0" applyFont="1" applyFill="1" applyBorder="1" applyAlignment="1" applyProtection="1">
      <alignment horizontal="left" vertical="center" wrapText="1"/>
    </xf>
    <xf numFmtId="0" fontId="12" fillId="3" borderId="5" xfId="0" applyFont="1" applyFill="1" applyBorder="1" applyAlignment="1" applyProtection="1">
      <alignment horizontal="center" vertical="center"/>
    </xf>
    <xf numFmtId="0" fontId="12" fillId="3" borderId="6" xfId="0" applyFont="1" applyFill="1" applyBorder="1" applyAlignment="1" applyProtection="1">
      <alignment horizontal="center" vertical="center"/>
    </xf>
    <xf numFmtId="0" fontId="12" fillId="3" borderId="7" xfId="0" applyFont="1" applyFill="1" applyBorder="1" applyAlignment="1" applyProtection="1">
      <alignment horizontal="center" vertical="center"/>
    </xf>
    <xf numFmtId="0" fontId="9" fillId="7" borderId="38" xfId="0" applyFont="1" applyFill="1" applyBorder="1" applyAlignment="1" applyProtection="1">
      <alignment horizontal="center" vertical="center" wrapText="1"/>
    </xf>
    <xf numFmtId="0" fontId="9" fillId="7" borderId="39" xfId="0" applyFont="1" applyFill="1" applyBorder="1" applyAlignment="1" applyProtection="1">
      <alignment horizontal="center" vertical="center" wrapText="1"/>
    </xf>
    <xf numFmtId="0" fontId="15" fillId="7" borderId="41" xfId="0" applyFont="1" applyFill="1" applyBorder="1" applyAlignment="1" applyProtection="1">
      <alignment horizontal="left" wrapText="1"/>
    </xf>
    <xf numFmtId="0" fontId="15" fillId="7" borderId="37" xfId="0" applyFont="1" applyFill="1" applyBorder="1" applyAlignment="1" applyProtection="1">
      <alignment horizontal="left" wrapText="1"/>
    </xf>
    <xf numFmtId="0" fontId="15" fillId="7" borderId="33" xfId="0" applyFont="1" applyFill="1" applyBorder="1" applyAlignment="1" applyProtection="1">
      <alignment horizontal="left" wrapText="1"/>
    </xf>
    <xf numFmtId="0" fontId="15" fillId="7" borderId="23" xfId="0" applyFont="1" applyFill="1" applyBorder="1" applyAlignment="1" applyProtection="1">
      <alignment horizontal="left" wrapText="1"/>
    </xf>
    <xf numFmtId="0" fontId="1" fillId="8" borderId="44" xfId="0" applyFont="1" applyFill="1" applyBorder="1" applyAlignment="1" applyProtection="1">
      <alignment horizontal="center" vertical="center"/>
    </xf>
    <xf numFmtId="0" fontId="15" fillId="7" borderId="26" xfId="0" applyFont="1" applyFill="1" applyBorder="1" applyAlignment="1" applyProtection="1">
      <alignment horizontal="left" wrapText="1"/>
    </xf>
    <xf numFmtId="0" fontId="0" fillId="6" borderId="72" xfId="0" applyFont="1" applyFill="1" applyBorder="1" applyAlignment="1" applyProtection="1">
      <alignment horizontal="center" vertical="center" wrapText="1"/>
      <protection locked="0"/>
    </xf>
    <xf numFmtId="0" fontId="0" fillId="6" borderId="27" xfId="0" applyFont="1" applyFill="1" applyBorder="1" applyAlignment="1" applyProtection="1">
      <alignment horizontal="center" vertical="center" wrapText="1"/>
      <protection locked="0"/>
    </xf>
    <xf numFmtId="0" fontId="0" fillId="14" borderId="0" xfId="0" applyFont="1" applyFill="1" applyBorder="1" applyAlignment="1" applyProtection="1">
      <alignment vertical="top" wrapText="1"/>
    </xf>
    <xf numFmtId="0" fontId="0" fillId="14" borderId="31" xfId="0" applyFont="1" applyFill="1" applyBorder="1" applyAlignment="1" applyProtection="1">
      <alignment vertical="top" wrapText="1"/>
    </xf>
    <xf numFmtId="0" fontId="70" fillId="40" borderId="5" xfId="0" applyFont="1" applyFill="1" applyBorder="1" applyAlignment="1" applyProtection="1">
      <alignment horizontal="left" vertical="top" wrapText="1"/>
    </xf>
    <xf numFmtId="0" fontId="70" fillId="40" borderId="6" xfId="0" applyFont="1" applyFill="1" applyBorder="1" applyAlignment="1" applyProtection="1">
      <alignment horizontal="left" vertical="top" wrapText="1"/>
    </xf>
    <xf numFmtId="0" fontId="70" fillId="40" borderId="7" xfId="0" applyFont="1" applyFill="1" applyBorder="1" applyAlignment="1" applyProtection="1">
      <alignment horizontal="left" vertical="top" wrapText="1"/>
    </xf>
    <xf numFmtId="0" fontId="70" fillId="40" borderId="74" xfId="0" applyFont="1" applyFill="1" applyBorder="1" applyAlignment="1" applyProtection="1">
      <alignment vertical="top" wrapText="1"/>
    </xf>
    <xf numFmtId="0" fontId="70" fillId="40" borderId="75" xfId="0" applyFont="1" applyFill="1" applyBorder="1" applyAlignment="1" applyProtection="1">
      <alignment vertical="top" wrapText="1"/>
    </xf>
    <xf numFmtId="0" fontId="70" fillId="40" borderId="76" xfId="0" applyFont="1" applyFill="1" applyBorder="1" applyAlignment="1" applyProtection="1">
      <alignment vertical="top" wrapText="1"/>
    </xf>
    <xf numFmtId="0" fontId="70" fillId="40" borderId="74" xfId="0" applyFont="1" applyFill="1" applyBorder="1" applyAlignment="1" applyProtection="1">
      <alignment horizontal="left" vertical="top" wrapText="1"/>
    </xf>
    <xf numFmtId="0" fontId="70" fillId="40" borderId="75" xfId="0" applyFont="1" applyFill="1" applyBorder="1" applyAlignment="1" applyProtection="1">
      <alignment horizontal="left" vertical="top" wrapText="1"/>
    </xf>
    <xf numFmtId="0" fontId="70" fillId="40" borderId="76" xfId="0" applyFont="1" applyFill="1" applyBorder="1" applyAlignment="1" applyProtection="1">
      <alignment horizontal="left" vertical="top" wrapText="1"/>
    </xf>
  </cellXfs>
  <cellStyles count="250">
    <cellStyle name="20% - 1. jelölőszín" xfId="12" xr:uid="{00000000-0005-0000-0000-000000000000}"/>
    <cellStyle name="20% - 1. jelölőszín 2" xfId="13" xr:uid="{00000000-0005-0000-0000-000001000000}"/>
    <cellStyle name="20% - 1. jelölőszín_20130128_ITS on reporting_Annex I_CA" xfId="14" xr:uid="{00000000-0005-0000-0000-000002000000}"/>
    <cellStyle name="20% - 2. jelölőszín" xfId="15" xr:uid="{00000000-0005-0000-0000-000003000000}"/>
    <cellStyle name="20% - 2. jelölőszín 2" xfId="16" xr:uid="{00000000-0005-0000-0000-000004000000}"/>
    <cellStyle name="20% - 2. jelölőszín_20130128_ITS on reporting_Annex I_CA" xfId="17" xr:uid="{00000000-0005-0000-0000-000005000000}"/>
    <cellStyle name="20% - 3. jelölőszín" xfId="18" xr:uid="{00000000-0005-0000-0000-000006000000}"/>
    <cellStyle name="20% - 3. jelölőszín 2" xfId="19" xr:uid="{00000000-0005-0000-0000-000007000000}"/>
    <cellStyle name="20% - 3. jelölőszín_20130128_ITS on reporting_Annex I_CA" xfId="20" xr:uid="{00000000-0005-0000-0000-000008000000}"/>
    <cellStyle name="20% - 4. jelölőszín" xfId="21" xr:uid="{00000000-0005-0000-0000-000009000000}"/>
    <cellStyle name="20% - 4. jelölőszín 2" xfId="22" xr:uid="{00000000-0005-0000-0000-00000A000000}"/>
    <cellStyle name="20% - 4. jelölőszín_20130128_ITS on reporting_Annex I_CA" xfId="23" xr:uid="{00000000-0005-0000-0000-00000B000000}"/>
    <cellStyle name="20% - 5. jelölőszín" xfId="24" xr:uid="{00000000-0005-0000-0000-00000C000000}"/>
    <cellStyle name="20% - 5. jelölőszín 2" xfId="25" xr:uid="{00000000-0005-0000-0000-00000D000000}"/>
    <cellStyle name="20% - 5. jelölőszín_20130128_ITS on reporting_Annex I_CA" xfId="26" xr:uid="{00000000-0005-0000-0000-00000E000000}"/>
    <cellStyle name="20% - 6. jelölőszín" xfId="27" xr:uid="{00000000-0005-0000-0000-00000F000000}"/>
    <cellStyle name="20% - 6. jelölőszín 2" xfId="28" xr:uid="{00000000-0005-0000-0000-000010000000}"/>
    <cellStyle name="20% - 6. jelölőszín_20130128_ITS on reporting_Annex I_CA" xfId="29" xr:uid="{00000000-0005-0000-0000-000011000000}"/>
    <cellStyle name="20% - Accent1 2" xfId="30" xr:uid="{00000000-0005-0000-0000-000012000000}"/>
    <cellStyle name="20% - Accent1 3" xfId="31" xr:uid="{00000000-0005-0000-0000-000013000000}"/>
    <cellStyle name="20% - Accent2 2" xfId="32" xr:uid="{00000000-0005-0000-0000-000014000000}"/>
    <cellStyle name="20% - Accent2 3" xfId="33" xr:uid="{00000000-0005-0000-0000-000015000000}"/>
    <cellStyle name="20% - Accent3 2" xfId="34" xr:uid="{00000000-0005-0000-0000-000016000000}"/>
    <cellStyle name="20% - Accent3 3" xfId="35" xr:uid="{00000000-0005-0000-0000-000017000000}"/>
    <cellStyle name="20% - Accent4 2" xfId="36" xr:uid="{00000000-0005-0000-0000-000018000000}"/>
    <cellStyle name="20% - Accent4 3" xfId="37" xr:uid="{00000000-0005-0000-0000-000019000000}"/>
    <cellStyle name="20% - Accent5 2" xfId="38" xr:uid="{00000000-0005-0000-0000-00001A000000}"/>
    <cellStyle name="20% - Accent5 3" xfId="39" xr:uid="{00000000-0005-0000-0000-00001B000000}"/>
    <cellStyle name="20% - Accent6 2" xfId="40" xr:uid="{00000000-0005-0000-0000-00001C000000}"/>
    <cellStyle name="20% - Accent6 3" xfId="41" xr:uid="{00000000-0005-0000-0000-00001D000000}"/>
    <cellStyle name="20% - Énfasis1" xfId="42" xr:uid="{00000000-0005-0000-0000-00001E000000}"/>
    <cellStyle name="20% - Énfasis2" xfId="43" xr:uid="{00000000-0005-0000-0000-00001F000000}"/>
    <cellStyle name="20% - Énfasis3" xfId="44" xr:uid="{00000000-0005-0000-0000-000020000000}"/>
    <cellStyle name="20% - Énfasis4" xfId="45" xr:uid="{00000000-0005-0000-0000-000021000000}"/>
    <cellStyle name="20% - Énfasis5" xfId="46" xr:uid="{00000000-0005-0000-0000-000022000000}"/>
    <cellStyle name="20% - Énfasis6" xfId="47" xr:uid="{00000000-0005-0000-0000-000023000000}"/>
    <cellStyle name="40% - 1. jelölőszín" xfId="48" xr:uid="{00000000-0005-0000-0000-000024000000}"/>
    <cellStyle name="40% - 1. jelölőszín 2" xfId="49" xr:uid="{00000000-0005-0000-0000-000025000000}"/>
    <cellStyle name="40% - 1. jelölőszín_20130128_ITS on reporting_Annex I_CA" xfId="50" xr:uid="{00000000-0005-0000-0000-000026000000}"/>
    <cellStyle name="40% - 2. jelölőszín" xfId="51" xr:uid="{00000000-0005-0000-0000-000027000000}"/>
    <cellStyle name="40% - 2. jelölőszín 2" xfId="52" xr:uid="{00000000-0005-0000-0000-000028000000}"/>
    <cellStyle name="40% - 2. jelölőszín_20130128_ITS on reporting_Annex I_CA" xfId="53" xr:uid="{00000000-0005-0000-0000-000029000000}"/>
    <cellStyle name="40% - 3. jelölőszín" xfId="54" xr:uid="{00000000-0005-0000-0000-00002A000000}"/>
    <cellStyle name="40% - 3. jelölőszín 2" xfId="55" xr:uid="{00000000-0005-0000-0000-00002B000000}"/>
    <cellStyle name="40% - 3. jelölőszín_20130128_ITS on reporting_Annex I_CA" xfId="56" xr:uid="{00000000-0005-0000-0000-00002C000000}"/>
    <cellStyle name="40% - 4. jelölőszín" xfId="57" xr:uid="{00000000-0005-0000-0000-00002D000000}"/>
    <cellStyle name="40% - 4. jelölőszín 2" xfId="58" xr:uid="{00000000-0005-0000-0000-00002E000000}"/>
    <cellStyle name="40% - 4. jelölőszín_20130128_ITS on reporting_Annex I_CA" xfId="59" xr:uid="{00000000-0005-0000-0000-00002F000000}"/>
    <cellStyle name="40% - 5. jelölőszín" xfId="60" xr:uid="{00000000-0005-0000-0000-000030000000}"/>
    <cellStyle name="40% - 5. jelölőszín 2" xfId="61" xr:uid="{00000000-0005-0000-0000-000031000000}"/>
    <cellStyle name="40% - 5. jelölőszín_20130128_ITS on reporting_Annex I_CA" xfId="62" xr:uid="{00000000-0005-0000-0000-000032000000}"/>
    <cellStyle name="40% - 6. jelölőszín" xfId="63" xr:uid="{00000000-0005-0000-0000-000033000000}"/>
    <cellStyle name="40% - 6. jelölőszín 2" xfId="64" xr:uid="{00000000-0005-0000-0000-000034000000}"/>
    <cellStyle name="40% - 6. jelölőszín_20130128_ITS on reporting_Annex I_CA" xfId="65" xr:uid="{00000000-0005-0000-0000-000035000000}"/>
    <cellStyle name="40% - Accent1 2" xfId="66" xr:uid="{00000000-0005-0000-0000-000036000000}"/>
    <cellStyle name="40% - Accent1 3" xfId="67" xr:uid="{00000000-0005-0000-0000-000037000000}"/>
    <cellStyle name="40% - Accent2 2" xfId="68" xr:uid="{00000000-0005-0000-0000-000038000000}"/>
    <cellStyle name="40% - Accent2 3" xfId="69" xr:uid="{00000000-0005-0000-0000-000039000000}"/>
    <cellStyle name="40% - Accent3 2" xfId="70" xr:uid="{00000000-0005-0000-0000-00003A000000}"/>
    <cellStyle name="40% - Accent3 3" xfId="71" xr:uid="{00000000-0005-0000-0000-00003B000000}"/>
    <cellStyle name="40% - Accent4 2" xfId="72" xr:uid="{00000000-0005-0000-0000-00003C000000}"/>
    <cellStyle name="40% - Accent4 3" xfId="73" xr:uid="{00000000-0005-0000-0000-00003D000000}"/>
    <cellStyle name="40% - Accent5 2" xfId="74" xr:uid="{00000000-0005-0000-0000-00003E000000}"/>
    <cellStyle name="40% - Accent5 3" xfId="75" xr:uid="{00000000-0005-0000-0000-00003F000000}"/>
    <cellStyle name="40% - Accent6 2" xfId="76" xr:uid="{00000000-0005-0000-0000-000040000000}"/>
    <cellStyle name="40% - Accent6 3" xfId="77" xr:uid="{00000000-0005-0000-0000-000041000000}"/>
    <cellStyle name="40% - Énfasis1" xfId="78" xr:uid="{00000000-0005-0000-0000-000042000000}"/>
    <cellStyle name="40% - Énfasis2" xfId="79" xr:uid="{00000000-0005-0000-0000-000043000000}"/>
    <cellStyle name="40% - Énfasis3" xfId="80" xr:uid="{00000000-0005-0000-0000-000044000000}"/>
    <cellStyle name="40% - Énfasis4" xfId="81" xr:uid="{00000000-0005-0000-0000-000045000000}"/>
    <cellStyle name="40% - Énfasis5" xfId="82" xr:uid="{00000000-0005-0000-0000-000046000000}"/>
    <cellStyle name="40% - Énfasis6" xfId="83" xr:uid="{00000000-0005-0000-0000-000047000000}"/>
    <cellStyle name="60% - 1. jelölőszín" xfId="84" xr:uid="{00000000-0005-0000-0000-000048000000}"/>
    <cellStyle name="60% - 2. jelölőszín" xfId="85" xr:uid="{00000000-0005-0000-0000-000049000000}"/>
    <cellStyle name="60% - 3. jelölőszín" xfId="86" xr:uid="{00000000-0005-0000-0000-00004A000000}"/>
    <cellStyle name="60% - 4. jelölőszín" xfId="87" xr:uid="{00000000-0005-0000-0000-00004B000000}"/>
    <cellStyle name="60% - 5. jelölőszín" xfId="88" xr:uid="{00000000-0005-0000-0000-00004C000000}"/>
    <cellStyle name="60% - 6. jelölőszín" xfId="89" xr:uid="{00000000-0005-0000-0000-00004D000000}"/>
    <cellStyle name="60% - Accent1 2" xfId="90" xr:uid="{00000000-0005-0000-0000-00004E000000}"/>
    <cellStyle name="60% - Accent1 3" xfId="91" xr:uid="{00000000-0005-0000-0000-00004F000000}"/>
    <cellStyle name="60% - Accent2 2" xfId="92" xr:uid="{00000000-0005-0000-0000-000050000000}"/>
    <cellStyle name="60% - Accent2 3" xfId="93" xr:uid="{00000000-0005-0000-0000-000051000000}"/>
    <cellStyle name="60% - Accent3 2" xfId="94" xr:uid="{00000000-0005-0000-0000-000052000000}"/>
    <cellStyle name="60% - Accent3 3" xfId="95" xr:uid="{00000000-0005-0000-0000-000053000000}"/>
    <cellStyle name="60% - Accent4 2" xfId="96" xr:uid="{00000000-0005-0000-0000-000054000000}"/>
    <cellStyle name="60% - Accent4 3" xfId="97" xr:uid="{00000000-0005-0000-0000-000055000000}"/>
    <cellStyle name="60% - Accent5 2" xfId="98" xr:uid="{00000000-0005-0000-0000-000056000000}"/>
    <cellStyle name="60% - Accent5 3" xfId="99" xr:uid="{00000000-0005-0000-0000-000057000000}"/>
    <cellStyle name="60% - Accent6 2" xfId="100" xr:uid="{00000000-0005-0000-0000-000058000000}"/>
    <cellStyle name="60% - Accent6 3" xfId="101" xr:uid="{00000000-0005-0000-0000-000059000000}"/>
    <cellStyle name="60% - Énfasis1" xfId="102" xr:uid="{00000000-0005-0000-0000-00005A000000}"/>
    <cellStyle name="60% - Énfasis2" xfId="103" xr:uid="{00000000-0005-0000-0000-00005B000000}"/>
    <cellStyle name="60% - Énfasis3" xfId="104" xr:uid="{00000000-0005-0000-0000-00005C000000}"/>
    <cellStyle name="60% - Énfasis4" xfId="105" xr:uid="{00000000-0005-0000-0000-00005D000000}"/>
    <cellStyle name="60% - Énfasis5" xfId="106" xr:uid="{00000000-0005-0000-0000-00005E000000}"/>
    <cellStyle name="60% - Énfasis6" xfId="107" xr:uid="{00000000-0005-0000-0000-00005F000000}"/>
    <cellStyle name="Accent1 2" xfId="108" xr:uid="{00000000-0005-0000-0000-000060000000}"/>
    <cellStyle name="Accent1 3" xfId="109" xr:uid="{00000000-0005-0000-0000-000061000000}"/>
    <cellStyle name="Accent2 2" xfId="110" xr:uid="{00000000-0005-0000-0000-000062000000}"/>
    <cellStyle name="Accent2 3" xfId="111" xr:uid="{00000000-0005-0000-0000-000063000000}"/>
    <cellStyle name="Accent3 2" xfId="112" xr:uid="{00000000-0005-0000-0000-000064000000}"/>
    <cellStyle name="Accent3 3" xfId="113" xr:uid="{00000000-0005-0000-0000-000065000000}"/>
    <cellStyle name="Accent4 2" xfId="114" xr:uid="{00000000-0005-0000-0000-000066000000}"/>
    <cellStyle name="Accent4 3" xfId="115" xr:uid="{00000000-0005-0000-0000-000067000000}"/>
    <cellStyle name="Accent5 2" xfId="116" xr:uid="{00000000-0005-0000-0000-000068000000}"/>
    <cellStyle name="Accent5 3" xfId="117" xr:uid="{00000000-0005-0000-0000-000069000000}"/>
    <cellStyle name="Accent6 2" xfId="118" xr:uid="{00000000-0005-0000-0000-00006A000000}"/>
    <cellStyle name="Accent6 3" xfId="119" xr:uid="{00000000-0005-0000-0000-00006B000000}"/>
    <cellStyle name="Bad 2" xfId="120" xr:uid="{00000000-0005-0000-0000-00006C000000}"/>
    <cellStyle name="Bad 3" xfId="121" xr:uid="{00000000-0005-0000-0000-00006D000000}"/>
    <cellStyle name="Bevitel" xfId="122" xr:uid="{00000000-0005-0000-0000-00006E000000}"/>
    <cellStyle name="Buena" xfId="123" xr:uid="{00000000-0005-0000-0000-00006F000000}"/>
    <cellStyle name="BvDAddIn_Currency" xfId="249" xr:uid="{B98C9382-9E82-44BB-BA4E-C4DD03EA849A}"/>
    <cellStyle name="Calculation 2" xfId="124" xr:uid="{00000000-0005-0000-0000-000070000000}"/>
    <cellStyle name="Calculation 3" xfId="125" xr:uid="{00000000-0005-0000-0000-000071000000}"/>
    <cellStyle name="Cálculo" xfId="126" xr:uid="{00000000-0005-0000-0000-000072000000}"/>
    <cellStyle name="Celda de comprobación" xfId="127" xr:uid="{00000000-0005-0000-0000-000073000000}"/>
    <cellStyle name="Celda vinculada" xfId="128" xr:uid="{00000000-0005-0000-0000-000074000000}"/>
    <cellStyle name="Check Cell 2" xfId="129" xr:uid="{00000000-0005-0000-0000-000075000000}"/>
    <cellStyle name="Check Cell 3" xfId="130" xr:uid="{00000000-0005-0000-0000-000076000000}"/>
    <cellStyle name="Cím" xfId="131" xr:uid="{00000000-0005-0000-0000-000077000000}"/>
    <cellStyle name="Címsor 1" xfId="132" xr:uid="{00000000-0005-0000-0000-000078000000}"/>
    <cellStyle name="Címsor 2" xfId="133" xr:uid="{00000000-0005-0000-0000-000079000000}"/>
    <cellStyle name="Címsor 3" xfId="134" xr:uid="{00000000-0005-0000-0000-00007A000000}"/>
    <cellStyle name="Címsor 4" xfId="135" xr:uid="{00000000-0005-0000-0000-00007B000000}"/>
    <cellStyle name="Comma" xfId="1" builtinId="3"/>
    <cellStyle name="Comma 2" xfId="9" xr:uid="{00000000-0005-0000-0000-00007D000000}"/>
    <cellStyle name="Comma 2 2" xfId="242" xr:uid="{00000000-0005-0000-0000-00007E000000}"/>
    <cellStyle name="Comma 2 3" xfId="243" xr:uid="{00000000-0005-0000-0000-00007F000000}"/>
    <cellStyle name="Comma 3" xfId="8" xr:uid="{00000000-0005-0000-0000-000080000000}"/>
    <cellStyle name="Comma 3 2" xfId="244" xr:uid="{00000000-0005-0000-0000-000081000000}"/>
    <cellStyle name="Comma 4" xfId="245" xr:uid="{00000000-0005-0000-0000-000082000000}"/>
    <cellStyle name="Comma 5" xfId="246" xr:uid="{00000000-0005-0000-0000-000083000000}"/>
    <cellStyle name="Ellenőrzőcella" xfId="136" xr:uid="{00000000-0005-0000-0000-000084000000}"/>
    <cellStyle name="Encabezado 4" xfId="137" xr:uid="{00000000-0005-0000-0000-000085000000}"/>
    <cellStyle name="Énfasis1" xfId="138" xr:uid="{00000000-0005-0000-0000-000086000000}"/>
    <cellStyle name="Énfasis2" xfId="139" xr:uid="{00000000-0005-0000-0000-000087000000}"/>
    <cellStyle name="Énfasis3" xfId="140" xr:uid="{00000000-0005-0000-0000-000088000000}"/>
    <cellStyle name="Énfasis4" xfId="141" xr:uid="{00000000-0005-0000-0000-000089000000}"/>
    <cellStyle name="Énfasis5" xfId="142" xr:uid="{00000000-0005-0000-0000-00008A000000}"/>
    <cellStyle name="Énfasis6" xfId="143" xr:uid="{00000000-0005-0000-0000-00008B000000}"/>
    <cellStyle name="Entrada" xfId="144" xr:uid="{00000000-0005-0000-0000-00008C000000}"/>
    <cellStyle name="Explanatory Text 2" xfId="145" xr:uid="{00000000-0005-0000-0000-00008D000000}"/>
    <cellStyle name="Explanatory Text 3" xfId="146" xr:uid="{00000000-0005-0000-0000-00008E000000}"/>
    <cellStyle name="Figyelmeztetés" xfId="147" xr:uid="{00000000-0005-0000-0000-00008F000000}"/>
    <cellStyle name="Good 2" xfId="148" xr:uid="{00000000-0005-0000-0000-000090000000}"/>
    <cellStyle name="Good 3" xfId="149" xr:uid="{00000000-0005-0000-0000-000091000000}"/>
    <cellStyle name="greyed" xfId="150" xr:uid="{00000000-0005-0000-0000-000092000000}"/>
    <cellStyle name="Heading 1 2" xfId="151" xr:uid="{00000000-0005-0000-0000-000093000000}"/>
    <cellStyle name="Heading 1 3" xfId="152" xr:uid="{00000000-0005-0000-0000-000094000000}"/>
    <cellStyle name="Heading 2 2" xfId="153" xr:uid="{00000000-0005-0000-0000-000095000000}"/>
    <cellStyle name="Heading 2 3" xfId="154" xr:uid="{00000000-0005-0000-0000-000096000000}"/>
    <cellStyle name="Heading 3 2" xfId="155" xr:uid="{00000000-0005-0000-0000-000097000000}"/>
    <cellStyle name="Heading 3 3" xfId="156" xr:uid="{00000000-0005-0000-0000-000098000000}"/>
    <cellStyle name="Heading 4 2" xfId="157" xr:uid="{00000000-0005-0000-0000-000099000000}"/>
    <cellStyle name="Heading 4 3" xfId="158" xr:uid="{00000000-0005-0000-0000-00009A000000}"/>
    <cellStyle name="highlightExposure" xfId="159" xr:uid="{00000000-0005-0000-0000-00009B000000}"/>
    <cellStyle name="highlightText" xfId="160" xr:uid="{00000000-0005-0000-0000-00009C000000}"/>
    <cellStyle name="Hipervínculo 2" xfId="161" xr:uid="{00000000-0005-0000-0000-00009D000000}"/>
    <cellStyle name="Hivatkozott cella" xfId="162" xr:uid="{00000000-0005-0000-0000-00009E000000}"/>
    <cellStyle name="Hyperlink 2" xfId="163" xr:uid="{00000000-0005-0000-0000-00009F000000}"/>
    <cellStyle name="Hyperlink 3" xfId="164" xr:uid="{00000000-0005-0000-0000-0000A0000000}"/>
    <cellStyle name="Hyperlink 3 2" xfId="165" xr:uid="{00000000-0005-0000-0000-0000A1000000}"/>
    <cellStyle name="Incorrecto" xfId="166" xr:uid="{00000000-0005-0000-0000-0000A2000000}"/>
    <cellStyle name="Input 2" xfId="167" xr:uid="{00000000-0005-0000-0000-0000A3000000}"/>
    <cellStyle name="Input 3" xfId="168" xr:uid="{00000000-0005-0000-0000-0000A4000000}"/>
    <cellStyle name="inputExposure" xfId="169" xr:uid="{00000000-0005-0000-0000-0000A5000000}"/>
    <cellStyle name="Jegyzet" xfId="170" xr:uid="{00000000-0005-0000-0000-0000A6000000}"/>
    <cellStyle name="Jelölőszín (1)" xfId="171" xr:uid="{00000000-0005-0000-0000-0000A7000000}"/>
    <cellStyle name="Jelölőszín (2)" xfId="172" xr:uid="{00000000-0005-0000-0000-0000A8000000}"/>
    <cellStyle name="Jelölőszín (3)" xfId="173" xr:uid="{00000000-0005-0000-0000-0000A9000000}"/>
    <cellStyle name="Jelölőszín (4)" xfId="174" xr:uid="{00000000-0005-0000-0000-0000AA000000}"/>
    <cellStyle name="Jelölőszín (5)" xfId="175" xr:uid="{00000000-0005-0000-0000-0000AB000000}"/>
    <cellStyle name="Jelölőszín (6)" xfId="176" xr:uid="{00000000-0005-0000-0000-0000AC000000}"/>
    <cellStyle name="Jó" xfId="177" xr:uid="{00000000-0005-0000-0000-0000AD000000}"/>
    <cellStyle name="Kimenet" xfId="178" xr:uid="{00000000-0005-0000-0000-0000AE000000}"/>
    <cellStyle name="Lien hypertexte 2" xfId="179" xr:uid="{00000000-0005-0000-0000-0000AF000000}"/>
    <cellStyle name="Lien hypertexte 3" xfId="180" xr:uid="{00000000-0005-0000-0000-0000B0000000}"/>
    <cellStyle name="Linked Cell 2" xfId="181" xr:uid="{00000000-0005-0000-0000-0000B1000000}"/>
    <cellStyle name="Linked Cell 3" xfId="182" xr:uid="{00000000-0005-0000-0000-0000B2000000}"/>
    <cellStyle name="Magyarázó szöveg" xfId="183" xr:uid="{00000000-0005-0000-0000-0000B3000000}"/>
    <cellStyle name="Millares 2" xfId="184" xr:uid="{00000000-0005-0000-0000-0000B4000000}"/>
    <cellStyle name="Millares 2 2" xfId="185" xr:uid="{00000000-0005-0000-0000-0000B5000000}"/>
    <cellStyle name="Millares 3" xfId="186" xr:uid="{00000000-0005-0000-0000-0000B6000000}"/>
    <cellStyle name="Millares 3 2" xfId="187" xr:uid="{00000000-0005-0000-0000-0000B7000000}"/>
    <cellStyle name="Navadno_List1" xfId="188" xr:uid="{00000000-0005-0000-0000-0000B8000000}"/>
    <cellStyle name="Neutral 2" xfId="189" xr:uid="{00000000-0005-0000-0000-0000B9000000}"/>
    <cellStyle name="Normal" xfId="0" builtinId="0"/>
    <cellStyle name="Normal 10" xfId="5" xr:uid="{00000000-0005-0000-0000-0000BB000000}"/>
    <cellStyle name="Normal 2" xfId="4" xr:uid="{00000000-0005-0000-0000-0000BC000000}"/>
    <cellStyle name="Normal 2 2" xfId="10" xr:uid="{00000000-0005-0000-0000-0000BD000000}"/>
    <cellStyle name="Normal 2 2 2" xfId="6" xr:uid="{00000000-0005-0000-0000-0000BE000000}"/>
    <cellStyle name="Normal 2 2 3" xfId="190" xr:uid="{00000000-0005-0000-0000-0000BF000000}"/>
    <cellStyle name="Normal 2 2 3 2" xfId="191" xr:uid="{00000000-0005-0000-0000-0000C0000000}"/>
    <cellStyle name="Normal 2 2_COREP GL04rev3" xfId="192" xr:uid="{00000000-0005-0000-0000-0000C1000000}"/>
    <cellStyle name="Normal 2 3" xfId="193" xr:uid="{00000000-0005-0000-0000-0000C2000000}"/>
    <cellStyle name="Normal 2 4" xfId="248" xr:uid="{00000000-0005-0000-0000-0000C3000000}"/>
    <cellStyle name="Normal 2 5" xfId="194" xr:uid="{00000000-0005-0000-0000-0000C4000000}"/>
    <cellStyle name="Normal 2_~0149226" xfId="195" xr:uid="{00000000-0005-0000-0000-0000C5000000}"/>
    <cellStyle name="Normal 3" xfId="3" xr:uid="{00000000-0005-0000-0000-0000C6000000}"/>
    <cellStyle name="Normal 3 2" xfId="196" xr:uid="{00000000-0005-0000-0000-0000C7000000}"/>
    <cellStyle name="Normal 3 3" xfId="197" xr:uid="{00000000-0005-0000-0000-0000C8000000}"/>
    <cellStyle name="Normal 3 4" xfId="198" xr:uid="{00000000-0005-0000-0000-0000C9000000}"/>
    <cellStyle name="Normal 3 5" xfId="199" xr:uid="{00000000-0005-0000-0000-0000CA000000}"/>
    <cellStyle name="Normal 3_~1520012" xfId="200" xr:uid="{00000000-0005-0000-0000-0000CB000000}"/>
    <cellStyle name="Normal 4" xfId="201" xr:uid="{00000000-0005-0000-0000-0000CC000000}"/>
    <cellStyle name="Normal 5" xfId="202" xr:uid="{00000000-0005-0000-0000-0000CD000000}"/>
    <cellStyle name="Normal 5 2" xfId="203" xr:uid="{00000000-0005-0000-0000-0000CE000000}"/>
    <cellStyle name="Normal 5_20130128_ITS on reporting_Annex I_CA" xfId="204" xr:uid="{00000000-0005-0000-0000-0000CF000000}"/>
    <cellStyle name="Normal 6" xfId="7" xr:uid="{00000000-0005-0000-0000-0000D0000000}"/>
    <cellStyle name="Normal 6 2" xfId="205" xr:uid="{00000000-0005-0000-0000-0000D1000000}"/>
    <cellStyle name="Normal 7" xfId="206" xr:uid="{00000000-0005-0000-0000-0000D2000000}"/>
    <cellStyle name="Normal 7 2" xfId="207" xr:uid="{00000000-0005-0000-0000-0000D3000000}"/>
    <cellStyle name="Normal 8" xfId="208" xr:uid="{00000000-0005-0000-0000-0000D4000000}"/>
    <cellStyle name="Normal 9" xfId="11" xr:uid="{00000000-0005-0000-0000-0000D5000000}"/>
    <cellStyle name="Normal 9 2" xfId="247" xr:uid="{00000000-0005-0000-0000-0000D6000000}"/>
    <cellStyle name="Normale_2011 04 14 Templates for stress test_bcl" xfId="209" xr:uid="{00000000-0005-0000-0000-0000D7000000}"/>
    <cellStyle name="Notas" xfId="210" xr:uid="{00000000-0005-0000-0000-0000D8000000}"/>
    <cellStyle name="Note 2" xfId="211" xr:uid="{00000000-0005-0000-0000-0000D9000000}"/>
    <cellStyle name="Note 3" xfId="212" xr:uid="{00000000-0005-0000-0000-0000DA000000}"/>
    <cellStyle name="Összesen" xfId="213" xr:uid="{00000000-0005-0000-0000-0000DB000000}"/>
    <cellStyle name="Output 2" xfId="214" xr:uid="{00000000-0005-0000-0000-0000DC000000}"/>
    <cellStyle name="Output 3" xfId="215" xr:uid="{00000000-0005-0000-0000-0000DD000000}"/>
    <cellStyle name="Percent" xfId="2" builtinId="5"/>
    <cellStyle name="Porcentual 2" xfId="216" xr:uid="{00000000-0005-0000-0000-0000DF000000}"/>
    <cellStyle name="Porcentual 2 2" xfId="217" xr:uid="{00000000-0005-0000-0000-0000E0000000}"/>
    <cellStyle name="Prozent 2" xfId="218" xr:uid="{00000000-0005-0000-0000-0000E1000000}"/>
    <cellStyle name="Rossz" xfId="219" xr:uid="{00000000-0005-0000-0000-0000E2000000}"/>
    <cellStyle name="Salida" xfId="220" xr:uid="{00000000-0005-0000-0000-0000E3000000}"/>
    <cellStyle name="Semleges" xfId="221" xr:uid="{00000000-0005-0000-0000-0000E4000000}"/>
    <cellStyle name="showExposure" xfId="222" xr:uid="{00000000-0005-0000-0000-0000E5000000}"/>
    <cellStyle name="Standard 2" xfId="223" xr:uid="{00000000-0005-0000-0000-0000E6000000}"/>
    <cellStyle name="Standard 3" xfId="224" xr:uid="{00000000-0005-0000-0000-0000E7000000}"/>
    <cellStyle name="Standard 3 2" xfId="225" xr:uid="{00000000-0005-0000-0000-0000E8000000}"/>
    <cellStyle name="Standard 4" xfId="226" xr:uid="{00000000-0005-0000-0000-0000E9000000}"/>
    <cellStyle name="Standard_20100129_1559 Jentsch_COREP ON 20100129 COREP preliminary proposal_CR SA" xfId="227" xr:uid="{00000000-0005-0000-0000-0000EA000000}"/>
    <cellStyle name="Számítás" xfId="228" xr:uid="{00000000-0005-0000-0000-0000EB000000}"/>
    <cellStyle name="Texto de advertencia" xfId="229" xr:uid="{00000000-0005-0000-0000-0000EC000000}"/>
    <cellStyle name="Texto explicativo" xfId="230" xr:uid="{00000000-0005-0000-0000-0000ED000000}"/>
    <cellStyle name="Title 2" xfId="231" xr:uid="{00000000-0005-0000-0000-0000EE000000}"/>
    <cellStyle name="Title 3" xfId="232" xr:uid="{00000000-0005-0000-0000-0000EF000000}"/>
    <cellStyle name="Título" xfId="233" xr:uid="{00000000-0005-0000-0000-0000F0000000}"/>
    <cellStyle name="Título 1" xfId="234" xr:uid="{00000000-0005-0000-0000-0000F1000000}"/>
    <cellStyle name="Título 2" xfId="235" xr:uid="{00000000-0005-0000-0000-0000F2000000}"/>
    <cellStyle name="Título 3" xfId="236" xr:uid="{00000000-0005-0000-0000-0000F3000000}"/>
    <cellStyle name="Título_20091015 DE_Proposed amendments to CR SEC_MKR" xfId="237" xr:uid="{00000000-0005-0000-0000-0000F4000000}"/>
    <cellStyle name="Total 2" xfId="238" xr:uid="{00000000-0005-0000-0000-0000F5000000}"/>
    <cellStyle name="Total 3" xfId="239" xr:uid="{00000000-0005-0000-0000-0000F6000000}"/>
    <cellStyle name="Warning Text 2" xfId="240" xr:uid="{00000000-0005-0000-0000-0000F7000000}"/>
    <cellStyle name="Warning Text 3" xfId="241" xr:uid="{00000000-0005-0000-0000-0000F8000000}"/>
  </cellStyles>
  <dxfs count="1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11"/>
        <color theme="1"/>
        <name val="Calibri"/>
        <scheme val="minor"/>
      </font>
      <protection locked="1" hidden="0"/>
    </dxf>
    <dxf>
      <font>
        <b val="0"/>
        <i val="0"/>
        <strike val="0"/>
        <condense val="0"/>
        <extend val="0"/>
        <outline val="0"/>
        <shadow val="0"/>
        <u val="none"/>
        <vertAlign val="baseline"/>
        <sz val="11"/>
        <color theme="1"/>
        <name val="Calibri"/>
        <scheme val="minor"/>
      </font>
      <protection locked="1" hidden="0"/>
    </dxf>
    <dxf>
      <font>
        <b val="0"/>
        <i val="0"/>
        <strike val="0"/>
        <condense val="0"/>
        <extend val="0"/>
        <outline val="0"/>
        <shadow val="0"/>
        <u val="none"/>
        <vertAlign val="baseline"/>
        <sz val="11"/>
        <color theme="1"/>
        <name val="Calibri"/>
        <scheme val="minor"/>
      </font>
      <protection locked="1" hidden="0"/>
    </dxf>
  </dxfs>
  <tableStyles count="0" defaultTableStyle="TableStyleMedium2" defaultPivotStyle="PivotStyleLight16"/>
  <colors>
    <mruColors>
      <color rgb="FFFFCCCC"/>
      <color rgb="FFFF99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2</xdr:col>
      <xdr:colOff>266700</xdr:colOff>
      <xdr:row>28</xdr:row>
      <xdr:rowOff>9525</xdr:rowOff>
    </xdr:from>
    <xdr:ext cx="4924425" cy="1219436"/>
    <xdr:sp macro="" textlink="">
      <xdr:nvSpPr>
        <xdr:cNvPr id="2" name="TextBox 1">
          <a:extLst>
            <a:ext uri="{FF2B5EF4-FFF2-40B4-BE49-F238E27FC236}">
              <a16:creationId xmlns:a16="http://schemas.microsoft.com/office/drawing/2014/main" id="{31E68505-128B-641D-D21B-430A66F57F66}"/>
            </a:ext>
          </a:extLst>
        </xdr:cNvPr>
        <xdr:cNvSpPr txBox="1"/>
      </xdr:nvSpPr>
      <xdr:spPr>
        <a:xfrm>
          <a:off x="2466975" y="5467350"/>
          <a:ext cx="4924425" cy="1219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7200" b="1">
              <a:solidFill>
                <a:schemeClr val="bg1"/>
              </a:solidFill>
            </a:rPr>
            <a:t>Remove</a:t>
          </a:r>
        </a:p>
      </xdr:txBody>
    </xdr:sp>
    <xdr:clientData/>
  </xdr:oneCellAnchor>
  <xdr:oneCellAnchor>
    <xdr:from>
      <xdr:col>2</xdr:col>
      <xdr:colOff>219075</xdr:colOff>
      <xdr:row>70</xdr:row>
      <xdr:rowOff>314325</xdr:rowOff>
    </xdr:from>
    <xdr:ext cx="4924425" cy="1219436"/>
    <xdr:sp macro="" textlink="">
      <xdr:nvSpPr>
        <xdr:cNvPr id="3" name="TextBox 2">
          <a:extLst>
            <a:ext uri="{FF2B5EF4-FFF2-40B4-BE49-F238E27FC236}">
              <a16:creationId xmlns:a16="http://schemas.microsoft.com/office/drawing/2014/main" id="{F5CE7B00-28D9-4D9F-98B9-40536E11D5E9}"/>
            </a:ext>
          </a:extLst>
        </xdr:cNvPr>
        <xdr:cNvSpPr txBox="1"/>
      </xdr:nvSpPr>
      <xdr:spPr>
        <a:xfrm>
          <a:off x="2419350" y="17526000"/>
          <a:ext cx="4924425" cy="1219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7200" b="1">
              <a:solidFill>
                <a:schemeClr val="bg1"/>
              </a:solidFill>
            </a:rPr>
            <a:t>Remove</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N133:N137" totalsRowShown="0" headerRowDxfId="14" dataDxfId="13">
  <autoFilter ref="N133:N137" xr:uid="{00000000-0009-0000-0100-000001000000}"/>
  <tableColumns count="1">
    <tableColumn id="1" xr3:uid="{00000000-0010-0000-0000-000001000000}" name="Column1"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hyperlink" Target="mailto:T+@" TargetMode="External"/><Relationship Id="rId1" Type="http://schemas.openxmlformats.org/officeDocument/2006/relationships/hyperlink" Target="mailto:T+@"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24"/>
  <sheetViews>
    <sheetView zoomScale="115" zoomScaleNormal="115" workbookViewId="0">
      <selection activeCell="B35" sqref="B35"/>
    </sheetView>
  </sheetViews>
  <sheetFormatPr defaultColWidth="0" defaultRowHeight="15" zeroHeight="1"/>
  <cols>
    <col min="1" max="1" width="4.42578125" style="67" customWidth="1"/>
    <col min="2" max="2" width="140.5703125" customWidth="1"/>
    <col min="3" max="3" width="4.42578125" style="67" customWidth="1"/>
    <col min="4" max="4" width="0" hidden="1" customWidth="1"/>
    <col min="5" max="16384" width="9.28515625" hidden="1"/>
  </cols>
  <sheetData>
    <row r="1" spans="1:4" ht="21">
      <c r="A1" s="117"/>
      <c r="B1" s="109" t="s">
        <v>609</v>
      </c>
      <c r="C1" s="124"/>
      <c r="D1" s="57"/>
    </row>
    <row r="2" spans="1:4">
      <c r="A2" s="117"/>
      <c r="B2" s="111"/>
      <c r="C2" s="124"/>
      <c r="D2" s="57"/>
    </row>
    <row r="3" spans="1:4">
      <c r="A3" s="117"/>
      <c r="B3" s="112" t="s">
        <v>226</v>
      </c>
      <c r="C3" s="124"/>
      <c r="D3" s="57"/>
    </row>
    <row r="4" spans="1:4">
      <c r="A4" s="117"/>
      <c r="B4" s="111"/>
      <c r="C4" s="124"/>
      <c r="D4" s="57"/>
    </row>
    <row r="5" spans="1:4" ht="30">
      <c r="A5" s="117"/>
      <c r="B5" s="111" t="s">
        <v>709</v>
      </c>
      <c r="C5" s="124"/>
      <c r="D5" s="57"/>
    </row>
    <row r="6" spans="1:4" s="110" customFormat="1">
      <c r="A6" s="117"/>
      <c r="B6" s="111"/>
      <c r="C6" s="124"/>
      <c r="D6" s="57"/>
    </row>
    <row r="7" spans="1:4">
      <c r="A7" s="117"/>
      <c r="B7" s="111" t="s">
        <v>227</v>
      </c>
      <c r="C7" s="124"/>
      <c r="D7" s="57"/>
    </row>
    <row r="8" spans="1:4">
      <c r="A8" s="117"/>
      <c r="B8" s="111"/>
      <c r="C8" s="124"/>
      <c r="D8" s="57"/>
    </row>
    <row r="9" spans="1:4" ht="30">
      <c r="A9" s="117"/>
      <c r="B9" s="111" t="s">
        <v>616</v>
      </c>
      <c r="C9" s="124"/>
      <c r="D9" s="57"/>
    </row>
    <row r="10" spans="1:4" ht="30">
      <c r="A10" s="117"/>
      <c r="B10" s="111" t="s">
        <v>617</v>
      </c>
      <c r="C10" s="124"/>
      <c r="D10" s="57"/>
    </row>
    <row r="11" spans="1:4">
      <c r="A11" s="117"/>
      <c r="B11" s="111"/>
      <c r="C11" s="124"/>
      <c r="D11" s="57"/>
    </row>
    <row r="12" spans="1:4">
      <c r="A12" s="117"/>
      <c r="B12" s="111" t="s">
        <v>228</v>
      </c>
      <c r="C12" s="124"/>
      <c r="D12" s="57"/>
    </row>
    <row r="13" spans="1:4">
      <c r="A13" s="117"/>
      <c r="B13" s="111" t="s">
        <v>618</v>
      </c>
      <c r="C13" s="124"/>
      <c r="D13" s="57"/>
    </row>
    <row r="14" spans="1:4">
      <c r="A14" s="117"/>
      <c r="B14" s="111" t="s">
        <v>642</v>
      </c>
      <c r="C14" s="124"/>
      <c r="D14" s="57"/>
    </row>
    <row r="15" spans="1:4" ht="74.25" customHeight="1">
      <c r="A15" s="117"/>
      <c r="B15" s="269" t="s">
        <v>793</v>
      </c>
      <c r="C15" s="124"/>
      <c r="D15" s="57"/>
    </row>
    <row r="16" spans="1:4">
      <c r="A16" s="117"/>
      <c r="B16" s="111" t="s">
        <v>229</v>
      </c>
      <c r="C16" s="124"/>
      <c r="D16" s="57"/>
    </row>
    <row r="17" spans="1:4">
      <c r="A17" s="117"/>
      <c r="B17" s="111" t="s">
        <v>230</v>
      </c>
      <c r="C17" s="124"/>
      <c r="D17" s="57"/>
    </row>
    <row r="18" spans="1:4">
      <c r="A18" s="117"/>
      <c r="B18" s="111" t="s">
        <v>231</v>
      </c>
      <c r="C18" s="124"/>
      <c r="D18" s="57"/>
    </row>
    <row r="19" spans="1:4">
      <c r="A19" s="117"/>
      <c r="B19" s="111" t="s">
        <v>232</v>
      </c>
      <c r="C19" s="124"/>
      <c r="D19" s="57"/>
    </row>
    <row r="20" spans="1:4">
      <c r="A20" s="117"/>
      <c r="B20" s="111" t="s">
        <v>233</v>
      </c>
      <c r="C20" s="124"/>
      <c r="D20" s="57"/>
    </row>
    <row r="21" spans="1:4">
      <c r="A21" s="117"/>
      <c r="B21" s="111"/>
      <c r="C21" s="124"/>
      <c r="D21" s="57"/>
    </row>
    <row r="22" spans="1:4" s="110" customFormat="1">
      <c r="A22" s="67"/>
      <c r="B22" s="17" t="s">
        <v>24</v>
      </c>
      <c r="C22" s="67"/>
    </row>
    <row r="23" spans="1:4" s="110" customFormat="1">
      <c r="A23" s="67"/>
      <c r="B23" s="158" t="s">
        <v>25</v>
      </c>
      <c r="C23" s="67"/>
    </row>
    <row r="24" spans="1:4" s="110" customFormat="1">
      <c r="A24" s="67"/>
      <c r="B24" s="18" t="s">
        <v>27</v>
      </c>
      <c r="C24" s="67"/>
    </row>
    <row r="25" spans="1:4" s="110" customFormat="1" ht="15.75" thickBot="1">
      <c r="A25" s="67"/>
      <c r="B25" s="19" t="s">
        <v>26</v>
      </c>
      <c r="C25" s="67"/>
    </row>
    <row r="26" spans="1:4" s="110" customFormat="1">
      <c r="A26" s="67"/>
      <c r="B26" s="159" t="s">
        <v>234</v>
      </c>
      <c r="C26" s="67"/>
    </row>
    <row r="27" spans="1:4" s="110" customFormat="1">
      <c r="A27" s="67"/>
      <c r="B27" s="16"/>
      <c r="C27" s="67"/>
    </row>
    <row r="28" spans="1:4" s="110" customFormat="1">
      <c r="A28" s="67"/>
      <c r="B28" s="15" t="s">
        <v>235</v>
      </c>
      <c r="C28" s="67"/>
    </row>
    <row r="29" spans="1:4" s="110" customFormat="1">
      <c r="A29" s="67"/>
      <c r="B29" s="20"/>
      <c r="C29" s="67"/>
    </row>
    <row r="30" spans="1:4" s="110" customFormat="1">
      <c r="A30" s="67"/>
      <c r="B30" s="21" t="s">
        <v>236</v>
      </c>
      <c r="C30" s="67"/>
    </row>
    <row r="31" spans="1:4">
      <c r="A31" s="117"/>
      <c r="B31" s="111"/>
      <c r="C31" s="124"/>
      <c r="D31" s="57"/>
    </row>
    <row r="32" spans="1:4">
      <c r="A32" s="117"/>
      <c r="B32" s="113" t="s">
        <v>619</v>
      </c>
      <c r="C32" s="124"/>
      <c r="D32" s="57"/>
    </row>
    <row r="33" spans="1:4">
      <c r="A33" s="117"/>
      <c r="B33" s="114"/>
      <c r="C33" s="124"/>
      <c r="D33" s="57"/>
    </row>
    <row r="34" spans="1:4" s="110" customFormat="1">
      <c r="A34" s="117"/>
      <c r="B34" s="113" t="s">
        <v>1111</v>
      </c>
      <c r="C34" s="124"/>
      <c r="D34" s="57"/>
    </row>
    <row r="35" spans="1:4" s="110" customFormat="1">
      <c r="A35" s="117"/>
      <c r="B35" s="22" t="s">
        <v>643</v>
      </c>
      <c r="C35" s="124"/>
      <c r="D35" s="57"/>
    </row>
    <row r="36" spans="1:4" s="110" customFormat="1">
      <c r="A36" s="117"/>
      <c r="B36" s="22" t="s">
        <v>644</v>
      </c>
      <c r="C36" s="124"/>
      <c r="D36" s="57"/>
    </row>
    <row r="37" spans="1:4" s="110" customFormat="1">
      <c r="A37" s="117"/>
      <c r="B37" s="22" t="s">
        <v>645</v>
      </c>
      <c r="C37" s="124"/>
      <c r="D37" s="57"/>
    </row>
    <row r="38" spans="1:4" s="110" customFormat="1">
      <c r="A38" s="117"/>
      <c r="B38" s="114"/>
      <c r="C38" s="124"/>
      <c r="D38" s="57"/>
    </row>
    <row r="39" spans="1:4">
      <c r="A39" s="117"/>
      <c r="B39" s="113" t="s">
        <v>687</v>
      </c>
      <c r="C39" s="124"/>
      <c r="D39" s="57"/>
    </row>
    <row r="40" spans="1:4">
      <c r="A40" s="117"/>
      <c r="B40" s="113" t="s">
        <v>788</v>
      </c>
      <c r="C40" s="124"/>
      <c r="D40" s="57"/>
    </row>
    <row r="41" spans="1:4">
      <c r="A41" s="117"/>
      <c r="B41" s="115"/>
      <c r="C41" s="124"/>
      <c r="D41" s="57"/>
    </row>
    <row r="42" spans="1:4">
      <c r="A42" s="117"/>
      <c r="B42" s="111"/>
      <c r="C42" s="124"/>
      <c r="D42" s="57"/>
    </row>
    <row r="43" spans="1:4">
      <c r="A43" s="117"/>
      <c r="B43" s="116" t="s">
        <v>620</v>
      </c>
      <c r="C43" s="124"/>
      <c r="D43" s="57"/>
    </row>
    <row r="44" spans="1:4">
      <c r="A44" s="117"/>
      <c r="B44" s="113"/>
      <c r="C44" s="124"/>
      <c r="D44" s="57"/>
    </row>
    <row r="45" spans="1:4">
      <c r="A45" s="117"/>
      <c r="B45" s="113" t="s">
        <v>621</v>
      </c>
      <c r="C45" s="124"/>
      <c r="D45" s="57"/>
    </row>
    <row r="46" spans="1:4">
      <c r="A46" s="117"/>
      <c r="B46" s="111"/>
      <c r="C46" s="124"/>
      <c r="D46" s="57"/>
    </row>
    <row r="47" spans="1:4" hidden="1">
      <c r="A47" s="117"/>
      <c r="B47" s="119"/>
      <c r="C47" s="124"/>
      <c r="D47" s="57"/>
    </row>
    <row r="48" spans="1:4" hidden="1">
      <c r="A48" s="117"/>
      <c r="B48" s="120"/>
      <c r="C48" s="124"/>
      <c r="D48" s="57"/>
    </row>
    <row r="49" spans="1:4" hidden="1">
      <c r="A49" s="117"/>
      <c r="B49" s="118"/>
      <c r="C49" s="124"/>
      <c r="D49" s="57"/>
    </row>
    <row r="50" spans="1:4" hidden="1">
      <c r="A50" s="117"/>
      <c r="B50" s="119"/>
      <c r="C50" s="124"/>
      <c r="D50" s="57"/>
    </row>
    <row r="51" spans="1:4" hidden="1">
      <c r="A51" s="117"/>
      <c r="B51" s="120"/>
      <c r="C51" s="124"/>
      <c r="D51" s="57"/>
    </row>
    <row r="52" spans="1:4" hidden="1">
      <c r="A52" s="117"/>
      <c r="B52" s="118"/>
      <c r="C52" s="124"/>
      <c r="D52" s="57"/>
    </row>
    <row r="53" spans="1:4" hidden="1">
      <c r="A53" s="117"/>
      <c r="B53" s="119"/>
      <c r="C53" s="124"/>
      <c r="D53" s="57"/>
    </row>
    <row r="54" spans="1:4" hidden="1">
      <c r="A54" s="117"/>
      <c r="B54" s="120"/>
      <c r="C54" s="124"/>
      <c r="D54" s="57"/>
    </row>
    <row r="55" spans="1:4" hidden="1">
      <c r="A55" s="117"/>
      <c r="B55" s="118"/>
      <c r="C55" s="124"/>
      <c r="D55" s="57"/>
    </row>
    <row r="56" spans="1:4" hidden="1">
      <c r="A56" s="117"/>
      <c r="B56" s="119"/>
      <c r="C56" s="124"/>
      <c r="D56" s="57"/>
    </row>
    <row r="57" spans="1:4" hidden="1">
      <c r="A57" s="117"/>
      <c r="B57" s="119"/>
      <c r="C57" s="124"/>
      <c r="D57" s="57"/>
    </row>
    <row r="58" spans="1:4" hidden="1">
      <c r="A58" s="117"/>
      <c r="B58" s="118"/>
      <c r="C58" s="124"/>
      <c r="D58" s="57"/>
    </row>
    <row r="59" spans="1:4" hidden="1">
      <c r="A59" s="117"/>
      <c r="B59" s="121"/>
      <c r="C59" s="124"/>
      <c r="D59" s="57"/>
    </row>
    <row r="60" spans="1:4" hidden="1">
      <c r="A60" s="117"/>
      <c r="B60" s="122"/>
      <c r="C60" s="124"/>
      <c r="D60" s="57"/>
    </row>
    <row r="61" spans="1:4" hidden="1">
      <c r="A61" s="117"/>
      <c r="B61" s="118"/>
      <c r="C61" s="124"/>
      <c r="D61" s="57"/>
    </row>
    <row r="62" spans="1:4" hidden="1">
      <c r="A62" s="117"/>
      <c r="B62" s="119"/>
      <c r="C62" s="124"/>
      <c r="D62" s="57"/>
    </row>
    <row r="63" spans="1:4" hidden="1">
      <c r="A63" s="117"/>
      <c r="B63" s="122"/>
      <c r="C63" s="124"/>
      <c r="D63" s="57"/>
    </row>
    <row r="64" spans="1:4" hidden="1">
      <c r="A64" s="117"/>
      <c r="B64" s="118"/>
      <c r="C64" s="124"/>
      <c r="D64" s="57"/>
    </row>
    <row r="65" spans="1:4" hidden="1">
      <c r="A65" s="117"/>
      <c r="B65" s="119"/>
      <c r="C65" s="124"/>
      <c r="D65" s="57"/>
    </row>
    <row r="66" spans="1:4" hidden="1">
      <c r="A66" s="124"/>
      <c r="B66" s="117"/>
      <c r="C66" s="124"/>
      <c r="D66" s="57"/>
    </row>
    <row r="67" spans="1:4" hidden="1">
      <c r="A67" s="124"/>
      <c r="B67" s="123"/>
      <c r="C67" s="124"/>
      <c r="D67" s="57"/>
    </row>
    <row r="68" spans="1:4" hidden="1">
      <c r="A68" s="124"/>
      <c r="B68" s="123"/>
      <c r="C68" s="124"/>
      <c r="D68" s="57"/>
    </row>
    <row r="69" spans="1:4" hidden="1">
      <c r="A69" s="124"/>
      <c r="B69" s="117"/>
      <c r="C69" s="124"/>
      <c r="D69" s="57"/>
    </row>
    <row r="70" spans="1:4" hidden="1">
      <c r="A70" s="124"/>
      <c r="B70" s="124"/>
      <c r="C70" s="124"/>
      <c r="D70" s="57"/>
    </row>
    <row r="71" spans="1:4" hidden="1">
      <c r="A71" s="124"/>
      <c r="B71" s="124"/>
      <c r="C71" s="124"/>
      <c r="D71" s="57"/>
    </row>
    <row r="72" spans="1:4" hidden="1">
      <c r="A72" s="124"/>
      <c r="B72" s="124"/>
      <c r="C72" s="124"/>
      <c r="D72" s="57"/>
    </row>
    <row r="73" spans="1:4" hidden="1">
      <c r="A73" s="124"/>
      <c r="B73" s="124"/>
      <c r="C73" s="124"/>
      <c r="D73" s="57"/>
    </row>
    <row r="74" spans="1:4" hidden="1">
      <c r="A74" s="124"/>
      <c r="B74" s="124"/>
      <c r="C74" s="124"/>
      <c r="D74" s="57"/>
    </row>
    <row r="75" spans="1:4" hidden="1">
      <c r="A75" s="124"/>
      <c r="B75" s="124"/>
      <c r="C75" s="124"/>
      <c r="D75" s="57"/>
    </row>
    <row r="76" spans="1:4" hidden="1">
      <c r="A76" s="124"/>
      <c r="B76" s="124"/>
      <c r="C76" s="124"/>
      <c r="D76" s="57"/>
    </row>
    <row r="77" spans="1:4" hidden="1">
      <c r="A77" s="124"/>
      <c r="B77" s="124"/>
      <c r="C77" s="124"/>
      <c r="D77" s="57"/>
    </row>
    <row r="78" spans="1:4" hidden="1">
      <c r="A78" s="124"/>
      <c r="B78" s="124"/>
      <c r="C78" s="124"/>
      <c r="D78" s="57"/>
    </row>
    <row r="79" spans="1:4" hidden="1">
      <c r="A79" s="124"/>
      <c r="B79" s="124"/>
      <c r="C79" s="124"/>
      <c r="D79" s="57"/>
    </row>
    <row r="80" spans="1:4" hidden="1">
      <c r="A80" s="124"/>
      <c r="B80" s="124"/>
      <c r="C80" s="124"/>
      <c r="D80" s="57"/>
    </row>
    <row r="81" spans="1:4" hidden="1">
      <c r="A81" s="124"/>
      <c r="B81" s="124"/>
      <c r="C81" s="124"/>
      <c r="D81" s="57"/>
    </row>
    <row r="82" spans="1:4" hidden="1">
      <c r="A82" s="124"/>
      <c r="B82" s="124"/>
      <c r="C82" s="124"/>
      <c r="D82" s="57"/>
    </row>
    <row r="83" spans="1:4" hidden="1">
      <c r="A83" s="124"/>
      <c r="B83" s="124"/>
      <c r="C83" s="124"/>
      <c r="D83" s="57"/>
    </row>
    <row r="84" spans="1:4" hidden="1">
      <c r="A84" s="124"/>
      <c r="B84" s="124"/>
      <c r="C84" s="124"/>
      <c r="D84" s="57"/>
    </row>
    <row r="85" spans="1:4" hidden="1">
      <c r="A85" s="124"/>
      <c r="B85" s="124"/>
      <c r="C85" s="124"/>
      <c r="D85" s="57"/>
    </row>
    <row r="86" spans="1:4" hidden="1">
      <c r="A86" s="124"/>
      <c r="B86" s="124"/>
      <c r="C86" s="124"/>
      <c r="D86" s="57"/>
    </row>
    <row r="87" spans="1:4" hidden="1">
      <c r="A87" s="124"/>
      <c r="B87" s="124"/>
      <c r="C87" s="124"/>
      <c r="D87" s="57"/>
    </row>
    <row r="88" spans="1:4" hidden="1">
      <c r="A88" s="124"/>
      <c r="B88" s="124"/>
      <c r="C88" s="124"/>
      <c r="D88" s="57"/>
    </row>
    <row r="89" spans="1:4" hidden="1">
      <c r="A89" s="124"/>
      <c r="B89" s="124"/>
      <c r="C89" s="124"/>
      <c r="D89" s="57"/>
    </row>
    <row r="90" spans="1:4" hidden="1">
      <c r="A90" s="124"/>
      <c r="B90" s="124"/>
      <c r="C90" s="124"/>
      <c r="D90" s="57"/>
    </row>
    <row r="91" spans="1:4" hidden="1">
      <c r="A91" s="124"/>
      <c r="B91" s="124"/>
      <c r="C91" s="124"/>
      <c r="D91" s="57"/>
    </row>
    <row r="92" spans="1:4" hidden="1">
      <c r="A92" s="124"/>
      <c r="B92" s="124"/>
      <c r="C92" s="124"/>
      <c r="D92" s="57"/>
    </row>
    <row r="93" spans="1:4" hidden="1">
      <c r="A93" s="124"/>
      <c r="B93" s="124"/>
      <c r="C93" s="124"/>
      <c r="D93" s="57"/>
    </row>
    <row r="94" spans="1:4" hidden="1">
      <c r="A94" s="124"/>
      <c r="B94" s="124"/>
      <c r="C94" s="124"/>
      <c r="D94" s="57"/>
    </row>
    <row r="95" spans="1:4" hidden="1">
      <c r="A95" s="124"/>
      <c r="B95" s="124"/>
      <c r="C95" s="124"/>
      <c r="D95" s="57"/>
    </row>
    <row r="96" spans="1:4" hidden="1">
      <c r="A96" s="124"/>
      <c r="B96" s="124"/>
      <c r="C96" s="124"/>
      <c r="D96" s="57"/>
    </row>
    <row r="97" spans="1:4" hidden="1">
      <c r="A97" s="124"/>
      <c r="B97" s="124"/>
      <c r="C97" s="124"/>
      <c r="D97" s="57"/>
    </row>
    <row r="98" spans="1:4" hidden="1">
      <c r="A98" s="124"/>
      <c r="B98" s="124"/>
      <c r="C98" s="124"/>
      <c r="D98" s="57"/>
    </row>
    <row r="99" spans="1:4" hidden="1">
      <c r="A99" s="124"/>
      <c r="B99" s="124"/>
      <c r="C99" s="124"/>
      <c r="D99" s="57"/>
    </row>
    <row r="100" spans="1:4" hidden="1">
      <c r="A100" s="124"/>
      <c r="B100" s="124"/>
      <c r="C100" s="124"/>
      <c r="D100" s="57"/>
    </row>
    <row r="101" spans="1:4" hidden="1">
      <c r="A101" s="124"/>
      <c r="B101" s="124"/>
      <c r="C101" s="124"/>
      <c r="D101" s="57"/>
    </row>
    <row r="102" spans="1:4" hidden="1">
      <c r="A102" s="124"/>
      <c r="B102" s="124"/>
      <c r="C102" s="124"/>
      <c r="D102" s="57"/>
    </row>
    <row r="103" spans="1:4" hidden="1">
      <c r="A103" s="124"/>
      <c r="B103" s="124"/>
      <c r="C103" s="124"/>
      <c r="D103" s="57"/>
    </row>
    <row r="104" spans="1:4" hidden="1">
      <c r="A104" s="124"/>
      <c r="B104" s="124"/>
      <c r="C104" s="124"/>
      <c r="D104" s="57"/>
    </row>
    <row r="105" spans="1:4" hidden="1">
      <c r="A105" s="124"/>
      <c r="B105" s="124"/>
      <c r="C105" s="124"/>
      <c r="D105" s="57"/>
    </row>
    <row r="106" spans="1:4" hidden="1">
      <c r="A106" s="124"/>
      <c r="B106" s="124"/>
      <c r="C106" s="124"/>
      <c r="D106" s="57"/>
    </row>
    <row r="107" spans="1:4" hidden="1">
      <c r="A107" s="124"/>
      <c r="B107" s="124"/>
      <c r="C107" s="124"/>
      <c r="D107" s="57"/>
    </row>
    <row r="108" spans="1:4" hidden="1">
      <c r="A108" s="124"/>
      <c r="B108" s="124"/>
      <c r="C108" s="124"/>
      <c r="D108" s="57"/>
    </row>
    <row r="109" spans="1:4" hidden="1">
      <c r="A109" s="124"/>
      <c r="B109" s="124"/>
      <c r="C109" s="124"/>
      <c r="D109" s="57"/>
    </row>
    <row r="110" spans="1:4" hidden="1">
      <c r="A110" s="124"/>
      <c r="B110" s="57"/>
      <c r="C110" s="124"/>
      <c r="D110" s="57"/>
    </row>
    <row r="111" spans="1:4" hidden="1">
      <c r="A111" s="124"/>
      <c r="B111" s="57"/>
      <c r="C111" s="124"/>
      <c r="D111" s="57"/>
    </row>
    <row r="112" spans="1:4" hidden="1">
      <c r="A112" s="124"/>
      <c r="B112" s="57"/>
      <c r="C112" s="124"/>
      <c r="D112" s="57"/>
    </row>
    <row r="113" spans="1:4" hidden="1">
      <c r="A113" s="124"/>
      <c r="B113" s="57"/>
      <c r="C113" s="124"/>
      <c r="D113" s="57"/>
    </row>
    <row r="114" spans="1:4" hidden="1">
      <c r="A114" s="124"/>
      <c r="B114" s="57"/>
      <c r="C114" s="124"/>
      <c r="D114" s="57"/>
    </row>
    <row r="115" spans="1:4" hidden="1">
      <c r="A115" s="124"/>
      <c r="B115" s="57"/>
      <c r="C115" s="124"/>
      <c r="D115" s="57"/>
    </row>
    <row r="116" spans="1:4" hidden="1">
      <c r="A116" s="124"/>
      <c r="B116" s="57"/>
      <c r="C116" s="124"/>
      <c r="D116" s="57"/>
    </row>
    <row r="117" spans="1:4" hidden="1">
      <c r="A117" s="124"/>
      <c r="B117" s="57"/>
      <c r="C117" s="124"/>
      <c r="D117" s="57"/>
    </row>
    <row r="118" spans="1:4" hidden="1">
      <c r="A118" s="124"/>
      <c r="B118" s="57"/>
      <c r="C118" s="124"/>
      <c r="D118" s="57"/>
    </row>
    <row r="119" spans="1:4" hidden="1">
      <c r="A119" s="124"/>
      <c r="B119" s="57"/>
      <c r="C119" s="124"/>
      <c r="D119" s="57"/>
    </row>
    <row r="120" spans="1:4" hidden="1">
      <c r="A120" s="124"/>
      <c r="B120" s="57"/>
      <c r="C120" s="124"/>
      <c r="D120" s="57"/>
    </row>
    <row r="121" spans="1:4" hidden="1">
      <c r="A121" s="124"/>
      <c r="B121" s="57"/>
      <c r="C121" s="124"/>
      <c r="D121" s="57"/>
    </row>
    <row r="122" spans="1:4" hidden="1">
      <c r="A122" s="124"/>
      <c r="B122" s="57"/>
      <c r="C122" s="124"/>
      <c r="D122" s="57"/>
    </row>
    <row r="123" spans="1:4" hidden="1">
      <c r="A123" s="124"/>
      <c r="B123" s="57"/>
      <c r="C123" s="124"/>
      <c r="D123" s="57"/>
    </row>
    <row r="124" spans="1:4" ht="21" hidden="1" customHeight="1">
      <c r="A124" s="124"/>
      <c r="B124" s="57"/>
      <c r="C124" s="124"/>
      <c r="D124" s="57"/>
    </row>
  </sheetData>
  <dataValidations count="2">
    <dataValidation type="custom" allowBlank="1" showInputMessage="1" showErrorMessage="1" errorTitle="Incorrect data entered" error="A positive number, or .v (if the value for this item is not available), must be entered." sqref="B26 B22" xr:uid="{00000000-0002-0000-0000-000000000000}">
      <formula1>OR(B22&gt;=0,LOWER(B22)=".v")</formula1>
    </dataValidation>
    <dataValidation allowBlank="1" showInputMessage="1" sqref="B23"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14"/>
  <sheetViews>
    <sheetView workbookViewId="0">
      <selection activeCell="B1" sqref="B1:H1"/>
    </sheetView>
  </sheetViews>
  <sheetFormatPr defaultColWidth="0" defaultRowHeight="15" zeroHeight="1"/>
  <cols>
    <col min="1" max="1" width="9.28515625" customWidth="1"/>
    <col min="2" max="2" width="43" customWidth="1"/>
    <col min="3" max="3" width="9.28515625" customWidth="1"/>
    <col min="4" max="4" width="38.42578125" customWidth="1"/>
    <col min="5" max="8" width="9.28515625" customWidth="1"/>
    <col min="9" max="16384" width="9.28515625" hidden="1"/>
  </cols>
  <sheetData>
    <row r="1" spans="1:8" ht="21">
      <c r="A1" s="104"/>
      <c r="B1" s="396" t="s">
        <v>609</v>
      </c>
      <c r="C1" s="396"/>
      <c r="D1" s="396"/>
      <c r="E1" s="396"/>
      <c r="F1" s="396"/>
      <c r="G1" s="396"/>
      <c r="H1" s="396"/>
    </row>
    <row r="2" spans="1:8" ht="21.75" thickBot="1">
      <c r="A2" s="94"/>
      <c r="B2" s="95"/>
      <c r="C2" s="96"/>
      <c r="D2" s="97"/>
      <c r="E2" s="97"/>
      <c r="F2" s="97"/>
      <c r="G2" s="97"/>
      <c r="H2" s="97"/>
    </row>
    <row r="3" spans="1:8" ht="16.5" thickBot="1">
      <c r="A3" s="94"/>
      <c r="B3" s="96" t="s">
        <v>613</v>
      </c>
      <c r="C3" s="98"/>
      <c r="D3" s="139"/>
      <c r="E3" s="99"/>
      <c r="F3" s="97"/>
      <c r="G3" s="97"/>
      <c r="H3" s="97"/>
    </row>
    <row r="4" spans="1:8" ht="16.5" thickBot="1">
      <c r="A4" s="94"/>
      <c r="B4" s="96"/>
      <c r="C4" s="98"/>
      <c r="D4" s="99"/>
      <c r="E4" s="99"/>
      <c r="F4" s="97"/>
      <c r="G4" s="97"/>
      <c r="H4" s="97"/>
    </row>
    <row r="5" spans="1:8" ht="16.5" thickBot="1">
      <c r="A5" s="94"/>
      <c r="B5" s="96" t="s">
        <v>610</v>
      </c>
      <c r="C5" s="98"/>
      <c r="D5" s="397"/>
      <c r="E5" s="398"/>
      <c r="F5" s="97"/>
      <c r="G5" s="97"/>
      <c r="H5" s="97"/>
    </row>
    <row r="6" spans="1:8" ht="16.5" thickBot="1">
      <c r="A6" s="94"/>
      <c r="B6" s="96"/>
      <c r="C6" s="98"/>
      <c r="D6" s="99"/>
      <c r="E6" s="99"/>
      <c r="F6" s="97"/>
      <c r="G6" s="97"/>
      <c r="H6" s="97"/>
    </row>
    <row r="7" spans="1:8" ht="16.5" thickBot="1">
      <c r="A7" s="94"/>
      <c r="B7" s="100" t="s">
        <v>614</v>
      </c>
      <c r="C7" s="101"/>
      <c r="D7" s="397"/>
      <c r="E7" s="398"/>
      <c r="F7" s="97"/>
      <c r="G7" s="97"/>
      <c r="H7" s="97"/>
    </row>
    <row r="8" spans="1:8" ht="16.5" thickBot="1">
      <c r="A8" s="94"/>
      <c r="B8" s="96"/>
      <c r="C8" s="98"/>
      <c r="D8" s="99"/>
      <c r="E8" s="99"/>
      <c r="F8" s="97"/>
      <c r="G8" s="97"/>
      <c r="H8" s="97"/>
    </row>
    <row r="9" spans="1:8" ht="16.5" thickBot="1">
      <c r="A9" s="94"/>
      <c r="B9" s="96" t="s">
        <v>611</v>
      </c>
      <c r="C9" s="102"/>
      <c r="D9" s="397"/>
      <c r="E9" s="399"/>
      <c r="F9" s="399"/>
      <c r="G9" s="398"/>
      <c r="H9" s="97"/>
    </row>
    <row r="10" spans="1:8" ht="16.5" thickBot="1">
      <c r="A10" s="94"/>
      <c r="B10" s="96"/>
      <c r="C10" s="98"/>
      <c r="D10" s="99"/>
      <c r="E10" s="99"/>
      <c r="F10" s="97"/>
      <c r="G10" s="97"/>
      <c r="H10" s="97"/>
    </row>
    <row r="11" spans="1:8" ht="16.5" thickBot="1">
      <c r="A11" s="94"/>
      <c r="B11" s="96" t="s">
        <v>612</v>
      </c>
      <c r="C11" s="102"/>
      <c r="D11" s="138"/>
      <c r="E11" s="106"/>
      <c r="F11" s="106"/>
      <c r="G11" s="105"/>
      <c r="H11" s="97"/>
    </row>
    <row r="12" spans="1:8" ht="16.5" thickBot="1">
      <c r="A12" s="94"/>
      <c r="B12" s="96"/>
      <c r="C12" s="98"/>
      <c r="D12" s="99"/>
      <c r="E12" s="107"/>
      <c r="F12" s="108"/>
      <c r="G12" s="97"/>
      <c r="H12" s="97"/>
    </row>
    <row r="13" spans="1:8" ht="16.5" thickBot="1">
      <c r="A13" s="94"/>
      <c r="B13" s="96" t="s">
        <v>615</v>
      </c>
      <c r="C13" s="102"/>
      <c r="D13" s="103"/>
      <c r="E13" s="106"/>
      <c r="F13" s="106"/>
      <c r="G13" s="105"/>
      <c r="H13" s="97"/>
    </row>
    <row r="14" spans="1:8" ht="15.75">
      <c r="A14" s="94"/>
      <c r="B14" s="96"/>
      <c r="C14" s="102"/>
      <c r="D14" s="102"/>
      <c r="E14" s="102"/>
      <c r="F14" s="97"/>
      <c r="G14" s="97"/>
      <c r="H14" s="97"/>
    </row>
  </sheetData>
  <mergeCells count="4">
    <mergeCell ref="B1:H1"/>
    <mergeCell ref="D5:E5"/>
    <mergeCell ref="D9:G9"/>
    <mergeCell ref="D7:E7"/>
  </mergeCells>
  <dataValidations count="4">
    <dataValidation type="list" allowBlank="1" showInputMessage="1" showErrorMessage="1" sqref="D3" xr:uid="{00000000-0002-0000-0100-000000000000}">
      <formula1>"AT,BE,BG,CY,DE,EE,ES,FI,FR,GR,HR,IE,IT,LU,LT,LV,MT,NL,PT,SI,SK"</formula1>
    </dataValidation>
    <dataValidation type="list" allowBlank="1" showInputMessage="1" showErrorMessage="1" sqref="D11" xr:uid="{00000000-0002-0000-0100-000001000000}">
      <formula1>"31/12/2022,31/12/2023"</formula1>
    </dataValidation>
    <dataValidation type="list" allowBlank="1" showInputMessage="1" showErrorMessage="1" sqref="D13" xr:uid="{00000000-0002-0000-0100-000002000000}">
      <formula1>"CONS,SOLO"</formula1>
    </dataValidation>
    <dataValidation type="custom" allowBlank="1" showInputMessage="1" showErrorMessage="1" errorTitle="Error - string size" error="LEI code must have exactly 20 characters." sqref="D7:E7" xr:uid="{ADAA9730-1618-4E6D-A3F7-6E1CD57D0FC6}">
      <formula1>LEN(D7)=20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236"/>
  <sheetViews>
    <sheetView tabSelected="1" topLeftCell="A2" zoomScale="85" zoomScaleNormal="85" zoomScaleSheetLayoutView="85" workbookViewId="0">
      <selection activeCell="E115" sqref="E115"/>
    </sheetView>
  </sheetViews>
  <sheetFormatPr defaultColWidth="8.7109375" defaultRowHeight="15" zeroHeight="1"/>
  <cols>
    <col min="1" max="1" width="3.5703125" style="253" customWidth="1"/>
    <col min="2" max="2" width="46.140625" style="66" customWidth="1"/>
    <col min="3" max="3" width="30.42578125" style="66" customWidth="1"/>
    <col min="4" max="4" width="34" style="66" customWidth="1"/>
    <col min="5" max="5" width="29.5703125" style="66" customWidth="1"/>
    <col min="6" max="6" width="24.5703125" style="50" customWidth="1"/>
    <col min="7" max="7" width="20.5703125" style="50" customWidth="1"/>
    <col min="8" max="8" width="25.5703125" style="66" customWidth="1"/>
    <col min="9" max="9" width="25.42578125" style="66" customWidth="1"/>
    <col min="10" max="10" width="37.42578125" style="66" customWidth="1"/>
    <col min="11" max="11" width="48.42578125" style="66" customWidth="1"/>
    <col min="12" max="12" width="33.42578125" style="66" customWidth="1"/>
    <col min="13" max="13" width="27.42578125" style="66" customWidth="1"/>
    <col min="14" max="14" width="32.28515625" style="66" customWidth="1"/>
    <col min="15" max="16" width="80.7109375" style="66" customWidth="1"/>
    <col min="17" max="17" width="37.5703125" style="66" customWidth="1"/>
    <col min="18" max="18" width="8.7109375" style="66" customWidth="1"/>
    <col min="19" max="19" width="42.7109375" style="66" customWidth="1"/>
    <col min="20" max="16384" width="8.7109375" style="66"/>
  </cols>
  <sheetData>
    <row r="1" spans="1:7" ht="15.75" hidden="1" thickBot="1">
      <c r="A1" s="252"/>
      <c r="B1" s="172" t="s">
        <v>97</v>
      </c>
      <c r="C1" s="173">
        <v>1</v>
      </c>
      <c r="D1" s="173">
        <v>2</v>
      </c>
      <c r="E1" s="173">
        <v>3</v>
      </c>
      <c r="F1" s="174"/>
      <c r="G1" s="175"/>
    </row>
    <row r="2" spans="1:7" ht="21.75" thickBot="1">
      <c r="B2" s="454" t="s">
        <v>682</v>
      </c>
      <c r="C2" s="455"/>
      <c r="D2" s="455"/>
      <c r="E2" s="456"/>
      <c r="F2" s="164"/>
      <c r="G2" s="175"/>
    </row>
    <row r="3" spans="1:7" s="50" customFormat="1">
      <c r="A3" s="254"/>
      <c r="B3" s="164"/>
      <c r="C3" s="164"/>
      <c r="D3" s="164"/>
      <c r="E3" s="164"/>
      <c r="F3" s="164"/>
      <c r="G3" s="175"/>
    </row>
    <row r="4" spans="1:7" s="50" customFormat="1" ht="15.75" thickBot="1">
      <c r="A4" s="254"/>
      <c r="B4" s="176"/>
      <c r="C4" s="176"/>
      <c r="D4" s="176"/>
      <c r="E4" s="176"/>
      <c r="F4" s="164"/>
      <c r="G4" s="175"/>
    </row>
    <row r="5" spans="1:7" ht="15.75" thickBot="1">
      <c r="B5" s="459" t="s">
        <v>626</v>
      </c>
      <c r="C5" s="460"/>
      <c r="D5" s="461"/>
      <c r="E5" s="164"/>
      <c r="F5" s="164"/>
      <c r="G5" s="175"/>
    </row>
    <row r="6" spans="1:7">
      <c r="B6" s="457" t="s">
        <v>28</v>
      </c>
      <c r="C6" s="458"/>
      <c r="D6" s="177" t="s">
        <v>3</v>
      </c>
      <c r="E6" s="164"/>
      <c r="F6" s="164"/>
      <c r="G6" s="175"/>
    </row>
    <row r="7" spans="1:7">
      <c r="A7" s="253">
        <v>5</v>
      </c>
      <c r="B7" s="70" t="s">
        <v>103</v>
      </c>
      <c r="C7" s="68" t="s">
        <v>170</v>
      </c>
      <c r="D7" s="69"/>
      <c r="E7" s="164"/>
      <c r="F7" s="164"/>
      <c r="G7" s="175"/>
    </row>
    <row r="8" spans="1:7">
      <c r="A8" s="253">
        <v>6</v>
      </c>
      <c r="B8" s="70" t="s">
        <v>1079</v>
      </c>
      <c r="C8" s="68" t="s">
        <v>170</v>
      </c>
      <c r="D8" s="69"/>
      <c r="E8" s="164"/>
      <c r="F8" s="164"/>
      <c r="G8" s="175"/>
    </row>
    <row r="9" spans="1:7">
      <c r="A9" s="253">
        <v>7</v>
      </c>
      <c r="B9" s="70" t="s">
        <v>1080</v>
      </c>
      <c r="C9" s="68" t="s">
        <v>170</v>
      </c>
      <c r="D9" s="69"/>
      <c r="E9" s="164"/>
      <c r="F9" s="164"/>
      <c r="G9" s="175"/>
    </row>
    <row r="10" spans="1:7" ht="15.75" thickBot="1">
      <c r="A10" s="253">
        <v>8</v>
      </c>
      <c r="B10" s="305" t="s">
        <v>1081</v>
      </c>
      <c r="C10" s="71" t="s">
        <v>170</v>
      </c>
      <c r="D10" s="212"/>
      <c r="E10" s="164"/>
      <c r="F10" s="164"/>
      <c r="G10" s="175"/>
    </row>
    <row r="11" spans="1:7" s="50" customFormat="1" ht="15.75" thickBot="1">
      <c r="A11" s="253"/>
      <c r="B11" s="176"/>
      <c r="C11" s="176"/>
      <c r="D11" s="176"/>
      <c r="E11" s="176"/>
      <c r="F11" s="164"/>
      <c r="G11" s="175"/>
    </row>
    <row r="12" spans="1:7" ht="15.75" thickBot="1">
      <c r="A12" s="254"/>
      <c r="B12" s="462" t="s">
        <v>627</v>
      </c>
      <c r="C12" s="463"/>
      <c r="D12" s="464"/>
      <c r="E12" s="389" t="s">
        <v>3</v>
      </c>
      <c r="F12" s="164"/>
      <c r="G12" s="175"/>
    </row>
    <row r="13" spans="1:7">
      <c r="A13" s="254">
        <v>9</v>
      </c>
      <c r="B13" s="391" t="s">
        <v>33</v>
      </c>
      <c r="C13" s="392" t="s">
        <v>105</v>
      </c>
      <c r="D13" s="392"/>
      <c r="E13" s="393"/>
      <c r="F13" s="164"/>
      <c r="G13" s="175"/>
    </row>
    <row r="14" spans="1:7">
      <c r="A14" s="254">
        <v>10</v>
      </c>
      <c r="B14" s="390" t="s">
        <v>34</v>
      </c>
      <c r="C14" s="392" t="s">
        <v>105</v>
      </c>
      <c r="D14" s="392"/>
      <c r="E14" s="69"/>
      <c r="F14" s="164"/>
      <c r="G14" s="175"/>
    </row>
    <row r="15" spans="1:7">
      <c r="A15" s="254">
        <v>11</v>
      </c>
      <c r="B15" s="390" t="s">
        <v>35</v>
      </c>
      <c r="C15" s="392" t="s">
        <v>105</v>
      </c>
      <c r="D15" s="392"/>
      <c r="E15" s="69"/>
      <c r="F15" s="164"/>
      <c r="G15" s="175"/>
    </row>
    <row r="16" spans="1:7">
      <c r="A16" s="254">
        <v>12</v>
      </c>
      <c r="B16" s="390" t="s">
        <v>36</v>
      </c>
      <c r="C16" s="392" t="s">
        <v>105</v>
      </c>
      <c r="D16" s="392"/>
      <c r="E16" s="69"/>
      <c r="F16" s="164"/>
      <c r="G16" s="175"/>
    </row>
    <row r="17" spans="1:7">
      <c r="A17" s="254">
        <v>13</v>
      </c>
      <c r="B17" s="390" t="s">
        <v>37</v>
      </c>
      <c r="C17" s="392" t="s">
        <v>105</v>
      </c>
      <c r="D17" s="392"/>
      <c r="E17" s="69"/>
      <c r="F17" s="164"/>
      <c r="G17" s="175"/>
    </row>
    <row r="18" spans="1:7">
      <c r="A18" s="254">
        <v>14</v>
      </c>
      <c r="B18" s="390" t="s">
        <v>38</v>
      </c>
      <c r="C18" s="392" t="s">
        <v>105</v>
      </c>
      <c r="D18" s="392"/>
      <c r="E18" s="69"/>
      <c r="F18" s="164"/>
      <c r="G18" s="175"/>
    </row>
    <row r="19" spans="1:7">
      <c r="A19" s="254">
        <v>15</v>
      </c>
      <c r="B19" s="390" t="s">
        <v>39</v>
      </c>
      <c r="C19" s="392" t="s">
        <v>105</v>
      </c>
      <c r="D19" s="392"/>
      <c r="E19" s="69"/>
      <c r="F19" s="164"/>
      <c r="G19" s="175"/>
    </row>
    <row r="20" spans="1:7">
      <c r="A20" s="254">
        <v>16</v>
      </c>
      <c r="B20" s="390" t="s">
        <v>40</v>
      </c>
      <c r="C20" s="392" t="s">
        <v>105</v>
      </c>
      <c r="D20" s="392"/>
      <c r="E20" s="69"/>
      <c r="F20" s="164"/>
      <c r="G20" s="175"/>
    </row>
    <row r="21" spans="1:7">
      <c r="A21" s="254">
        <v>17</v>
      </c>
      <c r="B21" s="390" t="s">
        <v>41</v>
      </c>
      <c r="C21" s="392" t="s">
        <v>105</v>
      </c>
      <c r="D21" s="392"/>
      <c r="E21" s="69"/>
      <c r="F21" s="164"/>
      <c r="G21" s="175"/>
    </row>
    <row r="22" spans="1:7">
      <c r="A22" s="254">
        <v>18</v>
      </c>
      <c r="B22" s="390" t="s">
        <v>42</v>
      </c>
      <c r="C22" s="392" t="s">
        <v>105</v>
      </c>
      <c r="D22" s="392"/>
      <c r="E22" s="69"/>
      <c r="F22" s="164"/>
      <c r="G22" s="175"/>
    </row>
    <row r="23" spans="1:7" ht="27.6" customHeight="1" thickBot="1">
      <c r="A23" s="254"/>
      <c r="B23" s="470" t="s">
        <v>112</v>
      </c>
      <c r="C23" s="471"/>
      <c r="D23" s="471"/>
      <c r="E23" s="472"/>
      <c r="F23" s="164"/>
      <c r="G23" s="175"/>
    </row>
    <row r="24" spans="1:7" s="50" customFormat="1" ht="15.75" thickBot="1">
      <c r="A24" s="253"/>
      <c r="B24" s="164"/>
      <c r="C24" s="164"/>
      <c r="D24" s="164"/>
      <c r="E24" s="164"/>
      <c r="F24" s="164"/>
      <c r="G24" s="175"/>
    </row>
    <row r="25" spans="1:7" ht="14.65" customHeight="1" thickBot="1">
      <c r="B25" s="465" t="s">
        <v>628</v>
      </c>
      <c r="C25" s="466"/>
      <c r="D25" s="466"/>
      <c r="E25" s="467"/>
      <c r="F25" s="164"/>
      <c r="G25" s="175"/>
    </row>
    <row r="26" spans="1:7" ht="15.75">
      <c r="A26" s="253">
        <v>19</v>
      </c>
      <c r="B26" s="468"/>
      <c r="C26" s="469"/>
      <c r="D26" s="318"/>
      <c r="E26" s="318"/>
      <c r="F26" s="164"/>
      <c r="G26" s="175"/>
    </row>
    <row r="27" spans="1:7" ht="15.75" thickBot="1">
      <c r="B27" s="319"/>
      <c r="C27" s="319"/>
      <c r="D27" s="319"/>
      <c r="E27" s="319"/>
      <c r="F27" s="164"/>
      <c r="G27" s="175"/>
    </row>
    <row r="28" spans="1:7" ht="15.75" customHeight="1" thickBot="1">
      <c r="B28" s="465" t="s">
        <v>629</v>
      </c>
      <c r="C28" s="466"/>
      <c r="D28" s="466"/>
      <c r="E28" s="467"/>
      <c r="F28" s="164"/>
      <c r="G28" s="175"/>
    </row>
    <row r="29" spans="1:7">
      <c r="A29" s="253">
        <v>20</v>
      </c>
      <c r="B29" s="473"/>
      <c r="C29" s="474"/>
      <c r="D29" s="318"/>
      <c r="E29" s="318"/>
      <c r="F29" s="164"/>
      <c r="G29" s="175"/>
    </row>
    <row r="30" spans="1:7" s="50" customFormat="1" ht="15.75" thickBot="1">
      <c r="A30" s="253"/>
      <c r="B30" s="318"/>
      <c r="C30" s="318"/>
      <c r="D30" s="318"/>
      <c r="E30" s="318"/>
      <c r="F30" s="164"/>
      <c r="G30" s="175"/>
    </row>
    <row r="31" spans="1:7" ht="37.35" customHeight="1" thickBot="1">
      <c r="B31" s="423" t="s">
        <v>784</v>
      </c>
      <c r="C31" s="424"/>
      <c r="D31" s="424"/>
      <c r="E31" s="425"/>
      <c r="F31" s="164"/>
      <c r="G31" s="175"/>
    </row>
    <row r="32" spans="1:7" ht="47.1" customHeight="1" thickBot="1">
      <c r="A32" s="253">
        <v>21</v>
      </c>
      <c r="B32" s="426"/>
      <c r="C32" s="427"/>
      <c r="D32" s="427"/>
      <c r="E32" s="428"/>
      <c r="F32" s="164"/>
      <c r="G32" s="175"/>
    </row>
    <row r="33" spans="1:7" ht="35.65" customHeight="1" thickBot="1">
      <c r="B33" s="423" t="s">
        <v>785</v>
      </c>
      <c r="C33" s="424"/>
      <c r="D33" s="424"/>
      <c r="E33" s="425"/>
      <c r="F33" s="164"/>
      <c r="G33" s="175"/>
    </row>
    <row r="34" spans="1:7" ht="45.6" customHeight="1" thickBot="1">
      <c r="A34" s="253">
        <v>22</v>
      </c>
      <c r="B34" s="426"/>
      <c r="C34" s="427"/>
      <c r="D34" s="427"/>
      <c r="E34" s="428"/>
      <c r="F34" s="164"/>
      <c r="G34" s="175"/>
    </row>
    <row r="35" spans="1:7" s="50" customFormat="1" ht="15.75" thickBot="1">
      <c r="A35" s="253"/>
      <c r="B35" s="164"/>
      <c r="C35" s="164"/>
      <c r="D35" s="164"/>
      <c r="E35" s="164"/>
      <c r="F35" s="164"/>
      <c r="G35" s="175"/>
    </row>
    <row r="36" spans="1:7" ht="14.65" customHeight="1" thickBot="1">
      <c r="B36" s="432" t="s">
        <v>630</v>
      </c>
      <c r="C36" s="433"/>
      <c r="D36" s="433"/>
      <c r="E36" s="433"/>
      <c r="F36" s="434"/>
      <c r="G36" s="175"/>
    </row>
    <row r="37" spans="1:7" ht="15.75" thickBot="1">
      <c r="B37" s="141"/>
      <c r="C37" s="178" t="s">
        <v>108</v>
      </c>
      <c r="D37" s="179" t="s">
        <v>0</v>
      </c>
      <c r="E37" s="179" t="s">
        <v>1</v>
      </c>
      <c r="F37" s="180" t="s">
        <v>2</v>
      </c>
      <c r="G37" s="175"/>
    </row>
    <row r="38" spans="1:7" ht="25.35" customHeight="1" thickBot="1">
      <c r="A38" s="253">
        <v>26</v>
      </c>
      <c r="B38" s="147" t="s">
        <v>109</v>
      </c>
      <c r="C38" s="237"/>
      <c r="D38" s="238"/>
      <c r="E38" s="238"/>
      <c r="F38" s="239"/>
      <c r="G38" s="175"/>
    </row>
    <row r="39" spans="1:7">
      <c r="A39" s="253">
        <v>27</v>
      </c>
      <c r="B39" s="148" t="s">
        <v>237</v>
      </c>
      <c r="C39" s="240"/>
      <c r="D39" s="241"/>
      <c r="E39" s="241"/>
      <c r="F39" s="242"/>
      <c r="G39" s="175"/>
    </row>
    <row r="40" spans="1:7">
      <c r="A40" s="253">
        <v>28</v>
      </c>
      <c r="B40" s="146" t="s">
        <v>1082</v>
      </c>
      <c r="C40" s="243"/>
      <c r="D40" s="244"/>
      <c r="E40" s="244"/>
      <c r="F40" s="245"/>
      <c r="G40" s="175"/>
    </row>
    <row r="41" spans="1:7">
      <c r="A41" s="253">
        <v>29</v>
      </c>
      <c r="B41" s="146" t="s">
        <v>1083</v>
      </c>
      <c r="C41" s="243"/>
      <c r="D41" s="244"/>
      <c r="E41" s="244"/>
      <c r="F41" s="245"/>
      <c r="G41" s="175"/>
    </row>
    <row r="42" spans="1:7" ht="15.75" thickBot="1">
      <c r="A42" s="253">
        <v>30</v>
      </c>
      <c r="B42" s="146" t="s">
        <v>1084</v>
      </c>
      <c r="C42" s="246"/>
      <c r="D42" s="247"/>
      <c r="E42" s="247"/>
      <c r="F42" s="248"/>
      <c r="G42" s="175"/>
    </row>
    <row r="43" spans="1:7" ht="32.25" customHeight="1" thickBot="1">
      <c r="A43" s="253">
        <v>31</v>
      </c>
      <c r="B43" s="147" t="s">
        <v>110</v>
      </c>
      <c r="C43" s="237"/>
      <c r="D43" s="238"/>
      <c r="E43" s="238"/>
      <c r="F43" s="239"/>
      <c r="G43" s="175"/>
    </row>
    <row r="44" spans="1:7">
      <c r="A44" s="253">
        <v>32</v>
      </c>
      <c r="B44" s="148" t="s">
        <v>237</v>
      </c>
      <c r="C44" s="240"/>
      <c r="D44" s="241"/>
      <c r="E44" s="241"/>
      <c r="F44" s="242"/>
      <c r="G44" s="175"/>
    </row>
    <row r="45" spans="1:7">
      <c r="A45" s="253">
        <v>33</v>
      </c>
      <c r="B45" s="146" t="s">
        <v>1082</v>
      </c>
      <c r="C45" s="243"/>
      <c r="D45" s="244"/>
      <c r="E45" s="244"/>
      <c r="F45" s="245"/>
      <c r="G45" s="175"/>
    </row>
    <row r="46" spans="1:7">
      <c r="A46" s="253">
        <v>34</v>
      </c>
      <c r="B46" s="146" t="s">
        <v>1083</v>
      </c>
      <c r="C46" s="243"/>
      <c r="D46" s="244"/>
      <c r="E46" s="244"/>
      <c r="F46" s="245"/>
      <c r="G46" s="175"/>
    </row>
    <row r="47" spans="1:7" ht="15.75" thickBot="1">
      <c r="A47" s="253">
        <v>35</v>
      </c>
      <c r="B47" s="146" t="s">
        <v>1084</v>
      </c>
      <c r="C47" s="249"/>
      <c r="D47" s="250"/>
      <c r="E47" s="250"/>
      <c r="F47" s="251"/>
      <c r="G47" s="175"/>
    </row>
    <row r="48" spans="1:7" ht="36.6" customHeight="1" thickBot="1">
      <c r="B48" s="429" t="s">
        <v>238</v>
      </c>
      <c r="C48" s="430"/>
      <c r="D48" s="430"/>
      <c r="E48" s="430"/>
      <c r="F48" s="431"/>
      <c r="G48" s="175"/>
    </row>
    <row r="49" spans="1:7" s="50" customFormat="1" ht="18" customHeight="1" thickBot="1">
      <c r="A49" s="253"/>
      <c r="F49" s="164"/>
      <c r="G49" s="175"/>
    </row>
    <row r="50" spans="1:7" s="50" customFormat="1" ht="18" customHeight="1">
      <c r="A50" s="253"/>
      <c r="B50" s="440" t="s">
        <v>651</v>
      </c>
      <c r="C50" s="441"/>
      <c r="D50" s="441"/>
      <c r="E50" s="442"/>
      <c r="F50" s="164"/>
      <c r="G50" s="175"/>
    </row>
    <row r="51" spans="1:7" s="50" customFormat="1" ht="18" customHeight="1">
      <c r="A51" s="253"/>
      <c r="B51" s="449"/>
      <c r="C51" s="450"/>
      <c r="D51" s="181" t="s">
        <v>108</v>
      </c>
      <c r="E51" s="152" t="s">
        <v>3</v>
      </c>
      <c r="F51" s="164"/>
      <c r="G51" s="175"/>
    </row>
    <row r="52" spans="1:7" s="50" customFormat="1" ht="26.25" customHeight="1">
      <c r="A52" s="253"/>
      <c r="B52" s="443" t="s">
        <v>823</v>
      </c>
      <c r="C52" s="444"/>
      <c r="D52" s="153"/>
      <c r="E52" s="154"/>
      <c r="F52" s="164"/>
      <c r="G52" s="175"/>
    </row>
    <row r="53" spans="1:7" s="50" customFormat="1" ht="26.25" customHeight="1">
      <c r="A53" s="253"/>
      <c r="B53" s="443" t="s">
        <v>817</v>
      </c>
      <c r="C53" s="444"/>
      <c r="D53" s="302"/>
      <c r="E53" s="301"/>
      <c r="F53" s="164"/>
      <c r="G53" s="175"/>
    </row>
    <row r="54" spans="1:7" s="50" customFormat="1" ht="26.25" customHeight="1">
      <c r="A54" s="253"/>
      <c r="B54" s="443" t="s">
        <v>826</v>
      </c>
      <c r="C54" s="444"/>
      <c r="D54" s="300"/>
      <c r="E54" s="301"/>
      <c r="F54" s="164"/>
      <c r="G54" s="175"/>
    </row>
    <row r="55" spans="1:7" s="50" customFormat="1" ht="26.25" customHeight="1">
      <c r="A55" s="253"/>
      <c r="B55" s="443" t="s">
        <v>824</v>
      </c>
      <c r="C55" s="444"/>
      <c r="D55" s="300"/>
      <c r="E55" s="301"/>
      <c r="F55" s="164"/>
      <c r="G55" s="175"/>
    </row>
    <row r="56" spans="1:7" s="50" customFormat="1" ht="26.25" customHeight="1">
      <c r="A56" s="253"/>
      <c r="B56" s="443" t="s">
        <v>816</v>
      </c>
      <c r="C56" s="444"/>
      <c r="D56" s="302"/>
      <c r="E56" s="301"/>
      <c r="F56" s="164"/>
      <c r="G56" s="175"/>
    </row>
    <row r="57" spans="1:7" s="50" customFormat="1" ht="26.25" customHeight="1">
      <c r="A57" s="253"/>
      <c r="B57" s="443" t="s">
        <v>825</v>
      </c>
      <c r="C57" s="444"/>
      <c r="D57" s="300"/>
      <c r="E57" s="301"/>
      <c r="F57" s="164"/>
      <c r="G57" s="175"/>
    </row>
    <row r="58" spans="1:7" s="50" customFormat="1" ht="26.25" customHeight="1">
      <c r="A58" s="253"/>
      <c r="B58" s="443" t="s">
        <v>827</v>
      </c>
      <c r="C58" s="444"/>
      <c r="D58" s="300"/>
      <c r="E58" s="301"/>
      <c r="F58" s="164"/>
      <c r="G58" s="175"/>
    </row>
    <row r="59" spans="1:7" s="50" customFormat="1" ht="26.25" customHeight="1">
      <c r="A59" s="253"/>
      <c r="B59" s="443" t="s">
        <v>818</v>
      </c>
      <c r="C59" s="444"/>
      <c r="D59" s="300"/>
      <c r="E59" s="301"/>
      <c r="F59" s="164"/>
      <c r="G59" s="175"/>
    </row>
    <row r="60" spans="1:7" s="50" customFormat="1" ht="26.25" customHeight="1">
      <c r="A60" s="253"/>
      <c r="B60" s="443" t="s">
        <v>652</v>
      </c>
      <c r="C60" s="444"/>
      <c r="D60" s="300"/>
      <c r="E60" s="301"/>
      <c r="F60" s="164"/>
      <c r="G60" s="175"/>
    </row>
    <row r="61" spans="1:7" s="50" customFormat="1" ht="26.25" customHeight="1" thickBot="1">
      <c r="A61" s="253"/>
      <c r="B61" s="445" t="s">
        <v>819</v>
      </c>
      <c r="C61" s="446"/>
      <c r="D61" s="155"/>
      <c r="E61" s="156"/>
      <c r="F61" s="164"/>
      <c r="G61" s="175"/>
    </row>
    <row r="62" spans="1:7" s="50" customFormat="1" ht="18" customHeight="1" thickBot="1">
      <c r="A62" s="253"/>
      <c r="B62" s="182"/>
      <c r="C62" s="182"/>
      <c r="D62" s="182"/>
      <c r="E62" s="182"/>
      <c r="F62" s="164"/>
      <c r="G62" s="175"/>
    </row>
    <row r="63" spans="1:7" s="50" customFormat="1" ht="18" customHeight="1">
      <c r="A63" s="253"/>
      <c r="B63" s="440" t="s">
        <v>653</v>
      </c>
      <c r="C63" s="441"/>
      <c r="D63" s="441"/>
      <c r="E63" s="442"/>
      <c r="F63" s="164"/>
      <c r="G63" s="175"/>
    </row>
    <row r="64" spans="1:7" s="50" customFormat="1" ht="18" customHeight="1">
      <c r="A64" s="253"/>
      <c r="B64" s="449"/>
      <c r="C64" s="450"/>
      <c r="D64" s="181" t="s">
        <v>108</v>
      </c>
      <c r="E64" s="378" t="s">
        <v>3</v>
      </c>
      <c r="F64" s="164"/>
      <c r="G64" s="175"/>
    </row>
    <row r="65" spans="1:7" s="50" customFormat="1" ht="18" customHeight="1">
      <c r="A65" s="253"/>
      <c r="B65" s="447" t="s">
        <v>654</v>
      </c>
      <c r="C65" s="448"/>
      <c r="D65" s="380"/>
      <c r="E65" s="379"/>
      <c r="F65" s="164"/>
      <c r="G65" s="175"/>
    </row>
    <row r="66" spans="1:7" s="50" customFormat="1" ht="18" customHeight="1">
      <c r="A66" s="253"/>
      <c r="B66" s="443" t="s">
        <v>655</v>
      </c>
      <c r="C66" s="444"/>
      <c r="D66" s="157"/>
      <c r="E66" s="379"/>
      <c r="F66" s="164"/>
      <c r="G66" s="175"/>
    </row>
    <row r="67" spans="1:7" s="50" customFormat="1" ht="18" customHeight="1">
      <c r="A67" s="253"/>
      <c r="B67" s="443" t="s">
        <v>656</v>
      </c>
      <c r="C67" s="444"/>
      <c r="D67" s="157"/>
      <c r="E67" s="154"/>
      <c r="F67" s="164"/>
      <c r="G67" s="175"/>
    </row>
    <row r="68" spans="1:7" s="50" customFormat="1" ht="18" customHeight="1">
      <c r="A68" s="253"/>
      <c r="B68" s="443" t="s">
        <v>657</v>
      </c>
      <c r="C68" s="444"/>
      <c r="D68" s="153"/>
      <c r="E68" s="154"/>
      <c r="F68" s="164"/>
      <c r="G68" s="175"/>
    </row>
    <row r="69" spans="1:7" s="50" customFormat="1" ht="18" customHeight="1" thickBot="1">
      <c r="A69" s="253"/>
      <c r="B69" s="445" t="s">
        <v>1085</v>
      </c>
      <c r="C69" s="446"/>
      <c r="D69" s="155"/>
      <c r="E69" s="156"/>
      <c r="F69" s="164"/>
      <c r="G69" s="175"/>
    </row>
    <row r="70" spans="1:7" s="50" customFormat="1" ht="18" customHeight="1" thickBot="1">
      <c r="A70" s="253"/>
      <c r="F70" s="164"/>
      <c r="G70" s="175"/>
    </row>
    <row r="71" spans="1:7" ht="36.6" customHeight="1">
      <c r="B71" s="438" t="s">
        <v>631</v>
      </c>
      <c r="C71" s="439"/>
      <c r="D71" s="439"/>
      <c r="E71" s="320" t="s">
        <v>3</v>
      </c>
      <c r="F71" s="164"/>
      <c r="G71" s="175"/>
    </row>
    <row r="72" spans="1:7" ht="36.6" customHeight="1" thickBot="1">
      <c r="A72" s="253">
        <v>36</v>
      </c>
      <c r="B72" s="435"/>
      <c r="C72" s="436"/>
      <c r="D72" s="437"/>
      <c r="E72" s="321"/>
      <c r="F72" s="164"/>
      <c r="G72" s="175"/>
    </row>
    <row r="73" spans="1:7" s="50" customFormat="1" ht="18" customHeight="1" thickBot="1">
      <c r="A73" s="253"/>
      <c r="B73" s="322"/>
      <c r="C73" s="322"/>
      <c r="D73" s="322"/>
      <c r="E73" s="322"/>
      <c r="F73" s="164"/>
      <c r="G73" s="175"/>
    </row>
    <row r="74" spans="1:7" ht="26.1" customHeight="1">
      <c r="B74" s="438" t="s">
        <v>632</v>
      </c>
      <c r="C74" s="439"/>
      <c r="D74" s="439"/>
      <c r="E74" s="490"/>
      <c r="F74" s="164"/>
      <c r="G74" s="175"/>
    </row>
    <row r="75" spans="1:7" ht="36.6" customHeight="1" thickBot="1">
      <c r="A75" s="253">
        <v>37</v>
      </c>
      <c r="B75" s="491"/>
      <c r="C75" s="492"/>
      <c r="D75" s="492"/>
      <c r="E75" s="493"/>
      <c r="F75" s="164"/>
      <c r="G75" s="175"/>
    </row>
    <row r="76" spans="1:7" s="50" customFormat="1" ht="22.35" customHeight="1" thickBot="1">
      <c r="A76" s="253"/>
      <c r="G76" s="175"/>
    </row>
    <row r="77" spans="1:7" s="50" customFormat="1" ht="26.25" customHeight="1" thickBot="1">
      <c r="A77" s="253"/>
      <c r="B77" s="403" t="s">
        <v>786</v>
      </c>
      <c r="C77" s="404"/>
      <c r="D77" s="404"/>
      <c r="E77" s="405"/>
      <c r="G77" s="175"/>
    </row>
    <row r="78" spans="1:7" s="50" customFormat="1" ht="22.35" customHeight="1">
      <c r="A78" s="253"/>
      <c r="B78" s="406" t="s">
        <v>357</v>
      </c>
      <c r="C78" s="382"/>
      <c r="D78" s="382"/>
      <c r="E78" s="383"/>
      <c r="G78" s="175"/>
    </row>
    <row r="79" spans="1:7" s="50" customFormat="1" ht="22.35" customHeight="1" thickBot="1">
      <c r="A79" s="253"/>
      <c r="B79" s="407"/>
      <c r="C79" s="314"/>
      <c r="D79" s="314"/>
      <c r="E79" s="384"/>
      <c r="G79" s="175"/>
    </row>
    <row r="80" spans="1:7" s="50" customFormat="1" ht="22.35" customHeight="1" thickBot="1">
      <c r="A80" s="253"/>
      <c r="G80" s="175"/>
    </row>
    <row r="81" spans="1:7" ht="25.5" customHeight="1" thickBot="1">
      <c r="B81" s="487" t="s">
        <v>787</v>
      </c>
      <c r="C81" s="488"/>
      <c r="D81" s="488"/>
      <c r="E81" s="489"/>
      <c r="F81" s="164"/>
      <c r="G81" s="175"/>
    </row>
    <row r="82" spans="1:7" ht="21" customHeight="1">
      <c r="A82" s="253">
        <v>40</v>
      </c>
      <c r="B82" s="406" t="s">
        <v>357</v>
      </c>
      <c r="C82" s="385"/>
      <c r="D82" s="385"/>
      <c r="E82" s="386"/>
      <c r="F82" s="164"/>
      <c r="G82" s="175"/>
    </row>
    <row r="83" spans="1:7" ht="18" customHeight="1" thickBot="1">
      <c r="A83" s="253">
        <v>41</v>
      </c>
      <c r="B83" s="407"/>
      <c r="C83" s="387"/>
      <c r="D83" s="387"/>
      <c r="E83" s="388"/>
      <c r="F83" s="164"/>
      <c r="G83" s="175"/>
    </row>
    <row r="84" spans="1:7" s="50" customFormat="1" ht="15.75" thickBot="1">
      <c r="A84" s="253"/>
      <c r="F84" s="164"/>
      <c r="G84" s="175"/>
    </row>
    <row r="85" spans="1:7" ht="26.25" customHeight="1" thickBot="1">
      <c r="A85" s="254"/>
      <c r="B85" s="480" t="s">
        <v>633</v>
      </c>
      <c r="C85" s="481"/>
      <c r="D85" s="481"/>
      <c r="E85" s="476" t="s">
        <v>3</v>
      </c>
      <c r="F85" s="477"/>
      <c r="G85" s="175"/>
    </row>
    <row r="86" spans="1:7" ht="26.25" customHeight="1">
      <c r="A86" s="254">
        <v>46</v>
      </c>
      <c r="B86" s="482" t="s">
        <v>283</v>
      </c>
      <c r="C86" s="483"/>
      <c r="D86" s="381"/>
      <c r="E86" s="410"/>
      <c r="F86" s="411"/>
      <c r="G86" s="175"/>
    </row>
    <row r="87" spans="1:7" ht="81.599999999999994" customHeight="1">
      <c r="A87" s="254">
        <v>47</v>
      </c>
      <c r="B87" s="478" t="s">
        <v>284</v>
      </c>
      <c r="C87" s="484"/>
      <c r="D87" s="126"/>
      <c r="E87" s="412"/>
      <c r="F87" s="413"/>
      <c r="G87" s="175"/>
    </row>
    <row r="88" spans="1:7" ht="26.25" customHeight="1">
      <c r="A88" s="254">
        <v>48</v>
      </c>
      <c r="B88" s="478" t="s">
        <v>285</v>
      </c>
      <c r="C88" s="484"/>
      <c r="D88" s="126"/>
      <c r="E88" s="412"/>
      <c r="F88" s="413"/>
      <c r="G88" s="175"/>
    </row>
    <row r="89" spans="1:7" ht="26.25" customHeight="1">
      <c r="A89" s="254">
        <v>49</v>
      </c>
      <c r="B89" s="478" t="s">
        <v>287</v>
      </c>
      <c r="C89" s="479"/>
      <c r="D89" s="126"/>
      <c r="E89" s="72"/>
      <c r="F89" s="73"/>
      <c r="G89" s="175"/>
    </row>
    <row r="90" spans="1:7" ht="26.25" customHeight="1">
      <c r="A90" s="254">
        <v>50</v>
      </c>
      <c r="B90" s="478" t="s">
        <v>286</v>
      </c>
      <c r="C90" s="479"/>
      <c r="D90" s="126"/>
      <c r="E90" s="412"/>
      <c r="F90" s="413"/>
      <c r="G90" s="175"/>
    </row>
    <row r="91" spans="1:7" ht="26.25" customHeight="1" thickBot="1">
      <c r="A91" s="254">
        <v>51</v>
      </c>
      <c r="B91" s="408" t="s">
        <v>288</v>
      </c>
      <c r="C91" s="409"/>
      <c r="D91" s="216"/>
      <c r="E91" s="71"/>
      <c r="F91" s="217"/>
      <c r="G91" s="175"/>
    </row>
    <row r="92" spans="1:7" ht="26.25" customHeight="1" thickBot="1">
      <c r="B92" s="50"/>
      <c r="C92" s="50"/>
      <c r="D92" s="50"/>
      <c r="E92" s="50"/>
      <c r="G92" s="175"/>
    </row>
    <row r="93" spans="1:7" ht="26.25" customHeight="1" thickBot="1">
      <c r="A93" s="254"/>
      <c r="B93" s="414" t="s">
        <v>1093</v>
      </c>
      <c r="C93" s="415"/>
      <c r="D93" s="415"/>
      <c r="E93" s="415"/>
      <c r="F93" s="416"/>
      <c r="G93" s="175"/>
    </row>
    <row r="94" spans="1:7" ht="26.1" customHeight="1">
      <c r="A94" s="254"/>
      <c r="B94" s="421"/>
      <c r="C94" s="419" t="s">
        <v>726</v>
      </c>
      <c r="D94" s="417" t="s">
        <v>1092</v>
      </c>
      <c r="E94" s="417"/>
      <c r="F94" s="418"/>
      <c r="G94" s="175"/>
    </row>
    <row r="95" spans="1:7" ht="26.1" customHeight="1">
      <c r="A95" s="254"/>
      <c r="B95" s="422"/>
      <c r="C95" s="420"/>
      <c r="D95" s="310" t="s">
        <v>0</v>
      </c>
      <c r="E95" s="311" t="s">
        <v>1</v>
      </c>
      <c r="F95" s="312" t="s">
        <v>2</v>
      </c>
      <c r="G95" s="175"/>
    </row>
    <row r="96" spans="1:7" ht="51" customHeight="1">
      <c r="A96" s="254"/>
      <c r="B96" s="313" t="s">
        <v>1091</v>
      </c>
      <c r="C96" s="306" t="s">
        <v>1086</v>
      </c>
      <c r="D96" s="307"/>
      <c r="E96" s="307"/>
      <c r="F96" s="309"/>
      <c r="G96" s="175"/>
    </row>
    <row r="97" spans="1:19" ht="55.35" customHeight="1">
      <c r="A97" s="254"/>
      <c r="B97" s="313" t="s">
        <v>1087</v>
      </c>
      <c r="C97" s="304"/>
      <c r="D97" s="308"/>
      <c r="E97" s="308"/>
      <c r="F97" s="308"/>
      <c r="G97" s="175"/>
    </row>
    <row r="98" spans="1:19" ht="26.25" customHeight="1" thickBot="1">
      <c r="A98" s="254"/>
      <c r="B98" s="485" t="s">
        <v>3</v>
      </c>
      <c r="C98" s="486"/>
      <c r="D98" s="314"/>
      <c r="E98" s="314"/>
      <c r="F98" s="315"/>
      <c r="G98" s="175"/>
    </row>
    <row r="99" spans="1:19" ht="30.6" customHeight="1" thickBot="1">
      <c r="B99" s="475"/>
      <c r="C99" s="475"/>
      <c r="D99" s="475"/>
      <c r="E99" s="475"/>
      <c r="F99" s="475"/>
      <c r="G99" s="175"/>
    </row>
    <row r="100" spans="1:19" ht="31.35" customHeight="1" thickBot="1">
      <c r="A100" s="254"/>
      <c r="B100" s="414" t="s">
        <v>1110</v>
      </c>
      <c r="C100" s="415"/>
      <c r="D100" s="415"/>
      <c r="E100" s="415"/>
      <c r="F100" s="416"/>
      <c r="H100" s="183" t="s">
        <v>105</v>
      </c>
      <c r="I100" s="183" t="s">
        <v>209</v>
      </c>
      <c r="J100" s="183" t="s">
        <v>76</v>
      </c>
      <c r="K100" s="183" t="s">
        <v>149</v>
      </c>
      <c r="L100" s="183" t="s">
        <v>241</v>
      </c>
      <c r="M100" s="183" t="s">
        <v>356</v>
      </c>
      <c r="N100" s="66" t="s">
        <v>282</v>
      </c>
      <c r="O100" s="218" t="s">
        <v>725</v>
      </c>
      <c r="P100" s="218"/>
      <c r="Q100" s="218" t="s">
        <v>727</v>
      </c>
      <c r="R100" s="220" t="s">
        <v>727</v>
      </c>
    </row>
    <row r="101" spans="1:19" ht="26.1" customHeight="1" thickBot="1">
      <c r="A101" s="254"/>
      <c r="B101" s="453"/>
      <c r="C101" s="451" t="s">
        <v>1166</v>
      </c>
      <c r="D101" s="417" t="s">
        <v>1092</v>
      </c>
      <c r="E101" s="417"/>
      <c r="F101" s="418"/>
      <c r="H101" s="171" t="s">
        <v>102</v>
      </c>
      <c r="I101" s="184" t="s">
        <v>150</v>
      </c>
      <c r="J101" s="184" t="s">
        <v>77</v>
      </c>
      <c r="K101" s="185" t="s">
        <v>268</v>
      </c>
      <c r="L101" s="185" t="s">
        <v>278</v>
      </c>
      <c r="M101" s="185" t="s">
        <v>782</v>
      </c>
      <c r="N101" s="66" t="s">
        <v>243</v>
      </c>
      <c r="O101" s="66" t="s">
        <v>1096</v>
      </c>
      <c r="P101" s="316" t="s">
        <v>1094</v>
      </c>
      <c r="Q101" s="256" t="s">
        <v>732</v>
      </c>
      <c r="R101" s="257" t="s">
        <v>742</v>
      </c>
      <c r="S101" s="258"/>
    </row>
    <row r="102" spans="1:19" ht="26.1" customHeight="1" thickBot="1">
      <c r="A102" s="254"/>
      <c r="B102" s="422"/>
      <c r="C102" s="452"/>
      <c r="D102" s="181" t="s">
        <v>0</v>
      </c>
      <c r="E102" s="181" t="s">
        <v>1</v>
      </c>
      <c r="F102" s="326" t="s">
        <v>2</v>
      </c>
      <c r="H102" s="171" t="s">
        <v>101</v>
      </c>
      <c r="I102" s="184" t="s">
        <v>151</v>
      </c>
      <c r="J102" s="184" t="s">
        <v>48</v>
      </c>
      <c r="K102" s="185" t="s">
        <v>269</v>
      </c>
      <c r="L102" s="185" t="s">
        <v>279</v>
      </c>
      <c r="M102" s="185" t="s">
        <v>359</v>
      </c>
      <c r="N102" s="66" t="s">
        <v>210</v>
      </c>
      <c r="O102" s="66" t="s">
        <v>1097</v>
      </c>
      <c r="P102" s="316" t="s">
        <v>822</v>
      </c>
      <c r="Q102" s="256" t="s">
        <v>733</v>
      </c>
      <c r="R102" s="257" t="s">
        <v>743</v>
      </c>
      <c r="S102" s="258"/>
    </row>
    <row r="103" spans="1:19" ht="53.1" customHeight="1" thickBot="1">
      <c r="A103" s="254"/>
      <c r="B103" s="394" t="s">
        <v>1165</v>
      </c>
      <c r="C103" s="306" t="s">
        <v>1163</v>
      </c>
      <c r="D103" s="400"/>
      <c r="E103" s="401"/>
      <c r="F103" s="402"/>
      <c r="H103" s="184"/>
      <c r="I103" s="184" t="s">
        <v>152</v>
      </c>
      <c r="J103" s="184" t="s">
        <v>67</v>
      </c>
      <c r="K103" s="185" t="s">
        <v>270</v>
      </c>
      <c r="L103" s="185" t="s">
        <v>280</v>
      </c>
      <c r="M103" s="185" t="s">
        <v>355</v>
      </c>
      <c r="O103" s="66" t="s">
        <v>1098</v>
      </c>
      <c r="Q103" s="256" t="s">
        <v>734</v>
      </c>
      <c r="R103" s="257" t="s">
        <v>744</v>
      </c>
      <c r="S103" s="258"/>
    </row>
    <row r="104" spans="1:19" ht="53.1" customHeight="1" thickBot="1">
      <c r="A104" s="254"/>
      <c r="B104" s="394" t="s">
        <v>1167</v>
      </c>
      <c r="C104" s="306" t="s">
        <v>1164</v>
      </c>
      <c r="D104" s="400"/>
      <c r="E104" s="401"/>
      <c r="F104" s="402"/>
      <c r="H104" s="184"/>
      <c r="I104" s="184" t="s">
        <v>154</v>
      </c>
      <c r="J104" s="184" t="s">
        <v>1113</v>
      </c>
      <c r="K104" s="185" t="s">
        <v>271</v>
      </c>
      <c r="L104" s="185" t="s">
        <v>281</v>
      </c>
      <c r="M104" s="185" t="s">
        <v>360</v>
      </c>
      <c r="O104" s="66" t="s">
        <v>1099</v>
      </c>
      <c r="Q104" s="256" t="s">
        <v>735</v>
      </c>
      <c r="R104" s="257" t="s">
        <v>745</v>
      </c>
      <c r="S104" s="258"/>
    </row>
    <row r="105" spans="1:19" ht="53.1" customHeight="1" thickBot="1">
      <c r="A105" s="254"/>
      <c r="B105" s="394" t="s">
        <v>1088</v>
      </c>
      <c r="C105" s="306" t="s">
        <v>1161</v>
      </c>
      <c r="D105" s="400"/>
      <c r="E105" s="401"/>
      <c r="F105" s="402"/>
      <c r="H105" s="184"/>
      <c r="I105" s="184" t="s">
        <v>153</v>
      </c>
      <c r="J105" s="184" t="s">
        <v>1114</v>
      </c>
      <c r="K105" s="185" t="s">
        <v>272</v>
      </c>
      <c r="L105" s="185"/>
      <c r="M105" s="185" t="s">
        <v>361</v>
      </c>
      <c r="N105" s="66" t="s">
        <v>282</v>
      </c>
      <c r="O105" s="66" t="s">
        <v>1100</v>
      </c>
      <c r="Q105" s="256" t="s">
        <v>736</v>
      </c>
      <c r="R105" s="257" t="s">
        <v>746</v>
      </c>
      <c r="S105" s="258"/>
    </row>
    <row r="106" spans="1:19" ht="53.1" customHeight="1" thickBot="1">
      <c r="A106" s="254"/>
      <c r="B106" s="394" t="s">
        <v>1168</v>
      </c>
      <c r="C106" s="395"/>
      <c r="D106" s="325"/>
      <c r="E106" s="325"/>
      <c r="F106" s="327"/>
      <c r="H106" s="184"/>
      <c r="I106" s="184"/>
      <c r="J106" s="184" t="s">
        <v>1115</v>
      </c>
      <c r="K106" s="185" t="s">
        <v>273</v>
      </c>
      <c r="L106" s="183"/>
      <c r="M106" s="185" t="s">
        <v>362</v>
      </c>
      <c r="N106" s="66" t="s">
        <v>289</v>
      </c>
      <c r="O106" s="66" t="s">
        <v>1090</v>
      </c>
      <c r="Q106" s="256" t="s">
        <v>737</v>
      </c>
      <c r="R106" s="257" t="s">
        <v>747</v>
      </c>
      <c r="S106" s="258"/>
    </row>
    <row r="107" spans="1:19" ht="57" customHeight="1" thickBot="1">
      <c r="A107" s="254"/>
      <c r="B107" s="394" t="s">
        <v>1089</v>
      </c>
      <c r="C107" s="306" t="s">
        <v>1162</v>
      </c>
      <c r="D107" s="400"/>
      <c r="E107" s="401"/>
      <c r="F107" s="402"/>
      <c r="H107" s="184"/>
      <c r="I107" s="184"/>
      <c r="J107" s="184" t="s">
        <v>1116</v>
      </c>
      <c r="K107" s="185" t="s">
        <v>274</v>
      </c>
      <c r="L107" s="183"/>
      <c r="M107" s="185" t="s">
        <v>363</v>
      </c>
      <c r="N107" s="66" t="s">
        <v>293</v>
      </c>
      <c r="Q107" s="256" t="s">
        <v>738</v>
      </c>
      <c r="R107" s="257" t="s">
        <v>748</v>
      </c>
      <c r="S107" s="258"/>
    </row>
    <row r="108" spans="1:19" ht="53.1" customHeight="1" thickBot="1">
      <c r="A108" s="254"/>
      <c r="B108" s="394" t="s">
        <v>1169</v>
      </c>
      <c r="C108" s="395"/>
      <c r="D108" s="325"/>
      <c r="E108" s="325"/>
      <c r="F108" s="327"/>
      <c r="H108" s="184"/>
      <c r="I108" s="184"/>
      <c r="J108" s="184" t="s">
        <v>334</v>
      </c>
      <c r="K108" s="185" t="s">
        <v>275</v>
      </c>
      <c r="L108" s="183"/>
      <c r="M108" s="185" t="s">
        <v>364</v>
      </c>
      <c r="N108" s="66" t="s">
        <v>290</v>
      </c>
      <c r="Q108" s="256" t="s">
        <v>739</v>
      </c>
      <c r="R108" s="257" t="s">
        <v>749</v>
      </c>
      <c r="S108" s="258"/>
    </row>
    <row r="109" spans="1:19" ht="15.75" customHeight="1" thickBot="1">
      <c r="A109" s="254"/>
      <c r="B109" s="323" t="s">
        <v>3</v>
      </c>
      <c r="C109" s="324"/>
      <c r="D109" s="314"/>
      <c r="E109" s="314"/>
      <c r="F109" s="315"/>
      <c r="H109" s="184"/>
      <c r="I109" s="184"/>
      <c r="J109" s="184" t="s">
        <v>1117</v>
      </c>
      <c r="K109" s="185" t="s">
        <v>276</v>
      </c>
      <c r="L109" s="183"/>
      <c r="M109" s="185" t="s">
        <v>365</v>
      </c>
      <c r="N109" s="66" t="s">
        <v>291</v>
      </c>
      <c r="Q109" s="256" t="s">
        <v>740</v>
      </c>
      <c r="R109" s="257" t="s">
        <v>750</v>
      </c>
      <c r="S109" s="258"/>
    </row>
    <row r="110" spans="1:19" ht="15.75" customHeight="1" thickBot="1">
      <c r="H110" s="184"/>
      <c r="I110" s="184"/>
      <c r="J110" s="184" t="s">
        <v>1118</v>
      </c>
      <c r="K110" s="185" t="s">
        <v>277</v>
      </c>
      <c r="L110" s="183"/>
      <c r="M110" s="185" t="s">
        <v>366</v>
      </c>
      <c r="N110" s="66" t="s">
        <v>292</v>
      </c>
      <c r="Q110" s="256" t="s">
        <v>728</v>
      </c>
      <c r="R110" s="257" t="s">
        <v>751</v>
      </c>
      <c r="S110" s="258"/>
    </row>
    <row r="111" spans="1:19" ht="15.75" customHeight="1" thickBot="1">
      <c r="H111" s="184"/>
      <c r="I111" s="184"/>
      <c r="J111" s="184" t="s">
        <v>1119</v>
      </c>
      <c r="K111" s="185" t="s">
        <v>310</v>
      </c>
      <c r="L111" s="183"/>
      <c r="M111" s="185" t="s">
        <v>781</v>
      </c>
      <c r="N111" s="66" t="s">
        <v>303</v>
      </c>
      <c r="Q111" s="256" t="s">
        <v>729</v>
      </c>
      <c r="R111" s="259" t="s">
        <v>752</v>
      </c>
    </row>
    <row r="112" spans="1:19" ht="15.75" customHeight="1" thickBot="1">
      <c r="H112" s="184"/>
      <c r="I112" s="184"/>
      <c r="J112" s="184" t="s">
        <v>346</v>
      </c>
      <c r="K112" s="185" t="s">
        <v>309</v>
      </c>
      <c r="L112" s="183"/>
      <c r="M112" s="185" t="s">
        <v>368</v>
      </c>
      <c r="Q112" s="256" t="s">
        <v>730</v>
      </c>
    </row>
    <row r="113" spans="8:17" ht="15.75" customHeight="1" thickBot="1">
      <c r="H113" s="184"/>
      <c r="I113" s="184"/>
      <c r="J113" s="184" t="s">
        <v>1120</v>
      </c>
      <c r="K113" s="184"/>
      <c r="L113" s="183"/>
      <c r="M113" s="185" t="s">
        <v>780</v>
      </c>
      <c r="Q113" s="256" t="s">
        <v>731</v>
      </c>
    </row>
    <row r="114" spans="8:17" ht="15.75" customHeight="1" thickBot="1">
      <c r="H114" s="184"/>
      <c r="I114" s="184"/>
      <c r="J114" s="184" t="s">
        <v>44</v>
      </c>
      <c r="K114" s="184"/>
      <c r="L114" s="183"/>
      <c r="M114" s="185" t="s">
        <v>370</v>
      </c>
      <c r="N114" s="66" t="s">
        <v>282</v>
      </c>
      <c r="Q114" s="259" t="s">
        <v>741</v>
      </c>
    </row>
    <row r="115" spans="8:17" ht="15.75" customHeight="1" thickBot="1">
      <c r="H115" s="184"/>
      <c r="I115" s="184"/>
      <c r="J115" s="184" t="s">
        <v>1121</v>
      </c>
      <c r="K115" s="184"/>
      <c r="L115" s="183"/>
      <c r="M115" s="185"/>
      <c r="N115" s="66" t="s">
        <v>294</v>
      </c>
    </row>
    <row r="116" spans="8:17" ht="15.75" customHeight="1" thickBot="1">
      <c r="H116" s="184"/>
      <c r="I116" s="184"/>
      <c r="J116" s="184" t="s">
        <v>339</v>
      </c>
      <c r="K116" s="184"/>
      <c r="L116" s="183"/>
      <c r="M116" s="185"/>
      <c r="N116" s="66" t="s">
        <v>295</v>
      </c>
    </row>
    <row r="117" spans="8:17" ht="15.75" customHeight="1" thickBot="1">
      <c r="H117" s="184"/>
      <c r="I117" s="184"/>
      <c r="J117" s="184" t="s">
        <v>1122</v>
      </c>
      <c r="K117" s="184"/>
      <c r="L117" s="183"/>
      <c r="M117" s="185"/>
      <c r="N117" s="66" t="s">
        <v>296</v>
      </c>
    </row>
    <row r="118" spans="8:17" ht="15.75" customHeight="1" thickBot="1">
      <c r="H118" s="184"/>
      <c r="I118" s="184"/>
      <c r="J118" s="184" t="s">
        <v>327</v>
      </c>
      <c r="K118" s="184"/>
      <c r="L118" s="183"/>
      <c r="M118" s="185"/>
      <c r="N118" s="66" t="s">
        <v>297</v>
      </c>
    </row>
    <row r="119" spans="8:17" ht="15.75" customHeight="1" thickBot="1">
      <c r="H119" s="184"/>
      <c r="I119" s="184"/>
      <c r="J119" s="184" t="s">
        <v>340</v>
      </c>
      <c r="K119" s="184"/>
      <c r="L119" s="183"/>
      <c r="M119" s="185"/>
      <c r="N119" s="66" t="s">
        <v>298</v>
      </c>
    </row>
    <row r="120" spans="8:17" ht="15.75" customHeight="1" thickBot="1">
      <c r="H120" s="184"/>
      <c r="I120" s="184"/>
      <c r="J120" s="184" t="s">
        <v>1123</v>
      </c>
      <c r="K120" s="184"/>
      <c r="L120" s="183"/>
    </row>
    <row r="121" spans="8:17" ht="15.75" customHeight="1" thickBot="1">
      <c r="H121" s="184"/>
      <c r="I121" s="184"/>
      <c r="J121" s="184" t="s">
        <v>1124</v>
      </c>
      <c r="K121" s="184"/>
      <c r="L121" s="183"/>
      <c r="N121" s="66" t="s">
        <v>282</v>
      </c>
    </row>
    <row r="122" spans="8:17" ht="15.75" customHeight="1" thickBot="1">
      <c r="H122" s="184"/>
      <c r="I122" s="184"/>
      <c r="J122" s="184" t="s">
        <v>329</v>
      </c>
      <c r="K122" s="184"/>
      <c r="L122" s="183"/>
      <c r="N122" s="66" t="s">
        <v>300</v>
      </c>
    </row>
    <row r="123" spans="8:17" ht="15.75" customHeight="1" thickBot="1">
      <c r="H123" s="184"/>
      <c r="I123" s="184"/>
      <c r="J123" s="184" t="s">
        <v>328</v>
      </c>
      <c r="K123" s="184"/>
      <c r="L123" s="183"/>
      <c r="N123" s="66" t="s">
        <v>299</v>
      </c>
    </row>
    <row r="124" spans="8:17" ht="15.75" customHeight="1" thickBot="1">
      <c r="H124" s="184"/>
      <c r="I124" s="184"/>
      <c r="J124" s="184" t="s">
        <v>1125</v>
      </c>
      <c r="K124" s="184"/>
      <c r="L124" s="183"/>
      <c r="N124" s="66" t="s">
        <v>301</v>
      </c>
    </row>
    <row r="125" spans="8:17" ht="15.75" customHeight="1" thickBot="1">
      <c r="H125" s="184"/>
      <c r="I125" s="184"/>
      <c r="J125" s="184" t="s">
        <v>1126</v>
      </c>
      <c r="K125" s="184"/>
      <c r="L125" s="183"/>
      <c r="N125" s="66" t="s">
        <v>302</v>
      </c>
    </row>
    <row r="126" spans="8:17" ht="15.75" customHeight="1" thickBot="1">
      <c r="H126" s="184"/>
      <c r="I126" s="184"/>
      <c r="J126" s="184" t="s">
        <v>335</v>
      </c>
      <c r="K126" s="184"/>
      <c r="L126" s="183"/>
      <c r="N126" s="66" t="s">
        <v>304</v>
      </c>
    </row>
    <row r="127" spans="8:17" ht="15.75" customHeight="1" thickBot="1">
      <c r="H127" s="184"/>
      <c r="I127" s="184"/>
      <c r="J127" s="184" t="s">
        <v>59</v>
      </c>
      <c r="K127" s="184"/>
      <c r="L127" s="183"/>
      <c r="N127" s="66" t="s">
        <v>305</v>
      </c>
    </row>
    <row r="128" spans="8:17" ht="15.75" customHeight="1" thickBot="1">
      <c r="H128" s="184"/>
      <c r="I128" s="184"/>
      <c r="J128" s="184" t="s">
        <v>330</v>
      </c>
      <c r="K128" s="184"/>
      <c r="L128" s="183"/>
      <c r="N128" s="66" t="s">
        <v>306</v>
      </c>
    </row>
    <row r="129" spans="8:14" ht="15.75" customHeight="1" thickBot="1">
      <c r="H129" s="184"/>
      <c r="I129" s="184"/>
      <c r="J129" s="184" t="s">
        <v>345</v>
      </c>
      <c r="K129" s="184"/>
      <c r="L129" s="183"/>
      <c r="N129" s="66" t="s">
        <v>307</v>
      </c>
    </row>
    <row r="130" spans="8:14" ht="15.75" customHeight="1" thickBot="1">
      <c r="H130" s="184"/>
      <c r="I130" s="184"/>
      <c r="J130" s="184" t="s">
        <v>344</v>
      </c>
      <c r="K130" s="184"/>
      <c r="L130" s="183"/>
    </row>
    <row r="131" spans="8:14" ht="15.75" customHeight="1" thickBot="1">
      <c r="H131" s="184"/>
      <c r="I131" s="184"/>
      <c r="J131" s="184" t="s">
        <v>336</v>
      </c>
      <c r="K131" s="184"/>
      <c r="L131" s="183"/>
    </row>
    <row r="132" spans="8:14" ht="15.75" customHeight="1" thickBot="1">
      <c r="H132" s="184"/>
      <c r="I132" s="184"/>
      <c r="J132" s="184" t="s">
        <v>318</v>
      </c>
      <c r="K132" s="184"/>
      <c r="L132" s="183"/>
    </row>
    <row r="133" spans="8:14" ht="15.75" customHeight="1" thickBot="1">
      <c r="H133" s="184"/>
      <c r="I133" s="184"/>
      <c r="J133" s="184" t="s">
        <v>49</v>
      </c>
      <c r="K133" s="184"/>
      <c r="L133" s="183"/>
      <c r="N133" s="66" t="s">
        <v>668</v>
      </c>
    </row>
    <row r="134" spans="8:14" ht="15.75" customHeight="1" thickBot="1">
      <c r="H134" s="184"/>
      <c r="I134" s="184"/>
      <c r="J134" s="184" t="s">
        <v>320</v>
      </c>
      <c r="K134" s="184"/>
      <c r="L134" s="183"/>
      <c r="N134" s="66" t="s">
        <v>282</v>
      </c>
    </row>
    <row r="135" spans="8:14" ht="15.75" customHeight="1" thickBot="1">
      <c r="H135" s="184"/>
      <c r="I135" s="184"/>
      <c r="J135" s="184" t="s">
        <v>1127</v>
      </c>
      <c r="K135" s="184"/>
      <c r="L135" s="183"/>
      <c r="N135" s="66" t="s">
        <v>665</v>
      </c>
    </row>
    <row r="136" spans="8:14" ht="15.75" customHeight="1" thickBot="1">
      <c r="H136" s="184"/>
      <c r="I136" s="184"/>
      <c r="J136" s="184" t="s">
        <v>1128</v>
      </c>
      <c r="K136" s="184"/>
      <c r="L136" s="183"/>
      <c r="N136" s="66" t="s">
        <v>667</v>
      </c>
    </row>
    <row r="137" spans="8:14" ht="15.75" customHeight="1" thickBot="1">
      <c r="H137" s="184"/>
      <c r="I137" s="184"/>
      <c r="J137" s="184" t="s">
        <v>1129</v>
      </c>
      <c r="K137" s="184"/>
      <c r="L137" s="183"/>
      <c r="N137" s="66" t="s">
        <v>666</v>
      </c>
    </row>
    <row r="138" spans="8:14" ht="15.75" customHeight="1" thickBot="1">
      <c r="H138" s="184"/>
      <c r="I138" s="184"/>
      <c r="J138" s="184" t="s">
        <v>1130</v>
      </c>
      <c r="K138" s="184"/>
      <c r="L138" s="183"/>
    </row>
    <row r="139" spans="8:14" ht="15.75" customHeight="1" thickBot="1">
      <c r="H139" s="184"/>
      <c r="I139" s="184"/>
      <c r="J139" s="184" t="s">
        <v>341</v>
      </c>
      <c r="K139" s="184"/>
      <c r="L139" s="183"/>
    </row>
    <row r="140" spans="8:14" ht="15.75" customHeight="1" thickBot="1">
      <c r="H140" s="184"/>
      <c r="I140" s="184"/>
      <c r="J140" s="184" t="s">
        <v>1131</v>
      </c>
      <c r="K140" s="184"/>
      <c r="L140" s="183"/>
    </row>
    <row r="141" spans="8:14" ht="15.75" customHeight="1" thickBot="1">
      <c r="H141" s="184"/>
      <c r="I141" s="184"/>
      <c r="J141" s="184" t="s">
        <v>61</v>
      </c>
      <c r="K141" s="184"/>
      <c r="L141" s="183"/>
    </row>
    <row r="142" spans="8:14" ht="15.75" customHeight="1" thickBot="1">
      <c r="H142" s="184"/>
      <c r="I142" s="184"/>
      <c r="J142" s="184" t="s">
        <v>1132</v>
      </c>
      <c r="K142" s="184"/>
      <c r="L142" s="183"/>
    </row>
    <row r="143" spans="8:14" ht="15.75" customHeight="1" thickBot="1">
      <c r="H143" s="184"/>
      <c r="I143" s="184"/>
      <c r="J143" s="184" t="s">
        <v>1133</v>
      </c>
      <c r="K143" s="184"/>
      <c r="L143" s="183"/>
    </row>
    <row r="144" spans="8:14" ht="15.75" customHeight="1" thickBot="1">
      <c r="H144" s="184"/>
      <c r="I144" s="184"/>
      <c r="J144" s="184" t="s">
        <v>337</v>
      </c>
      <c r="K144" s="184"/>
      <c r="L144" s="183"/>
    </row>
    <row r="145" spans="8:12" ht="15.75" customHeight="1" thickBot="1">
      <c r="H145" s="184"/>
      <c r="I145" s="184"/>
      <c r="J145" s="184" t="s">
        <v>1134</v>
      </c>
      <c r="K145" s="184"/>
      <c r="L145" s="183"/>
    </row>
    <row r="146" spans="8:12" ht="15.75" customHeight="1" thickBot="1">
      <c r="H146" s="184"/>
      <c r="I146" s="184"/>
      <c r="J146" s="184" t="s">
        <v>323</v>
      </c>
      <c r="K146" s="184"/>
      <c r="L146" s="183"/>
    </row>
    <row r="147" spans="8:12" ht="15.75" customHeight="1" thickBot="1">
      <c r="H147" s="184"/>
      <c r="I147" s="184"/>
      <c r="J147" s="184" t="s">
        <v>46</v>
      </c>
      <c r="K147" s="184"/>
      <c r="L147" s="183"/>
    </row>
    <row r="148" spans="8:12" ht="15.75" customHeight="1" thickBot="1">
      <c r="H148" s="184"/>
      <c r="I148" s="184"/>
      <c r="J148" s="184" t="s">
        <v>348</v>
      </c>
      <c r="K148" s="184"/>
      <c r="L148" s="183"/>
    </row>
    <row r="149" spans="8:12" ht="15.75" customHeight="1" thickBot="1">
      <c r="H149" s="184"/>
      <c r="I149" s="184"/>
      <c r="J149" s="184" t="s">
        <v>1135</v>
      </c>
      <c r="K149" s="184"/>
      <c r="L149" s="183"/>
    </row>
    <row r="150" spans="8:12" ht="15.75" customHeight="1" thickBot="1">
      <c r="H150" s="184"/>
      <c r="I150" s="184"/>
      <c r="J150" s="184" t="s">
        <v>1136</v>
      </c>
      <c r="K150" s="184"/>
      <c r="L150" s="183"/>
    </row>
    <row r="151" spans="8:12" ht="15.75" customHeight="1" thickBot="1">
      <c r="H151" s="184"/>
      <c r="I151" s="184"/>
      <c r="J151" s="184" t="s">
        <v>1137</v>
      </c>
      <c r="K151" s="184"/>
      <c r="L151" s="183"/>
    </row>
    <row r="152" spans="8:12" ht="15.75" customHeight="1" thickBot="1">
      <c r="H152" s="184"/>
      <c r="I152" s="184"/>
      <c r="J152" s="184" t="s">
        <v>1138</v>
      </c>
      <c r="K152" s="184"/>
      <c r="L152" s="183"/>
    </row>
    <row r="153" spans="8:12" ht="15.75" customHeight="1" thickBot="1">
      <c r="H153" s="184"/>
      <c r="I153" s="184"/>
      <c r="J153" s="184" t="s">
        <v>50</v>
      </c>
      <c r="K153" s="184"/>
      <c r="L153" s="183"/>
    </row>
    <row r="154" spans="8:12" ht="15.75" customHeight="1" thickBot="1">
      <c r="H154" s="184"/>
      <c r="I154" s="184"/>
      <c r="J154" s="184" t="s">
        <v>324</v>
      </c>
      <c r="K154" s="184"/>
      <c r="L154" s="183"/>
    </row>
    <row r="155" spans="8:12" ht="15.75" customHeight="1" thickBot="1">
      <c r="H155" s="184"/>
      <c r="I155" s="184"/>
      <c r="J155" s="184" t="s">
        <v>325</v>
      </c>
      <c r="K155" s="184"/>
      <c r="L155" s="183"/>
    </row>
    <row r="156" spans="8:12" ht="15.75" customHeight="1" thickBot="1">
      <c r="H156" s="184"/>
      <c r="I156" s="184"/>
      <c r="J156" s="184" t="s">
        <v>73</v>
      </c>
      <c r="K156" s="184"/>
      <c r="L156" s="183"/>
    </row>
    <row r="157" spans="8:12" ht="15.75" customHeight="1" thickBot="1">
      <c r="H157" s="184"/>
      <c r="I157" s="184"/>
      <c r="J157" s="184" t="s">
        <v>1139</v>
      </c>
      <c r="K157" s="184"/>
      <c r="L157" s="183"/>
    </row>
    <row r="158" spans="8:12" ht="15.75" customHeight="1" thickBot="1">
      <c r="H158" s="184"/>
      <c r="I158" s="184"/>
      <c r="J158" s="184" t="s">
        <v>51</v>
      </c>
      <c r="K158" s="184"/>
      <c r="L158" s="183"/>
    </row>
    <row r="159" spans="8:12" ht="15.75" customHeight="1" thickBot="1">
      <c r="H159" s="184"/>
      <c r="I159" s="184"/>
      <c r="J159" s="184" t="s">
        <v>43</v>
      </c>
      <c r="K159" s="184"/>
      <c r="L159" s="183"/>
    </row>
    <row r="160" spans="8:12" ht="15.75" customHeight="1" thickBot="1">
      <c r="H160" s="184"/>
      <c r="I160" s="184"/>
      <c r="J160" s="184" t="s">
        <v>71</v>
      </c>
      <c r="K160" s="184"/>
      <c r="L160" s="183"/>
    </row>
    <row r="161" spans="8:12" ht="15.75" customHeight="1" thickBot="1">
      <c r="H161" s="184"/>
      <c r="I161" s="184"/>
      <c r="J161" s="184" t="s">
        <v>1140</v>
      </c>
      <c r="K161" s="184"/>
      <c r="L161" s="183"/>
    </row>
    <row r="162" spans="8:12" ht="15.75" customHeight="1" thickBot="1">
      <c r="H162" s="184"/>
      <c r="I162" s="184"/>
      <c r="J162" s="184" t="s">
        <v>1141</v>
      </c>
      <c r="K162" s="184"/>
      <c r="L162" s="183"/>
    </row>
    <row r="163" spans="8:12" ht="15.75" customHeight="1" thickBot="1">
      <c r="H163" s="184"/>
      <c r="I163" s="184"/>
      <c r="J163" s="184" t="s">
        <v>1142</v>
      </c>
      <c r="K163" s="184"/>
      <c r="L163" s="183"/>
    </row>
    <row r="164" spans="8:12" ht="15.75" customHeight="1" thickBot="1">
      <c r="H164" s="184"/>
      <c r="I164" s="184"/>
      <c r="J164" s="184" t="s">
        <v>74</v>
      </c>
      <c r="K164" s="184"/>
      <c r="L164" s="183"/>
    </row>
    <row r="165" spans="8:12" ht="15.75" customHeight="1" thickBot="1">
      <c r="H165" s="184"/>
      <c r="I165" s="184"/>
      <c r="J165" s="184" t="s">
        <v>1143</v>
      </c>
      <c r="K165" s="184"/>
      <c r="L165" s="183"/>
    </row>
    <row r="166" spans="8:12" ht="15.75" customHeight="1" thickBot="1">
      <c r="H166" s="184"/>
      <c r="I166" s="184"/>
      <c r="J166" s="184" t="s">
        <v>1144</v>
      </c>
      <c r="K166" s="184"/>
      <c r="L166" s="183"/>
    </row>
    <row r="167" spans="8:12" ht="15.75" customHeight="1" thickBot="1">
      <c r="H167" s="184"/>
      <c r="I167" s="184"/>
      <c r="J167" s="184" t="s">
        <v>66</v>
      </c>
      <c r="K167" s="184"/>
      <c r="L167" s="183"/>
    </row>
    <row r="168" spans="8:12" ht="15.75" customHeight="1" thickBot="1">
      <c r="H168" s="184"/>
      <c r="I168" s="184"/>
      <c r="J168" s="184" t="s">
        <v>322</v>
      </c>
      <c r="K168" s="184"/>
      <c r="L168" s="183"/>
    </row>
    <row r="169" spans="8:12" ht="15.75" customHeight="1" thickBot="1">
      <c r="H169" s="184"/>
      <c r="I169" s="184"/>
      <c r="J169" s="184" t="s">
        <v>1145</v>
      </c>
      <c r="K169" s="184"/>
      <c r="L169" s="183"/>
    </row>
    <row r="170" spans="8:12" ht="15.75" customHeight="1" thickBot="1">
      <c r="H170" s="184"/>
      <c r="I170" s="184"/>
      <c r="J170" s="184" t="s">
        <v>331</v>
      </c>
      <c r="K170" s="184"/>
      <c r="L170" s="183"/>
    </row>
    <row r="171" spans="8:12" ht="15.75" customHeight="1" thickBot="1">
      <c r="H171" s="184"/>
      <c r="I171" s="184"/>
      <c r="J171" s="184" t="s">
        <v>1146</v>
      </c>
      <c r="K171" s="184"/>
      <c r="L171" s="183"/>
    </row>
    <row r="172" spans="8:12" ht="15.75" customHeight="1" thickBot="1">
      <c r="H172" s="184"/>
      <c r="I172" s="184"/>
      <c r="J172" s="184" t="s">
        <v>70</v>
      </c>
      <c r="K172" s="184"/>
      <c r="L172" s="183"/>
    </row>
    <row r="173" spans="8:12" ht="15.75" customHeight="1" thickBot="1">
      <c r="H173" s="184"/>
      <c r="I173" s="184"/>
      <c r="J173" s="184" t="s">
        <v>342</v>
      </c>
      <c r="K173" s="184"/>
      <c r="L173" s="183"/>
    </row>
    <row r="174" spans="8:12" ht="15.75" customHeight="1" thickBot="1">
      <c r="H174" s="184"/>
      <c r="I174" s="184"/>
      <c r="J174" s="184" t="s">
        <v>321</v>
      </c>
      <c r="K174" s="184"/>
      <c r="L174" s="183"/>
    </row>
    <row r="175" spans="8:12" ht="15.75" customHeight="1" thickBot="1">
      <c r="H175" s="184"/>
      <c r="I175" s="184"/>
      <c r="J175" s="184" t="s">
        <v>1147</v>
      </c>
      <c r="K175" s="184"/>
      <c r="L175" s="183"/>
    </row>
    <row r="176" spans="8:12" ht="15.75" customHeight="1" thickBot="1">
      <c r="H176" s="184"/>
      <c r="I176" s="184"/>
      <c r="J176" s="184" t="s">
        <v>1148</v>
      </c>
      <c r="K176" s="184"/>
      <c r="L176" s="183"/>
    </row>
    <row r="177" spans="8:12" ht="15.75" customHeight="1" thickBot="1">
      <c r="H177" s="184"/>
      <c r="I177" s="184"/>
      <c r="J177" s="184" t="s">
        <v>72</v>
      </c>
      <c r="K177" s="184"/>
      <c r="L177" s="183"/>
    </row>
    <row r="178" spans="8:12" ht="15.75" customHeight="1" thickBot="1">
      <c r="H178" s="184"/>
      <c r="I178" s="184"/>
      <c r="J178" s="184" t="s">
        <v>65</v>
      </c>
      <c r="K178" s="184"/>
      <c r="L178" s="183"/>
    </row>
    <row r="179" spans="8:12" ht="15.75" customHeight="1" thickBot="1">
      <c r="H179" s="184"/>
      <c r="I179" s="184"/>
      <c r="J179" s="184" t="s">
        <v>47</v>
      </c>
      <c r="K179" s="184"/>
      <c r="L179" s="183"/>
    </row>
    <row r="180" spans="8:12" ht="15.75" customHeight="1" thickBot="1">
      <c r="H180" s="184"/>
      <c r="I180" s="184"/>
      <c r="J180" s="184" t="s">
        <v>52</v>
      </c>
      <c r="K180" s="184"/>
      <c r="L180" s="183"/>
    </row>
    <row r="181" spans="8:12" ht="15.75" customHeight="1" thickBot="1">
      <c r="H181" s="184"/>
      <c r="I181" s="184"/>
      <c r="J181" s="184" t="s">
        <v>53</v>
      </c>
      <c r="K181" s="184"/>
      <c r="L181" s="183"/>
    </row>
    <row r="182" spans="8:12" ht="15.75" customHeight="1" thickBot="1">
      <c r="H182" s="184"/>
      <c r="I182" s="184"/>
      <c r="J182" s="184" t="s">
        <v>1149</v>
      </c>
      <c r="K182" s="184"/>
      <c r="L182" s="183"/>
    </row>
    <row r="183" spans="8:12" ht="15.75" customHeight="1" thickBot="1">
      <c r="H183" s="184"/>
      <c r="I183" s="184"/>
      <c r="J183" s="184" t="s">
        <v>1150</v>
      </c>
      <c r="K183" s="184"/>
      <c r="L183" s="183"/>
    </row>
    <row r="184" spans="8:12" ht="15.75" customHeight="1" thickBot="1">
      <c r="H184" s="184"/>
      <c r="I184" s="184"/>
      <c r="J184" s="184" t="s">
        <v>347</v>
      </c>
      <c r="K184" s="184"/>
      <c r="L184" s="183"/>
    </row>
    <row r="185" spans="8:12" ht="15.75" customHeight="1" thickBot="1">
      <c r="H185" s="184"/>
      <c r="I185" s="184"/>
      <c r="J185" s="184" t="s">
        <v>343</v>
      </c>
      <c r="K185" s="184"/>
      <c r="L185" s="183"/>
    </row>
    <row r="186" spans="8:12" ht="15.75" customHeight="1" thickBot="1">
      <c r="H186" s="184"/>
      <c r="I186" s="184"/>
      <c r="J186" s="184" t="s">
        <v>1151</v>
      </c>
      <c r="K186" s="184"/>
      <c r="L186" s="183"/>
    </row>
    <row r="187" spans="8:12" ht="15.75" customHeight="1" thickBot="1">
      <c r="H187" s="184"/>
      <c r="I187" s="184"/>
      <c r="J187" s="184" t="s">
        <v>54</v>
      </c>
      <c r="K187" s="184"/>
      <c r="L187" s="183"/>
    </row>
    <row r="188" spans="8:12" ht="15.75" customHeight="1" thickBot="1">
      <c r="H188" s="184"/>
      <c r="I188" s="184"/>
      <c r="J188" s="184" t="s">
        <v>56</v>
      </c>
      <c r="K188" s="184"/>
      <c r="L188" s="183"/>
    </row>
    <row r="189" spans="8:12" ht="15.75" customHeight="1" thickBot="1">
      <c r="H189" s="184"/>
      <c r="I189" s="184"/>
      <c r="J189" s="184" t="s">
        <v>60</v>
      </c>
      <c r="K189" s="184"/>
      <c r="L189" s="183"/>
    </row>
    <row r="190" spans="8:12" ht="15.75" customHeight="1" thickBot="1">
      <c r="H190" s="184"/>
      <c r="I190" s="184"/>
      <c r="J190" s="184" t="s">
        <v>55</v>
      </c>
      <c r="K190" s="184"/>
      <c r="L190" s="183"/>
    </row>
    <row r="191" spans="8:12" ht="15.75" customHeight="1" thickBot="1">
      <c r="H191" s="184"/>
      <c r="I191" s="184"/>
      <c r="J191" s="184" t="s">
        <v>1152</v>
      </c>
      <c r="K191" s="184"/>
      <c r="L191" s="183"/>
    </row>
    <row r="192" spans="8:12" ht="15.75" customHeight="1" thickBot="1">
      <c r="H192" s="184"/>
      <c r="I192" s="184"/>
      <c r="J192" s="184" t="s">
        <v>351</v>
      </c>
      <c r="K192" s="184"/>
      <c r="L192" s="183"/>
    </row>
    <row r="193" spans="8:12" ht="15.75" customHeight="1" thickBot="1">
      <c r="H193" s="184"/>
      <c r="I193" s="184"/>
      <c r="J193" s="184" t="s">
        <v>69</v>
      </c>
      <c r="K193" s="184"/>
      <c r="L193" s="183"/>
    </row>
    <row r="194" spans="8:12" ht="15.75" customHeight="1" thickBot="1">
      <c r="H194" s="184"/>
      <c r="I194" s="184"/>
      <c r="J194" s="184" t="s">
        <v>45</v>
      </c>
      <c r="K194" s="184"/>
      <c r="L194" s="183"/>
    </row>
    <row r="195" spans="8:12" ht="15.75" customHeight="1" thickBot="1">
      <c r="H195" s="184"/>
      <c r="I195" s="184"/>
      <c r="J195" s="184" t="s">
        <v>57</v>
      </c>
      <c r="K195" s="184"/>
      <c r="L195" s="183"/>
    </row>
    <row r="196" spans="8:12" ht="15.75" customHeight="1" thickBot="1">
      <c r="H196" s="184"/>
      <c r="I196" s="184"/>
      <c r="J196" s="184" t="s">
        <v>1153</v>
      </c>
      <c r="K196" s="184"/>
      <c r="L196" s="183"/>
    </row>
    <row r="197" spans="8:12" ht="15.75" customHeight="1" thickBot="1">
      <c r="H197" s="184"/>
      <c r="I197" s="184"/>
      <c r="J197" s="184" t="s">
        <v>319</v>
      </c>
      <c r="K197" s="184"/>
      <c r="L197" s="183"/>
    </row>
    <row r="198" spans="8:12" ht="15.75" customHeight="1" thickBot="1">
      <c r="H198" s="184"/>
      <c r="I198" s="184"/>
      <c r="J198" s="184" t="s">
        <v>68</v>
      </c>
      <c r="K198" s="184"/>
      <c r="L198" s="183"/>
    </row>
    <row r="199" spans="8:12" ht="15.75" customHeight="1" thickBot="1">
      <c r="H199" s="184"/>
      <c r="I199" s="184"/>
      <c r="J199" s="184" t="s">
        <v>58</v>
      </c>
      <c r="K199" s="184"/>
      <c r="L199" s="183"/>
    </row>
    <row r="200" spans="8:12" ht="15.75" customHeight="1" thickBot="1">
      <c r="H200" s="184"/>
      <c r="I200" s="184"/>
      <c r="J200" s="184" t="s">
        <v>333</v>
      </c>
      <c r="K200" s="184"/>
      <c r="L200" s="183"/>
    </row>
    <row r="201" spans="8:12" ht="15.75" customHeight="1" thickBot="1">
      <c r="H201" s="184"/>
      <c r="I201" s="184"/>
      <c r="J201" s="184" t="s">
        <v>1154</v>
      </c>
      <c r="K201" s="184"/>
      <c r="L201" s="183"/>
    </row>
    <row r="202" spans="8:12" ht="15.75" customHeight="1" thickBot="1">
      <c r="H202" s="184"/>
      <c r="I202" s="184"/>
      <c r="J202" s="184" t="s">
        <v>62</v>
      </c>
      <c r="K202" s="184"/>
      <c r="L202" s="183"/>
    </row>
    <row r="203" spans="8:12" ht="15.75" customHeight="1" thickBot="1">
      <c r="H203" s="184"/>
      <c r="I203" s="184"/>
      <c r="J203" s="184" t="s">
        <v>1155</v>
      </c>
      <c r="K203" s="184"/>
      <c r="L203" s="183"/>
    </row>
    <row r="204" spans="8:12" ht="15.75" customHeight="1" thickBot="1">
      <c r="H204" s="184"/>
      <c r="I204" s="184"/>
      <c r="J204" s="184" t="s">
        <v>75</v>
      </c>
      <c r="K204" s="184"/>
      <c r="L204" s="183"/>
    </row>
    <row r="205" spans="8:12" ht="15.75" customHeight="1" thickBot="1">
      <c r="H205" s="184"/>
      <c r="I205" s="184"/>
      <c r="J205" s="184" t="s">
        <v>1156</v>
      </c>
      <c r="K205" s="184"/>
      <c r="L205" s="183"/>
    </row>
    <row r="206" spans="8:12" ht="15.75" customHeight="1" thickBot="1">
      <c r="H206" s="184"/>
      <c r="I206" s="184"/>
      <c r="J206" s="184" t="s">
        <v>63</v>
      </c>
      <c r="K206" s="184"/>
      <c r="L206" s="183"/>
    </row>
    <row r="207" spans="8:12" ht="15.75" customHeight="1" thickBot="1">
      <c r="H207" s="184"/>
      <c r="I207" s="184"/>
      <c r="J207" s="184" t="s">
        <v>1157</v>
      </c>
      <c r="K207" s="184"/>
      <c r="L207" s="183"/>
    </row>
    <row r="208" spans="8:12" ht="15.75" customHeight="1" thickBot="1">
      <c r="H208" s="184"/>
      <c r="I208" s="184"/>
      <c r="J208" s="184" t="s">
        <v>1158</v>
      </c>
      <c r="K208" s="184"/>
      <c r="L208" s="183"/>
    </row>
    <row r="209" spans="8:12" ht="15" customHeight="1" thickBot="1">
      <c r="H209" s="184"/>
      <c r="I209" s="184"/>
      <c r="J209" s="184" t="s">
        <v>338</v>
      </c>
      <c r="K209" s="184"/>
      <c r="L209" s="183"/>
    </row>
    <row r="210" spans="8:12" ht="15" customHeight="1" thickBot="1">
      <c r="H210" s="184"/>
      <c r="I210" s="184"/>
      <c r="J210" s="184" t="s">
        <v>332</v>
      </c>
      <c r="K210" s="184"/>
      <c r="L210" s="183"/>
    </row>
    <row r="211" spans="8:12" ht="15" customHeight="1" thickBot="1">
      <c r="H211" s="184"/>
      <c r="I211" s="184"/>
      <c r="J211" s="184" t="s">
        <v>1159</v>
      </c>
      <c r="K211" s="184"/>
      <c r="L211" s="183"/>
    </row>
    <row r="212" spans="8:12" ht="15" customHeight="1" thickBot="1">
      <c r="H212" s="184"/>
      <c r="I212" s="184"/>
      <c r="J212" s="184" t="s">
        <v>1160</v>
      </c>
      <c r="K212" s="184"/>
      <c r="L212" s="183"/>
    </row>
    <row r="213" spans="8:12" ht="15" customHeight="1">
      <c r="H213" s="184"/>
      <c r="I213" s="184"/>
      <c r="J213" s="184" t="s">
        <v>326</v>
      </c>
      <c r="K213" s="184"/>
    </row>
    <row r="214" spans="8:12" ht="15" customHeight="1">
      <c r="H214" s="184"/>
      <c r="I214" s="184"/>
      <c r="J214" s="184" t="s">
        <v>64</v>
      </c>
      <c r="K214" s="184"/>
    </row>
    <row r="215" spans="8:12" ht="15" customHeight="1">
      <c r="H215" s="184"/>
      <c r="I215" s="184"/>
      <c r="J215" s="184" t="s">
        <v>349</v>
      </c>
      <c r="K215" s="184"/>
    </row>
    <row r="216" spans="8:12" ht="15" customHeight="1">
      <c r="H216" s="184"/>
      <c r="I216" s="184"/>
      <c r="J216" s="184" t="s">
        <v>350</v>
      </c>
      <c r="K216" s="184"/>
    </row>
    <row r="217" spans="8:12" ht="15" customHeight="1">
      <c r="H217" s="184"/>
      <c r="I217" s="184"/>
      <c r="J217" s="184" t="s">
        <v>351</v>
      </c>
      <c r="K217" s="184"/>
    </row>
    <row r="218" spans="8:12" ht="15" customHeight="1">
      <c r="H218" s="184"/>
      <c r="I218" s="184"/>
      <c r="J218" s="184" t="s">
        <v>62</v>
      </c>
      <c r="K218" s="184"/>
    </row>
    <row r="219" spans="8:12" ht="15" customHeight="1">
      <c r="H219" s="184"/>
      <c r="I219" s="184"/>
      <c r="J219" s="184" t="s">
        <v>63</v>
      </c>
      <c r="K219" s="184"/>
    </row>
    <row r="220" spans="8:12" ht="15" customHeight="1">
      <c r="H220" s="184"/>
      <c r="I220" s="184"/>
      <c r="J220" s="184" t="s">
        <v>64</v>
      </c>
      <c r="K220" s="184"/>
    </row>
    <row r="221" spans="8:12" ht="15" customHeight="1">
      <c r="H221" s="184"/>
      <c r="I221" s="184"/>
      <c r="J221" s="184" t="s">
        <v>99</v>
      </c>
      <c r="K221" s="184"/>
    </row>
    <row r="222" spans="8:12" ht="15" customHeight="1">
      <c r="H222" s="184"/>
      <c r="I222" s="184"/>
      <c r="J222" s="184"/>
      <c r="K222" s="184"/>
    </row>
    <row r="223" spans="8:12" ht="15" customHeight="1">
      <c r="H223" s="184"/>
      <c r="I223" s="184"/>
      <c r="J223" s="184"/>
      <c r="K223" s="184"/>
    </row>
    <row r="224" spans="8:12" ht="15" customHeight="1">
      <c r="H224" s="184"/>
      <c r="I224" s="184"/>
      <c r="J224" s="184"/>
      <c r="K224" s="184"/>
    </row>
    <row r="225" spans="1:11" ht="15" customHeight="1">
      <c r="H225" s="184"/>
      <c r="I225" s="184"/>
      <c r="J225" s="184"/>
      <c r="K225" s="184"/>
    </row>
    <row r="226" spans="1:11" ht="15" customHeight="1">
      <c r="H226" s="184"/>
      <c r="I226" s="184"/>
      <c r="J226" s="184"/>
      <c r="K226" s="184"/>
    </row>
    <row r="227" spans="1:11">
      <c r="H227" s="184"/>
      <c r="I227" s="184"/>
      <c r="J227" s="184"/>
      <c r="K227" s="184"/>
    </row>
    <row r="228" spans="1:11">
      <c r="H228" s="184"/>
      <c r="I228" s="184"/>
      <c r="J228" s="184"/>
      <c r="K228" s="184"/>
    </row>
    <row r="229" spans="1:11">
      <c r="H229" s="184"/>
      <c r="I229" s="184"/>
      <c r="J229" s="184"/>
      <c r="K229" s="184"/>
    </row>
    <row r="230" spans="1:11">
      <c r="B230" s="50"/>
      <c r="C230" s="50"/>
      <c r="D230" s="50"/>
      <c r="E230" s="50"/>
      <c r="H230" s="184"/>
      <c r="I230" s="184"/>
      <c r="K230" s="184"/>
    </row>
    <row r="231" spans="1:11" s="50" customFormat="1">
      <c r="A231" s="253"/>
      <c r="B231" s="66"/>
      <c r="C231" s="66"/>
      <c r="D231" s="66"/>
      <c r="E231" s="66"/>
    </row>
    <row r="232" spans="1:11"/>
    <row r="233" spans="1:11"/>
    <row r="234" spans="1:11"/>
    <row r="235" spans="1:11"/>
    <row r="236" spans="1:11"/>
  </sheetData>
  <dataConsolidate/>
  <mergeCells count="68">
    <mergeCell ref="B55:C55"/>
    <mergeCell ref="B56:C56"/>
    <mergeCell ref="B57:C57"/>
    <mergeCell ref="B74:E74"/>
    <mergeCell ref="B75:E75"/>
    <mergeCell ref="B58:C58"/>
    <mergeCell ref="B59:C59"/>
    <mergeCell ref="B60:C60"/>
    <mergeCell ref="B69:C69"/>
    <mergeCell ref="B64:C64"/>
    <mergeCell ref="B2:E2"/>
    <mergeCell ref="B32:E32"/>
    <mergeCell ref="B31:E31"/>
    <mergeCell ref="B6:C6"/>
    <mergeCell ref="B5:D5"/>
    <mergeCell ref="B12:D12"/>
    <mergeCell ref="B25:E25"/>
    <mergeCell ref="B28:E28"/>
    <mergeCell ref="B26:C26"/>
    <mergeCell ref="B23:E23"/>
    <mergeCell ref="B29:C29"/>
    <mergeCell ref="B54:C54"/>
    <mergeCell ref="D104:F104"/>
    <mergeCell ref="D101:F101"/>
    <mergeCell ref="C101:C102"/>
    <mergeCell ref="B101:B102"/>
    <mergeCell ref="B99:F99"/>
    <mergeCell ref="E85:F85"/>
    <mergeCell ref="B90:C90"/>
    <mergeCell ref="B89:C89"/>
    <mergeCell ref="B85:D85"/>
    <mergeCell ref="B86:C86"/>
    <mergeCell ref="B87:C87"/>
    <mergeCell ref="B88:C88"/>
    <mergeCell ref="B93:F93"/>
    <mergeCell ref="B98:C98"/>
    <mergeCell ref="B81:E81"/>
    <mergeCell ref="B33:E33"/>
    <mergeCell ref="B34:E34"/>
    <mergeCell ref="B48:F48"/>
    <mergeCell ref="B36:F36"/>
    <mergeCell ref="B72:D72"/>
    <mergeCell ref="B71:D71"/>
    <mergeCell ref="B50:E50"/>
    <mergeCell ref="B52:C52"/>
    <mergeCell ref="B61:C61"/>
    <mergeCell ref="B63:E63"/>
    <mergeCell ref="B65:C65"/>
    <mergeCell ref="B66:C66"/>
    <mergeCell ref="B67:C67"/>
    <mergeCell ref="B68:C68"/>
    <mergeCell ref="B51:C51"/>
    <mergeCell ref="B53:C53"/>
    <mergeCell ref="D107:F107"/>
    <mergeCell ref="B77:E77"/>
    <mergeCell ref="B78:B79"/>
    <mergeCell ref="B91:C91"/>
    <mergeCell ref="E86:F86"/>
    <mergeCell ref="E87:F87"/>
    <mergeCell ref="E88:F88"/>
    <mergeCell ref="E90:F90"/>
    <mergeCell ref="B100:F100"/>
    <mergeCell ref="D94:F94"/>
    <mergeCell ref="C94:C95"/>
    <mergeCell ref="B94:B95"/>
    <mergeCell ref="D105:F105"/>
    <mergeCell ref="D103:F103"/>
    <mergeCell ref="B82:B83"/>
  </mergeCells>
  <phoneticPr fontId="88" type="noConversion"/>
  <dataValidations count="17">
    <dataValidation type="custom" allowBlank="1" showInputMessage="1" showErrorMessage="1" error="Cost of equity estimate has to be numeric." sqref="D86" xr:uid="{00000000-0002-0000-0200-000001000000}">
      <formula1>ISNUMBER(D86)</formula1>
    </dataValidation>
    <dataValidation type="list" allowBlank="1" showInputMessage="1" showErrorMessage="1" error="The entry shall be selected from the list of possible entries" sqref="B29:C29" xr:uid="{00000000-0002-0000-0200-000005000000}">
      <formula1>$I$101:$I$105</formula1>
    </dataValidation>
    <dataValidation type="list" allowBlank="1" showInputMessage="1" showErrorMessage="1" error="The entry shall be selected from the list of possible entries" sqref="B72:D72" xr:uid="{00000000-0002-0000-0200-000006000000}">
      <formula1>$L$101:$L$104</formula1>
    </dataValidation>
    <dataValidation type="list" allowBlank="1" showInputMessage="1" showErrorMessage="1" error="The entry shall be selected from the list of possible entries" sqref="D90 D88" xr:uid="{00000000-0002-0000-0200-000008000000}">
      <formula1>$N$115:$N$119</formula1>
    </dataValidation>
    <dataValidation type="list" allowBlank="1" showInputMessage="1" showErrorMessage="1" error="The entry shall be selected from the list of possible entries" sqref="D87" xr:uid="{00000000-0002-0000-0200-000009000000}">
      <formula1>$N$106:$N$111</formula1>
    </dataValidation>
    <dataValidation type="list" allowBlank="1" showErrorMessage="1" error="The entry shall be selected from the list of possible entries" sqref="D92:F92" xr:uid="{00000000-0002-0000-0200-00000A000000}">
      <formula1>$N$121:$N$129</formula1>
    </dataValidation>
    <dataValidation type="decimal" operator="greaterThanOrEqual" allowBlank="1" showInputMessage="1" showErrorMessage="1" errorTitle="Incorrect data entered" error="A positive number must be entered" sqref="C38:F47" xr:uid="{00000000-0002-0000-0200-00000D000000}">
      <formula1>0</formula1>
    </dataValidation>
    <dataValidation type="list" allowBlank="1" showInputMessage="1" showErrorMessage="1" sqref="D65" xr:uid="{00000000-0002-0000-0200-00000E000000}">
      <formula1>$N$135:$N$137</formula1>
    </dataValidation>
    <dataValidation type="list" allowBlank="1" showInputMessage="1" showErrorMessage="1" error="The entry shall be selected from the list of possible entries" sqref="C78:E78" xr:uid="{9336C59D-9437-44AB-A728-39A1F948746F}">
      <formula1>$Q$101:$Q$114</formula1>
    </dataValidation>
    <dataValidation type="list" allowBlank="1" showInputMessage="1" showErrorMessage="1" error="The entry shall be selected from the list of possible entries" sqref="C82:E82" xr:uid="{DF1B0890-3BEE-438C-8E28-3530780765B2}">
      <formula1>$R$101:$R$111</formula1>
    </dataValidation>
    <dataValidation type="list" allowBlank="1" showErrorMessage="1" error="The entry shall be selected from the list of possible entries" sqref="D89:F89 D91:F91" xr:uid="{0699B8CE-32D3-49C4-8121-6C493DFFDB79}">
      <formula1>$N$122:$N$129</formula1>
    </dataValidation>
    <dataValidation type="custom" allowBlank="1" showInputMessage="1" showErrorMessage="1" error="Only numeric values." sqref="D66:D69 D52 D54:D55 D57:D61" xr:uid="{54B7A5B5-6290-4DBE-97CB-1E139652534E}">
      <formula1>ISNUMBER(D52)</formula1>
    </dataValidation>
    <dataValidation type="decimal" operator="greaterThanOrEqual" allowBlank="1" showInputMessage="1" showErrorMessage="1" error="Only numeric values." sqref="D96:F96" xr:uid="{08FF12EB-A4A6-4587-B520-9174A4ADDD43}">
      <formula1>-900000000000</formula1>
    </dataValidation>
    <dataValidation type="list" allowBlank="1" showInputMessage="1" showErrorMessage="1" sqref="D97:F97" xr:uid="{66F38229-FCA0-479C-A407-88522A74A4BE}">
      <formula1>$O$101:$O$106</formula1>
    </dataValidation>
    <dataValidation type="list" allowBlank="1" showInputMessage="1" showErrorMessage="1" sqref="D107 D103:D105" xr:uid="{A4D228DB-E39D-45EF-AA45-9A87E0044F27}">
      <formula1>$P$101:$P$102</formula1>
    </dataValidation>
    <dataValidation type="list" allowBlank="1" showErrorMessage="1" errorTitle="Incorrect data entered" sqref="D13:D22" xr:uid="{5AA52548-95ED-4E8C-BF8A-56B4AE71E49A}">
      <formula1>$J$101:$J$221</formula1>
    </dataValidation>
    <dataValidation type="list" allowBlank="1" showInputMessage="1" showErrorMessage="1" sqref="C13:C22" xr:uid="{113C4279-8270-481D-B6AC-D09EA38D1657}">
      <formula1>$H$100:$H$102</formula1>
    </dataValidation>
  </dataValidations>
  <hyperlinks>
    <hyperlink ref="E95" r:id="rId1" display="T+@" xr:uid="{3F53BB6C-8BD5-4EB0-A67D-FAEFEDB868BB}"/>
    <hyperlink ref="E102" r:id="rId2" display="T+@" xr:uid="{710650E2-1985-4340-BF4D-C6F432401136}"/>
  </hyperlinks>
  <pageMargins left="0.70866141732283472" right="0.70866141732283472" top="0.74803149606299213" bottom="0.74803149606299213" header="0.31496062992125984" footer="0.31496062992125984"/>
  <pageSetup paperSize="8" scale="74" orientation="portrait" r:id="rId3"/>
  <drawing r:id="rId4"/>
  <legacyDrawing r:id="rId5"/>
  <tableParts count="1">
    <tablePart r:id="rId6"/>
  </tableParts>
  <extLst>
    <ext xmlns:x14="http://schemas.microsoft.com/office/spreadsheetml/2009/9/main" uri="{CCE6A557-97BC-4b89-ADB6-D9C93CAAB3DF}">
      <x14:dataValidations xmlns:xm="http://schemas.microsoft.com/office/excel/2006/main" count="3">
        <x14:dataValidation type="list" allowBlank="1" showInputMessage="1" showErrorMessage="1" error="The entry shall be selected from the list of possible entries" xr:uid="{00000000-0002-0000-0200-000003000000}">
          <x14:formula1>
            <xm:f>'Reference for drop-down menus'!$B$4:$B$25</xm:f>
          </x14:formula1>
          <xm:sqref>C7</xm:sqref>
        </x14:dataValidation>
        <x14:dataValidation type="list" allowBlank="1" showInputMessage="1" showErrorMessage="1" error="Only numeric values." xr:uid="{017C12E0-10CB-4BF5-BD60-3A7D56DAE59F}">
          <x14:formula1>
            <xm:f>'Reference for drop-down menus'!$G$5:$G$6</xm:f>
          </x14:formula1>
          <xm:sqref>D53 D56</xm:sqref>
        </x14:dataValidation>
        <x14:dataValidation type="list" allowBlank="1" showInputMessage="1" showErrorMessage="1" error="The entry shall be selected from the list of possible entries" xr:uid="{3364257C-A32E-448D-8534-E143FF85EBCA}">
          <x14:formula1>
            <xm:f>'Reference for drop-down menus'!$C$4:$C$253</xm:f>
          </x14:formula1>
          <xm:sqref>C8:C10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5EB0-63AF-43AE-B282-2D461341D7DB}">
  <dimension ref="A1:T75"/>
  <sheetViews>
    <sheetView topLeftCell="B1" zoomScaleNormal="100" workbookViewId="0">
      <selection activeCell="B17" sqref="B17:C17"/>
    </sheetView>
  </sheetViews>
  <sheetFormatPr defaultColWidth="0" defaultRowHeight="15" zeroHeight="1"/>
  <cols>
    <col min="1" max="1" width="9.28515625" style="186" hidden="1" customWidth="1"/>
    <col min="2" max="15" width="9.28515625" style="186" customWidth="1"/>
    <col min="16" max="16" width="21.7109375" style="186" customWidth="1"/>
    <col min="17" max="18" width="9.28515625" style="186" hidden="1" customWidth="1"/>
    <col min="19" max="19" width="16.42578125" style="186" hidden="1" customWidth="1"/>
    <col min="20" max="16384" width="8.7109375" style="186" hidden="1"/>
  </cols>
  <sheetData>
    <row r="1" spans="1:19" ht="21">
      <c r="A1" s="49"/>
      <c r="B1" s="494" t="s">
        <v>789</v>
      </c>
      <c r="C1" s="494"/>
      <c r="D1" s="494"/>
      <c r="E1" s="494"/>
      <c r="F1" s="494"/>
      <c r="G1" s="494"/>
      <c r="H1" s="494"/>
      <c r="I1" s="494"/>
      <c r="J1" s="494"/>
      <c r="K1" s="494"/>
      <c r="L1" s="494"/>
      <c r="M1" s="494"/>
      <c r="N1" s="494"/>
      <c r="O1" s="494"/>
      <c r="P1" s="494"/>
      <c r="Q1" s="50"/>
      <c r="R1" s="50"/>
      <c r="S1" s="50"/>
    </row>
    <row r="2" spans="1:19" ht="15.75" thickBot="1">
      <c r="A2" s="49"/>
      <c r="B2" s="51"/>
      <c r="C2" s="52"/>
      <c r="D2" s="50"/>
      <c r="E2" s="50"/>
      <c r="F2" s="50"/>
      <c r="G2" s="50"/>
      <c r="H2" s="50"/>
      <c r="I2" s="50"/>
      <c r="J2" s="50"/>
      <c r="K2" s="50"/>
      <c r="L2" s="50"/>
      <c r="M2" s="50"/>
      <c r="N2" s="50"/>
      <c r="O2" s="50"/>
      <c r="P2" s="50"/>
      <c r="Q2" s="50"/>
      <c r="R2" s="50"/>
      <c r="S2" s="50"/>
    </row>
    <row r="3" spans="1:19" ht="63" customHeight="1" thickBot="1">
      <c r="A3" s="49"/>
      <c r="B3" s="51"/>
      <c r="C3" s="52"/>
      <c r="D3" s="495" t="s">
        <v>790</v>
      </c>
      <c r="E3" s="496"/>
      <c r="F3" s="496"/>
      <c r="G3" s="496"/>
      <c r="H3" s="496"/>
      <c r="I3" s="497"/>
      <c r="J3" s="495" t="s">
        <v>783</v>
      </c>
      <c r="K3" s="496"/>
      <c r="L3" s="496"/>
      <c r="M3" s="496"/>
      <c r="N3" s="502"/>
      <c r="O3" s="503"/>
      <c r="P3" s="229"/>
      <c r="Q3" s="50"/>
      <c r="R3" s="50"/>
      <c r="S3" s="50"/>
    </row>
    <row r="4" spans="1:19" ht="15.75" thickBot="1">
      <c r="A4" s="49"/>
      <c r="B4" s="51"/>
      <c r="C4" s="52"/>
      <c r="D4" s="498" t="s">
        <v>371</v>
      </c>
      <c r="E4" s="499"/>
      <c r="F4" s="498" t="s">
        <v>372</v>
      </c>
      <c r="G4" s="499"/>
      <c r="H4" s="498" t="s">
        <v>373</v>
      </c>
      <c r="I4" s="499"/>
      <c r="J4" s="500" t="s">
        <v>371</v>
      </c>
      <c r="K4" s="501"/>
      <c r="L4" s="500" t="s">
        <v>372</v>
      </c>
      <c r="M4" s="501"/>
      <c r="N4" s="498" t="s">
        <v>373</v>
      </c>
      <c r="O4" s="499"/>
      <c r="P4" s="51"/>
      <c r="Q4" s="50"/>
      <c r="R4" s="50"/>
      <c r="S4" s="50"/>
    </row>
    <row r="5" spans="1:19" ht="15.75" thickBot="1">
      <c r="A5" s="49"/>
      <c r="B5" s="51"/>
      <c r="C5" s="52"/>
      <c r="D5" s="527" t="s">
        <v>374</v>
      </c>
      <c r="E5" s="528"/>
      <c r="F5" s="527" t="s">
        <v>374</v>
      </c>
      <c r="G5" s="528"/>
      <c r="H5" s="527" t="s">
        <v>374</v>
      </c>
      <c r="I5" s="528"/>
      <c r="J5" s="527" t="s">
        <v>374</v>
      </c>
      <c r="K5" s="528"/>
      <c r="L5" s="527" t="s">
        <v>374</v>
      </c>
      <c r="M5" s="529"/>
      <c r="N5" s="530" t="s">
        <v>374</v>
      </c>
      <c r="O5" s="531"/>
      <c r="P5" s="231" t="s">
        <v>3</v>
      </c>
      <c r="Q5" s="50"/>
      <c r="R5" s="50"/>
      <c r="S5" s="50"/>
    </row>
    <row r="6" spans="1:19" ht="30">
      <c r="A6" s="49"/>
      <c r="B6" s="505" t="s">
        <v>376</v>
      </c>
      <c r="C6" s="39" t="s">
        <v>377</v>
      </c>
      <c r="D6" s="520"/>
      <c r="E6" s="515"/>
      <c r="F6" s="520"/>
      <c r="G6" s="515"/>
      <c r="H6" s="520"/>
      <c r="I6" s="515"/>
      <c r="J6" s="520"/>
      <c r="K6" s="515"/>
      <c r="L6" s="520"/>
      <c r="M6" s="515"/>
      <c r="N6" s="532"/>
      <c r="O6" s="533"/>
      <c r="P6" s="62"/>
      <c r="Q6" s="50"/>
      <c r="R6" s="50"/>
      <c r="S6" s="50"/>
    </row>
    <row r="7" spans="1:19" ht="30">
      <c r="A7" s="49"/>
      <c r="B7" s="506"/>
      <c r="C7" s="40" t="s">
        <v>378</v>
      </c>
      <c r="D7" s="521"/>
      <c r="E7" s="517"/>
      <c r="F7" s="521"/>
      <c r="G7" s="517"/>
      <c r="H7" s="521"/>
      <c r="I7" s="517"/>
      <c r="J7" s="521"/>
      <c r="K7" s="517"/>
      <c r="L7" s="521"/>
      <c r="M7" s="517"/>
      <c r="N7" s="521"/>
      <c r="O7" s="517"/>
      <c r="P7" s="58"/>
      <c r="Q7" s="50"/>
      <c r="R7" s="50"/>
      <c r="S7" s="50"/>
    </row>
    <row r="8" spans="1:19" ht="45.75" thickBot="1">
      <c r="A8" s="49"/>
      <c r="B8" s="507"/>
      <c r="C8" s="41" t="s">
        <v>379</v>
      </c>
      <c r="D8" s="522"/>
      <c r="E8" s="519"/>
      <c r="F8" s="522"/>
      <c r="G8" s="519"/>
      <c r="H8" s="522"/>
      <c r="I8" s="519"/>
      <c r="J8" s="522"/>
      <c r="K8" s="519"/>
      <c r="L8" s="522"/>
      <c r="M8" s="519"/>
      <c r="N8" s="522"/>
      <c r="O8" s="519"/>
      <c r="P8" s="63"/>
      <c r="Q8" s="50"/>
      <c r="R8" s="50"/>
      <c r="S8" s="50"/>
    </row>
    <row r="9" spans="1:19" ht="15.75" thickBot="1">
      <c r="A9" s="49"/>
      <c r="B9" s="53"/>
      <c r="C9" s="54"/>
      <c r="D9" s="54"/>
      <c r="E9" s="54"/>
      <c r="F9" s="54"/>
      <c r="G9" s="54"/>
      <c r="H9" s="54"/>
      <c r="I9" s="54"/>
      <c r="J9" s="54"/>
      <c r="K9" s="54"/>
      <c r="L9" s="54"/>
      <c r="M9" s="54"/>
      <c r="N9" s="54"/>
      <c r="O9" s="54"/>
      <c r="P9" s="53"/>
      <c r="Q9" s="50"/>
      <c r="R9" s="50"/>
      <c r="S9" s="50"/>
    </row>
    <row r="10" spans="1:19" ht="60">
      <c r="A10" s="49"/>
      <c r="B10" s="505" t="s">
        <v>380</v>
      </c>
      <c r="C10" s="42" t="s">
        <v>381</v>
      </c>
      <c r="D10" s="514"/>
      <c r="E10" s="515"/>
      <c r="F10" s="520"/>
      <c r="G10" s="515"/>
      <c r="H10" s="520"/>
      <c r="I10" s="515"/>
      <c r="J10" s="520"/>
      <c r="K10" s="515"/>
      <c r="L10" s="520"/>
      <c r="M10" s="515"/>
      <c r="N10" s="520"/>
      <c r="O10" s="515"/>
      <c r="P10" s="62"/>
      <c r="Q10" s="50"/>
      <c r="R10" s="50"/>
      <c r="S10" s="50"/>
    </row>
    <row r="11" spans="1:19" ht="60">
      <c r="A11" s="49"/>
      <c r="B11" s="506"/>
      <c r="C11" s="43" t="s">
        <v>382</v>
      </c>
      <c r="D11" s="516"/>
      <c r="E11" s="517"/>
      <c r="F11" s="521"/>
      <c r="G11" s="517"/>
      <c r="H11" s="521"/>
      <c r="I11" s="517"/>
      <c r="J11" s="521"/>
      <c r="K11" s="517"/>
      <c r="L11" s="521"/>
      <c r="M11" s="517"/>
      <c r="N11" s="521"/>
      <c r="O11" s="517"/>
      <c r="P11" s="58"/>
      <c r="Q11" s="50"/>
      <c r="R11" s="50"/>
      <c r="S11" s="50"/>
    </row>
    <row r="12" spans="1:19" ht="75.75" thickBot="1">
      <c r="A12" s="49"/>
      <c r="B12" s="507"/>
      <c r="C12" s="44" t="s">
        <v>383</v>
      </c>
      <c r="D12" s="518"/>
      <c r="E12" s="519"/>
      <c r="F12" s="522"/>
      <c r="G12" s="519"/>
      <c r="H12" s="522"/>
      <c r="I12" s="519"/>
      <c r="J12" s="522"/>
      <c r="K12" s="519"/>
      <c r="L12" s="522"/>
      <c r="M12" s="519"/>
      <c r="N12" s="522"/>
      <c r="O12" s="519"/>
      <c r="P12" s="63"/>
      <c r="Q12" s="50"/>
      <c r="R12" s="50"/>
      <c r="S12" s="50"/>
    </row>
    <row r="13" spans="1:19" ht="15.75" thickBot="1">
      <c r="A13" s="49"/>
      <c r="B13" s="49"/>
      <c r="C13" s="49"/>
      <c r="D13" s="49"/>
      <c r="E13" s="49"/>
      <c r="F13" s="49"/>
      <c r="G13" s="49"/>
      <c r="H13" s="49"/>
      <c r="I13" s="49"/>
      <c r="J13" s="49"/>
      <c r="K13" s="49"/>
      <c r="L13" s="49"/>
      <c r="M13" s="49"/>
      <c r="N13" s="49"/>
      <c r="O13" s="49"/>
      <c r="P13" s="49"/>
      <c r="Q13" s="50" t="s">
        <v>384</v>
      </c>
      <c r="R13" s="50"/>
      <c r="S13" s="50"/>
    </row>
    <row r="14" spans="1:19" ht="33" customHeight="1" thickBot="1">
      <c r="A14" s="49"/>
      <c r="B14" s="508" t="s">
        <v>385</v>
      </c>
      <c r="C14" s="509"/>
      <c r="D14" s="523"/>
      <c r="E14" s="524"/>
      <c r="F14" s="523"/>
      <c r="G14" s="524"/>
      <c r="H14" s="523"/>
      <c r="I14" s="524"/>
      <c r="J14" s="523"/>
      <c r="K14" s="534"/>
      <c r="L14" s="523"/>
      <c r="M14" s="534"/>
      <c r="N14" s="523"/>
      <c r="O14" s="534"/>
      <c r="P14" s="59"/>
      <c r="Q14" s="50"/>
      <c r="R14" s="50"/>
      <c r="S14" s="50"/>
    </row>
    <row r="15" spans="1:19" ht="32.1" customHeight="1" thickBot="1">
      <c r="A15" s="49"/>
      <c r="B15" s="510" t="s">
        <v>386</v>
      </c>
      <c r="C15" s="511"/>
      <c r="D15" s="523"/>
      <c r="E15" s="524"/>
      <c r="F15" s="523"/>
      <c r="G15" s="524"/>
      <c r="H15" s="523"/>
      <c r="I15" s="524"/>
      <c r="J15" s="523"/>
      <c r="K15" s="534"/>
      <c r="L15" s="523"/>
      <c r="M15" s="534"/>
      <c r="N15" s="523"/>
      <c r="O15" s="534"/>
      <c r="P15" s="59"/>
      <c r="Q15" s="50"/>
      <c r="R15" s="50"/>
      <c r="S15" s="50"/>
    </row>
    <row r="16" spans="1:19" ht="15.75" thickBot="1">
      <c r="A16" s="49"/>
      <c r="B16" s="51"/>
      <c r="C16" s="52"/>
      <c r="D16" s="52"/>
      <c r="E16" s="52"/>
      <c r="F16" s="52"/>
      <c r="G16" s="52"/>
      <c r="H16" s="52"/>
      <c r="I16" s="52"/>
      <c r="J16" s="52"/>
      <c r="K16" s="52"/>
      <c r="L16" s="52"/>
      <c r="M16" s="52"/>
      <c r="N16" s="52"/>
      <c r="O16" s="52"/>
      <c r="P16" s="51"/>
    </row>
    <row r="17" spans="1:20" ht="15.75" thickBot="1">
      <c r="A17" s="49"/>
      <c r="B17" s="512" t="s">
        <v>387</v>
      </c>
      <c r="C17" s="513"/>
      <c r="D17" s="523"/>
      <c r="E17" s="524"/>
      <c r="F17" s="523"/>
      <c r="G17" s="524"/>
      <c r="H17" s="523"/>
      <c r="I17" s="524"/>
      <c r="J17" s="523"/>
      <c r="K17" s="534"/>
      <c r="L17" s="523"/>
      <c r="M17" s="534"/>
      <c r="N17" s="523"/>
      <c r="O17" s="534"/>
      <c r="P17" s="59"/>
    </row>
    <row r="18" spans="1:20" ht="15.75" thickBot="1">
      <c r="A18" s="49"/>
      <c r="B18" s="51"/>
      <c r="C18" s="52"/>
      <c r="D18" s="52"/>
      <c r="E18" s="52"/>
      <c r="F18" s="52"/>
      <c r="G18" s="52"/>
      <c r="H18" s="52"/>
      <c r="I18" s="52"/>
      <c r="J18" s="52"/>
      <c r="K18" s="52"/>
      <c r="L18" s="52"/>
      <c r="M18" s="52"/>
      <c r="N18" s="52"/>
      <c r="O18" s="52"/>
      <c r="P18" s="52"/>
      <c r="Q18" s="52"/>
      <c r="R18" s="52"/>
      <c r="S18" s="51"/>
    </row>
    <row r="19" spans="1:20" ht="59.1" customHeight="1" thickBot="1">
      <c r="A19" s="49"/>
      <c r="B19" s="51"/>
      <c r="C19" s="52"/>
      <c r="D19" s="504" t="s">
        <v>388</v>
      </c>
      <c r="E19" s="502"/>
      <c r="F19" s="502"/>
      <c r="G19" s="502"/>
      <c r="H19" s="502"/>
      <c r="I19" s="502"/>
      <c r="J19" s="495" t="s">
        <v>389</v>
      </c>
      <c r="K19" s="496"/>
      <c r="L19" s="496"/>
      <c r="M19" s="496"/>
      <c r="N19" s="496"/>
      <c r="O19" s="497"/>
      <c r="P19" s="230"/>
      <c r="Q19" s="230"/>
      <c r="R19" s="230"/>
      <c r="S19" s="51"/>
    </row>
    <row r="20" spans="1:20">
      <c r="A20" s="49"/>
      <c r="B20" s="51"/>
      <c r="C20" s="52"/>
      <c r="D20" s="498" t="s">
        <v>371</v>
      </c>
      <c r="E20" s="499"/>
      <c r="F20" s="498" t="s">
        <v>372</v>
      </c>
      <c r="G20" s="499"/>
      <c r="H20" s="498" t="s">
        <v>373</v>
      </c>
      <c r="I20" s="499"/>
      <c r="J20" s="500" t="s">
        <v>371</v>
      </c>
      <c r="K20" s="501"/>
      <c r="L20" s="500" t="s">
        <v>372</v>
      </c>
      <c r="M20" s="501"/>
      <c r="N20" s="535" t="s">
        <v>373</v>
      </c>
      <c r="O20" s="536"/>
      <c r="P20" s="51"/>
    </row>
    <row r="21" spans="1:20" ht="15.75" thickBot="1">
      <c r="A21" s="49"/>
      <c r="B21" s="51"/>
      <c r="C21" s="52"/>
      <c r="D21" s="232" t="s">
        <v>374</v>
      </c>
      <c r="E21" s="233" t="s">
        <v>390</v>
      </c>
      <c r="F21" s="232" t="s">
        <v>374</v>
      </c>
      <c r="G21" s="233" t="s">
        <v>390</v>
      </c>
      <c r="H21" s="232" t="s">
        <v>374</v>
      </c>
      <c r="I21" s="233" t="s">
        <v>390</v>
      </c>
      <c r="J21" s="232" t="s">
        <v>374</v>
      </c>
      <c r="K21" s="234" t="s">
        <v>390</v>
      </c>
      <c r="L21" s="232" t="s">
        <v>374</v>
      </c>
      <c r="M21" s="234" t="s">
        <v>390</v>
      </c>
      <c r="N21" s="235" t="s">
        <v>374</v>
      </c>
      <c r="O21" s="236" t="s">
        <v>390</v>
      </c>
      <c r="P21" s="51"/>
    </row>
    <row r="22" spans="1:20" ht="15.75" thickBot="1">
      <c r="A22" s="49"/>
      <c r="B22" s="512" t="s">
        <v>391</v>
      </c>
      <c r="C22" s="513"/>
      <c r="D22" s="60"/>
      <c r="E22" s="61"/>
      <c r="F22" s="60"/>
      <c r="G22" s="61"/>
      <c r="H22" s="60"/>
      <c r="I22" s="61"/>
      <c r="J22" s="60"/>
      <c r="K22" s="61"/>
      <c r="L22" s="60"/>
      <c r="M22" s="61"/>
      <c r="N22" s="60"/>
      <c r="O22" s="61"/>
      <c r="P22" s="59"/>
      <c r="Q22" s="50"/>
    </row>
    <row r="23" spans="1:20" ht="15.75" thickBot="1">
      <c r="A23" s="49"/>
      <c r="B23" s="525" t="s">
        <v>3</v>
      </c>
      <c r="C23" s="526"/>
      <c r="D23" s="46"/>
      <c r="E23" s="47"/>
      <c r="F23" s="46"/>
      <c r="G23" s="47"/>
      <c r="H23" s="46"/>
      <c r="I23" s="47"/>
      <c r="J23" s="46"/>
      <c r="K23" s="48"/>
      <c r="L23" s="46"/>
      <c r="M23" s="48"/>
      <c r="N23" s="46"/>
      <c r="O23" s="48"/>
      <c r="P23" s="45"/>
      <c r="Q23" s="50"/>
    </row>
    <row r="24" spans="1:20">
      <c r="A24" s="49"/>
      <c r="B24" s="51"/>
      <c r="C24" s="51"/>
      <c r="D24" s="51"/>
      <c r="E24" s="51"/>
      <c r="F24" s="51"/>
      <c r="G24" s="51"/>
      <c r="H24" s="51"/>
      <c r="I24" s="51"/>
      <c r="J24" s="51"/>
      <c r="K24" s="51"/>
      <c r="L24" s="51"/>
      <c r="M24" s="51"/>
      <c r="N24" s="51"/>
      <c r="O24" s="51"/>
      <c r="P24" s="51"/>
      <c r="Q24" s="51"/>
      <c r="R24" s="51"/>
      <c r="S24" s="51"/>
      <c r="T24" s="55"/>
    </row>
    <row r="30" spans="1:20" s="261" customFormat="1" ht="90" hidden="1">
      <c r="C30" s="262" t="s">
        <v>392</v>
      </c>
      <c r="D30" s="262" t="s">
        <v>393</v>
      </c>
      <c r="E30" s="262" t="s">
        <v>394</v>
      </c>
      <c r="F30" s="262" t="s">
        <v>395</v>
      </c>
      <c r="G30" s="262" t="s">
        <v>396</v>
      </c>
      <c r="H30" s="262" t="s">
        <v>397</v>
      </c>
      <c r="I30" s="262" t="s">
        <v>398</v>
      </c>
      <c r="J30" s="262" t="s">
        <v>399</v>
      </c>
      <c r="K30" s="262" t="s">
        <v>400</v>
      </c>
      <c r="L30" s="262" t="s">
        <v>401</v>
      </c>
      <c r="M30" s="262" t="s">
        <v>402</v>
      </c>
      <c r="N30" s="262" t="s">
        <v>403</v>
      </c>
      <c r="O30" s="262" t="s">
        <v>403</v>
      </c>
    </row>
    <row r="31" spans="1:20" s="261" customFormat="1" ht="45" hidden="1">
      <c r="C31" s="262" t="s">
        <v>404</v>
      </c>
      <c r="D31" s="262" t="s">
        <v>405</v>
      </c>
      <c r="E31" s="262" t="s">
        <v>406</v>
      </c>
      <c r="F31" s="262" t="s">
        <v>406</v>
      </c>
      <c r="G31" s="262" t="s">
        <v>406</v>
      </c>
      <c r="H31" s="262" t="s">
        <v>406</v>
      </c>
      <c r="I31" s="262" t="s">
        <v>406</v>
      </c>
      <c r="J31" s="262" t="s">
        <v>406</v>
      </c>
      <c r="K31" s="262" t="s">
        <v>406</v>
      </c>
      <c r="L31" s="262" t="s">
        <v>406</v>
      </c>
      <c r="M31" s="262" t="s">
        <v>406</v>
      </c>
      <c r="N31" s="262" t="s">
        <v>406</v>
      </c>
      <c r="O31" s="262" t="s">
        <v>404</v>
      </c>
    </row>
    <row r="32" spans="1:20" s="261" customFormat="1" hidden="1">
      <c r="C32" s="262" t="s">
        <v>375</v>
      </c>
      <c r="D32" s="262" t="s">
        <v>95</v>
      </c>
      <c r="E32" s="262" t="s">
        <v>374</v>
      </c>
      <c r="F32" s="262" t="s">
        <v>374</v>
      </c>
      <c r="G32" s="262" t="s">
        <v>374</v>
      </c>
      <c r="H32" s="262" t="s">
        <v>374</v>
      </c>
      <c r="I32" s="262" t="s">
        <v>374</v>
      </c>
      <c r="J32" s="262" t="s">
        <v>374</v>
      </c>
      <c r="K32" s="262" t="s">
        <v>374</v>
      </c>
      <c r="L32" s="262" t="s">
        <v>374</v>
      </c>
      <c r="M32" s="262" t="s">
        <v>374</v>
      </c>
      <c r="N32" s="262" t="s">
        <v>374</v>
      </c>
      <c r="O32" s="262" t="s">
        <v>390</v>
      </c>
    </row>
    <row r="33" spans="3:15" s="261" customFormat="1" ht="225" hidden="1">
      <c r="C33" s="263" t="s">
        <v>375</v>
      </c>
      <c r="D33" s="263" t="s">
        <v>407</v>
      </c>
      <c r="E33" s="263" t="s">
        <v>408</v>
      </c>
      <c r="F33" s="263" t="s">
        <v>409</v>
      </c>
      <c r="G33" s="263" t="s">
        <v>410</v>
      </c>
      <c r="H33" s="263" t="s">
        <v>411</v>
      </c>
      <c r="I33" s="263" t="s">
        <v>412</v>
      </c>
      <c r="J33" s="263" t="s">
        <v>413</v>
      </c>
      <c r="K33" s="263" t="s">
        <v>414</v>
      </c>
      <c r="L33" s="263" t="s">
        <v>415</v>
      </c>
      <c r="M33" s="263" t="s">
        <v>416</v>
      </c>
      <c r="N33" s="263" t="s">
        <v>391</v>
      </c>
      <c r="O33" s="263" t="s">
        <v>417</v>
      </c>
    </row>
    <row r="34" spans="3:15" s="261" customFormat="1" ht="123.75" hidden="1">
      <c r="C34" s="56" t="s">
        <v>418</v>
      </c>
      <c r="D34" s="264" t="s">
        <v>158</v>
      </c>
      <c r="E34" s="265" t="s">
        <v>419</v>
      </c>
      <c r="F34" s="265" t="s">
        <v>419</v>
      </c>
      <c r="G34" s="265" t="s">
        <v>419</v>
      </c>
      <c r="H34" s="265" t="s">
        <v>420</v>
      </c>
      <c r="I34" s="265" t="s">
        <v>421</v>
      </c>
      <c r="J34" s="265" t="s">
        <v>420</v>
      </c>
      <c r="K34" s="265" t="s">
        <v>422</v>
      </c>
      <c r="L34" s="265" t="s">
        <v>423</v>
      </c>
      <c r="M34" s="265" t="s">
        <v>424</v>
      </c>
      <c r="N34" s="265" t="s">
        <v>419</v>
      </c>
      <c r="O34" s="266" t="s">
        <v>425</v>
      </c>
    </row>
    <row r="35" spans="3:15" s="261" customFormat="1" ht="123.75" hidden="1">
      <c r="C35" s="56" t="s">
        <v>426</v>
      </c>
      <c r="D35" s="264" t="s">
        <v>159</v>
      </c>
      <c r="E35" s="265" t="s">
        <v>427</v>
      </c>
      <c r="F35" s="265" t="s">
        <v>427</v>
      </c>
      <c r="G35" s="265" t="s">
        <v>428</v>
      </c>
      <c r="H35" s="265" t="s">
        <v>429</v>
      </c>
      <c r="I35" s="265" t="s">
        <v>430</v>
      </c>
      <c r="J35" s="265" t="s">
        <v>429</v>
      </c>
      <c r="K35" s="265" t="s">
        <v>431</v>
      </c>
      <c r="L35" s="265" t="s">
        <v>432</v>
      </c>
      <c r="M35" s="265" t="s">
        <v>433</v>
      </c>
      <c r="N35" s="265" t="s">
        <v>427</v>
      </c>
      <c r="O35" s="266" t="s">
        <v>434</v>
      </c>
    </row>
    <row r="36" spans="3:15" s="261" customFormat="1" ht="101.25" hidden="1">
      <c r="C36" s="56" t="s">
        <v>435</v>
      </c>
      <c r="D36" s="264" t="s">
        <v>160</v>
      </c>
      <c r="E36" s="265" t="s">
        <v>436</v>
      </c>
      <c r="F36" s="265" t="s">
        <v>437</v>
      </c>
      <c r="G36" s="265" t="s">
        <v>436</v>
      </c>
      <c r="H36" s="265" t="s">
        <v>438</v>
      </c>
      <c r="I36" s="265" t="s">
        <v>439</v>
      </c>
      <c r="J36" s="265" t="s">
        <v>438</v>
      </c>
      <c r="K36" s="265" t="s">
        <v>440</v>
      </c>
      <c r="L36" s="265" t="s">
        <v>441</v>
      </c>
      <c r="M36" s="265" t="s">
        <v>442</v>
      </c>
      <c r="N36" s="265" t="s">
        <v>443</v>
      </c>
      <c r="O36" s="265" t="s">
        <v>444</v>
      </c>
    </row>
    <row r="37" spans="3:15" s="261" customFormat="1" ht="112.5" hidden="1">
      <c r="C37" s="56" t="s">
        <v>445</v>
      </c>
      <c r="D37" s="264" t="s">
        <v>161</v>
      </c>
      <c r="E37" s="265" t="s">
        <v>446</v>
      </c>
      <c r="F37" s="265" t="s">
        <v>447</v>
      </c>
      <c r="G37" s="265" t="s">
        <v>446</v>
      </c>
      <c r="H37" s="265" t="s">
        <v>448</v>
      </c>
      <c r="I37" s="265" t="s">
        <v>449</v>
      </c>
      <c r="J37" s="265" t="s">
        <v>448</v>
      </c>
      <c r="K37" s="265" t="s">
        <v>450</v>
      </c>
      <c r="L37" s="265" t="s">
        <v>451</v>
      </c>
      <c r="M37" s="265" t="s">
        <v>452</v>
      </c>
      <c r="N37" s="265" t="s">
        <v>453</v>
      </c>
      <c r="O37" s="266" t="s">
        <v>454</v>
      </c>
    </row>
    <row r="38" spans="3:15" s="261" customFormat="1" ht="112.5" hidden="1">
      <c r="C38" s="56" t="s">
        <v>455</v>
      </c>
      <c r="D38" s="264" t="s">
        <v>162</v>
      </c>
      <c r="E38" s="265" t="s">
        <v>456</v>
      </c>
      <c r="F38" s="265" t="s">
        <v>457</v>
      </c>
      <c r="G38" s="265" t="s">
        <v>456</v>
      </c>
      <c r="H38" s="265" t="s">
        <v>458</v>
      </c>
      <c r="I38" s="265" t="s">
        <v>459</v>
      </c>
      <c r="J38" s="265" t="s">
        <v>458</v>
      </c>
      <c r="K38" s="265" t="s">
        <v>460</v>
      </c>
      <c r="L38" s="265" t="s">
        <v>461</v>
      </c>
      <c r="M38" s="265" t="s">
        <v>462</v>
      </c>
      <c r="N38" s="265" t="s">
        <v>463</v>
      </c>
      <c r="O38" s="266" t="s">
        <v>464</v>
      </c>
    </row>
    <row r="39" spans="3:15" s="261" customFormat="1" ht="123.75" hidden="1">
      <c r="D39" s="264" t="s">
        <v>163</v>
      </c>
      <c r="E39" s="265" t="s">
        <v>465</v>
      </c>
      <c r="F39" s="265" t="s">
        <v>466</v>
      </c>
      <c r="G39" s="265" t="s">
        <v>465</v>
      </c>
      <c r="H39" s="265" t="s">
        <v>467</v>
      </c>
      <c r="I39" s="265" t="s">
        <v>468</v>
      </c>
      <c r="J39" s="265" t="s">
        <v>467</v>
      </c>
      <c r="K39" s="265" t="s">
        <v>469</v>
      </c>
      <c r="L39" s="265" t="s">
        <v>470</v>
      </c>
      <c r="M39" s="265" t="s">
        <v>471</v>
      </c>
      <c r="N39" s="265" t="s">
        <v>472</v>
      </c>
    </row>
    <row r="40" spans="3:15" s="261" customFormat="1" ht="90" hidden="1">
      <c r="D40" s="264" t="s">
        <v>164</v>
      </c>
      <c r="E40" s="265" t="s">
        <v>473</v>
      </c>
      <c r="F40" s="265" t="s">
        <v>474</v>
      </c>
      <c r="G40" s="265" t="s">
        <v>473</v>
      </c>
      <c r="H40" s="265" t="s">
        <v>475</v>
      </c>
      <c r="I40" s="265" t="s">
        <v>476</v>
      </c>
      <c r="J40" s="265" t="s">
        <v>475</v>
      </c>
      <c r="K40" s="265" t="s">
        <v>477</v>
      </c>
      <c r="L40" s="265" t="s">
        <v>478</v>
      </c>
      <c r="M40" s="265" t="s">
        <v>479</v>
      </c>
      <c r="N40" s="265" t="s">
        <v>480</v>
      </c>
    </row>
    <row r="41" spans="3:15" s="261" customFormat="1" ht="101.25" hidden="1">
      <c r="D41" s="264" t="s">
        <v>165</v>
      </c>
      <c r="E41" s="265" t="s">
        <v>481</v>
      </c>
      <c r="F41" s="265" t="s">
        <v>482</v>
      </c>
      <c r="G41" s="265" t="s">
        <v>481</v>
      </c>
      <c r="H41" s="265" t="s">
        <v>483</v>
      </c>
      <c r="I41" s="265" t="s">
        <v>484</v>
      </c>
      <c r="J41" s="265" t="s">
        <v>483</v>
      </c>
      <c r="K41" s="265" t="s">
        <v>485</v>
      </c>
      <c r="L41" s="265" t="s">
        <v>486</v>
      </c>
      <c r="M41" s="265" t="s">
        <v>487</v>
      </c>
      <c r="N41" s="265" t="s">
        <v>488</v>
      </c>
    </row>
    <row r="42" spans="3:15" s="261" customFormat="1" ht="78.75" hidden="1">
      <c r="D42" s="264" t="s">
        <v>166</v>
      </c>
      <c r="E42" s="265" t="s">
        <v>489</v>
      </c>
      <c r="F42" s="265" t="s">
        <v>490</v>
      </c>
      <c r="G42" s="265" t="s">
        <v>489</v>
      </c>
      <c r="H42" s="265" t="s">
        <v>491</v>
      </c>
      <c r="I42" s="265" t="s">
        <v>492</v>
      </c>
      <c r="J42" s="265" t="s">
        <v>491</v>
      </c>
      <c r="K42" s="265" t="s">
        <v>493</v>
      </c>
      <c r="L42" s="265" t="s">
        <v>494</v>
      </c>
      <c r="M42" s="265" t="s">
        <v>495</v>
      </c>
      <c r="N42" s="265" t="s">
        <v>496</v>
      </c>
    </row>
    <row r="43" spans="3:15" s="261" customFormat="1" ht="90" hidden="1">
      <c r="D43" s="264" t="s">
        <v>22</v>
      </c>
      <c r="E43" s="265" t="s">
        <v>497</v>
      </c>
      <c r="F43" s="265" t="s">
        <v>498</v>
      </c>
      <c r="G43" s="265" t="s">
        <v>497</v>
      </c>
      <c r="H43" s="265" t="s">
        <v>499</v>
      </c>
      <c r="I43" s="265" t="s">
        <v>500</v>
      </c>
      <c r="J43" s="265" t="s">
        <v>499</v>
      </c>
      <c r="K43" s="265" t="s">
        <v>501</v>
      </c>
      <c r="L43" s="265" t="s">
        <v>502</v>
      </c>
      <c r="M43" s="265" t="s">
        <v>503</v>
      </c>
      <c r="N43" s="265" t="s">
        <v>504</v>
      </c>
    </row>
    <row r="44" spans="3:15" s="261" customFormat="1" ht="90" hidden="1">
      <c r="D44" s="264" t="s">
        <v>23</v>
      </c>
      <c r="E44" s="265" t="s">
        <v>505</v>
      </c>
      <c r="F44" s="265" t="s">
        <v>506</v>
      </c>
      <c r="G44" s="265" t="s">
        <v>505</v>
      </c>
      <c r="H44" s="265" t="s">
        <v>507</v>
      </c>
      <c r="J44" s="265" t="s">
        <v>507</v>
      </c>
      <c r="K44" s="265" t="s">
        <v>508</v>
      </c>
      <c r="L44" s="265" t="s">
        <v>509</v>
      </c>
      <c r="M44" s="265" t="s">
        <v>510</v>
      </c>
      <c r="N44" s="265" t="s">
        <v>511</v>
      </c>
    </row>
    <row r="45" spans="3:15" s="261" customFormat="1" ht="90" hidden="1">
      <c r="D45" s="264" t="s">
        <v>20</v>
      </c>
      <c r="E45" s="265" t="s">
        <v>512</v>
      </c>
      <c r="F45" s="265" t="s">
        <v>513</v>
      </c>
      <c r="G45" s="265" t="s">
        <v>512</v>
      </c>
      <c r="H45" s="265" t="s">
        <v>514</v>
      </c>
      <c r="J45" s="265" t="s">
        <v>514</v>
      </c>
      <c r="K45" s="265" t="s">
        <v>515</v>
      </c>
      <c r="L45" s="265" t="s">
        <v>516</v>
      </c>
      <c r="M45" s="265" t="s">
        <v>517</v>
      </c>
      <c r="N45" s="265" t="s">
        <v>518</v>
      </c>
    </row>
    <row r="46" spans="3:15" s="261" customFormat="1" ht="78.75" hidden="1">
      <c r="D46" s="264" t="s">
        <v>78</v>
      </c>
      <c r="E46" s="265" t="s">
        <v>519</v>
      </c>
      <c r="G46" s="265" t="s">
        <v>519</v>
      </c>
      <c r="H46" s="265" t="s">
        <v>520</v>
      </c>
      <c r="J46" s="265" t="s">
        <v>520</v>
      </c>
      <c r="L46" s="265" t="s">
        <v>521</v>
      </c>
      <c r="M46" s="265" t="s">
        <v>522</v>
      </c>
      <c r="N46" s="265" t="s">
        <v>523</v>
      </c>
    </row>
    <row r="47" spans="3:15" s="261" customFormat="1" ht="78.75" hidden="1">
      <c r="D47" s="264" t="s">
        <v>79</v>
      </c>
      <c r="E47" s="265" t="s">
        <v>524</v>
      </c>
      <c r="G47" s="265" t="s">
        <v>524</v>
      </c>
      <c r="H47" s="265" t="s">
        <v>525</v>
      </c>
      <c r="J47" s="265" t="s">
        <v>525</v>
      </c>
      <c r="L47" s="265" t="s">
        <v>526</v>
      </c>
      <c r="M47" s="265" t="s">
        <v>527</v>
      </c>
      <c r="N47" s="265" t="s">
        <v>528</v>
      </c>
    </row>
    <row r="48" spans="3:15" s="261" customFormat="1" ht="78.75" hidden="1">
      <c r="D48" s="264" t="s">
        <v>710</v>
      </c>
      <c r="E48" s="265" t="s">
        <v>529</v>
      </c>
      <c r="G48" s="265" t="s">
        <v>529</v>
      </c>
      <c r="H48" s="265" t="s">
        <v>530</v>
      </c>
      <c r="J48" s="265" t="s">
        <v>530</v>
      </c>
      <c r="L48" s="265" t="s">
        <v>531</v>
      </c>
      <c r="M48" s="265" t="s">
        <v>532</v>
      </c>
      <c r="N48" s="265" t="s">
        <v>533</v>
      </c>
    </row>
    <row r="49" spans="4:14" s="261" customFormat="1" ht="78.75" hidden="1">
      <c r="D49" s="264" t="s">
        <v>711</v>
      </c>
      <c r="E49" s="265" t="s">
        <v>534</v>
      </c>
      <c r="G49" s="265" t="s">
        <v>534</v>
      </c>
      <c r="H49" s="265" t="s">
        <v>535</v>
      </c>
      <c r="J49" s="265" t="s">
        <v>535</v>
      </c>
      <c r="M49" s="265" t="s">
        <v>536</v>
      </c>
      <c r="N49" s="265" t="s">
        <v>537</v>
      </c>
    </row>
    <row r="50" spans="4:14" s="261" customFormat="1" ht="112.5" hidden="1">
      <c r="D50" s="264" t="s">
        <v>100</v>
      </c>
      <c r="G50" s="265" t="s">
        <v>538</v>
      </c>
      <c r="H50" s="265" t="s">
        <v>539</v>
      </c>
      <c r="J50" s="265" t="s">
        <v>539</v>
      </c>
      <c r="M50" s="265" t="s">
        <v>540</v>
      </c>
      <c r="N50" s="265" t="s">
        <v>541</v>
      </c>
    </row>
    <row r="51" spans="4:14" s="261" customFormat="1" ht="112.5" hidden="1">
      <c r="D51" s="264" t="s">
        <v>80</v>
      </c>
      <c r="G51" s="265" t="s">
        <v>542</v>
      </c>
      <c r="H51" s="265" t="s">
        <v>543</v>
      </c>
      <c r="J51" s="265" t="s">
        <v>543</v>
      </c>
      <c r="M51" s="265" t="s">
        <v>544</v>
      </c>
      <c r="N51" s="265" t="s">
        <v>545</v>
      </c>
    </row>
    <row r="52" spans="4:14" s="261" customFormat="1" ht="101.25" hidden="1">
      <c r="D52" s="264" t="s">
        <v>81</v>
      </c>
      <c r="G52" s="265" t="s">
        <v>546</v>
      </c>
      <c r="H52" s="265" t="s">
        <v>547</v>
      </c>
      <c r="J52" s="265" t="s">
        <v>547</v>
      </c>
      <c r="M52" s="265" t="s">
        <v>548</v>
      </c>
      <c r="N52" s="265" t="s">
        <v>549</v>
      </c>
    </row>
    <row r="53" spans="4:14" s="261" customFormat="1" ht="78.75" hidden="1">
      <c r="D53" s="264" t="s">
        <v>82</v>
      </c>
      <c r="G53" s="265" t="s">
        <v>550</v>
      </c>
      <c r="H53" s="265" t="s">
        <v>551</v>
      </c>
      <c r="J53" s="265" t="s">
        <v>551</v>
      </c>
      <c r="M53" s="265" t="s">
        <v>552</v>
      </c>
      <c r="N53" s="265" t="s">
        <v>553</v>
      </c>
    </row>
    <row r="54" spans="4:14" s="261" customFormat="1" ht="90" hidden="1">
      <c r="D54" s="264" t="s">
        <v>83</v>
      </c>
      <c r="G54" s="265" t="s">
        <v>554</v>
      </c>
      <c r="H54" s="265" t="s">
        <v>555</v>
      </c>
      <c r="J54" s="265" t="s">
        <v>555</v>
      </c>
      <c r="N54" s="265" t="s">
        <v>556</v>
      </c>
    </row>
    <row r="55" spans="4:14" s="261" customFormat="1" ht="90" hidden="1">
      <c r="D55" s="264" t="s">
        <v>84</v>
      </c>
      <c r="G55" s="265" t="s">
        <v>557</v>
      </c>
      <c r="H55" s="265" t="s">
        <v>558</v>
      </c>
      <c r="J55" s="265" t="s">
        <v>558</v>
      </c>
      <c r="N55" s="265" t="s">
        <v>559</v>
      </c>
    </row>
    <row r="56" spans="4:14" s="261" customFormat="1" ht="101.25" hidden="1">
      <c r="D56" s="264" t="s">
        <v>85</v>
      </c>
      <c r="G56" s="265" t="s">
        <v>560</v>
      </c>
      <c r="H56" s="265" t="s">
        <v>561</v>
      </c>
      <c r="J56" s="265" t="s">
        <v>562</v>
      </c>
      <c r="N56" s="265" t="s">
        <v>563</v>
      </c>
    </row>
    <row r="57" spans="4:14" s="261" customFormat="1" ht="101.25" hidden="1">
      <c r="D57" s="264" t="s">
        <v>86</v>
      </c>
      <c r="G57" s="265" t="s">
        <v>564</v>
      </c>
      <c r="H57" s="265" t="s">
        <v>565</v>
      </c>
      <c r="J57" s="265" t="s">
        <v>566</v>
      </c>
      <c r="N57" s="265" t="s">
        <v>567</v>
      </c>
    </row>
    <row r="58" spans="4:14" s="261" customFormat="1" ht="67.5" hidden="1">
      <c r="D58" s="264" t="s">
        <v>87</v>
      </c>
      <c r="G58" s="265" t="s">
        <v>568</v>
      </c>
      <c r="H58" s="265" t="s">
        <v>569</v>
      </c>
      <c r="J58" s="265" t="s">
        <v>570</v>
      </c>
      <c r="N58" s="265" t="s">
        <v>571</v>
      </c>
    </row>
    <row r="59" spans="4:14" s="261" customFormat="1" ht="67.5" hidden="1">
      <c r="D59" s="264" t="s">
        <v>88</v>
      </c>
      <c r="G59" s="265" t="s">
        <v>572</v>
      </c>
      <c r="H59" s="265" t="s">
        <v>573</v>
      </c>
      <c r="J59" s="265" t="s">
        <v>574</v>
      </c>
      <c r="N59" s="265" t="s">
        <v>575</v>
      </c>
    </row>
    <row r="60" spans="4:14" s="261" customFormat="1" ht="90" hidden="1">
      <c r="D60" s="264" t="s">
        <v>167</v>
      </c>
      <c r="H60" s="265" t="s">
        <v>576</v>
      </c>
      <c r="J60" s="265" t="s">
        <v>577</v>
      </c>
      <c r="N60" s="265" t="s">
        <v>578</v>
      </c>
    </row>
    <row r="61" spans="4:14" s="261" customFormat="1" ht="78.75" hidden="1">
      <c r="D61" s="264" t="s">
        <v>89</v>
      </c>
      <c r="H61" s="265" t="s">
        <v>579</v>
      </c>
      <c r="J61" s="265" t="s">
        <v>580</v>
      </c>
      <c r="N61" s="267" t="s">
        <v>581</v>
      </c>
    </row>
    <row r="62" spans="4:14" s="261" customFormat="1" ht="67.5" hidden="1">
      <c r="D62" s="264" t="s">
        <v>90</v>
      </c>
      <c r="H62" s="265" t="s">
        <v>582</v>
      </c>
      <c r="J62" s="265" t="s">
        <v>583</v>
      </c>
      <c r="N62" s="265" t="s">
        <v>584</v>
      </c>
    </row>
    <row r="63" spans="4:14" s="261" customFormat="1" ht="78.75" hidden="1">
      <c r="D63" s="264" t="s">
        <v>91</v>
      </c>
      <c r="H63" s="265" t="s">
        <v>585</v>
      </c>
      <c r="J63" s="265" t="s">
        <v>586</v>
      </c>
      <c r="N63" s="265" t="s">
        <v>587</v>
      </c>
    </row>
    <row r="64" spans="4:14" s="261" customFormat="1" ht="101.25" hidden="1">
      <c r="D64" s="264" t="s">
        <v>92</v>
      </c>
      <c r="H64" s="265" t="s">
        <v>588</v>
      </c>
      <c r="J64" s="265" t="s">
        <v>589</v>
      </c>
      <c r="N64" s="265" t="s">
        <v>590</v>
      </c>
    </row>
    <row r="65" spans="4:14" s="261" customFormat="1" ht="112.5" hidden="1">
      <c r="D65" s="264" t="s">
        <v>93</v>
      </c>
      <c r="H65" s="265" t="s">
        <v>591</v>
      </c>
      <c r="J65" s="265" t="s">
        <v>592</v>
      </c>
      <c r="N65" s="265" t="s">
        <v>593</v>
      </c>
    </row>
    <row r="66" spans="4:14" s="261" customFormat="1" ht="112.5" hidden="1">
      <c r="D66" s="264" t="s">
        <v>94</v>
      </c>
      <c r="J66" s="265" t="s">
        <v>594</v>
      </c>
      <c r="N66" s="265" t="s">
        <v>595</v>
      </c>
    </row>
    <row r="67" spans="4:14" s="261" customFormat="1" ht="157.5" hidden="1">
      <c r="D67" s="264" t="s">
        <v>169</v>
      </c>
      <c r="J67" s="265" t="s">
        <v>596</v>
      </c>
      <c r="N67" s="265" t="s">
        <v>597</v>
      </c>
    </row>
    <row r="68" spans="4:14" s="261" customFormat="1" ht="157.5" hidden="1">
      <c r="D68" s="264" t="s">
        <v>168</v>
      </c>
      <c r="J68" s="265" t="s">
        <v>598</v>
      </c>
      <c r="N68" s="265" t="s">
        <v>599</v>
      </c>
    </row>
    <row r="69" spans="4:14" s="261" customFormat="1" ht="123.75" hidden="1">
      <c r="J69" s="265" t="s">
        <v>600</v>
      </c>
      <c r="N69" s="265" t="s">
        <v>601</v>
      </c>
    </row>
    <row r="70" spans="4:14" s="261" customFormat="1" ht="123.75" hidden="1">
      <c r="J70" s="265" t="s">
        <v>602</v>
      </c>
      <c r="N70" s="265" t="s">
        <v>603</v>
      </c>
    </row>
    <row r="71" spans="4:14" s="261" customFormat="1" ht="90" hidden="1">
      <c r="J71" s="265" t="s">
        <v>604</v>
      </c>
    </row>
    <row r="72" spans="4:14" s="261" customFormat="1" ht="101.25" hidden="1">
      <c r="J72" s="265" t="s">
        <v>605</v>
      </c>
    </row>
    <row r="73" spans="4:14" s="261" customFormat="1" ht="101.25" hidden="1">
      <c r="J73" s="265" t="s">
        <v>606</v>
      </c>
    </row>
    <row r="74" spans="4:14" s="261" customFormat="1" ht="67.5" hidden="1">
      <c r="J74" s="268" t="s">
        <v>607</v>
      </c>
    </row>
    <row r="75" spans="4:14" s="261" customFormat="1" ht="67.5" hidden="1">
      <c r="J75" s="268" t="s">
        <v>608</v>
      </c>
    </row>
  </sheetData>
  <mergeCells count="84">
    <mergeCell ref="J14:K14"/>
    <mergeCell ref="J15:K15"/>
    <mergeCell ref="L14:M14"/>
    <mergeCell ref="L15:M15"/>
    <mergeCell ref="N14:O14"/>
    <mergeCell ref="N15:O15"/>
    <mergeCell ref="J17:K17"/>
    <mergeCell ref="L17:M17"/>
    <mergeCell ref="N17:O17"/>
    <mergeCell ref="J20:K20"/>
    <mergeCell ref="L20:M20"/>
    <mergeCell ref="N20:O20"/>
    <mergeCell ref="J19:O19"/>
    <mergeCell ref="H14:I14"/>
    <mergeCell ref="H15:I15"/>
    <mergeCell ref="D17:E17"/>
    <mergeCell ref="F17:G17"/>
    <mergeCell ref="H17:I17"/>
    <mergeCell ref="N11:O11"/>
    <mergeCell ref="N12:O12"/>
    <mergeCell ref="H10:I10"/>
    <mergeCell ref="H11:I11"/>
    <mergeCell ref="H12:I12"/>
    <mergeCell ref="J10:K10"/>
    <mergeCell ref="J11:K11"/>
    <mergeCell ref="J12:K12"/>
    <mergeCell ref="L10:M10"/>
    <mergeCell ref="L11:M11"/>
    <mergeCell ref="L12:M12"/>
    <mergeCell ref="N10:O10"/>
    <mergeCell ref="L5:M5"/>
    <mergeCell ref="L6:M6"/>
    <mergeCell ref="L7:M7"/>
    <mergeCell ref="L8:M8"/>
    <mergeCell ref="N4:O4"/>
    <mergeCell ref="N5:O5"/>
    <mergeCell ref="N6:O6"/>
    <mergeCell ref="N7:O7"/>
    <mergeCell ref="N8:O8"/>
    <mergeCell ref="L4:M4"/>
    <mergeCell ref="H5:I5"/>
    <mergeCell ref="H6:I6"/>
    <mergeCell ref="H7:I7"/>
    <mergeCell ref="H8:I8"/>
    <mergeCell ref="J5:K5"/>
    <mergeCell ref="J6:K6"/>
    <mergeCell ref="J7:K7"/>
    <mergeCell ref="J8:K8"/>
    <mergeCell ref="D5:E5"/>
    <mergeCell ref="D6:E6"/>
    <mergeCell ref="D7:E7"/>
    <mergeCell ref="D8:E8"/>
    <mergeCell ref="F5:G5"/>
    <mergeCell ref="F6:G6"/>
    <mergeCell ref="F7:G7"/>
    <mergeCell ref="F8:G8"/>
    <mergeCell ref="B22:C22"/>
    <mergeCell ref="B23:C23"/>
    <mergeCell ref="D20:E20"/>
    <mergeCell ref="F20:G20"/>
    <mergeCell ref="H20:I20"/>
    <mergeCell ref="D19:I19"/>
    <mergeCell ref="B6:B8"/>
    <mergeCell ref="B10:B12"/>
    <mergeCell ref="B14:C14"/>
    <mergeCell ref="B15:C15"/>
    <mergeCell ref="B17:C17"/>
    <mergeCell ref="D10:E10"/>
    <mergeCell ref="D11:E11"/>
    <mergeCell ref="D12:E12"/>
    <mergeCell ref="F10:G10"/>
    <mergeCell ref="F11:G11"/>
    <mergeCell ref="F12:G12"/>
    <mergeCell ref="D14:E14"/>
    <mergeCell ref="D15:E15"/>
    <mergeCell ref="F14:G14"/>
    <mergeCell ref="F15:G15"/>
    <mergeCell ref="B1:P1"/>
    <mergeCell ref="D3:I3"/>
    <mergeCell ref="D4:E4"/>
    <mergeCell ref="F4:G4"/>
    <mergeCell ref="H4:I4"/>
    <mergeCell ref="J4:K4"/>
    <mergeCell ref="J3:O3"/>
  </mergeCells>
  <dataValidations count="11">
    <dataValidation type="list" allowBlank="1" showInputMessage="1" showErrorMessage="1" sqref="E22 O22 M22 K22 I22 G22" xr:uid="{319778B6-06AE-45DA-98CD-2BA70BBC4F80}">
      <formula1>$O$34:$O$38</formula1>
    </dataValidation>
    <dataValidation type="list" allowBlank="1" showInputMessage="1" showErrorMessage="1" sqref="D22 N22 L22 J22 H22 F22" xr:uid="{001AABBF-8E4A-491E-8EB2-7C630021B354}">
      <formula1>$N$34:$N$70</formula1>
    </dataValidation>
    <dataValidation type="list" allowBlank="1" showInputMessage="1" showErrorMessage="1" sqref="D17 N17 L17 J17 H17 F17" xr:uid="{81BCADDC-865D-4404-BD7A-2CDC23D1E423}">
      <formula1>$M$34:$M$53</formula1>
    </dataValidation>
    <dataValidation type="list" allowBlank="1" showInputMessage="1" showErrorMessage="1" sqref="D15 N15 L15 J15 H15 F15" xr:uid="{3CB164C4-E5C9-4B6D-93A0-D6EE3552E77C}">
      <formula1>$L$34:$L$48</formula1>
    </dataValidation>
    <dataValidation type="list" allowBlank="1" showInputMessage="1" showErrorMessage="1" sqref="D14 N14 L14 J14 H14 F14" xr:uid="{594854CF-C8BD-4772-BB7F-615DBA3DCAE8}">
      <formula1>$K$34:$K$45</formula1>
    </dataValidation>
    <dataValidation type="list" allowBlank="1" showInputMessage="1" showErrorMessage="1" sqref="D12 N12 L12 J12 H12 F12" xr:uid="{5656CC9F-6E42-48A3-9782-F56D0B70C138}">
      <formula1>$J$34:$J$75</formula1>
    </dataValidation>
    <dataValidation type="list" allowBlank="1" showInputMessage="1" showErrorMessage="1" sqref="D11 N11 L11 J11 H11 F11" xr:uid="{7A5B9694-2283-43DC-93CA-1F7F6B9041BE}">
      <formula1>$I$34:$I$43</formula1>
    </dataValidation>
    <dataValidation type="list" allowBlank="1" showInputMessage="1" showErrorMessage="1" sqref="D10 N10 L10 J10 H10 F10" xr:uid="{1CF642C9-1FF7-4332-9782-C82B2C0B161E}">
      <formula1>$H$34:$H$65</formula1>
    </dataValidation>
    <dataValidation type="list" allowBlank="1" showInputMessage="1" showErrorMessage="1" sqref="D8 N8 L8 J8 H8 F8" xr:uid="{DACE6C4E-27B5-4E23-B32D-BE6B2FFA7E68}">
      <formula1>$G$34:$G$59</formula1>
    </dataValidation>
    <dataValidation type="list" allowBlank="1" showInputMessage="1" showErrorMessage="1" sqref="D7 N7 L7 J7 H7 F7" xr:uid="{0CC148A9-B75C-4C63-88FD-D8D66E773475}">
      <formula1>$F$34:$F$45</formula1>
    </dataValidation>
    <dataValidation type="list" allowBlank="1" showInputMessage="1" showErrorMessage="1" sqref="D6 N6 L6 J6 H6 F6" xr:uid="{3D13FE67-F710-4D83-B925-05111D6329C9}">
      <formula1>$E$34:$E$49</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8"/>
  <sheetViews>
    <sheetView topLeftCell="B31" zoomScale="70" zoomScaleNormal="70" workbookViewId="0">
      <selection activeCell="B46" sqref="B46:C46"/>
    </sheetView>
  </sheetViews>
  <sheetFormatPr defaultColWidth="0" defaultRowHeight="15" zeroHeight="1"/>
  <cols>
    <col min="1" max="1" width="4.42578125" style="186" hidden="1" customWidth="1"/>
    <col min="2" max="2" width="66.28515625" style="186" customWidth="1"/>
    <col min="3" max="3" width="66.5703125" style="186" customWidth="1"/>
    <col min="4" max="4" width="24.42578125" style="188" customWidth="1"/>
    <col min="5" max="5" width="22.28515625" style="186" customWidth="1"/>
    <col min="6" max="6" width="19.7109375" style="186" customWidth="1"/>
    <col min="7" max="7" width="11.42578125" style="186" hidden="1" customWidth="1"/>
    <col min="8" max="8" width="0" style="186" hidden="1" customWidth="1"/>
    <col min="9" max="16384" width="11.42578125" style="186" hidden="1"/>
  </cols>
  <sheetData>
    <row r="1" spans="2:6" ht="24.75" customHeight="1" thickBot="1">
      <c r="B1" s="550" t="s">
        <v>702</v>
      </c>
      <c r="C1" s="551"/>
      <c r="D1" s="551"/>
      <c r="E1" s="552"/>
    </row>
    <row r="2" spans="2:6" ht="75.75" customHeight="1" thickBot="1">
      <c r="B2" s="187" t="s">
        <v>703</v>
      </c>
      <c r="C2" s="187" t="s">
        <v>673</v>
      </c>
      <c r="D2" s="187" t="s">
        <v>674</v>
      </c>
      <c r="E2" s="187" t="s">
        <v>704</v>
      </c>
    </row>
    <row r="3" spans="2:6" ht="15.75" thickBot="1"/>
    <row r="4" spans="2:6" ht="16.5" thickBot="1">
      <c r="B4" s="553" t="s">
        <v>683</v>
      </c>
      <c r="C4" s="554"/>
      <c r="D4" s="554"/>
      <c r="E4" s="555"/>
    </row>
    <row r="5" spans="2:6" ht="15.75" thickBot="1"/>
    <row r="6" spans="2:6" ht="30" customHeight="1" thickBot="1">
      <c r="B6" s="556" t="s">
        <v>695</v>
      </c>
      <c r="C6" s="557"/>
      <c r="D6" s="558"/>
      <c r="E6" s="559"/>
      <c r="F6" s="37" t="s">
        <v>3</v>
      </c>
    </row>
    <row r="7" spans="2:6" ht="60" customHeight="1">
      <c r="B7" s="189" t="s">
        <v>696</v>
      </c>
      <c r="C7" s="190" t="s">
        <v>692</v>
      </c>
      <c r="D7" s="191" t="s">
        <v>675</v>
      </c>
      <c r="E7" s="160"/>
      <c r="F7" s="83"/>
    </row>
    <row r="8" spans="2:6" ht="38.25" customHeight="1">
      <c r="B8" s="192" t="s">
        <v>693</v>
      </c>
      <c r="C8" s="190" t="s">
        <v>707</v>
      </c>
      <c r="D8" s="191" t="s">
        <v>675</v>
      </c>
      <c r="E8" s="160"/>
      <c r="F8" s="83"/>
    </row>
    <row r="9" spans="2:6" ht="38.25" customHeight="1">
      <c r="B9" s="192" t="s">
        <v>694</v>
      </c>
      <c r="C9" s="190" t="s">
        <v>708</v>
      </c>
      <c r="D9" s="191" t="s">
        <v>675</v>
      </c>
      <c r="E9" s="160"/>
      <c r="F9" s="83"/>
    </row>
    <row r="10" spans="2:6" ht="65.25" customHeight="1">
      <c r="B10" s="189" t="s">
        <v>701</v>
      </c>
      <c r="C10" s="190" t="s">
        <v>684</v>
      </c>
      <c r="D10" s="193" t="s">
        <v>675</v>
      </c>
      <c r="E10" s="161"/>
      <c r="F10" s="83"/>
    </row>
    <row r="11" spans="2:6" ht="51" customHeight="1" thickBot="1">
      <c r="B11" s="565" t="s">
        <v>676</v>
      </c>
      <c r="C11" s="566"/>
      <c r="D11" s="560"/>
      <c r="E11" s="561"/>
      <c r="F11" s="83"/>
    </row>
    <row r="12" spans="2:6" ht="15.75" hidden="1" thickBot="1"/>
    <row r="13" spans="2:6" ht="32.25" customHeight="1">
      <c r="B13" s="562" t="s">
        <v>685</v>
      </c>
      <c r="C13" s="563"/>
      <c r="D13" s="563"/>
      <c r="E13" s="564"/>
      <c r="F13" s="37" t="s">
        <v>3</v>
      </c>
    </row>
    <row r="14" spans="2:6" ht="51" customHeight="1">
      <c r="B14" s="194" t="s">
        <v>698</v>
      </c>
      <c r="C14" s="195" t="s">
        <v>705</v>
      </c>
      <c r="D14" s="191" t="s">
        <v>675</v>
      </c>
      <c r="E14" s="160"/>
      <c r="F14" s="83"/>
    </row>
    <row r="15" spans="2:6" ht="51" customHeight="1">
      <c r="B15" s="196" t="s">
        <v>697</v>
      </c>
      <c r="C15" s="195" t="s">
        <v>706</v>
      </c>
      <c r="D15" s="191" t="s">
        <v>675</v>
      </c>
      <c r="E15" s="161"/>
      <c r="F15" s="83"/>
    </row>
    <row r="16" spans="2:6" ht="42.75" customHeight="1">
      <c r="B16" s="197" t="s">
        <v>699</v>
      </c>
      <c r="C16" s="198"/>
      <c r="D16" s="191" t="s">
        <v>675</v>
      </c>
      <c r="E16" s="161"/>
      <c r="F16" s="83"/>
    </row>
    <row r="17" spans="2:6" ht="42.75" customHeight="1" thickBot="1">
      <c r="B17" s="199" t="s">
        <v>700</v>
      </c>
      <c r="C17" s="200"/>
      <c r="D17" s="201" t="s">
        <v>675</v>
      </c>
      <c r="E17" s="162"/>
      <c r="F17" s="83"/>
    </row>
    <row r="18" spans="2:6" ht="18" customHeight="1" thickBot="1"/>
    <row r="19" spans="2:6" ht="28.5" customHeight="1">
      <c r="B19" s="562" t="s">
        <v>677</v>
      </c>
      <c r="C19" s="563"/>
      <c r="D19" s="563"/>
      <c r="E19" s="564"/>
      <c r="F19" s="37" t="s">
        <v>3</v>
      </c>
    </row>
    <row r="20" spans="2:6" ht="24" customHeight="1">
      <c r="B20" s="189" t="s">
        <v>678</v>
      </c>
      <c r="C20" s="198"/>
      <c r="D20" s="193" t="s">
        <v>675</v>
      </c>
      <c r="E20" s="161"/>
      <c r="F20" s="83"/>
    </row>
    <row r="21" spans="2:6" ht="24" customHeight="1" thickBot="1">
      <c r="B21" s="202" t="s">
        <v>679</v>
      </c>
      <c r="C21" s="200"/>
      <c r="D21" s="203" t="s">
        <v>675</v>
      </c>
      <c r="E21" s="162"/>
      <c r="F21" s="83"/>
    </row>
    <row r="22" spans="2:6" ht="18" customHeight="1" thickBot="1"/>
    <row r="23" spans="2:6" ht="18" customHeight="1" thickBot="1">
      <c r="B23" s="553" t="s">
        <v>686</v>
      </c>
      <c r="C23" s="554"/>
      <c r="D23" s="554"/>
      <c r="E23" s="555"/>
    </row>
    <row r="24" spans="2:6" ht="18" customHeight="1" thickBot="1"/>
    <row r="25" spans="2:6" s="110" customFormat="1" ht="31.15" customHeight="1" thickBot="1">
      <c r="B25" s="570" t="s">
        <v>673</v>
      </c>
      <c r="C25" s="571"/>
      <c r="D25" s="289" t="s">
        <v>674</v>
      </c>
      <c r="E25" s="290" t="s">
        <v>704</v>
      </c>
      <c r="F25" s="291" t="s">
        <v>3</v>
      </c>
    </row>
    <row r="26" spans="2:6" s="110" customFormat="1" ht="18" customHeight="1" thickBot="1"/>
    <row r="27" spans="2:6" s="110" customFormat="1" ht="18" customHeight="1" thickBot="1">
      <c r="B27" s="572" t="s">
        <v>794</v>
      </c>
      <c r="C27" s="573"/>
      <c r="D27" s="573"/>
      <c r="E27" s="574"/>
    </row>
    <row r="28" spans="2:6" s="110" customFormat="1" ht="18" customHeight="1" thickBot="1"/>
    <row r="29" spans="2:6" s="110" customFormat="1" ht="18" customHeight="1">
      <c r="B29" s="545" t="s">
        <v>795</v>
      </c>
      <c r="C29" s="546"/>
      <c r="D29" s="292" t="s">
        <v>675</v>
      </c>
      <c r="E29" s="296"/>
      <c r="F29" s="83"/>
    </row>
    <row r="30" spans="2:6" s="110" customFormat="1" ht="34.9" customHeight="1">
      <c r="B30" s="539" t="s">
        <v>796</v>
      </c>
      <c r="C30" s="540"/>
      <c r="D30" s="293" t="s">
        <v>675</v>
      </c>
      <c r="E30" s="297"/>
      <c r="F30" s="83"/>
    </row>
    <row r="31" spans="2:6" s="110" customFormat="1" ht="34.9" customHeight="1">
      <c r="B31" s="541" t="s">
        <v>797</v>
      </c>
      <c r="C31" s="542"/>
      <c r="D31" s="293" t="s">
        <v>675</v>
      </c>
      <c r="E31" s="297"/>
      <c r="F31" s="83"/>
    </row>
    <row r="32" spans="2:6" s="110" customFormat="1" ht="34.9" customHeight="1">
      <c r="B32" s="541" t="s">
        <v>798</v>
      </c>
      <c r="C32" s="542"/>
      <c r="D32" s="293" t="s">
        <v>675</v>
      </c>
      <c r="E32" s="297"/>
      <c r="F32" s="83"/>
    </row>
    <row r="33" spans="2:6" s="110" customFormat="1" ht="49.15" customHeight="1">
      <c r="B33" s="543" t="s">
        <v>799</v>
      </c>
      <c r="C33" s="544"/>
      <c r="D33" s="293" t="s">
        <v>675</v>
      </c>
      <c r="E33" s="297"/>
      <c r="F33" s="83"/>
    </row>
    <row r="34" spans="2:6" s="110" customFormat="1" ht="34.9" customHeight="1">
      <c r="B34" s="541" t="s">
        <v>800</v>
      </c>
      <c r="C34" s="542"/>
      <c r="D34" s="293" t="s">
        <v>675</v>
      </c>
      <c r="E34" s="297"/>
      <c r="F34" s="83"/>
    </row>
    <row r="35" spans="2:6" s="110" customFormat="1" ht="46.15" customHeight="1">
      <c r="B35" s="575" t="s">
        <v>801</v>
      </c>
      <c r="C35" s="576"/>
      <c r="D35" s="293" t="s">
        <v>675</v>
      </c>
      <c r="E35" s="297"/>
      <c r="F35" s="83"/>
    </row>
    <row r="36" spans="2:6" s="110" customFormat="1" ht="34.9" customHeight="1" thickBot="1">
      <c r="B36" s="547" t="s">
        <v>802</v>
      </c>
      <c r="C36" s="548"/>
      <c r="D36" s="294" t="s">
        <v>675</v>
      </c>
      <c r="E36" s="298"/>
      <c r="F36" s="83"/>
    </row>
    <row r="37" spans="2:6" s="110" customFormat="1" ht="18" customHeight="1" thickBot="1">
      <c r="B37" s="549"/>
      <c r="C37" s="549"/>
    </row>
    <row r="38" spans="2:6" s="110" customFormat="1" ht="18" customHeight="1">
      <c r="B38" s="545" t="s">
        <v>803</v>
      </c>
      <c r="C38" s="546"/>
      <c r="D38" s="292" t="s">
        <v>675</v>
      </c>
      <c r="E38" s="296"/>
      <c r="F38" s="83"/>
    </row>
    <row r="39" spans="2:6" s="110" customFormat="1" ht="34.9" customHeight="1">
      <c r="B39" s="539" t="s">
        <v>809</v>
      </c>
      <c r="C39" s="540"/>
      <c r="D39" s="293" t="s">
        <v>675</v>
      </c>
      <c r="E39" s="297"/>
      <c r="F39" s="83"/>
    </row>
    <row r="40" spans="2:6" s="110" customFormat="1" ht="34.9" customHeight="1">
      <c r="B40" s="541" t="s">
        <v>810</v>
      </c>
      <c r="C40" s="542"/>
      <c r="D40" s="293" t="s">
        <v>675</v>
      </c>
      <c r="E40" s="297"/>
      <c r="F40" s="83"/>
    </row>
    <row r="41" spans="2:6" s="110" customFormat="1" ht="34.9" customHeight="1">
      <c r="B41" s="541" t="s">
        <v>804</v>
      </c>
      <c r="C41" s="542"/>
      <c r="D41" s="293" t="s">
        <v>675</v>
      </c>
      <c r="E41" s="297"/>
      <c r="F41" s="83"/>
    </row>
    <row r="42" spans="2:6" s="110" customFormat="1" ht="49.15" customHeight="1">
      <c r="B42" s="543" t="s">
        <v>805</v>
      </c>
      <c r="C42" s="544"/>
      <c r="D42" s="293" t="s">
        <v>675</v>
      </c>
      <c r="E42" s="297"/>
      <c r="F42" s="83"/>
    </row>
    <row r="43" spans="2:6" s="110" customFormat="1" ht="34.9" customHeight="1">
      <c r="B43" s="541" t="s">
        <v>806</v>
      </c>
      <c r="C43" s="542"/>
      <c r="D43" s="293" t="s">
        <v>675</v>
      </c>
      <c r="E43" s="297"/>
      <c r="F43" s="83"/>
    </row>
    <row r="44" spans="2:6" s="110" customFormat="1" ht="46.15" customHeight="1" thickBot="1">
      <c r="B44" s="537" t="s">
        <v>807</v>
      </c>
      <c r="C44" s="538"/>
      <c r="D44" s="294" t="s">
        <v>675</v>
      </c>
      <c r="E44" s="298"/>
      <c r="F44" s="83"/>
    </row>
    <row r="45" spans="2:6" s="110" customFormat="1" ht="18" customHeight="1" thickBot="1">
      <c r="D45" s="295"/>
    </row>
    <row r="46" spans="2:6" s="110" customFormat="1" ht="37.15" customHeight="1">
      <c r="B46" s="545" t="s">
        <v>811</v>
      </c>
      <c r="C46" s="546"/>
      <c r="D46" s="292" t="s">
        <v>675</v>
      </c>
      <c r="E46" s="296"/>
      <c r="F46" s="83"/>
    </row>
    <row r="47" spans="2:6" s="110" customFormat="1" ht="34.9" customHeight="1">
      <c r="B47" s="539" t="s">
        <v>1112</v>
      </c>
      <c r="C47" s="540"/>
      <c r="D47" s="293" t="s">
        <v>675</v>
      </c>
      <c r="E47" s="297"/>
      <c r="F47" s="83"/>
    </row>
    <row r="48" spans="2:6" s="110" customFormat="1" ht="34.9" customHeight="1">
      <c r="B48" s="541" t="s">
        <v>808</v>
      </c>
      <c r="C48" s="542"/>
      <c r="D48" s="293" t="s">
        <v>675</v>
      </c>
      <c r="E48" s="297"/>
      <c r="F48" s="83"/>
    </row>
    <row r="49" spans="2:6" s="110" customFormat="1" ht="34.9" customHeight="1">
      <c r="B49" s="541" t="s">
        <v>812</v>
      </c>
      <c r="C49" s="542"/>
      <c r="D49" s="293" t="s">
        <v>675</v>
      </c>
      <c r="E49" s="297"/>
      <c r="F49" s="83"/>
    </row>
    <row r="50" spans="2:6" s="110" customFormat="1" ht="49.15" customHeight="1">
      <c r="B50" s="543" t="s">
        <v>813</v>
      </c>
      <c r="C50" s="544"/>
      <c r="D50" s="293" t="s">
        <v>675</v>
      </c>
      <c r="E50" s="297"/>
      <c r="F50" s="83"/>
    </row>
    <row r="51" spans="2:6" s="110" customFormat="1" ht="34.9" customHeight="1">
      <c r="B51" s="541" t="s">
        <v>814</v>
      </c>
      <c r="C51" s="542"/>
      <c r="D51" s="293" t="s">
        <v>675</v>
      </c>
      <c r="E51" s="297"/>
      <c r="F51" s="83"/>
    </row>
    <row r="52" spans="2:6" s="110" customFormat="1" ht="46.15" customHeight="1" thickBot="1">
      <c r="B52" s="537" t="s">
        <v>815</v>
      </c>
      <c r="C52" s="538"/>
      <c r="D52" s="294" t="s">
        <v>675</v>
      </c>
      <c r="E52" s="298"/>
      <c r="F52" s="83"/>
    </row>
    <row r="53" spans="2:6" s="110" customFormat="1" ht="18" customHeight="1">
      <c r="D53" s="295"/>
    </row>
    <row r="54" spans="2:6" ht="18" customHeight="1"/>
    <row r="55" spans="2:6" ht="18" customHeight="1" thickBot="1"/>
    <row r="56" spans="2:6" ht="31.5" customHeight="1">
      <c r="B56" s="567" t="s">
        <v>753</v>
      </c>
      <c r="C56" s="568"/>
      <c r="D56" s="568"/>
      <c r="E56" s="569"/>
      <c r="F56" s="270" t="s">
        <v>3</v>
      </c>
    </row>
    <row r="57" spans="2:6" ht="68.650000000000006" customHeight="1">
      <c r="B57" s="271" t="s">
        <v>754</v>
      </c>
      <c r="C57" s="272" t="s">
        <v>778</v>
      </c>
      <c r="D57" s="273" t="s">
        <v>757</v>
      </c>
      <c r="E57" s="274"/>
      <c r="F57" s="275"/>
    </row>
    <row r="58" spans="2:6" ht="32.1" customHeight="1">
      <c r="B58" s="276" t="s">
        <v>755</v>
      </c>
      <c r="C58" s="277"/>
      <c r="D58" s="278" t="s">
        <v>777</v>
      </c>
      <c r="E58" s="279"/>
      <c r="F58" s="280"/>
    </row>
    <row r="59" spans="2:6" ht="33.6" customHeight="1" thickBot="1">
      <c r="B59" s="281" t="s">
        <v>756</v>
      </c>
      <c r="C59" s="282"/>
      <c r="D59" s="283" t="s">
        <v>777</v>
      </c>
      <c r="E59" s="284"/>
      <c r="F59" s="280"/>
    </row>
    <row r="60" spans="2:6" ht="68.650000000000006" customHeight="1">
      <c r="B60" s="271" t="s">
        <v>763</v>
      </c>
      <c r="C60" s="272" t="s">
        <v>764</v>
      </c>
      <c r="D60" s="273" t="s">
        <v>768</v>
      </c>
      <c r="E60" s="274">
        <f>SUM(E61:E63)</f>
        <v>0</v>
      </c>
      <c r="F60" s="280"/>
    </row>
    <row r="61" spans="2:6" ht="30.6" customHeight="1">
      <c r="B61" s="285" t="s">
        <v>765</v>
      </c>
      <c r="C61" s="277"/>
      <c r="D61" s="278" t="s">
        <v>777</v>
      </c>
      <c r="E61" s="279"/>
      <c r="F61" s="280"/>
    </row>
    <row r="62" spans="2:6" ht="32.1" customHeight="1">
      <c r="B62" s="276" t="s">
        <v>767</v>
      </c>
      <c r="C62" s="277"/>
      <c r="D62" s="278" t="s">
        <v>777</v>
      </c>
      <c r="E62" s="279"/>
      <c r="F62" s="280"/>
    </row>
    <row r="63" spans="2:6" ht="33.6" customHeight="1" thickBot="1">
      <c r="B63" s="281" t="s">
        <v>766</v>
      </c>
      <c r="C63" s="282"/>
      <c r="D63" s="283" t="s">
        <v>777</v>
      </c>
      <c r="E63" s="284"/>
      <c r="F63" s="280"/>
    </row>
    <row r="64" spans="2:6" ht="18" customHeight="1" thickBot="1">
      <c r="B64" s="286"/>
      <c r="C64" s="286"/>
      <c r="D64" s="287"/>
      <c r="E64" s="286"/>
      <c r="F64" s="286"/>
    </row>
    <row r="65" spans="2:6" ht="31.5" customHeight="1">
      <c r="B65" s="567" t="s">
        <v>758</v>
      </c>
      <c r="C65" s="568"/>
      <c r="D65" s="568"/>
      <c r="E65" s="569"/>
      <c r="F65" s="270" t="s">
        <v>3</v>
      </c>
    </row>
    <row r="66" spans="2:6" ht="80.099999999999994" customHeight="1">
      <c r="B66" s="288" t="s">
        <v>759</v>
      </c>
      <c r="C66" s="272" t="s">
        <v>773</v>
      </c>
      <c r="D66" s="278" t="s">
        <v>675</v>
      </c>
      <c r="E66" s="274">
        <f>SUM(E67:E69)</f>
        <v>0</v>
      </c>
      <c r="F66" s="280"/>
    </row>
    <row r="67" spans="2:6" ht="36" customHeight="1">
      <c r="B67" s="285" t="s">
        <v>760</v>
      </c>
      <c r="C67" s="277"/>
      <c r="D67" s="278" t="s">
        <v>675</v>
      </c>
      <c r="E67" s="279"/>
      <c r="F67" s="280"/>
    </row>
    <row r="68" spans="2:6" ht="36" customHeight="1">
      <c r="B68" s="276" t="s">
        <v>761</v>
      </c>
      <c r="C68" s="277"/>
      <c r="D68" s="278" t="s">
        <v>675</v>
      </c>
      <c r="E68" s="279"/>
      <c r="F68" s="280"/>
    </row>
    <row r="69" spans="2:6" ht="36" customHeight="1" thickBot="1">
      <c r="B69" s="281" t="s">
        <v>762</v>
      </c>
      <c r="C69" s="282"/>
      <c r="D69" s="283" t="s">
        <v>675</v>
      </c>
      <c r="E69" s="284"/>
      <c r="F69" s="280"/>
    </row>
    <row r="70" spans="2:6" ht="96" customHeight="1">
      <c r="B70" s="288" t="s">
        <v>769</v>
      </c>
      <c r="C70" s="272" t="s">
        <v>774</v>
      </c>
      <c r="D70" s="278" t="s">
        <v>675</v>
      </c>
      <c r="E70" s="274">
        <f>SUM(E71:E73)</f>
        <v>0</v>
      </c>
      <c r="F70" s="280"/>
    </row>
    <row r="71" spans="2:6" ht="47.65" customHeight="1">
      <c r="B71" s="285" t="s">
        <v>770</v>
      </c>
      <c r="C71" s="277"/>
      <c r="D71" s="278" t="s">
        <v>675</v>
      </c>
      <c r="E71" s="279"/>
      <c r="F71" s="280"/>
    </row>
    <row r="72" spans="2:6" ht="47.65" customHeight="1">
      <c r="B72" s="276" t="s">
        <v>771</v>
      </c>
      <c r="C72" s="277"/>
      <c r="D72" s="278" t="s">
        <v>675</v>
      </c>
      <c r="E72" s="279"/>
      <c r="F72" s="280"/>
    </row>
    <row r="73" spans="2:6" ht="47.65" customHeight="1" thickBot="1">
      <c r="B73" s="281" t="s">
        <v>772</v>
      </c>
      <c r="C73" s="282"/>
      <c r="D73" s="283" t="s">
        <v>675</v>
      </c>
      <c r="E73" s="284"/>
      <c r="F73" s="280"/>
    </row>
    <row r="74" spans="2:6" ht="18" customHeight="1" thickBot="1"/>
    <row r="75" spans="2:6" ht="31.5" customHeight="1">
      <c r="B75" s="562" t="s">
        <v>775</v>
      </c>
      <c r="C75" s="563"/>
      <c r="D75" s="563"/>
      <c r="E75" s="564"/>
      <c r="F75" s="37" t="s">
        <v>3</v>
      </c>
    </row>
    <row r="76" spans="2:6" ht="22.5" customHeight="1">
      <c r="B76" s="189" t="s">
        <v>680</v>
      </c>
      <c r="C76" s="198"/>
      <c r="D76" s="193" t="s">
        <v>675</v>
      </c>
      <c r="E76" s="161"/>
      <c r="F76" s="83"/>
    </row>
    <row r="77" spans="2:6" ht="24" customHeight="1" thickBot="1">
      <c r="B77" s="202" t="s">
        <v>681</v>
      </c>
      <c r="C77" s="200"/>
      <c r="D77" s="203" t="s">
        <v>675</v>
      </c>
      <c r="E77" s="162"/>
      <c r="F77" s="83"/>
    </row>
    <row r="79" spans="2:6"/>
    <row r="80" spans="2:6"/>
    <row r="83" spans="4:4" hidden="1">
      <c r="D83" s="186"/>
    </row>
    <row r="84" spans="4:4" hidden="1">
      <c r="D84" s="186"/>
    </row>
    <row r="85" spans="4:4" hidden="1">
      <c r="D85" s="186"/>
    </row>
    <row r="86" spans="4:4" hidden="1">
      <c r="D86" s="186"/>
    </row>
    <row r="87" spans="4:4" hidden="1">
      <c r="D87" s="186"/>
    </row>
    <row r="88" spans="4:4" hidden="1">
      <c r="D88" s="186"/>
    </row>
  </sheetData>
  <mergeCells count="37">
    <mergeCell ref="B13:E13"/>
    <mergeCell ref="B19:E19"/>
    <mergeCell ref="B23:E23"/>
    <mergeCell ref="B75:E75"/>
    <mergeCell ref="B11:C11"/>
    <mergeCell ref="B56:E56"/>
    <mergeCell ref="B65:E65"/>
    <mergeCell ref="B25:C25"/>
    <mergeCell ref="B27:E27"/>
    <mergeCell ref="B29:C29"/>
    <mergeCell ref="B30:C30"/>
    <mergeCell ref="B31:C31"/>
    <mergeCell ref="B32:C32"/>
    <mergeCell ref="B33:C33"/>
    <mergeCell ref="B34:C34"/>
    <mergeCell ref="B35:C35"/>
    <mergeCell ref="B1:E1"/>
    <mergeCell ref="B4:E4"/>
    <mergeCell ref="B6:C6"/>
    <mergeCell ref="D6:E6"/>
    <mergeCell ref="D11:E11"/>
    <mergeCell ref="B36:C36"/>
    <mergeCell ref="B37:C37"/>
    <mergeCell ref="B38:C38"/>
    <mergeCell ref="B39:C39"/>
    <mergeCell ref="B40:C40"/>
    <mergeCell ref="B41:C41"/>
    <mergeCell ref="B42:C42"/>
    <mergeCell ref="B43:C43"/>
    <mergeCell ref="B44:C44"/>
    <mergeCell ref="B46:C46"/>
    <mergeCell ref="B52:C52"/>
    <mergeCell ref="B47:C47"/>
    <mergeCell ref="B48:C48"/>
    <mergeCell ref="B49:C49"/>
    <mergeCell ref="B50:C50"/>
    <mergeCell ref="B51:C5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0B17-C86A-431C-8B04-21BED657260B}">
  <sheetPr>
    <pageSetUpPr fitToPage="1"/>
  </sheetPr>
  <dimension ref="A1:AJ1048576"/>
  <sheetViews>
    <sheetView topLeftCell="B1" zoomScaleNormal="100" zoomScaleSheetLayoutView="80" workbookViewId="0">
      <selection activeCell="C5" sqref="C5"/>
    </sheetView>
  </sheetViews>
  <sheetFormatPr defaultColWidth="0" defaultRowHeight="0" customHeight="1" zeroHeight="1"/>
  <cols>
    <col min="1" max="1" width="3.42578125" style="66" hidden="1" customWidth="1"/>
    <col min="2" max="2" width="81.28515625" style="127" customWidth="1"/>
    <col min="3" max="3" width="15.7109375" style="127" customWidth="1"/>
    <col min="4" max="9" width="15.7109375" style="66" customWidth="1"/>
    <col min="10" max="10" width="15.7109375" style="343" customWidth="1"/>
    <col min="11" max="15" width="15.7109375" style="184" customWidth="1"/>
    <col min="16" max="16" width="15.7109375" style="344" customWidth="1"/>
    <col min="17" max="28" width="15.7109375" style="66" customWidth="1"/>
    <col min="29" max="29" width="15.7109375" style="351" customWidth="1"/>
    <col min="30" max="30" width="15.7109375" style="352" customWidth="1"/>
    <col min="31" max="31" width="15.7109375" style="353" customWidth="1"/>
    <col min="32" max="32" width="4.28515625" style="66" hidden="1" customWidth="1"/>
    <col min="33" max="33" width="8.7109375" style="66" hidden="1" customWidth="1"/>
    <col min="34" max="36" width="0" style="66" hidden="1" customWidth="1"/>
    <col min="37" max="16384" width="8.7109375" style="66" hidden="1"/>
  </cols>
  <sheetData>
    <row r="1" spans="1:36" ht="21.75" thickBot="1">
      <c r="A1" s="577" t="s">
        <v>636</v>
      </c>
      <c r="B1" s="578"/>
      <c r="C1" s="578"/>
      <c r="D1" s="578"/>
      <c r="E1" s="578"/>
      <c r="F1" s="578"/>
      <c r="G1" s="578"/>
      <c r="H1" s="578"/>
      <c r="I1" s="578"/>
      <c r="J1" s="578"/>
      <c r="K1" s="578"/>
      <c r="L1" s="578"/>
      <c r="M1" s="578"/>
      <c r="N1" s="578"/>
      <c r="O1" s="578"/>
      <c r="P1" s="578"/>
      <c r="Q1" s="578"/>
      <c r="R1" s="578"/>
      <c r="S1" s="578"/>
      <c r="T1" s="578"/>
      <c r="U1" s="578"/>
      <c r="V1" s="578"/>
      <c r="W1" s="578"/>
      <c r="X1" s="578"/>
      <c r="Y1" s="578"/>
      <c r="Z1" s="578"/>
      <c r="AA1" s="578"/>
      <c r="AB1" s="578"/>
      <c r="AC1" s="578"/>
      <c r="AD1" s="578"/>
      <c r="AE1" s="74"/>
      <c r="AF1" s="74"/>
      <c r="AG1" s="74"/>
      <c r="AH1" s="74"/>
      <c r="AI1" s="74"/>
      <c r="AJ1" s="74"/>
    </row>
    <row r="2" spans="1:36" ht="15.75" hidden="1" thickBot="1">
      <c r="A2" s="74"/>
      <c r="D2" s="74">
        <v>1</v>
      </c>
      <c r="E2" s="74">
        <v>2</v>
      </c>
      <c r="F2" s="74">
        <v>3</v>
      </c>
      <c r="G2" s="74">
        <v>4</v>
      </c>
      <c r="H2" s="74">
        <v>5</v>
      </c>
      <c r="I2" s="74">
        <v>6</v>
      </c>
      <c r="J2" s="74"/>
      <c r="K2" s="74">
        <v>7</v>
      </c>
      <c r="L2" s="74">
        <v>8</v>
      </c>
      <c r="M2" s="74">
        <v>9</v>
      </c>
      <c r="N2" s="74">
        <v>10</v>
      </c>
      <c r="O2" s="74">
        <v>11</v>
      </c>
      <c r="P2" s="74">
        <v>12</v>
      </c>
      <c r="Q2" s="74">
        <v>13</v>
      </c>
      <c r="R2" s="74">
        <v>14</v>
      </c>
      <c r="S2" s="74">
        <v>15</v>
      </c>
      <c r="T2" s="74">
        <v>16</v>
      </c>
      <c r="U2" s="74">
        <v>17</v>
      </c>
      <c r="V2" s="74">
        <v>18</v>
      </c>
      <c r="W2" s="74">
        <v>19</v>
      </c>
      <c r="X2" s="74">
        <v>20</v>
      </c>
      <c r="Y2" s="74">
        <v>21</v>
      </c>
      <c r="Z2" s="74">
        <v>22</v>
      </c>
      <c r="AA2" s="74">
        <v>23</v>
      </c>
      <c r="AB2" s="74">
        <v>24</v>
      </c>
      <c r="AC2" s="74">
        <v>25</v>
      </c>
      <c r="AD2" s="74">
        <v>26</v>
      </c>
      <c r="AE2" s="74">
        <v>27</v>
      </c>
      <c r="AF2" s="74"/>
      <c r="AG2" s="74"/>
      <c r="AH2" s="74"/>
      <c r="AI2" s="74"/>
      <c r="AJ2" s="74"/>
    </row>
    <row r="3" spans="1:36" s="127" customFormat="1" ht="18" customHeight="1" thickBot="1">
      <c r="B3" s="128"/>
      <c r="C3" s="588" t="s">
        <v>249</v>
      </c>
      <c r="D3" s="594"/>
      <c r="E3" s="594"/>
      <c r="F3" s="594"/>
      <c r="G3" s="594"/>
      <c r="H3" s="594"/>
      <c r="I3" s="594"/>
      <c r="J3" s="595"/>
      <c r="K3" s="595"/>
      <c r="L3" s="595"/>
      <c r="M3" s="595"/>
      <c r="N3" s="595"/>
      <c r="O3" s="595"/>
      <c r="P3" s="596"/>
      <c r="Q3" s="579" t="s">
        <v>0</v>
      </c>
      <c r="R3" s="580"/>
      <c r="S3" s="580"/>
      <c r="T3" s="580"/>
      <c r="U3" s="580"/>
      <c r="V3" s="580"/>
      <c r="W3" s="580"/>
      <c r="X3" s="580"/>
      <c r="Y3" s="580"/>
      <c r="Z3" s="580"/>
      <c r="AA3" s="581"/>
      <c r="AB3" s="581"/>
      <c r="AC3" s="582" t="s">
        <v>639</v>
      </c>
      <c r="AD3" s="583"/>
      <c r="AE3" s="373"/>
      <c r="AF3" s="74"/>
    </row>
    <row r="4" spans="1:36" s="127" customFormat="1" ht="18.600000000000001" customHeight="1" thickBot="1">
      <c r="B4" s="125"/>
      <c r="C4" s="582" t="s">
        <v>106</v>
      </c>
      <c r="D4" s="593"/>
      <c r="E4" s="593"/>
      <c r="F4" s="593"/>
      <c r="G4" s="593"/>
      <c r="H4" s="593"/>
      <c r="I4" s="593"/>
      <c r="J4" s="590" t="s">
        <v>107</v>
      </c>
      <c r="K4" s="591"/>
      <c r="L4" s="591"/>
      <c r="M4" s="591"/>
      <c r="N4" s="591"/>
      <c r="O4" s="591"/>
      <c r="P4" s="592"/>
      <c r="Q4" s="584" t="s">
        <v>106</v>
      </c>
      <c r="R4" s="585"/>
      <c r="S4" s="585"/>
      <c r="T4" s="585"/>
      <c r="U4" s="585"/>
      <c r="V4" s="586"/>
      <c r="W4" s="587" t="s">
        <v>107</v>
      </c>
      <c r="X4" s="585"/>
      <c r="Y4" s="585"/>
      <c r="Z4" s="585"/>
      <c r="AA4" s="585"/>
      <c r="AB4" s="585"/>
      <c r="AC4" s="588" t="s">
        <v>308</v>
      </c>
      <c r="AD4" s="589"/>
      <c r="AE4" s="374"/>
      <c r="AF4" s="74"/>
    </row>
    <row r="5" spans="1:36" s="329" customFormat="1" ht="111.75" customHeight="1" thickBot="1">
      <c r="B5" s="363" t="s">
        <v>4</v>
      </c>
      <c r="C5" s="364" t="s">
        <v>776</v>
      </c>
      <c r="D5" s="365" t="s">
        <v>352</v>
      </c>
      <c r="E5" s="365" t="s">
        <v>637</v>
      </c>
      <c r="F5" s="365" t="s">
        <v>1109</v>
      </c>
      <c r="G5" s="366" t="s">
        <v>242</v>
      </c>
      <c r="H5" s="364" t="s">
        <v>157</v>
      </c>
      <c r="I5" s="367" t="s">
        <v>156</v>
      </c>
      <c r="J5" s="364" t="s">
        <v>776</v>
      </c>
      <c r="K5" s="365" t="s">
        <v>352</v>
      </c>
      <c r="L5" s="365" t="s">
        <v>637</v>
      </c>
      <c r="M5" s="365" t="s">
        <v>1109</v>
      </c>
      <c r="N5" s="366" t="s">
        <v>242</v>
      </c>
      <c r="O5" s="364" t="s">
        <v>157</v>
      </c>
      <c r="P5" s="367" t="s">
        <v>156</v>
      </c>
      <c r="Q5" s="368" t="s">
        <v>352</v>
      </c>
      <c r="R5" s="365" t="s">
        <v>638</v>
      </c>
      <c r="S5" s="365" t="s">
        <v>1109</v>
      </c>
      <c r="T5" s="367" t="s">
        <v>242</v>
      </c>
      <c r="U5" s="364" t="s">
        <v>1107</v>
      </c>
      <c r="V5" s="369" t="s">
        <v>1108</v>
      </c>
      <c r="W5" s="364" t="s">
        <v>352</v>
      </c>
      <c r="X5" s="365" t="s">
        <v>638</v>
      </c>
      <c r="Y5" s="365" t="s">
        <v>1109</v>
      </c>
      <c r="Z5" s="367" t="s">
        <v>242</v>
      </c>
      <c r="AA5" s="364" t="s">
        <v>157</v>
      </c>
      <c r="AB5" s="370" t="s">
        <v>156</v>
      </c>
      <c r="AC5" s="364" t="s">
        <v>641</v>
      </c>
      <c r="AD5" s="367" t="s">
        <v>646</v>
      </c>
      <c r="AE5" s="375" t="s">
        <v>3</v>
      </c>
      <c r="AF5" s="330"/>
    </row>
    <row r="6" spans="1:36" ht="15">
      <c r="A6" s="74">
        <v>1</v>
      </c>
      <c r="B6" s="354" t="s">
        <v>713</v>
      </c>
      <c r="C6" s="355"/>
      <c r="D6" s="356"/>
      <c r="E6" s="357"/>
      <c r="F6" s="357"/>
      <c r="G6" s="358"/>
      <c r="H6" s="359"/>
      <c r="I6" s="360"/>
      <c r="J6" s="355"/>
      <c r="K6" s="356"/>
      <c r="L6" s="357"/>
      <c r="M6" s="357"/>
      <c r="N6" s="358"/>
      <c r="O6" s="359"/>
      <c r="P6" s="360"/>
      <c r="Q6" s="361"/>
      <c r="R6" s="357"/>
      <c r="S6" s="357"/>
      <c r="T6" s="358"/>
      <c r="U6" s="359"/>
      <c r="V6" s="360"/>
      <c r="W6" s="355"/>
      <c r="X6" s="357"/>
      <c r="Y6" s="357"/>
      <c r="Z6" s="358"/>
      <c r="AA6" s="359"/>
      <c r="AB6" s="362"/>
      <c r="AC6" s="359"/>
      <c r="AD6" s="360"/>
      <c r="AE6" s="376"/>
      <c r="AF6" s="74"/>
      <c r="AG6" s="74"/>
      <c r="AH6" s="74"/>
      <c r="AI6" s="74"/>
      <c r="AJ6" s="74"/>
    </row>
    <row r="7" spans="1:36" ht="15">
      <c r="A7" s="74"/>
      <c r="B7" s="332" t="s">
        <v>714</v>
      </c>
      <c r="C7" s="75"/>
      <c r="D7" s="336"/>
      <c r="E7" s="76"/>
      <c r="F7" s="76"/>
      <c r="G7" s="77"/>
      <c r="H7" s="130"/>
      <c r="I7" s="78"/>
      <c r="J7" s="75"/>
      <c r="K7" s="336"/>
      <c r="L7" s="76"/>
      <c r="M7" s="76"/>
      <c r="N7" s="77"/>
      <c r="O7" s="130"/>
      <c r="P7" s="78"/>
      <c r="Q7" s="129"/>
      <c r="R7" s="76"/>
      <c r="S7" s="76"/>
      <c r="T7" s="77"/>
      <c r="U7" s="130"/>
      <c r="V7" s="78"/>
      <c r="W7" s="75"/>
      <c r="X7" s="76"/>
      <c r="Y7" s="76"/>
      <c r="Z7" s="77"/>
      <c r="AA7" s="130"/>
      <c r="AB7" s="338"/>
      <c r="AC7" s="130"/>
      <c r="AD7" s="78"/>
      <c r="AE7" s="371"/>
      <c r="AF7" s="74"/>
      <c r="AG7" s="74"/>
      <c r="AH7" s="74"/>
      <c r="AI7" s="74"/>
      <c r="AJ7" s="74"/>
    </row>
    <row r="8" spans="1:36" ht="15">
      <c r="A8" s="74"/>
      <c r="B8" s="332" t="s">
        <v>715</v>
      </c>
      <c r="C8" s="75"/>
      <c r="D8" s="336"/>
      <c r="E8" s="76"/>
      <c r="F8" s="76"/>
      <c r="G8" s="77"/>
      <c r="H8" s="130"/>
      <c r="I8" s="78"/>
      <c r="J8" s="75"/>
      <c r="K8" s="336"/>
      <c r="L8" s="76"/>
      <c r="M8" s="76"/>
      <c r="N8" s="77"/>
      <c r="O8" s="130"/>
      <c r="P8" s="78"/>
      <c r="Q8" s="129"/>
      <c r="R8" s="76"/>
      <c r="S8" s="76"/>
      <c r="T8" s="77"/>
      <c r="U8" s="130"/>
      <c r="V8" s="78"/>
      <c r="W8" s="75"/>
      <c r="X8" s="76"/>
      <c r="Y8" s="76"/>
      <c r="Z8" s="77"/>
      <c r="AA8" s="130"/>
      <c r="AB8" s="338"/>
      <c r="AC8" s="130"/>
      <c r="AD8" s="78"/>
      <c r="AE8" s="371"/>
      <c r="AF8" s="74"/>
      <c r="AG8" s="74"/>
      <c r="AH8" s="74"/>
      <c r="AI8" s="74"/>
      <c r="AJ8" s="74"/>
    </row>
    <row r="9" spans="1:36" ht="15">
      <c r="A9" s="74"/>
      <c r="B9" s="332" t="s">
        <v>716</v>
      </c>
      <c r="C9" s="75"/>
      <c r="D9" s="336"/>
      <c r="E9" s="76"/>
      <c r="F9" s="76"/>
      <c r="G9" s="77"/>
      <c r="H9" s="130"/>
      <c r="I9" s="78"/>
      <c r="J9" s="75"/>
      <c r="K9" s="336"/>
      <c r="L9" s="76"/>
      <c r="M9" s="76"/>
      <c r="N9" s="77"/>
      <c r="O9" s="130"/>
      <c r="P9" s="78"/>
      <c r="Q9" s="129"/>
      <c r="R9" s="76"/>
      <c r="S9" s="76"/>
      <c r="T9" s="77"/>
      <c r="U9" s="130"/>
      <c r="V9" s="78"/>
      <c r="W9" s="75"/>
      <c r="X9" s="76"/>
      <c r="Y9" s="76"/>
      <c r="Z9" s="77"/>
      <c r="AA9" s="130"/>
      <c r="AB9" s="338"/>
      <c r="AC9" s="130"/>
      <c r="AD9" s="78"/>
      <c r="AE9" s="371"/>
      <c r="AF9" s="74"/>
      <c r="AG9" s="74"/>
      <c r="AH9" s="74"/>
      <c r="AI9" s="74"/>
      <c r="AJ9" s="74"/>
    </row>
    <row r="10" spans="1:36" ht="15">
      <c r="A10" s="74"/>
      <c r="B10" s="331" t="s">
        <v>717</v>
      </c>
      <c r="C10" s="75"/>
      <c r="D10" s="336"/>
      <c r="E10" s="76"/>
      <c r="F10" s="76"/>
      <c r="G10" s="77"/>
      <c r="H10" s="130"/>
      <c r="I10" s="78"/>
      <c r="J10" s="75"/>
      <c r="K10" s="336"/>
      <c r="L10" s="76"/>
      <c r="M10" s="76"/>
      <c r="N10" s="77"/>
      <c r="O10" s="130"/>
      <c r="P10" s="78"/>
      <c r="Q10" s="129"/>
      <c r="R10" s="76"/>
      <c r="S10" s="76"/>
      <c r="T10" s="77"/>
      <c r="U10" s="130"/>
      <c r="V10" s="78"/>
      <c r="W10" s="75"/>
      <c r="X10" s="76"/>
      <c r="Y10" s="76"/>
      <c r="Z10" s="77"/>
      <c r="AA10" s="130"/>
      <c r="AB10" s="338"/>
      <c r="AC10" s="130"/>
      <c r="AD10" s="78"/>
      <c r="AE10" s="371"/>
      <c r="AF10" s="74"/>
      <c r="AG10" s="74"/>
      <c r="AH10" s="74"/>
      <c r="AI10" s="74"/>
      <c r="AJ10" s="74"/>
    </row>
    <row r="11" spans="1:36" ht="15">
      <c r="A11" s="74"/>
      <c r="B11" s="332" t="s">
        <v>714</v>
      </c>
      <c r="C11" s="75"/>
      <c r="D11" s="336"/>
      <c r="E11" s="76"/>
      <c r="F11" s="76"/>
      <c r="G11" s="77"/>
      <c r="H11" s="130"/>
      <c r="I11" s="78"/>
      <c r="J11" s="75"/>
      <c r="K11" s="336"/>
      <c r="L11" s="76"/>
      <c r="M11" s="76"/>
      <c r="N11" s="77"/>
      <c r="O11" s="130"/>
      <c r="P11" s="78"/>
      <c r="Q11" s="129"/>
      <c r="R11" s="76"/>
      <c r="S11" s="76"/>
      <c r="T11" s="77"/>
      <c r="U11" s="130"/>
      <c r="V11" s="78"/>
      <c r="W11" s="75"/>
      <c r="X11" s="76"/>
      <c r="Y11" s="76"/>
      <c r="Z11" s="77"/>
      <c r="AA11" s="130"/>
      <c r="AB11" s="338"/>
      <c r="AC11" s="130"/>
      <c r="AD11" s="78"/>
      <c r="AE11" s="371"/>
      <c r="AF11" s="74"/>
      <c r="AG11" s="74"/>
      <c r="AH11" s="74"/>
      <c r="AI11" s="74"/>
      <c r="AJ11" s="74"/>
    </row>
    <row r="12" spans="1:36" ht="15">
      <c r="A12" s="74"/>
      <c r="B12" s="332" t="s">
        <v>715</v>
      </c>
      <c r="C12" s="75"/>
      <c r="D12" s="336"/>
      <c r="E12" s="76"/>
      <c r="F12" s="76"/>
      <c r="G12" s="77"/>
      <c r="H12" s="130"/>
      <c r="I12" s="78"/>
      <c r="J12" s="75"/>
      <c r="K12" s="336"/>
      <c r="L12" s="76"/>
      <c r="M12" s="76"/>
      <c r="N12" s="77"/>
      <c r="O12" s="130"/>
      <c r="P12" s="78"/>
      <c r="Q12" s="129"/>
      <c r="R12" s="76"/>
      <c r="S12" s="76"/>
      <c r="T12" s="77"/>
      <c r="U12" s="130"/>
      <c r="V12" s="78"/>
      <c r="W12" s="75"/>
      <c r="X12" s="76"/>
      <c r="Y12" s="76"/>
      <c r="Z12" s="77"/>
      <c r="AA12" s="130"/>
      <c r="AB12" s="338"/>
      <c r="AC12" s="130"/>
      <c r="AD12" s="78"/>
      <c r="AE12" s="371"/>
      <c r="AF12" s="74"/>
      <c r="AG12" s="74"/>
      <c r="AH12" s="74"/>
      <c r="AI12" s="74"/>
      <c r="AJ12" s="74"/>
    </row>
    <row r="13" spans="1:36" ht="15">
      <c r="A13" s="74">
        <v>2</v>
      </c>
      <c r="B13" s="332" t="s">
        <v>716</v>
      </c>
      <c r="C13" s="75"/>
      <c r="D13" s="336"/>
      <c r="E13" s="76"/>
      <c r="F13" s="76"/>
      <c r="G13" s="77"/>
      <c r="H13" s="130"/>
      <c r="I13" s="78"/>
      <c r="J13" s="75"/>
      <c r="K13" s="336"/>
      <c r="L13" s="76"/>
      <c r="M13" s="76"/>
      <c r="N13" s="77"/>
      <c r="O13" s="130"/>
      <c r="P13" s="78"/>
      <c r="Q13" s="129"/>
      <c r="R13" s="76"/>
      <c r="S13" s="76"/>
      <c r="T13" s="77"/>
      <c r="U13" s="130"/>
      <c r="V13" s="78"/>
      <c r="W13" s="75"/>
      <c r="X13" s="76"/>
      <c r="Y13" s="76"/>
      <c r="Z13" s="77"/>
      <c r="AA13" s="130"/>
      <c r="AB13" s="338"/>
      <c r="AC13" s="130"/>
      <c r="AD13" s="78"/>
      <c r="AE13" s="371"/>
      <c r="AF13" s="74"/>
      <c r="AG13" s="74"/>
      <c r="AH13" s="74"/>
      <c r="AI13" s="74"/>
      <c r="AJ13" s="74"/>
    </row>
    <row r="14" spans="1:36" ht="15">
      <c r="A14" s="74">
        <v>3</v>
      </c>
      <c r="B14" s="333" t="s">
        <v>718</v>
      </c>
      <c r="C14" s="75"/>
      <c r="D14" s="336"/>
      <c r="E14" s="76"/>
      <c r="F14" s="76"/>
      <c r="G14" s="77"/>
      <c r="H14" s="130"/>
      <c r="I14" s="78"/>
      <c r="J14" s="75"/>
      <c r="K14" s="336"/>
      <c r="L14" s="76"/>
      <c r="M14" s="76"/>
      <c r="N14" s="77"/>
      <c r="O14" s="130"/>
      <c r="P14" s="78"/>
      <c r="Q14" s="129"/>
      <c r="R14" s="76"/>
      <c r="S14" s="76"/>
      <c r="T14" s="77"/>
      <c r="U14" s="130"/>
      <c r="V14" s="78"/>
      <c r="W14" s="75"/>
      <c r="X14" s="76"/>
      <c r="Y14" s="76"/>
      <c r="Z14" s="77"/>
      <c r="AA14" s="130"/>
      <c r="AB14" s="338"/>
      <c r="AC14" s="130"/>
      <c r="AD14" s="78"/>
      <c r="AE14" s="372"/>
      <c r="AF14" s="74"/>
      <c r="AG14" s="74"/>
      <c r="AH14" s="74"/>
      <c r="AI14" s="74"/>
      <c r="AJ14" s="74"/>
    </row>
    <row r="15" spans="1:36" ht="15">
      <c r="A15" s="74">
        <v>4</v>
      </c>
      <c r="B15" s="332" t="s">
        <v>714</v>
      </c>
      <c r="C15" s="75"/>
      <c r="D15" s="336"/>
      <c r="E15" s="76"/>
      <c r="F15" s="76"/>
      <c r="G15" s="77"/>
      <c r="H15" s="130"/>
      <c r="I15" s="78"/>
      <c r="J15" s="75"/>
      <c r="K15" s="336"/>
      <c r="L15" s="76"/>
      <c r="M15" s="76"/>
      <c r="N15" s="77"/>
      <c r="O15" s="130"/>
      <c r="P15" s="78"/>
      <c r="Q15" s="129"/>
      <c r="R15" s="76"/>
      <c r="S15" s="76"/>
      <c r="T15" s="77"/>
      <c r="U15" s="130"/>
      <c r="V15" s="78"/>
      <c r="W15" s="75"/>
      <c r="X15" s="76"/>
      <c r="Y15" s="76"/>
      <c r="Z15" s="77"/>
      <c r="AA15" s="130"/>
      <c r="AB15" s="338"/>
      <c r="AC15" s="130"/>
      <c r="AD15" s="78"/>
      <c r="AE15" s="371"/>
      <c r="AF15" s="74"/>
      <c r="AG15" s="74"/>
      <c r="AH15" s="74"/>
      <c r="AI15" s="74"/>
      <c r="AJ15" s="74"/>
    </row>
    <row r="16" spans="1:36" ht="15">
      <c r="A16" s="74">
        <v>5</v>
      </c>
      <c r="B16" s="332" t="s">
        <v>715</v>
      </c>
      <c r="C16" s="75"/>
      <c r="D16" s="336"/>
      <c r="E16" s="76"/>
      <c r="F16" s="76"/>
      <c r="G16" s="77"/>
      <c r="H16" s="130"/>
      <c r="I16" s="78"/>
      <c r="J16" s="75"/>
      <c r="K16" s="336"/>
      <c r="L16" s="76"/>
      <c r="M16" s="76"/>
      <c r="N16" s="77"/>
      <c r="O16" s="130"/>
      <c r="P16" s="78"/>
      <c r="Q16" s="129"/>
      <c r="R16" s="76"/>
      <c r="S16" s="76"/>
      <c r="T16" s="77"/>
      <c r="U16" s="130"/>
      <c r="V16" s="78"/>
      <c r="W16" s="75"/>
      <c r="X16" s="76"/>
      <c r="Y16" s="76"/>
      <c r="Z16" s="77"/>
      <c r="AA16" s="130"/>
      <c r="AB16" s="338"/>
      <c r="AC16" s="130"/>
      <c r="AD16" s="78"/>
      <c r="AE16" s="372"/>
      <c r="AF16" s="74"/>
      <c r="AG16" s="74"/>
      <c r="AH16" s="74"/>
      <c r="AI16" s="74"/>
      <c r="AJ16" s="74"/>
    </row>
    <row r="17" spans="1:36" ht="15">
      <c r="A17" s="74">
        <v>6</v>
      </c>
      <c r="B17" s="332" t="s">
        <v>716</v>
      </c>
      <c r="C17" s="75"/>
      <c r="D17" s="336"/>
      <c r="E17" s="76"/>
      <c r="F17" s="76"/>
      <c r="G17" s="77"/>
      <c r="H17" s="130"/>
      <c r="I17" s="78"/>
      <c r="J17" s="75"/>
      <c r="K17" s="336"/>
      <c r="L17" s="76"/>
      <c r="M17" s="76"/>
      <c r="N17" s="77"/>
      <c r="O17" s="130"/>
      <c r="P17" s="78"/>
      <c r="Q17" s="129"/>
      <c r="R17" s="76"/>
      <c r="S17" s="76"/>
      <c r="T17" s="77"/>
      <c r="U17" s="130"/>
      <c r="V17" s="78"/>
      <c r="W17" s="75"/>
      <c r="X17" s="76"/>
      <c r="Y17" s="76"/>
      <c r="Z17" s="77"/>
      <c r="AA17" s="130"/>
      <c r="AB17" s="338"/>
      <c r="AC17" s="130"/>
      <c r="AD17" s="78"/>
      <c r="AE17" s="371"/>
      <c r="AF17" s="74"/>
      <c r="AG17" s="74"/>
      <c r="AH17" s="74"/>
      <c r="AI17" s="74"/>
      <c r="AJ17" s="74"/>
    </row>
    <row r="18" spans="1:36" ht="15">
      <c r="A18" s="74">
        <v>7</v>
      </c>
      <c r="B18" s="333" t="s">
        <v>719</v>
      </c>
      <c r="C18" s="75"/>
      <c r="D18" s="336"/>
      <c r="E18" s="76"/>
      <c r="F18" s="76"/>
      <c r="G18" s="77"/>
      <c r="H18" s="130"/>
      <c r="I18" s="78"/>
      <c r="J18" s="75"/>
      <c r="K18" s="336"/>
      <c r="L18" s="76"/>
      <c r="M18" s="76"/>
      <c r="N18" s="77"/>
      <c r="O18" s="130"/>
      <c r="P18" s="78"/>
      <c r="Q18" s="129"/>
      <c r="R18" s="76"/>
      <c r="S18" s="76"/>
      <c r="T18" s="77"/>
      <c r="U18" s="130"/>
      <c r="V18" s="78"/>
      <c r="W18" s="75"/>
      <c r="X18" s="76"/>
      <c r="Y18" s="76"/>
      <c r="Z18" s="77"/>
      <c r="AA18" s="130"/>
      <c r="AB18" s="338"/>
      <c r="AC18" s="130"/>
      <c r="AD18" s="78"/>
      <c r="AE18" s="372"/>
      <c r="AF18" s="74"/>
      <c r="AG18" s="74"/>
      <c r="AH18" s="74"/>
      <c r="AI18" s="74"/>
      <c r="AJ18" s="74"/>
    </row>
    <row r="19" spans="1:36" ht="15">
      <c r="A19" s="74">
        <v>8</v>
      </c>
      <c r="B19" s="332" t="s">
        <v>714</v>
      </c>
      <c r="C19" s="75"/>
      <c r="D19" s="336"/>
      <c r="E19" s="76"/>
      <c r="F19" s="76"/>
      <c r="G19" s="77"/>
      <c r="H19" s="130"/>
      <c r="I19" s="78"/>
      <c r="J19" s="75"/>
      <c r="K19" s="336"/>
      <c r="L19" s="76"/>
      <c r="M19" s="76"/>
      <c r="N19" s="77"/>
      <c r="O19" s="130"/>
      <c r="P19" s="78"/>
      <c r="Q19" s="129"/>
      <c r="R19" s="76"/>
      <c r="S19" s="76"/>
      <c r="T19" s="77"/>
      <c r="U19" s="130"/>
      <c r="V19" s="78"/>
      <c r="W19" s="75"/>
      <c r="X19" s="76"/>
      <c r="Y19" s="76"/>
      <c r="Z19" s="77"/>
      <c r="AA19" s="130"/>
      <c r="AB19" s="338"/>
      <c r="AC19" s="130"/>
      <c r="AD19" s="78"/>
      <c r="AE19" s="372"/>
      <c r="AF19" s="74"/>
      <c r="AG19" s="74"/>
      <c r="AH19" s="74"/>
      <c r="AI19" s="74"/>
      <c r="AJ19" s="74"/>
    </row>
    <row r="20" spans="1:36" ht="15">
      <c r="A20" s="74">
        <v>9</v>
      </c>
      <c r="B20" s="332" t="s">
        <v>715</v>
      </c>
      <c r="C20" s="75"/>
      <c r="D20" s="336"/>
      <c r="E20" s="76"/>
      <c r="F20" s="76"/>
      <c r="G20" s="77"/>
      <c r="H20" s="130"/>
      <c r="I20" s="78"/>
      <c r="J20" s="75"/>
      <c r="K20" s="336"/>
      <c r="L20" s="76"/>
      <c r="M20" s="76"/>
      <c r="N20" s="77"/>
      <c r="O20" s="130"/>
      <c r="P20" s="78"/>
      <c r="Q20" s="129"/>
      <c r="R20" s="76"/>
      <c r="S20" s="76"/>
      <c r="T20" s="77"/>
      <c r="U20" s="130"/>
      <c r="V20" s="78"/>
      <c r="W20" s="75"/>
      <c r="X20" s="76"/>
      <c r="Y20" s="76"/>
      <c r="Z20" s="77"/>
      <c r="AA20" s="130"/>
      <c r="AB20" s="338"/>
      <c r="AC20" s="130"/>
      <c r="AD20" s="78"/>
      <c r="AE20" s="372"/>
      <c r="AF20" s="74"/>
      <c r="AG20" s="74"/>
      <c r="AH20" s="74"/>
      <c r="AI20" s="74"/>
      <c r="AJ20" s="74"/>
    </row>
    <row r="21" spans="1:36" ht="15">
      <c r="A21" s="74">
        <v>10</v>
      </c>
      <c r="B21" s="332" t="s">
        <v>716</v>
      </c>
      <c r="C21" s="75"/>
      <c r="D21" s="336"/>
      <c r="E21" s="76"/>
      <c r="F21" s="76"/>
      <c r="G21" s="77"/>
      <c r="H21" s="130"/>
      <c r="I21" s="78"/>
      <c r="J21" s="75"/>
      <c r="K21" s="336"/>
      <c r="L21" s="76"/>
      <c r="M21" s="76"/>
      <c r="N21" s="77"/>
      <c r="O21" s="130"/>
      <c r="P21" s="78"/>
      <c r="Q21" s="129"/>
      <c r="R21" s="76"/>
      <c r="S21" s="76"/>
      <c r="T21" s="77"/>
      <c r="U21" s="130"/>
      <c r="V21" s="78"/>
      <c r="W21" s="75"/>
      <c r="X21" s="76"/>
      <c r="Y21" s="76"/>
      <c r="Z21" s="77"/>
      <c r="AA21" s="130"/>
      <c r="AB21" s="338"/>
      <c r="AC21" s="130"/>
      <c r="AD21" s="78"/>
      <c r="AE21" s="372"/>
      <c r="AF21" s="74"/>
      <c r="AG21" s="74"/>
      <c r="AH21" s="74"/>
      <c r="AI21" s="74"/>
      <c r="AJ21" s="74"/>
    </row>
    <row r="22" spans="1:36" ht="15">
      <c r="A22" s="74">
        <v>11</v>
      </c>
      <c r="B22" s="333" t="s">
        <v>720</v>
      </c>
      <c r="C22" s="75"/>
      <c r="D22" s="336"/>
      <c r="E22" s="76"/>
      <c r="F22" s="76"/>
      <c r="G22" s="77"/>
      <c r="H22" s="130"/>
      <c r="I22" s="78"/>
      <c r="J22" s="75"/>
      <c r="K22" s="336"/>
      <c r="L22" s="76"/>
      <c r="M22" s="76"/>
      <c r="N22" s="77"/>
      <c r="O22" s="130"/>
      <c r="P22" s="78"/>
      <c r="Q22" s="129"/>
      <c r="R22" s="76"/>
      <c r="S22" s="76"/>
      <c r="T22" s="77"/>
      <c r="U22" s="130"/>
      <c r="V22" s="78"/>
      <c r="W22" s="75"/>
      <c r="X22" s="76"/>
      <c r="Y22" s="76"/>
      <c r="Z22" s="77"/>
      <c r="AA22" s="130"/>
      <c r="AB22" s="338"/>
      <c r="AC22" s="130"/>
      <c r="AD22" s="78"/>
      <c r="AE22" s="372"/>
      <c r="AF22" s="74"/>
      <c r="AG22" s="74"/>
      <c r="AH22" s="74"/>
      <c r="AI22" s="74"/>
      <c r="AJ22" s="74"/>
    </row>
    <row r="23" spans="1:36" ht="13.5" customHeight="1" thickBot="1">
      <c r="A23" s="74">
        <v>12</v>
      </c>
      <c r="B23" s="334" t="s">
        <v>721</v>
      </c>
      <c r="C23" s="79"/>
      <c r="D23" s="337"/>
      <c r="E23" s="80"/>
      <c r="F23" s="80"/>
      <c r="G23" s="81"/>
      <c r="H23" s="131"/>
      <c r="I23" s="82"/>
      <c r="J23" s="79"/>
      <c r="K23" s="337"/>
      <c r="L23" s="80"/>
      <c r="M23" s="80"/>
      <c r="N23" s="81"/>
      <c r="O23" s="131"/>
      <c r="P23" s="82"/>
      <c r="Q23" s="335"/>
      <c r="R23" s="80"/>
      <c r="S23" s="80"/>
      <c r="T23" s="81"/>
      <c r="U23" s="131"/>
      <c r="V23" s="82"/>
      <c r="W23" s="79"/>
      <c r="X23" s="80"/>
      <c r="Y23" s="80"/>
      <c r="Z23" s="81"/>
      <c r="AA23" s="131"/>
      <c r="AB23" s="339"/>
      <c r="AC23" s="131"/>
      <c r="AD23" s="82"/>
      <c r="AE23" s="377"/>
      <c r="AF23" s="74"/>
      <c r="AG23" s="74"/>
      <c r="AH23" s="74"/>
      <c r="AI23" s="74"/>
      <c r="AJ23" s="74"/>
    </row>
    <row r="24" spans="1:36" ht="3" hidden="1" customHeight="1">
      <c r="A24" s="74"/>
      <c r="B24" s="204"/>
      <c r="C24" s="204"/>
      <c r="D24" s="205"/>
      <c r="E24" s="74"/>
      <c r="F24" s="74"/>
      <c r="G24" s="74"/>
      <c r="H24" s="74"/>
      <c r="I24" s="74"/>
      <c r="J24" s="345"/>
      <c r="K24" s="346"/>
      <c r="L24" s="346"/>
      <c r="M24" s="346"/>
      <c r="N24" s="346"/>
      <c r="O24" s="346"/>
      <c r="P24" s="347"/>
      <c r="Q24" s="74"/>
      <c r="R24" s="74"/>
      <c r="S24" s="74"/>
      <c r="T24" s="74"/>
      <c r="U24" s="74"/>
      <c r="V24" s="74"/>
      <c r="W24" s="74"/>
      <c r="X24" s="74"/>
      <c r="Y24" s="74"/>
      <c r="Z24" s="74"/>
      <c r="AA24" s="74"/>
      <c r="AB24" s="74"/>
      <c r="AC24" s="348"/>
      <c r="AD24" s="349"/>
      <c r="AE24" s="350"/>
      <c r="AF24" s="74"/>
      <c r="AG24" s="74"/>
      <c r="AH24" s="74"/>
      <c r="AI24" s="74"/>
      <c r="AJ24" s="74"/>
    </row>
    <row r="25" spans="1:36" ht="17.649999999999999" hidden="1" customHeight="1" thickBot="1">
      <c r="A25" s="74"/>
      <c r="D25" s="74"/>
      <c r="E25" s="74"/>
      <c r="F25" s="74"/>
      <c r="G25" s="74"/>
      <c r="H25" s="74"/>
      <c r="I25" s="74"/>
      <c r="J25" s="341"/>
      <c r="K25" s="340"/>
      <c r="L25" s="340"/>
      <c r="M25" s="340"/>
      <c r="N25" s="340"/>
      <c r="O25" s="340"/>
      <c r="P25" s="342"/>
      <c r="Q25" s="74"/>
      <c r="R25" s="74"/>
      <c r="S25" s="74"/>
      <c r="T25" s="74"/>
      <c r="U25" s="74"/>
      <c r="V25" s="74"/>
      <c r="W25" s="74"/>
      <c r="X25" s="74"/>
      <c r="Y25" s="74"/>
      <c r="Z25" s="74"/>
      <c r="AA25" s="74"/>
      <c r="AB25" s="74"/>
      <c r="AC25" s="348"/>
      <c r="AD25" s="349"/>
      <c r="AE25" s="350"/>
      <c r="AF25" s="74"/>
      <c r="AG25" s="206" t="s">
        <v>182</v>
      </c>
      <c r="AH25" s="206" t="s">
        <v>193</v>
      </c>
      <c r="AI25" s="74" t="s">
        <v>211</v>
      </c>
      <c r="AJ25" s="74"/>
    </row>
    <row r="26" spans="1:36" ht="17.649999999999999" hidden="1" customHeight="1" thickBot="1">
      <c r="A26" s="74"/>
      <c r="D26" s="74"/>
      <c r="E26" s="74"/>
      <c r="F26" s="74"/>
      <c r="G26" s="74"/>
      <c r="H26" s="74"/>
      <c r="I26" s="74"/>
      <c r="J26" s="341"/>
      <c r="K26" s="340"/>
      <c r="L26" s="340"/>
      <c r="M26" s="340"/>
      <c r="N26" s="340"/>
      <c r="O26" s="340"/>
      <c r="P26" s="342"/>
      <c r="Q26" s="74"/>
      <c r="R26" s="74"/>
      <c r="S26" s="74"/>
      <c r="T26" s="74"/>
      <c r="U26" s="74"/>
      <c r="V26" s="74"/>
      <c r="W26" s="74"/>
      <c r="X26" s="74"/>
      <c r="Y26" s="74"/>
      <c r="Z26" s="74"/>
      <c r="AA26" s="74"/>
      <c r="AB26" s="74"/>
      <c r="AC26" s="348"/>
      <c r="AD26" s="349"/>
      <c r="AE26" s="350"/>
      <c r="AF26" s="74"/>
      <c r="AG26" s="206" t="s">
        <v>183</v>
      </c>
      <c r="AH26" s="206" t="s">
        <v>194</v>
      </c>
      <c r="AI26" s="74" t="s">
        <v>212</v>
      </c>
      <c r="AJ26" s="74"/>
    </row>
    <row r="27" spans="1:36" ht="17.649999999999999" hidden="1" customHeight="1" thickBot="1">
      <c r="A27" s="74"/>
      <c r="D27" s="74"/>
      <c r="E27" s="74"/>
      <c r="F27" s="74"/>
      <c r="G27" s="74"/>
      <c r="H27" s="74"/>
      <c r="I27" s="74"/>
      <c r="J27" s="341"/>
      <c r="K27" s="340"/>
      <c r="L27" s="340"/>
      <c r="M27" s="340"/>
      <c r="N27" s="340"/>
      <c r="O27" s="340"/>
      <c r="P27" s="342"/>
      <c r="Q27" s="74"/>
      <c r="R27" s="74"/>
      <c r="S27" s="74"/>
      <c r="T27" s="74"/>
      <c r="U27" s="74"/>
      <c r="V27" s="74"/>
      <c r="W27" s="74"/>
      <c r="X27" s="74"/>
      <c r="Y27" s="74"/>
      <c r="Z27" s="74"/>
      <c r="AA27" s="74"/>
      <c r="AB27" s="74"/>
      <c r="AC27" s="348"/>
      <c r="AD27" s="349"/>
      <c r="AE27" s="350"/>
      <c r="AF27" s="74"/>
      <c r="AG27" s="206" t="s">
        <v>184</v>
      </c>
      <c r="AH27" s="206" t="s">
        <v>195</v>
      </c>
      <c r="AI27" s="74" t="s">
        <v>210</v>
      </c>
      <c r="AJ27" s="74"/>
    </row>
    <row r="28" spans="1:36" ht="17.649999999999999" hidden="1" customHeight="1" thickBot="1">
      <c r="A28" s="74"/>
      <c r="D28" s="74"/>
      <c r="E28" s="74"/>
      <c r="F28" s="74"/>
      <c r="G28" s="74"/>
      <c r="H28" s="74"/>
      <c r="I28" s="74"/>
      <c r="J28" s="341"/>
      <c r="K28" s="340"/>
      <c r="L28" s="340"/>
      <c r="M28" s="340"/>
      <c r="N28" s="340"/>
      <c r="O28" s="340"/>
      <c r="P28" s="342"/>
      <c r="Q28" s="74"/>
      <c r="R28" s="74"/>
      <c r="S28" s="74"/>
      <c r="T28" s="74"/>
      <c r="U28" s="74"/>
      <c r="V28" s="74"/>
      <c r="W28" s="74"/>
      <c r="X28" s="74"/>
      <c r="Y28" s="74"/>
      <c r="Z28" s="74"/>
      <c r="AA28" s="74"/>
      <c r="AB28" s="74"/>
      <c r="AC28" s="348"/>
      <c r="AD28" s="349"/>
      <c r="AE28" s="350"/>
      <c r="AF28" s="74"/>
      <c r="AG28" s="206" t="s">
        <v>185</v>
      </c>
      <c r="AH28" s="206" t="s">
        <v>196</v>
      </c>
      <c r="AI28" s="74"/>
      <c r="AJ28" s="74"/>
    </row>
    <row r="29" spans="1:36" ht="17.649999999999999" hidden="1" customHeight="1" thickBot="1">
      <c r="A29" s="74"/>
      <c r="D29" s="74"/>
      <c r="E29" s="74"/>
      <c r="F29" s="74"/>
      <c r="G29" s="74"/>
      <c r="H29" s="74"/>
      <c r="I29" s="74"/>
      <c r="J29" s="341"/>
      <c r="K29" s="340"/>
      <c r="L29" s="340"/>
      <c r="M29" s="340"/>
      <c r="N29" s="340"/>
      <c r="O29" s="340"/>
      <c r="P29" s="342"/>
      <c r="Q29" s="74"/>
      <c r="R29" s="74"/>
      <c r="S29" s="74"/>
      <c r="T29" s="74"/>
      <c r="U29" s="74"/>
      <c r="V29" s="74"/>
      <c r="W29" s="74"/>
      <c r="X29" s="74"/>
      <c r="Y29" s="74"/>
      <c r="Z29" s="74"/>
      <c r="AA29" s="74"/>
      <c r="AB29" s="74"/>
      <c r="AC29" s="348"/>
      <c r="AD29" s="349"/>
      <c r="AE29" s="350"/>
      <c r="AF29" s="74"/>
      <c r="AG29" s="206" t="s">
        <v>186</v>
      </c>
      <c r="AH29" s="206" t="s">
        <v>197</v>
      </c>
      <c r="AI29" s="74"/>
      <c r="AJ29" s="74"/>
    </row>
    <row r="30" spans="1:36" ht="17.649999999999999" hidden="1" customHeight="1" thickBot="1">
      <c r="A30" s="74"/>
      <c r="D30" s="74"/>
      <c r="E30" s="74"/>
      <c r="F30" s="74"/>
      <c r="G30" s="74"/>
      <c r="H30" s="74"/>
      <c r="I30" s="74"/>
      <c r="J30" s="341"/>
      <c r="K30" s="340"/>
      <c r="L30" s="340"/>
      <c r="M30" s="340"/>
      <c r="N30" s="340"/>
      <c r="O30" s="340"/>
      <c r="P30" s="342"/>
      <c r="Q30" s="74"/>
      <c r="R30" s="74"/>
      <c r="S30" s="74"/>
      <c r="T30" s="74"/>
      <c r="U30" s="74"/>
      <c r="V30" s="74"/>
      <c r="W30" s="74"/>
      <c r="X30" s="74"/>
      <c r="Y30" s="74"/>
      <c r="Z30" s="74"/>
      <c r="AA30" s="74"/>
      <c r="AB30" s="74"/>
      <c r="AC30" s="348"/>
      <c r="AD30" s="349"/>
      <c r="AE30" s="350"/>
      <c r="AF30" s="74"/>
      <c r="AG30" s="206" t="s">
        <v>187</v>
      </c>
      <c r="AH30" s="206" t="s">
        <v>198</v>
      </c>
      <c r="AI30" s="74"/>
      <c r="AJ30" s="74"/>
    </row>
    <row r="31" spans="1:36" ht="17.649999999999999" hidden="1" customHeight="1" thickBot="1">
      <c r="A31" s="74"/>
      <c r="D31" s="74"/>
      <c r="E31" s="74"/>
      <c r="F31" s="74"/>
      <c r="G31" s="74"/>
      <c r="H31" s="74"/>
      <c r="I31" s="74"/>
      <c r="J31" s="341"/>
      <c r="K31" s="340"/>
      <c r="L31" s="340"/>
      <c r="M31" s="340"/>
      <c r="N31" s="340"/>
      <c r="O31" s="340"/>
      <c r="P31" s="342"/>
      <c r="Q31" s="74"/>
      <c r="R31" s="74"/>
      <c r="S31" s="74"/>
      <c r="T31" s="74"/>
      <c r="U31" s="74"/>
      <c r="V31" s="74"/>
      <c r="W31" s="74"/>
      <c r="X31" s="74"/>
      <c r="Y31" s="74"/>
      <c r="Z31" s="74"/>
      <c r="AA31" s="74"/>
      <c r="AB31" s="74"/>
      <c r="AC31" s="348"/>
      <c r="AD31" s="349"/>
      <c r="AE31" s="350"/>
      <c r="AF31" s="74"/>
      <c r="AG31" s="206" t="s">
        <v>188</v>
      </c>
      <c r="AH31" s="206" t="s">
        <v>199</v>
      </c>
      <c r="AI31" s="74"/>
      <c r="AJ31" s="74"/>
    </row>
    <row r="32" spans="1:36" ht="17.649999999999999" hidden="1" customHeight="1" thickBot="1">
      <c r="A32" s="74"/>
      <c r="D32" s="74"/>
      <c r="E32" s="74"/>
      <c r="F32" s="74"/>
      <c r="G32" s="74"/>
      <c r="H32" s="74"/>
      <c r="I32" s="74"/>
      <c r="J32" s="341"/>
      <c r="K32" s="340"/>
      <c r="L32" s="340"/>
      <c r="M32" s="340"/>
      <c r="N32" s="340"/>
      <c r="O32" s="340"/>
      <c r="P32" s="342"/>
      <c r="Q32" s="74"/>
      <c r="R32" s="74"/>
      <c r="S32" s="74"/>
      <c r="T32" s="74"/>
      <c r="U32" s="74"/>
      <c r="V32" s="74"/>
      <c r="W32" s="74"/>
      <c r="X32" s="74"/>
      <c r="Y32" s="74"/>
      <c r="Z32" s="74"/>
      <c r="AA32" s="74"/>
      <c r="AB32" s="74"/>
      <c r="AC32" s="348"/>
      <c r="AD32" s="349"/>
      <c r="AE32" s="350"/>
      <c r="AF32" s="74"/>
      <c r="AG32" s="206" t="s">
        <v>189</v>
      </c>
      <c r="AH32" s="206" t="s">
        <v>200</v>
      </c>
      <c r="AI32" s="74"/>
      <c r="AJ32" s="74"/>
    </row>
    <row r="33" spans="1:36" ht="17.649999999999999" hidden="1" customHeight="1" thickBot="1">
      <c r="A33" s="74"/>
      <c r="D33" s="74"/>
      <c r="E33" s="74"/>
      <c r="F33" s="74"/>
      <c r="G33" s="74"/>
      <c r="H33" s="74"/>
      <c r="I33" s="74"/>
      <c r="J33" s="341"/>
      <c r="K33" s="340"/>
      <c r="L33" s="340"/>
      <c r="M33" s="340"/>
      <c r="N33" s="340"/>
      <c r="O33" s="340"/>
      <c r="P33" s="342"/>
      <c r="Q33" s="74"/>
      <c r="R33" s="74"/>
      <c r="S33" s="74"/>
      <c r="T33" s="74"/>
      <c r="U33" s="74"/>
      <c r="V33" s="74"/>
      <c r="W33" s="74"/>
      <c r="X33" s="74"/>
      <c r="Y33" s="74"/>
      <c r="Z33" s="74"/>
      <c r="AA33" s="74"/>
      <c r="AB33" s="74"/>
      <c r="AC33" s="348"/>
      <c r="AD33" s="349"/>
      <c r="AE33" s="350"/>
      <c r="AF33" s="74"/>
      <c r="AG33" s="206" t="s">
        <v>190</v>
      </c>
      <c r="AH33" s="206" t="s">
        <v>201</v>
      </c>
      <c r="AI33" s="74"/>
      <c r="AJ33" s="74"/>
    </row>
    <row r="34" spans="1:36" ht="17.649999999999999" hidden="1" customHeight="1" thickBot="1">
      <c r="A34" s="74"/>
      <c r="D34" s="74"/>
      <c r="E34" s="74"/>
      <c r="F34" s="74"/>
      <c r="G34" s="74"/>
      <c r="H34" s="74"/>
      <c r="I34" s="74"/>
      <c r="J34" s="341"/>
      <c r="K34" s="340"/>
      <c r="L34" s="340"/>
      <c r="M34" s="340"/>
      <c r="N34" s="340"/>
      <c r="O34" s="340"/>
      <c r="P34" s="342"/>
      <c r="Q34" s="74"/>
      <c r="R34" s="74"/>
      <c r="S34" s="74"/>
      <c r="T34" s="74"/>
      <c r="U34" s="74"/>
      <c r="V34" s="74"/>
      <c r="W34" s="74"/>
      <c r="X34" s="74"/>
      <c r="Y34" s="74"/>
      <c r="Z34" s="74"/>
      <c r="AA34" s="74"/>
      <c r="AB34" s="74"/>
      <c r="AC34" s="348"/>
      <c r="AD34" s="349"/>
      <c r="AE34" s="350"/>
      <c r="AF34" s="74"/>
      <c r="AG34" s="206" t="s">
        <v>191</v>
      </c>
      <c r="AH34" s="206" t="s">
        <v>202</v>
      </c>
      <c r="AI34" s="74"/>
      <c r="AJ34" s="74"/>
    </row>
    <row r="35" spans="1:36" ht="17.649999999999999" hidden="1" customHeight="1" thickBot="1">
      <c r="A35" s="74"/>
      <c r="D35" s="74"/>
      <c r="E35" s="74"/>
      <c r="F35" s="74"/>
      <c r="G35" s="74"/>
      <c r="H35" s="74"/>
      <c r="I35" s="74"/>
      <c r="J35" s="341"/>
      <c r="K35" s="340"/>
      <c r="L35" s="340"/>
      <c r="M35" s="340"/>
      <c r="N35" s="340"/>
      <c r="O35" s="340"/>
      <c r="P35" s="342"/>
      <c r="Q35" s="74"/>
      <c r="R35" s="74"/>
      <c r="S35" s="74"/>
      <c r="T35" s="74"/>
      <c r="U35" s="74"/>
      <c r="V35" s="74"/>
      <c r="W35" s="74"/>
      <c r="X35" s="74"/>
      <c r="Y35" s="74"/>
      <c r="Z35" s="74"/>
      <c r="AA35" s="74"/>
      <c r="AB35" s="74"/>
      <c r="AC35" s="348"/>
      <c r="AD35" s="349"/>
      <c r="AE35" s="350"/>
      <c r="AF35" s="74"/>
      <c r="AG35" s="207" t="s">
        <v>192</v>
      </c>
      <c r="AH35" s="206" t="s">
        <v>203</v>
      </c>
      <c r="AI35" s="74"/>
      <c r="AJ35" s="74"/>
    </row>
    <row r="36" spans="1:36" ht="17.649999999999999" hidden="1" customHeight="1" thickBot="1">
      <c r="A36" s="74"/>
      <c r="D36" s="74"/>
      <c r="E36" s="74"/>
      <c r="F36" s="74"/>
      <c r="G36" s="74"/>
      <c r="H36" s="74"/>
      <c r="I36" s="74"/>
      <c r="J36" s="341"/>
      <c r="K36" s="340"/>
      <c r="L36" s="340"/>
      <c r="M36" s="340"/>
      <c r="N36" s="340"/>
      <c r="O36" s="340"/>
      <c r="P36" s="342"/>
      <c r="Q36" s="74"/>
      <c r="R36" s="74"/>
      <c r="S36" s="74"/>
      <c r="T36" s="74"/>
      <c r="U36" s="74"/>
      <c r="V36" s="74"/>
      <c r="W36" s="74"/>
      <c r="X36" s="74"/>
      <c r="Y36" s="74"/>
      <c r="Z36" s="74"/>
      <c r="AA36" s="74"/>
      <c r="AB36" s="74"/>
      <c r="AC36" s="348"/>
      <c r="AD36" s="349"/>
      <c r="AE36" s="350"/>
      <c r="AF36" s="74"/>
      <c r="AG36" s="74"/>
      <c r="AH36" s="206" t="s">
        <v>204</v>
      </c>
      <c r="AI36" s="74"/>
      <c r="AJ36" s="74"/>
    </row>
    <row r="37" spans="1:36" ht="17.649999999999999" hidden="1" customHeight="1" thickBot="1">
      <c r="A37" s="74"/>
      <c r="D37" s="74"/>
      <c r="E37" s="74"/>
      <c r="F37" s="74"/>
      <c r="G37" s="74"/>
      <c r="H37" s="74"/>
      <c r="I37" s="74"/>
      <c r="J37" s="341"/>
      <c r="K37" s="340"/>
      <c r="L37" s="340"/>
      <c r="M37" s="340"/>
      <c r="N37" s="340"/>
      <c r="O37" s="340"/>
      <c r="P37" s="342"/>
      <c r="Q37" s="74"/>
      <c r="R37" s="74"/>
      <c r="S37" s="74"/>
      <c r="T37" s="74"/>
      <c r="U37" s="74"/>
      <c r="V37" s="74"/>
      <c r="W37" s="74"/>
      <c r="X37" s="74"/>
      <c r="Y37" s="74"/>
      <c r="Z37" s="74"/>
      <c r="AA37" s="74"/>
      <c r="AB37" s="74"/>
      <c r="AC37" s="348"/>
      <c r="AD37" s="349"/>
      <c r="AE37" s="350"/>
      <c r="AF37" s="74"/>
      <c r="AG37" s="74"/>
      <c r="AH37" s="206" t="s">
        <v>205</v>
      </c>
      <c r="AI37" s="74"/>
      <c r="AJ37" s="74"/>
    </row>
    <row r="38" spans="1:36" ht="17.649999999999999" hidden="1" customHeight="1" thickBot="1">
      <c r="A38" s="74"/>
      <c r="D38" s="74"/>
      <c r="E38" s="74"/>
      <c r="F38" s="74"/>
      <c r="G38" s="74"/>
      <c r="H38" s="74"/>
      <c r="I38" s="74"/>
      <c r="J38" s="341"/>
      <c r="K38" s="340"/>
      <c r="L38" s="340"/>
      <c r="M38" s="340"/>
      <c r="N38" s="340"/>
      <c r="O38" s="340"/>
      <c r="P38" s="342"/>
      <c r="Q38" s="74"/>
      <c r="R38" s="74"/>
      <c r="S38" s="74"/>
      <c r="T38" s="74"/>
      <c r="U38" s="74"/>
      <c r="V38" s="74"/>
      <c r="W38" s="74"/>
      <c r="X38" s="74"/>
      <c r="Y38" s="74"/>
      <c r="Z38" s="74"/>
      <c r="AA38" s="74"/>
      <c r="AB38" s="74"/>
      <c r="AC38" s="348"/>
      <c r="AD38" s="349"/>
      <c r="AE38" s="350"/>
      <c r="AF38" s="74"/>
      <c r="AG38" s="74"/>
      <c r="AH38" s="206" t="s">
        <v>206</v>
      </c>
      <c r="AI38" s="74"/>
      <c r="AJ38" s="74"/>
    </row>
    <row r="39" spans="1:36" ht="17.649999999999999" hidden="1" customHeight="1" thickBot="1">
      <c r="A39" s="74"/>
      <c r="D39" s="74"/>
      <c r="E39" s="74"/>
      <c r="F39" s="74"/>
      <c r="G39" s="74"/>
      <c r="H39" s="74"/>
      <c r="I39" s="74"/>
      <c r="J39" s="341"/>
      <c r="K39" s="340"/>
      <c r="L39" s="340"/>
      <c r="M39" s="340"/>
      <c r="N39" s="340"/>
      <c r="O39" s="340"/>
      <c r="P39" s="342"/>
      <c r="Q39" s="74"/>
      <c r="R39" s="74"/>
      <c r="S39" s="74"/>
      <c r="T39" s="74"/>
      <c r="U39" s="74"/>
      <c r="V39" s="74"/>
      <c r="W39" s="74"/>
      <c r="X39" s="74"/>
      <c r="Y39" s="74"/>
      <c r="Z39" s="74"/>
      <c r="AA39" s="74"/>
      <c r="AB39" s="74"/>
      <c r="AC39" s="348"/>
      <c r="AD39" s="349"/>
      <c r="AE39" s="350"/>
      <c r="AF39" s="74"/>
      <c r="AG39" s="74"/>
      <c r="AH39" s="206" t="s">
        <v>207</v>
      </c>
      <c r="AI39" s="74"/>
      <c r="AJ39" s="74"/>
    </row>
    <row r="40" spans="1:36" ht="17.649999999999999" hidden="1" customHeight="1" thickBot="1">
      <c r="AH40" s="206" t="s">
        <v>208</v>
      </c>
    </row>
    <row r="41" spans="1:36" ht="17.649999999999999" hidden="1" customHeight="1" thickBot="1">
      <c r="AH41" s="207" t="s">
        <v>192</v>
      </c>
    </row>
    <row r="42" spans="1:36" ht="17.649999999999999" hidden="1" customHeight="1">
      <c r="AH42" s="208"/>
    </row>
    <row r="43" spans="1:36" ht="15" hidden="1">
      <c r="D43" s="209"/>
    </row>
    <row r="44" spans="1:36" ht="14.65" hidden="1" customHeight="1"/>
    <row r="45" spans="1:36" ht="14.65" hidden="1" customHeight="1"/>
    <row r="1048576" ht="7.15" hidden="1" customHeight="1"/>
  </sheetData>
  <mergeCells count="9">
    <mergeCell ref="A1:AD1"/>
    <mergeCell ref="Q3:AB3"/>
    <mergeCell ref="AC3:AD3"/>
    <mergeCell ref="Q4:V4"/>
    <mergeCell ref="W4:AB4"/>
    <mergeCell ref="AC4:AD4"/>
    <mergeCell ref="J4:P4"/>
    <mergeCell ref="C4:I4"/>
    <mergeCell ref="C3:P3"/>
  </mergeCells>
  <conditionalFormatting sqref="F6:F23">
    <cfRule type="cellIs" dxfId="11" priority="12" operator="greaterThan">
      <formula>0.1</formula>
    </cfRule>
  </conditionalFormatting>
  <conditionalFormatting sqref="G6:G23">
    <cfRule type="cellIs" dxfId="10" priority="11" operator="greaterThan">
      <formula>25</formula>
    </cfRule>
  </conditionalFormatting>
  <conditionalFormatting sqref="E6:E23">
    <cfRule type="cellIs" dxfId="9" priority="10" operator="greaterThan">
      <formula>0.1</formula>
    </cfRule>
  </conditionalFormatting>
  <conditionalFormatting sqref="M6:M23">
    <cfRule type="cellIs" dxfId="8" priority="9" operator="greaterThan">
      <formula>0.1</formula>
    </cfRule>
  </conditionalFormatting>
  <conditionalFormatting sqref="N6:N23">
    <cfRule type="cellIs" dxfId="7" priority="8" operator="greaterThan">
      <formula>25</formula>
    </cfRule>
  </conditionalFormatting>
  <conditionalFormatting sqref="L6:L23">
    <cfRule type="cellIs" dxfId="6" priority="7" operator="greaterThan">
      <formula>0.1</formula>
    </cfRule>
  </conditionalFormatting>
  <conditionalFormatting sqref="S6:S23">
    <cfRule type="cellIs" dxfId="5" priority="6" operator="greaterThan">
      <formula>0.1</formula>
    </cfRule>
  </conditionalFormatting>
  <conditionalFormatting sqref="T6:T23">
    <cfRule type="cellIs" dxfId="4" priority="5" operator="greaterThan">
      <formula>25</formula>
    </cfRule>
  </conditionalFormatting>
  <conditionalFormatting sqref="R6:R23">
    <cfRule type="cellIs" dxfId="3" priority="4" operator="greaterThan">
      <formula>0.1</formula>
    </cfRule>
  </conditionalFormatting>
  <conditionalFormatting sqref="Y6:Y23">
    <cfRule type="cellIs" dxfId="2" priority="3" operator="greaterThan">
      <formula>0.1</formula>
    </cfRule>
  </conditionalFormatting>
  <conditionalFormatting sqref="Z6:Z23">
    <cfRule type="cellIs" dxfId="1" priority="2" operator="greaterThan">
      <formula>25</formula>
    </cfRule>
  </conditionalFormatting>
  <conditionalFormatting sqref="X6:X23">
    <cfRule type="cellIs" dxfId="0" priority="1" operator="greaterThan">
      <formula>0.1</formula>
    </cfRule>
  </conditionalFormatting>
  <dataValidations count="6">
    <dataValidation type="list" allowBlank="1" showInputMessage="1" showErrorMessage="1" error="The entry shall be selected from the list of possible entries" sqref="AC6:AC23" xr:uid="{4A911F14-1F95-4F3C-B3BB-3BE67DAF846E}">
      <formula1>$AG$25:$AG$35</formula1>
    </dataValidation>
    <dataValidation type="list" allowBlank="1" showInputMessage="1" showErrorMessage="1" error="The entry shall be selected from the list of possible entries" sqref="AD6:AD23" xr:uid="{FEB2083D-F23C-4DCC-99CF-4D76F7929077}">
      <formula1>$AH$25:$AH$41</formula1>
    </dataValidation>
    <dataValidation type="list" allowBlank="1" showInputMessage="1" showErrorMessage="1" error="The entry shall be selected from the list of possible entries" sqref="AA6:AB23 U6:V23 O6:P23 H6:I23" xr:uid="{C2CA7472-CAB9-4837-A0BC-997AF0303DA3}">
      <formula1>$AI$25:$AI$27</formula1>
    </dataValidation>
    <dataValidation type="decimal" operator="greaterThan" allowBlank="1" showInputMessage="1" showErrorMessage="1" errorTitle="Incorrect data entered" error="A positive number must be entered" sqref="D6:D23 G6:G23 K6:K23 N6:N23 Q6:Q23 T6:T23 W6:W23 Z6:Z23" xr:uid="{BF7CD3C0-CBC3-41A4-A265-DEB3DE91113C}">
      <formula1>0</formula1>
    </dataValidation>
    <dataValidation type="custom" errorStyle="warning" allowBlank="1" showInputMessage="1" showErrorMessage="1" error="Only percentage values between 0% and 100%" sqref="F6:F23 M6:M23 S6:S23 Y6:Y23" xr:uid="{DB6B88BB-54A1-46EE-BF70-A88909981E26}">
      <formula1>OR(F6=".p",F6=".v",AND(F6&gt;=0,F6&lt;1))</formula1>
    </dataValidation>
    <dataValidation type="custom" errorStyle="warning" allowBlank="1" showInputMessage="1" showErrorMessage="1" error="Only percentage values between 0% and 100%" sqref="E6:E23 L6:L23 R6:R23 X6:X23" xr:uid="{8ABD63AA-575A-474D-A7D4-5BC9D181425D}">
      <formula1>OR(E6=".v",E6=".p",AND(E6&gt;=0,E6&lt;1))</formula1>
    </dataValidation>
  </dataValidations>
  <printOptions horizontalCentered="1" verticalCentered="1"/>
  <pageMargins left="0.23622047244094491" right="0.23622047244094491" top="0.74803149606299213" bottom="0.74803149606299213" header="0.31496062992125984" footer="0.31496062992125984"/>
  <pageSetup paperSize="8" scale="39" pageOrder="overThenDown" orientation="landscape" r:id="rId1"/>
  <colBreaks count="1" manualBreakCount="1">
    <brk id="16" max="2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R47"/>
  <sheetViews>
    <sheetView topLeftCell="A16" zoomScale="85" zoomScaleNormal="85" workbookViewId="0">
      <selection activeCell="F12" sqref="F12"/>
    </sheetView>
  </sheetViews>
  <sheetFormatPr defaultColWidth="0" defaultRowHeight="15" zeroHeight="1"/>
  <cols>
    <col min="1" max="1" width="1.7109375" style="50" customWidth="1"/>
    <col min="2" max="2" width="19.5703125" style="66" customWidth="1"/>
    <col min="3" max="3" width="23" style="66" customWidth="1"/>
    <col min="4" max="4" width="32.5703125" style="66" customWidth="1"/>
    <col min="5" max="9" width="23" style="66" customWidth="1"/>
    <col min="10" max="10" width="19.42578125" style="66" customWidth="1"/>
    <col min="11" max="11" width="8.5703125" style="66" customWidth="1"/>
    <col min="12" max="16384" width="8.7109375" style="66" hidden="1"/>
  </cols>
  <sheetData>
    <row r="1" spans="1:18" ht="21.75" thickBot="1">
      <c r="A1" s="600" t="s">
        <v>634</v>
      </c>
      <c r="B1" s="601"/>
      <c r="C1" s="601"/>
      <c r="D1" s="601"/>
      <c r="E1" s="601"/>
      <c r="F1" s="601"/>
      <c r="G1" s="601"/>
      <c r="H1" s="601"/>
      <c r="I1" s="601"/>
      <c r="J1" s="601"/>
      <c r="K1" s="601"/>
      <c r="L1" s="1"/>
      <c r="M1" s="1"/>
      <c r="N1" s="1"/>
      <c r="O1" s="1"/>
      <c r="P1" s="1"/>
      <c r="Q1" s="1"/>
      <c r="R1" s="2"/>
    </row>
    <row r="2" spans="1:18" s="182" customFormat="1" ht="15.75" thickBot="1">
      <c r="A2" s="221" t="s">
        <v>97</v>
      </c>
      <c r="B2" s="225"/>
      <c r="C2" s="225">
        <v>0</v>
      </c>
      <c r="D2" s="226"/>
      <c r="E2" s="226">
        <v>1</v>
      </c>
      <c r="F2" s="226">
        <v>2</v>
      </c>
      <c r="G2" s="226">
        <v>3</v>
      </c>
      <c r="H2" s="226">
        <v>4</v>
      </c>
      <c r="I2" s="227">
        <v>5</v>
      </c>
      <c r="J2" s="227">
        <v>6</v>
      </c>
      <c r="K2" s="228"/>
    </row>
    <row r="3" spans="1:18" ht="21.75" thickBot="1">
      <c r="A3" s="222"/>
      <c r="B3" s="602" t="s">
        <v>635</v>
      </c>
      <c r="C3" s="603"/>
      <c r="D3" s="603"/>
      <c r="E3" s="604"/>
      <c r="F3" s="604"/>
      <c r="G3" s="604"/>
      <c r="H3" s="604"/>
      <c r="I3" s="605"/>
      <c r="J3" s="164"/>
      <c r="K3" s="163"/>
    </row>
    <row r="4" spans="1:18" ht="70.5" customHeight="1">
      <c r="A4" s="222"/>
      <c r="B4" s="606" t="s">
        <v>240</v>
      </c>
      <c r="C4" s="607"/>
      <c r="D4" s="608"/>
      <c r="E4" s="27" t="s">
        <v>155</v>
      </c>
      <c r="F4" s="28" t="s">
        <v>213</v>
      </c>
      <c r="G4" s="29" t="s">
        <v>712</v>
      </c>
      <c r="H4" s="28" t="s">
        <v>113</v>
      </c>
      <c r="I4" s="30" t="s">
        <v>114</v>
      </c>
      <c r="J4" s="164"/>
      <c r="K4" s="163"/>
    </row>
    <row r="5" spans="1:18" ht="15.75" thickBot="1">
      <c r="A5" s="222" t="s">
        <v>96</v>
      </c>
      <c r="B5" s="609"/>
      <c r="C5" s="610"/>
      <c r="D5" s="611"/>
      <c r="E5" s="31" t="s">
        <v>115</v>
      </c>
      <c r="F5" s="32" t="s">
        <v>115</v>
      </c>
      <c r="G5" s="33" t="s">
        <v>115</v>
      </c>
      <c r="H5" s="32" t="s">
        <v>115</v>
      </c>
      <c r="I5" s="34" t="s">
        <v>115</v>
      </c>
      <c r="J5" s="167" t="s">
        <v>7</v>
      </c>
      <c r="K5" s="163"/>
    </row>
    <row r="6" spans="1:18" ht="14.65" customHeight="1">
      <c r="A6" s="222">
        <f>1</f>
        <v>1</v>
      </c>
      <c r="B6" s="612" t="s">
        <v>8</v>
      </c>
      <c r="C6" s="613"/>
      <c r="D6" s="614"/>
      <c r="E6" s="85"/>
      <c r="F6" s="86"/>
      <c r="G6" s="87"/>
      <c r="H6" s="86"/>
      <c r="I6" s="88"/>
      <c r="J6" s="24"/>
      <c r="K6" s="163"/>
    </row>
    <row r="7" spans="1:18">
      <c r="A7" s="222">
        <v>2</v>
      </c>
      <c r="B7" s="612" t="s">
        <v>672</v>
      </c>
      <c r="C7" s="613"/>
      <c r="D7" s="614"/>
      <c r="E7" s="85"/>
      <c r="F7" s="86"/>
      <c r="G7" s="87"/>
      <c r="H7" s="86"/>
      <c r="I7" s="88"/>
      <c r="J7" s="25"/>
      <c r="K7" s="163"/>
    </row>
    <row r="8" spans="1:18" ht="16.350000000000001" customHeight="1">
      <c r="A8" s="222">
        <v>3</v>
      </c>
      <c r="B8" s="612" t="s">
        <v>9</v>
      </c>
      <c r="C8" s="613"/>
      <c r="D8" s="614"/>
      <c r="E8" s="85"/>
      <c r="F8" s="86"/>
      <c r="G8" s="87"/>
      <c r="H8" s="86"/>
      <c r="I8" s="88"/>
      <c r="J8" s="25"/>
      <c r="K8" s="163"/>
    </row>
    <row r="9" spans="1:18">
      <c r="A9" s="222">
        <v>4</v>
      </c>
      <c r="B9" s="612" t="s">
        <v>791</v>
      </c>
      <c r="C9" s="613"/>
      <c r="D9" s="614"/>
      <c r="E9" s="85"/>
      <c r="F9" s="86"/>
      <c r="G9" s="87"/>
      <c r="H9" s="86"/>
      <c r="I9" s="88"/>
      <c r="J9" s="25"/>
      <c r="K9" s="163"/>
    </row>
    <row r="10" spans="1:18" ht="14.65" customHeight="1">
      <c r="A10" s="222">
        <v>5</v>
      </c>
      <c r="B10" s="612" t="s">
        <v>689</v>
      </c>
      <c r="C10" s="613"/>
      <c r="D10" s="614"/>
      <c r="E10" s="85"/>
      <c r="F10" s="86"/>
      <c r="G10" s="87"/>
      <c r="H10" s="86"/>
      <c r="I10" s="88"/>
      <c r="J10" s="25"/>
      <c r="K10" s="163"/>
    </row>
    <row r="11" spans="1:18">
      <c r="A11" s="222">
        <v>6</v>
      </c>
      <c r="B11" s="615" t="s">
        <v>669</v>
      </c>
      <c r="C11" s="616"/>
      <c r="D11" s="617"/>
      <c r="E11" s="85"/>
      <c r="F11" s="86"/>
      <c r="G11" s="87"/>
      <c r="H11" s="86"/>
      <c r="I11" s="88"/>
      <c r="J11" s="25"/>
      <c r="K11" s="163"/>
    </row>
    <row r="12" spans="1:18" ht="16.350000000000001" customHeight="1">
      <c r="A12" s="222">
        <v>7</v>
      </c>
      <c r="B12" s="615" t="s">
        <v>10</v>
      </c>
      <c r="C12" s="616"/>
      <c r="D12" s="617"/>
      <c r="E12" s="85"/>
      <c r="F12" s="86"/>
      <c r="G12" s="87"/>
      <c r="H12" s="86"/>
      <c r="I12" s="88"/>
      <c r="J12" s="25"/>
      <c r="K12" s="163"/>
    </row>
    <row r="13" spans="1:18">
      <c r="A13" s="222">
        <v>8</v>
      </c>
      <c r="B13" s="615" t="s">
        <v>671</v>
      </c>
      <c r="C13" s="616"/>
      <c r="D13" s="617"/>
      <c r="E13" s="85"/>
      <c r="F13" s="86"/>
      <c r="G13" s="87"/>
      <c r="H13" s="86"/>
      <c r="I13" s="88"/>
      <c r="J13" s="25"/>
      <c r="K13" s="163"/>
    </row>
    <row r="14" spans="1:18">
      <c r="A14" s="222">
        <v>9</v>
      </c>
      <c r="B14" s="615" t="s">
        <v>11</v>
      </c>
      <c r="C14" s="616"/>
      <c r="D14" s="617"/>
      <c r="E14" s="85"/>
      <c r="F14" s="86"/>
      <c r="G14" s="87"/>
      <c r="H14" s="86"/>
      <c r="I14" s="88"/>
      <c r="J14" s="25"/>
      <c r="K14" s="163"/>
    </row>
    <row r="15" spans="1:18" ht="15.75" thickBot="1">
      <c r="A15" s="222">
        <v>10</v>
      </c>
      <c r="B15" s="597" t="s">
        <v>670</v>
      </c>
      <c r="C15" s="598"/>
      <c r="D15" s="599"/>
      <c r="E15" s="85"/>
      <c r="F15" s="86"/>
      <c r="G15" s="87"/>
      <c r="H15" s="86"/>
      <c r="I15" s="88"/>
      <c r="J15" s="26"/>
      <c r="K15" s="163"/>
    </row>
    <row r="16" spans="1:18">
      <c r="A16" s="222">
        <v>12</v>
      </c>
      <c r="B16" s="84"/>
      <c r="C16" s="84"/>
      <c r="D16" s="37" t="s">
        <v>7</v>
      </c>
      <c r="E16" s="89"/>
      <c r="F16" s="89"/>
      <c r="G16" s="89"/>
      <c r="H16" s="89"/>
      <c r="I16" s="89"/>
      <c r="J16" s="84"/>
      <c r="K16" s="163"/>
    </row>
    <row r="17" spans="1:11" ht="15.75" thickBot="1">
      <c r="A17" s="223"/>
      <c r="B17" s="84"/>
      <c r="C17" s="84"/>
      <c r="D17" s="84"/>
      <c r="E17" s="84"/>
      <c r="F17" s="84"/>
      <c r="G17" s="84"/>
      <c r="H17" s="84"/>
      <c r="I17" s="84"/>
      <c r="J17" s="84"/>
      <c r="K17" s="163"/>
    </row>
    <row r="18" spans="1:11" ht="21.75" thickBot="1">
      <c r="A18" s="223"/>
      <c r="B18" s="618" t="s">
        <v>1095</v>
      </c>
      <c r="C18" s="619"/>
      <c r="D18" s="619"/>
      <c r="E18" s="619"/>
      <c r="F18" s="619"/>
      <c r="G18" s="619"/>
      <c r="H18" s="619"/>
      <c r="I18" s="620"/>
      <c r="J18" s="84"/>
      <c r="K18" s="163"/>
    </row>
    <row r="19" spans="1:11" ht="68.25" customHeight="1">
      <c r="A19" s="223"/>
      <c r="B19" s="621" t="s">
        <v>29</v>
      </c>
      <c r="C19" s="622"/>
      <c r="D19" s="132" t="s">
        <v>30</v>
      </c>
      <c r="E19" s="27" t="s">
        <v>155</v>
      </c>
      <c r="F19" s="28" t="s">
        <v>213</v>
      </c>
      <c r="G19" s="29" t="s">
        <v>712</v>
      </c>
      <c r="H19" s="28" t="s">
        <v>113</v>
      </c>
      <c r="I19" s="30" t="s">
        <v>114</v>
      </c>
      <c r="J19" s="164"/>
      <c r="K19" s="163"/>
    </row>
    <row r="20" spans="1:11" ht="15.75" thickBot="1">
      <c r="A20" s="223"/>
      <c r="B20" s="133"/>
      <c r="C20" s="134"/>
      <c r="D20" s="135"/>
      <c r="E20" s="35" t="s">
        <v>115</v>
      </c>
      <c r="F20" s="32" t="s">
        <v>115</v>
      </c>
      <c r="G20" s="32" t="s">
        <v>115</v>
      </c>
      <c r="H20" s="36" t="s">
        <v>115</v>
      </c>
      <c r="I20" s="34" t="s">
        <v>115</v>
      </c>
      <c r="J20" s="167" t="s">
        <v>7</v>
      </c>
      <c r="K20" s="163"/>
    </row>
    <row r="21" spans="1:11" ht="15" customHeight="1">
      <c r="A21" s="222">
        <f>A16+1</f>
        <v>13</v>
      </c>
      <c r="B21" s="623" t="s">
        <v>17</v>
      </c>
      <c r="C21" s="623" t="str">
        <f>'1_Key data'!C8</f>
        <v>[please select country]</v>
      </c>
      <c r="D21" s="136" t="s">
        <v>31</v>
      </c>
      <c r="E21" s="85"/>
      <c r="F21" s="86"/>
      <c r="G21" s="87"/>
      <c r="H21" s="86"/>
      <c r="I21" s="88"/>
      <c r="J21" s="24"/>
      <c r="K21" s="163"/>
    </row>
    <row r="22" spans="1:11">
      <c r="A22" s="222">
        <f t="shared" ref="A22:A29" si="0">A21+1</f>
        <v>14</v>
      </c>
      <c r="B22" s="624"/>
      <c r="C22" s="624"/>
      <c r="D22" s="136" t="s">
        <v>32</v>
      </c>
      <c r="E22" s="85"/>
      <c r="F22" s="86"/>
      <c r="G22" s="87"/>
      <c r="H22" s="86"/>
      <c r="I22" s="88"/>
      <c r="J22" s="25"/>
      <c r="K22" s="163"/>
    </row>
    <row r="23" spans="1:11" ht="15" customHeight="1">
      <c r="A23" s="222">
        <f t="shared" si="0"/>
        <v>15</v>
      </c>
      <c r="B23" s="625" t="s">
        <v>17</v>
      </c>
      <c r="C23" s="623" t="str">
        <f>'1_Key data'!C9</f>
        <v>[please select country]</v>
      </c>
      <c r="D23" s="136" t="s">
        <v>31</v>
      </c>
      <c r="E23" s="85"/>
      <c r="F23" s="86"/>
      <c r="G23" s="87"/>
      <c r="H23" s="86"/>
      <c r="I23" s="88"/>
      <c r="J23" s="25"/>
      <c r="K23" s="163"/>
    </row>
    <row r="24" spans="1:11">
      <c r="A24" s="222">
        <f t="shared" si="0"/>
        <v>16</v>
      </c>
      <c r="B24" s="626"/>
      <c r="C24" s="624"/>
      <c r="D24" s="136" t="s">
        <v>32</v>
      </c>
      <c r="E24" s="85"/>
      <c r="F24" s="86"/>
      <c r="G24" s="87"/>
      <c r="H24" s="86"/>
      <c r="I24" s="88"/>
      <c r="J24" s="25"/>
      <c r="K24" s="163"/>
    </row>
    <row r="25" spans="1:11" ht="15" customHeight="1">
      <c r="A25" s="222">
        <f t="shared" si="0"/>
        <v>17</v>
      </c>
      <c r="B25" s="625" t="s">
        <v>17</v>
      </c>
      <c r="C25" s="625" t="str">
        <f>'1_Key data'!C10</f>
        <v>[please select country]</v>
      </c>
      <c r="D25" s="136" t="s">
        <v>31</v>
      </c>
      <c r="E25" s="85"/>
      <c r="F25" s="86"/>
      <c r="G25" s="87"/>
      <c r="H25" s="86"/>
      <c r="I25" s="88"/>
      <c r="J25" s="25"/>
      <c r="K25" s="163"/>
    </row>
    <row r="26" spans="1:11">
      <c r="A26" s="222">
        <f t="shared" si="0"/>
        <v>18</v>
      </c>
      <c r="B26" s="626"/>
      <c r="C26" s="626"/>
      <c r="D26" s="136" t="s">
        <v>32</v>
      </c>
      <c r="E26" s="85"/>
      <c r="F26" s="86"/>
      <c r="G26" s="87"/>
      <c r="H26" s="86"/>
      <c r="I26" s="88"/>
      <c r="J26" s="25"/>
      <c r="K26" s="163"/>
    </row>
    <row r="27" spans="1:11" ht="14.65" customHeight="1">
      <c r="A27" s="222">
        <f t="shared" si="0"/>
        <v>19</v>
      </c>
      <c r="B27" s="625" t="s">
        <v>104</v>
      </c>
      <c r="C27" s="629"/>
      <c r="D27" s="136" t="s">
        <v>31</v>
      </c>
      <c r="E27" s="85"/>
      <c r="F27" s="86"/>
      <c r="G27" s="87"/>
      <c r="H27" s="86"/>
      <c r="I27" s="88"/>
      <c r="J27" s="25"/>
      <c r="K27" s="163"/>
    </row>
    <row r="28" spans="1:11" ht="15.75" thickBot="1">
      <c r="A28" s="222">
        <f t="shared" si="0"/>
        <v>20</v>
      </c>
      <c r="B28" s="628"/>
      <c r="C28" s="630"/>
      <c r="D28" s="137" t="s">
        <v>32</v>
      </c>
      <c r="E28" s="85"/>
      <c r="F28" s="86"/>
      <c r="G28" s="87"/>
      <c r="H28" s="86"/>
      <c r="I28" s="88"/>
      <c r="J28" s="26"/>
      <c r="K28" s="163"/>
    </row>
    <row r="29" spans="1:11">
      <c r="A29" s="222">
        <f t="shared" si="0"/>
        <v>21</v>
      </c>
      <c r="B29" s="164"/>
      <c r="C29" s="164"/>
      <c r="D29" s="37" t="s">
        <v>7</v>
      </c>
      <c r="E29" s="89"/>
      <c r="F29" s="89"/>
      <c r="G29" s="89"/>
      <c r="H29" s="89"/>
      <c r="I29" s="89"/>
      <c r="J29" s="168"/>
      <c r="K29" s="163"/>
    </row>
    <row r="30" spans="1:11" s="50" customFormat="1">
      <c r="A30" s="223"/>
      <c r="B30" s="164"/>
      <c r="C30" s="164"/>
      <c r="D30" s="164"/>
      <c r="E30" s="164"/>
      <c r="F30" s="164"/>
      <c r="G30" s="164"/>
      <c r="H30" s="164"/>
      <c r="I30" s="164"/>
      <c r="J30" s="84"/>
      <c r="K30" s="163"/>
    </row>
    <row r="31" spans="1:11" s="50" customFormat="1">
      <c r="A31" s="223"/>
      <c r="B31" s="164"/>
      <c r="C31" s="164"/>
      <c r="D31" s="164"/>
      <c r="E31" s="164"/>
      <c r="F31" s="164"/>
      <c r="G31" s="164"/>
      <c r="H31" s="164"/>
      <c r="I31" s="164"/>
      <c r="J31" s="84"/>
      <c r="K31" s="163"/>
    </row>
    <row r="32" spans="1:11" s="50" customFormat="1">
      <c r="A32" s="223"/>
      <c r="B32" s="164"/>
      <c r="C32" s="164"/>
      <c r="D32" s="164"/>
      <c r="E32" s="164"/>
      <c r="F32" s="164"/>
      <c r="G32" s="164"/>
      <c r="H32" s="164"/>
      <c r="I32" s="164"/>
      <c r="J32" s="84"/>
      <c r="K32" s="163"/>
    </row>
    <row r="33" spans="1:17">
      <c r="A33" s="223"/>
      <c r="B33" s="90" t="s">
        <v>691</v>
      </c>
      <c r="C33" s="91"/>
      <c r="D33" s="91"/>
      <c r="E33" s="91"/>
      <c r="F33" s="91"/>
      <c r="G33" s="92"/>
      <c r="H33" s="164"/>
      <c r="I33" s="164"/>
      <c r="J33" s="84"/>
      <c r="K33" s="163"/>
    </row>
    <row r="34" spans="1:17" ht="40.15" customHeight="1">
      <c r="A34" s="223"/>
      <c r="B34" s="93" t="s">
        <v>690</v>
      </c>
      <c r="C34" s="631" t="s">
        <v>792</v>
      </c>
      <c r="D34" s="631"/>
      <c r="E34" s="631"/>
      <c r="F34" s="631"/>
      <c r="G34" s="632"/>
      <c r="H34" s="164"/>
      <c r="I34" s="164"/>
      <c r="J34" s="164"/>
      <c r="K34" s="163"/>
    </row>
    <row r="35" spans="1:17" ht="30" customHeight="1">
      <c r="A35" s="223"/>
      <c r="B35" s="91"/>
      <c r="C35" s="91"/>
      <c r="D35" s="91"/>
      <c r="E35" s="91"/>
      <c r="F35" s="91"/>
      <c r="G35" s="91"/>
      <c r="H35" s="164"/>
      <c r="I35" s="164"/>
      <c r="J35" s="164"/>
      <c r="K35" s="163"/>
    </row>
    <row r="36" spans="1:17" hidden="1">
      <c r="A36" s="223"/>
      <c r="B36" s="149"/>
      <c r="C36" s="164"/>
      <c r="D36" s="164"/>
      <c r="E36" s="164"/>
      <c r="F36" s="164"/>
      <c r="G36" s="164"/>
      <c r="H36" s="164"/>
      <c r="I36" s="164"/>
      <c r="J36" s="164"/>
      <c r="K36" s="163"/>
    </row>
    <row r="37" spans="1:17" ht="57" hidden="1" customHeight="1">
      <c r="A37" s="223"/>
      <c r="B37" s="149"/>
      <c r="C37" s="255"/>
      <c r="D37" s="255"/>
      <c r="E37" s="255"/>
      <c r="F37" s="255"/>
      <c r="G37" s="255"/>
      <c r="H37" s="164"/>
      <c r="I37" s="164"/>
      <c r="J37" s="164"/>
      <c r="K37" s="163"/>
    </row>
    <row r="38" spans="1:17" s="50" customFormat="1" ht="15.75" hidden="1" thickBot="1">
      <c r="A38" s="224"/>
      <c r="B38" s="165"/>
      <c r="C38" s="165"/>
      <c r="D38" s="165"/>
      <c r="E38" s="165"/>
      <c r="F38" s="165"/>
      <c r="G38" s="165"/>
      <c r="H38" s="165"/>
      <c r="I38" s="165"/>
      <c r="J38" s="165"/>
      <c r="K38" s="166"/>
    </row>
    <row r="40" spans="1:17" hidden="1">
      <c r="M40" s="627" t="s">
        <v>146</v>
      </c>
      <c r="N40" s="627"/>
      <c r="O40" s="627"/>
      <c r="P40" s="627"/>
      <c r="Q40" s="627"/>
    </row>
    <row r="41" spans="1:17" ht="90" hidden="1">
      <c r="M41" s="169" t="s">
        <v>147</v>
      </c>
      <c r="N41" s="169" t="s">
        <v>148</v>
      </c>
      <c r="O41" s="169" t="s">
        <v>246</v>
      </c>
      <c r="P41" s="169" t="s">
        <v>117</v>
      </c>
      <c r="Q41" s="169" t="s">
        <v>118</v>
      </c>
    </row>
    <row r="42" spans="1:17" ht="165" hidden="1">
      <c r="M42" s="170" t="s">
        <v>119</v>
      </c>
      <c r="N42" s="170" t="s">
        <v>245</v>
      </c>
      <c r="O42" s="170" t="s">
        <v>244</v>
      </c>
      <c r="P42" s="170" t="s">
        <v>122</v>
      </c>
      <c r="Q42" s="170" t="s">
        <v>123</v>
      </c>
    </row>
    <row r="43" spans="1:17" ht="105" hidden="1">
      <c r="M43" s="171" t="s">
        <v>15</v>
      </c>
      <c r="N43" s="171" t="s">
        <v>124</v>
      </c>
      <c r="O43" s="171" t="s">
        <v>125</v>
      </c>
      <c r="P43" s="171" t="s">
        <v>126</v>
      </c>
      <c r="Q43" s="171" t="s">
        <v>127</v>
      </c>
    </row>
    <row r="44" spans="1:17" ht="105" hidden="1">
      <c r="M44" s="171" t="s">
        <v>14</v>
      </c>
      <c r="N44" s="171" t="s">
        <v>128</v>
      </c>
      <c r="O44" s="171" t="s">
        <v>129</v>
      </c>
      <c r="P44" s="171" t="s">
        <v>130</v>
      </c>
      <c r="Q44" s="171" t="s">
        <v>131</v>
      </c>
    </row>
    <row r="45" spans="1:17" ht="135" hidden="1">
      <c r="M45" s="171" t="s">
        <v>132</v>
      </c>
      <c r="N45" s="171" t="s">
        <v>133</v>
      </c>
      <c r="O45" s="171" t="s">
        <v>134</v>
      </c>
      <c r="P45" s="171" t="s">
        <v>135</v>
      </c>
      <c r="Q45" s="171" t="s">
        <v>136</v>
      </c>
    </row>
    <row r="46" spans="1:17" ht="105" hidden="1">
      <c r="M46" s="171" t="s">
        <v>13</v>
      </c>
      <c r="N46" s="171" t="s">
        <v>137</v>
      </c>
      <c r="O46" s="171" t="s">
        <v>138</v>
      </c>
      <c r="P46" s="171" t="s">
        <v>139</v>
      </c>
      <c r="Q46" s="171" t="s">
        <v>140</v>
      </c>
    </row>
    <row r="47" spans="1:17" ht="105" hidden="1">
      <c r="M47" s="171" t="s">
        <v>141</v>
      </c>
      <c r="N47" s="171" t="s">
        <v>142</v>
      </c>
      <c r="O47" s="171" t="s">
        <v>143</v>
      </c>
      <c r="P47" s="171" t="s">
        <v>144</v>
      </c>
      <c r="Q47" s="171" t="s">
        <v>145</v>
      </c>
    </row>
  </sheetData>
  <mergeCells count="25">
    <mergeCell ref="M40:Q40"/>
    <mergeCell ref="B25:B26"/>
    <mergeCell ref="C25:C26"/>
    <mergeCell ref="B27:B28"/>
    <mergeCell ref="C27:C28"/>
    <mergeCell ref="C34:G34"/>
    <mergeCell ref="B18:I18"/>
    <mergeCell ref="B19:C19"/>
    <mergeCell ref="B21:B22"/>
    <mergeCell ref="C21:C22"/>
    <mergeCell ref="B23:B24"/>
    <mergeCell ref="C23:C24"/>
    <mergeCell ref="B15:D15"/>
    <mergeCell ref="A1:K1"/>
    <mergeCell ref="B3:I3"/>
    <mergeCell ref="B4:D5"/>
    <mergeCell ref="B6:D6"/>
    <mergeCell ref="B7:D7"/>
    <mergeCell ref="B8:D8"/>
    <mergeCell ref="B9:D9"/>
    <mergeCell ref="B10:D10"/>
    <mergeCell ref="B11:D11"/>
    <mergeCell ref="B12:D12"/>
    <mergeCell ref="B13:D13"/>
    <mergeCell ref="B14:D14"/>
  </mergeCells>
  <dataValidations count="5">
    <dataValidation type="list" allowBlank="1" showInputMessage="1" showErrorMessage="1" sqref="E6:E15 E21:E28" xr:uid="{D9532115-B5BA-4661-8F8F-E11E467816C2}">
      <formula1>$M$43:$M$47</formula1>
    </dataValidation>
    <dataValidation type="list" allowBlank="1" showInputMessage="1" showErrorMessage="1" sqref="F6:F15 F21:F28" xr:uid="{D4475027-AAAA-41B2-852F-6036C7536FB8}">
      <formula1>$N$43:$N$47</formula1>
    </dataValidation>
    <dataValidation type="list" allowBlank="1" showInputMessage="1" showErrorMessage="1" sqref="G6:G15 G21:G28" xr:uid="{B5BE4808-C776-4148-A159-3438B3966116}">
      <formula1>$O$43:$O$47</formula1>
    </dataValidation>
    <dataValidation type="list" allowBlank="1" showInputMessage="1" showErrorMessage="1" sqref="H6:H15 H21:H28" xr:uid="{C467FEF6-7D57-44FB-84B1-4A382331CB30}">
      <formula1>$P$43:$P$47</formula1>
    </dataValidation>
    <dataValidation type="list" allowBlank="1" showInputMessage="1" showErrorMessage="1" sqref="I6:I15 I21:I28" xr:uid="{AE60EAD5-4715-4ED9-A841-473342B0F101}">
      <formula1>$Q$43:$Q$47</formula1>
    </dataValidation>
  </dataValidations>
  <pageMargins left="0.70866141732283472" right="0.70866141732283472" top="0.74803149606299213" bottom="0.74803149606299213" header="0.31496062992125984" footer="0.31496062992125984"/>
  <pageSetup paperSize="8" scale="88"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5000000}">
          <x14:formula1>
            <xm:f>'Reference for drop-down menus'!$C$5:$C$253</xm:f>
          </x14:formula1>
          <xm:sqref>C27:C28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ER42"/>
  <sheetViews>
    <sheetView showGridLines="0" zoomScaleNormal="100" workbookViewId="0">
      <selection activeCell="A20" sqref="A20"/>
    </sheetView>
  </sheetViews>
  <sheetFormatPr defaultColWidth="0" defaultRowHeight="15" zeroHeight="1"/>
  <cols>
    <col min="1" max="1" width="69.5703125" style="186" customWidth="1"/>
    <col min="2" max="3" width="23.7109375" style="186" customWidth="1"/>
    <col min="4" max="4" width="1.5703125" style="186" customWidth="1"/>
    <col min="5" max="6" width="0" style="186" hidden="1" customWidth="1"/>
    <col min="7" max="16371" width="8.7109375" style="186" hidden="1"/>
    <col min="16372" max="16372" width="0" style="186" hidden="1"/>
    <col min="16373" max="16384" width="8.7109375" style="186" hidden="1"/>
  </cols>
  <sheetData>
    <row r="1" spans="1:4" ht="21.75" thickBot="1">
      <c r="A1" s="600" t="s">
        <v>688</v>
      </c>
      <c r="B1" s="601"/>
      <c r="C1" s="150"/>
      <c r="D1" s="151"/>
    </row>
    <row r="2" spans="1:4" ht="16.5" thickBot="1">
      <c r="A2" s="142"/>
      <c r="B2" s="142"/>
      <c r="C2" s="142"/>
      <c r="D2" s="142"/>
    </row>
    <row r="3" spans="1:4" ht="15" customHeight="1" thickBot="1">
      <c r="A3" s="636" t="s">
        <v>722</v>
      </c>
      <c r="B3" s="637"/>
      <c r="C3" s="638"/>
      <c r="D3" s="182"/>
    </row>
    <row r="4" spans="1:4" ht="15" customHeight="1">
      <c r="A4" s="214"/>
      <c r="B4" s="215" t="s">
        <v>249</v>
      </c>
      <c r="C4" s="213" t="s">
        <v>3</v>
      </c>
      <c r="D4" s="182"/>
    </row>
    <row r="5" spans="1:4" ht="15" customHeight="1">
      <c r="A5" s="317" t="s">
        <v>1101</v>
      </c>
      <c r="B5" s="145"/>
      <c r="C5" s="69"/>
      <c r="D5" s="182"/>
    </row>
    <row r="6" spans="1:4" ht="15" customHeight="1" thickBot="1">
      <c r="A6" s="317" t="s">
        <v>1102</v>
      </c>
      <c r="B6" s="143"/>
      <c r="C6" s="212"/>
      <c r="D6" s="182"/>
    </row>
    <row r="7" spans="1:4" ht="15" customHeight="1" thickBot="1">
      <c r="A7" s="127"/>
      <c r="B7" s="182"/>
      <c r="C7" s="182"/>
      <c r="D7" s="182"/>
    </row>
    <row r="8" spans="1:4" ht="15" customHeight="1" thickBot="1">
      <c r="A8" s="639" t="s">
        <v>723</v>
      </c>
      <c r="B8" s="640"/>
      <c r="C8" s="641"/>
      <c r="D8" s="182"/>
    </row>
    <row r="9" spans="1:4" ht="15" customHeight="1">
      <c r="A9" s="214"/>
      <c r="B9" s="215" t="s">
        <v>249</v>
      </c>
      <c r="C9" s="213" t="s">
        <v>3</v>
      </c>
      <c r="D9" s="182"/>
    </row>
    <row r="10" spans="1:4" ht="15" customHeight="1">
      <c r="A10" s="317" t="s">
        <v>650</v>
      </c>
      <c r="B10" s="145"/>
      <c r="C10" s="69"/>
      <c r="D10" s="182"/>
    </row>
    <row r="11" spans="1:4" ht="15" customHeight="1">
      <c r="A11" s="317" t="s">
        <v>1103</v>
      </c>
      <c r="B11" s="145"/>
      <c r="C11" s="69"/>
      <c r="D11" s="182"/>
    </row>
    <row r="12" spans="1:4" ht="15" customHeight="1">
      <c r="A12" s="328" t="s">
        <v>658</v>
      </c>
      <c r="B12" s="145"/>
      <c r="C12" s="69"/>
      <c r="D12" s="182"/>
    </row>
    <row r="13" spans="1:4" ht="15" customHeight="1">
      <c r="A13" s="328" t="s">
        <v>659</v>
      </c>
      <c r="B13" s="145"/>
      <c r="C13" s="69"/>
      <c r="D13" s="182"/>
    </row>
    <row r="14" spans="1:4" ht="15" customHeight="1">
      <c r="A14" s="328" t="s">
        <v>660</v>
      </c>
      <c r="B14" s="145"/>
      <c r="C14" s="69"/>
      <c r="D14" s="182"/>
    </row>
    <row r="15" spans="1:4" ht="15" customHeight="1" thickBot="1">
      <c r="A15" s="328" t="s">
        <v>661</v>
      </c>
      <c r="B15" s="143"/>
      <c r="C15" s="212"/>
      <c r="D15" s="182"/>
    </row>
    <row r="16" spans="1:4" ht="15" customHeight="1" thickBot="1">
      <c r="A16" s="182"/>
      <c r="B16" s="182"/>
      <c r="C16" s="64"/>
      <c r="D16" s="64"/>
    </row>
    <row r="17" spans="1:4" ht="15" customHeight="1" thickBot="1">
      <c r="A17" s="639" t="s">
        <v>724</v>
      </c>
      <c r="B17" s="640"/>
      <c r="C17" s="641"/>
      <c r="D17" s="65"/>
    </row>
    <row r="18" spans="1:4" ht="15" customHeight="1">
      <c r="A18" s="214"/>
      <c r="B18" s="215" t="s">
        <v>249</v>
      </c>
      <c r="C18" s="213" t="s">
        <v>3</v>
      </c>
      <c r="D18" s="144"/>
    </row>
    <row r="19" spans="1:4" ht="15" customHeight="1">
      <c r="A19" s="317" t="s">
        <v>1105</v>
      </c>
      <c r="B19" s="145"/>
      <c r="C19" s="69"/>
      <c r="D19" s="182"/>
    </row>
    <row r="20" spans="1:4" ht="15" customHeight="1" thickBot="1">
      <c r="A20" s="317" t="s">
        <v>1106</v>
      </c>
      <c r="B20" s="143"/>
      <c r="C20" s="212"/>
      <c r="D20" s="182"/>
    </row>
    <row r="21" spans="1:4" ht="15" customHeight="1" thickBot="1">
      <c r="A21" s="182"/>
      <c r="B21" s="182"/>
      <c r="C21" s="182"/>
      <c r="D21" s="182"/>
    </row>
    <row r="22" spans="1:4" ht="15" customHeight="1" thickBot="1">
      <c r="A22" s="633" t="s">
        <v>779</v>
      </c>
      <c r="B22" s="634"/>
      <c r="C22" s="635"/>
      <c r="D22" s="182"/>
    </row>
    <row r="23" spans="1:4" ht="15" customHeight="1">
      <c r="A23" s="260"/>
      <c r="B23" s="215" t="s">
        <v>249</v>
      </c>
      <c r="C23" s="213" t="s">
        <v>3</v>
      </c>
      <c r="D23" s="182"/>
    </row>
    <row r="24" spans="1:4" ht="15" customHeight="1">
      <c r="A24" s="317" t="s">
        <v>1104</v>
      </c>
      <c r="B24" s="210"/>
      <c r="C24" s="69"/>
      <c r="D24" s="182"/>
    </row>
    <row r="25" spans="1:4" ht="15" customHeight="1">
      <c r="A25" s="328" t="s">
        <v>662</v>
      </c>
      <c r="B25" s="210"/>
      <c r="C25" s="69"/>
      <c r="D25" s="182"/>
    </row>
    <row r="26" spans="1:4" ht="15" customHeight="1">
      <c r="A26" s="328" t="s">
        <v>663</v>
      </c>
      <c r="B26" s="210"/>
      <c r="C26" s="69"/>
      <c r="D26" s="182"/>
    </row>
    <row r="27" spans="1:4" ht="15" customHeight="1" thickBot="1">
      <c r="A27" s="328" t="s">
        <v>664</v>
      </c>
      <c r="B27" s="211"/>
      <c r="C27" s="212"/>
      <c r="D27" s="182"/>
    </row>
    <row r="28" spans="1:4" ht="13.5" customHeight="1">
      <c r="A28" s="219"/>
      <c r="B28" s="219"/>
      <c r="C28" s="182"/>
      <c r="D28" s="182"/>
    </row>
    <row r="29" spans="1:4" ht="19.5" hidden="1" customHeight="1"/>
    <row r="31" spans="1:4" ht="13.5" hidden="1" customHeight="1"/>
    <row r="33" s="186" customFormat="1" hidden="1"/>
    <row r="34" s="186" customFormat="1" hidden="1"/>
    <row r="35" s="186" customFormat="1" hidden="1"/>
    <row r="36" s="186" customFormat="1" ht="8.25" hidden="1" customHeight="1"/>
    <row r="37" s="186" customFormat="1" hidden="1"/>
    <row r="38" s="186" customFormat="1" hidden="1"/>
    <row r="39" s="186" customFormat="1" hidden="1"/>
    <row r="40" s="186" customFormat="1" hidden="1"/>
    <row r="41" s="186" customFormat="1" hidden="1"/>
    <row r="42" s="186" customFormat="1" hidden="1"/>
  </sheetData>
  <mergeCells count="5">
    <mergeCell ref="A22:C22"/>
    <mergeCell ref="A1:B1"/>
    <mergeCell ref="A3:C3"/>
    <mergeCell ref="A17:C17"/>
    <mergeCell ref="A8:C8"/>
  </mergeCells>
  <dataValidations count="1">
    <dataValidation type="decimal" operator="greaterThanOrEqual" allowBlank="1" showInputMessage="1" showErrorMessage="1" errorTitle="Incorrect data entered" error="A positive number must be entered" sqref="B10:B15 B19:B20 B5:B6 B24:B27" xr:uid="{EAFBEBDB-BB1D-43B3-86EA-B1417DE67316}">
      <formula1>0</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AL253"/>
  <sheetViews>
    <sheetView topLeftCell="C219" zoomScale="85" zoomScaleNormal="85" zoomScaleSheetLayoutView="70" workbookViewId="0">
      <selection activeCell="C4" sqref="C4"/>
    </sheetView>
  </sheetViews>
  <sheetFormatPr defaultColWidth="0" defaultRowHeight="15"/>
  <cols>
    <col min="1" max="1" width="9.42578125" customWidth="1"/>
    <col min="2" max="2" width="9.42578125" style="303" customWidth="1"/>
    <col min="3" max="6" width="16.5703125" customWidth="1"/>
    <col min="7" max="7" width="16.5703125" style="299" customWidth="1"/>
    <col min="8" max="8" width="16.5703125" style="110" customWidth="1"/>
    <col min="9" max="23" width="16.5703125" customWidth="1"/>
    <col min="24" max="24" width="18.42578125" customWidth="1"/>
    <col min="25" max="25" width="16.5703125" customWidth="1"/>
    <col min="26" max="27" width="17.5703125" customWidth="1"/>
    <col min="28" max="30" width="17.5703125" hidden="1" customWidth="1"/>
    <col min="31" max="31" width="33.5703125" hidden="1" customWidth="1"/>
    <col min="32" max="37" width="17.5703125" hidden="1" customWidth="1"/>
    <col min="38" max="38" width="18.5703125" hidden="1" customWidth="1"/>
  </cols>
  <sheetData>
    <row r="1" spans="1:38" ht="33.75">
      <c r="A1" s="23" t="s">
        <v>239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F1" s="23"/>
      <c r="AG1" s="23"/>
      <c r="AH1" s="23"/>
      <c r="AI1" s="23"/>
      <c r="AJ1" s="23"/>
      <c r="AK1" s="23"/>
      <c r="AL1" s="23"/>
    </row>
    <row r="2" spans="1:38">
      <c r="A2" t="s">
        <v>98</v>
      </c>
      <c r="B2" t="s">
        <v>625</v>
      </c>
      <c r="C2" s="303" t="s">
        <v>625</v>
      </c>
      <c r="D2" s="110" t="s">
        <v>625</v>
      </c>
      <c r="E2" s="110" t="s">
        <v>625</v>
      </c>
      <c r="F2" s="110" t="s">
        <v>625</v>
      </c>
      <c r="G2" s="299" t="s">
        <v>625</v>
      </c>
      <c r="H2" s="110" t="s">
        <v>625</v>
      </c>
      <c r="I2" s="110" t="s">
        <v>625</v>
      </c>
      <c r="J2" s="110" t="s">
        <v>625</v>
      </c>
      <c r="K2" s="110" t="s">
        <v>625</v>
      </c>
      <c r="L2" s="110" t="s">
        <v>625</v>
      </c>
      <c r="M2" s="110" t="s">
        <v>625</v>
      </c>
      <c r="N2" t="s">
        <v>623</v>
      </c>
      <c r="O2" s="110" t="s">
        <v>623</v>
      </c>
      <c r="P2" t="s">
        <v>622</v>
      </c>
      <c r="Q2" s="110" t="s">
        <v>622</v>
      </c>
      <c r="R2" s="110" t="s">
        <v>622</v>
      </c>
      <c r="S2" s="110" t="s">
        <v>622</v>
      </c>
      <c r="T2" s="110" t="s">
        <v>622</v>
      </c>
      <c r="U2" s="110" t="s">
        <v>622</v>
      </c>
      <c r="V2" t="s">
        <v>624</v>
      </c>
      <c r="W2" s="110" t="s">
        <v>624</v>
      </c>
      <c r="X2" s="110" t="s">
        <v>624</v>
      </c>
      <c r="Y2" s="110" t="s">
        <v>624</v>
      </c>
      <c r="Z2" s="110" t="s">
        <v>624</v>
      </c>
    </row>
    <row r="3" spans="1:38" s="8" customFormat="1" ht="34.5" thickBot="1">
      <c r="A3" s="8" t="s">
        <v>214</v>
      </c>
      <c r="B3" s="9" t="s">
        <v>1077</v>
      </c>
      <c r="C3" s="9" t="s">
        <v>1078</v>
      </c>
      <c r="D3" s="9" t="s">
        <v>215</v>
      </c>
      <c r="E3" s="9" t="s">
        <v>216</v>
      </c>
      <c r="F3" s="9" t="s">
        <v>217</v>
      </c>
      <c r="G3" s="9" t="s">
        <v>820</v>
      </c>
      <c r="H3" s="9" t="s">
        <v>654</v>
      </c>
      <c r="I3" s="9" t="s">
        <v>267</v>
      </c>
      <c r="J3" s="38" t="s">
        <v>358</v>
      </c>
      <c r="K3" s="9" t="s">
        <v>311</v>
      </c>
      <c r="L3" s="9" t="s">
        <v>312</v>
      </c>
      <c r="M3" s="9" t="s">
        <v>313</v>
      </c>
      <c r="N3" s="9" t="s">
        <v>641</v>
      </c>
      <c r="O3" s="9" t="s">
        <v>111</v>
      </c>
      <c r="P3" s="9" t="s">
        <v>218</v>
      </c>
      <c r="Q3" s="9" t="s">
        <v>21</v>
      </c>
      <c r="R3" s="9" t="s">
        <v>12</v>
      </c>
      <c r="S3" s="9" t="s">
        <v>5</v>
      </c>
      <c r="T3" s="9" t="s">
        <v>6</v>
      </c>
      <c r="U3" s="9" t="s">
        <v>247</v>
      </c>
      <c r="V3" s="9" t="s">
        <v>16</v>
      </c>
      <c r="W3" s="9" t="s">
        <v>219</v>
      </c>
      <c r="X3" s="9" t="s">
        <v>116</v>
      </c>
      <c r="Y3" s="9" t="s">
        <v>117</v>
      </c>
      <c r="Z3" s="9" t="s">
        <v>118</v>
      </c>
    </row>
    <row r="4" spans="1:38" ht="77.25" thickBot="1">
      <c r="B4" s="10" t="s">
        <v>170</v>
      </c>
      <c r="C4" s="10" t="s">
        <v>170</v>
      </c>
      <c r="D4" s="10" t="s">
        <v>209</v>
      </c>
      <c r="E4" s="5" t="s">
        <v>105</v>
      </c>
      <c r="F4" s="7" t="s">
        <v>149</v>
      </c>
      <c r="G4" s="7" t="s">
        <v>282</v>
      </c>
      <c r="H4" s="7" t="s">
        <v>282</v>
      </c>
      <c r="I4" s="7" t="s">
        <v>241</v>
      </c>
      <c r="J4" s="7" t="s">
        <v>356</v>
      </c>
      <c r="K4" s="7" t="s">
        <v>282</v>
      </c>
      <c r="L4" s="7" t="s">
        <v>282</v>
      </c>
      <c r="M4" s="7" t="s">
        <v>282</v>
      </c>
      <c r="N4" s="11" t="s">
        <v>640</v>
      </c>
      <c r="O4" s="11" t="s">
        <v>640</v>
      </c>
      <c r="P4" s="11" t="s">
        <v>19</v>
      </c>
      <c r="Q4" s="11" t="s">
        <v>19</v>
      </c>
      <c r="R4" s="11" t="s">
        <v>19</v>
      </c>
      <c r="S4" s="11" t="s">
        <v>19</v>
      </c>
      <c r="T4" s="11" t="s">
        <v>18</v>
      </c>
      <c r="U4" s="11" t="s">
        <v>248</v>
      </c>
      <c r="V4" s="11" t="s">
        <v>119</v>
      </c>
      <c r="W4" s="11" t="s">
        <v>120</v>
      </c>
      <c r="X4" s="11" t="s">
        <v>121</v>
      </c>
      <c r="Y4" s="11" t="s">
        <v>122</v>
      </c>
      <c r="Z4" s="11" t="s">
        <v>123</v>
      </c>
    </row>
    <row r="5" spans="1:38" ht="57" thickBot="1">
      <c r="B5" s="3" t="s">
        <v>839</v>
      </c>
      <c r="C5" s="3" t="s">
        <v>828</v>
      </c>
      <c r="D5" s="3" t="s">
        <v>220</v>
      </c>
      <c r="E5" s="3" t="s">
        <v>102</v>
      </c>
      <c r="F5" s="4" t="s">
        <v>268</v>
      </c>
      <c r="G5" s="4" t="s">
        <v>821</v>
      </c>
      <c r="H5" s="4" t="s">
        <v>665</v>
      </c>
      <c r="I5" s="4" t="s">
        <v>278</v>
      </c>
      <c r="J5" s="4" t="s">
        <v>354</v>
      </c>
      <c r="K5" s="4" t="s">
        <v>289</v>
      </c>
      <c r="L5" s="4" t="s">
        <v>294</v>
      </c>
      <c r="M5" s="4" t="s">
        <v>300</v>
      </c>
      <c r="N5" s="3" t="s">
        <v>182</v>
      </c>
      <c r="O5" s="3" t="s">
        <v>193</v>
      </c>
      <c r="P5" s="3" t="s">
        <v>252</v>
      </c>
      <c r="Q5" s="3" t="s">
        <v>171</v>
      </c>
      <c r="R5" s="3" t="s">
        <v>172</v>
      </c>
      <c r="S5" s="3" t="s">
        <v>173</v>
      </c>
      <c r="T5" s="3" t="s">
        <v>255</v>
      </c>
      <c r="U5" s="12" t="s">
        <v>251</v>
      </c>
      <c r="V5" s="12" t="s">
        <v>15</v>
      </c>
      <c r="W5" s="12" t="s">
        <v>124</v>
      </c>
      <c r="X5" s="12" t="s">
        <v>125</v>
      </c>
      <c r="Y5" s="12" t="s">
        <v>126</v>
      </c>
      <c r="Z5" s="12" t="s">
        <v>127</v>
      </c>
    </row>
    <row r="6" spans="1:38" ht="79.5" thickBot="1">
      <c r="B6" s="3" t="s">
        <v>847</v>
      </c>
      <c r="C6" s="3" t="s">
        <v>829</v>
      </c>
      <c r="D6" s="3" t="s">
        <v>221</v>
      </c>
      <c r="E6" s="10" t="s">
        <v>101</v>
      </c>
      <c r="F6" s="4" t="s">
        <v>269</v>
      </c>
      <c r="G6" s="4" t="s">
        <v>822</v>
      </c>
      <c r="H6" s="4" t="s">
        <v>667</v>
      </c>
      <c r="I6" s="4" t="s">
        <v>279</v>
      </c>
      <c r="J6" s="4" t="s">
        <v>359</v>
      </c>
      <c r="K6" s="4" t="s">
        <v>293</v>
      </c>
      <c r="L6" s="4" t="s">
        <v>295</v>
      </c>
      <c r="M6" s="4" t="s">
        <v>299</v>
      </c>
      <c r="N6" s="3" t="s">
        <v>183</v>
      </c>
      <c r="O6" s="3" t="s">
        <v>194</v>
      </c>
      <c r="P6" s="3" t="s">
        <v>253</v>
      </c>
      <c r="Q6" s="3" t="s">
        <v>175</v>
      </c>
      <c r="R6" s="3" t="s">
        <v>176</v>
      </c>
      <c r="S6" s="3" t="s">
        <v>174</v>
      </c>
      <c r="T6" s="3" t="s">
        <v>256</v>
      </c>
      <c r="U6" s="12" t="s">
        <v>265</v>
      </c>
      <c r="V6" s="3" t="s">
        <v>14</v>
      </c>
      <c r="W6" s="12" t="s">
        <v>128</v>
      </c>
      <c r="X6" s="12" t="s">
        <v>129</v>
      </c>
      <c r="Y6" s="12" t="s">
        <v>130</v>
      </c>
      <c r="Z6" s="12" t="s">
        <v>131</v>
      </c>
    </row>
    <row r="7" spans="1:38" ht="45.75" thickBot="1">
      <c r="B7" s="3" t="s">
        <v>849</v>
      </c>
      <c r="C7" s="3" t="s">
        <v>830</v>
      </c>
      <c r="D7" s="3" t="s">
        <v>222</v>
      </c>
      <c r="E7" s="3"/>
      <c r="F7" s="4" t="s">
        <v>270</v>
      </c>
      <c r="G7" s="4"/>
      <c r="H7" s="4" t="s">
        <v>666</v>
      </c>
      <c r="I7" s="4" t="s">
        <v>280</v>
      </c>
      <c r="J7" s="4" t="s">
        <v>355</v>
      </c>
      <c r="K7" s="4" t="s">
        <v>290</v>
      </c>
      <c r="L7" s="4" t="s">
        <v>296</v>
      </c>
      <c r="M7" s="4" t="s">
        <v>301</v>
      </c>
      <c r="N7" s="3" t="s">
        <v>184</v>
      </c>
      <c r="O7" s="3" t="s">
        <v>195</v>
      </c>
      <c r="P7" s="3" t="s">
        <v>314</v>
      </c>
      <c r="Q7" s="3" t="s">
        <v>177</v>
      </c>
      <c r="R7" s="3" t="s">
        <v>316</v>
      </c>
      <c r="S7" s="3" t="s">
        <v>316</v>
      </c>
      <c r="T7" s="3" t="s">
        <v>257</v>
      </c>
      <c r="U7" s="12" t="s">
        <v>258</v>
      </c>
      <c r="V7" s="3" t="s">
        <v>132</v>
      </c>
      <c r="W7" s="3" t="s">
        <v>133</v>
      </c>
      <c r="X7" s="3" t="s">
        <v>134</v>
      </c>
      <c r="Y7" s="3" t="s">
        <v>135</v>
      </c>
      <c r="Z7" s="3" t="s">
        <v>136</v>
      </c>
    </row>
    <row r="8" spans="1:38" ht="45.75" thickBot="1">
      <c r="B8" s="3" t="s">
        <v>882</v>
      </c>
      <c r="C8" s="3" t="s">
        <v>831</v>
      </c>
      <c r="D8" s="3" t="s">
        <v>223</v>
      </c>
      <c r="E8" s="3"/>
      <c r="F8" s="4" t="s">
        <v>271</v>
      </c>
      <c r="G8" s="4"/>
      <c r="H8" s="4"/>
      <c r="I8" s="4" t="s">
        <v>281</v>
      </c>
      <c r="J8" s="4" t="s">
        <v>360</v>
      </c>
      <c r="K8" s="4" t="s">
        <v>291</v>
      </c>
      <c r="L8" s="4" t="s">
        <v>297</v>
      </c>
      <c r="M8" s="4" t="s">
        <v>302</v>
      </c>
      <c r="N8" s="3" t="s">
        <v>185</v>
      </c>
      <c r="O8" s="3" t="s">
        <v>196</v>
      </c>
      <c r="P8" s="3" t="s">
        <v>254</v>
      </c>
      <c r="Q8" s="3" t="s">
        <v>315</v>
      </c>
      <c r="R8" s="3" t="s">
        <v>178</v>
      </c>
      <c r="S8" s="3" t="s">
        <v>317</v>
      </c>
      <c r="T8" s="3" t="s">
        <v>649</v>
      </c>
      <c r="U8" s="12" t="s">
        <v>266</v>
      </c>
      <c r="V8" s="3" t="s">
        <v>13</v>
      </c>
      <c r="W8" s="12" t="s">
        <v>137</v>
      </c>
      <c r="X8" s="12" t="s">
        <v>138</v>
      </c>
      <c r="Y8" s="12" t="s">
        <v>139</v>
      </c>
      <c r="Z8" s="12" t="s">
        <v>140</v>
      </c>
    </row>
    <row r="9" spans="1:38" ht="34.5" thickBot="1">
      <c r="B9" s="3" t="s">
        <v>884</v>
      </c>
      <c r="C9" s="3" t="s">
        <v>832</v>
      </c>
      <c r="D9" s="3" t="s">
        <v>224</v>
      </c>
      <c r="E9" s="3"/>
      <c r="F9" s="4" t="s">
        <v>272</v>
      </c>
      <c r="G9" s="4"/>
      <c r="H9" s="4"/>
      <c r="I9" s="3"/>
      <c r="J9" s="4" t="s">
        <v>361</v>
      </c>
      <c r="K9" s="3" t="s">
        <v>292</v>
      </c>
      <c r="L9" s="3" t="s">
        <v>298</v>
      </c>
      <c r="M9" s="3" t="s">
        <v>304</v>
      </c>
      <c r="N9" s="3" t="s">
        <v>186</v>
      </c>
      <c r="O9" s="3" t="s">
        <v>197</v>
      </c>
      <c r="P9" s="3" t="s">
        <v>647</v>
      </c>
      <c r="Q9" s="3" t="s">
        <v>179</v>
      </c>
      <c r="R9" s="3" t="s">
        <v>180</v>
      </c>
      <c r="S9" s="3" t="s">
        <v>648</v>
      </c>
      <c r="T9" s="3"/>
      <c r="U9" s="12" t="s">
        <v>259</v>
      </c>
      <c r="V9" s="3" t="s">
        <v>141</v>
      </c>
      <c r="W9" s="12" t="s">
        <v>142</v>
      </c>
      <c r="X9" s="12" t="s">
        <v>143</v>
      </c>
      <c r="Y9" s="12" t="s">
        <v>144</v>
      </c>
      <c r="Z9" s="12" t="s">
        <v>145</v>
      </c>
    </row>
    <row r="10" spans="1:38" ht="34.5" thickBot="1">
      <c r="B10" s="3" t="s">
        <v>891</v>
      </c>
      <c r="C10" s="3" t="s">
        <v>833</v>
      </c>
      <c r="D10" s="3"/>
      <c r="E10" s="3"/>
      <c r="F10" s="4" t="s">
        <v>273</v>
      </c>
      <c r="G10" s="4"/>
      <c r="H10" s="4"/>
      <c r="I10" s="3"/>
      <c r="J10" s="4" t="s">
        <v>362</v>
      </c>
      <c r="K10" s="3" t="s">
        <v>303</v>
      </c>
      <c r="L10" s="3"/>
      <c r="M10" s="3" t="s">
        <v>305</v>
      </c>
      <c r="N10" s="3" t="s">
        <v>187</v>
      </c>
      <c r="O10" s="3" t="s">
        <v>198</v>
      </c>
      <c r="P10" s="3" t="s">
        <v>181</v>
      </c>
      <c r="Q10" s="3" t="s">
        <v>181</v>
      </c>
      <c r="R10" s="3"/>
      <c r="S10" s="3" t="s">
        <v>181</v>
      </c>
      <c r="T10" s="3"/>
      <c r="U10" s="12" t="s">
        <v>260</v>
      </c>
      <c r="V10" s="3"/>
      <c r="W10" s="3"/>
      <c r="X10" s="3"/>
      <c r="Y10" s="3"/>
      <c r="Z10" s="3"/>
    </row>
    <row r="11" spans="1:38" ht="45.75" thickBot="1">
      <c r="B11" s="3" t="s">
        <v>895</v>
      </c>
      <c r="C11" s="3" t="s">
        <v>834</v>
      </c>
      <c r="D11" s="3"/>
      <c r="E11" s="3"/>
      <c r="F11" s="4" t="s">
        <v>274</v>
      </c>
      <c r="G11" s="4"/>
      <c r="H11" s="4"/>
      <c r="I11" s="3"/>
      <c r="J11" s="4" t="s">
        <v>363</v>
      </c>
      <c r="K11" s="3"/>
      <c r="L11" s="3"/>
      <c r="M11" s="3" t="s">
        <v>306</v>
      </c>
      <c r="N11" s="3" t="s">
        <v>188</v>
      </c>
      <c r="O11" s="3" t="s">
        <v>199</v>
      </c>
      <c r="P11" s="3"/>
      <c r="Q11" s="3"/>
      <c r="R11" s="3"/>
      <c r="S11" s="3"/>
      <c r="T11" s="3"/>
      <c r="U11" s="12" t="s">
        <v>261</v>
      </c>
      <c r="V11" s="3"/>
      <c r="W11" s="3"/>
      <c r="X11" s="3"/>
      <c r="Y11" s="3"/>
      <c r="Z11" s="3"/>
    </row>
    <row r="12" spans="1:38" ht="57" thickBot="1">
      <c r="B12" s="3" t="s">
        <v>897</v>
      </c>
      <c r="C12" s="3" t="s">
        <v>835</v>
      </c>
      <c r="D12" s="3"/>
      <c r="E12" s="3"/>
      <c r="F12" s="4" t="s">
        <v>275</v>
      </c>
      <c r="G12" s="4"/>
      <c r="H12" s="4"/>
      <c r="I12" s="3"/>
      <c r="J12" s="4" t="s">
        <v>364</v>
      </c>
      <c r="K12" s="3"/>
      <c r="L12" s="3"/>
      <c r="M12" s="3" t="s">
        <v>307</v>
      </c>
      <c r="N12" s="3" t="s">
        <v>189</v>
      </c>
      <c r="O12" s="3" t="s">
        <v>200</v>
      </c>
      <c r="P12" s="3"/>
      <c r="Q12" s="3"/>
      <c r="R12" s="3"/>
      <c r="S12" s="3"/>
      <c r="T12" s="3"/>
      <c r="U12" s="12" t="s">
        <v>262</v>
      </c>
      <c r="V12" s="3"/>
      <c r="W12" s="3"/>
      <c r="X12" s="3"/>
      <c r="Y12" s="3"/>
      <c r="Z12" s="3"/>
    </row>
    <row r="13" spans="1:38" ht="45.75" thickBot="1">
      <c r="B13" s="3" t="s">
        <v>902</v>
      </c>
      <c r="C13" s="3" t="s">
        <v>836</v>
      </c>
      <c r="D13" s="3"/>
      <c r="E13" s="3"/>
      <c r="F13" s="4" t="s">
        <v>276</v>
      </c>
      <c r="G13" s="4"/>
      <c r="H13" s="4"/>
      <c r="I13" s="3"/>
      <c r="J13" s="4" t="s">
        <v>365</v>
      </c>
      <c r="K13" s="3"/>
      <c r="L13" s="3"/>
      <c r="M13" s="3"/>
      <c r="N13" s="3" t="s">
        <v>190</v>
      </c>
      <c r="O13" s="3" t="s">
        <v>201</v>
      </c>
      <c r="P13" s="3"/>
      <c r="Q13" s="3"/>
      <c r="R13" s="3"/>
      <c r="S13" s="3"/>
      <c r="T13" s="3"/>
      <c r="U13" s="12" t="s">
        <v>263</v>
      </c>
      <c r="V13" s="3"/>
      <c r="W13" s="3"/>
      <c r="X13" s="3"/>
      <c r="Y13" s="3"/>
      <c r="Z13" s="3"/>
    </row>
    <row r="14" spans="1:38" ht="45.75" thickBot="1">
      <c r="B14" s="3" t="s">
        <v>916</v>
      </c>
      <c r="C14" s="3" t="s">
        <v>837</v>
      </c>
      <c r="D14" s="3"/>
      <c r="E14" s="3"/>
      <c r="F14" s="4" t="s">
        <v>277</v>
      </c>
      <c r="G14" s="4"/>
      <c r="H14" s="4"/>
      <c r="I14" s="3"/>
      <c r="J14" s="4" t="s">
        <v>366</v>
      </c>
      <c r="K14" s="3"/>
      <c r="L14" s="3"/>
      <c r="M14" s="3"/>
      <c r="N14" s="3" t="s">
        <v>191</v>
      </c>
      <c r="O14" s="3" t="s">
        <v>202</v>
      </c>
      <c r="P14" s="3"/>
      <c r="Q14" s="3"/>
      <c r="R14" s="3"/>
      <c r="S14" s="3"/>
      <c r="T14" s="3"/>
      <c r="U14" s="12" t="s">
        <v>264</v>
      </c>
      <c r="V14" s="3"/>
      <c r="W14" s="3"/>
      <c r="X14" s="3"/>
      <c r="Y14" s="3"/>
      <c r="Z14" s="3"/>
    </row>
    <row r="15" spans="1:38" ht="34.5" thickBot="1">
      <c r="B15" s="3" t="s">
        <v>925</v>
      </c>
      <c r="C15" s="3" t="s">
        <v>838</v>
      </c>
      <c r="D15" s="3"/>
      <c r="E15" s="3"/>
      <c r="F15" s="6" t="s">
        <v>310</v>
      </c>
      <c r="G15" s="140"/>
      <c r="H15" s="140"/>
      <c r="I15" s="3"/>
      <c r="J15" s="4" t="s">
        <v>367</v>
      </c>
      <c r="K15" s="3"/>
      <c r="L15" s="3"/>
      <c r="M15" s="3"/>
      <c r="N15" s="3" t="s">
        <v>353</v>
      </c>
      <c r="O15" s="3" t="s">
        <v>203</v>
      </c>
      <c r="P15" s="3"/>
      <c r="Q15" s="3"/>
      <c r="R15" s="3"/>
      <c r="S15" s="3"/>
      <c r="T15" s="3"/>
      <c r="U15" s="3" t="s">
        <v>250</v>
      </c>
      <c r="V15" s="3"/>
      <c r="W15" s="3"/>
      <c r="X15" s="3"/>
      <c r="Y15" s="3"/>
      <c r="Z15" s="3"/>
    </row>
    <row r="16" spans="1:38" ht="34.5" thickBot="1">
      <c r="B16" s="3" t="s">
        <v>929</v>
      </c>
      <c r="C16" s="3" t="s">
        <v>839</v>
      </c>
      <c r="D16" s="3"/>
      <c r="E16" s="3"/>
      <c r="F16" s="3" t="s">
        <v>309</v>
      </c>
      <c r="G16" s="3"/>
      <c r="H16" s="3"/>
      <c r="I16" s="3"/>
      <c r="J16" s="4" t="s">
        <v>368</v>
      </c>
      <c r="K16" s="3"/>
      <c r="L16" s="3"/>
      <c r="M16" s="3"/>
      <c r="N16" s="3" t="s">
        <v>225</v>
      </c>
      <c r="O16" s="3" t="s">
        <v>204</v>
      </c>
      <c r="P16" s="3"/>
      <c r="Q16" s="3"/>
      <c r="R16" s="3"/>
      <c r="S16" s="3"/>
      <c r="T16" s="3"/>
      <c r="U16" s="12"/>
      <c r="V16" s="3"/>
      <c r="W16" s="3"/>
      <c r="X16" s="3"/>
      <c r="Y16" s="3"/>
      <c r="Z16" s="3"/>
    </row>
    <row r="17" spans="2:26" ht="45.75" thickBot="1">
      <c r="B17" s="3" t="s">
        <v>937</v>
      </c>
      <c r="C17" s="3" t="s">
        <v>840</v>
      </c>
      <c r="D17" s="3"/>
      <c r="E17" s="3"/>
      <c r="F17" s="3"/>
      <c r="G17" s="3"/>
      <c r="H17" s="3"/>
      <c r="I17" s="3"/>
      <c r="J17" s="4" t="s">
        <v>369</v>
      </c>
      <c r="K17" s="3"/>
      <c r="L17" s="3"/>
      <c r="M17" s="3"/>
      <c r="N17" s="3"/>
      <c r="O17" s="3" t="s">
        <v>205</v>
      </c>
      <c r="P17" s="3"/>
      <c r="Q17" s="3"/>
      <c r="R17" s="3"/>
      <c r="S17" s="3"/>
      <c r="T17" s="3"/>
      <c r="U17" s="12"/>
      <c r="V17" s="3"/>
      <c r="W17" s="3"/>
      <c r="X17" s="3"/>
      <c r="Y17" s="3"/>
      <c r="Z17" s="3"/>
    </row>
    <row r="18" spans="2:26" ht="45.75" thickBot="1">
      <c r="B18" s="3" t="s">
        <v>960</v>
      </c>
      <c r="C18" s="3" t="s">
        <v>841</v>
      </c>
      <c r="D18" s="3"/>
      <c r="E18" s="3"/>
      <c r="F18" s="3"/>
      <c r="G18" s="3"/>
      <c r="H18" s="3"/>
      <c r="I18" s="3"/>
      <c r="J18" s="4" t="s">
        <v>370</v>
      </c>
      <c r="K18" s="3"/>
      <c r="L18" s="3"/>
      <c r="M18" s="3"/>
      <c r="N18" s="3"/>
      <c r="O18" s="3" t="s">
        <v>206</v>
      </c>
      <c r="P18" s="3"/>
      <c r="Q18" s="3"/>
      <c r="R18" s="3"/>
      <c r="S18" s="3"/>
      <c r="T18" s="3"/>
      <c r="U18" s="12"/>
      <c r="V18" s="3"/>
      <c r="W18" s="3"/>
      <c r="X18" s="3"/>
      <c r="Y18" s="3"/>
      <c r="Z18" s="3"/>
    </row>
    <row r="19" spans="2:26" ht="34.5" thickBot="1">
      <c r="B19" s="3" t="s">
        <v>961</v>
      </c>
      <c r="C19" s="3" t="s">
        <v>842</v>
      </c>
      <c r="D19" s="3"/>
      <c r="E19" s="3"/>
      <c r="F19" s="3"/>
      <c r="G19" s="3"/>
      <c r="H19" s="3"/>
      <c r="I19" s="3"/>
      <c r="J19" s="4"/>
      <c r="K19" s="3"/>
      <c r="L19" s="3"/>
      <c r="M19" s="3"/>
      <c r="N19" s="3"/>
      <c r="O19" s="3" t="s">
        <v>207</v>
      </c>
      <c r="P19" s="3"/>
      <c r="Q19" s="3"/>
      <c r="R19" s="3"/>
      <c r="S19" s="3"/>
      <c r="T19" s="3"/>
      <c r="U19" s="12"/>
      <c r="V19" s="3"/>
      <c r="W19" s="3"/>
      <c r="X19" s="3"/>
      <c r="Y19" s="3"/>
      <c r="Z19" s="3"/>
    </row>
    <row r="20" spans="2:26" ht="34.5" thickBot="1">
      <c r="B20" s="3" t="s">
        <v>962</v>
      </c>
      <c r="C20" s="3" t="s">
        <v>843</v>
      </c>
      <c r="D20" s="3"/>
      <c r="E20" s="3"/>
      <c r="F20" s="3"/>
      <c r="G20" s="3"/>
      <c r="H20" s="3"/>
      <c r="I20" s="3"/>
      <c r="J20" s="3"/>
      <c r="K20" s="3"/>
      <c r="L20" s="3"/>
      <c r="M20" s="3"/>
      <c r="N20" s="3"/>
      <c r="O20" s="3" t="s">
        <v>208</v>
      </c>
      <c r="P20" s="3"/>
      <c r="Q20" s="3"/>
      <c r="R20" s="3"/>
      <c r="S20" s="3"/>
      <c r="T20" s="3"/>
      <c r="U20" s="12"/>
      <c r="V20" s="3"/>
      <c r="W20" s="3"/>
      <c r="X20" s="3"/>
      <c r="Y20" s="3"/>
      <c r="Z20" s="3"/>
    </row>
    <row r="21" spans="2:26" ht="23.25" thickBot="1">
      <c r="B21" s="3" t="s">
        <v>980</v>
      </c>
      <c r="C21" s="3" t="s">
        <v>844</v>
      </c>
      <c r="D21" s="3"/>
      <c r="E21" s="3"/>
      <c r="F21" s="3"/>
      <c r="G21" s="3"/>
      <c r="H21" s="3"/>
      <c r="I21" s="3"/>
      <c r="J21" s="3"/>
      <c r="K21" s="3"/>
      <c r="L21" s="3"/>
      <c r="M21" s="3"/>
      <c r="N21" s="13"/>
      <c r="O21" s="13" t="s">
        <v>225</v>
      </c>
      <c r="P21" s="10"/>
      <c r="Q21" s="13"/>
      <c r="R21" s="13"/>
      <c r="S21" s="13"/>
      <c r="T21" s="13"/>
      <c r="U21" s="12"/>
      <c r="V21" s="3"/>
      <c r="W21" s="3"/>
      <c r="X21" s="3"/>
      <c r="Y21" s="3"/>
      <c r="Z21" s="3"/>
    </row>
    <row r="22" spans="2:26" ht="23.25" thickBot="1">
      <c r="B22" s="3" t="s">
        <v>993</v>
      </c>
      <c r="C22" s="3" t="s">
        <v>845</v>
      </c>
      <c r="D22" s="3"/>
      <c r="E22" s="3"/>
      <c r="F22" s="3"/>
      <c r="G22" s="3"/>
      <c r="H22" s="3"/>
      <c r="I22" s="3"/>
      <c r="J22" s="3"/>
      <c r="K22" s="3"/>
      <c r="L22" s="3"/>
      <c r="M22" s="3"/>
      <c r="N22" s="3"/>
      <c r="O22" s="13"/>
      <c r="P22" s="3"/>
      <c r="Q22" s="3"/>
      <c r="R22" s="3"/>
      <c r="S22" s="3"/>
      <c r="T22" s="3"/>
      <c r="U22" s="12"/>
      <c r="V22" s="3"/>
      <c r="W22" s="3"/>
      <c r="X22" s="3"/>
      <c r="Y22" s="3"/>
      <c r="Z22" s="3"/>
    </row>
    <row r="23" spans="2:26" ht="15.75" thickBot="1">
      <c r="B23" s="3" t="s">
        <v>1011</v>
      </c>
      <c r="C23" s="3" t="s">
        <v>846</v>
      </c>
      <c r="D23" s="3"/>
      <c r="E23" s="3"/>
      <c r="F23" s="3"/>
      <c r="G23" s="3"/>
      <c r="H23" s="3"/>
      <c r="I23" s="3"/>
      <c r="J23" s="3"/>
      <c r="K23" s="3"/>
      <c r="L23" s="3"/>
      <c r="M23" s="3"/>
      <c r="N23" s="3"/>
      <c r="O23" s="3"/>
      <c r="P23" s="3"/>
      <c r="Q23" s="3"/>
      <c r="R23" s="3"/>
      <c r="S23" s="3"/>
      <c r="T23" s="3"/>
      <c r="U23" s="12"/>
      <c r="V23" s="3"/>
      <c r="W23" s="3"/>
      <c r="X23" s="3"/>
      <c r="Y23" s="3"/>
      <c r="Z23" s="3"/>
    </row>
    <row r="24" spans="2:26" ht="15.75" thickBot="1">
      <c r="B24" s="3" t="s">
        <v>1027</v>
      </c>
      <c r="C24" s="3" t="s">
        <v>847</v>
      </c>
      <c r="D24" s="14"/>
      <c r="E24" s="14"/>
      <c r="F24" s="14"/>
      <c r="G24" s="14"/>
      <c r="H24" s="14"/>
      <c r="I24" s="14"/>
      <c r="J24" s="14"/>
      <c r="K24" s="14"/>
      <c r="L24" s="14"/>
      <c r="M24" s="14"/>
      <c r="N24" s="3"/>
      <c r="O24" s="3"/>
      <c r="P24" s="3"/>
      <c r="Q24" s="3"/>
      <c r="R24" s="3"/>
      <c r="S24" s="3"/>
      <c r="T24" s="3"/>
      <c r="U24" s="12"/>
      <c r="V24" s="3"/>
      <c r="W24" s="3"/>
      <c r="X24" s="3"/>
      <c r="Y24" s="3"/>
      <c r="Z24" s="3"/>
    </row>
    <row r="25" spans="2:26" ht="15.75" thickBot="1">
      <c r="B25" s="3" t="s">
        <v>1029</v>
      </c>
      <c r="C25" s="3" t="s">
        <v>848</v>
      </c>
      <c r="D25" s="14"/>
      <c r="E25" s="14"/>
      <c r="F25" s="14"/>
      <c r="G25" s="14"/>
      <c r="H25" s="14"/>
      <c r="I25" s="14"/>
      <c r="J25" s="14"/>
      <c r="K25" s="14"/>
      <c r="L25" s="14"/>
      <c r="M25" s="14"/>
      <c r="N25" s="3"/>
      <c r="O25" s="3"/>
      <c r="P25" s="3"/>
      <c r="Q25" s="3"/>
      <c r="R25" s="3"/>
      <c r="S25" s="3"/>
      <c r="T25" s="3"/>
      <c r="U25" s="12"/>
      <c r="V25" s="3"/>
      <c r="W25" s="3"/>
      <c r="X25" s="3"/>
      <c r="Y25" s="3"/>
      <c r="Z25" s="3"/>
    </row>
    <row r="26" spans="2:26" ht="15.75" thickBot="1">
      <c r="C26" s="3" t="s">
        <v>849</v>
      </c>
      <c r="D26" s="3"/>
      <c r="E26" s="3"/>
      <c r="F26" s="3"/>
      <c r="G26" s="3"/>
      <c r="H26" s="3"/>
      <c r="I26" s="3"/>
      <c r="J26" s="3"/>
      <c r="K26" s="3"/>
      <c r="L26" s="3"/>
      <c r="M26" s="3"/>
      <c r="N26" s="3"/>
      <c r="O26" s="3"/>
      <c r="P26" s="3"/>
      <c r="Q26" s="3"/>
      <c r="R26" s="3"/>
      <c r="S26" s="3"/>
      <c r="T26" s="3"/>
      <c r="U26" s="12"/>
      <c r="V26" s="3"/>
      <c r="W26" s="3"/>
      <c r="X26" s="3"/>
      <c r="Y26" s="3"/>
      <c r="Z26" s="3"/>
    </row>
    <row r="27" spans="2:26" ht="21" customHeight="1" thickBot="1">
      <c r="C27" s="3" t="s">
        <v>850</v>
      </c>
      <c r="D27" s="3"/>
      <c r="E27" s="3"/>
      <c r="F27" s="3"/>
      <c r="G27" s="3"/>
      <c r="H27" s="3"/>
      <c r="I27" s="3"/>
      <c r="J27" s="3"/>
      <c r="K27" s="3"/>
      <c r="L27" s="3"/>
      <c r="M27" s="3"/>
      <c r="N27" s="3"/>
      <c r="O27" s="3"/>
      <c r="P27" s="3"/>
      <c r="Q27" s="3"/>
      <c r="R27" s="3"/>
      <c r="S27" s="3"/>
      <c r="T27" s="3"/>
      <c r="U27" s="12"/>
      <c r="V27" s="3"/>
      <c r="W27" s="3"/>
      <c r="X27" s="3"/>
      <c r="Y27" s="3"/>
      <c r="Z27" s="3"/>
    </row>
    <row r="28" spans="2:26" ht="15.75" thickBot="1">
      <c r="C28" s="3" t="s">
        <v>851</v>
      </c>
      <c r="D28" s="3"/>
      <c r="E28" s="3"/>
      <c r="F28" s="3"/>
      <c r="G28" s="3"/>
      <c r="H28" s="3"/>
      <c r="I28" s="3"/>
      <c r="J28" s="3"/>
      <c r="K28" s="3"/>
      <c r="L28" s="3"/>
      <c r="M28" s="3"/>
      <c r="N28" s="3"/>
      <c r="O28" s="3"/>
      <c r="P28" s="3"/>
      <c r="Q28" s="3"/>
      <c r="R28" s="3"/>
      <c r="S28" s="3"/>
      <c r="T28" s="3"/>
      <c r="U28" s="12"/>
      <c r="V28" s="3"/>
      <c r="W28" s="3"/>
      <c r="X28" s="3"/>
      <c r="Y28" s="3"/>
      <c r="Z28" s="3"/>
    </row>
    <row r="29" spans="2:26" ht="15.75" thickBot="1">
      <c r="C29" s="3" t="s">
        <v>852</v>
      </c>
      <c r="D29" s="3"/>
      <c r="E29" s="3"/>
      <c r="F29" s="3"/>
      <c r="G29" s="3"/>
      <c r="H29" s="3"/>
      <c r="I29" s="3"/>
      <c r="J29" s="3"/>
      <c r="K29" s="3"/>
      <c r="L29" s="3"/>
      <c r="M29" s="3"/>
      <c r="N29" s="3"/>
      <c r="O29" s="3"/>
      <c r="P29" s="3"/>
      <c r="Q29" s="3"/>
      <c r="R29" s="3"/>
      <c r="S29" s="3"/>
      <c r="T29" s="3"/>
      <c r="U29" s="12"/>
      <c r="V29" s="3"/>
      <c r="W29" s="3"/>
      <c r="X29" s="3"/>
      <c r="Y29" s="3"/>
      <c r="Z29" s="3"/>
    </row>
    <row r="30" spans="2:26" ht="15.75" thickBot="1">
      <c r="C30" s="3" t="s">
        <v>853</v>
      </c>
      <c r="D30" s="3"/>
      <c r="E30" s="3"/>
      <c r="F30" s="3"/>
      <c r="G30" s="3"/>
      <c r="H30" s="3"/>
      <c r="I30" s="3"/>
      <c r="J30" s="3"/>
      <c r="K30" s="3"/>
      <c r="L30" s="3"/>
      <c r="M30" s="3"/>
      <c r="N30" s="3"/>
      <c r="O30" s="3"/>
      <c r="P30" s="3"/>
      <c r="Q30" s="3"/>
      <c r="R30" s="3"/>
      <c r="S30" s="3"/>
      <c r="T30" s="3"/>
      <c r="U30" s="12"/>
      <c r="V30" s="3"/>
      <c r="W30" s="3"/>
      <c r="X30" s="3"/>
      <c r="Y30" s="3"/>
      <c r="Z30" s="3"/>
    </row>
    <row r="31" spans="2:26" ht="15.75" thickBot="1">
      <c r="C31" s="3" t="s">
        <v>854</v>
      </c>
      <c r="D31" s="3"/>
      <c r="E31" s="3"/>
      <c r="F31" s="3"/>
      <c r="G31" s="3"/>
      <c r="H31" s="3"/>
      <c r="I31" s="3"/>
      <c r="J31" s="3"/>
      <c r="K31" s="3"/>
      <c r="L31" s="3"/>
      <c r="M31" s="3"/>
      <c r="N31" s="3"/>
      <c r="O31" s="3"/>
      <c r="P31" s="3"/>
      <c r="Q31" s="3"/>
      <c r="R31" s="3"/>
      <c r="S31" s="3"/>
      <c r="T31" s="3"/>
      <c r="U31" s="12"/>
      <c r="V31" s="3"/>
      <c r="W31" s="3"/>
      <c r="X31" s="3"/>
      <c r="Y31" s="3"/>
      <c r="Z31" s="3"/>
    </row>
    <row r="32" spans="2:26" ht="23.25" thickBot="1">
      <c r="C32" s="3" t="s">
        <v>855</v>
      </c>
      <c r="D32" s="3"/>
      <c r="E32" s="3"/>
      <c r="F32" s="3"/>
      <c r="G32" s="3"/>
      <c r="H32" s="3"/>
      <c r="I32" s="3"/>
      <c r="J32" s="3"/>
      <c r="K32" s="3"/>
      <c r="L32" s="3"/>
      <c r="M32" s="3"/>
      <c r="N32" s="3"/>
      <c r="O32" s="3"/>
      <c r="P32" s="3"/>
      <c r="Q32" s="3"/>
      <c r="R32" s="3"/>
      <c r="S32" s="3"/>
      <c r="T32" s="3"/>
      <c r="U32" s="12"/>
      <c r="V32" s="3"/>
      <c r="W32" s="3"/>
      <c r="X32" s="3"/>
      <c r="Y32" s="3"/>
      <c r="Z32" s="3"/>
    </row>
    <row r="33" spans="3:26" ht="23.25" thickBot="1">
      <c r="C33" s="3" t="s">
        <v>856</v>
      </c>
      <c r="D33" s="3"/>
      <c r="E33" s="3"/>
      <c r="F33" s="3"/>
      <c r="G33" s="3"/>
      <c r="H33" s="3"/>
      <c r="I33" s="3"/>
      <c r="J33" s="3"/>
      <c r="K33" s="3"/>
      <c r="L33" s="3"/>
      <c r="M33" s="3"/>
      <c r="N33" s="3"/>
      <c r="O33" s="3"/>
      <c r="P33" s="3"/>
      <c r="Q33" s="3"/>
      <c r="R33" s="3"/>
      <c r="S33" s="3"/>
      <c r="T33" s="3"/>
      <c r="U33" s="12"/>
      <c r="V33" s="3"/>
      <c r="W33" s="3"/>
      <c r="X33" s="3"/>
      <c r="Y33" s="3"/>
      <c r="Z33" s="3"/>
    </row>
    <row r="34" spans="3:26" ht="23.25" thickBot="1">
      <c r="C34" s="3" t="s">
        <v>857</v>
      </c>
      <c r="D34" s="3"/>
      <c r="E34" s="3"/>
      <c r="F34" s="3"/>
      <c r="G34" s="3"/>
      <c r="H34" s="3"/>
      <c r="I34" s="3"/>
      <c r="J34" s="3"/>
      <c r="K34" s="3"/>
      <c r="L34" s="3"/>
      <c r="M34" s="3"/>
      <c r="N34" s="3"/>
      <c r="O34" s="3"/>
      <c r="P34" s="3"/>
      <c r="Q34" s="3"/>
      <c r="R34" s="3"/>
      <c r="S34" s="3"/>
      <c r="T34" s="3"/>
      <c r="U34" s="12"/>
      <c r="V34" s="3"/>
      <c r="W34" s="3"/>
      <c r="X34" s="3"/>
      <c r="Y34" s="3"/>
      <c r="Z34" s="3"/>
    </row>
    <row r="35" spans="3:26" ht="15.75" thickBot="1">
      <c r="C35" s="3" t="s">
        <v>858</v>
      </c>
      <c r="D35" s="3"/>
      <c r="E35" s="3"/>
      <c r="F35" s="3"/>
      <c r="G35" s="3"/>
      <c r="H35" s="3"/>
      <c r="I35" s="3"/>
      <c r="J35" s="3"/>
      <c r="K35" s="3"/>
      <c r="L35" s="3"/>
      <c r="M35" s="3"/>
      <c r="N35" s="3"/>
      <c r="O35" s="3"/>
      <c r="P35" s="3"/>
      <c r="Q35" s="3"/>
      <c r="R35" s="3"/>
      <c r="S35" s="3"/>
      <c r="T35" s="3"/>
      <c r="U35" s="12"/>
      <c r="V35" s="3"/>
      <c r="W35" s="3"/>
      <c r="X35" s="3"/>
      <c r="Y35" s="3"/>
      <c r="Z35" s="3"/>
    </row>
    <row r="36" spans="3:26" ht="15.75" thickBot="1">
      <c r="C36" s="3" t="s">
        <v>859</v>
      </c>
      <c r="D36" s="3"/>
      <c r="E36" s="3"/>
      <c r="F36" s="3"/>
      <c r="G36" s="3"/>
      <c r="H36" s="3"/>
      <c r="I36" s="3"/>
      <c r="J36" s="3"/>
      <c r="K36" s="3"/>
      <c r="L36" s="3"/>
      <c r="M36" s="3"/>
      <c r="N36" s="3"/>
      <c r="O36" s="3"/>
      <c r="P36" s="3"/>
      <c r="Q36" s="3"/>
      <c r="R36" s="3"/>
      <c r="S36" s="3"/>
      <c r="T36" s="3"/>
      <c r="U36" s="12"/>
      <c r="V36" s="3"/>
      <c r="W36" s="3"/>
      <c r="X36" s="3"/>
      <c r="Y36" s="3"/>
      <c r="Z36" s="3"/>
    </row>
    <row r="37" spans="3:26" ht="15.75" thickBot="1">
      <c r="C37" s="3" t="s">
        <v>860</v>
      </c>
      <c r="D37" s="3"/>
      <c r="E37" s="3"/>
      <c r="F37" s="3"/>
      <c r="G37" s="3"/>
      <c r="H37" s="3"/>
      <c r="I37" s="3"/>
      <c r="J37" s="3"/>
      <c r="K37" s="3"/>
      <c r="L37" s="3"/>
      <c r="M37" s="3"/>
      <c r="N37" s="3"/>
      <c r="O37" s="3"/>
      <c r="P37" s="3"/>
      <c r="Q37" s="3"/>
      <c r="R37" s="3"/>
      <c r="S37" s="3"/>
      <c r="T37" s="3"/>
      <c r="U37" s="12"/>
      <c r="V37" s="3"/>
      <c r="W37" s="3"/>
      <c r="X37" s="3"/>
      <c r="Y37" s="3"/>
      <c r="Z37" s="3"/>
    </row>
    <row r="38" spans="3:26" ht="15.75" thickBot="1">
      <c r="C38" s="3" t="s">
        <v>861</v>
      </c>
      <c r="D38" s="3"/>
      <c r="E38" s="3"/>
      <c r="F38" s="3"/>
      <c r="G38" s="3"/>
      <c r="H38" s="3"/>
      <c r="I38" s="3"/>
      <c r="J38" s="3"/>
      <c r="K38" s="3"/>
      <c r="L38" s="3"/>
      <c r="M38" s="3"/>
      <c r="N38" s="3"/>
      <c r="O38" s="3"/>
      <c r="P38" s="3"/>
      <c r="Q38" s="3"/>
      <c r="R38" s="3"/>
      <c r="S38" s="3"/>
      <c r="T38" s="3"/>
      <c r="U38" s="12"/>
      <c r="V38" s="3"/>
      <c r="W38" s="3"/>
      <c r="X38" s="3"/>
      <c r="Y38" s="3"/>
      <c r="Z38" s="3"/>
    </row>
    <row r="39" spans="3:26" ht="15.75" thickBot="1">
      <c r="C39" s="3" t="s">
        <v>862</v>
      </c>
      <c r="D39" s="3"/>
      <c r="E39" s="3"/>
      <c r="F39" s="3"/>
      <c r="G39" s="3"/>
      <c r="H39" s="3"/>
      <c r="I39" s="3"/>
      <c r="J39" s="3"/>
      <c r="K39" s="3"/>
      <c r="L39" s="3"/>
      <c r="M39" s="3"/>
      <c r="N39" s="13"/>
      <c r="O39" s="13"/>
      <c r="P39" s="10"/>
      <c r="Q39" s="13"/>
      <c r="R39" s="13"/>
      <c r="S39" s="13"/>
      <c r="T39" s="13"/>
      <c r="U39" s="12"/>
      <c r="V39" s="3"/>
      <c r="W39" s="3"/>
      <c r="X39" s="3"/>
      <c r="Y39" s="3"/>
      <c r="Z39" s="3"/>
    </row>
    <row r="40" spans="3:26" ht="15.75" thickBot="1">
      <c r="C40" s="3" t="s">
        <v>863</v>
      </c>
      <c r="D40" s="3"/>
      <c r="E40" s="3"/>
      <c r="F40" s="3"/>
      <c r="G40" s="3"/>
      <c r="H40" s="3"/>
      <c r="I40" s="3"/>
      <c r="J40" s="3"/>
      <c r="K40" s="3"/>
      <c r="L40" s="3"/>
      <c r="M40" s="3"/>
      <c r="N40" s="3"/>
      <c r="O40" s="3"/>
      <c r="P40" s="3"/>
      <c r="Q40" s="3"/>
      <c r="R40" s="3"/>
      <c r="S40" s="3"/>
      <c r="T40" s="3"/>
      <c r="U40" s="12"/>
      <c r="V40" s="3"/>
      <c r="W40" s="3"/>
      <c r="X40" s="3"/>
      <c r="Y40" s="3"/>
      <c r="Z40" s="3"/>
    </row>
    <row r="41" spans="3:26" ht="15.75" thickBot="1">
      <c r="C41" s="3" t="s">
        <v>864</v>
      </c>
      <c r="D41" s="3"/>
      <c r="E41" s="3"/>
      <c r="F41" s="3"/>
      <c r="G41" s="3"/>
      <c r="H41" s="3"/>
      <c r="I41" s="3"/>
      <c r="J41" s="3"/>
      <c r="K41" s="3"/>
      <c r="L41" s="3"/>
      <c r="M41" s="3"/>
      <c r="N41" s="3"/>
      <c r="O41" s="3"/>
      <c r="P41" s="3"/>
      <c r="Q41" s="3"/>
      <c r="R41" s="3"/>
      <c r="S41" s="3"/>
      <c r="T41" s="3"/>
      <c r="U41" s="12"/>
      <c r="V41" s="3"/>
      <c r="W41" s="3"/>
      <c r="X41" s="3"/>
      <c r="Y41" s="3"/>
      <c r="Z41" s="3"/>
    </row>
    <row r="42" spans="3:26" ht="15.75" thickBot="1">
      <c r="C42" s="3" t="s">
        <v>865</v>
      </c>
      <c r="D42" s="3"/>
      <c r="E42" s="3"/>
      <c r="F42" s="3"/>
      <c r="G42" s="3"/>
      <c r="H42" s="3"/>
      <c r="I42" s="3"/>
      <c r="J42" s="3"/>
      <c r="K42" s="3"/>
      <c r="L42" s="3"/>
      <c r="M42" s="3"/>
      <c r="N42" s="3"/>
      <c r="O42" s="3"/>
      <c r="P42" s="3"/>
      <c r="Q42" s="3"/>
      <c r="R42" s="3"/>
      <c r="S42" s="3"/>
      <c r="T42" s="3"/>
      <c r="U42" s="12"/>
      <c r="V42" s="3"/>
      <c r="W42" s="3"/>
      <c r="X42" s="3"/>
      <c r="Y42" s="3"/>
      <c r="Z42" s="3"/>
    </row>
    <row r="43" spans="3:26" ht="23.25" thickBot="1">
      <c r="C43" s="3" t="s">
        <v>866</v>
      </c>
      <c r="D43" s="3"/>
      <c r="E43" s="3"/>
      <c r="F43" s="3"/>
      <c r="G43" s="3"/>
      <c r="H43" s="3"/>
      <c r="I43" s="3"/>
      <c r="J43" s="3"/>
      <c r="K43" s="3"/>
      <c r="L43" s="3"/>
      <c r="M43" s="3"/>
      <c r="N43" s="3"/>
      <c r="O43" s="3"/>
      <c r="P43" s="3"/>
      <c r="Q43" s="3"/>
      <c r="R43" s="3"/>
      <c r="S43" s="3"/>
      <c r="T43" s="3"/>
      <c r="U43" s="12"/>
      <c r="V43" s="3"/>
      <c r="W43" s="3"/>
      <c r="X43" s="3"/>
      <c r="Y43" s="3"/>
      <c r="Z43" s="3"/>
    </row>
    <row r="44" spans="3:26" ht="34.5" thickBot="1">
      <c r="C44" s="3" t="s">
        <v>867</v>
      </c>
      <c r="D44" s="3"/>
      <c r="E44" s="3"/>
      <c r="F44" s="3"/>
      <c r="G44" s="3"/>
      <c r="H44" s="3"/>
      <c r="I44" s="3"/>
      <c r="J44" s="3"/>
      <c r="K44" s="3"/>
      <c r="L44" s="3"/>
      <c r="M44" s="3"/>
      <c r="N44" s="3"/>
      <c r="O44" s="3"/>
      <c r="P44" s="3"/>
      <c r="Q44" s="3"/>
      <c r="R44" s="3"/>
      <c r="S44" s="3"/>
      <c r="T44" s="3"/>
      <c r="U44" s="12"/>
      <c r="V44" s="3"/>
      <c r="W44" s="3"/>
      <c r="X44" s="3"/>
      <c r="Y44" s="3"/>
      <c r="Z44" s="3"/>
    </row>
    <row r="45" spans="3:26" ht="23.25" thickBot="1">
      <c r="C45" s="3" t="s">
        <v>868</v>
      </c>
    </row>
    <row r="46" spans="3:26" ht="15.75" thickBot="1">
      <c r="C46" s="3" t="s">
        <v>869</v>
      </c>
    </row>
    <row r="47" spans="3:26" ht="15.75" thickBot="1">
      <c r="C47" s="3" t="s">
        <v>870</v>
      </c>
    </row>
    <row r="48" spans="3:26" ht="15.75" thickBot="1">
      <c r="C48" s="3" t="s">
        <v>871</v>
      </c>
    </row>
    <row r="49" spans="3:3" ht="15.75" thickBot="1">
      <c r="C49" s="3" t="s">
        <v>872</v>
      </c>
    </row>
    <row r="50" spans="3:3" ht="15.75" thickBot="1">
      <c r="C50" s="3" t="s">
        <v>873</v>
      </c>
    </row>
    <row r="51" spans="3:3" ht="15.75" thickBot="1">
      <c r="C51" s="3" t="s">
        <v>874</v>
      </c>
    </row>
    <row r="52" spans="3:3" ht="15.75" thickBot="1">
      <c r="C52" s="3" t="s">
        <v>875</v>
      </c>
    </row>
    <row r="53" spans="3:3" ht="15.75" thickBot="1">
      <c r="C53" s="3" t="s">
        <v>876</v>
      </c>
    </row>
    <row r="54" spans="3:3" ht="15.75" thickBot="1">
      <c r="C54" s="3" t="s">
        <v>877</v>
      </c>
    </row>
    <row r="55" spans="3:3" ht="15.75" thickBot="1">
      <c r="C55" s="3" t="s">
        <v>878</v>
      </c>
    </row>
    <row r="56" spans="3:3" ht="15.75" thickBot="1">
      <c r="C56" s="3" t="s">
        <v>879</v>
      </c>
    </row>
    <row r="57" spans="3:3" ht="15.75" thickBot="1">
      <c r="C57" s="3" t="s">
        <v>880</v>
      </c>
    </row>
    <row r="58" spans="3:3" ht="15.75" thickBot="1">
      <c r="C58" s="3" t="s">
        <v>881</v>
      </c>
    </row>
    <row r="59" spans="3:3" ht="15.75" thickBot="1">
      <c r="C59" s="3" t="s">
        <v>882</v>
      </c>
    </row>
    <row r="60" spans="3:3" ht="15.75" thickBot="1">
      <c r="C60" s="3" t="s">
        <v>883</v>
      </c>
    </row>
    <row r="61" spans="3:3" ht="15.75" thickBot="1">
      <c r="C61" s="3" t="s">
        <v>884</v>
      </c>
    </row>
    <row r="62" spans="3:3" ht="15.75" thickBot="1">
      <c r="C62" s="3" t="s">
        <v>885</v>
      </c>
    </row>
    <row r="63" spans="3:3" ht="15.75" thickBot="1">
      <c r="C63" s="3" t="s">
        <v>886</v>
      </c>
    </row>
    <row r="64" spans="3:3" ht="15.75" thickBot="1">
      <c r="C64" s="3" t="s">
        <v>887</v>
      </c>
    </row>
    <row r="65" spans="3:3" ht="23.25" thickBot="1">
      <c r="C65" s="3" t="s">
        <v>888</v>
      </c>
    </row>
    <row r="66" spans="3:3" ht="15.75" thickBot="1">
      <c r="C66" s="3" t="s">
        <v>889</v>
      </c>
    </row>
    <row r="67" spans="3:3" ht="15.75" thickBot="1">
      <c r="C67" s="3" t="s">
        <v>890</v>
      </c>
    </row>
    <row r="68" spans="3:3" ht="15.75" thickBot="1">
      <c r="C68" s="3" t="s">
        <v>891</v>
      </c>
    </row>
    <row r="69" spans="3:3" ht="15.75" thickBot="1">
      <c r="C69" s="3" t="s">
        <v>892</v>
      </c>
    </row>
    <row r="70" spans="3:3" ht="15.75" thickBot="1">
      <c r="C70" s="3" t="s">
        <v>893</v>
      </c>
    </row>
    <row r="71" spans="3:3" ht="15.75" thickBot="1">
      <c r="C71" s="3" t="s">
        <v>894</v>
      </c>
    </row>
    <row r="72" spans="3:3" ht="15.75" thickBot="1">
      <c r="C72" s="3" t="s">
        <v>895</v>
      </c>
    </row>
    <row r="73" spans="3:3" ht="15.75" thickBot="1">
      <c r="C73" s="3" t="s">
        <v>896</v>
      </c>
    </row>
    <row r="74" spans="3:3" ht="15.75" thickBot="1">
      <c r="C74" s="3" t="s">
        <v>897</v>
      </c>
    </row>
    <row r="75" spans="3:3" ht="15.75" thickBot="1">
      <c r="C75" s="3" t="s">
        <v>898</v>
      </c>
    </row>
    <row r="76" spans="3:3" ht="23.25" thickBot="1">
      <c r="C76" s="3" t="s">
        <v>899</v>
      </c>
    </row>
    <row r="77" spans="3:3" ht="23.25" thickBot="1">
      <c r="C77" s="3" t="s">
        <v>900</v>
      </c>
    </row>
    <row r="78" spans="3:3" ht="15.75" thickBot="1">
      <c r="C78" s="3" t="s">
        <v>901</v>
      </c>
    </row>
    <row r="79" spans="3:3" ht="15.75" thickBot="1">
      <c r="C79" s="3" t="s">
        <v>902</v>
      </c>
    </row>
    <row r="80" spans="3:3" ht="15.75" thickBot="1">
      <c r="C80" s="3" t="s">
        <v>903</v>
      </c>
    </row>
    <row r="81" spans="3:3" ht="34.5" thickBot="1">
      <c r="C81" s="3" t="s">
        <v>904</v>
      </c>
    </row>
    <row r="82" spans="3:3" ht="15.75" thickBot="1">
      <c r="C82" s="3" t="s">
        <v>905</v>
      </c>
    </row>
    <row r="83" spans="3:3" ht="15.75" thickBot="1">
      <c r="C83" s="3" t="s">
        <v>906</v>
      </c>
    </row>
    <row r="84" spans="3:3" ht="15.75" thickBot="1">
      <c r="C84" s="3" t="s">
        <v>907</v>
      </c>
    </row>
    <row r="85" spans="3:3" ht="15.75" thickBot="1">
      <c r="C85" s="3" t="s">
        <v>908</v>
      </c>
    </row>
    <row r="86" spans="3:3" ht="15.75" thickBot="1">
      <c r="C86" s="3" t="s">
        <v>909</v>
      </c>
    </row>
    <row r="87" spans="3:3" ht="15.75" thickBot="1">
      <c r="C87" s="3" t="s">
        <v>910</v>
      </c>
    </row>
    <row r="88" spans="3:3" ht="15.75" thickBot="1">
      <c r="C88" s="3" t="s">
        <v>911</v>
      </c>
    </row>
    <row r="89" spans="3:3" ht="15.75" thickBot="1">
      <c r="C89" s="3" t="s">
        <v>912</v>
      </c>
    </row>
    <row r="90" spans="3:3" ht="15.75" thickBot="1">
      <c r="C90" s="3" t="s">
        <v>913</v>
      </c>
    </row>
    <row r="91" spans="3:3" ht="15.75" thickBot="1">
      <c r="C91" s="3" t="s">
        <v>914</v>
      </c>
    </row>
    <row r="92" spans="3:3" ht="15.75" thickBot="1">
      <c r="C92" s="3" t="s">
        <v>915</v>
      </c>
    </row>
    <row r="93" spans="3:3" ht="15.75" thickBot="1">
      <c r="C93" s="3" t="s">
        <v>916</v>
      </c>
    </row>
    <row r="94" spans="3:3" ht="34.5" thickBot="1">
      <c r="C94" s="3" t="s">
        <v>917</v>
      </c>
    </row>
    <row r="95" spans="3:3" ht="15.75" thickBot="1">
      <c r="C95" s="3" t="s">
        <v>918</v>
      </c>
    </row>
    <row r="96" spans="3:3" ht="15.75" thickBot="1">
      <c r="C96" s="3" t="s">
        <v>919</v>
      </c>
    </row>
    <row r="97" spans="3:3" ht="15.75" thickBot="1">
      <c r="C97" s="3" t="s">
        <v>920</v>
      </c>
    </row>
    <row r="98" spans="3:3" ht="15.75" thickBot="1">
      <c r="C98" s="3" t="s">
        <v>921</v>
      </c>
    </row>
    <row r="99" spans="3:3" ht="15.75" thickBot="1">
      <c r="C99" s="3" t="s">
        <v>922</v>
      </c>
    </row>
    <row r="100" spans="3:3" ht="23.25" thickBot="1">
      <c r="C100" s="3" t="s">
        <v>923</v>
      </c>
    </row>
    <row r="101" spans="3:3" ht="15.75" thickBot="1">
      <c r="C101" s="3" t="s">
        <v>924</v>
      </c>
    </row>
    <row r="102" spans="3:3" ht="15.75" thickBot="1">
      <c r="C102" s="3" t="s">
        <v>925</v>
      </c>
    </row>
    <row r="103" spans="3:3" ht="15.75" thickBot="1">
      <c r="C103" s="3" t="s">
        <v>926</v>
      </c>
    </row>
    <row r="104" spans="3:3" ht="15.75" thickBot="1">
      <c r="C104" s="3" t="s">
        <v>927</v>
      </c>
    </row>
    <row r="105" spans="3:3" ht="15.75" thickBot="1">
      <c r="C105" s="3" t="s">
        <v>928</v>
      </c>
    </row>
    <row r="106" spans="3:3" ht="15.75" thickBot="1">
      <c r="C106" s="3" t="s">
        <v>929</v>
      </c>
    </row>
    <row r="107" spans="3:3" ht="15.75" thickBot="1">
      <c r="C107" s="3" t="s">
        <v>930</v>
      </c>
    </row>
    <row r="108" spans="3:3" ht="15.75" thickBot="1">
      <c r="C108" s="3" t="s">
        <v>931</v>
      </c>
    </row>
    <row r="109" spans="3:3" ht="15.75" thickBot="1">
      <c r="C109" s="3" t="s">
        <v>932</v>
      </c>
    </row>
    <row r="110" spans="3:3" ht="23.25" thickBot="1">
      <c r="C110" s="3" t="s">
        <v>933</v>
      </c>
    </row>
    <row r="111" spans="3:3" ht="15.75" thickBot="1">
      <c r="C111" s="3" t="s">
        <v>934</v>
      </c>
    </row>
    <row r="112" spans="3:3" ht="23.25" thickBot="1">
      <c r="C112" s="3" t="s">
        <v>935</v>
      </c>
    </row>
    <row r="113" spans="3:3" ht="15.75" thickBot="1">
      <c r="C113" s="3" t="s">
        <v>936</v>
      </c>
    </row>
    <row r="114" spans="3:3" ht="15.75" thickBot="1">
      <c r="C114" s="3" t="s">
        <v>937</v>
      </c>
    </row>
    <row r="115" spans="3:3" ht="15.75" thickBot="1">
      <c r="C115" s="3" t="s">
        <v>938</v>
      </c>
    </row>
    <row r="116" spans="3:3" ht="15.75" thickBot="1">
      <c r="C116" s="3" t="s">
        <v>939</v>
      </c>
    </row>
    <row r="117" spans="3:3" ht="15.75" thickBot="1">
      <c r="C117" s="3" t="s">
        <v>940</v>
      </c>
    </row>
    <row r="118" spans="3:3" ht="15.75" thickBot="1">
      <c r="C118" s="3" t="s">
        <v>941</v>
      </c>
    </row>
    <row r="119" spans="3:3" ht="15.75" thickBot="1">
      <c r="C119" s="3" t="s">
        <v>942</v>
      </c>
    </row>
    <row r="120" spans="3:3" ht="15.75" thickBot="1">
      <c r="C120" s="3" t="s">
        <v>943</v>
      </c>
    </row>
    <row r="121" spans="3:3" ht="15.75" thickBot="1">
      <c r="C121" s="3" t="s">
        <v>944</v>
      </c>
    </row>
    <row r="122" spans="3:3" ht="15.75" thickBot="1">
      <c r="C122" s="3" t="s">
        <v>945</v>
      </c>
    </row>
    <row r="123" spans="3:3" ht="15.75" thickBot="1">
      <c r="C123" s="3" t="s">
        <v>946</v>
      </c>
    </row>
    <row r="124" spans="3:3" ht="23.25" thickBot="1">
      <c r="C124" s="3" t="s">
        <v>947</v>
      </c>
    </row>
    <row r="125" spans="3:3" ht="23.25" thickBot="1">
      <c r="C125" s="3" t="s">
        <v>948</v>
      </c>
    </row>
    <row r="126" spans="3:3" ht="15.75" thickBot="1">
      <c r="C126" s="3" t="s">
        <v>949</v>
      </c>
    </row>
    <row r="127" spans="3:3" ht="15.75" thickBot="1">
      <c r="C127" s="3" t="s">
        <v>950</v>
      </c>
    </row>
    <row r="128" spans="3:3" ht="15.75" thickBot="1">
      <c r="C128" s="3" t="s">
        <v>951</v>
      </c>
    </row>
    <row r="129" spans="3:3" ht="15.75" thickBot="1">
      <c r="C129" s="3" t="s">
        <v>952</v>
      </c>
    </row>
    <row r="130" spans="3:3" ht="23.25" thickBot="1">
      <c r="C130" s="3" t="s">
        <v>953</v>
      </c>
    </row>
    <row r="131" spans="3:3" ht="15.75" thickBot="1">
      <c r="C131" s="3" t="s">
        <v>954</v>
      </c>
    </row>
    <row r="132" spans="3:3" ht="15.75" thickBot="1">
      <c r="C132" s="3" t="s">
        <v>955</v>
      </c>
    </row>
    <row r="133" spans="3:3" ht="15.75" thickBot="1">
      <c r="C133" s="3" t="s">
        <v>956</v>
      </c>
    </row>
    <row r="134" spans="3:3" ht="15.75" thickBot="1">
      <c r="C134" s="3" t="s">
        <v>957</v>
      </c>
    </row>
    <row r="135" spans="3:3" ht="15.75" thickBot="1">
      <c r="C135" s="3" t="s">
        <v>958</v>
      </c>
    </row>
    <row r="136" spans="3:3" ht="15.75" thickBot="1">
      <c r="C136" s="3" t="s">
        <v>959</v>
      </c>
    </row>
    <row r="137" spans="3:3" ht="15.75" thickBot="1">
      <c r="C137" s="3" t="s">
        <v>960</v>
      </c>
    </row>
    <row r="138" spans="3:3" ht="15.75" thickBot="1">
      <c r="C138" s="3" t="s">
        <v>961</v>
      </c>
    </row>
    <row r="139" spans="3:3" ht="15.75" thickBot="1">
      <c r="C139" s="3" t="s">
        <v>962</v>
      </c>
    </row>
    <row r="140" spans="3:3" ht="15.75" thickBot="1">
      <c r="C140" s="3" t="s">
        <v>963</v>
      </c>
    </row>
    <row r="141" spans="3:3" ht="15.75" thickBot="1">
      <c r="C141" s="3" t="s">
        <v>964</v>
      </c>
    </row>
    <row r="142" spans="3:3" ht="15.75" thickBot="1">
      <c r="C142" s="3" t="s">
        <v>965</v>
      </c>
    </row>
    <row r="143" spans="3:3" ht="23.25" thickBot="1">
      <c r="C143" s="3" t="s">
        <v>966</v>
      </c>
    </row>
    <row r="144" spans="3:3" ht="15.75" thickBot="1">
      <c r="C144" s="3" t="s">
        <v>967</v>
      </c>
    </row>
    <row r="145" spans="3:3" ht="23.25" thickBot="1">
      <c r="C145" s="3" t="s">
        <v>968</v>
      </c>
    </row>
    <row r="146" spans="3:3" ht="15.75" thickBot="1">
      <c r="C146" s="3" t="s">
        <v>969</v>
      </c>
    </row>
    <row r="147" spans="3:3" ht="15.75" thickBot="1">
      <c r="C147" s="3" t="s">
        <v>970</v>
      </c>
    </row>
    <row r="148" spans="3:3" ht="15.75" thickBot="1">
      <c r="C148" s="3" t="s">
        <v>971</v>
      </c>
    </row>
    <row r="149" spans="3:3" ht="15.75" thickBot="1">
      <c r="C149" s="3" t="s">
        <v>972</v>
      </c>
    </row>
    <row r="150" spans="3:3" ht="15.75" thickBot="1">
      <c r="C150" s="3" t="s">
        <v>973</v>
      </c>
    </row>
    <row r="151" spans="3:3" ht="15.75" thickBot="1">
      <c r="C151" s="3" t="s">
        <v>974</v>
      </c>
    </row>
    <row r="152" spans="3:3" ht="15.75" thickBot="1">
      <c r="C152" s="3" t="s">
        <v>975</v>
      </c>
    </row>
    <row r="153" spans="3:3" ht="23.25" thickBot="1">
      <c r="C153" s="3" t="s">
        <v>976</v>
      </c>
    </row>
    <row r="154" spans="3:3" ht="15.75" thickBot="1">
      <c r="C154" s="3" t="s">
        <v>977</v>
      </c>
    </row>
    <row r="155" spans="3:3" ht="15.75" thickBot="1">
      <c r="C155" s="3" t="s">
        <v>978</v>
      </c>
    </row>
    <row r="156" spans="3:3" ht="15.75" thickBot="1">
      <c r="C156" s="3" t="s">
        <v>979</v>
      </c>
    </row>
    <row r="157" spans="3:3" ht="15.75" thickBot="1">
      <c r="C157" s="3" t="s">
        <v>980</v>
      </c>
    </row>
    <row r="158" spans="3:3" ht="15.75" thickBot="1">
      <c r="C158" s="3" t="s">
        <v>981</v>
      </c>
    </row>
    <row r="159" spans="3:3" ht="15.75" thickBot="1">
      <c r="C159" s="3" t="s">
        <v>982</v>
      </c>
    </row>
    <row r="160" spans="3:3" ht="15.75" thickBot="1">
      <c r="C160" s="3" t="s">
        <v>983</v>
      </c>
    </row>
    <row r="161" spans="3:3" ht="15.75" thickBot="1">
      <c r="C161" s="3" t="s">
        <v>984</v>
      </c>
    </row>
    <row r="162" spans="3:3" ht="15.75" thickBot="1">
      <c r="C162" s="3" t="s">
        <v>985</v>
      </c>
    </row>
    <row r="163" spans="3:3" ht="15.75" thickBot="1">
      <c r="C163" s="3" t="s">
        <v>986</v>
      </c>
    </row>
    <row r="164" spans="3:3" ht="15.75" thickBot="1">
      <c r="C164" s="3" t="s">
        <v>987</v>
      </c>
    </row>
    <row r="165" spans="3:3" ht="15.75" thickBot="1">
      <c r="C165" s="3" t="s">
        <v>988</v>
      </c>
    </row>
    <row r="166" spans="3:3" ht="15.75" thickBot="1">
      <c r="C166" s="3" t="s">
        <v>989</v>
      </c>
    </row>
    <row r="167" spans="3:3" ht="15.75" thickBot="1">
      <c r="C167" s="3" t="s">
        <v>990</v>
      </c>
    </row>
    <row r="168" spans="3:3" ht="15.75" thickBot="1">
      <c r="C168" s="3" t="s">
        <v>991</v>
      </c>
    </row>
    <row r="169" spans="3:3" ht="15.75" thickBot="1">
      <c r="C169" s="3" t="s">
        <v>992</v>
      </c>
    </row>
    <row r="170" spans="3:3" ht="15.75" thickBot="1">
      <c r="C170" s="3" t="s">
        <v>993</v>
      </c>
    </row>
    <row r="171" spans="3:3" ht="15.75" thickBot="1">
      <c r="C171" s="3" t="s">
        <v>994</v>
      </c>
    </row>
    <row r="172" spans="3:3" ht="15.75" thickBot="1">
      <c r="C172" s="3" t="s">
        <v>995</v>
      </c>
    </row>
    <row r="173" spans="3:3" ht="15.75" thickBot="1">
      <c r="C173" s="3" t="s">
        <v>996</v>
      </c>
    </row>
    <row r="174" spans="3:3" ht="15.75" thickBot="1">
      <c r="C174" s="3" t="s">
        <v>997</v>
      </c>
    </row>
    <row r="175" spans="3:3" ht="15.75" thickBot="1">
      <c r="C175" s="3" t="s">
        <v>998</v>
      </c>
    </row>
    <row r="176" spans="3:3" ht="15.75" thickBot="1">
      <c r="C176" s="3" t="s">
        <v>999</v>
      </c>
    </row>
    <row r="177" spans="3:3" ht="15.75" thickBot="1">
      <c r="C177" s="3" t="s">
        <v>1000</v>
      </c>
    </row>
    <row r="178" spans="3:3" ht="15.75" thickBot="1">
      <c r="C178" s="3" t="s">
        <v>1001</v>
      </c>
    </row>
    <row r="179" spans="3:3" ht="15.75" thickBot="1">
      <c r="C179" s="3" t="s">
        <v>1002</v>
      </c>
    </row>
    <row r="180" spans="3:3" ht="23.25" thickBot="1">
      <c r="C180" s="3" t="s">
        <v>1003</v>
      </c>
    </row>
    <row r="181" spans="3:3" ht="15.75" thickBot="1">
      <c r="C181" s="3" t="s">
        <v>1004</v>
      </c>
    </row>
    <row r="182" spans="3:3" ht="15.75" thickBot="1">
      <c r="C182" s="3" t="s">
        <v>1005</v>
      </c>
    </row>
    <row r="183" spans="3:3" ht="15.75" thickBot="1">
      <c r="C183" s="3" t="s">
        <v>1006</v>
      </c>
    </row>
    <row r="184" spans="3:3" ht="23.25" thickBot="1">
      <c r="C184" s="3" t="s">
        <v>1007</v>
      </c>
    </row>
    <row r="185" spans="3:3" ht="15.75" thickBot="1">
      <c r="C185" s="3" t="s">
        <v>1008</v>
      </c>
    </row>
    <row r="186" spans="3:3" ht="15.75" thickBot="1">
      <c r="C186" s="3" t="s">
        <v>1009</v>
      </c>
    </row>
    <row r="187" spans="3:3" ht="15.75" thickBot="1">
      <c r="C187" s="3" t="s">
        <v>1010</v>
      </c>
    </row>
    <row r="188" spans="3:3" ht="15.75" thickBot="1">
      <c r="C188" s="3" t="s">
        <v>1011</v>
      </c>
    </row>
    <row r="189" spans="3:3" ht="15.75" thickBot="1">
      <c r="C189" s="3" t="s">
        <v>1012</v>
      </c>
    </row>
    <row r="190" spans="3:3" ht="15.75" thickBot="1">
      <c r="C190" s="3" t="s">
        <v>1013</v>
      </c>
    </row>
    <row r="191" spans="3:3" ht="15.75" thickBot="1">
      <c r="C191" s="3" t="s">
        <v>1014</v>
      </c>
    </row>
    <row r="192" spans="3:3" ht="15.75" thickBot="1">
      <c r="C192" s="3" t="s">
        <v>1015</v>
      </c>
    </row>
    <row r="193" spans="3:3" ht="15.75" thickBot="1">
      <c r="C193" s="3" t="s">
        <v>1016</v>
      </c>
    </row>
    <row r="194" spans="3:3" ht="15.75" thickBot="1">
      <c r="C194" s="3" t="s">
        <v>1017</v>
      </c>
    </row>
    <row r="195" spans="3:3" ht="23.25" thickBot="1">
      <c r="C195" s="3" t="s">
        <v>1018</v>
      </c>
    </row>
    <row r="196" spans="3:3" ht="15.75" thickBot="1">
      <c r="C196" s="3" t="s">
        <v>1019</v>
      </c>
    </row>
    <row r="197" spans="3:3" ht="15.75" thickBot="1">
      <c r="C197" s="3" t="s">
        <v>1020</v>
      </c>
    </row>
    <row r="198" spans="3:3" ht="15.75" thickBot="1">
      <c r="C198" s="3" t="s">
        <v>1021</v>
      </c>
    </row>
    <row r="199" spans="3:3" ht="15.75" thickBot="1">
      <c r="C199" s="3" t="s">
        <v>1022</v>
      </c>
    </row>
    <row r="200" spans="3:3" ht="15.75" thickBot="1">
      <c r="C200" s="3" t="s">
        <v>1023</v>
      </c>
    </row>
    <row r="201" spans="3:3" ht="15.75" thickBot="1">
      <c r="C201" s="3" t="s">
        <v>1024</v>
      </c>
    </row>
    <row r="202" spans="3:3" ht="15.75" thickBot="1">
      <c r="C202" s="3" t="s">
        <v>1025</v>
      </c>
    </row>
    <row r="203" spans="3:3" ht="34.5" thickBot="1">
      <c r="C203" s="3" t="s">
        <v>1026</v>
      </c>
    </row>
    <row r="204" spans="3:3" ht="15.75" thickBot="1">
      <c r="C204" s="3" t="s">
        <v>1027</v>
      </c>
    </row>
    <row r="205" spans="3:3" ht="23.25" thickBot="1">
      <c r="C205" s="3" t="s">
        <v>1028</v>
      </c>
    </row>
    <row r="206" spans="3:3" ht="15.75" thickBot="1">
      <c r="C206" s="3" t="s">
        <v>1029</v>
      </c>
    </row>
    <row r="207" spans="3:3" ht="15.75" thickBot="1">
      <c r="C207" s="3" t="s">
        <v>1030</v>
      </c>
    </row>
    <row r="208" spans="3:3" ht="15.75" thickBot="1">
      <c r="C208" s="3" t="s">
        <v>1031</v>
      </c>
    </row>
    <row r="209" spans="3:3" ht="15.75" thickBot="1">
      <c r="C209" s="3" t="s">
        <v>1032</v>
      </c>
    </row>
    <row r="210" spans="3:3" ht="15.75" thickBot="1">
      <c r="C210" s="3" t="s">
        <v>1033</v>
      </c>
    </row>
    <row r="211" spans="3:3" ht="15.75" thickBot="1">
      <c r="C211" s="3" t="s">
        <v>1034</v>
      </c>
    </row>
    <row r="212" spans="3:3" ht="15.75" thickBot="1">
      <c r="C212" s="3" t="s">
        <v>1035</v>
      </c>
    </row>
    <row r="213" spans="3:3" ht="23.25" thickBot="1">
      <c r="C213" s="3" t="s">
        <v>1036</v>
      </c>
    </row>
    <row r="214" spans="3:3" ht="15.75" thickBot="1">
      <c r="C214" s="3" t="s">
        <v>1037</v>
      </c>
    </row>
    <row r="215" spans="3:3" ht="23.25" thickBot="1">
      <c r="C215" s="3" t="s">
        <v>1038</v>
      </c>
    </row>
    <row r="216" spans="3:3" ht="23.25" thickBot="1">
      <c r="C216" s="3" t="s">
        <v>1039</v>
      </c>
    </row>
    <row r="217" spans="3:3" ht="15.75" thickBot="1">
      <c r="C217" s="3" t="s">
        <v>1040</v>
      </c>
    </row>
    <row r="218" spans="3:3" ht="23.25" thickBot="1">
      <c r="C218" s="3" t="s">
        <v>1041</v>
      </c>
    </row>
    <row r="219" spans="3:3" ht="15.75" thickBot="1">
      <c r="C219" s="3" t="s">
        <v>1042</v>
      </c>
    </row>
    <row r="220" spans="3:3" ht="23.25" thickBot="1">
      <c r="C220" s="3" t="s">
        <v>1043</v>
      </c>
    </row>
    <row r="221" spans="3:3" ht="15.75" thickBot="1">
      <c r="C221" s="3" t="s">
        <v>1044</v>
      </c>
    </row>
    <row r="222" spans="3:3" ht="15.75" thickBot="1">
      <c r="C222" s="3" t="s">
        <v>1045</v>
      </c>
    </row>
    <row r="223" spans="3:3" ht="15.75" thickBot="1">
      <c r="C223" s="3" t="s">
        <v>1046</v>
      </c>
    </row>
    <row r="224" spans="3:3" ht="15.75" thickBot="1">
      <c r="C224" s="3" t="s">
        <v>1047</v>
      </c>
    </row>
    <row r="225" spans="3:3" ht="15.75" thickBot="1">
      <c r="C225" s="3" t="s">
        <v>1048</v>
      </c>
    </row>
    <row r="226" spans="3:3" ht="15.75" thickBot="1">
      <c r="C226" s="3" t="s">
        <v>1049</v>
      </c>
    </row>
    <row r="227" spans="3:3" ht="15.75" thickBot="1">
      <c r="C227" s="3" t="s">
        <v>1050</v>
      </c>
    </row>
    <row r="228" spans="3:3" ht="15.75" thickBot="1">
      <c r="C228" s="3" t="s">
        <v>1051</v>
      </c>
    </row>
    <row r="229" spans="3:3" ht="15.75" thickBot="1">
      <c r="C229" s="3" t="s">
        <v>1052</v>
      </c>
    </row>
    <row r="230" spans="3:3" ht="23.25" thickBot="1">
      <c r="C230" s="3" t="s">
        <v>1053</v>
      </c>
    </row>
    <row r="231" spans="3:3" ht="15.75" thickBot="1">
      <c r="C231" s="3" t="s">
        <v>1054</v>
      </c>
    </row>
    <row r="232" spans="3:3" ht="23.25" thickBot="1">
      <c r="C232" s="3" t="s">
        <v>1055</v>
      </c>
    </row>
    <row r="233" spans="3:3" ht="23.25" thickBot="1">
      <c r="C233" s="3" t="s">
        <v>1056</v>
      </c>
    </row>
    <row r="234" spans="3:3" ht="15.75" thickBot="1">
      <c r="C234" s="3" t="s">
        <v>1057</v>
      </c>
    </row>
    <row r="235" spans="3:3" ht="15.75" thickBot="1">
      <c r="C235" s="3" t="s">
        <v>1058</v>
      </c>
    </row>
    <row r="236" spans="3:3" ht="23.25" thickBot="1">
      <c r="C236" s="3" t="s">
        <v>1059</v>
      </c>
    </row>
    <row r="237" spans="3:3" ht="23.25" thickBot="1">
      <c r="C237" s="3" t="s">
        <v>1060</v>
      </c>
    </row>
    <row r="238" spans="3:3" ht="15.75" thickBot="1">
      <c r="C238" s="3" t="s">
        <v>1061</v>
      </c>
    </row>
    <row r="239" spans="3:3" ht="15.75" thickBot="1">
      <c r="C239" s="3" t="s">
        <v>1062</v>
      </c>
    </row>
    <row r="240" spans="3:3" ht="15.75" thickBot="1">
      <c r="C240" s="3" t="s">
        <v>1063</v>
      </c>
    </row>
    <row r="241" spans="3:3" ht="23.25" thickBot="1">
      <c r="C241" s="3" t="s">
        <v>1064</v>
      </c>
    </row>
    <row r="242" spans="3:3" ht="23.25" thickBot="1">
      <c r="C242" s="3" t="s">
        <v>1065</v>
      </c>
    </row>
    <row r="243" spans="3:3" ht="23.25" thickBot="1">
      <c r="C243" s="3" t="s">
        <v>1066</v>
      </c>
    </row>
    <row r="244" spans="3:3" ht="15.75" thickBot="1">
      <c r="C244" s="3" t="s">
        <v>1067</v>
      </c>
    </row>
    <row r="245" spans="3:3" ht="15.75" thickBot="1">
      <c r="C245" s="3" t="s">
        <v>1068</v>
      </c>
    </row>
    <row r="246" spans="3:3" ht="15.75" thickBot="1">
      <c r="C246" s="3" t="s">
        <v>1069</v>
      </c>
    </row>
    <row r="247" spans="3:3" ht="15.75" thickBot="1">
      <c r="C247" s="3" t="s">
        <v>1070</v>
      </c>
    </row>
    <row r="248" spans="3:3" ht="15.75" thickBot="1">
      <c r="C248" s="3" t="s">
        <v>1071</v>
      </c>
    </row>
    <row r="249" spans="3:3" ht="15.75" thickBot="1">
      <c r="C249" s="3" t="s">
        <v>1072</v>
      </c>
    </row>
    <row r="250" spans="3:3" ht="15.75" thickBot="1">
      <c r="C250" s="3" t="s">
        <v>1073</v>
      </c>
    </row>
    <row r="251" spans="3:3" ht="15.75" thickBot="1">
      <c r="C251" s="3" t="s">
        <v>1074</v>
      </c>
    </row>
    <row r="252" spans="3:3" ht="15.75" thickBot="1">
      <c r="C252" s="3" t="s">
        <v>1075</v>
      </c>
    </row>
    <row r="253" spans="3:3" ht="15.75" thickBot="1">
      <c r="C253" s="3" t="s">
        <v>1076</v>
      </c>
    </row>
  </sheetData>
  <phoneticPr fontId="88" type="noConversion"/>
  <pageMargins left="0.23622047244094491" right="0.23622047244094491" top="0.74803149606299213" bottom="0.74803149606299213" header="0.31496062992125984" footer="0.31496062992125984"/>
  <pageSetup paperSize="8"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03B4DCCC-FD69-4141-AE08-E0E93945E96F}"/>
</file>

<file path=customXml/itemProps2.xml><?xml version="1.0" encoding="utf-8"?>
<ds:datastoreItem xmlns:ds="http://schemas.openxmlformats.org/officeDocument/2006/customXml" ds:itemID="{8F0A9755-FB58-4EAD-AAED-66C57FC6CBEB}"/>
</file>

<file path=customXml/itemProps3.xml><?xml version="1.0" encoding="utf-8"?>
<ds:datastoreItem xmlns:ds="http://schemas.openxmlformats.org/officeDocument/2006/customXml" ds:itemID="{BEA49F86-7689-42F3-B83B-5D98592898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0_ReadMe</vt:lpstr>
      <vt:lpstr>0_Identification</vt:lpstr>
      <vt:lpstr>1_Key data</vt:lpstr>
      <vt:lpstr>2.1_P&amp;L_drivers</vt:lpstr>
      <vt:lpstr>3_AM &amp; Custodian activities</vt:lpstr>
      <vt:lpstr>4.1_Loan pricing</vt:lpstr>
      <vt:lpstr>5.2_Markets &amp; Positioning</vt:lpstr>
      <vt:lpstr>6_Remuneration</vt:lpstr>
      <vt:lpstr>Reference for drop-down menus</vt:lpstr>
      <vt:lpstr>'1_Key data'!Print_Area</vt:lpstr>
      <vt:lpstr>'4.1_Loan pricing'!Print_Area</vt:lpstr>
      <vt:lpstr>'5.2_Markets &amp; Positioning'!Print_Area</vt:lpstr>
      <vt:lpstr>'Reference for drop-down menus'!Print_Area</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Caruso, Enrico</dc:creator>
  <cp:lastModifiedBy>Nicolae, Antonia-Ioana</cp:lastModifiedBy>
  <cp:lastPrinted>2018-01-10T09:44:21Z</cp:lastPrinted>
  <dcterms:created xsi:type="dcterms:W3CDTF">2016-02-15T14:13:38Z</dcterms:created>
  <dcterms:modified xsi:type="dcterms:W3CDTF">2023-10-09T08:45:54Z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{6DFF7F73-09C8-45BA-9AE4-A7690D87DC38}</vt:lpwstr>
  </property>
  <property fmtid="{D5CDD505-2E9C-101B-9397-08002B2CF9AE}" pid="3" name="ContentTypeId">
    <vt:lpwstr>0x010100845A6BCA4ACA584C9A1C03FD3956D51C</vt:lpwstr>
  </property>
</Properties>
</file>