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16"/>
  <workbookPr showInkAnnotation="0"/>
  <mc:AlternateContent xmlns:mc="http://schemas.openxmlformats.org/markup-compatibility/2006">
    <mc:Choice Requires="x15">
      <x15ac:absPath xmlns:x15ac="http://schemas.microsoft.com/office/spreadsheetml/2010/11/ac" url="C:\Users\E804704\Santander Office 365\BS Reporting Pilar III - General\04. Documentação &amp; Data dictionary\02. Envio documentação CDO Espanha\"/>
    </mc:Choice>
  </mc:AlternateContent>
  <xr:revisionPtr revIDLastSave="0" documentId="11_B46D4897C001089E66109FB99FA10E02F953A141" xr6:coauthVersionLast="47" xr6:coauthVersionMax="47" xr10:uidLastSave="{00000000-0000-0000-0000-000000000000}"/>
  <bookViews>
    <workbookView xWindow="28680" yWindow="-120" windowWidth="29040" windowHeight="15840" firstSheet="1" activeTab="1" xr2:uid="{00000000-000D-0000-FFFF-FFFF00000000}"/>
  </bookViews>
  <sheets>
    <sheet name="0. Instructions" sheetId="3" r:id="rId1"/>
    <sheet name="1. Data dictionary" sheetId="1" r:id="rId2"/>
    <sheet name="Sheet1" sheetId="6" state="hidden" r:id="rId3"/>
    <sheet name="2. Track Changes V4" sheetId="5" r:id="rId4"/>
    <sheet name="2) Check dicc. y satelites " sheetId="9" state="hidden" r:id="rId5"/>
    <sheet name="3) Todos satelites " sheetId="8" state="hidden" r:id="rId6"/>
  </sheets>
  <definedNames>
    <definedName name="_xlnm._FilterDatabase" localSheetId="1" hidden="1">'1. Data dictionary'!$A$1:$Y$4</definedName>
    <definedName name="_xlnm._FilterDatabase" localSheetId="4" hidden="1">'2) Check dicc. y satelites '!$B$2:$E$95</definedName>
    <definedName name="_xlnm._FilterDatabase" localSheetId="5" hidden="1">'3) Todos satelites '!$B$5:$E$58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5" i="9" l="1"/>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E47" i="8"/>
  <c r="E45" i="8"/>
  <c r="E39" i="8"/>
  <c r="E38" i="8"/>
  <c r="E36" i="8"/>
  <c r="E35" i="8"/>
  <c r="E22" i="8"/>
  <c r="E57" i="8"/>
  <c r="E55" i="8"/>
  <c r="E53" i="8"/>
  <c r="E58" i="8"/>
  <c r="E56" i="8"/>
  <c r="E54" i="8"/>
  <c r="E40" i="8"/>
  <c r="E33" i="8" l="1"/>
  <c r="E20" i="8"/>
  <c r="E16" i="8"/>
  <c r="E15" i="8"/>
  <c r="E14" i="8"/>
  <c r="E12" i="8"/>
  <c r="E11" i="8"/>
  <c r="E52" i="8"/>
  <c r="E51" i="8"/>
  <c r="E50" i="8"/>
  <c r="E49" i="8"/>
  <c r="E48" i="8"/>
  <c r="E46" i="8"/>
  <c r="E44" i="8"/>
  <c r="E43" i="8"/>
  <c r="E42" i="8"/>
  <c r="E41" i="8"/>
  <c r="E37" i="8"/>
  <c r="E32" i="8"/>
  <c r="E31" i="8"/>
  <c r="E29" i="8"/>
  <c r="E28" i="8"/>
  <c r="E27" i="8"/>
  <c r="E26" i="8"/>
  <c r="E25" i="8"/>
  <c r="E23" i="8"/>
  <c r="E21" i="8"/>
  <c r="E18" i="8"/>
  <c r="E17" i="8"/>
  <c r="E13" i="8"/>
  <c r="E10" i="8"/>
  <c r="E9" i="8"/>
  <c r="E8" i="8"/>
  <c r="E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n64564</author>
    <author>x470429</author>
  </authors>
  <commentList>
    <comment ref="E3" authorId="0" shapeId="0" xr:uid="{00000000-0006-0000-0100-000001000000}">
      <text>
        <r>
          <rPr>
            <b/>
            <sz val="9"/>
            <color indexed="81"/>
            <rFont val="Tahoma"/>
            <family val="2"/>
          </rPr>
          <t>n64564:</t>
        </r>
        <r>
          <rPr>
            <sz val="9"/>
            <color indexed="81"/>
            <rFont val="Tahoma"/>
            <family val="2"/>
          </rPr>
          <t xml:space="preserve">
Perimeter of businesses for which information is required</t>
        </r>
      </text>
    </comment>
    <comment ref="F3" authorId="1" shapeId="0" xr:uid="{00000000-0006-0000-0100-000002000000}">
      <text>
        <r>
          <rPr>
            <b/>
            <sz val="9"/>
            <color indexed="81"/>
            <rFont val="Tahoma"/>
            <family val="2"/>
          </rPr>
          <t>x470429:</t>
        </r>
        <r>
          <rPr>
            <sz val="9"/>
            <color indexed="81"/>
            <rFont val="Tahoma"/>
            <family val="2"/>
          </rPr>
          <t xml:space="preserve">
Indicate if the data is used at the client, operation, etc. level. For example, the NACE code is assigned to clients, therefore, its level would be Client</t>
        </r>
      </text>
    </comment>
  </commentList>
</comments>
</file>

<file path=xl/sharedStrings.xml><?xml version="1.0" encoding="utf-8"?>
<sst xmlns="http://schemas.openxmlformats.org/spreadsheetml/2006/main" count="1844" uniqueCount="593">
  <si>
    <t>Instructions</t>
  </si>
  <si>
    <t>In order facilitate reaching an understanding of the data requirements a description of the functionality of each column is provided below:</t>
  </si>
  <si>
    <t>Data Compilation</t>
  </si>
  <si>
    <r>
      <t xml:space="preserve">Metric Name: </t>
    </r>
    <r>
      <rPr>
        <sz val="11"/>
        <color theme="1"/>
        <rFont val="Santander Headline"/>
        <family val="2"/>
      </rPr>
      <t>Name given to the data</t>
    </r>
  </si>
  <si>
    <r>
      <t xml:space="preserve">Metric Description: </t>
    </r>
    <r>
      <rPr>
        <sz val="11"/>
        <color theme="1"/>
        <rFont val="Santander Headline"/>
        <family val="2"/>
      </rPr>
      <t xml:space="preserve"> Functional description of the data</t>
    </r>
  </si>
  <si>
    <t>Operational Information</t>
  </si>
  <si>
    <r>
      <t xml:space="preserve">Scope Business: </t>
    </r>
    <r>
      <rPr>
        <sz val="11"/>
        <color theme="1"/>
        <rFont val="Santander Headline"/>
        <family val="2"/>
      </rPr>
      <t>Customer segment for which it is required to provision the data</t>
    </r>
  </si>
  <si>
    <r>
      <t xml:space="preserve">Level: </t>
    </r>
    <r>
      <rPr>
        <sz val="11"/>
        <color theme="1"/>
        <rFont val="Santander Headline"/>
        <family val="2"/>
      </rPr>
      <t>level of granularity of the information required (Counterparty, Contract,etc)</t>
    </r>
  </si>
  <si>
    <r>
      <t xml:space="preserve">Frequency: </t>
    </r>
    <r>
      <rPr>
        <sz val="11"/>
        <color theme="1"/>
        <rFont val="Santander Headline"/>
        <family val="2"/>
      </rPr>
      <t>frequency with which data is required</t>
    </r>
  </si>
  <si>
    <r>
      <t xml:space="preserve">Deadline for data availability: </t>
    </r>
    <r>
      <rPr>
        <sz val="11"/>
        <color theme="1"/>
        <rFont val="Santander Headline"/>
        <family val="2"/>
      </rPr>
      <t>when data need to be available to be consumed for be used in pilot or reporting</t>
    </r>
  </si>
  <si>
    <r>
      <t xml:space="preserve">Related Standard: </t>
    </r>
    <r>
      <rPr>
        <sz val="11"/>
        <color theme="1"/>
        <rFont val="Santander Headline"/>
        <family val="2"/>
      </rPr>
      <t>if data is used in other standard or regulation (e.g. FINREP). In affirmative case, data should be aligned with the data used in other standard</t>
    </r>
  </si>
  <si>
    <t>Pillar III</t>
  </si>
  <si>
    <r>
      <rPr>
        <i/>
        <sz val="11"/>
        <color theme="1"/>
        <rFont val="Santander Headline"/>
        <family val="2"/>
      </rPr>
      <t xml:space="preserve">Template: </t>
    </r>
    <r>
      <rPr>
        <sz val="11"/>
        <color theme="1"/>
        <rFont val="Santander Headline"/>
        <family val="2"/>
      </rPr>
      <t>Pillar III template in which this data is used</t>
    </r>
  </si>
  <si>
    <t>Structure for Pillar III Reporting: Master/Satelite</t>
  </si>
  <si>
    <t>Satelite: Pilar III satelite in which this data is used.</t>
  </si>
  <si>
    <t>Source</t>
  </si>
  <si>
    <r>
      <rPr>
        <i/>
        <sz val="11"/>
        <color theme="1"/>
        <rFont val="Santander Headline"/>
        <family val="2"/>
      </rPr>
      <t>Strategic Source:</t>
    </r>
    <r>
      <rPr>
        <sz val="11"/>
        <color theme="1"/>
        <rFont val="Santander Headline"/>
        <family val="2"/>
      </rPr>
      <t xml:space="preserve"> System in which the data will have to be stored (TO BE)</t>
    </r>
  </si>
  <si>
    <r>
      <t xml:space="preserve">External Data Providers referenced by Corporation: </t>
    </r>
    <r>
      <rPr>
        <sz val="11"/>
        <color theme="1"/>
        <rFont val="Santander Headline"/>
        <family val="2"/>
      </rPr>
      <t>Providers used in HQ for obtaining the data. In case you need to use external data, this option could be managed from HQ.</t>
    </r>
  </si>
  <si>
    <r>
      <t xml:space="preserve">Needed to be report to HQ?: </t>
    </r>
    <r>
      <rPr>
        <sz val="11"/>
        <color theme="1"/>
        <rFont val="Santander Headline"/>
        <family val="2"/>
      </rPr>
      <t>If 'Yes', a tactical file must be reported to HQ in order to identify hazards and quickly create action plans. If this information is already available in BDR it is not necessary to report the data.</t>
    </r>
  </si>
  <si>
    <r>
      <rPr>
        <i/>
        <sz val="11"/>
        <color theme="4"/>
        <rFont val="Santander Headline"/>
        <family val="2"/>
      </rPr>
      <t xml:space="preserve">Available in local systems?: </t>
    </r>
    <r>
      <rPr>
        <i/>
        <sz val="11"/>
        <color theme="1"/>
        <rFont val="Santander Headline"/>
        <family val="2"/>
      </rPr>
      <t>This cell should be completed by you answering if each data is available in your unit or not</t>
    </r>
  </si>
  <si>
    <r>
      <rPr>
        <i/>
        <sz val="11"/>
        <color theme="4"/>
        <rFont val="Santander Headline"/>
        <family val="2"/>
      </rPr>
      <t>Origin Source (AS IS)</t>
    </r>
    <r>
      <rPr>
        <sz val="11"/>
        <color theme="4"/>
        <rFont val="Santander Headline"/>
        <family val="2"/>
      </rPr>
      <t>:</t>
    </r>
    <r>
      <rPr>
        <sz val="11"/>
        <color theme="1"/>
        <rFont val="Santander Headline"/>
        <family val="2"/>
      </rPr>
      <t xml:space="preserve"> If 'Available in local systems?' == Yes, please, describe in which system is this information stored</t>
    </r>
  </si>
  <si>
    <r>
      <t xml:space="preserve">Local Data Owner: </t>
    </r>
    <r>
      <rPr>
        <i/>
        <sz val="11"/>
        <rFont val="Santander Headline"/>
        <family val="2"/>
      </rPr>
      <t xml:space="preserve">This cell should be completed by you defining a Data Owner for each data </t>
    </r>
  </si>
  <si>
    <r>
      <t xml:space="preserve">Data Quality Indicators (DQIs): </t>
    </r>
    <r>
      <rPr>
        <sz val="11"/>
        <color theme="1"/>
        <rFont val="Santander Headline"/>
        <family val="2"/>
      </rPr>
      <t>DQIs must be reported to Corporation and remediation plan if needed</t>
    </r>
  </si>
  <si>
    <r>
      <rPr>
        <b/>
        <i/>
        <sz val="11"/>
        <color theme="1"/>
        <rFont val="Santander Headline"/>
        <family val="2"/>
      </rPr>
      <t xml:space="preserve">Completeness: </t>
    </r>
    <r>
      <rPr>
        <i/>
        <sz val="11"/>
        <color theme="1"/>
        <rFont val="Santander Headline"/>
        <family val="2"/>
      </rPr>
      <t>Measures if the population stored in the system is complete.</t>
    </r>
    <r>
      <rPr>
        <sz val="11"/>
        <color theme="1"/>
        <rFont val="Santander Headline"/>
        <family val="2"/>
      </rPr>
      <t xml:space="preserve"> It is needed to report the percentaje of blanks (missing information existing). For example, is needed to have information for 20.000 counterparties, however, you only have it for 18.000. Thus, your completeness would be 90%.</t>
    </r>
  </si>
  <si>
    <t>Accuracy:</t>
  </si>
  <si>
    <r>
      <rPr>
        <b/>
        <i/>
        <sz val="11"/>
        <color theme="1"/>
        <rFont val="Santander Headline"/>
        <family val="2"/>
      </rPr>
      <t xml:space="preserve">   Format checking:</t>
    </r>
    <r>
      <rPr>
        <i/>
        <sz val="11"/>
        <color theme="1"/>
        <rFont val="Santander Headline"/>
        <family val="2"/>
      </rPr>
      <t xml:space="preserve"> </t>
    </r>
    <r>
      <rPr>
        <sz val="11"/>
        <color theme="1"/>
        <rFont val="Santander Headline"/>
        <family val="2"/>
      </rPr>
      <t>It is needed to report the percentaje of data that does not meet the format criteria. For example, if the criterion is 'the data must be expressed in currency', you must inform what percentage is aligned with that statement.</t>
    </r>
  </si>
  <si>
    <r>
      <t xml:space="preserve"> </t>
    </r>
    <r>
      <rPr>
        <b/>
        <i/>
        <sz val="11"/>
        <color theme="1"/>
        <rFont val="Santander Headline"/>
        <family val="2"/>
      </rPr>
      <t xml:space="preserve"> Ranges and dimensions validation: </t>
    </r>
    <r>
      <rPr>
        <sz val="11"/>
        <color theme="1"/>
        <rFont val="Santander Headline"/>
        <family val="2"/>
      </rPr>
      <t>It is needed to report the percentaje of data that does not meet the range or dimensions criteria. For example, if a data is part of a reference pre-defined list of values, you should inform which percentaje of values if within this list.</t>
    </r>
  </si>
  <si>
    <r>
      <t xml:space="preserve">  </t>
    </r>
    <r>
      <rPr>
        <b/>
        <i/>
        <sz val="11"/>
        <color theme="1"/>
        <rFont val="Santander Headline"/>
        <family val="2"/>
      </rPr>
      <t>Integrity checks between correlated data:</t>
    </r>
    <r>
      <rPr>
        <i/>
        <sz val="11"/>
        <color theme="1"/>
        <rFont val="Santander Headline"/>
        <family val="2"/>
      </rPr>
      <t xml:space="preserve"> </t>
    </r>
    <r>
      <rPr>
        <sz val="11"/>
        <color theme="1"/>
        <rFont val="Santander Headline"/>
        <family val="2"/>
      </rPr>
      <t xml:space="preserve">Validates the relationships between data, based on business rules. For example, for the following business rule 'Counterparty's total employees &lt; Groups's total employees. The DQI should measure the percentaje of </t>
    </r>
  </si>
  <si>
    <t xml:space="preserve">  counterparties belonging to a Group whose number of employees is smaller than Group's number of employees.</t>
  </si>
  <si>
    <r>
      <t xml:space="preserve">   </t>
    </r>
    <r>
      <rPr>
        <b/>
        <sz val="11"/>
        <color theme="1"/>
        <rFont val="Santander Headline"/>
        <family val="2"/>
      </rPr>
      <t>Duplicates detection:</t>
    </r>
    <r>
      <rPr>
        <sz val="11"/>
        <color theme="1"/>
        <rFont val="Santander Headline"/>
        <family val="2"/>
      </rPr>
      <t xml:space="preserve"> There are no duplicates records</t>
    </r>
  </si>
  <si>
    <t>Consistency:</t>
  </si>
  <si>
    <r>
      <t xml:space="preserve">   </t>
    </r>
    <r>
      <rPr>
        <b/>
        <sz val="11"/>
        <color theme="1"/>
        <rFont val="Santander Headline"/>
        <family val="2"/>
      </rPr>
      <t xml:space="preserve">Key data elements conciliation against other reporting: </t>
    </r>
    <r>
      <rPr>
        <sz val="11"/>
        <color theme="1"/>
        <rFont val="Santander Headline"/>
        <family val="2"/>
      </rPr>
      <t>Validates data consistency and association between different regulations. For example, if NACE codes are used in Pillar III and FINREP, there should be a referential integrity between the values used en both reportings.</t>
    </r>
  </si>
  <si>
    <r>
      <rPr>
        <b/>
        <sz val="11"/>
        <color theme="1"/>
        <rFont val="Santander Headline"/>
        <family val="2"/>
      </rPr>
      <t>Eligibility of balance sheet:</t>
    </r>
    <r>
      <rPr>
        <sz val="11"/>
        <color theme="1"/>
        <rFont val="Santander Headline"/>
        <family val="2"/>
      </rPr>
      <t xml:space="preserve"> Preference to use the most recent audited annual accounts available in the last 24 months with respect to the reporting date. </t>
    </r>
  </si>
  <si>
    <t xml:space="preserve">   - If audited annual accounts are not available, unaudited accounts can be used</t>
  </si>
  <si>
    <t xml:space="preserve">   - If unaudited accounts are not available, the ones used in the rating calculation will applyy.</t>
  </si>
  <si>
    <t xml:space="preserve">If the balance sheet of the last 24 months is not available, previous balance sheet will be used, following the same priority as explained before. </t>
  </si>
  <si>
    <t>Cardinality</t>
  </si>
  <si>
    <t>Sourcing</t>
  </si>
  <si>
    <t>Pillar III: Uses and Guidelines</t>
  </si>
  <si>
    <t>Data Quality Indicators (DQIs)</t>
  </si>
  <si>
    <t>Completeness</t>
  </si>
  <si>
    <t>Accuracy</t>
  </si>
  <si>
    <t>Consistency</t>
  </si>
  <si>
    <t>Comments</t>
  </si>
  <si>
    <t>Metric</t>
  </si>
  <si>
    <t>Applicability to units</t>
  </si>
  <si>
    <t>Metric Name</t>
  </si>
  <si>
    <t>Metric Description</t>
  </si>
  <si>
    <t>Scope Business</t>
  </si>
  <si>
    <t>Level (op, client,…)</t>
  </si>
  <si>
    <t>Estrategical Source</t>
  </si>
  <si>
    <t>Loan tapes inclusion</t>
  </si>
  <si>
    <t>External Data Providers referenced by HQ</t>
  </si>
  <si>
    <t>Needed to report a tactical to HQ?</t>
  </si>
  <si>
    <t>Needed to be reported to HQ  by the Unit</t>
  </si>
  <si>
    <t>Template</t>
  </si>
  <si>
    <t>Satelite</t>
  </si>
  <si>
    <t>HQ functional guidelines</t>
  </si>
  <si>
    <t>Use of variable</t>
  </si>
  <si>
    <t>Format checking</t>
  </si>
  <si>
    <t>Ranges and dimensions validation</t>
  </si>
  <si>
    <t>Integrity checks between correlated data</t>
  </si>
  <si>
    <t>Duplicates detection</t>
  </si>
  <si>
    <t>Key data elements conciliation against other reporting</t>
  </si>
  <si>
    <t xml:space="preserve">Consistency checks with external data </t>
  </si>
  <si>
    <t>Origin Source</t>
  </si>
  <si>
    <t>Local Data Owner</t>
  </si>
  <si>
    <t>All</t>
  </si>
  <si>
    <t>GHG Financed  Emissions: Scope 1</t>
  </si>
  <si>
    <t xml:space="preserve">Scope 1 emissions are direct greenhouse (GHG) emissions that occur from sources that are controlled or owned by an organization (e.g., emissions associated with fuel combustion in boilers, furnaces, vehicles). </t>
  </si>
  <si>
    <t>Banking Book: Non-Financial Corporation</t>
  </si>
  <si>
    <t>Client</t>
  </si>
  <si>
    <t>This metric has been requested to be included in BDR. Comments on whether or not they will be included are pending. All units will be notified as soon as we receive it.</t>
  </si>
  <si>
    <t>Yes</t>
  </si>
  <si>
    <t>CDP &amp; PCAF</t>
  </si>
  <si>
    <t>No</t>
  </si>
  <si>
    <t>TBD</t>
  </si>
  <si>
    <t xml:space="preserve">T1 </t>
  </si>
  <si>
    <t>GHGE_GHG Financed emissions</t>
  </si>
  <si>
    <t>Functional guidelines will be provided by HQ for sourcing this variable.</t>
  </si>
  <si>
    <t>x</t>
  </si>
  <si>
    <t>Numeric (CO2 tonnes (TCO2))</t>
  </si>
  <si>
    <t>&gt;=0.
 In case value = 0 or &lt;0, review if it is correct.</t>
  </si>
  <si>
    <t>- If scope 2 informed, scope 1 should be informed
- If scope 3 informed, scope 1&amp;2 should be informed.</t>
  </si>
  <si>
    <t xml:space="preserve">Real data preferred (published by counterparty) to estimations (sector/country average, PCAF), thus required effort to identify based on counterparty's publications. </t>
  </si>
  <si>
    <t>GHG Financed  Emissions: Scope 2</t>
  </si>
  <si>
    <t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t>
  </si>
  <si>
    <t>GHG Financed  Emissions: Scope 3</t>
  </si>
  <si>
    <t>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t>
  </si>
  <si>
    <t>For units in Europe</t>
  </si>
  <si>
    <t>Geography of the collateral: NUTS</t>
  </si>
  <si>
    <t>Location of the collateral's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</si>
  <si>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Banking Book: Non-Financial Corporation, Households (Commercial and Residential) and Repossessed Collaterals</t>
  </si>
  <si>
    <t>Collateral</t>
  </si>
  <si>
    <t>Table: cd_estruturais.tat91_tabelas where tayd91c0_ctabela = 'J48'
Var: tayd91c0_nelemc05 (NUT3)
NOTA: When there is no information for  NUTS3, it is used NUTS1. For countries outside the EU, it is used the 3 digits ISO code.</t>
  </si>
  <si>
    <t>CDO</t>
  </si>
  <si>
    <t xml:space="preserve">T2 T5 </t>
  </si>
  <si>
    <t>CESG_CNAE_ESG
ENPC_Energy_Performance_Certificate</t>
  </si>
  <si>
    <t>Numeric</t>
  </si>
  <si>
    <t>All codes are part of the reference pre-defined list of values (NUT3, Postal Code or equivalent)</t>
  </si>
  <si>
    <t>Geography of the collateral: ZIP Code</t>
  </si>
  <si>
    <t>Postal Code associated to the location of the collateral</t>
  </si>
  <si>
    <t>BDR: 
Table: JM_GARA_REAL
Var: codposgr</t>
  </si>
  <si>
    <t>Table: cd_garantias.gt009_bens_imov
Var: cpost</t>
  </si>
  <si>
    <t>Not necessary at the moment. Having the zip code or the NUTS is enough</t>
  </si>
  <si>
    <t>Geography of the collateral: Full Address</t>
  </si>
  <si>
    <t>Full address associated to the location of the collateral</t>
  </si>
  <si>
    <t>N/A</t>
  </si>
  <si>
    <t>Only for ESP, PT and UK</t>
  </si>
  <si>
    <t>EPC label</t>
  </si>
  <si>
    <t>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t>
  </si>
  <si>
    <t>Banking Book: Households (Commercial and Residential) and Repossessed Collaterals</t>
  </si>
  <si>
    <t>Landmark &amp; Gloval</t>
  </si>
  <si>
    <t>External Provider</t>
  </si>
  <si>
    <t xml:space="preserve">T2 </t>
  </si>
  <si>
    <t>ENPC_Energy_Performance_Certificate</t>
  </si>
  <si>
    <t>Text</t>
  </si>
  <si>
    <t>All possible labels are part of the reference Group list of EPCs. Possible values: A-G</t>
  </si>
  <si>
    <t>Only an EPC label can be declared by property</t>
  </si>
  <si>
    <r>
      <t xml:space="preserve">Changes &gt; +/- 10% to be justified (i.e. changes in the composition of the portfolio due to the acquisition of material CRE, periodic updates of overduew EPC labels).
</t>
    </r>
    <r>
      <rPr>
        <b/>
        <sz val="10"/>
        <rFont val="Santander Headline"/>
        <family val="2"/>
      </rPr>
      <t xml:space="preserve">
Se va a pedir One-Off, no se si es viable ver tendencias o evoluciones</t>
    </r>
  </si>
  <si>
    <t>Only for ESP, PT, UK and POL</t>
  </si>
  <si>
    <t>EP Score</t>
  </si>
  <si>
    <t>Specific energy consumption of a collateral in kWh/m² per year, as indicated in the EPC label of the collateral.</t>
  </si>
  <si>
    <t>Numeric (kWh/m² )</t>
  </si>
  <si>
    <t>&gt;=0</t>
  </si>
  <si>
    <t>-To be informed at least when EPC is required by local applicable law / internal bank's procedures.
 - Ideally for all potential existing cases. Same criteria as for EPC label.</t>
  </si>
  <si>
    <t>EPC Label: Flag original / calculated</t>
  </si>
  <si>
    <t>This flag allows to identify if the EPC Label data is original or calculated. Original data means that the EPC data asigned to the collateral is a real value of the EPC label vs "calculated", meaning that the institution has applied some kind of methodology to estimate the EPC related data.</t>
  </si>
  <si>
    <t>EP Score: Flag original / calculated</t>
  </si>
  <si>
    <t>This flag allows to identify if the EPC score data is original or calculated. Original data means that the EPC data asigned to the collateral is a real value of the EPC score vs "calculated", meaning that the institution has applied some kind of methodology to estimate the EPC related data.</t>
  </si>
  <si>
    <t>EPC CO2 emissions</t>
  </si>
  <si>
    <t>Specific emissions of a collateral in kgCO2/m² per year, as indicated in the EPC label of the collateral.</t>
  </si>
  <si>
    <t>T1 T3</t>
  </si>
  <si>
    <t>N/A - Variable not reported in the satelite, used as an input</t>
  </si>
  <si>
    <t>For financed emissions: Commercial Real Estate</t>
  </si>
  <si>
    <t>Numeric  (kgCO2/m²)</t>
  </si>
  <si>
    <t>Non-performing</t>
  </si>
  <si>
    <t xml:space="preserve">Credit risk classification of the exposure that meets at least one of the following criteria:
a) An exposure in respect of which a default is considered to have occurred in accordance with CRR, Article 178 (Default of an Obligor). Where the institution has on-balance-sheet exposures to an obligor that are past due by more than 90 days and that represent more than 20 % of all on-balance-sheet exposures to that obligor, all on- and off-balance-sheet exposures to that obligor shall be considered to be non-performing.
(b) An exposure which is considered to be impaired in accordance with the applicable accounting framework;
(c) An exposure under probation,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t>
  </si>
  <si>
    <t>Banking Book: Financial Corporations, Non-Financial Corporations, Credit Institutions, Households (Commercial and Residential), General Governments</t>
  </si>
  <si>
    <t>Contract</t>
  </si>
  <si>
    <t>BDR
Table: JM_CTO_AJ_REG
Var: O9209_INDMORA1</t>
  </si>
  <si>
    <t>No (esperaría que ya esté incluida)</t>
  </si>
  <si>
    <t>Table: cd_captools.fr004_cto
Var: stage_atual</t>
  </si>
  <si>
    <t>Risk</t>
  </si>
  <si>
    <t xml:space="preserve">T1 T5 </t>
  </si>
  <si>
    <t>CESG_CNAE_ESG</t>
  </si>
  <si>
    <t>Gross carrying amount</t>
  </si>
  <si>
    <t>Exposures must be reported on a gross carrying amount basis</t>
  </si>
  <si>
    <t>Table: cd_captools.fr004_cto
Var: valor_bruto_on_a</t>
  </si>
  <si>
    <t>Accounting</t>
  </si>
  <si>
    <t>T1, T2, T3, T4, T5, T6, T7, T8, T9, T10</t>
  </si>
  <si>
    <t>CESG_CNAE_ESG
ENPC_Energy_Performance_Certificate
MITI_Mitigation actions
GARB_GAR &amp; BTAR
GHGE_GHG Financed emissions</t>
  </si>
  <si>
    <t>Main NACE code</t>
  </si>
  <si>
    <t xml:space="preserve">National Classification of Economic Activities, prepared according to the conditions contained in the EC regulation 1893/2006 for the approval of the Statistical Nomenclature of Economic Activities of the European Community (NACE).
The counterparty NACE sector allocation shall be based on the nature of the immediate counterparty. Each counterparty has to be mapped to one single sector based on its principle activity
NACE code has to be completed with NACE level 4 detail </t>
  </si>
  <si>
    <t>Banking Book: Non-Financial Corporations</t>
  </si>
  <si>
    <t>BDR
Table: JM_CLIENT_BII 
Var: G4093_COD_SECT</t>
  </si>
  <si>
    <t>Yes at a NACE4 level</t>
  </si>
  <si>
    <t>Table: cd_captools.ct003_univ_cli
Var: nace_code</t>
  </si>
  <si>
    <t xml:space="preserve">T1 T3 T5 T7 </t>
  </si>
  <si>
    <t>CESG_CNAE_ESG
ENPC_Energy_Performance_Certificate
GARB_GAR &amp; BTAR
GHGE_GHG Financed emissions</t>
  </si>
  <si>
    <t xml:space="preserve">Numeric  </t>
  </si>
  <si>
    <t>-All codes are part of the reference Group list of NACE codes
-Level 3 NACEs are required as a minimum. Level 4 is highly recommended (mandatory in future).</t>
  </si>
  <si>
    <t>Same as reported in FINREP</t>
  </si>
  <si>
    <t>Review with evidence of the total portfolio segmented by client relevance in which we see that the NACE is correct (external data, public information, risk analysts). Ensure that the NACE described is aligned with the main activity of the company</t>
  </si>
  <si>
    <t>NACE Code ESG</t>
  </si>
  <si>
    <t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t>
  </si>
  <si>
    <t xml:space="preserve">-All codes are part of the reference Group list of NACE codes
-Level 4 NACEs are required as a minimum. </t>
  </si>
  <si>
    <t>Same as reported in FINREP unless Counterparty under SPV or Holding Company with different NACE</t>
  </si>
  <si>
    <t>% Collateralised</t>
  </si>
  <si>
    <t>Percentage of the gross carrying amount of the collateral that can be considered arising from loans collateralised by residential or commercial immovable property. 
Residential property is defined as a residence which is occupied by the owner or the lessee of the residence, including the right to inhabit an apartment in housing cooperatives located in Sweden.
Loans collateralised by comercial immovable property shall include loans secured by pledges of immovable property other than residential, including offices and commercial premises and other types of commercial immovable property.</t>
  </si>
  <si>
    <t>BDR: 
Table:(JM_GARANT_CTO)  Var:(G4124_PORCOBER)</t>
  </si>
  <si>
    <t>Table: cd_garantias.gt018_rateio_aval
Var: per_cobert</t>
  </si>
  <si>
    <t xml:space="preserve">T2 T5 T6 T7 T8 T9.1 T9.2 </t>
  </si>
  <si>
    <t>CESG_CNAE_ESG
ENPC_Energy_Performance_Certificate
MITI_Mitigation actions
GARB_GAR &amp; BTAR</t>
  </si>
  <si>
    <t>Accumulated impairment</t>
  </si>
  <si>
    <t>Accumulated changes in fair value due to credit risk where the accumulated net change is negative. The accumulated net change in fair value due to credit risk shall be calculated by adding all negative and positive changes in fair value due to credit risk that have occurred since recognition of the debt instrument. That amount shall only be reported where the addition of positive and negative changes in fair value due to credit risk results in a negative amount. The valuation of the debt instruments shall be performed on the level of single financial instruments.</t>
  </si>
  <si>
    <t>BDR: 
Table: JM_CTO_AJ_REG 
Var: O9209_IPROVISI</t>
  </si>
  <si>
    <t>Table: cd_captools.fr004_cto
Var: provisao</t>
  </si>
  <si>
    <t>Type of activity</t>
  </si>
  <si>
    <r>
      <rPr>
        <b/>
        <sz val="10"/>
        <color theme="1"/>
        <rFont val="Santander Headline"/>
        <family val="2"/>
      </rPr>
      <t>Transitional activity:</t>
    </r>
    <r>
      <rPr>
        <sz val="10"/>
        <color theme="1"/>
        <rFont val="Santander Headline"/>
        <family val="2"/>
      </rPr>
      <t xml:space="preserve">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t>
    </r>
    <r>
      <rPr>
        <b/>
        <sz val="10"/>
        <color theme="1"/>
        <rFont val="Santander Headline"/>
        <family val="2"/>
      </rPr>
      <t xml:space="preserve">Adaptation activity: </t>
    </r>
    <r>
      <rPr>
        <sz val="10"/>
        <color theme="1"/>
        <rFont val="Santander Headline"/>
        <family val="2"/>
      </rPr>
      <t xml:space="preserve">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t>
    </r>
    <r>
      <rPr>
        <b/>
        <sz val="10"/>
        <color theme="1"/>
        <rFont val="Santander Headline"/>
        <family val="2"/>
      </rPr>
      <t xml:space="preserve">Enabling activity: </t>
    </r>
    <r>
      <rPr>
        <sz val="10"/>
        <color theme="1"/>
        <rFont val="Santander Headline"/>
        <family val="2"/>
      </rPr>
      <t xml:space="preserve">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t>
    </r>
    <r>
      <rPr>
        <b/>
        <sz val="10"/>
        <color theme="1"/>
        <rFont val="Santander Headline"/>
        <family val="2"/>
      </rPr>
      <t>None of these activities:</t>
    </r>
    <r>
      <rPr>
        <sz val="10"/>
        <color theme="1"/>
        <rFont val="Santander Headline"/>
        <family val="2"/>
      </rPr>
      <t xml:space="preserve"> If none of this characteristics apply</t>
    </r>
  </si>
  <si>
    <t xml:space="preserve">T7 T8 T9.1 T9.2 T9.3  </t>
  </si>
  <si>
    <t>GARB_GAR &amp; BTAR</t>
  </si>
  <si>
    <t>Type of asset</t>
  </si>
  <si>
    <r>
      <t xml:space="preserve">Breakdown of immovable properties obtained by taking posession,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</si>
  <si>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Banking Book: Repossessed Collaterals</t>
  </si>
  <si>
    <t>BDR
Table: JM_INM_POSADJ
Var: O9220_TIP_ACT</t>
  </si>
  <si>
    <t>Table: cd_garantias.gt009_bens_imov
Var: cfinbem, ctipbem</t>
  </si>
  <si>
    <t>T2 T5 T6 T7 T8 T9.1 T9.2 T9.3</t>
  </si>
  <si>
    <t>CESG_CNAE_ESG
ENPC_Energy_Performance_Certificate
GARB_GAR &amp; BTAR</t>
  </si>
  <si>
    <t>Flag: Companies excluded from EU Paris-aligned benchmarks</t>
  </si>
  <si>
    <t>This flag allows to identify which counterparties that are excluded from the EU Paris-aligned Benchmarks as specified in Article 12.1, points (d) to (g) and Article 12.2 of Commission Delegated Regulation (EU) 2020/1818:
d) companies that derive 1 % or more of their revenues from exploration, mining, extraction, distribution or refining of hard coal and lignite; 
(e) companies that derive 10 % or more of their revenues from the exploration, extraction, distribution or refining of oil fuels; 
(f) companies that derive 50 % or more of their revenues from the exploration, extraction, manufacturing or distribution of gaseous fuels; 
(g) companies that derive 50 % or more of their revenues from electricity generation with a GHG intensity of more than 100 g CO2 e/kWh. 
Companies to significantly harm one or more of the environmental objectives referred to in Article 9 of Regulation (EU) 2020/852 of the European Parliament and of the Council (8), in accordance with 
the rules on estimations laid down in Article 13(2) of this Regulation</t>
  </si>
  <si>
    <t>S&amp;P</t>
  </si>
  <si>
    <t>File provided by HQ</t>
  </si>
  <si>
    <t>Flag of NFRD applicability</t>
  </si>
  <si>
    <r>
      <t xml:space="preserve">This flag allows to identify if the NFRD is applicable:
'- </t>
    </r>
    <r>
      <rPr>
        <b/>
        <sz val="10"/>
        <rFont val="Santander Headline"/>
        <family val="2"/>
      </rPr>
      <t>NFCs subject to NFRD disclosure obligations.</t>
    </r>
    <r>
      <rPr>
        <sz val="10"/>
        <rFont val="Santander Headline"/>
        <family val="2"/>
      </rPr>
      <t xml:space="preserve">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t>
    </r>
    <r>
      <rPr>
        <b/>
        <sz val="10"/>
        <rFont val="Santander Headline"/>
        <family val="2"/>
      </rPr>
      <t>SMEs and NFC (other than SMEs) not subject to NFRD disclosure obligation</t>
    </r>
    <r>
      <rPr>
        <sz val="10"/>
        <rFont val="Santander Headline"/>
        <family val="2"/>
      </rPr>
      <t>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t>
    </r>
  </si>
  <si>
    <t xml:space="preserve">T6 T7 T8 T9.1 T9.2 T9.3  </t>
  </si>
  <si>
    <t>Geography of the counterparty: NUTS</t>
  </si>
  <si>
    <t>Location of the counterparty's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</si>
  <si>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Table: cd_estruturais.tat91_tables where tayd91c0_ctable = 'J48'
Var: tayd91c0_nelemc05</t>
  </si>
  <si>
    <t xml:space="preserve">T5 </t>
  </si>
  <si>
    <t>Geography of the counterparty: ZIP Code</t>
  </si>
  <si>
    <t xml:space="preserve">Postal Code associated to the location of the counterparty's country, geographical or administrative region where activities of the counterparty are located. </t>
  </si>
  <si>
    <t>BDR
Table: JM_CLIENT_BII
Var: G4093_CDPOSTAL</t>
  </si>
  <si>
    <t>Table cd_estruturais.interface_moradas
Var: clyr7003_cpostal + clyr7003_cp3</t>
  </si>
  <si>
    <t xml:space="preserve">T2, T5 </t>
  </si>
  <si>
    <t>Geography of the counterparty: Full Address</t>
  </si>
  <si>
    <t xml:space="preserve">Full address associated to the location of the counterparty's country, geographical or administrative region where activities of the counterparty are located. </t>
  </si>
  <si>
    <t>GHG Reported  Emissions - scope 1: flag original / calculated</t>
  </si>
  <si>
    <t xml:space="preserve">This flag allows to identify if the data is original data refered to counterparties’ scope 1 emissions associated with lending and investment activities based on information disclosed by the Group's counterparties or reported to the Group on bilateral basis. </t>
  </si>
  <si>
    <t>GHG Reported  Emissions - scope 2: flag original / calculated</t>
  </si>
  <si>
    <t xml:space="preserve">This flag allows to identify if the data is original data refered to counterparties’ scope 2 emissions associated with lending and investment activities based on information disclosed by the Group's counterparties or reported to the Group on bilateral basis. </t>
  </si>
  <si>
    <t>GHG Reported  Emissions - scope 3: flag original / calculated</t>
  </si>
  <si>
    <t xml:space="preserve">This flag allows to identify if the data is original data refered to counterparties’ scope 3 emissions associated with lending and investment activities based on information disclosed by the Group's counterparties or reported to the Group on bilateral basis. </t>
  </si>
  <si>
    <t>Maturity</t>
  </si>
  <si>
    <t>End date of the financial instrument, taking into account the following:
i) Where the amount is repaid in instalments, date corresponding to the last instalment;
ii) Where an exposure has no stated maturity for reasons other than the counterparty having the choice of the repayment date, or in the case of equity holdings, do not report (leave blank);</t>
  </si>
  <si>
    <t>BDR
Table: JM_CTO_AJ_REG 
Var: O9209_MATUPOSM</t>
  </si>
  <si>
    <t>Table: cd_captools.fr004_cto
Var: data_vencimento</t>
  </si>
  <si>
    <t xml:space="preserve">T1 T4 T5 </t>
  </si>
  <si>
    <t>Flag of specialised lending</t>
  </si>
  <si>
    <t>This flag allows to identify specialised lending transactions. Specialised lending or project finance transactions refer to those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 than the independent capacity of a broader commercial enterprise.</t>
  </si>
  <si>
    <t>BDR
Table: JM_CTO_AJ_REG 
Var: O9209_CAT_MSTA</t>
  </si>
  <si>
    <t>Table: cd_captools.fr004_cto
Var: flag_project_finance</t>
  </si>
  <si>
    <t>Possible values: 0,1</t>
  </si>
  <si>
    <t xml:space="preserve">Same as reported in FINREP </t>
  </si>
  <si>
    <t>Stage 2 IFRS 9</t>
  </si>
  <si>
    <t>Credit risk classification of exposure, as defined in IFRS 9.</t>
  </si>
  <si>
    <t>BDR
Table: JM_CTO_STAGE 
Var: T2420_STAGEFIN</t>
  </si>
  <si>
    <t>Taken possession</t>
  </si>
  <si>
    <t>Identifier of residential and commercial immovable properties obtained by taking possession</t>
  </si>
  <si>
    <t>DL Capital Tools
Table: cd_captools.fr802_pl_contas
All operations with : tipo_conta = 'A' and carteira_contabilistica = 'ativos nao correntes detidos para venda' and conta in ('191000', '1991000', '19910024')</t>
  </si>
  <si>
    <t>Recuperações/Desinvestimento</t>
  </si>
  <si>
    <t xml:space="preserve">T2 T5 T6 T7 T8 T9.1 T9.2 T9.3  </t>
  </si>
  <si>
    <t>ENPC_Energy_Performance_Certificate
CESG_CNAE_ESG
GARB_GAR &amp; BTAR</t>
  </si>
  <si>
    <t>Type of collateral</t>
  </si>
  <si>
    <r>
      <t xml:space="preserve">Breakdown of pledges backing loans,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</si>
  <si>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Banking Book: Households (Commercial and Residential)</t>
  </si>
  <si>
    <t>BDR
Table: JM_INMUEBLES
Var: O9270_TIP_PPDA</t>
  </si>
  <si>
    <t>Table: cd_captools.fr801_tip_garan
Var: subtipo_garantia</t>
  </si>
  <si>
    <t>Type of counterparty</t>
  </si>
  <si>
    <t>Breakdown of information by type of counterparty, including: 
- Financial corporations (FC)
-- Credit institutions
-- Other financial corporations
--- Of which investment firms
--- Of which management companies
--- Of which insurance undertakings
- Non Financial corporations (NFC)
- Households
- Local governments</t>
  </si>
  <si>
    <t>BDR
Table: JM_CLIGLO_CUA
Var: T2888_TIPENTID</t>
  </si>
  <si>
    <t>Table: cd_captools.fr004_cto
Var: contraparte</t>
  </si>
  <si>
    <t xml:space="preserve">T1 T2 T3 T5 T6 T7 T8 T9.1 T9.2 T9.3 T10 </t>
  </si>
  <si>
    <t xml:space="preserve">CESG_CNAE_ESG
ENPC_Energy_Performance_Certificate
GARB_GAR &amp; BTAR
MITI_Mitigation actions
</t>
  </si>
  <si>
    <t>Type of product</t>
  </si>
  <si>
    <r>
      <t xml:space="preserve">-	</t>
    </r>
    <r>
      <rPr>
        <b/>
        <sz val="10"/>
        <rFont val="Santander Headline"/>
        <family val="2"/>
      </rPr>
      <t>Loans and advances:</t>
    </r>
    <r>
      <rPr>
        <sz val="10"/>
        <rFont val="Santander Headline"/>
        <family val="2"/>
      </rPr>
      <t xml:space="preserve"> debt instruments held by the institutions that are not securities. That item includes loans as well as advances that cannot be classified as “loans”.  
-	</t>
    </r>
    <r>
      <rPr>
        <b/>
        <sz val="10"/>
        <rFont val="Santander Headline"/>
        <family val="2"/>
      </rPr>
      <t>Debt securities:</t>
    </r>
    <r>
      <rPr>
        <sz val="10"/>
        <rFont val="Santander Headline"/>
        <family val="2"/>
      </rPr>
      <t xml:space="preserve"> debt instruments held by the institution issued as securities that are not loans
-	</t>
    </r>
    <r>
      <rPr>
        <b/>
        <sz val="10"/>
        <rFont val="Santander Headline"/>
        <family val="2"/>
      </rPr>
      <t>Equity instruments:</t>
    </r>
    <r>
      <rPr>
        <sz val="10"/>
        <rFont val="Santander Headline"/>
        <family val="2"/>
      </rPr>
      <t xml:space="preserve"> any contract that evidences an interest  in the asset of an entity.</t>
    </r>
  </si>
  <si>
    <t>This metric has not been requested to be included in BDR for this evolution of the model. It will be requested next year for the following evolution. Until then, this information should be stored in local systems. All units will be notified as soon as we receive it.</t>
  </si>
  <si>
    <t>DL Capital Tools
Table: cd_captools.fr802_pl_contas
All operations with : tipo_conta = 'A' and 
1) Intrumento financeiro = 'credito concedido e outros ativos financeiros' =&gt; Loans and advances  (F18)
2) Intrumento financeiro  = 'instrumentos de capital' =&gt; Debt securities (F18)
3) Intrumento financeiro  = 'instrumentos de divida' =&gt; Equity instruments (F04)</t>
  </si>
  <si>
    <t>T2 T6 T7 T8 T9.1 T9.2 T9.3 T10</t>
  </si>
  <si>
    <t>ENPC_Energy_Performance_Certificate
GARB_GAR &amp; BTAR
MITI_Mitigation actions</t>
  </si>
  <si>
    <t>Climate change physical risk</t>
  </si>
  <si>
    <t>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t>
  </si>
  <si>
    <t>Munich RE</t>
  </si>
  <si>
    <t>T10</t>
  </si>
  <si>
    <t>MITI_Mitigation actions</t>
  </si>
  <si>
    <t>Climate change transition risk</t>
  </si>
  <si>
    <t>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t>
  </si>
  <si>
    <t>Usable surface</t>
  </si>
  <si>
    <t>Surface of the elements or elements constructions associated with the buidling in case of built farms (interger - in square meters)</t>
  </si>
  <si>
    <t xml:space="preserve">T1 T3 </t>
  </si>
  <si>
    <t>Numeric (m2)</t>
  </si>
  <si>
    <t>&gt;0</t>
  </si>
  <si>
    <t>Validate top/bottom 1% cases per type of property, to ensure units expressed are appropriate</t>
  </si>
  <si>
    <t>Building category</t>
  </si>
  <si>
    <r>
      <t>Building category. E.g, according to the Energy Performance of Buildings Directive 2010/31/EU (EPBD)</t>
    </r>
    <r>
      <rPr>
        <sz val="10"/>
        <color rgb="FFFF0000"/>
        <rFont val="Santander Headline"/>
        <family val="2"/>
      </rPr>
      <t>:</t>
    </r>
    <r>
      <rPr>
        <sz val="10"/>
        <color theme="1"/>
        <rFont val="Santander Headline"/>
        <family val="2"/>
      </rPr>
      <t xml:space="preserve">
(a) single-family houses of different types;
(b) apartment blocks;
(c) offices;
(d) educational buildings;
(e) hospitals;
(f) hotels and restaurants;
(g) sports facilities;
(h) wholesale and retail trade services buildings;
(i) other types of energy-consuming buildings</t>
    </r>
  </si>
  <si>
    <t>All codes are part of the reference pre-defined list of values (type, use)</t>
  </si>
  <si>
    <t>Brand of the vehicle</t>
  </si>
  <si>
    <t>Brand of a specific vehicle</t>
  </si>
  <si>
    <t>For financed emissions: motor vehice loans</t>
  </si>
  <si>
    <t>Type of fuel</t>
  </si>
  <si>
    <t>Type of fuel used for transport. Example: gasoil</t>
  </si>
  <si>
    <t>Type of vehicle</t>
  </si>
  <si>
    <t>Model of the vehicle</t>
  </si>
  <si>
    <t>Model of a specific vehicle</t>
  </si>
  <si>
    <t>Average carbon emissions</t>
  </si>
  <si>
    <t>Average carbon emissions per vehicle mesured in CO2e/km.</t>
  </si>
  <si>
    <t>Banking Book: Non-Financial Corporations (auto loans)</t>
  </si>
  <si>
    <t>- Same average CO2 emissions for Autos with same characteristics (brand, model, type of vehicle, kind of fuel)
 - No changes in the characteristics of the Auto</t>
  </si>
  <si>
    <t>Appraisal value</t>
  </si>
  <si>
    <t>Value of the property estimated independently from the bank’s mortgage acquisition, loan processing and loan decision process.</t>
  </si>
  <si>
    <t>Expressed in currency</t>
  </si>
  <si>
    <t>Min / Max outliers (bottom/top 1%) to be reviewed to ensure reasonable figures (i.e. no matters related to currency and/or units)</t>
  </si>
  <si>
    <t>Client's debt securities issued</t>
  </si>
  <si>
    <t>Liabilities of a company, according to its annual financial statements.</t>
  </si>
  <si>
    <t>BDR: 
Table: JM_CLIEN_JURI
Var: G5508_TDEUDACL</t>
  </si>
  <si>
    <t>For financed emissions: attribution factor</t>
  </si>
  <si>
    <t>Counterparty's debt securities issued &lt; Group's debt securities issued</t>
  </si>
  <si>
    <t>Client's group debt securities issued</t>
  </si>
  <si>
    <t>Liabilities of the last parent of each of your customers.</t>
  </si>
  <si>
    <t>Last Parent</t>
  </si>
  <si>
    <t>BDR: 
Table: JM_GRUP_ECONO
Var: G5512_TDEUDAGR</t>
  </si>
  <si>
    <t>Client's Turnover</t>
  </si>
  <si>
    <t>Revenues of a company, according to its annual financial statements.</t>
  </si>
  <si>
    <t>BDR: 
Table: JM_CLIEN_JURI
Var: G5508_IMPFACTM</t>
  </si>
  <si>
    <t>Table: cd_captools.ct063_univ_pme
var: fatr_indv</t>
  </si>
  <si>
    <t xml:space="preserve">T1 T3 T6 T7 T8 T9.1 T9.2 T9.3  </t>
  </si>
  <si>
    <t>- For financed emissions: attribution factor
- For the NFRD flag</t>
  </si>
  <si>
    <t>Counterparty's turnover &lt; Group's turnover</t>
  </si>
  <si>
    <t>Client's Group Turnover</t>
  </si>
  <si>
    <t>It is needed to record the revenues of the last parent of each of your customers.</t>
  </si>
  <si>
    <t>BDR: 
Table: JM_GRUP_ECONO
Var: G5512_IMPFACTM</t>
  </si>
  <si>
    <t>Table: cd_captools.ct063_univ_pme
var: fatr_grup</t>
  </si>
  <si>
    <t>Contracted kilometers</t>
  </si>
  <si>
    <r>
      <t xml:space="preserve">Contracted kilometers for a car in a </t>
    </r>
    <r>
      <rPr>
        <b/>
        <sz val="10"/>
        <rFont val="Santander Headline"/>
        <family val="2"/>
      </rPr>
      <t>renting</t>
    </r>
    <r>
      <rPr>
        <sz val="10"/>
        <rFont val="Santander Headline"/>
        <family val="2"/>
      </rPr>
      <t xml:space="preserve"> contract. If the car drives more kilometers than the contracted kilometers, an extra fee will be applied for each kilometer driven, and if the car drives less, an amount will be refunded for each kilometer not driven.</t>
    </r>
  </si>
  <si>
    <t>Asset value at origination</t>
  </si>
  <si>
    <t>Initial fair value of the adquiered asset in an auto loan.</t>
  </si>
  <si>
    <t>Client's own funds</t>
  </si>
  <si>
    <t>All those elements that constitute the company's accounting equity.</t>
  </si>
  <si>
    <t>BDR: 
Table: JM_CLIEN_JURI
Var: G5508_TOT_EQTY</t>
  </si>
  <si>
    <t>Table: cd_riscos.rsv176sa1_balanco
var: VCPIM</t>
  </si>
  <si>
    <t>Counterparty's own funds &lt; Group's own funds</t>
  </si>
  <si>
    <t>Client's Group own funds</t>
  </si>
  <si>
    <t>It is needed to record the own funds of the last parent of each of your customers.</t>
  </si>
  <si>
    <t>Client's number of employees</t>
  </si>
  <si>
    <t>Number of workers in the firm.</t>
  </si>
  <si>
    <t>BDR: 
Table: JM_CLIEN_JURI
Var: G5508_NUM_EMPL</t>
  </si>
  <si>
    <t>Table: cd_captools.ct063_univ_pme
var: num_empg_indv</t>
  </si>
  <si>
    <t>For the NFRD flag</t>
  </si>
  <si>
    <t>Counterparty's total employees &lt; Groups's total employees</t>
  </si>
  <si>
    <t>Client's Group number of employees</t>
  </si>
  <si>
    <t>It is needed to record the number of employees of the last parent of each of your customers.</t>
  </si>
  <si>
    <t>BDR: 
Table: JM_GRUP_ECONO
Var: G5512_NUM_EMPL</t>
  </si>
  <si>
    <t>Table: cd_captools.ct063_univ_pme
var: num_empg_grup</t>
  </si>
  <si>
    <t>Use of proceeds</t>
  </si>
  <si>
    <t xml:space="preserve">If the use of proceeds is unknown, the type of financing is considered to be general purpose.
If the use of proceeds is known, the first level of this category will be taken (e.g. Energy, Transport, Real Estate, Manufacturing, etc).  </t>
  </si>
  <si>
    <t>Banking Book: Non-Financial Corporation, Households (Commercial and Residential) and General Governments</t>
  </si>
  <si>
    <t>T1 T3 T7 T8 T9.1 T9.2 T9.3</t>
  </si>
  <si>
    <t>Financing Category (according to the SFCS)</t>
  </si>
  <si>
    <r>
      <t xml:space="preserve">Financing Category (level 2) - required to identify the concept of </t>
    </r>
    <r>
      <rPr>
        <b/>
        <sz val="10"/>
        <rFont val="Santander Headline"/>
        <family val="2"/>
      </rPr>
      <t>Sustainability Linked Finance</t>
    </r>
    <r>
      <rPr>
        <sz val="10"/>
        <rFont val="Santander Headline"/>
        <family val="2"/>
      </rPr>
      <t xml:space="preserv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t>
    </r>
  </si>
  <si>
    <t>Banking Book: Financial Corporations and Non-Financial Corporations</t>
  </si>
  <si>
    <t>MdD_83_MITI_Mitigation actions</t>
  </si>
  <si>
    <t>Possible values: 
- Sustainability Linked Finance 
- Other</t>
  </si>
  <si>
    <t>Environmental objective</t>
  </si>
  <si>
    <r>
      <t xml:space="preserve">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t>
    </r>
    <r>
      <rPr>
        <b/>
        <sz val="10"/>
        <rFont val="Santander Headline"/>
        <family val="2"/>
      </rPr>
      <t>- Climate change mitigation</t>
    </r>
    <r>
      <rPr>
        <sz val="10"/>
        <rFont val="Santander Headline"/>
        <family val="2"/>
      </rPr>
      <t xml:space="preserve">, meaning that the transaction contributes  substantially to the stabilisation of greenhouse gas emissions by avoiding or reducing them or by enhancing greenhouse gas removals. 
</t>
    </r>
    <r>
      <rPr>
        <b/>
        <sz val="10"/>
        <rFont val="Santander Headline"/>
        <family val="2"/>
      </rPr>
      <t>- Climate change adaptation:</t>
    </r>
    <r>
      <rPr>
        <sz val="10"/>
        <rFont val="Santander Headline"/>
        <family val="2"/>
      </rPr>
      <t xml:space="preserve"> the transaction reduces or prevents the adverse impact of the present of future climate, or the risks of such adverse impact on the activity itself, or on people, nature or assets.
- </t>
    </r>
    <r>
      <rPr>
        <b/>
        <sz val="10"/>
        <rFont val="Santander Headline"/>
        <family val="2"/>
      </rPr>
      <t>The exposure does not contribute to any objective</t>
    </r>
    <r>
      <rPr>
        <sz val="10"/>
        <rFont val="Santander Headline"/>
        <family val="2"/>
      </rPr>
      <t>.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r>
  </si>
  <si>
    <t xml:space="preserve">T1 T6 T7 T8 T9.1 T9.2 T9.3 T.10 </t>
  </si>
  <si>
    <t>Possible values: 
- Climate change mitigation (CCM), 
- Climate change adaptation (CCA)
- None of these</t>
  </si>
  <si>
    <t>Flag aligned under SFCS</t>
  </si>
  <si>
    <t>This flag allows to identify exposures that are considered green from a management perspective. I.e. not only uder EU Taxonomy criteria, understood as meeting the SFCS criteria.</t>
  </si>
  <si>
    <t xml:space="preserve">T6 T7 T8 T9.1 T9.2 T9.3 T.10 </t>
  </si>
  <si>
    <t>Flag eligible under EU Taxonomy</t>
  </si>
  <si>
    <t>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</si>
  <si>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T6 T7 T8 T9.1 T9.2 T9.3</t>
  </si>
  <si>
    <t xml:space="preserve">Environmentally sustainable activity </t>
  </si>
  <si>
    <t>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t>
  </si>
  <si>
    <t xml:space="preserve">T4 T6 T7 T8 T9.1 T9.2 T9.3  </t>
  </si>
  <si>
    <t>Flag aligned under EU Taxonomy</t>
  </si>
  <si>
    <t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t>
  </si>
  <si>
    <t>Posible values: 0,1</t>
  </si>
  <si>
    <t>Taxonomy-eligible Capex</t>
  </si>
  <si>
    <t xml:space="preserve">Proportion of Capex eligible according to European Taxonomy, that is, that might make a sustantial contribution to an objective of the EU Taxonomy. This variable applies when the use of proceeds is unknown. </t>
  </si>
  <si>
    <t>%</t>
  </si>
  <si>
    <t>Taxonomy-eligible Turnover</t>
  </si>
  <si>
    <t xml:space="preserve">Proportion of Turnover eligible according to European Taxonomy, that is, that might make a sustantial contribution to an objective of the EU Taxonomy. This variable applies when the use of proceeds is unknown. </t>
  </si>
  <si>
    <t>Taxonomy-aligned Capex</t>
  </si>
  <si>
    <t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t>
  </si>
  <si>
    <t>Taxonomy-aligned Turnover</t>
  </si>
  <si>
    <t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t>
  </si>
  <si>
    <t>Eligibility ratio</t>
  </si>
  <si>
    <r>
      <t xml:space="preserve">What percentage of assets is eligible according to the European Taxonomy
These are the following eligibility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</si>
  <si>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KPI for Financial Institutions</t>
  </si>
  <si>
    <r>
      <t xml:space="preserve">What percentage of assets is aligned with the European Taxonomy.
These are the following alignment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</si>
  <si>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SFCS Category</t>
  </si>
  <si>
    <t>SFCS category two levels of information. E.g.: Energy (level 01) &amp; Renewable energy production (level 02) or Transport (level 01) &amp; Land transport (level 02)</t>
  </si>
  <si>
    <t>GARB_GAR &amp; BTAR
MITI_Mitigation actions</t>
  </si>
  <si>
    <t xml:space="preserve">LEI </t>
  </si>
  <si>
    <t>The Legal Entity Identifier (LEI) is a 20-character, alpha-numeric code based on the ISO 17442 standard. It connects to key reference information that enables clear and unique identification of legal entities participating in financial transactions. Each LEI contains information about an entity’s ownership structure and thus answers the questions of 'who is who’ and ‘who owns whom’.</t>
  </si>
  <si>
    <t>table: Ct003_univ_cli
Var: clei</t>
  </si>
  <si>
    <t>T1 T3 T4</t>
  </si>
  <si>
    <t>For Paris excluded companies</t>
  </si>
  <si>
    <t>Flag audited of financial statements</t>
  </si>
  <si>
    <t>This flag allows to identify audited financial statements of the counterparty.</t>
  </si>
  <si>
    <t>Client &amp; Last Parent</t>
  </si>
  <si>
    <t>BDR: 
Table: JM_CLIEN_JURI
Var: G5508_ORIG_FAC</t>
  </si>
  <si>
    <t>Table: JM_CLIEN_JURI
Var: ORIG_FAC</t>
  </si>
  <si>
    <t>Capital</t>
  </si>
  <si>
    <t xml:space="preserve">T3 T6 T7 T8 T9.1 T9.2 T9.3 </t>
  </si>
  <si>
    <t>For financed emissions: DQS</t>
  </si>
  <si>
    <t>Date of reference of financial statements</t>
  </si>
  <si>
    <t>Date of reference of the fnancial statetements of the counterparty.</t>
  </si>
  <si>
    <t>BDR: 
Table: JM_CLIEN_JURI
Var: G5508_INFFECHA</t>
  </si>
  <si>
    <t>Table: JM_CLIEN_JURI
Var: INFFECHA</t>
  </si>
  <si>
    <t>For financed emissions</t>
  </si>
  <si>
    <t>Flag of Listed Company in a EU Regulated Market</t>
  </si>
  <si>
    <t>This flag allows to identify companies whose  transferable securities are admitted to trading on a regulated market of any Member State.</t>
  </si>
  <si>
    <t>Table: cd_captools.CT610_titulos
Var: bolsa_valores</t>
  </si>
  <si>
    <t>Market risk / ALM</t>
  </si>
  <si>
    <t>Client's total assets on the balance sheet</t>
  </si>
  <si>
    <t>Total assets of the company according to is annual financial statements.</t>
  </si>
  <si>
    <t>BDR: 
Table: JM_CLIEN_JURI
Var: G5508_TOT_ACTI</t>
  </si>
  <si>
    <t>Table: cd_captools.ct063_univ_pme
var: ativo_indv</t>
  </si>
  <si>
    <t xml:space="preserve">T7 T8 T9.1 T9.2 T9.3 </t>
  </si>
  <si>
    <t>Counterparty's total assets &lt; Group's total assets</t>
  </si>
  <si>
    <t>Client's group total assets on the balance sheet</t>
  </si>
  <si>
    <t>It is needed to record the total assets of the last parent of each of your customers</t>
  </si>
  <si>
    <t>BDR: 
Table: JM_GRUP_ECONO
Var: G5512_TOT_ACTI</t>
  </si>
  <si>
    <t>Table: cd_captools.ct063_univ_pme
var: ativo_grup</t>
  </si>
  <si>
    <t>T7 T8 T9.1 T9.2 T9.3</t>
  </si>
  <si>
    <t>ISIN of the issuer</t>
  </si>
  <si>
    <t>The ISIN number (ISO 6166) is a globally recognised identifier used for recognising particular financial instruments such as securities, bonds, futures, stocks, trusts and more. The ISIN is an extended version of the US Committee on Uniform Security Identification Procedures (CUSIP number).
Part of the ISIN code of the financial instrument allows to identify the issuer.</t>
  </si>
  <si>
    <t>cd_captools.ct610_titulos
var: ISIN</t>
  </si>
  <si>
    <t>- For Paris excluded companies
'- For financed emissions: real emissions</t>
  </si>
  <si>
    <t>GHG reported emissions: Scope 1</t>
  </si>
  <si>
    <t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t>
  </si>
  <si>
    <t>T1</t>
  </si>
  <si>
    <t>GHG reported emissions: Scope 2</t>
  </si>
  <si>
    <t>GHG reported emissions: Scope 3</t>
  </si>
  <si>
    <t xml:space="preserve">Flag: Banking book </t>
  </si>
  <si>
    <t>This flag allows to identify the Banking book, which comprises the following FINREP portfolios:
- Loans and receivables and held-to-maturity investments
- Non-trading non-derivative financial assets measured at fair value to equity
- Non-trading debt instruments measured at a cost-based method
- Other non-trading non-derivative financial assets</t>
  </si>
  <si>
    <t>Table: cd_captools.fr802_pl_contas
All operations with : tipo_conta = 'A' and 
(
caretira_contabilistica &lt;&gt; 'ativos financeiros detidos para negociacao' or 
(caretira_contabilistica = 'ativos financeiros detidos para negociacao'  and subcarteira_contabilistica = NEGCE) or
(caretira_contabilistica = 'ativos financeiros detidos para negociacao'  and portfoloio = ST_RT_LIQ_DERIV)
)
Nota: o portfólio existe na tabela de swaps cambiais cd_alm.al005_det_swapc</t>
  </si>
  <si>
    <t>T1 T2 T3 T4 T5 T6 T7 T8 T9.1 T9.2 T9.3 T10</t>
  </si>
  <si>
    <r>
      <t>CESG_CNAE_ESG
ENPC_Energy_Performance_Certificate
GARB_GAR &amp; BTAR</t>
    </r>
    <r>
      <rPr>
        <sz val="10"/>
        <color rgb="FF0070C0"/>
        <rFont val="Santander Headline"/>
        <family val="2"/>
      </rPr>
      <t xml:space="preserve">
GHGE_GHG Financed emissions</t>
    </r>
  </si>
  <si>
    <t>Sensitive to impact from acute climate change events</t>
  </si>
  <si>
    <t>-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t>
  </si>
  <si>
    <t>Collateral / Client (exposures not collateralized)</t>
  </si>
  <si>
    <t>T5</t>
  </si>
  <si>
    <t>Sensitive to impact from chronic climate change events</t>
  </si>
  <si>
    <t>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t>
  </si>
  <si>
    <t>Purpose ESG</t>
  </si>
  <si>
    <t>Potential breakdown for households and local government purposes (Building Renovation Loans, Motor Vehicles Loans, Other Househodkds Purpose  and Other)</t>
  </si>
  <si>
    <t>Banking Book: Households (Commercial and Residential) and General Governments</t>
  </si>
  <si>
    <t>T6 T7 T8 T9.1 T9.2 T9.3 T10</t>
  </si>
  <si>
    <t>Reference date of the information</t>
  </si>
  <si>
    <t>The defined point in time to collect all available information/live contracts as of that date</t>
  </si>
  <si>
    <t>table cd_captools.fr004_cto
var:ref_date</t>
  </si>
  <si>
    <t>Date of origination</t>
  </si>
  <si>
    <t>Opening date of the operation</t>
  </si>
  <si>
    <t>BDR
Table: JM_CONTR_BIS
Var: G4095_FECHAPER</t>
  </si>
  <si>
    <t>table cd_captools.fr004_cto
var: data_abertura</t>
  </si>
  <si>
    <t>DQ score emissions scope 1</t>
  </si>
  <si>
    <t>Data quality is one of the key components highlighted by the standard, in which data quality score tables rank for each defined asset class from 1 (Highest Data Quality) to 5 (Lowest Data Quality).</t>
  </si>
  <si>
    <t>DQ score emissions scope 2</t>
  </si>
  <si>
    <t>DQ score emissions scope 3</t>
  </si>
  <si>
    <t>Technology generation</t>
  </si>
  <si>
    <t>Technologies that contribute to climate change. Example: Eg. Wind, renewable energies, etc</t>
  </si>
  <si>
    <t>For financed emissions: project finance</t>
  </si>
  <si>
    <t>Installed capacity</t>
  </si>
  <si>
    <t>Amount of power that is recognized to the generating plants considering the technical availability of their facilities. It is measured in MegaWatts (MW) power units.</t>
  </si>
  <si>
    <t>Energy generated per year</t>
  </si>
  <si>
    <t>Total energy generated in a year measured in megawatts per hour (MWh)</t>
  </si>
  <si>
    <t>National identification number</t>
  </si>
  <si>
    <t>Unique counterparty identifier according to local legislation. E.g. in Spain it is the CIF.</t>
  </si>
  <si>
    <t>BDR
Table: JM_CLIENT_BII
Var: G4093_IDENTPER, G4093_CODIDPER</t>
  </si>
  <si>
    <t>-</t>
  </si>
  <si>
    <t>Interest Income</t>
  </si>
  <si>
    <t>Real financial income / expenditure generated from interests</t>
  </si>
  <si>
    <t>Banking Book: Non Financial Corporations</t>
  </si>
  <si>
    <t>STE</t>
  </si>
  <si>
    <t>IESG_Interest and Commissions</t>
  </si>
  <si>
    <t>European Union</t>
  </si>
  <si>
    <t>Institutions shall disclose the total gross carrying amounts wth breakdown by location EU vs non-EU area</t>
  </si>
  <si>
    <t>DL Capital Tools
table: cd_captools.ct003_univ_cli
Var: cpais_residencia</t>
  </si>
  <si>
    <t>T1 T2 T5 T6 T7 T8 T9.1 T9.2 T9.3 T10</t>
  </si>
  <si>
    <t>Calculation approach</t>
  </si>
  <si>
    <t>The calculation of financed emissions depends on the portfolio, which can be:
- Corporate finance
- Project Finance
- Commercial Real Estate
- Motor Vehicle Loans
- Mortgages</t>
  </si>
  <si>
    <t>Fees and commisions income</t>
  </si>
  <si>
    <t>Non-financial gross fee and commission income (amount that is allocated in the P&amp;L) accrued by the instrument during the reporting month (included in Green Finance Business Book instructions: Net Fees/Customer Fees).</t>
  </si>
  <si>
    <t>Track changes v4</t>
  </si>
  <si>
    <t>Campo</t>
  </si>
  <si>
    <t>Cambios (ES)</t>
  </si>
  <si>
    <t>Cadastral ID</t>
  </si>
  <si>
    <t>Quitamos la métrica porque es para estimación de EPCs</t>
  </si>
  <si>
    <t>Year of construction</t>
  </si>
  <si>
    <t>Floor</t>
  </si>
  <si>
    <t>Type of reform</t>
  </si>
  <si>
    <t>Year of renovation</t>
  </si>
  <si>
    <t>Climate zone</t>
  </si>
  <si>
    <t>Altitude</t>
  </si>
  <si>
    <t>Inhabitants</t>
  </si>
  <si>
    <t>Income</t>
  </si>
  <si>
    <t>Taxpayers</t>
  </si>
  <si>
    <t>Añadimos su uso en las templates 5 y 10</t>
  </si>
  <si>
    <t xml:space="preserve">% Collateralised </t>
  </si>
  <si>
    <t>Quitamos su uso en la template 9.3</t>
  </si>
  <si>
    <t>Añadimos su uso en la template 2</t>
  </si>
  <si>
    <t>Cambio del satélite de CNAE a GHG</t>
  </si>
  <si>
    <t>Taken possesion</t>
  </si>
  <si>
    <t>Añadimos su uso en el satélite ENPC</t>
  </si>
  <si>
    <t>Añadimos su uso en la template 10</t>
  </si>
  <si>
    <t>Añadimos su uso en el satélite de MITI</t>
  </si>
  <si>
    <t>Columna Scope Business</t>
  </si>
  <si>
    <t>Modificada para que los sectores estén alineados</t>
  </si>
  <si>
    <t>Alignment Metric</t>
  </si>
  <si>
    <t>La quitamos del diccionario ya que las unidades no usan esta métrica</t>
  </si>
  <si>
    <t>Modificada con la info. Utilizada en el reporte de Pilar 3</t>
  </si>
  <si>
    <t>Flag: Building within the top 15% of PED</t>
  </si>
  <si>
    <t>Quitamos la métrica porque las unidades ya tienen el SFCS y no la utilizan</t>
  </si>
  <si>
    <t>Flag: Primary Energy Demand (PED) is 10 % lower than the threshold set for the nearly zero-energy building (NZEB)</t>
  </si>
  <si>
    <t>Flag: renovation leads to a reduction of primary energy demand (PED) of at least 30 %</t>
  </si>
  <si>
    <t>Flag: major renovation</t>
  </si>
  <si>
    <t>Flag: EU Taxonomy Auto threshold are met</t>
  </si>
  <si>
    <t>Taxonomy-eligible Opex</t>
  </si>
  <si>
    <t>Quitamos la métrica porque no se está reportando</t>
  </si>
  <si>
    <t>Taxonomy-aligned Opex</t>
  </si>
  <si>
    <t>Nueva métrica incluida en el diccionario</t>
  </si>
  <si>
    <t>Funding Type</t>
  </si>
  <si>
    <t>Quitamos debido a estar duplicada con Financing category ( according to the SFCS )</t>
  </si>
  <si>
    <t>Risk Mitigated CCT</t>
  </si>
  <si>
    <t xml:space="preserve">Quitamos debido a estar duplicada con Climate change transition risk </t>
  </si>
  <si>
    <t>Risk Mitigated CCP</t>
  </si>
  <si>
    <t xml:space="preserve">Quitamos debido a estar duplicada con Climate change physical risk </t>
  </si>
  <si>
    <t xml:space="preserve">ID Metric </t>
  </si>
  <si>
    <t>CAMBIOS</t>
  </si>
  <si>
    <t>Si ya tenemos el NUTS y el Zip, queremos el address?</t>
  </si>
  <si>
    <t>Se pueden usar para calcular las emisiones financiadas para CRE. Si no calculamos emisiones para esta cartera, no es una métrica necesaria</t>
  </si>
  <si>
    <t>Interest commisions</t>
  </si>
  <si>
    <t>Physical risk_Geographical Area</t>
  </si>
  <si>
    <t>NACE_Level1</t>
  </si>
  <si>
    <t xml:space="preserve">Metricas encontradas con nombre similares </t>
  </si>
  <si>
    <t xml:space="preserve">Metricas con nombre diferentes  o no encontradas </t>
  </si>
  <si>
    <t xml:space="preserve">ID </t>
  </si>
  <si>
    <t xml:space="preserve">Metric </t>
  </si>
  <si>
    <t xml:space="preserve">ENCONTRADO EN DICCIONARIO </t>
  </si>
  <si>
    <t>INC</t>
  </si>
  <si>
    <t>EU</t>
  </si>
  <si>
    <t xml:space="preserve">No need </t>
  </si>
  <si>
    <t>GEO</t>
  </si>
  <si>
    <t>CNAEL</t>
  </si>
  <si>
    <t>NACE</t>
  </si>
  <si>
    <t>EXC</t>
  </si>
  <si>
    <t>Excluded from EU Paris-aligned benchmark</t>
  </si>
  <si>
    <t>ENSM</t>
  </si>
  <si>
    <t>Environmentally sustainable CCM</t>
  </si>
  <si>
    <t>CHRO</t>
  </si>
  <si>
    <t>Chronic changes</t>
  </si>
  <si>
    <t>ACUT</t>
  </si>
  <si>
    <t>Acute changes</t>
  </si>
  <si>
    <t>MESG</t>
  </si>
  <si>
    <t>Maturity ESG</t>
  </si>
  <si>
    <t>AVEG</t>
  </si>
  <si>
    <t>Average weighted maturity</t>
  </si>
  <si>
    <t xml:space="preserve">Se calcula con MESG </t>
  </si>
  <si>
    <t>EPSD</t>
  </si>
  <si>
    <t>EP Score Data</t>
  </si>
  <si>
    <t>EPSC</t>
  </si>
  <si>
    <t>EPCD</t>
  </si>
  <si>
    <t>EPC Label Data</t>
  </si>
  <si>
    <t>EPCL</t>
  </si>
  <si>
    <t>EPC Label</t>
  </si>
  <si>
    <t>GFI</t>
  </si>
  <si>
    <t>Green Financial Instrument</t>
  </si>
  <si>
    <t>PESG</t>
  </si>
  <si>
    <t>FUTY</t>
  </si>
  <si>
    <t>Funding type</t>
  </si>
  <si>
    <t>RMCT</t>
  </si>
  <si>
    <t>RMCP</t>
  </si>
  <si>
    <t>DCON</t>
  </si>
  <si>
    <t>Comment</t>
  </si>
  <si>
    <t>ESGS</t>
  </si>
  <si>
    <t>ESG Subsector</t>
  </si>
  <si>
    <t>NFRD</t>
  </si>
  <si>
    <t>NFRD disclosures</t>
  </si>
  <si>
    <t>CCM</t>
  </si>
  <si>
    <t>Climate Change Mitigation</t>
  </si>
  <si>
    <t>CCA</t>
  </si>
  <si>
    <t>Climate Change Adaptation</t>
  </si>
  <si>
    <t>GSPUR</t>
  </si>
  <si>
    <t>General_Specific purpose</t>
  </si>
  <si>
    <t>ENSA</t>
  </si>
  <si>
    <t>Environmentally sustainable CCA</t>
  </si>
  <si>
    <t>SPLE</t>
  </si>
  <si>
    <t>Specialised lending</t>
  </si>
  <si>
    <t>TRNS</t>
  </si>
  <si>
    <t>Transitional</t>
  </si>
  <si>
    <t>ENAB</t>
  </si>
  <si>
    <t>Enabling CCM</t>
  </si>
  <si>
    <t>ENAA</t>
  </si>
  <si>
    <t>Enabling CCA</t>
  </si>
  <si>
    <t>ORDP</t>
  </si>
  <si>
    <t>Originated during period</t>
  </si>
  <si>
    <t>CCCM</t>
  </si>
  <si>
    <t>Amount using Capex (CCM)</t>
  </si>
  <si>
    <t>TCCM</t>
  </si>
  <si>
    <t>Amount using Turnover (CCM)</t>
  </si>
  <si>
    <t>CCCA</t>
  </si>
  <si>
    <t>Amount using Capex (CCA)</t>
  </si>
  <si>
    <t>TCCA</t>
  </si>
  <si>
    <t>Amount using Turnover (CCA)</t>
  </si>
  <si>
    <t>SOUR</t>
  </si>
  <si>
    <t>Source emission</t>
  </si>
  <si>
    <t>DQS</t>
  </si>
  <si>
    <t>Data quality score</t>
  </si>
  <si>
    <t>ASCI</t>
  </si>
  <si>
    <t>Amount used Scope 1</t>
  </si>
  <si>
    <t>GESI</t>
  </si>
  <si>
    <t>GHG Financed Emissions Scope 1</t>
  </si>
  <si>
    <t>ASCII</t>
  </si>
  <si>
    <t>Amount used Scope 2</t>
  </si>
  <si>
    <t>GESII</t>
  </si>
  <si>
    <t>GHG Financed Emissions Scope 2</t>
  </si>
  <si>
    <t>ASCIII</t>
  </si>
  <si>
    <t>Amount used Scope 3</t>
  </si>
  <si>
    <t>GESIII</t>
  </si>
  <si>
    <t>GHG Financed Emissions Scope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</si>
</sst>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rial"/>
      <family val="2"/>
      <scheme val="minor"/>
    </font>
    <font>
      <sz val="10"/>
      <name val="Santander Headline"/>
      <family val="2"/>
    </font>
    <font>
      <b/>
      <sz val="10"/>
      <name val="Santander Headline"/>
      <family val="2"/>
    </font>
    <font>
      <b/>
      <sz val="9"/>
      <color indexed="81"/>
      <name val="Tahoma"/>
      <family val="2"/>
    </font>
    <font>
      <sz val="9"/>
      <color indexed="81"/>
      <name val="Tahoma"/>
      <family val="2"/>
    </font>
    <font>
      <sz val="10"/>
      <color theme="1"/>
      <name val="Santander Headline"/>
      <family val="2"/>
    </font>
    <font>
      <b/>
      <sz val="10"/>
      <color theme="1"/>
      <name val="Santander Headline"/>
      <family val="2"/>
    </font>
    <font>
      <sz val="10"/>
      <color rgb="FFFF0000"/>
      <name val="Santander Headline"/>
      <family val="2"/>
    </font>
    <font>
      <sz val="11"/>
      <color theme="1"/>
      <name val="Santander Headline"/>
      <family val="2"/>
    </font>
    <font>
      <b/>
      <u/>
      <sz val="11"/>
      <color theme="1"/>
      <name val="Santander Headline"/>
      <family val="2"/>
    </font>
    <font>
      <b/>
      <sz val="11"/>
      <color theme="1"/>
      <name val="Santander Headline"/>
      <family val="2"/>
    </font>
    <font>
      <i/>
      <sz val="11"/>
      <color theme="1"/>
      <name val="Santander Headline"/>
      <family val="2"/>
    </font>
    <font>
      <b/>
      <i/>
      <sz val="11"/>
      <color theme="1"/>
      <name val="Santander Headline"/>
      <family val="2"/>
    </font>
    <font>
      <b/>
      <sz val="10"/>
      <color theme="0"/>
      <name val="Santander Headline"/>
      <family val="2"/>
    </font>
    <font>
      <i/>
      <sz val="11"/>
      <color theme="4"/>
      <name val="Santander Headline"/>
      <family val="2"/>
    </font>
    <font>
      <sz val="11"/>
      <color theme="4"/>
      <name val="Santander Headline"/>
      <family val="2"/>
    </font>
    <font>
      <i/>
      <sz val="11"/>
      <name val="Santander Headline"/>
      <family val="2"/>
    </font>
    <font>
      <sz val="10"/>
      <color rgb="FF0070C0"/>
      <name val="Santander Headline"/>
      <family val="2"/>
    </font>
    <font>
      <strike/>
      <sz val="10"/>
      <color theme="1"/>
      <name val="Santander Headline"/>
      <family val="2"/>
    </font>
    <font>
      <i/>
      <sz val="10"/>
      <name val="Santander Headline"/>
      <family val="2"/>
    </font>
    <font>
      <b/>
      <sz val="11"/>
      <color theme="0"/>
      <name val="Santander Headline"/>
      <family val="2"/>
    </font>
    <font>
      <sz val="11"/>
      <color theme="1"/>
      <name val="Arial"/>
      <family val="2"/>
      <scheme val="minor"/>
    </font>
    <font>
      <b/>
      <sz val="11"/>
      <color theme="1"/>
      <name val="Arial"/>
      <family val="2"/>
      <scheme val="minor"/>
    </font>
    <font>
      <u/>
      <sz val="11"/>
      <color theme="10"/>
      <name val="Arial"/>
      <family val="2"/>
      <scheme val="minor"/>
    </font>
    <font>
      <sz val="10"/>
      <color theme="1"/>
      <name val="Arial"/>
      <family val="2"/>
      <scheme val="minor"/>
    </font>
    <font>
      <u/>
      <sz val="10"/>
      <color theme="10"/>
      <name val="Arial"/>
      <family val="2"/>
      <scheme val="minor"/>
    </font>
    <font>
      <sz val="10"/>
      <name val="Arial"/>
      <family val="2"/>
    </font>
    <font>
      <sz val="11"/>
      <color indexed="8"/>
      <name val="Arial"/>
      <family val="2"/>
      <scheme val="minor"/>
    </font>
    <font>
      <sz val="9"/>
      <color theme="1"/>
      <name val="Calibri"/>
      <family val="2"/>
    </font>
    <font>
      <sz val="11"/>
      <color theme="1"/>
      <name val="Santander Text"/>
      <family val="2"/>
    </font>
  </fonts>
  <fills count="19">
    <fill>
      <patternFill patternType="none"/>
    </fill>
    <fill>
      <patternFill patternType="gray125"/>
    </fill>
    <fill>
      <patternFill patternType="solid">
        <fgColor rgb="FFFA0000"/>
        <bgColor indexed="64"/>
      </patternFill>
    </fill>
    <fill>
      <patternFill patternType="solid">
        <fgColor theme="1"/>
        <bgColor indexed="64"/>
      </patternFill>
    </fill>
    <fill>
      <patternFill patternType="solid">
        <fgColor rgb="FFFF000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2"/>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00FFFF"/>
        <bgColor indexed="64"/>
      </patternFill>
    </fill>
    <fill>
      <patternFill patternType="solid">
        <fgColor theme="8" tint="0.79998168889431442"/>
        <bgColor indexed="64"/>
      </patternFill>
    </fill>
    <fill>
      <patternFill patternType="solid">
        <fgColor theme="9"/>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s>
  <cellStyleXfs count="11">
    <xf numFmtId="0" fontId="0" fillId="0" borderId="0"/>
    <xf numFmtId="0" fontId="23" fillId="0" borderId="0" applyNumberFormat="0" applyFill="0" applyBorder="0" applyAlignment="0" applyProtection="0"/>
    <xf numFmtId="0" fontId="26" fillId="0" borderId="0"/>
    <xf numFmtId="0" fontId="21" fillId="0" borderId="0"/>
    <xf numFmtId="0" fontId="27" fillId="0" borderId="0"/>
    <xf numFmtId="0" fontId="21" fillId="0" borderId="0"/>
    <xf numFmtId="0" fontId="26" fillId="0" borderId="0"/>
    <xf numFmtId="0" fontId="28" fillId="0" borderId="0"/>
    <xf numFmtId="0" fontId="29" fillId="0" borderId="0"/>
    <xf numFmtId="0" fontId="27" fillId="0" borderId="0"/>
    <xf numFmtId="0" fontId="21" fillId="0" borderId="0"/>
  </cellStyleXfs>
  <cellXfs count="219">
    <xf numFmtId="0" fontId="0" fillId="0" borderId="0" xfId="0"/>
    <xf numFmtId="0" fontId="1" fillId="0" borderId="0" xfId="0" applyFont="1"/>
    <xf numFmtId="0" fontId="1" fillId="0" borderId="0" xfId="0" applyFont="1" applyAlignment="1">
      <alignment wrapText="1"/>
    </xf>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0" xfId="0" applyFont="1"/>
    <xf numFmtId="0" fontId="5" fillId="0" borderId="0" xfId="0" applyFont="1" applyAlignment="1">
      <alignment wrapText="1"/>
    </xf>
    <xf numFmtId="0" fontId="8" fillId="0" borderId="0" xfId="0" applyFont="1"/>
    <xf numFmtId="0" fontId="9" fillId="0" borderId="0" xfId="0" applyFont="1"/>
    <xf numFmtId="0" fontId="10" fillId="0" borderId="0" xfId="0" applyFont="1"/>
    <xf numFmtId="0" fontId="11" fillId="0" borderId="0" xfId="0" applyFont="1" applyAlignment="1">
      <alignment vertical="center"/>
    </xf>
    <xf numFmtId="0" fontId="11" fillId="0" borderId="0" xfId="0" applyFont="1"/>
    <xf numFmtId="0" fontId="12" fillId="0" borderId="0" xfId="0" applyFont="1"/>
    <xf numFmtId="0" fontId="11" fillId="0" borderId="0" xfId="0" applyFont="1" applyAlignment="1">
      <alignment wrapText="1"/>
    </xf>
    <xf numFmtId="0" fontId="5" fillId="0" borderId="0" xfId="0" applyFont="1" applyAlignment="1">
      <alignment horizontal="center"/>
    </xf>
    <xf numFmtId="0" fontId="13" fillId="5" borderId="1" xfId="0" applyFont="1" applyFill="1" applyBorder="1" applyAlignment="1">
      <alignment horizontal="center" vertical="center" wrapText="1"/>
    </xf>
    <xf numFmtId="0" fontId="5" fillId="0" borderId="0" xfId="0" applyFont="1" applyAlignment="1">
      <alignment horizontal="center" vertical="center"/>
    </xf>
    <xf numFmtId="0" fontId="13" fillId="0" borderId="0" xfId="0" applyFont="1" applyAlignment="1">
      <alignment horizontal="center" vertical="center" wrapText="1"/>
    </xf>
    <xf numFmtId="0" fontId="13" fillId="5" borderId="7" xfId="0" applyFont="1" applyFill="1" applyBorder="1" applyAlignment="1">
      <alignment horizontal="center" vertical="center" wrapText="1"/>
    </xf>
    <xf numFmtId="0" fontId="14" fillId="0" borderId="0" xfId="0" applyFont="1"/>
    <xf numFmtId="0" fontId="5"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horizontal="center" vertical="center" wrapText="1"/>
    </xf>
    <xf numFmtId="0" fontId="8" fillId="0" borderId="0" xfId="0" quotePrefix="1" applyFont="1"/>
    <xf numFmtId="0" fontId="20" fillId="8" borderId="1" xfId="0" applyFont="1" applyFill="1" applyBorder="1" applyAlignment="1">
      <alignment horizontal="left" vertical="center"/>
    </xf>
    <xf numFmtId="0" fontId="20" fillId="8" borderId="1" xfId="0" applyFont="1" applyFill="1" applyBorder="1" applyAlignment="1">
      <alignment horizontal="left" vertical="center" wrapText="1"/>
    </xf>
    <xf numFmtId="0" fontId="6" fillId="6" borderId="1" xfId="0" applyFont="1" applyFill="1" applyBorder="1" applyAlignment="1">
      <alignment horizontal="left" vertical="center"/>
    </xf>
    <xf numFmtId="0" fontId="13" fillId="4" borderId="10"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 fillId="0" borderId="15" xfId="0" applyFont="1" applyBorder="1" applyAlignment="1">
      <alignment horizontal="left" vertical="center" wrapText="1"/>
    </xf>
    <xf numFmtId="0" fontId="5" fillId="0" borderId="15" xfId="0" applyFont="1" applyBorder="1" applyAlignment="1">
      <alignment horizontal="left" vertical="center" wrapText="1"/>
    </xf>
    <xf numFmtId="0" fontId="1" fillId="0" borderId="15" xfId="0" applyFont="1" applyBorder="1" applyAlignment="1">
      <alignment horizontal="left" vertical="center"/>
    </xf>
    <xf numFmtId="0" fontId="5" fillId="0" borderId="15" xfId="0" applyFont="1" applyBorder="1" applyAlignment="1">
      <alignment horizontal="left" vertical="center"/>
    </xf>
    <xf numFmtId="0" fontId="5" fillId="0" borderId="29" xfId="0" applyFont="1" applyBorder="1" applyAlignment="1">
      <alignment horizontal="left" vertical="center" wrapText="1"/>
    </xf>
    <xf numFmtId="0" fontId="6" fillId="12" borderId="1" xfId="0" applyFont="1" applyFill="1" applyBorder="1" applyAlignment="1">
      <alignment horizontal="left" vertical="center"/>
    </xf>
    <xf numFmtId="0" fontId="13" fillId="11" borderId="24"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42" xfId="0" applyFont="1" applyFill="1" applyBorder="1" applyAlignment="1">
      <alignment horizontal="center" vertical="center" wrapText="1"/>
    </xf>
    <xf numFmtId="1" fontId="1" fillId="0" borderId="11" xfId="0" applyNumberFormat="1" applyFont="1" applyBorder="1" applyAlignment="1">
      <alignment horizontal="left" vertical="center"/>
    </xf>
    <xf numFmtId="0" fontId="6" fillId="13" borderId="1" xfId="0" applyFont="1" applyFill="1" applyBorder="1" applyAlignment="1">
      <alignment horizontal="left" vertical="center"/>
    </xf>
    <xf numFmtId="1" fontId="1" fillId="7" borderId="11" xfId="0" quotePrefix="1" applyNumberFormat="1" applyFont="1" applyFill="1" applyBorder="1" applyAlignment="1">
      <alignment horizontal="left" vertical="center"/>
    </xf>
    <xf numFmtId="0" fontId="6" fillId="6" borderId="1" xfId="0" applyFont="1" applyFill="1" applyBorder="1" applyAlignment="1">
      <alignment horizontal="lef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5" fillId="0" borderId="7" xfId="0" applyFont="1" applyBorder="1" applyAlignment="1">
      <alignment horizontal="left" vertical="center" wrapText="1"/>
    </xf>
    <xf numFmtId="1" fontId="1" fillId="0" borderId="11" xfId="0" applyNumberFormat="1" applyFont="1" applyBorder="1" applyAlignment="1">
      <alignment horizontal="left" vertical="center" wrapText="1"/>
    </xf>
    <xf numFmtId="1" fontId="1" fillId="0" borderId="3" xfId="0" applyNumberFormat="1" applyFont="1" applyBorder="1" applyAlignment="1">
      <alignment horizontal="left" vertical="center"/>
    </xf>
    <xf numFmtId="0" fontId="1" fillId="0" borderId="6" xfId="0" applyFont="1" applyBorder="1" applyAlignment="1">
      <alignment horizontal="left" vertical="center" wrapText="1"/>
    </xf>
    <xf numFmtId="0" fontId="1" fillId="0" borderId="15" xfId="0" applyFont="1" applyBorder="1" applyAlignment="1">
      <alignment horizontal="center"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1" fontId="1" fillId="0" borderId="8" xfId="0" applyNumberFormat="1" applyFont="1" applyBorder="1" applyAlignment="1">
      <alignment horizontal="left" vertical="center"/>
    </xf>
    <xf numFmtId="1" fontId="1" fillId="0" borderId="1" xfId="0" applyNumberFormat="1" applyFont="1" applyBorder="1" applyAlignment="1">
      <alignment horizontal="left" vertical="center" wrapText="1"/>
    </xf>
    <xf numFmtId="0" fontId="5" fillId="0" borderId="25" xfId="0" applyFont="1" applyBorder="1" applyAlignment="1">
      <alignment horizontal="left" vertical="center" wrapText="1"/>
    </xf>
    <xf numFmtId="0" fontId="5" fillId="0" borderId="9" xfId="0" applyFont="1" applyBorder="1" applyAlignment="1">
      <alignment horizontal="left" vertical="center" wrapText="1"/>
    </xf>
    <xf numFmtId="0" fontId="1" fillId="0" borderId="16" xfId="0" quotePrefix="1" applyFont="1" applyBorder="1" applyAlignment="1">
      <alignment vertical="center" wrapText="1"/>
    </xf>
    <xf numFmtId="0" fontId="1" fillId="0" borderId="16" xfId="0" quotePrefix="1" applyFont="1" applyBorder="1" applyAlignment="1">
      <alignment horizontal="center" vertical="center" wrapText="1"/>
    </xf>
    <xf numFmtId="1" fontId="1" fillId="0" borderId="6" xfId="0" applyNumberFormat="1" applyFont="1" applyBorder="1" applyAlignment="1">
      <alignment horizontal="left" vertical="center"/>
    </xf>
    <xf numFmtId="0" fontId="1" fillId="0" borderId="24" xfId="0" quotePrefix="1" applyFont="1" applyBorder="1" applyAlignment="1">
      <alignment vertical="center" wrapText="1"/>
    </xf>
    <xf numFmtId="0" fontId="1" fillId="0" borderId="24" xfId="0" quotePrefix="1" applyFont="1" applyBorder="1" applyAlignment="1">
      <alignment horizontal="center" vertical="center" wrapText="1"/>
    </xf>
    <xf numFmtId="0" fontId="1" fillId="0" borderId="17" xfId="0" quotePrefix="1" applyFont="1" applyBorder="1" applyAlignment="1">
      <alignment vertical="center" wrapText="1"/>
    </xf>
    <xf numFmtId="0" fontId="1" fillId="0" borderId="17" xfId="0" quotePrefix="1" applyFont="1" applyBorder="1" applyAlignment="1">
      <alignment horizontal="center" vertical="center" wrapText="1"/>
    </xf>
    <xf numFmtId="0" fontId="1" fillId="0" borderId="1" xfId="0" applyFont="1" applyBorder="1" applyAlignment="1">
      <alignment horizontal="left" vertical="center"/>
    </xf>
    <xf numFmtId="0" fontId="1" fillId="0" borderId="7" xfId="0" applyFont="1" applyBorder="1" applyAlignment="1">
      <alignment horizontal="left" vertical="center"/>
    </xf>
    <xf numFmtId="0" fontId="2" fillId="0" borderId="6" xfId="0" quotePrefix="1" applyFont="1" applyBorder="1" applyAlignment="1">
      <alignment horizontal="center" vertical="center" wrapText="1"/>
    </xf>
    <xf numFmtId="0" fontId="1" fillId="0" borderId="1" xfId="0" quotePrefix="1" applyFont="1" applyBorder="1" applyAlignment="1">
      <alignment vertical="center" wrapText="1"/>
    </xf>
    <xf numFmtId="0" fontId="1" fillId="0" borderId="7" xfId="0" quotePrefix="1" applyFont="1" applyBorder="1" applyAlignment="1">
      <alignment vertical="center" wrapText="1"/>
    </xf>
    <xf numFmtId="0" fontId="1" fillId="0" borderId="1" xfId="0" applyFont="1" applyBorder="1" applyAlignment="1">
      <alignment horizontal="left"/>
    </xf>
    <xf numFmtId="0" fontId="1" fillId="0" borderId="7" xfId="0" applyFont="1" applyBorder="1" applyAlignment="1">
      <alignment horizontal="left"/>
    </xf>
    <xf numFmtId="0" fontId="1" fillId="0" borderId="1" xfId="0" applyFont="1" applyBorder="1"/>
    <xf numFmtId="0" fontId="1" fillId="0" borderId="3" xfId="0" applyFont="1" applyBorder="1"/>
    <xf numFmtId="0" fontId="1" fillId="0" borderId="7" xfId="0" applyFont="1" applyBorder="1"/>
    <xf numFmtId="0" fontId="5" fillId="0" borderId="6" xfId="0" applyFont="1" applyBorder="1" applyAlignment="1">
      <alignment horizontal="left" vertical="center"/>
    </xf>
    <xf numFmtId="1" fontId="1" fillId="0" borderId="11" xfId="0" quotePrefix="1" applyNumberFormat="1" applyFont="1" applyBorder="1" applyAlignment="1">
      <alignment horizontal="left" vertical="center" wrapText="1"/>
    </xf>
    <xf numFmtId="1" fontId="1" fillId="0" borderId="3" xfId="0" applyNumberFormat="1" applyFont="1" applyBorder="1" applyAlignment="1">
      <alignment horizontal="left" vertical="center" wrapText="1"/>
    </xf>
    <xf numFmtId="1" fontId="1" fillId="0" borderId="15" xfId="0" applyNumberFormat="1" applyFont="1" applyBorder="1" applyAlignment="1">
      <alignment horizontal="left" vertical="center" wrapText="1"/>
    </xf>
    <xf numFmtId="1" fontId="1" fillId="0" borderId="7" xfId="0" applyNumberFormat="1" applyFont="1" applyBorder="1" applyAlignment="1">
      <alignment horizontal="left" vertical="center" wrapText="1"/>
    </xf>
    <xf numFmtId="1" fontId="1" fillId="0" borderId="7" xfId="0" applyNumberFormat="1" applyFont="1" applyBorder="1" applyAlignment="1">
      <alignment horizontal="left" vertical="center"/>
    </xf>
    <xf numFmtId="0" fontId="1" fillId="0" borderId="3" xfId="0" applyFont="1" applyBorder="1" applyAlignment="1">
      <alignment horizontal="left" vertical="center"/>
    </xf>
    <xf numFmtId="1" fontId="1" fillId="0" borderId="15" xfId="0" applyNumberFormat="1" applyFont="1" applyBorder="1" applyAlignment="1">
      <alignment horizontal="left" vertical="center"/>
    </xf>
    <xf numFmtId="0" fontId="1" fillId="0" borderId="16" xfId="0" applyFont="1" applyBorder="1" applyAlignment="1">
      <alignment vertical="center" wrapText="1"/>
    </xf>
    <xf numFmtId="0" fontId="1" fillId="0" borderId="7" xfId="0" applyFont="1" applyBorder="1" applyAlignment="1">
      <alignment vertical="center" wrapText="1"/>
    </xf>
    <xf numFmtId="0" fontId="5" fillId="0" borderId="1" xfId="0" quotePrefix="1" applyFont="1" applyBorder="1" applyAlignment="1">
      <alignment vertical="center" wrapText="1"/>
    </xf>
    <xf numFmtId="0" fontId="5" fillId="0" borderId="3" xfId="0" quotePrefix="1" applyFont="1" applyBorder="1" applyAlignment="1">
      <alignment vertical="center" wrapText="1"/>
    </xf>
    <xf numFmtId="0" fontId="5" fillId="0" borderId="7" xfId="0" quotePrefix="1" applyFont="1" applyBorder="1" applyAlignment="1">
      <alignment vertical="center" wrapText="1"/>
    </xf>
    <xf numFmtId="0" fontId="1" fillId="0" borderId="7" xfId="0" applyFont="1" applyBorder="1" applyAlignment="1">
      <alignment horizontal="left" vertical="top" wrapText="1"/>
    </xf>
    <xf numFmtId="0" fontId="1" fillId="0" borderId="3" xfId="0" applyFont="1" applyBorder="1" applyAlignment="1">
      <alignment horizontal="left" vertical="center" wrapText="1"/>
    </xf>
    <xf numFmtId="1" fontId="1" fillId="0" borderId="6" xfId="0" applyNumberFormat="1" applyFont="1" applyBorder="1" applyAlignment="1">
      <alignment horizontal="left" vertical="center" wrapText="1"/>
    </xf>
    <xf numFmtId="0" fontId="1" fillId="0" borderId="15" xfId="0" applyFont="1" applyBorder="1" applyAlignment="1">
      <alignment horizontal="left" vertical="top" wrapText="1"/>
    </xf>
    <xf numFmtId="0" fontId="1" fillId="0" borderId="11" xfId="0" applyFont="1" applyBorder="1" applyAlignment="1">
      <alignment horizontal="left" vertical="center" wrapText="1"/>
    </xf>
    <xf numFmtId="0" fontId="1" fillId="0" borderId="7" xfId="0" quotePrefix="1" applyFont="1" applyBorder="1" applyAlignment="1">
      <alignment horizontal="left" vertical="top" wrapText="1"/>
    </xf>
    <xf numFmtId="0" fontId="5" fillId="0" borderId="6" xfId="0" applyFont="1" applyBorder="1" applyAlignment="1">
      <alignment horizontal="left" vertical="center" wrapText="1"/>
    </xf>
    <xf numFmtId="0" fontId="1" fillId="0" borderId="15" xfId="0" quotePrefix="1" applyFont="1" applyBorder="1" applyAlignment="1">
      <alignment horizontal="left" vertical="top" wrapText="1"/>
    </xf>
    <xf numFmtId="0" fontId="1" fillId="0" borderId="7" xfId="0" quotePrefix="1" applyFont="1" applyBorder="1" applyAlignment="1">
      <alignment horizontal="left" vertical="center" wrapText="1"/>
    </xf>
    <xf numFmtId="1" fontId="1" fillId="0" borderId="14" xfId="0" applyNumberFormat="1" applyFont="1" applyBorder="1" applyAlignment="1">
      <alignment horizontal="left" vertical="center"/>
    </xf>
    <xf numFmtId="0" fontId="1" fillId="0" borderId="29" xfId="0" applyFont="1" applyBorder="1" applyAlignment="1">
      <alignment horizontal="left" vertical="center" wrapText="1"/>
    </xf>
    <xf numFmtId="0" fontId="5" fillId="0" borderId="12" xfId="0" applyFont="1" applyBorder="1" applyAlignment="1">
      <alignment horizontal="left" vertical="center" wrapText="1"/>
    </xf>
    <xf numFmtId="0" fontId="1" fillId="0" borderId="25" xfId="0" quotePrefix="1" applyFont="1" applyBorder="1" applyAlignment="1">
      <alignment horizontal="left" vertical="top" wrapText="1"/>
    </xf>
    <xf numFmtId="0" fontId="1" fillId="0" borderId="9" xfId="0" applyFont="1" applyBorder="1" applyAlignment="1">
      <alignment horizontal="left" vertical="center" wrapText="1"/>
    </xf>
    <xf numFmtId="0" fontId="1" fillId="0" borderId="15" xfId="0" quotePrefix="1" applyFont="1" applyBorder="1" applyAlignment="1">
      <alignment horizontal="left" vertical="center" wrapText="1"/>
    </xf>
    <xf numFmtId="0" fontId="5" fillId="0" borderId="15" xfId="0" applyFont="1" applyBorder="1" applyAlignment="1">
      <alignment horizontal="center" vertical="center" wrapText="1"/>
    </xf>
    <xf numFmtId="0" fontId="1" fillId="0" borderId="1" xfId="0" applyFont="1"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5" fillId="0" borderId="1"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xf numFmtId="0" fontId="18" fillId="0" borderId="7" xfId="0" applyFont="1" applyBorder="1" applyAlignment="1">
      <alignment horizontal="left" vertical="center" wrapText="1"/>
    </xf>
    <xf numFmtId="0" fontId="1" fillId="0" borderId="6" xfId="0" applyFont="1" applyBorder="1" applyAlignment="1">
      <alignment horizontal="left" vertical="center"/>
    </xf>
    <xf numFmtId="0" fontId="5" fillId="0" borderId="3" xfId="0" applyFont="1" applyBorder="1" applyAlignment="1">
      <alignment horizontal="left" vertical="center" wrapText="1"/>
    </xf>
    <xf numFmtId="0" fontId="2" fillId="0" borderId="1" xfId="0" quotePrefix="1" applyFont="1" applyBorder="1" applyAlignment="1">
      <alignment horizontal="center" vertical="center" wrapText="1"/>
    </xf>
    <xf numFmtId="0" fontId="1" fillId="0" borderId="1" xfId="0" applyFont="1" applyBorder="1" applyAlignment="1">
      <alignment wrapText="1"/>
    </xf>
    <xf numFmtId="0" fontId="1" fillId="0" borderId="3" xfId="0" applyFont="1" applyBorder="1" applyAlignment="1">
      <alignment wrapText="1"/>
    </xf>
    <xf numFmtId="0" fontId="1" fillId="0" borderId="7" xfId="0" applyFont="1" applyBorder="1" applyAlignment="1">
      <alignment wrapText="1"/>
    </xf>
    <xf numFmtId="0" fontId="5" fillId="0" borderId="1" xfId="0" applyFont="1" applyBorder="1" applyAlignment="1">
      <alignment horizontal="center" vertical="center" wrapText="1"/>
    </xf>
    <xf numFmtId="0" fontId="5" fillId="0" borderId="7" xfId="0" quotePrefix="1" applyFont="1" applyBorder="1" applyAlignment="1">
      <alignment horizontal="left" vertical="center" wrapText="1"/>
    </xf>
    <xf numFmtId="0" fontId="5" fillId="0" borderId="15" xfId="0" quotePrefix="1" applyFont="1" applyBorder="1" applyAlignment="1">
      <alignment horizontal="left" vertical="center" wrapText="1"/>
    </xf>
    <xf numFmtId="1" fontId="1" fillId="0" borderId="7" xfId="0" quotePrefix="1" applyNumberFormat="1" applyFont="1" applyBorder="1" applyAlignment="1">
      <alignment horizontal="left" vertical="center" wrapText="1"/>
    </xf>
    <xf numFmtId="0" fontId="5" fillId="0" borderId="1" xfId="0" applyFont="1" applyBorder="1" applyAlignment="1">
      <alignment vertical="center"/>
    </xf>
    <xf numFmtId="0" fontId="5" fillId="0" borderId="3" xfId="0" applyFont="1" applyBorder="1" applyAlignment="1">
      <alignment vertical="center"/>
    </xf>
    <xf numFmtId="0" fontId="5" fillId="0" borderId="7" xfId="0" applyFont="1" applyBorder="1" applyAlignment="1">
      <alignment vertical="center"/>
    </xf>
    <xf numFmtId="0" fontId="5" fillId="0" borderId="1" xfId="0" applyFont="1" applyBorder="1"/>
    <xf numFmtId="0" fontId="5" fillId="0" borderId="3" xfId="0" applyFont="1" applyBorder="1"/>
    <xf numFmtId="0" fontId="5" fillId="0" borderId="1" xfId="0" applyFont="1" applyBorder="1" applyAlignment="1">
      <alignment vertical="center" wrapText="1"/>
    </xf>
    <xf numFmtId="0" fontId="5" fillId="0" borderId="3" xfId="0" applyFont="1" applyBorder="1" applyAlignment="1">
      <alignment vertical="center" wrapText="1"/>
    </xf>
    <xf numFmtId="0" fontId="5" fillId="0" borderId="7" xfId="0" applyFont="1" applyBorder="1" applyAlignment="1">
      <alignment vertical="center" wrapText="1"/>
    </xf>
    <xf numFmtId="0" fontId="1" fillId="0" borderId="12" xfId="0" applyFont="1" applyBorder="1" applyAlignment="1">
      <alignment horizontal="left" vertical="center" wrapText="1"/>
    </xf>
    <xf numFmtId="1" fontId="1" fillId="0" borderId="21" xfId="0" applyNumberFormat="1" applyFont="1" applyBorder="1" applyAlignment="1">
      <alignment horizontal="left" vertical="center" wrapText="1"/>
    </xf>
    <xf numFmtId="0" fontId="5" fillId="0" borderId="14" xfId="0" applyFont="1" applyBorder="1" applyAlignment="1">
      <alignment horizontal="left" vertical="center" wrapText="1"/>
    </xf>
    <xf numFmtId="0" fontId="1" fillId="0" borderId="16" xfId="0" applyFont="1" applyBorder="1" applyAlignment="1">
      <alignment horizontal="left" vertical="center" wrapText="1"/>
    </xf>
    <xf numFmtId="0" fontId="5" fillId="0" borderId="16" xfId="0" applyFont="1" applyBorder="1" applyAlignment="1">
      <alignment horizontal="left" vertical="center" wrapText="1"/>
    </xf>
    <xf numFmtId="0" fontId="2" fillId="0" borderId="14" xfId="0" quotePrefix="1" applyFont="1" applyBorder="1" applyAlignment="1">
      <alignment horizontal="center" vertical="center" wrapText="1"/>
    </xf>
    <xf numFmtId="0" fontId="5" fillId="0" borderId="16" xfId="0" applyFont="1" applyBorder="1" applyAlignment="1">
      <alignment vertical="center"/>
    </xf>
    <xf numFmtId="0" fontId="5" fillId="0" borderId="21" xfId="0" applyFont="1" applyBorder="1" applyAlignment="1">
      <alignment vertical="center"/>
    </xf>
    <xf numFmtId="0" fontId="5" fillId="0" borderId="12" xfId="0" applyFont="1" applyBorder="1" applyAlignment="1">
      <alignment vertical="center"/>
    </xf>
    <xf numFmtId="0" fontId="24" fillId="14" borderId="1" xfId="0" applyFont="1" applyFill="1" applyBorder="1" applyAlignment="1">
      <alignment horizontal="left" vertical="center" wrapText="1"/>
    </xf>
    <xf numFmtId="0" fontId="25" fillId="0" borderId="1" xfId="1" applyFont="1" applyFill="1" applyBorder="1" applyAlignment="1">
      <alignment horizontal="left" vertical="center" wrapText="1"/>
    </xf>
    <xf numFmtId="0" fontId="24" fillId="0" borderId="1" xfId="0" applyFont="1" applyBorder="1" applyAlignment="1">
      <alignment horizontal="left" vertical="center" wrapText="1"/>
    </xf>
    <xf numFmtId="0" fontId="24" fillId="16" borderId="1" xfId="0" applyFont="1" applyFill="1" applyBorder="1" applyAlignment="1">
      <alignment horizontal="left" vertical="center"/>
    </xf>
    <xf numFmtId="0" fontId="24" fillId="16" borderId="1" xfId="0" applyFont="1" applyFill="1" applyBorder="1" applyAlignment="1">
      <alignment horizontal="left" vertical="center" wrapText="1"/>
    </xf>
    <xf numFmtId="0" fontId="24" fillId="0" borderId="1" xfId="0" applyFont="1" applyBorder="1" applyAlignment="1">
      <alignment horizontal="left" vertical="center"/>
    </xf>
    <xf numFmtId="0" fontId="5" fillId="15" borderId="1" xfId="0" applyFont="1" applyFill="1" applyBorder="1" applyAlignment="1">
      <alignment horizontal="center" vertical="center" wrapText="1"/>
    </xf>
    <xf numFmtId="0" fontId="1" fillId="15" borderId="1" xfId="0" applyFont="1" applyFill="1" applyBorder="1" applyAlignment="1">
      <alignment horizontal="left" vertical="center" wrapText="1"/>
    </xf>
    <xf numFmtId="0" fontId="25" fillId="16" borderId="1" xfId="1" applyFont="1" applyFill="1" applyBorder="1" applyAlignment="1">
      <alignment horizontal="left" vertical="center" wrapText="1"/>
    </xf>
    <xf numFmtId="0" fontId="22" fillId="17" borderId="44" xfId="0" applyFont="1" applyFill="1" applyBorder="1"/>
    <xf numFmtId="0" fontId="24" fillId="0" borderId="1" xfId="0" applyFont="1" applyBorder="1" applyAlignment="1">
      <alignment horizontal="center" vertical="center"/>
    </xf>
    <xf numFmtId="0" fontId="22" fillId="17" borderId="45" xfId="0" applyFont="1" applyFill="1" applyBorder="1"/>
    <xf numFmtId="0" fontId="22" fillId="17" borderId="43" xfId="0" applyFont="1" applyFill="1" applyBorder="1"/>
    <xf numFmtId="0" fontId="25" fillId="0" borderId="17" xfId="1" applyFont="1" applyFill="1" applyBorder="1" applyAlignment="1">
      <alignment horizontal="left" vertical="center" wrapText="1"/>
    </xf>
    <xf numFmtId="0" fontId="24" fillId="0" borderId="1" xfId="0" applyFont="1" applyBorder="1" applyAlignment="1">
      <alignment vertical="center"/>
    </xf>
    <xf numFmtId="0" fontId="24" fillId="14" borderId="17" xfId="0" applyFont="1" applyFill="1" applyBorder="1" applyAlignment="1">
      <alignment horizontal="left" vertical="center" wrapText="1"/>
    </xf>
    <xf numFmtId="0" fontId="25" fillId="0" borderId="1" xfId="1" applyFont="1" applyBorder="1" applyAlignment="1">
      <alignment horizontal="left" vertical="center" wrapText="1"/>
    </xf>
    <xf numFmtId="0" fontId="0" fillId="15" borderId="0" xfId="0" applyFill="1"/>
    <xf numFmtId="0" fontId="0" fillId="18" borderId="0" xfId="0" applyFill="1"/>
    <xf numFmtId="0" fontId="0" fillId="15" borderId="1" xfId="0" applyFill="1" applyBorder="1"/>
    <xf numFmtId="0" fontId="0" fillId="18" borderId="1" xfId="0" applyFill="1" applyBorder="1"/>
    <xf numFmtId="0" fontId="5" fillId="14" borderId="1" xfId="0" applyFont="1" applyFill="1" applyBorder="1" applyAlignment="1">
      <alignment horizontal="left" vertical="center" wrapText="1"/>
    </xf>
    <xf numFmtId="0" fontId="1" fillId="0" borderId="0" xfId="0" applyFont="1" applyAlignment="1">
      <alignment horizontal="left" vertical="center"/>
    </xf>
    <xf numFmtId="0" fontId="1" fillId="0" borderId="6" xfId="0" quotePrefix="1" applyFont="1" applyBorder="1" applyAlignment="1">
      <alignment horizontal="left" vertical="center" wrapText="1"/>
    </xf>
    <xf numFmtId="0" fontId="1" fillId="0" borderId="1" xfId="0" applyFont="1" applyBorder="1" applyAlignment="1">
      <alignment horizontal="left" wrapText="1"/>
    </xf>
    <xf numFmtId="0" fontId="1" fillId="0" borderId="16" xfId="0" applyFont="1" applyBorder="1" applyAlignment="1">
      <alignment horizontal="left" vertical="center"/>
    </xf>
    <xf numFmtId="0" fontId="1" fillId="0" borderId="12" xfId="0" applyFont="1" applyBorder="1" applyAlignment="1">
      <alignment horizontal="left" vertical="center"/>
    </xf>
    <xf numFmtId="0" fontId="13" fillId="3" borderId="3"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4" borderId="36"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32" xfId="0" applyFont="1" applyFill="1" applyBorder="1" applyAlignment="1">
      <alignment horizontal="center" vertical="center" wrapText="1"/>
    </xf>
    <xf numFmtId="0" fontId="13" fillId="4" borderId="38" xfId="0" applyFont="1" applyFill="1" applyBorder="1" applyAlignment="1">
      <alignment horizontal="center" vertical="center" wrapText="1"/>
    </xf>
    <xf numFmtId="0" fontId="13" fillId="10" borderId="16" xfId="0" applyFont="1" applyFill="1" applyBorder="1" applyAlignment="1">
      <alignment horizontal="center" vertical="center" wrapText="1"/>
    </xf>
    <xf numFmtId="0" fontId="13" fillId="10" borderId="17" xfId="0" applyFont="1" applyFill="1" applyBorder="1" applyAlignment="1">
      <alignment horizontal="center" vertical="center" wrapText="1"/>
    </xf>
    <xf numFmtId="0" fontId="13" fillId="2" borderId="10"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9"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40" xfId="0" applyFont="1" applyFill="1" applyBorder="1" applyAlignment="1">
      <alignment horizontal="center" vertical="center"/>
    </xf>
    <xf numFmtId="0" fontId="13" fillId="2" borderId="38"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 xfId="0" applyFont="1" applyFill="1" applyBorder="1" applyAlignment="1">
      <alignment horizontal="center" vertical="center"/>
    </xf>
    <xf numFmtId="0" fontId="13" fillId="3" borderId="13" xfId="0" applyFont="1" applyFill="1" applyBorder="1" applyAlignment="1">
      <alignment horizontal="center" vertical="center" wrapText="1"/>
    </xf>
    <xf numFmtId="0" fontId="13" fillId="3" borderId="28"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35"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13" fillId="3" borderId="37"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3" fillId="3" borderId="34" xfId="0" applyFont="1" applyFill="1" applyBorder="1" applyAlignment="1">
      <alignment horizontal="center" vertical="center" wrapText="1"/>
    </xf>
    <xf numFmtId="0" fontId="13" fillId="3" borderId="22" xfId="0" applyFont="1" applyFill="1" applyBorder="1" applyAlignment="1">
      <alignment horizontal="center" vertical="center" wrapText="1"/>
    </xf>
    <xf numFmtId="1" fontId="1" fillId="0" borderId="7" xfId="0" applyNumberFormat="1" applyFont="1" applyBorder="1" applyAlignment="1">
      <alignment horizontal="left" vertical="center" wrapText="1"/>
    </xf>
    <xf numFmtId="0" fontId="13" fillId="3" borderId="42"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2" fillId="0" borderId="14" xfId="0" quotePrefix="1" applyFont="1" applyBorder="1" applyAlignment="1">
      <alignment horizontal="center" vertical="center" wrapText="1"/>
    </xf>
    <xf numFmtId="0" fontId="2" fillId="0" borderId="23" xfId="0" quotePrefix="1" applyFont="1" applyBorder="1" applyAlignment="1">
      <alignment horizontal="center" vertical="center" wrapText="1"/>
    </xf>
    <xf numFmtId="0" fontId="2" fillId="0" borderId="26" xfId="0" quotePrefix="1" applyFont="1" applyBorder="1" applyAlignment="1">
      <alignment horizontal="center" vertical="center" wrapText="1"/>
    </xf>
    <xf numFmtId="0" fontId="13" fillId="2" borderId="46" xfId="0" applyFont="1" applyFill="1" applyBorder="1" applyAlignment="1">
      <alignment horizontal="center" vertical="center"/>
    </xf>
    <xf numFmtId="0" fontId="13" fillId="2" borderId="36" xfId="0" applyFont="1" applyFill="1" applyBorder="1" applyAlignment="1">
      <alignment horizontal="center" vertical="center"/>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1" fillId="0" borderId="12" xfId="0" quotePrefix="1" applyFont="1" applyBorder="1" applyAlignment="1">
      <alignment horizontal="center" vertical="center" wrapText="1"/>
    </xf>
    <xf numFmtId="0" fontId="1" fillId="0" borderId="13" xfId="0" quotePrefix="1" applyFont="1" applyBorder="1" applyAlignment="1">
      <alignment horizontal="center" vertical="center" wrapText="1"/>
    </xf>
    <xf numFmtId="0" fontId="1" fillId="0" borderId="28" xfId="0" quotePrefix="1" applyFont="1" applyBorder="1" applyAlignment="1">
      <alignment horizontal="center" vertical="center" wrapText="1"/>
    </xf>
    <xf numFmtId="0" fontId="1" fillId="0" borderId="16" xfId="0" quotePrefix="1" applyFont="1" applyBorder="1" applyAlignment="1">
      <alignment horizontal="center" vertical="center" wrapText="1"/>
    </xf>
    <xf numFmtId="0" fontId="1" fillId="0" borderId="24" xfId="0" quotePrefix="1" applyFont="1" applyBorder="1" applyAlignment="1">
      <alignment horizontal="center" vertical="center" wrapText="1"/>
    </xf>
    <xf numFmtId="0" fontId="1" fillId="0" borderId="17" xfId="0" quotePrefix="1" applyFont="1" applyBorder="1" applyAlignment="1">
      <alignment horizontal="center" vertical="center" wrapText="1"/>
    </xf>
    <xf numFmtId="0" fontId="13" fillId="4" borderId="10" xfId="0" applyFont="1" applyFill="1" applyBorder="1" applyAlignment="1">
      <alignment horizontal="center" vertical="center" wrapText="1"/>
    </xf>
    <xf numFmtId="0" fontId="13" fillId="4" borderId="31"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0" fillId="9" borderId="1" xfId="0" applyFont="1" applyFill="1" applyBorder="1" applyAlignment="1">
      <alignment horizontal="center" vertical="center"/>
    </xf>
  </cellXfs>
  <cellStyles count="11">
    <cellStyle name="Hyperlink" xfId="1" builtinId="8"/>
    <cellStyle name="Normal" xfId="0" builtinId="0"/>
    <cellStyle name="Normal 2" xfId="3" xr:uid="{00000000-0005-0000-0000-000002000000}"/>
    <cellStyle name="Normal 2 2" xfId="7" xr:uid="{00000000-0005-0000-0000-000003000000}"/>
    <cellStyle name="Normal 2 2 2" xfId="2" xr:uid="{00000000-0005-0000-0000-000004000000}"/>
    <cellStyle name="Normal 2 3" xfId="8" xr:uid="{00000000-0005-0000-0000-000005000000}"/>
    <cellStyle name="Normal 2 4" xfId="10" xr:uid="{00000000-0005-0000-0000-000006000000}"/>
    <cellStyle name="Normal 3" xfId="4" xr:uid="{00000000-0005-0000-0000-000007000000}"/>
    <cellStyle name="Normal 3 2" xfId="6" xr:uid="{00000000-0005-0000-0000-000008000000}"/>
    <cellStyle name="Normal 3 3" xfId="9" xr:uid="{00000000-0005-0000-0000-000009000000}"/>
    <cellStyle name="Normal 5"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antander">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Santander" id="{7EC2339E-4569-44C5-BC8B-8B111C20F4B8}" vid="{957ED737-6A8C-4469-9B1C-A696248AFB2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44"/>
  <sheetViews>
    <sheetView showGridLines="0" zoomScale="80" zoomScaleNormal="80" workbookViewId="0"/>
  </sheetViews>
  <sheetFormatPr defaultColWidth="10.625" defaultRowHeight="18.75"/>
  <cols>
    <col min="1" max="1" width="3.625" customWidth="1"/>
    <col min="2" max="6" width="11" style="7"/>
  </cols>
  <sheetData>
    <row r="1" spans="2:2" ht="12.75" customHeight="1"/>
    <row r="2" spans="2:2">
      <c r="B2" s="8" t="s">
        <v>0</v>
      </c>
    </row>
    <row r="3" spans="2:2" s="5" customFormat="1">
      <c r="B3" s="7" t="s">
        <v>1</v>
      </c>
    </row>
    <row r="4" spans="2:2" ht="13.5" customHeight="1"/>
    <row r="5" spans="2:2">
      <c r="B5" s="9" t="s">
        <v>2</v>
      </c>
    </row>
    <row r="6" spans="2:2" s="5" customFormat="1">
      <c r="B6" s="10" t="s">
        <v>3</v>
      </c>
    </row>
    <row r="7" spans="2:2" s="5" customFormat="1">
      <c r="B7" s="11" t="s">
        <v>4</v>
      </c>
    </row>
    <row r="8" spans="2:2" ht="13.5" customHeight="1"/>
    <row r="9" spans="2:2">
      <c r="B9" s="9" t="s">
        <v>5</v>
      </c>
    </row>
    <row r="10" spans="2:2" s="5" customFormat="1">
      <c r="B10" s="11" t="s">
        <v>6</v>
      </c>
    </row>
    <row r="11" spans="2:2" s="5" customFormat="1">
      <c r="B11" s="11" t="s">
        <v>7</v>
      </c>
    </row>
    <row r="12" spans="2:2" s="5" customFormat="1">
      <c r="B12" s="11" t="s">
        <v>8</v>
      </c>
    </row>
    <row r="13" spans="2:2" s="5" customFormat="1">
      <c r="B13" s="11" t="s">
        <v>9</v>
      </c>
    </row>
    <row r="14" spans="2:2" s="5" customFormat="1">
      <c r="B14" s="11" t="s">
        <v>10</v>
      </c>
    </row>
    <row r="15" spans="2:2" ht="13.5" customHeight="1"/>
    <row r="16" spans="2:2">
      <c r="B16" s="9" t="s">
        <v>11</v>
      </c>
    </row>
    <row r="17" spans="2:2" s="5" customFormat="1">
      <c r="B17" s="7" t="s">
        <v>12</v>
      </c>
    </row>
    <row r="18" spans="2:2" ht="13.5" customHeight="1"/>
    <row r="19" spans="2:2">
      <c r="B19" s="9" t="s">
        <v>13</v>
      </c>
    </row>
    <row r="20" spans="2:2" s="5" customFormat="1">
      <c r="B20" s="7" t="s">
        <v>14</v>
      </c>
    </row>
    <row r="21" spans="2:2" ht="13.5" customHeight="1"/>
    <row r="22" spans="2:2">
      <c r="B22" s="9" t="s">
        <v>15</v>
      </c>
    </row>
    <row r="23" spans="2:2" s="5" customFormat="1">
      <c r="B23" s="7" t="s">
        <v>16</v>
      </c>
    </row>
    <row r="24" spans="2:2" s="5" customFormat="1">
      <c r="B24" s="11" t="s">
        <v>17</v>
      </c>
    </row>
    <row r="25" spans="2:2" s="5" customFormat="1">
      <c r="B25" s="11" t="s">
        <v>18</v>
      </c>
    </row>
    <row r="26" spans="2:2" s="5" customFormat="1">
      <c r="B26" s="11" t="s">
        <v>19</v>
      </c>
    </row>
    <row r="27" spans="2:2" s="5" customFormat="1">
      <c r="B27" s="7" t="s">
        <v>20</v>
      </c>
    </row>
    <row r="28" spans="2:2">
      <c r="B28" s="19" t="s">
        <v>21</v>
      </c>
    </row>
    <row r="29" spans="2:2">
      <c r="B29" s="19"/>
    </row>
    <row r="30" spans="2:2" ht="13.5" customHeight="1"/>
    <row r="31" spans="2:2">
      <c r="B31" s="9" t="s">
        <v>22</v>
      </c>
    </row>
    <row r="32" spans="2:2">
      <c r="B32" s="9" t="s">
        <v>23</v>
      </c>
    </row>
    <row r="33" spans="2:20">
      <c r="B33" s="12" t="s">
        <v>24</v>
      </c>
    </row>
    <row r="34" spans="2:20">
      <c r="B34" s="11" t="s">
        <v>25</v>
      </c>
    </row>
    <row r="35" spans="2:20">
      <c r="B35" s="11" t="s">
        <v>26</v>
      </c>
    </row>
    <row r="36" spans="2:20" ht="18.75" customHeight="1">
      <c r="B36" s="11" t="s">
        <v>27</v>
      </c>
      <c r="C36" s="13"/>
      <c r="D36" s="13"/>
      <c r="E36" s="13"/>
      <c r="F36" s="13"/>
      <c r="G36" s="13"/>
      <c r="H36" s="13"/>
      <c r="I36" s="13"/>
      <c r="J36" s="13"/>
      <c r="K36" s="13"/>
      <c r="L36" s="13"/>
      <c r="M36" s="13"/>
      <c r="N36" s="13"/>
      <c r="O36" s="13"/>
      <c r="P36" s="13"/>
      <c r="Q36" s="13"/>
      <c r="R36" s="13"/>
      <c r="S36" s="13"/>
      <c r="T36" s="13"/>
    </row>
    <row r="37" spans="2:20" ht="18.75" customHeight="1">
      <c r="B37" s="7" t="s">
        <v>28</v>
      </c>
      <c r="C37" s="13"/>
      <c r="D37" s="13"/>
      <c r="E37" s="13"/>
      <c r="F37" s="13"/>
      <c r="G37" s="13"/>
      <c r="H37" s="13"/>
      <c r="I37" s="13"/>
      <c r="J37" s="13"/>
      <c r="K37" s="13"/>
      <c r="L37" s="13"/>
      <c r="M37" s="13"/>
      <c r="N37" s="13"/>
      <c r="O37" s="13"/>
      <c r="P37" s="13"/>
      <c r="Q37" s="13"/>
      <c r="R37" s="13"/>
      <c r="S37" s="13"/>
      <c r="T37" s="13"/>
    </row>
    <row r="38" spans="2:20">
      <c r="B38" s="7" t="s">
        <v>29</v>
      </c>
    </row>
    <row r="39" spans="2:20">
      <c r="B39" s="12" t="s">
        <v>30</v>
      </c>
    </row>
    <row r="40" spans="2:20">
      <c r="B40" s="7" t="s">
        <v>31</v>
      </c>
    </row>
    <row r="41" spans="2:20">
      <c r="B41" s="7" t="s">
        <v>32</v>
      </c>
    </row>
    <row r="42" spans="2:20">
      <c r="B42" s="23" t="s">
        <v>33</v>
      </c>
    </row>
    <row r="43" spans="2:20">
      <c r="B43" s="23" t="s">
        <v>34</v>
      </c>
    </row>
    <row r="44" spans="2:20">
      <c r="B44" s="7" t="s">
        <v>35</v>
      </c>
    </row>
  </sheetData>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
  <sheetViews>
    <sheetView showGridLines="0" tabSelected="1" topLeftCell="D1" zoomScale="90" zoomScaleNormal="90" workbookViewId="0">
      <pane ySplit="4" topLeftCell="A91" activePane="bottomLeft" state="frozen"/>
      <selection pane="bottomLeft" activeCell="K97" sqref="K97"/>
      <selection activeCell="E1" sqref="E1"/>
    </sheetView>
  </sheetViews>
  <sheetFormatPr defaultColWidth="11.25" defaultRowHeight="16.5"/>
  <cols>
    <col min="1" max="2" width="18.625" style="22" customWidth="1"/>
    <col min="3" max="3" width="24" style="4" customWidth="1"/>
    <col min="4" max="4" width="42.625" style="4" customWidth="1"/>
    <col min="5" max="5" width="25" style="4" customWidth="1"/>
    <col min="6" max="6" width="15.5" style="4" customWidth="1"/>
    <col min="7" max="7" width="54.25" style="4" customWidth="1"/>
    <col min="8" max="8" width="22.75" style="16" customWidth="1"/>
    <col min="9" max="9" width="25.25" style="4" customWidth="1"/>
    <col min="10" max="10" width="23.75" style="4" customWidth="1"/>
    <col min="11" max="11" width="15.625" style="4" customWidth="1"/>
    <col min="12" max="12" width="17" style="4" customWidth="1"/>
    <col min="13" max="13" width="31.125" style="4" customWidth="1"/>
    <col min="14" max="14" width="23.75" style="20" customWidth="1"/>
    <col min="15" max="16" width="39.5" style="4" customWidth="1"/>
    <col min="17" max="17" width="14.25" style="21" customWidth="1"/>
    <col min="18" max="18" width="20" style="21" customWidth="1"/>
    <col min="19" max="19" width="30.75" style="21" customWidth="1"/>
    <col min="20" max="20" width="37.5" style="21" customWidth="1"/>
    <col min="21" max="21" width="18.75" style="21" customWidth="1"/>
    <col min="22" max="22" width="29" style="21" customWidth="1"/>
    <col min="23" max="24" width="27.25" style="21" customWidth="1"/>
    <col min="25" max="16384" width="11.25" style="5"/>
  </cols>
  <sheetData>
    <row r="1" spans="1:24" s="14" customFormat="1" ht="14.65" customHeight="1">
      <c r="A1" s="166" t="s">
        <v>36</v>
      </c>
      <c r="B1" s="27"/>
      <c r="C1" s="175" t="s">
        <v>2</v>
      </c>
      <c r="D1" s="175"/>
      <c r="E1" s="182"/>
      <c r="F1" s="183"/>
      <c r="G1" s="201" t="s">
        <v>37</v>
      </c>
      <c r="H1" s="178"/>
      <c r="I1" s="178"/>
      <c r="J1" s="178"/>
      <c r="K1" s="178"/>
      <c r="L1" s="179"/>
      <c r="M1" s="177" t="s">
        <v>38</v>
      </c>
      <c r="N1" s="178"/>
      <c r="O1" s="178"/>
      <c r="P1" s="179"/>
      <c r="Q1" s="203" t="s">
        <v>39</v>
      </c>
      <c r="R1" s="204"/>
      <c r="S1" s="204"/>
      <c r="T1" s="204"/>
      <c r="U1" s="204"/>
      <c r="V1" s="204"/>
      <c r="W1" s="204"/>
      <c r="X1" s="205"/>
    </row>
    <row r="2" spans="1:24" s="14" customFormat="1" ht="18.75" customHeight="1">
      <c r="A2" s="167"/>
      <c r="B2" s="28"/>
      <c r="C2" s="176"/>
      <c r="D2" s="176"/>
      <c r="E2" s="182"/>
      <c r="F2" s="183"/>
      <c r="G2" s="202"/>
      <c r="H2" s="176"/>
      <c r="I2" s="176"/>
      <c r="J2" s="176"/>
      <c r="K2" s="176"/>
      <c r="L2" s="181"/>
      <c r="M2" s="180"/>
      <c r="N2" s="176"/>
      <c r="O2" s="176"/>
      <c r="P2" s="181"/>
      <c r="Q2" s="170" t="s">
        <v>40</v>
      </c>
      <c r="R2" s="206" t="s">
        <v>41</v>
      </c>
      <c r="S2" s="206"/>
      <c r="T2" s="206"/>
      <c r="U2" s="207"/>
      <c r="V2" s="166" t="s">
        <v>42</v>
      </c>
      <c r="W2" s="214"/>
      <c r="X2" s="215" t="s">
        <v>43</v>
      </c>
    </row>
    <row r="3" spans="1:24" s="17" customFormat="1" ht="39.4" customHeight="1">
      <c r="A3" s="164" t="s">
        <v>44</v>
      </c>
      <c r="B3" s="168" t="s">
        <v>45</v>
      </c>
      <c r="C3" s="196" t="s">
        <v>46</v>
      </c>
      <c r="D3" s="184" t="s">
        <v>47</v>
      </c>
      <c r="E3" s="191" t="s">
        <v>48</v>
      </c>
      <c r="F3" s="184" t="s">
        <v>49</v>
      </c>
      <c r="G3" s="164" t="s">
        <v>50</v>
      </c>
      <c r="H3" s="173" t="s">
        <v>51</v>
      </c>
      <c r="I3" s="168" t="s">
        <v>52</v>
      </c>
      <c r="J3" s="168" t="s">
        <v>53</v>
      </c>
      <c r="K3" s="162" t="s">
        <v>54</v>
      </c>
      <c r="L3" s="163"/>
      <c r="M3" s="164" t="s">
        <v>55</v>
      </c>
      <c r="N3" s="188" t="s">
        <v>56</v>
      </c>
      <c r="O3" s="186" t="s">
        <v>57</v>
      </c>
      <c r="P3" s="192" t="s">
        <v>58</v>
      </c>
      <c r="Q3" s="171"/>
      <c r="R3" s="168" t="s">
        <v>59</v>
      </c>
      <c r="S3" s="168" t="s">
        <v>60</v>
      </c>
      <c r="T3" s="168" t="s">
        <v>61</v>
      </c>
      <c r="U3" s="168" t="s">
        <v>62</v>
      </c>
      <c r="V3" s="168" t="s">
        <v>63</v>
      </c>
      <c r="W3" s="194" t="s">
        <v>64</v>
      </c>
      <c r="X3" s="216"/>
    </row>
    <row r="4" spans="1:24" s="17" customFormat="1" ht="36" customHeight="1" thickBot="1">
      <c r="A4" s="165"/>
      <c r="B4" s="169"/>
      <c r="C4" s="197"/>
      <c r="D4" s="185"/>
      <c r="E4" s="165"/>
      <c r="F4" s="185"/>
      <c r="G4" s="165"/>
      <c r="H4" s="174"/>
      <c r="I4" s="169"/>
      <c r="J4" s="169"/>
      <c r="K4" s="15" t="s">
        <v>65</v>
      </c>
      <c r="L4" s="18" t="s">
        <v>66</v>
      </c>
      <c r="M4" s="190"/>
      <c r="N4" s="189"/>
      <c r="O4" s="187"/>
      <c r="P4" s="193"/>
      <c r="Q4" s="172"/>
      <c r="R4" s="169"/>
      <c r="S4" s="169"/>
      <c r="T4" s="169"/>
      <c r="U4" s="169"/>
      <c r="V4" s="169"/>
      <c r="W4" s="189"/>
      <c r="X4" s="217"/>
    </row>
    <row r="5" spans="1:24" s="1" customFormat="1" ht="66">
      <c r="A5" s="42">
        <v>1</v>
      </c>
      <c r="B5" s="48" t="s">
        <v>67</v>
      </c>
      <c r="C5" s="29" t="s">
        <v>68</v>
      </c>
      <c r="D5" s="44" t="s">
        <v>69</v>
      </c>
      <c r="E5" s="45" t="s">
        <v>70</v>
      </c>
      <c r="F5" s="46" t="s">
        <v>71</v>
      </c>
      <c r="G5" s="47" t="s">
        <v>72</v>
      </c>
      <c r="H5" s="48" t="s">
        <v>73</v>
      </c>
      <c r="I5" s="49" t="s">
        <v>74</v>
      </c>
      <c r="J5" s="49" t="s">
        <v>75</v>
      </c>
      <c r="K5" s="159" t="s">
        <v>76</v>
      </c>
      <c r="L5" s="68" t="s">
        <v>76</v>
      </c>
      <c r="M5" s="51" t="s">
        <v>77</v>
      </c>
      <c r="N5" s="52" t="s">
        <v>78</v>
      </c>
      <c r="O5" s="53" t="s">
        <v>79</v>
      </c>
      <c r="P5" s="54"/>
      <c r="Q5" s="198" t="s">
        <v>80</v>
      </c>
      <c r="R5" s="211" t="s">
        <v>81</v>
      </c>
      <c r="S5" s="211" t="s">
        <v>82</v>
      </c>
      <c r="T5" s="211" t="s">
        <v>83</v>
      </c>
      <c r="U5" s="55"/>
      <c r="V5" s="55"/>
      <c r="W5" s="56"/>
      <c r="X5" s="208" t="s">
        <v>84</v>
      </c>
    </row>
    <row r="6" spans="1:24" s="1" customFormat="1" ht="61.5" customHeight="1">
      <c r="A6" s="42">
        <v>2</v>
      </c>
      <c r="B6" s="48" t="s">
        <v>67</v>
      </c>
      <c r="C6" s="29" t="s">
        <v>85</v>
      </c>
      <c r="D6" s="44" t="s">
        <v>86</v>
      </c>
      <c r="E6" s="45" t="s">
        <v>70</v>
      </c>
      <c r="F6" s="46" t="s">
        <v>71</v>
      </c>
      <c r="G6" s="47" t="s">
        <v>72</v>
      </c>
      <c r="H6" s="48" t="s">
        <v>73</v>
      </c>
      <c r="I6" s="49" t="s">
        <v>74</v>
      </c>
      <c r="J6" s="49" t="s">
        <v>75</v>
      </c>
      <c r="K6" s="159" t="s">
        <v>76</v>
      </c>
      <c r="L6" s="68" t="s">
        <v>76</v>
      </c>
      <c r="M6" s="57" t="s">
        <v>77</v>
      </c>
      <c r="N6" s="52" t="s">
        <v>78</v>
      </c>
      <c r="O6" s="30" t="s">
        <v>79</v>
      </c>
      <c r="P6" s="44"/>
      <c r="Q6" s="199"/>
      <c r="R6" s="212"/>
      <c r="S6" s="212"/>
      <c r="T6" s="212"/>
      <c r="U6" s="58"/>
      <c r="V6" s="58"/>
      <c r="W6" s="59"/>
      <c r="X6" s="209"/>
    </row>
    <row r="7" spans="1:24" s="1" customFormat="1" ht="148.5" customHeight="1">
      <c r="A7" s="42">
        <v>3</v>
      </c>
      <c r="B7" s="48" t="s">
        <v>67</v>
      </c>
      <c r="C7" s="29" t="s">
        <v>87</v>
      </c>
      <c r="D7" s="44" t="s">
        <v>88</v>
      </c>
      <c r="E7" s="45" t="s">
        <v>70</v>
      </c>
      <c r="F7" s="46" t="s">
        <v>71</v>
      </c>
      <c r="G7" s="47" t="s">
        <v>72</v>
      </c>
      <c r="H7" s="48" t="s">
        <v>73</v>
      </c>
      <c r="I7" s="49" t="s">
        <v>74</v>
      </c>
      <c r="J7" s="49" t="s">
        <v>75</v>
      </c>
      <c r="K7" s="159" t="s">
        <v>76</v>
      </c>
      <c r="L7" s="68" t="s">
        <v>76</v>
      </c>
      <c r="M7" s="57" t="s">
        <v>77</v>
      </c>
      <c r="N7" s="52" t="s">
        <v>78</v>
      </c>
      <c r="O7" s="30" t="s">
        <v>79</v>
      </c>
      <c r="P7" s="44"/>
      <c r="Q7" s="200"/>
      <c r="R7" s="213"/>
      <c r="S7" s="213"/>
      <c r="T7" s="213"/>
      <c r="U7" s="60"/>
      <c r="V7" s="60"/>
      <c r="W7" s="61"/>
      <c r="X7" s="210"/>
    </row>
    <row r="8" spans="1:24" s="1" customFormat="1" ht="159.6" customHeight="1">
      <c r="A8" s="42">
        <v>4</v>
      </c>
      <c r="B8" s="42" t="s">
        <v>89</v>
      </c>
      <c r="C8" s="30" t="s">
        <v>90</v>
      </c>
      <c r="D8" s="50" t="s">
        <v>91</v>
      </c>
      <c r="E8" s="45" t="s">
        <v>92</v>
      </c>
      <c r="F8" s="46" t="s">
        <v>93</v>
      </c>
      <c r="G8" s="47" t="s">
        <v>72</v>
      </c>
      <c r="H8" s="48" t="s">
        <v>73</v>
      </c>
      <c r="I8" s="62"/>
      <c r="J8" s="49" t="s">
        <v>73</v>
      </c>
      <c r="K8" s="49" t="s">
        <v>94</v>
      </c>
      <c r="L8" s="63" t="s">
        <v>95</v>
      </c>
      <c r="M8" s="57" t="s">
        <v>96</v>
      </c>
      <c r="N8" s="52" t="s">
        <v>97</v>
      </c>
      <c r="O8" s="29"/>
      <c r="P8" s="50"/>
      <c r="Q8" s="64" t="s">
        <v>80</v>
      </c>
      <c r="R8" s="65" t="s">
        <v>98</v>
      </c>
      <c r="S8" s="65" t="s">
        <v>99</v>
      </c>
      <c r="T8" s="65"/>
      <c r="U8" s="65"/>
      <c r="V8" s="65"/>
      <c r="W8" s="65"/>
      <c r="X8" s="66"/>
    </row>
    <row r="9" spans="1:24" s="1" customFormat="1" ht="50.25" customHeight="1">
      <c r="A9" s="42">
        <v>5</v>
      </c>
      <c r="B9" s="48" t="s">
        <v>67</v>
      </c>
      <c r="C9" s="30" t="s">
        <v>100</v>
      </c>
      <c r="D9" s="50" t="s">
        <v>101</v>
      </c>
      <c r="E9" s="45" t="s">
        <v>92</v>
      </c>
      <c r="F9" s="46" t="s">
        <v>93</v>
      </c>
      <c r="G9" s="47" t="s">
        <v>102</v>
      </c>
      <c r="H9" s="48" t="s">
        <v>73</v>
      </c>
      <c r="I9" s="62"/>
      <c r="J9" s="49" t="s">
        <v>73</v>
      </c>
      <c r="K9" s="49" t="s">
        <v>103</v>
      </c>
      <c r="L9" s="63" t="s">
        <v>95</v>
      </c>
      <c r="M9" s="57" t="s">
        <v>96</v>
      </c>
      <c r="N9" s="52" t="s">
        <v>97</v>
      </c>
      <c r="O9" s="29"/>
      <c r="P9" s="50"/>
      <c r="Q9" s="64" t="s">
        <v>80</v>
      </c>
      <c r="R9" s="65" t="s">
        <v>98</v>
      </c>
      <c r="S9" s="65" t="s">
        <v>99</v>
      </c>
      <c r="T9" s="65"/>
      <c r="U9" s="65"/>
      <c r="V9" s="65"/>
      <c r="W9" s="65"/>
      <c r="X9" s="66"/>
    </row>
    <row r="10" spans="1:24" s="1" customFormat="1" ht="66">
      <c r="A10" s="42">
        <v>6</v>
      </c>
      <c r="B10" s="48" t="s">
        <v>104</v>
      </c>
      <c r="C10" s="30" t="s">
        <v>105</v>
      </c>
      <c r="D10" s="50" t="s">
        <v>106</v>
      </c>
      <c r="E10" s="45" t="s">
        <v>92</v>
      </c>
      <c r="F10" s="46" t="s">
        <v>93</v>
      </c>
      <c r="G10" s="47" t="s">
        <v>72</v>
      </c>
      <c r="H10" s="48" t="s">
        <v>73</v>
      </c>
      <c r="I10" s="62"/>
      <c r="J10" s="49" t="s">
        <v>75</v>
      </c>
      <c r="K10" s="49" t="s">
        <v>107</v>
      </c>
      <c r="L10" s="50" t="s">
        <v>107</v>
      </c>
      <c r="M10" s="57" t="s">
        <v>96</v>
      </c>
      <c r="N10" s="52" t="s">
        <v>97</v>
      </c>
      <c r="O10" s="29"/>
      <c r="P10" s="50"/>
      <c r="Q10" s="64" t="s">
        <v>80</v>
      </c>
      <c r="R10" s="65" t="s">
        <v>98</v>
      </c>
      <c r="S10" s="65" t="s">
        <v>99</v>
      </c>
      <c r="T10" s="65"/>
      <c r="U10" s="65"/>
      <c r="V10" s="65"/>
      <c r="W10" s="65"/>
      <c r="X10" s="66"/>
    </row>
    <row r="11" spans="1:24" s="1" customFormat="1" ht="66" customHeight="1">
      <c r="A11" s="42">
        <v>7</v>
      </c>
      <c r="B11" s="48" t="s">
        <v>108</v>
      </c>
      <c r="C11" s="31" t="s">
        <v>109</v>
      </c>
      <c r="D11" s="50" t="s">
        <v>110</v>
      </c>
      <c r="E11" s="45" t="s">
        <v>111</v>
      </c>
      <c r="F11" s="46" t="s">
        <v>93</v>
      </c>
      <c r="G11" s="47" t="s">
        <v>72</v>
      </c>
      <c r="H11" s="48" t="s">
        <v>73</v>
      </c>
      <c r="I11" s="49" t="s">
        <v>112</v>
      </c>
      <c r="J11" s="49" t="s">
        <v>73</v>
      </c>
      <c r="K11" s="49" t="s">
        <v>113</v>
      </c>
      <c r="L11" s="50" t="s">
        <v>107</v>
      </c>
      <c r="M11" s="57" t="s">
        <v>114</v>
      </c>
      <c r="N11" s="52" t="s">
        <v>115</v>
      </c>
      <c r="O11" s="30" t="s">
        <v>79</v>
      </c>
      <c r="P11" s="44"/>
      <c r="Q11" s="64" t="s">
        <v>80</v>
      </c>
      <c r="R11" s="65" t="s">
        <v>116</v>
      </c>
      <c r="S11" s="65" t="s">
        <v>117</v>
      </c>
      <c r="T11" s="65"/>
      <c r="U11" s="65" t="s">
        <v>118</v>
      </c>
      <c r="V11" s="65"/>
      <c r="W11" s="65"/>
      <c r="X11" s="66" t="s">
        <v>119</v>
      </c>
    </row>
    <row r="12" spans="1:24" s="1" customFormat="1" ht="82.5">
      <c r="A12" s="42">
        <v>8</v>
      </c>
      <c r="B12" s="48" t="s">
        <v>120</v>
      </c>
      <c r="C12" s="31" t="s">
        <v>121</v>
      </c>
      <c r="D12" s="50" t="s">
        <v>122</v>
      </c>
      <c r="E12" s="45" t="s">
        <v>111</v>
      </c>
      <c r="F12" s="46" t="s">
        <v>93</v>
      </c>
      <c r="G12" s="47" t="s">
        <v>72</v>
      </c>
      <c r="H12" s="48" t="s">
        <v>73</v>
      </c>
      <c r="I12" s="49" t="s">
        <v>112</v>
      </c>
      <c r="J12" s="49" t="s">
        <v>73</v>
      </c>
      <c r="K12" s="49" t="s">
        <v>113</v>
      </c>
      <c r="L12" s="50" t="s">
        <v>107</v>
      </c>
      <c r="M12" s="57" t="s">
        <v>114</v>
      </c>
      <c r="N12" s="52" t="s">
        <v>115</v>
      </c>
      <c r="O12" s="30" t="s">
        <v>79</v>
      </c>
      <c r="P12" s="44"/>
      <c r="Q12" s="64" t="s">
        <v>80</v>
      </c>
      <c r="R12" s="65" t="s">
        <v>123</v>
      </c>
      <c r="S12" s="65" t="s">
        <v>124</v>
      </c>
      <c r="T12" s="65"/>
      <c r="U12" s="65"/>
      <c r="V12" s="65"/>
      <c r="W12" s="65"/>
      <c r="X12" s="66" t="s">
        <v>125</v>
      </c>
    </row>
    <row r="13" spans="1:24" s="1" customFormat="1" ht="82.5">
      <c r="A13" s="42">
        <v>9</v>
      </c>
      <c r="B13" s="48" t="s">
        <v>108</v>
      </c>
      <c r="C13" s="29" t="s">
        <v>126</v>
      </c>
      <c r="D13" s="50" t="s">
        <v>127</v>
      </c>
      <c r="E13" s="45" t="s">
        <v>111</v>
      </c>
      <c r="F13" s="46" t="s">
        <v>93</v>
      </c>
      <c r="G13" s="47" t="s">
        <v>72</v>
      </c>
      <c r="H13" s="48" t="s">
        <v>73</v>
      </c>
      <c r="I13" s="49" t="s">
        <v>112</v>
      </c>
      <c r="J13" s="49" t="s">
        <v>73</v>
      </c>
      <c r="K13" s="49" t="s">
        <v>113</v>
      </c>
      <c r="L13" s="50" t="s">
        <v>107</v>
      </c>
      <c r="M13" s="57" t="s">
        <v>114</v>
      </c>
      <c r="N13" s="52" t="s">
        <v>115</v>
      </c>
      <c r="O13" s="30" t="s">
        <v>79</v>
      </c>
      <c r="P13" s="44"/>
      <c r="Q13" s="64" t="s">
        <v>80</v>
      </c>
      <c r="R13" s="69"/>
      <c r="S13" s="69"/>
      <c r="T13" s="69"/>
      <c r="U13" s="69"/>
      <c r="V13" s="69"/>
      <c r="W13" s="70"/>
      <c r="X13" s="71"/>
    </row>
    <row r="14" spans="1:24" s="1" customFormat="1" ht="45.75" customHeight="1">
      <c r="A14" s="42">
        <v>10</v>
      </c>
      <c r="B14" s="48" t="s">
        <v>120</v>
      </c>
      <c r="C14" s="29" t="s">
        <v>128</v>
      </c>
      <c r="D14" s="50" t="s">
        <v>129</v>
      </c>
      <c r="E14" s="45" t="s">
        <v>111</v>
      </c>
      <c r="F14" s="46" t="s">
        <v>93</v>
      </c>
      <c r="G14" s="47" t="s">
        <v>72</v>
      </c>
      <c r="H14" s="48" t="s">
        <v>73</v>
      </c>
      <c r="I14" s="49" t="s">
        <v>112</v>
      </c>
      <c r="J14" s="49"/>
      <c r="K14" s="49" t="s">
        <v>113</v>
      </c>
      <c r="L14" s="63" t="s">
        <v>107</v>
      </c>
      <c r="M14" s="57" t="s">
        <v>114</v>
      </c>
      <c r="N14" s="52" t="s">
        <v>115</v>
      </c>
      <c r="O14" s="30" t="s">
        <v>79</v>
      </c>
      <c r="P14" s="44"/>
      <c r="Q14" s="64" t="s">
        <v>80</v>
      </c>
      <c r="R14" s="69"/>
      <c r="S14" s="69"/>
      <c r="T14" s="69"/>
      <c r="U14" s="69"/>
      <c r="V14" s="69"/>
      <c r="W14" s="70"/>
      <c r="X14" s="71"/>
    </row>
    <row r="15" spans="1:24" ht="49.5">
      <c r="A15" s="42">
        <v>11</v>
      </c>
      <c r="B15" s="48" t="s">
        <v>108</v>
      </c>
      <c r="C15" s="29" t="s">
        <v>130</v>
      </c>
      <c r="D15" s="50" t="s">
        <v>131</v>
      </c>
      <c r="E15" s="45" t="s">
        <v>111</v>
      </c>
      <c r="F15" s="46" t="s">
        <v>93</v>
      </c>
      <c r="G15" s="47" t="s">
        <v>72</v>
      </c>
      <c r="H15" s="48" t="s">
        <v>75</v>
      </c>
      <c r="I15" s="49"/>
      <c r="J15" s="49" t="s">
        <v>75</v>
      </c>
      <c r="K15" s="49" t="s">
        <v>113</v>
      </c>
      <c r="L15" s="63" t="s">
        <v>107</v>
      </c>
      <c r="M15" s="72" t="s">
        <v>132</v>
      </c>
      <c r="N15" s="3" t="s">
        <v>133</v>
      </c>
      <c r="O15" s="30" t="s">
        <v>79</v>
      </c>
      <c r="P15" s="44" t="s">
        <v>134</v>
      </c>
      <c r="Q15" s="64" t="s">
        <v>80</v>
      </c>
      <c r="R15" s="65" t="s">
        <v>135</v>
      </c>
      <c r="S15" s="65" t="s">
        <v>124</v>
      </c>
      <c r="T15" s="65"/>
      <c r="U15" s="65"/>
      <c r="V15" s="65"/>
      <c r="W15" s="65"/>
      <c r="X15" s="66"/>
    </row>
    <row r="16" spans="1:24" s="1" customFormat="1" ht="82.5">
      <c r="A16" s="42">
        <v>12</v>
      </c>
      <c r="B16" s="48" t="s">
        <v>67</v>
      </c>
      <c r="C16" s="29" t="s">
        <v>136</v>
      </c>
      <c r="D16" s="195" t="s">
        <v>137</v>
      </c>
      <c r="E16" s="73" t="s">
        <v>138</v>
      </c>
      <c r="F16" s="74" t="s">
        <v>139</v>
      </c>
      <c r="G16" s="47" t="s">
        <v>140</v>
      </c>
      <c r="H16" s="48" t="s">
        <v>141</v>
      </c>
      <c r="I16" s="62"/>
      <c r="J16" s="49" t="s">
        <v>75</v>
      </c>
      <c r="K16" s="49" t="s">
        <v>142</v>
      </c>
      <c r="L16" s="63" t="s">
        <v>143</v>
      </c>
      <c r="M16" s="57" t="s">
        <v>144</v>
      </c>
      <c r="N16" s="52" t="s">
        <v>145</v>
      </c>
      <c r="O16" s="75"/>
      <c r="P16" s="76"/>
      <c r="Q16" s="64" t="s">
        <v>80</v>
      </c>
      <c r="R16" s="69"/>
      <c r="S16" s="69"/>
      <c r="T16" s="69"/>
      <c r="U16" s="69"/>
      <c r="V16" s="69"/>
      <c r="W16" s="70"/>
      <c r="X16" s="71"/>
    </row>
    <row r="17" spans="1:24" s="1" customFormat="1" ht="99">
      <c r="A17" s="42">
        <v>13</v>
      </c>
      <c r="B17" s="48" t="s">
        <v>67</v>
      </c>
      <c r="C17" s="31" t="s">
        <v>146</v>
      </c>
      <c r="D17" s="77" t="s">
        <v>147</v>
      </c>
      <c r="E17" s="73" t="s">
        <v>138</v>
      </c>
      <c r="F17" s="78" t="s">
        <v>139</v>
      </c>
      <c r="G17" s="47" t="s">
        <v>72</v>
      </c>
      <c r="H17" s="48" t="s">
        <v>141</v>
      </c>
      <c r="I17" s="62"/>
      <c r="J17" s="49" t="s">
        <v>75</v>
      </c>
      <c r="K17" s="49" t="s">
        <v>148</v>
      </c>
      <c r="L17" s="63" t="s">
        <v>149</v>
      </c>
      <c r="M17" s="57" t="s">
        <v>150</v>
      </c>
      <c r="N17" s="52" t="s">
        <v>151</v>
      </c>
      <c r="O17" s="79"/>
      <c r="P17" s="77"/>
      <c r="Q17" s="64" t="s">
        <v>80</v>
      </c>
      <c r="R17" s="69"/>
      <c r="S17" s="69"/>
      <c r="T17" s="69"/>
      <c r="U17" s="69"/>
      <c r="V17" s="69"/>
      <c r="W17" s="70"/>
      <c r="X17" s="71"/>
    </row>
    <row r="18" spans="1:24" s="1" customFormat="1" ht="74.650000000000006" customHeight="1">
      <c r="A18" s="42">
        <v>14</v>
      </c>
      <c r="B18" s="48" t="s">
        <v>67</v>
      </c>
      <c r="C18" s="29" t="s">
        <v>152</v>
      </c>
      <c r="D18" s="81" t="s">
        <v>153</v>
      </c>
      <c r="E18" s="45" t="s">
        <v>154</v>
      </c>
      <c r="F18" s="78" t="s">
        <v>71</v>
      </c>
      <c r="G18" s="47" t="s">
        <v>155</v>
      </c>
      <c r="H18" s="48" t="s">
        <v>156</v>
      </c>
      <c r="I18" s="62"/>
      <c r="J18" s="49" t="s">
        <v>73</v>
      </c>
      <c r="K18" s="49" t="s">
        <v>157</v>
      </c>
      <c r="L18" s="63" t="s">
        <v>149</v>
      </c>
      <c r="M18" s="57" t="s">
        <v>158</v>
      </c>
      <c r="N18" s="52" t="s">
        <v>159</v>
      </c>
      <c r="O18" s="30" t="s">
        <v>79</v>
      </c>
      <c r="P18" s="44"/>
      <c r="Q18" s="64" t="s">
        <v>80</v>
      </c>
      <c r="R18" s="82" t="s">
        <v>160</v>
      </c>
      <c r="S18" s="82" t="s">
        <v>161</v>
      </c>
      <c r="T18" s="82"/>
      <c r="U18" s="82"/>
      <c r="V18" s="82" t="s">
        <v>162</v>
      </c>
      <c r="W18" s="83" t="s">
        <v>163</v>
      </c>
      <c r="X18" s="84"/>
    </row>
    <row r="19" spans="1:24" s="1" customFormat="1" ht="330">
      <c r="A19" s="42">
        <v>15</v>
      </c>
      <c r="B19" s="48" t="s">
        <v>67</v>
      </c>
      <c r="C19" s="29" t="s">
        <v>164</v>
      </c>
      <c r="D19" s="81" t="s">
        <v>165</v>
      </c>
      <c r="E19" s="45" t="s">
        <v>154</v>
      </c>
      <c r="F19" s="78" t="s">
        <v>71</v>
      </c>
      <c r="G19" s="47" t="s">
        <v>72</v>
      </c>
      <c r="H19" s="48" t="s">
        <v>73</v>
      </c>
      <c r="I19" s="62"/>
      <c r="J19" s="49" t="s">
        <v>73</v>
      </c>
      <c r="K19" s="49" t="s">
        <v>157</v>
      </c>
      <c r="L19" s="50" t="s">
        <v>149</v>
      </c>
      <c r="M19" s="57" t="s">
        <v>158</v>
      </c>
      <c r="N19" s="52" t="s">
        <v>159</v>
      </c>
      <c r="O19" s="30" t="s">
        <v>79</v>
      </c>
      <c r="P19" s="44"/>
      <c r="Q19" s="64" t="s">
        <v>80</v>
      </c>
      <c r="R19" s="82" t="s">
        <v>160</v>
      </c>
      <c r="S19" s="82" t="s">
        <v>166</v>
      </c>
      <c r="T19" s="82"/>
      <c r="U19" s="82"/>
      <c r="V19" s="82" t="s">
        <v>167</v>
      </c>
      <c r="W19" s="83" t="s">
        <v>163</v>
      </c>
      <c r="X19" s="84"/>
    </row>
    <row r="20" spans="1:24" s="1" customFormat="1" ht="50.1" customHeight="1">
      <c r="A20" s="42">
        <v>16</v>
      </c>
      <c r="B20" s="48" t="s">
        <v>67</v>
      </c>
      <c r="C20" s="29" t="s">
        <v>168</v>
      </c>
      <c r="D20" s="85" t="s">
        <v>169</v>
      </c>
      <c r="E20" s="45" t="s">
        <v>111</v>
      </c>
      <c r="F20" s="86" t="s">
        <v>139</v>
      </c>
      <c r="G20" s="47" t="s">
        <v>170</v>
      </c>
      <c r="H20" s="48" t="s">
        <v>141</v>
      </c>
      <c r="I20" s="67"/>
      <c r="J20" s="49" t="s">
        <v>75</v>
      </c>
      <c r="K20" s="49" t="s">
        <v>171</v>
      </c>
      <c r="L20" s="50" t="s">
        <v>95</v>
      </c>
      <c r="M20" s="87" t="s">
        <v>172</v>
      </c>
      <c r="N20" s="52" t="s">
        <v>173</v>
      </c>
      <c r="O20" s="88"/>
      <c r="P20" s="44"/>
      <c r="Q20" s="64" t="s">
        <v>80</v>
      </c>
      <c r="R20" s="69"/>
      <c r="S20" s="69"/>
      <c r="T20" s="69"/>
      <c r="U20" s="69"/>
      <c r="V20" s="69"/>
      <c r="W20" s="70"/>
      <c r="X20" s="71"/>
    </row>
    <row r="21" spans="1:24" s="1" customFormat="1" ht="50.1" customHeight="1">
      <c r="A21" s="42">
        <v>17</v>
      </c>
      <c r="B21" s="48" t="s">
        <v>67</v>
      </c>
      <c r="C21" s="29" t="s">
        <v>174</v>
      </c>
      <c r="D21" s="50" t="s">
        <v>175</v>
      </c>
      <c r="E21" s="89" t="s">
        <v>138</v>
      </c>
      <c r="F21" s="86" t="s">
        <v>139</v>
      </c>
      <c r="G21" s="47" t="s">
        <v>176</v>
      </c>
      <c r="H21" s="48" t="s">
        <v>141</v>
      </c>
      <c r="I21" s="67"/>
      <c r="J21" s="49" t="s">
        <v>75</v>
      </c>
      <c r="K21" s="49" t="s">
        <v>177</v>
      </c>
      <c r="L21" s="50" t="s">
        <v>143</v>
      </c>
      <c r="M21" s="57" t="s">
        <v>144</v>
      </c>
      <c r="N21" s="52" t="s">
        <v>145</v>
      </c>
      <c r="O21" s="29"/>
      <c r="P21" s="44"/>
      <c r="Q21" s="64" t="s">
        <v>80</v>
      </c>
      <c r="R21" s="69"/>
      <c r="S21" s="69"/>
      <c r="T21" s="69"/>
      <c r="U21" s="69"/>
      <c r="V21" s="69"/>
      <c r="W21" s="70"/>
      <c r="X21" s="71"/>
    </row>
    <row r="22" spans="1:24" s="1" customFormat="1" ht="129.75" customHeight="1">
      <c r="A22" s="42">
        <v>18</v>
      </c>
      <c r="B22" s="42" t="s">
        <v>67</v>
      </c>
      <c r="C22" s="32" t="s">
        <v>178</v>
      </c>
      <c r="D22" s="44" t="s">
        <v>179</v>
      </c>
      <c r="E22" s="89" t="s">
        <v>138</v>
      </c>
      <c r="F22" s="86" t="s">
        <v>139</v>
      </c>
      <c r="G22" s="47" t="s">
        <v>72</v>
      </c>
      <c r="H22" s="48" t="s">
        <v>73</v>
      </c>
      <c r="I22" s="67"/>
      <c r="J22" s="49" t="s">
        <v>75</v>
      </c>
      <c r="K22" s="49" t="s">
        <v>76</v>
      </c>
      <c r="L22" s="50" t="s">
        <v>76</v>
      </c>
      <c r="M22" s="57" t="s">
        <v>180</v>
      </c>
      <c r="N22" s="52" t="s">
        <v>181</v>
      </c>
      <c r="O22" s="30" t="s">
        <v>79</v>
      </c>
      <c r="P22" s="44"/>
      <c r="Q22" s="64" t="s">
        <v>80</v>
      </c>
      <c r="R22" s="69"/>
      <c r="S22" s="69"/>
      <c r="T22" s="69"/>
      <c r="U22" s="69"/>
      <c r="V22" s="69"/>
      <c r="W22" s="70"/>
      <c r="X22" s="71"/>
    </row>
    <row r="23" spans="1:24" s="1" customFormat="1" ht="132" customHeight="1">
      <c r="A23" s="42">
        <v>19</v>
      </c>
      <c r="B23" s="48" t="s">
        <v>67</v>
      </c>
      <c r="C23" s="31" t="s">
        <v>182</v>
      </c>
      <c r="D23" s="90" t="s">
        <v>183</v>
      </c>
      <c r="E23" s="45" t="s">
        <v>184</v>
      </c>
      <c r="F23" s="86" t="s">
        <v>139</v>
      </c>
      <c r="G23" s="91" t="s">
        <v>185</v>
      </c>
      <c r="H23" s="48" t="s">
        <v>141</v>
      </c>
      <c r="I23" s="67"/>
      <c r="J23" s="49" t="s">
        <v>75</v>
      </c>
      <c r="K23" s="49" t="s">
        <v>186</v>
      </c>
      <c r="L23" s="63" t="s">
        <v>95</v>
      </c>
      <c r="M23" s="57" t="s">
        <v>187</v>
      </c>
      <c r="N23" s="52" t="s">
        <v>188</v>
      </c>
      <c r="O23" s="92"/>
      <c r="P23" s="50"/>
      <c r="Q23" s="64" t="s">
        <v>80</v>
      </c>
      <c r="R23" s="69"/>
      <c r="S23" s="69"/>
      <c r="T23" s="69"/>
      <c r="U23" s="69"/>
      <c r="V23" s="69"/>
      <c r="W23" s="70"/>
      <c r="X23" s="71"/>
    </row>
    <row r="24" spans="1:24" s="1" customFormat="1" ht="363">
      <c r="A24" s="42">
        <v>20</v>
      </c>
      <c r="B24" s="48" t="s">
        <v>67</v>
      </c>
      <c r="C24" s="29" t="s">
        <v>189</v>
      </c>
      <c r="D24" s="50" t="s">
        <v>190</v>
      </c>
      <c r="E24" s="45" t="s">
        <v>154</v>
      </c>
      <c r="F24" s="86" t="s">
        <v>71</v>
      </c>
      <c r="G24" s="47" t="s">
        <v>72</v>
      </c>
      <c r="H24" s="48" t="s">
        <v>73</v>
      </c>
      <c r="I24" s="62" t="s">
        <v>191</v>
      </c>
      <c r="J24" s="49" t="s">
        <v>75</v>
      </c>
      <c r="K24" s="62" t="s">
        <v>192</v>
      </c>
      <c r="L24" s="63" t="s">
        <v>107</v>
      </c>
      <c r="M24" s="57" t="s">
        <v>77</v>
      </c>
      <c r="N24" s="52" t="s">
        <v>145</v>
      </c>
      <c r="O24" s="30" t="s">
        <v>79</v>
      </c>
      <c r="P24" s="44"/>
      <c r="Q24" s="64" t="s">
        <v>80</v>
      </c>
      <c r="R24" s="69"/>
      <c r="S24" s="69"/>
      <c r="T24" s="69"/>
      <c r="U24" s="69"/>
      <c r="V24" s="69"/>
      <c r="W24" s="70"/>
      <c r="X24" s="71"/>
    </row>
    <row r="25" spans="1:24" s="1" customFormat="1" ht="160.5" customHeight="1">
      <c r="A25" s="42">
        <v>21</v>
      </c>
      <c r="B25" s="48" t="s">
        <v>67</v>
      </c>
      <c r="C25" s="29" t="s">
        <v>193</v>
      </c>
      <c r="D25" s="93" t="s">
        <v>194</v>
      </c>
      <c r="E25" s="45" t="s">
        <v>154</v>
      </c>
      <c r="F25" s="86" t="s">
        <v>71</v>
      </c>
      <c r="G25" s="47" t="s">
        <v>72</v>
      </c>
      <c r="H25" s="48" t="s">
        <v>73</v>
      </c>
      <c r="I25" s="67"/>
      <c r="J25" s="49" t="s">
        <v>75</v>
      </c>
      <c r="K25" s="62" t="s">
        <v>76</v>
      </c>
      <c r="L25" s="62" t="s">
        <v>76</v>
      </c>
      <c r="M25" s="57" t="s">
        <v>195</v>
      </c>
      <c r="N25" s="52" t="s">
        <v>181</v>
      </c>
      <c r="O25" s="30" t="s">
        <v>79</v>
      </c>
      <c r="P25" s="50"/>
      <c r="Q25" s="64" t="s">
        <v>80</v>
      </c>
      <c r="R25" s="69"/>
      <c r="S25" s="69"/>
      <c r="T25" s="69"/>
      <c r="U25" s="69"/>
      <c r="V25" s="69"/>
      <c r="W25" s="70"/>
      <c r="X25" s="71"/>
    </row>
    <row r="26" spans="1:24" s="1" customFormat="1" ht="264">
      <c r="A26" s="42">
        <v>22</v>
      </c>
      <c r="B26" s="42" t="s">
        <v>89</v>
      </c>
      <c r="C26" s="29" t="s">
        <v>196</v>
      </c>
      <c r="D26" s="50" t="s">
        <v>197</v>
      </c>
      <c r="E26" s="45" t="s">
        <v>92</v>
      </c>
      <c r="F26" s="86" t="s">
        <v>71</v>
      </c>
      <c r="G26" s="47" t="s">
        <v>72</v>
      </c>
      <c r="H26" s="48" t="s">
        <v>73</v>
      </c>
      <c r="I26" s="67"/>
      <c r="J26" s="49" t="s">
        <v>73</v>
      </c>
      <c r="K26" s="49" t="s">
        <v>198</v>
      </c>
      <c r="L26" s="63" t="s">
        <v>95</v>
      </c>
      <c r="M26" s="57" t="s">
        <v>199</v>
      </c>
      <c r="N26" s="52" t="s">
        <v>145</v>
      </c>
      <c r="O26" s="29"/>
      <c r="P26" s="90"/>
      <c r="Q26" s="64" t="s">
        <v>80</v>
      </c>
      <c r="R26" s="65" t="s">
        <v>98</v>
      </c>
      <c r="S26" s="65" t="s">
        <v>99</v>
      </c>
      <c r="T26" s="65"/>
      <c r="U26" s="65"/>
      <c r="V26" s="65"/>
      <c r="W26" s="65"/>
      <c r="X26" s="66"/>
    </row>
    <row r="27" spans="1:24" s="1" customFormat="1" ht="82.5">
      <c r="A27" s="42">
        <v>23</v>
      </c>
      <c r="B27" s="48" t="s">
        <v>67</v>
      </c>
      <c r="C27" s="29" t="s">
        <v>200</v>
      </c>
      <c r="D27" s="50" t="s">
        <v>201</v>
      </c>
      <c r="E27" s="45" t="s">
        <v>92</v>
      </c>
      <c r="F27" s="86" t="s">
        <v>71</v>
      </c>
      <c r="G27" s="47" t="s">
        <v>202</v>
      </c>
      <c r="H27" s="48" t="s">
        <v>73</v>
      </c>
      <c r="I27" s="67"/>
      <c r="J27" s="49" t="s">
        <v>73</v>
      </c>
      <c r="K27" s="159" t="s">
        <v>203</v>
      </c>
      <c r="L27" s="63" t="s">
        <v>95</v>
      </c>
      <c r="M27" s="57" t="s">
        <v>204</v>
      </c>
      <c r="N27" s="52" t="s">
        <v>97</v>
      </c>
      <c r="O27" s="29"/>
      <c r="P27" s="90"/>
      <c r="Q27" s="64" t="s">
        <v>80</v>
      </c>
      <c r="R27" s="65" t="s">
        <v>98</v>
      </c>
      <c r="S27" s="65" t="s">
        <v>99</v>
      </c>
      <c r="T27" s="65"/>
      <c r="U27" s="65"/>
      <c r="V27" s="65"/>
      <c r="W27" s="65"/>
      <c r="X27" s="66"/>
    </row>
    <row r="28" spans="1:24" s="1" customFormat="1" ht="66">
      <c r="A28" s="42">
        <v>24</v>
      </c>
      <c r="B28" s="48" t="s">
        <v>104</v>
      </c>
      <c r="C28" s="29" t="s">
        <v>205</v>
      </c>
      <c r="D28" s="50" t="s">
        <v>206</v>
      </c>
      <c r="E28" s="45" t="s">
        <v>92</v>
      </c>
      <c r="F28" s="86" t="s">
        <v>71</v>
      </c>
      <c r="G28" s="47" t="s">
        <v>72</v>
      </c>
      <c r="H28" s="48" t="s">
        <v>73</v>
      </c>
      <c r="I28" s="67"/>
      <c r="J28" s="49" t="s">
        <v>75</v>
      </c>
      <c r="K28" s="67" t="s">
        <v>76</v>
      </c>
      <c r="L28" s="68" t="s">
        <v>76</v>
      </c>
      <c r="M28" s="57" t="s">
        <v>204</v>
      </c>
      <c r="N28" s="52" t="s">
        <v>97</v>
      </c>
      <c r="O28" s="29"/>
      <c r="P28" s="90"/>
      <c r="Q28" s="64" t="s">
        <v>80</v>
      </c>
      <c r="R28" s="65" t="s">
        <v>98</v>
      </c>
      <c r="S28" s="65" t="s">
        <v>99</v>
      </c>
      <c r="T28" s="65"/>
      <c r="U28" s="65"/>
      <c r="V28" s="65"/>
      <c r="W28" s="65"/>
      <c r="X28" s="66"/>
    </row>
    <row r="29" spans="1:24" s="1" customFormat="1" ht="82.5">
      <c r="A29" s="42">
        <v>25</v>
      </c>
      <c r="B29" s="48" t="s">
        <v>67</v>
      </c>
      <c r="C29" s="29" t="s">
        <v>207</v>
      </c>
      <c r="D29" s="50" t="s">
        <v>208</v>
      </c>
      <c r="E29" s="45" t="s">
        <v>154</v>
      </c>
      <c r="F29" s="86" t="s">
        <v>71</v>
      </c>
      <c r="G29" s="47" t="s">
        <v>72</v>
      </c>
      <c r="H29" s="48" t="s">
        <v>73</v>
      </c>
      <c r="I29" s="49" t="s">
        <v>74</v>
      </c>
      <c r="J29" s="49" t="s">
        <v>75</v>
      </c>
      <c r="K29" s="67" t="s">
        <v>76</v>
      </c>
      <c r="L29" s="68" t="s">
        <v>76</v>
      </c>
      <c r="M29" s="57" t="s">
        <v>77</v>
      </c>
      <c r="N29" s="52" t="s">
        <v>78</v>
      </c>
      <c r="O29" s="30" t="s">
        <v>79</v>
      </c>
      <c r="P29" s="44"/>
      <c r="Q29" s="64" t="s">
        <v>80</v>
      </c>
      <c r="R29" s="69"/>
      <c r="S29" s="69"/>
      <c r="T29" s="69"/>
      <c r="U29" s="69"/>
      <c r="V29" s="69"/>
      <c r="W29" s="70"/>
      <c r="X29" s="71"/>
    </row>
    <row r="30" spans="1:24" s="1" customFormat="1" ht="82.5">
      <c r="A30" s="42">
        <v>26</v>
      </c>
      <c r="B30" s="48" t="s">
        <v>67</v>
      </c>
      <c r="C30" s="29" t="s">
        <v>209</v>
      </c>
      <c r="D30" s="50" t="s">
        <v>210</v>
      </c>
      <c r="E30" s="45" t="s">
        <v>154</v>
      </c>
      <c r="F30" s="86" t="s">
        <v>71</v>
      </c>
      <c r="G30" s="47" t="s">
        <v>72</v>
      </c>
      <c r="H30" s="48" t="s">
        <v>73</v>
      </c>
      <c r="I30" s="49" t="s">
        <v>74</v>
      </c>
      <c r="J30" s="49" t="s">
        <v>75</v>
      </c>
      <c r="K30" s="67" t="s">
        <v>76</v>
      </c>
      <c r="L30" s="68" t="s">
        <v>76</v>
      </c>
      <c r="M30" s="57" t="s">
        <v>77</v>
      </c>
      <c r="N30" s="52" t="s">
        <v>78</v>
      </c>
      <c r="O30" s="30" t="s">
        <v>79</v>
      </c>
      <c r="P30" s="44"/>
      <c r="Q30" s="64" t="s">
        <v>80</v>
      </c>
      <c r="R30" s="69"/>
      <c r="S30" s="69"/>
      <c r="T30" s="69"/>
      <c r="U30" s="69"/>
      <c r="V30" s="69"/>
      <c r="W30" s="70"/>
      <c r="X30" s="71"/>
    </row>
    <row r="31" spans="1:24" s="1" customFormat="1" ht="82.5">
      <c r="A31" s="42">
        <v>27</v>
      </c>
      <c r="B31" s="48" t="s">
        <v>67</v>
      </c>
      <c r="C31" s="29" t="s">
        <v>211</v>
      </c>
      <c r="D31" s="50" t="s">
        <v>212</v>
      </c>
      <c r="E31" s="45" t="s">
        <v>154</v>
      </c>
      <c r="F31" s="86" t="s">
        <v>71</v>
      </c>
      <c r="G31" s="47" t="s">
        <v>72</v>
      </c>
      <c r="H31" s="48" t="s">
        <v>73</v>
      </c>
      <c r="I31" s="49" t="s">
        <v>74</v>
      </c>
      <c r="J31" s="49" t="s">
        <v>75</v>
      </c>
      <c r="K31" s="67" t="s">
        <v>76</v>
      </c>
      <c r="L31" s="68" t="s">
        <v>76</v>
      </c>
      <c r="M31" s="57" t="s">
        <v>77</v>
      </c>
      <c r="N31" s="52" t="s">
        <v>78</v>
      </c>
      <c r="O31" s="30" t="s">
        <v>79</v>
      </c>
      <c r="P31" s="44"/>
      <c r="Q31" s="64" t="s">
        <v>80</v>
      </c>
      <c r="R31" s="69"/>
      <c r="S31" s="69"/>
      <c r="T31" s="69"/>
      <c r="U31" s="69"/>
      <c r="V31" s="69"/>
      <c r="W31" s="70"/>
      <c r="X31" s="71"/>
    </row>
    <row r="32" spans="1:24" s="1" customFormat="1" ht="132">
      <c r="A32" s="42">
        <v>28</v>
      </c>
      <c r="B32" s="48" t="s">
        <v>67</v>
      </c>
      <c r="C32" s="31" t="s">
        <v>213</v>
      </c>
      <c r="D32" s="50" t="s">
        <v>214</v>
      </c>
      <c r="E32" s="45" t="s">
        <v>92</v>
      </c>
      <c r="F32" s="86" t="s">
        <v>139</v>
      </c>
      <c r="G32" s="47" t="s">
        <v>215</v>
      </c>
      <c r="H32" s="48" t="s">
        <v>141</v>
      </c>
      <c r="I32" s="67"/>
      <c r="J32" s="49" t="s">
        <v>75</v>
      </c>
      <c r="K32" s="49" t="s">
        <v>216</v>
      </c>
      <c r="L32" s="63" t="s">
        <v>107</v>
      </c>
      <c r="M32" s="57" t="s">
        <v>217</v>
      </c>
      <c r="N32" s="52" t="s">
        <v>145</v>
      </c>
      <c r="O32" s="30" t="s">
        <v>79</v>
      </c>
      <c r="P32" s="50"/>
      <c r="Q32" s="64" t="s">
        <v>80</v>
      </c>
      <c r="R32" s="69"/>
      <c r="S32" s="69"/>
      <c r="T32" s="69"/>
      <c r="U32" s="69"/>
      <c r="V32" s="69"/>
      <c r="W32" s="70"/>
      <c r="X32" s="71"/>
    </row>
    <row r="33" spans="1:24" s="1" customFormat="1" ht="110.25" customHeight="1">
      <c r="A33" s="42">
        <v>29</v>
      </c>
      <c r="B33" s="48" t="s">
        <v>67</v>
      </c>
      <c r="C33" s="29" t="s">
        <v>218</v>
      </c>
      <c r="D33" s="50" t="s">
        <v>219</v>
      </c>
      <c r="E33" s="73" t="s">
        <v>138</v>
      </c>
      <c r="F33" s="86" t="s">
        <v>139</v>
      </c>
      <c r="G33" s="47" t="s">
        <v>220</v>
      </c>
      <c r="H33" s="48" t="s">
        <v>141</v>
      </c>
      <c r="I33" s="67"/>
      <c r="J33" s="49" t="s">
        <v>75</v>
      </c>
      <c r="K33" s="49" t="s">
        <v>221</v>
      </c>
      <c r="L33" s="63" t="s">
        <v>149</v>
      </c>
      <c r="M33" s="57" t="s">
        <v>180</v>
      </c>
      <c r="N33" s="52" t="s">
        <v>181</v>
      </c>
      <c r="O33" s="29"/>
      <c r="P33" s="93"/>
      <c r="Q33" s="64" t="s">
        <v>80</v>
      </c>
      <c r="R33" s="82"/>
      <c r="S33" s="82" t="s">
        <v>222</v>
      </c>
      <c r="T33" s="82"/>
      <c r="U33" s="82"/>
      <c r="V33" s="82" t="s">
        <v>223</v>
      </c>
      <c r="W33" s="82"/>
      <c r="X33" s="84"/>
    </row>
    <row r="34" spans="1:24" s="1" customFormat="1" ht="82.5">
      <c r="A34" s="42">
        <v>30</v>
      </c>
      <c r="B34" s="48" t="s">
        <v>67</v>
      </c>
      <c r="C34" s="29" t="s">
        <v>224</v>
      </c>
      <c r="D34" s="50" t="s">
        <v>225</v>
      </c>
      <c r="E34" s="73" t="s">
        <v>138</v>
      </c>
      <c r="F34" s="86" t="s">
        <v>139</v>
      </c>
      <c r="G34" s="47" t="s">
        <v>226</v>
      </c>
      <c r="H34" s="48" t="s">
        <v>141</v>
      </c>
      <c r="I34" s="67"/>
      <c r="J34" s="49" t="s">
        <v>75</v>
      </c>
      <c r="K34" s="49" t="s">
        <v>142</v>
      </c>
      <c r="L34" s="63" t="s">
        <v>143</v>
      </c>
      <c r="M34" s="57" t="s">
        <v>144</v>
      </c>
      <c r="N34" s="52" t="s">
        <v>145</v>
      </c>
      <c r="O34" s="29"/>
      <c r="P34" s="44"/>
      <c r="Q34" s="64" t="s">
        <v>80</v>
      </c>
      <c r="R34" s="69"/>
      <c r="S34" s="69"/>
      <c r="T34" s="69"/>
      <c r="U34" s="69"/>
      <c r="V34" s="69"/>
      <c r="W34" s="70"/>
      <c r="X34" s="71"/>
    </row>
    <row r="35" spans="1:24" s="1" customFormat="1" ht="215.25" thickBot="1">
      <c r="A35" s="42">
        <v>31</v>
      </c>
      <c r="B35" s="48" t="s">
        <v>67</v>
      </c>
      <c r="C35" s="31" t="s">
        <v>227</v>
      </c>
      <c r="D35" s="50" t="s">
        <v>228</v>
      </c>
      <c r="E35" s="45" t="s">
        <v>184</v>
      </c>
      <c r="F35" s="86" t="s">
        <v>93</v>
      </c>
      <c r="G35" s="47" t="s">
        <v>72</v>
      </c>
      <c r="H35" s="48" t="s">
        <v>141</v>
      </c>
      <c r="I35" s="67"/>
      <c r="J35" s="49" t="s">
        <v>75</v>
      </c>
      <c r="K35" s="159" t="s">
        <v>229</v>
      </c>
      <c r="L35" s="50" t="s">
        <v>230</v>
      </c>
      <c r="M35" s="94" t="s">
        <v>231</v>
      </c>
      <c r="N35" s="52" t="s">
        <v>232</v>
      </c>
      <c r="O35" s="95"/>
      <c r="P35" s="96"/>
      <c r="Q35" s="64" t="s">
        <v>80</v>
      </c>
      <c r="R35" s="69"/>
      <c r="S35" s="69"/>
      <c r="T35" s="69"/>
      <c r="U35" s="69"/>
      <c r="V35" s="69"/>
      <c r="W35" s="70"/>
      <c r="X35" s="71"/>
    </row>
    <row r="36" spans="1:24" s="1" customFormat="1" ht="158.25" customHeight="1">
      <c r="A36" s="42">
        <v>32</v>
      </c>
      <c r="B36" s="48" t="s">
        <v>67</v>
      </c>
      <c r="C36" s="29" t="s">
        <v>233</v>
      </c>
      <c r="D36" s="90" t="s">
        <v>234</v>
      </c>
      <c r="E36" s="45" t="s">
        <v>235</v>
      </c>
      <c r="F36" s="86" t="s">
        <v>139</v>
      </c>
      <c r="G36" s="47" t="s">
        <v>236</v>
      </c>
      <c r="H36" s="48" t="s">
        <v>141</v>
      </c>
      <c r="I36" s="67"/>
      <c r="J36" s="49" t="s">
        <v>75</v>
      </c>
      <c r="K36" s="49" t="s">
        <v>237</v>
      </c>
      <c r="L36" s="63" t="s">
        <v>149</v>
      </c>
      <c r="M36" s="51" t="s">
        <v>231</v>
      </c>
      <c r="N36" s="52" t="s">
        <v>188</v>
      </c>
      <c r="O36" s="97"/>
      <c r="P36" s="98"/>
      <c r="Q36" s="64" t="s">
        <v>80</v>
      </c>
      <c r="R36" s="69"/>
      <c r="S36" s="69"/>
      <c r="T36" s="69"/>
      <c r="U36" s="69"/>
      <c r="V36" s="69"/>
      <c r="W36" s="70"/>
      <c r="X36" s="71"/>
    </row>
    <row r="37" spans="1:24" s="1" customFormat="1" ht="181.5">
      <c r="A37" s="42">
        <v>33</v>
      </c>
      <c r="B37" s="48" t="s">
        <v>67</v>
      </c>
      <c r="C37" s="31" t="s">
        <v>238</v>
      </c>
      <c r="D37" s="93" t="s">
        <v>239</v>
      </c>
      <c r="E37" s="73" t="s">
        <v>138</v>
      </c>
      <c r="F37" s="86" t="s">
        <v>71</v>
      </c>
      <c r="G37" s="47" t="s">
        <v>240</v>
      </c>
      <c r="H37" s="48" t="s">
        <v>141</v>
      </c>
      <c r="I37" s="67"/>
      <c r="J37" s="49" t="s">
        <v>75</v>
      </c>
      <c r="K37" s="49" t="s">
        <v>241</v>
      </c>
      <c r="L37" s="63" t="s">
        <v>149</v>
      </c>
      <c r="M37" s="57" t="s">
        <v>242</v>
      </c>
      <c r="N37" s="52" t="s">
        <v>243</v>
      </c>
      <c r="O37" s="99"/>
      <c r="P37" s="50"/>
      <c r="Q37" s="64" t="s">
        <v>80</v>
      </c>
      <c r="R37" s="69"/>
      <c r="S37" s="69"/>
      <c r="T37" s="69"/>
      <c r="U37" s="69"/>
      <c r="V37" s="69"/>
      <c r="W37" s="70"/>
      <c r="X37" s="71"/>
    </row>
    <row r="38" spans="1:24" s="1" customFormat="1" ht="363">
      <c r="A38" s="42">
        <v>34</v>
      </c>
      <c r="B38" s="48" t="s">
        <v>67</v>
      </c>
      <c r="C38" s="29" t="s">
        <v>244</v>
      </c>
      <c r="D38" s="93" t="s">
        <v>245</v>
      </c>
      <c r="E38" s="73" t="s">
        <v>138</v>
      </c>
      <c r="F38" s="86" t="s">
        <v>139</v>
      </c>
      <c r="G38" s="91" t="s">
        <v>246</v>
      </c>
      <c r="H38" s="100" t="s">
        <v>141</v>
      </c>
      <c r="I38" s="62"/>
      <c r="J38" s="49" t="s">
        <v>75</v>
      </c>
      <c r="K38" s="49" t="s">
        <v>247</v>
      </c>
      <c r="L38" s="63" t="s">
        <v>149</v>
      </c>
      <c r="M38" s="57" t="s">
        <v>248</v>
      </c>
      <c r="N38" s="52" t="s">
        <v>249</v>
      </c>
      <c r="O38" s="99"/>
      <c r="P38" s="93"/>
      <c r="Q38" s="64" t="s">
        <v>80</v>
      </c>
      <c r="R38" s="101"/>
      <c r="S38" s="101"/>
      <c r="T38" s="101"/>
      <c r="U38" s="101"/>
      <c r="V38" s="101"/>
      <c r="W38" s="102"/>
      <c r="X38" s="103"/>
    </row>
    <row r="39" spans="1:24" s="1" customFormat="1" ht="115.5">
      <c r="A39" s="42">
        <v>35</v>
      </c>
      <c r="B39" s="48" t="s">
        <v>67</v>
      </c>
      <c r="C39" s="29" t="s">
        <v>250</v>
      </c>
      <c r="D39" s="50" t="s">
        <v>251</v>
      </c>
      <c r="E39" s="45" t="s">
        <v>92</v>
      </c>
      <c r="F39" s="86" t="s">
        <v>139</v>
      </c>
      <c r="G39" s="91" t="s">
        <v>246</v>
      </c>
      <c r="H39" s="100" t="s">
        <v>73</v>
      </c>
      <c r="I39" s="62" t="s">
        <v>252</v>
      </c>
      <c r="J39" s="49" t="s">
        <v>75</v>
      </c>
      <c r="K39" s="62" t="s">
        <v>192</v>
      </c>
      <c r="L39" s="63" t="s">
        <v>107</v>
      </c>
      <c r="M39" s="57" t="s">
        <v>253</v>
      </c>
      <c r="N39" s="52" t="s">
        <v>254</v>
      </c>
      <c r="O39" s="30" t="s">
        <v>79</v>
      </c>
      <c r="P39" s="93"/>
      <c r="Q39" s="64" t="s">
        <v>80</v>
      </c>
      <c r="R39" s="101"/>
      <c r="S39" s="101"/>
      <c r="T39" s="101"/>
      <c r="U39" s="101"/>
      <c r="V39" s="101"/>
      <c r="W39" s="102"/>
      <c r="X39" s="103"/>
    </row>
    <row r="40" spans="1:24" s="1" customFormat="1" ht="115.5">
      <c r="A40" s="42">
        <v>36</v>
      </c>
      <c r="B40" s="48" t="s">
        <v>67</v>
      </c>
      <c r="C40" s="29" t="s">
        <v>255</v>
      </c>
      <c r="D40" s="50" t="s">
        <v>256</v>
      </c>
      <c r="E40" s="45" t="s">
        <v>92</v>
      </c>
      <c r="F40" s="86" t="s">
        <v>139</v>
      </c>
      <c r="G40" s="91" t="s">
        <v>246</v>
      </c>
      <c r="H40" s="100" t="s">
        <v>73</v>
      </c>
      <c r="I40" s="62" t="s">
        <v>252</v>
      </c>
      <c r="J40" s="49" t="s">
        <v>75</v>
      </c>
      <c r="K40" s="62" t="s">
        <v>192</v>
      </c>
      <c r="L40" s="63" t="s">
        <v>107</v>
      </c>
      <c r="M40" s="57" t="s">
        <v>253</v>
      </c>
      <c r="N40" s="52" t="s">
        <v>254</v>
      </c>
      <c r="O40" s="30" t="s">
        <v>79</v>
      </c>
      <c r="P40" s="50"/>
      <c r="Q40" s="64" t="s">
        <v>80</v>
      </c>
      <c r="R40" s="101"/>
      <c r="S40" s="101"/>
      <c r="T40" s="101"/>
      <c r="U40" s="101"/>
      <c r="V40" s="101"/>
      <c r="W40" s="102"/>
      <c r="X40" s="103"/>
    </row>
    <row r="41" spans="1:24" s="1" customFormat="1" ht="49.5">
      <c r="A41" s="42">
        <v>37</v>
      </c>
      <c r="B41" s="48" t="s">
        <v>67</v>
      </c>
      <c r="C41" s="31" t="s">
        <v>257</v>
      </c>
      <c r="D41" s="50" t="s">
        <v>258</v>
      </c>
      <c r="E41" s="45" t="s">
        <v>111</v>
      </c>
      <c r="F41" s="86" t="s">
        <v>93</v>
      </c>
      <c r="G41" s="47" t="s">
        <v>72</v>
      </c>
      <c r="H41" s="48" t="s">
        <v>75</v>
      </c>
      <c r="I41" s="67"/>
      <c r="J41" s="49" t="s">
        <v>75</v>
      </c>
      <c r="K41" s="49" t="s">
        <v>107</v>
      </c>
      <c r="L41" s="63" t="s">
        <v>107</v>
      </c>
      <c r="M41" s="57" t="s">
        <v>259</v>
      </c>
      <c r="N41" s="3" t="s">
        <v>133</v>
      </c>
      <c r="O41" s="29"/>
      <c r="P41" s="93" t="s">
        <v>134</v>
      </c>
      <c r="Q41" s="64" t="s">
        <v>80</v>
      </c>
      <c r="R41" s="82" t="s">
        <v>260</v>
      </c>
      <c r="S41" s="82" t="s">
        <v>261</v>
      </c>
      <c r="T41" s="82"/>
      <c r="U41" s="82"/>
      <c r="V41" s="82"/>
      <c r="W41" s="82"/>
      <c r="X41" s="84" t="s">
        <v>262</v>
      </c>
    </row>
    <row r="42" spans="1:24" s="1" customFormat="1" ht="181.5">
      <c r="A42" s="42">
        <v>38</v>
      </c>
      <c r="B42" s="48" t="s">
        <v>67</v>
      </c>
      <c r="C42" s="30" t="s">
        <v>263</v>
      </c>
      <c r="D42" s="44" t="s">
        <v>264</v>
      </c>
      <c r="E42" s="45" t="s">
        <v>111</v>
      </c>
      <c r="F42" s="86" t="s">
        <v>93</v>
      </c>
      <c r="G42" s="47" t="s">
        <v>72</v>
      </c>
      <c r="H42" s="48" t="s">
        <v>75</v>
      </c>
      <c r="I42" s="104"/>
      <c r="J42" s="49" t="s">
        <v>75</v>
      </c>
      <c r="K42" s="49" t="s">
        <v>107</v>
      </c>
      <c r="L42" s="63" t="s">
        <v>107</v>
      </c>
      <c r="M42" s="72"/>
      <c r="N42" s="3" t="s">
        <v>133</v>
      </c>
      <c r="O42" s="30"/>
      <c r="P42" s="93" t="s">
        <v>134</v>
      </c>
      <c r="Q42" s="64" t="s">
        <v>80</v>
      </c>
      <c r="R42" s="65"/>
      <c r="S42" s="65" t="s">
        <v>265</v>
      </c>
      <c r="T42" s="82"/>
      <c r="U42" s="82"/>
      <c r="V42" s="82"/>
      <c r="W42" s="83"/>
      <c r="X42" s="71"/>
    </row>
    <row r="43" spans="1:24" s="1" customFormat="1" ht="49.5">
      <c r="A43" s="42">
        <v>39</v>
      </c>
      <c r="B43" s="48" t="s">
        <v>67</v>
      </c>
      <c r="C43" s="31" t="s">
        <v>266</v>
      </c>
      <c r="D43" s="50" t="s">
        <v>267</v>
      </c>
      <c r="E43" s="45" t="s">
        <v>154</v>
      </c>
      <c r="F43" s="86" t="s">
        <v>139</v>
      </c>
      <c r="G43" s="47" t="s">
        <v>72</v>
      </c>
      <c r="H43" s="48" t="s">
        <v>75</v>
      </c>
      <c r="I43" s="67"/>
      <c r="J43" s="49" t="s">
        <v>75</v>
      </c>
      <c r="K43" s="49" t="s">
        <v>107</v>
      </c>
      <c r="L43" s="63" t="s">
        <v>107</v>
      </c>
      <c r="M43" s="57" t="s">
        <v>259</v>
      </c>
      <c r="N43" s="3" t="s">
        <v>133</v>
      </c>
      <c r="O43" s="29"/>
      <c r="P43" s="50" t="s">
        <v>268</v>
      </c>
      <c r="Q43" s="64" t="s">
        <v>80</v>
      </c>
      <c r="R43" s="82"/>
      <c r="S43" s="82"/>
      <c r="T43" s="82"/>
      <c r="U43" s="82"/>
      <c r="V43" s="82"/>
      <c r="W43" s="82"/>
      <c r="X43" s="84"/>
    </row>
    <row r="44" spans="1:24" s="1" customFormat="1" ht="49.5">
      <c r="A44" s="42">
        <v>40</v>
      </c>
      <c r="B44" s="48" t="s">
        <v>67</v>
      </c>
      <c r="C44" s="31" t="s">
        <v>269</v>
      </c>
      <c r="D44" s="50" t="s">
        <v>270</v>
      </c>
      <c r="E44" s="45" t="s">
        <v>154</v>
      </c>
      <c r="F44" s="86" t="s">
        <v>139</v>
      </c>
      <c r="G44" s="47" t="s">
        <v>72</v>
      </c>
      <c r="H44" s="48" t="s">
        <v>75</v>
      </c>
      <c r="I44" s="67"/>
      <c r="J44" s="49" t="s">
        <v>75</v>
      </c>
      <c r="K44" s="62" t="s">
        <v>107</v>
      </c>
      <c r="L44" s="63" t="s">
        <v>107</v>
      </c>
      <c r="M44" s="57" t="s">
        <v>259</v>
      </c>
      <c r="N44" s="3" t="s">
        <v>133</v>
      </c>
      <c r="O44" s="29"/>
      <c r="P44" s="50" t="s">
        <v>268</v>
      </c>
      <c r="Q44" s="64" t="s">
        <v>80</v>
      </c>
      <c r="R44" s="82"/>
      <c r="S44" s="82"/>
      <c r="T44" s="82"/>
      <c r="U44" s="82"/>
      <c r="V44" s="82"/>
      <c r="W44" s="83"/>
      <c r="X44" s="71"/>
    </row>
    <row r="45" spans="1:24" ht="49.5">
      <c r="A45" s="42">
        <v>41</v>
      </c>
      <c r="B45" s="48" t="s">
        <v>67</v>
      </c>
      <c r="C45" s="31" t="s">
        <v>271</v>
      </c>
      <c r="D45" s="50" t="s">
        <v>271</v>
      </c>
      <c r="E45" s="45" t="s">
        <v>154</v>
      </c>
      <c r="F45" s="86" t="s">
        <v>139</v>
      </c>
      <c r="G45" s="47" t="s">
        <v>72</v>
      </c>
      <c r="H45" s="48" t="s">
        <v>75</v>
      </c>
      <c r="I45" s="67"/>
      <c r="J45" s="49" t="s">
        <v>75</v>
      </c>
      <c r="K45" s="62" t="s">
        <v>107</v>
      </c>
      <c r="L45" s="63" t="s">
        <v>107</v>
      </c>
      <c r="M45" s="57" t="s">
        <v>259</v>
      </c>
      <c r="N45" s="3" t="s">
        <v>133</v>
      </c>
      <c r="O45" s="29"/>
      <c r="P45" s="50" t="s">
        <v>268</v>
      </c>
      <c r="Q45" s="64" t="s">
        <v>80</v>
      </c>
      <c r="R45" s="82"/>
      <c r="S45" s="82"/>
      <c r="T45" s="82"/>
      <c r="U45" s="82"/>
      <c r="V45" s="82"/>
      <c r="W45" s="82"/>
      <c r="X45" s="84"/>
    </row>
    <row r="46" spans="1:24" s="1" customFormat="1" ht="49.5">
      <c r="A46" s="42">
        <v>42</v>
      </c>
      <c r="B46" s="48" t="s">
        <v>67</v>
      </c>
      <c r="C46" s="31" t="s">
        <v>272</v>
      </c>
      <c r="D46" s="50" t="s">
        <v>273</v>
      </c>
      <c r="E46" s="45" t="s">
        <v>154</v>
      </c>
      <c r="F46" s="86" t="s">
        <v>139</v>
      </c>
      <c r="G46" s="47" t="s">
        <v>72</v>
      </c>
      <c r="H46" s="48" t="s">
        <v>75</v>
      </c>
      <c r="I46" s="67"/>
      <c r="J46" s="49" t="s">
        <v>75</v>
      </c>
      <c r="K46" s="62" t="s">
        <v>107</v>
      </c>
      <c r="L46" s="63" t="s">
        <v>107</v>
      </c>
      <c r="M46" s="57" t="s">
        <v>259</v>
      </c>
      <c r="N46" s="3" t="s">
        <v>133</v>
      </c>
      <c r="O46" s="29"/>
      <c r="P46" s="50" t="s">
        <v>268</v>
      </c>
      <c r="Q46" s="64" t="s">
        <v>80</v>
      </c>
      <c r="R46" s="82"/>
      <c r="S46" s="82"/>
      <c r="T46" s="82"/>
      <c r="U46" s="82"/>
      <c r="V46" s="82"/>
      <c r="W46" s="82"/>
      <c r="X46" s="84"/>
    </row>
    <row r="47" spans="1:24" s="1" customFormat="1" ht="66">
      <c r="A47" s="42">
        <v>43</v>
      </c>
      <c r="B47" s="48" t="s">
        <v>67</v>
      </c>
      <c r="C47" s="31" t="s">
        <v>274</v>
      </c>
      <c r="D47" s="50" t="s">
        <v>275</v>
      </c>
      <c r="E47" s="89" t="s">
        <v>276</v>
      </c>
      <c r="F47" s="86" t="s">
        <v>139</v>
      </c>
      <c r="G47" s="47" t="s">
        <v>72</v>
      </c>
      <c r="H47" s="48" t="s">
        <v>75</v>
      </c>
      <c r="I47" s="67"/>
      <c r="J47" s="49" t="s">
        <v>75</v>
      </c>
      <c r="K47" s="62" t="s">
        <v>107</v>
      </c>
      <c r="L47" s="63" t="s">
        <v>107</v>
      </c>
      <c r="M47" s="57" t="s">
        <v>259</v>
      </c>
      <c r="N47" s="3" t="s">
        <v>133</v>
      </c>
      <c r="O47" s="29"/>
      <c r="P47" s="50" t="s">
        <v>268</v>
      </c>
      <c r="Q47" s="64" t="s">
        <v>80</v>
      </c>
      <c r="R47" s="82" t="s">
        <v>98</v>
      </c>
      <c r="S47" s="82"/>
      <c r="T47" s="82" t="s">
        <v>277</v>
      </c>
      <c r="U47" s="82"/>
      <c r="V47" s="82"/>
      <c r="W47" s="83"/>
      <c r="X47" s="71"/>
    </row>
    <row r="48" spans="1:24" s="1" customFormat="1" ht="66">
      <c r="A48" s="42">
        <v>44</v>
      </c>
      <c r="B48" s="48" t="s">
        <v>67</v>
      </c>
      <c r="C48" s="31" t="s">
        <v>278</v>
      </c>
      <c r="D48" s="93" t="s">
        <v>279</v>
      </c>
      <c r="E48" s="45" t="s">
        <v>111</v>
      </c>
      <c r="F48" s="86" t="s">
        <v>93</v>
      </c>
      <c r="G48" s="47" t="s">
        <v>72</v>
      </c>
      <c r="H48" s="48" t="s">
        <v>75</v>
      </c>
      <c r="I48" s="67"/>
      <c r="J48" s="49" t="s">
        <v>75</v>
      </c>
      <c r="K48" s="62" t="s">
        <v>107</v>
      </c>
      <c r="L48" s="63" t="s">
        <v>107</v>
      </c>
      <c r="M48" s="57" t="s">
        <v>259</v>
      </c>
      <c r="N48" s="3" t="s">
        <v>133</v>
      </c>
      <c r="O48" s="99"/>
      <c r="P48" s="50" t="s">
        <v>134</v>
      </c>
      <c r="Q48" s="64" t="s">
        <v>80</v>
      </c>
      <c r="R48" s="82" t="s">
        <v>280</v>
      </c>
      <c r="S48" s="82"/>
      <c r="T48" s="82"/>
      <c r="U48" s="82"/>
      <c r="V48" s="82"/>
      <c r="W48" s="82"/>
      <c r="X48" s="84" t="s">
        <v>281</v>
      </c>
    </row>
    <row r="49" spans="1:24" s="1" customFormat="1" ht="49.5">
      <c r="A49" s="42">
        <v>45</v>
      </c>
      <c r="B49" s="48" t="s">
        <v>67</v>
      </c>
      <c r="C49" s="30" t="s">
        <v>282</v>
      </c>
      <c r="D49" s="50" t="s">
        <v>283</v>
      </c>
      <c r="E49" s="45" t="s">
        <v>154</v>
      </c>
      <c r="F49" s="78" t="s">
        <v>71</v>
      </c>
      <c r="G49" s="47" t="s">
        <v>284</v>
      </c>
      <c r="H49" s="48" t="s">
        <v>141</v>
      </c>
      <c r="I49" s="104"/>
      <c r="J49" s="49" t="s">
        <v>75</v>
      </c>
      <c r="K49" s="62" t="s">
        <v>107</v>
      </c>
      <c r="L49" s="63" t="s">
        <v>107</v>
      </c>
      <c r="M49" s="72"/>
      <c r="N49" s="3" t="s">
        <v>133</v>
      </c>
      <c r="O49" s="29"/>
      <c r="P49" s="50" t="s">
        <v>285</v>
      </c>
      <c r="Q49" s="64" t="s">
        <v>80</v>
      </c>
      <c r="R49" s="82" t="s">
        <v>280</v>
      </c>
      <c r="S49" s="69"/>
      <c r="T49" s="82" t="s">
        <v>286</v>
      </c>
      <c r="U49" s="69"/>
      <c r="V49" s="69"/>
      <c r="W49" s="70"/>
      <c r="X49" s="71"/>
    </row>
    <row r="50" spans="1:24" s="1" customFormat="1" ht="49.5">
      <c r="A50" s="42">
        <v>46</v>
      </c>
      <c r="B50" s="48" t="s">
        <v>67</v>
      </c>
      <c r="C50" s="30" t="s">
        <v>287</v>
      </c>
      <c r="D50" s="50" t="s">
        <v>288</v>
      </c>
      <c r="E50" s="45" t="s">
        <v>154</v>
      </c>
      <c r="F50" s="78" t="s">
        <v>289</v>
      </c>
      <c r="G50" s="47" t="s">
        <v>290</v>
      </c>
      <c r="H50" s="48" t="s">
        <v>141</v>
      </c>
      <c r="I50" s="104"/>
      <c r="J50" s="49" t="s">
        <v>75</v>
      </c>
      <c r="K50" s="49" t="s">
        <v>107</v>
      </c>
      <c r="L50" s="63" t="s">
        <v>107</v>
      </c>
      <c r="M50" s="72"/>
      <c r="N50" s="3" t="s">
        <v>133</v>
      </c>
      <c r="O50" s="29"/>
      <c r="P50" s="50" t="s">
        <v>285</v>
      </c>
      <c r="Q50" s="64" t="s">
        <v>80</v>
      </c>
      <c r="R50" s="82" t="s">
        <v>280</v>
      </c>
      <c r="S50" s="69"/>
      <c r="T50" s="69"/>
      <c r="U50" s="69"/>
      <c r="V50" s="69"/>
      <c r="W50" s="70"/>
      <c r="X50" s="71"/>
    </row>
    <row r="51" spans="1:24" s="1" customFormat="1" ht="66">
      <c r="A51" s="42">
        <v>47</v>
      </c>
      <c r="B51" s="48" t="s">
        <v>67</v>
      </c>
      <c r="C51" s="31" t="s">
        <v>291</v>
      </c>
      <c r="D51" s="50" t="s">
        <v>292</v>
      </c>
      <c r="E51" s="45" t="s">
        <v>154</v>
      </c>
      <c r="F51" s="78" t="s">
        <v>71</v>
      </c>
      <c r="G51" s="47" t="s">
        <v>293</v>
      </c>
      <c r="H51" s="48" t="s">
        <v>141</v>
      </c>
      <c r="I51" s="67"/>
      <c r="J51" s="49" t="s">
        <v>75</v>
      </c>
      <c r="K51" s="49" t="s">
        <v>294</v>
      </c>
      <c r="L51" s="63" t="s">
        <v>107</v>
      </c>
      <c r="M51" s="57" t="s">
        <v>295</v>
      </c>
      <c r="N51" s="52" t="s">
        <v>133</v>
      </c>
      <c r="O51" s="29"/>
      <c r="P51" s="93" t="s">
        <v>296</v>
      </c>
      <c r="Q51" s="64" t="s">
        <v>80</v>
      </c>
      <c r="R51" s="82" t="s">
        <v>280</v>
      </c>
      <c r="S51" s="82"/>
      <c r="T51" s="82" t="s">
        <v>297</v>
      </c>
      <c r="U51" s="82"/>
      <c r="V51" s="82"/>
      <c r="W51" s="83"/>
      <c r="X51" s="71"/>
    </row>
    <row r="52" spans="1:24" s="1" customFormat="1" ht="66">
      <c r="A52" s="42">
        <v>48</v>
      </c>
      <c r="B52" s="48" t="s">
        <v>67</v>
      </c>
      <c r="C52" s="31" t="s">
        <v>298</v>
      </c>
      <c r="D52" s="50" t="s">
        <v>299</v>
      </c>
      <c r="E52" s="45" t="s">
        <v>154</v>
      </c>
      <c r="F52" s="78" t="s">
        <v>289</v>
      </c>
      <c r="G52" s="47" t="s">
        <v>300</v>
      </c>
      <c r="H52" s="48" t="s">
        <v>141</v>
      </c>
      <c r="I52" s="67"/>
      <c r="J52" s="49" t="s">
        <v>75</v>
      </c>
      <c r="K52" s="49" t="s">
        <v>301</v>
      </c>
      <c r="L52" s="63" t="s">
        <v>107</v>
      </c>
      <c r="M52" s="57" t="s">
        <v>295</v>
      </c>
      <c r="N52" s="52" t="s">
        <v>133</v>
      </c>
      <c r="O52" s="29"/>
      <c r="P52" s="93" t="s">
        <v>296</v>
      </c>
      <c r="Q52" s="64" t="s">
        <v>80</v>
      </c>
      <c r="R52" s="82" t="s">
        <v>280</v>
      </c>
      <c r="S52" s="82"/>
      <c r="T52" s="82"/>
      <c r="U52" s="82"/>
      <c r="V52" s="82"/>
      <c r="W52" s="83"/>
      <c r="X52" s="71"/>
    </row>
    <row r="53" spans="1:24" s="1" customFormat="1" ht="82.5">
      <c r="A53" s="42">
        <v>49</v>
      </c>
      <c r="B53" s="48" t="s">
        <v>67</v>
      </c>
      <c r="C53" s="31" t="s">
        <v>302</v>
      </c>
      <c r="D53" s="50" t="s">
        <v>303</v>
      </c>
      <c r="E53" s="89" t="s">
        <v>276</v>
      </c>
      <c r="F53" s="86" t="s">
        <v>139</v>
      </c>
      <c r="G53" s="47" t="s">
        <v>72</v>
      </c>
      <c r="H53" s="48" t="s">
        <v>75</v>
      </c>
      <c r="I53" s="67"/>
      <c r="J53" s="49" t="s">
        <v>75</v>
      </c>
      <c r="K53" s="62" t="s">
        <v>107</v>
      </c>
      <c r="L53" s="63" t="s">
        <v>107</v>
      </c>
      <c r="M53" s="57" t="s">
        <v>259</v>
      </c>
      <c r="N53" s="3" t="s">
        <v>133</v>
      </c>
      <c r="O53" s="29"/>
      <c r="P53" s="50" t="s">
        <v>268</v>
      </c>
      <c r="Q53" s="64" t="s">
        <v>80</v>
      </c>
      <c r="R53" s="69"/>
      <c r="S53" s="69"/>
      <c r="T53" s="69"/>
      <c r="U53" s="69"/>
      <c r="V53" s="69"/>
      <c r="W53" s="70"/>
      <c r="X53" s="71"/>
    </row>
    <row r="54" spans="1:24" ht="49.5">
      <c r="A54" s="42">
        <v>50</v>
      </c>
      <c r="B54" s="48" t="s">
        <v>67</v>
      </c>
      <c r="C54" s="31" t="s">
        <v>304</v>
      </c>
      <c r="D54" s="50" t="s">
        <v>305</v>
      </c>
      <c r="E54" s="89" t="s">
        <v>276</v>
      </c>
      <c r="F54" s="86" t="s">
        <v>139</v>
      </c>
      <c r="G54" s="47" t="s">
        <v>72</v>
      </c>
      <c r="H54" s="48" t="s">
        <v>75</v>
      </c>
      <c r="I54" s="67"/>
      <c r="J54" s="49" t="s">
        <v>75</v>
      </c>
      <c r="K54" s="3" t="s">
        <v>107</v>
      </c>
      <c r="L54" s="105" t="s">
        <v>107</v>
      </c>
      <c r="M54" s="57" t="s">
        <v>259</v>
      </c>
      <c r="N54" s="3" t="s">
        <v>133</v>
      </c>
      <c r="O54" s="29"/>
      <c r="P54" s="50" t="s">
        <v>268</v>
      </c>
      <c r="Q54" s="64" t="s">
        <v>80</v>
      </c>
      <c r="R54" s="82" t="s">
        <v>280</v>
      </c>
      <c r="S54" s="82"/>
      <c r="T54" s="82"/>
      <c r="U54" s="82"/>
      <c r="V54" s="82"/>
      <c r="W54" s="83"/>
      <c r="X54" s="106"/>
    </row>
    <row r="55" spans="1:24" s="1" customFormat="1" ht="66">
      <c r="A55" s="42">
        <v>51</v>
      </c>
      <c r="B55" s="48" t="s">
        <v>67</v>
      </c>
      <c r="C55" s="31" t="s">
        <v>306</v>
      </c>
      <c r="D55" s="50" t="s">
        <v>307</v>
      </c>
      <c r="E55" s="45" t="s">
        <v>154</v>
      </c>
      <c r="F55" s="78" t="s">
        <v>71</v>
      </c>
      <c r="G55" s="47" t="s">
        <v>308</v>
      </c>
      <c r="H55" s="48" t="s">
        <v>141</v>
      </c>
      <c r="I55" s="67"/>
      <c r="J55" s="49" t="s">
        <v>75</v>
      </c>
      <c r="K55" s="3" t="s">
        <v>309</v>
      </c>
      <c r="L55" s="105" t="s">
        <v>143</v>
      </c>
      <c r="M55" s="57" t="s">
        <v>259</v>
      </c>
      <c r="N55" s="3" t="s">
        <v>133</v>
      </c>
      <c r="O55" s="29"/>
      <c r="P55" s="93" t="s">
        <v>296</v>
      </c>
      <c r="Q55" s="64" t="s">
        <v>80</v>
      </c>
      <c r="R55" s="82" t="s">
        <v>280</v>
      </c>
      <c r="S55" s="69"/>
      <c r="T55" s="82" t="s">
        <v>310</v>
      </c>
      <c r="U55" s="69"/>
      <c r="V55" s="69"/>
      <c r="W55" s="70"/>
      <c r="X55" s="71"/>
    </row>
    <row r="56" spans="1:24" s="1" customFormat="1" ht="49.5">
      <c r="A56" s="42">
        <v>52</v>
      </c>
      <c r="B56" s="48" t="s">
        <v>67</v>
      </c>
      <c r="C56" s="31" t="s">
        <v>311</v>
      </c>
      <c r="D56" s="50" t="s">
        <v>312</v>
      </c>
      <c r="E56" s="45" t="s">
        <v>154</v>
      </c>
      <c r="F56" s="78" t="s">
        <v>289</v>
      </c>
      <c r="G56" s="47" t="s">
        <v>308</v>
      </c>
      <c r="H56" s="48" t="s">
        <v>141</v>
      </c>
      <c r="I56" s="67"/>
      <c r="J56" s="49" t="s">
        <v>75</v>
      </c>
      <c r="K56" s="49" t="s">
        <v>107</v>
      </c>
      <c r="L56" s="63" t="s">
        <v>107</v>
      </c>
      <c r="M56" s="57" t="s">
        <v>259</v>
      </c>
      <c r="N56" s="3" t="s">
        <v>133</v>
      </c>
      <c r="O56" s="29"/>
      <c r="P56" s="93" t="s">
        <v>296</v>
      </c>
      <c r="Q56" s="64" t="s">
        <v>80</v>
      </c>
      <c r="R56" s="82" t="s">
        <v>280</v>
      </c>
      <c r="S56" s="69"/>
      <c r="T56" s="69"/>
      <c r="U56" s="69"/>
      <c r="V56" s="69"/>
      <c r="W56" s="70"/>
      <c r="X56" s="71"/>
    </row>
    <row r="57" spans="1:24" s="1" customFormat="1" ht="66">
      <c r="A57" s="42">
        <v>53</v>
      </c>
      <c r="B57" s="48" t="s">
        <v>67</v>
      </c>
      <c r="C57" s="31" t="s">
        <v>313</v>
      </c>
      <c r="D57" s="50" t="s">
        <v>314</v>
      </c>
      <c r="E57" s="45" t="s">
        <v>154</v>
      </c>
      <c r="F57" s="78" t="s">
        <v>71</v>
      </c>
      <c r="G57" s="47" t="s">
        <v>315</v>
      </c>
      <c r="H57" s="48" t="s">
        <v>141</v>
      </c>
      <c r="I57" s="67"/>
      <c r="J57" s="49" t="s">
        <v>75</v>
      </c>
      <c r="K57" s="49" t="s">
        <v>316</v>
      </c>
      <c r="L57" s="63" t="s">
        <v>107</v>
      </c>
      <c r="M57" s="57" t="s">
        <v>195</v>
      </c>
      <c r="N57" s="3" t="s">
        <v>133</v>
      </c>
      <c r="O57" s="29"/>
      <c r="P57" s="93" t="s">
        <v>317</v>
      </c>
      <c r="Q57" s="64" t="s">
        <v>80</v>
      </c>
      <c r="R57" s="82" t="s">
        <v>98</v>
      </c>
      <c r="S57" s="82"/>
      <c r="T57" s="82" t="s">
        <v>318</v>
      </c>
      <c r="U57" s="82"/>
      <c r="V57" s="82"/>
      <c r="W57" s="82"/>
      <c r="X57" s="84"/>
    </row>
    <row r="58" spans="1:24" s="1" customFormat="1" ht="82.5">
      <c r="A58" s="42">
        <v>54</v>
      </c>
      <c r="B58" s="48" t="s">
        <v>67</v>
      </c>
      <c r="C58" s="31" t="s">
        <v>319</v>
      </c>
      <c r="D58" s="50" t="s">
        <v>320</v>
      </c>
      <c r="E58" s="45" t="s">
        <v>154</v>
      </c>
      <c r="F58" s="78" t="s">
        <v>289</v>
      </c>
      <c r="G58" s="47" t="s">
        <v>321</v>
      </c>
      <c r="H58" s="48" t="s">
        <v>141</v>
      </c>
      <c r="I58" s="67"/>
      <c r="J58" s="49" t="s">
        <v>75</v>
      </c>
      <c r="K58" s="49" t="s">
        <v>322</v>
      </c>
      <c r="L58" s="63" t="s">
        <v>107</v>
      </c>
      <c r="M58" s="57" t="s">
        <v>195</v>
      </c>
      <c r="N58" s="3" t="s">
        <v>133</v>
      </c>
      <c r="O58" s="29"/>
      <c r="P58" s="93" t="s">
        <v>317</v>
      </c>
      <c r="Q58" s="64" t="s">
        <v>80</v>
      </c>
      <c r="R58" s="82" t="s">
        <v>98</v>
      </c>
      <c r="S58" s="82"/>
      <c r="T58" s="82"/>
      <c r="U58" s="82"/>
      <c r="V58" s="82"/>
      <c r="W58" s="82"/>
      <c r="X58" s="84"/>
    </row>
    <row r="59" spans="1:24" s="1" customFormat="1" ht="54" customHeight="1">
      <c r="A59" s="42">
        <v>55</v>
      </c>
      <c r="B59" s="48" t="s">
        <v>67</v>
      </c>
      <c r="C59" s="30" t="s">
        <v>323</v>
      </c>
      <c r="D59" s="76" t="s">
        <v>324</v>
      </c>
      <c r="E59" s="45" t="s">
        <v>325</v>
      </c>
      <c r="F59" s="86" t="s">
        <v>139</v>
      </c>
      <c r="G59" s="47" t="s">
        <v>72</v>
      </c>
      <c r="H59" s="48" t="s">
        <v>73</v>
      </c>
      <c r="I59" s="62"/>
      <c r="J59" s="49" t="s">
        <v>75</v>
      </c>
      <c r="K59" s="62" t="s">
        <v>76</v>
      </c>
      <c r="L59" s="63" t="s">
        <v>76</v>
      </c>
      <c r="M59" s="57" t="s">
        <v>326</v>
      </c>
      <c r="N59" s="52" t="s">
        <v>181</v>
      </c>
      <c r="O59" s="30" t="s">
        <v>79</v>
      </c>
      <c r="P59" s="107"/>
      <c r="Q59" s="64" t="s">
        <v>80</v>
      </c>
      <c r="R59" s="69"/>
      <c r="S59" s="69"/>
      <c r="T59" s="69"/>
      <c r="U59" s="69"/>
      <c r="V59" s="69"/>
      <c r="W59" s="69"/>
      <c r="X59" s="84"/>
    </row>
    <row r="60" spans="1:24" s="1" customFormat="1" ht="45.75" customHeight="1">
      <c r="A60" s="42">
        <v>56</v>
      </c>
      <c r="B60" s="42" t="s">
        <v>67</v>
      </c>
      <c r="C60" s="31" t="s">
        <v>327</v>
      </c>
      <c r="D60" s="50" t="s">
        <v>328</v>
      </c>
      <c r="E60" s="73" t="s">
        <v>329</v>
      </c>
      <c r="F60" s="86" t="s">
        <v>139</v>
      </c>
      <c r="G60" s="47"/>
      <c r="H60" s="48" t="s">
        <v>73</v>
      </c>
      <c r="I60" s="67"/>
      <c r="J60" s="49"/>
      <c r="K60" s="62" t="s">
        <v>76</v>
      </c>
      <c r="L60" s="63" t="s">
        <v>76</v>
      </c>
      <c r="M60" s="108" t="s">
        <v>253</v>
      </c>
      <c r="N60" s="3" t="s">
        <v>330</v>
      </c>
      <c r="O60" s="29"/>
      <c r="P60" s="109"/>
      <c r="Q60" s="110" t="s">
        <v>80</v>
      </c>
      <c r="R60" s="69"/>
      <c r="S60" s="111" t="s">
        <v>331</v>
      </c>
      <c r="T60" s="69"/>
      <c r="U60" s="69"/>
      <c r="V60" s="69"/>
      <c r="W60" s="70"/>
      <c r="X60" s="71"/>
    </row>
    <row r="61" spans="1:24" s="1" customFormat="1" ht="379.5">
      <c r="A61" s="42">
        <v>57</v>
      </c>
      <c r="B61" s="42" t="s">
        <v>67</v>
      </c>
      <c r="C61" s="31" t="s">
        <v>332</v>
      </c>
      <c r="D61" s="93" t="s">
        <v>333</v>
      </c>
      <c r="E61" s="73" t="s">
        <v>138</v>
      </c>
      <c r="F61" s="86" t="s">
        <v>139</v>
      </c>
      <c r="G61" s="47" t="s">
        <v>72</v>
      </c>
      <c r="H61" s="48" t="s">
        <v>73</v>
      </c>
      <c r="I61" s="62"/>
      <c r="J61" s="49" t="s">
        <v>75</v>
      </c>
      <c r="K61" s="62" t="s">
        <v>76</v>
      </c>
      <c r="L61" s="63" t="s">
        <v>76</v>
      </c>
      <c r="M61" s="57" t="s">
        <v>334</v>
      </c>
      <c r="N61" s="52" t="s">
        <v>181</v>
      </c>
      <c r="O61" s="30" t="s">
        <v>79</v>
      </c>
      <c r="P61" s="44"/>
      <c r="Q61" s="64" t="s">
        <v>80</v>
      </c>
      <c r="R61" s="82"/>
      <c r="S61" s="82" t="s">
        <v>335</v>
      </c>
      <c r="T61" s="82"/>
      <c r="U61" s="82"/>
      <c r="V61" s="82"/>
      <c r="W61" s="82"/>
      <c r="X61" s="84"/>
    </row>
    <row r="62" spans="1:24" s="1" customFormat="1" ht="82.5">
      <c r="A62" s="42">
        <v>58</v>
      </c>
      <c r="B62" s="42" t="s">
        <v>67</v>
      </c>
      <c r="C62" s="31" t="s">
        <v>336</v>
      </c>
      <c r="D62" s="50" t="s">
        <v>337</v>
      </c>
      <c r="E62" s="73" t="s">
        <v>138</v>
      </c>
      <c r="F62" s="86" t="s">
        <v>139</v>
      </c>
      <c r="G62" s="47" t="s">
        <v>72</v>
      </c>
      <c r="H62" s="48" t="s">
        <v>73</v>
      </c>
      <c r="I62" s="62"/>
      <c r="J62" s="49" t="s">
        <v>75</v>
      </c>
      <c r="K62" s="62" t="s">
        <v>76</v>
      </c>
      <c r="L62" s="63" t="s">
        <v>76</v>
      </c>
      <c r="M62" s="57" t="s">
        <v>338</v>
      </c>
      <c r="N62" s="52" t="s">
        <v>181</v>
      </c>
      <c r="O62" s="30" t="s">
        <v>79</v>
      </c>
      <c r="P62" s="44"/>
      <c r="Q62" s="64" t="s">
        <v>80</v>
      </c>
      <c r="R62" s="69"/>
      <c r="S62" s="69"/>
      <c r="T62" s="69"/>
      <c r="U62" s="69"/>
      <c r="V62" s="69"/>
      <c r="W62" s="70"/>
      <c r="X62" s="71"/>
    </row>
    <row r="63" spans="1:24" s="2" customFormat="1" ht="214.5">
      <c r="A63" s="42">
        <v>59</v>
      </c>
      <c r="B63" s="48" t="s">
        <v>67</v>
      </c>
      <c r="C63" s="30" t="s">
        <v>339</v>
      </c>
      <c r="D63" s="44" t="s">
        <v>340</v>
      </c>
      <c r="E63" s="73" t="s">
        <v>138</v>
      </c>
      <c r="F63" s="86" t="s">
        <v>139</v>
      </c>
      <c r="G63" s="47" t="s">
        <v>72</v>
      </c>
      <c r="H63" s="48" t="s">
        <v>73</v>
      </c>
      <c r="I63" s="62"/>
      <c r="J63" s="49" t="s">
        <v>75</v>
      </c>
      <c r="K63" s="62" t="s">
        <v>76</v>
      </c>
      <c r="L63" s="63" t="s">
        <v>76</v>
      </c>
      <c r="M63" s="57" t="s">
        <v>341</v>
      </c>
      <c r="N63" s="52" t="s">
        <v>181</v>
      </c>
      <c r="O63" s="30" t="s">
        <v>79</v>
      </c>
      <c r="P63" s="44"/>
      <c r="Q63" s="64" t="s">
        <v>80</v>
      </c>
      <c r="R63" s="111"/>
      <c r="S63" s="111"/>
      <c r="T63" s="111"/>
      <c r="U63" s="111"/>
      <c r="V63" s="111"/>
      <c r="W63" s="112"/>
      <c r="X63" s="113"/>
    </row>
    <row r="64" spans="1:24" s="1" customFormat="1" ht="214.5">
      <c r="A64" s="42">
        <v>60</v>
      </c>
      <c r="B64" s="42" t="s">
        <v>67</v>
      </c>
      <c r="C64" s="29" t="s">
        <v>342</v>
      </c>
      <c r="D64" s="50" t="s">
        <v>343</v>
      </c>
      <c r="E64" s="73" t="s">
        <v>138</v>
      </c>
      <c r="F64" s="86" t="s">
        <v>139</v>
      </c>
      <c r="G64" s="47" t="s">
        <v>72</v>
      </c>
      <c r="H64" s="48" t="s">
        <v>73</v>
      </c>
      <c r="I64" s="62"/>
      <c r="J64" s="49" t="s">
        <v>75</v>
      </c>
      <c r="K64" s="62" t="s">
        <v>76</v>
      </c>
      <c r="L64" s="63" t="s">
        <v>76</v>
      </c>
      <c r="M64" s="57" t="s">
        <v>344</v>
      </c>
      <c r="N64" s="52" t="s">
        <v>181</v>
      </c>
      <c r="O64" s="30"/>
      <c r="P64" s="44"/>
      <c r="Q64" s="64" t="s">
        <v>80</v>
      </c>
      <c r="R64" s="69"/>
      <c r="S64" s="69"/>
      <c r="T64" s="69"/>
      <c r="U64" s="69"/>
      <c r="V64" s="69"/>
      <c r="W64" s="70"/>
      <c r="X64" s="71"/>
    </row>
    <row r="65" spans="1:24" s="1" customFormat="1" ht="133.5" customHeight="1">
      <c r="A65" s="42">
        <v>61</v>
      </c>
      <c r="B65" s="48" t="s">
        <v>67</v>
      </c>
      <c r="C65" s="30" t="s">
        <v>345</v>
      </c>
      <c r="D65" s="44" t="s">
        <v>346</v>
      </c>
      <c r="E65" s="73" t="s">
        <v>138</v>
      </c>
      <c r="F65" s="86" t="s">
        <v>139</v>
      </c>
      <c r="G65" s="47" t="s">
        <v>72</v>
      </c>
      <c r="H65" s="48" t="s">
        <v>73</v>
      </c>
      <c r="I65" s="62"/>
      <c r="J65" s="49" t="s">
        <v>75</v>
      </c>
      <c r="K65" s="62" t="s">
        <v>76</v>
      </c>
      <c r="L65" s="63" t="s">
        <v>76</v>
      </c>
      <c r="M65" s="57" t="s">
        <v>338</v>
      </c>
      <c r="N65" s="52" t="s">
        <v>181</v>
      </c>
      <c r="O65" s="30" t="s">
        <v>79</v>
      </c>
      <c r="P65" s="44"/>
      <c r="Q65" s="64" t="s">
        <v>80</v>
      </c>
      <c r="R65" s="69"/>
      <c r="S65" s="69" t="s">
        <v>347</v>
      </c>
      <c r="T65" s="69"/>
      <c r="U65" s="69"/>
      <c r="V65" s="69"/>
      <c r="W65" s="70"/>
      <c r="X65" s="71"/>
    </row>
    <row r="66" spans="1:24" s="1" customFormat="1" ht="66">
      <c r="A66" s="42">
        <v>62</v>
      </c>
      <c r="B66" s="48" t="s">
        <v>67</v>
      </c>
      <c r="C66" s="32" t="s">
        <v>348</v>
      </c>
      <c r="D66" s="44" t="s">
        <v>349</v>
      </c>
      <c r="E66" s="45" t="s">
        <v>154</v>
      </c>
      <c r="F66" s="46" t="s">
        <v>71</v>
      </c>
      <c r="G66" s="47" t="s">
        <v>72</v>
      </c>
      <c r="H66" s="48" t="s">
        <v>73</v>
      </c>
      <c r="I66" s="62"/>
      <c r="J66" s="49" t="s">
        <v>75</v>
      </c>
      <c r="K66" s="62" t="s">
        <v>107</v>
      </c>
      <c r="L66" s="63" t="s">
        <v>107</v>
      </c>
      <c r="M66" s="57" t="s">
        <v>195</v>
      </c>
      <c r="N66" s="52" t="s">
        <v>133</v>
      </c>
      <c r="O66" s="30" t="s">
        <v>79</v>
      </c>
      <c r="P66" s="50"/>
      <c r="Q66" s="64" t="s">
        <v>80</v>
      </c>
      <c r="R66" s="82" t="s">
        <v>350</v>
      </c>
      <c r="S66" s="82"/>
      <c r="T66" s="82"/>
      <c r="U66" s="82"/>
      <c r="V66" s="82"/>
      <c r="W66" s="83"/>
      <c r="X66" s="71"/>
    </row>
    <row r="67" spans="1:24" s="1" customFormat="1" ht="66">
      <c r="A67" s="42">
        <v>63</v>
      </c>
      <c r="B67" s="48" t="s">
        <v>67</v>
      </c>
      <c r="C67" s="32" t="s">
        <v>351</v>
      </c>
      <c r="D67" s="44" t="s">
        <v>352</v>
      </c>
      <c r="E67" s="45" t="s">
        <v>154</v>
      </c>
      <c r="F67" s="46" t="s">
        <v>71</v>
      </c>
      <c r="G67" s="47" t="s">
        <v>72</v>
      </c>
      <c r="H67" s="48" t="s">
        <v>73</v>
      </c>
      <c r="I67" s="62"/>
      <c r="J67" s="49" t="s">
        <v>75</v>
      </c>
      <c r="K67" s="62" t="s">
        <v>107</v>
      </c>
      <c r="L67" s="63" t="s">
        <v>107</v>
      </c>
      <c r="M67" s="57" t="s">
        <v>195</v>
      </c>
      <c r="N67" s="52" t="s">
        <v>133</v>
      </c>
      <c r="O67" s="30" t="s">
        <v>79</v>
      </c>
      <c r="P67" s="76"/>
      <c r="Q67" s="64" t="s">
        <v>80</v>
      </c>
      <c r="R67" s="82" t="s">
        <v>350</v>
      </c>
      <c r="S67" s="82"/>
      <c r="T67" s="82"/>
      <c r="U67" s="82"/>
      <c r="V67" s="82"/>
      <c r="W67" s="83"/>
      <c r="X67" s="71"/>
    </row>
    <row r="68" spans="1:24" s="1" customFormat="1" ht="99">
      <c r="A68" s="42">
        <v>64</v>
      </c>
      <c r="B68" s="48" t="s">
        <v>67</v>
      </c>
      <c r="C68" s="32" t="s">
        <v>353</v>
      </c>
      <c r="D68" s="44" t="s">
        <v>354</v>
      </c>
      <c r="E68" s="45" t="s">
        <v>154</v>
      </c>
      <c r="F68" s="46" t="s">
        <v>71</v>
      </c>
      <c r="G68" s="47" t="s">
        <v>72</v>
      </c>
      <c r="H68" s="48" t="s">
        <v>73</v>
      </c>
      <c r="I68" s="62"/>
      <c r="J68" s="49" t="s">
        <v>75</v>
      </c>
      <c r="K68" s="62" t="s">
        <v>107</v>
      </c>
      <c r="L68" s="63" t="s">
        <v>107</v>
      </c>
      <c r="M68" s="57" t="s">
        <v>195</v>
      </c>
      <c r="N68" s="52" t="s">
        <v>133</v>
      </c>
      <c r="O68" s="30" t="s">
        <v>79</v>
      </c>
      <c r="P68" s="44"/>
      <c r="Q68" s="64" t="s">
        <v>80</v>
      </c>
      <c r="R68" s="82" t="s">
        <v>350</v>
      </c>
      <c r="S68" s="82"/>
      <c r="T68" s="82"/>
      <c r="U68" s="82"/>
      <c r="V68" s="82"/>
      <c r="W68" s="83"/>
      <c r="X68" s="71"/>
    </row>
    <row r="69" spans="1:24" s="1" customFormat="1" ht="99">
      <c r="A69" s="42">
        <v>65</v>
      </c>
      <c r="B69" s="48" t="s">
        <v>67</v>
      </c>
      <c r="C69" s="32" t="s">
        <v>355</v>
      </c>
      <c r="D69" s="44" t="s">
        <v>356</v>
      </c>
      <c r="E69" s="45" t="s">
        <v>154</v>
      </c>
      <c r="F69" s="46" t="s">
        <v>71</v>
      </c>
      <c r="G69" s="47" t="s">
        <v>72</v>
      </c>
      <c r="H69" s="48" t="s">
        <v>73</v>
      </c>
      <c r="I69" s="62"/>
      <c r="J69" s="49" t="s">
        <v>75</v>
      </c>
      <c r="K69" s="62" t="s">
        <v>107</v>
      </c>
      <c r="L69" s="63" t="s">
        <v>107</v>
      </c>
      <c r="M69" s="57" t="s">
        <v>195</v>
      </c>
      <c r="N69" s="52" t="s">
        <v>133</v>
      </c>
      <c r="O69" s="30" t="s">
        <v>79</v>
      </c>
      <c r="P69" s="44"/>
      <c r="Q69" s="64" t="s">
        <v>80</v>
      </c>
      <c r="R69" s="82" t="s">
        <v>350</v>
      </c>
      <c r="S69" s="82"/>
      <c r="T69" s="82"/>
      <c r="U69" s="82"/>
      <c r="V69" s="82"/>
      <c r="W69" s="83"/>
      <c r="X69" s="71"/>
    </row>
    <row r="70" spans="1:24" s="1" customFormat="1" ht="165">
      <c r="A70" s="42">
        <v>66</v>
      </c>
      <c r="B70" s="48" t="s">
        <v>67</v>
      </c>
      <c r="C70" s="29" t="s">
        <v>357</v>
      </c>
      <c r="D70" s="76" t="s">
        <v>358</v>
      </c>
      <c r="E70" s="73" t="s">
        <v>138</v>
      </c>
      <c r="F70" s="46" t="s">
        <v>71</v>
      </c>
      <c r="G70" s="47" t="s">
        <v>72</v>
      </c>
      <c r="H70" s="48" t="s">
        <v>73</v>
      </c>
      <c r="I70" s="62"/>
      <c r="J70" s="49" t="s">
        <v>75</v>
      </c>
      <c r="K70" s="62" t="s">
        <v>107</v>
      </c>
      <c r="L70" s="63" t="s">
        <v>107</v>
      </c>
      <c r="M70" s="57" t="s">
        <v>195</v>
      </c>
      <c r="N70" s="52" t="s">
        <v>133</v>
      </c>
      <c r="O70" s="75"/>
      <c r="P70" s="44"/>
      <c r="Q70" s="64" t="s">
        <v>80</v>
      </c>
      <c r="R70" s="69"/>
      <c r="S70" s="69"/>
      <c r="T70" s="69"/>
      <c r="U70" s="69"/>
      <c r="V70" s="69"/>
      <c r="W70" s="70"/>
      <c r="X70" s="71"/>
    </row>
    <row r="71" spans="1:24" s="1" customFormat="1" ht="165">
      <c r="A71" s="42">
        <v>67</v>
      </c>
      <c r="B71" s="48" t="s">
        <v>67</v>
      </c>
      <c r="C71" s="29" t="s">
        <v>359</v>
      </c>
      <c r="D71" s="76" t="s">
        <v>360</v>
      </c>
      <c r="E71" s="73" t="s">
        <v>138</v>
      </c>
      <c r="F71" s="46" t="s">
        <v>71</v>
      </c>
      <c r="G71" s="47" t="s">
        <v>72</v>
      </c>
      <c r="H71" s="48" t="s">
        <v>73</v>
      </c>
      <c r="I71" s="62"/>
      <c r="J71" s="49" t="s">
        <v>75</v>
      </c>
      <c r="K71" s="49" t="s">
        <v>76</v>
      </c>
      <c r="L71" s="63" t="s">
        <v>76</v>
      </c>
      <c r="M71" s="57" t="s">
        <v>195</v>
      </c>
      <c r="N71" s="52" t="s">
        <v>181</v>
      </c>
      <c r="O71" s="75"/>
      <c r="P71" s="44"/>
      <c r="Q71" s="64" t="s">
        <v>80</v>
      </c>
      <c r="R71" s="69"/>
      <c r="S71" s="69"/>
      <c r="T71" s="69"/>
      <c r="U71" s="69"/>
      <c r="V71" s="69"/>
      <c r="W71" s="70"/>
      <c r="X71" s="71"/>
    </row>
    <row r="72" spans="1:24" s="1" customFormat="1" ht="82.5">
      <c r="A72" s="42">
        <v>68</v>
      </c>
      <c r="B72" s="42" t="s">
        <v>67</v>
      </c>
      <c r="C72" s="31" t="s">
        <v>361</v>
      </c>
      <c r="D72" s="50" t="s">
        <v>362</v>
      </c>
      <c r="E72" s="73" t="s">
        <v>138</v>
      </c>
      <c r="F72" s="86" t="s">
        <v>139</v>
      </c>
      <c r="G72" s="47" t="s">
        <v>72</v>
      </c>
      <c r="H72" s="48" t="s">
        <v>73</v>
      </c>
      <c r="I72" s="62"/>
      <c r="J72" s="49" t="s">
        <v>75</v>
      </c>
      <c r="K72" s="49" t="s">
        <v>76</v>
      </c>
      <c r="L72" s="63" t="s">
        <v>76</v>
      </c>
      <c r="M72" s="57" t="s">
        <v>338</v>
      </c>
      <c r="N72" s="52" t="s">
        <v>363</v>
      </c>
      <c r="O72" s="29"/>
      <c r="P72" s="76"/>
      <c r="Q72" s="64" t="s">
        <v>80</v>
      </c>
      <c r="R72" s="69"/>
      <c r="S72" s="69"/>
      <c r="T72" s="69"/>
      <c r="U72" s="69"/>
      <c r="V72" s="69"/>
      <c r="W72" s="70"/>
      <c r="X72" s="71"/>
    </row>
    <row r="73" spans="1:24" s="1" customFormat="1" ht="115.5">
      <c r="A73" s="42">
        <v>69</v>
      </c>
      <c r="B73" s="48" t="s">
        <v>67</v>
      </c>
      <c r="C73" s="32" t="s">
        <v>364</v>
      </c>
      <c r="D73" s="44" t="s">
        <v>365</v>
      </c>
      <c r="E73" s="45" t="s">
        <v>70</v>
      </c>
      <c r="F73" s="78" t="s">
        <v>71</v>
      </c>
      <c r="G73" s="91" t="s">
        <v>246</v>
      </c>
      <c r="H73" s="100" t="s">
        <v>73</v>
      </c>
      <c r="I73" s="104"/>
      <c r="J73" s="49" t="s">
        <v>75</v>
      </c>
      <c r="K73" s="49" t="s">
        <v>366</v>
      </c>
      <c r="L73" s="63" t="s">
        <v>107</v>
      </c>
      <c r="M73" s="108" t="s">
        <v>367</v>
      </c>
      <c r="N73" s="49" t="s">
        <v>133</v>
      </c>
      <c r="O73" s="32"/>
      <c r="P73" s="76" t="s">
        <v>368</v>
      </c>
      <c r="Q73" s="64" t="s">
        <v>80</v>
      </c>
      <c r="R73" s="101"/>
      <c r="S73" s="101"/>
      <c r="T73" s="101"/>
      <c r="U73" s="101"/>
      <c r="V73" s="101"/>
      <c r="W73" s="102"/>
      <c r="X73" s="103"/>
    </row>
    <row r="74" spans="1:24" s="1" customFormat="1" ht="49.5">
      <c r="A74" s="42">
        <v>70</v>
      </c>
      <c r="B74" s="48" t="s">
        <v>67</v>
      </c>
      <c r="C74" s="29" t="s">
        <v>369</v>
      </c>
      <c r="D74" s="50" t="s">
        <v>370</v>
      </c>
      <c r="E74" s="45" t="s">
        <v>154</v>
      </c>
      <c r="F74" s="78" t="s">
        <v>371</v>
      </c>
      <c r="G74" s="47" t="s">
        <v>372</v>
      </c>
      <c r="H74" s="48" t="s">
        <v>141</v>
      </c>
      <c r="I74" s="104"/>
      <c r="J74" s="49" t="s">
        <v>75</v>
      </c>
      <c r="K74" s="49" t="s">
        <v>373</v>
      </c>
      <c r="L74" s="63" t="s">
        <v>374</v>
      </c>
      <c r="M74" s="57" t="s">
        <v>375</v>
      </c>
      <c r="N74" s="3" t="s">
        <v>133</v>
      </c>
      <c r="O74" s="29"/>
      <c r="P74" s="50" t="s">
        <v>376</v>
      </c>
      <c r="Q74" s="64" t="s">
        <v>80</v>
      </c>
      <c r="R74" s="82"/>
      <c r="S74" s="82" t="s">
        <v>222</v>
      </c>
      <c r="T74" s="82"/>
      <c r="U74" s="82"/>
      <c r="V74" s="82"/>
      <c r="W74" s="82"/>
      <c r="X74" s="84"/>
    </row>
    <row r="75" spans="1:24" ht="49.5">
      <c r="A75" s="42">
        <v>71</v>
      </c>
      <c r="B75" s="48" t="s">
        <v>67</v>
      </c>
      <c r="C75" s="29" t="s">
        <v>377</v>
      </c>
      <c r="D75" s="50" t="s">
        <v>378</v>
      </c>
      <c r="E75" s="45" t="s">
        <v>154</v>
      </c>
      <c r="F75" s="46" t="s">
        <v>71</v>
      </c>
      <c r="G75" s="47" t="s">
        <v>379</v>
      </c>
      <c r="H75" s="48" t="s">
        <v>141</v>
      </c>
      <c r="I75" s="104"/>
      <c r="J75" s="49" t="s">
        <v>75</v>
      </c>
      <c r="K75" s="49" t="s">
        <v>380</v>
      </c>
      <c r="L75" s="63" t="s">
        <v>143</v>
      </c>
      <c r="M75" s="57" t="s">
        <v>375</v>
      </c>
      <c r="N75" s="3" t="s">
        <v>133</v>
      </c>
      <c r="O75" s="29"/>
      <c r="P75" s="105" t="s">
        <v>381</v>
      </c>
      <c r="Q75" s="64" t="s">
        <v>80</v>
      </c>
      <c r="R75" s="82"/>
      <c r="S75" s="82" t="s">
        <v>222</v>
      </c>
      <c r="T75" s="82"/>
      <c r="U75" s="82"/>
      <c r="V75" s="82"/>
      <c r="W75" s="82"/>
      <c r="X75" s="84"/>
    </row>
    <row r="76" spans="1:24" s="6" customFormat="1" ht="66">
      <c r="A76" s="42">
        <v>72</v>
      </c>
      <c r="B76" s="48" t="s">
        <v>67</v>
      </c>
      <c r="C76" s="32" t="s">
        <v>382</v>
      </c>
      <c r="D76" s="115" t="s">
        <v>383</v>
      </c>
      <c r="E76" s="45" t="s">
        <v>154</v>
      </c>
      <c r="F76" s="46" t="s">
        <v>71</v>
      </c>
      <c r="G76" s="91" t="s">
        <v>246</v>
      </c>
      <c r="H76" s="48" t="s">
        <v>73</v>
      </c>
      <c r="I76" s="104"/>
      <c r="J76" s="49" t="s">
        <v>75</v>
      </c>
      <c r="K76" s="49" t="s">
        <v>384</v>
      </c>
      <c r="L76" s="63" t="s">
        <v>385</v>
      </c>
      <c r="M76" s="57" t="s">
        <v>195</v>
      </c>
      <c r="N76" s="3" t="s">
        <v>133</v>
      </c>
      <c r="O76" s="116" t="s">
        <v>79</v>
      </c>
      <c r="P76" s="44" t="s">
        <v>317</v>
      </c>
      <c r="Q76" s="64" t="s">
        <v>80</v>
      </c>
      <c r="R76" s="82"/>
      <c r="S76" s="82" t="s">
        <v>222</v>
      </c>
      <c r="T76" s="82"/>
      <c r="U76" s="82"/>
      <c r="V76" s="82"/>
      <c r="W76" s="82"/>
      <c r="X76" s="84"/>
    </row>
    <row r="77" spans="1:24" ht="66">
      <c r="A77" s="42">
        <v>73</v>
      </c>
      <c r="B77" s="48" t="s">
        <v>67</v>
      </c>
      <c r="C77" s="32" t="s">
        <v>386</v>
      </c>
      <c r="D77" s="50" t="s">
        <v>387</v>
      </c>
      <c r="E77" s="45" t="s">
        <v>154</v>
      </c>
      <c r="F77" s="78" t="s">
        <v>71</v>
      </c>
      <c r="G77" s="47" t="s">
        <v>388</v>
      </c>
      <c r="H77" s="48" t="s">
        <v>141</v>
      </c>
      <c r="I77" s="3"/>
      <c r="J77" s="49" t="s">
        <v>75</v>
      </c>
      <c r="K77" s="49" t="s">
        <v>389</v>
      </c>
      <c r="L77" s="63" t="s">
        <v>107</v>
      </c>
      <c r="M77" s="57" t="s">
        <v>390</v>
      </c>
      <c r="N77" s="3" t="s">
        <v>133</v>
      </c>
      <c r="O77" s="29"/>
      <c r="P77" s="93" t="s">
        <v>296</v>
      </c>
      <c r="Q77" s="64" t="s">
        <v>80</v>
      </c>
      <c r="R77" s="82" t="s">
        <v>280</v>
      </c>
      <c r="S77" s="82"/>
      <c r="T77" s="65" t="s">
        <v>391</v>
      </c>
      <c r="U77" s="82"/>
      <c r="V77" s="82"/>
      <c r="W77" s="83"/>
      <c r="X77" s="106"/>
    </row>
    <row r="78" spans="1:24" ht="66">
      <c r="A78" s="42">
        <v>74</v>
      </c>
      <c r="B78" s="48" t="s">
        <v>67</v>
      </c>
      <c r="C78" s="32" t="s">
        <v>392</v>
      </c>
      <c r="D78" s="50" t="s">
        <v>393</v>
      </c>
      <c r="E78" s="45" t="s">
        <v>154</v>
      </c>
      <c r="F78" s="78" t="s">
        <v>289</v>
      </c>
      <c r="G78" s="47" t="s">
        <v>394</v>
      </c>
      <c r="H78" s="48" t="s">
        <v>141</v>
      </c>
      <c r="I78" s="3"/>
      <c r="J78" s="49" t="s">
        <v>75</v>
      </c>
      <c r="K78" s="49" t="s">
        <v>395</v>
      </c>
      <c r="L78" s="63" t="s">
        <v>107</v>
      </c>
      <c r="M78" s="57" t="s">
        <v>396</v>
      </c>
      <c r="N78" s="3" t="s">
        <v>133</v>
      </c>
      <c r="O78" s="29"/>
      <c r="P78" s="93" t="s">
        <v>296</v>
      </c>
      <c r="Q78" s="64" t="s">
        <v>80</v>
      </c>
      <c r="R78" s="82" t="s">
        <v>280</v>
      </c>
      <c r="S78" s="82"/>
      <c r="T78" s="65"/>
      <c r="U78" s="82"/>
      <c r="V78" s="82"/>
      <c r="W78" s="83"/>
      <c r="X78" s="106"/>
    </row>
    <row r="79" spans="1:24" ht="132">
      <c r="A79" s="42">
        <v>75</v>
      </c>
      <c r="B79" s="48" t="s">
        <v>67</v>
      </c>
      <c r="C79" s="30" t="s">
        <v>397</v>
      </c>
      <c r="D79" s="44" t="s">
        <v>398</v>
      </c>
      <c r="E79" s="45" t="s">
        <v>154</v>
      </c>
      <c r="F79" s="78" t="s">
        <v>71</v>
      </c>
      <c r="G79" s="91" t="s">
        <v>246</v>
      </c>
      <c r="H79" s="48" t="s">
        <v>73</v>
      </c>
      <c r="I79" s="104"/>
      <c r="J79" s="49" t="s">
        <v>75</v>
      </c>
      <c r="K79" s="49" t="s">
        <v>399</v>
      </c>
      <c r="L79" s="63" t="s">
        <v>385</v>
      </c>
      <c r="M79" s="108" t="s">
        <v>367</v>
      </c>
      <c r="N79" s="49" t="s">
        <v>133</v>
      </c>
      <c r="O79" s="30"/>
      <c r="P79" s="117" t="s">
        <v>400</v>
      </c>
      <c r="Q79" s="64" t="s">
        <v>80</v>
      </c>
      <c r="R79" s="118"/>
      <c r="S79" s="118"/>
      <c r="T79" s="118"/>
      <c r="U79" s="118"/>
      <c r="V79" s="118"/>
      <c r="W79" s="119"/>
      <c r="X79" s="120"/>
    </row>
    <row r="80" spans="1:24" ht="214.5">
      <c r="A80" s="42">
        <v>76</v>
      </c>
      <c r="B80" s="48" t="s">
        <v>67</v>
      </c>
      <c r="C80" s="30" t="s">
        <v>401</v>
      </c>
      <c r="D80" s="50" t="s">
        <v>402</v>
      </c>
      <c r="E80" s="45" t="s">
        <v>154</v>
      </c>
      <c r="F80" s="46" t="s">
        <v>71</v>
      </c>
      <c r="G80" s="47" t="s">
        <v>72</v>
      </c>
      <c r="H80" s="48" t="s">
        <v>73</v>
      </c>
      <c r="I80" s="49" t="s">
        <v>74</v>
      </c>
      <c r="J80" s="49" t="s">
        <v>75</v>
      </c>
      <c r="K80" s="49" t="s">
        <v>76</v>
      </c>
      <c r="L80" s="62" t="s">
        <v>76</v>
      </c>
      <c r="M80" s="57" t="s">
        <v>403</v>
      </c>
      <c r="N80" s="3" t="s">
        <v>78</v>
      </c>
      <c r="O80" s="29"/>
      <c r="P80" s="115"/>
      <c r="Q80" s="64" t="s">
        <v>80</v>
      </c>
      <c r="R80" s="121"/>
      <c r="S80" s="121"/>
      <c r="T80" s="121"/>
      <c r="U80" s="121"/>
      <c r="V80" s="121"/>
      <c r="W80" s="122"/>
      <c r="X80" s="106"/>
    </row>
    <row r="81" spans="1:24" ht="214.5">
      <c r="A81" s="42">
        <v>77</v>
      </c>
      <c r="B81" s="48" t="s">
        <v>67</v>
      </c>
      <c r="C81" s="30" t="s">
        <v>404</v>
      </c>
      <c r="D81" s="50" t="s">
        <v>402</v>
      </c>
      <c r="E81" s="45" t="s">
        <v>154</v>
      </c>
      <c r="F81" s="46" t="s">
        <v>71</v>
      </c>
      <c r="G81" s="47" t="s">
        <v>72</v>
      </c>
      <c r="H81" s="48" t="s">
        <v>73</v>
      </c>
      <c r="I81" s="49" t="s">
        <v>74</v>
      </c>
      <c r="J81" s="49" t="s">
        <v>75</v>
      </c>
      <c r="K81" s="160" t="s">
        <v>76</v>
      </c>
      <c r="L81" s="161" t="s">
        <v>76</v>
      </c>
      <c r="M81" s="57" t="s">
        <v>403</v>
      </c>
      <c r="N81" s="3" t="s">
        <v>78</v>
      </c>
      <c r="O81" s="29"/>
      <c r="P81" s="115"/>
      <c r="Q81" s="64" t="s">
        <v>80</v>
      </c>
      <c r="R81" s="121"/>
      <c r="S81" s="121"/>
      <c r="T81" s="121"/>
      <c r="U81" s="121"/>
      <c r="V81" s="121"/>
      <c r="W81" s="122"/>
      <c r="X81" s="106"/>
    </row>
    <row r="82" spans="1:24" ht="214.5">
      <c r="A82" s="42">
        <v>78</v>
      </c>
      <c r="B82" s="48" t="s">
        <v>67</v>
      </c>
      <c r="C82" s="30" t="s">
        <v>405</v>
      </c>
      <c r="D82" s="50" t="s">
        <v>402</v>
      </c>
      <c r="E82" s="45" t="s">
        <v>154</v>
      </c>
      <c r="F82" s="46" t="s">
        <v>71</v>
      </c>
      <c r="G82" s="47" t="s">
        <v>72</v>
      </c>
      <c r="H82" s="48" t="s">
        <v>73</v>
      </c>
      <c r="I82" s="49" t="s">
        <v>74</v>
      </c>
      <c r="J82" s="49" t="s">
        <v>75</v>
      </c>
      <c r="K82" s="104" t="s">
        <v>76</v>
      </c>
      <c r="L82" s="105" t="s">
        <v>76</v>
      </c>
      <c r="M82" s="57" t="s">
        <v>403</v>
      </c>
      <c r="N82" s="3" t="s">
        <v>78</v>
      </c>
      <c r="O82" s="29"/>
      <c r="P82" s="115"/>
      <c r="Q82" s="64" t="s">
        <v>80</v>
      </c>
      <c r="R82" s="121"/>
      <c r="S82" s="121"/>
      <c r="T82" s="121"/>
      <c r="U82" s="121"/>
      <c r="V82" s="121"/>
      <c r="W82" s="122"/>
      <c r="X82" s="106"/>
    </row>
    <row r="83" spans="1:24" ht="168" customHeight="1">
      <c r="A83" s="42">
        <v>79</v>
      </c>
      <c r="B83" s="48" t="s">
        <v>67</v>
      </c>
      <c r="C83" s="30" t="s">
        <v>406</v>
      </c>
      <c r="D83" s="50" t="s">
        <v>407</v>
      </c>
      <c r="E83" s="73" t="s">
        <v>138</v>
      </c>
      <c r="F83" s="46" t="s">
        <v>139</v>
      </c>
      <c r="G83" s="91" t="s">
        <v>246</v>
      </c>
      <c r="H83" s="48" t="s">
        <v>141</v>
      </c>
      <c r="I83" s="3"/>
      <c r="J83" s="49" t="s">
        <v>75</v>
      </c>
      <c r="K83" s="49" t="s">
        <v>408</v>
      </c>
      <c r="L83" s="50" t="s">
        <v>149</v>
      </c>
      <c r="M83" s="87" t="s">
        <v>409</v>
      </c>
      <c r="N83" s="52" t="s">
        <v>410</v>
      </c>
      <c r="O83" s="29"/>
      <c r="P83" s="50"/>
      <c r="Q83" s="64" t="s">
        <v>80</v>
      </c>
      <c r="R83" s="118"/>
      <c r="S83" s="118"/>
      <c r="T83" s="118"/>
      <c r="U83" s="118"/>
      <c r="V83" s="118"/>
      <c r="W83" s="119"/>
      <c r="X83" s="120"/>
    </row>
    <row r="84" spans="1:24" s="6" customFormat="1" ht="158.25" customHeight="1">
      <c r="A84" s="42">
        <v>80</v>
      </c>
      <c r="B84" s="48" t="s">
        <v>67</v>
      </c>
      <c r="C84" s="30" t="s">
        <v>411</v>
      </c>
      <c r="D84" s="50" t="s">
        <v>412</v>
      </c>
      <c r="E84" s="45" t="s">
        <v>92</v>
      </c>
      <c r="F84" s="74" t="s">
        <v>413</v>
      </c>
      <c r="G84" s="91" t="s">
        <v>246</v>
      </c>
      <c r="H84" s="100" t="s">
        <v>73</v>
      </c>
      <c r="I84" s="3"/>
      <c r="J84" s="49" t="s">
        <v>75</v>
      </c>
      <c r="K84" s="49" t="s">
        <v>76</v>
      </c>
      <c r="L84" s="63" t="s">
        <v>76</v>
      </c>
      <c r="M84" s="57" t="s">
        <v>414</v>
      </c>
      <c r="N84" s="3" t="s">
        <v>145</v>
      </c>
      <c r="O84" s="29"/>
      <c r="P84" s="44"/>
      <c r="Q84" s="64" t="s">
        <v>80</v>
      </c>
      <c r="R84" s="123"/>
      <c r="S84" s="123"/>
      <c r="T84" s="123"/>
      <c r="U84" s="123"/>
      <c r="V84" s="123"/>
      <c r="W84" s="124"/>
      <c r="X84" s="125"/>
    </row>
    <row r="85" spans="1:24" ht="160.5" customHeight="1">
      <c r="A85" s="42">
        <v>81</v>
      </c>
      <c r="B85" s="48" t="s">
        <v>67</v>
      </c>
      <c r="C85" s="33" t="s">
        <v>415</v>
      </c>
      <c r="D85" s="126" t="s">
        <v>416</v>
      </c>
      <c r="E85" s="45" t="s">
        <v>92</v>
      </c>
      <c r="F85" s="127" t="s">
        <v>413</v>
      </c>
      <c r="G85" s="128" t="s">
        <v>246</v>
      </c>
      <c r="H85" s="100" t="s">
        <v>73</v>
      </c>
      <c r="I85" s="3"/>
      <c r="J85" s="129" t="s">
        <v>75</v>
      </c>
      <c r="K85" s="62" t="s">
        <v>76</v>
      </c>
      <c r="L85" s="63" t="s">
        <v>76</v>
      </c>
      <c r="M85" s="94" t="s">
        <v>414</v>
      </c>
      <c r="N85" s="130" t="s">
        <v>145</v>
      </c>
      <c r="O85" s="95"/>
      <c r="P85" s="126"/>
      <c r="Q85" s="131" t="s">
        <v>80</v>
      </c>
      <c r="R85" s="132"/>
      <c r="S85" s="132"/>
      <c r="T85" s="132"/>
      <c r="U85" s="132"/>
      <c r="V85" s="132"/>
      <c r="W85" s="133"/>
      <c r="X85" s="134"/>
    </row>
    <row r="86" spans="1:24" ht="49.5">
      <c r="A86" s="42">
        <v>82</v>
      </c>
      <c r="B86" s="48" t="s">
        <v>67</v>
      </c>
      <c r="C86" s="30" t="s">
        <v>417</v>
      </c>
      <c r="D86" s="50" t="s">
        <v>418</v>
      </c>
      <c r="E86" s="45" t="s">
        <v>419</v>
      </c>
      <c r="F86" s="46" t="s">
        <v>139</v>
      </c>
      <c r="G86" s="91"/>
      <c r="H86" s="100" t="s">
        <v>73</v>
      </c>
      <c r="I86" s="3"/>
      <c r="J86" s="49"/>
      <c r="K86" s="62" t="s">
        <v>76</v>
      </c>
      <c r="L86" s="63" t="s">
        <v>76</v>
      </c>
      <c r="M86" s="87" t="s">
        <v>420</v>
      </c>
      <c r="N86" s="52" t="s">
        <v>363</v>
      </c>
      <c r="O86" s="29"/>
      <c r="P86" s="50"/>
      <c r="Q86" s="64"/>
      <c r="R86" s="118"/>
      <c r="S86" s="118"/>
      <c r="T86" s="118"/>
      <c r="U86" s="118"/>
      <c r="V86" s="118"/>
      <c r="W86" s="119"/>
      <c r="X86" s="120"/>
    </row>
    <row r="87" spans="1:24" ht="82.5">
      <c r="A87" s="42">
        <v>83</v>
      </c>
      <c r="B87" s="48" t="s">
        <v>67</v>
      </c>
      <c r="C87" s="30" t="s">
        <v>421</v>
      </c>
      <c r="D87" s="50" t="s">
        <v>422</v>
      </c>
      <c r="E87" s="73" t="s">
        <v>138</v>
      </c>
      <c r="F87" s="46" t="s">
        <v>139</v>
      </c>
      <c r="G87" s="91"/>
      <c r="H87" s="100" t="s">
        <v>73</v>
      </c>
      <c r="I87" s="3"/>
      <c r="J87" s="49"/>
      <c r="K87" s="49" t="s">
        <v>423</v>
      </c>
      <c r="L87" s="63" t="s">
        <v>107</v>
      </c>
      <c r="M87" s="87" t="s">
        <v>341</v>
      </c>
      <c r="N87" s="52" t="s">
        <v>181</v>
      </c>
      <c r="O87" s="29"/>
      <c r="P87" s="50"/>
      <c r="Q87" s="64"/>
      <c r="R87" s="118"/>
      <c r="S87" s="118"/>
      <c r="T87" s="118"/>
      <c r="U87" s="118"/>
      <c r="V87" s="118"/>
      <c r="W87" s="119"/>
      <c r="X87" s="120"/>
    </row>
    <row r="88" spans="1:24" ht="82.5">
      <c r="A88" s="42">
        <v>84</v>
      </c>
      <c r="B88" s="48" t="s">
        <v>67</v>
      </c>
      <c r="C88" s="30" t="s">
        <v>424</v>
      </c>
      <c r="D88" s="50" t="s">
        <v>425</v>
      </c>
      <c r="E88" s="73" t="s">
        <v>138</v>
      </c>
      <c r="F88" s="46" t="s">
        <v>139</v>
      </c>
      <c r="G88" s="91" t="s">
        <v>426</v>
      </c>
      <c r="H88" s="100" t="s">
        <v>73</v>
      </c>
      <c r="I88" s="3"/>
      <c r="J88" s="49"/>
      <c r="K88" s="49" t="s">
        <v>427</v>
      </c>
      <c r="L88" s="63" t="s">
        <v>107</v>
      </c>
      <c r="M88" s="87" t="s">
        <v>341</v>
      </c>
      <c r="N88" s="52" t="s">
        <v>181</v>
      </c>
      <c r="O88" s="29"/>
      <c r="P88" s="50"/>
      <c r="Q88" s="64"/>
      <c r="R88" s="118"/>
      <c r="S88" s="118"/>
      <c r="T88" s="118"/>
      <c r="U88" s="118"/>
      <c r="V88" s="118"/>
      <c r="W88" s="119"/>
      <c r="X88" s="120"/>
    </row>
    <row r="89" spans="1:24" s="1" customFormat="1" ht="66">
      <c r="A89" s="42">
        <v>85</v>
      </c>
      <c r="B89" s="48" t="s">
        <v>67</v>
      </c>
      <c r="C89" s="29" t="s">
        <v>428</v>
      </c>
      <c r="D89" s="50" t="s">
        <v>429</v>
      </c>
      <c r="E89" s="45" t="s">
        <v>154</v>
      </c>
      <c r="F89" s="46" t="s">
        <v>71</v>
      </c>
      <c r="G89" s="47" t="s">
        <v>72</v>
      </c>
      <c r="H89" s="100" t="s">
        <v>73</v>
      </c>
      <c r="I89" s="49" t="s">
        <v>74</v>
      </c>
      <c r="J89" s="49" t="s">
        <v>75</v>
      </c>
      <c r="K89" s="62" t="s">
        <v>76</v>
      </c>
      <c r="L89" s="63" t="s">
        <v>76</v>
      </c>
      <c r="M89" s="57" t="s">
        <v>403</v>
      </c>
      <c r="N89" s="3" t="s">
        <v>78</v>
      </c>
      <c r="O89" s="30" t="s">
        <v>79</v>
      </c>
      <c r="P89" s="44"/>
      <c r="Q89" s="64"/>
      <c r="R89" s="69"/>
      <c r="S89" s="69"/>
      <c r="T89" s="69"/>
      <c r="U89" s="69"/>
      <c r="V89" s="69"/>
      <c r="W89" s="70"/>
      <c r="X89" s="71"/>
    </row>
    <row r="90" spans="1:24" s="1" customFormat="1" ht="66">
      <c r="A90" s="42">
        <v>86</v>
      </c>
      <c r="B90" s="48" t="s">
        <v>67</v>
      </c>
      <c r="C90" s="29" t="s">
        <v>430</v>
      </c>
      <c r="D90" s="50" t="s">
        <v>429</v>
      </c>
      <c r="E90" s="45" t="s">
        <v>154</v>
      </c>
      <c r="F90" s="46" t="s">
        <v>71</v>
      </c>
      <c r="G90" s="47" t="s">
        <v>72</v>
      </c>
      <c r="H90" s="100" t="s">
        <v>73</v>
      </c>
      <c r="I90" s="49" t="s">
        <v>74</v>
      </c>
      <c r="J90" s="49" t="s">
        <v>75</v>
      </c>
      <c r="K90" s="62" t="s">
        <v>76</v>
      </c>
      <c r="L90" s="63" t="s">
        <v>76</v>
      </c>
      <c r="M90" s="57" t="s">
        <v>403</v>
      </c>
      <c r="N90" s="3" t="s">
        <v>78</v>
      </c>
      <c r="O90" s="33" t="s">
        <v>79</v>
      </c>
      <c r="P90" s="44"/>
      <c r="Q90" s="64"/>
      <c r="R90" s="69"/>
      <c r="S90" s="69"/>
      <c r="T90" s="69"/>
      <c r="U90" s="69"/>
      <c r="V90" s="69"/>
      <c r="W90" s="70"/>
      <c r="X90" s="71"/>
    </row>
    <row r="91" spans="1:24" s="1" customFormat="1" ht="66">
      <c r="A91" s="42">
        <v>87</v>
      </c>
      <c r="B91" s="48" t="s">
        <v>67</v>
      </c>
      <c r="C91" s="29" t="s">
        <v>431</v>
      </c>
      <c r="D91" s="50" t="s">
        <v>429</v>
      </c>
      <c r="E91" s="45" t="s">
        <v>154</v>
      </c>
      <c r="F91" s="46" t="s">
        <v>71</v>
      </c>
      <c r="G91" s="47" t="s">
        <v>72</v>
      </c>
      <c r="H91" s="100" t="s">
        <v>73</v>
      </c>
      <c r="I91" s="49" t="s">
        <v>74</v>
      </c>
      <c r="J91" s="49" t="s">
        <v>75</v>
      </c>
      <c r="K91" s="49" t="s">
        <v>76</v>
      </c>
      <c r="L91" s="63" t="s">
        <v>76</v>
      </c>
      <c r="M91" s="57" t="s">
        <v>403</v>
      </c>
      <c r="N91" s="3" t="s">
        <v>78</v>
      </c>
      <c r="O91" s="3" t="s">
        <v>79</v>
      </c>
      <c r="P91" s="44"/>
      <c r="Q91" s="64"/>
      <c r="R91" s="69"/>
      <c r="S91" s="69"/>
      <c r="T91" s="69"/>
      <c r="U91" s="69"/>
      <c r="V91" s="69"/>
      <c r="W91" s="70"/>
      <c r="X91" s="71"/>
    </row>
    <row r="92" spans="1:24" s="1" customFormat="1" ht="49.5">
      <c r="A92" s="42">
        <v>88</v>
      </c>
      <c r="B92" s="48" t="s">
        <v>67</v>
      </c>
      <c r="C92" s="31" t="s">
        <v>432</v>
      </c>
      <c r="D92" s="50" t="s">
        <v>433</v>
      </c>
      <c r="E92" s="45" t="s">
        <v>154</v>
      </c>
      <c r="F92" s="86" t="s">
        <v>139</v>
      </c>
      <c r="G92" s="47" t="s">
        <v>72</v>
      </c>
      <c r="H92" s="48" t="s">
        <v>75</v>
      </c>
      <c r="I92" s="49" t="s">
        <v>74</v>
      </c>
      <c r="J92" s="49" t="s">
        <v>75</v>
      </c>
      <c r="K92" s="62" t="s">
        <v>107</v>
      </c>
      <c r="L92" s="63" t="s">
        <v>107</v>
      </c>
      <c r="M92" s="57" t="s">
        <v>403</v>
      </c>
      <c r="N92" s="3" t="s">
        <v>133</v>
      </c>
      <c r="O92" s="3" t="s">
        <v>79</v>
      </c>
      <c r="P92" s="93" t="s">
        <v>434</v>
      </c>
      <c r="Q92" s="64" t="s">
        <v>80</v>
      </c>
      <c r="R92" s="69"/>
      <c r="S92" s="69"/>
      <c r="T92" s="69"/>
      <c r="U92" s="69"/>
      <c r="V92" s="69"/>
      <c r="W92" s="70"/>
      <c r="X92" s="71"/>
    </row>
    <row r="93" spans="1:24" s="1" customFormat="1" ht="49.5">
      <c r="A93" s="42">
        <v>89</v>
      </c>
      <c r="B93" s="48" t="s">
        <v>67</v>
      </c>
      <c r="C93" s="31" t="s">
        <v>435</v>
      </c>
      <c r="D93" s="50" t="s">
        <v>436</v>
      </c>
      <c r="E93" s="45" t="s">
        <v>154</v>
      </c>
      <c r="F93" s="86" t="s">
        <v>139</v>
      </c>
      <c r="G93" s="47" t="s">
        <v>72</v>
      </c>
      <c r="H93" s="48" t="s">
        <v>75</v>
      </c>
      <c r="I93" s="49" t="s">
        <v>74</v>
      </c>
      <c r="J93" s="49" t="s">
        <v>75</v>
      </c>
      <c r="K93" s="49" t="s">
        <v>107</v>
      </c>
      <c r="L93" s="63" t="s">
        <v>107</v>
      </c>
      <c r="M93" s="57" t="s">
        <v>403</v>
      </c>
      <c r="N93" s="3" t="s">
        <v>133</v>
      </c>
      <c r="O93" s="3" t="s">
        <v>79</v>
      </c>
      <c r="P93" s="93" t="s">
        <v>434</v>
      </c>
      <c r="Q93" s="64" t="s">
        <v>80</v>
      </c>
      <c r="R93" s="69"/>
      <c r="S93" s="69"/>
      <c r="T93" s="69"/>
      <c r="U93" s="69"/>
      <c r="V93" s="69"/>
      <c r="W93" s="70"/>
      <c r="X93" s="71"/>
    </row>
    <row r="94" spans="1:24" s="1" customFormat="1" ht="49.5">
      <c r="A94" s="42">
        <v>90</v>
      </c>
      <c r="B94" s="48" t="s">
        <v>67</v>
      </c>
      <c r="C94" s="31" t="s">
        <v>437</v>
      </c>
      <c r="D94" s="50" t="s">
        <v>438</v>
      </c>
      <c r="E94" s="45" t="s">
        <v>154</v>
      </c>
      <c r="F94" s="86" t="s">
        <v>139</v>
      </c>
      <c r="G94" s="47" t="s">
        <v>72</v>
      </c>
      <c r="H94" s="48" t="s">
        <v>75</v>
      </c>
      <c r="I94" s="49" t="s">
        <v>74</v>
      </c>
      <c r="J94" s="49" t="s">
        <v>75</v>
      </c>
      <c r="K94" s="62" t="s">
        <v>107</v>
      </c>
      <c r="L94" s="63" t="s">
        <v>107</v>
      </c>
      <c r="M94" s="57" t="s">
        <v>403</v>
      </c>
      <c r="N94" s="3" t="s">
        <v>133</v>
      </c>
      <c r="O94" s="3" t="s">
        <v>79</v>
      </c>
      <c r="P94" s="93" t="s">
        <v>434</v>
      </c>
      <c r="Q94" s="64" t="s">
        <v>80</v>
      </c>
      <c r="R94" s="69"/>
      <c r="S94" s="69"/>
      <c r="T94" s="69"/>
      <c r="U94" s="69"/>
      <c r="V94" s="69"/>
      <c r="W94" s="70"/>
      <c r="X94" s="71"/>
    </row>
    <row r="95" spans="1:24" s="157" customFormat="1" ht="49.5">
      <c r="A95" s="42">
        <v>91</v>
      </c>
      <c r="B95" s="48" t="s">
        <v>67</v>
      </c>
      <c r="C95" s="30" t="s">
        <v>439</v>
      </c>
      <c r="D95" s="44" t="s">
        <v>440</v>
      </c>
      <c r="E95" s="45" t="s">
        <v>154</v>
      </c>
      <c r="F95" s="86" t="s">
        <v>71</v>
      </c>
      <c r="G95" s="91" t="s">
        <v>441</v>
      </c>
      <c r="H95" s="100" t="s">
        <v>73</v>
      </c>
      <c r="I95" s="3"/>
      <c r="J95" s="49" t="s">
        <v>75</v>
      </c>
      <c r="K95" s="62" t="s">
        <v>107</v>
      </c>
      <c r="L95" s="63" t="s">
        <v>107</v>
      </c>
      <c r="M95" s="158" t="s">
        <v>442</v>
      </c>
      <c r="N95" s="49" t="s">
        <v>133</v>
      </c>
      <c r="O95" s="30"/>
      <c r="P95" s="50"/>
      <c r="Q95" s="64" t="s">
        <v>80</v>
      </c>
      <c r="R95" s="62"/>
      <c r="S95" s="62"/>
      <c r="T95" s="62"/>
      <c r="U95" s="62"/>
      <c r="V95" s="62"/>
      <c r="W95" s="78"/>
      <c r="X95" s="63"/>
    </row>
    <row r="96" spans="1:24" ht="33">
      <c r="A96" s="42">
        <v>92</v>
      </c>
      <c r="B96" s="48" t="s">
        <v>67</v>
      </c>
      <c r="C96" s="29" t="s">
        <v>443</v>
      </c>
      <c r="D96" s="50" t="s">
        <v>444</v>
      </c>
      <c r="E96" s="73" t="s">
        <v>445</v>
      </c>
      <c r="F96" s="46" t="s">
        <v>139</v>
      </c>
      <c r="G96" s="47"/>
      <c r="H96" s="100" t="s">
        <v>73</v>
      </c>
      <c r="I96" s="67"/>
      <c r="J96" s="49" t="s">
        <v>75</v>
      </c>
      <c r="K96" s="62" t="s">
        <v>76</v>
      </c>
      <c r="L96" s="63" t="s">
        <v>76</v>
      </c>
      <c r="M96" s="57" t="s">
        <v>446</v>
      </c>
      <c r="N96" s="3" t="s">
        <v>447</v>
      </c>
      <c r="O96" s="30"/>
      <c r="P96" s="44"/>
      <c r="Q96" s="64"/>
      <c r="R96" s="69"/>
      <c r="S96" s="69"/>
      <c r="T96" s="69"/>
      <c r="U96" s="69"/>
      <c r="V96" s="69"/>
      <c r="W96" s="70"/>
      <c r="X96" s="71"/>
    </row>
    <row r="97" spans="1:24" ht="82.5">
      <c r="A97" s="42">
        <v>93</v>
      </c>
      <c r="B97" s="48" t="s">
        <v>67</v>
      </c>
      <c r="C97" s="29" t="s">
        <v>448</v>
      </c>
      <c r="D97" s="50" t="s">
        <v>449</v>
      </c>
      <c r="E97" s="73" t="s">
        <v>138</v>
      </c>
      <c r="F97" s="46" t="s">
        <v>71</v>
      </c>
      <c r="G97" s="47"/>
      <c r="H97" s="100" t="s">
        <v>73</v>
      </c>
      <c r="I97" s="67"/>
      <c r="J97" s="49" t="s">
        <v>75</v>
      </c>
      <c r="K97" s="49" t="s">
        <v>450</v>
      </c>
      <c r="L97" s="63" t="s">
        <v>107</v>
      </c>
      <c r="M97" s="57" t="s">
        <v>451</v>
      </c>
      <c r="N97" s="3" t="s">
        <v>410</v>
      </c>
      <c r="O97" s="30"/>
      <c r="P97" s="44"/>
      <c r="Q97" s="64"/>
      <c r="R97" s="69"/>
      <c r="S97" s="69"/>
      <c r="T97" s="69"/>
      <c r="U97" s="69"/>
      <c r="V97" s="69"/>
      <c r="W97" s="70"/>
      <c r="X97" s="71"/>
    </row>
    <row r="98" spans="1:24" ht="115.5">
      <c r="A98" s="42">
        <v>94</v>
      </c>
      <c r="B98" s="48" t="s">
        <v>67</v>
      </c>
      <c r="C98" s="29" t="s">
        <v>452</v>
      </c>
      <c r="D98" s="50" t="s">
        <v>453</v>
      </c>
      <c r="E98" s="73" t="s">
        <v>445</v>
      </c>
      <c r="F98" s="46" t="s">
        <v>71</v>
      </c>
      <c r="G98" s="47"/>
      <c r="H98" s="100" t="s">
        <v>73</v>
      </c>
      <c r="I98" s="67"/>
      <c r="J98" s="49" t="s">
        <v>75</v>
      </c>
      <c r="K98" s="62" t="s">
        <v>76</v>
      </c>
      <c r="L98" s="62" t="s">
        <v>76</v>
      </c>
      <c r="M98" s="57" t="s">
        <v>403</v>
      </c>
      <c r="N98" s="3" t="s">
        <v>78</v>
      </c>
      <c r="O98" s="30" t="s">
        <v>79</v>
      </c>
      <c r="P98" s="44"/>
      <c r="Q98" s="64"/>
      <c r="R98" s="69"/>
      <c r="S98" s="69"/>
      <c r="T98" s="69"/>
      <c r="U98" s="69"/>
      <c r="V98" s="69"/>
      <c r="W98" s="70"/>
      <c r="X98" s="71"/>
    </row>
    <row r="99" spans="1:24" ht="66">
      <c r="A99" s="42">
        <v>95</v>
      </c>
      <c r="B99" s="48" t="s">
        <v>67</v>
      </c>
      <c r="C99" s="29" t="s">
        <v>454</v>
      </c>
      <c r="D99" s="50" t="s">
        <v>455</v>
      </c>
      <c r="E99" s="73" t="s">
        <v>445</v>
      </c>
      <c r="F99" s="46" t="s">
        <v>139</v>
      </c>
      <c r="G99" s="47"/>
      <c r="H99" s="100" t="s">
        <v>73</v>
      </c>
      <c r="I99" s="67"/>
      <c r="J99" s="49" t="s">
        <v>75</v>
      </c>
      <c r="K99" s="62" t="s">
        <v>76</v>
      </c>
      <c r="L99" s="63" t="s">
        <v>76</v>
      </c>
      <c r="M99" s="57" t="s">
        <v>446</v>
      </c>
      <c r="N99" s="3" t="s">
        <v>447</v>
      </c>
      <c r="O99" s="30"/>
      <c r="P99" s="44"/>
      <c r="Q99" s="64"/>
      <c r="R99" s="69"/>
      <c r="S99" s="69"/>
      <c r="T99" s="69"/>
      <c r="U99" s="69"/>
      <c r="V99" s="69"/>
      <c r="W99" s="70"/>
      <c r="X99" s="71"/>
    </row>
  </sheetData>
  <mergeCells count="37">
    <mergeCell ref="D16"/>
    <mergeCell ref="C3:C4"/>
    <mergeCell ref="D3:D4"/>
    <mergeCell ref="Q5:Q7"/>
    <mergeCell ref="G1:L2"/>
    <mergeCell ref="Q1:X1"/>
    <mergeCell ref="R2:U2"/>
    <mergeCell ref="X5:X7"/>
    <mergeCell ref="T5:T7"/>
    <mergeCell ref="S5:S7"/>
    <mergeCell ref="R5:R7"/>
    <mergeCell ref="V2:W2"/>
    <mergeCell ref="G3:G4"/>
    <mergeCell ref="I3:I4"/>
    <mergeCell ref="J3:J4"/>
    <mergeCell ref="X2:X4"/>
    <mergeCell ref="S3:S4"/>
    <mergeCell ref="W3:W4"/>
    <mergeCell ref="V3:V4"/>
    <mergeCell ref="U3:U4"/>
    <mergeCell ref="T3:T4"/>
    <mergeCell ref="K3:L3"/>
    <mergeCell ref="A3:A4"/>
    <mergeCell ref="A1:A2"/>
    <mergeCell ref="R3:R4"/>
    <mergeCell ref="Q2:Q4"/>
    <mergeCell ref="H3:H4"/>
    <mergeCell ref="C1:D2"/>
    <mergeCell ref="M1:P2"/>
    <mergeCell ref="E1:F2"/>
    <mergeCell ref="F3:F4"/>
    <mergeCell ref="O3:O4"/>
    <mergeCell ref="N3:N4"/>
    <mergeCell ref="M3:M4"/>
    <mergeCell ref="E3:E4"/>
    <mergeCell ref="P3:P4"/>
    <mergeCell ref="B3:B4"/>
  </mergeCells>
  <pageMargins left="0.7" right="0.7" top="0.75" bottom="0.75" header="0.3" footer="0.3"/>
  <pageSetup paperSize="9" orientation="portrait" r:id="rId1"/>
  <headerFooter>
    <oddHeader>&amp;L&amp;"Calibri"&amp;10&amp;K000000Confidential&amp;1#</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B3" sqref="B3"/>
    </sheetView>
  </sheetViews>
  <sheetFormatPr defaultColWidth="8.75" defaultRowHeight="14.25"/>
  <cols>
    <col min="2" max="2" width="35.75" customWidth="1"/>
  </cols>
  <sheetData>
    <row r="2" spans="2:2" ht="16.5">
      <c r="B2" s="38" t="s">
        <v>70</v>
      </c>
    </row>
    <row r="3" spans="2:2" ht="16.5">
      <c r="B3" s="38" t="s">
        <v>92</v>
      </c>
    </row>
    <row r="4" spans="2:2" ht="16.5">
      <c r="B4" s="38" t="s">
        <v>111</v>
      </c>
    </row>
    <row r="5" spans="2:2" ht="16.5">
      <c r="B5" s="40" t="s">
        <v>138</v>
      </c>
    </row>
    <row r="6" spans="2:2" ht="16.5">
      <c r="B6" s="38" t="s">
        <v>154</v>
      </c>
    </row>
    <row r="7" spans="2:2" ht="16.5">
      <c r="B7" s="38" t="s">
        <v>184</v>
      </c>
    </row>
    <row r="8" spans="2:2" ht="16.5">
      <c r="B8" s="38" t="s">
        <v>235</v>
      </c>
    </row>
  </sheetData>
  <pageMargins left="0.7" right="0.7" top="0.75" bottom="0.75" header="0.3" footer="0.3"/>
  <pageSetup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42"/>
  <sheetViews>
    <sheetView showGridLines="0" workbookViewId="0"/>
  </sheetViews>
  <sheetFormatPr defaultColWidth="8.75" defaultRowHeight="14.25"/>
  <cols>
    <col min="2" max="2" width="33.75" bestFit="1" customWidth="1"/>
    <col min="3" max="3" width="40.125" customWidth="1"/>
  </cols>
  <sheetData>
    <row r="2" spans="2:3" ht="18.75">
      <c r="B2" s="218" t="s">
        <v>456</v>
      </c>
      <c r="C2" s="218"/>
    </row>
    <row r="3" spans="2:3" ht="18.75">
      <c r="B3" s="24" t="s">
        <v>457</v>
      </c>
      <c r="C3" s="25" t="s">
        <v>458</v>
      </c>
    </row>
    <row r="4" spans="2:3" ht="16.5">
      <c r="B4" s="26" t="s">
        <v>459</v>
      </c>
      <c r="C4" s="3" t="s">
        <v>460</v>
      </c>
    </row>
    <row r="5" spans="2:3" ht="16.5">
      <c r="B5" s="26" t="s">
        <v>461</v>
      </c>
      <c r="C5" s="3" t="s">
        <v>460</v>
      </c>
    </row>
    <row r="6" spans="2:3" ht="16.5">
      <c r="B6" s="26" t="s">
        <v>462</v>
      </c>
      <c r="C6" s="3" t="s">
        <v>460</v>
      </c>
    </row>
    <row r="7" spans="2:3" ht="16.5">
      <c r="B7" s="26" t="s">
        <v>463</v>
      </c>
      <c r="C7" s="3" t="s">
        <v>460</v>
      </c>
    </row>
    <row r="8" spans="2:3" ht="16.5">
      <c r="B8" s="26" t="s">
        <v>464</v>
      </c>
      <c r="C8" s="3" t="s">
        <v>460</v>
      </c>
    </row>
    <row r="9" spans="2:3" ht="16.5">
      <c r="B9" s="26" t="s">
        <v>465</v>
      </c>
      <c r="C9" s="3" t="s">
        <v>460</v>
      </c>
    </row>
    <row r="10" spans="2:3" ht="16.5">
      <c r="B10" s="26" t="s">
        <v>466</v>
      </c>
      <c r="C10" s="3" t="s">
        <v>460</v>
      </c>
    </row>
    <row r="11" spans="2:3" ht="16.5">
      <c r="B11" s="26" t="s">
        <v>467</v>
      </c>
      <c r="C11" s="3" t="s">
        <v>460</v>
      </c>
    </row>
    <row r="12" spans="2:3" ht="16.5">
      <c r="B12" s="26" t="s">
        <v>468</v>
      </c>
      <c r="C12" s="3" t="s">
        <v>460</v>
      </c>
    </row>
    <row r="13" spans="2:3" ht="16.5">
      <c r="B13" s="26" t="s">
        <v>469</v>
      </c>
      <c r="C13" s="3" t="s">
        <v>460</v>
      </c>
    </row>
    <row r="14" spans="2:3" ht="16.5">
      <c r="B14" s="34" t="s">
        <v>146</v>
      </c>
      <c r="C14" s="3" t="s">
        <v>470</v>
      </c>
    </row>
    <row r="15" spans="2:3" ht="16.5">
      <c r="B15" s="26" t="s">
        <v>471</v>
      </c>
      <c r="C15" s="3" t="s">
        <v>472</v>
      </c>
    </row>
    <row r="16" spans="2:3" ht="16.5">
      <c r="B16" s="34" t="s">
        <v>200</v>
      </c>
      <c r="C16" s="3" t="s">
        <v>473</v>
      </c>
    </row>
    <row r="17" spans="2:3" ht="16.5">
      <c r="B17" s="34" t="s">
        <v>205</v>
      </c>
      <c r="C17" s="3" t="s">
        <v>473</v>
      </c>
    </row>
    <row r="18" spans="2:3" ht="16.5">
      <c r="B18" s="34" t="s">
        <v>207</v>
      </c>
      <c r="C18" s="3" t="s">
        <v>474</v>
      </c>
    </row>
    <row r="19" spans="2:3" ht="16.5">
      <c r="B19" s="34" t="s">
        <v>209</v>
      </c>
      <c r="C19" s="3" t="s">
        <v>474</v>
      </c>
    </row>
    <row r="20" spans="2:3" ht="16.5">
      <c r="B20" s="34" t="s">
        <v>211</v>
      </c>
      <c r="C20" s="3" t="s">
        <v>474</v>
      </c>
    </row>
    <row r="21" spans="2:3" ht="16.5">
      <c r="B21" s="34" t="s">
        <v>475</v>
      </c>
      <c r="C21" s="3" t="s">
        <v>476</v>
      </c>
    </row>
    <row r="22" spans="2:3" ht="16.5">
      <c r="B22" s="34" t="s">
        <v>238</v>
      </c>
      <c r="C22" s="3" t="s">
        <v>477</v>
      </c>
    </row>
    <row r="23" spans="2:3" ht="16.5">
      <c r="B23" s="34" t="s">
        <v>244</v>
      </c>
      <c r="C23" s="3" t="s">
        <v>477</v>
      </c>
    </row>
    <row r="24" spans="2:3" ht="16.5">
      <c r="B24" s="34" t="s">
        <v>361</v>
      </c>
      <c r="C24" s="3" t="s">
        <v>478</v>
      </c>
    </row>
    <row r="25" spans="2:3" ht="16.5">
      <c r="B25" s="39" t="s">
        <v>479</v>
      </c>
      <c r="C25" s="3" t="s">
        <v>480</v>
      </c>
    </row>
    <row r="26" spans="2:3" ht="33">
      <c r="B26" s="26" t="s">
        <v>481</v>
      </c>
      <c r="C26" s="3" t="s">
        <v>482</v>
      </c>
    </row>
    <row r="27" spans="2:3" ht="16.5">
      <c r="B27" s="39" t="s">
        <v>52</v>
      </c>
      <c r="C27" s="3" t="s">
        <v>483</v>
      </c>
    </row>
    <row r="28" spans="2:3" ht="33">
      <c r="B28" s="26" t="s">
        <v>484</v>
      </c>
      <c r="C28" s="3" t="s">
        <v>485</v>
      </c>
    </row>
    <row r="29" spans="2:3" ht="33">
      <c r="B29" s="26" t="s">
        <v>486</v>
      </c>
      <c r="C29" s="3" t="s">
        <v>485</v>
      </c>
    </row>
    <row r="30" spans="2:3" ht="33">
      <c r="B30" s="26" t="s">
        <v>487</v>
      </c>
      <c r="C30" s="3" t="s">
        <v>485</v>
      </c>
    </row>
    <row r="31" spans="2:3" ht="33">
      <c r="B31" s="26" t="s">
        <v>488</v>
      </c>
      <c r="C31" s="3" t="s">
        <v>485</v>
      </c>
    </row>
    <row r="32" spans="2:3" ht="33">
      <c r="B32" s="26" t="s">
        <v>489</v>
      </c>
      <c r="C32" s="3" t="s">
        <v>485</v>
      </c>
    </row>
    <row r="33" spans="2:3" ht="16.5">
      <c r="B33" s="39" t="s">
        <v>58</v>
      </c>
      <c r="C33" s="3" t="s">
        <v>483</v>
      </c>
    </row>
    <row r="34" spans="2:3" ht="16.5">
      <c r="B34" s="41" t="s">
        <v>490</v>
      </c>
      <c r="C34" s="3" t="s">
        <v>491</v>
      </c>
    </row>
    <row r="35" spans="2:3" ht="16.5">
      <c r="B35" s="41" t="s">
        <v>492</v>
      </c>
      <c r="C35" s="3" t="s">
        <v>491</v>
      </c>
    </row>
    <row r="36" spans="2:3" ht="16.5">
      <c r="B36" s="34" t="s">
        <v>443</v>
      </c>
      <c r="C36" s="156" t="s">
        <v>493</v>
      </c>
    </row>
    <row r="37" spans="2:3" ht="16.5">
      <c r="B37" s="34" t="s">
        <v>454</v>
      </c>
      <c r="C37" s="156" t="s">
        <v>493</v>
      </c>
    </row>
    <row r="38" spans="2:3" ht="16.5">
      <c r="B38" s="34" t="s">
        <v>448</v>
      </c>
      <c r="C38" s="156" t="s">
        <v>493</v>
      </c>
    </row>
    <row r="39" spans="2:3" ht="16.5">
      <c r="B39" s="34" t="s">
        <v>452</v>
      </c>
      <c r="C39" s="156" t="s">
        <v>493</v>
      </c>
    </row>
    <row r="40" spans="2:3" ht="33">
      <c r="B40" s="41" t="s">
        <v>494</v>
      </c>
      <c r="C40" s="156" t="s">
        <v>495</v>
      </c>
    </row>
    <row r="41" spans="2:3" ht="33">
      <c r="B41" s="41" t="s">
        <v>496</v>
      </c>
      <c r="C41" s="156" t="s">
        <v>497</v>
      </c>
    </row>
    <row r="42" spans="2:3" ht="33">
      <c r="B42" s="41" t="s">
        <v>498</v>
      </c>
      <c r="C42" s="156" t="s">
        <v>499</v>
      </c>
    </row>
  </sheetData>
  <mergeCells count="1">
    <mergeCell ref="B2:C2"/>
  </mergeCells>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95"/>
  <sheetViews>
    <sheetView showGridLines="0" topLeftCell="A2" workbookViewId="0">
      <selection activeCell="B2" sqref="B2"/>
    </sheetView>
  </sheetViews>
  <sheetFormatPr defaultColWidth="8.75" defaultRowHeight="14.25"/>
  <cols>
    <col min="5" max="5" width="29.25" customWidth="1"/>
  </cols>
  <sheetData>
    <row r="2" spans="2:5" ht="37.15" customHeight="1">
      <c r="B2" s="36" t="s">
        <v>500</v>
      </c>
      <c r="C2" s="36" t="s">
        <v>44</v>
      </c>
      <c r="D2" s="35" t="s">
        <v>501</v>
      </c>
      <c r="E2" s="37" t="s">
        <v>46</v>
      </c>
    </row>
    <row r="3" spans="2:5" ht="16.5">
      <c r="B3" s="1" t="e">
        <f>+VLOOKUP(E3,'3) Todos satelites '!$C$6:$F$58,4,0)</f>
        <v>#N/A</v>
      </c>
      <c r="C3" s="42">
        <v>1</v>
      </c>
      <c r="D3" s="43"/>
      <c r="E3" s="29" t="s">
        <v>68</v>
      </c>
    </row>
    <row r="4" spans="2:5" ht="16.5">
      <c r="B4" s="1" t="e">
        <f>+VLOOKUP(E4,'3) Todos satelites '!$C$6:$F$58,4,0)</f>
        <v>#N/A</v>
      </c>
      <c r="C4" s="42">
        <v>2</v>
      </c>
      <c r="D4" s="43"/>
      <c r="E4" s="29" t="s">
        <v>85</v>
      </c>
    </row>
    <row r="5" spans="2:5" ht="16.5">
      <c r="B5" s="1" t="e">
        <f>+VLOOKUP(E5,'3) Todos satelites '!$C$6:$F$58,4,0)</f>
        <v>#N/A</v>
      </c>
      <c r="C5" s="42">
        <v>3</v>
      </c>
      <c r="D5" s="43"/>
      <c r="E5" s="29" t="s">
        <v>87</v>
      </c>
    </row>
    <row r="6" spans="2:5" ht="16.5">
      <c r="B6" s="1" t="e">
        <f>+VLOOKUP(E6,'3) Todos satelites '!$C$6:$F$58,4,0)</f>
        <v>#N/A</v>
      </c>
      <c r="C6" s="42">
        <v>4</v>
      </c>
      <c r="D6" s="43"/>
      <c r="E6" s="30" t="s">
        <v>90</v>
      </c>
    </row>
    <row r="7" spans="2:5" ht="16.5">
      <c r="B7" s="1" t="e">
        <f>+VLOOKUP(E7,'3) Todos satelites '!$C$6:$F$58,4,0)</f>
        <v>#N/A</v>
      </c>
      <c r="C7" s="42">
        <v>5</v>
      </c>
      <c r="D7" s="43"/>
      <c r="E7" s="30" t="s">
        <v>100</v>
      </c>
    </row>
    <row r="8" spans="2:5" ht="99">
      <c r="B8" s="1" t="e">
        <f>+VLOOKUP(E8,'3) Todos satelites '!$C$6:$F$58,4,0)</f>
        <v>#N/A</v>
      </c>
      <c r="C8" s="42">
        <v>6</v>
      </c>
      <c r="D8" s="43" t="s">
        <v>502</v>
      </c>
      <c r="E8" s="30" t="s">
        <v>105</v>
      </c>
    </row>
    <row r="9" spans="2:5" ht="16.5">
      <c r="B9" s="1" t="str">
        <f>+VLOOKUP(E9,'3) Todos satelites '!$C$6:$F$58,4,0)</f>
        <v>EPCL</v>
      </c>
      <c r="C9" s="42">
        <v>7</v>
      </c>
      <c r="D9" s="43"/>
      <c r="E9" s="31" t="s">
        <v>109</v>
      </c>
    </row>
    <row r="10" spans="2:5" ht="16.5">
      <c r="B10" s="1" t="str">
        <f>+VLOOKUP(E10,'3) Todos satelites '!$C$6:$F$58,4,0)</f>
        <v>EPSC</v>
      </c>
      <c r="C10" s="42">
        <v>8</v>
      </c>
      <c r="D10" s="43"/>
      <c r="E10" s="31" t="s">
        <v>121</v>
      </c>
    </row>
    <row r="11" spans="2:5" ht="16.5">
      <c r="B11" s="1" t="e">
        <f>+VLOOKUP(E11,'3) Todos satelites '!$C$6:$F$58,4,0)</f>
        <v>#N/A</v>
      </c>
      <c r="C11" s="42">
        <v>9</v>
      </c>
      <c r="D11" s="43"/>
      <c r="E11" s="29" t="s">
        <v>126</v>
      </c>
    </row>
    <row r="12" spans="2:5" ht="16.5">
      <c r="B12" s="1" t="e">
        <f>+VLOOKUP(E12,'3) Todos satelites '!$C$6:$F$58,4,0)</f>
        <v>#N/A</v>
      </c>
      <c r="C12" s="42">
        <v>10</v>
      </c>
      <c r="D12" s="43"/>
      <c r="E12" s="29" t="s">
        <v>128</v>
      </c>
    </row>
    <row r="13" spans="2:5" ht="231">
      <c r="B13" s="1" t="e">
        <f>+VLOOKUP(E13,'3) Todos satelites '!$C$6:$F$58,4,0)</f>
        <v>#N/A</v>
      </c>
      <c r="C13" s="42">
        <v>11</v>
      </c>
      <c r="D13" s="43" t="s">
        <v>503</v>
      </c>
      <c r="E13" s="29" t="s">
        <v>130</v>
      </c>
    </row>
    <row r="14" spans="2:5" ht="16.5">
      <c r="B14" s="1" t="e">
        <f>+VLOOKUP(E14,'3) Todos satelites '!$C$6:$F$58,4,0)</f>
        <v>#N/A</v>
      </c>
      <c r="C14" s="42">
        <v>12</v>
      </c>
      <c r="D14" s="43"/>
      <c r="E14" s="29" t="s">
        <v>136</v>
      </c>
    </row>
    <row r="15" spans="2:5" ht="16.5">
      <c r="B15" s="1" t="e">
        <f>+VLOOKUP(E15,'3) Todos satelites '!$C$6:$F$58,4,0)</f>
        <v>#N/A</v>
      </c>
      <c r="C15" s="42">
        <v>13</v>
      </c>
      <c r="D15" s="43"/>
      <c r="E15" s="31" t="s">
        <v>146</v>
      </c>
    </row>
    <row r="16" spans="2:5" ht="16.5">
      <c r="B16" s="1" t="e">
        <f>+VLOOKUP(E16,'3) Todos satelites '!$C$6:$F$58,4,0)</f>
        <v>#N/A</v>
      </c>
      <c r="C16" s="42">
        <v>14</v>
      </c>
      <c r="D16" s="80"/>
      <c r="E16" s="29" t="s">
        <v>152</v>
      </c>
    </row>
    <row r="17" spans="2:5" ht="16.5">
      <c r="B17" s="1" t="str">
        <f>+VLOOKUP(E17,'3) Todos satelites '!$C$6:$F$58,4,0)</f>
        <v>NACE</v>
      </c>
      <c r="C17" s="42">
        <v>15</v>
      </c>
      <c r="D17" s="80"/>
      <c r="E17" s="29" t="s">
        <v>164</v>
      </c>
    </row>
    <row r="18" spans="2:5" ht="16.5">
      <c r="B18" s="1" t="e">
        <f>+VLOOKUP(E18,'3) Todos satelites '!$C$6:$F$58,4,0)</f>
        <v>#N/A</v>
      </c>
      <c r="C18" s="42">
        <v>16</v>
      </c>
      <c r="D18" s="43"/>
      <c r="E18" s="29" t="s">
        <v>168</v>
      </c>
    </row>
    <row r="19" spans="2:5" ht="16.5">
      <c r="B19" s="1" t="e">
        <f>+VLOOKUP(E19,'3) Todos satelites '!$C$6:$F$58,4,0)</f>
        <v>#N/A</v>
      </c>
      <c r="C19" s="42">
        <v>17</v>
      </c>
      <c r="D19" s="43"/>
      <c r="E19" s="29" t="s">
        <v>174</v>
      </c>
    </row>
    <row r="20" spans="2:5" ht="16.5">
      <c r="B20" s="1" t="e">
        <f>+VLOOKUP(E20,'3) Todos satelites '!$C$6:$F$58,4,0)</f>
        <v>#N/A</v>
      </c>
      <c r="C20" s="42">
        <v>18</v>
      </c>
      <c r="D20" s="43"/>
      <c r="E20" s="32" t="s">
        <v>178</v>
      </c>
    </row>
    <row r="21" spans="2:5" ht="16.5">
      <c r="B21" s="1" t="e">
        <f>+VLOOKUP(E21,'3) Todos satelites '!$C$6:$F$58,4,0)</f>
        <v>#N/A</v>
      </c>
      <c r="C21" s="42">
        <v>19</v>
      </c>
      <c r="D21" s="43"/>
      <c r="E21" s="31" t="s">
        <v>182</v>
      </c>
    </row>
    <row r="22" spans="2:5" ht="33">
      <c r="B22" s="1" t="e">
        <f>+VLOOKUP(E22,'3) Todos satelites '!$C$6:$F$58,4,0)</f>
        <v>#N/A</v>
      </c>
      <c r="C22" s="42">
        <v>20</v>
      </c>
      <c r="D22" s="43"/>
      <c r="E22" s="29" t="s">
        <v>189</v>
      </c>
    </row>
    <row r="23" spans="2:5" ht="16.5">
      <c r="B23" s="1" t="e">
        <f>+VLOOKUP(E23,'3) Todos satelites '!$C$6:$F$58,4,0)</f>
        <v>#N/A</v>
      </c>
      <c r="C23" s="42">
        <v>21</v>
      </c>
      <c r="D23" s="43"/>
      <c r="E23" s="29" t="s">
        <v>193</v>
      </c>
    </row>
    <row r="24" spans="2:5" ht="16.5">
      <c r="B24" s="1" t="e">
        <f>+VLOOKUP(E24,'3) Todos satelites '!$C$6:$F$58,4,0)</f>
        <v>#N/A</v>
      </c>
      <c r="C24" s="42">
        <v>22</v>
      </c>
      <c r="D24" s="43"/>
      <c r="E24" s="29" t="s">
        <v>196</v>
      </c>
    </row>
    <row r="25" spans="2:5" ht="16.5">
      <c r="B25" s="1" t="e">
        <f>+VLOOKUP(E25,'3) Todos satelites '!$C$6:$F$58,4,0)</f>
        <v>#N/A</v>
      </c>
      <c r="C25" s="42">
        <v>23</v>
      </c>
      <c r="D25" s="43"/>
      <c r="E25" s="29" t="s">
        <v>200</v>
      </c>
    </row>
    <row r="26" spans="2:5" ht="99">
      <c r="B26" s="1" t="e">
        <f>+VLOOKUP(E26,'3) Todos satelites '!$C$6:$F$58,4,0)</f>
        <v>#N/A</v>
      </c>
      <c r="C26" s="42">
        <v>24</v>
      </c>
      <c r="D26" s="43" t="s">
        <v>502</v>
      </c>
      <c r="E26" s="29" t="s">
        <v>205</v>
      </c>
    </row>
    <row r="27" spans="2:5" ht="33">
      <c r="B27" s="1" t="e">
        <f>+VLOOKUP(E27,'3) Todos satelites '!$C$6:$F$58,4,0)</f>
        <v>#N/A</v>
      </c>
      <c r="C27" s="42">
        <v>25</v>
      </c>
      <c r="D27" s="43"/>
      <c r="E27" s="29" t="s">
        <v>207</v>
      </c>
    </row>
    <row r="28" spans="2:5" ht="33">
      <c r="B28" s="1" t="e">
        <f>+VLOOKUP(E28,'3) Todos satelites '!$C$6:$F$58,4,0)</f>
        <v>#N/A</v>
      </c>
      <c r="C28" s="42">
        <v>26</v>
      </c>
      <c r="D28" s="43"/>
      <c r="E28" s="29" t="s">
        <v>209</v>
      </c>
    </row>
    <row r="29" spans="2:5" ht="33">
      <c r="B29" s="1" t="e">
        <f>+VLOOKUP(E29,'3) Todos satelites '!$C$6:$F$58,4,0)</f>
        <v>#N/A</v>
      </c>
      <c r="C29" s="42">
        <v>27</v>
      </c>
      <c r="D29" s="43"/>
      <c r="E29" s="29" t="s">
        <v>211</v>
      </c>
    </row>
    <row r="30" spans="2:5" ht="16.5">
      <c r="B30" s="1" t="e">
        <f>+VLOOKUP(E30,'3) Todos satelites '!$C$6:$F$58,4,0)</f>
        <v>#N/A</v>
      </c>
      <c r="C30" s="42">
        <v>28</v>
      </c>
      <c r="D30" s="43"/>
      <c r="E30" s="31" t="s">
        <v>213</v>
      </c>
    </row>
    <row r="31" spans="2:5" ht="16.5">
      <c r="B31" s="1" t="e">
        <f>+VLOOKUP(E31,'3) Todos satelites '!$C$6:$F$58,4,0)</f>
        <v>#N/A</v>
      </c>
      <c r="C31" s="42">
        <v>29</v>
      </c>
      <c r="D31" s="43"/>
      <c r="E31" s="29" t="s">
        <v>218</v>
      </c>
    </row>
    <row r="32" spans="2:5" ht="16.5">
      <c r="B32" s="1" t="e">
        <f>+VLOOKUP(E32,'3) Todos satelites '!$C$6:$F$58,4,0)</f>
        <v>#N/A</v>
      </c>
      <c r="C32" s="42">
        <v>30</v>
      </c>
      <c r="D32" s="43"/>
      <c r="E32" s="29" t="s">
        <v>224</v>
      </c>
    </row>
    <row r="33" spans="2:5" ht="16.5">
      <c r="B33" s="1" t="e">
        <f>+VLOOKUP(E33,'3) Todos satelites '!$C$6:$F$58,4,0)</f>
        <v>#N/A</v>
      </c>
      <c r="C33" s="42">
        <v>31</v>
      </c>
      <c r="D33" s="43"/>
      <c r="E33" s="31" t="s">
        <v>227</v>
      </c>
    </row>
    <row r="34" spans="2:5" ht="16.5">
      <c r="B34" s="1" t="e">
        <f>+VLOOKUP(E34,'3) Todos satelites '!$C$6:$F$58,4,0)</f>
        <v>#N/A</v>
      </c>
      <c r="C34" s="42">
        <v>32</v>
      </c>
      <c r="D34" s="43"/>
      <c r="E34" s="29" t="s">
        <v>233</v>
      </c>
    </row>
    <row r="35" spans="2:5" ht="16.5">
      <c r="B35" s="1" t="e">
        <f>+VLOOKUP(E35,'3) Todos satelites '!$C$6:$F$58,4,0)</f>
        <v>#N/A</v>
      </c>
      <c r="C35" s="42">
        <v>33</v>
      </c>
      <c r="D35" s="43"/>
      <c r="E35" s="31" t="s">
        <v>238</v>
      </c>
    </row>
    <row r="36" spans="2:5" ht="16.5">
      <c r="B36" s="1" t="e">
        <f>+VLOOKUP(E36,'3) Todos satelites '!$C$6:$F$58,4,0)</f>
        <v>#N/A</v>
      </c>
      <c r="C36" s="42">
        <v>34</v>
      </c>
      <c r="D36" s="43"/>
      <c r="E36" s="29" t="s">
        <v>244</v>
      </c>
    </row>
    <row r="37" spans="2:5" ht="16.5">
      <c r="B37" s="1" t="e">
        <f>+VLOOKUP(E37,'3) Todos satelites '!$C$6:$F$58,4,0)</f>
        <v>#N/A</v>
      </c>
      <c r="C37" s="42">
        <v>35</v>
      </c>
      <c r="D37" s="43"/>
      <c r="E37" s="29" t="s">
        <v>250</v>
      </c>
    </row>
    <row r="38" spans="2:5" ht="16.5">
      <c r="B38" s="1" t="e">
        <f>+VLOOKUP(E38,'3) Todos satelites '!$C$6:$F$58,4,0)</f>
        <v>#N/A</v>
      </c>
      <c r="C38" s="42">
        <v>36</v>
      </c>
      <c r="D38" s="43"/>
      <c r="E38" s="29" t="s">
        <v>255</v>
      </c>
    </row>
    <row r="39" spans="2:5" ht="16.5">
      <c r="B39" s="1" t="e">
        <f>+VLOOKUP(E39,'3) Todos satelites '!$C$6:$F$58,4,0)</f>
        <v>#N/A</v>
      </c>
      <c r="C39" s="42">
        <v>37</v>
      </c>
      <c r="D39" s="43"/>
      <c r="E39" s="31" t="s">
        <v>257</v>
      </c>
    </row>
    <row r="40" spans="2:5" ht="16.5">
      <c r="B40" s="1" t="e">
        <f>+VLOOKUP(E40,'3) Todos satelites '!$C$6:$F$58,4,0)</f>
        <v>#N/A</v>
      </c>
      <c r="C40" s="42">
        <v>38</v>
      </c>
      <c r="D40" s="43"/>
      <c r="E40" s="30" t="s">
        <v>263</v>
      </c>
    </row>
    <row r="41" spans="2:5" ht="16.5">
      <c r="B41" s="1" t="e">
        <f>+VLOOKUP(E41,'3) Todos satelites '!$C$6:$F$58,4,0)</f>
        <v>#N/A</v>
      </c>
      <c r="C41" s="42">
        <v>39</v>
      </c>
      <c r="D41" s="43"/>
      <c r="E41" s="31" t="s">
        <v>266</v>
      </c>
    </row>
    <row r="42" spans="2:5" ht="16.5">
      <c r="B42" s="1" t="e">
        <f>+VLOOKUP(E42,'3) Todos satelites '!$C$6:$F$58,4,0)</f>
        <v>#N/A</v>
      </c>
      <c r="C42" s="42">
        <v>40</v>
      </c>
      <c r="D42" s="43"/>
      <c r="E42" s="31" t="s">
        <v>269</v>
      </c>
    </row>
    <row r="43" spans="2:5" ht="16.5">
      <c r="B43" s="1" t="e">
        <f>+VLOOKUP(E43,'3) Todos satelites '!$C$6:$F$58,4,0)</f>
        <v>#N/A</v>
      </c>
      <c r="C43" s="42">
        <v>41</v>
      </c>
      <c r="D43" s="43"/>
      <c r="E43" s="31" t="s">
        <v>271</v>
      </c>
    </row>
    <row r="44" spans="2:5" ht="16.5">
      <c r="B44" s="1" t="e">
        <f>+VLOOKUP(E44,'3) Todos satelites '!$C$6:$F$58,4,0)</f>
        <v>#N/A</v>
      </c>
      <c r="C44" s="42">
        <v>42</v>
      </c>
      <c r="D44" s="43"/>
      <c r="E44" s="31" t="s">
        <v>272</v>
      </c>
    </row>
    <row r="45" spans="2:5" ht="16.5">
      <c r="B45" s="1" t="e">
        <f>+VLOOKUP(E45,'3) Todos satelites '!$C$6:$F$58,4,0)</f>
        <v>#N/A</v>
      </c>
      <c r="C45" s="42">
        <v>43</v>
      </c>
      <c r="D45" s="43"/>
      <c r="E45" s="31" t="s">
        <v>274</v>
      </c>
    </row>
    <row r="46" spans="2:5" ht="16.5">
      <c r="B46" s="1" t="e">
        <f>+VLOOKUP(E46,'3) Todos satelites '!$C$6:$F$58,4,0)</f>
        <v>#N/A</v>
      </c>
      <c r="C46" s="42">
        <v>44</v>
      </c>
      <c r="D46" s="43"/>
      <c r="E46" s="31" t="s">
        <v>278</v>
      </c>
    </row>
    <row r="47" spans="2:5" ht="16.5">
      <c r="B47" s="1" t="e">
        <f>+VLOOKUP(E47,'3) Todos satelites '!$C$6:$F$58,4,0)</f>
        <v>#N/A</v>
      </c>
      <c r="C47" s="42">
        <v>45</v>
      </c>
      <c r="D47" s="43"/>
      <c r="E47" s="30" t="s">
        <v>282</v>
      </c>
    </row>
    <row r="48" spans="2:5" ht="16.5">
      <c r="B48" s="1" t="e">
        <f>+VLOOKUP(E48,'3) Todos satelites '!$C$6:$F$58,4,0)</f>
        <v>#N/A</v>
      </c>
      <c r="C48" s="42">
        <v>46</v>
      </c>
      <c r="D48" s="43"/>
      <c r="E48" s="30" t="s">
        <v>287</v>
      </c>
    </row>
    <row r="49" spans="2:5" ht="16.5">
      <c r="B49" s="1" t="e">
        <f>+VLOOKUP(E49,'3) Todos satelites '!$C$6:$F$58,4,0)</f>
        <v>#N/A</v>
      </c>
      <c r="C49" s="42">
        <v>47</v>
      </c>
      <c r="D49" s="43"/>
      <c r="E49" s="31" t="s">
        <v>291</v>
      </c>
    </row>
    <row r="50" spans="2:5" ht="16.5">
      <c r="B50" s="1" t="e">
        <f>+VLOOKUP(E50,'3) Todos satelites '!$C$6:$F$58,4,0)</f>
        <v>#N/A</v>
      </c>
      <c r="C50" s="42">
        <v>48</v>
      </c>
      <c r="D50" s="43"/>
      <c r="E50" s="31" t="s">
        <v>298</v>
      </c>
    </row>
    <row r="51" spans="2:5" ht="16.5">
      <c r="B51" s="1" t="e">
        <f>+VLOOKUP(E51,'3) Todos satelites '!$C$6:$F$58,4,0)</f>
        <v>#N/A</v>
      </c>
      <c r="C51" s="42">
        <v>49</v>
      </c>
      <c r="D51" s="43"/>
      <c r="E51" s="31" t="s">
        <v>302</v>
      </c>
    </row>
    <row r="52" spans="2:5" ht="16.5">
      <c r="B52" s="1" t="e">
        <f>+VLOOKUP(E52,'3) Todos satelites '!$C$6:$F$58,4,0)</f>
        <v>#N/A</v>
      </c>
      <c r="C52" s="42">
        <v>50</v>
      </c>
      <c r="D52" s="43"/>
      <c r="E52" s="31" t="s">
        <v>304</v>
      </c>
    </row>
    <row r="53" spans="2:5" ht="16.5">
      <c r="B53" s="1" t="e">
        <f>+VLOOKUP(E53,'3) Todos satelites '!$C$6:$F$58,4,0)</f>
        <v>#N/A</v>
      </c>
      <c r="C53" s="42">
        <v>51</v>
      </c>
      <c r="D53" s="43"/>
      <c r="E53" s="31" t="s">
        <v>306</v>
      </c>
    </row>
    <row r="54" spans="2:5" ht="16.5">
      <c r="B54" s="1" t="e">
        <f>+VLOOKUP(E54,'3) Todos satelites '!$C$6:$F$58,4,0)</f>
        <v>#N/A</v>
      </c>
      <c r="C54" s="42">
        <v>52</v>
      </c>
      <c r="D54" s="43"/>
      <c r="E54" s="31" t="s">
        <v>311</v>
      </c>
    </row>
    <row r="55" spans="2:5" ht="16.5">
      <c r="B55" s="1" t="e">
        <f>+VLOOKUP(E55,'3) Todos satelites '!$C$6:$F$58,4,0)</f>
        <v>#N/A</v>
      </c>
      <c r="C55" s="42">
        <v>53</v>
      </c>
      <c r="D55" s="43"/>
      <c r="E55" s="31" t="s">
        <v>313</v>
      </c>
    </row>
    <row r="56" spans="2:5" ht="16.5">
      <c r="B56" s="1" t="e">
        <f>+VLOOKUP(E56,'3) Todos satelites '!$C$6:$F$58,4,0)</f>
        <v>#N/A</v>
      </c>
      <c r="C56" s="42">
        <v>54</v>
      </c>
      <c r="D56" s="43"/>
      <c r="E56" s="31" t="s">
        <v>319</v>
      </c>
    </row>
    <row r="57" spans="2:5" ht="16.5">
      <c r="B57" s="1" t="e">
        <f>+VLOOKUP(E57,'3) Todos satelites '!$C$6:$F$58,4,0)</f>
        <v>#N/A</v>
      </c>
      <c r="C57" s="42">
        <v>55</v>
      </c>
      <c r="D57" s="43"/>
      <c r="E57" s="30" t="s">
        <v>323</v>
      </c>
    </row>
    <row r="58" spans="2:5" ht="16.5">
      <c r="B58" s="1" t="e">
        <f>+VLOOKUP(E58,'3) Todos satelites '!$C$6:$F$58,4,0)</f>
        <v>#N/A</v>
      </c>
      <c r="C58" s="42">
        <v>56</v>
      </c>
      <c r="D58" s="43"/>
      <c r="E58" s="31" t="s">
        <v>327</v>
      </c>
    </row>
    <row r="59" spans="2:5" ht="16.5">
      <c r="B59" s="1" t="e">
        <f>+VLOOKUP(E59,'3) Todos satelites '!$C$6:$F$58,4,0)</f>
        <v>#N/A</v>
      </c>
      <c r="C59" s="42">
        <v>57</v>
      </c>
      <c r="D59" s="43"/>
      <c r="E59" s="31" t="s">
        <v>332</v>
      </c>
    </row>
    <row r="60" spans="2:5" ht="16.5">
      <c r="B60" s="1" t="e">
        <f>+VLOOKUP(E60,'3) Todos satelites '!$C$6:$F$58,4,0)</f>
        <v>#N/A</v>
      </c>
      <c r="C60" s="42">
        <v>58</v>
      </c>
      <c r="D60" s="43"/>
      <c r="E60" s="31" t="s">
        <v>336</v>
      </c>
    </row>
    <row r="61" spans="2:5" ht="16.5">
      <c r="B61" s="1" t="e">
        <f>+VLOOKUP(E61,'3) Todos satelites '!$C$6:$F$58,4,0)</f>
        <v>#N/A</v>
      </c>
      <c r="C61" s="42">
        <v>59</v>
      </c>
      <c r="D61" s="43"/>
      <c r="E61" s="30" t="s">
        <v>339</v>
      </c>
    </row>
    <row r="62" spans="2:5" ht="16.5">
      <c r="B62" s="1" t="e">
        <f>+VLOOKUP(E62,'3) Todos satelites '!$C$6:$F$58,4,0)</f>
        <v>#N/A</v>
      </c>
      <c r="C62" s="42">
        <v>60</v>
      </c>
      <c r="D62" s="43"/>
      <c r="E62" s="29" t="s">
        <v>342</v>
      </c>
    </row>
    <row r="63" spans="2:5" ht="16.5">
      <c r="B63" s="1" t="e">
        <f>+VLOOKUP(E63,'3) Todos satelites '!$C$6:$F$58,4,0)</f>
        <v>#N/A</v>
      </c>
      <c r="C63" s="42">
        <v>61</v>
      </c>
      <c r="D63" s="43"/>
      <c r="E63" s="30" t="s">
        <v>345</v>
      </c>
    </row>
    <row r="64" spans="2:5" ht="16.5">
      <c r="B64" s="1" t="e">
        <f>+VLOOKUP(E64,'3) Todos satelites '!$C$6:$F$58,4,0)</f>
        <v>#N/A</v>
      </c>
      <c r="C64" s="42">
        <v>62</v>
      </c>
      <c r="D64" s="43"/>
      <c r="E64" s="32" t="s">
        <v>348</v>
      </c>
    </row>
    <row r="65" spans="2:5" ht="16.5">
      <c r="B65" s="1" t="e">
        <f>+VLOOKUP(E65,'3) Todos satelites '!$C$6:$F$58,4,0)</f>
        <v>#N/A</v>
      </c>
      <c r="C65" s="42">
        <v>63</v>
      </c>
      <c r="D65" s="43"/>
      <c r="E65" s="32" t="s">
        <v>351</v>
      </c>
    </row>
    <row r="66" spans="2:5" ht="16.5">
      <c r="B66" s="1" t="e">
        <f>+VLOOKUP(E66,'3) Todos satelites '!$C$6:$F$58,4,0)</f>
        <v>#N/A</v>
      </c>
      <c r="C66" s="42">
        <v>64</v>
      </c>
      <c r="D66" s="43"/>
      <c r="E66" s="32" t="s">
        <v>353</v>
      </c>
    </row>
    <row r="67" spans="2:5" ht="16.5">
      <c r="B67" s="1" t="e">
        <f>+VLOOKUP(E67,'3) Todos satelites '!$C$6:$F$58,4,0)</f>
        <v>#N/A</v>
      </c>
      <c r="C67" s="42">
        <v>65</v>
      </c>
      <c r="D67" s="43"/>
      <c r="E67" s="32" t="s">
        <v>355</v>
      </c>
    </row>
    <row r="68" spans="2:5" ht="16.5">
      <c r="B68" s="1" t="e">
        <f>+VLOOKUP(E68,'3) Todos satelites '!$C$6:$F$58,4,0)</f>
        <v>#N/A</v>
      </c>
      <c r="C68" s="42">
        <v>66</v>
      </c>
      <c r="D68" s="43"/>
      <c r="E68" s="29" t="s">
        <v>357</v>
      </c>
    </row>
    <row r="69" spans="2:5" ht="16.5">
      <c r="B69" s="1" t="e">
        <f>+VLOOKUP(E69,'3) Todos satelites '!$C$6:$F$58,4,0)</f>
        <v>#N/A</v>
      </c>
      <c r="C69" s="42">
        <v>67</v>
      </c>
      <c r="D69" s="43"/>
      <c r="E69" s="29" t="s">
        <v>359</v>
      </c>
    </row>
    <row r="70" spans="2:5" ht="16.5">
      <c r="B70" s="1" t="e">
        <f>+VLOOKUP(E70,'3) Todos satelites '!$C$6:$F$58,4,0)</f>
        <v>#N/A</v>
      </c>
      <c r="C70" s="42">
        <v>68</v>
      </c>
      <c r="D70" s="43"/>
      <c r="E70" s="31" t="s">
        <v>361</v>
      </c>
    </row>
    <row r="71" spans="2:5" ht="16.5">
      <c r="B71" s="1" t="e">
        <f>+VLOOKUP(E71,'3) Todos satelites '!$C$6:$F$58,4,0)</f>
        <v>#N/A</v>
      </c>
      <c r="C71" s="42">
        <v>69</v>
      </c>
      <c r="D71" s="43"/>
      <c r="E71" s="32" t="s">
        <v>364</v>
      </c>
    </row>
    <row r="72" spans="2:5" ht="16.5">
      <c r="B72" s="1" t="e">
        <f>+VLOOKUP(E72,'3) Todos satelites '!$C$6:$F$58,4,0)</f>
        <v>#N/A</v>
      </c>
      <c r="C72" s="42">
        <v>70</v>
      </c>
      <c r="D72" s="43"/>
      <c r="E72" s="29" t="s">
        <v>369</v>
      </c>
    </row>
    <row r="73" spans="2:5" ht="16.5">
      <c r="B73" s="1" t="e">
        <f>+VLOOKUP(E73,'3) Todos satelites '!$C$6:$F$58,4,0)</f>
        <v>#N/A</v>
      </c>
      <c r="C73" s="42">
        <v>71</v>
      </c>
      <c r="D73" s="114"/>
      <c r="E73" s="29" t="s">
        <v>377</v>
      </c>
    </row>
    <row r="74" spans="2:5" ht="16.5">
      <c r="B74" s="1" t="e">
        <f>+VLOOKUP(E74,'3) Todos satelites '!$C$6:$F$58,4,0)</f>
        <v>#N/A</v>
      </c>
      <c r="C74" s="42">
        <v>72</v>
      </c>
      <c r="D74" s="114"/>
      <c r="E74" s="32" t="s">
        <v>382</v>
      </c>
    </row>
    <row r="75" spans="2:5" ht="16.5">
      <c r="B75" s="1" t="e">
        <f>+VLOOKUP(E75,'3) Todos satelites '!$C$6:$F$58,4,0)</f>
        <v>#N/A</v>
      </c>
      <c r="C75" s="42">
        <v>73</v>
      </c>
      <c r="D75" s="43"/>
      <c r="E75" s="32" t="s">
        <v>386</v>
      </c>
    </row>
    <row r="76" spans="2:5" ht="16.5">
      <c r="B76" s="1" t="e">
        <f>+VLOOKUP(E76,'3) Todos satelites '!$C$6:$F$58,4,0)</f>
        <v>#N/A</v>
      </c>
      <c r="C76" s="42">
        <v>74</v>
      </c>
      <c r="D76" s="43"/>
      <c r="E76" s="32" t="s">
        <v>392</v>
      </c>
    </row>
    <row r="77" spans="2:5" ht="16.5">
      <c r="B77" s="1" t="e">
        <f>+VLOOKUP(E77,'3) Todos satelites '!$C$6:$F$58,4,0)</f>
        <v>#N/A</v>
      </c>
      <c r="C77" s="42">
        <v>75</v>
      </c>
      <c r="D77" s="114"/>
      <c r="E77" s="30" t="s">
        <v>397</v>
      </c>
    </row>
    <row r="78" spans="2:5" ht="16.5">
      <c r="B78" s="1" t="e">
        <f>+VLOOKUP(E78,'3) Todos satelites '!$C$6:$F$58,4,0)</f>
        <v>#N/A</v>
      </c>
      <c r="C78" s="42">
        <v>76</v>
      </c>
      <c r="D78" s="114"/>
      <c r="E78" s="30" t="s">
        <v>401</v>
      </c>
    </row>
    <row r="79" spans="2:5" ht="16.5">
      <c r="B79" s="1" t="e">
        <f>+VLOOKUP(E79,'3) Todos satelites '!$C$6:$F$58,4,0)</f>
        <v>#N/A</v>
      </c>
      <c r="C79" s="42">
        <v>77</v>
      </c>
      <c r="D79" s="114"/>
      <c r="E79" s="30" t="s">
        <v>404</v>
      </c>
    </row>
    <row r="80" spans="2:5" ht="16.5">
      <c r="B80" s="1" t="e">
        <f>+VLOOKUP(E80,'3) Todos satelites '!$C$6:$F$58,4,0)</f>
        <v>#N/A</v>
      </c>
      <c r="C80" s="42">
        <v>78</v>
      </c>
      <c r="D80" s="114"/>
      <c r="E80" s="30" t="s">
        <v>405</v>
      </c>
    </row>
    <row r="81" spans="2:5" ht="16.5">
      <c r="B81" s="1" t="e">
        <f>+VLOOKUP(E81,'3) Todos satelites '!$C$6:$F$58,4,0)</f>
        <v>#N/A</v>
      </c>
      <c r="C81" s="42">
        <v>79</v>
      </c>
      <c r="D81" s="114"/>
      <c r="E81" s="30" t="s">
        <v>406</v>
      </c>
    </row>
    <row r="82" spans="2:5" ht="33">
      <c r="B82" s="1" t="e">
        <f>+VLOOKUP(E82,'3) Todos satelites '!$C$6:$F$58,4,0)</f>
        <v>#N/A</v>
      </c>
      <c r="C82" s="42">
        <v>80</v>
      </c>
      <c r="D82" s="114"/>
      <c r="E82" s="30" t="s">
        <v>411</v>
      </c>
    </row>
    <row r="83" spans="2:5" ht="33">
      <c r="B83" s="1" t="e">
        <f>+VLOOKUP(E83,'3) Todos satelites '!$C$6:$F$58,4,0)</f>
        <v>#N/A</v>
      </c>
      <c r="C83" s="42">
        <v>81</v>
      </c>
      <c r="D83" s="114"/>
      <c r="E83" s="33" t="s">
        <v>415</v>
      </c>
    </row>
    <row r="84" spans="2:5" ht="16.5">
      <c r="B84" s="1" t="str">
        <f>+VLOOKUP(E84,'3) Todos satelites '!$C$6:$F$58,4,0)</f>
        <v>PESG</v>
      </c>
      <c r="C84" s="42">
        <v>82</v>
      </c>
      <c r="D84" s="114"/>
      <c r="E84" s="30" t="s">
        <v>417</v>
      </c>
    </row>
    <row r="85" spans="2:5" ht="16.5">
      <c r="B85" s="1" t="e">
        <f>+VLOOKUP(E85,'3) Todos satelites '!$C$6:$F$58,4,0)</f>
        <v>#N/A</v>
      </c>
      <c r="C85" s="42">
        <v>83</v>
      </c>
      <c r="D85" s="114"/>
      <c r="E85" s="30" t="s">
        <v>421</v>
      </c>
    </row>
    <row r="86" spans="2:5" ht="16.5">
      <c r="B86" s="1" t="e">
        <f>+VLOOKUP(E86,'3) Todos satelites '!$C$6:$F$58,4,0)</f>
        <v>#N/A</v>
      </c>
      <c r="C86" s="42">
        <v>84</v>
      </c>
      <c r="D86" s="114"/>
      <c r="E86" s="30" t="s">
        <v>424</v>
      </c>
    </row>
    <row r="87" spans="2:5" ht="16.5">
      <c r="B87" s="1" t="e">
        <f>+VLOOKUP(E87,'3) Todos satelites '!$C$6:$F$58,4,0)</f>
        <v>#N/A</v>
      </c>
      <c r="C87" s="42">
        <v>85</v>
      </c>
      <c r="D87" s="43"/>
      <c r="E87" s="29" t="s">
        <v>428</v>
      </c>
    </row>
    <row r="88" spans="2:5" ht="16.5">
      <c r="B88" s="1" t="e">
        <f>+VLOOKUP(E88,'3) Todos satelites '!$C$6:$F$58,4,0)</f>
        <v>#N/A</v>
      </c>
      <c r="C88" s="42">
        <v>86</v>
      </c>
      <c r="D88" s="43"/>
      <c r="E88" s="29" t="s">
        <v>430</v>
      </c>
    </row>
    <row r="89" spans="2:5" ht="16.5">
      <c r="B89" s="1" t="e">
        <f>+VLOOKUP(E89,'3) Todos satelites '!$C$6:$F$58,4,0)</f>
        <v>#N/A</v>
      </c>
      <c r="C89" s="42">
        <v>87</v>
      </c>
      <c r="D89" s="43"/>
      <c r="E89" s="29" t="s">
        <v>431</v>
      </c>
    </row>
    <row r="90" spans="2:5" ht="16.5">
      <c r="B90" s="1" t="str">
        <f>+VLOOKUP(E90,'3) Todos satelites '!$C$6:$F$58,4,0)</f>
        <v>FUTY</v>
      </c>
      <c r="C90" s="42">
        <v>88</v>
      </c>
      <c r="D90" s="43"/>
      <c r="E90" s="29" t="s">
        <v>494</v>
      </c>
    </row>
    <row r="91" spans="2:5" ht="16.5">
      <c r="B91" s="1" t="str">
        <f>+VLOOKUP(E91,'3) Todos satelites '!$C$6:$F$58,4,0)</f>
        <v>RMCT</v>
      </c>
      <c r="C91" s="42">
        <v>89</v>
      </c>
      <c r="D91" s="43"/>
      <c r="E91" s="29" t="s">
        <v>496</v>
      </c>
    </row>
    <row r="92" spans="2:5" ht="16.5">
      <c r="B92" s="1" t="str">
        <f>+VLOOKUP(E92,'3) Todos satelites '!$C$6:$F$58,4,0)</f>
        <v>RMCP</v>
      </c>
      <c r="C92" s="42">
        <v>90</v>
      </c>
      <c r="D92" s="43"/>
      <c r="E92" s="29" t="s">
        <v>498</v>
      </c>
    </row>
    <row r="93" spans="2:5" ht="16.5">
      <c r="B93" s="1" t="str">
        <f>+VLOOKUP(E93,'3) Todos satelites '!$C$6:$F$58,4,0)</f>
        <v>INC</v>
      </c>
      <c r="C93" s="141"/>
      <c r="D93" s="141"/>
      <c r="E93" s="142" t="s">
        <v>504</v>
      </c>
    </row>
    <row r="94" spans="2:5" ht="16.5">
      <c r="B94" s="1" t="str">
        <f>+VLOOKUP(E94,'3) Todos satelites '!$C$6:$F$58,4,0)</f>
        <v>GEO</v>
      </c>
      <c r="C94" s="141"/>
      <c r="D94" s="141"/>
      <c r="E94" s="142" t="s">
        <v>505</v>
      </c>
    </row>
    <row r="95" spans="2:5" ht="16.5">
      <c r="B95" s="1" t="str">
        <f>+VLOOKUP(E95,'3) Todos satelites '!$C$6:$F$58,4,0)</f>
        <v>CNAEL</v>
      </c>
      <c r="C95" s="141"/>
      <c r="D95" s="141"/>
      <c r="E95" s="142" t="s">
        <v>506</v>
      </c>
    </row>
  </sheetData>
  <autoFilter ref="B2:E95" xr:uid="{00000000-0009-0000-0000-000004000000}"/>
  <hyperlinks>
    <hyperlink ref="E93" location="'Interest commisions'!A1" display="Interest commisions" xr:uid="{00000000-0004-0000-0400-000000000000}"/>
  </hyperlinks>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58"/>
  <sheetViews>
    <sheetView showGridLines="0" workbookViewId="0">
      <selection activeCell="C5" sqref="C5"/>
    </sheetView>
  </sheetViews>
  <sheetFormatPr defaultColWidth="8.75" defaultRowHeight="14.25"/>
  <cols>
    <col min="2" max="2" width="16.25" customWidth="1"/>
    <col min="3" max="3" width="41.25" customWidth="1"/>
    <col min="4" max="4" width="16.25" customWidth="1"/>
    <col min="5" max="5" width="35.75" customWidth="1"/>
  </cols>
  <sheetData>
    <row r="2" spans="2:6">
      <c r="B2" s="154"/>
      <c r="C2" t="s">
        <v>507</v>
      </c>
    </row>
    <row r="3" spans="2:6">
      <c r="B3" s="155"/>
      <c r="C3" t="s">
        <v>508</v>
      </c>
    </row>
    <row r="4" spans="2:6" ht="15" thickBot="1"/>
    <row r="5" spans="2:6" ht="15.75" thickBot="1">
      <c r="B5" s="147" t="s">
        <v>509</v>
      </c>
      <c r="C5" s="144" t="s">
        <v>510</v>
      </c>
      <c r="D5" s="144" t="s">
        <v>509</v>
      </c>
      <c r="E5" s="146" t="s">
        <v>511</v>
      </c>
      <c r="F5" s="144" t="s">
        <v>509</v>
      </c>
    </row>
    <row r="6" spans="2:6">
      <c r="B6" s="150" t="s">
        <v>512</v>
      </c>
      <c r="C6" s="148" t="s">
        <v>504</v>
      </c>
      <c r="D6" s="150" t="s">
        <v>512</v>
      </c>
      <c r="E6" t="str">
        <f>+VLOOKUP(C6,'2) Check dicc. y satelites '!$E$3:$E$95,1,0)</f>
        <v>Interest commisions</v>
      </c>
      <c r="F6" s="150" t="s">
        <v>512</v>
      </c>
    </row>
    <row r="7" spans="2:6">
      <c r="B7" s="137" t="s">
        <v>513</v>
      </c>
      <c r="C7" s="136" t="s">
        <v>448</v>
      </c>
      <c r="D7" s="137" t="s">
        <v>513</v>
      </c>
      <c r="E7" s="152" t="s">
        <v>514</v>
      </c>
      <c r="F7" s="137" t="s">
        <v>513</v>
      </c>
    </row>
    <row r="8" spans="2:6">
      <c r="B8" s="138" t="s">
        <v>515</v>
      </c>
      <c r="C8" s="139" t="s">
        <v>505</v>
      </c>
      <c r="D8" s="138" t="s">
        <v>515</v>
      </c>
      <c r="E8" t="str">
        <f>+VLOOKUP(C8,'2) Check dicc. y satelites '!$E$3:$E$95,1,0)</f>
        <v>Physical risk_Geographical Area</v>
      </c>
      <c r="F8" s="138" t="s">
        <v>515</v>
      </c>
    </row>
    <row r="9" spans="2:6">
      <c r="B9" s="138" t="s">
        <v>516</v>
      </c>
      <c r="C9" s="139" t="s">
        <v>506</v>
      </c>
      <c r="D9" s="138" t="s">
        <v>516</v>
      </c>
      <c r="E9" t="str">
        <f>+VLOOKUP(C9,'2) Check dicc. y satelites '!$E$3:$E$95,1,0)</f>
        <v>NACE_Level1</v>
      </c>
      <c r="F9" s="138" t="s">
        <v>516</v>
      </c>
    </row>
    <row r="10" spans="2:6">
      <c r="B10" s="140" t="s">
        <v>517</v>
      </c>
      <c r="C10" s="137" t="s">
        <v>164</v>
      </c>
      <c r="D10" s="140" t="s">
        <v>517</v>
      </c>
      <c r="E10" t="str">
        <f>+VLOOKUP(C10,'2) Check dicc. y satelites '!$E$3:$E$95,1,0)</f>
        <v>NACE Code ESG</v>
      </c>
      <c r="F10" s="140" t="s">
        <v>517</v>
      </c>
    </row>
    <row r="11" spans="2:6">
      <c r="B11" s="135" t="s">
        <v>518</v>
      </c>
      <c r="C11" s="136" t="s">
        <v>519</v>
      </c>
      <c r="D11" s="135" t="s">
        <v>518</v>
      </c>
      <c r="E11" s="152" t="str">
        <f>+'2) Check dicc. y satelites '!E22</f>
        <v>Flag: Companies excluded from EU Paris-aligned benchmarks</v>
      </c>
      <c r="F11" s="135" t="s">
        <v>518</v>
      </c>
    </row>
    <row r="12" spans="2:6">
      <c r="B12" s="139" t="s">
        <v>520</v>
      </c>
      <c r="C12" s="143" t="s">
        <v>521</v>
      </c>
      <c r="D12" s="139" t="s">
        <v>520</v>
      </c>
      <c r="E12" s="152" t="str">
        <f>+'2) Check dicc. y satelites '!E62</f>
        <v xml:space="preserve">Environmentally sustainable activity </v>
      </c>
      <c r="F12" s="139" t="s">
        <v>520</v>
      </c>
    </row>
    <row r="13" spans="2:6">
      <c r="B13" s="140" t="s">
        <v>515</v>
      </c>
      <c r="C13" s="137" t="s">
        <v>505</v>
      </c>
      <c r="D13" s="140" t="s">
        <v>515</v>
      </c>
      <c r="E13" t="str">
        <f>+VLOOKUP(C13,'2) Check dicc. y satelites '!$E$3:$E$95,1,0)</f>
        <v>Physical risk_Geographical Area</v>
      </c>
      <c r="F13" s="140" t="s">
        <v>515</v>
      </c>
    </row>
    <row r="14" spans="2:6">
      <c r="B14" s="140" t="s">
        <v>522</v>
      </c>
      <c r="C14" s="136" t="s">
        <v>523</v>
      </c>
      <c r="D14" s="140" t="s">
        <v>522</v>
      </c>
      <c r="E14" s="152" t="str">
        <f>+'2) Check dicc. y satelites '!E83</f>
        <v>Sensitive to impact from chronic climate change events</v>
      </c>
      <c r="F14" s="140" t="s">
        <v>522</v>
      </c>
    </row>
    <row r="15" spans="2:6">
      <c r="B15" s="140" t="s">
        <v>524</v>
      </c>
      <c r="C15" s="136" t="s">
        <v>525</v>
      </c>
      <c r="D15" s="140" t="s">
        <v>524</v>
      </c>
      <c r="E15" s="152" t="str">
        <f>+'2) Check dicc. y satelites '!E82</f>
        <v>Sensitive to impact from acute climate change events</v>
      </c>
      <c r="F15" s="140" t="s">
        <v>524</v>
      </c>
    </row>
    <row r="16" spans="2:6">
      <c r="B16" s="140" t="s">
        <v>526</v>
      </c>
      <c r="C16" s="136" t="s">
        <v>527</v>
      </c>
      <c r="D16" s="140" t="s">
        <v>526</v>
      </c>
      <c r="E16" s="152" t="str">
        <f>+'2) Check dicc. y satelites '!E30</f>
        <v>Maturity</v>
      </c>
      <c r="F16" s="140" t="s">
        <v>526</v>
      </c>
    </row>
    <row r="17" spans="2:6">
      <c r="B17" s="140" t="s">
        <v>516</v>
      </c>
      <c r="C17" s="137" t="s">
        <v>506</v>
      </c>
      <c r="D17" s="140" t="s">
        <v>516</v>
      </c>
      <c r="E17" t="str">
        <f>+VLOOKUP(C17,'2) Check dicc. y satelites '!$E$3:$E$95,1,0)</f>
        <v>NACE_Level1</v>
      </c>
      <c r="F17" s="140" t="s">
        <v>516</v>
      </c>
    </row>
    <row r="18" spans="2:6">
      <c r="B18" s="140" t="s">
        <v>517</v>
      </c>
      <c r="C18" s="137" t="s">
        <v>164</v>
      </c>
      <c r="D18" s="140" t="s">
        <v>517</v>
      </c>
      <c r="E18" t="str">
        <f>+VLOOKUP(C18,'2) Check dicc. y satelites '!$E$3:$E$95,1,0)</f>
        <v>NACE Code ESG</v>
      </c>
      <c r="F18" s="140" t="s">
        <v>517</v>
      </c>
    </row>
    <row r="19" spans="2:6">
      <c r="B19" s="140" t="s">
        <v>528</v>
      </c>
      <c r="C19" s="137" t="s">
        <v>529</v>
      </c>
      <c r="D19" s="140" t="s">
        <v>528</v>
      </c>
      <c r="E19" s="152" t="s">
        <v>530</v>
      </c>
      <c r="F19" s="140" t="s">
        <v>528</v>
      </c>
    </row>
    <row r="20" spans="2:6">
      <c r="B20" s="145" t="s">
        <v>531</v>
      </c>
      <c r="C20" s="136" t="s">
        <v>532</v>
      </c>
      <c r="D20" s="145" t="s">
        <v>531</v>
      </c>
      <c r="E20" s="152" t="str">
        <f>+'2) Check dicc. y satelites '!E10</f>
        <v>EP Score</v>
      </c>
      <c r="F20" s="145" t="s">
        <v>531</v>
      </c>
    </row>
    <row r="21" spans="2:6">
      <c r="B21" s="145" t="s">
        <v>533</v>
      </c>
      <c r="C21" s="136" t="s">
        <v>121</v>
      </c>
      <c r="D21" s="145" t="s">
        <v>533</v>
      </c>
      <c r="E21" t="str">
        <f>+VLOOKUP(C21,'2) Check dicc. y satelites '!$E$3:$E$95,1,0)</f>
        <v>EP Score</v>
      </c>
      <c r="F21" s="145" t="s">
        <v>533</v>
      </c>
    </row>
    <row r="22" spans="2:6">
      <c r="B22" s="145" t="s">
        <v>534</v>
      </c>
      <c r="C22" s="136" t="s">
        <v>535</v>
      </c>
      <c r="D22" s="145" t="s">
        <v>534</v>
      </c>
      <c r="E22" s="152" t="str">
        <f>+'2) Check dicc. y satelites '!E9</f>
        <v>EPC label</v>
      </c>
      <c r="F22" s="145" t="s">
        <v>534</v>
      </c>
    </row>
    <row r="23" spans="2:6">
      <c r="B23" s="145" t="s">
        <v>536</v>
      </c>
      <c r="C23" s="136" t="s">
        <v>537</v>
      </c>
      <c r="D23" s="145" t="s">
        <v>536</v>
      </c>
      <c r="E23" t="str">
        <f>+VLOOKUP(C23,'2) Check dicc. y satelites '!$E$3:$E$95,1,0)</f>
        <v>EPC label</v>
      </c>
      <c r="F23" s="145" t="s">
        <v>536</v>
      </c>
    </row>
    <row r="24" spans="2:6">
      <c r="B24" s="145" t="s">
        <v>513</v>
      </c>
      <c r="C24" s="136" t="s">
        <v>448</v>
      </c>
      <c r="D24" s="145" t="s">
        <v>513</v>
      </c>
      <c r="E24" s="152" t="s">
        <v>514</v>
      </c>
      <c r="F24" s="145" t="s">
        <v>513</v>
      </c>
    </row>
    <row r="25" spans="2:6">
      <c r="B25" s="140" t="s">
        <v>538</v>
      </c>
      <c r="C25" s="151" t="s">
        <v>539</v>
      </c>
      <c r="D25" s="140" t="s">
        <v>538</v>
      </c>
      <c r="E25" s="153" t="e">
        <f>+VLOOKUP(C25,'2) Check dicc. y satelites '!$E$3:$E$95,1,0)</f>
        <v>#N/A</v>
      </c>
      <c r="F25" s="140" t="s">
        <v>538</v>
      </c>
    </row>
    <row r="26" spans="2:6">
      <c r="B26" s="140" t="s">
        <v>540</v>
      </c>
      <c r="C26" s="151" t="s">
        <v>417</v>
      </c>
      <c r="D26" s="140" t="s">
        <v>540</v>
      </c>
      <c r="E26" t="str">
        <f>+VLOOKUP(C26,'2) Check dicc. y satelites '!$E$3:$E$95,1,0)</f>
        <v>Purpose ESG</v>
      </c>
      <c r="F26" s="140" t="s">
        <v>540</v>
      </c>
    </row>
    <row r="27" spans="2:6">
      <c r="B27" s="140" t="s">
        <v>541</v>
      </c>
      <c r="C27" s="136" t="s">
        <v>542</v>
      </c>
      <c r="D27" s="140" t="s">
        <v>541</v>
      </c>
      <c r="E27" t="str">
        <f>+VLOOKUP(C27,'2) Check dicc. y satelites '!$E$3:$E$95,1,0)</f>
        <v>Funding Type</v>
      </c>
      <c r="F27" s="140" t="s">
        <v>541</v>
      </c>
    </row>
    <row r="28" spans="2:6">
      <c r="B28" s="135" t="s">
        <v>543</v>
      </c>
      <c r="C28" s="151" t="s">
        <v>496</v>
      </c>
      <c r="D28" s="135" t="s">
        <v>543</v>
      </c>
      <c r="E28" t="str">
        <f>+VLOOKUP(C28,'2) Check dicc. y satelites '!$E$3:$E$95,1,0)</f>
        <v>Risk Mitigated CCT</v>
      </c>
      <c r="F28" s="135" t="s">
        <v>543</v>
      </c>
    </row>
    <row r="29" spans="2:6">
      <c r="B29" s="135" t="s">
        <v>544</v>
      </c>
      <c r="C29" s="151" t="s">
        <v>498</v>
      </c>
      <c r="D29" s="135" t="s">
        <v>544</v>
      </c>
      <c r="E29" t="str">
        <f>+VLOOKUP(C29,'2) Check dicc. y satelites '!$E$3:$E$95,1,0)</f>
        <v>Risk Mitigated CCP</v>
      </c>
      <c r="F29" s="135" t="s">
        <v>544</v>
      </c>
    </row>
    <row r="30" spans="2:6">
      <c r="B30" s="135" t="s">
        <v>545</v>
      </c>
      <c r="C30" s="137" t="s">
        <v>546</v>
      </c>
      <c r="D30" s="135" t="s">
        <v>545</v>
      </c>
      <c r="E30" s="152" t="s">
        <v>514</v>
      </c>
      <c r="F30" s="135" t="s">
        <v>545</v>
      </c>
    </row>
    <row r="31" spans="2:6">
      <c r="B31" s="140" t="s">
        <v>547</v>
      </c>
      <c r="C31" s="136" t="s">
        <v>548</v>
      </c>
      <c r="D31" s="140" t="s">
        <v>547</v>
      </c>
      <c r="E31" s="153" t="e">
        <f>+VLOOKUP(C31,'2) Check dicc. y satelites '!$E$3:$E$95,1,0)</f>
        <v>#N/A</v>
      </c>
      <c r="F31" s="140" t="s">
        <v>547</v>
      </c>
    </row>
    <row r="32" spans="2:6">
      <c r="B32" s="137" t="s">
        <v>540</v>
      </c>
      <c r="C32" s="136" t="s">
        <v>417</v>
      </c>
      <c r="D32" s="137" t="s">
        <v>540</v>
      </c>
      <c r="E32" t="str">
        <f>+VLOOKUP(C32,'2) Check dicc. y satelites '!$E$3:$E$95,1,0)</f>
        <v>Purpose ESG</v>
      </c>
      <c r="F32" s="137" t="s">
        <v>540</v>
      </c>
    </row>
    <row r="33" spans="2:6">
      <c r="B33" s="140" t="s">
        <v>549</v>
      </c>
      <c r="C33" s="136" t="s">
        <v>550</v>
      </c>
      <c r="D33" s="140" t="s">
        <v>549</v>
      </c>
      <c r="E33" s="152" t="str">
        <f>+'2) Check dicc. y satelites '!E23</f>
        <v>Flag of NFRD applicability</v>
      </c>
      <c r="F33" s="140" t="s">
        <v>549</v>
      </c>
    </row>
    <row r="34" spans="2:6">
      <c r="B34" s="140" t="s">
        <v>513</v>
      </c>
      <c r="C34" s="136" t="s">
        <v>448</v>
      </c>
      <c r="D34" s="140" t="s">
        <v>513</v>
      </c>
      <c r="E34" s="152" t="s">
        <v>514</v>
      </c>
      <c r="F34" s="140" t="s">
        <v>513</v>
      </c>
    </row>
    <row r="35" spans="2:6">
      <c r="B35" s="140" t="s">
        <v>551</v>
      </c>
      <c r="C35" s="136" t="s">
        <v>552</v>
      </c>
      <c r="D35" s="140" t="s">
        <v>551</v>
      </c>
      <c r="E35" s="153" t="str">
        <f>+'2) Check dicc. y satelites '!E59</f>
        <v>Environmental objective</v>
      </c>
      <c r="F35" s="140" t="s">
        <v>551</v>
      </c>
    </row>
    <row r="36" spans="2:6">
      <c r="B36" s="137" t="s">
        <v>553</v>
      </c>
      <c r="C36" s="136" t="s">
        <v>554</v>
      </c>
      <c r="D36" s="137" t="s">
        <v>553</v>
      </c>
      <c r="E36" s="153" t="str">
        <f>+'2) Check dicc. y satelites '!E59</f>
        <v>Environmental objective</v>
      </c>
      <c r="F36" s="137" t="s">
        <v>553</v>
      </c>
    </row>
    <row r="37" spans="2:6">
      <c r="B37" s="137" t="s">
        <v>555</v>
      </c>
      <c r="C37" s="136" t="s">
        <v>556</v>
      </c>
      <c r="D37" s="137" t="s">
        <v>555</v>
      </c>
      <c r="E37" s="153" t="e">
        <f>+VLOOKUP(C37,'2) Check dicc. y satelites '!$E$3:$E$95,1,0)</f>
        <v>#N/A</v>
      </c>
      <c r="F37" s="137" t="s">
        <v>555</v>
      </c>
    </row>
    <row r="38" spans="2:6">
      <c r="B38" s="137" t="s">
        <v>520</v>
      </c>
      <c r="C38" s="136" t="s">
        <v>521</v>
      </c>
      <c r="D38" s="137" t="s">
        <v>520</v>
      </c>
      <c r="E38" s="153" t="str">
        <f>+'2) Check dicc. y satelites '!E59</f>
        <v>Environmental objective</v>
      </c>
      <c r="F38" s="137" t="s">
        <v>520</v>
      </c>
    </row>
    <row r="39" spans="2:6">
      <c r="B39" s="137" t="s">
        <v>557</v>
      </c>
      <c r="C39" s="136" t="s">
        <v>558</v>
      </c>
      <c r="D39" s="137" t="s">
        <v>557</v>
      </c>
      <c r="E39" s="153" t="str">
        <f>+'2) Check dicc. y satelites '!E59</f>
        <v>Environmental objective</v>
      </c>
      <c r="F39" s="137" t="s">
        <v>557</v>
      </c>
    </row>
    <row r="40" spans="2:6">
      <c r="B40" s="140" t="s">
        <v>559</v>
      </c>
      <c r="C40" s="136" t="s">
        <v>560</v>
      </c>
      <c r="D40" s="140" t="s">
        <v>559</v>
      </c>
      <c r="E40" s="152" t="str">
        <f>+'2) Check dicc. y satelites '!E31</f>
        <v>Flag of specialised lending</v>
      </c>
      <c r="F40" s="140" t="s">
        <v>559</v>
      </c>
    </row>
    <row r="41" spans="2:6">
      <c r="B41" s="140" t="s">
        <v>561</v>
      </c>
      <c r="C41" s="136" t="s">
        <v>562</v>
      </c>
      <c r="D41" s="140" t="s">
        <v>561</v>
      </c>
      <c r="E41" s="153" t="e">
        <f>+VLOOKUP(C41,'2) Check dicc. y satelites '!$E$3:$E$95,1,0)</f>
        <v>#N/A</v>
      </c>
      <c r="F41" s="140" t="s">
        <v>561</v>
      </c>
    </row>
    <row r="42" spans="2:6">
      <c r="B42" s="140" t="s">
        <v>563</v>
      </c>
      <c r="C42" s="136" t="s">
        <v>564</v>
      </c>
      <c r="D42" s="140" t="s">
        <v>563</v>
      </c>
      <c r="E42" s="153" t="e">
        <f>+VLOOKUP(C42,'2) Check dicc. y satelites '!$E$3:$E$95,1,0)</f>
        <v>#N/A</v>
      </c>
      <c r="F42" s="140" t="s">
        <v>563</v>
      </c>
    </row>
    <row r="43" spans="2:6">
      <c r="B43" s="140" t="s">
        <v>565</v>
      </c>
      <c r="C43" s="136" t="s">
        <v>566</v>
      </c>
      <c r="D43" s="140" t="s">
        <v>565</v>
      </c>
      <c r="E43" s="153" t="e">
        <f>+VLOOKUP(C43,'2) Check dicc. y satelites '!$E$3:$E$95,1,0)</f>
        <v>#N/A</v>
      </c>
      <c r="F43" s="140" t="s">
        <v>565</v>
      </c>
    </row>
    <row r="44" spans="2:6">
      <c r="B44" s="140" t="s">
        <v>567</v>
      </c>
      <c r="C44" s="136" t="s">
        <v>568</v>
      </c>
      <c r="D44" s="140" t="s">
        <v>567</v>
      </c>
      <c r="E44" s="153" t="e">
        <f>+VLOOKUP(C44,'2) Check dicc. y satelites '!$E$3:$E$95,1,0)</f>
        <v>#N/A</v>
      </c>
      <c r="F44" s="140" t="s">
        <v>567</v>
      </c>
    </row>
    <row r="45" spans="2:6">
      <c r="B45" s="140" t="s">
        <v>569</v>
      </c>
      <c r="C45" s="137" t="s">
        <v>570</v>
      </c>
      <c r="D45" s="140" t="s">
        <v>569</v>
      </c>
      <c r="E45" s="153" t="str">
        <f>+'2) Check dicc. y satelites '!E68</f>
        <v>Eligibility ratio</v>
      </c>
      <c r="F45" s="140" t="s">
        <v>569</v>
      </c>
    </row>
    <row r="46" spans="2:6">
      <c r="B46" s="140" t="s">
        <v>571</v>
      </c>
      <c r="C46" s="137" t="s">
        <v>572</v>
      </c>
      <c r="D46" s="140" t="s">
        <v>571</v>
      </c>
      <c r="E46" s="153" t="e">
        <f>+VLOOKUP(C46,'2) Check dicc. y satelites '!$E$3:$E$95,1,0)</f>
        <v>#N/A</v>
      </c>
      <c r="F46" s="140" t="s">
        <v>571</v>
      </c>
    </row>
    <row r="47" spans="2:6">
      <c r="B47" s="140" t="s">
        <v>573</v>
      </c>
      <c r="C47" s="137" t="s">
        <v>574</v>
      </c>
      <c r="D47" s="140" t="s">
        <v>573</v>
      </c>
      <c r="E47" s="153" t="str">
        <f>+'2) Check dicc. y satelites '!E68</f>
        <v>Eligibility ratio</v>
      </c>
      <c r="F47" s="140" t="s">
        <v>573</v>
      </c>
    </row>
    <row r="48" spans="2:6">
      <c r="B48" s="149" t="s">
        <v>575</v>
      </c>
      <c r="C48" s="137" t="s">
        <v>576</v>
      </c>
      <c r="D48" s="149" t="s">
        <v>575</v>
      </c>
      <c r="E48" s="153" t="e">
        <f>+VLOOKUP(C48,'2) Check dicc. y satelites '!$E$3:$E$95,1,0)</f>
        <v>#N/A</v>
      </c>
      <c r="F48" s="149" t="s">
        <v>575</v>
      </c>
    </row>
    <row r="49" spans="2:6">
      <c r="B49" s="145" t="s">
        <v>577</v>
      </c>
      <c r="C49" s="137" t="s">
        <v>578</v>
      </c>
      <c r="D49" s="145" t="s">
        <v>577</v>
      </c>
      <c r="E49" s="153" t="e">
        <f>+VLOOKUP(C49,'2) Check dicc. y satelites '!$E$3:$E$95,1,0)</f>
        <v>#N/A</v>
      </c>
      <c r="F49" s="145" t="s">
        <v>577</v>
      </c>
    </row>
    <row r="50" spans="2:6">
      <c r="B50" s="145" t="s">
        <v>579</v>
      </c>
      <c r="C50" s="137" t="s">
        <v>580</v>
      </c>
      <c r="D50" s="145" t="s">
        <v>579</v>
      </c>
      <c r="E50" s="153" t="e">
        <f>+VLOOKUP(C50,'2) Check dicc. y satelites '!$E$3:$E$95,1,0)</f>
        <v>#N/A</v>
      </c>
      <c r="F50" s="145" t="s">
        <v>579</v>
      </c>
    </row>
    <row r="51" spans="2:6">
      <c r="B51" s="145" t="s">
        <v>516</v>
      </c>
      <c r="C51" s="137" t="s">
        <v>506</v>
      </c>
      <c r="D51" s="145" t="s">
        <v>516</v>
      </c>
      <c r="E51" t="str">
        <f>+VLOOKUP(C51,'2) Check dicc. y satelites '!$E$3:$E$95,1,0)</f>
        <v>NACE_Level1</v>
      </c>
      <c r="F51" s="145" t="s">
        <v>516</v>
      </c>
    </row>
    <row r="52" spans="2:6">
      <c r="B52" s="145" t="s">
        <v>517</v>
      </c>
      <c r="C52" s="137" t="s">
        <v>164</v>
      </c>
      <c r="D52" s="145" t="s">
        <v>517</v>
      </c>
      <c r="E52" t="str">
        <f>+VLOOKUP(C52,'2) Check dicc. y satelites '!$E$3:$E$95,1,0)</f>
        <v>NACE Code ESG</v>
      </c>
      <c r="F52" s="145" t="s">
        <v>517</v>
      </c>
    </row>
    <row r="53" spans="2:6">
      <c r="B53" s="145" t="s">
        <v>581</v>
      </c>
      <c r="C53" s="137" t="s">
        <v>582</v>
      </c>
      <c r="D53" s="145" t="s">
        <v>581</v>
      </c>
      <c r="E53" s="152" t="str">
        <f>+'2) Check dicc. y satelites '!E27</f>
        <v>GHG Reported  Emissions - scope 1: flag original / calculated</v>
      </c>
      <c r="F53" s="145" t="s">
        <v>581</v>
      </c>
    </row>
    <row r="54" spans="2:6">
      <c r="B54" s="145" t="s">
        <v>583</v>
      </c>
      <c r="C54" s="137" t="s">
        <v>584</v>
      </c>
      <c r="D54" s="145" t="s">
        <v>583</v>
      </c>
      <c r="E54" s="152" t="str">
        <f>+'2) Check dicc. y satelites '!E3</f>
        <v>GHG Financed  Emissions: Scope 1</v>
      </c>
      <c r="F54" s="145" t="s">
        <v>583</v>
      </c>
    </row>
    <row r="55" spans="2:6">
      <c r="B55" s="145" t="s">
        <v>585</v>
      </c>
      <c r="C55" s="137" t="s">
        <v>586</v>
      </c>
      <c r="D55" s="145" t="s">
        <v>585</v>
      </c>
      <c r="E55" s="152" t="str">
        <f>+'2) Check dicc. y satelites '!E28</f>
        <v>GHG Reported  Emissions - scope 2: flag original / calculated</v>
      </c>
      <c r="F55" s="145" t="s">
        <v>585</v>
      </c>
    </row>
    <row r="56" spans="2:6">
      <c r="B56" s="145" t="s">
        <v>587</v>
      </c>
      <c r="C56" s="137" t="s">
        <v>588</v>
      </c>
      <c r="D56" s="145" t="s">
        <v>587</v>
      </c>
      <c r="E56" s="152" t="str">
        <f>+'2) Check dicc. y satelites '!E4</f>
        <v>GHG Financed  Emissions: Scope 2</v>
      </c>
      <c r="F56" s="145" t="s">
        <v>587</v>
      </c>
    </row>
    <row r="57" spans="2:6">
      <c r="B57" s="145" t="s">
        <v>589</v>
      </c>
      <c r="C57" s="137" t="s">
        <v>590</v>
      </c>
      <c r="D57" s="145" t="s">
        <v>589</v>
      </c>
      <c r="E57" s="152" t="str">
        <f>+'2) Check dicc. y satelites '!E29</f>
        <v>GHG Reported  Emissions - scope 3: flag original / calculated</v>
      </c>
      <c r="F57" s="145" t="s">
        <v>589</v>
      </c>
    </row>
    <row r="58" spans="2:6">
      <c r="B58" s="145" t="s">
        <v>591</v>
      </c>
      <c r="C58" s="137" t="s">
        <v>592</v>
      </c>
      <c r="D58" s="145" t="s">
        <v>591</v>
      </c>
      <c r="E58" s="152" t="str">
        <f>+'2) Check dicc. y satelites '!E5</f>
        <v>GHG Financed  Emissions: Scope 3</v>
      </c>
      <c r="F58" s="145" t="s">
        <v>591</v>
      </c>
    </row>
  </sheetData>
  <autoFilter ref="B5:E58" xr:uid="{00000000-0009-0000-0000-000005000000}"/>
  <hyperlinks>
    <hyperlink ref="C6" location="'Interest commisions'!A1" display="Interest commisions" xr:uid="{00000000-0004-0000-0500-000000000000}"/>
    <hyperlink ref="C7" location="'European Union'!A1" display="European Union" xr:uid="{00000000-0004-0000-0500-000001000000}"/>
    <hyperlink ref="C16" location="'Maturity ESG'!A1" display="Maturity ESG" xr:uid="{00000000-0004-0000-0500-000002000000}"/>
    <hyperlink ref="C11" location="'Exc from EU Paris-aligned bench'!A1" display="Excluded from EU Paris-aligned benchmark" xr:uid="{00000000-0004-0000-0500-000003000000}"/>
    <hyperlink ref="C14" location="'Chronic changes'!A1" display="Chronic changes" xr:uid="{00000000-0004-0000-0500-000004000000}"/>
    <hyperlink ref="C15" location="'Acute changes'!A1" display="Acute changes" xr:uid="{00000000-0004-0000-0500-000005000000}"/>
    <hyperlink ref="C12" location="'Environmentally sustainable CCM'!A1" display="Environmentally sustainable CCM" xr:uid="{00000000-0004-0000-0500-000006000000}"/>
    <hyperlink ref="C21" location="'EP Score'!A1" display="EP Score" xr:uid="{00000000-0004-0000-0500-000007000000}"/>
    <hyperlink ref="C23" location="'EPC Label'!A1" display="EPC Label" xr:uid="{00000000-0004-0000-0500-000008000000}"/>
    <hyperlink ref="C24" location="'European Union'!A1" display="European Union" xr:uid="{00000000-0004-0000-0500-000009000000}"/>
    <hyperlink ref="C20" location="'EP Score Data'!A1" display="EP Score Data" xr:uid="{00000000-0004-0000-0500-00000A000000}"/>
    <hyperlink ref="C22" location="'EPC Label Data'!A1" display="EPC Label Data" xr:uid="{00000000-0004-0000-0500-00000B000000}"/>
    <hyperlink ref="C29" location="'Risk Mitigated CCP'!A1" display="Risk Mitigated CCP" xr:uid="{00000000-0004-0000-0500-00000C000000}"/>
    <hyperlink ref="C28" location="'Risk Mitigated CCT'!A1" display="Risk Mitigated CCT" xr:uid="{00000000-0004-0000-0500-00000D000000}"/>
    <hyperlink ref="C25" location="'Green Financial Instrument'!A1" display="Green Financial Instrument" xr:uid="{00000000-0004-0000-0500-00000E000000}"/>
    <hyperlink ref="C26" location="'Purpose ESG'!A1" display="Purpose ESG" xr:uid="{00000000-0004-0000-0500-00000F000000}"/>
    <hyperlink ref="C31" location="'ESG Subsector'!A1" display="ESG Subsector" xr:uid="{00000000-0004-0000-0500-000010000000}"/>
    <hyperlink ref="C32" location="'Purpose ESG'!A1" display="Purpose ESG" xr:uid="{00000000-0004-0000-0500-000011000000}"/>
    <hyperlink ref="C33" location="'NFRD disclosures'!A1" display="NFRD disclosures" xr:uid="{00000000-0004-0000-0500-000012000000}"/>
    <hyperlink ref="C34" location="'European Union'!A1" display="European Union" xr:uid="{00000000-0004-0000-0500-000013000000}"/>
    <hyperlink ref="C35" location="'Climate Change Mitigation'!A1" display="Climate Change Mitigation" xr:uid="{00000000-0004-0000-0500-000014000000}"/>
    <hyperlink ref="C36" location="'Climate Change Adaptation'!A1" display="Climate Change Adaptation" xr:uid="{00000000-0004-0000-0500-000015000000}"/>
    <hyperlink ref="C38" location="'Environmentally sustainable CCM'!A1" display="Environmentally sustainable CCM" xr:uid="{00000000-0004-0000-0500-000016000000}"/>
    <hyperlink ref="C40" location="'Specialised lending'!A1" display="Specialised lending" xr:uid="{00000000-0004-0000-0500-000017000000}"/>
    <hyperlink ref="C41" location="Transitional!A1" display="Transitional" xr:uid="{00000000-0004-0000-0500-000018000000}"/>
    <hyperlink ref="C42" location="'Enabling CCM'!A1" display="Enabling CCM" xr:uid="{00000000-0004-0000-0500-000019000000}"/>
    <hyperlink ref="C44" location="'Originated during period'!A1" display="Originated during period" xr:uid="{00000000-0004-0000-0500-00001A000000}"/>
    <hyperlink ref="C37" location="'General_Specific purpose'!A1" display="General_Specific purpose" xr:uid="{00000000-0004-0000-0500-00001B000000}"/>
    <hyperlink ref="C43" location="'Enabling CCA'!A1" display="Enabling CCA" xr:uid="{00000000-0004-0000-0500-00001C000000}"/>
    <hyperlink ref="C39" location="'Environmentally sustainable CCA'!A1" display="Environmentally sustainable CCA" xr:uid="{00000000-0004-0000-0500-00001D000000}"/>
  </hyperlinks>
  <pageMargins left="0.7" right="0.7" top="0.75" bottom="0.75" header="0.3" footer="0.3"/>
  <pageSetup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FC2D60-607C-4D72-8DB0-047475795446}"/>
</file>

<file path=customXml/itemProps2.xml><?xml version="1.0" encoding="utf-8"?>
<ds:datastoreItem xmlns:ds="http://schemas.openxmlformats.org/officeDocument/2006/customXml" ds:itemID="{3BBB9E2E-6A10-4303-AD6C-1F6B9A6C3BA8}"/>
</file>

<file path=customXml/itemProps3.xml><?xml version="1.0" encoding="utf-8"?>
<ds:datastoreItem xmlns:ds="http://schemas.openxmlformats.org/officeDocument/2006/customXml" ds:itemID="{851BF999-FF1A-4354-9F53-D10FFFC04AA5}"/>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x470429</dc:creator>
  <cp:keywords/>
  <dc:description/>
  <cp:lastModifiedBy>Ana Rita Geraldo de Caguerelho</cp:lastModifiedBy>
  <cp:revision/>
  <dcterms:created xsi:type="dcterms:W3CDTF">2022-03-31T11:41:16Z</dcterms:created>
  <dcterms:modified xsi:type="dcterms:W3CDTF">2023-05-26T06:38:03Z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y fmtid="{D5CDD505-2E9C-101B-9397-08002B2CF9AE}" pid="3" name="MSIP_Label_3c41c091-3cbc-4dba-8b59-ce62f19500db_Enabled">
    <vt:lpwstr>true</vt:lpwstr>
  </property>
  <property fmtid="{D5CDD505-2E9C-101B-9397-08002B2CF9AE}" pid="4" name="MSIP_Label_3c41c091-3cbc-4dba-8b59-ce62f19500db_SetDate">
    <vt:lpwstr>2023-05-11T18:18:21Z</vt:lpwstr>
  </property>
  <property fmtid="{D5CDD505-2E9C-101B-9397-08002B2CF9AE}" pid="5" name="MSIP_Label_3c41c091-3cbc-4dba-8b59-ce62f19500db_Method">
    <vt:lpwstr>Privileged</vt:lpwstr>
  </property>
  <property fmtid="{D5CDD505-2E9C-101B-9397-08002B2CF9AE}" pid="6" name="MSIP_Label_3c41c091-3cbc-4dba-8b59-ce62f19500db_Name">
    <vt:lpwstr>Confidential_0_1</vt:lpwstr>
  </property>
  <property fmtid="{D5CDD505-2E9C-101B-9397-08002B2CF9AE}" pid="7" name="MSIP_Label_3c41c091-3cbc-4dba-8b59-ce62f19500db_SiteId">
    <vt:lpwstr>35595a02-4d6d-44ac-99e1-f9ab4cd872db</vt:lpwstr>
  </property>
  <property fmtid="{D5CDD505-2E9C-101B-9397-08002B2CF9AE}" pid="8" name="MSIP_Label_3c41c091-3cbc-4dba-8b59-ce62f19500db_ActionId">
    <vt:lpwstr>eca4bfd7-cac2-4b33-ab6e-341b317da568</vt:lpwstr>
  </property>
  <property fmtid="{D5CDD505-2E9C-101B-9397-08002B2CF9AE}" pid="9" name="MSIP_Label_3c41c091-3cbc-4dba-8b59-ce62f19500db_ContentBits">
    <vt:lpwstr>1</vt:lpwstr>
  </property>
</Properties>
</file>