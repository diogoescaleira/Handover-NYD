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mc:AlternateContent xmlns:mc="http://schemas.openxmlformats.org/markup-compatibility/2006">
    <mc:Choice Requires="x15">
      <x15ac:absPath xmlns:x15ac="http://schemas.microsoft.com/office/spreadsheetml/2010/11/ac" url="C:\Users\E804704\Santander Office 365\BS Reporting Pilar III - General\04. Documentação &amp; Data dictionary\02. Envio documentação CDO Espanha\"/>
    </mc:Choice>
  </mc:AlternateContent>
  <bookViews>
    <workbookView xWindow="28680" yWindow="-120" windowWidth="29040" windowHeight="15840" activeTab="1"/>
  </bookViews>
  <sheets>
    <sheet name="0. Instructions" sheetId="3" r:id="rId1"/>
    <sheet name="1. Data dictionary" sheetId="1" r:id="rId2"/>
    <sheet name="Sheet1" sheetId="6" state="hidden" r:id="rId3"/>
    <sheet name="2. Track Changes V4" sheetId="5" r:id="rId4"/>
    <sheet name="2) Check dicc. y satelites " sheetId="9" state="hidden" r:id="rId5"/>
    <sheet name="3) Todos satelites " sheetId="8" state="hidden" r:id="rId6"/>
  </sheets>
  <definedNames>
    <definedName name="_xlnm._FilterDatabase" localSheetId="1" hidden="1">'1. Data dictionary'!$L$4:$M$99</definedName>
    <definedName name="_xlnm._FilterDatabase" localSheetId="4" hidden="1">'2) Check dicc. y satelites '!$B$2:$E$95</definedName>
    <definedName name="_xlnm._FilterDatabase" localSheetId="5" hidden="1">'3) Todos satelites '!$B$5:$E$58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5" i="9" l="1"/>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E47" i="8"/>
  <c r="E45" i="8"/>
  <c r="E39" i="8"/>
  <c r="E38" i="8"/>
  <c r="E36" i="8"/>
  <c r="E35" i="8"/>
  <c r="E22" i="8"/>
  <c r="E57" i="8"/>
  <c r="E55" i="8"/>
  <c r="E53" i="8"/>
  <c r="E58" i="8"/>
  <c r="E56" i="8"/>
  <c r="E54" i="8"/>
  <c r="E40" i="8"/>
  <c r="E33" i="8" l="1"/>
  <c r="E20" i="8"/>
  <c r="E16" i="8"/>
  <c r="E15" i="8"/>
  <c r="E14" i="8"/>
  <c r="E12" i="8"/>
  <c r="E11" i="8"/>
  <c r="E52" i="8"/>
  <c r="E51" i="8"/>
  <c r="E50" i="8"/>
  <c r="E49" i="8"/>
  <c r="E48" i="8"/>
  <c r="E46" i="8"/>
  <c r="E44" i="8"/>
  <c r="E43" i="8"/>
  <c r="E42" i="8"/>
  <c r="E41" i="8"/>
  <c r="E37" i="8"/>
  <c r="E32" i="8"/>
  <c r="E31" i="8"/>
  <c r="E29" i="8"/>
  <c r="E28" i="8"/>
  <c r="E27" i="8"/>
  <c r="E26" i="8"/>
  <c r="E25" i="8"/>
  <c r="E23" i="8"/>
  <c r="E21" i="8"/>
  <c r="E18" i="8"/>
  <c r="E17" i="8"/>
  <c r="E13" i="8"/>
  <c r="E10" i="8"/>
  <c r="E9" i="8"/>
  <c r="E8" i="8"/>
  <c r="E6" i="8"/>
</calcChain>
</file>

<file path=xl/comments1.xml><?xml version="1.0" encoding="utf-8"?>
<comments xmlns="http://schemas.openxmlformats.org/spreadsheetml/2006/main">
  <authors>
    <author>n64564</author>
    <author>x470429</author>
  </authors>
  <commentList>
    <comment ref="F3" authorId="0" shapeId="0">
      <text>
        <r>
          <rPr>
            <b/>
            <sz val="9"/>
            <color indexed="81"/>
            <rFont val="Tahoma"/>
            <family val="2"/>
          </rPr>
          <t>n64564:</t>
        </r>
        <r>
          <rPr>
            <sz val="9"/>
            <color indexed="81"/>
            <rFont val="Tahoma"/>
            <family val="2"/>
          </rPr>
          <t xml:space="preserve">
Perimeter of businesses for which information is required</t>
        </r>
      </text>
    </comment>
    <comment ref="G3" authorId="1" shapeId="0">
      <text>
        <r>
          <rPr>
            <b/>
            <sz val="9"/>
            <color indexed="81"/>
            <rFont val="Tahoma"/>
            <family val="2"/>
          </rPr>
          <t>x470429:</t>
        </r>
        <r>
          <rPr>
            <sz val="9"/>
            <color indexed="81"/>
            <rFont val="Tahoma"/>
            <family val="2"/>
          </rPr>
          <t xml:space="preserve">
Indicate if the data is used at the client, operation, etc. level. For example, the NACE code is assigned to clients, therefore, its level would be Client</t>
        </r>
      </text>
    </comment>
  </commentList>
</comments>
</file>

<file path=xl/sharedStrings.xml><?xml version="1.0" encoding="utf-8"?>
<sst xmlns="http://schemas.openxmlformats.org/spreadsheetml/2006/main" count="1861" uniqueCount="598">
  <si>
    <t>Data Compilation</t>
  </si>
  <si>
    <t>Operational Information</t>
  </si>
  <si>
    <t>Source</t>
  </si>
  <si>
    <t>Scope Business</t>
  </si>
  <si>
    <t>Level (op, client,…)</t>
  </si>
  <si>
    <t>Estrategical Source</t>
  </si>
  <si>
    <t xml:space="preserve">T1 </t>
  </si>
  <si>
    <t>Contract</t>
  </si>
  <si>
    <t>Gross carrying amount</t>
  </si>
  <si>
    <t xml:space="preserve">T2 T5 </t>
  </si>
  <si>
    <t>Client</t>
  </si>
  <si>
    <t xml:space="preserve">T2 </t>
  </si>
  <si>
    <t xml:space="preserve">T1 T5 </t>
  </si>
  <si>
    <t>Exposures must be reported on a gross carrying amount basis</t>
  </si>
  <si>
    <t>Main NACE code</t>
  </si>
  <si>
    <t xml:space="preserve">T1 T3 T5 T7 </t>
  </si>
  <si>
    <t>% Collateralised</t>
  </si>
  <si>
    <t>Percentage of the gross carrying amount of the collateral that can be considered arising from loans collateralised by residential or commercial immovable property. 
Residential property is defined as a residence which is occupied by the owner or the lessee of the residence, including the right to inhabit an apartment in housing cooperatives located in Sweden.
Loans collateralised by comercial immovable property shall include loans secured by pledges of immovable property other than residential, including offices and commercial premises and other types of commercial immovable property.</t>
  </si>
  <si>
    <t xml:space="preserve">T2 T5 T6 T7 T8 T9.1 T9.2 T9.3  </t>
  </si>
  <si>
    <t>Accumulated impairment</t>
  </si>
  <si>
    <t>Accumulated changes in fair value due to credit risk where the accumulated net change is negative. The accumulated net change in fair value due to credit risk shall be calculated by adding all negative and positive changes in fair value due to credit risk that have occurred since recognition of the debt instrument. That amount shall only be reported where the addition of positive and negative changes in fair value due to credit risk results in a negative amount. The valuation of the debt instruments shall be performed on the level of single financial instruments.</t>
  </si>
  <si>
    <t xml:space="preserve">T7 T8 T9.1 T9.2 T9.3  </t>
  </si>
  <si>
    <t>Type of asset</t>
  </si>
  <si>
    <t>Flag of NFRD applicability</t>
  </si>
  <si>
    <t xml:space="preserve">T6 T7 T8 T9.1 T9.2 T9.3  </t>
  </si>
  <si>
    <t xml:space="preserve">T5 </t>
  </si>
  <si>
    <t>T10</t>
  </si>
  <si>
    <t>Maturity</t>
  </si>
  <si>
    <t>End date of the financial instrument, taking into account the following:
i) Where the amount is repaid in instalments, date corresponding to the last instalment;
ii) Where an exposure has no stated maturity for reasons other than the counterparty having the choice of the repayment date, or in the case of equity holdings, do not report (leave blank);</t>
  </si>
  <si>
    <t xml:space="preserve">T1 T4 T5 </t>
  </si>
  <si>
    <t>Flag of specialised lending</t>
  </si>
  <si>
    <t>Stage 2 IFRS 9</t>
  </si>
  <si>
    <t>Credit risk classification of exposure, as defined in IFRS 9.</t>
  </si>
  <si>
    <t>Taken possession</t>
  </si>
  <si>
    <t>Type of collateral</t>
  </si>
  <si>
    <t>Type of counterparty</t>
  </si>
  <si>
    <t>Type of product</t>
  </si>
  <si>
    <t xml:space="preserve">T1 T3 </t>
  </si>
  <si>
    <t>Technology generation</t>
  </si>
  <si>
    <t>Installed capacity</t>
  </si>
  <si>
    <t>Energy generated per year</t>
  </si>
  <si>
    <t>Usable surface</t>
  </si>
  <si>
    <t>Brand of the vehicle</t>
  </si>
  <si>
    <t>Brand of a specific vehicle</t>
  </si>
  <si>
    <t>Type of fuel</t>
  </si>
  <si>
    <t>Type of fuel used for transport. Example: gasoil</t>
  </si>
  <si>
    <t>Type of vehicle</t>
  </si>
  <si>
    <t>Model of the vehicle</t>
  </si>
  <si>
    <t>Model of a specific vehicle</t>
  </si>
  <si>
    <t>Average carbon emissions</t>
  </si>
  <si>
    <t>Appraisal value</t>
  </si>
  <si>
    <t xml:space="preserve">T1 T3 T6 T7 T8 T9.1 T9.2 T9.3  </t>
  </si>
  <si>
    <t>Contracted kilometers</t>
  </si>
  <si>
    <r>
      <t xml:space="preserve">Contracted kilometers for a car in a </t>
    </r>
    <r>
      <rPr>
        <b/>
        <sz val="10"/>
        <rFont val="Santander Headline"/>
        <family val="2"/>
      </rPr>
      <t>renting</t>
    </r>
    <r>
      <rPr>
        <sz val="10"/>
        <rFont val="Santander Headline"/>
        <family val="2"/>
      </rPr>
      <t xml:space="preserve"> contract. If the car drives more kilometers than the contracted kilometers, an extra fee will be applied for each kilometer driven, and if the car drives less, an amount will be refunded for each kilometer not driven.</t>
    </r>
  </si>
  <si>
    <t>Asset value at origination</t>
  </si>
  <si>
    <t>Initial fair value of the adquiered asset in an auto loan.</t>
  </si>
  <si>
    <t>Cadastral ID</t>
  </si>
  <si>
    <t>Year of construction</t>
  </si>
  <si>
    <t>Floor</t>
  </si>
  <si>
    <t>Climate zone</t>
  </si>
  <si>
    <t>Altitude</t>
  </si>
  <si>
    <t>Inhabitants</t>
  </si>
  <si>
    <t>Income</t>
  </si>
  <si>
    <t>Taxpayers</t>
  </si>
  <si>
    <t>T1 T3 T7 T8 T9.1 T9.2 T9.3</t>
  </si>
  <si>
    <t xml:space="preserve">Environmentally sustainable activity </t>
  </si>
  <si>
    <t>Eligibility ratio</t>
  </si>
  <si>
    <t>SFCS Category</t>
  </si>
  <si>
    <t>Template</t>
  </si>
  <si>
    <t>Metric Description</t>
  </si>
  <si>
    <t>Metric Name</t>
  </si>
  <si>
    <t>BDR: 
Table:(JM_GARANT_CTO)  Var:(G4124_PORCOBER)</t>
  </si>
  <si>
    <t>BDR: 
Table: JM_CTO_AJ_REG 
Var: O9209_IPROVISI</t>
  </si>
  <si>
    <t>BDR
Table: JM_CLIENT_BII 
Var: G4093_COD_SECT</t>
  </si>
  <si>
    <t>BDR
Table: JM_CTO_AJ_REG
Var: O9209_INDMORA1</t>
  </si>
  <si>
    <t>BDR
Table: JM_CTO_AJ_REG 
Var: O9209_MATUPOSM</t>
  </si>
  <si>
    <t>BDR
Table: JM_CTO_AJ_REG 
Var: O9209_CAT_MSTA</t>
  </si>
  <si>
    <t>BDR
Table: JM_CTO_STAGE 
Var: T2420_STAGEFIN</t>
  </si>
  <si>
    <t xml:space="preserve">Credit risk classification of the exposure that meets at least one of the following criteria:
a) An exposure in respect of which a default is considered to have occurred in accordance with CRR, Article 178 (Default of an Obligor). Where the institution has on-balance-sheet exposures to an obligor that are past due by more than 90 days and that represent more than 20 % of all on-balance-sheet exposures to that obligor, all on- and off-balance-sheet exposures to that obligor shall be considered to be non-performing.
(b) An exposure which is considered to be impaired in accordance with the applicable accounting framework;
(c) An exposure under probation, where additional forbearance measures are granted or where the exposure becomes more than 30 days past due;
(d) An exposure in the form of a commitment that, were it drawn down or otherwise used, would likely not be paid back in full without realisation of collateral;
(e) An exposure in form of a financial guarantee that is likely to be called by the guaranteed party, including where the underlying guaranteed exposure meets the criteria to be considered as non-performing.
</t>
  </si>
  <si>
    <t>Non-performing</t>
  </si>
  <si>
    <t xml:space="preserve">LEI </t>
  </si>
  <si>
    <t>Satelite</t>
  </si>
  <si>
    <t>Type of activity</t>
  </si>
  <si>
    <t>EPC label</t>
  </si>
  <si>
    <t>Location of the counterparty's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</si>
  <si>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Specific energy consumption of a collateral in kWh/m² per year, as indicated in the EPC label of the collateral.</t>
  </si>
  <si>
    <t xml:space="preserve">Scope 1 emissions are direct greenhouse (GHG) emissions that occur from sources that are controlled or owned by an organization (e.g., emissions associated with fuel combustion in boilers, furnaces, vehicles). </t>
  </si>
  <si>
    <t xml:space="preserve">Scope 2 emissions are indirect emissions from the generation of purchased energy, from a utility provider. In other words, all GHG emissions released in the atmosphere, from the consumption of purchased electricity, steam, heat and cooling. For most organizations, electricity will be the unique source of scope 2 emissions. </t>
  </si>
  <si>
    <t>Counterparties’ scope 3 emissions associated with lending and investment activities. 
Scope 3 emissions shall be disclosed on a best effort basis covering the most relevant sectors for example in line with PCAF approach and the phased-in approach for scope 3.
Financial institutions shall start disclosing information scope 3 emissions, when available, for the oil, gas, and mining sectors from 2021 onward and additional sectors will be added subsequently. Information on scope 3 emissions of the counterparty for all sectors included in the template shall be disclosed as of 30 June 2024 first disclosure reference date.
For sectors where data and methodological challenges exist, banks shall follow the GHG protocol and its 15 stages, both upstream and downstream, as presented in the Commission Guidelines on non-financial reporting: supplement on reporting climate related information.</t>
  </si>
  <si>
    <t>GHG Financed  Emissions: Scope 1</t>
  </si>
  <si>
    <t>GHG Financed  Emissions: Scope 2</t>
  </si>
  <si>
    <t>GHG Financed  Emissions: Scope 3</t>
  </si>
  <si>
    <t>Value of the property estimated independently from the bank’s mortgage acquisition, loan processing and loan decision process.</t>
  </si>
  <si>
    <t>Surface of the elements or elements constructions associated with the buidling in case of built farms (interger - in square meters)</t>
  </si>
  <si>
    <t>Flag aligned under EU Taxonomy</t>
  </si>
  <si>
    <t>Type of reform</t>
  </si>
  <si>
    <t>Year of renovation</t>
  </si>
  <si>
    <t>Taxonomy-aligned Capex</t>
  </si>
  <si>
    <t>Taxonomy-aligned Opex</t>
  </si>
  <si>
    <t>Taxonomy-aligned Turnover</t>
  </si>
  <si>
    <t xml:space="preserve">Proportion of Capex that is aligned with the European Taxonomy. Capex represents the proportion of the capital expenditure of an activity that is either already taxonomy-aligned or is part of a credible plan to extend or reach taxonomy-alignment. This variable applies when the use of proceeds is unknown. </t>
  </si>
  <si>
    <t xml:space="preserve">Proportion of Turnover that is aligned with the European Taxonomy. Turnover represents the proportion of the net turnover derived from products or services, including intangibles, associated with Taxonomy-aligned economic activities, divided by the net turnover. This variable applies when the use of proceeds is unknown. </t>
  </si>
  <si>
    <t>Flag audited of financial statements</t>
  </si>
  <si>
    <t>Date of reference of financial statements</t>
  </si>
  <si>
    <t xml:space="preserve">T3 T6 T7 T8 T9.1 T9.2 T9.3 </t>
  </si>
  <si>
    <t>EPC CO2 emissions</t>
  </si>
  <si>
    <t>Specific emissions of a collateral in kgCO2/m² per year, as indicated in the EPC label of the collateral.</t>
  </si>
  <si>
    <t>Building category</t>
  </si>
  <si>
    <r>
      <rPr>
        <b/>
        <sz val="10"/>
        <color theme="1"/>
        <rFont val="Santander Headline"/>
        <family val="2"/>
      </rPr>
      <t>Transitional activity:</t>
    </r>
    <r>
      <rPr>
        <sz val="10"/>
        <color theme="1"/>
        <rFont val="Santander Headline"/>
        <family val="2"/>
      </rPr>
      <t xml:space="preserve"> must not have a technologically and economically feasible low-carbon alternative but supports the transition to a climate-neutral economy consistent with a pathway to limit the temperature increase to 1,5 ºC above pre- industrial levels, including by phasing out greenhouse gas emissions, in particular emissions from solid fossil fuels, and where that activity: 
(a) has greenhouse gas emission levels that correspond to the best performance in the sector or industry; 
(b) does not hamper the development and deployment of low-carbon alternatives; and 
(c) does not lead to a lock-in of carbon-intensive assets, considering the economic lifetime of those assets.
This kind of activity shall also qualify as contributing substantially to the objective of climate change mitigation
</t>
    </r>
    <r>
      <rPr>
        <b/>
        <sz val="10"/>
        <color theme="1"/>
        <rFont val="Santander Headline"/>
        <family val="2"/>
      </rPr>
      <t xml:space="preserve">Adaptation activity: </t>
    </r>
    <r>
      <rPr>
        <sz val="10"/>
        <color theme="1"/>
        <rFont val="Santander Headline"/>
        <family val="2"/>
      </rPr>
      <t xml:space="preserve">
(a) include adaptation solutions that either substantially reduce the risk of the adverse impact of the current climate and the expected future climate on that economic activity or substantially reduce that adverse impact, without increasing the risk of an adverse impact on people, nature or assets; or 
(b) provides adaptation solutions that, in addition to satisfying the conditions set out in Article 16, contribute substantially to preventing or reducing the risk of the adverse impact of the current climate and the expected future climate on people, nature or assets, without increasing the risk of an adverse impact on other people, nature or assets.
This kind of activity shall also qualify as contributing substantially to the objective of climate change adaptation
</t>
    </r>
    <r>
      <rPr>
        <b/>
        <sz val="10"/>
        <color theme="1"/>
        <rFont val="Santander Headline"/>
        <family val="2"/>
      </rPr>
      <t xml:space="preserve">Enabling activity: </t>
    </r>
    <r>
      <rPr>
        <sz val="10"/>
        <color theme="1"/>
        <rFont val="Santander Headline"/>
        <family val="2"/>
      </rPr>
      <t xml:space="preserve">must be contributing substantially to one or more of the environmental objectives set out in the Taxonomy Regulation by directly enabling other activities to make a substantial contribution to one or more of those objectives, provided that such economic activity: 
(a) does not lead to a lock-in of assets that undermine long-term environmental goals, considering the economic lifetime of those assets; and 
(b) has a substantial positive environmental impact, on the basis of life-cycle considerations.
This kind of activity shall also qualify as contributing substantially to the objective of climate change mitigation or adaptation
</t>
    </r>
    <r>
      <rPr>
        <b/>
        <sz val="10"/>
        <color theme="1"/>
        <rFont val="Santander Headline"/>
        <family val="2"/>
      </rPr>
      <t>None of these activities:</t>
    </r>
    <r>
      <rPr>
        <sz val="10"/>
        <color theme="1"/>
        <rFont val="Santander Headline"/>
        <family val="2"/>
      </rPr>
      <t xml:space="preserve"> If none of this characteristics apply</t>
    </r>
  </si>
  <si>
    <r>
      <t xml:space="preserve">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
</t>
    </r>
    <r>
      <rPr>
        <b/>
        <sz val="10"/>
        <rFont val="Santander Headline"/>
        <family val="2"/>
      </rPr>
      <t>- Climate change mitigation</t>
    </r>
    <r>
      <rPr>
        <sz val="10"/>
        <rFont val="Santander Headline"/>
        <family val="2"/>
      </rPr>
      <t xml:space="preserve">, meaning that the transaction contributes  substantially to the stabilisation of greenhouse gas emissions by avoiding or reducing them or by enhancing greenhouse gas removals. 
</t>
    </r>
    <r>
      <rPr>
        <b/>
        <sz val="10"/>
        <rFont val="Santander Headline"/>
        <family val="2"/>
      </rPr>
      <t>- Climate change adaptation:</t>
    </r>
    <r>
      <rPr>
        <sz val="10"/>
        <rFont val="Santander Headline"/>
        <family val="2"/>
      </rPr>
      <t xml:space="preserve"> the transaction reduces or prevents the adverse impact of the present of future climate, or the risks of such adverse impact on the activity itself, or on people, nature or assets.
- </t>
    </r>
    <r>
      <rPr>
        <b/>
        <sz val="10"/>
        <rFont val="Santander Headline"/>
        <family val="2"/>
      </rPr>
      <t>The exposure does not contribute to any objective</t>
    </r>
    <r>
      <rPr>
        <sz val="10"/>
        <rFont val="Santander Headline"/>
        <family val="2"/>
      </rPr>
      <t>. 
Other 4 objectives are still under development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r>
  </si>
  <si>
    <t>HQ functional guidelines</t>
  </si>
  <si>
    <t>Completeness</t>
  </si>
  <si>
    <t>Accuracy</t>
  </si>
  <si>
    <t>Consistency</t>
  </si>
  <si>
    <t>Breakdown of information by type of counterparty, including: 
- Financial corporations (FC)
-- Credit institutions
-- Other financial corporations
--- Of which investment firms
--- Of which management companies
--- Of which insurance undertakings
- Non Financial corporations (NFC)
- Households
- Local governments</t>
  </si>
  <si>
    <t>Collateral</t>
  </si>
  <si>
    <r>
      <t>Building category. E.g, according to the Energy Performance of Buildings Directive 2010/31/EU (EPBD)</t>
    </r>
    <r>
      <rPr>
        <sz val="10"/>
        <color rgb="FFFF0000"/>
        <rFont val="Santander Headline"/>
        <family val="2"/>
      </rPr>
      <t>:</t>
    </r>
    <r>
      <rPr>
        <sz val="10"/>
        <color theme="1"/>
        <rFont val="Santander Headline"/>
        <family val="2"/>
      </rPr>
      <t xml:space="preserve">
(a) single-family houses of different types;
(b) apartment blocks;
(c) offices;
(d) educational buildings;
(e) hospitals;
(f) hotels and restaurants;
(g) sports facilities;
(h) wholesale and retail trade services buildings;
(i) other types of energy-consuming buildings</t>
    </r>
  </si>
  <si>
    <t>Average carbon emissions per vehicle mesured in CO2e/km.</t>
  </si>
  <si>
    <t xml:space="preserve">T6 T7 T8 T9.1 T9.2 T9.3 T.10 </t>
  </si>
  <si>
    <t>T6 T7 T8 T9.1 T9.2 T9.3</t>
  </si>
  <si>
    <t>Flag aligned under SFCS</t>
  </si>
  <si>
    <t>T1 T3 T4</t>
  </si>
  <si>
    <t>Identifier of residential and commercial immovable properties obtained by taking possession</t>
  </si>
  <si>
    <t>Economic activity breakdown for the purposes of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as staged in the Comission Delegated Regulation (EU) 2021/2139, Annex I and Annex II. E.g. Manufacture of renewable energy technologies, Manufacture of equipment for the production and use of hydrogen... etc (find the whole list of published economic activities here: https://eur-lex.europa.eu/legal-content/EN/TXT/?uri=PI_COM%3AC%282021%292800).</t>
  </si>
  <si>
    <t>National identification number</t>
  </si>
  <si>
    <t>ISIN of the issuer</t>
  </si>
  <si>
    <t>The ISIN number (ISO 6166) is a globally recognised identifier used for recognising particular financial instruments such as securities, bonds, futures, stocks, trusts and more. The ISIN is an extended version of the US Committee on Uniform Security Identification Procedures (CUSIP number).
Part of the ISIN code of the financial instrument allows to identify the issuer.</t>
  </si>
  <si>
    <t>The Legal Entity Identifier (LEI) is a 20-character, alpha-numeric code based on the ISO 17442 standard. It connects to key reference information that enables clear and unique identification of legal entities participating in financial transactions. Each LEI contains information about an entity’s ownership structure and thus answers the questions of 'who is who’ and ‘who owns whom’.</t>
  </si>
  <si>
    <t>Functional guidelines will be provided by HQ for sourcing this variable.</t>
  </si>
  <si>
    <t>NACE Code ESG</t>
  </si>
  <si>
    <t xml:space="preserve">The counterparty NACE sector allocation shall be based on the nature of the immediate counterparty. When the counterparty is a holding company, institutions shall consider the NACE sector of the specific obligor under the holding company (if different than the holding company itself) which receives the funding (i.e., the specific subsidiary of the holding company in question) rather than that of the holding company; particularly in those cases where the obligor that is benefiting from the financing is a non-financial corporate. Similarly, when the direct counterparty (the obligor) is a special purpose vehicle (SPV), institution shall disclose the relevant information under the NACE sector associated with the economic activity of the parent company of the SPV. The classification of the exposures incurred jointly by more than one obligor shall be done based on the characteristics of the obligor that was the more relevant, or determinant, for the institution to grant the exposure. The distribution of jointly incurred exposures by NACE codes shall be driven by the characteristics of the more relevant or determinant obligor.
NACE code ESG has to be completed with NACE level 4 detail </t>
  </si>
  <si>
    <t xml:space="preserve">National Classification of Economic Activities, prepared according to the conditions contained in the EC regulation 1893/2006 for the approval of the Statistical Nomenclature of Economic Activities of the European Community (NACE).
The counterparty NACE sector allocation shall be based on the nature of the immediate counterparty. Each counterparty has to be mapped to one single sector based on its principle activity
NACE code has to be completed with NACE level 4 detail </t>
  </si>
  <si>
    <t>Sensitive to impact from acute climate change events</t>
  </si>
  <si>
    <t>Sensitive to impact from chronic climate change events</t>
  </si>
  <si>
    <t xml:space="preserve">Information reported by companies on GHG financed emissions expressed in tonnes of carbon dioxide equivalent (tCO2e). It requires a breakdown by its 3 scopes:
- Scope 1 covers direct emissions from owned or controlled sources of the reporting company.
- Scope 2 covers indirect emissions from the generation of purchased electricity, steam, heating and cooling consumed by the reporting company. 
- Scope 3 covers indirect emissions in all sectors (except power). For financial institutions, this is scope 1, 2 and 3 of their counterparties.
All this information comes directly from the company, or from external databases such as Trucost and CDP.   </t>
  </si>
  <si>
    <t>- Indicator of exposure prone to impact from acute climate (extreme) climate-relate hazards, including hazards that may cause sudden damage to properties, disruption of supply chains, depreciation of assets as well as result in operational downtime and lost manufacturing for fixed assets. Acute climate events include:
- Heatwaves
- Coldwaves/frost
-Wildfire
- Cyclone, hurricane, typhoon, storm and tornado
- Droughts
- Heavy precipitation (rain, hail, snow/ice)
- Floods 
- Landslide and subsidence</t>
  </si>
  <si>
    <t>Indicator of exposure prone to impact from chronic (incremental, slow-onset) climate-related hazards, including hazards relating to gradual changes in weather and climate and having a possible impact on economic output and productivity. Chronic climate change events include:
- changing temperature (air, freshwater, marine water)
- heat stress and permafrost thawing
- changing wind patterns
- changing precipitation patterns and types (rain, hail, snow/ice) 
- sea level rise
- water stress
- soil and coastal erosion
- soil degradation</t>
  </si>
  <si>
    <t>Use of variable</t>
  </si>
  <si>
    <t>T5</t>
  </si>
  <si>
    <t>T1 T2 T3 T4 T5 T6 T7 T8 T9.1 T9.2 T9.3 T10</t>
  </si>
  <si>
    <t>T1</t>
  </si>
  <si>
    <t>Use of proceeds</t>
  </si>
  <si>
    <t>This flag allows to identify exposures that are considered green from a management perspective. I.e. not only uder EU Taxonomy criteria, understood as meeting the SFCS criteria.</t>
  </si>
  <si>
    <t>Pillar III: Uses and Guidelines</t>
  </si>
  <si>
    <t>Origin Source</t>
  </si>
  <si>
    <t>Local Data Owner</t>
  </si>
  <si>
    <t>Comments</t>
  </si>
  <si>
    <t>Format checking</t>
  </si>
  <si>
    <t>Ranges and dimensions validation</t>
  </si>
  <si>
    <t>Integrity checks between correlated data</t>
  </si>
  <si>
    <t>Duplicates detection</t>
  </si>
  <si>
    <t>Key data elements conciliation against other reporting</t>
  </si>
  <si>
    <t>Data Quality Indicators (DQIs)</t>
  </si>
  <si>
    <t>x</t>
  </si>
  <si>
    <t xml:space="preserve">Numeric  </t>
  </si>
  <si>
    <t>-All codes are part of the reference Group list of NACE codes
-Level 3 NACEs are required as a minimum. Level 4 is highly recommended (mandatory in future).</t>
  </si>
  <si>
    <t>Numeric (CO2 tonnes (TCO2))</t>
  </si>
  <si>
    <t>&gt;=0</t>
  </si>
  <si>
    <t>- If scope 2 informed, scope 1 should be informed
- If scope 3 informed, scope 1&amp;2 should be informed.</t>
  </si>
  <si>
    <t>Numeric</t>
  </si>
  <si>
    <t>All codes are part of the reference pre-defined list of values (NUT3, Postal Code or equivalent)</t>
  </si>
  <si>
    <t>Text</t>
  </si>
  <si>
    <t>Only an EPC label can be declared by property</t>
  </si>
  <si>
    <t>Numeric  (kgCO2/m²)</t>
  </si>
  <si>
    <t>Numeric (kWh/m² )</t>
  </si>
  <si>
    <t>-To be informed at least when EPC is required by local applicable law / internal bank's procedures.
 - Ideally for all potential existing cases. Same criteria as for EPC label.</t>
  </si>
  <si>
    <t>Numeric (m2)</t>
  </si>
  <si>
    <t>&gt;0</t>
  </si>
  <si>
    <t>Validate top/bottom 1% cases per type of property, to ensure units expressed are appropriate</t>
  </si>
  <si>
    <t>All codes are part of the reference pre-defined list of values (type, use)</t>
  </si>
  <si>
    <t>Expressed in currency</t>
  </si>
  <si>
    <t>Min / Max outliers (bottom/top 1%) to be reviewed to ensure reasonable figures (i.e. no matters related to currency and/or units)</t>
  </si>
  <si>
    <t>- Same average CO2 emissions for Autos with same characteristics (brand, model, type of vehicle, kind of fuel)
 - No changes in the characteristics of the Auto</t>
  </si>
  <si>
    <t>Possible values: 0,1</t>
  </si>
  <si>
    <t>Counterparty's total employees &lt; Groups's total employees</t>
  </si>
  <si>
    <t>%</t>
  </si>
  <si>
    <t xml:space="preserve">Consistency checks with external data </t>
  </si>
  <si>
    <t>Review with evidence of the total portfolio segmented by client relevance in which we see that the NACE is correct (external data, public information, risk analysts). Ensure that the NACE described is aligned with the main activity of the company</t>
  </si>
  <si>
    <t xml:space="preserve">Same as reported in FINREP </t>
  </si>
  <si>
    <t>In order facilitate reaching an understanding of the data requirements a description of the functionality of each column is provided below:</t>
  </si>
  <si>
    <r>
      <t xml:space="preserve">Metric Name: </t>
    </r>
    <r>
      <rPr>
        <sz val="11"/>
        <color theme="1"/>
        <rFont val="Santander Headline"/>
        <family val="2"/>
      </rPr>
      <t>Name given to the data</t>
    </r>
  </si>
  <si>
    <r>
      <t xml:space="preserve">Metric Description: </t>
    </r>
    <r>
      <rPr>
        <sz val="11"/>
        <color theme="1"/>
        <rFont val="Santander Headline"/>
        <family val="2"/>
      </rPr>
      <t xml:space="preserve"> Functional description of the data</t>
    </r>
  </si>
  <si>
    <r>
      <t xml:space="preserve">Scope Business: </t>
    </r>
    <r>
      <rPr>
        <sz val="11"/>
        <color theme="1"/>
        <rFont val="Santander Headline"/>
        <family val="2"/>
      </rPr>
      <t>Customer segment for which it is required to provision the data</t>
    </r>
  </si>
  <si>
    <r>
      <t xml:space="preserve">Level: </t>
    </r>
    <r>
      <rPr>
        <sz val="11"/>
        <color theme="1"/>
        <rFont val="Santander Headline"/>
        <family val="2"/>
      </rPr>
      <t>level of granularity of the information required (Counterparty, Contract,etc)</t>
    </r>
  </si>
  <si>
    <r>
      <t xml:space="preserve">Frequency: </t>
    </r>
    <r>
      <rPr>
        <sz val="11"/>
        <color theme="1"/>
        <rFont val="Santander Headline"/>
        <family val="2"/>
      </rPr>
      <t>frequency with which data is required</t>
    </r>
  </si>
  <si>
    <r>
      <t xml:space="preserve">Deadline for data availability: </t>
    </r>
    <r>
      <rPr>
        <sz val="11"/>
        <color theme="1"/>
        <rFont val="Santander Headline"/>
        <family val="2"/>
      </rPr>
      <t>when data need to be available to be consumed for be used in pilot or reporting</t>
    </r>
  </si>
  <si>
    <r>
      <t xml:space="preserve">Related Standard: </t>
    </r>
    <r>
      <rPr>
        <sz val="11"/>
        <color theme="1"/>
        <rFont val="Santander Headline"/>
        <family val="2"/>
      </rPr>
      <t>if data is used in other standard or regulation (e.g. FINREP). In affirmative case, data should be aligned with the data used in other standard</t>
    </r>
  </si>
  <si>
    <t>Pillar III</t>
  </si>
  <si>
    <r>
      <rPr>
        <i/>
        <sz val="11"/>
        <color theme="1"/>
        <rFont val="Santander Headline"/>
        <family val="2"/>
      </rPr>
      <t xml:space="preserve">Template: </t>
    </r>
    <r>
      <rPr>
        <sz val="11"/>
        <color theme="1"/>
        <rFont val="Santander Headline"/>
        <family val="2"/>
      </rPr>
      <t>Pillar III template in which this data is used</t>
    </r>
  </si>
  <si>
    <t>Structure for Pillar III Reporting: Master/Satelite</t>
  </si>
  <si>
    <r>
      <rPr>
        <i/>
        <sz val="11"/>
        <color theme="1"/>
        <rFont val="Santander Headline"/>
        <family val="2"/>
      </rPr>
      <t>Strategic Source:</t>
    </r>
    <r>
      <rPr>
        <sz val="11"/>
        <color theme="1"/>
        <rFont val="Santander Headline"/>
        <family val="2"/>
      </rPr>
      <t xml:space="preserve"> System in which the data will have to be stored (TO BE)</t>
    </r>
  </si>
  <si>
    <r>
      <t xml:space="preserve">External Data Providers referenced by Corporation: </t>
    </r>
    <r>
      <rPr>
        <sz val="11"/>
        <color theme="1"/>
        <rFont val="Santander Headline"/>
        <family val="2"/>
      </rPr>
      <t>Providers used in HQ for obtaining the data. In case you need to use external data, this option could be managed from HQ.</t>
    </r>
  </si>
  <si>
    <r>
      <t xml:space="preserve">Data Quality Indicators (DQIs): </t>
    </r>
    <r>
      <rPr>
        <sz val="11"/>
        <color theme="1"/>
        <rFont val="Santander Headline"/>
        <family val="2"/>
      </rPr>
      <t>DQIs must be reported to Corporation and remediation plan if needed</t>
    </r>
  </si>
  <si>
    <r>
      <rPr>
        <b/>
        <i/>
        <sz val="11"/>
        <color theme="1"/>
        <rFont val="Santander Headline"/>
        <family val="2"/>
      </rPr>
      <t xml:space="preserve">Completeness: </t>
    </r>
    <r>
      <rPr>
        <i/>
        <sz val="11"/>
        <color theme="1"/>
        <rFont val="Santander Headline"/>
        <family val="2"/>
      </rPr>
      <t>Measures if the population stored in the system is complete.</t>
    </r>
    <r>
      <rPr>
        <sz val="11"/>
        <color theme="1"/>
        <rFont val="Santander Headline"/>
        <family val="2"/>
      </rPr>
      <t xml:space="preserve"> It is needed to report the percentaje of blanks (missing information existing). For example, is needed to have information for 20.000 counterparties, however, you only have it for 18.000. Thus, your completeness would be 90%.</t>
    </r>
  </si>
  <si>
    <t>Accuracy:</t>
  </si>
  <si>
    <r>
      <rPr>
        <b/>
        <i/>
        <sz val="11"/>
        <color theme="1"/>
        <rFont val="Santander Headline"/>
        <family val="2"/>
      </rPr>
      <t xml:space="preserve">   Format checking:</t>
    </r>
    <r>
      <rPr>
        <i/>
        <sz val="11"/>
        <color theme="1"/>
        <rFont val="Santander Headline"/>
        <family val="2"/>
      </rPr>
      <t xml:space="preserve"> </t>
    </r>
    <r>
      <rPr>
        <sz val="11"/>
        <color theme="1"/>
        <rFont val="Santander Headline"/>
        <family val="2"/>
      </rPr>
      <t>It is needed to report the percentaje of data that does not meet the format criteria. For example, if the criterion is 'the data must be expressed in currency', you must inform what percentage is aligned with that statement.</t>
    </r>
  </si>
  <si>
    <r>
      <t xml:space="preserve"> </t>
    </r>
    <r>
      <rPr>
        <b/>
        <i/>
        <sz val="11"/>
        <color theme="1"/>
        <rFont val="Santander Headline"/>
        <family val="2"/>
      </rPr>
      <t xml:space="preserve"> Ranges and dimensions validation: </t>
    </r>
    <r>
      <rPr>
        <sz val="11"/>
        <color theme="1"/>
        <rFont val="Santander Headline"/>
        <family val="2"/>
      </rPr>
      <t>It is needed to report the percentaje of data that does not meet the range or dimensions criteria. For example, if a data is part of a reference pre-defined list of values, you should inform which percentaje of values if within this list.</t>
    </r>
  </si>
  <si>
    <r>
      <t xml:space="preserve">  </t>
    </r>
    <r>
      <rPr>
        <b/>
        <i/>
        <sz val="11"/>
        <color theme="1"/>
        <rFont val="Santander Headline"/>
        <family val="2"/>
      </rPr>
      <t>Integrity checks between correlated data:</t>
    </r>
    <r>
      <rPr>
        <i/>
        <sz val="11"/>
        <color theme="1"/>
        <rFont val="Santander Headline"/>
        <family val="2"/>
      </rPr>
      <t xml:space="preserve"> </t>
    </r>
    <r>
      <rPr>
        <sz val="11"/>
        <color theme="1"/>
        <rFont val="Santander Headline"/>
        <family val="2"/>
      </rPr>
      <t xml:space="preserve">Validates the relationships between data, based on business rules. For example, for the following business rule 'Counterparty's total employees &lt; Groups's total employees. The DQI should measure the percentaje of </t>
    </r>
  </si>
  <si>
    <t xml:space="preserve">  counterparties belonging to a Group whose number of employees is smaller than Group's number of employees.</t>
  </si>
  <si>
    <r>
      <t xml:space="preserve">   </t>
    </r>
    <r>
      <rPr>
        <b/>
        <sz val="11"/>
        <color theme="1"/>
        <rFont val="Santander Headline"/>
        <family val="2"/>
      </rPr>
      <t>Duplicates detection:</t>
    </r>
    <r>
      <rPr>
        <sz val="11"/>
        <color theme="1"/>
        <rFont val="Santander Headline"/>
        <family val="2"/>
      </rPr>
      <t xml:space="preserve"> There are no duplicates records</t>
    </r>
  </si>
  <si>
    <t>Consistency:</t>
  </si>
  <si>
    <r>
      <t xml:space="preserve">   </t>
    </r>
    <r>
      <rPr>
        <b/>
        <sz val="11"/>
        <color theme="1"/>
        <rFont val="Santander Headline"/>
        <family val="2"/>
      </rPr>
      <t xml:space="preserve">Key data elements conciliation against other reporting: </t>
    </r>
    <r>
      <rPr>
        <sz val="11"/>
        <color theme="1"/>
        <rFont val="Santander Headline"/>
        <family val="2"/>
      </rPr>
      <t>Validates data consistency and association between different regulations. For example, if NACE codes are used in Pillar III and FINREP, there should be a referential integrity between the values used en both reportings.</t>
    </r>
  </si>
  <si>
    <r>
      <t xml:space="preserve">Changes &gt; +/- 10% to be justified (i.e. changes in the composition of the portfolio due to the acquisition of material CRE, periodic updates of overduew EPC labels).
</t>
    </r>
    <r>
      <rPr>
        <b/>
        <sz val="10"/>
        <rFont val="Santander Headline"/>
        <family val="2"/>
      </rPr>
      <t xml:space="preserve">
Se va a pedir One-Off, no se si es viable ver tendencias o evoluciones</t>
    </r>
  </si>
  <si>
    <t>All possible labels are part of the reference Group list of EPCs. Possible values: A-G</t>
  </si>
  <si>
    <t>Same as reported in FINREP</t>
  </si>
  <si>
    <t>Same as reported in FINREP unless Counterparty under SPV or Holding Company with different NACE</t>
  </si>
  <si>
    <t xml:space="preserve">Real data preferred (published by counterparty) to estimations (sector/country average, PCAF), thus required effort to identify based on counterparty's publications. </t>
  </si>
  <si>
    <t>&gt;=0.
 In case value = 0 or &lt;0, review if it is correct.</t>
  </si>
  <si>
    <t>Flag: Building within the top 15% of PED</t>
  </si>
  <si>
    <t>Flag: Primary Energy Demand (PED) is 10 % lower than the threshold set for the nearly zero-energy building (NZEB)</t>
  </si>
  <si>
    <t>Flag: renovation leads to a reduction of primary energy demand (PED) of at least 30 %</t>
  </si>
  <si>
    <t>Flag: major renovation</t>
  </si>
  <si>
    <t>Flag: EU Taxonomy Auto threshold are met</t>
  </si>
  <si>
    <t>Posible values: 0,1</t>
  </si>
  <si>
    <t>T1 T3</t>
  </si>
  <si>
    <t>Type of climate risk that is being mitigated with a specific loan or debt: climate change transition risk. 'Transition risk’ is defined as the risk of losses arising from any negative financial impact on the institution stemming from the current or prospective impacts of the transition to an environmentally sustainable economy on its counterparties or invested assets.</t>
  </si>
  <si>
    <t>Type of climate risk that is being mitigated with a specific loan or debt: climate change physical risk. ‘Physical risk’, is defined as the risk of losses arising from any negative financial impact on the institution stemming from the current or prospective impacts of the physical effects of environmental factors on the institution’s counterparties or invested assets.</t>
  </si>
  <si>
    <t>Client &amp; Last Parent</t>
  </si>
  <si>
    <t>Flag of Listed Company in a EU Regulated Market</t>
  </si>
  <si>
    <t>This metric has been requested to be included in BDR. Comments on whether or not they will be included are pending. All units will be notified as soon as we receive it.</t>
  </si>
  <si>
    <t>Climate change physical risk</t>
  </si>
  <si>
    <t>Climate change transition risk</t>
  </si>
  <si>
    <t>Possible values: 
- Climate change mitigation (CCM), 
- Climate change adaptation (CCA)
- None of these</t>
  </si>
  <si>
    <t>Collateral / Client (exposures not collateralized)</t>
  </si>
  <si>
    <t xml:space="preserve">Flag: Banking book </t>
  </si>
  <si>
    <t>Revenues of a company, according to its annual financial statements.</t>
  </si>
  <si>
    <t>Client's Turnover</t>
  </si>
  <si>
    <t>Client's Group Turnover</t>
  </si>
  <si>
    <t>Client's own funds</t>
  </si>
  <si>
    <t>Client's Group own funds</t>
  </si>
  <si>
    <t>All those elements that constitute the company's accounting equity.</t>
  </si>
  <si>
    <t>Client's number of employees</t>
  </si>
  <si>
    <t>Client's Group number of employees</t>
  </si>
  <si>
    <t>Number of workers in the firm.</t>
  </si>
  <si>
    <t>It is needed to record the number of employees of the last parent of each of your customers.</t>
  </si>
  <si>
    <t>It is needed to record the own funds of the last parent of each of your customers.</t>
  </si>
  <si>
    <t>Last Parent</t>
  </si>
  <si>
    <t>Client's debt securities issued</t>
  </si>
  <si>
    <t>Client's group debt securities issued</t>
  </si>
  <si>
    <t>Client's total assets on the balance sheet</t>
  </si>
  <si>
    <t>Client's group total assets on the balance sheet</t>
  </si>
  <si>
    <t>Counterparty's own funds &lt; Group's own funds</t>
  </si>
  <si>
    <t>Counterparty's turnover &lt; Group's turnover</t>
  </si>
  <si>
    <t>Counterparty's total assets &lt; Group's total assets</t>
  </si>
  <si>
    <t>Counterparty's debt securities issued &lt; Group's debt securities issued</t>
  </si>
  <si>
    <t>BDR: 
Table: JM_CLIEN_JURI
Var: G5508_NUM_EMPL</t>
  </si>
  <si>
    <t>BDR: 
Table: JM_GRUP_ECONO
Var: G5512_NUM_EMPL</t>
  </si>
  <si>
    <t>BDR: 
Table: JM_CLIEN_JURI
Var: G5508_TOT_ACTI</t>
  </si>
  <si>
    <t>BDR: 
Table: JM_GRUP_ECONO
Var: G5512_TOT_ACTI</t>
  </si>
  <si>
    <t>BDR: 
Table: JM_CLIEN_JURI
Var: G5508_IMPFACTM</t>
  </si>
  <si>
    <t>BDR: 
Table: JM_GRUP_ECONO
Var: G5512_IMPFACTM</t>
  </si>
  <si>
    <t>This metric has not been requested to be included in BDR for this evolution of the model. It will be requested next year for the following evolution. Until then, this information should be stored in local systems. All units will be notified as soon as we receive it.</t>
  </si>
  <si>
    <t>Geography of the counterparty: NUTS</t>
  </si>
  <si>
    <t>Geography of the counterparty: Full Address</t>
  </si>
  <si>
    <t xml:space="preserve">Postal Code associated to the location of the counterparty's country, geographical or administrative region where activities of the counterparty are located. </t>
  </si>
  <si>
    <t xml:space="preserve">Full address associated to the location of the counterparty's country, geographical or administrative region where activities of the counterparty are located. </t>
  </si>
  <si>
    <t>BDR
Table: JM_CLIENT_BII
Var: G4093_CDPOSTAL</t>
  </si>
  <si>
    <t>Flag: Companies excluded from EU Paris-aligned benchmarks</t>
  </si>
  <si>
    <r>
      <rPr>
        <i/>
        <sz val="11"/>
        <color theme="4"/>
        <rFont val="Santander Headline"/>
        <family val="2"/>
      </rPr>
      <t xml:space="preserve">Available in local systems?: </t>
    </r>
    <r>
      <rPr>
        <i/>
        <sz val="11"/>
        <color theme="1"/>
        <rFont val="Santander Headline"/>
        <family val="2"/>
      </rPr>
      <t>This cell should be completed by you answering if each data is available in your unit or not</t>
    </r>
  </si>
  <si>
    <r>
      <rPr>
        <i/>
        <sz val="11"/>
        <color theme="4"/>
        <rFont val="Santander Headline"/>
        <family val="2"/>
      </rPr>
      <t>Origin Source (AS IS)</t>
    </r>
    <r>
      <rPr>
        <sz val="11"/>
        <color theme="4"/>
        <rFont val="Santander Headline"/>
        <family val="2"/>
      </rPr>
      <t>:</t>
    </r>
    <r>
      <rPr>
        <sz val="11"/>
        <color theme="1"/>
        <rFont val="Santander Headline"/>
        <family val="2"/>
      </rPr>
      <t xml:space="preserve"> If 'Available in local systems?' == Yes, please, describe in which system is this information stored</t>
    </r>
  </si>
  <si>
    <r>
      <t xml:space="preserve">Local Data Owner: </t>
    </r>
    <r>
      <rPr>
        <i/>
        <sz val="11"/>
        <rFont val="Santander Headline"/>
        <family val="2"/>
      </rPr>
      <t xml:space="preserve">This cell should be completed by you defining a Data Owner for each data </t>
    </r>
  </si>
  <si>
    <t>Full address associated to the location of the collateral</t>
  </si>
  <si>
    <t>Postal Code associated to the location of the collateral</t>
  </si>
  <si>
    <t>Geography of the collateral: NUTS</t>
  </si>
  <si>
    <t>Geography of the collateral: Full Address</t>
  </si>
  <si>
    <t>CESG_CNAE_ESG</t>
  </si>
  <si>
    <t>CESG_CNAE_ESG
ENPC_Energy_Performance_Certificate</t>
  </si>
  <si>
    <t>ENPC_Energy_Performance_Certificate</t>
  </si>
  <si>
    <t>CESG_CNAE_ESG
ENPC_Energy_Performance_Certificate
MITI_Mitigation actions
GARB_GAR &amp; BTAR</t>
  </si>
  <si>
    <t>CESG_CNAE_ESG
ENPC_Energy_Performance_Certificate
GARB_GAR &amp; BTAR</t>
  </si>
  <si>
    <t>GARB_GAR &amp; BTAR</t>
  </si>
  <si>
    <t>MITI_Mitigation actions</t>
  </si>
  <si>
    <t>N/A - Variable not reported in the satelite, used as an input</t>
  </si>
  <si>
    <t>BDR
Table: JM_INMUEBLES
Var: O9270_TIP_PPDA</t>
  </si>
  <si>
    <t>BDR: 
Table: JM_CLIEN_JURI
Var: G5508_TOT_EQTY</t>
  </si>
  <si>
    <t>BDR: 
Table: JM_CLIEN_JURI
Var: G5508_TDEUDACL</t>
  </si>
  <si>
    <t>BDR: 
Table: JM_GRUP_ECONO
Var: G5512_TDEUDAGR</t>
  </si>
  <si>
    <t>Total assets of the company according to is annual financial statements.</t>
  </si>
  <si>
    <t>It is needed to record the revenues of the last parent of each of your customers.</t>
  </si>
  <si>
    <t>Sourcing</t>
  </si>
  <si>
    <t>No</t>
  </si>
  <si>
    <t>Yes</t>
  </si>
  <si>
    <t>External Data Providers referenced by HQ</t>
  </si>
  <si>
    <t>BDR: 
Table: JM_CLIEN_JURI
Var: G5508_ORIG_FAC</t>
  </si>
  <si>
    <t>Date of reference of the fnancial statetements of the counterparty.</t>
  </si>
  <si>
    <t>BDR: 
Table: JM_CLIEN_JURI
Var: G5508_INFFECHA</t>
  </si>
  <si>
    <t>BDR
Table: JM_CLIGLO_CUA
Var: T2888_TIPENTID</t>
  </si>
  <si>
    <r>
      <t xml:space="preserve">-	</t>
    </r>
    <r>
      <rPr>
        <b/>
        <sz val="10"/>
        <rFont val="Santander Headline"/>
        <family val="2"/>
      </rPr>
      <t>Loans and advances:</t>
    </r>
    <r>
      <rPr>
        <sz val="10"/>
        <rFont val="Santander Headline"/>
        <family val="2"/>
      </rPr>
      <t xml:space="preserve"> debt instruments held by the institutions that are not securities. That item includes loans as well as advances that cannot be classified as “loans”.  
-	</t>
    </r>
    <r>
      <rPr>
        <b/>
        <sz val="10"/>
        <rFont val="Santander Headline"/>
        <family val="2"/>
      </rPr>
      <t>Debt securities:</t>
    </r>
    <r>
      <rPr>
        <sz val="10"/>
        <rFont val="Santander Headline"/>
        <family val="2"/>
      </rPr>
      <t xml:space="preserve"> debt instruments held by the institution issued as securities that are not loans
-	</t>
    </r>
    <r>
      <rPr>
        <b/>
        <sz val="10"/>
        <rFont val="Santander Headline"/>
        <family val="2"/>
      </rPr>
      <t>Equity instruments:</t>
    </r>
    <r>
      <rPr>
        <sz val="10"/>
        <rFont val="Santander Headline"/>
        <family val="2"/>
      </rPr>
      <t xml:space="preserve"> any contract that evidences an interest  in the asset of an entity.</t>
    </r>
  </si>
  <si>
    <t>Needed to report a tactical to HQ?</t>
  </si>
  <si>
    <t>Instructions</t>
  </si>
  <si>
    <t>Satelite: Pilar III satelite in which this data is used.</t>
  </si>
  <si>
    <r>
      <t xml:space="preserve">Needed to be report to HQ?: </t>
    </r>
    <r>
      <rPr>
        <sz val="11"/>
        <color theme="1"/>
        <rFont val="Santander Headline"/>
        <family val="2"/>
      </rPr>
      <t>If 'Yes', a tactical file must be reported to HQ in order to identify hazards and quickly create action plans. If this information is already available in BDR it is not necessary to report the data.</t>
    </r>
  </si>
  <si>
    <t xml:space="preserve">T1 T6 T7 T8 T9.1 T9.2 T9.3 T.10 </t>
  </si>
  <si>
    <t>GHG reported emissions: Scope 1</t>
  </si>
  <si>
    <t>GHG reported emissions: Scope 2</t>
  </si>
  <si>
    <t>GHG reported emissions: Scope 3</t>
  </si>
  <si>
    <r>
      <t xml:space="preserve">Financing Category (level 2) - required to identify the concept of </t>
    </r>
    <r>
      <rPr>
        <b/>
        <sz val="10"/>
        <rFont val="Santander Headline"/>
        <family val="2"/>
      </rPr>
      <t>Sustainability Linked Finance</t>
    </r>
    <r>
      <rPr>
        <sz val="10"/>
        <rFont val="Santander Headline"/>
        <family val="2"/>
      </rPr>
      <t xml:space="preserve"> (Template 10 - Other Mitigating actions).
Sustainability Linked Finance: transactions whose financing does not necessary have a specific purpose and are designated to incentivize clients to achieve their sustainability goals and commitments. Their structure is based on the achievement of pre-determined sustainability performance targets (SPTs)</t>
    </r>
  </si>
  <si>
    <t>MdD_83_MITI_Mitigation actions</t>
  </si>
  <si>
    <t>Possible values: 
- Sustainability Linked Finance 
- Other</t>
  </si>
  <si>
    <t>Financing Category (according to the SFCS)</t>
  </si>
  <si>
    <t xml:space="preserve">If the use of proceeds is unknown, the type of financing is considered to be general purpose.
If the use of proceeds is known, the first level of this category will be taken (e.g. Energy, Transport, Real Estate, Manufacturing, etc).  </t>
  </si>
  <si>
    <t>Location of the collateral's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</si>
  <si>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This flag allows to identify the Banking book, which comprises the following FINREP portfolios:
- Loans and receivables and held-to-maturity investments
- Non-trading non-derivative financial assets measured at fair value to equity
- Non-trading debt instruments measured at a cost-based method
- Other non-trading non-derivative financial assets</t>
  </si>
  <si>
    <t>This flag allows to identify companies whose  transferable securities are admitted to trading on a regulated market of any Member State.</t>
  </si>
  <si>
    <t>This flag allows to identify audited financial statements of the counterparty.</t>
  </si>
  <si>
    <t>This flag allows to identify the eligible exposures towards sectors (4 level NACE codes) relevant for the corresponding environmental objective according to the Taxonomy, as specified in the technical annex to the Commission Delegated Regulation18 on technical screening criteria for determining the conditions under which an economic activity qualifies as environmentally sustainable.
Institutions shall disclose exposures towards relevant sectors under the objective of climate change mitigation in accordance with Article 9, point (a)and Article 10 of Regulation (EU) 2020/852. Or under the objective of climate change adaptation in accordance with Article 9, point (b) and Article 11 of Regulation (EU) 2020/852.</t>
  </si>
  <si>
    <t>This flag allows to identify specialised lending transactions. Specialised lending or project finance transactions refer to those exposures which possess the following characteristics:
(a) the exposure is to an entity which was created specifically to finance or operate physical assets or is an economically comparable exposure;
(b) the contractual arrangements give the lender a substantial degree of control over the assets and the income that they generate;
(c) the primary source of repayment of the obligation is the income generated by the assets being financed, rather than the independent capacity of a broader commercial enterprise.</t>
  </si>
  <si>
    <r>
      <t xml:space="preserve">This flag allows to identify if the NFRD is applicable:
'- </t>
    </r>
    <r>
      <rPr>
        <b/>
        <sz val="10"/>
        <rFont val="Santander Headline"/>
        <family val="2"/>
      </rPr>
      <t>NFCs subject to NFRD disclosure obligations.</t>
    </r>
    <r>
      <rPr>
        <sz val="10"/>
        <rFont val="Santander Headline"/>
        <family val="2"/>
      </rPr>
      <t xml:space="preserve"> Large corporations and quasi-corporations not engaged in financial intermediation but principally in the production of market goods and non-financial services, considered public interest entities exceeding on their balance sheet dates the criterion of the average number of 500 employees during the financial year.
'- </t>
    </r>
    <r>
      <rPr>
        <b/>
        <sz val="10"/>
        <rFont val="Santander Headline"/>
        <family val="2"/>
      </rPr>
      <t>SMEs and NFC (other than SMEs) not subject to NFRD disclosure obligation</t>
    </r>
    <r>
      <rPr>
        <sz val="10"/>
        <rFont val="Santander Headline"/>
        <family val="2"/>
      </rPr>
      <t>s. For disclosures involving corporates not subject to NFRD disclosure obligations, including SMEs, when assessing general purpose lending/financing with unknown use of proceeds, institutions shall follow a simplified approach and focus their assessment on the main economic activity of the corporate, that is, on their main source of turnover, in order to determine the overall alignment of the exposures with the Taxonomy Regulation. In the case of specialised lending the assessment shall be based on the extent and proportion to which the specific project funded qualify as contributing substantially to climate change mitigation or adaptation (project specific information).</t>
    </r>
  </si>
  <si>
    <t>This flag allows to identify which counterparties that are excluded from the EU Paris-aligned Benchmarks as specified in Article 12.1, points (d) to (g) and Article 12.2 of Commission Delegated Regulation (EU) 2020/1818:
d) companies that derive 1 % or more of their revenues from exploration, mining, extraction, distribution or refining of hard coal and lignite; 
(e) companies that derive 10 % or more of their revenues from the exploration, extraction, distribution or refining of oil fuels; 
(f) companies that derive 50 % or more of their revenues from the exploration, extraction, manufacturing or distribution of gaseous fuels; 
(g) companies that derive 50 % or more of their revenues from electricity generation with a GHG intensity of more than 100 g CO2 e/kWh. 
Companies to significantly harm one or more of the environmental objectives referred to in Article 9 of Regulation (EU) 2020/852 of the European Parliament and of the Council (8), in accordance with 
the rules on estimations laid down in Article 13(2) of this Regulation</t>
  </si>
  <si>
    <t>Flag eligible under EU Taxonomy</t>
  </si>
  <si>
    <t>Taxonomy-eligible Capex</t>
  </si>
  <si>
    <t xml:space="preserve">Proportion of Capex eligible according to European Taxonomy, that is, that might make a sustantial contribution to an objective of the EU Taxonomy. This variable applies when the use of proceeds is unknown. </t>
  </si>
  <si>
    <t>Taxonomy-eligible Opex</t>
  </si>
  <si>
    <t>Taxonomy-eligible Turnover</t>
  </si>
  <si>
    <t xml:space="preserve">Proportion of Turnover eligible according to European Taxonomy, that is, that might make a sustantial contribution to an objective of the EU Taxonomy. This variable applies when the use of proceeds is unknown. </t>
  </si>
  <si>
    <t>Environmental objective</t>
  </si>
  <si>
    <t xml:space="preserve">This flag allows to identify the gross carrying amount of eligible exposures that are environmentally sustainable, as specified in the technical annex to the Commission Delegated Regulation on technical screening criteria for determining the conditions under which an economic activity qualifies as environmentally sustainable.
Institutions shall disclose environmentally sustainable exposures under the objective of climate change mitigation in accordance with Article 9, point (a) and Article 10 of Regulation (EU) 2020/852. Or under objective of climate change adaptation in accordance with Article 9, point (b) and Article 11 of Regulation (EU) 2020/852.
This variable applies when the use of proceeds is known (specialised lending, e.g. project finance loans). It should be disclosed to the extent to which the exposure is environmentally sustainable based on the extent and proportion to which the project funded contributes substantially to climate change mitigation, in accordance with Article 10, or is an enabling activity in accordance with Article 16, and meets the criteria specified in Article 3 of the same regulation. 
So far, only 2 out of the 6 objectives of the EU Taxonomy have been released. </t>
  </si>
  <si>
    <t>BDR
Table: JM_INM_POSADJ
Var: O9220_TIP_ACT</t>
  </si>
  <si>
    <t>Geography of the collateral: ZIP Code</t>
  </si>
  <si>
    <t>Geography of the counterparty: ZIP Code</t>
  </si>
  <si>
    <t>T7 T8 T9.1 T9.2 T9.3</t>
  </si>
  <si>
    <t xml:space="preserve">T7 T8 T9.1 T9.2 T9.3 </t>
  </si>
  <si>
    <t>T6 T7 T8 T9.1 T9.2 T9.3 T10</t>
  </si>
  <si>
    <t>EP Score</t>
  </si>
  <si>
    <t>GHGE_GHG Financed emissions</t>
  </si>
  <si>
    <r>
      <t>CESG_CNAE_ESG
ENPC_Energy_Performance_Certificate
GARB_GAR &amp; BTAR</t>
    </r>
    <r>
      <rPr>
        <sz val="10"/>
        <color rgb="FF0070C0"/>
        <rFont val="Santander Headline"/>
        <family val="2"/>
      </rPr>
      <t xml:space="preserve">
GHGE_GHG Financed emissions</t>
    </r>
  </si>
  <si>
    <t>CESG_CNAE_ESG
ENPC_Energy_Performance_Certificate
MITI_Mitigation actions
GARB_GAR &amp; BTAR
GHGE_GHG Financed emissions</t>
  </si>
  <si>
    <t>CESG_CNAE_ESG
ENPC_Energy_Performance_Certificate
GARB_GAR &amp; BTAR
GHGE_GHG Financed emissions</t>
  </si>
  <si>
    <t>EPC Label: Flag original / calculated</t>
  </si>
  <si>
    <t>EP Score: Flag original / calculated</t>
  </si>
  <si>
    <t>This flag allows to identify if the EPC Label data is original or calculated. Original data means that the EPC data asigned to the collateral is a real value of the EPC label vs "calculated", meaning that the institution has applied some kind of methodology to estimate the EPC related data.</t>
  </si>
  <si>
    <t>This flag allows to identify if the EPC score data is original or calculated. Original data means that the EPC data asigned to the collateral is a real value of the EPC score vs "calculated", meaning that the institution has applied some kind of methodology to estimate the EPC related data.</t>
  </si>
  <si>
    <t>SFCS category two levels of information. E.g.: Energy (level 01) &amp; Renewable energy production (level 02) or Transport (level 01) &amp; Land transport (level 02)</t>
  </si>
  <si>
    <t>It is needed to record the total assets of the last parent of each of your customers</t>
  </si>
  <si>
    <t>Letter code representing the energy performance of the collateral (from A to G) regarding the energy consumption.
For EU countries, the label of the energy performance certificate (EPC) recognised by a Member State or by a legal person designated by it, which indicates the energy performance of a building or building unit, calculated according to the methodology set out in Annex I of 2010/31/EU Directive. 
For exposures outside the EU,  the label of the EPC of the collateral as defined in the relevant regulation, where a mapping to the EU EPC label exists.</t>
  </si>
  <si>
    <t>Purpose ESG</t>
  </si>
  <si>
    <t>GARB_GAR &amp; BTAR
MITI_Mitigation actions</t>
  </si>
  <si>
    <t>Potential breakdown for households and local government purposes (Building Renovation Loans, Motor Vehicles Loans, Other Househodkds Purpose  and Other)</t>
  </si>
  <si>
    <r>
      <rPr>
        <b/>
        <sz val="11"/>
        <color theme="1"/>
        <rFont val="Santander Headline"/>
        <family val="2"/>
      </rPr>
      <t>Eligibility of balance sheet:</t>
    </r>
    <r>
      <rPr>
        <sz val="11"/>
        <color theme="1"/>
        <rFont val="Santander Headline"/>
        <family val="2"/>
      </rPr>
      <t xml:space="preserve"> Preference to use the most recent audited annual accounts available in the last 24 months with respect to the reporting date. </t>
    </r>
  </si>
  <si>
    <t xml:space="preserve">   - If audited annual accounts are not available, unaudited accounts can be used</t>
  </si>
  <si>
    <t xml:space="preserve">   - If unaudited accounts are not available, the ones used in the rating calculation will applyy.</t>
  </si>
  <si>
    <t xml:space="preserve">If the balance sheet of the last 24 months is not available, previous balance sheet will be used, following the same priority as explained before. </t>
  </si>
  <si>
    <t>Campo</t>
  </si>
  <si>
    <r>
      <t xml:space="preserve">What percentage of assets is aligned with the European Taxonomy.
These are the following alignment ratios according to each Financial Corporation:
</t>
    </r>
    <r>
      <rPr>
        <i/>
        <sz val="10"/>
        <rFont val="Santander Headline"/>
        <family val="2"/>
      </rPr>
      <t xml:space="preserve"> - ) Credit institutions - Green Asset Ratio
 - ) Asset Managers - Green Investment Ratio
 - ) Investment Firms - KPI for their core investment services and activities
 - ) Insurers/reinsurers - KPIs related to their investments and underwriting activities</t>
    </r>
  </si>
  <si>
    <r>
      <t xml:space="preserve">What percentage of assets is eligible according to the European Taxonomy
These are the following eligibility ratios according to each Financial Corporation:
</t>
    </r>
    <r>
      <rPr>
        <i/>
        <sz val="10"/>
        <rFont val="Santander Headline"/>
        <family val="2"/>
      </rPr>
      <t xml:space="preserve"> - ) Credit institutions - Green Asset Ratio
 - ) Asset Managers - Green Investment Ratio
 - ) Investment Firms - KPI for their core investment services and activities
 - ) Insurers/reinsurers - KPIs related to their investments and underwriting activities</t>
    </r>
  </si>
  <si>
    <t>Reference date of the information</t>
  </si>
  <si>
    <t>Date of origination</t>
  </si>
  <si>
    <t>BDR
Table: JM_CONTR_BIS
Var: G4095_FECHAPER</t>
  </si>
  <si>
    <t>Opening date of the operation</t>
  </si>
  <si>
    <t>The defined point in time to collect all available information/live contracts as of that date</t>
  </si>
  <si>
    <t>BDR: 
Table: JM_GARA_REAL
Var: codposgr</t>
  </si>
  <si>
    <t xml:space="preserve">This flag allows to identify if the data is original data refered to counterparties’ scope 1 emissions associated with lending and investment activities based on information disclosed by the Group's counterparties or reported to the Group on bilateral basis. </t>
  </si>
  <si>
    <t xml:space="preserve">This flag allows to identify if the data is original data refered to counterparties’ scope 2 emissions associated with lending and investment activities based on information disclosed by the Group's counterparties or reported to the Group on bilateral basis. </t>
  </si>
  <si>
    <t xml:space="preserve">This flag allows to identify if the data is original data refered to counterparties’ scope 3 emissions associated with lending and investment activities based on information disclosed by the Group's counterparties or reported to the Group on bilateral basis. </t>
  </si>
  <si>
    <t>GHG Reported  Emissions - scope 1: flag original / calculated</t>
  </si>
  <si>
    <t>GHG Reported  Emissions - scope 2: flag original / calculated</t>
  </si>
  <si>
    <t>GHG Reported  Emissions - scope 3: flag original / calculated</t>
  </si>
  <si>
    <t>DQ score emissions scope 1</t>
  </si>
  <si>
    <t>DQ score emissions scope 2</t>
  </si>
  <si>
    <t>DQ score emissions scope 3</t>
  </si>
  <si>
    <t>Data quality is one of the key components highlighted by the standard, in which data quality score tables rank for each defined asset class from 1 (Highest Data Quality) to 5 (Lowest Data Quality).</t>
  </si>
  <si>
    <r>
      <t xml:space="preserve">Breakdown of pledges backing loans, distinguising:
- </t>
    </r>
    <r>
      <rPr>
        <b/>
        <sz val="10"/>
        <rFont val="Santander Headline"/>
        <family val="2"/>
      </rPr>
      <t>Residential property</t>
    </r>
    <r>
      <rPr>
        <sz val="10"/>
        <rFont val="Santander Headline"/>
        <family val="2"/>
      </rPr>
      <t xml:space="preserve">. Residential property is defined as a residence which is occupied by the owner or the lessee of the residence, including the right to inhabit an apartment in housing cooperatives located in Sweden.
- </t>
    </r>
    <r>
      <rPr>
        <b/>
        <sz val="10"/>
        <rFont val="Santander Headline"/>
        <family val="2"/>
      </rPr>
      <t>Commercial property</t>
    </r>
    <r>
      <rPr>
        <sz val="10"/>
        <rFont val="Santander Headline"/>
        <family val="2"/>
      </rPr>
      <t xml:space="preserve">. Immovable property other than residential, including offices and commercial premises and other types of commercial immovable property
- </t>
    </r>
    <r>
      <rPr>
        <b/>
        <sz val="10"/>
        <rFont val="Santander Headline"/>
        <family val="2"/>
      </rPr>
      <t>Other.</t>
    </r>
    <r>
      <rPr>
        <sz val="10"/>
        <rFont val="Santander Headline"/>
        <family val="2"/>
      </rPr>
      <t xml:space="preserve"> When a collateral is neither classified as residential nor commercial property. </t>
    </r>
  </si>
  <si>
    <r>
      <t xml:space="preserve">Breakdown of immovable properties obtained by taking posession, distinguising:
- </t>
    </r>
    <r>
      <rPr>
        <b/>
        <sz val="10"/>
        <rFont val="Santander Headline"/>
        <family val="2"/>
      </rPr>
      <t>Residential property</t>
    </r>
    <r>
      <rPr>
        <sz val="10"/>
        <rFont val="Santander Headline"/>
        <family val="2"/>
      </rPr>
      <t xml:space="preserve">. Residential property is defined as a residence which is occupied by the owner or the lessee of the residence, including the right to inhabit an apartment in housing cooperatives located in Sweden.
- </t>
    </r>
    <r>
      <rPr>
        <b/>
        <sz val="10"/>
        <rFont val="Santander Headline"/>
        <family val="2"/>
      </rPr>
      <t>Commercial property</t>
    </r>
    <r>
      <rPr>
        <sz val="10"/>
        <rFont val="Santander Headline"/>
        <family val="2"/>
      </rPr>
      <t xml:space="preserve">. Immovable property other than residential, including offices and commercial premises and other types of commercial immovable property
- </t>
    </r>
    <r>
      <rPr>
        <b/>
        <sz val="10"/>
        <rFont val="Santander Headline"/>
        <family val="2"/>
      </rPr>
      <t>Other</t>
    </r>
    <r>
      <rPr>
        <sz val="10"/>
        <rFont val="Santander Headline"/>
        <family val="2"/>
      </rPr>
      <t xml:space="preserve">. When a collateral is neither classified as residential nor commercial property. </t>
    </r>
  </si>
  <si>
    <t>Cambios (ES)</t>
  </si>
  <si>
    <t>Cardinality</t>
  </si>
  <si>
    <t>Liabilities of the last parent of each of your customers.</t>
  </si>
  <si>
    <t>Liabilities of a company, according to its annual financial statements.</t>
  </si>
  <si>
    <t>Loan tapes inclusion</t>
  </si>
  <si>
    <t>No (esperaría que ya esté incluida)</t>
  </si>
  <si>
    <t>Yes at a NACE4 level</t>
  </si>
  <si>
    <t>CAMBIOS</t>
  </si>
  <si>
    <t>Si ya tenemos el NUTS y el Zip, queremos el address?</t>
  </si>
  <si>
    <t>Se pueden usar para calcular las emisiones financiadas para CRE. Si no calculamos emisiones para esta cartera, no es una métrica necesaria</t>
  </si>
  <si>
    <t>Quitamos la métrica porque es para estimación de EPCs</t>
  </si>
  <si>
    <t>Track changes v4</t>
  </si>
  <si>
    <t>Funding Type</t>
  </si>
  <si>
    <t>Risk Mitigated CCT</t>
  </si>
  <si>
    <t>Risk Mitigated CCP</t>
  </si>
  <si>
    <t>Nueva métrica incluida en el diccionario</t>
  </si>
  <si>
    <t xml:space="preserve">T2 T5 T6 T7 T8 T9.1 T9.2 </t>
  </si>
  <si>
    <t xml:space="preserve">% Collateralised </t>
  </si>
  <si>
    <t>Quitamos su uso en la template 9.3</t>
  </si>
  <si>
    <t>T2 T5 T6 T7 T8 T9.1 T9.2 T9.3</t>
  </si>
  <si>
    <t>T1, T2, T3, T4, T5, T6, T7, T8, T9, T10</t>
  </si>
  <si>
    <t>Añadimos su uso en las templates 5 y 10</t>
  </si>
  <si>
    <t xml:space="preserve">T2, T5 </t>
  </si>
  <si>
    <t>Añadimos su uso en la template 2</t>
  </si>
  <si>
    <t>Cambio del satélite de CNAE a GHG</t>
  </si>
  <si>
    <t>ENPC_Energy_Performance_Certificate
CESG_CNAE_ESG
GARB_GAR &amp; BTAR</t>
  </si>
  <si>
    <t>Taken possesion</t>
  </si>
  <si>
    <t>Añadimos su uso en el satélite ENPC</t>
  </si>
  <si>
    <t xml:space="preserve">CESG_CNAE_ESG
ENPC_Energy_Performance_Certificate
GARB_GAR &amp; BTAR
MITI_Mitigation actions
</t>
  </si>
  <si>
    <t xml:space="preserve">T1 T2 T3 T5 T6 T7 T8 T9.1 T9.2 T9.3 T10 </t>
  </si>
  <si>
    <t>Añadimos su uso en la template 10</t>
  </si>
  <si>
    <t>T2 T6 T7 T8 T9.1 T9.2 T9.3 T10</t>
  </si>
  <si>
    <t>ENPC_Energy_Performance_Certificate
GARB_GAR &amp; BTAR
MITI_Mitigation actions</t>
  </si>
  <si>
    <t>Añadimos su uso en el satélite de MITI</t>
  </si>
  <si>
    <t xml:space="preserve">T4 T6 T7 T8 T9.1 T9.2 T9.3  </t>
  </si>
  <si>
    <t>Banking Book: Non-Financial Corporation</t>
  </si>
  <si>
    <t>Banking Book: Households (Commercial and Residential)</t>
  </si>
  <si>
    <t>Banking Book: Non-Financial Corporation, Households (Commercial and Residential) and Repossessed Collaterals</t>
  </si>
  <si>
    <t>Banking Book: Households (Commercial and Residential) and Repossessed Collaterals</t>
  </si>
  <si>
    <t>Banking Book: Financial Corporations, Non-Financial Corporations, Credit Institutions, Households (Commercial and Residential), General Governments</t>
  </si>
  <si>
    <t>Banking Book: Non-Financial Corporations</t>
  </si>
  <si>
    <t>Columna Scope Business</t>
  </si>
  <si>
    <t>Modificada para que los sectores estén alineados</t>
  </si>
  <si>
    <t>Alignment Metric</t>
  </si>
  <si>
    <t>La quitamos del diccionario ya que las unidades no usan esta métrica</t>
  </si>
  <si>
    <t>Banking Book: Repossessed Collaterals</t>
  </si>
  <si>
    <t>Modificada con la info. Utilizada en el reporte de Pilar 3</t>
  </si>
  <si>
    <t>Quitamos la métrica porque las unidades ya tienen el SFCS y no la utilizan</t>
  </si>
  <si>
    <t>KPI for Financial Institutions</t>
  </si>
  <si>
    <t>Banking Book: Non-Financial Corporation, Households (Commercial and Residential) and General Governments</t>
  </si>
  <si>
    <t>Banking Book: Financial Corporations and Non-Financial Corporations</t>
  </si>
  <si>
    <t>Banking Book: Households (Commercial and Residential) and General Governments</t>
  </si>
  <si>
    <t>Banking Book: Non-Financial Corporations (auto loans)</t>
  </si>
  <si>
    <t>Metric</t>
  </si>
  <si>
    <t>CDP &amp; PCAF</t>
  </si>
  <si>
    <t>S&amp;P</t>
  </si>
  <si>
    <t>Munich RE</t>
  </si>
  <si>
    <t>Landmark &amp; Gloval</t>
  </si>
  <si>
    <t>For financed emissions: Commercial Real Estate</t>
  </si>
  <si>
    <t>For financed emissions: motor vehice loans</t>
  </si>
  <si>
    <t>For financed emissions: attribution factor</t>
  </si>
  <si>
    <t>- For financed emissions: attribution factor
- For the NFRD flag</t>
  </si>
  <si>
    <t>For the NFRD flag</t>
  </si>
  <si>
    <t>For Paris excluded companies</t>
  </si>
  <si>
    <t>For financed emissions: DQS</t>
  </si>
  <si>
    <t>For financed emissions</t>
  </si>
  <si>
    <t>- For Paris excluded companies
'- For financed emissions: real emissions</t>
  </si>
  <si>
    <t>Quitamos la métrica porque no se está reportando</t>
  </si>
  <si>
    <t>INC</t>
  </si>
  <si>
    <t>Interest commisions</t>
  </si>
  <si>
    <t>EU</t>
  </si>
  <si>
    <t>European Union</t>
  </si>
  <si>
    <t>GEO</t>
  </si>
  <si>
    <t>Physical risk_Geographical Area</t>
  </si>
  <si>
    <t>CNAEL</t>
  </si>
  <si>
    <t>NACE_Level1</t>
  </si>
  <si>
    <t>NACE</t>
  </si>
  <si>
    <t xml:space="preserve">-All codes are part of the reference Group list of NACE codes
-Level 4 NACEs are required as a minimum. </t>
  </si>
  <si>
    <t xml:space="preserve">ID </t>
  </si>
  <si>
    <t xml:space="preserve">Metric </t>
  </si>
  <si>
    <t>EXC</t>
  </si>
  <si>
    <t>Excluded from EU Paris-aligned benchmark</t>
  </si>
  <si>
    <t>ENSM</t>
  </si>
  <si>
    <t>Environmentally sustainable CCM</t>
  </si>
  <si>
    <t>CHRO</t>
  </si>
  <si>
    <t>Chronic changes</t>
  </si>
  <si>
    <t>ACUT</t>
  </si>
  <si>
    <t>Acute changes</t>
  </si>
  <si>
    <t>MESG</t>
  </si>
  <si>
    <t>Maturity ESG</t>
  </si>
  <si>
    <t>AVEG</t>
  </si>
  <si>
    <t>Average weighted maturity</t>
  </si>
  <si>
    <t>EPSD</t>
  </si>
  <si>
    <t>EP Score Data</t>
  </si>
  <si>
    <t>EPSC</t>
  </si>
  <si>
    <t>EPCD</t>
  </si>
  <si>
    <t>EPC Label Data</t>
  </si>
  <si>
    <t>EPCL</t>
  </si>
  <si>
    <t>EPC Label</t>
  </si>
  <si>
    <t>GFI</t>
  </si>
  <si>
    <t>Green Financial Instrument</t>
  </si>
  <si>
    <t>PESG</t>
  </si>
  <si>
    <t>FUTY</t>
  </si>
  <si>
    <t>Funding type</t>
  </si>
  <si>
    <t>RMCT</t>
  </si>
  <si>
    <t>RMCP</t>
  </si>
  <si>
    <t>DCON</t>
  </si>
  <si>
    <t>Comment</t>
  </si>
  <si>
    <t>ESGS</t>
  </si>
  <si>
    <t>ESG Subsector</t>
  </si>
  <si>
    <t>NFRD</t>
  </si>
  <si>
    <t>NFRD disclosures</t>
  </si>
  <si>
    <t>CCM</t>
  </si>
  <si>
    <t>Climate Change Mitigation</t>
  </si>
  <si>
    <t>CCA</t>
  </si>
  <si>
    <t>Climate Change Adaptation</t>
  </si>
  <si>
    <t>GSPUR</t>
  </si>
  <si>
    <t>General_Specific purpose</t>
  </si>
  <si>
    <t>ENSA</t>
  </si>
  <si>
    <t>Environmentally sustainable CCA</t>
  </si>
  <si>
    <t>SPLE</t>
  </si>
  <si>
    <t>Specialised lending</t>
  </si>
  <si>
    <t>TRNS</t>
  </si>
  <si>
    <t>Transitional</t>
  </si>
  <si>
    <t>ENAB</t>
  </si>
  <si>
    <t>Enabling CCM</t>
  </si>
  <si>
    <t>ENAA</t>
  </si>
  <si>
    <t>Enabling CCA</t>
  </si>
  <si>
    <t>ORDP</t>
  </si>
  <si>
    <t>Originated during period</t>
  </si>
  <si>
    <t>CCCM</t>
  </si>
  <si>
    <t>Amount using Capex (CCM)</t>
  </si>
  <si>
    <t>TCCM</t>
  </si>
  <si>
    <t>Amount using Turnover (CCM)</t>
  </si>
  <si>
    <t>CCCA</t>
  </si>
  <si>
    <t>Amount using Capex (CCA)</t>
  </si>
  <si>
    <t>TCCA</t>
  </si>
  <si>
    <t>Amount using Turnover (CCA)</t>
  </si>
  <si>
    <t>SOUR</t>
  </si>
  <si>
    <t>Source emission</t>
  </si>
  <si>
    <t>DQS</t>
  </si>
  <si>
    <t>Data quality score</t>
  </si>
  <si>
    <t>ASCI</t>
  </si>
  <si>
    <t>Amount used Scope 1</t>
  </si>
  <si>
    <t>GESI</t>
  </si>
  <si>
    <t>GHG Financed Emissions Scope 1</t>
  </si>
  <si>
    <t>ASCII</t>
  </si>
  <si>
    <t>Amount used Scope 2</t>
  </si>
  <si>
    <t>GESII</t>
  </si>
  <si>
    <t>GHG Financed Emissions Scope 2</t>
  </si>
  <si>
    <t>ASCIII</t>
  </si>
  <si>
    <t>Amount used Scope 3</t>
  </si>
  <si>
    <t>GESIII</t>
  </si>
  <si>
    <t>GHG Financed Emissions Scope 3</t>
  </si>
  <si>
    <t xml:space="preserve">ENCONTRADO EN DICCIONARIO </t>
  </si>
  <si>
    <t xml:space="preserve">ID Metric </t>
  </si>
  <si>
    <t xml:space="preserve">No need </t>
  </si>
  <si>
    <t xml:space="preserve">Se calcula con MESG </t>
  </si>
  <si>
    <t xml:space="preserve">Metricas encontradas con nombre similares </t>
  </si>
  <si>
    <t xml:space="preserve">Metricas con nombre diferentes  o no encontradas </t>
  </si>
  <si>
    <t>Interest Income</t>
  </si>
  <si>
    <t>Fees and commisions income</t>
  </si>
  <si>
    <t>Technologies that contribute to climate change. Example: Eg. Wind, renewable energies, etc</t>
  </si>
  <si>
    <t>Amount of power that is recognized to the generating plants considering the technical availability of their facilities. It is measured in MegaWatts (MW) power units.</t>
  </si>
  <si>
    <t>Total energy generated in a year measured in megawatts per hour (MWh)</t>
  </si>
  <si>
    <t>For financed emissions: project finance</t>
  </si>
  <si>
    <t>Unique counterparty identifier according to local legislation. E.g. in Spain it is the CIF.</t>
  </si>
  <si>
    <t>BDR
Table: JM_CLIENT_BII
Var: G4093_IDENTPER, G4093_CODIDPER</t>
  </si>
  <si>
    <t>-</t>
  </si>
  <si>
    <t>Banking Book: Non Financial Corporations</t>
  </si>
  <si>
    <t>Real financial income / expenditure generated from interests</t>
  </si>
  <si>
    <t>STE</t>
  </si>
  <si>
    <t>IESG_Interest and Commissions</t>
  </si>
  <si>
    <t>Institutions shall disclose the total gross carrying amounts wth breakdown by location EU vs non-EU area</t>
  </si>
  <si>
    <t>T1 T2 T5 T6 T7 T8 T9.1 T9.2 T9.3 T10</t>
  </si>
  <si>
    <t>Calculation approach</t>
  </si>
  <si>
    <t>The calculation of financed emissions depends on the portfolio, which can be:
- Corporate finance
- Project Finance
- Commercial Real Estate
- Motor Vehicle Loans
- Mortgages</t>
  </si>
  <si>
    <t>Non-financial gross fee and commission income (amount that is allocated in the P&amp;L) accrued by the instrument during the reporting month (included in Green Finance Business Book instructions: Net Fees/Customer Fees).</t>
  </si>
  <si>
    <t>Applicability to units</t>
  </si>
  <si>
    <t>All</t>
  </si>
  <si>
    <t>Only for ESP, PT and UK</t>
  </si>
  <si>
    <t>Only for ESP, PT, UK and POL</t>
  </si>
  <si>
    <t>Not necessary at the moment. Having the zip code or the NUTS is enough</t>
  </si>
  <si>
    <t>For units in Europe</t>
  </si>
  <si>
    <t>Needed to be reported to HQ  by the Unit</t>
  </si>
  <si>
    <t>Quitamos debido a estar duplicada con Financing category ( according to the SFCS )</t>
  </si>
  <si>
    <t xml:space="preserve">Quitamos debido a estar duplicada con Climate change transition risk </t>
  </si>
  <si>
    <t xml:space="preserve">Quitamos debido a estar duplicada con Climate change physical risk </t>
  </si>
  <si>
    <t>Auxiliar Neyond</t>
  </si>
  <si>
    <t xml:space="preserve">OK </t>
  </si>
  <si>
    <t>N/A</t>
  </si>
  <si>
    <t>Using the field 'cdisconf' (which is a code that represents the location of a collateral) from the table 'cd_garantias.gt009_bens_imov', we get the NUTS from the field 'tayd91c0_nelemc05'  from  table 'cd_estruturais.tat91_tabelas where tayd91c0_ctabela = 'J48' '</t>
  </si>
  <si>
    <t>Table: cd_garantias.gt009_bens_imov
Var: cpost</t>
  </si>
  <si>
    <t>External Provider</t>
  </si>
  <si>
    <t>Table: cd_captools.fr004_cto
Var: stage_atual</t>
  </si>
  <si>
    <t>Table: cd_captools.fr004_cto
Var: valor_bruto_on_a</t>
  </si>
  <si>
    <t>Table: cd_captools.ct003_univ_cli
Var: nace_code</t>
  </si>
  <si>
    <t>Table: cd_garantias.gt018_rateio_aval
Var: per_cobert</t>
  </si>
  <si>
    <t>Table: cd_captools.fr004_cto
Var: provisao</t>
  </si>
  <si>
    <t>Table: cd_garantias.gt009_bens_imov
Var: cfinbem, ctipbem</t>
  </si>
  <si>
    <t>Table: cd_captools.fr004_cto
Var: data_vencimento</t>
  </si>
  <si>
    <t>Table: cd_captools.fr004_cto
Var: flag_project_finance</t>
  </si>
  <si>
    <t>Table: cd_captools.fr004_cto
Var: contraparte</t>
  </si>
  <si>
    <t>DL Empréstimos
Table: cd_emprestimos.gpt32_bemimove
Var: narutil</t>
  </si>
  <si>
    <t>DL Empréstimos
Table: cd_emprestimos.gpt18_bens
Var: cfinbem + TAT438</t>
  </si>
  <si>
    <t>Lease/CS Aplication</t>
  </si>
  <si>
    <t>Backoffice</t>
  </si>
  <si>
    <t>Table: cd_garantias.gt018_rateio_aval
Var: mavaliaa</t>
  </si>
  <si>
    <t>Table: cd_captools.ct063_univ_pme
Var: fatr_indv</t>
  </si>
  <si>
    <t>Table: cd_captools.ct063_univ_pme
Var: fatr_grup</t>
  </si>
  <si>
    <t>Table: cd_captools.ct063_univ_pme
Var: num_empg_indv</t>
  </si>
  <si>
    <t>Table: cd_captools.ct063_univ_pme
Var: num_empg_grup</t>
  </si>
  <si>
    <t>Mapear com base nos códigos NACE</t>
  </si>
  <si>
    <t>Banca responsável</t>
  </si>
  <si>
    <t>Capital</t>
  </si>
  <si>
    <t>Table: cd_captools.ct063_univ_pme
Var: data_dados_indv</t>
  </si>
  <si>
    <t>Table: cd_captools.ct063_univ_pme
Var: ativo_grup</t>
  </si>
  <si>
    <t>Table: cd_captools.ct063_univ_pme
Var: ISIN</t>
  </si>
  <si>
    <t>DL Capital Tools
Table: cd_captools.fr802_pl_contas
All operations with: tipo_conta = 'A' and 
(
caretira_contabilistica &lt;&gt; 'ativos financeiros detidos para negociacao' or 
(caretira_contabilistica = 'ativos financeiros detidos para negociacao'  and subcarteira_contabilistica = NEGCE) or
(caretira_contabilistica = 'ativos financeiros detidos para negociacao'  and portfoloio = ST_RT_LIQ_DERIV)
)</t>
  </si>
  <si>
    <t>DL Capital Tools
Table: fr004_cto
Var: ref_date</t>
  </si>
  <si>
    <t>DL Capital Tools
Table: fr004_cto
Var: data_abertura</t>
  </si>
  <si>
    <t xml:space="preserve">DL Capital Tools
Table: ct003_univ_cli
Var: cnum_doc_identif2 (fiscal identity number) or cnum_doc_identif1 (document with general identification) </t>
  </si>
  <si>
    <t>Table: cd_captools.fr801_tip_garan
Var: subtipo_garantia</t>
  </si>
  <si>
    <t>DL Capital Tools
Table: cd_captools.fr802_pl_contas
All operations with : tipo_conta = 'A' and carteira_contabilistica = 'ativos nao correntes detidos para venda' and conta in ('191000', '1991000', '19910024')</t>
  </si>
  <si>
    <t>Ver com DE</t>
  </si>
  <si>
    <t>Table: cd_estruturais.tat91_tables where tayd91c0_ctable = 'J48'
Var: tayd91c0_nelemc05</t>
  </si>
  <si>
    <t>tables MAT:
table: cd_riscos.rsv176sa1_balanco
Var : vcpim</t>
  </si>
  <si>
    <t>DL Capital Tools
table: ct003_univ_cli
Var: clei (quando não existe por zcliente, procurar por ccli_grupo)</t>
  </si>
  <si>
    <t>BDR
table: cd_captools.bdr_jm_clien_juri
Var: g5508_orig_fac</t>
  </si>
  <si>
    <t>DL Capital Tools
table: ct610_titulos
Var: bolsa_valores</t>
  </si>
  <si>
    <t>DL Capital Tools
table: cd_captools.ct003_univ_cli
Var: cpais_residencia</t>
  </si>
  <si>
    <t>DL Capital Tools
Table: cd_captools.fr802_pl_contas
All operations with : tipo_conta = 'A' and 
1) Intrumento financeiro = 'credito concedido e outros ativos financeiros' =&gt; Loans and advances  (F18)
2) Intrumento financeiro  = 'instrumentos de capital' =&gt; Debt securities (F18)
3) Intrumento financeiro  = 'instrumentos de divida' =&gt; Equity instruments (F04)</t>
  </si>
  <si>
    <t>Recuperações/Desinvestimento</t>
  </si>
  <si>
    <t>Accounting</t>
  </si>
  <si>
    <t>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</si>
</sst>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5" x14ac:knownFonts="1">
    <font>
      <sz val="11"/>
      <color theme="1"/>
      <name val="Arial"/>
      <family val="2"/>
      <scheme val="minor"/>
    </font>
    <font>
      <sz val="10"/>
      <name val="Santander Headline"/>
      <family val="2"/>
    </font>
    <font>
      <b/>
      <sz val="10"/>
      <name val="Santander Headline"/>
      <family val="2"/>
    </font>
    <font>
      <b/>
      <sz val="9"/>
      <color indexed="81"/>
      <name val="Tahoma"/>
      <family val="2"/>
    </font>
    <font>
      <sz val="9"/>
      <color indexed="81"/>
      <name val="Tahoma"/>
      <family val="2"/>
    </font>
    <font>
      <sz val="10"/>
      <color theme="1"/>
      <name val="Santander Headline"/>
      <family val="2"/>
    </font>
    <font>
      <b/>
      <sz val="10"/>
      <color theme="1"/>
      <name val="Santander Headline"/>
      <family val="2"/>
    </font>
    <font>
      <sz val="10"/>
      <color rgb="FFFF0000"/>
      <name val="Santander Headline"/>
      <family val="2"/>
    </font>
    <font>
      <sz val="11"/>
      <color theme="1"/>
      <name val="Santander Headline"/>
      <family val="2"/>
    </font>
    <font>
      <b/>
      <u/>
      <sz val="11"/>
      <color theme="1"/>
      <name val="Santander Headline"/>
      <family val="2"/>
    </font>
    <font>
      <b/>
      <sz val="11"/>
      <color theme="1"/>
      <name val="Santander Headline"/>
      <family val="2"/>
    </font>
    <font>
      <i/>
      <sz val="11"/>
      <color theme="1"/>
      <name val="Santander Headline"/>
      <family val="2"/>
    </font>
    <font>
      <b/>
      <i/>
      <sz val="11"/>
      <color theme="1"/>
      <name val="Santander Headline"/>
      <family val="2"/>
    </font>
    <font>
      <b/>
      <sz val="10"/>
      <color theme="0"/>
      <name val="Santander Headline"/>
      <family val="2"/>
    </font>
    <font>
      <i/>
      <sz val="11"/>
      <color theme="4"/>
      <name val="Santander Headline"/>
      <family val="2"/>
    </font>
    <font>
      <sz val="11"/>
      <color theme="4"/>
      <name val="Santander Headline"/>
      <family val="2"/>
    </font>
    <font>
      <i/>
      <sz val="11"/>
      <name val="Santander Headline"/>
      <family val="2"/>
    </font>
    <font>
      <sz val="10"/>
      <color rgb="FF0070C0"/>
      <name val="Santander Headline"/>
      <family val="2"/>
    </font>
    <font>
      <sz val="10"/>
      <name val="Santander Headline"/>
      <family val="2"/>
    </font>
    <font>
      <sz val="11"/>
      <color theme="1"/>
      <name val="Santander Headline"/>
      <family val="2"/>
    </font>
    <font>
      <strike/>
      <sz val="10"/>
      <color theme="1"/>
      <name val="Santander Headline"/>
      <family val="2"/>
    </font>
    <font>
      <i/>
      <sz val="10"/>
      <name val="Santander Headline"/>
      <family val="2"/>
    </font>
    <font>
      <b/>
      <sz val="11"/>
      <color theme="0"/>
      <name val="Santander Headline"/>
      <family val="2"/>
    </font>
    <font>
      <sz val="11"/>
      <color theme="1"/>
      <name val="Arial"/>
      <family val="2"/>
      <scheme val="minor"/>
    </font>
    <font>
      <b/>
      <sz val="11"/>
      <color theme="1"/>
      <name val="Arial"/>
      <family val="2"/>
      <scheme val="minor"/>
    </font>
    <font>
      <u/>
      <sz val="11"/>
      <color theme="10"/>
      <name val="Arial"/>
      <family val="2"/>
      <scheme val="minor"/>
    </font>
    <font>
      <sz val="10"/>
      <color theme="1"/>
      <name val="Arial"/>
      <family val="2"/>
      <scheme val="minor"/>
    </font>
    <font>
      <u/>
      <sz val="10"/>
      <color theme="10"/>
      <name val="Arial"/>
      <family val="2"/>
      <scheme val="minor"/>
    </font>
    <font>
      <sz val="10"/>
      <name val="Arial"/>
      <family val="2"/>
    </font>
    <font>
      <sz val="11"/>
      <color indexed="8"/>
      <name val="Arial"/>
      <family val="2"/>
      <scheme val="minor"/>
    </font>
    <font>
      <sz val="9"/>
      <color theme="1"/>
      <name val="Calibri"/>
      <family val="2"/>
    </font>
    <font>
      <sz val="11"/>
      <color theme="1"/>
      <name val="Santander Text"/>
      <family val="2"/>
    </font>
    <font>
      <sz val="11"/>
      <color rgb="FF006100"/>
      <name val="Arial"/>
      <family val="2"/>
      <scheme val="minor"/>
    </font>
    <font>
      <b/>
      <sz val="10"/>
      <color rgb="FFFF0000"/>
      <name val="Santander Headline"/>
      <family val="2"/>
    </font>
    <font>
      <b/>
      <sz val="11"/>
      <color rgb="FF006100"/>
      <name val="Arial"/>
      <family val="2"/>
      <scheme val="minor"/>
    </font>
  </fonts>
  <fills count="20">
    <fill>
      <patternFill patternType="none"/>
    </fill>
    <fill>
      <patternFill patternType="gray125"/>
    </fill>
    <fill>
      <patternFill patternType="solid">
        <fgColor rgb="FFFA0000"/>
        <bgColor indexed="64"/>
      </patternFill>
    </fill>
    <fill>
      <patternFill patternType="solid">
        <fgColor theme="1"/>
        <bgColor indexed="64"/>
      </patternFill>
    </fill>
    <fill>
      <patternFill patternType="solid">
        <fgColor rgb="FFFF0000"/>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theme="2"/>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rgb="FF00FFFF"/>
        <bgColor indexed="64"/>
      </patternFill>
    </fill>
    <fill>
      <patternFill patternType="solid">
        <fgColor theme="8" tint="0.79998168889431442"/>
        <bgColor indexed="64"/>
      </patternFill>
    </fill>
    <fill>
      <patternFill patternType="solid">
        <fgColor theme="9"/>
        <bgColor indexed="64"/>
      </patternFill>
    </fill>
    <fill>
      <patternFill patternType="solid">
        <fgColor rgb="FFC6EFCE"/>
      </patternFill>
    </fill>
  </fills>
  <borders count="4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s>
  <cellStyleXfs count="12">
    <xf numFmtId="0" fontId="0" fillId="0" borderId="0"/>
    <xf numFmtId="0" fontId="25" fillId="0" borderId="0" applyNumberFormat="0" applyFill="0" applyBorder="0" applyAlignment="0" applyProtection="0"/>
    <xf numFmtId="0" fontId="28" fillId="0" borderId="0"/>
    <xf numFmtId="0" fontId="23" fillId="0" borderId="0"/>
    <xf numFmtId="0" fontId="29" fillId="0" borderId="0"/>
    <xf numFmtId="0" fontId="23" fillId="0" borderId="0"/>
    <xf numFmtId="0" fontId="28" fillId="0" borderId="0"/>
    <xf numFmtId="0" fontId="30" fillId="0" borderId="0"/>
    <xf numFmtId="0" fontId="31" fillId="0" borderId="0"/>
    <xf numFmtId="0" fontId="29" fillId="0" borderId="0"/>
    <xf numFmtId="0" fontId="23" fillId="0" borderId="0"/>
    <xf numFmtId="0" fontId="32" fillId="19" borderId="0" applyNumberFormat="0" applyBorder="0" applyAlignment="0" applyProtection="0"/>
  </cellStyleXfs>
  <cellXfs count="235">
    <xf numFmtId="0" fontId="0" fillId="0" borderId="0" xfId="0"/>
    <xf numFmtId="0" fontId="1" fillId="0" borderId="0" xfId="0" applyFont="1"/>
    <xf numFmtId="0" fontId="1" fillId="0" borderId="0" xfId="0" applyFont="1" applyAlignment="1">
      <alignment wrapText="1"/>
    </xf>
    <xf numFmtId="0" fontId="5" fillId="0" borderId="1" xfId="0" applyFont="1" applyBorder="1" applyAlignment="1">
      <alignment horizontal="left" vertical="center" wrapText="1"/>
    </xf>
    <xf numFmtId="0" fontId="5" fillId="0" borderId="0" xfId="0" applyFont="1" applyAlignment="1">
      <alignment horizontal="left" vertical="center"/>
    </xf>
    <xf numFmtId="0" fontId="5" fillId="0" borderId="0" xfId="0" applyFont="1"/>
    <xf numFmtId="0" fontId="5" fillId="0" borderId="0" xfId="0" applyFont="1" applyAlignment="1">
      <alignment wrapText="1"/>
    </xf>
    <xf numFmtId="0" fontId="8" fillId="0" borderId="0" xfId="0" applyFont="1"/>
    <xf numFmtId="0" fontId="9" fillId="0" borderId="0" xfId="0" applyFont="1"/>
    <xf numFmtId="0" fontId="10" fillId="0" borderId="0" xfId="0" applyFont="1"/>
    <xf numFmtId="0" fontId="11" fillId="0" borderId="0" xfId="0" applyFont="1" applyAlignment="1">
      <alignment vertical="center"/>
    </xf>
    <xf numFmtId="0" fontId="11" fillId="0" borderId="0" xfId="0" applyFont="1"/>
    <xf numFmtId="0" fontId="12" fillId="0" borderId="0" xfId="0" applyFont="1"/>
    <xf numFmtId="0" fontId="11" fillId="0" borderId="0" xfId="0" applyFont="1" applyAlignment="1">
      <alignment wrapText="1"/>
    </xf>
    <xf numFmtId="0" fontId="5" fillId="0" borderId="0" xfId="0" applyFont="1" applyAlignment="1">
      <alignment horizontal="center"/>
    </xf>
    <xf numFmtId="0" fontId="13" fillId="5" borderId="1" xfId="0" applyFont="1" applyFill="1" applyBorder="1" applyAlignment="1">
      <alignment horizontal="center" vertical="center" wrapText="1"/>
    </xf>
    <xf numFmtId="0" fontId="5" fillId="0" borderId="0" xfId="0" applyFont="1" applyAlignment="1">
      <alignment horizontal="center" vertical="center"/>
    </xf>
    <xf numFmtId="0" fontId="13" fillId="0" borderId="0" xfId="0" applyFont="1" applyAlignment="1">
      <alignment horizontal="center" vertical="center" wrapText="1"/>
    </xf>
    <xf numFmtId="0" fontId="13" fillId="5" borderId="7" xfId="0" applyFont="1" applyFill="1" applyBorder="1" applyAlignment="1">
      <alignment horizontal="center" vertical="center" wrapText="1"/>
    </xf>
    <xf numFmtId="0" fontId="14" fillId="0" borderId="0" xfId="0" applyFont="1"/>
    <xf numFmtId="0" fontId="5"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horizontal="center" vertical="center" wrapText="1"/>
    </xf>
    <xf numFmtId="0" fontId="19" fillId="0" borderId="0" xfId="0" applyFont="1"/>
    <xf numFmtId="0" fontId="8" fillId="0" borderId="0" xfId="0" quotePrefix="1" applyFont="1"/>
    <xf numFmtId="0" fontId="22" fillId="8" borderId="1" xfId="0" applyFont="1" applyFill="1" applyBorder="1" applyAlignment="1">
      <alignment horizontal="left" vertical="center"/>
    </xf>
    <xf numFmtId="0" fontId="22" fillId="8" borderId="1" xfId="0" applyFont="1" applyFill="1" applyBorder="1" applyAlignment="1">
      <alignment horizontal="left" vertical="center" wrapText="1"/>
    </xf>
    <xf numFmtId="0" fontId="6" fillId="6" borderId="1" xfId="0" applyFont="1" applyFill="1" applyBorder="1" applyAlignment="1">
      <alignment horizontal="left" vertical="center"/>
    </xf>
    <xf numFmtId="0" fontId="13" fillId="4" borderId="10"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 fillId="0" borderId="15" xfId="0" applyFont="1" applyBorder="1" applyAlignment="1">
      <alignment horizontal="left" vertical="center" wrapText="1"/>
    </xf>
    <xf numFmtId="0" fontId="5" fillId="0" borderId="15" xfId="0" applyFont="1" applyBorder="1" applyAlignment="1">
      <alignment horizontal="left" vertical="center" wrapText="1"/>
    </xf>
    <xf numFmtId="0" fontId="1" fillId="0" borderId="15" xfId="0" applyFont="1" applyBorder="1" applyAlignment="1">
      <alignment horizontal="left" vertical="center"/>
    </xf>
    <xf numFmtId="0" fontId="18" fillId="0" borderId="15" xfId="0" applyFont="1" applyBorder="1" applyAlignment="1">
      <alignment horizontal="left" vertical="center" wrapText="1"/>
    </xf>
    <xf numFmtId="0" fontId="5" fillId="0" borderId="15" xfId="0" applyFont="1" applyBorder="1" applyAlignment="1">
      <alignment horizontal="left" vertical="center"/>
    </xf>
    <xf numFmtId="0" fontId="5" fillId="0" borderId="29" xfId="0" applyFont="1" applyBorder="1" applyAlignment="1">
      <alignment horizontal="left" vertical="center" wrapText="1"/>
    </xf>
    <xf numFmtId="0" fontId="6" fillId="12" borderId="1" xfId="0" applyFont="1" applyFill="1" applyBorder="1" applyAlignment="1">
      <alignment horizontal="left" vertical="center"/>
    </xf>
    <xf numFmtId="0" fontId="13" fillId="11" borderId="24"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42" xfId="0" applyFont="1" applyFill="1" applyBorder="1" applyAlignment="1">
      <alignment horizontal="center" vertical="center" wrapText="1"/>
    </xf>
    <xf numFmtId="1" fontId="1" fillId="0" borderId="11" xfId="0" applyNumberFormat="1" applyFont="1" applyBorder="1" applyAlignment="1">
      <alignment horizontal="left" vertical="center"/>
    </xf>
    <xf numFmtId="0" fontId="6" fillId="13" borderId="1" xfId="0" applyFont="1" applyFill="1" applyBorder="1" applyAlignment="1">
      <alignment horizontal="left" vertical="center"/>
    </xf>
    <xf numFmtId="1" fontId="1" fillId="7" borderId="11" xfId="0" quotePrefix="1" applyNumberFormat="1" applyFont="1" applyFill="1" applyBorder="1" applyAlignment="1">
      <alignment horizontal="left" vertical="center"/>
    </xf>
    <xf numFmtId="0" fontId="6" fillId="6" borderId="1" xfId="0" applyFont="1" applyFill="1" applyBorder="1" applyAlignment="1">
      <alignment horizontal="left"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5" fillId="0" borderId="7" xfId="0" applyFont="1" applyBorder="1" applyAlignment="1">
      <alignment horizontal="left" vertical="center" wrapText="1"/>
    </xf>
    <xf numFmtId="1" fontId="1" fillId="0" borderId="11" xfId="0" applyNumberFormat="1" applyFont="1" applyBorder="1" applyAlignment="1">
      <alignment horizontal="left" vertical="center" wrapText="1"/>
    </xf>
    <xf numFmtId="1" fontId="1" fillId="0" borderId="3" xfId="0" applyNumberFormat="1" applyFont="1" applyBorder="1" applyAlignment="1">
      <alignment horizontal="left" vertical="center"/>
    </xf>
    <xf numFmtId="0" fontId="1" fillId="0" borderId="6" xfId="0" applyFont="1" applyBorder="1" applyAlignment="1">
      <alignment horizontal="left" vertical="center" wrapText="1"/>
    </xf>
    <xf numFmtId="0" fontId="1" fillId="0" borderId="15" xfId="0" applyFont="1" applyBorder="1" applyAlignment="1">
      <alignment horizontal="center" vertical="center" wrapText="1"/>
    </xf>
    <xf numFmtId="0" fontId="1" fillId="0" borderId="1" xfId="0" applyFont="1" applyBorder="1" applyAlignment="1">
      <alignment horizontal="left" vertical="center" wrapText="1"/>
    </xf>
    <xf numFmtId="0" fontId="1" fillId="0" borderId="7" xfId="0" applyFont="1" applyBorder="1" applyAlignment="1">
      <alignment horizontal="left" vertical="center" wrapText="1"/>
    </xf>
    <xf numFmtId="1" fontId="1" fillId="0" borderId="8" xfId="0" applyNumberFormat="1" applyFont="1" applyBorder="1" applyAlignment="1">
      <alignment horizontal="left" vertical="center"/>
    </xf>
    <xf numFmtId="1" fontId="1" fillId="0" borderId="1" xfId="0" applyNumberFormat="1" applyFont="1" applyBorder="1" applyAlignment="1">
      <alignment horizontal="left" vertical="center" wrapText="1"/>
    </xf>
    <xf numFmtId="0" fontId="5" fillId="0" borderId="25" xfId="0" applyFont="1" applyBorder="1" applyAlignment="1">
      <alignment horizontal="left" vertical="center" wrapText="1"/>
    </xf>
    <xf numFmtId="0" fontId="5" fillId="0" borderId="9" xfId="0" applyFont="1" applyBorder="1" applyAlignment="1">
      <alignment horizontal="left" vertical="center" wrapText="1"/>
    </xf>
    <xf numFmtId="0" fontId="1" fillId="0" borderId="16" xfId="0" quotePrefix="1" applyFont="1" applyBorder="1" applyAlignment="1">
      <alignment vertical="center" wrapText="1"/>
    </xf>
    <xf numFmtId="0" fontId="1" fillId="0" borderId="16" xfId="0" quotePrefix="1" applyFont="1" applyBorder="1" applyAlignment="1">
      <alignment horizontal="center" vertical="center" wrapText="1"/>
    </xf>
    <xf numFmtId="1" fontId="1" fillId="0" borderId="6" xfId="0" applyNumberFormat="1" applyFont="1" applyBorder="1" applyAlignment="1">
      <alignment horizontal="left" vertical="center"/>
    </xf>
    <xf numFmtId="0" fontId="1" fillId="0" borderId="24" xfId="0" quotePrefix="1" applyFont="1" applyBorder="1" applyAlignment="1">
      <alignment vertical="center" wrapText="1"/>
    </xf>
    <xf numFmtId="0" fontId="1" fillId="0" borderId="24" xfId="0" quotePrefix="1" applyFont="1" applyBorder="1" applyAlignment="1">
      <alignment horizontal="center" vertical="center" wrapText="1"/>
    </xf>
    <xf numFmtId="0" fontId="1" fillId="0" borderId="17" xfId="0" quotePrefix="1" applyFont="1" applyBorder="1" applyAlignment="1">
      <alignment vertical="center" wrapText="1"/>
    </xf>
    <xf numFmtId="0" fontId="1" fillId="0" borderId="17" xfId="0" quotePrefix="1" applyFont="1" applyBorder="1" applyAlignment="1">
      <alignment horizontal="center" vertical="center" wrapText="1"/>
    </xf>
    <xf numFmtId="0" fontId="1" fillId="0" borderId="1" xfId="0" applyFont="1" applyBorder="1" applyAlignment="1">
      <alignment horizontal="left" vertical="center"/>
    </xf>
    <xf numFmtId="0" fontId="1" fillId="0" borderId="7" xfId="0" applyFont="1" applyBorder="1" applyAlignment="1">
      <alignment horizontal="left" vertical="center"/>
    </xf>
    <xf numFmtId="0" fontId="2" fillId="0" borderId="6" xfId="0" quotePrefix="1" applyFont="1" applyBorder="1" applyAlignment="1">
      <alignment horizontal="center" vertical="center" wrapText="1"/>
    </xf>
    <xf numFmtId="0" fontId="1" fillId="0" borderId="1" xfId="0" quotePrefix="1" applyFont="1" applyBorder="1" applyAlignment="1">
      <alignment vertical="center" wrapText="1"/>
    </xf>
    <xf numFmtId="0" fontId="1" fillId="0" borderId="7" xfId="0" quotePrefix="1" applyFont="1" applyBorder="1" applyAlignment="1">
      <alignment vertical="center" wrapText="1"/>
    </xf>
    <xf numFmtId="0" fontId="18" fillId="0" borderId="7" xfId="0" applyFont="1" applyBorder="1" applyAlignment="1">
      <alignment horizontal="left" vertical="center" wrapText="1"/>
    </xf>
    <xf numFmtId="0" fontId="1" fillId="0" borderId="1" xfId="0" applyFont="1" applyBorder="1" applyAlignment="1">
      <alignment horizontal="left"/>
    </xf>
    <xf numFmtId="0" fontId="1" fillId="0" borderId="7" xfId="0" applyFont="1" applyBorder="1" applyAlignment="1">
      <alignment horizontal="left"/>
    </xf>
    <xf numFmtId="0" fontId="1" fillId="0" borderId="1" xfId="0" applyFont="1" applyBorder="1"/>
    <xf numFmtId="0" fontId="1" fillId="0" borderId="3" xfId="0" applyFont="1" applyBorder="1"/>
    <xf numFmtId="0" fontId="1" fillId="0" borderId="7" xfId="0" applyFont="1" applyBorder="1"/>
    <xf numFmtId="0" fontId="5" fillId="0" borderId="6" xfId="0" applyFont="1" applyBorder="1" applyAlignment="1">
      <alignment horizontal="left" vertical="center"/>
    </xf>
    <xf numFmtId="1" fontId="1" fillId="0" borderId="11" xfId="0" quotePrefix="1" applyNumberFormat="1" applyFont="1" applyBorder="1" applyAlignment="1">
      <alignment horizontal="left" vertical="center" wrapText="1"/>
    </xf>
    <xf numFmtId="1" fontId="1" fillId="0" borderId="3" xfId="0" applyNumberFormat="1" applyFont="1" applyBorder="1" applyAlignment="1">
      <alignment horizontal="left" vertical="center" wrapText="1"/>
    </xf>
    <xf numFmtId="1" fontId="1" fillId="0" borderId="15" xfId="0" applyNumberFormat="1" applyFont="1" applyBorder="1" applyAlignment="1">
      <alignment horizontal="left" vertical="center" wrapText="1"/>
    </xf>
    <xf numFmtId="1" fontId="1" fillId="0" borderId="7" xfId="0" applyNumberFormat="1" applyFont="1" applyBorder="1" applyAlignment="1">
      <alignment horizontal="left" vertical="center" wrapText="1"/>
    </xf>
    <xf numFmtId="1" fontId="1" fillId="0" borderId="7" xfId="0" applyNumberFormat="1" applyFont="1" applyBorder="1" applyAlignment="1">
      <alignment horizontal="left" vertical="center"/>
    </xf>
    <xf numFmtId="0" fontId="1" fillId="0" borderId="3" xfId="0" applyFont="1" applyBorder="1" applyAlignment="1">
      <alignment horizontal="left" vertical="center"/>
    </xf>
    <xf numFmtId="1" fontId="18" fillId="0" borderId="1" xfId="0" applyNumberFormat="1" applyFont="1" applyBorder="1" applyAlignment="1">
      <alignment horizontal="left" vertical="center" wrapText="1"/>
    </xf>
    <xf numFmtId="1" fontId="1" fillId="0" borderId="15" xfId="0" applyNumberFormat="1" applyFont="1" applyBorder="1" applyAlignment="1">
      <alignment horizontal="left" vertical="center"/>
    </xf>
    <xf numFmtId="0" fontId="1" fillId="0" borderId="16" xfId="0" applyFont="1" applyBorder="1" applyAlignment="1">
      <alignment vertical="center" wrapText="1"/>
    </xf>
    <xf numFmtId="0" fontId="1" fillId="0" borderId="7" xfId="0" applyFont="1" applyBorder="1" applyAlignment="1">
      <alignment vertical="center" wrapText="1"/>
    </xf>
    <xf numFmtId="0" fontId="5" fillId="0" borderId="1" xfId="0" quotePrefix="1" applyFont="1" applyBorder="1" applyAlignment="1">
      <alignment vertical="center" wrapText="1"/>
    </xf>
    <xf numFmtId="0" fontId="5" fillId="0" borderId="3" xfId="0" quotePrefix="1" applyFont="1" applyBorder="1" applyAlignment="1">
      <alignment vertical="center" wrapText="1"/>
    </xf>
    <xf numFmtId="0" fontId="5" fillId="0" borderId="7" xfId="0" quotePrefix="1" applyFont="1" applyBorder="1" applyAlignment="1">
      <alignment vertical="center" wrapText="1"/>
    </xf>
    <xf numFmtId="0" fontId="1" fillId="0" borderId="7" xfId="0" applyFont="1" applyBorder="1" applyAlignment="1">
      <alignment horizontal="left" vertical="top" wrapText="1"/>
    </xf>
    <xf numFmtId="0" fontId="1" fillId="0" borderId="3" xfId="0" applyFont="1" applyBorder="1" applyAlignment="1">
      <alignment horizontal="left" vertical="center" wrapText="1"/>
    </xf>
    <xf numFmtId="1" fontId="1" fillId="0" borderId="6" xfId="0" applyNumberFormat="1" applyFont="1" applyBorder="1" applyAlignment="1">
      <alignment horizontal="left" vertical="center" wrapText="1"/>
    </xf>
    <xf numFmtId="0" fontId="1" fillId="0" borderId="15" xfId="0" applyFont="1" applyBorder="1" applyAlignment="1">
      <alignment horizontal="left" vertical="top" wrapText="1"/>
    </xf>
    <xf numFmtId="0" fontId="1" fillId="0" borderId="11" xfId="0" applyFont="1" applyBorder="1" applyAlignment="1">
      <alignment horizontal="left" vertical="center" wrapText="1"/>
    </xf>
    <xf numFmtId="0" fontId="1" fillId="0" borderId="7" xfId="0" quotePrefix="1" applyFont="1" applyBorder="1" applyAlignment="1">
      <alignment horizontal="left" vertical="top" wrapText="1"/>
    </xf>
    <xf numFmtId="0" fontId="5" fillId="0" borderId="6" xfId="0" applyFont="1" applyBorder="1" applyAlignment="1">
      <alignment horizontal="left" vertical="center" wrapText="1"/>
    </xf>
    <xf numFmtId="0" fontId="1" fillId="0" borderId="15" xfId="0" quotePrefix="1" applyFont="1" applyBorder="1" applyAlignment="1">
      <alignment horizontal="left" vertical="top" wrapText="1"/>
    </xf>
    <xf numFmtId="0" fontId="1" fillId="0" borderId="7" xfId="0" quotePrefix="1" applyFont="1" applyBorder="1" applyAlignment="1">
      <alignment horizontal="left" vertical="center" wrapText="1"/>
    </xf>
    <xf numFmtId="1" fontId="1" fillId="0" borderId="14" xfId="0" applyNumberFormat="1" applyFont="1" applyBorder="1" applyAlignment="1">
      <alignment horizontal="left" vertical="center"/>
    </xf>
    <xf numFmtId="0" fontId="1" fillId="0" borderId="29" xfId="0" applyFont="1" applyBorder="1" applyAlignment="1">
      <alignment horizontal="left" vertical="center" wrapText="1"/>
    </xf>
    <xf numFmtId="0" fontId="5" fillId="0" borderId="12" xfId="0" applyFont="1" applyBorder="1" applyAlignment="1">
      <alignment horizontal="left" vertical="center" wrapText="1"/>
    </xf>
    <xf numFmtId="0" fontId="1" fillId="0" borderId="25" xfId="0" quotePrefix="1" applyFont="1" applyBorder="1" applyAlignment="1">
      <alignment horizontal="left" vertical="top" wrapText="1"/>
    </xf>
    <xf numFmtId="0" fontId="1" fillId="0" borderId="9" xfId="0" applyFont="1" applyBorder="1" applyAlignment="1">
      <alignment horizontal="left" vertical="center" wrapText="1"/>
    </xf>
    <xf numFmtId="0" fontId="1" fillId="0" borderId="15" xfId="0" quotePrefix="1" applyFont="1" applyBorder="1" applyAlignment="1">
      <alignment horizontal="left" vertical="center" wrapText="1"/>
    </xf>
    <xf numFmtId="0" fontId="5" fillId="0" borderId="15" xfId="0" applyFont="1" applyBorder="1" applyAlignment="1">
      <alignment horizontal="center" vertical="center" wrapText="1"/>
    </xf>
    <xf numFmtId="0" fontId="1" fillId="0" borderId="1" xfId="0" applyFont="1"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5" fillId="0" borderId="1" xfId="0" applyFont="1" applyBorder="1" applyAlignment="1">
      <alignment horizontal="left" vertical="center"/>
    </xf>
    <xf numFmtId="0" fontId="5" fillId="0" borderId="7" xfId="0" applyFont="1" applyBorder="1" applyAlignment="1">
      <alignment horizontal="left" vertical="center"/>
    </xf>
    <xf numFmtId="0" fontId="5" fillId="0" borderId="7" xfId="0" applyFont="1" applyBorder="1"/>
    <xf numFmtId="0" fontId="20" fillId="0" borderId="7" xfId="0" applyFont="1" applyBorder="1" applyAlignment="1">
      <alignment horizontal="left" vertical="center" wrapText="1"/>
    </xf>
    <xf numFmtId="0" fontId="1" fillId="0" borderId="6" xfId="0" applyFont="1" applyBorder="1" applyAlignment="1">
      <alignment horizontal="left" vertical="center"/>
    </xf>
    <xf numFmtId="0" fontId="5" fillId="0" borderId="3" xfId="0" applyFont="1" applyBorder="1" applyAlignment="1">
      <alignment horizontal="left" vertical="center" wrapText="1"/>
    </xf>
    <xf numFmtId="0" fontId="2" fillId="0" borderId="1" xfId="0" quotePrefix="1" applyFont="1" applyBorder="1" applyAlignment="1">
      <alignment horizontal="center" vertical="center" wrapText="1"/>
    </xf>
    <xf numFmtId="0" fontId="1" fillId="0" borderId="1" xfId="0" applyFont="1" applyBorder="1" applyAlignment="1">
      <alignment wrapText="1"/>
    </xf>
    <xf numFmtId="0" fontId="1" fillId="0" borderId="3" xfId="0" applyFont="1" applyBorder="1" applyAlignment="1">
      <alignment wrapText="1"/>
    </xf>
    <xf numFmtId="0" fontId="1" fillId="0" borderId="7" xfId="0" applyFont="1" applyBorder="1" applyAlignment="1">
      <alignment wrapText="1"/>
    </xf>
    <xf numFmtId="0" fontId="5" fillId="0" borderId="1" xfId="0" applyFont="1" applyBorder="1" applyAlignment="1">
      <alignment horizontal="center" vertical="center" wrapText="1"/>
    </xf>
    <xf numFmtId="0" fontId="5" fillId="0" borderId="7" xfId="0" quotePrefix="1" applyFont="1" applyBorder="1" applyAlignment="1">
      <alignment horizontal="left" vertical="center" wrapText="1"/>
    </xf>
    <xf numFmtId="0" fontId="5" fillId="0" borderId="15" xfId="0" quotePrefix="1" applyFont="1" applyBorder="1" applyAlignment="1">
      <alignment horizontal="left" vertical="center" wrapText="1"/>
    </xf>
    <xf numFmtId="1" fontId="1" fillId="0" borderId="7" xfId="0" quotePrefix="1" applyNumberFormat="1" applyFont="1" applyBorder="1" applyAlignment="1">
      <alignment horizontal="left" vertical="center" wrapText="1"/>
    </xf>
    <xf numFmtId="0" fontId="5" fillId="0" borderId="1" xfId="0" applyFont="1" applyBorder="1" applyAlignment="1">
      <alignment vertical="center"/>
    </xf>
    <xf numFmtId="0" fontId="5" fillId="0" borderId="3" xfId="0" applyFont="1" applyBorder="1" applyAlignment="1">
      <alignment vertical="center"/>
    </xf>
    <xf numFmtId="0" fontId="5" fillId="0" borderId="7" xfId="0" applyFont="1" applyBorder="1" applyAlignment="1">
      <alignment vertical="center"/>
    </xf>
    <xf numFmtId="0" fontId="5" fillId="0" borderId="1" xfId="0" applyFont="1" applyBorder="1"/>
    <xf numFmtId="0" fontId="5" fillId="0" borderId="3" xfId="0" applyFont="1" applyBorder="1"/>
    <xf numFmtId="0" fontId="5" fillId="0" borderId="1" xfId="0" applyFont="1" applyBorder="1" applyAlignment="1">
      <alignment vertical="center" wrapText="1"/>
    </xf>
    <xf numFmtId="0" fontId="5" fillId="0" borderId="3" xfId="0" applyFont="1" applyBorder="1" applyAlignment="1">
      <alignment vertical="center" wrapText="1"/>
    </xf>
    <xf numFmtId="0" fontId="5" fillId="0" borderId="7" xfId="0" applyFont="1" applyBorder="1" applyAlignment="1">
      <alignment vertical="center" wrapText="1"/>
    </xf>
    <xf numFmtId="0" fontId="1" fillId="0" borderId="12" xfId="0" applyFont="1" applyBorder="1" applyAlignment="1">
      <alignment horizontal="left" vertical="center" wrapText="1"/>
    </xf>
    <xf numFmtId="1" fontId="1" fillId="0" borderId="21" xfId="0" applyNumberFormat="1" applyFont="1" applyBorder="1" applyAlignment="1">
      <alignment horizontal="left" vertical="center" wrapText="1"/>
    </xf>
    <xf numFmtId="0" fontId="5" fillId="0" borderId="14" xfId="0" applyFont="1" applyBorder="1" applyAlignment="1">
      <alignment horizontal="left" vertical="center" wrapText="1"/>
    </xf>
    <xf numFmtId="0" fontId="1" fillId="0" borderId="16" xfId="0" applyFont="1" applyBorder="1" applyAlignment="1">
      <alignment horizontal="left" vertical="center" wrapText="1"/>
    </xf>
    <xf numFmtId="0" fontId="5" fillId="0" borderId="16" xfId="0" applyFont="1" applyBorder="1" applyAlignment="1">
      <alignment horizontal="left" vertical="center" wrapText="1"/>
    </xf>
    <xf numFmtId="0" fontId="2" fillId="0" borderId="14" xfId="0" quotePrefix="1" applyFont="1" applyBorder="1" applyAlignment="1">
      <alignment horizontal="center" vertical="center" wrapText="1"/>
    </xf>
    <xf numFmtId="0" fontId="5" fillId="0" borderId="16" xfId="0" applyFont="1" applyBorder="1" applyAlignment="1">
      <alignment vertical="center"/>
    </xf>
    <xf numFmtId="0" fontId="5" fillId="0" borderId="21" xfId="0" applyFont="1" applyBorder="1" applyAlignment="1">
      <alignment vertical="center"/>
    </xf>
    <xf numFmtId="0" fontId="5" fillId="0" borderId="12" xfId="0" applyFont="1" applyBorder="1" applyAlignment="1">
      <alignment vertical="center"/>
    </xf>
    <xf numFmtId="0" fontId="26" fillId="14" borderId="1" xfId="0" applyFont="1" applyFill="1" applyBorder="1" applyAlignment="1">
      <alignment horizontal="left" vertical="center" wrapText="1"/>
    </xf>
    <xf numFmtId="0" fontId="27" fillId="0" borderId="1" xfId="1" applyFont="1" applyFill="1" applyBorder="1" applyAlignment="1">
      <alignment horizontal="left" vertical="center" wrapText="1"/>
    </xf>
    <xf numFmtId="0" fontId="26" fillId="0" borderId="1" xfId="0" applyFont="1" applyBorder="1" applyAlignment="1">
      <alignment horizontal="left" vertical="center" wrapText="1"/>
    </xf>
    <xf numFmtId="0" fontId="26" fillId="16" borderId="1" xfId="0" applyFont="1" applyFill="1" applyBorder="1" applyAlignment="1">
      <alignment horizontal="left" vertical="center"/>
    </xf>
    <xf numFmtId="0" fontId="26" fillId="16" borderId="1" xfId="0" applyFont="1" applyFill="1" applyBorder="1" applyAlignment="1">
      <alignment horizontal="left" vertical="center" wrapText="1"/>
    </xf>
    <xf numFmtId="0" fontId="26" fillId="0" borderId="1" xfId="0" applyFont="1" applyBorder="1" applyAlignment="1">
      <alignment horizontal="left" vertical="center"/>
    </xf>
    <xf numFmtId="0" fontId="5" fillId="15" borderId="1" xfId="0" applyFont="1" applyFill="1" applyBorder="1" applyAlignment="1">
      <alignment horizontal="center" vertical="center" wrapText="1"/>
    </xf>
    <xf numFmtId="0" fontId="1" fillId="15" borderId="1" xfId="0" applyFont="1" applyFill="1" applyBorder="1" applyAlignment="1">
      <alignment horizontal="left" vertical="center" wrapText="1"/>
    </xf>
    <xf numFmtId="0" fontId="27" fillId="16" borderId="1" xfId="1" applyFont="1" applyFill="1" applyBorder="1" applyAlignment="1">
      <alignment horizontal="left" vertical="center" wrapText="1"/>
    </xf>
    <xf numFmtId="0" fontId="24" fillId="17" borderId="44" xfId="0" applyFont="1" applyFill="1" applyBorder="1"/>
    <xf numFmtId="0" fontId="26" fillId="0" borderId="1" xfId="0" applyFont="1" applyBorder="1" applyAlignment="1">
      <alignment horizontal="center" vertical="center"/>
    </xf>
    <xf numFmtId="0" fontId="24" fillId="17" borderId="45" xfId="0" applyFont="1" applyFill="1" applyBorder="1"/>
    <xf numFmtId="0" fontId="24" fillId="17" borderId="43" xfId="0" applyFont="1" applyFill="1" applyBorder="1"/>
    <xf numFmtId="0" fontId="27" fillId="0" borderId="17" xfId="1" applyFont="1" applyFill="1" applyBorder="1" applyAlignment="1">
      <alignment horizontal="left" vertical="center" wrapText="1"/>
    </xf>
    <xf numFmtId="0" fontId="26" fillId="0" borderId="1" xfId="0" applyFont="1" applyBorder="1" applyAlignment="1">
      <alignment vertical="center"/>
    </xf>
    <xf numFmtId="0" fontId="26" fillId="14" borderId="17" xfId="0" applyFont="1" applyFill="1" applyBorder="1" applyAlignment="1">
      <alignment horizontal="left" vertical="center" wrapText="1"/>
    </xf>
    <xf numFmtId="0" fontId="27" fillId="0" borderId="1" xfId="1" applyFont="1" applyBorder="1" applyAlignment="1">
      <alignment horizontal="left" vertical="center" wrapText="1"/>
    </xf>
    <xf numFmtId="0" fontId="0" fillId="15" borderId="0" xfId="0" applyFill="1"/>
    <xf numFmtId="0" fontId="0" fillId="18" borderId="0" xfId="0" applyFill="1"/>
    <xf numFmtId="0" fontId="0" fillId="15" borderId="1" xfId="0" applyFill="1" applyBorder="1"/>
    <xf numFmtId="0" fontId="0" fillId="18" borderId="1" xfId="0" applyFill="1" applyBorder="1"/>
    <xf numFmtId="0" fontId="5" fillId="14" borderId="1" xfId="0" applyFont="1" applyFill="1" applyBorder="1" applyAlignment="1">
      <alignment horizontal="left" vertical="center" wrapText="1"/>
    </xf>
    <xf numFmtId="0" fontId="1" fillId="0" borderId="0" xfId="0" applyFont="1" applyAlignment="1">
      <alignment horizontal="left" vertical="center"/>
    </xf>
    <xf numFmtId="0" fontId="1" fillId="0" borderId="6" xfId="0" quotePrefix="1" applyFont="1" applyBorder="1" applyAlignment="1">
      <alignment horizontal="left" vertical="center" wrapText="1"/>
    </xf>
    <xf numFmtId="0" fontId="33" fillId="0" borderId="0" xfId="0" applyFont="1" applyAlignment="1">
      <alignment horizontal="center" vertical="center" wrapText="1"/>
    </xf>
    <xf numFmtId="0" fontId="34" fillId="19" borderId="0" xfId="11" applyFont="1" applyAlignment="1">
      <alignment horizontal="center" vertical="center"/>
    </xf>
    <xf numFmtId="0" fontId="1" fillId="15" borderId="0" xfId="0" applyFont="1" applyFill="1" applyAlignment="1">
      <alignment horizontal="center" vertical="center"/>
    </xf>
    <xf numFmtId="1" fontId="1" fillId="0" borderId="7" xfId="0" applyNumberFormat="1" applyFont="1" applyBorder="1" applyAlignment="1">
      <alignment horizontal="left" vertical="center" wrapText="1"/>
    </xf>
    <xf numFmtId="0" fontId="13" fillId="3" borderId="42" xfId="0" applyFont="1" applyFill="1" applyBorder="1" applyAlignment="1">
      <alignment horizontal="center" vertical="center" wrapText="1"/>
    </xf>
    <xf numFmtId="0" fontId="13" fillId="3" borderId="41"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3" fillId="3" borderId="28" xfId="0" applyFont="1" applyFill="1" applyBorder="1" applyAlignment="1">
      <alignment horizontal="center" vertical="center" wrapText="1"/>
    </xf>
    <xf numFmtId="0" fontId="2" fillId="0" borderId="14" xfId="0" quotePrefix="1" applyFont="1" applyBorder="1" applyAlignment="1">
      <alignment horizontal="center" vertical="center" wrapText="1"/>
    </xf>
    <xf numFmtId="0" fontId="2" fillId="0" borderId="23" xfId="0" quotePrefix="1" applyFont="1" applyBorder="1" applyAlignment="1">
      <alignment horizontal="center" vertical="center" wrapText="1"/>
    </xf>
    <xf numFmtId="0" fontId="2" fillId="0" borderId="26" xfId="0" quotePrefix="1" applyFont="1" applyBorder="1" applyAlignment="1">
      <alignment horizontal="center" vertical="center" wrapText="1"/>
    </xf>
    <xf numFmtId="0" fontId="13" fillId="2" borderId="46"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40" xfId="0" applyFont="1" applyFill="1" applyBorder="1" applyAlignment="1">
      <alignment horizontal="center" vertical="center"/>
    </xf>
    <xf numFmtId="0" fontId="13" fillId="2" borderId="36"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5" xfId="0" applyFont="1" applyFill="1" applyBorder="1" applyAlignment="1">
      <alignment horizontal="center" vertical="center"/>
    </xf>
    <xf numFmtId="0" fontId="13" fillId="4" borderId="18" xfId="0" applyFont="1" applyFill="1" applyBorder="1" applyAlignment="1">
      <alignment horizontal="center" vertical="center" wrapText="1"/>
    </xf>
    <xf numFmtId="0" fontId="13" fillId="4" borderId="19" xfId="0" applyFont="1" applyFill="1" applyBorder="1" applyAlignment="1">
      <alignment horizontal="center" vertical="center" wrapText="1"/>
    </xf>
    <xf numFmtId="0" fontId="13" fillId="4" borderId="20"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4" borderId="15" xfId="0" applyFont="1" applyFill="1" applyBorder="1" applyAlignment="1">
      <alignment horizontal="center" vertical="center" wrapText="1"/>
    </xf>
    <xf numFmtId="0" fontId="1" fillId="0" borderId="12" xfId="0" quotePrefix="1" applyFont="1" applyBorder="1" applyAlignment="1">
      <alignment horizontal="center" vertical="center" wrapText="1"/>
    </xf>
    <xf numFmtId="0" fontId="1" fillId="0" borderId="13" xfId="0" quotePrefix="1" applyFont="1" applyBorder="1" applyAlignment="1">
      <alignment horizontal="center" vertical="center" wrapText="1"/>
    </xf>
    <xf numFmtId="0" fontId="1" fillId="0" borderId="28" xfId="0" quotePrefix="1" applyFont="1" applyBorder="1" applyAlignment="1">
      <alignment horizontal="center" vertical="center" wrapText="1"/>
    </xf>
    <xf numFmtId="0" fontId="1" fillId="0" borderId="16" xfId="0" quotePrefix="1" applyFont="1" applyBorder="1" applyAlignment="1">
      <alignment horizontal="center" vertical="center" wrapText="1"/>
    </xf>
    <xf numFmtId="0" fontId="1" fillId="0" borderId="24" xfId="0" quotePrefix="1" applyFont="1" applyBorder="1" applyAlignment="1">
      <alignment horizontal="center" vertical="center" wrapText="1"/>
    </xf>
    <xf numFmtId="0" fontId="1" fillId="0" borderId="17" xfId="0" quotePrefix="1" applyFont="1" applyBorder="1" applyAlignment="1">
      <alignment horizontal="center" vertical="center" wrapText="1"/>
    </xf>
    <xf numFmtId="0" fontId="13" fillId="4" borderId="21" xfId="0" applyFont="1" applyFill="1" applyBorder="1" applyAlignment="1">
      <alignment horizontal="center" vertical="center" wrapText="1"/>
    </xf>
    <xf numFmtId="0" fontId="13" fillId="4" borderId="1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13" fillId="4" borderId="31"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3" fillId="3" borderId="36"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33" xfId="0" applyFont="1" applyFill="1" applyBorder="1" applyAlignment="1">
      <alignment horizontal="center" vertical="center" wrapText="1"/>
    </xf>
    <xf numFmtId="0" fontId="13" fillId="4" borderId="36" xfId="0" applyFont="1" applyFill="1" applyBorder="1" applyAlignment="1">
      <alignment horizontal="center" vertical="center" wrapText="1"/>
    </xf>
    <xf numFmtId="0" fontId="13" fillId="4" borderId="30" xfId="0" applyFont="1" applyFill="1" applyBorder="1" applyAlignment="1">
      <alignment horizontal="center" vertical="center" wrapText="1"/>
    </xf>
    <xf numFmtId="0" fontId="13" fillId="4" borderId="32" xfId="0" applyFont="1" applyFill="1" applyBorder="1" applyAlignment="1">
      <alignment horizontal="center" vertical="center" wrapText="1"/>
    </xf>
    <xf numFmtId="0" fontId="13" fillId="4" borderId="38" xfId="0" applyFont="1" applyFill="1" applyBorder="1" applyAlignment="1">
      <alignment horizontal="center" vertical="center" wrapText="1"/>
    </xf>
    <xf numFmtId="0" fontId="13" fillId="10" borderId="16" xfId="0" applyFont="1" applyFill="1" applyBorder="1" applyAlignment="1">
      <alignment horizontal="center" vertical="center" wrapText="1"/>
    </xf>
    <xf numFmtId="0" fontId="13" fillId="10" borderId="17" xfId="0" applyFont="1" applyFill="1" applyBorder="1" applyAlignment="1">
      <alignment horizontal="center" vertical="center" wrapText="1"/>
    </xf>
    <xf numFmtId="0" fontId="13" fillId="2" borderId="10" xfId="0" applyFont="1" applyFill="1" applyBorder="1" applyAlignment="1">
      <alignment horizontal="center" vertical="center"/>
    </xf>
    <xf numFmtId="0" fontId="13" fillId="2" borderId="39" xfId="0" applyFont="1" applyFill="1" applyBorder="1" applyAlignment="1">
      <alignment horizontal="center" vertical="center"/>
    </xf>
    <xf numFmtId="0" fontId="13" fillId="2" borderId="38"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1" xfId="0" applyFont="1" applyFill="1" applyBorder="1" applyAlignment="1">
      <alignment horizontal="center" vertical="center"/>
    </xf>
    <xf numFmtId="0" fontId="13" fillId="3" borderId="10" xfId="0" applyFont="1" applyFill="1" applyBorder="1" applyAlignment="1">
      <alignment horizontal="center" vertical="center" wrapText="1"/>
    </xf>
    <xf numFmtId="0" fontId="13" fillId="3" borderId="35" xfId="0" applyFont="1" applyFill="1" applyBorder="1" applyAlignment="1">
      <alignment horizontal="center" vertical="center" wrapText="1"/>
    </xf>
    <xf numFmtId="0" fontId="13" fillId="3" borderId="21" xfId="0" applyFont="1" applyFill="1" applyBorder="1" applyAlignment="1">
      <alignment horizontal="center" vertical="center" wrapText="1"/>
    </xf>
    <xf numFmtId="0" fontId="13" fillId="3" borderId="37"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3" fillId="3" borderId="34" xfId="0" applyFont="1" applyFill="1" applyBorder="1" applyAlignment="1">
      <alignment horizontal="center" vertical="center" wrapText="1"/>
    </xf>
    <xf numFmtId="0" fontId="10" fillId="9" borderId="1" xfId="0" applyFont="1" applyFill="1" applyBorder="1" applyAlignment="1">
      <alignment horizontal="center" vertical="center"/>
    </xf>
    <xf numFmtId="0" fontId="1" fillId="0" borderId="1" xfId="0" applyFont="1" applyBorder="1" applyAlignment="1">
      <alignment horizontal="left" wrapText="1"/>
    </xf>
    <xf numFmtId="0" fontId="1" fillId="15" borderId="1" xfId="0" applyFont="1" applyFill="1" applyBorder="1" applyAlignment="1">
      <alignment horizontal="left" wrapText="1"/>
    </xf>
    <xf numFmtId="0" fontId="1" fillId="15" borderId="7" xfId="0" applyFont="1" applyFill="1" applyBorder="1" applyAlignment="1">
      <alignment horizontal="left"/>
    </xf>
    <xf numFmtId="0" fontId="1" fillId="0" borderId="7" xfId="0" applyFont="1" applyFill="1" applyBorder="1" applyAlignment="1">
      <alignment horizontal="left"/>
    </xf>
    <xf numFmtId="0" fontId="1" fillId="15" borderId="7" xfId="0" applyFont="1" applyFill="1" applyBorder="1" applyAlignment="1">
      <alignment horizontal="left" vertical="center"/>
    </xf>
    <xf numFmtId="0" fontId="1" fillId="0" borderId="1" xfId="0" applyFont="1" applyFill="1" applyBorder="1" applyAlignment="1">
      <alignment horizontal="left" vertical="center" wrapText="1"/>
    </xf>
    <xf numFmtId="0" fontId="1" fillId="15" borderId="1" xfId="0" applyFont="1" applyFill="1" applyBorder="1" applyAlignment="1">
      <alignment horizontal="left" vertical="center"/>
    </xf>
    <xf numFmtId="0" fontId="1" fillId="0" borderId="1" xfId="0" applyFont="1" applyFill="1" applyBorder="1" applyAlignment="1">
      <alignment horizontal="left"/>
    </xf>
    <xf numFmtId="0" fontId="1" fillId="0" borderId="7" xfId="0" applyFont="1" applyBorder="1" applyAlignment="1">
      <alignment horizontal="left" wrapText="1"/>
    </xf>
    <xf numFmtId="0" fontId="1" fillId="15" borderId="7" xfId="0" applyFont="1" applyFill="1" applyBorder="1" applyAlignment="1">
      <alignment horizontal="left" vertical="center" wrapText="1"/>
    </xf>
    <xf numFmtId="0" fontId="1" fillId="0" borderId="16" xfId="0" applyFont="1" applyBorder="1" applyAlignment="1">
      <alignment horizontal="left" vertical="center"/>
    </xf>
    <xf numFmtId="0" fontId="1" fillId="0" borderId="12" xfId="0" applyFont="1" applyBorder="1" applyAlignment="1">
      <alignment horizontal="left" vertical="center"/>
    </xf>
  </cellXfs>
  <cellStyles count="12">
    <cellStyle name="Good" xfId="11" builtinId="26"/>
    <cellStyle name="Hyperlink" xfId="1" builtinId="8"/>
    <cellStyle name="Normal" xfId="0" builtinId="0"/>
    <cellStyle name="Normal 2" xfId="3"/>
    <cellStyle name="Normal 2 2" xfId="7"/>
    <cellStyle name="Normal 2 2 2" xfId="2"/>
    <cellStyle name="Normal 2 3" xfId="8"/>
    <cellStyle name="Normal 2 4" xfId="10"/>
    <cellStyle name="Normal 3" xfId="4"/>
    <cellStyle name="Normal 3 2" xfId="6"/>
    <cellStyle name="Normal 3 3" xfId="9"/>
    <cellStyle name="Normal 5" xfId="5"/>
  </cellStyles>
  <dxfs count="3">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antander">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Santander" id="{7EC2339E-4569-44C5-BC8B-8B111C20F4B8}" vid="{957ED737-6A8C-4469-9B1C-A696248AFB2B}"/>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44"/>
  <sheetViews>
    <sheetView showGridLines="0" zoomScale="80" zoomScaleNormal="80" workbookViewId="0"/>
  </sheetViews>
  <sheetFormatPr defaultColWidth="10.625" defaultRowHeight="18.75" x14ac:dyDescent="0.4"/>
  <cols>
    <col min="1" max="1" width="3.625" customWidth="1"/>
    <col min="2" max="6" width="11" style="7"/>
  </cols>
  <sheetData>
    <row r="1" spans="2:2" ht="12.75" customHeight="1" x14ac:dyDescent="0.4"/>
    <row r="2" spans="2:2" x14ac:dyDescent="0.4">
      <c r="B2" s="8" t="s">
        <v>289</v>
      </c>
    </row>
    <row r="3" spans="2:2" s="5" customFormat="1" x14ac:dyDescent="0.4">
      <c r="B3" s="7" t="s">
        <v>179</v>
      </c>
    </row>
    <row r="4" spans="2:2" ht="13.5" customHeight="1" x14ac:dyDescent="0.4"/>
    <row r="5" spans="2:2" x14ac:dyDescent="0.4">
      <c r="B5" s="9" t="s">
        <v>0</v>
      </c>
    </row>
    <row r="6" spans="2:2" s="5" customFormat="1" x14ac:dyDescent="0.35">
      <c r="B6" s="10" t="s">
        <v>180</v>
      </c>
    </row>
    <row r="7" spans="2:2" s="5" customFormat="1" x14ac:dyDescent="0.4">
      <c r="B7" s="11" t="s">
        <v>181</v>
      </c>
    </row>
    <row r="8" spans="2:2" ht="13.5" customHeight="1" x14ac:dyDescent="0.4"/>
    <row r="9" spans="2:2" x14ac:dyDescent="0.4">
      <c r="B9" s="9" t="s">
        <v>1</v>
      </c>
    </row>
    <row r="10" spans="2:2" s="5" customFormat="1" x14ac:dyDescent="0.4">
      <c r="B10" s="11" t="s">
        <v>182</v>
      </c>
    </row>
    <row r="11" spans="2:2" s="5" customFormat="1" x14ac:dyDescent="0.4">
      <c r="B11" s="11" t="s">
        <v>183</v>
      </c>
    </row>
    <row r="12" spans="2:2" s="5" customFormat="1" x14ac:dyDescent="0.4">
      <c r="B12" s="11" t="s">
        <v>184</v>
      </c>
    </row>
    <row r="13" spans="2:2" s="5" customFormat="1" x14ac:dyDescent="0.4">
      <c r="B13" s="11" t="s">
        <v>185</v>
      </c>
    </row>
    <row r="14" spans="2:2" s="5" customFormat="1" x14ac:dyDescent="0.4">
      <c r="B14" s="11" t="s">
        <v>186</v>
      </c>
    </row>
    <row r="15" spans="2:2" ht="13.5" customHeight="1" x14ac:dyDescent="0.4"/>
    <row r="16" spans="2:2" x14ac:dyDescent="0.4">
      <c r="B16" s="9" t="s">
        <v>187</v>
      </c>
    </row>
    <row r="17" spans="2:2" s="5" customFormat="1" x14ac:dyDescent="0.4">
      <c r="B17" s="7" t="s">
        <v>188</v>
      </c>
    </row>
    <row r="18" spans="2:2" ht="13.5" customHeight="1" x14ac:dyDescent="0.4"/>
    <row r="19" spans="2:2" x14ac:dyDescent="0.4">
      <c r="B19" s="9" t="s">
        <v>189</v>
      </c>
    </row>
    <row r="20" spans="2:2" s="5" customFormat="1" x14ac:dyDescent="0.4">
      <c r="B20" s="7" t="s">
        <v>290</v>
      </c>
    </row>
    <row r="21" spans="2:2" ht="13.5" customHeight="1" x14ac:dyDescent="0.4"/>
    <row r="22" spans="2:2" x14ac:dyDescent="0.4">
      <c r="B22" s="9" t="s">
        <v>2</v>
      </c>
    </row>
    <row r="23" spans="2:2" s="5" customFormat="1" x14ac:dyDescent="0.4">
      <c r="B23" s="7" t="s">
        <v>190</v>
      </c>
    </row>
    <row r="24" spans="2:2" s="5" customFormat="1" x14ac:dyDescent="0.4">
      <c r="B24" s="11" t="s">
        <v>191</v>
      </c>
    </row>
    <row r="25" spans="2:2" s="5" customFormat="1" x14ac:dyDescent="0.4">
      <c r="B25" s="11" t="s">
        <v>291</v>
      </c>
    </row>
    <row r="26" spans="2:2" s="5" customFormat="1" x14ac:dyDescent="0.4">
      <c r="B26" s="11" t="s">
        <v>258</v>
      </c>
    </row>
    <row r="27" spans="2:2" s="5" customFormat="1" x14ac:dyDescent="0.4">
      <c r="B27" s="7" t="s">
        <v>259</v>
      </c>
    </row>
    <row r="28" spans="2:2" x14ac:dyDescent="0.4">
      <c r="B28" s="19" t="s">
        <v>260</v>
      </c>
    </row>
    <row r="29" spans="2:2" x14ac:dyDescent="0.4">
      <c r="B29" s="19"/>
    </row>
    <row r="30" spans="2:2" ht="13.5" customHeight="1" x14ac:dyDescent="0.4"/>
    <row r="31" spans="2:2" x14ac:dyDescent="0.4">
      <c r="B31" s="9" t="s">
        <v>192</v>
      </c>
    </row>
    <row r="32" spans="2:2" x14ac:dyDescent="0.4">
      <c r="B32" s="9" t="s">
        <v>193</v>
      </c>
    </row>
    <row r="33" spans="2:20" x14ac:dyDescent="0.4">
      <c r="B33" s="12" t="s">
        <v>194</v>
      </c>
    </row>
    <row r="34" spans="2:20" x14ac:dyDescent="0.4">
      <c r="B34" s="11" t="s">
        <v>195</v>
      </c>
    </row>
    <row r="35" spans="2:20" x14ac:dyDescent="0.4">
      <c r="B35" s="11" t="s">
        <v>196</v>
      </c>
    </row>
    <row r="36" spans="2:20" ht="18.75" customHeight="1" x14ac:dyDescent="0.4">
      <c r="B36" s="11" t="s">
        <v>197</v>
      </c>
      <c r="C36" s="13"/>
      <c r="D36" s="13"/>
      <c r="E36" s="13"/>
      <c r="F36" s="13"/>
      <c r="G36" s="13"/>
      <c r="H36" s="13"/>
      <c r="I36" s="13"/>
      <c r="J36" s="13"/>
      <c r="K36" s="13"/>
      <c r="L36" s="13"/>
      <c r="M36" s="13"/>
      <c r="N36" s="13"/>
      <c r="O36" s="13"/>
      <c r="P36" s="13"/>
      <c r="Q36" s="13"/>
      <c r="R36" s="13"/>
      <c r="S36" s="13"/>
      <c r="T36" s="13"/>
    </row>
    <row r="37" spans="2:20" ht="18.75" customHeight="1" x14ac:dyDescent="0.4">
      <c r="B37" s="7" t="s">
        <v>198</v>
      </c>
      <c r="C37" s="13"/>
      <c r="D37" s="13"/>
      <c r="E37" s="13"/>
      <c r="F37" s="13"/>
      <c r="G37" s="13"/>
      <c r="H37" s="13"/>
      <c r="I37" s="13"/>
      <c r="J37" s="13"/>
      <c r="K37" s="13"/>
      <c r="L37" s="13"/>
      <c r="M37" s="13"/>
      <c r="N37" s="13"/>
      <c r="O37" s="13"/>
      <c r="P37" s="13"/>
      <c r="Q37" s="13"/>
      <c r="R37" s="13"/>
      <c r="S37" s="13"/>
      <c r="T37" s="13"/>
    </row>
    <row r="38" spans="2:20" x14ac:dyDescent="0.4">
      <c r="B38" s="7" t="s">
        <v>199</v>
      </c>
    </row>
    <row r="39" spans="2:20" x14ac:dyDescent="0.4">
      <c r="B39" s="12" t="s">
        <v>200</v>
      </c>
    </row>
    <row r="40" spans="2:20" x14ac:dyDescent="0.4">
      <c r="B40" s="7" t="s">
        <v>201</v>
      </c>
    </row>
    <row r="41" spans="2:20" x14ac:dyDescent="0.4">
      <c r="B41" s="23" t="s">
        <v>338</v>
      </c>
    </row>
    <row r="42" spans="2:20" x14ac:dyDescent="0.4">
      <c r="B42" s="24" t="s">
        <v>339</v>
      </c>
    </row>
    <row r="43" spans="2:20" x14ac:dyDescent="0.4">
      <c r="B43" s="24" t="s">
        <v>340</v>
      </c>
    </row>
    <row r="44" spans="2:20" x14ac:dyDescent="0.4">
      <c r="B44" s="7" t="s">
        <v>341</v>
      </c>
    </row>
  </sheetData>
  <pageMargins left="0.7" right="0.7" top="0.75" bottom="0.75" header="0.3" footer="0.3"/>
  <pageSetup paperSize="9" orientation="portrait" r:id="rId1"/>
  <headerFooter>
    <oddHeader>&amp;L&amp;"Calibri"&amp;10&amp;K000000Confidential&amp;1#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99"/>
  <sheetViews>
    <sheetView showGridLines="0" tabSelected="1" topLeftCell="B1" zoomScale="70" zoomScaleNormal="70" workbookViewId="0">
      <pane ySplit="4" topLeftCell="A5" activePane="bottomLeft" state="frozen"/>
      <selection activeCell="E1" sqref="E1"/>
      <selection pane="bottomLeft" activeCell="M4" sqref="M4"/>
    </sheetView>
  </sheetViews>
  <sheetFormatPr defaultColWidth="11.25" defaultRowHeight="16.5" x14ac:dyDescent="0.35"/>
  <cols>
    <col min="1" max="1" width="11.25" style="5"/>
    <col min="2" max="3" width="18.625" style="22" customWidth="1"/>
    <col min="4" max="4" width="24" style="4" customWidth="1"/>
    <col min="5" max="5" width="42.625" style="4" customWidth="1"/>
    <col min="6" max="6" width="25" style="4" customWidth="1"/>
    <col min="7" max="7" width="15.5" style="4" customWidth="1"/>
    <col min="8" max="8" width="54.25" style="4" customWidth="1"/>
    <col min="9" max="9" width="22.75" style="16" customWidth="1"/>
    <col min="10" max="10" width="25.25" style="4" customWidth="1"/>
    <col min="11" max="11" width="23.75" style="4" customWidth="1"/>
    <col min="12" max="12" width="15.625" style="4" customWidth="1"/>
    <col min="13" max="13" width="17" style="4" customWidth="1"/>
    <col min="14" max="14" width="31.125" style="4" customWidth="1"/>
    <col min="15" max="15" width="23.75" style="20" customWidth="1"/>
    <col min="16" max="17" width="39.5" style="4" customWidth="1"/>
    <col min="18" max="18" width="14.25" style="21" customWidth="1"/>
    <col min="19" max="19" width="20" style="21" customWidth="1"/>
    <col min="20" max="20" width="30.75" style="21" customWidth="1"/>
    <col min="21" max="21" width="37.5" style="21" customWidth="1"/>
    <col min="22" max="22" width="18.75" style="21" customWidth="1"/>
    <col min="23" max="23" width="29" style="21" customWidth="1"/>
    <col min="24" max="25" width="27.25" style="21" customWidth="1"/>
    <col min="26" max="16384" width="11.25" style="5"/>
  </cols>
  <sheetData>
    <row r="1" spans="1:25" s="14" customFormat="1" ht="14.65" customHeight="1" x14ac:dyDescent="0.35">
      <c r="B1" s="191" t="s">
        <v>364</v>
      </c>
      <c r="C1" s="28"/>
      <c r="D1" s="210" t="s">
        <v>0</v>
      </c>
      <c r="E1" s="210"/>
      <c r="F1" s="213"/>
      <c r="G1" s="214"/>
      <c r="H1" s="174" t="s">
        <v>279</v>
      </c>
      <c r="I1" s="175"/>
      <c r="J1" s="175"/>
      <c r="K1" s="175"/>
      <c r="L1" s="175"/>
      <c r="M1" s="176"/>
      <c r="N1" s="211" t="s">
        <v>143</v>
      </c>
      <c r="O1" s="175"/>
      <c r="P1" s="175"/>
      <c r="Q1" s="176"/>
      <c r="R1" s="180" t="s">
        <v>152</v>
      </c>
      <c r="S1" s="181"/>
      <c r="T1" s="181"/>
      <c r="U1" s="181"/>
      <c r="V1" s="181"/>
      <c r="W1" s="181"/>
      <c r="X1" s="181"/>
      <c r="Y1" s="182"/>
    </row>
    <row r="2" spans="1:25" s="14" customFormat="1" ht="18.75" customHeight="1" x14ac:dyDescent="0.35">
      <c r="B2" s="204"/>
      <c r="C2" s="29"/>
      <c r="D2" s="178"/>
      <c r="E2" s="178"/>
      <c r="F2" s="213"/>
      <c r="G2" s="214"/>
      <c r="H2" s="177"/>
      <c r="I2" s="178"/>
      <c r="J2" s="178"/>
      <c r="K2" s="178"/>
      <c r="L2" s="178"/>
      <c r="M2" s="179"/>
      <c r="N2" s="212"/>
      <c r="O2" s="178"/>
      <c r="P2" s="178"/>
      <c r="Q2" s="179"/>
      <c r="R2" s="205" t="s">
        <v>111</v>
      </c>
      <c r="S2" s="183" t="s">
        <v>112</v>
      </c>
      <c r="T2" s="183"/>
      <c r="U2" s="183"/>
      <c r="V2" s="184"/>
      <c r="W2" s="191" t="s">
        <v>113</v>
      </c>
      <c r="X2" s="192"/>
      <c r="Y2" s="197" t="s">
        <v>146</v>
      </c>
    </row>
    <row r="3" spans="1:25" s="17" customFormat="1" ht="39.4" customHeight="1" x14ac:dyDescent="0.2">
      <c r="B3" s="193" t="s">
        <v>416</v>
      </c>
      <c r="C3" s="195" t="s">
        <v>541</v>
      </c>
      <c r="D3" s="167" t="s">
        <v>70</v>
      </c>
      <c r="E3" s="169" t="s">
        <v>69</v>
      </c>
      <c r="F3" s="219" t="s">
        <v>3</v>
      </c>
      <c r="G3" s="169" t="s">
        <v>4</v>
      </c>
      <c r="H3" s="193" t="s">
        <v>5</v>
      </c>
      <c r="I3" s="208" t="s">
        <v>367</v>
      </c>
      <c r="J3" s="195" t="s">
        <v>282</v>
      </c>
      <c r="K3" s="195" t="s">
        <v>288</v>
      </c>
      <c r="L3" s="202" t="s">
        <v>547</v>
      </c>
      <c r="M3" s="203"/>
      <c r="N3" s="193" t="s">
        <v>68</v>
      </c>
      <c r="O3" s="217" t="s">
        <v>81</v>
      </c>
      <c r="P3" s="215" t="s">
        <v>110</v>
      </c>
      <c r="Q3" s="220" t="s">
        <v>137</v>
      </c>
      <c r="R3" s="206"/>
      <c r="S3" s="195" t="s">
        <v>147</v>
      </c>
      <c r="T3" s="195" t="s">
        <v>148</v>
      </c>
      <c r="U3" s="195" t="s">
        <v>149</v>
      </c>
      <c r="V3" s="195" t="s">
        <v>150</v>
      </c>
      <c r="W3" s="195" t="s">
        <v>151</v>
      </c>
      <c r="X3" s="200" t="s">
        <v>176</v>
      </c>
      <c r="Y3" s="198"/>
    </row>
    <row r="4" spans="1:25" s="17" customFormat="1" ht="36" customHeight="1" thickBot="1" x14ac:dyDescent="0.25">
      <c r="A4" s="163" t="s">
        <v>551</v>
      </c>
      <c r="B4" s="194"/>
      <c r="C4" s="196"/>
      <c r="D4" s="168"/>
      <c r="E4" s="170"/>
      <c r="F4" s="194"/>
      <c r="G4" s="170"/>
      <c r="H4" s="194"/>
      <c r="I4" s="209"/>
      <c r="J4" s="196"/>
      <c r="K4" s="196"/>
      <c r="L4" s="15" t="s">
        <v>144</v>
      </c>
      <c r="M4" s="18" t="s">
        <v>145</v>
      </c>
      <c r="N4" s="218"/>
      <c r="O4" s="201"/>
      <c r="P4" s="216"/>
      <c r="Q4" s="221"/>
      <c r="R4" s="207"/>
      <c r="S4" s="196"/>
      <c r="T4" s="196"/>
      <c r="U4" s="196"/>
      <c r="V4" s="196"/>
      <c r="W4" s="196"/>
      <c r="X4" s="201"/>
      <c r="Y4" s="199"/>
    </row>
    <row r="5" spans="1:25" s="1" customFormat="1" ht="82.5" x14ac:dyDescent="0.35">
      <c r="B5" s="44">
        <v>1</v>
      </c>
      <c r="C5" s="50" t="s">
        <v>542</v>
      </c>
      <c r="D5" s="30" t="s">
        <v>89</v>
      </c>
      <c r="E5" s="46" t="s">
        <v>86</v>
      </c>
      <c r="F5" s="47" t="s">
        <v>398</v>
      </c>
      <c r="G5" s="48" t="s">
        <v>10</v>
      </c>
      <c r="H5" s="49" t="s">
        <v>219</v>
      </c>
      <c r="I5" s="50" t="s">
        <v>281</v>
      </c>
      <c r="J5" s="51" t="s">
        <v>417</v>
      </c>
      <c r="K5" s="51" t="s">
        <v>280</v>
      </c>
      <c r="L5" s="224" t="s">
        <v>570</v>
      </c>
      <c r="M5" s="225"/>
      <c r="N5" s="53" t="s">
        <v>6</v>
      </c>
      <c r="O5" s="54" t="s">
        <v>324</v>
      </c>
      <c r="P5" s="55" t="s">
        <v>128</v>
      </c>
      <c r="Q5" s="56"/>
      <c r="R5" s="171" t="s">
        <v>153</v>
      </c>
      <c r="S5" s="188" t="s">
        <v>156</v>
      </c>
      <c r="T5" s="188" t="s">
        <v>207</v>
      </c>
      <c r="U5" s="188" t="s">
        <v>158</v>
      </c>
      <c r="V5" s="57"/>
      <c r="W5" s="57"/>
      <c r="X5" s="58"/>
      <c r="Y5" s="185" t="s">
        <v>206</v>
      </c>
    </row>
    <row r="6" spans="1:25" s="1" customFormat="1" ht="61.5" customHeight="1" x14ac:dyDescent="0.35">
      <c r="B6" s="44">
        <v>2</v>
      </c>
      <c r="C6" s="50" t="s">
        <v>542</v>
      </c>
      <c r="D6" s="30" t="s">
        <v>90</v>
      </c>
      <c r="E6" s="46" t="s">
        <v>87</v>
      </c>
      <c r="F6" s="47" t="s">
        <v>398</v>
      </c>
      <c r="G6" s="48" t="s">
        <v>10</v>
      </c>
      <c r="H6" s="49" t="s">
        <v>219</v>
      </c>
      <c r="I6" s="50" t="s">
        <v>281</v>
      </c>
      <c r="J6" s="51" t="s">
        <v>417</v>
      </c>
      <c r="K6" s="51" t="s">
        <v>280</v>
      </c>
      <c r="L6" s="224" t="s">
        <v>575</v>
      </c>
      <c r="M6" s="225" t="s">
        <v>576</v>
      </c>
      <c r="N6" s="59" t="s">
        <v>6</v>
      </c>
      <c r="O6" s="54" t="s">
        <v>324</v>
      </c>
      <c r="P6" s="31" t="s">
        <v>128</v>
      </c>
      <c r="Q6" s="46"/>
      <c r="R6" s="172"/>
      <c r="S6" s="189"/>
      <c r="T6" s="189"/>
      <c r="U6" s="189"/>
      <c r="V6" s="60"/>
      <c r="W6" s="60"/>
      <c r="X6" s="61"/>
      <c r="Y6" s="186"/>
    </row>
    <row r="7" spans="1:25" s="1" customFormat="1" ht="148.5" customHeight="1" x14ac:dyDescent="0.35">
      <c r="B7" s="44">
        <v>3</v>
      </c>
      <c r="C7" s="50" t="s">
        <v>542</v>
      </c>
      <c r="D7" s="30" t="s">
        <v>91</v>
      </c>
      <c r="E7" s="46" t="s">
        <v>88</v>
      </c>
      <c r="F7" s="47" t="s">
        <v>398</v>
      </c>
      <c r="G7" s="48" t="s">
        <v>10</v>
      </c>
      <c r="H7" s="49" t="s">
        <v>219</v>
      </c>
      <c r="I7" s="50" t="s">
        <v>281</v>
      </c>
      <c r="J7" s="51" t="s">
        <v>417</v>
      </c>
      <c r="K7" s="51" t="s">
        <v>280</v>
      </c>
      <c r="L7" s="146" t="s">
        <v>590</v>
      </c>
      <c r="M7" s="227" t="s">
        <v>553</v>
      </c>
      <c r="N7" s="59" t="s">
        <v>6</v>
      </c>
      <c r="O7" s="54" t="s">
        <v>324</v>
      </c>
      <c r="P7" s="31" t="s">
        <v>128</v>
      </c>
      <c r="Q7" s="46"/>
      <c r="R7" s="173"/>
      <c r="S7" s="190"/>
      <c r="T7" s="190"/>
      <c r="U7" s="190"/>
      <c r="V7" s="62"/>
      <c r="W7" s="62"/>
      <c r="X7" s="63"/>
      <c r="Y7" s="187"/>
    </row>
    <row r="8" spans="1:25" s="1" customFormat="1" ht="159.6" customHeight="1" x14ac:dyDescent="0.35">
      <c r="A8" s="1" t="s">
        <v>554</v>
      </c>
      <c r="B8" s="44">
        <v>4</v>
      </c>
      <c r="C8" s="44" t="s">
        <v>546</v>
      </c>
      <c r="D8" s="31" t="s">
        <v>263</v>
      </c>
      <c r="E8" s="52" t="s">
        <v>301</v>
      </c>
      <c r="F8" s="47" t="s">
        <v>400</v>
      </c>
      <c r="G8" s="48" t="s">
        <v>115</v>
      </c>
      <c r="H8" s="49" t="s">
        <v>219</v>
      </c>
      <c r="I8" s="50" t="s">
        <v>281</v>
      </c>
      <c r="J8" s="64"/>
      <c r="K8" s="51" t="s">
        <v>281</v>
      </c>
      <c r="L8" s="229"/>
      <c r="M8" s="227"/>
      <c r="N8" s="59" t="s">
        <v>9</v>
      </c>
      <c r="O8" s="54" t="s">
        <v>266</v>
      </c>
      <c r="P8" s="30"/>
      <c r="Q8" s="52"/>
      <c r="R8" s="66" t="s">
        <v>153</v>
      </c>
      <c r="S8" s="67" t="s">
        <v>159</v>
      </c>
      <c r="T8" s="67" t="s">
        <v>160</v>
      </c>
      <c r="U8" s="67"/>
      <c r="V8" s="67"/>
      <c r="W8" s="67"/>
      <c r="X8" s="67"/>
      <c r="Y8" s="68"/>
    </row>
    <row r="9" spans="1:25" s="1" customFormat="1" ht="50.25" customHeight="1" x14ac:dyDescent="0.35">
      <c r="B9" s="44">
        <v>5</v>
      </c>
      <c r="C9" s="50" t="s">
        <v>542</v>
      </c>
      <c r="D9" s="31" t="s">
        <v>318</v>
      </c>
      <c r="E9" s="52" t="s">
        <v>262</v>
      </c>
      <c r="F9" s="47" t="s">
        <v>400</v>
      </c>
      <c r="G9" s="48" t="s">
        <v>115</v>
      </c>
      <c r="H9" s="49" t="s">
        <v>350</v>
      </c>
      <c r="I9" s="50" t="s">
        <v>281</v>
      </c>
      <c r="J9" s="64"/>
      <c r="K9" s="51" t="s">
        <v>281</v>
      </c>
      <c r="L9" s="51" t="s">
        <v>553</v>
      </c>
      <c r="M9" s="52" t="s">
        <v>553</v>
      </c>
      <c r="N9" s="59" t="s">
        <v>9</v>
      </c>
      <c r="O9" s="54" t="s">
        <v>266</v>
      </c>
      <c r="P9" s="30"/>
      <c r="Q9" s="52"/>
      <c r="R9" s="66" t="s">
        <v>153</v>
      </c>
      <c r="S9" s="67" t="s">
        <v>159</v>
      </c>
      <c r="T9" s="67" t="s">
        <v>160</v>
      </c>
      <c r="U9" s="67"/>
      <c r="V9" s="67"/>
      <c r="W9" s="67"/>
      <c r="X9" s="67"/>
      <c r="Y9" s="68"/>
    </row>
    <row r="10" spans="1:25" s="1" customFormat="1" ht="66" x14ac:dyDescent="0.35">
      <c r="B10" s="44">
        <v>6</v>
      </c>
      <c r="C10" s="50" t="s">
        <v>545</v>
      </c>
      <c r="D10" s="31" t="s">
        <v>264</v>
      </c>
      <c r="E10" s="52" t="s">
        <v>261</v>
      </c>
      <c r="F10" s="47" t="s">
        <v>400</v>
      </c>
      <c r="G10" s="48" t="s">
        <v>115</v>
      </c>
      <c r="H10" s="49" t="s">
        <v>219</v>
      </c>
      <c r="I10" s="50" t="s">
        <v>281</v>
      </c>
      <c r="J10" s="64"/>
      <c r="K10" s="51" t="s">
        <v>280</v>
      </c>
      <c r="L10" s="51" t="s">
        <v>553</v>
      </c>
      <c r="M10" s="52" t="s">
        <v>553</v>
      </c>
      <c r="N10" s="59" t="s">
        <v>9</v>
      </c>
      <c r="O10" s="54" t="s">
        <v>266</v>
      </c>
      <c r="P10" s="30"/>
      <c r="Q10" s="52"/>
      <c r="R10" s="66" t="s">
        <v>153</v>
      </c>
      <c r="S10" s="67" t="s">
        <v>159</v>
      </c>
      <c r="T10" s="67" t="s">
        <v>160</v>
      </c>
      <c r="U10" s="67"/>
      <c r="V10" s="67"/>
      <c r="W10" s="67"/>
      <c r="X10" s="67"/>
      <c r="Y10" s="68"/>
    </row>
    <row r="11" spans="1:25" s="1" customFormat="1" ht="66" customHeight="1" x14ac:dyDescent="0.35">
      <c r="B11" s="44">
        <v>7</v>
      </c>
      <c r="C11" s="50" t="s">
        <v>543</v>
      </c>
      <c r="D11" s="32" t="s">
        <v>83</v>
      </c>
      <c r="E11" s="52" t="s">
        <v>334</v>
      </c>
      <c r="F11" s="47" t="s">
        <v>401</v>
      </c>
      <c r="G11" s="48" t="s">
        <v>115</v>
      </c>
      <c r="H11" s="49" t="s">
        <v>219</v>
      </c>
      <c r="I11" s="50" t="s">
        <v>281</v>
      </c>
      <c r="J11" s="51" t="s">
        <v>420</v>
      </c>
      <c r="K11" s="51" t="s">
        <v>281</v>
      </c>
      <c r="L11" s="51" t="s">
        <v>553</v>
      </c>
      <c r="M11" s="52" t="s">
        <v>553</v>
      </c>
      <c r="N11" s="59" t="s">
        <v>11</v>
      </c>
      <c r="O11" s="54" t="s">
        <v>267</v>
      </c>
      <c r="P11" s="31" t="s">
        <v>128</v>
      </c>
      <c r="Q11" s="46"/>
      <c r="R11" s="66" t="s">
        <v>153</v>
      </c>
      <c r="S11" s="67" t="s">
        <v>161</v>
      </c>
      <c r="T11" s="67" t="s">
        <v>203</v>
      </c>
      <c r="U11" s="67"/>
      <c r="V11" s="67" t="s">
        <v>162</v>
      </c>
      <c r="W11" s="67"/>
      <c r="X11" s="67"/>
      <c r="Y11" s="68" t="s">
        <v>202</v>
      </c>
    </row>
    <row r="12" spans="1:25" s="1" customFormat="1" ht="132" x14ac:dyDescent="0.35">
      <c r="B12" s="44">
        <v>8</v>
      </c>
      <c r="C12" s="50" t="s">
        <v>544</v>
      </c>
      <c r="D12" s="32" t="s">
        <v>323</v>
      </c>
      <c r="E12" s="52" t="s">
        <v>85</v>
      </c>
      <c r="F12" s="47" t="s">
        <v>401</v>
      </c>
      <c r="G12" s="48" t="s">
        <v>115</v>
      </c>
      <c r="H12" s="49" t="s">
        <v>219</v>
      </c>
      <c r="I12" s="50" t="s">
        <v>281</v>
      </c>
      <c r="J12" s="51" t="s">
        <v>420</v>
      </c>
      <c r="K12" s="51" t="s">
        <v>281</v>
      </c>
      <c r="L12" s="51" t="s">
        <v>588</v>
      </c>
      <c r="M12" s="227"/>
      <c r="N12" s="59" t="s">
        <v>11</v>
      </c>
      <c r="O12" s="54" t="s">
        <v>267</v>
      </c>
      <c r="P12" s="31" t="s">
        <v>128</v>
      </c>
      <c r="Q12" s="46"/>
      <c r="R12" s="66" t="s">
        <v>153</v>
      </c>
      <c r="S12" s="67" t="s">
        <v>164</v>
      </c>
      <c r="T12" s="67" t="s">
        <v>157</v>
      </c>
      <c r="U12" s="67"/>
      <c r="V12" s="67"/>
      <c r="W12" s="67"/>
      <c r="X12" s="67"/>
      <c r="Y12" s="68" t="s">
        <v>165</v>
      </c>
    </row>
    <row r="13" spans="1:25" s="1" customFormat="1" ht="82.5" x14ac:dyDescent="0.35">
      <c r="B13" s="44">
        <v>9</v>
      </c>
      <c r="C13" s="50" t="s">
        <v>543</v>
      </c>
      <c r="D13" s="33" t="s">
        <v>328</v>
      </c>
      <c r="E13" s="69" t="s">
        <v>330</v>
      </c>
      <c r="F13" s="47" t="s">
        <v>401</v>
      </c>
      <c r="G13" s="48" t="s">
        <v>115</v>
      </c>
      <c r="H13" s="49" t="s">
        <v>219</v>
      </c>
      <c r="I13" s="50" t="s">
        <v>281</v>
      </c>
      <c r="J13" s="51" t="s">
        <v>420</v>
      </c>
      <c r="K13" s="51" t="s">
        <v>281</v>
      </c>
      <c r="L13" s="51" t="s">
        <v>555</v>
      </c>
      <c r="M13" s="227"/>
      <c r="N13" s="59" t="s">
        <v>11</v>
      </c>
      <c r="O13" s="54" t="s">
        <v>267</v>
      </c>
      <c r="P13" s="31" t="s">
        <v>128</v>
      </c>
      <c r="Q13" s="46"/>
      <c r="R13" s="66" t="s">
        <v>153</v>
      </c>
      <c r="S13" s="72"/>
      <c r="T13" s="72"/>
      <c r="U13" s="72"/>
      <c r="V13" s="72"/>
      <c r="W13" s="72"/>
      <c r="X13" s="73"/>
      <c r="Y13" s="74"/>
    </row>
    <row r="14" spans="1:25" s="1" customFormat="1" ht="45.75" customHeight="1" x14ac:dyDescent="0.35">
      <c r="B14" s="44">
        <v>10</v>
      </c>
      <c r="C14" s="50" t="s">
        <v>544</v>
      </c>
      <c r="D14" s="33" t="s">
        <v>329</v>
      </c>
      <c r="E14" s="69" t="s">
        <v>331</v>
      </c>
      <c r="F14" s="47" t="s">
        <v>401</v>
      </c>
      <c r="G14" s="48" t="s">
        <v>115</v>
      </c>
      <c r="H14" s="49" t="s">
        <v>219</v>
      </c>
      <c r="I14" s="50" t="s">
        <v>281</v>
      </c>
      <c r="J14" s="51" t="s">
        <v>420</v>
      </c>
      <c r="K14" s="51"/>
      <c r="L14" s="51" t="s">
        <v>553</v>
      </c>
      <c r="M14" s="65" t="s">
        <v>553</v>
      </c>
      <c r="N14" s="59" t="s">
        <v>11</v>
      </c>
      <c r="O14" s="54" t="s">
        <v>267</v>
      </c>
      <c r="P14" s="31" t="s">
        <v>128</v>
      </c>
      <c r="Q14" s="46"/>
      <c r="R14" s="66" t="s">
        <v>153</v>
      </c>
      <c r="S14" s="72"/>
      <c r="T14" s="72"/>
      <c r="U14" s="72"/>
      <c r="V14" s="72"/>
      <c r="W14" s="72"/>
      <c r="X14" s="73"/>
      <c r="Y14" s="74"/>
    </row>
    <row r="15" spans="1:25" ht="49.5" x14ac:dyDescent="0.35">
      <c r="B15" s="44">
        <v>11</v>
      </c>
      <c r="C15" s="50" t="s">
        <v>543</v>
      </c>
      <c r="D15" s="30" t="s">
        <v>105</v>
      </c>
      <c r="E15" s="52" t="s">
        <v>106</v>
      </c>
      <c r="F15" s="47" t="s">
        <v>401</v>
      </c>
      <c r="G15" s="48" t="s">
        <v>115</v>
      </c>
      <c r="H15" s="49" t="s">
        <v>219</v>
      </c>
      <c r="I15" s="50" t="s">
        <v>280</v>
      </c>
      <c r="J15" s="51"/>
      <c r="K15" s="51" t="s">
        <v>280</v>
      </c>
      <c r="L15" s="64" t="s">
        <v>556</v>
      </c>
      <c r="M15" s="65" t="s">
        <v>553</v>
      </c>
      <c r="N15" s="75" t="s">
        <v>214</v>
      </c>
      <c r="O15" s="3" t="s">
        <v>272</v>
      </c>
      <c r="P15" s="31" t="s">
        <v>128</v>
      </c>
      <c r="Q15" s="46" t="s">
        <v>421</v>
      </c>
      <c r="R15" s="66" t="s">
        <v>153</v>
      </c>
      <c r="S15" s="67" t="s">
        <v>163</v>
      </c>
      <c r="T15" s="67" t="s">
        <v>157</v>
      </c>
      <c r="U15" s="67"/>
      <c r="V15" s="67"/>
      <c r="W15" s="67"/>
      <c r="X15" s="67"/>
      <c r="Y15" s="68"/>
    </row>
    <row r="16" spans="1:25" s="1" customFormat="1" ht="82.5" x14ac:dyDescent="0.35">
      <c r="A16" s="164" t="s">
        <v>552</v>
      </c>
      <c r="B16" s="44">
        <v>12</v>
      </c>
      <c r="C16" s="50" t="s">
        <v>542</v>
      </c>
      <c r="D16" s="30" t="s">
        <v>79</v>
      </c>
      <c r="E16" s="166" t="s">
        <v>78</v>
      </c>
      <c r="F16" s="76" t="s">
        <v>402</v>
      </c>
      <c r="G16" s="77" t="s">
        <v>7</v>
      </c>
      <c r="H16" s="49" t="s">
        <v>74</v>
      </c>
      <c r="I16" s="50" t="s">
        <v>368</v>
      </c>
      <c r="J16" s="64"/>
      <c r="K16" s="51" t="s">
        <v>280</v>
      </c>
      <c r="L16" s="64" t="s">
        <v>556</v>
      </c>
      <c r="M16" s="65" t="s">
        <v>553</v>
      </c>
      <c r="N16" s="59" t="s">
        <v>12</v>
      </c>
      <c r="O16" s="54" t="s">
        <v>265</v>
      </c>
      <c r="P16" s="78"/>
      <c r="Q16" s="79"/>
      <c r="R16" s="66" t="s">
        <v>153</v>
      </c>
      <c r="S16" s="72"/>
      <c r="T16" s="72"/>
      <c r="U16" s="72"/>
      <c r="V16" s="72"/>
      <c r="W16" s="72"/>
      <c r="X16" s="73"/>
      <c r="Y16" s="74"/>
    </row>
    <row r="17" spans="1:25" s="1" customFormat="1" ht="99" x14ac:dyDescent="0.35">
      <c r="A17" s="164" t="s">
        <v>552</v>
      </c>
      <c r="B17" s="44">
        <v>13</v>
      </c>
      <c r="C17" s="50" t="s">
        <v>542</v>
      </c>
      <c r="D17" s="32" t="s">
        <v>8</v>
      </c>
      <c r="E17" s="80" t="s">
        <v>13</v>
      </c>
      <c r="F17" s="76" t="s">
        <v>402</v>
      </c>
      <c r="G17" s="81" t="s">
        <v>7</v>
      </c>
      <c r="H17" s="49" t="s">
        <v>219</v>
      </c>
      <c r="I17" s="50" t="s">
        <v>368</v>
      </c>
      <c r="J17" s="64"/>
      <c r="K17" s="51" t="s">
        <v>280</v>
      </c>
      <c r="L17" s="64" t="s">
        <v>556</v>
      </c>
      <c r="M17" s="65" t="s">
        <v>553</v>
      </c>
      <c r="N17" s="59" t="s">
        <v>383</v>
      </c>
      <c r="O17" s="82" t="s">
        <v>326</v>
      </c>
      <c r="P17" s="83"/>
      <c r="Q17" s="80"/>
      <c r="R17" s="66" t="s">
        <v>153</v>
      </c>
      <c r="S17" s="72"/>
      <c r="T17" s="72"/>
      <c r="U17" s="72"/>
      <c r="V17" s="72"/>
      <c r="W17" s="72"/>
      <c r="X17" s="73"/>
      <c r="Y17" s="74"/>
    </row>
    <row r="18" spans="1:25" s="1" customFormat="1" ht="74.650000000000006" customHeight="1" x14ac:dyDescent="0.35">
      <c r="A18" s="164" t="s">
        <v>552</v>
      </c>
      <c r="B18" s="44">
        <v>14</v>
      </c>
      <c r="C18" s="50" t="s">
        <v>542</v>
      </c>
      <c r="D18" s="30" t="s">
        <v>14</v>
      </c>
      <c r="E18" s="85" t="s">
        <v>131</v>
      </c>
      <c r="F18" s="47" t="s">
        <v>403</v>
      </c>
      <c r="G18" s="81" t="s">
        <v>10</v>
      </c>
      <c r="H18" s="49" t="s">
        <v>73</v>
      </c>
      <c r="I18" s="50" t="s">
        <v>369</v>
      </c>
      <c r="J18" s="64"/>
      <c r="K18" s="51" t="s">
        <v>281</v>
      </c>
      <c r="L18" s="64" t="s">
        <v>556</v>
      </c>
      <c r="M18" s="65" t="s">
        <v>553</v>
      </c>
      <c r="N18" s="59" t="s">
        <v>15</v>
      </c>
      <c r="O18" s="82" t="s">
        <v>327</v>
      </c>
      <c r="P18" s="31" t="s">
        <v>128</v>
      </c>
      <c r="Q18" s="46"/>
      <c r="R18" s="66" t="s">
        <v>153</v>
      </c>
      <c r="S18" s="86" t="s">
        <v>154</v>
      </c>
      <c r="T18" s="86" t="s">
        <v>155</v>
      </c>
      <c r="U18" s="86"/>
      <c r="V18" s="86"/>
      <c r="W18" s="86" t="s">
        <v>204</v>
      </c>
      <c r="X18" s="87" t="s">
        <v>177</v>
      </c>
      <c r="Y18" s="88"/>
    </row>
    <row r="19" spans="1:25" s="1" customFormat="1" ht="346.5" x14ac:dyDescent="0.35">
      <c r="A19" s="164" t="s">
        <v>552</v>
      </c>
      <c r="B19" s="44">
        <v>15</v>
      </c>
      <c r="C19" s="50" t="s">
        <v>542</v>
      </c>
      <c r="D19" s="30" t="s">
        <v>129</v>
      </c>
      <c r="E19" s="85" t="s">
        <v>130</v>
      </c>
      <c r="F19" s="47" t="s">
        <v>403</v>
      </c>
      <c r="G19" s="81" t="s">
        <v>10</v>
      </c>
      <c r="H19" s="49" t="s">
        <v>219</v>
      </c>
      <c r="I19" s="50" t="s">
        <v>281</v>
      </c>
      <c r="J19" s="64"/>
      <c r="K19" s="51" t="s">
        <v>281</v>
      </c>
      <c r="L19" s="64" t="s">
        <v>556</v>
      </c>
      <c r="M19" s="65" t="s">
        <v>553</v>
      </c>
      <c r="N19" s="59" t="s">
        <v>15</v>
      </c>
      <c r="O19" s="82" t="s">
        <v>327</v>
      </c>
      <c r="P19" s="31" t="s">
        <v>128</v>
      </c>
      <c r="Q19" s="46"/>
      <c r="R19" s="66" t="s">
        <v>153</v>
      </c>
      <c r="S19" s="86" t="s">
        <v>154</v>
      </c>
      <c r="T19" s="86" t="s">
        <v>440</v>
      </c>
      <c r="U19" s="86"/>
      <c r="V19" s="86"/>
      <c r="W19" s="86" t="s">
        <v>205</v>
      </c>
      <c r="X19" s="87" t="s">
        <v>177</v>
      </c>
      <c r="Y19" s="88"/>
    </row>
    <row r="20" spans="1:25" s="1" customFormat="1" ht="50.1" customHeight="1" x14ac:dyDescent="0.35">
      <c r="B20" s="44">
        <v>16</v>
      </c>
      <c r="C20" s="50" t="s">
        <v>542</v>
      </c>
      <c r="D20" s="30" t="s">
        <v>16</v>
      </c>
      <c r="E20" s="89" t="s">
        <v>17</v>
      </c>
      <c r="F20" s="47" t="s">
        <v>401</v>
      </c>
      <c r="G20" s="90" t="s">
        <v>7</v>
      </c>
      <c r="H20" s="49" t="s">
        <v>71</v>
      </c>
      <c r="I20" s="50" t="s">
        <v>368</v>
      </c>
      <c r="J20" s="70"/>
      <c r="K20" s="51" t="s">
        <v>280</v>
      </c>
      <c r="L20" s="51" t="s">
        <v>557</v>
      </c>
      <c r="M20" s="65" t="s">
        <v>597</v>
      </c>
      <c r="N20" s="91" t="s">
        <v>379</v>
      </c>
      <c r="O20" s="54" t="s">
        <v>268</v>
      </c>
      <c r="P20" s="92"/>
      <c r="Q20" s="46"/>
      <c r="R20" s="66" t="s">
        <v>153</v>
      </c>
      <c r="S20" s="72"/>
      <c r="T20" s="72"/>
      <c r="U20" s="72"/>
      <c r="V20" s="72"/>
      <c r="W20" s="72"/>
      <c r="X20" s="73"/>
      <c r="Y20" s="74"/>
    </row>
    <row r="21" spans="1:25" s="1" customFormat="1" ht="50.1" customHeight="1" x14ac:dyDescent="0.35">
      <c r="A21" s="164" t="s">
        <v>552</v>
      </c>
      <c r="B21" s="44">
        <v>17</v>
      </c>
      <c r="C21" s="50" t="s">
        <v>542</v>
      </c>
      <c r="D21" s="30" t="s">
        <v>19</v>
      </c>
      <c r="E21" s="52" t="s">
        <v>20</v>
      </c>
      <c r="F21" s="93" t="s">
        <v>402</v>
      </c>
      <c r="G21" s="90" t="s">
        <v>7</v>
      </c>
      <c r="H21" s="49" t="s">
        <v>72</v>
      </c>
      <c r="I21" s="50" t="s">
        <v>368</v>
      </c>
      <c r="J21" s="70"/>
      <c r="K21" s="51" t="s">
        <v>280</v>
      </c>
      <c r="L21" s="51" t="s">
        <v>558</v>
      </c>
      <c r="M21" s="65" t="s">
        <v>596</v>
      </c>
      <c r="N21" s="59" t="s">
        <v>12</v>
      </c>
      <c r="O21" s="54" t="s">
        <v>265</v>
      </c>
      <c r="P21" s="30"/>
      <c r="Q21" s="46"/>
      <c r="R21" s="66" t="s">
        <v>153</v>
      </c>
      <c r="S21" s="72"/>
      <c r="T21" s="72"/>
      <c r="U21" s="72"/>
      <c r="V21" s="72"/>
      <c r="W21" s="72"/>
      <c r="X21" s="73"/>
      <c r="Y21" s="74"/>
    </row>
    <row r="22" spans="1:25" s="1" customFormat="1" ht="129.75" customHeight="1" x14ac:dyDescent="0.35">
      <c r="B22" s="44">
        <v>18</v>
      </c>
      <c r="C22" s="44" t="s">
        <v>542</v>
      </c>
      <c r="D22" s="34" t="s">
        <v>82</v>
      </c>
      <c r="E22" s="46" t="s">
        <v>108</v>
      </c>
      <c r="F22" s="93" t="s">
        <v>402</v>
      </c>
      <c r="G22" s="90" t="s">
        <v>7</v>
      </c>
      <c r="H22" s="49" t="s">
        <v>219</v>
      </c>
      <c r="I22" s="50" t="s">
        <v>281</v>
      </c>
      <c r="J22" s="70"/>
      <c r="K22" s="51" t="s">
        <v>280</v>
      </c>
      <c r="L22" s="51" t="s">
        <v>559</v>
      </c>
      <c r="M22" s="52" t="s">
        <v>553</v>
      </c>
      <c r="N22" s="59" t="s">
        <v>21</v>
      </c>
      <c r="O22" s="54" t="s">
        <v>270</v>
      </c>
      <c r="P22" s="31" t="s">
        <v>128</v>
      </c>
      <c r="Q22" s="46"/>
      <c r="R22" s="66" t="s">
        <v>153</v>
      </c>
      <c r="S22" s="72"/>
      <c r="T22" s="72"/>
      <c r="U22" s="72"/>
      <c r="V22" s="72"/>
      <c r="W22" s="72"/>
      <c r="X22" s="73"/>
      <c r="Y22" s="74"/>
    </row>
    <row r="23" spans="1:25" s="1" customFormat="1" ht="132" customHeight="1" x14ac:dyDescent="0.35">
      <c r="B23" s="44">
        <v>19</v>
      </c>
      <c r="C23" s="50" t="s">
        <v>542</v>
      </c>
      <c r="D23" s="32" t="s">
        <v>22</v>
      </c>
      <c r="E23" s="94" t="s">
        <v>362</v>
      </c>
      <c r="F23" s="47" t="s">
        <v>408</v>
      </c>
      <c r="G23" s="90" t="s">
        <v>7</v>
      </c>
      <c r="H23" s="95" t="s">
        <v>317</v>
      </c>
      <c r="I23" s="50" t="s">
        <v>368</v>
      </c>
      <c r="J23" s="70"/>
      <c r="K23" s="51" t="s">
        <v>280</v>
      </c>
      <c r="L23" s="51" t="s">
        <v>587</v>
      </c>
      <c r="M23" s="52" t="s">
        <v>553</v>
      </c>
      <c r="N23" s="59" t="s">
        <v>382</v>
      </c>
      <c r="O23" s="54" t="s">
        <v>269</v>
      </c>
      <c r="P23" s="96"/>
      <c r="Q23" s="52"/>
      <c r="R23" s="66" t="s">
        <v>153</v>
      </c>
      <c r="S23" s="72"/>
      <c r="T23" s="72"/>
      <c r="U23" s="72"/>
      <c r="V23" s="72"/>
      <c r="W23" s="72"/>
      <c r="X23" s="73"/>
      <c r="Y23" s="74"/>
    </row>
    <row r="24" spans="1:25" s="1" customFormat="1" ht="363" x14ac:dyDescent="0.35">
      <c r="B24" s="44">
        <v>20</v>
      </c>
      <c r="C24" s="50" t="s">
        <v>542</v>
      </c>
      <c r="D24" s="30" t="s">
        <v>257</v>
      </c>
      <c r="E24" s="52" t="s">
        <v>308</v>
      </c>
      <c r="F24" s="47" t="s">
        <v>403</v>
      </c>
      <c r="G24" s="90" t="s">
        <v>10</v>
      </c>
      <c r="H24" s="49" t="s">
        <v>219</v>
      </c>
      <c r="I24" s="50" t="s">
        <v>281</v>
      </c>
      <c r="J24" s="64" t="s">
        <v>418</v>
      </c>
      <c r="K24" s="51" t="s">
        <v>280</v>
      </c>
      <c r="L24" s="51" t="s">
        <v>560</v>
      </c>
      <c r="M24" s="232"/>
      <c r="N24" s="59" t="s">
        <v>6</v>
      </c>
      <c r="O24" s="54" t="s">
        <v>265</v>
      </c>
      <c r="P24" s="31" t="s">
        <v>128</v>
      </c>
      <c r="Q24" s="46"/>
      <c r="R24" s="66" t="s">
        <v>153</v>
      </c>
      <c r="S24" s="72"/>
      <c r="T24" s="72"/>
      <c r="U24" s="72"/>
      <c r="V24" s="72"/>
      <c r="W24" s="72"/>
      <c r="X24" s="73"/>
      <c r="Y24" s="74"/>
    </row>
    <row r="25" spans="1:25" s="1" customFormat="1" ht="160.5" customHeight="1" x14ac:dyDescent="0.35">
      <c r="B25" s="44">
        <v>21</v>
      </c>
      <c r="C25" s="50" t="s">
        <v>542</v>
      </c>
      <c r="D25" s="30" t="s">
        <v>23</v>
      </c>
      <c r="E25" s="97" t="s">
        <v>307</v>
      </c>
      <c r="F25" s="47" t="s">
        <v>403</v>
      </c>
      <c r="G25" s="90" t="s">
        <v>10</v>
      </c>
      <c r="H25" s="49" t="s">
        <v>219</v>
      </c>
      <c r="I25" s="50" t="s">
        <v>281</v>
      </c>
      <c r="J25" s="70"/>
      <c r="K25" s="51" t="s">
        <v>280</v>
      </c>
      <c r="L25" s="51" t="s">
        <v>561</v>
      </c>
      <c r="M25" s="52" t="s">
        <v>597</v>
      </c>
      <c r="N25" s="59" t="s">
        <v>24</v>
      </c>
      <c r="O25" s="54" t="s">
        <v>270</v>
      </c>
      <c r="P25" s="31" t="s">
        <v>128</v>
      </c>
      <c r="Q25" s="52"/>
      <c r="R25" s="66" t="s">
        <v>153</v>
      </c>
      <c r="S25" s="72"/>
      <c r="T25" s="72"/>
      <c r="U25" s="72"/>
      <c r="V25" s="72"/>
      <c r="W25" s="72"/>
      <c r="X25" s="73"/>
      <c r="Y25" s="74"/>
    </row>
    <row r="26" spans="1:25" s="1" customFormat="1" ht="264" x14ac:dyDescent="0.35">
      <c r="A26" s="164" t="s">
        <v>552</v>
      </c>
      <c r="B26" s="44">
        <v>22</v>
      </c>
      <c r="C26" s="44" t="s">
        <v>546</v>
      </c>
      <c r="D26" s="30" t="s">
        <v>252</v>
      </c>
      <c r="E26" s="52" t="s">
        <v>84</v>
      </c>
      <c r="F26" s="47" t="s">
        <v>400</v>
      </c>
      <c r="G26" s="90" t="s">
        <v>10</v>
      </c>
      <c r="H26" s="49" t="s">
        <v>219</v>
      </c>
      <c r="I26" s="50" t="s">
        <v>281</v>
      </c>
      <c r="J26" s="70"/>
      <c r="K26" s="51" t="s">
        <v>281</v>
      </c>
      <c r="L26" s="51" t="s">
        <v>553</v>
      </c>
      <c r="M26" s="52" t="s">
        <v>553</v>
      </c>
      <c r="N26" s="59" t="s">
        <v>25</v>
      </c>
      <c r="O26" s="54" t="s">
        <v>265</v>
      </c>
      <c r="P26" s="30"/>
      <c r="Q26" s="94"/>
      <c r="R26" s="66" t="s">
        <v>153</v>
      </c>
      <c r="S26" s="67" t="s">
        <v>159</v>
      </c>
      <c r="T26" s="67" t="s">
        <v>160</v>
      </c>
      <c r="U26" s="67"/>
      <c r="V26" s="67"/>
      <c r="W26" s="67"/>
      <c r="X26" s="67"/>
      <c r="Y26" s="68"/>
    </row>
    <row r="27" spans="1:25" s="1" customFormat="1" ht="82.5" x14ac:dyDescent="0.35">
      <c r="A27" s="164" t="s">
        <v>552</v>
      </c>
      <c r="B27" s="44">
        <v>23</v>
      </c>
      <c r="C27" s="50" t="s">
        <v>542</v>
      </c>
      <c r="D27" s="30" t="s">
        <v>319</v>
      </c>
      <c r="E27" s="52" t="s">
        <v>254</v>
      </c>
      <c r="F27" s="47" t="s">
        <v>400</v>
      </c>
      <c r="G27" s="90" t="s">
        <v>10</v>
      </c>
      <c r="H27" s="49" t="s">
        <v>256</v>
      </c>
      <c r="I27" s="50" t="s">
        <v>281</v>
      </c>
      <c r="J27" s="70"/>
      <c r="K27" s="51" t="s">
        <v>281</v>
      </c>
      <c r="L27" s="51" t="s">
        <v>562</v>
      </c>
      <c r="M27" s="225"/>
      <c r="N27" s="59" t="s">
        <v>385</v>
      </c>
      <c r="O27" s="54" t="s">
        <v>266</v>
      </c>
      <c r="P27" s="30"/>
      <c r="Q27" s="94"/>
      <c r="R27" s="66" t="s">
        <v>153</v>
      </c>
      <c r="S27" s="67" t="s">
        <v>159</v>
      </c>
      <c r="T27" s="67" t="s">
        <v>160</v>
      </c>
      <c r="U27" s="67"/>
      <c r="V27" s="67"/>
      <c r="W27" s="67"/>
      <c r="X27" s="67"/>
      <c r="Y27" s="68"/>
    </row>
    <row r="28" spans="1:25" s="1" customFormat="1" ht="66" x14ac:dyDescent="0.35">
      <c r="A28" s="165" t="s">
        <v>553</v>
      </c>
      <c r="B28" s="44">
        <v>24</v>
      </c>
      <c r="C28" s="50" t="s">
        <v>545</v>
      </c>
      <c r="D28" s="30" t="s">
        <v>253</v>
      </c>
      <c r="E28" s="52" t="s">
        <v>255</v>
      </c>
      <c r="F28" s="47" t="s">
        <v>400</v>
      </c>
      <c r="G28" s="90" t="s">
        <v>10</v>
      </c>
      <c r="H28" s="49" t="s">
        <v>219</v>
      </c>
      <c r="I28" s="50" t="s">
        <v>281</v>
      </c>
      <c r="J28" s="70"/>
      <c r="K28" s="51" t="s">
        <v>280</v>
      </c>
      <c r="L28" s="70" t="s">
        <v>553</v>
      </c>
      <c r="M28" s="71" t="s">
        <v>553</v>
      </c>
      <c r="N28" s="59" t="s">
        <v>385</v>
      </c>
      <c r="O28" s="54" t="s">
        <v>266</v>
      </c>
      <c r="P28" s="30"/>
      <c r="Q28" s="94"/>
      <c r="R28" s="66" t="s">
        <v>153</v>
      </c>
      <c r="S28" s="67" t="s">
        <v>159</v>
      </c>
      <c r="T28" s="67" t="s">
        <v>160</v>
      </c>
      <c r="U28" s="67"/>
      <c r="V28" s="67"/>
      <c r="W28" s="67"/>
      <c r="X28" s="67"/>
      <c r="Y28" s="68"/>
    </row>
    <row r="29" spans="1:25" s="1" customFormat="1" ht="82.5" x14ac:dyDescent="0.35">
      <c r="B29" s="44">
        <v>25</v>
      </c>
      <c r="C29" s="50" t="s">
        <v>542</v>
      </c>
      <c r="D29" s="30" t="s">
        <v>354</v>
      </c>
      <c r="E29" s="52" t="s">
        <v>351</v>
      </c>
      <c r="F29" s="47" t="s">
        <v>403</v>
      </c>
      <c r="G29" s="90" t="s">
        <v>10</v>
      </c>
      <c r="H29" s="49" t="s">
        <v>219</v>
      </c>
      <c r="I29" s="50" t="s">
        <v>281</v>
      </c>
      <c r="J29" s="51" t="s">
        <v>417</v>
      </c>
      <c r="K29" s="51" t="s">
        <v>280</v>
      </c>
      <c r="L29" s="70" t="s">
        <v>553</v>
      </c>
      <c r="M29" s="71" t="s">
        <v>553</v>
      </c>
      <c r="N29" s="59" t="s">
        <v>6</v>
      </c>
      <c r="O29" s="54" t="s">
        <v>324</v>
      </c>
      <c r="P29" s="31" t="s">
        <v>128</v>
      </c>
      <c r="Q29" s="46"/>
      <c r="R29" s="66" t="s">
        <v>153</v>
      </c>
      <c r="S29" s="72"/>
      <c r="T29" s="72"/>
      <c r="U29" s="72"/>
      <c r="V29" s="72"/>
      <c r="W29" s="72"/>
      <c r="X29" s="73"/>
      <c r="Y29" s="74"/>
    </row>
    <row r="30" spans="1:25" s="1" customFormat="1" ht="132" x14ac:dyDescent="0.35">
      <c r="B30" s="44">
        <v>26</v>
      </c>
      <c r="C30" s="50" t="s">
        <v>542</v>
      </c>
      <c r="D30" s="30" t="s">
        <v>355</v>
      </c>
      <c r="E30" s="52" t="s">
        <v>352</v>
      </c>
      <c r="F30" s="47" t="s">
        <v>403</v>
      </c>
      <c r="G30" s="90" t="s">
        <v>10</v>
      </c>
      <c r="H30" s="49" t="s">
        <v>219</v>
      </c>
      <c r="I30" s="50" t="s">
        <v>281</v>
      </c>
      <c r="J30" s="51" t="s">
        <v>417</v>
      </c>
      <c r="K30" s="51" t="s">
        <v>280</v>
      </c>
      <c r="L30" s="51" t="s">
        <v>588</v>
      </c>
      <c r="M30" s="225"/>
      <c r="N30" s="59" t="s">
        <v>6</v>
      </c>
      <c r="O30" s="54" t="s">
        <v>324</v>
      </c>
      <c r="P30" s="31" t="s">
        <v>128</v>
      </c>
      <c r="Q30" s="46"/>
      <c r="R30" s="66" t="s">
        <v>153</v>
      </c>
      <c r="S30" s="72"/>
      <c r="T30" s="72"/>
      <c r="U30" s="72"/>
      <c r="V30" s="72"/>
      <c r="W30" s="72"/>
      <c r="X30" s="73"/>
      <c r="Y30" s="74"/>
    </row>
    <row r="31" spans="1:25" s="1" customFormat="1" ht="82.5" x14ac:dyDescent="0.35">
      <c r="B31" s="44">
        <v>27</v>
      </c>
      <c r="C31" s="50" t="s">
        <v>542</v>
      </c>
      <c r="D31" s="30" t="s">
        <v>356</v>
      </c>
      <c r="E31" s="52" t="s">
        <v>353</v>
      </c>
      <c r="F31" s="47" t="s">
        <v>403</v>
      </c>
      <c r="G31" s="90" t="s">
        <v>10</v>
      </c>
      <c r="H31" s="49" t="s">
        <v>219</v>
      </c>
      <c r="I31" s="50" t="s">
        <v>281</v>
      </c>
      <c r="J31" s="51" t="s">
        <v>417</v>
      </c>
      <c r="K31" s="51" t="s">
        <v>280</v>
      </c>
      <c r="L31" s="70" t="s">
        <v>587</v>
      </c>
      <c r="M31" s="225"/>
      <c r="N31" s="59" t="s">
        <v>6</v>
      </c>
      <c r="O31" s="54" t="s">
        <v>324</v>
      </c>
      <c r="P31" s="31" t="s">
        <v>128</v>
      </c>
      <c r="Q31" s="46"/>
      <c r="R31" s="66" t="s">
        <v>153</v>
      </c>
      <c r="S31" s="72"/>
      <c r="T31" s="72"/>
      <c r="U31" s="72"/>
      <c r="V31" s="72"/>
      <c r="W31" s="72"/>
      <c r="X31" s="73"/>
      <c r="Y31" s="74"/>
    </row>
    <row r="32" spans="1:25" s="1" customFormat="1" ht="132" x14ac:dyDescent="0.35">
      <c r="A32" s="164" t="s">
        <v>552</v>
      </c>
      <c r="B32" s="44">
        <v>28</v>
      </c>
      <c r="C32" s="50" t="s">
        <v>542</v>
      </c>
      <c r="D32" s="32" t="s">
        <v>27</v>
      </c>
      <c r="E32" s="52" t="s">
        <v>28</v>
      </c>
      <c r="F32" s="47" t="s">
        <v>400</v>
      </c>
      <c r="G32" s="90" t="s">
        <v>7</v>
      </c>
      <c r="H32" s="49" t="s">
        <v>75</v>
      </c>
      <c r="I32" s="50" t="s">
        <v>368</v>
      </c>
      <c r="J32" s="70"/>
      <c r="K32" s="51" t="s">
        <v>280</v>
      </c>
      <c r="L32" s="70" t="s">
        <v>553</v>
      </c>
      <c r="M32" s="71" t="s">
        <v>553</v>
      </c>
      <c r="N32" s="59" t="s">
        <v>29</v>
      </c>
      <c r="O32" s="54" t="s">
        <v>265</v>
      </c>
      <c r="P32" s="31" t="s">
        <v>128</v>
      </c>
      <c r="Q32" s="52"/>
      <c r="R32" s="66" t="s">
        <v>153</v>
      </c>
      <c r="S32" s="72"/>
      <c r="T32" s="72"/>
      <c r="U32" s="72"/>
      <c r="V32" s="72"/>
      <c r="W32" s="72"/>
      <c r="X32" s="73"/>
      <c r="Y32" s="74"/>
    </row>
    <row r="33" spans="1:25" s="1" customFormat="1" ht="110.25" customHeight="1" x14ac:dyDescent="0.35">
      <c r="A33" s="164" t="s">
        <v>552</v>
      </c>
      <c r="B33" s="44">
        <v>29</v>
      </c>
      <c r="C33" s="50" t="s">
        <v>542</v>
      </c>
      <c r="D33" s="30" t="s">
        <v>30</v>
      </c>
      <c r="E33" s="52" t="s">
        <v>306</v>
      </c>
      <c r="F33" s="76" t="s">
        <v>402</v>
      </c>
      <c r="G33" s="90" t="s">
        <v>7</v>
      </c>
      <c r="H33" s="49" t="s">
        <v>76</v>
      </c>
      <c r="I33" s="50" t="s">
        <v>368</v>
      </c>
      <c r="J33" s="70"/>
      <c r="K33" s="51" t="s">
        <v>280</v>
      </c>
      <c r="L33" s="70" t="s">
        <v>553</v>
      </c>
      <c r="M33" s="71" t="s">
        <v>553</v>
      </c>
      <c r="N33" s="59" t="s">
        <v>21</v>
      </c>
      <c r="O33" s="54" t="s">
        <v>270</v>
      </c>
      <c r="P33" s="30"/>
      <c r="Q33" s="97"/>
      <c r="R33" s="66" t="s">
        <v>153</v>
      </c>
      <c r="S33" s="86"/>
      <c r="T33" s="86" t="s">
        <v>173</v>
      </c>
      <c r="U33" s="86"/>
      <c r="V33" s="86"/>
      <c r="W33" s="86" t="s">
        <v>178</v>
      </c>
      <c r="X33" s="86"/>
      <c r="Y33" s="88"/>
    </row>
    <row r="34" spans="1:25" s="1" customFormat="1" ht="82.5" x14ac:dyDescent="0.35">
      <c r="A34" s="164" t="s">
        <v>552</v>
      </c>
      <c r="B34" s="44">
        <v>30</v>
      </c>
      <c r="C34" s="50" t="s">
        <v>542</v>
      </c>
      <c r="D34" s="30" t="s">
        <v>31</v>
      </c>
      <c r="E34" s="52" t="s">
        <v>32</v>
      </c>
      <c r="F34" s="76" t="s">
        <v>402</v>
      </c>
      <c r="G34" s="90" t="s">
        <v>7</v>
      </c>
      <c r="H34" s="49" t="s">
        <v>77</v>
      </c>
      <c r="I34" s="50" t="s">
        <v>368</v>
      </c>
      <c r="J34" s="70"/>
      <c r="K34" s="51" t="s">
        <v>280</v>
      </c>
      <c r="L34" s="70" t="s">
        <v>553</v>
      </c>
      <c r="M34" s="71" t="s">
        <v>553</v>
      </c>
      <c r="N34" s="59" t="s">
        <v>12</v>
      </c>
      <c r="O34" s="54" t="s">
        <v>265</v>
      </c>
      <c r="P34" s="30"/>
      <c r="Q34" s="46"/>
      <c r="R34" s="66" t="s">
        <v>153</v>
      </c>
      <c r="S34" s="72"/>
      <c r="T34" s="72"/>
      <c r="U34" s="72"/>
      <c r="V34" s="72"/>
      <c r="W34" s="72"/>
      <c r="X34" s="73"/>
      <c r="Y34" s="74"/>
    </row>
    <row r="35" spans="1:25" s="1" customFormat="1" ht="66.75" thickBot="1" x14ac:dyDescent="0.4">
      <c r="B35" s="44">
        <v>31</v>
      </c>
      <c r="C35" s="50" t="s">
        <v>542</v>
      </c>
      <c r="D35" s="32" t="s">
        <v>33</v>
      </c>
      <c r="E35" s="52" t="s">
        <v>122</v>
      </c>
      <c r="F35" s="47" t="s">
        <v>408</v>
      </c>
      <c r="G35" s="90" t="s">
        <v>115</v>
      </c>
      <c r="H35" s="49" t="s">
        <v>219</v>
      </c>
      <c r="I35" s="50" t="s">
        <v>368</v>
      </c>
      <c r="J35" s="70"/>
      <c r="K35" s="51" t="s">
        <v>280</v>
      </c>
      <c r="L35" s="70" t="s">
        <v>553</v>
      </c>
      <c r="M35" s="71" t="s">
        <v>553</v>
      </c>
      <c r="N35" s="98" t="s">
        <v>18</v>
      </c>
      <c r="O35" s="54" t="s">
        <v>388</v>
      </c>
      <c r="P35" s="99"/>
      <c r="Q35" s="100"/>
      <c r="R35" s="66" t="s">
        <v>153</v>
      </c>
      <c r="S35" s="72"/>
      <c r="T35" s="72"/>
      <c r="U35" s="72"/>
      <c r="V35" s="72"/>
      <c r="W35" s="72"/>
      <c r="X35" s="73"/>
      <c r="Y35" s="74"/>
    </row>
    <row r="36" spans="1:25" s="1" customFormat="1" ht="158.25" customHeight="1" x14ac:dyDescent="0.35">
      <c r="B36" s="44">
        <v>32</v>
      </c>
      <c r="C36" s="50" t="s">
        <v>542</v>
      </c>
      <c r="D36" s="30" t="s">
        <v>34</v>
      </c>
      <c r="E36" s="94" t="s">
        <v>361</v>
      </c>
      <c r="F36" s="47" t="s">
        <v>399</v>
      </c>
      <c r="G36" s="90" t="s">
        <v>7</v>
      </c>
      <c r="H36" s="49" t="s">
        <v>273</v>
      </c>
      <c r="I36" s="50" t="s">
        <v>368</v>
      </c>
      <c r="J36" s="70"/>
      <c r="K36" s="51" t="s">
        <v>280</v>
      </c>
      <c r="L36" s="51" t="s">
        <v>563</v>
      </c>
      <c r="M36" s="71" t="s">
        <v>553</v>
      </c>
      <c r="N36" s="53" t="s">
        <v>18</v>
      </c>
      <c r="O36" s="54" t="s">
        <v>269</v>
      </c>
      <c r="P36" s="101"/>
      <c r="Q36" s="102"/>
      <c r="R36" s="66" t="s">
        <v>153</v>
      </c>
      <c r="S36" s="72"/>
      <c r="T36" s="72"/>
      <c r="U36" s="72"/>
      <c r="V36" s="72"/>
      <c r="W36" s="72"/>
      <c r="X36" s="73"/>
      <c r="Y36" s="74"/>
    </row>
    <row r="37" spans="1:25" s="1" customFormat="1" ht="181.5" x14ac:dyDescent="0.35">
      <c r="A37" s="164" t="s">
        <v>552</v>
      </c>
      <c r="B37" s="44">
        <v>33</v>
      </c>
      <c r="C37" s="50" t="s">
        <v>542</v>
      </c>
      <c r="D37" s="32" t="s">
        <v>35</v>
      </c>
      <c r="E37" s="97" t="s">
        <v>114</v>
      </c>
      <c r="F37" s="76" t="s">
        <v>402</v>
      </c>
      <c r="G37" s="90" t="s">
        <v>10</v>
      </c>
      <c r="H37" s="49" t="s">
        <v>286</v>
      </c>
      <c r="I37" s="50" t="s">
        <v>368</v>
      </c>
      <c r="J37" s="70"/>
      <c r="K37" s="51" t="s">
        <v>280</v>
      </c>
      <c r="L37" s="51" t="s">
        <v>564</v>
      </c>
      <c r="M37" s="71" t="s">
        <v>596</v>
      </c>
      <c r="N37" s="59" t="s">
        <v>392</v>
      </c>
      <c r="O37" s="54" t="s">
        <v>391</v>
      </c>
      <c r="P37" s="103"/>
      <c r="Q37" s="52"/>
      <c r="R37" s="66" t="s">
        <v>153</v>
      </c>
      <c r="S37" s="72"/>
      <c r="T37" s="72"/>
      <c r="U37" s="72"/>
      <c r="V37" s="72"/>
      <c r="W37" s="72"/>
      <c r="X37" s="73"/>
      <c r="Y37" s="74"/>
    </row>
    <row r="38" spans="1:25" s="1" customFormat="1" ht="115.5" x14ac:dyDescent="0.35">
      <c r="B38" s="44">
        <v>34</v>
      </c>
      <c r="C38" s="50" t="s">
        <v>542</v>
      </c>
      <c r="D38" s="30" t="s">
        <v>36</v>
      </c>
      <c r="E38" s="97" t="s">
        <v>287</v>
      </c>
      <c r="F38" s="76" t="s">
        <v>402</v>
      </c>
      <c r="G38" s="90" t="s">
        <v>7</v>
      </c>
      <c r="H38" s="95" t="s">
        <v>251</v>
      </c>
      <c r="I38" s="104" t="s">
        <v>368</v>
      </c>
      <c r="J38" s="64"/>
      <c r="K38" s="51" t="s">
        <v>280</v>
      </c>
      <c r="L38" s="51" t="s">
        <v>557</v>
      </c>
      <c r="M38" s="71" t="s">
        <v>597</v>
      </c>
      <c r="N38" s="59" t="s">
        <v>394</v>
      </c>
      <c r="O38" s="54" t="s">
        <v>395</v>
      </c>
      <c r="P38" s="103"/>
      <c r="Q38" s="97"/>
      <c r="R38" s="66" t="s">
        <v>153</v>
      </c>
      <c r="S38" s="105"/>
      <c r="T38" s="105"/>
      <c r="U38" s="105"/>
      <c r="V38" s="105"/>
      <c r="W38" s="105"/>
      <c r="X38" s="106"/>
      <c r="Y38" s="107"/>
    </row>
    <row r="39" spans="1:25" s="1" customFormat="1" ht="214.5" x14ac:dyDescent="0.35">
      <c r="B39" s="44">
        <v>35</v>
      </c>
      <c r="C39" s="50" t="s">
        <v>542</v>
      </c>
      <c r="D39" s="30" t="s">
        <v>220</v>
      </c>
      <c r="E39" s="52" t="s">
        <v>216</v>
      </c>
      <c r="F39" s="47" t="s">
        <v>400</v>
      </c>
      <c r="G39" s="90" t="s">
        <v>7</v>
      </c>
      <c r="H39" s="95" t="s">
        <v>251</v>
      </c>
      <c r="I39" s="104" t="s">
        <v>281</v>
      </c>
      <c r="J39" s="64" t="s">
        <v>419</v>
      </c>
      <c r="K39" s="51" t="s">
        <v>280</v>
      </c>
      <c r="L39" s="223" t="s">
        <v>586</v>
      </c>
      <c r="M39" s="231" t="s">
        <v>595</v>
      </c>
      <c r="N39" s="59" t="s">
        <v>26</v>
      </c>
      <c r="O39" s="54" t="s">
        <v>271</v>
      </c>
      <c r="P39" s="31" t="s">
        <v>128</v>
      </c>
      <c r="Q39" s="97"/>
      <c r="R39" s="66" t="s">
        <v>153</v>
      </c>
      <c r="S39" s="105"/>
      <c r="T39" s="105"/>
      <c r="U39" s="105"/>
      <c r="V39" s="105"/>
      <c r="W39" s="105"/>
      <c r="X39" s="106"/>
      <c r="Y39" s="107"/>
    </row>
    <row r="40" spans="1:25" s="1" customFormat="1" ht="115.5" x14ac:dyDescent="0.35">
      <c r="B40" s="44">
        <v>36</v>
      </c>
      <c r="C40" s="50" t="s">
        <v>542</v>
      </c>
      <c r="D40" s="30" t="s">
        <v>221</v>
      </c>
      <c r="E40" s="52" t="s">
        <v>215</v>
      </c>
      <c r="F40" s="47" t="s">
        <v>400</v>
      </c>
      <c r="G40" s="90" t="s">
        <v>7</v>
      </c>
      <c r="H40" s="95" t="s">
        <v>251</v>
      </c>
      <c r="I40" s="104" t="s">
        <v>281</v>
      </c>
      <c r="J40" s="64" t="s">
        <v>419</v>
      </c>
      <c r="K40" s="51" t="s">
        <v>280</v>
      </c>
      <c r="L40" s="51" t="s">
        <v>585</v>
      </c>
      <c r="M40" s="71" t="s">
        <v>553</v>
      </c>
      <c r="N40" s="59" t="s">
        <v>26</v>
      </c>
      <c r="O40" s="54" t="s">
        <v>271</v>
      </c>
      <c r="P40" s="31" t="s">
        <v>128</v>
      </c>
      <c r="Q40" s="52"/>
      <c r="R40" s="66" t="s">
        <v>153</v>
      </c>
      <c r="S40" s="105"/>
      <c r="T40" s="105"/>
      <c r="U40" s="105"/>
      <c r="V40" s="105"/>
      <c r="W40" s="105"/>
      <c r="X40" s="106"/>
      <c r="Y40" s="107"/>
    </row>
    <row r="41" spans="1:25" s="1" customFormat="1" ht="82.5" x14ac:dyDescent="0.35">
      <c r="B41" s="44">
        <v>37</v>
      </c>
      <c r="C41" s="50" t="s">
        <v>542</v>
      </c>
      <c r="D41" s="32" t="s">
        <v>41</v>
      </c>
      <c r="E41" s="52" t="s">
        <v>93</v>
      </c>
      <c r="F41" s="47" t="s">
        <v>401</v>
      </c>
      <c r="G41" s="90" t="s">
        <v>115</v>
      </c>
      <c r="H41" s="49" t="s">
        <v>219</v>
      </c>
      <c r="I41" s="50" t="s">
        <v>280</v>
      </c>
      <c r="J41" s="70"/>
      <c r="K41" s="51" t="s">
        <v>280</v>
      </c>
      <c r="L41" s="51" t="s">
        <v>565</v>
      </c>
      <c r="M41" s="71" t="s">
        <v>596</v>
      </c>
      <c r="N41" s="59" t="s">
        <v>37</v>
      </c>
      <c r="O41" s="3" t="s">
        <v>272</v>
      </c>
      <c r="P41" s="30"/>
      <c r="Q41" s="97" t="s">
        <v>421</v>
      </c>
      <c r="R41" s="66" t="s">
        <v>153</v>
      </c>
      <c r="S41" s="86" t="s">
        <v>166</v>
      </c>
      <c r="T41" s="86" t="s">
        <v>167</v>
      </c>
      <c r="U41" s="86"/>
      <c r="V41" s="86"/>
      <c r="W41" s="86"/>
      <c r="X41" s="86"/>
      <c r="Y41" s="88" t="s">
        <v>168</v>
      </c>
    </row>
    <row r="42" spans="1:25" s="1" customFormat="1" ht="363" x14ac:dyDescent="0.35">
      <c r="B42" s="44">
        <v>38</v>
      </c>
      <c r="C42" s="50" t="s">
        <v>542</v>
      </c>
      <c r="D42" s="31" t="s">
        <v>107</v>
      </c>
      <c r="E42" s="46" t="s">
        <v>116</v>
      </c>
      <c r="F42" s="47" t="s">
        <v>401</v>
      </c>
      <c r="G42" s="90" t="s">
        <v>115</v>
      </c>
      <c r="H42" s="49" t="s">
        <v>219</v>
      </c>
      <c r="I42" s="50" t="s">
        <v>280</v>
      </c>
      <c r="J42" s="108"/>
      <c r="K42" s="51" t="s">
        <v>280</v>
      </c>
      <c r="L42" s="228" t="s">
        <v>594</v>
      </c>
      <c r="M42" s="65" t="s">
        <v>596</v>
      </c>
      <c r="N42" s="75"/>
      <c r="O42" s="3" t="s">
        <v>272</v>
      </c>
      <c r="P42" s="31"/>
      <c r="Q42" s="97" t="s">
        <v>421</v>
      </c>
      <c r="R42" s="66" t="s">
        <v>153</v>
      </c>
      <c r="S42" s="67"/>
      <c r="T42" s="67" t="s">
        <v>169</v>
      </c>
      <c r="U42" s="86"/>
      <c r="V42" s="86"/>
      <c r="W42" s="86"/>
      <c r="X42" s="87"/>
      <c r="Y42" s="74"/>
    </row>
    <row r="43" spans="1:25" s="1" customFormat="1" ht="49.5" x14ac:dyDescent="0.35">
      <c r="B43" s="44">
        <v>39</v>
      </c>
      <c r="C43" s="50" t="s">
        <v>542</v>
      </c>
      <c r="D43" s="32" t="s">
        <v>42</v>
      </c>
      <c r="E43" s="52" t="s">
        <v>43</v>
      </c>
      <c r="F43" s="47" t="s">
        <v>403</v>
      </c>
      <c r="G43" s="90" t="s">
        <v>7</v>
      </c>
      <c r="H43" s="49" t="s">
        <v>219</v>
      </c>
      <c r="I43" s="50" t="s">
        <v>280</v>
      </c>
      <c r="J43" s="70"/>
      <c r="K43" s="51" t="s">
        <v>280</v>
      </c>
      <c r="L43" s="64" t="s">
        <v>553</v>
      </c>
      <c r="M43" s="65" t="s">
        <v>553</v>
      </c>
      <c r="N43" s="59" t="s">
        <v>37</v>
      </c>
      <c r="O43" s="3" t="s">
        <v>272</v>
      </c>
      <c r="P43" s="30"/>
      <c r="Q43" s="52" t="s">
        <v>422</v>
      </c>
      <c r="R43" s="66" t="s">
        <v>153</v>
      </c>
      <c r="S43" s="86"/>
      <c r="T43" s="86"/>
      <c r="U43" s="86"/>
      <c r="V43" s="86"/>
      <c r="W43" s="86"/>
      <c r="X43" s="86"/>
      <c r="Y43" s="88"/>
    </row>
    <row r="44" spans="1:25" s="1" customFormat="1" ht="49.5" x14ac:dyDescent="0.35">
      <c r="B44" s="44">
        <v>40</v>
      </c>
      <c r="C44" s="50" t="s">
        <v>542</v>
      </c>
      <c r="D44" s="32" t="s">
        <v>44</v>
      </c>
      <c r="E44" s="52" t="s">
        <v>45</v>
      </c>
      <c r="F44" s="47" t="s">
        <v>403</v>
      </c>
      <c r="G44" s="90" t="s">
        <v>7</v>
      </c>
      <c r="H44" s="49" t="s">
        <v>219</v>
      </c>
      <c r="I44" s="50" t="s">
        <v>280</v>
      </c>
      <c r="J44" s="70"/>
      <c r="K44" s="51" t="s">
        <v>280</v>
      </c>
      <c r="L44" s="64" t="s">
        <v>553</v>
      </c>
      <c r="M44" s="65" t="s">
        <v>553</v>
      </c>
      <c r="N44" s="59" t="s">
        <v>37</v>
      </c>
      <c r="O44" s="3" t="s">
        <v>272</v>
      </c>
      <c r="P44" s="30"/>
      <c r="Q44" s="52" t="s">
        <v>422</v>
      </c>
      <c r="R44" s="66" t="s">
        <v>153</v>
      </c>
      <c r="S44" s="86"/>
      <c r="T44" s="86"/>
      <c r="U44" s="86"/>
      <c r="V44" s="86"/>
      <c r="W44" s="86"/>
      <c r="X44" s="87"/>
      <c r="Y44" s="74"/>
    </row>
    <row r="45" spans="1:25" ht="82.5" x14ac:dyDescent="0.35">
      <c r="B45" s="44">
        <v>41</v>
      </c>
      <c r="C45" s="50" t="s">
        <v>542</v>
      </c>
      <c r="D45" s="32" t="s">
        <v>46</v>
      </c>
      <c r="E45" s="52" t="s">
        <v>46</v>
      </c>
      <c r="F45" s="47" t="s">
        <v>403</v>
      </c>
      <c r="G45" s="90" t="s">
        <v>7</v>
      </c>
      <c r="H45" s="49" t="s">
        <v>219</v>
      </c>
      <c r="I45" s="50" t="s">
        <v>280</v>
      </c>
      <c r="J45" s="70"/>
      <c r="K45" s="51" t="s">
        <v>280</v>
      </c>
      <c r="L45" s="223" t="s">
        <v>566</v>
      </c>
      <c r="M45" s="71" t="s">
        <v>553</v>
      </c>
      <c r="N45" s="59" t="s">
        <v>37</v>
      </c>
      <c r="O45" s="3" t="s">
        <v>272</v>
      </c>
      <c r="P45" s="30"/>
      <c r="Q45" s="52" t="s">
        <v>422</v>
      </c>
      <c r="R45" s="66" t="s">
        <v>153</v>
      </c>
      <c r="S45" s="86"/>
      <c r="T45" s="86"/>
      <c r="U45" s="86"/>
      <c r="V45" s="86"/>
      <c r="W45" s="86"/>
      <c r="X45" s="86"/>
      <c r="Y45" s="88"/>
    </row>
    <row r="46" spans="1:25" s="1" customFormat="1" ht="99" x14ac:dyDescent="0.35">
      <c r="B46" s="44">
        <v>42</v>
      </c>
      <c r="C46" s="50" t="s">
        <v>542</v>
      </c>
      <c r="D46" s="32" t="s">
        <v>47</v>
      </c>
      <c r="E46" s="52" t="s">
        <v>48</v>
      </c>
      <c r="F46" s="47" t="s">
        <v>403</v>
      </c>
      <c r="G46" s="90" t="s">
        <v>7</v>
      </c>
      <c r="H46" s="49" t="s">
        <v>219</v>
      </c>
      <c r="I46" s="50" t="s">
        <v>280</v>
      </c>
      <c r="J46" s="70"/>
      <c r="K46" s="51" t="s">
        <v>280</v>
      </c>
      <c r="L46" s="223" t="s">
        <v>567</v>
      </c>
      <c r="M46" s="71" t="s">
        <v>553</v>
      </c>
      <c r="N46" s="59" t="s">
        <v>37</v>
      </c>
      <c r="O46" s="3" t="s">
        <v>272</v>
      </c>
      <c r="P46" s="30"/>
      <c r="Q46" s="52" t="s">
        <v>422</v>
      </c>
      <c r="R46" s="66" t="s">
        <v>153</v>
      </c>
      <c r="S46" s="86"/>
      <c r="T46" s="86"/>
      <c r="U46" s="86"/>
      <c r="V46" s="86"/>
      <c r="W46" s="86"/>
      <c r="X46" s="86"/>
      <c r="Y46" s="88"/>
    </row>
    <row r="47" spans="1:25" s="1" customFormat="1" ht="99" x14ac:dyDescent="0.35">
      <c r="B47" s="44">
        <v>43</v>
      </c>
      <c r="C47" s="50" t="s">
        <v>542</v>
      </c>
      <c r="D47" s="32" t="s">
        <v>49</v>
      </c>
      <c r="E47" s="52" t="s">
        <v>117</v>
      </c>
      <c r="F47" s="93" t="s">
        <v>415</v>
      </c>
      <c r="G47" s="90" t="s">
        <v>7</v>
      </c>
      <c r="H47" s="49" t="s">
        <v>219</v>
      </c>
      <c r="I47" s="50" t="s">
        <v>280</v>
      </c>
      <c r="J47" s="70"/>
      <c r="K47" s="51" t="s">
        <v>280</v>
      </c>
      <c r="L47" s="223" t="s">
        <v>567</v>
      </c>
      <c r="M47" s="71" t="s">
        <v>553</v>
      </c>
      <c r="N47" s="59" t="s">
        <v>37</v>
      </c>
      <c r="O47" s="3" t="s">
        <v>272</v>
      </c>
      <c r="P47" s="30"/>
      <c r="Q47" s="52" t="s">
        <v>422</v>
      </c>
      <c r="R47" s="66" t="s">
        <v>153</v>
      </c>
      <c r="S47" s="86" t="s">
        <v>159</v>
      </c>
      <c r="T47" s="86"/>
      <c r="U47" s="86" t="s">
        <v>172</v>
      </c>
      <c r="V47" s="86"/>
      <c r="W47" s="86"/>
      <c r="X47" s="87"/>
      <c r="Y47" s="74"/>
    </row>
    <row r="48" spans="1:25" s="1" customFormat="1" ht="66" x14ac:dyDescent="0.35">
      <c r="B48" s="44">
        <v>44</v>
      </c>
      <c r="C48" s="50" t="s">
        <v>542</v>
      </c>
      <c r="D48" s="32" t="s">
        <v>50</v>
      </c>
      <c r="E48" s="97" t="s">
        <v>92</v>
      </c>
      <c r="F48" s="47" t="s">
        <v>401</v>
      </c>
      <c r="G48" s="90" t="s">
        <v>115</v>
      </c>
      <c r="H48" s="49" t="s">
        <v>219</v>
      </c>
      <c r="I48" s="50" t="s">
        <v>280</v>
      </c>
      <c r="J48" s="70"/>
      <c r="K48" s="51" t="s">
        <v>280</v>
      </c>
      <c r="L48" s="70" t="s">
        <v>568</v>
      </c>
      <c r="M48" s="71" t="s">
        <v>569</v>
      </c>
      <c r="N48" s="59" t="s">
        <v>37</v>
      </c>
      <c r="O48" s="3" t="s">
        <v>272</v>
      </c>
      <c r="P48" s="103"/>
      <c r="Q48" s="52" t="s">
        <v>421</v>
      </c>
      <c r="R48" s="66" t="s">
        <v>153</v>
      </c>
      <c r="S48" s="86" t="s">
        <v>170</v>
      </c>
      <c r="T48" s="86"/>
      <c r="U48" s="86"/>
      <c r="V48" s="86"/>
      <c r="W48" s="86"/>
      <c r="X48" s="86"/>
      <c r="Y48" s="88" t="s">
        <v>171</v>
      </c>
    </row>
    <row r="49" spans="1:25" s="1" customFormat="1" ht="49.5" x14ac:dyDescent="0.35">
      <c r="B49" s="44">
        <v>45</v>
      </c>
      <c r="C49" s="50" t="s">
        <v>542</v>
      </c>
      <c r="D49" s="31" t="s">
        <v>237</v>
      </c>
      <c r="E49" s="52" t="s">
        <v>366</v>
      </c>
      <c r="F49" s="47" t="s">
        <v>403</v>
      </c>
      <c r="G49" s="81" t="s">
        <v>10</v>
      </c>
      <c r="H49" s="49" t="s">
        <v>275</v>
      </c>
      <c r="I49" s="50" t="s">
        <v>368</v>
      </c>
      <c r="J49" s="108"/>
      <c r="K49" s="51" t="s">
        <v>280</v>
      </c>
      <c r="L49" s="70" t="s">
        <v>568</v>
      </c>
      <c r="M49" s="71" t="s">
        <v>569</v>
      </c>
      <c r="N49" s="75"/>
      <c r="O49" s="3" t="s">
        <v>272</v>
      </c>
      <c r="P49" s="30"/>
      <c r="Q49" s="52" t="s">
        <v>423</v>
      </c>
      <c r="R49" s="66" t="s">
        <v>153</v>
      </c>
      <c r="S49" s="86" t="s">
        <v>170</v>
      </c>
      <c r="T49" s="72"/>
      <c r="U49" s="86" t="s">
        <v>244</v>
      </c>
      <c r="V49" s="72"/>
      <c r="W49" s="72"/>
      <c r="X49" s="73"/>
      <c r="Y49" s="74"/>
    </row>
    <row r="50" spans="1:25" s="1" customFormat="1" ht="49.5" x14ac:dyDescent="0.35">
      <c r="B50" s="44">
        <v>46</v>
      </c>
      <c r="C50" s="50" t="s">
        <v>542</v>
      </c>
      <c r="D50" s="31" t="s">
        <v>238</v>
      </c>
      <c r="E50" s="52" t="s">
        <v>365</v>
      </c>
      <c r="F50" s="47" t="s">
        <v>403</v>
      </c>
      <c r="G50" s="81" t="s">
        <v>236</v>
      </c>
      <c r="H50" s="49" t="s">
        <v>276</v>
      </c>
      <c r="I50" s="50" t="s">
        <v>368</v>
      </c>
      <c r="J50" s="108"/>
      <c r="K50" s="51" t="s">
        <v>280</v>
      </c>
      <c r="L50" s="70" t="s">
        <v>568</v>
      </c>
      <c r="M50" s="71" t="s">
        <v>569</v>
      </c>
      <c r="N50" s="75"/>
      <c r="O50" s="3" t="s">
        <v>272</v>
      </c>
      <c r="P50" s="30"/>
      <c r="Q50" s="52" t="s">
        <v>423</v>
      </c>
      <c r="R50" s="66" t="s">
        <v>153</v>
      </c>
      <c r="S50" s="86" t="s">
        <v>170</v>
      </c>
      <c r="T50" s="72"/>
      <c r="U50" s="72"/>
      <c r="V50" s="72"/>
      <c r="W50" s="72"/>
      <c r="X50" s="73"/>
      <c r="Y50" s="74"/>
    </row>
    <row r="51" spans="1:25" s="1" customFormat="1" ht="49.5" x14ac:dyDescent="0.35">
      <c r="A51" s="164" t="s">
        <v>552</v>
      </c>
      <c r="B51" s="44">
        <v>47</v>
      </c>
      <c r="C51" s="50" t="s">
        <v>542</v>
      </c>
      <c r="D51" s="32" t="s">
        <v>226</v>
      </c>
      <c r="E51" s="52" t="s">
        <v>225</v>
      </c>
      <c r="F51" s="47" t="s">
        <v>403</v>
      </c>
      <c r="G51" s="81" t="s">
        <v>10</v>
      </c>
      <c r="H51" s="49" t="s">
        <v>249</v>
      </c>
      <c r="I51" s="50" t="s">
        <v>368</v>
      </c>
      <c r="J51" s="70"/>
      <c r="K51" s="51" t="s">
        <v>280</v>
      </c>
      <c r="L51" s="70" t="s">
        <v>568</v>
      </c>
      <c r="M51" s="71" t="s">
        <v>569</v>
      </c>
      <c r="N51" s="59" t="s">
        <v>51</v>
      </c>
      <c r="O51" s="54" t="s">
        <v>272</v>
      </c>
      <c r="P51" s="30"/>
      <c r="Q51" s="97" t="s">
        <v>424</v>
      </c>
      <c r="R51" s="66" t="s">
        <v>153</v>
      </c>
      <c r="S51" s="86" t="s">
        <v>170</v>
      </c>
      <c r="T51" s="86"/>
      <c r="U51" s="86" t="s">
        <v>242</v>
      </c>
      <c r="V51" s="86"/>
      <c r="W51" s="86"/>
      <c r="X51" s="87"/>
      <c r="Y51" s="74"/>
    </row>
    <row r="52" spans="1:25" s="1" customFormat="1" ht="49.5" x14ac:dyDescent="0.35">
      <c r="A52" s="164" t="s">
        <v>552</v>
      </c>
      <c r="B52" s="44">
        <v>48</v>
      </c>
      <c r="C52" s="50" t="s">
        <v>542</v>
      </c>
      <c r="D52" s="32" t="s">
        <v>227</v>
      </c>
      <c r="E52" s="52" t="s">
        <v>278</v>
      </c>
      <c r="F52" s="47" t="s">
        <v>403</v>
      </c>
      <c r="G52" s="81" t="s">
        <v>236</v>
      </c>
      <c r="H52" s="49" t="s">
        <v>250</v>
      </c>
      <c r="I52" s="50" t="s">
        <v>368</v>
      </c>
      <c r="J52" s="70"/>
      <c r="K52" s="51" t="s">
        <v>280</v>
      </c>
      <c r="L52" s="70" t="s">
        <v>553</v>
      </c>
      <c r="M52" s="71" t="s">
        <v>597</v>
      </c>
      <c r="N52" s="59" t="s">
        <v>51</v>
      </c>
      <c r="O52" s="54" t="s">
        <v>272</v>
      </c>
      <c r="P52" s="30"/>
      <c r="Q52" s="97" t="s">
        <v>424</v>
      </c>
      <c r="R52" s="66" t="s">
        <v>153</v>
      </c>
      <c r="S52" s="86" t="s">
        <v>170</v>
      </c>
      <c r="T52" s="86"/>
      <c r="U52" s="86"/>
      <c r="V52" s="86"/>
      <c r="W52" s="86"/>
      <c r="X52" s="87"/>
      <c r="Y52" s="74"/>
    </row>
    <row r="53" spans="1:25" s="1" customFormat="1" ht="82.5" x14ac:dyDescent="0.35">
      <c r="B53" s="44">
        <v>49</v>
      </c>
      <c r="C53" s="50" t="s">
        <v>542</v>
      </c>
      <c r="D53" s="32" t="s">
        <v>52</v>
      </c>
      <c r="E53" s="52" t="s">
        <v>53</v>
      </c>
      <c r="F53" s="93" t="s">
        <v>415</v>
      </c>
      <c r="G53" s="90" t="s">
        <v>7</v>
      </c>
      <c r="H53" s="49" t="s">
        <v>219</v>
      </c>
      <c r="I53" s="50" t="s">
        <v>280</v>
      </c>
      <c r="J53" s="70"/>
      <c r="K53" s="51" t="s">
        <v>280</v>
      </c>
      <c r="L53" s="70" t="s">
        <v>553</v>
      </c>
      <c r="M53" s="71" t="s">
        <v>597</v>
      </c>
      <c r="N53" s="59" t="s">
        <v>37</v>
      </c>
      <c r="O53" s="3" t="s">
        <v>272</v>
      </c>
      <c r="P53" s="30"/>
      <c r="Q53" s="52" t="s">
        <v>422</v>
      </c>
      <c r="R53" s="66" t="s">
        <v>153</v>
      </c>
      <c r="S53" s="72"/>
      <c r="T53" s="72"/>
      <c r="U53" s="72"/>
      <c r="V53" s="72"/>
      <c r="W53" s="72"/>
      <c r="X53" s="73"/>
      <c r="Y53" s="74"/>
    </row>
    <row r="54" spans="1:25" ht="82.5" x14ac:dyDescent="0.35">
      <c r="B54" s="44">
        <v>50</v>
      </c>
      <c r="C54" s="50" t="s">
        <v>542</v>
      </c>
      <c r="D54" s="32" t="s">
        <v>54</v>
      </c>
      <c r="E54" s="52" t="s">
        <v>55</v>
      </c>
      <c r="F54" s="93" t="s">
        <v>415</v>
      </c>
      <c r="G54" s="90" t="s">
        <v>7</v>
      </c>
      <c r="H54" s="49" t="s">
        <v>219</v>
      </c>
      <c r="I54" s="50" t="s">
        <v>280</v>
      </c>
      <c r="J54" s="70"/>
      <c r="K54" s="51" t="s">
        <v>280</v>
      </c>
      <c r="L54" s="223" t="s">
        <v>571</v>
      </c>
      <c r="M54" s="71" t="s">
        <v>597</v>
      </c>
      <c r="N54" s="59" t="s">
        <v>37</v>
      </c>
      <c r="O54" s="3" t="s">
        <v>272</v>
      </c>
      <c r="P54" s="30"/>
      <c r="Q54" s="52" t="s">
        <v>422</v>
      </c>
      <c r="R54" s="66" t="s">
        <v>153</v>
      </c>
      <c r="S54" s="86" t="s">
        <v>170</v>
      </c>
      <c r="T54" s="86"/>
      <c r="U54" s="86"/>
      <c r="V54" s="86"/>
      <c r="W54" s="86"/>
      <c r="X54" s="87"/>
      <c r="Y54" s="110"/>
    </row>
    <row r="55" spans="1:25" s="1" customFormat="1" ht="82.5" x14ac:dyDescent="0.35">
      <c r="A55" s="164" t="s">
        <v>552</v>
      </c>
      <c r="B55" s="44">
        <v>51</v>
      </c>
      <c r="C55" s="50" t="s">
        <v>542</v>
      </c>
      <c r="D55" s="32" t="s">
        <v>228</v>
      </c>
      <c r="E55" s="52" t="s">
        <v>230</v>
      </c>
      <c r="F55" s="47" t="s">
        <v>403</v>
      </c>
      <c r="G55" s="81" t="s">
        <v>10</v>
      </c>
      <c r="H55" s="49" t="s">
        <v>274</v>
      </c>
      <c r="I55" s="50" t="s">
        <v>368</v>
      </c>
      <c r="J55" s="70"/>
      <c r="K55" s="51" t="s">
        <v>280</v>
      </c>
      <c r="L55" s="223" t="s">
        <v>572</v>
      </c>
      <c r="M55" s="71" t="s">
        <v>597</v>
      </c>
      <c r="N55" s="59" t="s">
        <v>37</v>
      </c>
      <c r="O55" s="3" t="s">
        <v>272</v>
      </c>
      <c r="P55" s="30"/>
      <c r="Q55" s="97" t="s">
        <v>424</v>
      </c>
      <c r="R55" s="66" t="s">
        <v>153</v>
      </c>
      <c r="S55" s="86" t="s">
        <v>170</v>
      </c>
      <c r="T55" s="72"/>
      <c r="U55" s="86" t="s">
        <v>241</v>
      </c>
      <c r="V55" s="72"/>
      <c r="W55" s="72"/>
      <c r="X55" s="73"/>
      <c r="Y55" s="74"/>
    </row>
    <row r="56" spans="1:25" s="1" customFormat="1" ht="49.5" x14ac:dyDescent="0.35">
      <c r="B56" s="44">
        <v>52</v>
      </c>
      <c r="C56" s="50" t="s">
        <v>542</v>
      </c>
      <c r="D56" s="32" t="s">
        <v>229</v>
      </c>
      <c r="E56" s="52" t="s">
        <v>235</v>
      </c>
      <c r="F56" s="47" t="s">
        <v>403</v>
      </c>
      <c r="G56" s="81" t="s">
        <v>236</v>
      </c>
      <c r="H56" s="49" t="s">
        <v>274</v>
      </c>
      <c r="I56" s="50" t="s">
        <v>368</v>
      </c>
      <c r="J56" s="70"/>
      <c r="K56" s="51" t="s">
        <v>280</v>
      </c>
      <c r="L56" s="70" t="s">
        <v>553</v>
      </c>
      <c r="M56" s="71" t="s">
        <v>553</v>
      </c>
      <c r="N56" s="59" t="s">
        <v>37</v>
      </c>
      <c r="O56" s="3" t="s">
        <v>272</v>
      </c>
      <c r="P56" s="30"/>
      <c r="Q56" s="97" t="s">
        <v>424</v>
      </c>
      <c r="R56" s="66" t="s">
        <v>153</v>
      </c>
      <c r="S56" s="86" t="s">
        <v>170</v>
      </c>
      <c r="T56" s="72"/>
      <c r="U56" s="72"/>
      <c r="V56" s="72"/>
      <c r="W56" s="72"/>
      <c r="X56" s="73"/>
      <c r="Y56" s="74"/>
    </row>
    <row r="57" spans="1:25" s="1" customFormat="1" ht="49.5" x14ac:dyDescent="0.35">
      <c r="A57" s="164" t="s">
        <v>552</v>
      </c>
      <c r="B57" s="44">
        <v>53</v>
      </c>
      <c r="C57" s="50" t="s">
        <v>542</v>
      </c>
      <c r="D57" s="32" t="s">
        <v>231</v>
      </c>
      <c r="E57" s="52" t="s">
        <v>233</v>
      </c>
      <c r="F57" s="47" t="s">
        <v>403</v>
      </c>
      <c r="G57" s="81" t="s">
        <v>10</v>
      </c>
      <c r="H57" s="49" t="s">
        <v>245</v>
      </c>
      <c r="I57" s="50" t="s">
        <v>368</v>
      </c>
      <c r="J57" s="70"/>
      <c r="K57" s="51" t="s">
        <v>280</v>
      </c>
      <c r="L57" s="70" t="s">
        <v>568</v>
      </c>
      <c r="M57" s="71" t="s">
        <v>569</v>
      </c>
      <c r="N57" s="59" t="s">
        <v>24</v>
      </c>
      <c r="O57" s="3" t="s">
        <v>272</v>
      </c>
      <c r="P57" s="30"/>
      <c r="Q57" s="97" t="s">
        <v>425</v>
      </c>
      <c r="R57" s="66" t="s">
        <v>153</v>
      </c>
      <c r="S57" s="86" t="s">
        <v>159</v>
      </c>
      <c r="T57" s="86"/>
      <c r="U57" s="86" t="s">
        <v>174</v>
      </c>
      <c r="V57" s="86"/>
      <c r="W57" s="86"/>
      <c r="X57" s="86"/>
      <c r="Y57" s="88"/>
    </row>
    <row r="58" spans="1:25" s="1" customFormat="1" ht="82.5" x14ac:dyDescent="0.35">
      <c r="A58" s="164" t="s">
        <v>552</v>
      </c>
      <c r="B58" s="44">
        <v>54</v>
      </c>
      <c r="C58" s="50" t="s">
        <v>542</v>
      </c>
      <c r="D58" s="32" t="s">
        <v>232</v>
      </c>
      <c r="E58" s="52" t="s">
        <v>234</v>
      </c>
      <c r="F58" s="47" t="s">
        <v>403</v>
      </c>
      <c r="G58" s="81" t="s">
        <v>236</v>
      </c>
      <c r="H58" s="49" t="s">
        <v>246</v>
      </c>
      <c r="I58" s="50" t="s">
        <v>368</v>
      </c>
      <c r="J58" s="70"/>
      <c r="K58" s="51" t="s">
        <v>280</v>
      </c>
      <c r="L58" s="3" t="s">
        <v>589</v>
      </c>
      <c r="M58" s="109" t="s">
        <v>597</v>
      </c>
      <c r="N58" s="59" t="s">
        <v>24</v>
      </c>
      <c r="O58" s="3" t="s">
        <v>272</v>
      </c>
      <c r="P58" s="30"/>
      <c r="Q58" s="97" t="s">
        <v>425</v>
      </c>
      <c r="R58" s="66" t="s">
        <v>153</v>
      </c>
      <c r="S58" s="86" t="s">
        <v>159</v>
      </c>
      <c r="T58" s="86"/>
      <c r="U58" s="86"/>
      <c r="V58" s="86"/>
      <c r="W58" s="86"/>
      <c r="X58" s="86"/>
      <c r="Y58" s="88"/>
    </row>
    <row r="59" spans="1:25" s="1" customFormat="1" ht="54" customHeight="1" x14ac:dyDescent="0.35">
      <c r="B59" s="44">
        <v>55</v>
      </c>
      <c r="C59" s="50" t="s">
        <v>542</v>
      </c>
      <c r="D59" s="31" t="s">
        <v>141</v>
      </c>
      <c r="E59" s="79" t="s">
        <v>300</v>
      </c>
      <c r="F59" s="47" t="s">
        <v>412</v>
      </c>
      <c r="G59" s="90" t="s">
        <v>7</v>
      </c>
      <c r="H59" s="49" t="s">
        <v>219</v>
      </c>
      <c r="I59" s="50" t="s">
        <v>281</v>
      </c>
      <c r="J59" s="64"/>
      <c r="K59" s="51" t="s">
        <v>280</v>
      </c>
      <c r="L59" s="108" t="s">
        <v>553</v>
      </c>
      <c r="M59" s="109" t="s">
        <v>553</v>
      </c>
      <c r="N59" s="59" t="s">
        <v>64</v>
      </c>
      <c r="O59" s="54" t="s">
        <v>270</v>
      </c>
      <c r="P59" s="31" t="s">
        <v>128</v>
      </c>
      <c r="Q59" s="111"/>
      <c r="R59" s="66" t="s">
        <v>153</v>
      </c>
      <c r="S59" s="72"/>
      <c r="T59" s="72"/>
      <c r="U59" s="72"/>
      <c r="V59" s="72"/>
      <c r="W59" s="72"/>
      <c r="X59" s="72"/>
      <c r="Y59" s="88"/>
    </row>
    <row r="60" spans="1:25" s="1" customFormat="1" ht="45.75" customHeight="1" x14ac:dyDescent="0.35">
      <c r="B60" s="44">
        <v>56</v>
      </c>
      <c r="C60" s="44" t="s">
        <v>542</v>
      </c>
      <c r="D60" s="32" t="s">
        <v>299</v>
      </c>
      <c r="E60" s="52" t="s">
        <v>296</v>
      </c>
      <c r="F60" s="76" t="s">
        <v>413</v>
      </c>
      <c r="G60" s="90" t="s">
        <v>7</v>
      </c>
      <c r="H60" s="49"/>
      <c r="I60" s="50" t="s">
        <v>281</v>
      </c>
      <c r="J60" s="70"/>
      <c r="K60" s="51"/>
      <c r="L60" s="223" t="s">
        <v>573</v>
      </c>
      <c r="M60" s="71" t="s">
        <v>597</v>
      </c>
      <c r="N60" s="112" t="s">
        <v>26</v>
      </c>
      <c r="O60" s="3" t="s">
        <v>297</v>
      </c>
      <c r="P60" s="30"/>
      <c r="Q60" s="113"/>
      <c r="R60" s="114" t="s">
        <v>153</v>
      </c>
      <c r="S60" s="72"/>
      <c r="T60" s="115" t="s">
        <v>298</v>
      </c>
      <c r="U60" s="72"/>
      <c r="V60" s="72"/>
      <c r="W60" s="72"/>
      <c r="X60" s="73"/>
      <c r="Y60" s="74"/>
    </row>
    <row r="61" spans="1:25" s="1" customFormat="1" ht="379.5" x14ac:dyDescent="0.35">
      <c r="B61" s="44">
        <v>57</v>
      </c>
      <c r="C61" s="44" t="s">
        <v>542</v>
      </c>
      <c r="D61" s="32" t="s">
        <v>315</v>
      </c>
      <c r="E61" s="97" t="s">
        <v>109</v>
      </c>
      <c r="F61" s="76" t="s">
        <v>402</v>
      </c>
      <c r="G61" s="90" t="s">
        <v>7</v>
      </c>
      <c r="H61" s="49" t="s">
        <v>219</v>
      </c>
      <c r="I61" s="50" t="s">
        <v>281</v>
      </c>
      <c r="J61" s="64"/>
      <c r="K61" s="51" t="s">
        <v>280</v>
      </c>
      <c r="L61" s="223" t="s">
        <v>574</v>
      </c>
      <c r="M61" s="71" t="s">
        <v>597</v>
      </c>
      <c r="N61" s="59" t="s">
        <v>292</v>
      </c>
      <c r="O61" s="54" t="s">
        <v>270</v>
      </c>
      <c r="P61" s="31" t="s">
        <v>128</v>
      </c>
      <c r="Q61" s="46"/>
      <c r="R61" s="66" t="s">
        <v>153</v>
      </c>
      <c r="S61" s="86"/>
      <c r="T61" s="86" t="s">
        <v>222</v>
      </c>
      <c r="U61" s="86"/>
      <c r="V61" s="86"/>
      <c r="W61" s="86"/>
      <c r="X61" s="86"/>
      <c r="Y61" s="88"/>
    </row>
    <row r="62" spans="1:25" s="1" customFormat="1" ht="82.5" x14ac:dyDescent="0.35">
      <c r="B62" s="44">
        <v>58</v>
      </c>
      <c r="C62" s="44" t="s">
        <v>542</v>
      </c>
      <c r="D62" s="32" t="s">
        <v>120</v>
      </c>
      <c r="E62" s="52" t="s">
        <v>142</v>
      </c>
      <c r="F62" s="76" t="s">
        <v>402</v>
      </c>
      <c r="G62" s="90" t="s">
        <v>7</v>
      </c>
      <c r="H62" s="49" t="s">
        <v>219</v>
      </c>
      <c r="I62" s="50" t="s">
        <v>281</v>
      </c>
      <c r="J62" s="64"/>
      <c r="K62" s="51" t="s">
        <v>280</v>
      </c>
      <c r="L62" s="230" t="s">
        <v>553</v>
      </c>
      <c r="M62" s="226" t="s">
        <v>553</v>
      </c>
      <c r="N62" s="59" t="s">
        <v>118</v>
      </c>
      <c r="O62" s="54" t="s">
        <v>270</v>
      </c>
      <c r="P62" s="31" t="s">
        <v>128</v>
      </c>
      <c r="Q62" s="46"/>
      <c r="R62" s="66" t="s">
        <v>153</v>
      </c>
      <c r="S62" s="72"/>
      <c r="T62" s="72"/>
      <c r="U62" s="72"/>
      <c r="V62" s="72"/>
      <c r="W62" s="72"/>
      <c r="X62" s="73"/>
      <c r="Y62" s="74"/>
    </row>
    <row r="63" spans="1:25" s="2" customFormat="1" ht="214.5" x14ac:dyDescent="0.35">
      <c r="B63" s="44">
        <v>59</v>
      </c>
      <c r="C63" s="50" t="s">
        <v>542</v>
      </c>
      <c r="D63" s="31" t="s">
        <v>309</v>
      </c>
      <c r="E63" s="46" t="s">
        <v>305</v>
      </c>
      <c r="F63" s="76" t="s">
        <v>402</v>
      </c>
      <c r="G63" s="90" t="s">
        <v>7</v>
      </c>
      <c r="H63" s="49" t="s">
        <v>219</v>
      </c>
      <c r="I63" s="50" t="s">
        <v>281</v>
      </c>
      <c r="J63" s="64"/>
      <c r="K63" s="51" t="s">
        <v>280</v>
      </c>
      <c r="L63" s="70" t="s">
        <v>553</v>
      </c>
      <c r="M63" s="71" t="s">
        <v>553</v>
      </c>
      <c r="N63" s="59" t="s">
        <v>119</v>
      </c>
      <c r="O63" s="54" t="s">
        <v>270</v>
      </c>
      <c r="P63" s="31" t="s">
        <v>128</v>
      </c>
      <c r="Q63" s="46"/>
      <c r="R63" s="66" t="s">
        <v>153</v>
      </c>
      <c r="S63" s="115"/>
      <c r="T63" s="115"/>
      <c r="U63" s="115"/>
      <c r="V63" s="115"/>
      <c r="W63" s="115"/>
      <c r="X63" s="116"/>
      <c r="Y63" s="117"/>
    </row>
    <row r="64" spans="1:25" s="1" customFormat="1" ht="214.5" x14ac:dyDescent="0.35">
      <c r="B64" s="44">
        <v>60</v>
      </c>
      <c r="C64" s="44" t="s">
        <v>542</v>
      </c>
      <c r="D64" s="30" t="s">
        <v>65</v>
      </c>
      <c r="E64" s="52" t="s">
        <v>123</v>
      </c>
      <c r="F64" s="76" t="s">
        <v>402</v>
      </c>
      <c r="G64" s="90" t="s">
        <v>7</v>
      </c>
      <c r="H64" s="49" t="s">
        <v>219</v>
      </c>
      <c r="I64" s="50" t="s">
        <v>281</v>
      </c>
      <c r="J64" s="64"/>
      <c r="K64" s="51" t="s">
        <v>280</v>
      </c>
      <c r="L64" s="70" t="s">
        <v>553</v>
      </c>
      <c r="M64" s="71" t="s">
        <v>553</v>
      </c>
      <c r="N64" s="59" t="s">
        <v>397</v>
      </c>
      <c r="O64" s="54" t="s">
        <v>270</v>
      </c>
      <c r="P64" s="31"/>
      <c r="Q64" s="46"/>
      <c r="R64" s="66" t="s">
        <v>153</v>
      </c>
      <c r="S64" s="72"/>
      <c r="T64" s="72"/>
      <c r="U64" s="72"/>
      <c r="V64" s="72"/>
      <c r="W64" s="72"/>
      <c r="X64" s="73"/>
      <c r="Y64" s="74"/>
    </row>
    <row r="65" spans="1:25" s="1" customFormat="1" ht="133.5" customHeight="1" x14ac:dyDescent="0.35">
      <c r="B65" s="44">
        <v>61</v>
      </c>
      <c r="C65" s="50" t="s">
        <v>542</v>
      </c>
      <c r="D65" s="31" t="s">
        <v>94</v>
      </c>
      <c r="E65" s="46" t="s">
        <v>316</v>
      </c>
      <c r="F65" s="76" t="s">
        <v>402</v>
      </c>
      <c r="G65" s="90" t="s">
        <v>7</v>
      </c>
      <c r="H65" s="49" t="s">
        <v>219</v>
      </c>
      <c r="I65" s="50" t="s">
        <v>281</v>
      </c>
      <c r="J65" s="64"/>
      <c r="K65" s="51" t="s">
        <v>280</v>
      </c>
      <c r="L65" s="70" t="s">
        <v>553</v>
      </c>
      <c r="M65" s="71" t="s">
        <v>553</v>
      </c>
      <c r="N65" s="59" t="s">
        <v>118</v>
      </c>
      <c r="O65" s="54" t="s">
        <v>270</v>
      </c>
      <c r="P65" s="31" t="s">
        <v>128</v>
      </c>
      <c r="Q65" s="46"/>
      <c r="R65" s="66" t="s">
        <v>153</v>
      </c>
      <c r="S65" s="72"/>
      <c r="T65" s="72" t="s">
        <v>213</v>
      </c>
      <c r="U65" s="72"/>
      <c r="V65" s="72"/>
      <c r="W65" s="72"/>
      <c r="X65" s="73"/>
      <c r="Y65" s="74"/>
    </row>
    <row r="66" spans="1:25" s="1" customFormat="1" ht="66" x14ac:dyDescent="0.35">
      <c r="B66" s="44">
        <v>62</v>
      </c>
      <c r="C66" s="50" t="s">
        <v>542</v>
      </c>
      <c r="D66" s="34" t="s">
        <v>310</v>
      </c>
      <c r="E66" s="46" t="s">
        <v>311</v>
      </c>
      <c r="F66" s="47" t="s">
        <v>403</v>
      </c>
      <c r="G66" s="48" t="s">
        <v>10</v>
      </c>
      <c r="H66" s="49" t="s">
        <v>219</v>
      </c>
      <c r="I66" s="50" t="s">
        <v>281</v>
      </c>
      <c r="J66" s="64"/>
      <c r="K66" s="51" t="s">
        <v>280</v>
      </c>
      <c r="L66" s="70" t="s">
        <v>553</v>
      </c>
      <c r="M66" s="71" t="s">
        <v>553</v>
      </c>
      <c r="N66" s="59" t="s">
        <v>24</v>
      </c>
      <c r="O66" s="54" t="s">
        <v>272</v>
      </c>
      <c r="P66" s="31" t="s">
        <v>128</v>
      </c>
      <c r="Q66" s="52"/>
      <c r="R66" s="66" t="s">
        <v>153</v>
      </c>
      <c r="S66" s="86" t="s">
        <v>175</v>
      </c>
      <c r="T66" s="86"/>
      <c r="U66" s="86"/>
      <c r="V66" s="86"/>
      <c r="W66" s="86"/>
      <c r="X66" s="87"/>
      <c r="Y66" s="74"/>
    </row>
    <row r="67" spans="1:25" s="1" customFormat="1" ht="66" x14ac:dyDescent="0.35">
      <c r="B67" s="44">
        <v>63</v>
      </c>
      <c r="C67" s="50" t="s">
        <v>542</v>
      </c>
      <c r="D67" s="34" t="s">
        <v>313</v>
      </c>
      <c r="E67" s="46" t="s">
        <v>314</v>
      </c>
      <c r="F67" s="47" t="s">
        <v>403</v>
      </c>
      <c r="G67" s="48" t="s">
        <v>10</v>
      </c>
      <c r="H67" s="49" t="s">
        <v>219</v>
      </c>
      <c r="I67" s="50" t="s">
        <v>281</v>
      </c>
      <c r="J67" s="64"/>
      <c r="K67" s="51" t="s">
        <v>280</v>
      </c>
      <c r="L67" s="70" t="s">
        <v>553</v>
      </c>
      <c r="M67" s="71" t="s">
        <v>553</v>
      </c>
      <c r="N67" s="59" t="s">
        <v>24</v>
      </c>
      <c r="O67" s="54" t="s">
        <v>272</v>
      </c>
      <c r="P67" s="31" t="s">
        <v>128</v>
      </c>
      <c r="Q67" s="79"/>
      <c r="R67" s="66" t="s">
        <v>153</v>
      </c>
      <c r="S67" s="86" t="s">
        <v>175</v>
      </c>
      <c r="T67" s="86"/>
      <c r="U67" s="86"/>
      <c r="V67" s="86"/>
      <c r="W67" s="86"/>
      <c r="X67" s="87"/>
      <c r="Y67" s="74"/>
    </row>
    <row r="68" spans="1:25" s="1" customFormat="1" ht="99" x14ac:dyDescent="0.35">
      <c r="B68" s="44">
        <v>64</v>
      </c>
      <c r="C68" s="50" t="s">
        <v>542</v>
      </c>
      <c r="D68" s="34" t="s">
        <v>97</v>
      </c>
      <c r="E68" s="46" t="s">
        <v>100</v>
      </c>
      <c r="F68" s="47" t="s">
        <v>403</v>
      </c>
      <c r="G68" s="48" t="s">
        <v>10</v>
      </c>
      <c r="H68" s="49" t="s">
        <v>219</v>
      </c>
      <c r="I68" s="50" t="s">
        <v>281</v>
      </c>
      <c r="J68" s="64"/>
      <c r="K68" s="51" t="s">
        <v>280</v>
      </c>
      <c r="L68" s="70" t="s">
        <v>553</v>
      </c>
      <c r="M68" s="71" t="s">
        <v>553</v>
      </c>
      <c r="N68" s="59" t="s">
        <v>24</v>
      </c>
      <c r="O68" s="54" t="s">
        <v>272</v>
      </c>
      <c r="P68" s="31" t="s">
        <v>128</v>
      </c>
      <c r="Q68" s="46"/>
      <c r="R68" s="66" t="s">
        <v>153</v>
      </c>
      <c r="S68" s="86" t="s">
        <v>175</v>
      </c>
      <c r="T68" s="86"/>
      <c r="U68" s="86"/>
      <c r="V68" s="86"/>
      <c r="W68" s="86"/>
      <c r="X68" s="87"/>
      <c r="Y68" s="74"/>
    </row>
    <row r="69" spans="1:25" s="1" customFormat="1" ht="99" x14ac:dyDescent="0.35">
      <c r="B69" s="44">
        <v>65</v>
      </c>
      <c r="C69" s="50" t="s">
        <v>542</v>
      </c>
      <c r="D69" s="34" t="s">
        <v>99</v>
      </c>
      <c r="E69" s="46" t="s">
        <v>101</v>
      </c>
      <c r="F69" s="47" t="s">
        <v>403</v>
      </c>
      <c r="G69" s="48" t="s">
        <v>10</v>
      </c>
      <c r="H69" s="49" t="s">
        <v>219</v>
      </c>
      <c r="I69" s="50" t="s">
        <v>281</v>
      </c>
      <c r="J69" s="64"/>
      <c r="K69" s="51" t="s">
        <v>280</v>
      </c>
      <c r="L69" s="70" t="s">
        <v>553</v>
      </c>
      <c r="M69" s="71" t="s">
        <v>553</v>
      </c>
      <c r="N69" s="59" t="s">
        <v>24</v>
      </c>
      <c r="O69" s="54" t="s">
        <v>272</v>
      </c>
      <c r="P69" s="31" t="s">
        <v>128</v>
      </c>
      <c r="Q69" s="46"/>
      <c r="R69" s="66" t="s">
        <v>153</v>
      </c>
      <c r="S69" s="86" t="s">
        <v>175</v>
      </c>
      <c r="T69" s="86"/>
      <c r="U69" s="86"/>
      <c r="V69" s="86"/>
      <c r="W69" s="86"/>
      <c r="X69" s="87"/>
      <c r="Y69" s="74"/>
    </row>
    <row r="70" spans="1:25" s="1" customFormat="1" ht="165" x14ac:dyDescent="0.35">
      <c r="B70" s="44">
        <v>66</v>
      </c>
      <c r="C70" s="50" t="s">
        <v>542</v>
      </c>
      <c r="D70" s="30" t="s">
        <v>66</v>
      </c>
      <c r="E70" s="79" t="s">
        <v>344</v>
      </c>
      <c r="F70" s="76" t="s">
        <v>402</v>
      </c>
      <c r="G70" s="48" t="s">
        <v>10</v>
      </c>
      <c r="H70" s="49" t="s">
        <v>219</v>
      </c>
      <c r="I70" s="50" t="s">
        <v>281</v>
      </c>
      <c r="J70" s="64"/>
      <c r="K70" s="51" t="s">
        <v>280</v>
      </c>
      <c r="L70" s="70" t="s">
        <v>553</v>
      </c>
      <c r="M70" s="71" t="s">
        <v>553</v>
      </c>
      <c r="N70" s="59" t="s">
        <v>24</v>
      </c>
      <c r="O70" s="54" t="s">
        <v>272</v>
      </c>
      <c r="P70" s="78"/>
      <c r="Q70" s="46"/>
      <c r="R70" s="66" t="s">
        <v>153</v>
      </c>
      <c r="S70" s="72"/>
      <c r="T70" s="72"/>
      <c r="U70" s="72"/>
      <c r="V70" s="72"/>
      <c r="W70" s="72"/>
      <c r="X70" s="73"/>
      <c r="Y70" s="74"/>
    </row>
    <row r="71" spans="1:25" s="1" customFormat="1" ht="165" x14ac:dyDescent="0.35">
      <c r="B71" s="44">
        <v>67</v>
      </c>
      <c r="C71" s="50" t="s">
        <v>542</v>
      </c>
      <c r="D71" s="30" t="s">
        <v>411</v>
      </c>
      <c r="E71" s="79" t="s">
        <v>343</v>
      </c>
      <c r="F71" s="76" t="s">
        <v>402</v>
      </c>
      <c r="G71" s="48" t="s">
        <v>10</v>
      </c>
      <c r="H71" s="49" t="s">
        <v>219</v>
      </c>
      <c r="I71" s="50" t="s">
        <v>281</v>
      </c>
      <c r="J71" s="64"/>
      <c r="K71" s="51" t="s">
        <v>280</v>
      </c>
      <c r="L71" s="70" t="s">
        <v>553</v>
      </c>
      <c r="M71" s="71" t="s">
        <v>553</v>
      </c>
      <c r="N71" s="59" t="s">
        <v>24</v>
      </c>
      <c r="O71" s="54" t="s">
        <v>270</v>
      </c>
      <c r="P71" s="78"/>
      <c r="Q71" s="46"/>
      <c r="R71" s="66" t="s">
        <v>153</v>
      </c>
      <c r="S71" s="72"/>
      <c r="T71" s="72"/>
      <c r="U71" s="72"/>
      <c r="V71" s="72"/>
      <c r="W71" s="72"/>
      <c r="X71" s="73"/>
      <c r="Y71" s="74"/>
    </row>
    <row r="72" spans="1:25" s="1" customFormat="1" ht="82.5" x14ac:dyDescent="0.35">
      <c r="B72" s="44">
        <v>68</v>
      </c>
      <c r="C72" s="44" t="s">
        <v>542</v>
      </c>
      <c r="D72" s="32" t="s">
        <v>67</v>
      </c>
      <c r="E72" s="69" t="s">
        <v>332</v>
      </c>
      <c r="F72" s="76" t="s">
        <v>402</v>
      </c>
      <c r="G72" s="90" t="s">
        <v>7</v>
      </c>
      <c r="H72" s="49" t="s">
        <v>219</v>
      </c>
      <c r="I72" s="50" t="s">
        <v>281</v>
      </c>
      <c r="J72" s="64"/>
      <c r="K72" s="51" t="s">
        <v>280</v>
      </c>
      <c r="L72" s="70" t="s">
        <v>553</v>
      </c>
      <c r="M72" s="71" t="s">
        <v>553</v>
      </c>
      <c r="N72" s="59" t="s">
        <v>118</v>
      </c>
      <c r="O72" s="54" t="s">
        <v>336</v>
      </c>
      <c r="P72" s="30"/>
      <c r="Q72" s="79"/>
      <c r="R72" s="66" t="s">
        <v>153</v>
      </c>
      <c r="S72" s="72"/>
      <c r="T72" s="72"/>
      <c r="U72" s="72"/>
      <c r="V72" s="72"/>
      <c r="W72" s="72"/>
      <c r="X72" s="73"/>
      <c r="Y72" s="74"/>
    </row>
    <row r="73" spans="1:25" s="1" customFormat="1" ht="115.5" x14ac:dyDescent="0.35">
      <c r="B73" s="44">
        <v>69</v>
      </c>
      <c r="C73" s="50" t="s">
        <v>542</v>
      </c>
      <c r="D73" s="34" t="s">
        <v>80</v>
      </c>
      <c r="E73" s="46" t="s">
        <v>127</v>
      </c>
      <c r="F73" s="47" t="s">
        <v>398</v>
      </c>
      <c r="G73" s="81" t="s">
        <v>10</v>
      </c>
      <c r="H73" s="95" t="s">
        <v>251</v>
      </c>
      <c r="I73" s="104" t="s">
        <v>281</v>
      </c>
      <c r="J73" s="108"/>
      <c r="K73" s="51" t="s">
        <v>280</v>
      </c>
      <c r="L73" s="64" t="s">
        <v>553</v>
      </c>
      <c r="M73" s="65" t="s">
        <v>553</v>
      </c>
      <c r="N73" s="112" t="s">
        <v>121</v>
      </c>
      <c r="O73" s="51" t="s">
        <v>272</v>
      </c>
      <c r="P73" s="34"/>
      <c r="Q73" s="79" t="s">
        <v>426</v>
      </c>
      <c r="R73" s="66" t="s">
        <v>153</v>
      </c>
      <c r="S73" s="105"/>
      <c r="T73" s="105"/>
      <c r="U73" s="105"/>
      <c r="V73" s="105"/>
      <c r="W73" s="105"/>
      <c r="X73" s="106"/>
      <c r="Y73" s="107"/>
    </row>
    <row r="74" spans="1:25" s="1" customFormat="1" ht="49.5" x14ac:dyDescent="0.35">
      <c r="A74" s="164" t="s">
        <v>552</v>
      </c>
      <c r="B74" s="44">
        <v>70</v>
      </c>
      <c r="C74" s="50" t="s">
        <v>542</v>
      </c>
      <c r="D74" s="30" t="s">
        <v>102</v>
      </c>
      <c r="E74" s="52" t="s">
        <v>304</v>
      </c>
      <c r="F74" s="47" t="s">
        <v>403</v>
      </c>
      <c r="G74" s="81" t="s">
        <v>217</v>
      </c>
      <c r="H74" s="49" t="s">
        <v>283</v>
      </c>
      <c r="I74" s="50" t="s">
        <v>368</v>
      </c>
      <c r="J74" s="108"/>
      <c r="K74" s="51" t="s">
        <v>280</v>
      </c>
      <c r="L74" s="64" t="s">
        <v>553</v>
      </c>
      <c r="M74" s="65" t="s">
        <v>553</v>
      </c>
      <c r="N74" s="59" t="s">
        <v>104</v>
      </c>
      <c r="O74" s="3" t="s">
        <v>272</v>
      </c>
      <c r="P74" s="30"/>
      <c r="Q74" s="52" t="s">
        <v>427</v>
      </c>
      <c r="R74" s="66" t="s">
        <v>153</v>
      </c>
      <c r="S74" s="86"/>
      <c r="T74" s="86" t="s">
        <v>173</v>
      </c>
      <c r="U74" s="86"/>
      <c r="V74" s="86"/>
      <c r="W74" s="86"/>
      <c r="X74" s="86"/>
      <c r="Y74" s="88"/>
    </row>
    <row r="75" spans="1:25" ht="82.5" x14ac:dyDescent="0.35">
      <c r="A75" s="164" t="s">
        <v>552</v>
      </c>
      <c r="B75" s="44">
        <v>71</v>
      </c>
      <c r="C75" s="50" t="s">
        <v>542</v>
      </c>
      <c r="D75" s="30" t="s">
        <v>103</v>
      </c>
      <c r="E75" s="52" t="s">
        <v>284</v>
      </c>
      <c r="F75" s="47" t="s">
        <v>403</v>
      </c>
      <c r="G75" s="48" t="s">
        <v>10</v>
      </c>
      <c r="H75" s="49" t="s">
        <v>285</v>
      </c>
      <c r="I75" s="50" t="s">
        <v>368</v>
      </c>
      <c r="J75" s="108"/>
      <c r="K75" s="51" t="s">
        <v>280</v>
      </c>
      <c r="L75" s="228" t="s">
        <v>591</v>
      </c>
      <c r="M75" s="65" t="s">
        <v>577</v>
      </c>
      <c r="N75" s="59" t="s">
        <v>104</v>
      </c>
      <c r="O75" s="3" t="s">
        <v>272</v>
      </c>
      <c r="P75" s="30"/>
      <c r="Q75" s="109" t="s">
        <v>428</v>
      </c>
      <c r="R75" s="66" t="s">
        <v>153</v>
      </c>
      <c r="S75" s="86"/>
      <c r="T75" s="86" t="s">
        <v>173</v>
      </c>
      <c r="U75" s="86"/>
      <c r="V75" s="86"/>
      <c r="W75" s="86"/>
      <c r="X75" s="86"/>
      <c r="Y75" s="88"/>
    </row>
    <row r="76" spans="1:25" s="6" customFormat="1" ht="99" x14ac:dyDescent="0.35">
      <c r="B76" s="44">
        <v>72</v>
      </c>
      <c r="C76" s="50" t="s">
        <v>542</v>
      </c>
      <c r="D76" s="34" t="s">
        <v>218</v>
      </c>
      <c r="E76" s="119" t="s">
        <v>303</v>
      </c>
      <c r="F76" s="47" t="s">
        <v>403</v>
      </c>
      <c r="G76" s="48" t="s">
        <v>10</v>
      </c>
      <c r="H76" s="95" t="s">
        <v>251</v>
      </c>
      <c r="I76" s="50" t="s">
        <v>281</v>
      </c>
      <c r="J76" s="108"/>
      <c r="K76" s="51" t="s">
        <v>280</v>
      </c>
      <c r="L76" s="223" t="s">
        <v>578</v>
      </c>
      <c r="M76" s="65" t="s">
        <v>577</v>
      </c>
      <c r="N76" s="59" t="s">
        <v>24</v>
      </c>
      <c r="O76" s="3" t="s">
        <v>272</v>
      </c>
      <c r="P76" s="120" t="s">
        <v>128</v>
      </c>
      <c r="Q76" s="46" t="s">
        <v>425</v>
      </c>
      <c r="R76" s="66" t="s">
        <v>153</v>
      </c>
      <c r="S76" s="86"/>
      <c r="T76" s="86" t="s">
        <v>173</v>
      </c>
      <c r="U76" s="86"/>
      <c r="V76" s="86"/>
      <c r="W76" s="86"/>
      <c r="X76" s="86"/>
      <c r="Y76" s="88"/>
    </row>
    <row r="77" spans="1:25" ht="49.5" x14ac:dyDescent="0.35">
      <c r="A77" s="164" t="s">
        <v>552</v>
      </c>
      <c r="B77" s="44">
        <v>73</v>
      </c>
      <c r="C77" s="50" t="s">
        <v>542</v>
      </c>
      <c r="D77" s="34" t="s">
        <v>239</v>
      </c>
      <c r="E77" s="52" t="s">
        <v>277</v>
      </c>
      <c r="F77" s="47" t="s">
        <v>403</v>
      </c>
      <c r="G77" s="81" t="s">
        <v>10</v>
      </c>
      <c r="H77" s="49" t="s">
        <v>247</v>
      </c>
      <c r="I77" s="50" t="s">
        <v>368</v>
      </c>
      <c r="J77" s="3"/>
      <c r="K77" s="51" t="s">
        <v>280</v>
      </c>
      <c r="L77" s="51" t="s">
        <v>592</v>
      </c>
      <c r="M77" s="65" t="s">
        <v>553</v>
      </c>
      <c r="N77" s="59" t="s">
        <v>321</v>
      </c>
      <c r="O77" s="3" t="s">
        <v>272</v>
      </c>
      <c r="P77" s="30"/>
      <c r="Q77" s="97" t="s">
        <v>424</v>
      </c>
      <c r="R77" s="66" t="s">
        <v>153</v>
      </c>
      <c r="S77" s="86" t="s">
        <v>170</v>
      </c>
      <c r="T77" s="86"/>
      <c r="U77" s="67" t="s">
        <v>243</v>
      </c>
      <c r="V77" s="86"/>
      <c r="W77" s="86"/>
      <c r="X77" s="87"/>
      <c r="Y77" s="110"/>
    </row>
    <row r="78" spans="1:25" ht="99" x14ac:dyDescent="0.35">
      <c r="A78" s="164" t="s">
        <v>552</v>
      </c>
      <c r="B78" s="44">
        <v>74</v>
      </c>
      <c r="C78" s="50" t="s">
        <v>542</v>
      </c>
      <c r="D78" s="34" t="s">
        <v>240</v>
      </c>
      <c r="E78" s="52" t="s">
        <v>333</v>
      </c>
      <c r="F78" s="47" t="s">
        <v>403</v>
      </c>
      <c r="G78" s="81" t="s">
        <v>236</v>
      </c>
      <c r="H78" s="49" t="s">
        <v>248</v>
      </c>
      <c r="I78" s="50" t="s">
        <v>368</v>
      </c>
      <c r="J78" s="3"/>
      <c r="K78" s="51" t="s">
        <v>280</v>
      </c>
      <c r="L78" s="223" t="s">
        <v>578</v>
      </c>
      <c r="M78" s="65" t="s">
        <v>577</v>
      </c>
      <c r="N78" s="59" t="s">
        <v>320</v>
      </c>
      <c r="O78" s="3" t="s">
        <v>272</v>
      </c>
      <c r="P78" s="30"/>
      <c r="Q78" s="97" t="s">
        <v>424</v>
      </c>
      <c r="R78" s="66" t="s">
        <v>153</v>
      </c>
      <c r="S78" s="86" t="s">
        <v>170</v>
      </c>
      <c r="T78" s="86"/>
      <c r="U78" s="67"/>
      <c r="V78" s="86"/>
      <c r="W78" s="86"/>
      <c r="X78" s="87"/>
      <c r="Y78" s="110"/>
    </row>
    <row r="79" spans="1:25" ht="132" x14ac:dyDescent="0.35">
      <c r="A79" s="164" t="s">
        <v>552</v>
      </c>
      <c r="B79" s="44">
        <v>75</v>
      </c>
      <c r="C79" s="50" t="s">
        <v>542</v>
      </c>
      <c r="D79" s="31" t="s">
        <v>125</v>
      </c>
      <c r="E79" s="46" t="s">
        <v>126</v>
      </c>
      <c r="F79" s="47" t="s">
        <v>403</v>
      </c>
      <c r="G79" s="81" t="s">
        <v>10</v>
      </c>
      <c r="H79" s="95" t="s">
        <v>251</v>
      </c>
      <c r="I79" s="50" t="s">
        <v>281</v>
      </c>
      <c r="J79" s="108"/>
      <c r="K79" s="51" t="s">
        <v>280</v>
      </c>
      <c r="L79" s="223" t="s">
        <v>579</v>
      </c>
      <c r="M79" s="65" t="s">
        <v>577</v>
      </c>
      <c r="N79" s="112" t="s">
        <v>121</v>
      </c>
      <c r="O79" s="51" t="s">
        <v>272</v>
      </c>
      <c r="P79" s="31"/>
      <c r="Q79" s="121" t="s">
        <v>429</v>
      </c>
      <c r="R79" s="66" t="s">
        <v>153</v>
      </c>
      <c r="S79" s="122"/>
      <c r="T79" s="122"/>
      <c r="U79" s="122"/>
      <c r="V79" s="122"/>
      <c r="W79" s="122"/>
      <c r="X79" s="123"/>
      <c r="Y79" s="124"/>
    </row>
    <row r="80" spans="1:25" ht="214.5" x14ac:dyDescent="0.35">
      <c r="B80" s="44">
        <v>76</v>
      </c>
      <c r="C80" s="50" t="s">
        <v>542</v>
      </c>
      <c r="D80" s="31" t="s">
        <v>293</v>
      </c>
      <c r="E80" s="52" t="s">
        <v>134</v>
      </c>
      <c r="F80" s="47" t="s">
        <v>403</v>
      </c>
      <c r="G80" s="48" t="s">
        <v>10</v>
      </c>
      <c r="H80" s="49" t="s">
        <v>219</v>
      </c>
      <c r="I80" s="50" t="s">
        <v>281</v>
      </c>
      <c r="J80" s="51" t="s">
        <v>417</v>
      </c>
      <c r="K80" s="51" t="s">
        <v>280</v>
      </c>
      <c r="L80" s="51" t="s">
        <v>580</v>
      </c>
      <c r="M80" s="65" t="s">
        <v>577</v>
      </c>
      <c r="N80" s="59" t="s">
        <v>140</v>
      </c>
      <c r="O80" s="3" t="s">
        <v>324</v>
      </c>
      <c r="P80" s="30"/>
      <c r="Q80" s="119"/>
      <c r="R80" s="66" t="s">
        <v>153</v>
      </c>
      <c r="S80" s="125"/>
      <c r="T80" s="125"/>
      <c r="U80" s="125"/>
      <c r="V80" s="125"/>
      <c r="W80" s="125"/>
      <c r="X80" s="126"/>
      <c r="Y80" s="110"/>
    </row>
    <row r="81" spans="1:25" ht="214.5" x14ac:dyDescent="0.35">
      <c r="B81" s="44">
        <v>77</v>
      </c>
      <c r="C81" s="50" t="s">
        <v>542</v>
      </c>
      <c r="D81" s="31" t="s">
        <v>294</v>
      </c>
      <c r="E81" s="52" t="s">
        <v>134</v>
      </c>
      <c r="F81" s="47" t="s">
        <v>403</v>
      </c>
      <c r="G81" s="48" t="s">
        <v>10</v>
      </c>
      <c r="H81" s="49" t="s">
        <v>219</v>
      </c>
      <c r="I81" s="50" t="s">
        <v>281</v>
      </c>
      <c r="J81" s="51" t="s">
        <v>417</v>
      </c>
      <c r="K81" s="51" t="s">
        <v>280</v>
      </c>
      <c r="L81" s="64" t="s">
        <v>553</v>
      </c>
      <c r="M81" s="65" t="s">
        <v>553</v>
      </c>
      <c r="N81" s="59" t="s">
        <v>140</v>
      </c>
      <c r="O81" s="3" t="s">
        <v>324</v>
      </c>
      <c r="P81" s="30"/>
      <c r="Q81" s="119"/>
      <c r="R81" s="66" t="s">
        <v>153</v>
      </c>
      <c r="S81" s="125"/>
      <c r="T81" s="125"/>
      <c r="U81" s="125"/>
      <c r="V81" s="125"/>
      <c r="W81" s="125"/>
      <c r="X81" s="126"/>
      <c r="Y81" s="110"/>
    </row>
    <row r="82" spans="1:25" ht="214.5" x14ac:dyDescent="0.35">
      <c r="B82" s="44">
        <v>78</v>
      </c>
      <c r="C82" s="50" t="s">
        <v>542</v>
      </c>
      <c r="D82" s="31" t="s">
        <v>295</v>
      </c>
      <c r="E82" s="52" t="s">
        <v>134</v>
      </c>
      <c r="F82" s="47" t="s">
        <v>403</v>
      </c>
      <c r="G82" s="48" t="s">
        <v>10</v>
      </c>
      <c r="H82" s="49" t="s">
        <v>219</v>
      </c>
      <c r="I82" s="50" t="s">
        <v>281</v>
      </c>
      <c r="J82" s="51" t="s">
        <v>417</v>
      </c>
      <c r="K82" s="51" t="s">
        <v>280</v>
      </c>
      <c r="L82" s="64" t="s">
        <v>553</v>
      </c>
      <c r="M82" s="65" t="s">
        <v>553</v>
      </c>
      <c r="N82" s="59" t="s">
        <v>140</v>
      </c>
      <c r="O82" s="3" t="s">
        <v>324</v>
      </c>
      <c r="P82" s="30"/>
      <c r="Q82" s="119"/>
      <c r="R82" s="66" t="s">
        <v>153</v>
      </c>
      <c r="S82" s="125"/>
      <c r="T82" s="125"/>
      <c r="U82" s="125"/>
      <c r="V82" s="125"/>
      <c r="W82" s="125"/>
      <c r="X82" s="126"/>
      <c r="Y82" s="110"/>
    </row>
    <row r="83" spans="1:25" ht="168" customHeight="1" x14ac:dyDescent="0.35">
      <c r="B83" s="44">
        <v>79</v>
      </c>
      <c r="C83" s="50" t="s">
        <v>542</v>
      </c>
      <c r="D83" s="31" t="s">
        <v>224</v>
      </c>
      <c r="E83" s="52" t="s">
        <v>302</v>
      </c>
      <c r="F83" s="76" t="s">
        <v>402</v>
      </c>
      <c r="G83" s="48" t="s">
        <v>7</v>
      </c>
      <c r="H83" s="95" t="s">
        <v>251</v>
      </c>
      <c r="I83" s="50" t="s">
        <v>368</v>
      </c>
      <c r="J83" s="3"/>
      <c r="K83" s="51" t="s">
        <v>280</v>
      </c>
      <c r="L83" s="64" t="s">
        <v>553</v>
      </c>
      <c r="M83" s="65" t="s">
        <v>553</v>
      </c>
      <c r="N83" s="91" t="s">
        <v>139</v>
      </c>
      <c r="O83" s="54" t="s">
        <v>325</v>
      </c>
      <c r="P83" s="30"/>
      <c r="Q83" s="52"/>
      <c r="R83" s="66" t="s">
        <v>153</v>
      </c>
      <c r="S83" s="122"/>
      <c r="T83" s="122"/>
      <c r="U83" s="122"/>
      <c r="V83" s="122"/>
      <c r="W83" s="122"/>
      <c r="X83" s="123"/>
      <c r="Y83" s="124"/>
    </row>
    <row r="84" spans="1:25" s="6" customFormat="1" ht="158.25" customHeight="1" x14ac:dyDescent="0.35">
      <c r="B84" s="44">
        <v>80</v>
      </c>
      <c r="C84" s="50" t="s">
        <v>542</v>
      </c>
      <c r="D84" s="31" t="s">
        <v>132</v>
      </c>
      <c r="E84" s="52" t="s">
        <v>135</v>
      </c>
      <c r="F84" s="47" t="s">
        <v>400</v>
      </c>
      <c r="G84" s="77" t="s">
        <v>223</v>
      </c>
      <c r="H84" s="95" t="s">
        <v>251</v>
      </c>
      <c r="I84" s="104" t="s">
        <v>281</v>
      </c>
      <c r="J84" s="3"/>
      <c r="K84" s="51" t="s">
        <v>280</v>
      </c>
      <c r="L84" s="51" t="s">
        <v>581</v>
      </c>
      <c r="M84" s="64" t="s">
        <v>596</v>
      </c>
      <c r="N84" s="59" t="s">
        <v>138</v>
      </c>
      <c r="O84" s="3" t="s">
        <v>265</v>
      </c>
      <c r="P84" s="30"/>
      <c r="Q84" s="46"/>
      <c r="R84" s="66" t="s">
        <v>153</v>
      </c>
      <c r="S84" s="127"/>
      <c r="T84" s="127"/>
      <c r="U84" s="127"/>
      <c r="V84" s="127"/>
      <c r="W84" s="127"/>
      <c r="X84" s="128"/>
      <c r="Y84" s="129"/>
    </row>
    <row r="85" spans="1:25" ht="160.5" customHeight="1" x14ac:dyDescent="0.35">
      <c r="B85" s="44">
        <v>81</v>
      </c>
      <c r="C85" s="50" t="s">
        <v>542</v>
      </c>
      <c r="D85" s="35" t="s">
        <v>133</v>
      </c>
      <c r="E85" s="130" t="s">
        <v>136</v>
      </c>
      <c r="F85" s="47" t="s">
        <v>400</v>
      </c>
      <c r="G85" s="131" t="s">
        <v>223</v>
      </c>
      <c r="H85" s="132" t="s">
        <v>251</v>
      </c>
      <c r="I85" s="104" t="s">
        <v>281</v>
      </c>
      <c r="J85" s="3"/>
      <c r="K85" s="133" t="s">
        <v>280</v>
      </c>
      <c r="L85" s="233" t="s">
        <v>553</v>
      </c>
      <c r="M85" s="234" t="s">
        <v>553</v>
      </c>
      <c r="N85" s="98" t="s">
        <v>138</v>
      </c>
      <c r="O85" s="134" t="s">
        <v>265</v>
      </c>
      <c r="P85" s="99"/>
      <c r="Q85" s="130"/>
      <c r="R85" s="135" t="s">
        <v>153</v>
      </c>
      <c r="S85" s="136"/>
      <c r="T85" s="136"/>
      <c r="U85" s="136"/>
      <c r="V85" s="136"/>
      <c r="W85" s="136"/>
      <c r="X85" s="137"/>
      <c r="Y85" s="138"/>
    </row>
    <row r="86" spans="1:25" ht="49.5" x14ac:dyDescent="0.35">
      <c r="B86" s="44">
        <v>82</v>
      </c>
      <c r="C86" s="50" t="s">
        <v>542</v>
      </c>
      <c r="D86" s="31" t="s">
        <v>335</v>
      </c>
      <c r="E86" s="52" t="s">
        <v>337</v>
      </c>
      <c r="F86" s="47" t="s">
        <v>414</v>
      </c>
      <c r="G86" s="48" t="s">
        <v>7</v>
      </c>
      <c r="H86" s="95"/>
      <c r="I86" s="104" t="s">
        <v>281</v>
      </c>
      <c r="J86" s="3"/>
      <c r="K86" s="51"/>
      <c r="L86" s="108" t="s">
        <v>553</v>
      </c>
      <c r="M86" s="109" t="s">
        <v>553</v>
      </c>
      <c r="N86" s="91" t="s">
        <v>322</v>
      </c>
      <c r="O86" s="54" t="s">
        <v>336</v>
      </c>
      <c r="P86" s="30"/>
      <c r="Q86" s="52"/>
      <c r="R86" s="66"/>
      <c r="S86" s="122"/>
      <c r="T86" s="122"/>
      <c r="U86" s="122"/>
      <c r="V86" s="122"/>
      <c r="W86" s="122"/>
      <c r="X86" s="123"/>
      <c r="Y86" s="124"/>
    </row>
    <row r="87" spans="1:25" ht="82.5" x14ac:dyDescent="0.35">
      <c r="A87" s="164" t="s">
        <v>552</v>
      </c>
      <c r="B87" s="44">
        <v>83</v>
      </c>
      <c r="C87" s="50" t="s">
        <v>542</v>
      </c>
      <c r="D87" s="31" t="s">
        <v>345</v>
      </c>
      <c r="E87" s="52" t="s">
        <v>349</v>
      </c>
      <c r="F87" s="76" t="s">
        <v>402</v>
      </c>
      <c r="G87" s="48" t="s">
        <v>7</v>
      </c>
      <c r="H87" s="95"/>
      <c r="I87" s="104" t="s">
        <v>281</v>
      </c>
      <c r="J87" s="3"/>
      <c r="K87" s="51"/>
      <c r="L87" s="51" t="s">
        <v>582</v>
      </c>
      <c r="M87" s="65" t="s">
        <v>553</v>
      </c>
      <c r="N87" s="91" t="s">
        <v>119</v>
      </c>
      <c r="O87" s="54" t="s">
        <v>270</v>
      </c>
      <c r="P87" s="30"/>
      <c r="Q87" s="52"/>
      <c r="R87" s="66"/>
      <c r="S87" s="122"/>
      <c r="T87" s="122"/>
      <c r="U87" s="122"/>
      <c r="V87" s="122"/>
      <c r="W87" s="122"/>
      <c r="X87" s="123"/>
      <c r="Y87" s="124"/>
    </row>
    <row r="88" spans="1:25" ht="82.5" x14ac:dyDescent="0.35">
      <c r="A88" s="164" t="s">
        <v>552</v>
      </c>
      <c r="B88" s="44">
        <v>84</v>
      </c>
      <c r="C88" s="50" t="s">
        <v>542</v>
      </c>
      <c r="D88" s="31" t="s">
        <v>346</v>
      </c>
      <c r="E88" s="52" t="s">
        <v>348</v>
      </c>
      <c r="F88" s="76" t="s">
        <v>402</v>
      </c>
      <c r="G88" s="48" t="s">
        <v>7</v>
      </c>
      <c r="H88" s="95" t="s">
        <v>347</v>
      </c>
      <c r="I88" s="104" t="s">
        <v>281</v>
      </c>
      <c r="J88" s="3"/>
      <c r="K88" s="51"/>
      <c r="L88" s="51" t="s">
        <v>583</v>
      </c>
      <c r="M88" s="65" t="s">
        <v>553</v>
      </c>
      <c r="N88" s="91" t="s">
        <v>119</v>
      </c>
      <c r="O88" s="54" t="s">
        <v>270</v>
      </c>
      <c r="P88" s="30"/>
      <c r="Q88" s="52"/>
      <c r="R88" s="66"/>
      <c r="S88" s="122"/>
      <c r="T88" s="122"/>
      <c r="U88" s="122"/>
      <c r="V88" s="122"/>
      <c r="W88" s="122"/>
      <c r="X88" s="123"/>
      <c r="Y88" s="124"/>
    </row>
    <row r="89" spans="1:25" s="1" customFormat="1" ht="66" x14ac:dyDescent="0.35">
      <c r="B89" s="44">
        <v>85</v>
      </c>
      <c r="C89" s="50" t="s">
        <v>542</v>
      </c>
      <c r="D89" s="30" t="s">
        <v>357</v>
      </c>
      <c r="E89" s="52" t="s">
        <v>360</v>
      </c>
      <c r="F89" s="47" t="s">
        <v>403</v>
      </c>
      <c r="G89" s="48" t="s">
        <v>10</v>
      </c>
      <c r="H89" s="49" t="s">
        <v>219</v>
      </c>
      <c r="I89" s="104" t="s">
        <v>281</v>
      </c>
      <c r="J89" s="51" t="s">
        <v>417</v>
      </c>
      <c r="K89" s="51" t="s">
        <v>280</v>
      </c>
      <c r="L89" s="70" t="s">
        <v>553</v>
      </c>
      <c r="M89" s="71" t="s">
        <v>553</v>
      </c>
      <c r="N89" s="59" t="s">
        <v>140</v>
      </c>
      <c r="O89" s="3" t="s">
        <v>324</v>
      </c>
      <c r="P89" s="31" t="s">
        <v>128</v>
      </c>
      <c r="Q89" s="46"/>
      <c r="R89" s="66"/>
      <c r="S89" s="72"/>
      <c r="T89" s="72"/>
      <c r="U89" s="72"/>
      <c r="V89" s="72"/>
      <c r="W89" s="72"/>
      <c r="X89" s="73"/>
      <c r="Y89" s="74"/>
    </row>
    <row r="90" spans="1:25" s="1" customFormat="1" ht="66" x14ac:dyDescent="0.35">
      <c r="B90" s="44">
        <v>86</v>
      </c>
      <c r="C90" s="50" t="s">
        <v>542</v>
      </c>
      <c r="D90" s="30" t="s">
        <v>358</v>
      </c>
      <c r="E90" s="52" t="s">
        <v>360</v>
      </c>
      <c r="F90" s="47" t="s">
        <v>403</v>
      </c>
      <c r="G90" s="48" t="s">
        <v>10</v>
      </c>
      <c r="H90" s="49" t="s">
        <v>219</v>
      </c>
      <c r="I90" s="104" t="s">
        <v>281</v>
      </c>
      <c r="J90" s="51" t="s">
        <v>417</v>
      </c>
      <c r="K90" s="51" t="s">
        <v>280</v>
      </c>
      <c r="L90" s="70" t="s">
        <v>553</v>
      </c>
      <c r="M90" s="71" t="s">
        <v>553</v>
      </c>
      <c r="N90" s="59" t="s">
        <v>140</v>
      </c>
      <c r="O90" s="3" t="s">
        <v>324</v>
      </c>
      <c r="P90" s="35" t="s">
        <v>128</v>
      </c>
      <c r="Q90" s="46"/>
      <c r="R90" s="66"/>
      <c r="S90" s="72"/>
      <c r="T90" s="72"/>
      <c r="U90" s="72"/>
      <c r="V90" s="72"/>
      <c r="W90" s="72"/>
      <c r="X90" s="73"/>
      <c r="Y90" s="74"/>
    </row>
    <row r="91" spans="1:25" s="1" customFormat="1" ht="66" x14ac:dyDescent="0.35">
      <c r="B91" s="44">
        <v>87</v>
      </c>
      <c r="C91" s="50" t="s">
        <v>542</v>
      </c>
      <c r="D91" s="30" t="s">
        <v>359</v>
      </c>
      <c r="E91" s="52" t="s">
        <v>360</v>
      </c>
      <c r="F91" s="47" t="s">
        <v>403</v>
      </c>
      <c r="G91" s="48" t="s">
        <v>10</v>
      </c>
      <c r="H91" s="49" t="s">
        <v>219</v>
      </c>
      <c r="I91" s="104" t="s">
        <v>281</v>
      </c>
      <c r="J91" s="51" t="s">
        <v>417</v>
      </c>
      <c r="K91" s="51" t="s">
        <v>280</v>
      </c>
      <c r="L91" s="70" t="s">
        <v>553</v>
      </c>
      <c r="M91" s="71" t="s">
        <v>553</v>
      </c>
      <c r="N91" s="59" t="s">
        <v>140</v>
      </c>
      <c r="O91" s="3" t="s">
        <v>324</v>
      </c>
      <c r="P91" s="3" t="s">
        <v>128</v>
      </c>
      <c r="Q91" s="46"/>
      <c r="R91" s="66"/>
      <c r="S91" s="72"/>
      <c r="T91" s="72"/>
      <c r="U91" s="72"/>
      <c r="V91" s="72"/>
      <c r="W91" s="72"/>
      <c r="X91" s="73"/>
      <c r="Y91" s="74"/>
    </row>
    <row r="92" spans="1:25" s="1" customFormat="1" ht="49.5" x14ac:dyDescent="0.35">
      <c r="B92" s="44">
        <v>88</v>
      </c>
      <c r="C92" s="50" t="s">
        <v>542</v>
      </c>
      <c r="D92" s="32" t="s">
        <v>38</v>
      </c>
      <c r="E92" s="52" t="s">
        <v>525</v>
      </c>
      <c r="F92" s="47" t="s">
        <v>403</v>
      </c>
      <c r="G92" s="90" t="s">
        <v>7</v>
      </c>
      <c r="H92" s="49" t="s">
        <v>219</v>
      </c>
      <c r="I92" s="50" t="s">
        <v>280</v>
      </c>
      <c r="J92" s="51" t="s">
        <v>417</v>
      </c>
      <c r="K92" s="51" t="s">
        <v>280</v>
      </c>
      <c r="L92" s="70" t="s">
        <v>553</v>
      </c>
      <c r="M92" s="71" t="s">
        <v>553</v>
      </c>
      <c r="N92" s="59" t="s">
        <v>140</v>
      </c>
      <c r="O92" s="3" t="s">
        <v>272</v>
      </c>
      <c r="P92" s="3" t="s">
        <v>128</v>
      </c>
      <c r="Q92" s="97" t="s">
        <v>528</v>
      </c>
      <c r="R92" s="66" t="s">
        <v>153</v>
      </c>
      <c r="S92" s="72"/>
      <c r="T92" s="72"/>
      <c r="U92" s="72"/>
      <c r="V92" s="72"/>
      <c r="W92" s="72"/>
      <c r="X92" s="73"/>
      <c r="Y92" s="74"/>
    </row>
    <row r="93" spans="1:25" s="1" customFormat="1" ht="49.5" x14ac:dyDescent="0.35">
      <c r="B93" s="44">
        <v>89</v>
      </c>
      <c r="C93" s="50" t="s">
        <v>542</v>
      </c>
      <c r="D93" s="32" t="s">
        <v>39</v>
      </c>
      <c r="E93" s="52" t="s">
        <v>526</v>
      </c>
      <c r="F93" s="47" t="s">
        <v>403</v>
      </c>
      <c r="G93" s="90" t="s">
        <v>7</v>
      </c>
      <c r="H93" s="49" t="s">
        <v>219</v>
      </c>
      <c r="I93" s="50" t="s">
        <v>280</v>
      </c>
      <c r="J93" s="51" t="s">
        <v>417</v>
      </c>
      <c r="K93" s="51" t="s">
        <v>280</v>
      </c>
      <c r="L93" s="70" t="s">
        <v>553</v>
      </c>
      <c r="M93" s="71" t="s">
        <v>553</v>
      </c>
      <c r="N93" s="59" t="s">
        <v>140</v>
      </c>
      <c r="O93" s="3" t="s">
        <v>272</v>
      </c>
      <c r="P93" s="3" t="s">
        <v>128</v>
      </c>
      <c r="Q93" s="97" t="s">
        <v>528</v>
      </c>
      <c r="R93" s="66" t="s">
        <v>153</v>
      </c>
      <c r="S93" s="72"/>
      <c r="T93" s="72"/>
      <c r="U93" s="72"/>
      <c r="V93" s="72"/>
      <c r="W93" s="72"/>
      <c r="X93" s="73"/>
      <c r="Y93" s="74"/>
    </row>
    <row r="94" spans="1:25" s="1" customFormat="1" ht="49.5" x14ac:dyDescent="0.35">
      <c r="B94" s="44">
        <v>90</v>
      </c>
      <c r="C94" s="50" t="s">
        <v>542</v>
      </c>
      <c r="D94" s="32" t="s">
        <v>40</v>
      </c>
      <c r="E94" s="52" t="s">
        <v>527</v>
      </c>
      <c r="F94" s="47" t="s">
        <v>403</v>
      </c>
      <c r="G94" s="90" t="s">
        <v>7</v>
      </c>
      <c r="H94" s="49" t="s">
        <v>219</v>
      </c>
      <c r="I94" s="50" t="s">
        <v>280</v>
      </c>
      <c r="J94" s="51" t="s">
        <v>417</v>
      </c>
      <c r="K94" s="51" t="s">
        <v>280</v>
      </c>
      <c r="L94" s="70" t="s">
        <v>553</v>
      </c>
      <c r="M94" s="71" t="s">
        <v>553</v>
      </c>
      <c r="N94" s="59" t="s">
        <v>140</v>
      </c>
      <c r="O94" s="3" t="s">
        <v>272</v>
      </c>
      <c r="P94" s="3" t="s">
        <v>128</v>
      </c>
      <c r="Q94" s="97" t="s">
        <v>528</v>
      </c>
      <c r="R94" s="66" t="s">
        <v>153</v>
      </c>
      <c r="S94" s="72"/>
      <c r="T94" s="72"/>
      <c r="U94" s="72"/>
      <c r="V94" s="72"/>
      <c r="W94" s="72"/>
      <c r="X94" s="73"/>
      <c r="Y94" s="74"/>
    </row>
    <row r="95" spans="1:25" s="161" customFormat="1" ht="148.5" x14ac:dyDescent="0.2">
      <c r="B95" s="44">
        <v>91</v>
      </c>
      <c r="C95" s="50" t="s">
        <v>542</v>
      </c>
      <c r="D95" s="31" t="s">
        <v>124</v>
      </c>
      <c r="E95" s="46" t="s">
        <v>529</v>
      </c>
      <c r="F95" s="47" t="s">
        <v>403</v>
      </c>
      <c r="G95" s="90" t="s">
        <v>10</v>
      </c>
      <c r="H95" s="95" t="s">
        <v>530</v>
      </c>
      <c r="I95" s="104" t="s">
        <v>281</v>
      </c>
      <c r="J95" s="3"/>
      <c r="K95" s="51" t="s">
        <v>280</v>
      </c>
      <c r="L95" s="51" t="s">
        <v>584</v>
      </c>
      <c r="M95" s="65" t="s">
        <v>553</v>
      </c>
      <c r="N95" s="162" t="s">
        <v>531</v>
      </c>
      <c r="O95" s="51" t="s">
        <v>272</v>
      </c>
      <c r="P95" s="31"/>
      <c r="Q95" s="52"/>
      <c r="R95" s="66" t="s">
        <v>153</v>
      </c>
      <c r="S95" s="64"/>
      <c r="T95" s="64"/>
      <c r="U95" s="64"/>
      <c r="V95" s="64"/>
      <c r="W95" s="64"/>
      <c r="X95" s="81"/>
      <c r="Y95" s="65"/>
    </row>
    <row r="96" spans="1:25" ht="33" x14ac:dyDescent="0.35">
      <c r="B96" s="44">
        <v>92</v>
      </c>
      <c r="C96" s="50" t="s">
        <v>542</v>
      </c>
      <c r="D96" s="30" t="s">
        <v>523</v>
      </c>
      <c r="E96" s="52" t="s">
        <v>533</v>
      </c>
      <c r="F96" s="76" t="s">
        <v>532</v>
      </c>
      <c r="G96" s="48" t="s">
        <v>7</v>
      </c>
      <c r="H96" s="49"/>
      <c r="I96" s="104" t="s">
        <v>281</v>
      </c>
      <c r="J96" s="70"/>
      <c r="K96" s="51" t="s">
        <v>280</v>
      </c>
      <c r="L96" s="70" t="s">
        <v>553</v>
      </c>
      <c r="M96" s="71" t="s">
        <v>553</v>
      </c>
      <c r="N96" s="59" t="s">
        <v>534</v>
      </c>
      <c r="O96" s="3" t="s">
        <v>535</v>
      </c>
      <c r="P96" s="31"/>
      <c r="Q96" s="46"/>
      <c r="R96" s="66"/>
      <c r="S96" s="72"/>
      <c r="T96" s="72"/>
      <c r="U96" s="72"/>
      <c r="V96" s="72"/>
      <c r="W96" s="72"/>
      <c r="X96" s="73"/>
      <c r="Y96" s="74"/>
    </row>
    <row r="97" spans="2:25" ht="82.5" x14ac:dyDescent="0.35">
      <c r="B97" s="44">
        <v>93</v>
      </c>
      <c r="C97" s="50" t="s">
        <v>542</v>
      </c>
      <c r="D97" s="30" t="s">
        <v>434</v>
      </c>
      <c r="E97" s="52" t="s">
        <v>536</v>
      </c>
      <c r="F97" s="76" t="s">
        <v>402</v>
      </c>
      <c r="G97" s="48" t="s">
        <v>10</v>
      </c>
      <c r="H97" s="49"/>
      <c r="I97" s="104" t="s">
        <v>281</v>
      </c>
      <c r="J97" s="70"/>
      <c r="K97" s="51" t="s">
        <v>280</v>
      </c>
      <c r="L97" s="51" t="s">
        <v>593</v>
      </c>
      <c r="M97" s="65" t="s">
        <v>553</v>
      </c>
      <c r="N97" s="59" t="s">
        <v>537</v>
      </c>
      <c r="O97" s="3" t="s">
        <v>325</v>
      </c>
      <c r="P97" s="31"/>
      <c r="Q97" s="46"/>
      <c r="R97" s="66"/>
      <c r="S97" s="72"/>
      <c r="T97" s="72"/>
      <c r="U97" s="72"/>
      <c r="V97" s="72"/>
      <c r="W97" s="72"/>
      <c r="X97" s="73"/>
      <c r="Y97" s="74"/>
    </row>
    <row r="98" spans="2:25" ht="115.5" x14ac:dyDescent="0.35">
      <c r="B98" s="44">
        <v>94</v>
      </c>
      <c r="C98" s="50" t="s">
        <v>542</v>
      </c>
      <c r="D98" s="30" t="s">
        <v>538</v>
      </c>
      <c r="E98" s="52" t="s">
        <v>539</v>
      </c>
      <c r="F98" s="76" t="s">
        <v>532</v>
      </c>
      <c r="G98" s="48" t="s">
        <v>10</v>
      </c>
      <c r="H98" s="49"/>
      <c r="I98" s="104" t="s">
        <v>281</v>
      </c>
      <c r="J98" s="70"/>
      <c r="K98" s="51" t="s">
        <v>280</v>
      </c>
      <c r="L98" s="70" t="s">
        <v>553</v>
      </c>
      <c r="M98" s="71" t="s">
        <v>553</v>
      </c>
      <c r="N98" s="59" t="s">
        <v>140</v>
      </c>
      <c r="O98" s="3" t="s">
        <v>324</v>
      </c>
      <c r="P98" s="31" t="s">
        <v>128</v>
      </c>
      <c r="Q98" s="46"/>
      <c r="R98" s="66"/>
      <c r="S98" s="72"/>
      <c r="T98" s="72"/>
      <c r="U98" s="72"/>
      <c r="V98" s="72"/>
      <c r="W98" s="72"/>
      <c r="X98" s="73"/>
      <c r="Y98" s="74"/>
    </row>
    <row r="99" spans="2:25" ht="66" x14ac:dyDescent="0.35">
      <c r="B99" s="44">
        <v>95</v>
      </c>
      <c r="C99" s="50" t="s">
        <v>542</v>
      </c>
      <c r="D99" s="30" t="s">
        <v>524</v>
      </c>
      <c r="E99" s="52" t="s">
        <v>540</v>
      </c>
      <c r="F99" s="76" t="s">
        <v>532</v>
      </c>
      <c r="G99" s="48" t="s">
        <v>7</v>
      </c>
      <c r="H99" s="49"/>
      <c r="I99" s="104" t="s">
        <v>281</v>
      </c>
      <c r="J99" s="70"/>
      <c r="K99" s="51" t="s">
        <v>280</v>
      </c>
      <c r="L99" s="70" t="s">
        <v>553</v>
      </c>
      <c r="M99" s="71" t="s">
        <v>553</v>
      </c>
      <c r="N99" s="59" t="s">
        <v>534</v>
      </c>
      <c r="O99" s="3" t="s">
        <v>535</v>
      </c>
      <c r="P99" s="31"/>
      <c r="Q99" s="46"/>
      <c r="R99" s="66"/>
      <c r="S99" s="72"/>
      <c r="T99" s="72"/>
      <c r="U99" s="72"/>
      <c r="V99" s="72"/>
      <c r="W99" s="72"/>
      <c r="X99" s="73"/>
      <c r="Y99" s="74"/>
    </row>
  </sheetData>
  <autoFilter ref="L4:M99"/>
  <mergeCells count="37">
    <mergeCell ref="L3:M3"/>
    <mergeCell ref="B3:B4"/>
    <mergeCell ref="B1:B2"/>
    <mergeCell ref="S3:S4"/>
    <mergeCell ref="R2:R4"/>
    <mergeCell ref="I3:I4"/>
    <mergeCell ref="D1:E2"/>
    <mergeCell ref="N1:Q2"/>
    <mergeCell ref="F1:G2"/>
    <mergeCell ref="G3:G4"/>
    <mergeCell ref="P3:P4"/>
    <mergeCell ref="O3:O4"/>
    <mergeCell ref="N3:N4"/>
    <mergeCell ref="F3:F4"/>
    <mergeCell ref="Q3:Q4"/>
    <mergeCell ref="C3:C4"/>
    <mergeCell ref="T3:T4"/>
    <mergeCell ref="X3:X4"/>
    <mergeCell ref="W3:W4"/>
    <mergeCell ref="V3:V4"/>
    <mergeCell ref="U3:U4"/>
    <mergeCell ref="E16"/>
    <mergeCell ref="D3:D4"/>
    <mergeCell ref="E3:E4"/>
    <mergeCell ref="R5:R7"/>
    <mergeCell ref="H1:M2"/>
    <mergeCell ref="R1:Y1"/>
    <mergeCell ref="S2:V2"/>
    <mergeCell ref="Y5:Y7"/>
    <mergeCell ref="U5:U7"/>
    <mergeCell ref="T5:T7"/>
    <mergeCell ref="S5:S7"/>
    <mergeCell ref="W2:X2"/>
    <mergeCell ref="H3:H4"/>
    <mergeCell ref="J3:J4"/>
    <mergeCell ref="K3:K4"/>
    <mergeCell ref="Y2:Y4"/>
  </mergeCells>
  <pageMargins left="0.7" right="0.7" top="0.75" bottom="0.75" header="0.3" footer="0.3"/>
  <pageSetup paperSize="9" orientation="portrait" r:id="rId1"/>
  <headerFooter>
    <oddHeader>&amp;L&amp;"Calibri"&amp;10&amp;K000000Confidential&amp;1#</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8"/>
  <sheetViews>
    <sheetView workbookViewId="0">
      <selection activeCell="B3" sqref="B3"/>
    </sheetView>
  </sheetViews>
  <sheetFormatPr defaultColWidth="8.75" defaultRowHeight="14.25" x14ac:dyDescent="0.2"/>
  <cols>
    <col min="2" max="2" width="35.75" customWidth="1"/>
  </cols>
  <sheetData>
    <row r="2" spans="2:2" ht="16.5" x14ac:dyDescent="0.2">
      <c r="B2" s="40" t="s">
        <v>398</v>
      </c>
    </row>
    <row r="3" spans="2:2" ht="16.5" x14ac:dyDescent="0.2">
      <c r="B3" s="40" t="s">
        <v>400</v>
      </c>
    </row>
    <row r="4" spans="2:2" ht="16.5" x14ac:dyDescent="0.2">
      <c r="B4" s="40" t="s">
        <v>401</v>
      </c>
    </row>
    <row r="5" spans="2:2" ht="16.5" x14ac:dyDescent="0.2">
      <c r="B5" s="42" t="s">
        <v>402</v>
      </c>
    </row>
    <row r="6" spans="2:2" ht="16.5" x14ac:dyDescent="0.2">
      <c r="B6" s="40" t="s">
        <v>403</v>
      </c>
    </row>
    <row r="7" spans="2:2" ht="16.5" x14ac:dyDescent="0.2">
      <c r="B7" s="40" t="s">
        <v>408</v>
      </c>
    </row>
    <row r="8" spans="2:2" ht="16.5" x14ac:dyDescent="0.2">
      <c r="B8" s="40" t="s">
        <v>399</v>
      </c>
    </row>
  </sheetData>
  <pageMargins left="0.7" right="0.7" top="0.75" bottom="0.75" header="0.3" footer="0.3"/>
  <pageSetup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2"/>
  <sheetViews>
    <sheetView showGridLines="0" workbookViewId="0"/>
  </sheetViews>
  <sheetFormatPr defaultColWidth="8.75" defaultRowHeight="14.25" x14ac:dyDescent="0.2"/>
  <cols>
    <col min="2" max="2" width="33.75" bestFit="1" customWidth="1"/>
    <col min="3" max="3" width="40.125" customWidth="1"/>
  </cols>
  <sheetData>
    <row r="2" spans="2:3" ht="18.75" x14ac:dyDescent="0.2">
      <c r="B2" s="222" t="s">
        <v>374</v>
      </c>
      <c r="C2" s="222"/>
    </row>
    <row r="3" spans="2:3" ht="18.75" x14ac:dyDescent="0.2">
      <c r="B3" s="25" t="s">
        <v>342</v>
      </c>
      <c r="C3" s="26" t="s">
        <v>363</v>
      </c>
    </row>
    <row r="4" spans="2:3" ht="16.5" x14ac:dyDescent="0.2">
      <c r="B4" s="27" t="s">
        <v>56</v>
      </c>
      <c r="C4" s="3" t="s">
        <v>373</v>
      </c>
    </row>
    <row r="5" spans="2:3" ht="16.5" x14ac:dyDescent="0.2">
      <c r="B5" s="27" t="s">
        <v>57</v>
      </c>
      <c r="C5" s="3" t="s">
        <v>373</v>
      </c>
    </row>
    <row r="6" spans="2:3" ht="16.5" x14ac:dyDescent="0.2">
      <c r="B6" s="27" t="s">
        <v>58</v>
      </c>
      <c r="C6" s="3" t="s">
        <v>373</v>
      </c>
    </row>
    <row r="7" spans="2:3" ht="16.5" x14ac:dyDescent="0.2">
      <c r="B7" s="27" t="s">
        <v>95</v>
      </c>
      <c r="C7" s="3" t="s">
        <v>373</v>
      </c>
    </row>
    <row r="8" spans="2:3" ht="16.5" x14ac:dyDescent="0.2">
      <c r="B8" s="27" t="s">
        <v>96</v>
      </c>
      <c r="C8" s="3" t="s">
        <v>373</v>
      </c>
    </row>
    <row r="9" spans="2:3" ht="16.5" x14ac:dyDescent="0.2">
      <c r="B9" s="27" t="s">
        <v>59</v>
      </c>
      <c r="C9" s="3" t="s">
        <v>373</v>
      </c>
    </row>
    <row r="10" spans="2:3" ht="16.5" x14ac:dyDescent="0.2">
      <c r="B10" s="27" t="s">
        <v>60</v>
      </c>
      <c r="C10" s="3" t="s">
        <v>373</v>
      </c>
    </row>
    <row r="11" spans="2:3" ht="16.5" x14ac:dyDescent="0.2">
      <c r="B11" s="27" t="s">
        <v>61</v>
      </c>
      <c r="C11" s="3" t="s">
        <v>373</v>
      </c>
    </row>
    <row r="12" spans="2:3" ht="16.5" x14ac:dyDescent="0.2">
      <c r="B12" s="27" t="s">
        <v>62</v>
      </c>
      <c r="C12" s="3" t="s">
        <v>373</v>
      </c>
    </row>
    <row r="13" spans="2:3" ht="16.5" x14ac:dyDescent="0.2">
      <c r="B13" s="27" t="s">
        <v>63</v>
      </c>
      <c r="C13" s="3" t="s">
        <v>373</v>
      </c>
    </row>
    <row r="14" spans="2:3" ht="16.5" x14ac:dyDescent="0.2">
      <c r="B14" s="36" t="s">
        <v>8</v>
      </c>
      <c r="C14" s="3" t="s">
        <v>384</v>
      </c>
    </row>
    <row r="15" spans="2:3" ht="16.5" x14ac:dyDescent="0.2">
      <c r="B15" s="27" t="s">
        <v>380</v>
      </c>
      <c r="C15" s="3" t="s">
        <v>381</v>
      </c>
    </row>
    <row r="16" spans="2:3" ht="16.5" x14ac:dyDescent="0.2">
      <c r="B16" s="36" t="s">
        <v>319</v>
      </c>
      <c r="C16" s="3" t="s">
        <v>386</v>
      </c>
    </row>
    <row r="17" spans="2:3" ht="16.5" x14ac:dyDescent="0.2">
      <c r="B17" s="36" t="s">
        <v>253</v>
      </c>
      <c r="C17" s="3" t="s">
        <v>386</v>
      </c>
    </row>
    <row r="18" spans="2:3" ht="16.5" x14ac:dyDescent="0.2">
      <c r="B18" s="36" t="s">
        <v>354</v>
      </c>
      <c r="C18" s="3" t="s">
        <v>387</v>
      </c>
    </row>
    <row r="19" spans="2:3" ht="16.5" x14ac:dyDescent="0.2">
      <c r="B19" s="36" t="s">
        <v>355</v>
      </c>
      <c r="C19" s="3" t="s">
        <v>387</v>
      </c>
    </row>
    <row r="20" spans="2:3" ht="16.5" x14ac:dyDescent="0.2">
      <c r="B20" s="36" t="s">
        <v>356</v>
      </c>
      <c r="C20" s="3" t="s">
        <v>387</v>
      </c>
    </row>
    <row r="21" spans="2:3" ht="16.5" x14ac:dyDescent="0.2">
      <c r="B21" s="36" t="s">
        <v>389</v>
      </c>
      <c r="C21" s="3" t="s">
        <v>390</v>
      </c>
    </row>
    <row r="22" spans="2:3" ht="16.5" x14ac:dyDescent="0.2">
      <c r="B22" s="36" t="s">
        <v>35</v>
      </c>
      <c r="C22" s="3" t="s">
        <v>393</v>
      </c>
    </row>
    <row r="23" spans="2:3" ht="16.5" x14ac:dyDescent="0.2">
      <c r="B23" s="36" t="s">
        <v>36</v>
      </c>
      <c r="C23" s="3" t="s">
        <v>393</v>
      </c>
    </row>
    <row r="24" spans="2:3" ht="16.5" x14ac:dyDescent="0.2">
      <c r="B24" s="36" t="s">
        <v>67</v>
      </c>
      <c r="C24" s="3" t="s">
        <v>396</v>
      </c>
    </row>
    <row r="25" spans="2:3" ht="16.5" x14ac:dyDescent="0.2">
      <c r="B25" s="41" t="s">
        <v>404</v>
      </c>
      <c r="C25" s="3" t="s">
        <v>405</v>
      </c>
    </row>
    <row r="26" spans="2:3" ht="33" x14ac:dyDescent="0.2">
      <c r="B26" s="27" t="s">
        <v>406</v>
      </c>
      <c r="C26" s="3" t="s">
        <v>407</v>
      </c>
    </row>
    <row r="27" spans="2:3" ht="16.5" x14ac:dyDescent="0.2">
      <c r="B27" s="41" t="s">
        <v>282</v>
      </c>
      <c r="C27" s="3" t="s">
        <v>409</v>
      </c>
    </row>
    <row r="28" spans="2:3" ht="33" x14ac:dyDescent="0.2">
      <c r="B28" s="27" t="s">
        <v>208</v>
      </c>
      <c r="C28" s="3" t="s">
        <v>410</v>
      </c>
    </row>
    <row r="29" spans="2:3" ht="33" x14ac:dyDescent="0.2">
      <c r="B29" s="27" t="s">
        <v>209</v>
      </c>
      <c r="C29" s="3" t="s">
        <v>410</v>
      </c>
    </row>
    <row r="30" spans="2:3" ht="33" x14ac:dyDescent="0.2">
      <c r="B30" s="27" t="s">
        <v>210</v>
      </c>
      <c r="C30" s="3" t="s">
        <v>410</v>
      </c>
    </row>
    <row r="31" spans="2:3" ht="33" x14ac:dyDescent="0.2">
      <c r="B31" s="27" t="s">
        <v>211</v>
      </c>
      <c r="C31" s="3" t="s">
        <v>410</v>
      </c>
    </row>
    <row r="32" spans="2:3" ht="33" x14ac:dyDescent="0.2">
      <c r="B32" s="27" t="s">
        <v>212</v>
      </c>
      <c r="C32" s="3" t="s">
        <v>410</v>
      </c>
    </row>
    <row r="33" spans="2:3" ht="16.5" x14ac:dyDescent="0.2">
      <c r="B33" s="41" t="s">
        <v>137</v>
      </c>
      <c r="C33" s="3" t="s">
        <v>409</v>
      </c>
    </row>
    <row r="34" spans="2:3" ht="16.5" x14ac:dyDescent="0.2">
      <c r="B34" s="43" t="s">
        <v>312</v>
      </c>
      <c r="C34" s="3" t="s">
        <v>430</v>
      </c>
    </row>
    <row r="35" spans="2:3" ht="16.5" x14ac:dyDescent="0.2">
      <c r="B35" s="43" t="s">
        <v>98</v>
      </c>
      <c r="C35" s="3" t="s">
        <v>430</v>
      </c>
    </row>
    <row r="36" spans="2:3" ht="16.5" x14ac:dyDescent="0.2">
      <c r="B36" s="36" t="s">
        <v>523</v>
      </c>
      <c r="C36" s="160" t="s">
        <v>378</v>
      </c>
    </row>
    <row r="37" spans="2:3" ht="16.5" x14ac:dyDescent="0.2">
      <c r="B37" s="36" t="s">
        <v>524</v>
      </c>
      <c r="C37" s="160" t="s">
        <v>378</v>
      </c>
    </row>
    <row r="38" spans="2:3" ht="16.5" x14ac:dyDescent="0.2">
      <c r="B38" s="36" t="s">
        <v>434</v>
      </c>
      <c r="C38" s="160" t="s">
        <v>378</v>
      </c>
    </row>
    <row r="39" spans="2:3" ht="16.5" x14ac:dyDescent="0.2">
      <c r="B39" s="36" t="s">
        <v>538</v>
      </c>
      <c r="C39" s="160" t="s">
        <v>378</v>
      </c>
    </row>
    <row r="40" spans="2:3" ht="33" x14ac:dyDescent="0.2">
      <c r="B40" s="43" t="s">
        <v>375</v>
      </c>
      <c r="C40" s="160" t="s">
        <v>548</v>
      </c>
    </row>
    <row r="41" spans="2:3" ht="33" x14ac:dyDescent="0.2">
      <c r="B41" s="43" t="s">
        <v>376</v>
      </c>
      <c r="C41" s="160" t="s">
        <v>549</v>
      </c>
    </row>
    <row r="42" spans="2:3" ht="33" x14ac:dyDescent="0.2">
      <c r="B42" s="43" t="s">
        <v>377</v>
      </c>
      <c r="C42" s="160" t="s">
        <v>550</v>
      </c>
    </row>
  </sheetData>
  <mergeCells count="1">
    <mergeCell ref="B2:C2"/>
  </mergeCells>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95"/>
  <sheetViews>
    <sheetView showGridLines="0" topLeftCell="A2" workbookViewId="0">
      <selection activeCell="B2" sqref="B2"/>
    </sheetView>
  </sheetViews>
  <sheetFormatPr defaultColWidth="8.75" defaultRowHeight="14.25" x14ac:dyDescent="0.2"/>
  <cols>
    <col min="5" max="5" width="29.25" customWidth="1"/>
  </cols>
  <sheetData>
    <row r="2" spans="2:5" ht="37.15" customHeight="1" x14ac:dyDescent="0.2">
      <c r="B2" s="38" t="s">
        <v>518</v>
      </c>
      <c r="C2" s="38" t="s">
        <v>416</v>
      </c>
      <c r="D2" s="37" t="s">
        <v>370</v>
      </c>
      <c r="E2" s="39" t="s">
        <v>70</v>
      </c>
    </row>
    <row r="3" spans="2:5" ht="16.5" x14ac:dyDescent="0.35">
      <c r="B3" s="1" t="e">
        <f>+VLOOKUP(E3,'3) Todos satelites '!$C$6:$F$58,4,0)</f>
        <v>#N/A</v>
      </c>
      <c r="C3" s="44">
        <v>1</v>
      </c>
      <c r="D3" s="45"/>
      <c r="E3" s="30" t="s">
        <v>89</v>
      </c>
    </row>
    <row r="4" spans="2:5" ht="16.5" x14ac:dyDescent="0.35">
      <c r="B4" s="1" t="e">
        <f>+VLOOKUP(E4,'3) Todos satelites '!$C$6:$F$58,4,0)</f>
        <v>#N/A</v>
      </c>
      <c r="C4" s="44">
        <v>2</v>
      </c>
      <c r="D4" s="45"/>
      <c r="E4" s="30" t="s">
        <v>90</v>
      </c>
    </row>
    <row r="5" spans="2:5" ht="16.5" x14ac:dyDescent="0.35">
      <c r="B5" s="1" t="e">
        <f>+VLOOKUP(E5,'3) Todos satelites '!$C$6:$F$58,4,0)</f>
        <v>#N/A</v>
      </c>
      <c r="C5" s="44">
        <v>3</v>
      </c>
      <c r="D5" s="45"/>
      <c r="E5" s="30" t="s">
        <v>91</v>
      </c>
    </row>
    <row r="6" spans="2:5" ht="16.5" x14ac:dyDescent="0.35">
      <c r="B6" s="1" t="e">
        <f>+VLOOKUP(E6,'3) Todos satelites '!$C$6:$F$58,4,0)</f>
        <v>#N/A</v>
      </c>
      <c r="C6" s="44">
        <v>4</v>
      </c>
      <c r="D6" s="45"/>
      <c r="E6" s="31" t="s">
        <v>263</v>
      </c>
    </row>
    <row r="7" spans="2:5" ht="16.5" x14ac:dyDescent="0.35">
      <c r="B7" s="1" t="e">
        <f>+VLOOKUP(E7,'3) Todos satelites '!$C$6:$F$58,4,0)</f>
        <v>#N/A</v>
      </c>
      <c r="C7" s="44">
        <v>5</v>
      </c>
      <c r="D7" s="45"/>
      <c r="E7" s="31" t="s">
        <v>318</v>
      </c>
    </row>
    <row r="8" spans="2:5" ht="99" x14ac:dyDescent="0.35">
      <c r="B8" s="1" t="e">
        <f>+VLOOKUP(E8,'3) Todos satelites '!$C$6:$F$58,4,0)</f>
        <v>#N/A</v>
      </c>
      <c r="C8" s="44">
        <v>6</v>
      </c>
      <c r="D8" s="45" t="s">
        <v>371</v>
      </c>
      <c r="E8" s="31" t="s">
        <v>264</v>
      </c>
    </row>
    <row r="9" spans="2:5" ht="16.5" x14ac:dyDescent="0.35">
      <c r="B9" s="1" t="str">
        <f>+VLOOKUP(E9,'3) Todos satelites '!$C$6:$F$58,4,0)</f>
        <v>EPCL</v>
      </c>
      <c r="C9" s="44">
        <v>7</v>
      </c>
      <c r="D9" s="45"/>
      <c r="E9" s="32" t="s">
        <v>83</v>
      </c>
    </row>
    <row r="10" spans="2:5" ht="16.5" x14ac:dyDescent="0.35">
      <c r="B10" s="1" t="str">
        <f>+VLOOKUP(E10,'3) Todos satelites '!$C$6:$F$58,4,0)</f>
        <v>EPSC</v>
      </c>
      <c r="C10" s="44">
        <v>8</v>
      </c>
      <c r="D10" s="45"/>
      <c r="E10" s="32" t="s">
        <v>323</v>
      </c>
    </row>
    <row r="11" spans="2:5" ht="16.5" x14ac:dyDescent="0.35">
      <c r="B11" s="1" t="e">
        <f>+VLOOKUP(E11,'3) Todos satelites '!$C$6:$F$58,4,0)</f>
        <v>#N/A</v>
      </c>
      <c r="C11" s="44">
        <v>9</v>
      </c>
      <c r="D11" s="45"/>
      <c r="E11" s="33" t="s">
        <v>328</v>
      </c>
    </row>
    <row r="12" spans="2:5" ht="16.5" x14ac:dyDescent="0.35">
      <c r="B12" s="1" t="e">
        <f>+VLOOKUP(E12,'3) Todos satelites '!$C$6:$F$58,4,0)</f>
        <v>#N/A</v>
      </c>
      <c r="C12" s="44">
        <v>10</v>
      </c>
      <c r="D12" s="45"/>
      <c r="E12" s="33" t="s">
        <v>329</v>
      </c>
    </row>
    <row r="13" spans="2:5" ht="231" x14ac:dyDescent="0.35">
      <c r="B13" s="1" t="e">
        <f>+VLOOKUP(E13,'3) Todos satelites '!$C$6:$F$58,4,0)</f>
        <v>#N/A</v>
      </c>
      <c r="C13" s="44">
        <v>11</v>
      </c>
      <c r="D13" s="45" t="s">
        <v>372</v>
      </c>
      <c r="E13" s="30" t="s">
        <v>105</v>
      </c>
    </row>
    <row r="14" spans="2:5" ht="16.5" x14ac:dyDescent="0.35">
      <c r="B14" s="1" t="e">
        <f>+VLOOKUP(E14,'3) Todos satelites '!$C$6:$F$58,4,0)</f>
        <v>#N/A</v>
      </c>
      <c r="C14" s="44">
        <v>12</v>
      </c>
      <c r="D14" s="45"/>
      <c r="E14" s="30" t="s">
        <v>79</v>
      </c>
    </row>
    <row r="15" spans="2:5" ht="16.5" x14ac:dyDescent="0.35">
      <c r="B15" s="1" t="e">
        <f>+VLOOKUP(E15,'3) Todos satelites '!$C$6:$F$58,4,0)</f>
        <v>#N/A</v>
      </c>
      <c r="C15" s="44">
        <v>13</v>
      </c>
      <c r="D15" s="45"/>
      <c r="E15" s="32" t="s">
        <v>8</v>
      </c>
    </row>
    <row r="16" spans="2:5" ht="16.5" x14ac:dyDescent="0.35">
      <c r="B16" s="1" t="e">
        <f>+VLOOKUP(E16,'3) Todos satelites '!$C$6:$F$58,4,0)</f>
        <v>#N/A</v>
      </c>
      <c r="C16" s="44">
        <v>14</v>
      </c>
      <c r="D16" s="84"/>
      <c r="E16" s="30" t="s">
        <v>14</v>
      </c>
    </row>
    <row r="17" spans="2:5" ht="16.5" x14ac:dyDescent="0.35">
      <c r="B17" s="1" t="str">
        <f>+VLOOKUP(E17,'3) Todos satelites '!$C$6:$F$58,4,0)</f>
        <v>NACE</v>
      </c>
      <c r="C17" s="44">
        <v>15</v>
      </c>
      <c r="D17" s="84"/>
      <c r="E17" s="30" t="s">
        <v>129</v>
      </c>
    </row>
    <row r="18" spans="2:5" ht="16.5" x14ac:dyDescent="0.35">
      <c r="B18" s="1" t="e">
        <f>+VLOOKUP(E18,'3) Todos satelites '!$C$6:$F$58,4,0)</f>
        <v>#N/A</v>
      </c>
      <c r="C18" s="44">
        <v>16</v>
      </c>
      <c r="D18" s="45"/>
      <c r="E18" s="30" t="s">
        <v>16</v>
      </c>
    </row>
    <row r="19" spans="2:5" ht="16.5" x14ac:dyDescent="0.35">
      <c r="B19" s="1" t="e">
        <f>+VLOOKUP(E19,'3) Todos satelites '!$C$6:$F$58,4,0)</f>
        <v>#N/A</v>
      </c>
      <c r="C19" s="44">
        <v>17</v>
      </c>
      <c r="D19" s="45"/>
      <c r="E19" s="30" t="s">
        <v>19</v>
      </c>
    </row>
    <row r="20" spans="2:5" ht="16.5" x14ac:dyDescent="0.35">
      <c r="B20" s="1" t="e">
        <f>+VLOOKUP(E20,'3) Todos satelites '!$C$6:$F$58,4,0)</f>
        <v>#N/A</v>
      </c>
      <c r="C20" s="44">
        <v>18</v>
      </c>
      <c r="D20" s="45"/>
      <c r="E20" s="34" t="s">
        <v>82</v>
      </c>
    </row>
    <row r="21" spans="2:5" ht="16.5" x14ac:dyDescent="0.35">
      <c r="B21" s="1" t="e">
        <f>+VLOOKUP(E21,'3) Todos satelites '!$C$6:$F$58,4,0)</f>
        <v>#N/A</v>
      </c>
      <c r="C21" s="44">
        <v>19</v>
      </c>
      <c r="D21" s="45"/>
      <c r="E21" s="32" t="s">
        <v>22</v>
      </c>
    </row>
    <row r="22" spans="2:5" ht="33" x14ac:dyDescent="0.35">
      <c r="B22" s="1" t="e">
        <f>+VLOOKUP(E22,'3) Todos satelites '!$C$6:$F$58,4,0)</f>
        <v>#N/A</v>
      </c>
      <c r="C22" s="44">
        <v>20</v>
      </c>
      <c r="D22" s="45"/>
      <c r="E22" s="30" t="s">
        <v>257</v>
      </c>
    </row>
    <row r="23" spans="2:5" ht="16.5" x14ac:dyDescent="0.35">
      <c r="B23" s="1" t="e">
        <f>+VLOOKUP(E23,'3) Todos satelites '!$C$6:$F$58,4,0)</f>
        <v>#N/A</v>
      </c>
      <c r="C23" s="44">
        <v>21</v>
      </c>
      <c r="D23" s="45"/>
      <c r="E23" s="30" t="s">
        <v>23</v>
      </c>
    </row>
    <row r="24" spans="2:5" ht="16.5" x14ac:dyDescent="0.35">
      <c r="B24" s="1" t="e">
        <f>+VLOOKUP(E24,'3) Todos satelites '!$C$6:$F$58,4,0)</f>
        <v>#N/A</v>
      </c>
      <c r="C24" s="44">
        <v>22</v>
      </c>
      <c r="D24" s="45"/>
      <c r="E24" s="30" t="s">
        <v>252</v>
      </c>
    </row>
    <row r="25" spans="2:5" ht="16.5" x14ac:dyDescent="0.35">
      <c r="B25" s="1" t="e">
        <f>+VLOOKUP(E25,'3) Todos satelites '!$C$6:$F$58,4,0)</f>
        <v>#N/A</v>
      </c>
      <c r="C25" s="44">
        <v>23</v>
      </c>
      <c r="D25" s="45"/>
      <c r="E25" s="30" t="s">
        <v>319</v>
      </c>
    </row>
    <row r="26" spans="2:5" ht="99" x14ac:dyDescent="0.35">
      <c r="B26" s="1" t="e">
        <f>+VLOOKUP(E26,'3) Todos satelites '!$C$6:$F$58,4,0)</f>
        <v>#N/A</v>
      </c>
      <c r="C26" s="44">
        <v>24</v>
      </c>
      <c r="D26" s="45" t="s">
        <v>371</v>
      </c>
      <c r="E26" s="30" t="s">
        <v>253</v>
      </c>
    </row>
    <row r="27" spans="2:5" ht="33" x14ac:dyDescent="0.35">
      <c r="B27" s="1" t="e">
        <f>+VLOOKUP(E27,'3) Todos satelites '!$C$6:$F$58,4,0)</f>
        <v>#N/A</v>
      </c>
      <c r="C27" s="44">
        <v>25</v>
      </c>
      <c r="D27" s="45"/>
      <c r="E27" s="30" t="s">
        <v>354</v>
      </c>
    </row>
    <row r="28" spans="2:5" ht="33" x14ac:dyDescent="0.35">
      <c r="B28" s="1" t="e">
        <f>+VLOOKUP(E28,'3) Todos satelites '!$C$6:$F$58,4,0)</f>
        <v>#N/A</v>
      </c>
      <c r="C28" s="44">
        <v>26</v>
      </c>
      <c r="D28" s="45"/>
      <c r="E28" s="30" t="s">
        <v>355</v>
      </c>
    </row>
    <row r="29" spans="2:5" ht="33" x14ac:dyDescent="0.35">
      <c r="B29" s="1" t="e">
        <f>+VLOOKUP(E29,'3) Todos satelites '!$C$6:$F$58,4,0)</f>
        <v>#N/A</v>
      </c>
      <c r="C29" s="44">
        <v>27</v>
      </c>
      <c r="D29" s="45"/>
      <c r="E29" s="30" t="s">
        <v>356</v>
      </c>
    </row>
    <row r="30" spans="2:5" ht="16.5" x14ac:dyDescent="0.35">
      <c r="B30" s="1" t="e">
        <f>+VLOOKUP(E30,'3) Todos satelites '!$C$6:$F$58,4,0)</f>
        <v>#N/A</v>
      </c>
      <c r="C30" s="44">
        <v>28</v>
      </c>
      <c r="D30" s="45"/>
      <c r="E30" s="32" t="s">
        <v>27</v>
      </c>
    </row>
    <row r="31" spans="2:5" ht="16.5" x14ac:dyDescent="0.35">
      <c r="B31" s="1" t="e">
        <f>+VLOOKUP(E31,'3) Todos satelites '!$C$6:$F$58,4,0)</f>
        <v>#N/A</v>
      </c>
      <c r="C31" s="44">
        <v>29</v>
      </c>
      <c r="D31" s="45"/>
      <c r="E31" s="30" t="s">
        <v>30</v>
      </c>
    </row>
    <row r="32" spans="2:5" ht="16.5" x14ac:dyDescent="0.35">
      <c r="B32" s="1" t="e">
        <f>+VLOOKUP(E32,'3) Todos satelites '!$C$6:$F$58,4,0)</f>
        <v>#N/A</v>
      </c>
      <c r="C32" s="44">
        <v>30</v>
      </c>
      <c r="D32" s="45"/>
      <c r="E32" s="30" t="s">
        <v>31</v>
      </c>
    </row>
    <row r="33" spans="2:5" ht="16.5" x14ac:dyDescent="0.35">
      <c r="B33" s="1" t="e">
        <f>+VLOOKUP(E33,'3) Todos satelites '!$C$6:$F$58,4,0)</f>
        <v>#N/A</v>
      </c>
      <c r="C33" s="44">
        <v>31</v>
      </c>
      <c r="D33" s="45"/>
      <c r="E33" s="32" t="s">
        <v>33</v>
      </c>
    </row>
    <row r="34" spans="2:5" ht="16.5" x14ac:dyDescent="0.35">
      <c r="B34" s="1" t="e">
        <f>+VLOOKUP(E34,'3) Todos satelites '!$C$6:$F$58,4,0)</f>
        <v>#N/A</v>
      </c>
      <c r="C34" s="44">
        <v>32</v>
      </c>
      <c r="D34" s="45"/>
      <c r="E34" s="30" t="s">
        <v>34</v>
      </c>
    </row>
    <row r="35" spans="2:5" ht="16.5" x14ac:dyDescent="0.35">
      <c r="B35" s="1" t="e">
        <f>+VLOOKUP(E35,'3) Todos satelites '!$C$6:$F$58,4,0)</f>
        <v>#N/A</v>
      </c>
      <c r="C35" s="44">
        <v>33</v>
      </c>
      <c r="D35" s="45"/>
      <c r="E35" s="32" t="s">
        <v>35</v>
      </c>
    </row>
    <row r="36" spans="2:5" ht="16.5" x14ac:dyDescent="0.35">
      <c r="B36" s="1" t="e">
        <f>+VLOOKUP(E36,'3) Todos satelites '!$C$6:$F$58,4,0)</f>
        <v>#N/A</v>
      </c>
      <c r="C36" s="44">
        <v>34</v>
      </c>
      <c r="D36" s="45"/>
      <c r="E36" s="30" t="s">
        <v>36</v>
      </c>
    </row>
    <row r="37" spans="2:5" ht="16.5" x14ac:dyDescent="0.35">
      <c r="B37" s="1" t="e">
        <f>+VLOOKUP(E37,'3) Todos satelites '!$C$6:$F$58,4,0)</f>
        <v>#N/A</v>
      </c>
      <c r="C37" s="44">
        <v>35</v>
      </c>
      <c r="D37" s="45"/>
      <c r="E37" s="30" t="s">
        <v>220</v>
      </c>
    </row>
    <row r="38" spans="2:5" ht="16.5" x14ac:dyDescent="0.35">
      <c r="B38" s="1" t="e">
        <f>+VLOOKUP(E38,'3) Todos satelites '!$C$6:$F$58,4,0)</f>
        <v>#N/A</v>
      </c>
      <c r="C38" s="44">
        <v>36</v>
      </c>
      <c r="D38" s="45"/>
      <c r="E38" s="30" t="s">
        <v>221</v>
      </c>
    </row>
    <row r="39" spans="2:5" ht="16.5" x14ac:dyDescent="0.35">
      <c r="B39" s="1" t="e">
        <f>+VLOOKUP(E39,'3) Todos satelites '!$C$6:$F$58,4,0)</f>
        <v>#N/A</v>
      </c>
      <c r="C39" s="44">
        <v>37</v>
      </c>
      <c r="D39" s="45"/>
      <c r="E39" s="32" t="s">
        <v>41</v>
      </c>
    </row>
    <row r="40" spans="2:5" ht="16.5" x14ac:dyDescent="0.35">
      <c r="B40" s="1" t="e">
        <f>+VLOOKUP(E40,'3) Todos satelites '!$C$6:$F$58,4,0)</f>
        <v>#N/A</v>
      </c>
      <c r="C40" s="44">
        <v>38</v>
      </c>
      <c r="D40" s="45"/>
      <c r="E40" s="31" t="s">
        <v>107</v>
      </c>
    </row>
    <row r="41" spans="2:5" ht="16.5" x14ac:dyDescent="0.35">
      <c r="B41" s="1" t="e">
        <f>+VLOOKUP(E41,'3) Todos satelites '!$C$6:$F$58,4,0)</f>
        <v>#N/A</v>
      </c>
      <c r="C41" s="44">
        <v>39</v>
      </c>
      <c r="D41" s="45"/>
      <c r="E41" s="32" t="s">
        <v>42</v>
      </c>
    </row>
    <row r="42" spans="2:5" ht="16.5" x14ac:dyDescent="0.35">
      <c r="B42" s="1" t="e">
        <f>+VLOOKUP(E42,'3) Todos satelites '!$C$6:$F$58,4,0)</f>
        <v>#N/A</v>
      </c>
      <c r="C42" s="44">
        <v>40</v>
      </c>
      <c r="D42" s="45"/>
      <c r="E42" s="32" t="s">
        <v>44</v>
      </c>
    </row>
    <row r="43" spans="2:5" ht="16.5" x14ac:dyDescent="0.35">
      <c r="B43" s="1" t="e">
        <f>+VLOOKUP(E43,'3) Todos satelites '!$C$6:$F$58,4,0)</f>
        <v>#N/A</v>
      </c>
      <c r="C43" s="44">
        <v>41</v>
      </c>
      <c r="D43" s="45"/>
      <c r="E43" s="32" t="s">
        <v>46</v>
      </c>
    </row>
    <row r="44" spans="2:5" ht="16.5" x14ac:dyDescent="0.35">
      <c r="B44" s="1" t="e">
        <f>+VLOOKUP(E44,'3) Todos satelites '!$C$6:$F$58,4,0)</f>
        <v>#N/A</v>
      </c>
      <c r="C44" s="44">
        <v>42</v>
      </c>
      <c r="D44" s="45"/>
      <c r="E44" s="32" t="s">
        <v>47</v>
      </c>
    </row>
    <row r="45" spans="2:5" ht="16.5" x14ac:dyDescent="0.35">
      <c r="B45" s="1" t="e">
        <f>+VLOOKUP(E45,'3) Todos satelites '!$C$6:$F$58,4,0)</f>
        <v>#N/A</v>
      </c>
      <c r="C45" s="44">
        <v>43</v>
      </c>
      <c r="D45" s="45"/>
      <c r="E45" s="32" t="s">
        <v>49</v>
      </c>
    </row>
    <row r="46" spans="2:5" ht="16.5" x14ac:dyDescent="0.35">
      <c r="B46" s="1" t="e">
        <f>+VLOOKUP(E46,'3) Todos satelites '!$C$6:$F$58,4,0)</f>
        <v>#N/A</v>
      </c>
      <c r="C46" s="44">
        <v>44</v>
      </c>
      <c r="D46" s="45"/>
      <c r="E46" s="32" t="s">
        <v>50</v>
      </c>
    </row>
    <row r="47" spans="2:5" ht="16.5" x14ac:dyDescent="0.35">
      <c r="B47" s="1" t="e">
        <f>+VLOOKUP(E47,'3) Todos satelites '!$C$6:$F$58,4,0)</f>
        <v>#N/A</v>
      </c>
      <c r="C47" s="44">
        <v>45</v>
      </c>
      <c r="D47" s="45"/>
      <c r="E47" s="31" t="s">
        <v>237</v>
      </c>
    </row>
    <row r="48" spans="2:5" ht="16.5" x14ac:dyDescent="0.35">
      <c r="B48" s="1" t="e">
        <f>+VLOOKUP(E48,'3) Todos satelites '!$C$6:$F$58,4,0)</f>
        <v>#N/A</v>
      </c>
      <c r="C48" s="44">
        <v>46</v>
      </c>
      <c r="D48" s="45"/>
      <c r="E48" s="31" t="s">
        <v>238</v>
      </c>
    </row>
    <row r="49" spans="2:5" ht="16.5" x14ac:dyDescent="0.35">
      <c r="B49" s="1" t="e">
        <f>+VLOOKUP(E49,'3) Todos satelites '!$C$6:$F$58,4,0)</f>
        <v>#N/A</v>
      </c>
      <c r="C49" s="44">
        <v>47</v>
      </c>
      <c r="D49" s="45"/>
      <c r="E49" s="32" t="s">
        <v>226</v>
      </c>
    </row>
    <row r="50" spans="2:5" ht="16.5" x14ac:dyDescent="0.35">
      <c r="B50" s="1" t="e">
        <f>+VLOOKUP(E50,'3) Todos satelites '!$C$6:$F$58,4,0)</f>
        <v>#N/A</v>
      </c>
      <c r="C50" s="44">
        <v>48</v>
      </c>
      <c r="D50" s="45"/>
      <c r="E50" s="32" t="s">
        <v>227</v>
      </c>
    </row>
    <row r="51" spans="2:5" ht="16.5" x14ac:dyDescent="0.35">
      <c r="B51" s="1" t="e">
        <f>+VLOOKUP(E51,'3) Todos satelites '!$C$6:$F$58,4,0)</f>
        <v>#N/A</v>
      </c>
      <c r="C51" s="44">
        <v>49</v>
      </c>
      <c r="D51" s="45"/>
      <c r="E51" s="32" t="s">
        <v>52</v>
      </c>
    </row>
    <row r="52" spans="2:5" ht="16.5" x14ac:dyDescent="0.35">
      <c r="B52" s="1" t="e">
        <f>+VLOOKUP(E52,'3) Todos satelites '!$C$6:$F$58,4,0)</f>
        <v>#N/A</v>
      </c>
      <c r="C52" s="44">
        <v>50</v>
      </c>
      <c r="D52" s="45"/>
      <c r="E52" s="32" t="s">
        <v>54</v>
      </c>
    </row>
    <row r="53" spans="2:5" ht="16.5" x14ac:dyDescent="0.35">
      <c r="B53" s="1" t="e">
        <f>+VLOOKUP(E53,'3) Todos satelites '!$C$6:$F$58,4,0)</f>
        <v>#N/A</v>
      </c>
      <c r="C53" s="44">
        <v>51</v>
      </c>
      <c r="D53" s="45"/>
      <c r="E53" s="32" t="s">
        <v>228</v>
      </c>
    </row>
    <row r="54" spans="2:5" ht="16.5" x14ac:dyDescent="0.35">
      <c r="B54" s="1" t="e">
        <f>+VLOOKUP(E54,'3) Todos satelites '!$C$6:$F$58,4,0)</f>
        <v>#N/A</v>
      </c>
      <c r="C54" s="44">
        <v>52</v>
      </c>
      <c r="D54" s="45"/>
      <c r="E54" s="32" t="s">
        <v>229</v>
      </c>
    </row>
    <row r="55" spans="2:5" ht="16.5" x14ac:dyDescent="0.35">
      <c r="B55" s="1" t="e">
        <f>+VLOOKUP(E55,'3) Todos satelites '!$C$6:$F$58,4,0)</f>
        <v>#N/A</v>
      </c>
      <c r="C55" s="44">
        <v>53</v>
      </c>
      <c r="D55" s="45"/>
      <c r="E55" s="32" t="s">
        <v>231</v>
      </c>
    </row>
    <row r="56" spans="2:5" ht="16.5" x14ac:dyDescent="0.35">
      <c r="B56" s="1" t="e">
        <f>+VLOOKUP(E56,'3) Todos satelites '!$C$6:$F$58,4,0)</f>
        <v>#N/A</v>
      </c>
      <c r="C56" s="44">
        <v>54</v>
      </c>
      <c r="D56" s="45"/>
      <c r="E56" s="32" t="s">
        <v>232</v>
      </c>
    </row>
    <row r="57" spans="2:5" ht="16.5" x14ac:dyDescent="0.35">
      <c r="B57" s="1" t="e">
        <f>+VLOOKUP(E57,'3) Todos satelites '!$C$6:$F$58,4,0)</f>
        <v>#N/A</v>
      </c>
      <c r="C57" s="44">
        <v>55</v>
      </c>
      <c r="D57" s="45"/>
      <c r="E57" s="31" t="s">
        <v>141</v>
      </c>
    </row>
    <row r="58" spans="2:5" ht="16.5" x14ac:dyDescent="0.35">
      <c r="B58" s="1" t="e">
        <f>+VLOOKUP(E58,'3) Todos satelites '!$C$6:$F$58,4,0)</f>
        <v>#N/A</v>
      </c>
      <c r="C58" s="44">
        <v>56</v>
      </c>
      <c r="D58" s="45"/>
      <c r="E58" s="32" t="s">
        <v>299</v>
      </c>
    </row>
    <row r="59" spans="2:5" ht="16.5" x14ac:dyDescent="0.35">
      <c r="B59" s="1" t="e">
        <f>+VLOOKUP(E59,'3) Todos satelites '!$C$6:$F$58,4,0)</f>
        <v>#N/A</v>
      </c>
      <c r="C59" s="44">
        <v>57</v>
      </c>
      <c r="D59" s="45"/>
      <c r="E59" s="32" t="s">
        <v>315</v>
      </c>
    </row>
    <row r="60" spans="2:5" ht="16.5" x14ac:dyDescent="0.35">
      <c r="B60" s="1" t="e">
        <f>+VLOOKUP(E60,'3) Todos satelites '!$C$6:$F$58,4,0)</f>
        <v>#N/A</v>
      </c>
      <c r="C60" s="44">
        <v>58</v>
      </c>
      <c r="D60" s="45"/>
      <c r="E60" s="32" t="s">
        <v>120</v>
      </c>
    </row>
    <row r="61" spans="2:5" ht="16.5" x14ac:dyDescent="0.35">
      <c r="B61" s="1" t="e">
        <f>+VLOOKUP(E61,'3) Todos satelites '!$C$6:$F$58,4,0)</f>
        <v>#N/A</v>
      </c>
      <c r="C61" s="44">
        <v>59</v>
      </c>
      <c r="D61" s="45"/>
      <c r="E61" s="31" t="s">
        <v>309</v>
      </c>
    </row>
    <row r="62" spans="2:5" ht="16.5" x14ac:dyDescent="0.35">
      <c r="B62" s="1" t="e">
        <f>+VLOOKUP(E62,'3) Todos satelites '!$C$6:$F$58,4,0)</f>
        <v>#N/A</v>
      </c>
      <c r="C62" s="44">
        <v>60</v>
      </c>
      <c r="D62" s="45"/>
      <c r="E62" s="30" t="s">
        <v>65</v>
      </c>
    </row>
    <row r="63" spans="2:5" ht="16.5" x14ac:dyDescent="0.35">
      <c r="B63" s="1" t="e">
        <f>+VLOOKUP(E63,'3) Todos satelites '!$C$6:$F$58,4,0)</f>
        <v>#N/A</v>
      </c>
      <c r="C63" s="44">
        <v>61</v>
      </c>
      <c r="D63" s="45"/>
      <c r="E63" s="31" t="s">
        <v>94</v>
      </c>
    </row>
    <row r="64" spans="2:5" ht="16.5" x14ac:dyDescent="0.35">
      <c r="B64" s="1" t="e">
        <f>+VLOOKUP(E64,'3) Todos satelites '!$C$6:$F$58,4,0)</f>
        <v>#N/A</v>
      </c>
      <c r="C64" s="44">
        <v>62</v>
      </c>
      <c r="D64" s="45"/>
      <c r="E64" s="34" t="s">
        <v>310</v>
      </c>
    </row>
    <row r="65" spans="2:5" ht="16.5" x14ac:dyDescent="0.35">
      <c r="B65" s="1" t="e">
        <f>+VLOOKUP(E65,'3) Todos satelites '!$C$6:$F$58,4,0)</f>
        <v>#N/A</v>
      </c>
      <c r="C65" s="44">
        <v>63</v>
      </c>
      <c r="D65" s="45"/>
      <c r="E65" s="34" t="s">
        <v>313</v>
      </c>
    </row>
    <row r="66" spans="2:5" ht="16.5" x14ac:dyDescent="0.35">
      <c r="B66" s="1" t="e">
        <f>+VLOOKUP(E66,'3) Todos satelites '!$C$6:$F$58,4,0)</f>
        <v>#N/A</v>
      </c>
      <c r="C66" s="44">
        <v>64</v>
      </c>
      <c r="D66" s="45"/>
      <c r="E66" s="34" t="s">
        <v>97</v>
      </c>
    </row>
    <row r="67" spans="2:5" ht="16.5" x14ac:dyDescent="0.35">
      <c r="B67" s="1" t="e">
        <f>+VLOOKUP(E67,'3) Todos satelites '!$C$6:$F$58,4,0)</f>
        <v>#N/A</v>
      </c>
      <c r="C67" s="44">
        <v>65</v>
      </c>
      <c r="D67" s="45"/>
      <c r="E67" s="34" t="s">
        <v>99</v>
      </c>
    </row>
    <row r="68" spans="2:5" ht="16.5" x14ac:dyDescent="0.35">
      <c r="B68" s="1" t="e">
        <f>+VLOOKUP(E68,'3) Todos satelites '!$C$6:$F$58,4,0)</f>
        <v>#N/A</v>
      </c>
      <c r="C68" s="44">
        <v>66</v>
      </c>
      <c r="D68" s="45"/>
      <c r="E68" s="30" t="s">
        <v>66</v>
      </c>
    </row>
    <row r="69" spans="2:5" ht="16.5" x14ac:dyDescent="0.35">
      <c r="B69" s="1" t="e">
        <f>+VLOOKUP(E69,'3) Todos satelites '!$C$6:$F$58,4,0)</f>
        <v>#N/A</v>
      </c>
      <c r="C69" s="44">
        <v>67</v>
      </c>
      <c r="D69" s="45"/>
      <c r="E69" s="30" t="s">
        <v>411</v>
      </c>
    </row>
    <row r="70" spans="2:5" ht="16.5" x14ac:dyDescent="0.35">
      <c r="B70" s="1" t="e">
        <f>+VLOOKUP(E70,'3) Todos satelites '!$C$6:$F$58,4,0)</f>
        <v>#N/A</v>
      </c>
      <c r="C70" s="44">
        <v>68</v>
      </c>
      <c r="D70" s="45"/>
      <c r="E70" s="32" t="s">
        <v>67</v>
      </c>
    </row>
    <row r="71" spans="2:5" ht="16.5" x14ac:dyDescent="0.35">
      <c r="B71" s="1" t="e">
        <f>+VLOOKUP(E71,'3) Todos satelites '!$C$6:$F$58,4,0)</f>
        <v>#N/A</v>
      </c>
      <c r="C71" s="44">
        <v>69</v>
      </c>
      <c r="D71" s="45"/>
      <c r="E71" s="34" t="s">
        <v>80</v>
      </c>
    </row>
    <row r="72" spans="2:5" ht="16.5" x14ac:dyDescent="0.35">
      <c r="B72" s="1" t="e">
        <f>+VLOOKUP(E72,'3) Todos satelites '!$C$6:$F$58,4,0)</f>
        <v>#N/A</v>
      </c>
      <c r="C72" s="44">
        <v>70</v>
      </c>
      <c r="D72" s="45"/>
      <c r="E72" s="30" t="s">
        <v>102</v>
      </c>
    </row>
    <row r="73" spans="2:5" ht="16.5" x14ac:dyDescent="0.35">
      <c r="B73" s="1" t="e">
        <f>+VLOOKUP(E73,'3) Todos satelites '!$C$6:$F$58,4,0)</f>
        <v>#N/A</v>
      </c>
      <c r="C73" s="44">
        <v>71</v>
      </c>
      <c r="D73" s="118"/>
      <c r="E73" s="30" t="s">
        <v>103</v>
      </c>
    </row>
    <row r="74" spans="2:5" ht="16.5" x14ac:dyDescent="0.35">
      <c r="B74" s="1" t="e">
        <f>+VLOOKUP(E74,'3) Todos satelites '!$C$6:$F$58,4,0)</f>
        <v>#N/A</v>
      </c>
      <c r="C74" s="44">
        <v>72</v>
      </c>
      <c r="D74" s="118"/>
      <c r="E74" s="34" t="s">
        <v>218</v>
      </c>
    </row>
    <row r="75" spans="2:5" ht="16.5" x14ac:dyDescent="0.35">
      <c r="B75" s="1" t="e">
        <f>+VLOOKUP(E75,'3) Todos satelites '!$C$6:$F$58,4,0)</f>
        <v>#N/A</v>
      </c>
      <c r="C75" s="44">
        <v>73</v>
      </c>
      <c r="D75" s="45"/>
      <c r="E75" s="34" t="s">
        <v>239</v>
      </c>
    </row>
    <row r="76" spans="2:5" ht="16.5" x14ac:dyDescent="0.35">
      <c r="B76" s="1" t="e">
        <f>+VLOOKUP(E76,'3) Todos satelites '!$C$6:$F$58,4,0)</f>
        <v>#N/A</v>
      </c>
      <c r="C76" s="44">
        <v>74</v>
      </c>
      <c r="D76" s="45"/>
      <c r="E76" s="34" t="s">
        <v>240</v>
      </c>
    </row>
    <row r="77" spans="2:5" ht="16.5" x14ac:dyDescent="0.35">
      <c r="B77" s="1" t="e">
        <f>+VLOOKUP(E77,'3) Todos satelites '!$C$6:$F$58,4,0)</f>
        <v>#N/A</v>
      </c>
      <c r="C77" s="44">
        <v>75</v>
      </c>
      <c r="D77" s="118"/>
      <c r="E77" s="31" t="s">
        <v>125</v>
      </c>
    </row>
    <row r="78" spans="2:5" ht="16.5" x14ac:dyDescent="0.35">
      <c r="B78" s="1" t="e">
        <f>+VLOOKUP(E78,'3) Todos satelites '!$C$6:$F$58,4,0)</f>
        <v>#N/A</v>
      </c>
      <c r="C78" s="44">
        <v>76</v>
      </c>
      <c r="D78" s="118"/>
      <c r="E78" s="31" t="s">
        <v>293</v>
      </c>
    </row>
    <row r="79" spans="2:5" ht="16.5" x14ac:dyDescent="0.35">
      <c r="B79" s="1" t="e">
        <f>+VLOOKUP(E79,'3) Todos satelites '!$C$6:$F$58,4,0)</f>
        <v>#N/A</v>
      </c>
      <c r="C79" s="44">
        <v>77</v>
      </c>
      <c r="D79" s="118"/>
      <c r="E79" s="31" t="s">
        <v>294</v>
      </c>
    </row>
    <row r="80" spans="2:5" ht="16.5" x14ac:dyDescent="0.35">
      <c r="B80" s="1" t="e">
        <f>+VLOOKUP(E80,'3) Todos satelites '!$C$6:$F$58,4,0)</f>
        <v>#N/A</v>
      </c>
      <c r="C80" s="44">
        <v>78</v>
      </c>
      <c r="D80" s="118"/>
      <c r="E80" s="31" t="s">
        <v>295</v>
      </c>
    </row>
    <row r="81" spans="2:5" ht="16.5" x14ac:dyDescent="0.35">
      <c r="B81" s="1" t="e">
        <f>+VLOOKUP(E81,'3) Todos satelites '!$C$6:$F$58,4,0)</f>
        <v>#N/A</v>
      </c>
      <c r="C81" s="44">
        <v>79</v>
      </c>
      <c r="D81" s="118"/>
      <c r="E81" s="31" t="s">
        <v>224</v>
      </c>
    </row>
    <row r="82" spans="2:5" ht="33" x14ac:dyDescent="0.35">
      <c r="B82" s="1" t="e">
        <f>+VLOOKUP(E82,'3) Todos satelites '!$C$6:$F$58,4,0)</f>
        <v>#N/A</v>
      </c>
      <c r="C82" s="44">
        <v>80</v>
      </c>
      <c r="D82" s="118"/>
      <c r="E82" s="31" t="s">
        <v>132</v>
      </c>
    </row>
    <row r="83" spans="2:5" ht="33" x14ac:dyDescent="0.35">
      <c r="B83" s="1" t="e">
        <f>+VLOOKUP(E83,'3) Todos satelites '!$C$6:$F$58,4,0)</f>
        <v>#N/A</v>
      </c>
      <c r="C83" s="44">
        <v>81</v>
      </c>
      <c r="D83" s="118"/>
      <c r="E83" s="35" t="s">
        <v>133</v>
      </c>
    </row>
    <row r="84" spans="2:5" ht="16.5" x14ac:dyDescent="0.35">
      <c r="B84" s="1" t="str">
        <f>+VLOOKUP(E84,'3) Todos satelites '!$C$6:$F$58,4,0)</f>
        <v>PESG</v>
      </c>
      <c r="C84" s="44">
        <v>82</v>
      </c>
      <c r="D84" s="118"/>
      <c r="E84" s="31" t="s">
        <v>335</v>
      </c>
    </row>
    <row r="85" spans="2:5" ht="16.5" x14ac:dyDescent="0.35">
      <c r="B85" s="1" t="e">
        <f>+VLOOKUP(E85,'3) Todos satelites '!$C$6:$F$58,4,0)</f>
        <v>#N/A</v>
      </c>
      <c r="C85" s="44">
        <v>83</v>
      </c>
      <c r="D85" s="118"/>
      <c r="E85" s="31" t="s">
        <v>345</v>
      </c>
    </row>
    <row r="86" spans="2:5" ht="16.5" x14ac:dyDescent="0.35">
      <c r="B86" s="1" t="e">
        <f>+VLOOKUP(E86,'3) Todos satelites '!$C$6:$F$58,4,0)</f>
        <v>#N/A</v>
      </c>
      <c r="C86" s="44">
        <v>84</v>
      </c>
      <c r="D86" s="118"/>
      <c r="E86" s="31" t="s">
        <v>346</v>
      </c>
    </row>
    <row r="87" spans="2:5" ht="16.5" x14ac:dyDescent="0.35">
      <c r="B87" s="1" t="e">
        <f>+VLOOKUP(E87,'3) Todos satelites '!$C$6:$F$58,4,0)</f>
        <v>#N/A</v>
      </c>
      <c r="C87" s="44">
        <v>85</v>
      </c>
      <c r="D87" s="45"/>
      <c r="E87" s="30" t="s">
        <v>357</v>
      </c>
    </row>
    <row r="88" spans="2:5" ht="16.5" x14ac:dyDescent="0.35">
      <c r="B88" s="1" t="e">
        <f>+VLOOKUP(E88,'3) Todos satelites '!$C$6:$F$58,4,0)</f>
        <v>#N/A</v>
      </c>
      <c r="C88" s="44">
        <v>86</v>
      </c>
      <c r="D88" s="45"/>
      <c r="E88" s="30" t="s">
        <v>358</v>
      </c>
    </row>
    <row r="89" spans="2:5" ht="16.5" x14ac:dyDescent="0.35">
      <c r="B89" s="1" t="e">
        <f>+VLOOKUP(E89,'3) Todos satelites '!$C$6:$F$58,4,0)</f>
        <v>#N/A</v>
      </c>
      <c r="C89" s="44">
        <v>87</v>
      </c>
      <c r="D89" s="45"/>
      <c r="E89" s="30" t="s">
        <v>359</v>
      </c>
    </row>
    <row r="90" spans="2:5" ht="16.5" x14ac:dyDescent="0.35">
      <c r="B90" s="1" t="str">
        <f>+VLOOKUP(E90,'3) Todos satelites '!$C$6:$F$58,4,0)</f>
        <v>FUTY</v>
      </c>
      <c r="C90" s="44">
        <v>88</v>
      </c>
      <c r="D90" s="45"/>
      <c r="E90" s="30" t="s">
        <v>375</v>
      </c>
    </row>
    <row r="91" spans="2:5" ht="16.5" x14ac:dyDescent="0.35">
      <c r="B91" s="1" t="str">
        <f>+VLOOKUP(E91,'3) Todos satelites '!$C$6:$F$58,4,0)</f>
        <v>RMCT</v>
      </c>
      <c r="C91" s="44">
        <v>89</v>
      </c>
      <c r="D91" s="45"/>
      <c r="E91" s="30" t="s">
        <v>376</v>
      </c>
    </row>
    <row r="92" spans="2:5" ht="16.5" x14ac:dyDescent="0.35">
      <c r="B92" s="1" t="str">
        <f>+VLOOKUP(E92,'3) Todos satelites '!$C$6:$F$58,4,0)</f>
        <v>RMCP</v>
      </c>
      <c r="C92" s="44">
        <v>90</v>
      </c>
      <c r="D92" s="45"/>
      <c r="E92" s="30" t="s">
        <v>377</v>
      </c>
    </row>
    <row r="93" spans="2:5" ht="16.5" x14ac:dyDescent="0.35">
      <c r="B93" s="1" t="str">
        <f>+VLOOKUP(E93,'3) Todos satelites '!$C$6:$F$58,4,0)</f>
        <v>INC</v>
      </c>
      <c r="C93" s="145"/>
      <c r="D93" s="145"/>
      <c r="E93" s="146" t="s">
        <v>432</v>
      </c>
    </row>
    <row r="94" spans="2:5" ht="16.5" x14ac:dyDescent="0.35">
      <c r="B94" s="1" t="str">
        <f>+VLOOKUP(E94,'3) Todos satelites '!$C$6:$F$58,4,0)</f>
        <v>GEO</v>
      </c>
      <c r="C94" s="145"/>
      <c r="D94" s="145"/>
      <c r="E94" s="146" t="s">
        <v>436</v>
      </c>
    </row>
    <row r="95" spans="2:5" ht="16.5" x14ac:dyDescent="0.35">
      <c r="B95" s="1" t="str">
        <f>+VLOOKUP(E95,'3) Todos satelites '!$C$6:$F$58,4,0)</f>
        <v>CNAEL</v>
      </c>
      <c r="C95" s="145"/>
      <c r="D95" s="145"/>
      <c r="E95" s="146" t="s">
        <v>438</v>
      </c>
    </row>
  </sheetData>
  <autoFilter ref="B2:E95"/>
  <hyperlinks>
    <hyperlink ref="E93" location="'Interest commisions'!A1" display="Interest commisions"/>
  </hyperlinks>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58"/>
  <sheetViews>
    <sheetView showGridLines="0" workbookViewId="0">
      <selection activeCell="C5" sqref="C5"/>
    </sheetView>
  </sheetViews>
  <sheetFormatPr defaultColWidth="8.75" defaultRowHeight="14.25" x14ac:dyDescent="0.2"/>
  <cols>
    <col min="2" max="2" width="16.25" customWidth="1"/>
    <col min="3" max="3" width="41.25" customWidth="1"/>
    <col min="4" max="4" width="16.25" customWidth="1"/>
    <col min="5" max="5" width="35.75" customWidth="1"/>
  </cols>
  <sheetData>
    <row r="2" spans="2:6" x14ac:dyDescent="0.2">
      <c r="B2" s="158"/>
      <c r="C2" t="s">
        <v>521</v>
      </c>
    </row>
    <row r="3" spans="2:6" x14ac:dyDescent="0.2">
      <c r="B3" s="159"/>
      <c r="C3" t="s">
        <v>522</v>
      </c>
    </row>
    <row r="4" spans="2:6" ht="15" thickBot="1" x14ac:dyDescent="0.25"/>
    <row r="5" spans="2:6" ht="15.75" thickBot="1" x14ac:dyDescent="0.3">
      <c r="B5" s="151" t="s">
        <v>441</v>
      </c>
      <c r="C5" s="148" t="s">
        <v>442</v>
      </c>
      <c r="D5" s="148" t="s">
        <v>441</v>
      </c>
      <c r="E5" s="150" t="s">
        <v>517</v>
      </c>
      <c r="F5" s="148" t="s">
        <v>441</v>
      </c>
    </row>
    <row r="6" spans="2:6" x14ac:dyDescent="0.2">
      <c r="B6" s="154" t="s">
        <v>431</v>
      </c>
      <c r="C6" s="152" t="s">
        <v>432</v>
      </c>
      <c r="D6" s="154" t="s">
        <v>431</v>
      </c>
      <c r="E6" t="str">
        <f>+VLOOKUP(C6,'2) Check dicc. y satelites '!$E$3:$E$95,1,0)</f>
        <v>Interest commisions</v>
      </c>
      <c r="F6" s="154" t="s">
        <v>431</v>
      </c>
    </row>
    <row r="7" spans="2:6" x14ac:dyDescent="0.2">
      <c r="B7" s="141" t="s">
        <v>433</v>
      </c>
      <c r="C7" s="140" t="s">
        <v>434</v>
      </c>
      <c r="D7" s="141" t="s">
        <v>433</v>
      </c>
      <c r="E7" s="156" t="s">
        <v>519</v>
      </c>
      <c r="F7" s="141" t="s">
        <v>433</v>
      </c>
    </row>
    <row r="8" spans="2:6" x14ac:dyDescent="0.2">
      <c r="B8" s="142" t="s">
        <v>435</v>
      </c>
      <c r="C8" s="143" t="s">
        <v>436</v>
      </c>
      <c r="D8" s="142" t="s">
        <v>435</v>
      </c>
      <c r="E8" t="str">
        <f>+VLOOKUP(C8,'2) Check dicc. y satelites '!$E$3:$E$95,1,0)</f>
        <v>Physical risk_Geographical Area</v>
      </c>
      <c r="F8" s="142" t="s">
        <v>435</v>
      </c>
    </row>
    <row r="9" spans="2:6" x14ac:dyDescent="0.2">
      <c r="B9" s="142" t="s">
        <v>437</v>
      </c>
      <c r="C9" s="143" t="s">
        <v>438</v>
      </c>
      <c r="D9" s="142" t="s">
        <v>437</v>
      </c>
      <c r="E9" t="str">
        <f>+VLOOKUP(C9,'2) Check dicc. y satelites '!$E$3:$E$95,1,0)</f>
        <v>NACE_Level1</v>
      </c>
      <c r="F9" s="142" t="s">
        <v>437</v>
      </c>
    </row>
    <row r="10" spans="2:6" x14ac:dyDescent="0.2">
      <c r="B10" s="144" t="s">
        <v>439</v>
      </c>
      <c r="C10" s="141" t="s">
        <v>129</v>
      </c>
      <c r="D10" s="144" t="s">
        <v>439</v>
      </c>
      <c r="E10" t="str">
        <f>+VLOOKUP(C10,'2) Check dicc. y satelites '!$E$3:$E$95,1,0)</f>
        <v>NACE Code ESG</v>
      </c>
      <c r="F10" s="144" t="s">
        <v>439</v>
      </c>
    </row>
    <row r="11" spans="2:6" x14ac:dyDescent="0.2">
      <c r="B11" s="139" t="s">
        <v>443</v>
      </c>
      <c r="C11" s="140" t="s">
        <v>444</v>
      </c>
      <c r="D11" s="139" t="s">
        <v>443</v>
      </c>
      <c r="E11" s="156" t="str">
        <f>+'2) Check dicc. y satelites '!E22</f>
        <v>Flag: Companies excluded from EU Paris-aligned benchmarks</v>
      </c>
      <c r="F11" s="139" t="s">
        <v>443</v>
      </c>
    </row>
    <row r="12" spans="2:6" x14ac:dyDescent="0.2">
      <c r="B12" s="143" t="s">
        <v>445</v>
      </c>
      <c r="C12" s="147" t="s">
        <v>446</v>
      </c>
      <c r="D12" s="143" t="s">
        <v>445</v>
      </c>
      <c r="E12" s="156" t="str">
        <f>+'2) Check dicc. y satelites '!E62</f>
        <v xml:space="preserve">Environmentally sustainable activity </v>
      </c>
      <c r="F12" s="143" t="s">
        <v>445</v>
      </c>
    </row>
    <row r="13" spans="2:6" x14ac:dyDescent="0.2">
      <c r="B13" s="144" t="s">
        <v>435</v>
      </c>
      <c r="C13" s="141" t="s">
        <v>436</v>
      </c>
      <c r="D13" s="144" t="s">
        <v>435</v>
      </c>
      <c r="E13" t="str">
        <f>+VLOOKUP(C13,'2) Check dicc. y satelites '!$E$3:$E$95,1,0)</f>
        <v>Physical risk_Geographical Area</v>
      </c>
      <c r="F13" s="144" t="s">
        <v>435</v>
      </c>
    </row>
    <row r="14" spans="2:6" x14ac:dyDescent="0.2">
      <c r="B14" s="144" t="s">
        <v>447</v>
      </c>
      <c r="C14" s="140" t="s">
        <v>448</v>
      </c>
      <c r="D14" s="144" t="s">
        <v>447</v>
      </c>
      <c r="E14" s="156" t="str">
        <f>+'2) Check dicc. y satelites '!E83</f>
        <v>Sensitive to impact from chronic climate change events</v>
      </c>
      <c r="F14" s="144" t="s">
        <v>447</v>
      </c>
    </row>
    <row r="15" spans="2:6" x14ac:dyDescent="0.2">
      <c r="B15" s="144" t="s">
        <v>449</v>
      </c>
      <c r="C15" s="140" t="s">
        <v>450</v>
      </c>
      <c r="D15" s="144" t="s">
        <v>449</v>
      </c>
      <c r="E15" s="156" t="str">
        <f>+'2) Check dicc. y satelites '!E82</f>
        <v>Sensitive to impact from acute climate change events</v>
      </c>
      <c r="F15" s="144" t="s">
        <v>449</v>
      </c>
    </row>
    <row r="16" spans="2:6" x14ac:dyDescent="0.2">
      <c r="B16" s="144" t="s">
        <v>451</v>
      </c>
      <c r="C16" s="140" t="s">
        <v>452</v>
      </c>
      <c r="D16" s="144" t="s">
        <v>451</v>
      </c>
      <c r="E16" s="156" t="str">
        <f>+'2) Check dicc. y satelites '!E30</f>
        <v>Maturity</v>
      </c>
      <c r="F16" s="144" t="s">
        <v>451</v>
      </c>
    </row>
    <row r="17" spans="2:6" x14ac:dyDescent="0.2">
      <c r="B17" s="144" t="s">
        <v>437</v>
      </c>
      <c r="C17" s="141" t="s">
        <v>438</v>
      </c>
      <c r="D17" s="144" t="s">
        <v>437</v>
      </c>
      <c r="E17" t="str">
        <f>+VLOOKUP(C17,'2) Check dicc. y satelites '!$E$3:$E$95,1,0)</f>
        <v>NACE_Level1</v>
      </c>
      <c r="F17" s="144" t="s">
        <v>437</v>
      </c>
    </row>
    <row r="18" spans="2:6" x14ac:dyDescent="0.2">
      <c r="B18" s="144" t="s">
        <v>439</v>
      </c>
      <c r="C18" s="141" t="s">
        <v>129</v>
      </c>
      <c r="D18" s="144" t="s">
        <v>439</v>
      </c>
      <c r="E18" t="str">
        <f>+VLOOKUP(C18,'2) Check dicc. y satelites '!$E$3:$E$95,1,0)</f>
        <v>NACE Code ESG</v>
      </c>
      <c r="F18" s="144" t="s">
        <v>439</v>
      </c>
    </row>
    <row r="19" spans="2:6" x14ac:dyDescent="0.2">
      <c r="B19" s="144" t="s">
        <v>453</v>
      </c>
      <c r="C19" s="141" t="s">
        <v>454</v>
      </c>
      <c r="D19" s="144" t="s">
        <v>453</v>
      </c>
      <c r="E19" s="156" t="s">
        <v>520</v>
      </c>
      <c r="F19" s="144" t="s">
        <v>453</v>
      </c>
    </row>
    <row r="20" spans="2:6" x14ac:dyDescent="0.2">
      <c r="B20" s="149" t="s">
        <v>455</v>
      </c>
      <c r="C20" s="140" t="s">
        <v>456</v>
      </c>
      <c r="D20" s="149" t="s">
        <v>455</v>
      </c>
      <c r="E20" s="156" t="str">
        <f>+'2) Check dicc. y satelites '!E10</f>
        <v>EP Score</v>
      </c>
      <c r="F20" s="149" t="s">
        <v>455</v>
      </c>
    </row>
    <row r="21" spans="2:6" x14ac:dyDescent="0.2">
      <c r="B21" s="149" t="s">
        <v>457</v>
      </c>
      <c r="C21" s="140" t="s">
        <v>323</v>
      </c>
      <c r="D21" s="149" t="s">
        <v>457</v>
      </c>
      <c r="E21" t="str">
        <f>+VLOOKUP(C21,'2) Check dicc. y satelites '!$E$3:$E$95,1,0)</f>
        <v>EP Score</v>
      </c>
      <c r="F21" s="149" t="s">
        <v>457</v>
      </c>
    </row>
    <row r="22" spans="2:6" x14ac:dyDescent="0.2">
      <c r="B22" s="149" t="s">
        <v>458</v>
      </c>
      <c r="C22" s="140" t="s">
        <v>459</v>
      </c>
      <c r="D22" s="149" t="s">
        <v>458</v>
      </c>
      <c r="E22" s="156" t="str">
        <f>+'2) Check dicc. y satelites '!E9</f>
        <v>EPC label</v>
      </c>
      <c r="F22" s="149" t="s">
        <v>458</v>
      </c>
    </row>
    <row r="23" spans="2:6" x14ac:dyDescent="0.2">
      <c r="B23" s="149" t="s">
        <v>460</v>
      </c>
      <c r="C23" s="140" t="s">
        <v>461</v>
      </c>
      <c r="D23" s="149" t="s">
        <v>460</v>
      </c>
      <c r="E23" t="str">
        <f>+VLOOKUP(C23,'2) Check dicc. y satelites '!$E$3:$E$95,1,0)</f>
        <v>EPC label</v>
      </c>
      <c r="F23" s="149" t="s">
        <v>460</v>
      </c>
    </row>
    <row r="24" spans="2:6" x14ac:dyDescent="0.2">
      <c r="B24" s="149" t="s">
        <v>433</v>
      </c>
      <c r="C24" s="140" t="s">
        <v>434</v>
      </c>
      <c r="D24" s="149" t="s">
        <v>433</v>
      </c>
      <c r="E24" s="156" t="s">
        <v>519</v>
      </c>
      <c r="F24" s="149" t="s">
        <v>433</v>
      </c>
    </row>
    <row r="25" spans="2:6" x14ac:dyDescent="0.2">
      <c r="B25" s="144" t="s">
        <v>462</v>
      </c>
      <c r="C25" s="155" t="s">
        <v>463</v>
      </c>
      <c r="D25" s="144" t="s">
        <v>462</v>
      </c>
      <c r="E25" s="157" t="e">
        <f>+VLOOKUP(C25,'2) Check dicc. y satelites '!$E$3:$E$95,1,0)</f>
        <v>#N/A</v>
      </c>
      <c r="F25" s="144" t="s">
        <v>462</v>
      </c>
    </row>
    <row r="26" spans="2:6" x14ac:dyDescent="0.2">
      <c r="B26" s="144" t="s">
        <v>464</v>
      </c>
      <c r="C26" s="155" t="s">
        <v>335</v>
      </c>
      <c r="D26" s="144" t="s">
        <v>464</v>
      </c>
      <c r="E26" t="str">
        <f>+VLOOKUP(C26,'2) Check dicc. y satelites '!$E$3:$E$95,1,0)</f>
        <v>Purpose ESG</v>
      </c>
      <c r="F26" s="144" t="s">
        <v>464</v>
      </c>
    </row>
    <row r="27" spans="2:6" x14ac:dyDescent="0.2">
      <c r="B27" s="144" t="s">
        <v>465</v>
      </c>
      <c r="C27" s="140" t="s">
        <v>466</v>
      </c>
      <c r="D27" s="144" t="s">
        <v>465</v>
      </c>
      <c r="E27" t="str">
        <f>+VLOOKUP(C27,'2) Check dicc. y satelites '!$E$3:$E$95,1,0)</f>
        <v>Funding Type</v>
      </c>
      <c r="F27" s="144" t="s">
        <v>465</v>
      </c>
    </row>
    <row r="28" spans="2:6" x14ac:dyDescent="0.2">
      <c r="B28" s="139" t="s">
        <v>467</v>
      </c>
      <c r="C28" s="155" t="s">
        <v>376</v>
      </c>
      <c r="D28" s="139" t="s">
        <v>467</v>
      </c>
      <c r="E28" t="str">
        <f>+VLOOKUP(C28,'2) Check dicc. y satelites '!$E$3:$E$95,1,0)</f>
        <v>Risk Mitigated CCT</v>
      </c>
      <c r="F28" s="139" t="s">
        <v>467</v>
      </c>
    </row>
    <row r="29" spans="2:6" x14ac:dyDescent="0.2">
      <c r="B29" s="139" t="s">
        <v>468</v>
      </c>
      <c r="C29" s="155" t="s">
        <v>377</v>
      </c>
      <c r="D29" s="139" t="s">
        <v>468</v>
      </c>
      <c r="E29" t="str">
        <f>+VLOOKUP(C29,'2) Check dicc. y satelites '!$E$3:$E$95,1,0)</f>
        <v>Risk Mitigated CCP</v>
      </c>
      <c r="F29" s="139" t="s">
        <v>468</v>
      </c>
    </row>
    <row r="30" spans="2:6" x14ac:dyDescent="0.2">
      <c r="B30" s="139" t="s">
        <v>469</v>
      </c>
      <c r="C30" s="141" t="s">
        <v>470</v>
      </c>
      <c r="D30" s="139" t="s">
        <v>469</v>
      </c>
      <c r="E30" s="156" t="s">
        <v>519</v>
      </c>
      <c r="F30" s="139" t="s">
        <v>469</v>
      </c>
    </row>
    <row r="31" spans="2:6" x14ac:dyDescent="0.2">
      <c r="B31" s="144" t="s">
        <v>471</v>
      </c>
      <c r="C31" s="140" t="s">
        <v>472</v>
      </c>
      <c r="D31" s="144" t="s">
        <v>471</v>
      </c>
      <c r="E31" s="157" t="e">
        <f>+VLOOKUP(C31,'2) Check dicc. y satelites '!$E$3:$E$95,1,0)</f>
        <v>#N/A</v>
      </c>
      <c r="F31" s="144" t="s">
        <v>471</v>
      </c>
    </row>
    <row r="32" spans="2:6" x14ac:dyDescent="0.2">
      <c r="B32" s="141" t="s">
        <v>464</v>
      </c>
      <c r="C32" s="140" t="s">
        <v>335</v>
      </c>
      <c r="D32" s="141" t="s">
        <v>464</v>
      </c>
      <c r="E32" t="str">
        <f>+VLOOKUP(C32,'2) Check dicc. y satelites '!$E$3:$E$95,1,0)</f>
        <v>Purpose ESG</v>
      </c>
      <c r="F32" s="141" t="s">
        <v>464</v>
      </c>
    </row>
    <row r="33" spans="2:6" x14ac:dyDescent="0.2">
      <c r="B33" s="144" t="s">
        <v>473</v>
      </c>
      <c r="C33" s="140" t="s">
        <v>474</v>
      </c>
      <c r="D33" s="144" t="s">
        <v>473</v>
      </c>
      <c r="E33" s="156" t="str">
        <f>+'2) Check dicc. y satelites '!E23</f>
        <v>Flag of NFRD applicability</v>
      </c>
      <c r="F33" s="144" t="s">
        <v>473</v>
      </c>
    </row>
    <row r="34" spans="2:6" x14ac:dyDescent="0.2">
      <c r="B34" s="144" t="s">
        <v>433</v>
      </c>
      <c r="C34" s="140" t="s">
        <v>434</v>
      </c>
      <c r="D34" s="144" t="s">
        <v>433</v>
      </c>
      <c r="E34" s="156" t="s">
        <v>519</v>
      </c>
      <c r="F34" s="144" t="s">
        <v>433</v>
      </c>
    </row>
    <row r="35" spans="2:6" x14ac:dyDescent="0.2">
      <c r="B35" s="144" t="s">
        <v>475</v>
      </c>
      <c r="C35" s="140" t="s">
        <v>476</v>
      </c>
      <c r="D35" s="144" t="s">
        <v>475</v>
      </c>
      <c r="E35" s="157" t="str">
        <f>+'2) Check dicc. y satelites '!E59</f>
        <v>Environmental objective</v>
      </c>
      <c r="F35" s="144" t="s">
        <v>475</v>
      </c>
    </row>
    <row r="36" spans="2:6" x14ac:dyDescent="0.2">
      <c r="B36" s="141" t="s">
        <v>477</v>
      </c>
      <c r="C36" s="140" t="s">
        <v>478</v>
      </c>
      <c r="D36" s="141" t="s">
        <v>477</v>
      </c>
      <c r="E36" s="157" t="str">
        <f>+'2) Check dicc. y satelites '!E59</f>
        <v>Environmental objective</v>
      </c>
      <c r="F36" s="141" t="s">
        <v>477</v>
      </c>
    </row>
    <row r="37" spans="2:6" x14ac:dyDescent="0.2">
      <c r="B37" s="141" t="s">
        <v>479</v>
      </c>
      <c r="C37" s="140" t="s">
        <v>480</v>
      </c>
      <c r="D37" s="141" t="s">
        <v>479</v>
      </c>
      <c r="E37" s="157" t="e">
        <f>+VLOOKUP(C37,'2) Check dicc. y satelites '!$E$3:$E$95,1,0)</f>
        <v>#N/A</v>
      </c>
      <c r="F37" s="141" t="s">
        <v>479</v>
      </c>
    </row>
    <row r="38" spans="2:6" x14ac:dyDescent="0.2">
      <c r="B38" s="141" t="s">
        <v>445</v>
      </c>
      <c r="C38" s="140" t="s">
        <v>446</v>
      </c>
      <c r="D38" s="141" t="s">
        <v>445</v>
      </c>
      <c r="E38" s="157" t="str">
        <f>+'2) Check dicc. y satelites '!E59</f>
        <v>Environmental objective</v>
      </c>
      <c r="F38" s="141" t="s">
        <v>445</v>
      </c>
    </row>
    <row r="39" spans="2:6" x14ac:dyDescent="0.2">
      <c r="B39" s="141" t="s">
        <v>481</v>
      </c>
      <c r="C39" s="140" t="s">
        <v>482</v>
      </c>
      <c r="D39" s="141" t="s">
        <v>481</v>
      </c>
      <c r="E39" s="157" t="str">
        <f>+'2) Check dicc. y satelites '!E59</f>
        <v>Environmental objective</v>
      </c>
      <c r="F39" s="141" t="s">
        <v>481</v>
      </c>
    </row>
    <row r="40" spans="2:6" x14ac:dyDescent="0.2">
      <c r="B40" s="144" t="s">
        <v>483</v>
      </c>
      <c r="C40" s="140" t="s">
        <v>484</v>
      </c>
      <c r="D40" s="144" t="s">
        <v>483</v>
      </c>
      <c r="E40" s="156" t="str">
        <f>+'2) Check dicc. y satelites '!E31</f>
        <v>Flag of specialised lending</v>
      </c>
      <c r="F40" s="144" t="s">
        <v>483</v>
      </c>
    </row>
    <row r="41" spans="2:6" x14ac:dyDescent="0.2">
      <c r="B41" s="144" t="s">
        <v>485</v>
      </c>
      <c r="C41" s="140" t="s">
        <v>486</v>
      </c>
      <c r="D41" s="144" t="s">
        <v>485</v>
      </c>
      <c r="E41" s="157" t="e">
        <f>+VLOOKUP(C41,'2) Check dicc. y satelites '!$E$3:$E$95,1,0)</f>
        <v>#N/A</v>
      </c>
      <c r="F41" s="144" t="s">
        <v>485</v>
      </c>
    </row>
    <row r="42" spans="2:6" x14ac:dyDescent="0.2">
      <c r="B42" s="144" t="s">
        <v>487</v>
      </c>
      <c r="C42" s="140" t="s">
        <v>488</v>
      </c>
      <c r="D42" s="144" t="s">
        <v>487</v>
      </c>
      <c r="E42" s="157" t="e">
        <f>+VLOOKUP(C42,'2) Check dicc. y satelites '!$E$3:$E$95,1,0)</f>
        <v>#N/A</v>
      </c>
      <c r="F42" s="144" t="s">
        <v>487</v>
      </c>
    </row>
    <row r="43" spans="2:6" x14ac:dyDescent="0.2">
      <c r="B43" s="144" t="s">
        <v>489</v>
      </c>
      <c r="C43" s="140" t="s">
        <v>490</v>
      </c>
      <c r="D43" s="144" t="s">
        <v>489</v>
      </c>
      <c r="E43" s="157" t="e">
        <f>+VLOOKUP(C43,'2) Check dicc. y satelites '!$E$3:$E$95,1,0)</f>
        <v>#N/A</v>
      </c>
      <c r="F43" s="144" t="s">
        <v>489</v>
      </c>
    </row>
    <row r="44" spans="2:6" x14ac:dyDescent="0.2">
      <c r="B44" s="144" t="s">
        <v>491</v>
      </c>
      <c r="C44" s="140" t="s">
        <v>492</v>
      </c>
      <c r="D44" s="144" t="s">
        <v>491</v>
      </c>
      <c r="E44" s="157" t="e">
        <f>+VLOOKUP(C44,'2) Check dicc. y satelites '!$E$3:$E$95,1,0)</f>
        <v>#N/A</v>
      </c>
      <c r="F44" s="144" t="s">
        <v>491</v>
      </c>
    </row>
    <row r="45" spans="2:6" x14ac:dyDescent="0.2">
      <c r="B45" s="144" t="s">
        <v>493</v>
      </c>
      <c r="C45" s="141" t="s">
        <v>494</v>
      </c>
      <c r="D45" s="144" t="s">
        <v>493</v>
      </c>
      <c r="E45" s="157" t="str">
        <f>+'2) Check dicc. y satelites '!E68</f>
        <v>Eligibility ratio</v>
      </c>
      <c r="F45" s="144" t="s">
        <v>493</v>
      </c>
    </row>
    <row r="46" spans="2:6" x14ac:dyDescent="0.2">
      <c r="B46" s="144" t="s">
        <v>495</v>
      </c>
      <c r="C46" s="141" t="s">
        <v>496</v>
      </c>
      <c r="D46" s="144" t="s">
        <v>495</v>
      </c>
      <c r="E46" s="157" t="e">
        <f>+VLOOKUP(C46,'2) Check dicc. y satelites '!$E$3:$E$95,1,0)</f>
        <v>#N/A</v>
      </c>
      <c r="F46" s="144" t="s">
        <v>495</v>
      </c>
    </row>
    <row r="47" spans="2:6" x14ac:dyDescent="0.2">
      <c r="B47" s="144" t="s">
        <v>497</v>
      </c>
      <c r="C47" s="141" t="s">
        <v>498</v>
      </c>
      <c r="D47" s="144" t="s">
        <v>497</v>
      </c>
      <c r="E47" s="157" t="str">
        <f>+'2) Check dicc. y satelites '!E68</f>
        <v>Eligibility ratio</v>
      </c>
      <c r="F47" s="144" t="s">
        <v>497</v>
      </c>
    </row>
    <row r="48" spans="2:6" x14ac:dyDescent="0.2">
      <c r="B48" s="153" t="s">
        <v>499</v>
      </c>
      <c r="C48" s="141" t="s">
        <v>500</v>
      </c>
      <c r="D48" s="153" t="s">
        <v>499</v>
      </c>
      <c r="E48" s="157" t="e">
        <f>+VLOOKUP(C48,'2) Check dicc. y satelites '!$E$3:$E$95,1,0)</f>
        <v>#N/A</v>
      </c>
      <c r="F48" s="153" t="s">
        <v>499</v>
      </c>
    </row>
    <row r="49" spans="2:6" x14ac:dyDescent="0.2">
      <c r="B49" s="149" t="s">
        <v>501</v>
      </c>
      <c r="C49" s="141" t="s">
        <v>502</v>
      </c>
      <c r="D49" s="149" t="s">
        <v>501</v>
      </c>
      <c r="E49" s="157" t="e">
        <f>+VLOOKUP(C49,'2) Check dicc. y satelites '!$E$3:$E$95,1,0)</f>
        <v>#N/A</v>
      </c>
      <c r="F49" s="149" t="s">
        <v>501</v>
      </c>
    </row>
    <row r="50" spans="2:6" x14ac:dyDescent="0.2">
      <c r="B50" s="149" t="s">
        <v>503</v>
      </c>
      <c r="C50" s="141" t="s">
        <v>504</v>
      </c>
      <c r="D50" s="149" t="s">
        <v>503</v>
      </c>
      <c r="E50" s="157" t="e">
        <f>+VLOOKUP(C50,'2) Check dicc. y satelites '!$E$3:$E$95,1,0)</f>
        <v>#N/A</v>
      </c>
      <c r="F50" s="149" t="s">
        <v>503</v>
      </c>
    </row>
    <row r="51" spans="2:6" x14ac:dyDescent="0.2">
      <c r="B51" s="149" t="s">
        <v>437</v>
      </c>
      <c r="C51" s="141" t="s">
        <v>438</v>
      </c>
      <c r="D51" s="149" t="s">
        <v>437</v>
      </c>
      <c r="E51" t="str">
        <f>+VLOOKUP(C51,'2) Check dicc. y satelites '!$E$3:$E$95,1,0)</f>
        <v>NACE_Level1</v>
      </c>
      <c r="F51" s="149" t="s">
        <v>437</v>
      </c>
    </row>
    <row r="52" spans="2:6" x14ac:dyDescent="0.2">
      <c r="B52" s="149" t="s">
        <v>439</v>
      </c>
      <c r="C52" s="141" t="s">
        <v>129</v>
      </c>
      <c r="D52" s="149" t="s">
        <v>439</v>
      </c>
      <c r="E52" t="str">
        <f>+VLOOKUP(C52,'2) Check dicc. y satelites '!$E$3:$E$95,1,0)</f>
        <v>NACE Code ESG</v>
      </c>
      <c r="F52" s="149" t="s">
        <v>439</v>
      </c>
    </row>
    <row r="53" spans="2:6" x14ac:dyDescent="0.2">
      <c r="B53" s="149" t="s">
        <v>505</v>
      </c>
      <c r="C53" s="141" t="s">
        <v>506</v>
      </c>
      <c r="D53" s="149" t="s">
        <v>505</v>
      </c>
      <c r="E53" s="156" t="str">
        <f>+'2) Check dicc. y satelites '!E27</f>
        <v>GHG Reported  Emissions - scope 1: flag original / calculated</v>
      </c>
      <c r="F53" s="149" t="s">
        <v>505</v>
      </c>
    </row>
    <row r="54" spans="2:6" x14ac:dyDescent="0.2">
      <c r="B54" s="149" t="s">
        <v>507</v>
      </c>
      <c r="C54" s="141" t="s">
        <v>508</v>
      </c>
      <c r="D54" s="149" t="s">
        <v>507</v>
      </c>
      <c r="E54" s="156" t="str">
        <f>+'2) Check dicc. y satelites '!E3</f>
        <v>GHG Financed  Emissions: Scope 1</v>
      </c>
      <c r="F54" s="149" t="s">
        <v>507</v>
      </c>
    </row>
    <row r="55" spans="2:6" x14ac:dyDescent="0.2">
      <c r="B55" s="149" t="s">
        <v>509</v>
      </c>
      <c r="C55" s="141" t="s">
        <v>510</v>
      </c>
      <c r="D55" s="149" t="s">
        <v>509</v>
      </c>
      <c r="E55" s="156" t="str">
        <f>+'2) Check dicc. y satelites '!E28</f>
        <v>GHG Reported  Emissions - scope 2: flag original / calculated</v>
      </c>
      <c r="F55" s="149" t="s">
        <v>509</v>
      </c>
    </row>
    <row r="56" spans="2:6" x14ac:dyDescent="0.2">
      <c r="B56" s="149" t="s">
        <v>511</v>
      </c>
      <c r="C56" s="141" t="s">
        <v>512</v>
      </c>
      <c r="D56" s="149" t="s">
        <v>511</v>
      </c>
      <c r="E56" s="156" t="str">
        <f>+'2) Check dicc. y satelites '!E4</f>
        <v>GHG Financed  Emissions: Scope 2</v>
      </c>
      <c r="F56" s="149" t="s">
        <v>511</v>
      </c>
    </row>
    <row r="57" spans="2:6" x14ac:dyDescent="0.2">
      <c r="B57" s="149" t="s">
        <v>513</v>
      </c>
      <c r="C57" s="141" t="s">
        <v>514</v>
      </c>
      <c r="D57" s="149" t="s">
        <v>513</v>
      </c>
      <c r="E57" s="156" t="str">
        <f>+'2) Check dicc. y satelites '!E29</f>
        <v>GHG Reported  Emissions - scope 3: flag original / calculated</v>
      </c>
      <c r="F57" s="149" t="s">
        <v>513</v>
      </c>
    </row>
    <row r="58" spans="2:6" x14ac:dyDescent="0.2">
      <c r="B58" s="149" t="s">
        <v>515</v>
      </c>
      <c r="C58" s="141" t="s">
        <v>516</v>
      </c>
      <c r="D58" s="149" t="s">
        <v>515</v>
      </c>
      <c r="E58" s="156" t="str">
        <f>+'2) Check dicc. y satelites '!E5</f>
        <v>GHG Financed  Emissions: Scope 3</v>
      </c>
      <c r="F58" s="149" t="s">
        <v>515</v>
      </c>
    </row>
  </sheetData>
  <autoFilter ref="B5:E58"/>
  <hyperlinks>
    <hyperlink ref="C6" location="'Interest commisions'!A1" display="Interest commisions"/>
    <hyperlink ref="C7" location="'European Union'!A1" display="European Union"/>
    <hyperlink ref="C16" location="'Maturity ESG'!A1" display="Maturity ESG"/>
    <hyperlink ref="C11" location="'Exc from EU Paris-aligned bench'!A1" display="Excluded from EU Paris-aligned benchmark"/>
    <hyperlink ref="C14" location="'Chronic changes'!A1" display="Chronic changes"/>
    <hyperlink ref="C15" location="'Acute changes'!A1" display="Acute changes"/>
    <hyperlink ref="C12" location="'Environmentally sustainable CCM'!A1" display="Environmentally sustainable CCM"/>
    <hyperlink ref="C21" location="'EP Score'!A1" display="EP Score"/>
    <hyperlink ref="C23" location="'EPC Label'!A1" display="EPC Label"/>
    <hyperlink ref="C24" location="'European Union'!A1" display="European Union"/>
    <hyperlink ref="C20" location="'EP Score Data'!A1" display="EP Score Data"/>
    <hyperlink ref="C22" location="'EPC Label Data'!A1" display="EPC Label Data"/>
    <hyperlink ref="C29" location="'Risk Mitigated CCP'!A1" display="Risk Mitigated CCP"/>
    <hyperlink ref="C28" location="'Risk Mitigated CCT'!A1" display="Risk Mitigated CCT"/>
    <hyperlink ref="C25" location="'Green Financial Instrument'!A1" display="Green Financial Instrument"/>
    <hyperlink ref="C26" location="'Purpose ESG'!A1" display="Purpose ESG"/>
    <hyperlink ref="C31" location="'ESG Subsector'!A1" display="ESG Subsector"/>
    <hyperlink ref="C32" location="'Purpose ESG'!A1" display="Purpose ESG"/>
    <hyperlink ref="C33" location="'NFRD disclosures'!A1" display="NFRD disclosures"/>
    <hyperlink ref="C34" location="'European Union'!A1" display="European Union"/>
    <hyperlink ref="C35" location="'Climate Change Mitigation'!A1" display="Climate Change Mitigation"/>
    <hyperlink ref="C36" location="'Climate Change Adaptation'!A1" display="Climate Change Adaptation"/>
    <hyperlink ref="C38" location="'Environmentally sustainable CCM'!A1" display="Environmentally sustainable CCM"/>
    <hyperlink ref="C40" location="'Specialised lending'!A1" display="Specialised lending"/>
    <hyperlink ref="C41" location="Transitional!A1" display="Transitional"/>
    <hyperlink ref="C42" location="'Enabling CCM'!A1" display="Enabling CCM"/>
    <hyperlink ref="C44" location="'Originated during period'!A1" display="Originated during period"/>
    <hyperlink ref="C37" location="'General_Specific purpose'!A1" display="General_Specific purpose"/>
    <hyperlink ref="C43" location="'Enabling CCA'!A1" display="Enabling CCA"/>
    <hyperlink ref="C39" location="'Environmentally sustainable CCA'!A1" display="Environmentally sustainable CCA"/>
  </hyperlinks>
  <pageMargins left="0.7" right="0.7" top="0.75" bottom="0.75" header="0.3" footer="0.3"/>
  <pageSetup orientation="portrait" r:id="rId1"/>
  <headerFooter>
    <oddHeader>&amp;L&amp;"Calibri"&amp;10&amp;K000000Confidential&amp;1#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5E2495D-AA81-4328-A434-99667FB303A9}"/>
</file>

<file path=customXml/itemProps2.xml><?xml version="1.0" encoding="utf-8"?>
<ds:datastoreItem xmlns:ds="http://schemas.openxmlformats.org/officeDocument/2006/customXml" ds:itemID="{68FC2D60-607C-4D72-8DB0-047475795446}">
  <ds:schemaRefs>
    <ds:schemaRef ds:uri="http://schemas.microsoft.com/sharepoint/v3/contenttype/forms"/>
  </ds:schemaRefs>
</ds:datastoreItem>
</file>

<file path=customXml/itemProps3.xml><?xml version="1.0" encoding="utf-8"?>
<ds:datastoreItem xmlns:ds="http://schemas.openxmlformats.org/officeDocument/2006/customXml" ds:itemID="{851BF999-FF1A-4354-9F53-D10FFFC04AA5}">
  <ds:schemaRefs>
    <ds:schemaRef ds:uri="http://purl.org/dc/dcmitype/"/>
    <ds:schemaRef ds:uri="http://schemas.openxmlformats.org/package/2006/metadata/core-properties"/>
    <ds:schemaRef ds:uri="http://www.w3.org/XML/1998/namespace"/>
    <ds:schemaRef ds:uri="http://purl.org/dc/elements/1.1/"/>
    <ds:schemaRef ds:uri="767d911d-09c2-43d9-a326-6ded42ddccd2"/>
    <ds:schemaRef ds:uri="http://schemas.microsoft.com/office/infopath/2007/PartnerControls"/>
    <ds:schemaRef ds:uri="http://schemas.microsoft.com/office/2006/documentManagement/typ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0. Instructions</vt:lpstr>
      <vt:lpstr>1. Data dictionary</vt:lpstr>
      <vt:lpstr>Sheet1</vt:lpstr>
      <vt:lpstr>2. Track Changes V4</vt:lpstr>
      <vt:lpstr>2) Check dicc. y satelites </vt:lpstr>
      <vt:lpstr>3) Todos satelites </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x470429</dc:creator>
  <cp:lastModifiedBy>Joaquim Pedro Gariso Coimbra</cp:lastModifiedBy>
  <dcterms:created xsi:type="dcterms:W3CDTF">2022-03-31T11:41:16Z</dcterms:created>
  <dcterms:modified xsi:type="dcterms:W3CDTF">2023-05-10T16:53:44Z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y fmtid="{D5CDD505-2E9C-101B-9397-08002B2CF9AE}" pid="3" name="MSIP_Label_3c41c091-3cbc-4dba-8b59-ce62f19500db_Enabled">
    <vt:lpwstr>true</vt:lpwstr>
  </property>
  <property fmtid="{D5CDD505-2E9C-101B-9397-08002B2CF9AE}" pid="4" name="MSIP_Label_3c41c091-3cbc-4dba-8b59-ce62f19500db_SetDate">
    <vt:lpwstr>2023-05-10T16:53:44Z</vt:lpwstr>
  </property>
  <property fmtid="{D5CDD505-2E9C-101B-9397-08002B2CF9AE}" pid="5" name="MSIP_Label_3c41c091-3cbc-4dba-8b59-ce62f19500db_Method">
    <vt:lpwstr>Privileged</vt:lpwstr>
  </property>
  <property fmtid="{D5CDD505-2E9C-101B-9397-08002B2CF9AE}" pid="6" name="MSIP_Label_3c41c091-3cbc-4dba-8b59-ce62f19500db_Name">
    <vt:lpwstr>Confidential_0_1</vt:lpwstr>
  </property>
  <property fmtid="{D5CDD505-2E9C-101B-9397-08002B2CF9AE}" pid="7" name="MSIP_Label_3c41c091-3cbc-4dba-8b59-ce62f19500db_SiteId">
    <vt:lpwstr>35595a02-4d6d-44ac-99e1-f9ab4cd872db</vt:lpwstr>
  </property>
  <property fmtid="{D5CDD505-2E9C-101B-9397-08002B2CF9AE}" pid="8" name="MSIP_Label_3c41c091-3cbc-4dba-8b59-ce62f19500db_ActionId">
    <vt:lpwstr>ab27681d-d1c1-4ca5-a9ed-7e5ab4a8df7b</vt:lpwstr>
  </property>
  <property fmtid="{D5CDD505-2E9C-101B-9397-08002B2CF9AE}" pid="9" name="MSIP_Label_3c41c091-3cbc-4dba-8b59-ce62f19500db_ContentBits">
    <vt:lpwstr>1</vt:lpwstr>
  </property>
</Properties>
</file>