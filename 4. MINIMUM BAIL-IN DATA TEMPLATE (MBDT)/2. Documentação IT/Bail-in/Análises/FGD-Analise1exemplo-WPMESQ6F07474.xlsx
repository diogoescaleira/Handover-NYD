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Análises/"/>
    </mc:Choice>
  </mc:AlternateContent>
  <bookViews>
    <workbookView xWindow="0" yWindow="0" windowWidth="20385" windowHeight="7590"/>
  </bookViews>
  <sheets>
    <sheet name="Sheet1" sheetId="1" r:id="rId1"/>
  </sheets>
  <definedNames>
    <definedName name="_xlnm._FilterDatabase" localSheetId="0" hidden="1">Sheet1!$A$27:$AT$27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17" i="1" l="1"/>
  <c r="AN15" i="1"/>
  <c r="AW15" i="1"/>
  <c r="AV15" i="1"/>
  <c r="AM15" i="1"/>
  <c r="AU15" i="1"/>
</calcChain>
</file>

<file path=xl/sharedStrings.xml><?xml version="1.0" encoding="utf-8"?>
<sst xmlns="http://schemas.openxmlformats.org/spreadsheetml/2006/main" count="899" uniqueCount="104">
  <si>
    <t>cempresa</t>
  </si>
  <si>
    <t>cbalcao</t>
  </si>
  <si>
    <t>cnumecta</t>
  </si>
  <si>
    <t>zdeposit</t>
  </si>
  <si>
    <t>ccliente</t>
  </si>
  <si>
    <t>indexc</t>
  </si>
  <si>
    <t>artigo</t>
  </si>
  <si>
    <t>nartigo</t>
  </si>
  <si>
    <t>calinea</t>
  </si>
  <si>
    <t>ndepositantes</t>
  </si>
  <si>
    <t>gcliente</t>
  </si>
  <si>
    <t>ctipdoc</t>
  </si>
  <si>
    <t>ckdocid</t>
  </si>
  <si>
    <t>csetor_inst</t>
  </si>
  <si>
    <t>cconta</t>
  </si>
  <si>
    <t>tpconta</t>
  </si>
  <si>
    <t>msaldo</t>
  </si>
  <si>
    <t>caractcta</t>
  </si>
  <si>
    <t>qtitular</t>
  </si>
  <si>
    <t>pcapjur</t>
  </si>
  <si>
    <t>sldimp</t>
  </si>
  <si>
    <t>mjurimp</t>
  </si>
  <si>
    <t>ccontab</t>
  </si>
  <si>
    <t>ccontab_juro</t>
  </si>
  <si>
    <t>cmoeda_orig</t>
  </si>
  <si>
    <t>cpais_fiscal</t>
  </si>
  <si>
    <t>cnatureza_juri</t>
  </si>
  <si>
    <t>csubproduto</t>
  </si>
  <si>
    <t>caplic</t>
  </si>
  <si>
    <t>flag_ativo</t>
  </si>
  <si>
    <t>mgarantido_eur</t>
  </si>
  <si>
    <t>mgarantido_me</t>
  </si>
  <si>
    <t>mtot_garantido_por_deposito</t>
  </si>
  <si>
    <t>prop_dep_eur</t>
  </si>
  <si>
    <t>prop_dep_me</t>
  </si>
  <si>
    <t>mcoberto_eur</t>
  </si>
  <si>
    <t>mcoberto_me</t>
  </si>
  <si>
    <t>mtot_coberto_por_depositante</t>
  </si>
  <si>
    <t>mtot_nao_coberto_por_depositante</t>
  </si>
  <si>
    <t>classes</t>
  </si>
  <si>
    <t>ctipo_contrato</t>
  </si>
  <si>
    <t>ckutulmo</t>
  </si>
  <si>
    <t>htimest</t>
  </si>
  <si>
    <t>ref_date</t>
  </si>
  <si>
    <t>31</t>
  </si>
  <si>
    <t>0003</t>
  </si>
  <si>
    <t>31549876061</t>
  </si>
  <si>
    <t>000000100000000</t>
  </si>
  <si>
    <t>7401273782</t>
  </si>
  <si>
    <t>I</t>
  </si>
  <si>
    <t>0</t>
  </si>
  <si>
    <t>#</t>
  </si>
  <si>
    <t>1</t>
  </si>
  <si>
    <t>TERESA SANTOS NUNES</t>
  </si>
  <si>
    <t>501</t>
  </si>
  <si>
    <t>0218991312</t>
  </si>
  <si>
    <t xml:space="preserve">S14            </t>
  </si>
  <si>
    <t>000331549876061</t>
  </si>
  <si>
    <t xml:space="preserve">DP    </t>
  </si>
  <si>
    <t>I00</t>
  </si>
  <si>
    <t>3</t>
  </si>
  <si>
    <t xml:space="preserve">37054    </t>
  </si>
  <si>
    <t xml:space="preserve">5237054  </t>
  </si>
  <si>
    <t>EUR</t>
  </si>
  <si>
    <t>620</t>
  </si>
  <si>
    <t>132120</t>
  </si>
  <si>
    <t>061688</t>
  </si>
  <si>
    <t>DP</t>
  </si>
  <si>
    <t>5</t>
  </si>
  <si>
    <t>CA</t>
  </si>
  <si>
    <t>C605287</t>
  </si>
  <si>
    <t>2024-09-30</t>
  </si>
  <si>
    <t>8000356373</t>
  </si>
  <si>
    <t>SAUL FERNANDES RODRIGUES NUNES</t>
  </si>
  <si>
    <t>0122001540</t>
  </si>
  <si>
    <t>8011041329</t>
  </si>
  <si>
    <t>MARIA MANUELA SARAIVA SANTOS</t>
  </si>
  <si>
    <t>0122001532</t>
  </si>
  <si>
    <t>35170133020</t>
  </si>
  <si>
    <t>000000000000000</t>
  </si>
  <si>
    <t>000335170133020</t>
  </si>
  <si>
    <t xml:space="preserve">DC    </t>
  </si>
  <si>
    <t xml:space="preserve">37058    </t>
  </si>
  <si>
    <t xml:space="preserve">5237058  </t>
  </si>
  <si>
    <t>020780</t>
  </si>
  <si>
    <t>DC</t>
  </si>
  <si>
    <t>34756205020</t>
  </si>
  <si>
    <t>000334756205020</t>
  </si>
  <si>
    <t>020779</t>
  </si>
  <si>
    <t>36805414020</t>
  </si>
  <si>
    <t>000336805414020</t>
  </si>
  <si>
    <t>0000</t>
  </si>
  <si>
    <t>00679872001</t>
  </si>
  <si>
    <t>000000679872001</t>
  </si>
  <si>
    <t xml:space="preserve">37052    </t>
  </si>
  <si>
    <t xml:space="preserve">5237052  </t>
  </si>
  <si>
    <t>020170</t>
  </si>
  <si>
    <t>36760890020</t>
  </si>
  <si>
    <t>000336760890020</t>
  </si>
  <si>
    <t>38655023020</t>
  </si>
  <si>
    <t>000338655023020</t>
  </si>
  <si>
    <t>select * from cd_alm,fg001_fgd where ref_date='2024-09-30' and  ccliente='7401273782'</t>
  </si>
  <si>
    <t>select * from cd_alm,fg001_fgd where ref_date='2024-09-30' and  ccliente='8000356373'</t>
  </si>
  <si>
    <t>select * from cd_alm,fg001_fgd where ref_date='2024-09-30' and  ccliente='8011041329'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</si>
</sst>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NumberFormat="1" applyBorder="1"/>
    <xf numFmtId="0" fontId="0" fillId="0" borderId="0" xfId="0" applyNumberFormat="1"/>
    <xf numFmtId="0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4"/>
  <sheetViews>
    <sheetView tabSelected="1" workbookViewId="0">
      <selection activeCell="K1" sqref="K1"/>
    </sheetView>
  </sheetViews>
  <sheetFormatPr defaultColWidth="9.28515625" defaultRowHeight="15" x14ac:dyDescent="0.25"/>
  <cols>
    <col min="1" max="1" width="9.5703125" style="2" bestFit="1" customWidth="1"/>
    <col min="2" max="2" width="7.5703125" style="2" bestFit="1" customWidth="1"/>
    <col min="3" max="3" width="12" style="2" bestFit="1" customWidth="1"/>
    <col min="4" max="4" width="16.140625" style="2" bestFit="1" customWidth="1"/>
    <col min="5" max="5" width="11" style="2" bestFit="1" customWidth="1"/>
    <col min="6" max="6" width="6.85546875" style="2" bestFit="1" customWidth="1"/>
    <col min="7" max="7" width="6.140625" style="2" bestFit="1" customWidth="1"/>
    <col min="8" max="9" width="7.28515625" style="2" bestFit="1" customWidth="1"/>
    <col min="10" max="10" width="13.85546875" style="2" bestFit="1" customWidth="1"/>
    <col min="11" max="11" width="34.42578125" style="2" bestFit="1" customWidth="1"/>
    <col min="12" max="12" width="7.42578125" style="2" bestFit="1" customWidth="1"/>
    <col min="13" max="13" width="11" style="2" bestFit="1" customWidth="1"/>
    <col min="14" max="14" width="10.7109375" style="2" bestFit="1" customWidth="1"/>
    <col min="15" max="15" width="16.140625" style="2" bestFit="1" customWidth="1"/>
    <col min="16" max="16" width="7.7109375" style="2" bestFit="1" customWidth="1"/>
    <col min="17" max="17" width="10.5703125" style="2" bestFit="1" customWidth="1"/>
    <col min="18" max="18" width="8.7109375" style="2" bestFit="1" customWidth="1"/>
    <col min="19" max="19" width="7.5703125" style="2" bestFit="1" customWidth="1"/>
    <col min="20" max="20" width="10.5703125" style="2" bestFit="1" customWidth="1"/>
    <col min="21" max="21" width="15.7109375" style="2" bestFit="1" customWidth="1"/>
    <col min="22" max="22" width="11.5703125" style="2" bestFit="1" customWidth="1"/>
    <col min="23" max="23" width="7.85546875" style="2" bestFit="1" customWidth="1"/>
    <col min="24" max="25" width="12.42578125" style="2" bestFit="1" customWidth="1"/>
    <col min="26" max="26" width="11" style="2" bestFit="1" customWidth="1"/>
    <col min="27" max="27" width="13.7109375" style="2" bestFit="1" customWidth="1"/>
    <col min="28" max="28" width="12.140625" style="2" bestFit="1" customWidth="1"/>
    <col min="29" max="29" width="6" style="2" bestFit="1" customWidth="1"/>
    <col min="30" max="30" width="9.7109375" style="2" bestFit="1" customWidth="1"/>
    <col min="31" max="31" width="15.7109375" style="2" bestFit="1" customWidth="1"/>
    <col min="32" max="32" width="15.140625" style="2" bestFit="1" customWidth="1"/>
    <col min="33" max="33" width="28.140625" style="2" bestFit="1" customWidth="1"/>
    <col min="34" max="34" width="13.7109375" style="2" bestFit="1" customWidth="1"/>
    <col min="35" max="35" width="13.7109375" style="2" customWidth="1"/>
    <col min="36" max="36" width="13.5703125" style="2" bestFit="1" customWidth="1"/>
    <col min="37" max="37" width="14.7109375" style="2" bestFit="1" customWidth="1"/>
    <col min="38" max="38" width="13.5703125" style="2" bestFit="1" customWidth="1"/>
    <col min="39" max="39" width="29.42578125" style="2" bestFit="1" customWidth="1"/>
    <col min="40" max="40" width="34" style="2" bestFit="1" customWidth="1"/>
    <col min="41" max="41" width="7.140625" style="2" bestFit="1" customWidth="1"/>
    <col min="42" max="42" width="14" style="2" bestFit="1" customWidth="1"/>
    <col min="43" max="43" width="9.28515625" style="2"/>
    <col min="44" max="44" width="22" style="2" bestFit="1" customWidth="1"/>
    <col min="45" max="45" width="10.42578125" style="2" bestFit="1" customWidth="1"/>
    <col min="46" max="46" width="9.28515625" style="2"/>
    <col min="47" max="47" width="11.42578125" style="2" bestFit="1" customWidth="1"/>
    <col min="48" max="48" width="10" style="2" bestFit="1" customWidth="1"/>
    <col min="49" max="16384" width="9.28515625" style="2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/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/>
    </row>
    <row r="2" spans="1:49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>
        <v>1000000</v>
      </c>
      <c r="R2" s="1" t="s">
        <v>59</v>
      </c>
      <c r="S2" s="1" t="s">
        <v>60</v>
      </c>
      <c r="T2" s="1">
        <v>0.33333332999999998</v>
      </c>
      <c r="U2" s="1">
        <v>333333.33333333</v>
      </c>
      <c r="V2" s="1">
        <v>14.26</v>
      </c>
      <c r="W2" s="1" t="s">
        <v>61</v>
      </c>
      <c r="X2" s="1" t="s">
        <v>62</v>
      </c>
      <c r="Y2" s="1" t="s">
        <v>63</v>
      </c>
      <c r="Z2" s="1" t="s">
        <v>64</v>
      </c>
      <c r="AA2" s="1" t="s">
        <v>65</v>
      </c>
      <c r="AB2" s="1" t="s">
        <v>66</v>
      </c>
      <c r="AC2" s="1" t="s">
        <v>67</v>
      </c>
      <c r="AD2" s="1" t="s">
        <v>52</v>
      </c>
      <c r="AE2" s="1">
        <v>333347.59333333001</v>
      </c>
      <c r="AF2" s="1">
        <v>0</v>
      </c>
      <c r="AG2" s="1">
        <v>333347.59333333001</v>
      </c>
      <c r="AH2" s="1">
        <v>0.97970168000000002</v>
      </c>
      <c r="AI2" s="1"/>
      <c r="AJ2" s="1">
        <v>0</v>
      </c>
      <c r="AK2" s="1">
        <v>97970.168458569999</v>
      </c>
      <c r="AL2" s="1">
        <v>0</v>
      </c>
      <c r="AM2" s="1">
        <v>97970.168458569999</v>
      </c>
      <c r="AN2" s="1">
        <v>235377.42487476001</v>
      </c>
      <c r="AO2" s="1" t="s">
        <v>68</v>
      </c>
      <c r="AP2" s="1" t="s">
        <v>69</v>
      </c>
      <c r="AQ2" s="1" t="s">
        <v>70</v>
      </c>
      <c r="AR2" s="1">
        <v>45573.803158437498</v>
      </c>
      <c r="AS2" s="1" t="s">
        <v>71</v>
      </c>
      <c r="AT2" s="1"/>
    </row>
    <row r="3" spans="1:49" x14ac:dyDescent="0.25">
      <c r="A3" s="1" t="s">
        <v>44</v>
      </c>
      <c r="B3" s="1" t="s">
        <v>45</v>
      </c>
      <c r="C3" s="1" t="s">
        <v>46</v>
      </c>
      <c r="D3" s="1" t="s">
        <v>47</v>
      </c>
      <c r="E3" s="1" t="s">
        <v>72</v>
      </c>
      <c r="F3" s="1" t="s">
        <v>49</v>
      </c>
      <c r="G3" s="1" t="s">
        <v>50</v>
      </c>
      <c r="H3" s="1" t="s">
        <v>50</v>
      </c>
      <c r="I3" s="1" t="s">
        <v>51</v>
      </c>
      <c r="J3" s="1" t="s">
        <v>52</v>
      </c>
      <c r="K3" s="1" t="s">
        <v>73</v>
      </c>
      <c r="L3" s="1" t="s">
        <v>54</v>
      </c>
      <c r="M3" s="1" t="s">
        <v>74</v>
      </c>
      <c r="N3" s="1" t="s">
        <v>56</v>
      </c>
      <c r="O3" s="1" t="s">
        <v>57</v>
      </c>
      <c r="P3" s="1" t="s">
        <v>58</v>
      </c>
      <c r="Q3" s="1">
        <v>1000000</v>
      </c>
      <c r="R3" s="1" t="s">
        <v>59</v>
      </c>
      <c r="S3" s="1" t="s">
        <v>60</v>
      </c>
      <c r="T3" s="1">
        <v>0.33333332999999998</v>
      </c>
      <c r="U3" s="1">
        <v>333333.33333333</v>
      </c>
      <c r="V3" s="1">
        <v>14.26</v>
      </c>
      <c r="W3" s="1" t="s">
        <v>61</v>
      </c>
      <c r="X3" s="1" t="s">
        <v>62</v>
      </c>
      <c r="Y3" s="1" t="s">
        <v>63</v>
      </c>
      <c r="Z3" s="1" t="s">
        <v>64</v>
      </c>
      <c r="AA3" s="1" t="s">
        <v>65</v>
      </c>
      <c r="AB3" s="1" t="s">
        <v>66</v>
      </c>
      <c r="AC3" s="1" t="s">
        <v>67</v>
      </c>
      <c r="AD3" s="1" t="s">
        <v>52</v>
      </c>
      <c r="AE3" s="1">
        <v>333347.59333333001</v>
      </c>
      <c r="AF3" s="1">
        <v>0</v>
      </c>
      <c r="AG3" s="1">
        <v>333347.59333333001</v>
      </c>
      <c r="AH3" s="1">
        <v>0.97970168000000002</v>
      </c>
      <c r="AI3" s="1"/>
      <c r="AJ3" s="1">
        <v>0</v>
      </c>
      <c r="AK3" s="1">
        <v>97970.168458569999</v>
      </c>
      <c r="AL3" s="1">
        <v>0</v>
      </c>
      <c r="AM3" s="1">
        <v>97970.168458569999</v>
      </c>
      <c r="AN3" s="1">
        <v>235377.42487476001</v>
      </c>
      <c r="AO3" s="1" t="s">
        <v>68</v>
      </c>
      <c r="AP3" s="1" t="s">
        <v>69</v>
      </c>
      <c r="AQ3" s="1" t="s">
        <v>70</v>
      </c>
      <c r="AR3" s="1">
        <v>45573.803158437498</v>
      </c>
      <c r="AS3" s="1" t="s">
        <v>71</v>
      </c>
      <c r="AT3" s="1"/>
    </row>
    <row r="4" spans="1:49" x14ac:dyDescent="0.25">
      <c r="A4" s="1" t="s">
        <v>44</v>
      </c>
      <c r="B4" s="1" t="s">
        <v>45</v>
      </c>
      <c r="C4" s="1" t="s">
        <v>46</v>
      </c>
      <c r="D4" s="1" t="s">
        <v>47</v>
      </c>
      <c r="E4" s="1" t="s">
        <v>75</v>
      </c>
      <c r="F4" s="1" t="s">
        <v>49</v>
      </c>
      <c r="G4" s="1" t="s">
        <v>50</v>
      </c>
      <c r="H4" s="1" t="s">
        <v>50</v>
      </c>
      <c r="I4" s="1" t="s">
        <v>51</v>
      </c>
      <c r="J4" s="1" t="s">
        <v>52</v>
      </c>
      <c r="K4" s="1" t="s">
        <v>76</v>
      </c>
      <c r="L4" s="1" t="s">
        <v>54</v>
      </c>
      <c r="M4" s="1" t="s">
        <v>77</v>
      </c>
      <c r="N4" s="1" t="s">
        <v>56</v>
      </c>
      <c r="O4" s="1" t="s">
        <v>57</v>
      </c>
      <c r="P4" s="1" t="s">
        <v>58</v>
      </c>
      <c r="Q4" s="1">
        <v>1000000</v>
      </c>
      <c r="R4" s="1" t="s">
        <v>59</v>
      </c>
      <c r="S4" s="1" t="s">
        <v>60</v>
      </c>
      <c r="T4" s="1">
        <v>0.33333332999999998</v>
      </c>
      <c r="U4" s="1">
        <v>333333.33333333</v>
      </c>
      <c r="V4" s="1">
        <v>14.26</v>
      </c>
      <c r="W4" s="1" t="s">
        <v>61</v>
      </c>
      <c r="X4" s="1" t="s">
        <v>62</v>
      </c>
      <c r="Y4" s="1" t="s">
        <v>63</v>
      </c>
      <c r="Z4" s="1" t="s">
        <v>64</v>
      </c>
      <c r="AA4" s="1" t="s">
        <v>65</v>
      </c>
      <c r="AB4" s="1" t="s">
        <v>66</v>
      </c>
      <c r="AC4" s="1" t="s">
        <v>67</v>
      </c>
      <c r="AD4" s="1" t="s">
        <v>52</v>
      </c>
      <c r="AE4" s="1">
        <v>333347.59333333001</v>
      </c>
      <c r="AF4" s="1">
        <v>0</v>
      </c>
      <c r="AG4" s="1">
        <v>333347.59333333001</v>
      </c>
      <c r="AH4" s="1">
        <v>0.97970168000000002</v>
      </c>
      <c r="AI4" s="1"/>
      <c r="AJ4" s="1">
        <v>0</v>
      </c>
      <c r="AK4" s="1">
        <v>97970.168458569999</v>
      </c>
      <c r="AL4" s="1">
        <v>0</v>
      </c>
      <c r="AM4" s="1">
        <v>97970.168458569999</v>
      </c>
      <c r="AN4" s="1">
        <v>235377.42487476001</v>
      </c>
      <c r="AO4" s="1" t="s">
        <v>68</v>
      </c>
      <c r="AP4" s="1" t="s">
        <v>69</v>
      </c>
      <c r="AQ4" s="1" t="s">
        <v>70</v>
      </c>
      <c r="AR4" s="1">
        <v>45573.803158437498</v>
      </c>
      <c r="AS4" s="1" t="s">
        <v>71</v>
      </c>
      <c r="AT4" s="1"/>
    </row>
    <row r="6" spans="1:49" x14ac:dyDescent="0.25">
      <c r="A6" s="3" t="s">
        <v>101</v>
      </c>
    </row>
    <row r="7" spans="1:49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/>
      <c r="AJ7" s="1" t="s">
        <v>34</v>
      </c>
      <c r="AK7" s="1" t="s">
        <v>35</v>
      </c>
      <c r="AL7" s="1" t="s">
        <v>36</v>
      </c>
      <c r="AM7" s="1" t="s">
        <v>37</v>
      </c>
      <c r="AN7" s="1" t="s">
        <v>38</v>
      </c>
      <c r="AO7" s="1" t="s">
        <v>39</v>
      </c>
      <c r="AP7" s="1" t="s">
        <v>40</v>
      </c>
      <c r="AQ7" s="1" t="s">
        <v>41</v>
      </c>
      <c r="AR7" s="1" t="s">
        <v>42</v>
      </c>
      <c r="AS7" s="1" t="s">
        <v>43</v>
      </c>
      <c r="AT7" s="1"/>
    </row>
    <row r="8" spans="1:49" x14ac:dyDescent="0.25">
      <c r="A8" s="1" t="s">
        <v>44</v>
      </c>
      <c r="B8" s="1" t="s">
        <v>91</v>
      </c>
      <c r="C8" s="1" t="s">
        <v>92</v>
      </c>
      <c r="D8" s="1" t="s">
        <v>79</v>
      </c>
      <c r="E8" s="1" t="s">
        <v>48</v>
      </c>
      <c r="F8" s="1" t="s">
        <v>49</v>
      </c>
      <c r="G8" s="1" t="s">
        <v>50</v>
      </c>
      <c r="H8" s="1" t="s">
        <v>50</v>
      </c>
      <c r="I8" s="1" t="s">
        <v>51</v>
      </c>
      <c r="J8" s="1" t="s">
        <v>52</v>
      </c>
      <c r="K8" s="1" t="s">
        <v>53</v>
      </c>
      <c r="L8" s="1" t="s">
        <v>54</v>
      </c>
      <c r="M8" s="1" t="s">
        <v>55</v>
      </c>
      <c r="N8" s="1" t="s">
        <v>56</v>
      </c>
      <c r="O8" s="1" t="s">
        <v>93</v>
      </c>
      <c r="P8" s="1" t="s">
        <v>81</v>
      </c>
      <c r="Q8" s="1">
        <v>12523.8</v>
      </c>
      <c r="R8" s="1" t="s">
        <v>59</v>
      </c>
      <c r="S8" s="1" t="s">
        <v>60</v>
      </c>
      <c r="T8" s="1">
        <v>0.33333332999999998</v>
      </c>
      <c r="U8" s="1">
        <v>4174.6000000000004</v>
      </c>
      <c r="V8" s="1">
        <v>0</v>
      </c>
      <c r="W8" s="1" t="s">
        <v>94</v>
      </c>
      <c r="X8" s="1" t="s">
        <v>95</v>
      </c>
      <c r="Y8" s="1" t="s">
        <v>63</v>
      </c>
      <c r="Z8" s="1" t="s">
        <v>64</v>
      </c>
      <c r="AA8" s="1" t="s">
        <v>65</v>
      </c>
      <c r="AB8" s="1" t="s">
        <v>96</v>
      </c>
      <c r="AC8" s="1" t="s">
        <v>85</v>
      </c>
      <c r="AD8" s="1" t="s">
        <v>52</v>
      </c>
      <c r="AE8" s="1">
        <v>4174.6000000000004</v>
      </c>
      <c r="AF8" s="1">
        <v>0</v>
      </c>
      <c r="AG8" s="1">
        <v>4174.6000000000004</v>
      </c>
      <c r="AH8" s="1">
        <v>1.226906E-2</v>
      </c>
      <c r="AI8" s="1"/>
      <c r="AJ8" s="1">
        <v>0</v>
      </c>
      <c r="AK8" s="1">
        <v>1226.9063086900001</v>
      </c>
      <c r="AL8" s="1">
        <v>0</v>
      </c>
      <c r="AM8" s="1">
        <v>1226.9063086900001</v>
      </c>
      <c r="AN8" s="1">
        <v>2947.6936913099998</v>
      </c>
      <c r="AO8" s="1" t="s">
        <v>68</v>
      </c>
      <c r="AP8" s="1" t="s">
        <v>69</v>
      </c>
      <c r="AQ8" s="1" t="s">
        <v>70</v>
      </c>
      <c r="AR8" s="1">
        <v>45573.803158437498</v>
      </c>
      <c r="AS8" s="1" t="s">
        <v>71</v>
      </c>
      <c r="AT8" s="1"/>
      <c r="AU8" s="1">
        <v>12523.8</v>
      </c>
    </row>
    <row r="9" spans="1:49" x14ac:dyDescent="0.25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50</v>
      </c>
      <c r="I9" s="1" t="s">
        <v>51</v>
      </c>
      <c r="J9" s="1" t="s">
        <v>52</v>
      </c>
      <c r="K9" s="1" t="s">
        <v>53</v>
      </c>
      <c r="L9" s="1" t="s">
        <v>54</v>
      </c>
      <c r="M9" s="1" t="s">
        <v>55</v>
      </c>
      <c r="N9" s="1" t="s">
        <v>56</v>
      </c>
      <c r="O9" s="1" t="s">
        <v>57</v>
      </c>
      <c r="P9" s="1" t="s">
        <v>58</v>
      </c>
      <c r="Q9" s="1">
        <v>1000000</v>
      </c>
      <c r="R9" s="1" t="s">
        <v>59</v>
      </c>
      <c r="S9" s="1" t="s">
        <v>60</v>
      </c>
      <c r="T9" s="1">
        <v>0.33333332999999998</v>
      </c>
      <c r="U9" s="1">
        <v>333333.33333333</v>
      </c>
      <c r="V9" s="1">
        <v>14.26</v>
      </c>
      <c r="W9" s="1" t="s">
        <v>61</v>
      </c>
      <c r="X9" s="1" t="s">
        <v>62</v>
      </c>
      <c r="Y9" s="1" t="s">
        <v>63</v>
      </c>
      <c r="Z9" s="1" t="s">
        <v>64</v>
      </c>
      <c r="AA9" s="1" t="s">
        <v>65</v>
      </c>
      <c r="AB9" s="1" t="s">
        <v>66</v>
      </c>
      <c r="AC9" s="1" t="s">
        <v>67</v>
      </c>
      <c r="AD9" s="1" t="s">
        <v>52</v>
      </c>
      <c r="AE9" s="1">
        <v>333347.59333333001</v>
      </c>
      <c r="AF9" s="1">
        <v>0</v>
      </c>
      <c r="AG9" s="1">
        <v>333347.59333333001</v>
      </c>
      <c r="AH9" s="1">
        <v>0.97970168000000002</v>
      </c>
      <c r="AI9" s="1"/>
      <c r="AJ9" s="1">
        <v>0</v>
      </c>
      <c r="AK9" s="1">
        <v>97970.168458569999</v>
      </c>
      <c r="AL9" s="1">
        <v>0</v>
      </c>
      <c r="AM9" s="1">
        <v>97970.168458569999</v>
      </c>
      <c r="AN9" s="1">
        <v>235377.42487476001</v>
      </c>
      <c r="AO9" s="1" t="s">
        <v>68</v>
      </c>
      <c r="AP9" s="1" t="s">
        <v>69</v>
      </c>
      <c r="AQ9" s="1" t="s">
        <v>70</v>
      </c>
      <c r="AR9" s="1">
        <v>45573.803158437498</v>
      </c>
      <c r="AS9" s="1" t="s">
        <v>71</v>
      </c>
      <c r="AT9" s="1"/>
      <c r="AU9" s="1">
        <v>1000000</v>
      </c>
    </row>
    <row r="10" spans="1:49" x14ac:dyDescent="0.25">
      <c r="A10" s="1" t="s">
        <v>44</v>
      </c>
      <c r="B10" s="1" t="s">
        <v>45</v>
      </c>
      <c r="C10" s="1" t="s">
        <v>86</v>
      </c>
      <c r="D10" s="1" t="s">
        <v>79</v>
      </c>
      <c r="E10" s="1" t="s">
        <v>48</v>
      </c>
      <c r="F10" s="1" t="s">
        <v>49</v>
      </c>
      <c r="G10" s="1" t="s">
        <v>50</v>
      </c>
      <c r="H10" s="1" t="s">
        <v>50</v>
      </c>
      <c r="I10" s="1" t="s">
        <v>51</v>
      </c>
      <c r="J10" s="1" t="s">
        <v>52</v>
      </c>
      <c r="K10" s="1" t="s">
        <v>53</v>
      </c>
      <c r="L10" s="1" t="s">
        <v>54</v>
      </c>
      <c r="M10" s="1" t="s">
        <v>55</v>
      </c>
      <c r="N10" s="1" t="s">
        <v>56</v>
      </c>
      <c r="O10" s="1" t="s">
        <v>87</v>
      </c>
      <c r="P10" s="1" t="s">
        <v>81</v>
      </c>
      <c r="Q10" s="1">
        <v>0.84</v>
      </c>
      <c r="R10" s="1" t="s">
        <v>59</v>
      </c>
      <c r="S10" s="1" t="s">
        <v>60</v>
      </c>
      <c r="T10" s="1">
        <v>0.33333332999999998</v>
      </c>
      <c r="U10" s="1">
        <v>0.28000000000000003</v>
      </c>
      <c r="V10" s="1">
        <v>0</v>
      </c>
      <c r="W10" s="1" t="s">
        <v>82</v>
      </c>
      <c r="X10" s="1" t="s">
        <v>83</v>
      </c>
      <c r="Y10" s="1" t="s">
        <v>63</v>
      </c>
      <c r="Z10" s="1" t="s">
        <v>64</v>
      </c>
      <c r="AA10" s="1" t="s">
        <v>65</v>
      </c>
      <c r="AB10" s="1" t="s">
        <v>88</v>
      </c>
      <c r="AC10" s="1" t="s">
        <v>85</v>
      </c>
      <c r="AD10" s="1" t="s">
        <v>52</v>
      </c>
      <c r="AE10" s="1">
        <v>0.28000000000000003</v>
      </c>
      <c r="AF10" s="1">
        <v>0</v>
      </c>
      <c r="AG10" s="1">
        <v>0.28000000000000003</v>
      </c>
      <c r="AH10" s="1">
        <v>8.1999999999999998E-7</v>
      </c>
      <c r="AI10" s="1"/>
      <c r="AJ10" s="1">
        <v>0</v>
      </c>
      <c r="AK10" s="1">
        <v>8.2291420000000004E-2</v>
      </c>
      <c r="AL10" s="1">
        <v>0</v>
      </c>
      <c r="AM10" s="1">
        <v>8.2291420000000004E-2</v>
      </c>
      <c r="AN10" s="1">
        <v>0.19770857999999999</v>
      </c>
      <c r="AO10" s="1" t="s">
        <v>68</v>
      </c>
      <c r="AP10" s="1" t="s">
        <v>69</v>
      </c>
      <c r="AQ10" s="1" t="s">
        <v>70</v>
      </c>
      <c r="AR10" s="1">
        <v>45573.803158437498</v>
      </c>
      <c r="AS10" s="1" t="s">
        <v>71</v>
      </c>
      <c r="AT10" s="1"/>
      <c r="AU10" s="1">
        <v>0.84</v>
      </c>
    </row>
    <row r="11" spans="1:49" x14ac:dyDescent="0.25">
      <c r="A11" s="1" t="s">
        <v>44</v>
      </c>
      <c r="B11" s="1" t="s">
        <v>45</v>
      </c>
      <c r="C11" s="1" t="s">
        <v>78</v>
      </c>
      <c r="D11" s="1" t="s">
        <v>79</v>
      </c>
      <c r="E11" s="1" t="s">
        <v>48</v>
      </c>
      <c r="F11" s="1" t="s">
        <v>49</v>
      </c>
      <c r="G11" s="1" t="s">
        <v>50</v>
      </c>
      <c r="H11" s="1" t="s">
        <v>50</v>
      </c>
      <c r="I11" s="1" t="s">
        <v>51</v>
      </c>
      <c r="J11" s="1" t="s">
        <v>52</v>
      </c>
      <c r="K11" s="1" t="s">
        <v>53</v>
      </c>
      <c r="L11" s="1" t="s">
        <v>54</v>
      </c>
      <c r="M11" s="1" t="s">
        <v>55</v>
      </c>
      <c r="N11" s="1" t="s">
        <v>56</v>
      </c>
      <c r="O11" s="1" t="s">
        <v>80</v>
      </c>
      <c r="P11" s="1" t="s">
        <v>81</v>
      </c>
      <c r="Q11" s="1">
        <v>0</v>
      </c>
      <c r="R11" s="1" t="s">
        <v>59</v>
      </c>
      <c r="S11" s="1" t="s">
        <v>60</v>
      </c>
      <c r="T11" s="1">
        <v>0.33333332999999998</v>
      </c>
      <c r="U11" s="1">
        <v>0</v>
      </c>
      <c r="V11" s="1">
        <v>0</v>
      </c>
      <c r="W11" s="1" t="s">
        <v>82</v>
      </c>
      <c r="X11" s="1" t="s">
        <v>83</v>
      </c>
      <c r="Y11" s="1" t="s">
        <v>63</v>
      </c>
      <c r="Z11" s="1" t="s">
        <v>64</v>
      </c>
      <c r="AA11" s="1" t="s">
        <v>65</v>
      </c>
      <c r="AB11" s="1" t="s">
        <v>84</v>
      </c>
      <c r="AC11" s="1" t="s">
        <v>85</v>
      </c>
      <c r="AD11" s="1" t="s">
        <v>52</v>
      </c>
      <c r="AE11" s="1">
        <v>0</v>
      </c>
      <c r="AF11" s="1">
        <v>0</v>
      </c>
      <c r="AG11" s="1">
        <v>0</v>
      </c>
      <c r="AH11" s="1">
        <v>0</v>
      </c>
      <c r="AI11" s="1"/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 t="s">
        <v>68</v>
      </c>
      <c r="AP11" s="1" t="s">
        <v>69</v>
      </c>
      <c r="AQ11" s="1" t="s">
        <v>70</v>
      </c>
      <c r="AR11" s="1">
        <v>45573.803158437498</v>
      </c>
      <c r="AS11" s="1" t="s">
        <v>71</v>
      </c>
      <c r="AT11" s="1"/>
      <c r="AU11" s="1">
        <v>0</v>
      </c>
    </row>
    <row r="12" spans="1:49" x14ac:dyDescent="0.25">
      <c r="A12" s="1" t="s">
        <v>44</v>
      </c>
      <c r="B12" s="1" t="s">
        <v>45</v>
      </c>
      <c r="C12" s="1" t="s">
        <v>97</v>
      </c>
      <c r="D12" s="1" t="s">
        <v>79</v>
      </c>
      <c r="E12" s="1" t="s">
        <v>48</v>
      </c>
      <c r="F12" s="1" t="s">
        <v>49</v>
      </c>
      <c r="G12" s="1" t="s">
        <v>50</v>
      </c>
      <c r="H12" s="1" t="s">
        <v>50</v>
      </c>
      <c r="I12" s="1" t="s">
        <v>51</v>
      </c>
      <c r="J12" s="1" t="s">
        <v>52</v>
      </c>
      <c r="K12" s="1" t="s">
        <v>53</v>
      </c>
      <c r="L12" s="1" t="s">
        <v>54</v>
      </c>
      <c r="M12" s="1" t="s">
        <v>55</v>
      </c>
      <c r="N12" s="1" t="s">
        <v>56</v>
      </c>
      <c r="O12" s="1" t="s">
        <v>98</v>
      </c>
      <c r="P12" s="1" t="s">
        <v>81</v>
      </c>
      <c r="Q12" s="1">
        <v>0.6</v>
      </c>
      <c r="R12" s="1" t="s">
        <v>59</v>
      </c>
      <c r="S12" s="1" t="s">
        <v>60</v>
      </c>
      <c r="T12" s="1">
        <v>0.33333332999999998</v>
      </c>
      <c r="U12" s="1">
        <v>0.2</v>
      </c>
      <c r="V12" s="1">
        <v>0</v>
      </c>
      <c r="W12" s="1" t="s">
        <v>82</v>
      </c>
      <c r="X12" s="1" t="s">
        <v>83</v>
      </c>
      <c r="Y12" s="1" t="s">
        <v>63</v>
      </c>
      <c r="Z12" s="1" t="s">
        <v>64</v>
      </c>
      <c r="AA12" s="1" t="s">
        <v>65</v>
      </c>
      <c r="AB12" s="1" t="s">
        <v>84</v>
      </c>
      <c r="AC12" s="1" t="s">
        <v>85</v>
      </c>
      <c r="AD12" s="1" t="s">
        <v>52</v>
      </c>
      <c r="AE12" s="1">
        <v>0.2</v>
      </c>
      <c r="AF12" s="1">
        <v>0</v>
      </c>
      <c r="AG12" s="1">
        <v>0.2</v>
      </c>
      <c r="AH12" s="1">
        <v>5.7999999999999995E-7</v>
      </c>
      <c r="AI12" s="1"/>
      <c r="AJ12" s="1">
        <v>0</v>
      </c>
      <c r="AK12" s="1">
        <v>5.877959E-2</v>
      </c>
      <c r="AL12" s="1">
        <v>0</v>
      </c>
      <c r="AM12" s="1">
        <v>5.877959E-2</v>
      </c>
      <c r="AN12" s="1">
        <v>0.14122040999999999</v>
      </c>
      <c r="AO12" s="1" t="s">
        <v>68</v>
      </c>
      <c r="AP12" s="1" t="s">
        <v>69</v>
      </c>
      <c r="AQ12" s="1" t="s">
        <v>70</v>
      </c>
      <c r="AR12" s="1">
        <v>45573.803158437498</v>
      </c>
      <c r="AS12" s="1" t="s">
        <v>71</v>
      </c>
      <c r="AT12" s="1"/>
      <c r="AU12" s="1">
        <v>0.6</v>
      </c>
    </row>
    <row r="13" spans="1:49" x14ac:dyDescent="0.25">
      <c r="A13" s="1" t="s">
        <v>44</v>
      </c>
      <c r="B13" s="1" t="s">
        <v>45</v>
      </c>
      <c r="C13" s="1" t="s">
        <v>89</v>
      </c>
      <c r="D13" s="1" t="s">
        <v>79</v>
      </c>
      <c r="E13" s="1" t="s">
        <v>48</v>
      </c>
      <c r="F13" s="1" t="s">
        <v>49</v>
      </c>
      <c r="G13" s="1" t="s">
        <v>50</v>
      </c>
      <c r="H13" s="1" t="s">
        <v>50</v>
      </c>
      <c r="I13" s="1" t="s">
        <v>51</v>
      </c>
      <c r="J13" s="1" t="s">
        <v>52</v>
      </c>
      <c r="K13" s="1" t="s">
        <v>53</v>
      </c>
      <c r="L13" s="1" t="s">
        <v>54</v>
      </c>
      <c r="M13" s="1" t="s">
        <v>55</v>
      </c>
      <c r="N13" s="1" t="s">
        <v>56</v>
      </c>
      <c r="O13" s="1" t="s">
        <v>90</v>
      </c>
      <c r="P13" s="1" t="s">
        <v>81</v>
      </c>
      <c r="Q13" s="1">
        <v>0</v>
      </c>
      <c r="R13" s="1" t="s">
        <v>59</v>
      </c>
      <c r="S13" s="1" t="s">
        <v>60</v>
      </c>
      <c r="T13" s="1">
        <v>0.33333332999999998</v>
      </c>
      <c r="U13" s="1">
        <v>0</v>
      </c>
      <c r="V13" s="1">
        <v>0</v>
      </c>
      <c r="W13" s="1" t="s">
        <v>82</v>
      </c>
      <c r="X13" s="1" t="s">
        <v>83</v>
      </c>
      <c r="Y13" s="1" t="s">
        <v>63</v>
      </c>
      <c r="Z13" s="1" t="s">
        <v>64</v>
      </c>
      <c r="AA13" s="1" t="s">
        <v>65</v>
      </c>
      <c r="AB13" s="1" t="s">
        <v>84</v>
      </c>
      <c r="AC13" s="1" t="s">
        <v>85</v>
      </c>
      <c r="AD13" s="1" t="s">
        <v>52</v>
      </c>
      <c r="AE13" s="1">
        <v>0</v>
      </c>
      <c r="AF13" s="1">
        <v>0</v>
      </c>
      <c r="AG13" s="1">
        <v>0</v>
      </c>
      <c r="AH13" s="1">
        <v>0</v>
      </c>
      <c r="AI13" s="1"/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 t="s">
        <v>68</v>
      </c>
      <c r="AP13" s="1" t="s">
        <v>69</v>
      </c>
      <c r="AQ13" s="1" t="s">
        <v>70</v>
      </c>
      <c r="AR13" s="1">
        <v>45573.803158437498</v>
      </c>
      <c r="AS13" s="1" t="s">
        <v>71</v>
      </c>
      <c r="AT13" s="1"/>
      <c r="AU13" s="1">
        <v>0</v>
      </c>
    </row>
    <row r="14" spans="1:49" x14ac:dyDescent="0.25">
      <c r="A14" s="1" t="s">
        <v>44</v>
      </c>
      <c r="B14" s="1" t="s">
        <v>45</v>
      </c>
      <c r="C14" s="1" t="s">
        <v>99</v>
      </c>
      <c r="D14" s="1" t="s">
        <v>79</v>
      </c>
      <c r="E14" s="1" t="s">
        <v>48</v>
      </c>
      <c r="F14" s="1" t="s">
        <v>49</v>
      </c>
      <c r="G14" s="1" t="s">
        <v>50</v>
      </c>
      <c r="H14" s="1" t="s">
        <v>50</v>
      </c>
      <c r="I14" s="1" t="s">
        <v>51</v>
      </c>
      <c r="J14" s="1" t="s">
        <v>52</v>
      </c>
      <c r="K14" s="1" t="s">
        <v>53</v>
      </c>
      <c r="L14" s="1" t="s">
        <v>54</v>
      </c>
      <c r="M14" s="1" t="s">
        <v>55</v>
      </c>
      <c r="N14" s="1" t="s">
        <v>56</v>
      </c>
      <c r="O14" s="1" t="s">
        <v>100</v>
      </c>
      <c r="P14" s="1" t="s">
        <v>81</v>
      </c>
      <c r="Q14" s="1">
        <v>8194.52</v>
      </c>
      <c r="R14" s="1" t="s">
        <v>59</v>
      </c>
      <c r="S14" s="1" t="s">
        <v>60</v>
      </c>
      <c r="T14" s="1">
        <v>0.33333332999999998</v>
      </c>
      <c r="U14" s="1">
        <v>2731.50666667</v>
      </c>
      <c r="V14" s="1">
        <v>0</v>
      </c>
      <c r="W14" s="1" t="s">
        <v>94</v>
      </c>
      <c r="X14" s="1" t="s">
        <v>95</v>
      </c>
      <c r="Y14" s="1" t="s">
        <v>63</v>
      </c>
      <c r="Z14" s="1" t="s">
        <v>64</v>
      </c>
      <c r="AA14" s="1" t="s">
        <v>65</v>
      </c>
      <c r="AB14" s="1" t="s">
        <v>96</v>
      </c>
      <c r="AC14" s="1" t="s">
        <v>85</v>
      </c>
      <c r="AD14" s="1" t="s">
        <v>52</v>
      </c>
      <c r="AE14" s="1">
        <v>2731.50666667</v>
      </c>
      <c r="AF14" s="1">
        <v>0</v>
      </c>
      <c r="AG14" s="1">
        <v>2731.50666667</v>
      </c>
      <c r="AH14" s="1">
        <v>8.0278399999999996E-3</v>
      </c>
      <c r="AI14" s="1"/>
      <c r="AJ14" s="1">
        <v>0</v>
      </c>
      <c r="AK14" s="1">
        <v>802.78416173000005</v>
      </c>
      <c r="AL14" s="1">
        <v>0</v>
      </c>
      <c r="AM14" s="1">
        <v>802.78416173000005</v>
      </c>
      <c r="AN14" s="1">
        <v>1928.7225049399999</v>
      </c>
      <c r="AO14" s="1" t="s">
        <v>68</v>
      </c>
      <c r="AP14" s="1" t="s">
        <v>69</v>
      </c>
      <c r="AQ14" s="1" t="s">
        <v>70</v>
      </c>
      <c r="AR14" s="1">
        <v>45573.803158437498</v>
      </c>
      <c r="AS14" s="1" t="s">
        <v>71</v>
      </c>
      <c r="AT14" s="1"/>
      <c r="AU14" s="1">
        <v>8194.52</v>
      </c>
    </row>
    <row r="15" spans="1:49" x14ac:dyDescent="0.25">
      <c r="AM15" s="2">
        <f>SUM(AM8:AM14)</f>
        <v>100000</v>
      </c>
      <c r="AN15" s="2">
        <f>SUM(AN8:AN14)</f>
        <v>240254.18000000002</v>
      </c>
      <c r="AU15" s="4">
        <f>SUM(AU8:AU14)</f>
        <v>1020719.76</v>
      </c>
      <c r="AV15" s="4">
        <f>AU15-300000</f>
        <v>720719.76</v>
      </c>
      <c r="AW15" s="2">
        <f>AV15/3</f>
        <v>240239.92</v>
      </c>
    </row>
    <row r="16" spans="1:49" x14ac:dyDescent="0.25">
      <c r="A16" s="3" t="s">
        <v>102</v>
      </c>
    </row>
    <row r="17" spans="1:49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  <c r="V17" s="1" t="s">
        <v>21</v>
      </c>
      <c r="W17" s="1" t="s">
        <v>22</v>
      </c>
      <c r="X17" s="1" t="s">
        <v>23</v>
      </c>
      <c r="Y17" s="1" t="s">
        <v>24</v>
      </c>
      <c r="Z17" s="1" t="s">
        <v>25</v>
      </c>
      <c r="AA17" s="1" t="s">
        <v>26</v>
      </c>
      <c r="AB17" s="1" t="s">
        <v>27</v>
      </c>
      <c r="AC17" s="1" t="s">
        <v>28</v>
      </c>
      <c r="AD17" s="1" t="s">
        <v>29</v>
      </c>
      <c r="AE17" s="1" t="s">
        <v>30</v>
      </c>
      <c r="AF17" s="1" t="s">
        <v>31</v>
      </c>
      <c r="AG17" s="1" t="s">
        <v>32</v>
      </c>
      <c r="AH17" s="1" t="s">
        <v>33</v>
      </c>
      <c r="AI17" s="1"/>
      <c r="AJ17" s="1" t="s">
        <v>34</v>
      </c>
      <c r="AK17" s="1" t="s">
        <v>35</v>
      </c>
      <c r="AL17" s="1" t="s">
        <v>36</v>
      </c>
      <c r="AM17" s="1" t="s">
        <v>37</v>
      </c>
      <c r="AN17" s="1" t="s">
        <v>38</v>
      </c>
      <c r="AO17" s="1" t="s">
        <v>39</v>
      </c>
      <c r="AP17" s="1" t="s">
        <v>40</v>
      </c>
      <c r="AQ17" s="1" t="s">
        <v>41</v>
      </c>
      <c r="AR17" s="1" t="s">
        <v>42</v>
      </c>
      <c r="AS17" s="1" t="s">
        <v>43</v>
      </c>
      <c r="AT17" s="1"/>
      <c r="AW17" s="2">
        <f>AN15-AW15</f>
        <v>14.260000000009313</v>
      </c>
    </row>
    <row r="18" spans="1:49" x14ac:dyDescent="0.25">
      <c r="A18" s="1" t="s">
        <v>44</v>
      </c>
      <c r="B18" s="1" t="s">
        <v>91</v>
      </c>
      <c r="C18" s="1" t="s">
        <v>92</v>
      </c>
      <c r="D18" s="1" t="s">
        <v>79</v>
      </c>
      <c r="E18" s="1" t="s">
        <v>72</v>
      </c>
      <c r="F18" s="1" t="s">
        <v>49</v>
      </c>
      <c r="G18" s="1" t="s">
        <v>50</v>
      </c>
      <c r="H18" s="1" t="s">
        <v>50</v>
      </c>
      <c r="I18" s="1" t="s">
        <v>51</v>
      </c>
      <c r="J18" s="1" t="s">
        <v>52</v>
      </c>
      <c r="K18" s="1" t="s">
        <v>73</v>
      </c>
      <c r="L18" s="1" t="s">
        <v>54</v>
      </c>
      <c r="M18" s="1" t="s">
        <v>74</v>
      </c>
      <c r="N18" s="1" t="s">
        <v>56</v>
      </c>
      <c r="O18" s="1" t="s">
        <v>93</v>
      </c>
      <c r="P18" s="1" t="s">
        <v>81</v>
      </c>
      <c r="Q18" s="1">
        <v>12523.8</v>
      </c>
      <c r="R18" s="1" t="s">
        <v>59</v>
      </c>
      <c r="S18" s="1" t="s">
        <v>60</v>
      </c>
      <c r="T18" s="1">
        <v>0.33333332999999998</v>
      </c>
      <c r="U18" s="1">
        <v>4174.6000000000004</v>
      </c>
      <c r="V18" s="1">
        <v>0</v>
      </c>
      <c r="W18" s="1" t="s">
        <v>94</v>
      </c>
      <c r="X18" s="1" t="s">
        <v>95</v>
      </c>
      <c r="Y18" s="1" t="s">
        <v>63</v>
      </c>
      <c r="Z18" s="1" t="s">
        <v>64</v>
      </c>
      <c r="AA18" s="1" t="s">
        <v>65</v>
      </c>
      <c r="AB18" s="1" t="s">
        <v>96</v>
      </c>
      <c r="AC18" s="1" t="s">
        <v>85</v>
      </c>
      <c r="AD18" s="1" t="s">
        <v>52</v>
      </c>
      <c r="AE18" s="1">
        <v>4174.6000000000004</v>
      </c>
      <c r="AF18" s="1">
        <v>0</v>
      </c>
      <c r="AG18" s="1">
        <v>4174.6000000000004</v>
      </c>
      <c r="AH18" s="1">
        <v>1.226906E-2</v>
      </c>
      <c r="AI18" s="1"/>
      <c r="AJ18" s="1">
        <v>0</v>
      </c>
      <c r="AK18" s="1">
        <v>1226.9063086900001</v>
      </c>
      <c r="AL18" s="1">
        <v>0</v>
      </c>
      <c r="AM18" s="1">
        <v>1226.9063086900001</v>
      </c>
      <c r="AN18" s="1">
        <v>2947.6936913099998</v>
      </c>
      <c r="AO18" s="1" t="s">
        <v>68</v>
      </c>
      <c r="AP18" s="1" t="s">
        <v>69</v>
      </c>
      <c r="AQ18" s="1" t="s">
        <v>70</v>
      </c>
      <c r="AR18" s="1">
        <v>45573.803158437498</v>
      </c>
      <c r="AS18" s="1" t="s">
        <v>71</v>
      </c>
      <c r="AT18" s="1"/>
    </row>
    <row r="19" spans="1:49" x14ac:dyDescent="0.25">
      <c r="A19" s="1" t="s">
        <v>44</v>
      </c>
      <c r="B19" s="1" t="s">
        <v>45</v>
      </c>
      <c r="C19" s="1" t="s">
        <v>46</v>
      </c>
      <c r="D19" s="1" t="s">
        <v>47</v>
      </c>
      <c r="E19" s="1" t="s">
        <v>72</v>
      </c>
      <c r="F19" s="1" t="s">
        <v>49</v>
      </c>
      <c r="G19" s="1" t="s">
        <v>50</v>
      </c>
      <c r="H19" s="1" t="s">
        <v>50</v>
      </c>
      <c r="I19" s="1" t="s">
        <v>51</v>
      </c>
      <c r="J19" s="1" t="s">
        <v>52</v>
      </c>
      <c r="K19" s="1" t="s">
        <v>73</v>
      </c>
      <c r="L19" s="1" t="s">
        <v>54</v>
      </c>
      <c r="M19" s="1" t="s">
        <v>74</v>
      </c>
      <c r="N19" s="1" t="s">
        <v>56</v>
      </c>
      <c r="O19" s="1" t="s">
        <v>57</v>
      </c>
      <c r="P19" s="1" t="s">
        <v>58</v>
      </c>
      <c r="Q19" s="1">
        <v>1000000</v>
      </c>
      <c r="R19" s="1" t="s">
        <v>59</v>
      </c>
      <c r="S19" s="1" t="s">
        <v>60</v>
      </c>
      <c r="T19" s="1">
        <v>0.33333332999999998</v>
      </c>
      <c r="U19" s="1">
        <v>333333.33333333</v>
      </c>
      <c r="V19" s="1">
        <v>14.26</v>
      </c>
      <c r="W19" s="1" t="s">
        <v>61</v>
      </c>
      <c r="X19" s="1" t="s">
        <v>62</v>
      </c>
      <c r="Y19" s="1" t="s">
        <v>63</v>
      </c>
      <c r="Z19" s="1" t="s">
        <v>64</v>
      </c>
      <c r="AA19" s="1" t="s">
        <v>65</v>
      </c>
      <c r="AB19" s="1" t="s">
        <v>66</v>
      </c>
      <c r="AC19" s="1" t="s">
        <v>67</v>
      </c>
      <c r="AD19" s="1" t="s">
        <v>52</v>
      </c>
      <c r="AE19" s="1">
        <v>333347.59333333001</v>
      </c>
      <c r="AF19" s="1">
        <v>0</v>
      </c>
      <c r="AG19" s="1">
        <v>333347.59333333001</v>
      </c>
      <c r="AH19" s="1">
        <v>0.97970168000000002</v>
      </c>
      <c r="AI19" s="1"/>
      <c r="AJ19" s="1">
        <v>0</v>
      </c>
      <c r="AK19" s="1">
        <v>97970.168458569999</v>
      </c>
      <c r="AL19" s="1">
        <v>0</v>
      </c>
      <c r="AM19" s="1">
        <v>97970.168458569999</v>
      </c>
      <c r="AN19" s="1">
        <v>235377.42487476001</v>
      </c>
      <c r="AO19" s="1" t="s">
        <v>68</v>
      </c>
      <c r="AP19" s="1" t="s">
        <v>69</v>
      </c>
      <c r="AQ19" s="1" t="s">
        <v>70</v>
      </c>
      <c r="AR19" s="1">
        <v>45573.803158437498</v>
      </c>
      <c r="AS19" s="1" t="s">
        <v>71</v>
      </c>
      <c r="AT19" s="1"/>
    </row>
    <row r="20" spans="1:49" x14ac:dyDescent="0.25">
      <c r="A20" s="1" t="s">
        <v>44</v>
      </c>
      <c r="B20" s="1" t="s">
        <v>45</v>
      </c>
      <c r="C20" s="1" t="s">
        <v>86</v>
      </c>
      <c r="D20" s="1" t="s">
        <v>79</v>
      </c>
      <c r="E20" s="1" t="s">
        <v>72</v>
      </c>
      <c r="F20" s="1" t="s">
        <v>49</v>
      </c>
      <c r="G20" s="1" t="s">
        <v>50</v>
      </c>
      <c r="H20" s="1" t="s">
        <v>50</v>
      </c>
      <c r="I20" s="1" t="s">
        <v>51</v>
      </c>
      <c r="J20" s="1" t="s">
        <v>52</v>
      </c>
      <c r="K20" s="1" t="s">
        <v>73</v>
      </c>
      <c r="L20" s="1" t="s">
        <v>54</v>
      </c>
      <c r="M20" s="1" t="s">
        <v>74</v>
      </c>
      <c r="N20" s="1" t="s">
        <v>56</v>
      </c>
      <c r="O20" s="1" t="s">
        <v>87</v>
      </c>
      <c r="P20" s="1" t="s">
        <v>81</v>
      </c>
      <c r="Q20" s="1">
        <v>0.84</v>
      </c>
      <c r="R20" s="1" t="s">
        <v>59</v>
      </c>
      <c r="S20" s="1" t="s">
        <v>60</v>
      </c>
      <c r="T20" s="1">
        <v>0.33333332999999998</v>
      </c>
      <c r="U20" s="1">
        <v>0.28000000000000003</v>
      </c>
      <c r="V20" s="1">
        <v>0</v>
      </c>
      <c r="W20" s="1" t="s">
        <v>82</v>
      </c>
      <c r="X20" s="1" t="s">
        <v>83</v>
      </c>
      <c r="Y20" s="1" t="s">
        <v>63</v>
      </c>
      <c r="Z20" s="1" t="s">
        <v>64</v>
      </c>
      <c r="AA20" s="1" t="s">
        <v>65</v>
      </c>
      <c r="AB20" s="1" t="s">
        <v>88</v>
      </c>
      <c r="AC20" s="1" t="s">
        <v>85</v>
      </c>
      <c r="AD20" s="1" t="s">
        <v>52</v>
      </c>
      <c r="AE20" s="1">
        <v>0.28000000000000003</v>
      </c>
      <c r="AF20" s="1">
        <v>0</v>
      </c>
      <c r="AG20" s="1">
        <v>0.28000000000000003</v>
      </c>
      <c r="AH20" s="1">
        <v>8.1999999999999998E-7</v>
      </c>
      <c r="AI20" s="1"/>
      <c r="AJ20" s="1">
        <v>0</v>
      </c>
      <c r="AK20" s="1">
        <v>8.2291420000000004E-2</v>
      </c>
      <c r="AL20" s="1">
        <v>0</v>
      </c>
      <c r="AM20" s="1">
        <v>8.2291420000000004E-2</v>
      </c>
      <c r="AN20" s="1">
        <v>0.19770857999999999</v>
      </c>
      <c r="AO20" s="1" t="s">
        <v>68</v>
      </c>
      <c r="AP20" s="1" t="s">
        <v>69</v>
      </c>
      <c r="AQ20" s="1" t="s">
        <v>70</v>
      </c>
      <c r="AR20" s="1">
        <v>45573.803158437498</v>
      </c>
      <c r="AS20" s="1" t="s">
        <v>71</v>
      </c>
      <c r="AT20" s="1"/>
    </row>
    <row r="21" spans="1:49" x14ac:dyDescent="0.25">
      <c r="A21" s="1" t="s">
        <v>44</v>
      </c>
      <c r="B21" s="1" t="s">
        <v>45</v>
      </c>
      <c r="C21" s="1" t="s">
        <v>78</v>
      </c>
      <c r="D21" s="1" t="s">
        <v>79</v>
      </c>
      <c r="E21" s="1" t="s">
        <v>72</v>
      </c>
      <c r="F21" s="1" t="s">
        <v>49</v>
      </c>
      <c r="G21" s="1" t="s">
        <v>50</v>
      </c>
      <c r="H21" s="1" t="s">
        <v>50</v>
      </c>
      <c r="I21" s="1" t="s">
        <v>51</v>
      </c>
      <c r="J21" s="1" t="s">
        <v>52</v>
      </c>
      <c r="K21" s="1" t="s">
        <v>73</v>
      </c>
      <c r="L21" s="1" t="s">
        <v>54</v>
      </c>
      <c r="M21" s="1" t="s">
        <v>74</v>
      </c>
      <c r="N21" s="1" t="s">
        <v>56</v>
      </c>
      <c r="O21" s="1" t="s">
        <v>80</v>
      </c>
      <c r="P21" s="1" t="s">
        <v>81</v>
      </c>
      <c r="Q21" s="1">
        <v>0</v>
      </c>
      <c r="R21" s="1" t="s">
        <v>59</v>
      </c>
      <c r="S21" s="1" t="s">
        <v>60</v>
      </c>
      <c r="T21" s="1">
        <v>0.33333332999999998</v>
      </c>
      <c r="U21" s="1">
        <v>0</v>
      </c>
      <c r="V21" s="1">
        <v>0</v>
      </c>
      <c r="W21" s="1" t="s">
        <v>82</v>
      </c>
      <c r="X21" s="1" t="s">
        <v>83</v>
      </c>
      <c r="Y21" s="1" t="s">
        <v>63</v>
      </c>
      <c r="Z21" s="1" t="s">
        <v>64</v>
      </c>
      <c r="AA21" s="1" t="s">
        <v>65</v>
      </c>
      <c r="AB21" s="1" t="s">
        <v>84</v>
      </c>
      <c r="AC21" s="1" t="s">
        <v>85</v>
      </c>
      <c r="AD21" s="1" t="s">
        <v>52</v>
      </c>
      <c r="AE21" s="1">
        <v>0</v>
      </c>
      <c r="AF21" s="1">
        <v>0</v>
      </c>
      <c r="AG21" s="1">
        <v>0</v>
      </c>
      <c r="AH21" s="1">
        <v>0</v>
      </c>
      <c r="AI21" s="1"/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 t="s">
        <v>68</v>
      </c>
      <c r="AP21" s="1" t="s">
        <v>69</v>
      </c>
      <c r="AQ21" s="1" t="s">
        <v>70</v>
      </c>
      <c r="AR21" s="1">
        <v>45573.803158437498</v>
      </c>
      <c r="AS21" s="1" t="s">
        <v>71</v>
      </c>
      <c r="AT21" s="1"/>
    </row>
    <row r="22" spans="1:49" x14ac:dyDescent="0.25">
      <c r="A22" s="1" t="s">
        <v>44</v>
      </c>
      <c r="B22" s="1" t="s">
        <v>45</v>
      </c>
      <c r="C22" s="1" t="s">
        <v>97</v>
      </c>
      <c r="D22" s="1" t="s">
        <v>79</v>
      </c>
      <c r="E22" s="1" t="s">
        <v>72</v>
      </c>
      <c r="F22" s="1" t="s">
        <v>49</v>
      </c>
      <c r="G22" s="1" t="s">
        <v>50</v>
      </c>
      <c r="H22" s="1" t="s">
        <v>50</v>
      </c>
      <c r="I22" s="1" t="s">
        <v>51</v>
      </c>
      <c r="J22" s="1" t="s">
        <v>52</v>
      </c>
      <c r="K22" s="1" t="s">
        <v>73</v>
      </c>
      <c r="L22" s="1" t="s">
        <v>54</v>
      </c>
      <c r="M22" s="1" t="s">
        <v>74</v>
      </c>
      <c r="N22" s="1" t="s">
        <v>56</v>
      </c>
      <c r="O22" s="1" t="s">
        <v>98</v>
      </c>
      <c r="P22" s="1" t="s">
        <v>81</v>
      </c>
      <c r="Q22" s="1">
        <v>0.6</v>
      </c>
      <c r="R22" s="1" t="s">
        <v>59</v>
      </c>
      <c r="S22" s="1" t="s">
        <v>60</v>
      </c>
      <c r="T22" s="1">
        <v>0.33333332999999998</v>
      </c>
      <c r="U22" s="1">
        <v>0.2</v>
      </c>
      <c r="V22" s="1">
        <v>0</v>
      </c>
      <c r="W22" s="1" t="s">
        <v>82</v>
      </c>
      <c r="X22" s="1" t="s">
        <v>83</v>
      </c>
      <c r="Y22" s="1" t="s">
        <v>63</v>
      </c>
      <c r="Z22" s="1" t="s">
        <v>64</v>
      </c>
      <c r="AA22" s="1" t="s">
        <v>65</v>
      </c>
      <c r="AB22" s="1" t="s">
        <v>84</v>
      </c>
      <c r="AC22" s="1" t="s">
        <v>85</v>
      </c>
      <c r="AD22" s="1" t="s">
        <v>52</v>
      </c>
      <c r="AE22" s="1">
        <v>0.2</v>
      </c>
      <c r="AF22" s="1">
        <v>0</v>
      </c>
      <c r="AG22" s="1">
        <v>0.2</v>
      </c>
      <c r="AH22" s="1">
        <v>5.7999999999999995E-7</v>
      </c>
      <c r="AI22" s="1"/>
      <c r="AJ22" s="1">
        <v>0</v>
      </c>
      <c r="AK22" s="1">
        <v>5.877959E-2</v>
      </c>
      <c r="AL22" s="1">
        <v>0</v>
      </c>
      <c r="AM22" s="1">
        <v>5.877959E-2</v>
      </c>
      <c r="AN22" s="1">
        <v>0.14122040999999999</v>
      </c>
      <c r="AO22" s="1" t="s">
        <v>68</v>
      </c>
      <c r="AP22" s="1" t="s">
        <v>69</v>
      </c>
      <c r="AQ22" s="1" t="s">
        <v>70</v>
      </c>
      <c r="AR22" s="1">
        <v>45573.803158437498</v>
      </c>
      <c r="AS22" s="1" t="s">
        <v>71</v>
      </c>
      <c r="AT22" s="1"/>
    </row>
    <row r="23" spans="1:49" x14ac:dyDescent="0.25">
      <c r="A23" s="1" t="s">
        <v>44</v>
      </c>
      <c r="B23" s="1" t="s">
        <v>45</v>
      </c>
      <c r="C23" s="1" t="s">
        <v>89</v>
      </c>
      <c r="D23" s="1" t="s">
        <v>79</v>
      </c>
      <c r="E23" s="1" t="s">
        <v>72</v>
      </c>
      <c r="F23" s="1" t="s">
        <v>49</v>
      </c>
      <c r="G23" s="1" t="s">
        <v>50</v>
      </c>
      <c r="H23" s="1" t="s">
        <v>50</v>
      </c>
      <c r="I23" s="1" t="s">
        <v>51</v>
      </c>
      <c r="J23" s="1" t="s">
        <v>52</v>
      </c>
      <c r="K23" s="1" t="s">
        <v>73</v>
      </c>
      <c r="L23" s="1" t="s">
        <v>54</v>
      </c>
      <c r="M23" s="1" t="s">
        <v>74</v>
      </c>
      <c r="N23" s="1" t="s">
        <v>56</v>
      </c>
      <c r="O23" s="1" t="s">
        <v>90</v>
      </c>
      <c r="P23" s="1" t="s">
        <v>81</v>
      </c>
      <c r="Q23" s="1">
        <v>0</v>
      </c>
      <c r="R23" s="1" t="s">
        <v>59</v>
      </c>
      <c r="S23" s="1" t="s">
        <v>60</v>
      </c>
      <c r="T23" s="1">
        <v>0.33333332999999998</v>
      </c>
      <c r="U23" s="1">
        <v>0</v>
      </c>
      <c r="V23" s="1">
        <v>0</v>
      </c>
      <c r="W23" s="1" t="s">
        <v>82</v>
      </c>
      <c r="X23" s="1" t="s">
        <v>83</v>
      </c>
      <c r="Y23" s="1" t="s">
        <v>63</v>
      </c>
      <c r="Z23" s="1" t="s">
        <v>64</v>
      </c>
      <c r="AA23" s="1" t="s">
        <v>65</v>
      </c>
      <c r="AB23" s="1" t="s">
        <v>84</v>
      </c>
      <c r="AC23" s="1" t="s">
        <v>85</v>
      </c>
      <c r="AD23" s="1" t="s">
        <v>52</v>
      </c>
      <c r="AE23" s="1">
        <v>0</v>
      </c>
      <c r="AF23" s="1">
        <v>0</v>
      </c>
      <c r="AG23" s="1">
        <v>0</v>
      </c>
      <c r="AH23" s="1">
        <v>0</v>
      </c>
      <c r="AI23" s="1"/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 t="s">
        <v>68</v>
      </c>
      <c r="AP23" s="1" t="s">
        <v>69</v>
      </c>
      <c r="AQ23" s="1" t="s">
        <v>70</v>
      </c>
      <c r="AR23" s="1">
        <v>45573.803158437498</v>
      </c>
      <c r="AS23" s="1" t="s">
        <v>71</v>
      </c>
      <c r="AT23" s="1"/>
    </row>
    <row r="24" spans="1:49" x14ac:dyDescent="0.25">
      <c r="A24" s="1" t="s">
        <v>44</v>
      </c>
      <c r="B24" s="1" t="s">
        <v>45</v>
      </c>
      <c r="C24" s="1" t="s">
        <v>99</v>
      </c>
      <c r="D24" s="1" t="s">
        <v>79</v>
      </c>
      <c r="E24" s="1" t="s">
        <v>72</v>
      </c>
      <c r="F24" s="1" t="s">
        <v>49</v>
      </c>
      <c r="G24" s="1" t="s">
        <v>50</v>
      </c>
      <c r="H24" s="1" t="s">
        <v>50</v>
      </c>
      <c r="I24" s="1" t="s">
        <v>51</v>
      </c>
      <c r="J24" s="1" t="s">
        <v>52</v>
      </c>
      <c r="K24" s="1" t="s">
        <v>73</v>
      </c>
      <c r="L24" s="1" t="s">
        <v>54</v>
      </c>
      <c r="M24" s="1" t="s">
        <v>74</v>
      </c>
      <c r="N24" s="1" t="s">
        <v>56</v>
      </c>
      <c r="O24" s="1" t="s">
        <v>100</v>
      </c>
      <c r="P24" s="1" t="s">
        <v>81</v>
      </c>
      <c r="Q24" s="1">
        <v>8194.52</v>
      </c>
      <c r="R24" s="1" t="s">
        <v>59</v>
      </c>
      <c r="S24" s="1" t="s">
        <v>60</v>
      </c>
      <c r="T24" s="1">
        <v>0.33333332999999998</v>
      </c>
      <c r="U24" s="1">
        <v>2731.50666667</v>
      </c>
      <c r="V24" s="1">
        <v>0</v>
      </c>
      <c r="W24" s="1" t="s">
        <v>94</v>
      </c>
      <c r="X24" s="1" t="s">
        <v>95</v>
      </c>
      <c r="Y24" s="1" t="s">
        <v>63</v>
      </c>
      <c r="Z24" s="1" t="s">
        <v>64</v>
      </c>
      <c r="AA24" s="1" t="s">
        <v>65</v>
      </c>
      <c r="AB24" s="1" t="s">
        <v>96</v>
      </c>
      <c r="AC24" s="1" t="s">
        <v>85</v>
      </c>
      <c r="AD24" s="1" t="s">
        <v>52</v>
      </c>
      <c r="AE24" s="1">
        <v>2731.50666667</v>
      </c>
      <c r="AF24" s="1">
        <v>0</v>
      </c>
      <c r="AG24" s="1">
        <v>2731.50666667</v>
      </c>
      <c r="AH24" s="1">
        <v>8.0278399999999996E-3</v>
      </c>
      <c r="AI24" s="1"/>
      <c r="AJ24" s="1">
        <v>0</v>
      </c>
      <c r="AK24" s="1">
        <v>802.78416173000005</v>
      </c>
      <c r="AL24" s="1">
        <v>0</v>
      </c>
      <c r="AM24" s="1">
        <v>802.78416173000005</v>
      </c>
      <c r="AN24" s="1">
        <v>1928.7225049399999</v>
      </c>
      <c r="AO24" s="1" t="s">
        <v>68</v>
      </c>
      <c r="AP24" s="1" t="s">
        <v>69</v>
      </c>
      <c r="AQ24" s="1" t="s">
        <v>70</v>
      </c>
      <c r="AR24" s="1">
        <v>45573.803158437498</v>
      </c>
      <c r="AS24" s="1" t="s">
        <v>71</v>
      </c>
      <c r="AT24" s="1"/>
    </row>
    <row r="26" spans="1:49" x14ac:dyDescent="0.25">
      <c r="A26" s="3" t="s">
        <v>103</v>
      </c>
    </row>
    <row r="27" spans="1:49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  <c r="R27" s="1" t="s">
        <v>17</v>
      </c>
      <c r="S27" s="1" t="s">
        <v>18</v>
      </c>
      <c r="T27" s="1" t="s">
        <v>19</v>
      </c>
      <c r="U27" s="1" t="s">
        <v>20</v>
      </c>
      <c r="V27" s="1" t="s">
        <v>21</v>
      </c>
      <c r="W27" s="1" t="s">
        <v>22</v>
      </c>
      <c r="X27" s="1" t="s">
        <v>23</v>
      </c>
      <c r="Y27" s="1" t="s">
        <v>24</v>
      </c>
      <c r="Z27" s="1" t="s">
        <v>25</v>
      </c>
      <c r="AA27" s="1" t="s">
        <v>26</v>
      </c>
      <c r="AB27" s="1" t="s">
        <v>27</v>
      </c>
      <c r="AC27" s="1" t="s">
        <v>28</v>
      </c>
      <c r="AD27" s="1" t="s">
        <v>29</v>
      </c>
      <c r="AE27" s="1" t="s">
        <v>30</v>
      </c>
      <c r="AF27" s="1" t="s">
        <v>31</v>
      </c>
      <c r="AG27" s="1" t="s">
        <v>32</v>
      </c>
      <c r="AH27" s="1" t="s">
        <v>33</v>
      </c>
      <c r="AI27" s="1"/>
      <c r="AJ27" s="1" t="s">
        <v>34</v>
      </c>
      <c r="AK27" s="1" t="s">
        <v>35</v>
      </c>
      <c r="AL27" s="1" t="s">
        <v>36</v>
      </c>
      <c r="AM27" s="1" t="s">
        <v>37</v>
      </c>
      <c r="AN27" s="1" t="s">
        <v>38</v>
      </c>
      <c r="AO27" s="1" t="s">
        <v>39</v>
      </c>
      <c r="AP27" s="1" t="s">
        <v>40</v>
      </c>
      <c r="AQ27" s="1" t="s">
        <v>41</v>
      </c>
      <c r="AR27" s="1" t="s">
        <v>42</v>
      </c>
      <c r="AS27" s="1" t="s">
        <v>43</v>
      </c>
      <c r="AT27" s="1"/>
    </row>
    <row r="28" spans="1:49" x14ac:dyDescent="0.25">
      <c r="A28" s="1" t="s">
        <v>44</v>
      </c>
      <c r="B28" s="1" t="s">
        <v>91</v>
      </c>
      <c r="C28" s="1" t="s">
        <v>92</v>
      </c>
      <c r="D28" s="1" t="s">
        <v>79</v>
      </c>
      <c r="E28" s="1" t="s">
        <v>75</v>
      </c>
      <c r="F28" s="1" t="s">
        <v>49</v>
      </c>
      <c r="G28" s="1" t="s">
        <v>50</v>
      </c>
      <c r="H28" s="1" t="s">
        <v>50</v>
      </c>
      <c r="I28" s="1" t="s">
        <v>51</v>
      </c>
      <c r="J28" s="1" t="s">
        <v>52</v>
      </c>
      <c r="K28" s="1" t="s">
        <v>76</v>
      </c>
      <c r="L28" s="1" t="s">
        <v>54</v>
      </c>
      <c r="M28" s="1" t="s">
        <v>77</v>
      </c>
      <c r="N28" s="1" t="s">
        <v>56</v>
      </c>
      <c r="O28" s="1" t="s">
        <v>93</v>
      </c>
      <c r="P28" s="1" t="s">
        <v>81</v>
      </c>
      <c r="Q28" s="1">
        <v>12523.8</v>
      </c>
      <c r="R28" s="1" t="s">
        <v>59</v>
      </c>
      <c r="S28" s="1" t="s">
        <v>60</v>
      </c>
      <c r="T28" s="1">
        <v>0.33333332999999998</v>
      </c>
      <c r="U28" s="1">
        <v>4174.6000000000004</v>
      </c>
      <c r="V28" s="1">
        <v>0</v>
      </c>
      <c r="W28" s="1" t="s">
        <v>94</v>
      </c>
      <c r="X28" s="1" t="s">
        <v>95</v>
      </c>
      <c r="Y28" s="1" t="s">
        <v>63</v>
      </c>
      <c r="Z28" s="1" t="s">
        <v>64</v>
      </c>
      <c r="AA28" s="1" t="s">
        <v>65</v>
      </c>
      <c r="AB28" s="1" t="s">
        <v>96</v>
      </c>
      <c r="AC28" s="1" t="s">
        <v>85</v>
      </c>
      <c r="AD28" s="1" t="s">
        <v>52</v>
      </c>
      <c r="AE28" s="1">
        <v>4174.6000000000004</v>
      </c>
      <c r="AF28" s="1">
        <v>0</v>
      </c>
      <c r="AG28" s="1">
        <v>4174.6000000000004</v>
      </c>
      <c r="AH28" s="1">
        <v>1.226906E-2</v>
      </c>
      <c r="AI28" s="1"/>
      <c r="AJ28" s="1">
        <v>0</v>
      </c>
      <c r="AK28" s="1">
        <v>1226.9063086900001</v>
      </c>
      <c r="AL28" s="1">
        <v>0</v>
      </c>
      <c r="AM28" s="1">
        <v>1226.9063086900001</v>
      </c>
      <c r="AN28" s="1">
        <v>2947.6936913099998</v>
      </c>
      <c r="AO28" s="1" t="s">
        <v>68</v>
      </c>
      <c r="AP28" s="1" t="s">
        <v>69</v>
      </c>
      <c r="AQ28" s="1" t="s">
        <v>70</v>
      </c>
      <c r="AR28" s="1">
        <v>45573.803158437498</v>
      </c>
      <c r="AS28" s="1" t="s">
        <v>71</v>
      </c>
      <c r="AT28" s="1"/>
    </row>
    <row r="29" spans="1:49" x14ac:dyDescent="0.25">
      <c r="A29" s="1" t="s">
        <v>44</v>
      </c>
      <c r="B29" s="1" t="s">
        <v>45</v>
      </c>
      <c r="C29" s="1" t="s">
        <v>46</v>
      </c>
      <c r="D29" s="1" t="s">
        <v>47</v>
      </c>
      <c r="E29" s="1" t="s">
        <v>75</v>
      </c>
      <c r="F29" s="1" t="s">
        <v>49</v>
      </c>
      <c r="G29" s="1" t="s">
        <v>50</v>
      </c>
      <c r="H29" s="1" t="s">
        <v>50</v>
      </c>
      <c r="I29" s="1" t="s">
        <v>51</v>
      </c>
      <c r="J29" s="1" t="s">
        <v>52</v>
      </c>
      <c r="K29" s="1" t="s">
        <v>76</v>
      </c>
      <c r="L29" s="1" t="s">
        <v>54</v>
      </c>
      <c r="M29" s="1" t="s">
        <v>77</v>
      </c>
      <c r="N29" s="1" t="s">
        <v>56</v>
      </c>
      <c r="O29" s="1" t="s">
        <v>57</v>
      </c>
      <c r="P29" s="1" t="s">
        <v>58</v>
      </c>
      <c r="Q29" s="1">
        <v>1000000</v>
      </c>
      <c r="R29" s="1" t="s">
        <v>59</v>
      </c>
      <c r="S29" s="1" t="s">
        <v>60</v>
      </c>
      <c r="T29" s="1">
        <v>0.33333332999999998</v>
      </c>
      <c r="U29" s="1">
        <v>333333.33333333</v>
      </c>
      <c r="V29" s="1">
        <v>14.26</v>
      </c>
      <c r="W29" s="1" t="s">
        <v>61</v>
      </c>
      <c r="X29" s="1" t="s">
        <v>62</v>
      </c>
      <c r="Y29" s="1" t="s">
        <v>63</v>
      </c>
      <c r="Z29" s="1" t="s">
        <v>64</v>
      </c>
      <c r="AA29" s="1" t="s">
        <v>65</v>
      </c>
      <c r="AB29" s="1" t="s">
        <v>66</v>
      </c>
      <c r="AC29" s="1" t="s">
        <v>67</v>
      </c>
      <c r="AD29" s="1" t="s">
        <v>52</v>
      </c>
      <c r="AE29" s="1">
        <v>333347.59333333001</v>
      </c>
      <c r="AF29" s="1">
        <v>0</v>
      </c>
      <c r="AG29" s="1">
        <v>333347.59333333001</v>
      </c>
      <c r="AH29" s="1">
        <v>0.97970168000000002</v>
      </c>
      <c r="AI29" s="1"/>
      <c r="AJ29" s="1">
        <v>0</v>
      </c>
      <c r="AK29" s="1">
        <v>97970.168458569999</v>
      </c>
      <c r="AL29" s="1">
        <v>0</v>
      </c>
      <c r="AM29" s="1">
        <v>97970.168458569999</v>
      </c>
      <c r="AN29" s="1">
        <v>235377.42487476001</v>
      </c>
      <c r="AO29" s="1" t="s">
        <v>68</v>
      </c>
      <c r="AP29" s="1" t="s">
        <v>69</v>
      </c>
      <c r="AQ29" s="1" t="s">
        <v>70</v>
      </c>
      <c r="AR29" s="1">
        <v>45573.803158437498</v>
      </c>
      <c r="AS29" s="1" t="s">
        <v>71</v>
      </c>
      <c r="AT29" s="1"/>
    </row>
    <row r="30" spans="1:49" x14ac:dyDescent="0.25">
      <c r="A30" s="1" t="s">
        <v>44</v>
      </c>
      <c r="B30" s="1" t="s">
        <v>45</v>
      </c>
      <c r="C30" s="1" t="s">
        <v>86</v>
      </c>
      <c r="D30" s="1" t="s">
        <v>79</v>
      </c>
      <c r="E30" s="1" t="s">
        <v>75</v>
      </c>
      <c r="F30" s="1" t="s">
        <v>49</v>
      </c>
      <c r="G30" s="1" t="s">
        <v>50</v>
      </c>
      <c r="H30" s="1" t="s">
        <v>50</v>
      </c>
      <c r="I30" s="1" t="s">
        <v>51</v>
      </c>
      <c r="J30" s="1" t="s">
        <v>52</v>
      </c>
      <c r="K30" s="1" t="s">
        <v>76</v>
      </c>
      <c r="L30" s="1" t="s">
        <v>54</v>
      </c>
      <c r="M30" s="1" t="s">
        <v>77</v>
      </c>
      <c r="N30" s="1" t="s">
        <v>56</v>
      </c>
      <c r="O30" s="1" t="s">
        <v>87</v>
      </c>
      <c r="P30" s="1" t="s">
        <v>81</v>
      </c>
      <c r="Q30" s="1">
        <v>0.84</v>
      </c>
      <c r="R30" s="1" t="s">
        <v>59</v>
      </c>
      <c r="S30" s="1" t="s">
        <v>60</v>
      </c>
      <c r="T30" s="1">
        <v>0.33333332999999998</v>
      </c>
      <c r="U30" s="1">
        <v>0.28000000000000003</v>
      </c>
      <c r="V30" s="1">
        <v>0</v>
      </c>
      <c r="W30" s="1" t="s">
        <v>82</v>
      </c>
      <c r="X30" s="1" t="s">
        <v>83</v>
      </c>
      <c r="Y30" s="1" t="s">
        <v>63</v>
      </c>
      <c r="Z30" s="1" t="s">
        <v>64</v>
      </c>
      <c r="AA30" s="1" t="s">
        <v>65</v>
      </c>
      <c r="AB30" s="1" t="s">
        <v>88</v>
      </c>
      <c r="AC30" s="1" t="s">
        <v>85</v>
      </c>
      <c r="AD30" s="1" t="s">
        <v>52</v>
      </c>
      <c r="AE30" s="1">
        <v>0.28000000000000003</v>
      </c>
      <c r="AF30" s="1">
        <v>0</v>
      </c>
      <c r="AG30" s="1">
        <v>0.28000000000000003</v>
      </c>
      <c r="AH30" s="1">
        <v>8.1999999999999998E-7</v>
      </c>
      <c r="AI30" s="1"/>
      <c r="AJ30" s="1">
        <v>0</v>
      </c>
      <c r="AK30" s="1">
        <v>8.2291420000000004E-2</v>
      </c>
      <c r="AL30" s="1">
        <v>0</v>
      </c>
      <c r="AM30" s="1">
        <v>8.2291420000000004E-2</v>
      </c>
      <c r="AN30" s="1">
        <v>0.19770857999999999</v>
      </c>
      <c r="AO30" s="1" t="s">
        <v>68</v>
      </c>
      <c r="AP30" s="1" t="s">
        <v>69</v>
      </c>
      <c r="AQ30" s="1" t="s">
        <v>70</v>
      </c>
      <c r="AR30" s="1">
        <v>45573.803158437498</v>
      </c>
      <c r="AS30" s="1" t="s">
        <v>71</v>
      </c>
      <c r="AT30" s="1"/>
    </row>
    <row r="31" spans="1:49" x14ac:dyDescent="0.25">
      <c r="A31" s="1" t="s">
        <v>44</v>
      </c>
      <c r="B31" s="1" t="s">
        <v>45</v>
      </c>
      <c r="C31" s="1" t="s">
        <v>78</v>
      </c>
      <c r="D31" s="1" t="s">
        <v>79</v>
      </c>
      <c r="E31" s="1" t="s">
        <v>75</v>
      </c>
      <c r="F31" s="1" t="s">
        <v>49</v>
      </c>
      <c r="G31" s="1" t="s">
        <v>50</v>
      </c>
      <c r="H31" s="1" t="s">
        <v>50</v>
      </c>
      <c r="I31" s="1" t="s">
        <v>51</v>
      </c>
      <c r="J31" s="1" t="s">
        <v>52</v>
      </c>
      <c r="K31" s="1" t="s">
        <v>76</v>
      </c>
      <c r="L31" s="1" t="s">
        <v>54</v>
      </c>
      <c r="M31" s="1" t="s">
        <v>77</v>
      </c>
      <c r="N31" s="1" t="s">
        <v>56</v>
      </c>
      <c r="O31" s="1" t="s">
        <v>80</v>
      </c>
      <c r="P31" s="1" t="s">
        <v>81</v>
      </c>
      <c r="Q31" s="1">
        <v>0</v>
      </c>
      <c r="R31" s="1" t="s">
        <v>59</v>
      </c>
      <c r="S31" s="1" t="s">
        <v>60</v>
      </c>
      <c r="T31" s="1">
        <v>0.33333332999999998</v>
      </c>
      <c r="U31" s="1">
        <v>0</v>
      </c>
      <c r="V31" s="1">
        <v>0</v>
      </c>
      <c r="W31" s="1" t="s">
        <v>82</v>
      </c>
      <c r="X31" s="1" t="s">
        <v>83</v>
      </c>
      <c r="Y31" s="1" t="s">
        <v>63</v>
      </c>
      <c r="Z31" s="1" t="s">
        <v>64</v>
      </c>
      <c r="AA31" s="1" t="s">
        <v>65</v>
      </c>
      <c r="AB31" s="1" t="s">
        <v>84</v>
      </c>
      <c r="AC31" s="1" t="s">
        <v>85</v>
      </c>
      <c r="AD31" s="1" t="s">
        <v>52</v>
      </c>
      <c r="AE31" s="1">
        <v>0</v>
      </c>
      <c r="AF31" s="1">
        <v>0</v>
      </c>
      <c r="AG31" s="1">
        <v>0</v>
      </c>
      <c r="AH31" s="1">
        <v>0</v>
      </c>
      <c r="AI31" s="1"/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 t="s">
        <v>68</v>
      </c>
      <c r="AP31" s="1" t="s">
        <v>69</v>
      </c>
      <c r="AQ31" s="1" t="s">
        <v>70</v>
      </c>
      <c r="AR31" s="1">
        <v>45573.803158437498</v>
      </c>
      <c r="AS31" s="1" t="s">
        <v>71</v>
      </c>
      <c r="AT31" s="1"/>
    </row>
    <row r="32" spans="1:49" x14ac:dyDescent="0.25">
      <c r="A32" s="1" t="s">
        <v>44</v>
      </c>
      <c r="B32" s="1" t="s">
        <v>45</v>
      </c>
      <c r="C32" s="1" t="s">
        <v>97</v>
      </c>
      <c r="D32" s="1" t="s">
        <v>79</v>
      </c>
      <c r="E32" s="1" t="s">
        <v>75</v>
      </c>
      <c r="F32" s="1" t="s">
        <v>49</v>
      </c>
      <c r="G32" s="1" t="s">
        <v>50</v>
      </c>
      <c r="H32" s="1" t="s">
        <v>50</v>
      </c>
      <c r="I32" s="1" t="s">
        <v>51</v>
      </c>
      <c r="J32" s="1" t="s">
        <v>52</v>
      </c>
      <c r="K32" s="1" t="s">
        <v>76</v>
      </c>
      <c r="L32" s="1" t="s">
        <v>54</v>
      </c>
      <c r="M32" s="1" t="s">
        <v>77</v>
      </c>
      <c r="N32" s="1" t="s">
        <v>56</v>
      </c>
      <c r="O32" s="1" t="s">
        <v>98</v>
      </c>
      <c r="P32" s="1" t="s">
        <v>81</v>
      </c>
      <c r="Q32" s="1">
        <v>0.6</v>
      </c>
      <c r="R32" s="1" t="s">
        <v>59</v>
      </c>
      <c r="S32" s="1" t="s">
        <v>60</v>
      </c>
      <c r="T32" s="1">
        <v>0.33333332999999998</v>
      </c>
      <c r="U32" s="1">
        <v>0.2</v>
      </c>
      <c r="V32" s="1">
        <v>0</v>
      </c>
      <c r="W32" s="1" t="s">
        <v>82</v>
      </c>
      <c r="X32" s="1" t="s">
        <v>83</v>
      </c>
      <c r="Y32" s="1" t="s">
        <v>63</v>
      </c>
      <c r="Z32" s="1" t="s">
        <v>64</v>
      </c>
      <c r="AA32" s="1" t="s">
        <v>65</v>
      </c>
      <c r="AB32" s="1" t="s">
        <v>84</v>
      </c>
      <c r="AC32" s="1" t="s">
        <v>85</v>
      </c>
      <c r="AD32" s="1" t="s">
        <v>52</v>
      </c>
      <c r="AE32" s="1">
        <v>0.2</v>
      </c>
      <c r="AF32" s="1">
        <v>0</v>
      </c>
      <c r="AG32" s="1">
        <v>0.2</v>
      </c>
      <c r="AH32" s="1">
        <v>5.7999999999999995E-7</v>
      </c>
      <c r="AI32" s="1"/>
      <c r="AJ32" s="1">
        <v>0</v>
      </c>
      <c r="AK32" s="1">
        <v>5.877959E-2</v>
      </c>
      <c r="AL32" s="1">
        <v>0</v>
      </c>
      <c r="AM32" s="1">
        <v>5.877959E-2</v>
      </c>
      <c r="AN32" s="1">
        <v>0.14122040999999999</v>
      </c>
      <c r="AO32" s="1" t="s">
        <v>68</v>
      </c>
      <c r="AP32" s="1" t="s">
        <v>69</v>
      </c>
      <c r="AQ32" s="1" t="s">
        <v>70</v>
      </c>
      <c r="AR32" s="1">
        <v>45573.803158437498</v>
      </c>
      <c r="AS32" s="1" t="s">
        <v>71</v>
      </c>
      <c r="AT32" s="1"/>
    </row>
    <row r="33" spans="1:46" x14ac:dyDescent="0.25">
      <c r="A33" s="1" t="s">
        <v>44</v>
      </c>
      <c r="B33" s="1" t="s">
        <v>45</v>
      </c>
      <c r="C33" s="1" t="s">
        <v>89</v>
      </c>
      <c r="D33" s="1" t="s">
        <v>79</v>
      </c>
      <c r="E33" s="1" t="s">
        <v>75</v>
      </c>
      <c r="F33" s="1" t="s">
        <v>49</v>
      </c>
      <c r="G33" s="1" t="s">
        <v>50</v>
      </c>
      <c r="H33" s="1" t="s">
        <v>50</v>
      </c>
      <c r="I33" s="1" t="s">
        <v>51</v>
      </c>
      <c r="J33" s="1" t="s">
        <v>52</v>
      </c>
      <c r="K33" s="1" t="s">
        <v>76</v>
      </c>
      <c r="L33" s="1" t="s">
        <v>54</v>
      </c>
      <c r="M33" s="1" t="s">
        <v>77</v>
      </c>
      <c r="N33" s="1" t="s">
        <v>56</v>
      </c>
      <c r="O33" s="1" t="s">
        <v>90</v>
      </c>
      <c r="P33" s="1" t="s">
        <v>81</v>
      </c>
      <c r="Q33" s="1">
        <v>0</v>
      </c>
      <c r="R33" s="1" t="s">
        <v>59</v>
      </c>
      <c r="S33" s="1" t="s">
        <v>60</v>
      </c>
      <c r="T33" s="1">
        <v>0.33333332999999998</v>
      </c>
      <c r="U33" s="1">
        <v>0</v>
      </c>
      <c r="V33" s="1">
        <v>0</v>
      </c>
      <c r="W33" s="1" t="s">
        <v>82</v>
      </c>
      <c r="X33" s="1" t="s">
        <v>83</v>
      </c>
      <c r="Y33" s="1" t="s">
        <v>63</v>
      </c>
      <c r="Z33" s="1" t="s">
        <v>64</v>
      </c>
      <c r="AA33" s="1" t="s">
        <v>65</v>
      </c>
      <c r="AB33" s="1" t="s">
        <v>84</v>
      </c>
      <c r="AC33" s="1" t="s">
        <v>85</v>
      </c>
      <c r="AD33" s="1" t="s">
        <v>52</v>
      </c>
      <c r="AE33" s="1">
        <v>0</v>
      </c>
      <c r="AF33" s="1">
        <v>0</v>
      </c>
      <c r="AG33" s="1">
        <v>0</v>
      </c>
      <c r="AH33" s="1">
        <v>0</v>
      </c>
      <c r="AI33" s="1"/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 t="s">
        <v>68</v>
      </c>
      <c r="AP33" s="1" t="s">
        <v>69</v>
      </c>
      <c r="AQ33" s="1" t="s">
        <v>70</v>
      </c>
      <c r="AR33" s="1">
        <v>45573.803158437498</v>
      </c>
      <c r="AS33" s="1" t="s">
        <v>71</v>
      </c>
      <c r="AT33" s="1"/>
    </row>
    <row r="34" spans="1:46" x14ac:dyDescent="0.25">
      <c r="A34" s="1" t="s">
        <v>44</v>
      </c>
      <c r="B34" s="1" t="s">
        <v>45</v>
      </c>
      <c r="C34" s="1" t="s">
        <v>99</v>
      </c>
      <c r="D34" s="1" t="s">
        <v>79</v>
      </c>
      <c r="E34" s="1" t="s">
        <v>75</v>
      </c>
      <c r="F34" s="1" t="s">
        <v>49</v>
      </c>
      <c r="G34" s="1" t="s">
        <v>50</v>
      </c>
      <c r="H34" s="1" t="s">
        <v>50</v>
      </c>
      <c r="I34" s="1" t="s">
        <v>51</v>
      </c>
      <c r="J34" s="1" t="s">
        <v>52</v>
      </c>
      <c r="K34" s="1" t="s">
        <v>76</v>
      </c>
      <c r="L34" s="1" t="s">
        <v>54</v>
      </c>
      <c r="M34" s="1" t="s">
        <v>77</v>
      </c>
      <c r="N34" s="1" t="s">
        <v>56</v>
      </c>
      <c r="O34" s="1" t="s">
        <v>100</v>
      </c>
      <c r="P34" s="1" t="s">
        <v>81</v>
      </c>
      <c r="Q34" s="1">
        <v>8194.52</v>
      </c>
      <c r="R34" s="1" t="s">
        <v>59</v>
      </c>
      <c r="S34" s="1" t="s">
        <v>60</v>
      </c>
      <c r="T34" s="1">
        <v>0.33333332999999998</v>
      </c>
      <c r="U34" s="1">
        <v>2731.50666667</v>
      </c>
      <c r="V34" s="1">
        <v>0</v>
      </c>
      <c r="W34" s="1" t="s">
        <v>94</v>
      </c>
      <c r="X34" s="1" t="s">
        <v>95</v>
      </c>
      <c r="Y34" s="1" t="s">
        <v>63</v>
      </c>
      <c r="Z34" s="1" t="s">
        <v>64</v>
      </c>
      <c r="AA34" s="1" t="s">
        <v>65</v>
      </c>
      <c r="AB34" s="1" t="s">
        <v>96</v>
      </c>
      <c r="AC34" s="1" t="s">
        <v>85</v>
      </c>
      <c r="AD34" s="1" t="s">
        <v>52</v>
      </c>
      <c r="AE34" s="1">
        <v>2731.50666667</v>
      </c>
      <c r="AF34" s="1">
        <v>0</v>
      </c>
      <c r="AG34" s="1">
        <v>2731.50666667</v>
      </c>
      <c r="AH34" s="1">
        <v>8.0278399999999996E-3</v>
      </c>
      <c r="AI34" s="1"/>
      <c r="AJ34" s="1">
        <v>0</v>
      </c>
      <c r="AK34" s="1">
        <v>802.78416173000005</v>
      </c>
      <c r="AL34" s="1">
        <v>0</v>
      </c>
      <c r="AM34" s="1">
        <v>802.78416173000005</v>
      </c>
      <c r="AN34" s="1">
        <v>1928.7225049399999</v>
      </c>
      <c r="AO34" s="1" t="s">
        <v>68</v>
      </c>
      <c r="AP34" s="1" t="s">
        <v>69</v>
      </c>
      <c r="AQ34" s="1" t="s">
        <v>70</v>
      </c>
      <c r="AR34" s="1">
        <v>45573.803158437498</v>
      </c>
      <c r="AS34" s="1" t="s">
        <v>71</v>
      </c>
      <c r="AT34" s="1"/>
    </row>
  </sheetData>
  <autoFilter ref="A27:AT27">
    <sortState ref="A28:AS34">
      <sortCondition ref="C27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8E8B3A-9542-4678-9364-0F2DC774143B}"/>
</file>

<file path=customXml/itemProps2.xml><?xml version="1.0" encoding="utf-8"?>
<ds:datastoreItem xmlns:ds="http://schemas.openxmlformats.org/officeDocument/2006/customXml" ds:itemID="{C35BEEF5-086D-4E66-B054-9611FBA82B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41DD31-8B29-4673-9AE1-2477CDE825C7}">
  <ds:schemaRefs>
    <ds:schemaRef ds:uri="http://schemas.microsoft.com/office/infopath/2007/PartnerControls"/>
    <ds:schemaRef ds:uri="http://schemas.microsoft.com/sharepoint/v3"/>
    <ds:schemaRef ds:uri="http://purl.org/dc/terms/"/>
    <ds:schemaRef ds:uri="09d3dac3-f296-4107-b579-4b1e37be6169"/>
    <ds:schemaRef ds:uri="5ad20f8b-9281-4829-a9aa-2b5a878ba2cc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Filipe da Silva Pragosa</dc:creator>
  <cp:lastModifiedBy>Luís Filipe da Silva Pragosa</cp:lastModifiedBy>
  <dcterms:created xsi:type="dcterms:W3CDTF">2024-10-16T11:00:29Z</dcterms:created>
  <dcterms:modified xsi:type="dcterms:W3CDTF">2024-10-16T22:27:19Z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2024-10-16T11:55:50Z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f648c38c-7ff3-47b7-a4c6-5e76a18f371f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</Properties>
</file>