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e858309\Desktop\"/>
    </mc:Choice>
  </mc:AlternateContent>
  <bookViews>
    <workbookView xWindow="-105" yWindow="-105" windowWidth="23250" windowHeight="12570" tabRatio="745"/>
  </bookViews>
  <sheets>
    <sheet name="Mapeamentos" sheetId="1" r:id="rId1"/>
    <sheet name="Notas LT002" sheetId="16" state="hidden" r:id="rId2"/>
    <sheet name="Notas Financeira" sheetId="7" state="hidden" r:id="rId3"/>
    <sheet name="Diagrama_Estrutura_Accionista" sheetId="10" state="hidden" r:id="rId4"/>
    <sheet name="draft" sheetId="12" state="hidden" r:id="rId5"/>
    <sheet name="Sheet1" sheetId="15" state="hidden" r:id="rId6"/>
  </sheets>
  <definedNames>
    <definedName name="_xlnm._FilterDatabase" localSheetId="0" hidden="1">Mapeamentos!$A$3:$G$3</definedName>
    <definedName name="_Toc51154475" localSheetId="0">Mapeamentos!$B$3</definedName>
    <definedName name="_Toc51154476" localSheetId="0">Mapeamentos!#REF!</definedName>
    <definedName name="_Toc51154477" localSheetId="0">Mapeamentos!#REF!</definedName>
    <definedName name="_Toc51154478" localSheetId="0">Mapeamentos!#REF!</definedName>
    <definedName name="_Toc51154479" localSheetId="0">Mapeamentos!#REF!</definedName>
    <definedName name="_Toc51154480" localSheetId="0">Mapeamentos!#REF!</definedName>
    <definedName name="_Toc51154482" localSheetId="0">Mapeamentos!#REF!</definedName>
    <definedName name="_Toc51154483" localSheetId="0">Mapeamentos!#REF!</definedName>
    <definedName name="_Toc51154484" localSheetId="0">Mapeamentos!#REF!</definedName>
    <definedName name="_Toc51154485" localSheetId="0">Mapeamentos!#REF!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2" l="1"/>
  <c r="K15" i="12"/>
  <c r="K16" i="12"/>
  <c r="K17" i="12"/>
  <c r="K18" i="12"/>
  <c r="K19" i="12"/>
  <c r="K20" i="12"/>
  <c r="K21" i="12"/>
  <c r="K22" i="12"/>
  <c r="K23" i="12"/>
  <c r="K24" i="12"/>
  <c r="K25" i="12"/>
  <c r="K26" i="12"/>
  <c r="K27" i="12"/>
  <c r="K28" i="12"/>
  <c r="K29" i="12"/>
  <c r="K30" i="12"/>
  <c r="K31" i="12"/>
  <c r="K32" i="12"/>
  <c r="K33" i="12"/>
  <c r="K34" i="12"/>
  <c r="K35" i="12"/>
  <c r="K36" i="12"/>
  <c r="K37" i="12"/>
  <c r="K13"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4" i="12"/>
  <c r="A3" i="7" l="1"/>
  <c r="A4" i="7" s="1"/>
  <c r="C5" i="1"/>
  <c r="C6" i="1" s="1"/>
  <c r="C7" i="1" s="1"/>
  <c r="C8" i="1" s="1"/>
  <c r="C9" i="1" s="1"/>
  <c r="C10" i="1" s="1"/>
  <c r="C11" i="1" s="1"/>
  <c r="C12" i="1" s="1"/>
  <c r="C13" i="1" s="1"/>
  <c r="C14" i="1" s="1"/>
  <c r="C15" i="1" s="1"/>
  <c r="C16" i="1" s="1"/>
</calcChain>
</file>

<file path=xl/sharedStrings.xml><?xml version="1.0" encoding="utf-8"?>
<sst xmlns="http://schemas.openxmlformats.org/spreadsheetml/2006/main" count="973" uniqueCount="400">
  <si>
    <t xml:space="preserve"> </t>
  </si>
  <si>
    <t xml:space="preserve">   </t>
  </si>
  <si>
    <t>Instruções SRB - Bail-in data set</t>
  </si>
  <si>
    <t>Análise IT</t>
  </si>
  <si>
    <t>Tipo</t>
  </si>
  <si>
    <t>SRB_ID</t>
  </si>
  <si>
    <t>Data Point</t>
  </si>
  <si>
    <t>Attribute</t>
  </si>
  <si>
    <t>Definition</t>
  </si>
  <si>
    <t>Mapeamento</t>
  </si>
  <si>
    <t>Comentário</t>
  </si>
  <si>
    <t>4.2.1. DATA POINTS FOR IDENTIFICATION</t>
  </si>
  <si>
    <t xml:space="preserve">Legal entity </t>
  </si>
  <si>
    <t>[Entity name]</t>
  </si>
  <si>
    <t>Name of the subsidiary. 
Free-form text identification of incorporation name of the entity for which the table is reported. Please state the official name as it is listed in corporate acts, including the indication of the incorporation form.</t>
  </si>
  <si>
    <t>Legal entity identifier</t>
  </si>
  <si>
    <t>[LEI code]</t>
  </si>
  <si>
    <t>LEI code (unique code) identifying the reporting entity.</t>
  </si>
  <si>
    <t xml:space="preserve">Unique identification number for the liability </t>
  </si>
  <si>
    <t>[ISIN/Specific ID]</t>
  </si>
  <si>
    <t>ID provided by the resolution entity for a  liability (e.g. ISIN, contract number, account number).</t>
  </si>
  <si>
    <t>Nature of the instrument</t>
  </si>
  <si>
    <t>[e.g. bond, shares, reserves, contingent liability]</t>
  </si>
  <si>
    <t>Information on the nature of the liability</t>
  </si>
  <si>
    <t>Jurisdiction governing the contract of the claim</t>
  </si>
  <si>
    <t>[e.g. FR, IT]</t>
  </si>
  <si>
    <t>ISO 3166-1 alpha 2-country c 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</si>
  <si>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Contract currency</t>
  </si>
  <si>
    <t>[e.g. EUR, USD]</t>
  </si>
  <si>
    <t>ISO 4217 currency code. The currency in which the instrument is issued.</t>
  </si>
  <si>
    <t>Issuance Date</t>
  </si>
  <si>
    <t>[date]</t>
  </si>
  <si>
    <t>Date of the original issuance of the instrument</t>
  </si>
  <si>
    <t>Legal Maturity Date</t>
  </si>
  <si>
    <t>Date of the legal, final maturity of the instrument. For perpetual instruments, this should be ‘2099-01-31’.</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</si>
  <si>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</si>
  <si>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</si>
  <si>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Date of the next interest payment</t>
  </si>
  <si>
    <t>The payment date from which the income distribution is made available for payment by the bank.</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</si>
  <si>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</si>
  <si>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</si>
  <si>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</si>
  <si>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Rank of liability (on- and -off balance sheet) within the national insolvency 
ranking</t>
  </si>
  <si>
    <t>[number]</t>
  </si>
  <si>
    <t>Rank of liability according to the national insolvency ranking.</t>
  </si>
  <si>
    <t>Instrument/liability 
is issued to or 
bought by an 
existing shareholder 
that is not part of 
the same resolution 
group</t>
  </si>
  <si>
    <t>[yes/no]</t>
  </si>
  <si>
    <t>Flag to identify if a liability is issued to or bought by an existing shareholder that is not part of the same resolution group according to Article 12g(2)a point i SRMR.</t>
  </si>
  <si>
    <t>4.2.2. DATA POINTS FOR LINK WITH OWN FUNDS</t>
  </si>
  <si>
    <t>Type of own funds at 
subsidiary level</t>
  </si>
  <si>
    <t>[acc. LDR guidance]</t>
  </si>
  <si>
    <t>According to existing LDR guidance value can be ‘CET1’, ‘Fully Compliant AT1’, ‘Grandfathered AT1’, ‘Fully Compliant T2’, ‘Grandfathered T2’, ‘T2 in phase-out’ or ‘Partially AT1 and T2’.</t>
  </si>
  <si>
    <t>Amount eligible as 
own funds at 
subsidiary level.</t>
  </si>
  <si>
    <t>The actual amount in EUR of the instrument qualifying as own funds, taking into account phase-out as applicable.</t>
  </si>
  <si>
    <t>Amount of 
subordinated 
liabilities not eligible 
as own funds at 
subsidiary level</t>
  </si>
  <si>
    <t>The actual amount in EUR of the subordinated debt instrument not qualifying as own funds</t>
  </si>
  <si>
    <t>If liability is, at the level of the subsidiary, assigned to more than one own funds 
component, indication of the second own funds component</t>
  </si>
  <si>
    <t>[AT1/T2]</t>
  </si>
  <si>
    <t>This data point is requested for the case that the liability 
is assigned to more than one own funds component and 
is needed to calculate the impact of the write-down and 
conversion powers / bail-in tool on the own funds.</t>
  </si>
  <si>
    <t>Eligible amount for own funds component according to point above</t>
  </si>
  <si>
    <t>This data point is requested for the case that not the full amount of the liability is eligible as own funds.</t>
  </si>
  <si>
    <t>If own funds, agio of the liability/instrument</t>
  </si>
  <si>
    <t>To the extent relevant under (national) GAAP, bond premium classified in capital reserves.</t>
  </si>
  <si>
    <t>4.2.3. DATA POINTS FOR LINK WITH ACCOUNTING</t>
  </si>
  <si>
    <t>Carrying amount IFRS</t>
  </si>
  <si>
    <t>To the extent relevant for the bank, carrying amount under IFRS.</t>
  </si>
  <si>
    <t>Carrying amount national GAAP</t>
  </si>
  <si>
    <t>Carrying amount under national GAAP</t>
  </si>
  <si>
    <t>Reportar igual ao campo acima</t>
  </si>
  <si>
    <t>4.2.4. DATA POINTS FOR AMOUNTS REQUIRED FOR CALCULATION</t>
  </si>
  <si>
    <t>Original amount issued in EUR</t>
  </si>
  <si>
    <t>Original amount issued in EUR.</t>
  </si>
  <si>
    <t>Original amount 
issued in foreign currency, if 
applicable</t>
  </si>
  <si>
    <t>[Amount in FX]</t>
  </si>
  <si>
    <t>Original amount issued in foreign currency.</t>
  </si>
  <si>
    <t>Outstanding principal amount</t>
  </si>
  <si>
    <t>Value of the outstanding principal amount of the instrument.</t>
  </si>
  <si>
    <t>Accrued interest</t>
  </si>
  <si>
    <t>Value of the outstanding accrued interest on the instrument.</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</si>
  <si>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</si>
  <si>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</si>
  <si>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Portion of the liability held by the subsidiary itself for external issuances</t>
  </si>
  <si>
    <t>Portion of the liability held by the subsidiary itself as principal amount plus accrued interest and fees and charges (if applicable)</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</si>
  <si>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</si>
  <si>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</si>
  <si>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</si>
  <si>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</si>
  <si>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4.2.5. DATA POINTS FOR INFORMATION ON THE INVESTOR/CREDITOR</t>
  </si>
  <si>
    <t>Country of contracting party</t>
  </si>
  <si>
    <t>[Country Code]</t>
  </si>
  <si>
    <t>Home State of the counterparty (investor/creditor).</t>
  </si>
  <si>
    <t>Tax residence of contracting party</t>
  </si>
  <si>
    <t>Tax residence of the counterparty (investor/creditor), if Home State of the counterparty is not available.</t>
  </si>
  <si>
    <t xml:space="preserve">Name of contracting party </t>
  </si>
  <si>
    <t>[Name]</t>
  </si>
  <si>
    <t>The name of the investor/creditor</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</si>
  <si>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</si>
  <si>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</si>
  <si>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</si>
  <si>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Counterparty type 
for the externally 
issued liabilities</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</si>
  <si>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</si>
  <si>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of the liability, i.e. households, non-financial corporations (SMEs), non-financial corporations 
(non-SMEs), Credit institutions, Other financial corporations, General governments &amp; Central banks, non-identified counterparties (listed on an exchange platform) or 
others.</t>
  </si>
  <si>
    <t>Counterparty within the resolution group</t>
  </si>
  <si>
    <t>Drop-down: 
- Intragroup and intra-resolution group (1) 
- Intragroup but not intra-resolution group (2) 
- No</t>
  </si>
  <si>
    <t>Flag whether the counterparty is part of the resolution group.</t>
  </si>
  <si>
    <t>zcliente</t>
  </si>
  <si>
    <t>4.2.6. DATA POINTS FOR GUARANTEES</t>
  </si>
  <si>
    <t>Identifier of the guarantee issued by the resolution entity, which is owed to the subsidiary/affiliated entity</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</si>
  <si>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</si>
  <si>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</si>
  <si>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</si>
  <si>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</si>
  <si>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</si>
  <si>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Identifier of the securities used as a collateral for the guarantee</t>
  </si>
  <si>
    <t>Amount of the 
guarantee provided 
by the resolution 
entity or other 
entities of the group, 
which is owed to the 
subsidiary/affiliated 
entity</t>
  </si>
  <si>
    <t>Outstanding amount guaranteed by the resolution entity</t>
  </si>
  <si>
    <t>Maximum amount of the guarantee</t>
  </si>
  <si>
    <t>Maximum amount guaranteed by the resolution entity.</t>
  </si>
  <si>
    <t>Type of guarantee</t>
  </si>
  <si>
    <t>Drop down: 
- Issuance (1) 
- Counterparty (2) 
- Unlimited (3) 
- Other (4)</t>
  </si>
  <si>
    <t>The type of guarantee from a  predefined list, either: 
- ‘Issuance’ for guarantees on specific instruments/liabilities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</si>
  <si>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</si>
  <si>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</si>
  <si>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</si>
  <si>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</si>
  <si>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</si>
  <si>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</si>
  <si>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</si>
  <si>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</si>
  <si>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</si>
  <si>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</si>
  <si>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</si>
  <si>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</si>
  <si>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</si>
  <si>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</si>
  <si>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</si>
  <si>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</si>
  <si>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</si>
  <si>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</si>
  <si>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</si>
  <si>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</si>
  <si>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</si>
  <si>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</si>
  <si>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</si>
  <si>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</si>
  <si>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</si>
  <si>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</si>
  <si>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</si>
  <si>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</si>
  <si>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</si>
  <si>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</si>
  <si>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</si>
  <si>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t>
  </si>
  <si>
    <t>FROM</t>
  </si>
  <si>
    <t>O Bail-in constará na Tabela LT002 em que:</t>
  </si>
  <si>
    <t xml:space="preserve"> - Os campos desdobráveis (os que têm mais do que 1 valor para o mesmo contrato) terão os valores separados por ;? O separador de campos num CSV já é ; pelo que se deveria selecionar outro separador.</t>
  </si>
  <si>
    <t xml:space="preserve"> - Terão de se identificar os campos desdobráveis</t>
  </si>
  <si>
    <t xml:space="preserve"> - Existem campos que não estão preparados para desdobrar (Gross carrying amount)</t>
  </si>
  <si>
    <t>Se em algum momento a Corporação/SRB exigirem o desdobramento, terá depois se efetuar um desenvolvimento que pega no vetor e faz o desdobramento</t>
  </si>
  <si>
    <t>Temos 3 tipos de campos:</t>
  </si>
  <si>
    <t xml:space="preserve"> - Os que já existem atualmente no LT e que vão que ter que ser desdobrados -&gt; vamos ter de alterar estes campos para poderem desdobrar (G) dado que não se quer criar campos novos iguais mas que desdobrem</t>
  </si>
  <si>
    <t xml:space="preserve"> - Os que vão manter o valor (ou seja o valor repete-se) e que não são vetores -&gt; não tem de se fazer nada</t>
  </si>
  <si>
    <t xml:space="preserve"> - Os que são desdobráveis</t>
  </si>
  <si>
    <t>LT002 As Is</t>
  </si>
  <si>
    <t>contrato</t>
  </si>
  <si>
    <t>GCA</t>
  </si>
  <si>
    <t>32023234234234300</t>
  </si>
  <si>
    <t>LT002 Intermédia</t>
  </si>
  <si>
    <t>segmento_xpto</t>
  </si>
  <si>
    <t>123</t>
  </si>
  <si>
    <t>A</t>
  </si>
  <si>
    <t>B</t>
  </si>
  <si>
    <t>C</t>
  </si>
  <si>
    <t>LT002 To Be</t>
  </si>
  <si>
    <t>123;123;1234</t>
  </si>
  <si>
    <t>A;B;C</t>
  </si>
  <si>
    <t>30000</t>
  </si>
  <si>
    <t>Se for preciso abrir no futuro:</t>
  </si>
  <si>
    <t>10000</t>
  </si>
  <si>
    <t>#</t>
  </si>
  <si>
    <t>Data set</t>
  </si>
  <si>
    <t>Terá de atacar as tabelas fazendo o filtro para passivo  com exceção do Data point 5 que tem uma parte de extrapatrimonial</t>
  </si>
  <si>
    <t>TODOS</t>
  </si>
  <si>
    <t>Os depósitos de clientes terá de ser feito um cruzamento com a tabela do FGD (FG001_FGD no cap tools). Os depósitos depois são divididos entre cobertos e não cobertos sendo que têm tratamento diferente consoante o caso.</t>
  </si>
  <si>
    <t>Para a parte das emissões de títulos, a ligação entre a AL029/AL030 e a CT610 deverá ser feita por ISIN/ZDEPOSIT</t>
  </si>
  <si>
    <t>1. DATA POINTS FOR IDENTIFICATION</t>
  </si>
  <si>
    <t>lt809_typ_instrmnt</t>
  </si>
  <si>
    <t>lt829_regras_conversao</t>
  </si>
  <si>
    <t>instrmnt_fncr</t>
  </si>
  <si>
    <t>c_typ_instmnt</t>
  </si>
  <si>
    <t>ordem</t>
  </si>
  <si>
    <t>typ_instrmnt</t>
  </si>
  <si>
    <t>descritivo</t>
  </si>
  <si>
    <t>tabela</t>
  </si>
  <si>
    <t>campo_conceito</t>
  </si>
  <si>
    <t>regra_conversao</t>
  </si>
  <si>
    <t>valor_conceito</t>
  </si>
  <si>
    <t>valor_final</t>
  </si>
  <si>
    <t>descritivo_valor_ final</t>
  </si>
  <si>
    <t>NULL</t>
  </si>
  <si>
    <t>Loans other than overdrafts, convenience credit, extended credit, credit card credit, revolving credit other than credit card credit, reverse repurchase agreements, trade receivables and financial leases</t>
  </si>
  <si>
    <t>Revolving credit other than overdrafts and credit card debt</t>
  </si>
  <si>
    <t>Credit lines other than revolving credit</t>
  </si>
  <si>
    <t>Reverse repurchase agreements</t>
  </si>
  <si>
    <t>Trade receivables</t>
  </si>
  <si>
    <t>Overdrafts</t>
  </si>
  <si>
    <t>Credit card debt</t>
  </si>
  <si>
    <t>Financial leases</t>
  </si>
  <si>
    <t>instrumentos de divida</t>
  </si>
  <si>
    <t>Debt securities</t>
  </si>
  <si>
    <t>****</t>
  </si>
  <si>
    <t>Deposits other than reverse repurchase agreements</t>
  </si>
  <si>
    <t>Column1</t>
  </si>
  <si>
    <t>Column2</t>
  </si>
  <si>
    <t>Column3</t>
  </si>
  <si>
    <t>Column4</t>
  </si>
  <si>
    <t>Column5</t>
  </si>
  <si>
    <t>freq</t>
  </si>
  <si>
    <t>freq_traduzida_246</t>
  </si>
  <si>
    <t>freq_traduzida_247</t>
  </si>
  <si>
    <t>freq_traduzida_248</t>
  </si>
  <si>
    <t>freq_traduzida_785</t>
  </si>
  <si>
    <t>tayd91c0_celemtab</t>
  </si>
  <si>
    <t>tayd91c0_gelemtab</t>
  </si>
  <si>
    <t>ANUAL</t>
  </si>
  <si>
    <t>M16</t>
  </si>
  <si>
    <t>16 MESES</t>
  </si>
  <si>
    <t>BIMENSAL</t>
  </si>
  <si>
    <t>SEMESTRAL</t>
  </si>
  <si>
    <t>DIARIO</t>
  </si>
  <si>
    <t>M86</t>
  </si>
  <si>
    <t>MENSAL</t>
  </si>
  <si>
    <t>TRIMESTRAL</t>
  </si>
  <si>
    <t>   SELECT DISTINCT tayd91c0_celemtab, tayd91c0_gelemtab--tayd91c0_celemtab, tayd91c0_gelemtab as freq_traduzida_248</t>
  </si>
  <si>
    <t>M42</t>
  </si>
  <si>
    <t>    FROM cd_estruturais.tat91_tabelas</t>
  </si>
  <si>
    <t>    WHERE data_date_part = (SELECT MAX(data_date_part) FROM cd_estruturais.tat91_tabelas) </t>
  </si>
  <si>
    <t>M14</t>
  </si>
  <si>
    <t>14 MESES</t>
  </si>
  <si>
    <t>    AND tayd91c0_ctabela = '248'</t>
  </si>
  <si>
    <t>8 MESES</t>
  </si>
  <si>
    <t>    AND tayd91c0_gelemtab in ('TRIMESTRAL','SEMESTRAL','MENSAL','DIARIO','BIMENSAL','ANUAL')</t>
  </si>
  <si>
    <t>N05</t>
  </si>
  <si>
    <t>5 ANOS</t>
  </si>
  <si>
    <t xml:space="preserve">   SELECT DISTINCT tayd91c0_celemtab, tayd91c0_gelemtab--tayd91c0_celemtab, tayd91c0_gelemtab as freq_traduzida_248</t>
  </si>
  <si>
    <t xml:space="preserve">    FROM cd_estruturais.tat91_tabelas</t>
  </si>
  <si>
    <t xml:space="preserve">    WHERE data_date_part = (SELECT MAX(data_date_part) FROM cd_estruturais.tat91_tabelas) </t>
  </si>
  <si>
    <t>M70</t>
  </si>
  <si>
    <t xml:space="preserve">    AND tayd91c0_ctabela = '248'</t>
  </si>
  <si>
    <t>M18</t>
  </si>
  <si>
    <t>18 MESES</t>
  </si>
  <si>
    <t xml:space="preserve">    AND tayd91c0_gelemtab in ('TRIMESTRAL','SEMESTRAL','MENSAL','DIARIO','BIMENSAL','ANUAL')</t>
  </si>
  <si>
    <t>M30</t>
  </si>
  <si>
    <t>30 MESES</t>
  </si>
  <si>
    <t>M01</t>
  </si>
  <si>
    <t>1 MES</t>
  </si>
  <si>
    <t>TRES ANOS</t>
  </si>
  <si>
    <t>3 ANOS</t>
  </si>
  <si>
    <t>M02</t>
  </si>
  <si>
    <t>2 MESES</t>
  </si>
  <si>
    <t>48 MESES</t>
  </si>
  <si>
    <t>M07</t>
  </si>
  <si>
    <t>7 MESES</t>
  </si>
  <si>
    <t>M36</t>
  </si>
  <si>
    <t>36 MESES</t>
  </si>
  <si>
    <t>M11</t>
  </si>
  <si>
    <t>11 MESES</t>
  </si>
  <si>
    <t>M06</t>
  </si>
  <si>
    <t>6 MESES</t>
  </si>
  <si>
    <t>15 MESES</t>
  </si>
  <si>
    <t>M85</t>
  </si>
  <si>
    <t>M09</t>
  </si>
  <si>
    <t>9 MESES</t>
  </si>
  <si>
    <t>M08</t>
  </si>
  <si>
    <t>M60</t>
  </si>
  <si>
    <t>M05</t>
  </si>
  <si>
    <t>5 MESES</t>
  </si>
  <si>
    <t>M03</t>
  </si>
  <si>
    <t>3 MESES</t>
  </si>
  <si>
    <t>M91</t>
  </si>
  <si>
    <t>4 MESES</t>
  </si>
  <si>
    <t>M10</t>
  </si>
  <si>
    <t>10 MESES</t>
  </si>
  <si>
    <t>37 MESES</t>
  </si>
  <si>
    <t>M04</t>
  </si>
  <si>
    <t>4 ANOS</t>
  </si>
  <si>
    <t>M39</t>
  </si>
  <si>
    <t>N01</t>
  </si>
  <si>
    <t>1 ANO</t>
  </si>
  <si>
    <t>VEN</t>
  </si>
  <si>
    <t>M17</t>
  </si>
  <si>
    <t>17 MESES</t>
  </si>
  <si>
    <t>M48</t>
  </si>
  <si>
    <t>96 MESES</t>
  </si>
  <si>
    <t>72 MESES</t>
  </si>
  <si>
    <t>A01</t>
  </si>
  <si>
    <t>M26</t>
  </si>
  <si>
    <t>26 MESES</t>
  </si>
  <si>
    <t>M72</t>
  </si>
  <si>
    <t>M54</t>
  </si>
  <si>
    <t>M19</t>
  </si>
  <si>
    <t>19 MESES</t>
  </si>
  <si>
    <t>84 MESES</t>
  </si>
  <si>
    <t>M23</t>
  </si>
  <si>
    <t>23 MESES</t>
  </si>
  <si>
    <t>M24</t>
  </si>
  <si>
    <t>24 MESES</t>
  </si>
  <si>
    <t>M99</t>
  </si>
  <si>
    <t>M46</t>
  </si>
  <si>
    <t>M20</t>
  </si>
  <si>
    <t>20 MESES</t>
  </si>
  <si>
    <t>M12</t>
  </si>
  <si>
    <t>12 MESES</t>
  </si>
  <si>
    <t>D07</t>
  </si>
  <si>
    <t>7 DIAS</t>
  </si>
  <si>
    <t>M96</t>
  </si>
  <si>
    <t>M21</t>
  </si>
  <si>
    <t>21 MESES</t>
  </si>
  <si>
    <t>M15</t>
  </si>
  <si>
    <t>M52</t>
  </si>
  <si>
    <t>2 ANOS</t>
  </si>
  <si>
    <t>M13</t>
  </si>
  <si>
    <t>13 MESES</t>
  </si>
  <si>
    <t>M84</t>
  </si>
  <si>
    <t>M22</t>
  </si>
  <si>
    <t>22 MESES</t>
  </si>
  <si>
    <t>M59</t>
  </si>
  <si>
    <t>60 MESES</t>
  </si>
  <si>
    <t>SELECT</t>
  </si>
  <si>
    <t>freq, freq_traduzida_246, freq_traduzida_247, freq_traduzida_248, freq_traduzida_785</t>
  </si>
  <si>
    <t xml:space="preserve"> SELECT DISTINCT cod_freq_taxa_act as freq</t>
  </si>
  <si>
    <t>FROM cd_alm.al029_cnt_core_m</t>
  </si>
  <si>
    <t>WHERE ref_date &gt; '2024'</t>
  </si>
  <si>
    <t xml:space="preserve"> UNION</t>
  </si>
  <si>
    <t>SELECT DISTINCT cod_freq_taxa_pas as freq</t>
  </si>
  <si>
    <t>SELECT DISTINCT cod_freq_amort_capital_act as freq</t>
  </si>
  <si>
    <t xml:space="preserve"> WHERE ref_date &gt; '2024'</t>
  </si>
  <si>
    <t>SELECT DISTINCT cod_freq_amort_capital_pas as freq</t>
  </si>
  <si>
    <t xml:space="preserve"> FROM cd_alm.al029_cnt_core_m</t>
  </si>
  <si>
    <t xml:space="preserve"> SELECT DISTINCT cod_freq_liq_jur_act as freq</t>
  </si>
  <si>
    <t xml:space="preserve"> SELECT DISTINCT cod_freq_liq_jur_pas as freq</t>
  </si>
  <si>
    <t>) as a</t>
  </si>
  <si>
    <t>LEFT JOIN</t>
  </si>
  <si>
    <t xml:space="preserve"> SELECT tayd91c0_celemtab, tayd91c0_gelemtab as freq_traduzida_246</t>
  </si>
  <si>
    <t xml:space="preserve"> FROM cd_estruturais.tat91_tabelas</t>
  </si>
  <si>
    <t xml:space="preserve"> WHERE data_date_part = (SELECT MAX(data_date_part) FROM cd_estruturais.tat91_tabelas)</t>
  </si>
  <si>
    <t xml:space="preserve"> AND tayd91c0_ctabela = '246'</t>
  </si>
  <si>
    <t>) as tat1</t>
  </si>
  <si>
    <t>ON tat1.tayd91c0_celemtab = a.freq</t>
  </si>
  <si>
    <t xml:space="preserve"> SELECT tayd91c0_celemtab, tayd91c0_gelemtab as freq_traduzida_247</t>
  </si>
  <si>
    <t xml:space="preserve"> AND tayd91c0_ctabela = '247'</t>
  </si>
  <si>
    <t>) as tat2</t>
  </si>
  <si>
    <t>ON tat2.tayd91c0_celemtab = a.freq</t>
  </si>
  <si>
    <t xml:space="preserve"> SELECT tayd91c0_celemtab, tayd91c0_gelemtab as freq_traduzida_248</t>
  </si>
  <si>
    <t>FROM cd_estruturais.tat91_tabelas</t>
  </si>
  <si>
    <t>AND tayd91c0_ctabela = '248'</t>
  </si>
  <si>
    <t>) as tat3</t>
  </si>
  <si>
    <t>ON tat3.tayd91c0_celemtab = a.freq</t>
  </si>
  <si>
    <t xml:space="preserve"> SELECT tayd91c0_celemtab, tayd91c0_gelemtab as freq_traduzida_785</t>
  </si>
  <si>
    <t>WHERE data_date_part = (SELECT MAX(data_date_part) FROM cd_estruturais.tat91_tabelas)</t>
  </si>
  <si>
    <t>AND tayd91c0_ctabela = '785'</t>
  </si>
  <si>
    <t>) as tat4</t>
  </si>
  <si>
    <t>ON tat4.tayd91c0_celemtab = a.freq</t>
  </si>
  <si>
    <t>Campo Fixo: "BANCO SANTANDER TOTTA, S.A"</t>
  </si>
  <si>
    <t>Campo Fixo: "549300URJH9VSI58CS32"</t>
  </si>
  <si>
    <t>concat(cempresa, cbalcao, cnumecta, zdeposit) da cd_captools.fr004_cto</t>
  </si>
  <si>
    <t>1) Para os registos que estão na cd_captools.ct610_titulos obter o campo lei_aplicavel;
2) Para os registos que não estão na cd_captools.ct610_titulos colocar valor fixo 'PT'.</t>
  </si>
  <si>
    <t>1) Para os registos que estão na cd_captools.ct610_titulos obter o campo cmoeda;
2) Para os registos que não estão na cd_captools.ct610_titulos obter o campo cmoeda1 da cd_captools.fr004_cto.
Adicionalmente, converter os campos cmoeda/cmoeda1 nos respetivos descritivos, que constam na cd_estruturais.tat91_tabelas (TAYD91C0_CTABELA = '206') no campo tayd91c0_gelemtab (ligando por tayd91c0_celemtab).
Nota: Se o campo cmoeda1  = 'NULL' ou ' ' , forçar 'EUR'.</t>
  </si>
  <si>
    <t>1) Para os registos que estão na cd_captools.ct610_titulos obter o campo campo dt_emissao. Adicionalmente, deverá converter-se o formato do campo dt_emissao para aaaa-mm-dd (atualmente encontra-se no formato dd-mm-aaaa).
2) Para os registos que não estão na cd_captools.ct610_titulos  obter o campo campo data_abertura da cd_captools.fr004_cto.</t>
  </si>
  <si>
    <t>1) Para os registos que estão na cd_captools.ct610_titulos obter o campo campo dt_vencim. Adicionalmente, deverá converter-se o formato do campo dt_vencim para aaaa-mm-dd (atualmente encontra-se no formato dd-mm-aaaa).
2) Para os registos que não estão na cd_captools.ct610_titulos  obter o campo campo data_vencimento da cd_captools.fr004_cto.</t>
  </si>
  <si>
    <t>Em definição:
1) Para Títulos -&gt; Legal Maturity Date
2) Para Depósitos -&gt; 'N/A' (em linha com o novo Bail-in)</t>
  </si>
  <si>
    <t>Tabela cd_alm.al029_cnt_core_m:
- se tipo balanço = P, buscar campo  dt_prox_liq_juros_pas   
Nota: Usar Tradutores FINREP, ALM.</t>
  </si>
  <si>
    <t>Campo valor_bruto_on_p da cd_captools.fr004_cto</t>
  </si>
  <si>
    <t xml:space="preserve"> - 'yes' para a lista de zclientes abaixo (não fazem parte do mesmo grupo de resolução do BST)
 - 'no' para todos os restantes zclientes
1) Para os registos que estão na cd_captools.ct610_titulos obter o campo zcliente_investidor
2) Para os registos que não estão na cd_captools.ct610_titulos obter o campo zcliente da cd_captools.fr004_cto
Lista de zclientes (não fazem parte do mesmo grupo de resolução do BST):
0000238954
6511000505
7400416271
7400416353
7400416520
7400416611
7400416763
7400507283
7400701625
7401474691
7401536276
8037849269
8043363752
8044173594
8046250676
8046296743
8046334916
9001925092</t>
  </si>
  <si>
    <t>1) Para os registos que estão na cd_captools.ct610_titulos obter o campo eleg_fund_prop.
2) Para os registos que não estão na cd_captools.ct610_titulos colocar valor fixo 'N/A'.
Nota: Na ct610_titulos, caso se obtenham registos a ' ' ou a 'NULL', colocar valor fixo 'N/A'.</t>
  </si>
  <si>
    <t>1) Para os registos que estão na cd_captools.ct610_titulos obter o campo mon_fund_prop.
2) Para os registos que não estão na cd_captools.ct610_titulos colocar valor fixo 0.
Nota: Na ct610_titulos, caso se obtenham registos a ' ' ou a 'NULL', colocar valor fixo 0.</t>
  </si>
  <si>
    <t>Campo fixo: 0</t>
  </si>
  <si>
    <t>Obter campo cpais_residencia da tabela cd_captools.ct003_univ_cli ligando por zcliente:
1) Para os registos que estão na cd_captools.ct610_titulos obter o campo zcliente_investidor
2) Para os registos que não estão na cd_captools.ct610_titulos obter o campo zcliente da cd_captools.fr004_cto
Adicionalmente, converter o campo cpais_residencia no respetivo  ISO 3166-1 alpha-2 code.</t>
  </si>
  <si>
    <t>Obter campo gcliente da cd_captools.ct003_univ_cli ligando por zcliente:
1) Para os registos que estão na cd_captools.ct610_titulos obter o campo zcliente_investidor
2) Para os registos que não estão na cd_captools.ct610_titulos obter o campo zcliente da cd_captools.fr004_cto
Adicionalmente, se campo itipcli= 'F' da cd_captools.ct003_univ_cli colocar campo fixo: 'Natural Customer'</t>
  </si>
  <si>
    <t>Obter campo clei da cd_captools.ct003_univ_cli ligando por zcliente:
1) Para os registos que estão na cd_captools.ct610_titulos obter o campo zcliente_investidor
2) Para os registos que não estão na cd_captools.ct610_titulos obter o campo zcliente da cd_captools.fr004_cto
Adicionalmente, se campo itipcli= 'F' da cd_captools.ct003_univ_cli colocar campo fixo: 'Natural Customer'
Caso não tenha clei preenchido, obter zcliente.</t>
  </si>
  <si>
    <t>Campo Fixo: 'N/A'</t>
  </si>
  <si>
    <t>1) Para os registos que estão na cd_alm.al602_repos_alm: (campo mon_nom_orig_tit / mon_inicio_repo)*100.
2) Para os registos que não estão na cd_alm.al602_repos_alm colocar valor fixo 0.</t>
  </si>
  <si>
    <t>1) Para os registos que estão na cd_alm.al602_repos_alm obter o campo dt_inicio.
2) Para os registos que não estão na cd_alm.al602_repos_alm colocar valor fixo 'N/A'.</t>
  </si>
  <si>
    <t>1) Para os registos que estão na cd_alm.al602_repos_alm obter o campo dt_fim.
2) Para os registos que não estão na cd_alm.al602_repos_alm colocar valor fixo 'N/A'.</t>
  </si>
  <si>
    <t>1) Para os registos que estão na cd_alm.al602_repos_alm obter concat(cempresa_tit,cbalcao_tit, cnumecta_tit,zdeposit_tit).
2) Para os registos que não estão na cd_alm.al602_repos_alm colocar valor fixo 'N/A'.</t>
  </si>
  <si>
    <t>1) Para os registos que estão na cd_alm.al602_repos_alm e que têm concat(cempresa_tit,cbalcao_tit, cnumecta_tit,zdeposit_tit) preenchido, colocar valor fixo 'Yes'.
2) Para os registos que não estão na cd_alm.al602_repos_alm colocar valor fixo 'No'.</t>
  </si>
  <si>
    <t>1) Para os registos que estão na cd_alm.al602_repos_alm e que têm concat(cempresa_tit,cbalcao_tit, cnumecta_tit,zdeposit_tit) preenchido, colocar valor fixo 'PT'.
2) Para os registos que não estão na cd_alm.al602_repos_alm colocar valor fixo 'N/A'.</t>
  </si>
  <si>
    <t>1) Para os registos que estão na cd_alm.al602_repos_alm e que têm concat(cempresa_tit,cbalcao_tit, cnumecta_tit,zdeposit_tit) preenchido, colocar valor fixo 'securities'.
2) Para os registos que não estão na cd_alm.al602_repos_alm colocar valor fixo 'N/A'.</t>
  </si>
  <si>
    <t>1) Para os registos que estão na cd_alm.al602_repos_alm e que têm concat(cempresa_tit,cbalcao_tit, cnumecta_tit,zdeposit_tit) preenchido obter o campo mon_nom_atu_tit.
2) Para os registos que não estão na cd_alm.al602_repos_alm colocar valor fixo 0.</t>
  </si>
  <si>
    <t>1) Para os registos que estão na cd_alm.al602_repos_alm e que têm concat(cempresa_tit,cbalcao_tit, cnumecta_tit,zdeposit_tit) preenchido colocar valor fixo 'Market value (3)'.
2) Para os registos que não estão na cd_alm.al602_repos_alm colocar valor fixo 'N/A'.</t>
  </si>
  <si>
    <t>1) Para os registos que estão na cd_alm.al602_repos_alm e que têm concat(cempresa_tit,cbalcao_tit, cnumecta_tit,zdeposit_tit) preenchido: ref_date -1 mês 
ex: ref_date=2024-12-31 então 2024-11-30
2) Para os registos que não estão na cd_alm.al602_repos_alm colocar valor fixo 'N/A'.</t>
  </si>
  <si>
    <t>1) Para os registos que estão na cd_alm.al602_repos_alm e que têm concat(cempresa_tit,cbalcao_tit, cnumecta_tit,zdeposit_tit) preenchido colocar valor fixo 'Mark-to-market valuation (1)'.
2) Para os registos que não estão na cd_alm.al602_repos_alm colocar valor fixo 'N/A'.</t>
  </si>
  <si>
    <t>Em definição:
1) Para os registos que estão na cd_captools.ct610_titulos obter o campo rank_insolv.
2) Para os registos que não estão na cd_captools.ct610_titulos terá de se definir.</t>
  </si>
  <si>
    <t>Em definição</t>
  </si>
  <si>
    <t>Em definição:
Campo valor_bruto_on_p da cd_captools.fr004_cto</t>
  </si>
  <si>
    <t>Em definição:
Para Títulos: campo nom_tot_inic da ct610_titulos (definição do campo: Nominal total da emissão do título, na data de emissão. É, pois, um valor que se deve manter igual ao longo do tempo.)</t>
  </si>
  <si>
    <t xml:space="preserve">Em definição:
Quando EUR colocar 0, quando não EUR colocar o valor nom_tot_inic da ct610_titulos. 
</t>
  </si>
  <si>
    <t>Em definição:
Campo valor_bruto_on_p da cd_captools.fr004_cto - ACCRD_INTRST_INSTRMNT (definido abaixo, ver como fazer no nosso caso)</t>
  </si>
  <si>
    <t>Em definição:
campo contraparte da tabela cd_captools.ct003_univ_cli</t>
  </si>
  <si>
    <t>1) Para os registos que estão na cd_captools.ct610_titulos obter o campo tipo_titulo;
2) Para os registos que não estão na cd_captools.ct610_titulos aplicar a seguinte lógica:
Partindo do concat(cproduto, csubproduto) da cd_captools.fr004_cto, obter o respetivo descritivo na cd_estruturais.tat91_tabelas (TAYD91C0_CTABELA = '927') no campo tayd91c0_gelemtab (ligando por tayd91c0_celemtab)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</si>
</sst>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Santander Text"/>
      <family val="2"/>
    </font>
    <font>
      <b/>
      <sz val="10"/>
      <color rgb="FFFFFFFF"/>
      <name val="Santander Text"/>
      <family val="2"/>
    </font>
    <font>
      <sz val="10"/>
      <color rgb="FF000000"/>
      <name val="Santander Text"/>
      <family val="2"/>
    </font>
    <font>
      <b/>
      <sz val="12"/>
      <color theme="0"/>
      <name val="Santander Text"/>
      <family val="2"/>
    </font>
    <font>
      <b/>
      <sz val="14"/>
      <color theme="0"/>
      <name val="Santander Text"/>
      <family val="2"/>
    </font>
    <font>
      <sz val="10"/>
      <color rgb="FF000000"/>
      <name val="Santander Text"/>
    </font>
    <font>
      <b/>
      <sz val="10"/>
      <color theme="1"/>
      <name val="Santander Text"/>
      <family val="2"/>
    </font>
    <font>
      <sz val="11"/>
      <color rgb="FF000000"/>
      <name val="Calibri"/>
      <family val="2"/>
    </font>
    <font>
      <b/>
      <sz val="11"/>
      <color rgb="FFFFFFFF"/>
      <name val="Calibri"/>
    </font>
    <font>
      <sz val="11"/>
      <color rgb="FF000000"/>
      <name val="Calibri"/>
    </font>
    <font>
      <b/>
      <sz val="11"/>
      <color rgb="FF000000"/>
      <name val="Calibri"/>
      <family val="2"/>
    </font>
  </fonts>
  <fills count="10">
    <fill>
      <patternFill patternType="none"/>
    </fill>
    <fill>
      <patternFill patternType="gray125"/>
    </fill>
    <fill>
      <patternFill patternType="solid">
        <fgColor rgb="FFFF0000"/>
        <bgColor indexed="64"/>
      </patternFill>
    </fill>
    <fill>
      <patternFill patternType="solid">
        <fgColor theme="4"/>
        <bgColor indexed="64"/>
      </patternFill>
    </fill>
    <fill>
      <patternFill patternType="solid">
        <fgColor theme="6"/>
        <bgColor indexed="64"/>
      </patternFill>
    </fill>
    <fill>
      <patternFill patternType="solid">
        <fgColor theme="0"/>
        <bgColor indexed="64"/>
      </patternFill>
    </fill>
    <fill>
      <patternFill patternType="solid">
        <fgColor rgb="FFC0504D"/>
        <bgColor rgb="FFC0504D"/>
      </patternFill>
    </fill>
    <fill>
      <patternFill patternType="solid">
        <fgColor rgb="FFF2DCDB"/>
        <bgColor rgb="FFF2DCDB"/>
      </patternFill>
    </fill>
    <fill>
      <patternFill patternType="solid">
        <fgColor rgb="FF4F81BD"/>
        <bgColor rgb="FF4F81BD"/>
      </patternFill>
    </fill>
    <fill>
      <patternFill patternType="solid">
        <fgColor rgb="FFDCE6F1"/>
        <bgColor rgb="FFDCE6F1"/>
      </patternFill>
    </fill>
  </fills>
  <borders count="19">
    <border>
      <left/>
      <right/>
      <top/>
      <bottom/>
      <diagonal/>
    </border>
    <border>
      <left/>
      <right style="medium">
        <color rgb="FFD9D9D9"/>
      </right>
      <top style="medium">
        <color rgb="FFD9D9D9"/>
      </top>
      <bottom style="medium">
        <color rgb="FFD9D9D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rgb="FFDA9694"/>
      </left>
      <right/>
      <top style="thin">
        <color rgb="FFDA9694"/>
      </top>
      <bottom style="thin">
        <color rgb="FFDA9694"/>
      </bottom>
      <diagonal/>
    </border>
    <border>
      <left/>
      <right/>
      <top style="thin">
        <color rgb="FFDA9694"/>
      </top>
      <bottom style="thin">
        <color rgb="FFDA9694"/>
      </bottom>
      <diagonal/>
    </border>
    <border>
      <left/>
      <right style="thin">
        <color rgb="FFDA9694"/>
      </right>
      <top style="thin">
        <color rgb="FFDA9694"/>
      </top>
      <bottom style="thin">
        <color rgb="FFDA9694"/>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5" borderId="0" xfId="0" applyFill="1">
      <extLst>
        <ext xmlns:xfpb="http://schemas.microsoft.com/office/spreadsheetml/2022/featurepropertybag" uri="{C7286773-470A-42A8-94C5-96B5CB345126}">
          <xfpb:xfComplement i="0"/>
        </ext>
      </extLst>
    </xf>
    <xf numFmtId="0" fontId="0" fillId="5" borderId="0" xfId="0" applyFill="1"/>
    <xf numFmtId="0" fontId="0" fillId="0" borderId="3" xfId="0" applyBorder="1" applyAlignment="1">
      <alignment vertical="center" wrapText="1"/>
    </xf>
    <xf numFmtId="0" fontId="0" fillId="0" borderId="3" xfId="0" applyBorder="1" applyAlignment="1">
      <alignment vertical="center"/>
    </xf>
    <xf numFmtId="0" fontId="0" fillId="0" borderId="4" xfId="0" applyBorder="1" applyAlignment="1">
      <alignment vertical="center" wrapText="1"/>
    </xf>
    <xf numFmtId="0" fontId="6" fillId="0" borderId="0" xfId="0" applyFont="1" applyAlignment="1">
      <alignment vertical="center"/>
    </xf>
    <xf numFmtId="0" fontId="0" fillId="0" borderId="5" xfId="0" applyBorder="1" applyAlignment="1">
      <alignment vertical="center"/>
    </xf>
    <xf numFmtId="0" fontId="0" fillId="0" borderId="5" xfId="0" applyBorder="1" applyAlignment="1">
      <alignment vertical="center" wrapText="1"/>
    </xf>
    <xf numFmtId="0" fontId="7" fillId="0" borderId="0" xfId="0" applyFont="1"/>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8" fillId="6" borderId="10" xfId="0" applyFont="1" applyFill="1" applyBorder="1"/>
    <xf numFmtId="0" fontId="8" fillId="6" borderId="11" xfId="0" applyFont="1" applyFill="1" applyBorder="1"/>
    <xf numFmtId="0" fontId="8" fillId="6" borderId="12" xfId="0" applyFont="1" applyFill="1" applyBorder="1"/>
    <xf numFmtId="0" fontId="9" fillId="7" borderId="10" xfId="0" applyFont="1" applyFill="1" applyBorder="1"/>
    <xf numFmtId="0" fontId="9" fillId="7" borderId="11" xfId="0" applyFont="1" applyFill="1" applyBorder="1"/>
    <xf numFmtId="0" fontId="9" fillId="7" borderId="12" xfId="0" applyFont="1" applyFill="1" applyBorder="1"/>
    <xf numFmtId="0" fontId="9" fillId="0" borderId="10" xfId="0" applyFont="1" applyBorder="1"/>
    <xf numFmtId="0" fontId="9" fillId="0" borderId="11" xfId="0" applyFont="1" applyBorder="1"/>
    <xf numFmtId="0" fontId="9" fillId="0" borderId="12" xfId="0" applyFont="1" applyBorder="1"/>
    <xf numFmtId="14" fontId="9" fillId="7" borderId="10" xfId="0" applyNumberFormat="1" applyFont="1" applyFill="1" applyBorder="1"/>
    <xf numFmtId="14" fontId="9" fillId="0" borderId="10" xfId="0" applyNumberFormat="1" applyFont="1" applyBorder="1"/>
    <xf numFmtId="0" fontId="8" fillId="8" borderId="13" xfId="0" applyFont="1" applyFill="1" applyBorder="1"/>
    <xf numFmtId="0" fontId="8" fillId="8" borderId="14" xfId="0" applyFont="1" applyFill="1" applyBorder="1"/>
    <xf numFmtId="0" fontId="9" fillId="9" borderId="13" xfId="0" applyFont="1" applyFill="1" applyBorder="1"/>
    <xf numFmtId="0" fontId="9" fillId="9" borderId="14" xfId="0" applyFont="1" applyFill="1" applyBorder="1"/>
    <xf numFmtId="0" fontId="9" fillId="0" borderId="13" xfId="0" applyFont="1" applyBorder="1"/>
    <xf numFmtId="0" fontId="9" fillId="0" borderId="14" xfId="0" applyFont="1" applyBorder="1"/>
    <xf numFmtId="49" fontId="10" fillId="0" borderId="0" xfId="0" applyNumberFormat="1" applyFont="1"/>
    <xf numFmtId="49" fontId="7" fillId="0" borderId="0" xfId="0" applyNumberFormat="1" applyFont="1"/>
    <xf numFmtId="49" fontId="0" fillId="0" borderId="0" xfId="0" applyNumberFormat="1"/>
    <xf numFmtId="49" fontId="7" fillId="0" borderId="2" xfId="0" applyNumberFormat="1" applyFont="1" applyBorder="1"/>
    <xf numFmtId="49" fontId="7" fillId="0" borderId="15" xfId="0" applyNumberFormat="1" applyFont="1" applyBorder="1"/>
    <xf numFmtId="49" fontId="7" fillId="0" borderId="16" xfId="0" applyNumberFormat="1" applyFont="1" applyBorder="1"/>
    <xf numFmtId="49" fontId="7" fillId="0" borderId="17" xfId="0" applyNumberFormat="1" applyFont="1" applyBorder="1"/>
    <xf numFmtId="0" fontId="6" fillId="0" borderId="0" xfId="0" applyFont="1"/>
    <xf numFmtId="0" fontId="0" fillId="5" borderId="0" xfId="0" applyFill="1" applyAlignment="1">
      <alignment vertical="center" wrapText="1"/>
    </xf>
    <xf numFmtId="0" fontId="6" fillId="0" borderId="0" xfId="0" applyFont="1" applyAlignment="1">
      <alignment vertical="center" wrapText="1"/>
    </xf>
    <xf numFmtId="0" fontId="3" fillId="4"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5" fillId="0" borderId="3" xfId="0" applyFont="1" applyBorder="1" applyAlignment="1">
      <alignment horizontal="left" vertical="center" wrapText="1"/>
    </xf>
    <xf numFmtId="0" fontId="2" fillId="5"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49" fontId="2" fillId="0" borderId="3" xfId="0" applyNumberFormat="1" applyFont="1" applyBorder="1" applyAlignment="1">
      <alignment horizontal="left" vertical="center" wrapText="1"/>
    </xf>
    <xf numFmtId="49" fontId="2" fillId="5" borderId="3" xfId="0" applyNumberFormat="1" applyFont="1" applyFill="1" applyBorder="1" applyAlignment="1">
      <alignment horizontal="left" vertical="center" wrapText="1"/>
    </xf>
    <xf numFmtId="0" fontId="2" fillId="5"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0" fillId="5" borderId="4" xfId="0" applyFill="1" applyBorder="1" applyAlignment="1">
      <alignment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49" fontId="2" fillId="0" borderId="18" xfId="0" applyNumberFormat="1" applyFont="1" applyBorder="1" applyAlignment="1">
      <alignment horizontal="left" vertical="center" wrapText="1"/>
    </xf>
    <xf numFmtId="0" fontId="2" fillId="0" borderId="18" xfId="0" applyFont="1" applyBorder="1" applyAlignment="1">
      <alignment horizontal="center" vertical="center" wrapText="1"/>
    </xf>
    <xf numFmtId="0" fontId="2" fillId="0" borderId="18"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5" borderId="18" xfId="0" applyFont="1" applyFill="1" applyBorder="1" applyAlignment="1">
      <alignment horizontal="left" vertical="center" wrapText="1"/>
    </xf>
    <xf numFmtId="0" fontId="3" fillId="4" borderId="4" xfId="0" applyFont="1" applyFill="1" applyBorder="1" applyAlignment="1">
      <alignment horizontal="center" vertical="top" wrapText="1"/>
    </xf>
    <xf numFmtId="0" fontId="4" fillId="3" borderId="18" xfId="0" applyFont="1" applyFill="1" applyBorder="1" applyAlignment="1">
      <alignment horizontal="center" vertical="center" wrapText="1"/>
    </xf>
    <xf numFmtId="0" fontId="0" fillId="0" borderId="3" xfId="0" applyBorder="1" applyAlignment="1">
      <alignment horizontal="left" vertical="center" wrapText="1"/>
    </xf>
    <xf numFmtId="0" fontId="0" fillId="5" borderId="3" xfId="0" applyFill="1" applyBorder="1" applyAlignment="1">
      <alignment horizontal="left" vertical="center" wrapText="1"/>
    </xf>
    <xf numFmtId="0" fontId="0" fillId="5" borderId="3" xfId="0" applyFill="1" applyBorder="1" applyAlignment="1">
      <alignment horizontal="center" vertical="center" wrapText="1"/>
    </xf>
    <xf numFmtId="0" fontId="0" fillId="5" borderId="5" xfId="0" applyFill="1" applyBorder="1" applyAlignment="1">
      <alignment horizontal="left" vertical="center" wrapText="1"/>
    </xf>
    <xf numFmtId="0" fontId="0" fillId="0" borderId="3" xfId="0" quotePrefix="1" applyBorder="1" applyAlignment="1">
      <alignment horizontal="left" vertical="center" wrapText="1"/>
    </xf>
    <xf numFmtId="0" fontId="0" fillId="5" borderId="3" xfId="0" quotePrefix="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285750</xdr:colOff>
      <xdr:row>23</xdr:row>
      <xdr:rowOff>19050</xdr:rowOff>
    </xdr:from>
    <xdr:to>
      <xdr:col>11</xdr:col>
      <xdr:colOff>47625</xdr:colOff>
      <xdr:row>29</xdr:row>
      <xdr:rowOff>85725</xdr:rowOff>
    </xdr:to>
    <xdr:sp macro="" textlink="">
      <xdr:nvSpPr>
        <xdr:cNvPr id="3" name="Oval 2">
          <a:extLst>
            <a:ext uri="{FF2B5EF4-FFF2-40B4-BE49-F238E27FC236}">
              <a16:creationId xmlns:a16="http://schemas.microsoft.com/office/drawing/2014/main" id="{06414E43-1E40-C5C9-972B-3BA379738D71}"/>
            </a:ext>
            <a:ext uri="{147F2762-F138-4A5C-976F-8EAC2B608ADB}">
              <a16:predDERef xmlns:a16="http://schemas.microsoft.com/office/drawing/2014/main" pred="{F2C7FD5B-144F-F0D1-30FF-8FFB86428C99}"/>
            </a:ext>
          </a:extLst>
        </xdr:cNvPr>
        <xdr:cNvSpPr/>
      </xdr:nvSpPr>
      <xdr:spPr>
        <a:xfrm>
          <a:off x="5772150" y="3743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00100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95250</xdr:colOff>
      <xdr:row>13</xdr:row>
      <xdr:rowOff>47625</xdr:rowOff>
    </xdr:from>
    <xdr:to>
      <xdr:col>5</xdr:col>
      <xdr:colOff>466725</xdr:colOff>
      <xdr:row>19</xdr:row>
      <xdr:rowOff>114300</xdr:rowOff>
    </xdr:to>
    <xdr:sp macro="" textlink="">
      <xdr:nvSpPr>
        <xdr:cNvPr id="4" name="Oval 3">
          <a:extLst>
            <a:ext uri="{FF2B5EF4-FFF2-40B4-BE49-F238E27FC236}">
              <a16:creationId xmlns:a16="http://schemas.microsoft.com/office/drawing/2014/main" id="{B3D64C1E-2AAB-4C87-8562-F25558A3AD68}"/>
            </a:ext>
            <a:ext uri="{147F2762-F138-4A5C-976F-8EAC2B608ADB}">
              <a16:predDERef xmlns:a16="http://schemas.microsoft.com/office/drawing/2014/main" pred="{06414E43-1E40-C5C9-972B-3BA379738D71}"/>
            </a:ext>
          </a:extLst>
        </xdr:cNvPr>
        <xdr:cNvSpPr/>
      </xdr:nvSpPr>
      <xdr:spPr>
        <a:xfrm>
          <a:off x="2533650" y="215265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01000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2</xdr:col>
      <xdr:colOff>85725</xdr:colOff>
      <xdr:row>1</xdr:row>
      <xdr:rowOff>133350</xdr:rowOff>
    </xdr:from>
    <xdr:to>
      <xdr:col>3</xdr:col>
      <xdr:colOff>457200</xdr:colOff>
      <xdr:row>8</xdr:row>
      <xdr:rowOff>38100</xdr:rowOff>
    </xdr:to>
    <xdr:sp macro="" textlink="">
      <xdr:nvSpPr>
        <xdr:cNvPr id="5" name="Oval 4">
          <a:extLst>
            <a:ext uri="{FF2B5EF4-FFF2-40B4-BE49-F238E27FC236}">
              <a16:creationId xmlns:a16="http://schemas.microsoft.com/office/drawing/2014/main" id="{8007BB50-0F9C-487E-A8BA-39E616779C16}"/>
            </a:ext>
            <a:ext uri="{147F2762-F138-4A5C-976F-8EAC2B608ADB}">
              <a16:predDERef xmlns:a16="http://schemas.microsoft.com/office/drawing/2014/main" pred="{B3D64C1E-2AAB-4C87-8562-F25558A3AD68}"/>
            </a:ext>
          </a:extLst>
        </xdr:cNvPr>
        <xdr:cNvSpPr/>
      </xdr:nvSpPr>
      <xdr:spPr>
        <a:xfrm>
          <a:off x="1304925" y="2952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166688</xdr:colOff>
      <xdr:row>19</xdr:row>
      <xdr:rowOff>142875</xdr:rowOff>
    </xdr:from>
    <xdr:to>
      <xdr:col>15</xdr:col>
      <xdr:colOff>309563</xdr:colOff>
      <xdr:row>23</xdr:row>
      <xdr:rowOff>19050</xdr:rowOff>
    </xdr:to>
    <xdr:cxnSp macro="">
      <xdr:nvCxnSpPr>
        <xdr:cNvPr id="7" name="Straight Connector 6">
          <a:extLst>
            <a:ext uri="{FF2B5EF4-FFF2-40B4-BE49-F238E27FC236}">
              <a16:creationId xmlns:a16="http://schemas.microsoft.com/office/drawing/2014/main" id="{6D0B78A5-292B-F2EE-B4CF-2743257C1FBC}"/>
            </a:ext>
            <a:ext uri="{147F2762-F138-4A5C-976F-8EAC2B608ADB}">
              <a16:predDERef xmlns:a16="http://schemas.microsoft.com/office/drawing/2014/main" pred="{8007BB50-0F9C-487E-A8BA-39E616779C16}"/>
            </a:ext>
          </a:extLst>
        </xdr:cNvPr>
        <xdr:cNvCxnSpPr>
          <a:cxnSpLocks/>
          <a:stCxn id="3" idx="0"/>
          <a:endCxn id="10" idx="4"/>
          <a:extLst>
            <a:ext uri="{5F17804C-33F3-41E3-A699-7DCFA2EF7971}">
              <a16:cxnDERefs xmlns:a16="http://schemas.microsoft.com/office/drawing/2014/main" st="{06414E43-1E40-C5C9-972B-3BA379738D71}" end="{D1DB2313-618F-49BB-B72B-05EA80946D0B}"/>
            </a:ext>
          </a:extLst>
        </xdr:cNvCxnSpPr>
      </xdr:nvCxnSpPr>
      <xdr:spPr>
        <a:xfrm flipV="1">
          <a:off x="6262688" y="3219450"/>
          <a:ext cx="3190875" cy="5238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576263</xdr:colOff>
      <xdr:row>8</xdr:row>
      <xdr:rowOff>38100</xdr:rowOff>
    </xdr:from>
    <xdr:to>
      <xdr:col>4</xdr:col>
      <xdr:colOff>585788</xdr:colOff>
      <xdr:row>13</xdr:row>
      <xdr:rowOff>47625</xdr:rowOff>
    </xdr:to>
    <xdr:cxnSp macro="">
      <xdr:nvCxnSpPr>
        <xdr:cNvPr id="9" name="Straight Connector 8">
          <a:extLst>
            <a:ext uri="{FF2B5EF4-FFF2-40B4-BE49-F238E27FC236}">
              <a16:creationId xmlns:a16="http://schemas.microsoft.com/office/drawing/2014/main" id="{F04C46D6-0E24-48DE-ADBD-A5A0CC82C0E2}"/>
            </a:ext>
            <a:ext uri="{147F2762-F138-4A5C-976F-8EAC2B608ADB}">
              <a16:predDERef xmlns:a16="http://schemas.microsoft.com/office/drawing/2014/main" pred="{6D0B78A5-292B-F2EE-B4CF-2743257C1FBC}"/>
            </a:ext>
          </a:extLst>
        </xdr:cNvPr>
        <xdr:cNvCxnSpPr>
          <a:cxnSpLocks/>
          <a:stCxn id="4" idx="0"/>
          <a:endCxn id="5" idx="4"/>
          <a:extLst>
            <a:ext uri="{5F17804C-33F3-41E3-A699-7DCFA2EF7971}">
              <a16:cxnDERefs xmlns:a16="http://schemas.microsoft.com/office/drawing/2014/main" st="{B3D64C1E-2AAB-4C87-8562-F25558A3AD68}" end="{8007BB50-0F9C-487E-A8BA-39E616779C16}"/>
            </a:ext>
          </a:extLst>
        </xdr:cNvCxnSpPr>
      </xdr:nvCxnSpPr>
      <xdr:spPr>
        <a:xfrm flipH="1" flipV="1">
          <a:off x="1795463" y="1333500"/>
          <a:ext cx="1228725" cy="8191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428625</xdr:colOff>
      <xdr:row>13</xdr:row>
      <xdr:rowOff>76200</xdr:rowOff>
    </xdr:from>
    <xdr:to>
      <xdr:col>16</xdr:col>
      <xdr:colOff>190500</xdr:colOff>
      <xdr:row>19</xdr:row>
      <xdr:rowOff>142875</xdr:rowOff>
    </xdr:to>
    <xdr:sp macro="" textlink="">
      <xdr:nvSpPr>
        <xdr:cNvPr id="10" name="Oval 9">
          <a:extLst>
            <a:ext uri="{FF2B5EF4-FFF2-40B4-BE49-F238E27FC236}">
              <a16:creationId xmlns:a16="http://schemas.microsoft.com/office/drawing/2014/main" id="{D1DB2313-618F-49BB-B72B-05EA80946D0B}"/>
            </a:ext>
            <a:ext uri="{147F2762-F138-4A5C-976F-8EAC2B608ADB}">
              <a16:predDERef xmlns:a16="http://schemas.microsoft.com/office/drawing/2014/main" pred="{F04C46D6-0E24-48DE-ADBD-A5A0CC82C0E2}"/>
            </a:ext>
          </a:extLst>
        </xdr:cNvPr>
        <xdr:cNvSpPr/>
      </xdr:nvSpPr>
      <xdr:spPr>
        <a:xfrm>
          <a:off x="8963025" y="21812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0200</a:t>
          </a:r>
          <a:endParaRPr lang="en-US" sz="1100" b="0" i="0" u="none" strike="noStrike">
            <a:solidFill>
              <a:srgbClr val="000000"/>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6</xdr:col>
      <xdr:colOff>171450</xdr:colOff>
      <xdr:row>1</xdr:row>
      <xdr:rowOff>152400</xdr:rowOff>
    </xdr:from>
    <xdr:to>
      <xdr:col>7</xdr:col>
      <xdr:colOff>542925</xdr:colOff>
      <xdr:row>8</xdr:row>
      <xdr:rowOff>57150</xdr:rowOff>
    </xdr:to>
    <xdr:sp macro="" textlink="">
      <xdr:nvSpPr>
        <xdr:cNvPr id="11" name="Oval 10">
          <a:extLst>
            <a:ext uri="{FF2B5EF4-FFF2-40B4-BE49-F238E27FC236}">
              <a16:creationId xmlns:a16="http://schemas.microsoft.com/office/drawing/2014/main" id="{20A974B0-39CB-4F8B-819B-3C4A9CDE0591}"/>
            </a:ext>
            <a:ext uri="{147F2762-F138-4A5C-976F-8EAC2B608ADB}">
              <a16:predDERef xmlns:a16="http://schemas.microsoft.com/office/drawing/2014/main" pred="{D1DB2313-618F-49BB-B72B-05EA80946D0B}"/>
            </a:ext>
          </a:extLst>
        </xdr:cNvPr>
        <xdr:cNvSpPr/>
      </xdr:nvSpPr>
      <xdr:spPr>
        <a:xfrm>
          <a:off x="3829050" y="3143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Entidade  00002</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10</xdr:col>
      <xdr:colOff>504825</xdr:colOff>
      <xdr:row>1</xdr:row>
      <xdr:rowOff>38100</xdr:rowOff>
    </xdr:from>
    <xdr:to>
      <xdr:col>12</xdr:col>
      <xdr:colOff>266700</xdr:colOff>
      <xdr:row>7</xdr:row>
      <xdr:rowOff>104775</xdr:rowOff>
    </xdr:to>
    <xdr:sp macro="" textlink="">
      <xdr:nvSpPr>
        <xdr:cNvPr id="12" name="Oval 11">
          <a:extLst>
            <a:ext uri="{FF2B5EF4-FFF2-40B4-BE49-F238E27FC236}">
              <a16:creationId xmlns:a16="http://schemas.microsoft.com/office/drawing/2014/main" id="{06EF9F39-B1C2-463A-BD3F-224490C432B6}"/>
            </a:ext>
            <a:ext uri="{147F2762-F138-4A5C-976F-8EAC2B608ADB}">
              <a16:predDERef xmlns:a16="http://schemas.microsoft.com/office/drawing/2014/main" pred="{20A974B0-39CB-4F8B-819B-3C4A9CDE0591}"/>
            </a:ext>
          </a:extLst>
        </xdr:cNvPr>
        <xdr:cNvSpPr/>
      </xdr:nvSpPr>
      <xdr:spPr>
        <a:xfrm>
          <a:off x="6600825" y="20002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0201</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14</xdr:col>
      <xdr:colOff>476250</xdr:colOff>
      <xdr:row>0</xdr:row>
      <xdr:rowOff>114300</xdr:rowOff>
    </xdr:from>
    <xdr:to>
      <xdr:col>16</xdr:col>
      <xdr:colOff>238125</xdr:colOff>
      <xdr:row>7</xdr:row>
      <xdr:rowOff>19050</xdr:rowOff>
    </xdr:to>
    <xdr:sp macro="" textlink="">
      <xdr:nvSpPr>
        <xdr:cNvPr id="13" name="Oval 12">
          <a:extLst>
            <a:ext uri="{FF2B5EF4-FFF2-40B4-BE49-F238E27FC236}">
              <a16:creationId xmlns:a16="http://schemas.microsoft.com/office/drawing/2014/main" id="{21CB73F3-B179-4152-848F-B2DF272CCFD4}"/>
            </a:ext>
            <a:ext uri="{147F2762-F138-4A5C-976F-8EAC2B608ADB}">
              <a16:predDERef xmlns:a16="http://schemas.microsoft.com/office/drawing/2014/main" pred="{06EF9F39-B1C2-463A-BD3F-224490C432B6}"/>
            </a:ext>
          </a:extLst>
        </xdr:cNvPr>
        <xdr:cNvSpPr/>
      </xdr:nvSpPr>
      <xdr:spPr>
        <a:xfrm>
          <a:off x="9010650" y="114300"/>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0203</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4</xdr:col>
      <xdr:colOff>585788</xdr:colOff>
      <xdr:row>19</xdr:row>
      <xdr:rowOff>114300</xdr:rowOff>
    </xdr:from>
    <xdr:to>
      <xdr:col>10</xdr:col>
      <xdr:colOff>166688</xdr:colOff>
      <xdr:row>23</xdr:row>
      <xdr:rowOff>19050</xdr:rowOff>
    </xdr:to>
    <xdr:cxnSp macro="">
      <xdr:nvCxnSpPr>
        <xdr:cNvPr id="14" name="Straight Connector 13">
          <a:extLst>
            <a:ext uri="{FF2B5EF4-FFF2-40B4-BE49-F238E27FC236}">
              <a16:creationId xmlns:a16="http://schemas.microsoft.com/office/drawing/2014/main" id="{B413F6AF-DA0C-4FA8-8BAD-96205C62EC97}"/>
            </a:ext>
            <a:ext uri="{147F2762-F138-4A5C-976F-8EAC2B608ADB}">
              <a16:predDERef xmlns:a16="http://schemas.microsoft.com/office/drawing/2014/main" pred="{21CB73F3-B179-4152-848F-B2DF272CCFD4}"/>
            </a:ext>
          </a:extLst>
        </xdr:cNvPr>
        <xdr:cNvCxnSpPr>
          <a:cxnSpLocks/>
          <a:stCxn id="3" idx="0"/>
          <a:endCxn id="4" idx="4"/>
          <a:extLst>
            <a:ext uri="{5F17804C-33F3-41E3-A699-7DCFA2EF7971}">
              <a16:cxnDERefs xmlns:a16="http://schemas.microsoft.com/office/drawing/2014/main" st="{06414E43-1E40-C5C9-972B-3BA379738D71}" end="{B3D64C1E-2AAB-4C87-8562-F25558A3AD68}"/>
            </a:ext>
          </a:extLst>
        </xdr:cNvCxnSpPr>
      </xdr:nvCxnSpPr>
      <xdr:spPr>
        <a:xfrm flipH="1" flipV="1">
          <a:off x="3024188" y="3190875"/>
          <a:ext cx="3238500" cy="55245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385763</xdr:colOff>
      <xdr:row>7</xdr:row>
      <xdr:rowOff>104775</xdr:rowOff>
    </xdr:from>
    <xdr:to>
      <xdr:col>15</xdr:col>
      <xdr:colOff>309563</xdr:colOff>
      <xdr:row>13</xdr:row>
      <xdr:rowOff>76200</xdr:rowOff>
    </xdr:to>
    <xdr:cxnSp macro="">
      <xdr:nvCxnSpPr>
        <xdr:cNvPr id="15" name="Straight Connector 14">
          <a:extLst>
            <a:ext uri="{FF2B5EF4-FFF2-40B4-BE49-F238E27FC236}">
              <a16:creationId xmlns:a16="http://schemas.microsoft.com/office/drawing/2014/main" id="{B1242568-A8F3-40C9-B026-38F4959FE450}"/>
            </a:ext>
            <a:ext uri="{147F2762-F138-4A5C-976F-8EAC2B608ADB}">
              <a16:predDERef xmlns:a16="http://schemas.microsoft.com/office/drawing/2014/main" pred="{B413F6AF-DA0C-4FA8-8BAD-96205C62EC97}"/>
            </a:ext>
          </a:extLst>
        </xdr:cNvPr>
        <xdr:cNvCxnSpPr>
          <a:cxnSpLocks/>
          <a:stCxn id="10" idx="0"/>
          <a:endCxn id="12" idx="4"/>
          <a:extLst>
            <a:ext uri="{5F17804C-33F3-41E3-A699-7DCFA2EF7971}">
              <a16:cxnDERefs xmlns:a16="http://schemas.microsoft.com/office/drawing/2014/main" st="{D1DB2313-618F-49BB-B72B-05EA80946D0B}" end="{06EF9F39-B1C2-463A-BD3F-224490C432B6}"/>
            </a:ext>
          </a:extLst>
        </xdr:cNvCxnSpPr>
      </xdr:nvCxnSpPr>
      <xdr:spPr>
        <a:xfrm flipH="1" flipV="1">
          <a:off x="7091363" y="1238250"/>
          <a:ext cx="2362200" cy="94297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309563</xdr:colOff>
      <xdr:row>7</xdr:row>
      <xdr:rowOff>19050</xdr:rowOff>
    </xdr:from>
    <xdr:to>
      <xdr:col>15</xdr:col>
      <xdr:colOff>357188</xdr:colOff>
      <xdr:row>13</xdr:row>
      <xdr:rowOff>76200</xdr:rowOff>
    </xdr:to>
    <xdr:cxnSp macro="">
      <xdr:nvCxnSpPr>
        <xdr:cNvPr id="16" name="Straight Connector 15">
          <a:extLst>
            <a:ext uri="{FF2B5EF4-FFF2-40B4-BE49-F238E27FC236}">
              <a16:creationId xmlns:a16="http://schemas.microsoft.com/office/drawing/2014/main" id="{F793D44E-3854-47A0-9695-84E3C76A504E}"/>
            </a:ext>
            <a:ext uri="{147F2762-F138-4A5C-976F-8EAC2B608ADB}">
              <a16:predDERef xmlns:a16="http://schemas.microsoft.com/office/drawing/2014/main" pred="{B1242568-A8F3-40C9-B026-38F4959FE450}"/>
            </a:ext>
          </a:extLst>
        </xdr:cNvPr>
        <xdr:cNvCxnSpPr>
          <a:cxnSpLocks/>
          <a:stCxn id="10" idx="0"/>
          <a:endCxn id="13" idx="4"/>
          <a:extLst>
            <a:ext uri="{5F17804C-33F3-41E3-A699-7DCFA2EF7971}">
              <a16:cxnDERefs xmlns:a16="http://schemas.microsoft.com/office/drawing/2014/main" st="{D1DB2313-618F-49BB-B72B-05EA80946D0B}" end="{21CB73F3-B179-4152-848F-B2DF272CCFD4}"/>
            </a:ext>
          </a:extLst>
        </xdr:cNvCxnSpPr>
      </xdr:nvCxnSpPr>
      <xdr:spPr>
        <a:xfrm flipV="1">
          <a:off x="9453563" y="1152525"/>
          <a:ext cx="47625" cy="10287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585788</xdr:colOff>
      <xdr:row>8</xdr:row>
      <xdr:rowOff>57150</xdr:rowOff>
    </xdr:from>
    <xdr:to>
      <xdr:col>7</xdr:col>
      <xdr:colOff>52388</xdr:colOff>
      <xdr:row>13</xdr:row>
      <xdr:rowOff>47625</xdr:rowOff>
    </xdr:to>
    <xdr:cxnSp macro="">
      <xdr:nvCxnSpPr>
        <xdr:cNvPr id="17" name="Straight Connector 16">
          <a:extLst>
            <a:ext uri="{FF2B5EF4-FFF2-40B4-BE49-F238E27FC236}">
              <a16:creationId xmlns:a16="http://schemas.microsoft.com/office/drawing/2014/main" id="{6223CAC9-FAF9-4B61-8771-BD8B8451A801}"/>
            </a:ext>
            <a:ext uri="{147F2762-F138-4A5C-976F-8EAC2B608ADB}">
              <a16:predDERef xmlns:a16="http://schemas.microsoft.com/office/drawing/2014/main" pred="{F793D44E-3854-47A0-9695-84E3C76A504E}"/>
            </a:ext>
          </a:extLst>
        </xdr:cNvPr>
        <xdr:cNvCxnSpPr>
          <a:cxnSpLocks/>
          <a:stCxn id="4" idx="0"/>
          <a:endCxn id="11" idx="4"/>
          <a:extLst>
            <a:ext uri="{5F17804C-33F3-41E3-A699-7DCFA2EF7971}">
              <a16:cxnDERefs xmlns:a16="http://schemas.microsoft.com/office/drawing/2014/main" st="{B3D64C1E-2AAB-4C87-8562-F25558A3AD68}" end="{20A974B0-39CB-4F8B-819B-3C4A9CDE0591}"/>
            </a:ext>
          </a:extLst>
        </xdr:cNvCxnSpPr>
      </xdr:nvCxnSpPr>
      <xdr:spPr>
        <a:xfrm flipV="1">
          <a:off x="3024188" y="1352550"/>
          <a:ext cx="1295400" cy="800100"/>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485775</xdr:colOff>
      <xdr:row>0</xdr:row>
      <xdr:rowOff>104775</xdr:rowOff>
    </xdr:from>
    <xdr:to>
      <xdr:col>20</xdr:col>
      <xdr:colOff>247650</xdr:colOff>
      <xdr:row>7</xdr:row>
      <xdr:rowOff>9525</xdr:rowOff>
    </xdr:to>
    <xdr:sp macro="" textlink="">
      <xdr:nvSpPr>
        <xdr:cNvPr id="18" name="Oval 17">
          <a:extLst>
            <a:ext uri="{FF2B5EF4-FFF2-40B4-BE49-F238E27FC236}">
              <a16:creationId xmlns:a16="http://schemas.microsoft.com/office/drawing/2014/main" id="{6B1358F0-830A-49D5-84A2-C56037DCFC5B}"/>
            </a:ext>
            <a:ext uri="{147F2762-F138-4A5C-976F-8EAC2B608ADB}">
              <a16:predDERef xmlns:a16="http://schemas.microsoft.com/office/drawing/2014/main" pred="{6223CAC9-FAF9-4B61-8771-BD8B8451A801}"/>
            </a:ext>
          </a:extLst>
        </xdr:cNvPr>
        <xdr:cNvSpPr/>
      </xdr:nvSpPr>
      <xdr:spPr>
        <a:xfrm>
          <a:off x="11458575" y="104775"/>
          <a:ext cx="981075" cy="1038225"/>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rgbClr val="000000"/>
              </a:solidFill>
              <a:latin typeface="Calibri" panose="020F0502020204030204" pitchFamily="34" charset="0"/>
              <a:cs typeface="Calibri" panose="020F0502020204030204" pitchFamily="34" charset="0"/>
            </a:rPr>
            <a:t>Entidade 0400</a:t>
          </a:r>
          <a:endParaRPr lang="en-US" sz="1100" b="0" i="0" u="none" strike="noStrike">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15</xdr:col>
      <xdr:colOff>309563</xdr:colOff>
      <xdr:row>7</xdr:row>
      <xdr:rowOff>9525</xdr:rowOff>
    </xdr:from>
    <xdr:to>
      <xdr:col>19</xdr:col>
      <xdr:colOff>366713</xdr:colOff>
      <xdr:row>13</xdr:row>
      <xdr:rowOff>76200</xdr:rowOff>
    </xdr:to>
    <xdr:cxnSp macro="">
      <xdr:nvCxnSpPr>
        <xdr:cNvPr id="19" name="Straight Connector 18">
          <a:extLst>
            <a:ext uri="{FF2B5EF4-FFF2-40B4-BE49-F238E27FC236}">
              <a16:creationId xmlns:a16="http://schemas.microsoft.com/office/drawing/2014/main" id="{31B67D7C-3584-4B98-AE31-91EFAF56C32E}"/>
            </a:ext>
            <a:ext uri="{147F2762-F138-4A5C-976F-8EAC2B608ADB}">
              <a16:predDERef xmlns:a16="http://schemas.microsoft.com/office/drawing/2014/main" pred="{6223CAC9-FAF9-4B61-8771-BD8B8451A801}"/>
            </a:ext>
          </a:extLst>
        </xdr:cNvPr>
        <xdr:cNvCxnSpPr>
          <a:cxnSpLocks/>
          <a:stCxn id="10" idx="0"/>
          <a:endCxn id="18" idx="4"/>
          <a:extLst>
            <a:ext uri="{5F17804C-33F3-41E3-A699-7DCFA2EF7971}">
              <a16:cxnDERefs xmlns:a16="http://schemas.microsoft.com/office/drawing/2014/main" st="{D1DB2313-618F-49BB-B72B-05EA80946D0B}" end="{6B1358F0-830A-49D5-84A2-C56037DCFC5B}"/>
            </a:ext>
          </a:extLst>
        </xdr:cNvCxnSpPr>
      </xdr:nvCxnSpPr>
      <xdr:spPr>
        <a:xfrm flipV="1">
          <a:off x="9453563" y="1143000"/>
          <a:ext cx="2495550" cy="1038225"/>
        </a:xfrm>
        <a:prstGeom prst="line">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lha1"/>
  <dimension ref="A1:V56"/>
  <sheetViews>
    <sheetView showGridLines="0" tabSelected="1" zoomScale="70" zoomScaleNormal="70" workbookViewId="0">
      <pane ySplit="3" topLeftCell="A4" activePane="bottomLeft" state="frozen"/>
      <selection pane="bottomLeft" activeCell="A4" sqref="A4"/>
    </sheetView>
  </sheetViews>
  <sheetFormatPr defaultColWidth="9.140625" defaultRowHeight="16.5" x14ac:dyDescent="0.35"/>
  <cols>
    <col min="1" max="1" width="1.28515625" style="2" customWidth="1"/>
    <col min="2" max="2" width="20" style="4" customWidth="1"/>
    <col min="3" max="3" width="5.85546875" style="5" customWidth="1"/>
    <col min="4" max="4" width="26.42578125" style="4" customWidth="1"/>
    <col min="5" max="5" width="24.42578125" style="4" customWidth="1"/>
    <col min="6" max="6" width="62.140625" style="4" customWidth="1"/>
    <col min="7" max="7" width="99.5703125" style="4" customWidth="1"/>
    <col min="8" max="16384" width="9.140625" style="2"/>
  </cols>
  <sheetData>
    <row r="1" spans="1:7" x14ac:dyDescent="0.35">
      <c r="B1" s="4" t="s">
        <v>0</v>
      </c>
    </row>
    <row r="2" spans="1:7" s="45" customFormat="1" ht="24" x14ac:dyDescent="0.35">
      <c r="B2" s="67" t="s">
        <v>2</v>
      </c>
      <c r="C2" s="67"/>
      <c r="D2" s="67"/>
      <c r="E2" s="67"/>
      <c r="F2" s="67"/>
      <c r="G2" s="66" t="s">
        <v>3</v>
      </c>
    </row>
    <row r="3" spans="1:7" s="58" customFormat="1" ht="39" x14ac:dyDescent="0.35">
      <c r="A3" s="57"/>
      <c r="B3" s="51" t="s">
        <v>4</v>
      </c>
      <c r="C3" s="51" t="s">
        <v>5</v>
      </c>
      <c r="D3" s="51" t="s">
        <v>6</v>
      </c>
      <c r="E3" s="51" t="s">
        <v>7</v>
      </c>
      <c r="F3" s="51" t="s">
        <v>8</v>
      </c>
      <c r="G3" s="46" t="s">
        <v>9</v>
      </c>
    </row>
    <row r="4" spans="1:7" ht="66" x14ac:dyDescent="0.35">
      <c r="A4" s="10"/>
      <c r="B4" s="52" t="s">
        <v>11</v>
      </c>
      <c r="C4" s="47">
        <v>1</v>
      </c>
      <c r="D4" s="48" t="s">
        <v>12</v>
      </c>
      <c r="E4" s="48" t="s">
        <v>13</v>
      </c>
      <c r="F4" s="48" t="s">
        <v>14</v>
      </c>
      <c r="G4" s="49" t="s">
        <v>363</v>
      </c>
    </row>
    <row r="5" spans="1:7" ht="33" x14ac:dyDescent="0.35">
      <c r="A5" s="10"/>
      <c r="B5" s="52" t="s">
        <v>11</v>
      </c>
      <c r="C5" s="47">
        <f>+C4+1</f>
        <v>2</v>
      </c>
      <c r="D5" s="48" t="s">
        <v>15</v>
      </c>
      <c r="E5" s="48" t="s">
        <v>16</v>
      </c>
      <c r="F5" s="48" t="s">
        <v>17</v>
      </c>
      <c r="G5" s="68" t="s">
        <v>364</v>
      </c>
    </row>
    <row r="6" spans="1:7" ht="33" x14ac:dyDescent="0.35">
      <c r="A6" s="10"/>
      <c r="B6" s="52" t="s">
        <v>11</v>
      </c>
      <c r="C6" s="47">
        <f t="shared" ref="C6:C16" si="0">+C5+1</f>
        <v>3</v>
      </c>
      <c r="D6" s="48" t="s">
        <v>18</v>
      </c>
      <c r="E6" s="48" t="s">
        <v>19</v>
      </c>
      <c r="F6" s="48" t="s">
        <v>20</v>
      </c>
      <c r="G6" s="68" t="s">
        <v>365</v>
      </c>
    </row>
    <row r="7" spans="1:7" ht="82.5" x14ac:dyDescent="0.35">
      <c r="A7" s="10"/>
      <c r="B7" s="52" t="s">
        <v>11</v>
      </c>
      <c r="C7" s="47">
        <f t="shared" si="0"/>
        <v>4</v>
      </c>
      <c r="D7" s="48" t="s">
        <v>21</v>
      </c>
      <c r="E7" s="48" t="s">
        <v>22</v>
      </c>
      <c r="F7" s="48" t="s">
        <v>23</v>
      </c>
      <c r="G7" s="69" t="s">
        <v>399</v>
      </c>
    </row>
    <row r="8" spans="1:7" ht="99" x14ac:dyDescent="0.35">
      <c r="A8" s="10"/>
      <c r="B8" s="52" t="s">
        <v>11</v>
      </c>
      <c r="C8" s="47">
        <f t="shared" si="0"/>
        <v>5</v>
      </c>
      <c r="D8" s="48" t="s">
        <v>24</v>
      </c>
      <c r="E8" s="48" t="s">
        <v>25</v>
      </c>
      <c r="F8" s="48" t="s">
        <v>26</v>
      </c>
      <c r="G8" s="69" t="s">
        <v>366</v>
      </c>
    </row>
    <row r="9" spans="1:7" ht="99" x14ac:dyDescent="0.35">
      <c r="A9" s="10"/>
      <c r="B9" s="52" t="s">
        <v>11</v>
      </c>
      <c r="C9" s="47">
        <f t="shared" si="0"/>
        <v>6</v>
      </c>
      <c r="D9" s="48" t="s">
        <v>27</v>
      </c>
      <c r="E9" s="48" t="s">
        <v>28</v>
      </c>
      <c r="F9" s="48" t="s">
        <v>29</v>
      </c>
      <c r="G9" s="68" t="s">
        <v>367</v>
      </c>
    </row>
    <row r="10" spans="1:7" ht="83.25" customHeight="1" x14ac:dyDescent="0.35">
      <c r="A10" s="10"/>
      <c r="B10" s="52" t="s">
        <v>11</v>
      </c>
      <c r="C10" s="47">
        <f t="shared" si="0"/>
        <v>7</v>
      </c>
      <c r="D10" s="48" t="s">
        <v>30</v>
      </c>
      <c r="E10" s="48" t="s">
        <v>31</v>
      </c>
      <c r="F10" s="48" t="s">
        <v>32</v>
      </c>
      <c r="G10" s="68" t="s">
        <v>368</v>
      </c>
    </row>
    <row r="11" spans="1:7" ht="66" x14ac:dyDescent="0.35">
      <c r="A11" s="10"/>
      <c r="B11" s="59" t="s">
        <v>11</v>
      </c>
      <c r="C11" s="60">
        <f>+C10+1</f>
        <v>8</v>
      </c>
      <c r="D11" s="61" t="s">
        <v>33</v>
      </c>
      <c r="E11" s="61" t="s">
        <v>31</v>
      </c>
      <c r="F11" s="61" t="s">
        <v>34</v>
      </c>
      <c r="G11" s="65" t="s">
        <v>369</v>
      </c>
    </row>
    <row r="12" spans="1:7" s="44" customFormat="1" ht="99" x14ac:dyDescent="0.35">
      <c r="B12" s="69" t="s">
        <v>11</v>
      </c>
      <c r="C12" s="70">
        <f>+C11+1</f>
        <v>9</v>
      </c>
      <c r="D12" s="69" t="s">
        <v>35</v>
      </c>
      <c r="E12" s="69" t="s">
        <v>31</v>
      </c>
      <c r="F12" s="69" t="s">
        <v>36</v>
      </c>
      <c r="G12" s="69" t="s">
        <v>370</v>
      </c>
    </row>
    <row r="13" spans="1:7" ht="66" x14ac:dyDescent="0.35">
      <c r="A13" s="10"/>
      <c r="B13" s="62" t="s">
        <v>11</v>
      </c>
      <c r="C13" s="63">
        <f t="shared" si="0"/>
        <v>10</v>
      </c>
      <c r="D13" s="64" t="s">
        <v>37</v>
      </c>
      <c r="E13" s="64" t="s">
        <v>31</v>
      </c>
      <c r="F13" s="64" t="s">
        <v>38</v>
      </c>
      <c r="G13" s="71" t="s">
        <v>371</v>
      </c>
    </row>
    <row r="14" spans="1:7" s="44" customFormat="1" ht="115.5" x14ac:dyDescent="0.35">
      <c r="A14" s="56"/>
      <c r="B14" s="53" t="s">
        <v>11</v>
      </c>
      <c r="C14" s="54">
        <f t="shared" si="0"/>
        <v>11</v>
      </c>
      <c r="D14" s="50" t="s">
        <v>39</v>
      </c>
      <c r="E14" s="50" t="s">
        <v>40</v>
      </c>
      <c r="F14" s="50" t="s">
        <v>41</v>
      </c>
      <c r="G14" s="68" t="s">
        <v>372</v>
      </c>
    </row>
    <row r="15" spans="1:7" ht="66" x14ac:dyDescent="0.35">
      <c r="A15" s="10"/>
      <c r="B15" s="52" t="s">
        <v>11</v>
      </c>
      <c r="C15" s="47">
        <f t="shared" si="0"/>
        <v>12</v>
      </c>
      <c r="D15" s="48" t="s">
        <v>42</v>
      </c>
      <c r="E15" s="48" t="s">
        <v>43</v>
      </c>
      <c r="F15" s="48" t="s">
        <v>44</v>
      </c>
      <c r="G15" s="69" t="s">
        <v>392</v>
      </c>
    </row>
    <row r="16" spans="1:7" s="44" customFormat="1" ht="409.5" x14ac:dyDescent="0.35">
      <c r="A16" s="56"/>
      <c r="B16" s="53" t="s">
        <v>11</v>
      </c>
      <c r="C16" s="54">
        <f t="shared" si="0"/>
        <v>13</v>
      </c>
      <c r="D16" s="50" t="s">
        <v>45</v>
      </c>
      <c r="E16" s="50" t="s">
        <v>46</v>
      </c>
      <c r="F16" s="50" t="s">
        <v>47</v>
      </c>
      <c r="G16" s="55" t="s">
        <v>373</v>
      </c>
    </row>
    <row r="17" spans="1:7" ht="66" x14ac:dyDescent="0.35">
      <c r="A17" s="10"/>
      <c r="B17" s="52" t="s">
        <v>48</v>
      </c>
      <c r="C17" s="47">
        <v>14</v>
      </c>
      <c r="D17" s="48" t="s">
        <v>49</v>
      </c>
      <c r="E17" s="48" t="s">
        <v>50</v>
      </c>
      <c r="F17" s="48" t="s">
        <v>51</v>
      </c>
      <c r="G17" s="69" t="s">
        <v>374</v>
      </c>
    </row>
    <row r="18" spans="1:7" ht="66" x14ac:dyDescent="0.35">
      <c r="A18" s="10"/>
      <c r="B18" s="52" t="s">
        <v>48</v>
      </c>
      <c r="C18" s="47">
        <v>15</v>
      </c>
      <c r="D18" s="48" t="s">
        <v>52</v>
      </c>
      <c r="E18" s="48" t="s">
        <v>40</v>
      </c>
      <c r="F18" s="48" t="s">
        <v>53</v>
      </c>
      <c r="G18" s="69" t="s">
        <v>375</v>
      </c>
    </row>
    <row r="19" spans="1:7" ht="82.5" x14ac:dyDescent="0.35">
      <c r="A19" s="10"/>
      <c r="B19" s="52" t="s">
        <v>48</v>
      </c>
      <c r="C19" s="47">
        <v>16</v>
      </c>
      <c r="D19" s="48" t="s">
        <v>54</v>
      </c>
      <c r="E19" s="48" t="s">
        <v>40</v>
      </c>
      <c r="F19" s="48" t="s">
        <v>55</v>
      </c>
      <c r="G19" s="69" t="s">
        <v>376</v>
      </c>
    </row>
    <row r="20" spans="1:7" ht="82.5" x14ac:dyDescent="0.35">
      <c r="A20" s="10"/>
      <c r="B20" s="52" t="s">
        <v>48</v>
      </c>
      <c r="C20" s="47">
        <v>17</v>
      </c>
      <c r="D20" s="48" t="s">
        <v>56</v>
      </c>
      <c r="E20" s="48" t="s">
        <v>57</v>
      </c>
      <c r="F20" s="48" t="s">
        <v>58</v>
      </c>
      <c r="G20" s="69" t="s">
        <v>393</v>
      </c>
    </row>
    <row r="21" spans="1:7" ht="49.5" x14ac:dyDescent="0.35">
      <c r="A21" s="10"/>
      <c r="B21" s="52" t="s">
        <v>48</v>
      </c>
      <c r="C21" s="47">
        <v>18</v>
      </c>
      <c r="D21" s="48" t="s">
        <v>59</v>
      </c>
      <c r="E21" s="48" t="s">
        <v>40</v>
      </c>
      <c r="F21" s="48" t="s">
        <v>60</v>
      </c>
      <c r="G21" s="69" t="s">
        <v>393</v>
      </c>
    </row>
    <row r="22" spans="1:7" ht="49.5" x14ac:dyDescent="0.35">
      <c r="A22" s="10"/>
      <c r="B22" s="52" t="s">
        <v>48</v>
      </c>
      <c r="C22" s="47">
        <v>19</v>
      </c>
      <c r="D22" s="48" t="s">
        <v>61</v>
      </c>
      <c r="E22" s="48" t="s">
        <v>40</v>
      </c>
      <c r="F22" s="48" t="s">
        <v>62</v>
      </c>
      <c r="G22" s="69" t="s">
        <v>393</v>
      </c>
    </row>
    <row r="23" spans="1:7" ht="49.5" x14ac:dyDescent="0.35">
      <c r="A23" s="10"/>
      <c r="B23" s="52" t="s">
        <v>63</v>
      </c>
      <c r="C23" s="47">
        <v>20</v>
      </c>
      <c r="D23" s="48" t="s">
        <v>64</v>
      </c>
      <c r="E23" s="48" t="s">
        <v>40</v>
      </c>
      <c r="F23" s="48" t="s">
        <v>65</v>
      </c>
      <c r="G23" s="69" t="s">
        <v>394</v>
      </c>
    </row>
    <row r="24" spans="1:7" ht="49.5" x14ac:dyDescent="0.35">
      <c r="A24" s="10"/>
      <c r="B24" s="52" t="s">
        <v>63</v>
      </c>
      <c r="C24" s="47">
        <v>21</v>
      </c>
      <c r="D24" s="48" t="s">
        <v>66</v>
      </c>
      <c r="E24" s="48" t="s">
        <v>40</v>
      </c>
      <c r="F24" s="48" t="s">
        <v>67</v>
      </c>
      <c r="G24" s="69" t="s">
        <v>68</v>
      </c>
    </row>
    <row r="25" spans="1:7" s="44" customFormat="1" ht="66" x14ac:dyDescent="0.35">
      <c r="A25" s="56"/>
      <c r="B25" s="53" t="s">
        <v>69</v>
      </c>
      <c r="C25" s="54">
        <v>22</v>
      </c>
      <c r="D25" s="50" t="s">
        <v>70</v>
      </c>
      <c r="E25" s="50" t="s">
        <v>40</v>
      </c>
      <c r="F25" s="50" t="s">
        <v>71</v>
      </c>
      <c r="G25" s="69" t="s">
        <v>395</v>
      </c>
    </row>
    <row r="26" spans="1:7" s="44" customFormat="1" ht="66" x14ac:dyDescent="0.35">
      <c r="A26" s="56"/>
      <c r="B26" s="53" t="s">
        <v>69</v>
      </c>
      <c r="C26" s="54">
        <v>23</v>
      </c>
      <c r="D26" s="50" t="s">
        <v>72</v>
      </c>
      <c r="E26" s="50" t="s">
        <v>73</v>
      </c>
      <c r="F26" s="50" t="s">
        <v>74</v>
      </c>
      <c r="G26" s="69" t="s">
        <v>396</v>
      </c>
    </row>
    <row r="27" spans="1:7" ht="66" x14ac:dyDescent="0.35">
      <c r="A27" s="10"/>
      <c r="B27" s="52" t="s">
        <v>69</v>
      </c>
      <c r="C27" s="47">
        <v>24</v>
      </c>
      <c r="D27" s="48" t="s">
        <v>75</v>
      </c>
      <c r="E27" s="48" t="s">
        <v>40</v>
      </c>
      <c r="F27" s="48" t="s">
        <v>76</v>
      </c>
      <c r="G27" s="72" t="s">
        <v>397</v>
      </c>
    </row>
    <row r="28" spans="1:7" ht="66" x14ac:dyDescent="0.35">
      <c r="A28" s="10"/>
      <c r="B28" s="52" t="s">
        <v>69</v>
      </c>
      <c r="C28" s="47">
        <v>25</v>
      </c>
      <c r="D28" s="48" t="s">
        <v>77</v>
      </c>
      <c r="E28" s="48" t="s">
        <v>40</v>
      </c>
      <c r="F28" s="48" t="s">
        <v>78</v>
      </c>
      <c r="G28" s="73" t="s">
        <v>393</v>
      </c>
    </row>
    <row r="29" spans="1:7" ht="99" x14ac:dyDescent="0.35">
      <c r="A29" s="10"/>
      <c r="B29" s="52" t="s">
        <v>69</v>
      </c>
      <c r="C29" s="47">
        <v>26</v>
      </c>
      <c r="D29" s="48" t="s">
        <v>79</v>
      </c>
      <c r="E29" s="48" t="s">
        <v>40</v>
      </c>
      <c r="F29" s="48" t="s">
        <v>80</v>
      </c>
      <c r="G29" s="68" t="s">
        <v>393</v>
      </c>
    </row>
    <row r="30" spans="1:7" ht="66" x14ac:dyDescent="0.35">
      <c r="A30" s="10"/>
      <c r="B30" s="52" t="s">
        <v>69</v>
      </c>
      <c r="C30" s="47">
        <v>27</v>
      </c>
      <c r="D30" s="48" t="s">
        <v>81</v>
      </c>
      <c r="E30" s="48" t="s">
        <v>40</v>
      </c>
      <c r="F30" s="48" t="s">
        <v>82</v>
      </c>
      <c r="G30" s="69" t="s">
        <v>376</v>
      </c>
    </row>
    <row r="31" spans="1:7" ht="66" x14ac:dyDescent="0.35">
      <c r="A31" s="10"/>
      <c r="B31" s="52" t="s">
        <v>69</v>
      </c>
      <c r="C31" s="47">
        <v>28</v>
      </c>
      <c r="D31" s="48" t="s">
        <v>83</v>
      </c>
      <c r="E31" s="48" t="s">
        <v>46</v>
      </c>
      <c r="F31" s="48" t="s">
        <v>84</v>
      </c>
      <c r="G31" s="68" t="s">
        <v>393</v>
      </c>
    </row>
    <row r="32" spans="1:7" ht="115.5" x14ac:dyDescent="0.35">
      <c r="A32" s="10"/>
      <c r="B32" s="52" t="s">
        <v>69</v>
      </c>
      <c r="C32" s="47">
        <v>29</v>
      </c>
      <c r="D32" s="48" t="s">
        <v>85</v>
      </c>
      <c r="E32" s="48" t="s">
        <v>40</v>
      </c>
      <c r="F32" s="48" t="s">
        <v>86</v>
      </c>
      <c r="G32" s="50" t="s">
        <v>393</v>
      </c>
    </row>
    <row r="33" spans="1:7" ht="66" x14ac:dyDescent="0.35">
      <c r="A33" s="10"/>
      <c r="B33" s="52" t="s">
        <v>87</v>
      </c>
      <c r="C33" s="47">
        <v>30</v>
      </c>
      <c r="D33" s="48" t="s">
        <v>88</v>
      </c>
      <c r="E33" s="48" t="s">
        <v>89</v>
      </c>
      <c r="F33" s="48" t="s">
        <v>90</v>
      </c>
      <c r="G33" s="69" t="s">
        <v>377</v>
      </c>
    </row>
    <row r="34" spans="1:7" s="44" customFormat="1" ht="66" x14ac:dyDescent="0.35">
      <c r="A34" s="56"/>
      <c r="B34" s="53" t="s">
        <v>87</v>
      </c>
      <c r="C34" s="54">
        <v>31</v>
      </c>
      <c r="D34" s="50" t="s">
        <v>91</v>
      </c>
      <c r="E34" s="50" t="s">
        <v>89</v>
      </c>
      <c r="F34" s="50" t="s">
        <v>92</v>
      </c>
      <c r="G34" s="50" t="s">
        <v>393</v>
      </c>
    </row>
    <row r="35" spans="1:7" ht="82.5" x14ac:dyDescent="0.35">
      <c r="A35" s="10"/>
      <c r="B35" s="52" t="s">
        <v>87</v>
      </c>
      <c r="C35" s="47">
        <v>32</v>
      </c>
      <c r="D35" s="48" t="s">
        <v>93</v>
      </c>
      <c r="E35" s="48" t="s">
        <v>94</v>
      </c>
      <c r="F35" s="48" t="s">
        <v>95</v>
      </c>
      <c r="G35" s="69" t="s">
        <v>378</v>
      </c>
    </row>
    <row r="36" spans="1:7" ht="99" x14ac:dyDescent="0.35">
      <c r="A36" s="10"/>
      <c r="B36" s="52" t="s">
        <v>87</v>
      </c>
      <c r="C36" s="47">
        <v>33</v>
      </c>
      <c r="D36" s="48" t="s">
        <v>96</v>
      </c>
      <c r="E36" s="48" t="s">
        <v>97</v>
      </c>
      <c r="F36" s="49" t="s">
        <v>98</v>
      </c>
      <c r="G36" s="69" t="s">
        <v>379</v>
      </c>
    </row>
    <row r="37" spans="1:7" s="44" customFormat="1" ht="264" x14ac:dyDescent="0.35">
      <c r="A37" s="56"/>
      <c r="B37" s="53" t="s">
        <v>87</v>
      </c>
      <c r="C37" s="54">
        <v>34</v>
      </c>
      <c r="D37" s="50" t="s">
        <v>99</v>
      </c>
      <c r="E37" s="50" t="s">
        <v>100</v>
      </c>
      <c r="F37" s="50" t="s">
        <v>101</v>
      </c>
      <c r="G37" s="69" t="s">
        <v>398</v>
      </c>
    </row>
    <row r="38" spans="1:7" s="44" customFormat="1" ht="99" x14ac:dyDescent="0.35">
      <c r="A38" s="56"/>
      <c r="B38" s="53" t="s">
        <v>87</v>
      </c>
      <c r="C38" s="54">
        <v>35</v>
      </c>
      <c r="D38" s="50" t="s">
        <v>102</v>
      </c>
      <c r="E38" s="50" t="s">
        <v>103</v>
      </c>
      <c r="F38" s="50" t="s">
        <v>104</v>
      </c>
      <c r="G38" s="69" t="s">
        <v>393</v>
      </c>
    </row>
    <row r="39" spans="1:7" ht="66" x14ac:dyDescent="0.35">
      <c r="A39" s="10"/>
      <c r="B39" s="52" t="s">
        <v>106</v>
      </c>
      <c r="C39" s="47">
        <v>36</v>
      </c>
      <c r="D39" s="48" t="s">
        <v>107</v>
      </c>
      <c r="E39" s="48" t="s">
        <v>108</v>
      </c>
      <c r="F39" s="48" t="s">
        <v>109</v>
      </c>
      <c r="G39" s="69" t="s">
        <v>380</v>
      </c>
    </row>
    <row r="40" spans="1:7" ht="33" x14ac:dyDescent="0.35">
      <c r="A40" s="10"/>
      <c r="B40" s="52" t="s">
        <v>106</v>
      </c>
      <c r="C40" s="47">
        <v>37</v>
      </c>
      <c r="D40" s="48" t="s">
        <v>110</v>
      </c>
      <c r="E40" s="48" t="s">
        <v>111</v>
      </c>
      <c r="F40" s="48" t="s">
        <v>112</v>
      </c>
      <c r="G40" s="69" t="s">
        <v>380</v>
      </c>
    </row>
    <row r="41" spans="1:7" ht="132" x14ac:dyDescent="0.35">
      <c r="A41" s="10"/>
      <c r="B41" s="52" t="s">
        <v>106</v>
      </c>
      <c r="C41" s="47">
        <v>38</v>
      </c>
      <c r="D41" s="48" t="s">
        <v>114</v>
      </c>
      <c r="E41" s="48" t="s">
        <v>40</v>
      </c>
      <c r="F41" s="48" t="s">
        <v>115</v>
      </c>
      <c r="G41" s="69" t="s">
        <v>380</v>
      </c>
    </row>
    <row r="42" spans="1:7" ht="33" x14ac:dyDescent="0.35">
      <c r="A42" s="10"/>
      <c r="B42" s="52" t="s">
        <v>106</v>
      </c>
      <c r="C42" s="47">
        <v>39</v>
      </c>
      <c r="D42" s="48" t="s">
        <v>116</v>
      </c>
      <c r="E42" s="48" t="s">
        <v>40</v>
      </c>
      <c r="F42" s="48" t="s">
        <v>117</v>
      </c>
      <c r="G42" s="69" t="s">
        <v>380</v>
      </c>
    </row>
    <row r="43" spans="1:7" ht="132" x14ac:dyDescent="0.35">
      <c r="A43" s="10"/>
      <c r="B43" s="52" t="s">
        <v>106</v>
      </c>
      <c r="C43" s="47">
        <v>40</v>
      </c>
      <c r="D43" s="48" t="s">
        <v>118</v>
      </c>
      <c r="E43" s="48" t="s">
        <v>119</v>
      </c>
      <c r="F43" s="48" t="s">
        <v>120</v>
      </c>
      <c r="G43" s="69" t="s">
        <v>380</v>
      </c>
    </row>
    <row r="44" spans="1:7" ht="82.5" x14ac:dyDescent="0.35">
      <c r="A44" s="10"/>
      <c r="B44" s="52" t="s">
        <v>106</v>
      </c>
      <c r="C44" s="47">
        <v>41</v>
      </c>
      <c r="D44" s="48" t="s">
        <v>121</v>
      </c>
      <c r="E44" s="48" t="s">
        <v>122</v>
      </c>
      <c r="F44" s="48" t="s">
        <v>123</v>
      </c>
      <c r="G44" s="69" t="s">
        <v>380</v>
      </c>
    </row>
    <row r="45" spans="1:7" ht="49.5" x14ac:dyDescent="0.35">
      <c r="A45" s="10"/>
      <c r="B45" s="52" t="s">
        <v>106</v>
      </c>
      <c r="C45" s="47">
        <v>42</v>
      </c>
      <c r="D45" s="48" t="s">
        <v>124</v>
      </c>
      <c r="E45" s="48" t="s">
        <v>125</v>
      </c>
      <c r="F45" s="48" t="s">
        <v>126</v>
      </c>
      <c r="G45" s="69" t="s">
        <v>380</v>
      </c>
    </row>
    <row r="46" spans="1:7" ht="82.5" x14ac:dyDescent="0.35">
      <c r="A46" s="10"/>
      <c r="B46" s="52" t="s">
        <v>106</v>
      </c>
      <c r="C46" s="47">
        <v>43</v>
      </c>
      <c r="D46" s="48" t="s">
        <v>127</v>
      </c>
      <c r="E46" s="48" t="s">
        <v>128</v>
      </c>
      <c r="F46" s="48" t="s">
        <v>129</v>
      </c>
      <c r="G46" s="69" t="s">
        <v>381</v>
      </c>
    </row>
    <row r="47" spans="1:7" ht="33" x14ac:dyDescent="0.35">
      <c r="A47" s="10"/>
      <c r="B47" s="52" t="s">
        <v>106</v>
      </c>
      <c r="C47" s="47">
        <v>44</v>
      </c>
      <c r="D47" s="48" t="s">
        <v>130</v>
      </c>
      <c r="E47" s="48" t="s">
        <v>31</v>
      </c>
      <c r="F47" s="48" t="s">
        <v>131</v>
      </c>
      <c r="G47" s="69" t="s">
        <v>382</v>
      </c>
    </row>
    <row r="48" spans="1:7" ht="33" x14ac:dyDescent="0.35">
      <c r="A48" s="10"/>
      <c r="B48" s="52" t="s">
        <v>106</v>
      </c>
      <c r="C48" s="47">
        <v>45</v>
      </c>
      <c r="D48" s="48" t="s">
        <v>132</v>
      </c>
      <c r="E48" s="48" t="s">
        <v>31</v>
      </c>
      <c r="F48" s="48" t="s">
        <v>133</v>
      </c>
      <c r="G48" s="69" t="s">
        <v>383</v>
      </c>
    </row>
    <row r="49" spans="1:7" ht="49.5" x14ac:dyDescent="0.35">
      <c r="A49" s="10"/>
      <c r="B49" s="52" t="s">
        <v>106</v>
      </c>
      <c r="C49" s="47">
        <v>46</v>
      </c>
      <c r="D49" s="48" t="s">
        <v>113</v>
      </c>
      <c r="E49" s="48" t="s">
        <v>108</v>
      </c>
      <c r="F49" s="48" t="s">
        <v>134</v>
      </c>
      <c r="G49" s="69" t="s">
        <v>384</v>
      </c>
    </row>
    <row r="50" spans="1:7" ht="49.5" x14ac:dyDescent="0.35">
      <c r="A50" s="10"/>
      <c r="B50" s="52" t="s">
        <v>106</v>
      </c>
      <c r="C50" s="47">
        <v>47</v>
      </c>
      <c r="D50" s="48" t="s">
        <v>135</v>
      </c>
      <c r="E50" s="48" t="s">
        <v>125</v>
      </c>
      <c r="F50" s="48" t="s">
        <v>136</v>
      </c>
      <c r="G50" s="69" t="s">
        <v>385</v>
      </c>
    </row>
    <row r="51" spans="1:7" ht="49.5" x14ac:dyDescent="0.35">
      <c r="A51" s="10"/>
      <c r="B51" s="52" t="s">
        <v>106</v>
      </c>
      <c r="C51" s="47">
        <v>48</v>
      </c>
      <c r="D51" s="48" t="s">
        <v>137</v>
      </c>
      <c r="E51" s="48" t="s">
        <v>25</v>
      </c>
      <c r="F51" s="48" t="s">
        <v>138</v>
      </c>
      <c r="G51" s="69" t="s">
        <v>386</v>
      </c>
    </row>
    <row r="52" spans="1:7" ht="49.5" x14ac:dyDescent="0.35">
      <c r="A52" s="10"/>
      <c r="B52" s="52" t="s">
        <v>106</v>
      </c>
      <c r="C52" s="47">
        <v>49</v>
      </c>
      <c r="D52" s="48" t="s">
        <v>139</v>
      </c>
      <c r="E52" s="48" t="s">
        <v>140</v>
      </c>
      <c r="F52" s="48" t="s">
        <v>141</v>
      </c>
      <c r="G52" s="69" t="s">
        <v>387</v>
      </c>
    </row>
    <row r="53" spans="1:7" ht="49.5" x14ac:dyDescent="0.35">
      <c r="A53" s="10"/>
      <c r="B53" s="52" t="s">
        <v>106</v>
      </c>
      <c r="C53" s="47">
        <v>50</v>
      </c>
      <c r="D53" s="48" t="s">
        <v>142</v>
      </c>
      <c r="E53" s="48" t="s">
        <v>40</v>
      </c>
      <c r="F53" s="48" t="s">
        <v>143</v>
      </c>
      <c r="G53" s="69" t="s">
        <v>388</v>
      </c>
    </row>
    <row r="54" spans="1:7" ht="115.5" x14ac:dyDescent="0.35">
      <c r="A54" s="10"/>
      <c r="B54" s="52" t="s">
        <v>106</v>
      </c>
      <c r="C54" s="47">
        <v>51</v>
      </c>
      <c r="D54" s="48" t="s">
        <v>144</v>
      </c>
      <c r="E54" s="48" t="s">
        <v>145</v>
      </c>
      <c r="F54" s="48" t="s">
        <v>146</v>
      </c>
      <c r="G54" s="69" t="s">
        <v>389</v>
      </c>
    </row>
    <row r="55" spans="1:7" ht="66" x14ac:dyDescent="0.35">
      <c r="A55" s="10"/>
      <c r="B55" s="52" t="s">
        <v>106</v>
      </c>
      <c r="C55" s="47">
        <v>52</v>
      </c>
      <c r="D55" s="48" t="s">
        <v>147</v>
      </c>
      <c r="E55" s="48" t="s">
        <v>31</v>
      </c>
      <c r="F55" s="48" t="s">
        <v>148</v>
      </c>
      <c r="G55" s="69" t="s">
        <v>390</v>
      </c>
    </row>
    <row r="56" spans="1:7" ht="99" x14ac:dyDescent="0.35">
      <c r="A56" s="10"/>
      <c r="B56" s="52" t="s">
        <v>106</v>
      </c>
      <c r="C56" s="47">
        <v>53</v>
      </c>
      <c r="D56" s="48" t="s">
        <v>149</v>
      </c>
      <c r="E56" s="48" t="s">
        <v>150</v>
      </c>
      <c r="F56" s="48" t="s">
        <v>151</v>
      </c>
      <c r="G56" s="69" t="s">
        <v>391</v>
      </c>
    </row>
  </sheetData>
  <autoFilter ref="A3:G56"/>
  <mergeCells count="1">
    <mergeCell ref="B2: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E24" sqref="E24"/>
    </sheetView>
  </sheetViews>
  <sheetFormatPr defaultRowHeight="16.5" x14ac:dyDescent="0.35"/>
  <cols>
    <col min="1" max="1" width="21.28515625" customWidth="1"/>
    <col min="2" max="2" width="13.28515625" bestFit="1" customWidth="1"/>
    <col min="3" max="3" width="15.7109375" customWidth="1"/>
    <col min="4" max="4" width="18.85546875" bestFit="1" customWidth="1"/>
    <col min="7" max="7" width="19.85546875" bestFit="1" customWidth="1"/>
    <col min="9" max="9" width="12.42578125" bestFit="1" customWidth="1"/>
    <col min="10" max="10" width="24" bestFit="1" customWidth="1"/>
  </cols>
  <sheetData>
    <row r="1" spans="1:2" x14ac:dyDescent="0.35">
      <c r="A1" t="s">
        <v>154</v>
      </c>
    </row>
    <row r="2" spans="1:2" x14ac:dyDescent="0.35">
      <c r="A2" t="s">
        <v>155</v>
      </c>
    </row>
    <row r="3" spans="1:2" x14ac:dyDescent="0.35">
      <c r="A3" t="s">
        <v>156</v>
      </c>
    </row>
    <row r="4" spans="1:2" x14ac:dyDescent="0.35">
      <c r="A4" t="s">
        <v>157</v>
      </c>
    </row>
    <row r="5" spans="1:2" x14ac:dyDescent="0.35">
      <c r="A5" t="s">
        <v>158</v>
      </c>
    </row>
    <row r="7" spans="1:2" x14ac:dyDescent="0.35">
      <c r="A7" t="s">
        <v>159</v>
      </c>
    </row>
    <row r="8" spans="1:2" x14ac:dyDescent="0.35">
      <c r="A8" t="s">
        <v>160</v>
      </c>
    </row>
    <row r="9" spans="1:2" x14ac:dyDescent="0.35">
      <c r="A9" t="s">
        <v>161</v>
      </c>
    </row>
    <row r="10" spans="1:2" x14ac:dyDescent="0.35">
      <c r="A10" t="s">
        <v>162</v>
      </c>
    </row>
    <row r="13" spans="1:2" x14ac:dyDescent="0.35">
      <c r="A13" s="43" t="s">
        <v>163</v>
      </c>
    </row>
    <row r="14" spans="1:2" x14ac:dyDescent="0.35">
      <c r="A14" s="39" t="s">
        <v>164</v>
      </c>
      <c r="B14" s="40" t="s">
        <v>165</v>
      </c>
    </row>
    <row r="15" spans="1:2" x14ac:dyDescent="0.35">
      <c r="A15" s="41" t="s">
        <v>166</v>
      </c>
      <c r="B15" s="42">
        <v>30000</v>
      </c>
    </row>
    <row r="17" spans="1:6" x14ac:dyDescent="0.35">
      <c r="A17" s="36" t="s">
        <v>167</v>
      </c>
      <c r="B17" s="37"/>
      <c r="C17" s="37"/>
      <c r="D17" s="37"/>
      <c r="E17" s="37"/>
      <c r="F17" s="38"/>
    </row>
    <row r="18" spans="1:6" x14ac:dyDescent="0.35">
      <c r="A18" s="39" t="s">
        <v>164</v>
      </c>
      <c r="B18" s="40" t="s">
        <v>105</v>
      </c>
      <c r="C18" s="40" t="s">
        <v>168</v>
      </c>
      <c r="D18" s="40" t="s">
        <v>165</v>
      </c>
      <c r="E18" s="37"/>
      <c r="F18" s="38"/>
    </row>
    <row r="19" spans="1:6" x14ac:dyDescent="0.35">
      <c r="A19" s="41" t="s">
        <v>166</v>
      </c>
      <c r="B19" s="42" t="s">
        <v>169</v>
      </c>
      <c r="C19" s="42" t="s">
        <v>170</v>
      </c>
      <c r="D19" s="42">
        <v>30000</v>
      </c>
      <c r="E19" s="37"/>
      <c r="F19" s="38"/>
    </row>
    <row r="20" spans="1:6" x14ac:dyDescent="0.35">
      <c r="A20" s="41" t="s">
        <v>166</v>
      </c>
      <c r="B20" s="42">
        <v>123</v>
      </c>
      <c r="C20" s="42" t="s">
        <v>171</v>
      </c>
      <c r="D20" s="42">
        <v>30000</v>
      </c>
      <c r="E20" s="37"/>
      <c r="F20" s="38"/>
    </row>
    <row r="21" spans="1:6" x14ac:dyDescent="0.35">
      <c r="A21" s="41" t="s">
        <v>166</v>
      </c>
      <c r="B21" s="42">
        <v>1234</v>
      </c>
      <c r="C21" s="42" t="s">
        <v>172</v>
      </c>
      <c r="D21" s="42">
        <v>30000</v>
      </c>
      <c r="E21" s="37"/>
      <c r="F21" s="38"/>
    </row>
    <row r="22" spans="1:6" x14ac:dyDescent="0.35">
      <c r="A22" s="37"/>
      <c r="B22" s="37"/>
      <c r="C22" s="37"/>
      <c r="D22" s="37"/>
      <c r="E22" s="37"/>
      <c r="F22" s="38"/>
    </row>
    <row r="23" spans="1:6" x14ac:dyDescent="0.35">
      <c r="A23" s="36" t="s">
        <v>173</v>
      </c>
      <c r="B23" s="37"/>
      <c r="C23" s="37"/>
      <c r="D23" s="37"/>
      <c r="E23" s="37"/>
      <c r="F23" s="38"/>
    </row>
    <row r="24" spans="1:6" x14ac:dyDescent="0.35">
      <c r="A24" s="39" t="s">
        <v>164</v>
      </c>
      <c r="B24" s="40" t="s">
        <v>105</v>
      </c>
      <c r="C24" s="40" t="s">
        <v>168</v>
      </c>
      <c r="D24" s="40" t="s">
        <v>165</v>
      </c>
      <c r="E24" s="37"/>
      <c r="F24" s="38"/>
    </row>
    <row r="25" spans="1:6" x14ac:dyDescent="0.35">
      <c r="A25" s="41" t="s">
        <v>166</v>
      </c>
      <c r="B25" s="42" t="s">
        <v>174</v>
      </c>
      <c r="C25" s="42" t="s">
        <v>175</v>
      </c>
      <c r="D25" s="42" t="s">
        <v>176</v>
      </c>
      <c r="E25" s="37"/>
      <c r="F25" s="38"/>
    </row>
    <row r="26" spans="1:6" x14ac:dyDescent="0.35">
      <c r="A26" s="37"/>
      <c r="B26" s="37"/>
      <c r="C26" s="37"/>
      <c r="D26" s="37"/>
      <c r="E26" s="37"/>
      <c r="F26" s="38"/>
    </row>
    <row r="27" spans="1:6" x14ac:dyDescent="0.35">
      <c r="A27" s="37" t="s">
        <v>177</v>
      </c>
      <c r="B27" s="37"/>
      <c r="C27" s="37"/>
      <c r="D27" s="37"/>
      <c r="E27" s="37"/>
      <c r="F27" s="38"/>
    </row>
    <row r="28" spans="1:6" x14ac:dyDescent="0.35">
      <c r="A28" s="39" t="s">
        <v>164</v>
      </c>
      <c r="B28" s="40" t="s">
        <v>105</v>
      </c>
      <c r="C28" s="40" t="s">
        <v>168</v>
      </c>
      <c r="D28" s="40" t="s">
        <v>165</v>
      </c>
      <c r="E28" s="37"/>
      <c r="F28" s="38"/>
    </row>
    <row r="29" spans="1:6" x14ac:dyDescent="0.35">
      <c r="A29" s="41" t="s">
        <v>166</v>
      </c>
      <c r="B29" s="42">
        <v>123</v>
      </c>
      <c r="C29" s="42" t="s">
        <v>170</v>
      </c>
      <c r="D29" s="42" t="s">
        <v>178</v>
      </c>
      <c r="E29" s="37"/>
      <c r="F29" s="38"/>
    </row>
    <row r="30" spans="1:6" x14ac:dyDescent="0.35">
      <c r="A30" s="41" t="s">
        <v>166</v>
      </c>
      <c r="B30" s="42">
        <v>123</v>
      </c>
      <c r="C30" s="42" t="s">
        <v>171</v>
      </c>
      <c r="D30" s="42" t="s">
        <v>178</v>
      </c>
    </row>
    <row r="31" spans="1:6" x14ac:dyDescent="0.35">
      <c r="A31" s="41" t="s">
        <v>166</v>
      </c>
      <c r="B31" s="42">
        <v>1234</v>
      </c>
      <c r="C31" s="42" t="s">
        <v>172</v>
      </c>
      <c r="D31" s="42" t="s">
        <v>178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2" sqref="C2"/>
    </sheetView>
  </sheetViews>
  <sheetFormatPr defaultColWidth="9" defaultRowHeight="16.5" x14ac:dyDescent="0.35"/>
  <cols>
    <col min="1" max="1" width="9" style="3"/>
    <col min="2" max="2" width="94.85546875" style="3" bestFit="1" customWidth="1"/>
    <col min="3" max="3" width="29.85546875" style="3" bestFit="1" customWidth="1"/>
    <col min="4" max="16384" width="9" style="3"/>
  </cols>
  <sheetData>
    <row r="1" spans="1:3" ht="17.25" thickBot="1" x14ac:dyDescent="0.4">
      <c r="A1" s="1" t="s">
        <v>179</v>
      </c>
      <c r="B1" s="1" t="s">
        <v>10</v>
      </c>
      <c r="C1" s="1" t="s">
        <v>180</v>
      </c>
    </row>
    <row r="2" spans="1:3" ht="33" x14ac:dyDescent="0.35">
      <c r="A2" s="3">
        <v>1</v>
      </c>
      <c r="B2" s="2" t="s">
        <v>181</v>
      </c>
      <c r="C2" s="3" t="s">
        <v>182</v>
      </c>
    </row>
    <row r="3" spans="1:3" ht="49.5" x14ac:dyDescent="0.35">
      <c r="A3" s="3">
        <f>+A2+1</f>
        <v>2</v>
      </c>
      <c r="B3" s="2" t="s">
        <v>183</v>
      </c>
      <c r="C3" s="3" t="s">
        <v>182</v>
      </c>
    </row>
    <row r="4" spans="1:3" x14ac:dyDescent="0.35">
      <c r="A4" s="3">
        <f>+A3+1</f>
        <v>3</v>
      </c>
      <c r="B4" s="3" t="s">
        <v>184</v>
      </c>
      <c r="C4" s="3" t="s">
        <v>185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
  <sheetViews>
    <sheetView workbookViewId="0">
      <selection activeCell="U16" sqref="U16"/>
    </sheetView>
  </sheetViews>
  <sheetFormatPr defaultRowHeight="16.5" x14ac:dyDescent="0.35"/>
  <cols>
    <col min="1" max="16384" width="9.140625" style="7"/>
  </cols>
  <sheetData>
    <row r="3" spans="1:1" x14ac:dyDescent="0.35">
      <c r="A3" s="6" t="b">
        <v>0</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D3" sqref="D3"/>
    </sheetView>
  </sheetViews>
  <sheetFormatPr defaultRowHeight="16.5" x14ac:dyDescent="0.35"/>
  <cols>
    <col min="1" max="1" width="13.42578125" style="3" customWidth="1"/>
    <col min="2" max="2" width="12.42578125" style="3" bestFit="1" customWidth="1"/>
    <col min="3" max="3" width="6.5703125" style="3" bestFit="1" customWidth="1"/>
    <col min="4" max="4" width="11.42578125" style="3" bestFit="1" customWidth="1"/>
    <col min="5" max="5" width="86.28515625" style="2" customWidth="1"/>
    <col min="6" max="7" width="9.140625" style="3"/>
    <col min="8" max="8" width="13.85546875" style="3" customWidth="1"/>
    <col min="9" max="9" width="14.7109375" style="3" bestFit="1" customWidth="1"/>
    <col min="10" max="10" width="12.85546875" style="3" bestFit="1" customWidth="1"/>
    <col min="11" max="11" width="20.140625" style="3" customWidth="1"/>
    <col min="12" max="12" width="18.85546875" style="3" bestFit="1" customWidth="1"/>
    <col min="13" max="16384" width="9.140625" style="3"/>
  </cols>
  <sheetData>
    <row r="1" spans="1:12" x14ac:dyDescent="0.35">
      <c r="A1" s="11" t="s">
        <v>186</v>
      </c>
      <c r="G1" s="3" t="s">
        <v>187</v>
      </c>
    </row>
    <row r="2" spans="1:12" x14ac:dyDescent="0.35">
      <c r="A2" s="9" t="s">
        <v>188</v>
      </c>
      <c r="B2" s="9" t="s">
        <v>189</v>
      </c>
      <c r="C2" s="9" t="s">
        <v>190</v>
      </c>
      <c r="D2" s="9" t="s">
        <v>191</v>
      </c>
      <c r="E2" s="8" t="s">
        <v>192</v>
      </c>
      <c r="G2" s="9" t="s">
        <v>193</v>
      </c>
      <c r="H2" s="9" t="s">
        <v>194</v>
      </c>
      <c r="I2" s="9" t="s">
        <v>195</v>
      </c>
      <c r="J2" s="9" t="s">
        <v>196</v>
      </c>
      <c r="K2" s="9" t="s">
        <v>197</v>
      </c>
      <c r="L2" s="9" t="s">
        <v>198</v>
      </c>
    </row>
    <row r="3" spans="1:12" ht="181.5" x14ac:dyDescent="0.35">
      <c r="A3" s="9" t="s">
        <v>199</v>
      </c>
      <c r="B3" s="9">
        <v>110</v>
      </c>
      <c r="C3" s="9">
        <v>1</v>
      </c>
      <c r="D3" s="9">
        <v>1004</v>
      </c>
      <c r="E3" s="8" t="s">
        <v>200</v>
      </c>
      <c r="H3" s="12" t="s">
        <v>191</v>
      </c>
      <c r="J3" s="12">
        <v>1004</v>
      </c>
      <c r="K3" s="13" t="s">
        <v>200</v>
      </c>
    </row>
    <row r="4" spans="1:12" ht="181.5" x14ac:dyDescent="0.35">
      <c r="A4" s="9" t="s">
        <v>199</v>
      </c>
      <c r="B4" s="9">
        <v>120</v>
      </c>
      <c r="C4" s="9">
        <v>1</v>
      </c>
      <c r="D4" s="9">
        <v>1004</v>
      </c>
      <c r="E4" s="8" t="s">
        <v>200</v>
      </c>
      <c r="H4" s="12" t="s">
        <v>191</v>
      </c>
      <c r="J4" s="3">
        <f>D4</f>
        <v>1004</v>
      </c>
      <c r="K4" s="13" t="s">
        <v>200</v>
      </c>
    </row>
    <row r="5" spans="1:12" ht="181.5" x14ac:dyDescent="0.35">
      <c r="A5" s="9" t="s">
        <v>199</v>
      </c>
      <c r="B5" s="9">
        <v>130</v>
      </c>
      <c r="C5" s="9">
        <v>1</v>
      </c>
      <c r="D5" s="9">
        <v>1004</v>
      </c>
      <c r="E5" s="8" t="s">
        <v>200</v>
      </c>
      <c r="H5" s="12" t="s">
        <v>191</v>
      </c>
      <c r="J5" s="3">
        <f t="shared" ref="J5:J37" si="0">D5</f>
        <v>1004</v>
      </c>
      <c r="K5" s="13" t="s">
        <v>200</v>
      </c>
    </row>
    <row r="6" spans="1:12" ht="181.5" x14ac:dyDescent="0.35">
      <c r="A6" s="9" t="s">
        <v>199</v>
      </c>
      <c r="B6" s="9">
        <v>140</v>
      </c>
      <c r="C6" s="9">
        <v>1</v>
      </c>
      <c r="D6" s="9">
        <v>1004</v>
      </c>
      <c r="E6" s="8" t="s">
        <v>200</v>
      </c>
      <c r="H6" s="12" t="s">
        <v>191</v>
      </c>
      <c r="J6" s="3">
        <f t="shared" si="0"/>
        <v>1004</v>
      </c>
      <c r="K6" s="13" t="s">
        <v>200</v>
      </c>
    </row>
    <row r="7" spans="1:12" ht="181.5" x14ac:dyDescent="0.35">
      <c r="A7" s="9" t="s">
        <v>199</v>
      </c>
      <c r="B7" s="9">
        <v>150</v>
      </c>
      <c r="C7" s="9">
        <v>1</v>
      </c>
      <c r="D7" s="9">
        <v>1004</v>
      </c>
      <c r="E7" s="8" t="s">
        <v>200</v>
      </c>
      <c r="H7" s="12" t="s">
        <v>191</v>
      </c>
      <c r="J7" s="3">
        <f t="shared" si="0"/>
        <v>1004</v>
      </c>
      <c r="K7" s="13" t="s">
        <v>200</v>
      </c>
    </row>
    <row r="8" spans="1:12" ht="181.5" x14ac:dyDescent="0.35">
      <c r="A8" s="9" t="s">
        <v>199</v>
      </c>
      <c r="B8" s="9">
        <v>160</v>
      </c>
      <c r="C8" s="9">
        <v>1</v>
      </c>
      <c r="D8" s="9">
        <v>1004</v>
      </c>
      <c r="E8" s="8" t="s">
        <v>200</v>
      </c>
      <c r="H8" s="12" t="s">
        <v>191</v>
      </c>
      <c r="J8" s="3">
        <f t="shared" si="0"/>
        <v>1004</v>
      </c>
      <c r="K8" s="13" t="s">
        <v>200</v>
      </c>
    </row>
    <row r="9" spans="1:12" ht="181.5" x14ac:dyDescent="0.35">
      <c r="A9" s="9" t="s">
        <v>199</v>
      </c>
      <c r="B9" s="9">
        <v>170</v>
      </c>
      <c r="C9" s="9">
        <v>1</v>
      </c>
      <c r="D9" s="9">
        <v>1004</v>
      </c>
      <c r="E9" s="8" t="s">
        <v>200</v>
      </c>
      <c r="H9" s="12" t="s">
        <v>191</v>
      </c>
      <c r="J9" s="3">
        <f t="shared" si="0"/>
        <v>1004</v>
      </c>
      <c r="K9" s="13" t="s">
        <v>200</v>
      </c>
    </row>
    <row r="10" spans="1:12" ht="181.5" x14ac:dyDescent="0.35">
      <c r="A10" s="9" t="s">
        <v>199</v>
      </c>
      <c r="B10" s="9">
        <v>180</v>
      </c>
      <c r="C10" s="9">
        <v>1</v>
      </c>
      <c r="D10" s="9">
        <v>1004</v>
      </c>
      <c r="E10" s="8" t="s">
        <v>200</v>
      </c>
      <c r="H10" s="12" t="s">
        <v>191</v>
      </c>
      <c r="J10" s="3">
        <f t="shared" si="0"/>
        <v>1004</v>
      </c>
      <c r="K10" s="13" t="s">
        <v>200</v>
      </c>
    </row>
    <row r="11" spans="1:12" ht="181.5" x14ac:dyDescent="0.35">
      <c r="A11" s="9" t="s">
        <v>199</v>
      </c>
      <c r="B11" s="9">
        <v>200</v>
      </c>
      <c r="C11" s="9">
        <v>1</v>
      </c>
      <c r="D11" s="9">
        <v>1004</v>
      </c>
      <c r="E11" s="8" t="s">
        <v>200</v>
      </c>
      <c r="H11" s="12" t="s">
        <v>191</v>
      </c>
      <c r="J11" s="3">
        <f t="shared" si="0"/>
        <v>1004</v>
      </c>
      <c r="K11" s="13" t="s">
        <v>200</v>
      </c>
    </row>
    <row r="12" spans="1:12" ht="181.5" x14ac:dyDescent="0.35">
      <c r="A12" s="9" t="s">
        <v>199</v>
      </c>
      <c r="B12" s="9">
        <v>1000</v>
      </c>
      <c r="C12" s="9">
        <v>1</v>
      </c>
      <c r="D12" s="9">
        <v>1004</v>
      </c>
      <c r="E12" s="8" t="s">
        <v>200</v>
      </c>
      <c r="H12" s="12" t="s">
        <v>191</v>
      </c>
      <c r="J12" s="3">
        <f t="shared" si="0"/>
        <v>1004</v>
      </c>
      <c r="K12" s="13" t="s">
        <v>200</v>
      </c>
    </row>
    <row r="13" spans="1:12" ht="49.5" x14ac:dyDescent="0.35">
      <c r="A13" s="9" t="s">
        <v>199</v>
      </c>
      <c r="B13" s="9">
        <v>51</v>
      </c>
      <c r="C13" s="9">
        <v>1</v>
      </c>
      <c r="D13" s="9">
        <v>1001</v>
      </c>
      <c r="E13" s="8" t="s">
        <v>201</v>
      </c>
      <c r="H13" s="12" t="s">
        <v>191</v>
      </c>
      <c r="J13" s="3">
        <f t="shared" si="0"/>
        <v>1001</v>
      </c>
      <c r="K13" s="2" t="str">
        <f>E13</f>
        <v>Revolving credit other than overdrafts and credit card debt</v>
      </c>
    </row>
    <row r="14" spans="1:12" ht="49.5" x14ac:dyDescent="0.35">
      <c r="A14" s="9" t="s">
        <v>199</v>
      </c>
      <c r="B14" s="9">
        <v>52</v>
      </c>
      <c r="C14" s="9">
        <v>1</v>
      </c>
      <c r="D14" s="9">
        <v>1001</v>
      </c>
      <c r="E14" s="8" t="s">
        <v>201</v>
      </c>
      <c r="H14" s="12" t="s">
        <v>191</v>
      </c>
      <c r="J14" s="3">
        <f t="shared" si="0"/>
        <v>1001</v>
      </c>
      <c r="K14" s="2" t="str">
        <f t="shared" ref="K14:K37" si="1">E14</f>
        <v>Revolving credit other than overdrafts and credit card debt</v>
      </c>
    </row>
    <row r="15" spans="1:12" ht="33" x14ac:dyDescent="0.35">
      <c r="A15" s="9" t="s">
        <v>199</v>
      </c>
      <c r="B15" s="9">
        <v>60</v>
      </c>
      <c r="C15" s="9">
        <v>1</v>
      </c>
      <c r="D15" s="9">
        <v>1002</v>
      </c>
      <c r="E15" s="8" t="s">
        <v>202</v>
      </c>
      <c r="H15" s="12" t="s">
        <v>191</v>
      </c>
      <c r="J15" s="3">
        <f t="shared" si="0"/>
        <v>1002</v>
      </c>
      <c r="K15" s="2" t="str">
        <f t="shared" si="1"/>
        <v>Credit lines other than revolving credit</v>
      </c>
    </row>
    <row r="16" spans="1:12" ht="33" x14ac:dyDescent="0.35">
      <c r="A16" s="9" t="s">
        <v>199</v>
      </c>
      <c r="B16" s="9">
        <v>70</v>
      </c>
      <c r="C16" s="9">
        <v>1</v>
      </c>
      <c r="D16" s="9">
        <v>1003</v>
      </c>
      <c r="E16" s="8" t="s">
        <v>203</v>
      </c>
      <c r="H16" s="12" t="s">
        <v>191</v>
      </c>
      <c r="J16" s="3">
        <f t="shared" si="0"/>
        <v>1003</v>
      </c>
      <c r="K16" s="2" t="str">
        <f t="shared" si="1"/>
        <v>Reverse repurchase agreements</v>
      </c>
    </row>
    <row r="17" spans="1:11" x14ac:dyDescent="0.35">
      <c r="A17" s="9" t="s">
        <v>199</v>
      </c>
      <c r="B17" s="9">
        <v>81</v>
      </c>
      <c r="C17" s="9">
        <v>1</v>
      </c>
      <c r="D17" s="9">
        <v>71</v>
      </c>
      <c r="E17" s="8" t="s">
        <v>204</v>
      </c>
      <c r="H17" s="12" t="s">
        <v>191</v>
      </c>
      <c r="J17" s="3">
        <f t="shared" si="0"/>
        <v>71</v>
      </c>
      <c r="K17" s="2" t="str">
        <f t="shared" si="1"/>
        <v>Trade receivables</v>
      </c>
    </row>
    <row r="18" spans="1:11" x14ac:dyDescent="0.35">
      <c r="A18" s="9" t="s">
        <v>199</v>
      </c>
      <c r="B18" s="9">
        <v>30</v>
      </c>
      <c r="C18" s="9">
        <v>1</v>
      </c>
      <c r="D18" s="9">
        <v>20</v>
      </c>
      <c r="E18" s="8" t="s">
        <v>205</v>
      </c>
      <c r="H18" s="12" t="s">
        <v>191</v>
      </c>
      <c r="J18" s="3">
        <f t="shared" si="0"/>
        <v>20</v>
      </c>
      <c r="K18" s="2" t="str">
        <f t="shared" si="1"/>
        <v>Overdrafts</v>
      </c>
    </row>
    <row r="19" spans="1:11" x14ac:dyDescent="0.35">
      <c r="A19" s="9" t="s">
        <v>199</v>
      </c>
      <c r="B19" s="9">
        <v>31</v>
      </c>
      <c r="C19" s="9">
        <v>1</v>
      </c>
      <c r="D19" s="9">
        <v>20</v>
      </c>
      <c r="E19" s="8" t="s">
        <v>205</v>
      </c>
      <c r="H19" s="12" t="s">
        <v>191</v>
      </c>
      <c r="J19" s="3">
        <f t="shared" si="0"/>
        <v>20</v>
      </c>
      <c r="K19" s="2" t="str">
        <f t="shared" si="1"/>
        <v>Overdrafts</v>
      </c>
    </row>
    <row r="20" spans="1:11" x14ac:dyDescent="0.35">
      <c r="A20" s="9" t="s">
        <v>199</v>
      </c>
      <c r="B20" s="9">
        <v>32</v>
      </c>
      <c r="C20" s="9">
        <v>1</v>
      </c>
      <c r="D20" s="9">
        <v>20</v>
      </c>
      <c r="E20" s="8" t="s">
        <v>205</v>
      </c>
      <c r="H20" s="12" t="s">
        <v>191</v>
      </c>
      <c r="J20" s="3">
        <f t="shared" si="0"/>
        <v>20</v>
      </c>
      <c r="K20" s="2" t="str">
        <f t="shared" si="1"/>
        <v>Overdrafts</v>
      </c>
    </row>
    <row r="21" spans="1:11" x14ac:dyDescent="0.35">
      <c r="A21" s="9" t="s">
        <v>199</v>
      </c>
      <c r="B21" s="9">
        <v>33</v>
      </c>
      <c r="C21" s="9">
        <v>1</v>
      </c>
      <c r="D21" s="9">
        <v>20</v>
      </c>
      <c r="E21" s="8" t="s">
        <v>205</v>
      </c>
      <c r="H21" s="12" t="s">
        <v>191</v>
      </c>
      <c r="J21" s="3">
        <f t="shared" si="0"/>
        <v>20</v>
      </c>
      <c r="K21" s="2" t="str">
        <f t="shared" si="1"/>
        <v>Overdrafts</v>
      </c>
    </row>
    <row r="22" spans="1:11" x14ac:dyDescent="0.35">
      <c r="A22" s="9" t="s">
        <v>199</v>
      </c>
      <c r="B22" s="9">
        <v>34</v>
      </c>
      <c r="C22" s="9">
        <v>1</v>
      </c>
      <c r="D22" s="9">
        <v>20</v>
      </c>
      <c r="E22" s="8" t="s">
        <v>205</v>
      </c>
      <c r="H22" s="12" t="s">
        <v>191</v>
      </c>
      <c r="J22" s="3">
        <f t="shared" si="0"/>
        <v>20</v>
      </c>
      <c r="K22" s="2" t="str">
        <f t="shared" si="1"/>
        <v>Overdrafts</v>
      </c>
    </row>
    <row r="23" spans="1:11" x14ac:dyDescent="0.35">
      <c r="A23" s="9" t="s">
        <v>199</v>
      </c>
      <c r="B23" s="9">
        <v>40</v>
      </c>
      <c r="C23" s="9">
        <v>1</v>
      </c>
      <c r="D23" s="9">
        <v>51</v>
      </c>
      <c r="E23" s="8" t="s">
        <v>206</v>
      </c>
      <c r="H23" s="12" t="s">
        <v>191</v>
      </c>
      <c r="J23" s="3">
        <f t="shared" si="0"/>
        <v>51</v>
      </c>
      <c r="K23" s="2" t="str">
        <f t="shared" si="1"/>
        <v>Credit card debt</v>
      </c>
    </row>
    <row r="24" spans="1:11" x14ac:dyDescent="0.35">
      <c r="A24" s="9" t="s">
        <v>199</v>
      </c>
      <c r="B24" s="9">
        <v>41</v>
      </c>
      <c r="C24" s="9">
        <v>1</v>
      </c>
      <c r="D24" s="9">
        <v>51</v>
      </c>
      <c r="E24" s="8" t="s">
        <v>206</v>
      </c>
      <c r="H24" s="12" t="s">
        <v>191</v>
      </c>
      <c r="J24" s="3">
        <f t="shared" si="0"/>
        <v>51</v>
      </c>
      <c r="K24" s="2" t="str">
        <f t="shared" si="1"/>
        <v>Credit card debt</v>
      </c>
    </row>
    <row r="25" spans="1:11" x14ac:dyDescent="0.35">
      <c r="A25" s="9" t="s">
        <v>199</v>
      </c>
      <c r="B25" s="9">
        <v>42</v>
      </c>
      <c r="C25" s="9">
        <v>1</v>
      </c>
      <c r="D25" s="9">
        <v>51</v>
      </c>
      <c r="E25" s="8" t="s">
        <v>206</v>
      </c>
      <c r="H25" s="12" t="s">
        <v>191</v>
      </c>
      <c r="J25" s="3">
        <f t="shared" si="0"/>
        <v>51</v>
      </c>
      <c r="K25" s="2" t="str">
        <f t="shared" si="1"/>
        <v>Credit card debt</v>
      </c>
    </row>
    <row r="26" spans="1:11" x14ac:dyDescent="0.35">
      <c r="A26" s="9" t="s">
        <v>199</v>
      </c>
      <c r="B26" s="9">
        <v>43</v>
      </c>
      <c r="C26" s="9">
        <v>1</v>
      </c>
      <c r="D26" s="9">
        <v>51</v>
      </c>
      <c r="E26" s="8" t="s">
        <v>206</v>
      </c>
      <c r="H26" s="12" t="s">
        <v>191</v>
      </c>
      <c r="J26" s="3">
        <f t="shared" si="0"/>
        <v>51</v>
      </c>
      <c r="K26" s="2" t="str">
        <f t="shared" si="1"/>
        <v>Credit card debt</v>
      </c>
    </row>
    <row r="27" spans="1:11" ht="49.5" x14ac:dyDescent="0.35">
      <c r="A27" s="9" t="s">
        <v>199</v>
      </c>
      <c r="B27" s="9">
        <v>50</v>
      </c>
      <c r="C27" s="9">
        <v>1</v>
      </c>
      <c r="D27" s="9">
        <v>1001</v>
      </c>
      <c r="E27" s="8" t="s">
        <v>201</v>
      </c>
      <c r="H27" s="12" t="s">
        <v>191</v>
      </c>
      <c r="J27" s="3">
        <f t="shared" si="0"/>
        <v>1001</v>
      </c>
      <c r="K27" s="2" t="str">
        <f t="shared" si="1"/>
        <v>Revolving credit other than overdrafts and credit card debt</v>
      </c>
    </row>
    <row r="28" spans="1:11" x14ac:dyDescent="0.35">
      <c r="A28" s="9" t="s">
        <v>199</v>
      </c>
      <c r="B28" s="9">
        <v>82</v>
      </c>
      <c r="C28" s="9">
        <v>1</v>
      </c>
      <c r="D28" s="9">
        <v>71</v>
      </c>
      <c r="E28" s="8" t="s">
        <v>204</v>
      </c>
      <c r="H28" s="12" t="s">
        <v>191</v>
      </c>
      <c r="J28" s="3">
        <f t="shared" si="0"/>
        <v>71</v>
      </c>
      <c r="K28" s="2" t="str">
        <f t="shared" si="1"/>
        <v>Trade receivables</v>
      </c>
    </row>
    <row r="29" spans="1:11" x14ac:dyDescent="0.35">
      <c r="A29" s="9" t="s">
        <v>199</v>
      </c>
      <c r="B29" s="9">
        <v>83</v>
      </c>
      <c r="C29" s="9">
        <v>1</v>
      </c>
      <c r="D29" s="9">
        <v>71</v>
      </c>
      <c r="E29" s="8" t="s">
        <v>204</v>
      </c>
      <c r="H29" s="12" t="s">
        <v>191</v>
      </c>
      <c r="J29" s="3">
        <f t="shared" si="0"/>
        <v>71</v>
      </c>
      <c r="K29" s="2" t="str">
        <f t="shared" si="1"/>
        <v>Trade receivables</v>
      </c>
    </row>
    <row r="30" spans="1:11" x14ac:dyDescent="0.35">
      <c r="A30" s="9" t="s">
        <v>199</v>
      </c>
      <c r="B30" s="9">
        <v>91</v>
      </c>
      <c r="C30" s="9">
        <v>1</v>
      </c>
      <c r="D30" s="9">
        <v>80</v>
      </c>
      <c r="E30" s="8" t="s">
        <v>207</v>
      </c>
      <c r="H30" s="12" t="s">
        <v>191</v>
      </c>
      <c r="J30" s="3">
        <f t="shared" si="0"/>
        <v>80</v>
      </c>
      <c r="K30" s="2" t="str">
        <f t="shared" si="1"/>
        <v>Financial leases</v>
      </c>
    </row>
    <row r="31" spans="1:11" x14ac:dyDescent="0.35">
      <c r="A31" s="9" t="s">
        <v>199</v>
      </c>
      <c r="B31" s="9">
        <v>92</v>
      </c>
      <c r="C31" s="9">
        <v>1</v>
      </c>
      <c r="D31" s="9">
        <v>80</v>
      </c>
      <c r="E31" s="8" t="s">
        <v>207</v>
      </c>
      <c r="H31" s="12" t="s">
        <v>191</v>
      </c>
      <c r="J31" s="3">
        <f t="shared" si="0"/>
        <v>80</v>
      </c>
      <c r="K31" s="2" t="str">
        <f t="shared" si="1"/>
        <v>Financial leases</v>
      </c>
    </row>
    <row r="32" spans="1:11" ht="181.5" x14ac:dyDescent="0.35">
      <c r="A32" s="9" t="s">
        <v>199</v>
      </c>
      <c r="B32" s="9">
        <v>100</v>
      </c>
      <c r="C32" s="9">
        <v>1</v>
      </c>
      <c r="D32" s="9">
        <v>1004</v>
      </c>
      <c r="E32" s="8" t="s">
        <v>200</v>
      </c>
      <c r="H32" s="12" t="s">
        <v>191</v>
      </c>
      <c r="J32" s="3">
        <f t="shared" si="0"/>
        <v>1004</v>
      </c>
      <c r="K32" s="2" t="str">
        <f t="shared" si="1"/>
        <v>Loans other than overdrafts, convenience credit, extended credit, credit card credit, revolving credit other than credit card credit, reverse repurchase agreements, trade receivables and financial leases</v>
      </c>
    </row>
    <row r="33" spans="1:11" x14ac:dyDescent="0.35">
      <c r="A33" s="9" t="s">
        <v>208</v>
      </c>
      <c r="B33" s="9" t="s">
        <v>199</v>
      </c>
      <c r="C33" s="9">
        <v>2</v>
      </c>
      <c r="D33" s="9">
        <v>1005</v>
      </c>
      <c r="E33" s="8" t="s">
        <v>209</v>
      </c>
      <c r="H33" s="12" t="s">
        <v>191</v>
      </c>
      <c r="J33" s="3">
        <f t="shared" si="0"/>
        <v>1005</v>
      </c>
      <c r="K33" s="2" t="str">
        <f t="shared" si="1"/>
        <v>Debt securities</v>
      </c>
    </row>
    <row r="34" spans="1:11" x14ac:dyDescent="0.35">
      <c r="A34" s="9" t="s">
        <v>208</v>
      </c>
      <c r="B34" s="9" t="s">
        <v>199</v>
      </c>
      <c r="C34" s="9">
        <v>2</v>
      </c>
      <c r="D34" s="9">
        <v>1005</v>
      </c>
      <c r="E34" s="8" t="s">
        <v>209</v>
      </c>
      <c r="H34" s="12" t="s">
        <v>191</v>
      </c>
      <c r="J34" s="3">
        <f t="shared" si="0"/>
        <v>1005</v>
      </c>
      <c r="K34" s="2" t="str">
        <f t="shared" si="1"/>
        <v>Debt securities</v>
      </c>
    </row>
    <row r="35" spans="1:11" x14ac:dyDescent="0.35">
      <c r="A35" s="9" t="s">
        <v>208</v>
      </c>
      <c r="B35" s="9" t="s">
        <v>210</v>
      </c>
      <c r="C35" s="9">
        <v>2</v>
      </c>
      <c r="D35" s="9">
        <v>1005</v>
      </c>
      <c r="E35" s="8" t="s">
        <v>209</v>
      </c>
      <c r="H35" s="12" t="s">
        <v>191</v>
      </c>
      <c r="J35" s="3">
        <f t="shared" si="0"/>
        <v>1005</v>
      </c>
      <c r="K35" s="2" t="str">
        <f t="shared" si="1"/>
        <v>Debt securities</v>
      </c>
    </row>
    <row r="36" spans="1:11" ht="49.5" x14ac:dyDescent="0.35">
      <c r="A36" s="9" t="s">
        <v>199</v>
      </c>
      <c r="B36" s="9">
        <v>10</v>
      </c>
      <c r="C36" s="9">
        <v>1</v>
      </c>
      <c r="D36" s="9">
        <v>1000</v>
      </c>
      <c r="E36" s="8" t="s">
        <v>211</v>
      </c>
      <c r="H36" s="12" t="s">
        <v>191</v>
      </c>
      <c r="J36" s="3">
        <f t="shared" si="0"/>
        <v>1000</v>
      </c>
      <c r="K36" s="2" t="str">
        <f t="shared" si="1"/>
        <v>Deposits other than reverse repurchase agreements</v>
      </c>
    </row>
    <row r="37" spans="1:11" x14ac:dyDescent="0.35">
      <c r="A37" s="9" t="s">
        <v>199</v>
      </c>
      <c r="B37" s="9">
        <v>20</v>
      </c>
      <c r="C37" s="9">
        <v>1</v>
      </c>
      <c r="D37" s="9">
        <v>20</v>
      </c>
      <c r="E37" s="8" t="s">
        <v>205</v>
      </c>
      <c r="H37" s="12" t="s">
        <v>191</v>
      </c>
      <c r="J37" s="3">
        <f t="shared" si="0"/>
        <v>20</v>
      </c>
      <c r="K37" s="2" t="str">
        <f t="shared" si="1"/>
        <v>Overdrafts</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4"/>
  <sheetViews>
    <sheetView topLeftCell="N1" workbookViewId="0">
      <selection activeCell="R3" sqref="R3:R9"/>
    </sheetView>
  </sheetViews>
  <sheetFormatPr defaultRowHeight="16.5" x14ac:dyDescent="0.35"/>
  <cols>
    <col min="1" max="1" width="21.140625" bestFit="1" customWidth="1"/>
    <col min="2" max="2" width="21.28515625" bestFit="1" customWidth="1"/>
    <col min="12" max="12" width="16" customWidth="1"/>
    <col min="13" max="13" width="17" customWidth="1"/>
    <col min="14" max="14" width="23.7109375" customWidth="1"/>
    <col min="15" max="15" width="18.85546875" customWidth="1"/>
    <col min="16" max="16" width="18.5703125" customWidth="1"/>
    <col min="18" max="18" width="17.7109375" customWidth="1"/>
    <col min="19" max="19" width="19.7109375" customWidth="1"/>
  </cols>
  <sheetData>
    <row r="1" spans="1:19" x14ac:dyDescent="0.35">
      <c r="A1" s="14"/>
      <c r="B1" s="14"/>
      <c r="L1" s="19" t="s">
        <v>212</v>
      </c>
      <c r="M1" s="20" t="s">
        <v>213</v>
      </c>
      <c r="N1" s="20" t="s">
        <v>214</v>
      </c>
      <c r="O1" s="20" t="s">
        <v>215</v>
      </c>
      <c r="P1" s="21" t="s">
        <v>216</v>
      </c>
      <c r="R1" s="30" t="s">
        <v>212</v>
      </c>
      <c r="S1" s="31" t="s">
        <v>213</v>
      </c>
    </row>
    <row r="2" spans="1:19" x14ac:dyDescent="0.35">
      <c r="A2" s="14"/>
      <c r="B2" s="14"/>
      <c r="L2" s="22" t="s">
        <v>217</v>
      </c>
      <c r="M2" s="23" t="s">
        <v>218</v>
      </c>
      <c r="N2" s="23" t="s">
        <v>219</v>
      </c>
      <c r="O2" s="23" t="s">
        <v>220</v>
      </c>
      <c r="P2" s="24" t="s">
        <v>221</v>
      </c>
      <c r="R2" s="32" t="s">
        <v>222</v>
      </c>
      <c r="S2" s="33" t="s">
        <v>223</v>
      </c>
    </row>
    <row r="3" spans="1:19" x14ac:dyDescent="0.35">
      <c r="A3" s="14"/>
      <c r="B3" s="14"/>
      <c r="L3" s="25"/>
      <c r="M3" s="26" t="s">
        <v>199</v>
      </c>
      <c r="N3" s="26" t="s">
        <v>199</v>
      </c>
      <c r="O3" s="26" t="s">
        <v>199</v>
      </c>
      <c r="P3" s="27" t="s">
        <v>199</v>
      </c>
      <c r="R3" s="34">
        <v>212</v>
      </c>
      <c r="S3" s="35" t="s">
        <v>224</v>
      </c>
    </row>
    <row r="4" spans="1:19" x14ac:dyDescent="0.35">
      <c r="A4" s="14"/>
      <c r="B4" s="14"/>
      <c r="L4" s="22" t="s">
        <v>225</v>
      </c>
      <c r="M4" s="23" t="s">
        <v>199</v>
      </c>
      <c r="N4" s="23" t="s">
        <v>199</v>
      </c>
      <c r="O4" s="23" t="s">
        <v>199</v>
      </c>
      <c r="P4" s="24" t="s">
        <v>226</v>
      </c>
      <c r="R4" s="32">
        <v>202</v>
      </c>
      <c r="S4" s="33" t="s">
        <v>227</v>
      </c>
    </row>
    <row r="5" spans="1:19" x14ac:dyDescent="0.35">
      <c r="A5" s="14"/>
      <c r="B5" s="14"/>
      <c r="L5" s="25">
        <v>200</v>
      </c>
      <c r="M5" s="26" t="s">
        <v>199</v>
      </c>
      <c r="N5" s="26" t="s">
        <v>199</v>
      </c>
      <c r="O5" s="26" t="s">
        <v>199</v>
      </c>
      <c r="P5" s="27" t="s">
        <v>199</v>
      </c>
      <c r="R5" s="34">
        <v>206</v>
      </c>
      <c r="S5" s="35" t="s">
        <v>228</v>
      </c>
    </row>
    <row r="6" spans="1:19" x14ac:dyDescent="0.35">
      <c r="A6" s="14"/>
      <c r="B6" s="14"/>
      <c r="L6" s="22" t="s">
        <v>1</v>
      </c>
      <c r="M6" s="23" t="s">
        <v>199</v>
      </c>
      <c r="N6" s="23" t="s">
        <v>199</v>
      </c>
      <c r="O6" s="23" t="s">
        <v>199</v>
      </c>
      <c r="P6" s="24" t="s">
        <v>199</v>
      </c>
      <c r="R6" s="32">
        <v>101</v>
      </c>
      <c r="S6" s="33" t="s">
        <v>229</v>
      </c>
    </row>
    <row r="7" spans="1:19" x14ac:dyDescent="0.35">
      <c r="A7" s="14"/>
      <c r="B7" s="14"/>
      <c r="L7" s="25" t="s">
        <v>230</v>
      </c>
      <c r="M7" s="26" t="s">
        <v>199</v>
      </c>
      <c r="N7" s="26" t="s">
        <v>199</v>
      </c>
      <c r="O7" s="26" t="s">
        <v>199</v>
      </c>
      <c r="P7" s="27" t="s">
        <v>199</v>
      </c>
      <c r="R7" s="34">
        <v>201</v>
      </c>
      <c r="S7" s="35" t="s">
        <v>231</v>
      </c>
    </row>
    <row r="8" spans="1:19" x14ac:dyDescent="0.35">
      <c r="A8" s="14"/>
      <c r="B8" s="14"/>
      <c r="L8" s="22">
        <v>401</v>
      </c>
      <c r="M8" s="23" t="s">
        <v>199</v>
      </c>
      <c r="N8" s="23" t="s">
        <v>199</v>
      </c>
      <c r="O8" s="23" t="s">
        <v>199</v>
      </c>
      <c r="P8" s="24" t="s">
        <v>199</v>
      </c>
      <c r="R8" s="32">
        <v>203</v>
      </c>
      <c r="S8" s="33" t="s">
        <v>232</v>
      </c>
    </row>
    <row r="9" spans="1:19" x14ac:dyDescent="0.35">
      <c r="A9" t="s">
        <v>233</v>
      </c>
      <c r="L9" s="25" t="s">
        <v>234</v>
      </c>
      <c r="M9" s="26" t="s">
        <v>199</v>
      </c>
      <c r="N9" s="26" t="s">
        <v>199</v>
      </c>
      <c r="O9" s="26" t="s">
        <v>199</v>
      </c>
      <c r="P9" s="27" t="s">
        <v>199</v>
      </c>
      <c r="R9" s="34">
        <v>301</v>
      </c>
      <c r="S9" s="35" t="s">
        <v>224</v>
      </c>
    </row>
    <row r="10" spans="1:19" x14ac:dyDescent="0.35">
      <c r="A10" t="s">
        <v>235</v>
      </c>
      <c r="L10" s="28">
        <v>45335</v>
      </c>
      <c r="M10" s="23" t="s">
        <v>199</v>
      </c>
      <c r="N10" s="23" t="s">
        <v>199</v>
      </c>
      <c r="O10" s="23" t="s">
        <v>199</v>
      </c>
      <c r="P10" s="24" t="s">
        <v>199</v>
      </c>
    </row>
    <row r="11" spans="1:19" x14ac:dyDescent="0.35">
      <c r="A11" t="s">
        <v>236</v>
      </c>
      <c r="L11" s="25" t="s">
        <v>237</v>
      </c>
      <c r="M11" s="26" t="s">
        <v>199</v>
      </c>
      <c r="N11" s="26" t="s">
        <v>199</v>
      </c>
      <c r="O11" s="26" t="s">
        <v>199</v>
      </c>
      <c r="P11" s="27" t="s">
        <v>238</v>
      </c>
    </row>
    <row r="12" spans="1:19" x14ac:dyDescent="0.35">
      <c r="A12" t="s">
        <v>239</v>
      </c>
      <c r="L12" s="22">
        <v>208</v>
      </c>
      <c r="M12" s="23" t="s">
        <v>199</v>
      </c>
      <c r="N12" s="23" t="s">
        <v>199</v>
      </c>
      <c r="O12" s="23" t="s">
        <v>240</v>
      </c>
      <c r="P12" s="24" t="s">
        <v>199</v>
      </c>
    </row>
    <row r="13" spans="1:19" x14ac:dyDescent="0.35">
      <c r="A13" t="s">
        <v>241</v>
      </c>
      <c r="L13" s="25" t="s">
        <v>242</v>
      </c>
      <c r="M13" s="26" t="s">
        <v>199</v>
      </c>
      <c r="N13" s="26" t="s">
        <v>199</v>
      </c>
      <c r="O13" s="26" t="s">
        <v>199</v>
      </c>
      <c r="P13" s="27" t="s">
        <v>243</v>
      </c>
      <c r="R13" t="s">
        <v>244</v>
      </c>
    </row>
    <row r="14" spans="1:19" x14ac:dyDescent="0.35">
      <c r="A14" s="14" t="s">
        <v>222</v>
      </c>
      <c r="B14" s="14" t="s">
        <v>223</v>
      </c>
      <c r="L14" s="22">
        <v>312</v>
      </c>
      <c r="M14" s="23" t="s">
        <v>199</v>
      </c>
      <c r="N14" s="23" t="s">
        <v>199</v>
      </c>
      <c r="O14" s="23" t="s">
        <v>199</v>
      </c>
      <c r="P14" s="24" t="s">
        <v>199</v>
      </c>
      <c r="R14" t="s">
        <v>245</v>
      </c>
    </row>
    <row r="15" spans="1:19" x14ac:dyDescent="0.35">
      <c r="A15" s="15">
        <v>212</v>
      </c>
      <c r="B15" s="16" t="s">
        <v>224</v>
      </c>
      <c r="L15" s="25" t="s">
        <v>199</v>
      </c>
      <c r="M15" s="26" t="s">
        <v>199</v>
      </c>
      <c r="N15" s="26" t="s">
        <v>199</v>
      </c>
      <c r="O15" s="26" t="s">
        <v>199</v>
      </c>
      <c r="P15" s="27" t="s">
        <v>199</v>
      </c>
      <c r="R15" t="s">
        <v>246</v>
      </c>
    </row>
    <row r="16" spans="1:19" x14ac:dyDescent="0.35">
      <c r="A16" s="15">
        <v>202</v>
      </c>
      <c r="B16" s="16" t="s">
        <v>227</v>
      </c>
      <c r="L16" s="22" t="s">
        <v>247</v>
      </c>
      <c r="M16" s="23" t="s">
        <v>199</v>
      </c>
      <c r="N16" s="23" t="s">
        <v>199</v>
      </c>
      <c r="O16" s="23" t="s">
        <v>199</v>
      </c>
      <c r="P16" s="24" t="s">
        <v>199</v>
      </c>
      <c r="R16" t="s">
        <v>248</v>
      </c>
    </row>
    <row r="17" spans="1:18" x14ac:dyDescent="0.35">
      <c r="A17" s="15">
        <v>203</v>
      </c>
      <c r="B17" s="16" t="s">
        <v>232</v>
      </c>
      <c r="L17" s="25" t="s">
        <v>249</v>
      </c>
      <c r="M17" s="26" t="s">
        <v>199</v>
      </c>
      <c r="N17" s="26" t="s">
        <v>199</v>
      </c>
      <c r="O17" s="26" t="s">
        <v>199</v>
      </c>
      <c r="P17" s="27" t="s">
        <v>250</v>
      </c>
      <c r="R17" t="s">
        <v>251</v>
      </c>
    </row>
    <row r="18" spans="1:18" x14ac:dyDescent="0.35">
      <c r="A18" s="15">
        <v>301</v>
      </c>
      <c r="B18" s="16" t="s">
        <v>224</v>
      </c>
      <c r="L18" s="22" t="s">
        <v>252</v>
      </c>
      <c r="M18" s="23" t="s">
        <v>199</v>
      </c>
      <c r="N18" s="23" t="s">
        <v>199</v>
      </c>
      <c r="O18" s="23" t="s">
        <v>199</v>
      </c>
      <c r="P18" s="24" t="s">
        <v>253</v>
      </c>
    </row>
    <row r="19" spans="1:18" x14ac:dyDescent="0.35">
      <c r="A19" s="15">
        <v>201</v>
      </c>
      <c r="B19" s="16" t="s">
        <v>231</v>
      </c>
      <c r="L19" s="25" t="s">
        <v>254</v>
      </c>
      <c r="M19" s="26" t="s">
        <v>199</v>
      </c>
      <c r="N19" s="26" t="s">
        <v>199</v>
      </c>
      <c r="O19" s="26" t="s">
        <v>199</v>
      </c>
      <c r="P19" s="27" t="s">
        <v>255</v>
      </c>
    </row>
    <row r="20" spans="1:18" x14ac:dyDescent="0.35">
      <c r="A20" s="15">
        <v>101</v>
      </c>
      <c r="B20" s="16" t="s">
        <v>229</v>
      </c>
      <c r="L20" s="22">
        <v>303</v>
      </c>
      <c r="M20" s="23" t="s">
        <v>199</v>
      </c>
      <c r="N20" s="23" t="s">
        <v>256</v>
      </c>
      <c r="O20" s="23" t="s">
        <v>257</v>
      </c>
      <c r="P20" s="24" t="s">
        <v>199</v>
      </c>
    </row>
    <row r="21" spans="1:18" x14ac:dyDescent="0.35">
      <c r="A21" s="17">
        <v>206</v>
      </c>
      <c r="B21" s="18" t="s">
        <v>228</v>
      </c>
      <c r="L21" s="25" t="s">
        <v>258</v>
      </c>
      <c r="M21" s="26" t="s">
        <v>199</v>
      </c>
      <c r="N21" s="26" t="s">
        <v>199</v>
      </c>
      <c r="O21" s="26" t="s">
        <v>199</v>
      </c>
      <c r="P21" s="27" t="s">
        <v>259</v>
      </c>
    </row>
    <row r="22" spans="1:18" x14ac:dyDescent="0.35">
      <c r="L22" s="22">
        <v>248</v>
      </c>
      <c r="M22" s="23" t="s">
        <v>199</v>
      </c>
      <c r="N22" s="23" t="s">
        <v>199</v>
      </c>
      <c r="O22" s="23" t="s">
        <v>260</v>
      </c>
      <c r="P22" s="24" t="s">
        <v>199</v>
      </c>
    </row>
    <row r="23" spans="1:18" x14ac:dyDescent="0.35">
      <c r="L23" s="25" t="s">
        <v>261</v>
      </c>
      <c r="M23" s="26" t="s">
        <v>199</v>
      </c>
      <c r="N23" s="26" t="s">
        <v>199</v>
      </c>
      <c r="O23" s="26" t="s">
        <v>199</v>
      </c>
      <c r="P23" s="27" t="s">
        <v>262</v>
      </c>
    </row>
    <row r="24" spans="1:18" x14ac:dyDescent="0.35">
      <c r="L24" s="22" t="s">
        <v>263</v>
      </c>
      <c r="M24" s="23" t="s">
        <v>199</v>
      </c>
      <c r="N24" s="23" t="s">
        <v>199</v>
      </c>
      <c r="O24" s="23" t="s">
        <v>199</v>
      </c>
      <c r="P24" s="24" t="s">
        <v>264</v>
      </c>
    </row>
    <row r="25" spans="1:18" x14ac:dyDescent="0.35">
      <c r="L25" s="29">
        <v>45344</v>
      </c>
      <c r="M25" s="26" t="s">
        <v>199</v>
      </c>
      <c r="N25" s="26" t="s">
        <v>199</v>
      </c>
      <c r="O25" s="26" t="s">
        <v>199</v>
      </c>
      <c r="P25" s="27" t="s">
        <v>199</v>
      </c>
    </row>
    <row r="26" spans="1:18" x14ac:dyDescent="0.35">
      <c r="L26" s="22" t="s">
        <v>265</v>
      </c>
      <c r="M26" s="23" t="s">
        <v>199</v>
      </c>
      <c r="N26" s="23" t="s">
        <v>199</v>
      </c>
      <c r="O26" s="23" t="s">
        <v>199</v>
      </c>
      <c r="P26" s="24" t="s">
        <v>266</v>
      </c>
    </row>
    <row r="27" spans="1:18" x14ac:dyDescent="0.35">
      <c r="L27" s="25" t="s">
        <v>267</v>
      </c>
      <c r="M27" s="26" t="s">
        <v>199</v>
      </c>
      <c r="N27" s="26" t="s">
        <v>199</v>
      </c>
      <c r="O27" s="26" t="s">
        <v>199</v>
      </c>
      <c r="P27" s="27" t="s">
        <v>268</v>
      </c>
    </row>
    <row r="28" spans="1:18" x14ac:dyDescent="0.35">
      <c r="L28" s="28">
        <v>45425</v>
      </c>
      <c r="M28" s="23" t="s">
        <v>199</v>
      </c>
      <c r="N28" s="23" t="s">
        <v>199</v>
      </c>
      <c r="O28" s="23" t="s">
        <v>199</v>
      </c>
      <c r="P28" s="24" t="s">
        <v>199</v>
      </c>
    </row>
    <row r="29" spans="1:18" x14ac:dyDescent="0.35">
      <c r="L29" s="25">
        <v>215</v>
      </c>
      <c r="M29" s="26" t="s">
        <v>199</v>
      </c>
      <c r="N29" s="26" t="s">
        <v>199</v>
      </c>
      <c r="O29" s="26" t="s">
        <v>269</v>
      </c>
      <c r="P29" s="27" t="s">
        <v>199</v>
      </c>
    </row>
    <row r="30" spans="1:18" x14ac:dyDescent="0.35">
      <c r="L30" s="22" t="s">
        <v>270</v>
      </c>
      <c r="M30" s="23" t="s">
        <v>199</v>
      </c>
      <c r="N30" s="23" t="s">
        <v>199</v>
      </c>
      <c r="O30" s="23" t="s">
        <v>199</v>
      </c>
      <c r="P30" s="24" t="s">
        <v>199</v>
      </c>
    </row>
    <row r="31" spans="1:18" x14ac:dyDescent="0.35">
      <c r="L31" s="25" t="s">
        <v>271</v>
      </c>
      <c r="M31" s="26" t="s">
        <v>199</v>
      </c>
      <c r="N31" s="26" t="s">
        <v>199</v>
      </c>
      <c r="O31" s="26" t="s">
        <v>199</v>
      </c>
      <c r="P31" s="27" t="s">
        <v>272</v>
      </c>
    </row>
    <row r="32" spans="1:18" x14ac:dyDescent="0.35">
      <c r="L32" s="22">
        <v>206</v>
      </c>
      <c r="M32" s="23" t="s">
        <v>199</v>
      </c>
      <c r="N32" s="23" t="s">
        <v>268</v>
      </c>
      <c r="O32" s="23" t="s">
        <v>228</v>
      </c>
      <c r="P32" s="24" t="s">
        <v>199</v>
      </c>
    </row>
    <row r="33" spans="12:16" x14ac:dyDescent="0.35">
      <c r="L33" s="25" t="s">
        <v>273</v>
      </c>
      <c r="M33" s="26" t="s">
        <v>199</v>
      </c>
      <c r="N33" s="26" t="s">
        <v>199</v>
      </c>
      <c r="O33" s="26" t="s">
        <v>199</v>
      </c>
      <c r="P33" s="27" t="s">
        <v>240</v>
      </c>
    </row>
    <row r="34" spans="12:16" x14ac:dyDescent="0.35">
      <c r="L34" s="22" t="s">
        <v>274</v>
      </c>
      <c r="M34" s="23" t="s">
        <v>199</v>
      </c>
      <c r="N34" s="23" t="s">
        <v>199</v>
      </c>
      <c r="O34" s="23" t="s">
        <v>199</v>
      </c>
      <c r="P34" s="24" t="s">
        <v>199</v>
      </c>
    </row>
    <row r="35" spans="12:16" x14ac:dyDescent="0.35">
      <c r="L35" s="25">
        <v>309</v>
      </c>
      <c r="M35" s="26" t="s">
        <v>199</v>
      </c>
      <c r="N35" s="26" t="s">
        <v>199</v>
      </c>
      <c r="O35" s="26" t="s">
        <v>199</v>
      </c>
      <c r="P35" s="27" t="s">
        <v>199</v>
      </c>
    </row>
    <row r="36" spans="12:16" x14ac:dyDescent="0.35">
      <c r="L36" s="22" t="s">
        <v>275</v>
      </c>
      <c r="M36" s="23" t="s">
        <v>199</v>
      </c>
      <c r="N36" s="23" t="s">
        <v>199</v>
      </c>
      <c r="O36" s="23" t="s">
        <v>199</v>
      </c>
      <c r="P36" s="24" t="s">
        <v>276</v>
      </c>
    </row>
    <row r="37" spans="12:16" x14ac:dyDescent="0.35">
      <c r="L37" s="25" t="s">
        <v>277</v>
      </c>
      <c r="M37" s="26" t="s">
        <v>199</v>
      </c>
      <c r="N37" s="26" t="s">
        <v>199</v>
      </c>
      <c r="O37" s="26" t="s">
        <v>199</v>
      </c>
      <c r="P37" s="27" t="s">
        <v>278</v>
      </c>
    </row>
    <row r="38" spans="12:16" x14ac:dyDescent="0.35">
      <c r="L38" s="28">
        <v>45440</v>
      </c>
      <c r="M38" s="23" t="s">
        <v>199</v>
      </c>
      <c r="N38" s="23" t="s">
        <v>199</v>
      </c>
      <c r="O38" s="23" t="s">
        <v>199</v>
      </c>
      <c r="P38" s="24" t="s">
        <v>199</v>
      </c>
    </row>
    <row r="39" spans="12:16" x14ac:dyDescent="0.35">
      <c r="L39" s="25" t="s">
        <v>279</v>
      </c>
      <c r="M39" s="26" t="s">
        <v>199</v>
      </c>
      <c r="N39" s="26" t="s">
        <v>199</v>
      </c>
      <c r="O39" s="26" t="s">
        <v>199</v>
      </c>
      <c r="P39" s="27" t="s">
        <v>199</v>
      </c>
    </row>
    <row r="40" spans="12:16" x14ac:dyDescent="0.35">
      <c r="L40" s="22">
        <v>204</v>
      </c>
      <c r="M40" s="23" t="s">
        <v>199</v>
      </c>
      <c r="N40" s="23" t="s">
        <v>199</v>
      </c>
      <c r="O40" s="23" t="s">
        <v>280</v>
      </c>
      <c r="P40" s="24" t="s">
        <v>199</v>
      </c>
    </row>
    <row r="41" spans="12:16" x14ac:dyDescent="0.35">
      <c r="L41" s="29">
        <v>45323</v>
      </c>
      <c r="M41" s="26" t="s">
        <v>199</v>
      </c>
      <c r="N41" s="26" t="s">
        <v>199</v>
      </c>
      <c r="O41" s="26" t="s">
        <v>199</v>
      </c>
      <c r="P41" s="27" t="s">
        <v>199</v>
      </c>
    </row>
    <row r="42" spans="12:16" x14ac:dyDescent="0.35">
      <c r="L42" s="22" t="s">
        <v>281</v>
      </c>
      <c r="M42" s="23" t="s">
        <v>199</v>
      </c>
      <c r="N42" s="23" t="s">
        <v>199</v>
      </c>
      <c r="O42" s="23" t="s">
        <v>199</v>
      </c>
      <c r="P42" s="24" t="s">
        <v>282</v>
      </c>
    </row>
    <row r="43" spans="12:16" x14ac:dyDescent="0.35">
      <c r="L43" s="25">
        <v>237</v>
      </c>
      <c r="M43" s="26" t="s">
        <v>199</v>
      </c>
      <c r="N43" s="26" t="s">
        <v>199</v>
      </c>
      <c r="O43" s="26" t="s">
        <v>283</v>
      </c>
      <c r="P43" s="27" t="s">
        <v>199</v>
      </c>
    </row>
    <row r="44" spans="12:16" x14ac:dyDescent="0.35">
      <c r="L44" s="22" t="s">
        <v>284</v>
      </c>
      <c r="M44" s="23" t="s">
        <v>199</v>
      </c>
      <c r="N44" s="23" t="s">
        <v>199</v>
      </c>
      <c r="O44" s="23" t="s">
        <v>199</v>
      </c>
      <c r="P44" s="24" t="s">
        <v>280</v>
      </c>
    </row>
    <row r="45" spans="12:16" x14ac:dyDescent="0.35">
      <c r="L45" s="25">
        <v>101</v>
      </c>
      <c r="M45" s="26" t="s">
        <v>199</v>
      </c>
      <c r="N45" s="26" t="s">
        <v>229</v>
      </c>
      <c r="O45" s="26" t="s">
        <v>229</v>
      </c>
      <c r="P45" s="27" t="s">
        <v>199</v>
      </c>
    </row>
    <row r="46" spans="12:16" x14ac:dyDescent="0.35">
      <c r="L46" s="22">
        <v>304</v>
      </c>
      <c r="M46" s="23" t="s">
        <v>199</v>
      </c>
      <c r="N46" s="23" t="s">
        <v>285</v>
      </c>
      <c r="O46" s="23" t="s">
        <v>199</v>
      </c>
      <c r="P46" s="24" t="s">
        <v>199</v>
      </c>
    </row>
    <row r="47" spans="12:16" x14ac:dyDescent="0.35">
      <c r="L47" s="25" t="s">
        <v>286</v>
      </c>
      <c r="M47" s="26" t="s">
        <v>199</v>
      </c>
      <c r="N47" s="26" t="s">
        <v>199</v>
      </c>
      <c r="O47" s="26" t="s">
        <v>199</v>
      </c>
      <c r="P47" s="27" t="s">
        <v>199</v>
      </c>
    </row>
    <row r="48" spans="12:16" x14ac:dyDescent="0.35">
      <c r="L48" s="22" t="s">
        <v>287</v>
      </c>
      <c r="M48" s="23" t="s">
        <v>199</v>
      </c>
      <c r="N48" s="23" t="s">
        <v>199</v>
      </c>
      <c r="O48" s="23" t="s">
        <v>199</v>
      </c>
      <c r="P48" s="24" t="s">
        <v>288</v>
      </c>
    </row>
    <row r="49" spans="12:16" x14ac:dyDescent="0.35">
      <c r="L49" s="25" t="s">
        <v>289</v>
      </c>
      <c r="M49" s="26" t="s">
        <v>199</v>
      </c>
      <c r="N49" s="26" t="s">
        <v>199</v>
      </c>
      <c r="O49" s="26" t="s">
        <v>199</v>
      </c>
      <c r="P49" s="27" t="s">
        <v>199</v>
      </c>
    </row>
    <row r="50" spans="12:16" x14ac:dyDescent="0.35">
      <c r="L50" s="22" t="s">
        <v>290</v>
      </c>
      <c r="M50" s="23" t="s">
        <v>199</v>
      </c>
      <c r="N50" s="23" t="s">
        <v>199</v>
      </c>
      <c r="O50" s="23" t="s">
        <v>199</v>
      </c>
      <c r="P50" s="24" t="s">
        <v>291</v>
      </c>
    </row>
    <row r="51" spans="12:16" x14ac:dyDescent="0.35">
      <c r="L51" s="25">
        <v>201</v>
      </c>
      <c r="M51" s="26" t="s">
        <v>199</v>
      </c>
      <c r="N51" s="26" t="s">
        <v>231</v>
      </c>
      <c r="O51" s="26" t="s">
        <v>231</v>
      </c>
      <c r="P51" s="27" t="s">
        <v>199</v>
      </c>
    </row>
    <row r="52" spans="12:16" x14ac:dyDescent="0.35">
      <c r="L52" s="22">
        <v>212</v>
      </c>
      <c r="M52" s="23" t="s">
        <v>199</v>
      </c>
      <c r="N52" s="23" t="s">
        <v>224</v>
      </c>
      <c r="O52" s="23" t="s">
        <v>224</v>
      </c>
      <c r="P52" s="24" t="s">
        <v>199</v>
      </c>
    </row>
    <row r="53" spans="12:16" x14ac:dyDescent="0.35">
      <c r="L53" s="25">
        <v>310</v>
      </c>
      <c r="M53" s="26" t="s">
        <v>199</v>
      </c>
      <c r="N53" s="26" t="s">
        <v>199</v>
      </c>
      <c r="O53" s="26" t="s">
        <v>199</v>
      </c>
      <c r="P53" s="27" t="s">
        <v>199</v>
      </c>
    </row>
    <row r="54" spans="12:16" x14ac:dyDescent="0.35">
      <c r="L54" s="22" t="s">
        <v>292</v>
      </c>
      <c r="M54" s="23" t="s">
        <v>199</v>
      </c>
      <c r="N54" s="23" t="s">
        <v>199</v>
      </c>
      <c r="O54" s="23" t="s">
        <v>199</v>
      </c>
      <c r="P54" s="24" t="s">
        <v>199</v>
      </c>
    </row>
    <row r="55" spans="12:16" x14ac:dyDescent="0.35">
      <c r="L55" s="25">
        <v>296</v>
      </c>
      <c r="M55" s="26" t="s">
        <v>199</v>
      </c>
      <c r="N55" s="26" t="s">
        <v>199</v>
      </c>
      <c r="O55" s="26" t="s">
        <v>293</v>
      </c>
      <c r="P55" s="27" t="s">
        <v>199</v>
      </c>
    </row>
    <row r="56" spans="12:16" x14ac:dyDescent="0.35">
      <c r="L56" s="22">
        <v>272</v>
      </c>
      <c r="M56" s="23" t="s">
        <v>199</v>
      </c>
      <c r="N56" s="23" t="s">
        <v>199</v>
      </c>
      <c r="O56" s="23" t="s">
        <v>294</v>
      </c>
      <c r="P56" s="24" t="s">
        <v>199</v>
      </c>
    </row>
    <row r="57" spans="12:16" x14ac:dyDescent="0.35">
      <c r="L57" s="29">
        <v>45350</v>
      </c>
      <c r="M57" s="26" t="s">
        <v>199</v>
      </c>
      <c r="N57" s="26" t="s">
        <v>199</v>
      </c>
      <c r="O57" s="26" t="s">
        <v>199</v>
      </c>
      <c r="P57" s="27" t="s">
        <v>199</v>
      </c>
    </row>
    <row r="58" spans="12:16" x14ac:dyDescent="0.35">
      <c r="L58" s="22" t="s">
        <v>295</v>
      </c>
      <c r="M58" s="23" t="s">
        <v>199</v>
      </c>
      <c r="N58" s="23" t="s">
        <v>199</v>
      </c>
      <c r="O58" s="23" t="s">
        <v>199</v>
      </c>
      <c r="P58" s="24" t="s">
        <v>199</v>
      </c>
    </row>
    <row r="59" spans="12:16" x14ac:dyDescent="0.35">
      <c r="L59" s="25" t="s">
        <v>296</v>
      </c>
      <c r="M59" s="26" t="s">
        <v>199</v>
      </c>
      <c r="N59" s="26" t="s">
        <v>199</v>
      </c>
      <c r="O59" s="26" t="s">
        <v>199</v>
      </c>
      <c r="P59" s="27" t="s">
        <v>297</v>
      </c>
    </row>
    <row r="60" spans="12:16" x14ac:dyDescent="0.35">
      <c r="L60" s="28">
        <v>45434</v>
      </c>
      <c r="M60" s="23" t="s">
        <v>199</v>
      </c>
      <c r="N60" s="23" t="s">
        <v>199</v>
      </c>
      <c r="O60" s="23" t="s">
        <v>199</v>
      </c>
      <c r="P60" s="24" t="s">
        <v>199</v>
      </c>
    </row>
    <row r="61" spans="12:16" x14ac:dyDescent="0.35">
      <c r="L61" s="25" t="s">
        <v>298</v>
      </c>
      <c r="M61" s="26" t="s">
        <v>199</v>
      </c>
      <c r="N61" s="26" t="s">
        <v>199</v>
      </c>
      <c r="O61" s="26" t="s">
        <v>199</v>
      </c>
      <c r="P61" s="27" t="s">
        <v>199</v>
      </c>
    </row>
    <row r="62" spans="12:16" x14ac:dyDescent="0.35">
      <c r="L62" s="28">
        <v>45415</v>
      </c>
      <c r="M62" s="23" t="s">
        <v>199</v>
      </c>
      <c r="N62" s="23" t="s">
        <v>199</v>
      </c>
      <c r="O62" s="23" t="s">
        <v>199</v>
      </c>
      <c r="P62" s="24" t="s">
        <v>199</v>
      </c>
    </row>
    <row r="63" spans="12:16" x14ac:dyDescent="0.35">
      <c r="L63" s="25">
        <v>203</v>
      </c>
      <c r="M63" s="26" t="s">
        <v>199</v>
      </c>
      <c r="N63" s="26" t="s">
        <v>232</v>
      </c>
      <c r="O63" s="26" t="s">
        <v>232</v>
      </c>
      <c r="P63" s="27" t="s">
        <v>199</v>
      </c>
    </row>
    <row r="64" spans="12:16" x14ac:dyDescent="0.35">
      <c r="L64" s="22" t="s">
        <v>299</v>
      </c>
      <c r="M64" s="23" t="s">
        <v>199</v>
      </c>
      <c r="N64" s="23" t="s">
        <v>199</v>
      </c>
      <c r="O64" s="23" t="s">
        <v>199</v>
      </c>
      <c r="P64" s="24" t="s">
        <v>199</v>
      </c>
    </row>
    <row r="65" spans="12:16" x14ac:dyDescent="0.35">
      <c r="L65" s="25" t="s">
        <v>300</v>
      </c>
      <c r="M65" s="26" t="s">
        <v>199</v>
      </c>
      <c r="N65" s="26" t="s">
        <v>199</v>
      </c>
      <c r="O65" s="26" t="s">
        <v>199</v>
      </c>
      <c r="P65" s="27" t="s">
        <v>301</v>
      </c>
    </row>
    <row r="66" spans="12:16" x14ac:dyDescent="0.35">
      <c r="L66" s="28">
        <v>45378</v>
      </c>
      <c r="M66" s="23" t="s">
        <v>199</v>
      </c>
      <c r="N66" s="23" t="s">
        <v>199</v>
      </c>
      <c r="O66" s="23" t="s">
        <v>199</v>
      </c>
      <c r="P66" s="24" t="s">
        <v>199</v>
      </c>
    </row>
    <row r="67" spans="12:16" x14ac:dyDescent="0.35">
      <c r="L67" s="25">
        <v>236</v>
      </c>
      <c r="M67" s="26" t="s">
        <v>199</v>
      </c>
      <c r="N67" s="26" t="s">
        <v>199</v>
      </c>
      <c r="O67" s="26" t="s">
        <v>264</v>
      </c>
      <c r="P67" s="27" t="s">
        <v>199</v>
      </c>
    </row>
    <row r="68" spans="12:16" x14ac:dyDescent="0.35">
      <c r="L68" s="22">
        <v>284</v>
      </c>
      <c r="M68" s="23" t="s">
        <v>199</v>
      </c>
      <c r="N68" s="23" t="s">
        <v>199</v>
      </c>
      <c r="O68" s="23" t="s">
        <v>302</v>
      </c>
      <c r="P68" s="24" t="s">
        <v>199</v>
      </c>
    </row>
    <row r="69" spans="12:16" x14ac:dyDescent="0.35">
      <c r="L69" s="25" t="s">
        <v>303</v>
      </c>
      <c r="M69" s="26" t="s">
        <v>199</v>
      </c>
      <c r="N69" s="26" t="s">
        <v>199</v>
      </c>
      <c r="O69" s="26" t="s">
        <v>199</v>
      </c>
      <c r="P69" s="27" t="s">
        <v>304</v>
      </c>
    </row>
    <row r="70" spans="12:16" x14ac:dyDescent="0.35">
      <c r="L70" s="22" t="s">
        <v>305</v>
      </c>
      <c r="M70" s="23" t="s">
        <v>199</v>
      </c>
      <c r="N70" s="23" t="s">
        <v>199</v>
      </c>
      <c r="O70" s="23" t="s">
        <v>199</v>
      </c>
      <c r="P70" s="24" t="s">
        <v>306</v>
      </c>
    </row>
    <row r="71" spans="12:16" x14ac:dyDescent="0.35">
      <c r="L71" s="25" t="s">
        <v>307</v>
      </c>
      <c r="M71" s="26" t="s">
        <v>199</v>
      </c>
      <c r="N71" s="26" t="s">
        <v>199</v>
      </c>
      <c r="O71" s="26" t="s">
        <v>199</v>
      </c>
      <c r="P71" s="27" t="s">
        <v>199</v>
      </c>
    </row>
    <row r="72" spans="12:16" x14ac:dyDescent="0.35">
      <c r="L72" s="22" t="s">
        <v>308</v>
      </c>
      <c r="M72" s="23" t="s">
        <v>199</v>
      </c>
      <c r="N72" s="23" t="s">
        <v>199</v>
      </c>
      <c r="O72" s="23" t="s">
        <v>199</v>
      </c>
      <c r="P72" s="24" t="s">
        <v>199</v>
      </c>
    </row>
    <row r="73" spans="12:16" x14ac:dyDescent="0.35">
      <c r="L73" s="25">
        <v>218</v>
      </c>
      <c r="M73" s="26" t="s">
        <v>199</v>
      </c>
      <c r="N73" s="26" t="s">
        <v>250</v>
      </c>
      <c r="O73" s="26" t="s">
        <v>250</v>
      </c>
      <c r="P73" s="27" t="s">
        <v>199</v>
      </c>
    </row>
    <row r="74" spans="12:16" x14ac:dyDescent="0.35">
      <c r="L74" s="22" t="s">
        <v>309</v>
      </c>
      <c r="M74" s="23" t="s">
        <v>199</v>
      </c>
      <c r="N74" s="23" t="s">
        <v>199</v>
      </c>
      <c r="O74" s="23" t="s">
        <v>199</v>
      </c>
      <c r="P74" s="24" t="s">
        <v>310</v>
      </c>
    </row>
    <row r="75" spans="12:16" x14ac:dyDescent="0.35">
      <c r="L75" s="25" t="s">
        <v>0</v>
      </c>
      <c r="M75" s="26" t="s">
        <v>199</v>
      </c>
      <c r="N75" s="26" t="s">
        <v>199</v>
      </c>
      <c r="O75" s="26" t="s">
        <v>199</v>
      </c>
      <c r="P75" s="27" t="s">
        <v>199</v>
      </c>
    </row>
    <row r="76" spans="12:16" x14ac:dyDescent="0.35">
      <c r="L76" s="22" t="s">
        <v>311</v>
      </c>
      <c r="M76" s="23" t="s">
        <v>199</v>
      </c>
      <c r="N76" s="23" t="s">
        <v>199</v>
      </c>
      <c r="O76" s="23" t="s">
        <v>199</v>
      </c>
      <c r="P76" s="24" t="s">
        <v>312</v>
      </c>
    </row>
    <row r="77" spans="12:16" x14ac:dyDescent="0.35">
      <c r="L77" s="25" t="s">
        <v>313</v>
      </c>
      <c r="M77" s="26" t="s">
        <v>199</v>
      </c>
      <c r="N77" s="26" t="s">
        <v>199</v>
      </c>
      <c r="O77" s="26" t="s">
        <v>199</v>
      </c>
      <c r="P77" s="27" t="s">
        <v>314</v>
      </c>
    </row>
    <row r="78" spans="12:16" x14ac:dyDescent="0.35">
      <c r="L78" s="22" t="s">
        <v>315</v>
      </c>
      <c r="M78" s="23" t="s">
        <v>199</v>
      </c>
      <c r="N78" s="23" t="s">
        <v>199</v>
      </c>
      <c r="O78" s="23" t="s">
        <v>199</v>
      </c>
      <c r="P78" s="24" t="s">
        <v>199</v>
      </c>
    </row>
    <row r="79" spans="12:16" x14ac:dyDescent="0.35">
      <c r="L79" s="25" t="s">
        <v>316</v>
      </c>
      <c r="M79" s="26" t="s">
        <v>199</v>
      </c>
      <c r="N79" s="26" t="s">
        <v>199</v>
      </c>
      <c r="O79" s="26" t="s">
        <v>199</v>
      </c>
      <c r="P79" s="27" t="s">
        <v>317</v>
      </c>
    </row>
    <row r="80" spans="12:16" x14ac:dyDescent="0.35">
      <c r="L80" s="22" t="s">
        <v>318</v>
      </c>
      <c r="M80" s="23" t="s">
        <v>199</v>
      </c>
      <c r="N80" s="23" t="s">
        <v>199</v>
      </c>
      <c r="O80" s="23" t="s">
        <v>199</v>
      </c>
      <c r="P80" s="24" t="s">
        <v>269</v>
      </c>
    </row>
    <row r="81" spans="12:16" x14ac:dyDescent="0.35">
      <c r="L81" s="25" t="s">
        <v>319</v>
      </c>
      <c r="M81" s="26" t="s">
        <v>199</v>
      </c>
      <c r="N81" s="26" t="s">
        <v>199</v>
      </c>
      <c r="O81" s="26" t="s">
        <v>199</v>
      </c>
      <c r="P81" s="27" t="s">
        <v>199</v>
      </c>
    </row>
    <row r="82" spans="12:16" x14ac:dyDescent="0.35">
      <c r="L82" s="22">
        <v>224</v>
      </c>
      <c r="M82" s="23" t="s">
        <v>199</v>
      </c>
      <c r="N82" s="23" t="s">
        <v>320</v>
      </c>
      <c r="O82" s="23" t="s">
        <v>306</v>
      </c>
      <c r="P82" s="24" t="s">
        <v>199</v>
      </c>
    </row>
    <row r="83" spans="12:16" x14ac:dyDescent="0.35">
      <c r="L83" s="25">
        <v>301</v>
      </c>
      <c r="M83" s="26" t="s">
        <v>199</v>
      </c>
      <c r="N83" s="26" t="s">
        <v>224</v>
      </c>
      <c r="O83" s="26" t="s">
        <v>224</v>
      </c>
      <c r="P83" s="27" t="s">
        <v>199</v>
      </c>
    </row>
    <row r="84" spans="12:16" x14ac:dyDescent="0.35">
      <c r="L84" s="22">
        <v>305</v>
      </c>
      <c r="M84" s="23" t="s">
        <v>199</v>
      </c>
      <c r="N84" s="23" t="s">
        <v>243</v>
      </c>
      <c r="O84" s="23" t="s">
        <v>243</v>
      </c>
      <c r="P84" s="24" t="s">
        <v>199</v>
      </c>
    </row>
    <row r="85" spans="12:16" x14ac:dyDescent="0.35">
      <c r="L85" s="25" t="s">
        <v>321</v>
      </c>
      <c r="M85" s="26" t="s">
        <v>199</v>
      </c>
      <c r="N85" s="26" t="s">
        <v>199</v>
      </c>
      <c r="O85" s="26" t="s">
        <v>199</v>
      </c>
      <c r="P85" s="27" t="s">
        <v>322</v>
      </c>
    </row>
    <row r="86" spans="12:16" x14ac:dyDescent="0.35">
      <c r="L86" s="22" t="s">
        <v>323</v>
      </c>
      <c r="M86" s="23" t="s">
        <v>199</v>
      </c>
      <c r="N86" s="23" t="s">
        <v>199</v>
      </c>
      <c r="O86" s="23" t="s">
        <v>199</v>
      </c>
      <c r="P86" s="24" t="s">
        <v>199</v>
      </c>
    </row>
    <row r="87" spans="12:16" x14ac:dyDescent="0.35">
      <c r="L87" s="25" t="s">
        <v>324</v>
      </c>
      <c r="M87" s="26" t="s">
        <v>199</v>
      </c>
      <c r="N87" s="26" t="s">
        <v>199</v>
      </c>
      <c r="O87" s="26" t="s">
        <v>199</v>
      </c>
      <c r="P87" s="27" t="s">
        <v>325</v>
      </c>
    </row>
    <row r="88" spans="12:16" x14ac:dyDescent="0.35">
      <c r="L88" s="28">
        <v>45471</v>
      </c>
      <c r="M88" s="23" t="s">
        <v>199</v>
      </c>
      <c r="N88" s="23" t="s">
        <v>199</v>
      </c>
      <c r="O88" s="23" t="s">
        <v>199</v>
      </c>
      <c r="P88" s="24" t="s">
        <v>199</v>
      </c>
    </row>
    <row r="89" spans="12:16" x14ac:dyDescent="0.35">
      <c r="L89" s="25" t="s">
        <v>326</v>
      </c>
      <c r="M89" s="26" t="s">
        <v>199</v>
      </c>
      <c r="N89" s="26" t="s">
        <v>199</v>
      </c>
      <c r="O89" s="26" t="s">
        <v>199</v>
      </c>
      <c r="P89" s="27" t="s">
        <v>199</v>
      </c>
    </row>
    <row r="90" spans="12:16" x14ac:dyDescent="0.35">
      <c r="L90" s="22">
        <v>260</v>
      </c>
      <c r="M90" s="23" t="s">
        <v>199</v>
      </c>
      <c r="N90" s="23" t="s">
        <v>199</v>
      </c>
      <c r="O90" s="23" t="s">
        <v>327</v>
      </c>
      <c r="P90" s="24" t="s">
        <v>199</v>
      </c>
    </row>
    <row r="91" spans="12:16" x14ac:dyDescent="0.35">
      <c r="L91" s="29">
        <v>45473</v>
      </c>
      <c r="M91" s="26" t="s">
        <v>199</v>
      </c>
      <c r="N91" s="26" t="s">
        <v>199</v>
      </c>
      <c r="O91" s="26" t="s">
        <v>199</v>
      </c>
      <c r="P91" s="27" t="s">
        <v>199</v>
      </c>
    </row>
    <row r="92" spans="12:16" x14ac:dyDescent="0.35">
      <c r="L92" s="22">
        <v>308</v>
      </c>
      <c r="M92" s="23" t="s">
        <v>199</v>
      </c>
      <c r="N92" s="23" t="s">
        <v>199</v>
      </c>
      <c r="O92" s="23" t="s">
        <v>199</v>
      </c>
      <c r="P92" s="24" t="s">
        <v>199</v>
      </c>
    </row>
    <row r="95" spans="12:16" x14ac:dyDescent="0.35">
      <c r="L95" t="s">
        <v>328</v>
      </c>
    </row>
    <row r="96" spans="12:16" x14ac:dyDescent="0.35">
      <c r="L96" t="s">
        <v>329</v>
      </c>
    </row>
    <row r="97" spans="12:12" x14ac:dyDescent="0.35">
      <c r="L97" t="s">
        <v>153</v>
      </c>
    </row>
    <row r="98" spans="12:12" x14ac:dyDescent="0.35">
      <c r="L98" t="s">
        <v>152</v>
      </c>
    </row>
    <row r="99" spans="12:12" x14ac:dyDescent="0.35">
      <c r="L99" t="s">
        <v>330</v>
      </c>
    </row>
    <row r="100" spans="12:12" x14ac:dyDescent="0.35">
      <c r="L100" t="s">
        <v>331</v>
      </c>
    </row>
    <row r="101" spans="12:12" x14ac:dyDescent="0.35">
      <c r="L101" t="s">
        <v>332</v>
      </c>
    </row>
    <row r="102" spans="12:12" x14ac:dyDescent="0.35">
      <c r="L102" t="s">
        <v>333</v>
      </c>
    </row>
    <row r="103" spans="12:12" x14ac:dyDescent="0.35">
      <c r="L103" t="s">
        <v>334</v>
      </c>
    </row>
    <row r="104" spans="12:12" x14ac:dyDescent="0.35">
      <c r="L104" t="s">
        <v>331</v>
      </c>
    </row>
    <row r="105" spans="12:12" x14ac:dyDescent="0.35">
      <c r="L105" t="s">
        <v>332</v>
      </c>
    </row>
    <row r="106" spans="12:12" x14ac:dyDescent="0.35">
      <c r="L106" t="s">
        <v>333</v>
      </c>
    </row>
    <row r="107" spans="12:12" x14ac:dyDescent="0.35">
      <c r="L107" t="s">
        <v>335</v>
      </c>
    </row>
    <row r="108" spans="12:12" x14ac:dyDescent="0.35">
      <c r="L108" t="s">
        <v>331</v>
      </c>
    </row>
    <row r="109" spans="12:12" x14ac:dyDescent="0.35">
      <c r="L109" t="s">
        <v>336</v>
      </c>
    </row>
    <row r="110" spans="12:12" x14ac:dyDescent="0.35">
      <c r="L110" t="s">
        <v>333</v>
      </c>
    </row>
    <row r="111" spans="12:12" x14ac:dyDescent="0.35">
      <c r="L111" t="s">
        <v>337</v>
      </c>
    </row>
    <row r="112" spans="12:12" x14ac:dyDescent="0.35">
      <c r="L112" t="s">
        <v>338</v>
      </c>
    </row>
    <row r="113" spans="12:12" x14ac:dyDescent="0.35">
      <c r="L113" t="s">
        <v>332</v>
      </c>
    </row>
    <row r="114" spans="12:12" x14ac:dyDescent="0.35">
      <c r="L114" t="s">
        <v>333</v>
      </c>
    </row>
    <row r="115" spans="12:12" x14ac:dyDescent="0.35">
      <c r="L115" t="s">
        <v>339</v>
      </c>
    </row>
    <row r="116" spans="12:12" x14ac:dyDescent="0.35">
      <c r="L116" t="s">
        <v>338</v>
      </c>
    </row>
    <row r="117" spans="12:12" x14ac:dyDescent="0.35">
      <c r="L117" t="s">
        <v>332</v>
      </c>
    </row>
    <row r="118" spans="12:12" x14ac:dyDescent="0.35">
      <c r="L118" t="s">
        <v>333</v>
      </c>
    </row>
    <row r="119" spans="12:12" x14ac:dyDescent="0.35">
      <c r="L119" t="s">
        <v>340</v>
      </c>
    </row>
    <row r="120" spans="12:12" x14ac:dyDescent="0.35">
      <c r="L120" t="s">
        <v>338</v>
      </c>
    </row>
    <row r="121" spans="12:12" x14ac:dyDescent="0.35">
      <c r="L121" t="s">
        <v>336</v>
      </c>
    </row>
    <row r="122" spans="12:12" x14ac:dyDescent="0.35">
      <c r="L122" t="s">
        <v>341</v>
      </c>
    </row>
    <row r="123" spans="12:12" x14ac:dyDescent="0.35">
      <c r="L123" t="s">
        <v>342</v>
      </c>
    </row>
    <row r="124" spans="12:12" x14ac:dyDescent="0.35">
      <c r="L124" t="s">
        <v>152</v>
      </c>
    </row>
    <row r="125" spans="12:12" x14ac:dyDescent="0.35">
      <c r="L125" t="s">
        <v>343</v>
      </c>
    </row>
    <row r="126" spans="12:12" x14ac:dyDescent="0.35">
      <c r="L126" t="s">
        <v>344</v>
      </c>
    </row>
    <row r="127" spans="12:12" x14ac:dyDescent="0.35">
      <c r="L127" t="s">
        <v>345</v>
      </c>
    </row>
    <row r="128" spans="12:12" x14ac:dyDescent="0.35">
      <c r="L128" t="s">
        <v>346</v>
      </c>
    </row>
    <row r="129" spans="12:12" x14ac:dyDescent="0.35">
      <c r="L129" t="s">
        <v>347</v>
      </c>
    </row>
    <row r="130" spans="12:12" x14ac:dyDescent="0.35">
      <c r="L130" t="s">
        <v>348</v>
      </c>
    </row>
    <row r="131" spans="12:12" x14ac:dyDescent="0.35">
      <c r="L131" t="s">
        <v>342</v>
      </c>
    </row>
    <row r="132" spans="12:12" x14ac:dyDescent="0.35">
      <c r="L132" t="s">
        <v>152</v>
      </c>
    </row>
    <row r="133" spans="12:12" x14ac:dyDescent="0.35">
      <c r="L133" t="s">
        <v>349</v>
      </c>
    </row>
    <row r="134" spans="12:12" x14ac:dyDescent="0.35">
      <c r="L134" t="s">
        <v>344</v>
      </c>
    </row>
    <row r="135" spans="12:12" x14ac:dyDescent="0.35">
      <c r="L135" t="s">
        <v>345</v>
      </c>
    </row>
    <row r="136" spans="12:12" x14ac:dyDescent="0.35">
      <c r="L136" t="s">
        <v>350</v>
      </c>
    </row>
    <row r="137" spans="12:12" x14ac:dyDescent="0.35">
      <c r="L137" t="s">
        <v>351</v>
      </c>
    </row>
    <row r="138" spans="12:12" x14ac:dyDescent="0.35">
      <c r="L138" t="s">
        <v>352</v>
      </c>
    </row>
    <row r="139" spans="12:12" x14ac:dyDescent="0.35">
      <c r="L139" t="s">
        <v>342</v>
      </c>
    </row>
    <row r="140" spans="12:12" x14ac:dyDescent="0.35">
      <c r="L140" t="s">
        <v>152</v>
      </c>
    </row>
    <row r="141" spans="12:12" x14ac:dyDescent="0.35">
      <c r="L141" t="s">
        <v>353</v>
      </c>
    </row>
    <row r="142" spans="12:12" x14ac:dyDescent="0.35">
      <c r="L142" t="s">
        <v>354</v>
      </c>
    </row>
    <row r="143" spans="12:12" x14ac:dyDescent="0.35">
      <c r="L143" t="s">
        <v>345</v>
      </c>
    </row>
    <row r="144" spans="12:12" x14ac:dyDescent="0.35">
      <c r="L144" t="s">
        <v>355</v>
      </c>
    </row>
    <row r="145" spans="12:12" x14ac:dyDescent="0.35">
      <c r="L145" t="s">
        <v>356</v>
      </c>
    </row>
    <row r="146" spans="12:12" x14ac:dyDescent="0.35">
      <c r="L146" t="s">
        <v>357</v>
      </c>
    </row>
    <row r="147" spans="12:12" x14ac:dyDescent="0.35">
      <c r="L147" t="s">
        <v>342</v>
      </c>
    </row>
    <row r="148" spans="12:12" x14ac:dyDescent="0.35">
      <c r="L148" t="s">
        <v>152</v>
      </c>
    </row>
    <row r="149" spans="12:12" x14ac:dyDescent="0.35">
      <c r="L149" t="s">
        <v>358</v>
      </c>
    </row>
    <row r="150" spans="12:12" x14ac:dyDescent="0.35">
      <c r="L150" t="s">
        <v>354</v>
      </c>
    </row>
    <row r="151" spans="12:12" x14ac:dyDescent="0.35">
      <c r="L151" t="s">
        <v>359</v>
      </c>
    </row>
    <row r="152" spans="12:12" x14ac:dyDescent="0.35">
      <c r="L152" t="s">
        <v>360</v>
      </c>
    </row>
    <row r="153" spans="12:12" x14ac:dyDescent="0.35">
      <c r="L153" t="s">
        <v>361</v>
      </c>
    </row>
    <row r="154" spans="12:12" x14ac:dyDescent="0.35">
      <c r="L154" t="s">
        <v>362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92D4BB-A1B7-409C-B13C-812A698B41DC}">
  <ds:schemaRefs>
    <ds:schemaRef ds:uri="http://schemas.microsoft.com/sharepoint/v3/contenttype/forms"/>
  </ds:schemaRefs>
</ds:datastoreItem>
</file>

<file path=customXml/itemProps2.xml><?xml version="1.0" encoding="utf-8"?>
<ds:datastoreItem xmlns:ds="http://schemas.openxmlformats.org/officeDocument/2006/customXml" ds:itemID="{6BB8DFCE-9FCD-4CAC-ACCC-15D4888388B2}"/>
</file>

<file path=customXml/itemProps3.xml><?xml version="1.0" encoding="utf-8"?>
<ds:datastoreItem xmlns:ds="http://schemas.openxmlformats.org/officeDocument/2006/customXml" ds:itemID="{26C2760B-685C-464B-A957-7BE46001A94F}">
  <ds:schemaRefs>
    <ds:schemaRef ds:uri="http://schemas.microsoft.com/office/2006/metadata/properties"/>
    <ds:schemaRef ds:uri="http://schemas.microsoft.com/office/infopath/2007/PartnerControls"/>
    <ds:schemaRef ds:uri="http://schemas.microsoft.com/sharepoint/v3"/>
    <ds:schemaRef ds:uri="09d3dac3-f296-4107-b579-4b1e37be6169"/>
    <ds:schemaRef ds:uri="5ad20f8b-9281-4829-a9aa-2b5a878ba2cc"/>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Mapeamentos</vt:lpstr>
      <vt:lpstr>Notas LT002</vt:lpstr>
      <vt:lpstr>Notas Financeira</vt:lpstr>
      <vt:lpstr>Diagrama_Estrutura_Accionista</vt:lpstr>
      <vt:lpstr>draft</vt:lpstr>
      <vt:lpstr>Sheet1</vt:lpstr>
      <vt:lpstr>Mapeamentos!_Toc51154475</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2025-01-23T23:34:15Z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