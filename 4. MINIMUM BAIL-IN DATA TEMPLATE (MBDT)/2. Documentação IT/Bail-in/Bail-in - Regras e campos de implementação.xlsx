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antandernet.sharepoint.com/sites/ReportsFinanceira/Shared Documents/General/4. MINIMUM BAIL-IN DATA TEMPLATE (MBDT)/1. Documentação/2. Documentação IT/Bail-in/"/>
    </mc:Choice>
  </mc:AlternateContent>
  <xr:revisionPtr revIDLastSave="4632" documentId="13_ncr:1_{CB092B45-4A1A-4737-99DE-3D4CD6AAE04A}" xr6:coauthVersionLast="47" xr6:coauthVersionMax="47" xr10:uidLastSave="{D6F2D5B3-9A56-4F88-B2D2-2E12A61B8491}"/>
  <bookViews>
    <workbookView xWindow="-108" yWindow="-108" windowWidth="23256" windowHeight="12456" tabRatio="745" activeTab="1" xr2:uid="{00000000-000D-0000-FFFF-FFFF00000000}"/>
  </bookViews>
  <sheets>
    <sheet name="PDS" sheetId="8" r:id="rId1"/>
    <sheet name="Mapeamentos" sheetId="1" r:id="rId2"/>
    <sheet name="Notas LT002" sheetId="16" state="hidden" r:id="rId3"/>
    <sheet name="Notas Financeira" sheetId="7" state="hidden" r:id="rId4"/>
    <sheet name="Diagrama_Estrutura_Accionista" sheetId="10" state="hidden" r:id="rId5"/>
    <sheet name="draft" sheetId="12" state="hidden" r:id="rId6"/>
    <sheet name="Sheet1" sheetId="15" state="hidden" r:id="rId7"/>
    <sheet name="AUX" sheetId="9" r:id="rId8"/>
    <sheet name="CREATE TABLE bail_in_srb" sheetId="20" r:id="rId9"/>
    <sheet name="CREATE &amp; INSERT temps" sheetId="22" r:id="rId10"/>
    <sheet name="INSERT bail_in_srb" sheetId="17" r:id="rId11"/>
  </sheets>
  <definedNames>
    <definedName name="_xlnm._FilterDatabase" localSheetId="1" hidden="1">Mapeamentos!$A$3:$AJ$56</definedName>
    <definedName name="_Toc51154475" localSheetId="1">Mapeamentos!$B$3</definedName>
    <definedName name="_Toc51154476" localSheetId="1">Mapeamentos!#REF!</definedName>
    <definedName name="_Toc51154477" localSheetId="1">Mapeamentos!#REF!</definedName>
    <definedName name="_Toc51154478" localSheetId="1">Mapeamentos!#REF!</definedName>
    <definedName name="_Toc51154479" localSheetId="1">Mapeamentos!#REF!</definedName>
    <definedName name="_Toc51154480" localSheetId="1">Mapeamentos!#REF!</definedName>
    <definedName name="_Toc51154482" localSheetId="1">Mapeamentos!#REF!</definedName>
    <definedName name="_Toc51154483" localSheetId="1">Mapeamentos!#REF!</definedName>
    <definedName name="_Toc51154484" localSheetId="1">Mapeamentos!#REF!</definedName>
    <definedName name="_Toc51154485" localSheetId="1">Mapeamentos!#REF!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8" l="1"/>
  <c r="H4" i="8" s="1"/>
  <c r="I4" i="8"/>
  <c r="I10" i="8" s="1"/>
  <c r="J4" i="8"/>
  <c r="K4" i="8"/>
  <c r="L4" i="8"/>
  <c r="M4" i="8"/>
  <c r="M10" i="8" s="1"/>
  <c r="N4" i="8"/>
  <c r="O4" i="8"/>
  <c r="P4" i="8" s="1"/>
  <c r="G5" i="8"/>
  <c r="H5" i="8" s="1"/>
  <c r="I5" i="8"/>
  <c r="J5" i="8"/>
  <c r="K5" i="8"/>
  <c r="L5" i="8"/>
  <c r="M5" i="8"/>
  <c r="N5" i="8"/>
  <c r="O5" i="8"/>
  <c r="P5" i="8" s="1"/>
  <c r="G6" i="8"/>
  <c r="H6" i="8" s="1"/>
  <c r="I6" i="8"/>
  <c r="J6" i="8"/>
  <c r="K6" i="8"/>
  <c r="K10" i="8" s="1"/>
  <c r="L6" i="8"/>
  <c r="M6" i="8"/>
  <c r="N6" i="8"/>
  <c r="O6" i="8"/>
  <c r="P6" i="8" s="1"/>
  <c r="G7" i="8"/>
  <c r="H7" i="8" s="1"/>
  <c r="I7" i="8"/>
  <c r="J7" i="8"/>
  <c r="K7" i="8"/>
  <c r="L7" i="8"/>
  <c r="M7" i="8"/>
  <c r="N7" i="8"/>
  <c r="O7" i="8"/>
  <c r="P7" i="8" s="1"/>
  <c r="G8" i="8"/>
  <c r="H8" i="8" s="1"/>
  <c r="I8" i="8"/>
  <c r="J8" i="8"/>
  <c r="K8" i="8"/>
  <c r="L8" i="8"/>
  <c r="M8" i="8"/>
  <c r="N8" i="8"/>
  <c r="O8" i="8"/>
  <c r="O10" i="8" s="1"/>
  <c r="G9" i="8"/>
  <c r="H9" i="8" s="1"/>
  <c r="I9" i="8"/>
  <c r="J9" i="8"/>
  <c r="K9" i="8"/>
  <c r="L9" i="8"/>
  <c r="M9" i="8"/>
  <c r="N9" i="8"/>
  <c r="O9" i="8"/>
  <c r="P9" i="8" s="1"/>
  <c r="Z9" i="8"/>
  <c r="Z8" i="8"/>
  <c r="AA8" i="8" s="1"/>
  <c r="Z7" i="8"/>
  <c r="Z6" i="8"/>
  <c r="AA6" i="8" s="1"/>
  <c r="Z5" i="8"/>
  <c r="Z4" i="8"/>
  <c r="S4" i="8"/>
  <c r="AA9" i="8"/>
  <c r="AA7" i="8"/>
  <c r="AA5" i="8"/>
  <c r="X9" i="8"/>
  <c r="Y9" i="8" s="1"/>
  <c r="X8" i="8"/>
  <c r="Y8" i="8" s="1"/>
  <c r="X7" i="8"/>
  <c r="Y7" i="8" s="1"/>
  <c r="X6" i="8"/>
  <c r="Y6" i="8" s="1"/>
  <c r="X5" i="8"/>
  <c r="Y5" i="8" s="1"/>
  <c r="X4" i="8"/>
  <c r="V4" i="8"/>
  <c r="W4" i="8"/>
  <c r="V6" i="8"/>
  <c r="W6" i="8" s="1"/>
  <c r="V9" i="8"/>
  <c r="W9" i="8" s="1"/>
  <c r="V8" i="8"/>
  <c r="W8" i="8" s="1"/>
  <c r="V7" i="8"/>
  <c r="W7" i="8" s="1"/>
  <c r="V5" i="8"/>
  <c r="W5" i="8" s="1"/>
  <c r="E4" i="8"/>
  <c r="Q7" i="8"/>
  <c r="S9" i="8"/>
  <c r="S8" i="8"/>
  <c r="T8" i="8" s="1"/>
  <c r="S7" i="8"/>
  <c r="S6" i="8"/>
  <c r="T6" i="8" s="1"/>
  <c r="S5" i="8"/>
  <c r="Q9" i="8"/>
  <c r="R9" i="8" s="1"/>
  <c r="Q8" i="8"/>
  <c r="Q6" i="8"/>
  <c r="Q5" i="8"/>
  <c r="R5" i="8" s="1"/>
  <c r="Q4" i="8"/>
  <c r="R4" i="8" s="1"/>
  <c r="E9" i="8"/>
  <c r="F9" i="8" s="1"/>
  <c r="E8" i="8"/>
  <c r="E7" i="8"/>
  <c r="E6" i="8"/>
  <c r="E5" i="8"/>
  <c r="F5" i="8" s="1"/>
  <c r="K14" i="12"/>
  <c r="K15" i="12"/>
  <c r="K16" i="12"/>
  <c r="K17" i="12"/>
  <c r="K18" i="12"/>
  <c r="K19" i="12"/>
  <c r="K20" i="12"/>
  <c r="K21" i="12"/>
  <c r="K22" i="12"/>
  <c r="K23" i="12"/>
  <c r="K24" i="12"/>
  <c r="K25" i="12"/>
  <c r="K26" i="12"/>
  <c r="K27" i="12"/>
  <c r="K28" i="12"/>
  <c r="K29" i="12"/>
  <c r="K30" i="12"/>
  <c r="K31" i="12"/>
  <c r="K32" i="12"/>
  <c r="K33" i="12"/>
  <c r="K34" i="12"/>
  <c r="K35" i="12"/>
  <c r="K36" i="12"/>
  <c r="K37" i="12"/>
  <c r="K13"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4" i="12"/>
  <c r="R8" i="8"/>
  <c r="R7" i="8"/>
  <c r="R6" i="8"/>
  <c r="T7" i="8"/>
  <c r="T5" i="8"/>
  <c r="U9" i="8"/>
  <c r="F6" i="8"/>
  <c r="G10" i="8" l="1"/>
  <c r="V10" i="8"/>
  <c r="P8" i="8"/>
  <c r="Y4" i="8"/>
  <c r="X10" i="8"/>
  <c r="AA4" i="8"/>
  <c r="Z10" i="8"/>
  <c r="D5" i="8"/>
  <c r="D6" i="8"/>
  <c r="Q10" i="8"/>
  <c r="U5" i="8"/>
  <c r="U6" i="8"/>
  <c r="U7" i="8"/>
  <c r="U8" i="8"/>
  <c r="F4" i="8"/>
  <c r="E10" i="8"/>
  <c r="U4" i="8"/>
  <c r="T4" i="8"/>
  <c r="S10" i="8"/>
  <c r="D4" i="8" l="1"/>
  <c r="T9" i="8"/>
  <c r="D9" i="8"/>
  <c r="F8" i="8"/>
  <c r="D8" i="8" s="1"/>
  <c r="F7" i="8"/>
  <c r="D7" i="8" s="1"/>
  <c r="C10" i="8"/>
  <c r="H10" i="8" l="1"/>
  <c r="J10" i="8"/>
  <c r="L10" i="8"/>
  <c r="N10" i="8"/>
  <c r="P10" i="8"/>
  <c r="R10" i="8"/>
  <c r="W10" i="8"/>
  <c r="F10" i="8"/>
  <c r="AA10" i="8"/>
  <c r="Y10" i="8"/>
  <c r="T10" i="8"/>
  <c r="D10" i="8" l="1"/>
  <c r="A3" i="7"/>
  <c r="A4" i="7" s="1"/>
  <c r="C5" i="1"/>
  <c r="C6" i="1" s="1"/>
  <c r="C7" i="1" s="1"/>
  <c r="C8" i="1" s="1"/>
  <c r="C9" i="1" s="1"/>
  <c r="C10" i="1" s="1"/>
  <c r="C11" i="1" s="1"/>
  <c r="C12" i="1" s="1"/>
  <c r="C13" i="1" s="1"/>
  <c r="C14" i="1" s="1"/>
  <c r="C15" i="1" s="1"/>
  <c r="C1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Almeida Ramos</author>
  </authors>
  <commentList>
    <comment ref="AG4" authorId="0" shapeId="0" xr:uid="{1DEB1B32-7F3C-4004-AB06-5FFC9018DAF7}">
      <text>
        <r>
          <rPr>
            <b/>
            <sz val="9"/>
            <color indexed="81"/>
            <rFont val="Tahoma"/>
            <family val="2"/>
          </rPr>
          <t>Pedro Almeida Ramos:</t>
        </r>
        <r>
          <rPr>
            <sz val="9"/>
            <color indexed="81"/>
            <rFont val="Tahoma"/>
            <family val="2"/>
          </rPr>
          <t xml:space="preserve">
</t>
        </r>
      </text>
    </comment>
  </commentList>
</comments>
</file>

<file path=xl/sharedStrings.xml><?xml version="1.0" encoding="utf-8"?>
<sst xmlns="http://schemas.openxmlformats.org/spreadsheetml/2006/main" count="1988" uniqueCount="798">
  <si>
    <t xml:space="preserve"> </t>
  </si>
  <si>
    <t>Estado Especificação</t>
  </si>
  <si>
    <t>Estado Desenvolvimento</t>
  </si>
  <si>
    <t>Total</t>
  </si>
  <si>
    <t>Concluido</t>
  </si>
  <si>
    <t>Mapeamento com LT fechado, mas parametrização pendente</t>
  </si>
  <si>
    <t>Novo campo, mapeamento datalake fechado, com necessidade de criar parametrização</t>
  </si>
  <si>
    <t>Novo campo, mapeamento datalake fechado, sem necessidade de criar parametrização</t>
  </si>
  <si>
    <t>Novo campo, 
mapeamento datalake pendente, 
com necessidade de criar parametrização</t>
  </si>
  <si>
    <t>Novo campo, 
mapeamento datalake pendente, 
sem necessidade de criar parametrização</t>
  </si>
  <si>
    <t>Em curso</t>
  </si>
  <si>
    <t>Por iniciar</t>
  </si>
  <si>
    <t>Submódulo</t>
  </si>
  <si>
    <t>abs</t>
  </si>
  <si>
    <t>Total 
(%)</t>
  </si>
  <si>
    <t>%</t>
  </si>
  <si>
    <t>DATA POINTS FOR IDENTIFICATION</t>
  </si>
  <si>
    <t>DATA POINTS FOR LINK WITH OWN FUNDS</t>
  </si>
  <si>
    <t>DATA POINTS FOR LINK WITH ACCOUNTING</t>
  </si>
  <si>
    <t>DATA POINTS FOR AMOUNTS REQUIRED FOR CALCULATION</t>
  </si>
  <si>
    <t>DATA POINTS FOR INFORMATION ON THE INVESTOR/CREDITOR</t>
  </si>
  <si>
    <t>DATA POINTS FOR GUARANTEES</t>
  </si>
  <si>
    <t>Instruções SRB - Bail-in data set</t>
  </si>
  <si>
    <t>Análise IT</t>
  </si>
  <si>
    <t>Instruções SRB - Novo Bail-in (MBDT)</t>
  </si>
  <si>
    <t>Análise IT (Comparativo com o novo MBDT)</t>
  </si>
  <si>
    <t>Análise IT + CDO (Old)</t>
  </si>
  <si>
    <t>Mapeamento Financeira</t>
  </si>
  <si>
    <t>Tipo</t>
  </si>
  <si>
    <t>SRB_ID</t>
  </si>
  <si>
    <t>Data Point</t>
  </si>
  <si>
    <t>Attribute</t>
  </si>
  <si>
    <t>Definition</t>
  </si>
  <si>
    <t>Nome do campo na tabela bu_captools_work.bail_in_srb</t>
  </si>
  <si>
    <t>Mapeamento</t>
  </si>
  <si>
    <t xml:space="preserve">Comentários </t>
  </si>
  <si>
    <t>Estado Validação</t>
  </si>
  <si>
    <t>Ficheiro</t>
  </si>
  <si>
    <t>Definição igual?</t>
  </si>
  <si>
    <t>Estado especificação Anterior</t>
  </si>
  <si>
    <t>Mapeamento Anterior</t>
  </si>
  <si>
    <t xml:space="preserve">Requer reanálise 
no Novo Bail-in? </t>
  </si>
  <si>
    <t>Comentário</t>
  </si>
  <si>
    <t>Pertence/ Não Pertence ao novo Bail-in?</t>
  </si>
  <si>
    <t>Nome do campo na tabela</t>
  </si>
  <si>
    <t>Nome do campo no ficheiro</t>
  </si>
  <si>
    <t>Desdodrável?</t>
  </si>
  <si>
    <t>Mapeamento LT / Comentários</t>
  </si>
  <si>
    <t>Description  LT</t>
  </si>
  <si>
    <t>Field Definition LT</t>
  </si>
  <si>
    <t>Estado especificação</t>
  </si>
  <si>
    <t>Tabela Data Lake</t>
  </si>
  <si>
    <t>Campo Data Lake</t>
  </si>
  <si>
    <t>4.2.1. DATA POINTS FOR IDENTIFICATION</t>
  </si>
  <si>
    <t xml:space="preserve">Legal entity </t>
  </si>
  <si>
    <t>[Entity name]</t>
  </si>
  <si>
    <t>Name of the subsidiary. 
Free-form text identification of incorporation name of the entity for which the table is reported. Please state the official name as it is listed in corporate acts, including the indication of the incorporation form.</t>
  </si>
  <si>
    <t>legal_entity</t>
  </si>
  <si>
    <t>Campo Fixo: "BANCO SANTANDER TOTTA, S.A"</t>
  </si>
  <si>
    <t>Reunião Pedro Mendes 2025-01-21</t>
  </si>
  <si>
    <t>OK</t>
  </si>
  <si>
    <t>B99.00</t>
  </si>
  <si>
    <t>Name of Legal Entity</t>
  </si>
  <si>
    <t>Free-form text identification of the incorporation name of the entity for which the table is reported. Please state
the official name as listed in corporate registry, including the indication of the company form.</t>
  </si>
  <si>
    <t>Sim</t>
  </si>
  <si>
    <t>Novo campo lt002_instrument.entidade_desc</t>
  </si>
  <si>
    <t>Não</t>
  </si>
  <si>
    <t>No novo Bail-in este campo constará no ficheiro B99.00 que será produzido manualmente pelo Pedro Mendes</t>
  </si>
  <si>
    <t>1 - Pertence ao novo Bail-in</t>
  </si>
  <si>
    <t>Reunião 02/10/2024 Luís Capitão-Mor, Pedro Mendes:
Novo campo lt002_instrument.entidade_desc
Este novo campo converterá o campo lt002_instrument.entidade que contém os códigos de Entidade Locais ('00100', '00110', ...) para o respetivo descritivo ('BANCO SANTANDER TOTTA'
, 'SANTANDER-PENSOES-SOC.GEST.FUNDOS' , ...). Para tal, será necessário recorrer à tabela cd_captools.perimetro ligando o campo lt002_instrument.entidade com o campo "cod_soc_cpus", e obter o campo "descricao". 
Nota: Bruno Matos procedeu à alteração na tabela cd_captools.perimetro da descrição "BANCO SANTANDER TOTTA" para "BANCO SANTANDER TOTTA, S.A." no caso  de cod_soc_cpus 00100 (email de Bruno Matos 31/10/2024 12:11)</t>
  </si>
  <si>
    <t>Campo Fixo - "Banco Santander Totta S.A."</t>
  </si>
  <si>
    <t>Legal entity identifier</t>
  </si>
  <si>
    <t>[LEI code]</t>
  </si>
  <si>
    <t>LEI code (unique code) identifying the reporting entity.</t>
  </si>
  <si>
    <t>lei_code</t>
  </si>
  <si>
    <t>Campo Fixo: "549300URJH9VSI58CS32"</t>
  </si>
  <si>
    <t>LEI of Legal Entity</t>
  </si>
  <si>
    <t>The unique LEI code for the entity, in line with the requirements of EMIR or the Dodd-Frank Act, for which the report is submitted. In the absence of an LEI, the ECB Monetary Financial Institutions unique Identifier (MFI ID) of the entity for use in RIAD (Register of Institutions and Affiliates Database) should be used. In the absence of both such identifiers, a local identifier must be used.</t>
  </si>
  <si>
    <t>Não
Contudo, aparenta ser o mesmo</t>
  </si>
  <si>
    <t>Novo campo lt002_instrument.lei_rprtng_entty.</t>
  </si>
  <si>
    <r>
      <t xml:space="preserve">Reunião 02/10/2024 Luís Capitão-Mor, Pedro Mendes:
Novo campo lt002_instrument.lei_rprtng_entty.
Partindo do campo </t>
    </r>
    <r>
      <rPr>
        <i/>
        <sz val="10"/>
        <color rgb="FF000000"/>
        <rFont val="Santander Text"/>
      </rPr>
      <t>entidade</t>
    </r>
    <r>
      <rPr>
        <sz val="10"/>
        <color rgb="FF000000"/>
        <rFont val="Santander Text"/>
      </rPr>
      <t xml:space="preserve"> (codigo da entidade local) da  lt002_instrument :
1) Identificam-se os </t>
    </r>
    <r>
      <rPr>
        <i/>
        <sz val="10"/>
        <color rgb="FF000000"/>
        <rFont val="Santander Text"/>
      </rPr>
      <t>zcliente</t>
    </r>
    <r>
      <rPr>
        <sz val="10"/>
        <color rgb="FF000000"/>
        <rFont val="Santander Text"/>
      </rPr>
      <t xml:space="preserve">'s associados a cada </t>
    </r>
    <r>
      <rPr>
        <i/>
        <sz val="10"/>
        <color rgb="FF000000"/>
        <rFont val="Santander Text"/>
      </rPr>
      <t xml:space="preserve">consolpt </t>
    </r>
    <r>
      <rPr>
        <sz val="10"/>
        <color rgb="FF000000"/>
        <rFont val="Santander Text"/>
      </rPr>
      <t xml:space="preserve">(codigo da entidade local) através da tabela cd_captools.clientes_intragrupo;
2) Identificam-se os </t>
    </r>
    <r>
      <rPr>
        <i/>
        <sz val="10"/>
        <color rgb="FF000000"/>
        <rFont val="Santander Text"/>
      </rPr>
      <t>ccli_grupo</t>
    </r>
    <r>
      <rPr>
        <sz val="10"/>
        <color rgb="FF000000"/>
        <rFont val="Santander Text"/>
      </rPr>
      <t xml:space="preserve">'s associados a esses </t>
    </r>
    <r>
      <rPr>
        <i/>
        <sz val="10"/>
        <color rgb="FF000000"/>
        <rFont val="Santander Text"/>
      </rPr>
      <t>zcliente</t>
    </r>
    <r>
      <rPr>
        <sz val="10"/>
        <color rgb="FF000000"/>
        <rFont val="Santander Text"/>
      </rPr>
      <t xml:space="preserve">'s através da tabela cd_captools.ct003_univ_cli;
3) Identificam-se os </t>
    </r>
    <r>
      <rPr>
        <i/>
        <sz val="10"/>
        <color rgb="FF000000"/>
        <rFont val="Santander Text"/>
      </rPr>
      <t>zcliente</t>
    </r>
    <r>
      <rPr>
        <sz val="10"/>
        <color rgb="FF000000"/>
        <rFont val="Santander Text"/>
      </rPr>
      <t xml:space="preserve">'s associados a esses </t>
    </r>
    <r>
      <rPr>
        <i/>
        <sz val="10"/>
        <color rgb="FF000000"/>
        <rFont val="Santander Text"/>
      </rPr>
      <t>ccli_grupo</t>
    </r>
    <r>
      <rPr>
        <sz val="10"/>
        <color rgb="FF000000"/>
        <rFont val="Santander Text"/>
      </rPr>
      <t xml:space="preserve">'s através da tabela cd_captools.ct003_univ_cli;
4) Retiram-se os </t>
    </r>
    <r>
      <rPr>
        <i/>
        <sz val="10"/>
        <color rgb="FF000000"/>
        <rFont val="Santander Text"/>
      </rPr>
      <t>zcliente</t>
    </r>
    <r>
      <rPr>
        <sz val="10"/>
        <color rgb="FF000000"/>
        <rFont val="Santander Text"/>
      </rPr>
      <t xml:space="preserve">'s com </t>
    </r>
    <r>
      <rPr>
        <i/>
        <sz val="10"/>
        <color rgb="FF000000"/>
        <rFont val="Santander Text"/>
      </rPr>
      <t xml:space="preserve">clei </t>
    </r>
    <r>
      <rPr>
        <sz val="10"/>
        <color rgb="FF000000"/>
        <rFont val="Santander Text"/>
      </rPr>
      <t xml:space="preserve">= '#';
5) Para o caso de uma entidade apresentar mais do que um clei, utilizar a mesma regra que atualmente se aplica no campo </t>
    </r>
    <r>
      <rPr>
        <i/>
        <sz val="10"/>
        <color rgb="FF000000"/>
        <rFont val="Santander Text"/>
      </rPr>
      <t xml:space="preserve">lei </t>
    </r>
    <r>
      <rPr>
        <sz val="10"/>
        <color rgb="FF000000"/>
        <rFont val="Santander Text"/>
      </rPr>
      <t xml:space="preserve">da tabela lt003_entity (com o objetivo de se selecionar apenas um único clei).
</t>
    </r>
  </si>
  <si>
    <t>Campo Fixo - "549300URJH9VSI58CS32"</t>
  </si>
  <si>
    <t xml:space="preserve">Unique identification number for the liability </t>
  </si>
  <si>
    <t>[ISIN/Specific ID]</t>
  </si>
  <si>
    <t>ID provided by the resolution entity for a  liability (e.g. ISIN, contract number, account number).</t>
  </si>
  <si>
    <t>id_liability</t>
  </si>
  <si>
    <t>concat(cempresa, cbalcao, cnumecta, zdeposit) da cd_captools.fr004_cto</t>
  </si>
  <si>
    <t>B02.00</t>
  </si>
  <si>
    <t>Unique internal identification number
ou
 Unique identification number (known to the counterparty)</t>
  </si>
  <si>
    <t>The unique internal identifier of the  instrument/liability. For deposits reported on an aggregate level, please indicate:
‘NCNP’ for the aggregated not covered not preferential deposits (field c0280 = TRUE); and
▪ ‘NCBP’ for the aggregated not covered but preferential deposits (field c0290 = TRUE).
ou
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</si>
  <si>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 xml:space="preserve"> lt002_instrument.instrmnt_id </t>
  </si>
  <si>
    <t xml:space="preserve">Novo campo  lt002_instrument.instrmnt_id_knwn_cntrprty em que
-Se títulos: isin
-Se não títulos: instrmnt_id </t>
  </si>
  <si>
    <t xml:space="preserve">Reunião 02/10/2024 Luís Capitão-Mor, Pedro Mendes:
 lt002_instrument.instrmnt_id </t>
  </si>
  <si>
    <t>Instrument ID</t>
  </si>
  <si>
    <t>LT002_INSTRUMENT.INSTRMNT_ID:
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</si>
  <si>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 xml:space="preserve">AL029_CNT_CORE / AL030_SLD_CORE_M
CT610_titulos </t>
  </si>
  <si>
    <t>Chave cempresa_cbalcao_cnumecta_zdeposit para ALM
isin para emissões (títulos)</t>
  </si>
  <si>
    <t>Para todos os produtos menos emissões (títulos)
Para emissões (títulos)</t>
  </si>
  <si>
    <t>Nature of the instrument</t>
  </si>
  <si>
    <t>[e.g. bond, shares, reserves, contingent liability]</t>
  </si>
  <si>
    <t>Information on the nature of the liability</t>
  </si>
  <si>
    <t>nature_instrument</t>
  </si>
  <si>
    <t>1) Para os registos que estão na cd_captools.ct610_titulos obter o campo tipo_titulo;
2) Para os registos que não estão na cd_captools.ct610_titulos aplicar a seguinte lógica:
Partindo do cproduto da cd_captools.fr004_cto, obter o respetivo descritivo na cd_estruturais.tat91_tabelas (TAYD91C0_CTABELA = '023') no campo tayd91c0_gelemtab (ligando por tayd91c0_celemtab)
3) Por último, fazer o seguinte mapeamento:
CARTOES MISTOS -&gt; Other
CONFIRMING -&gt; Other
CONTA CHEQUE FORNECEDORES -&gt; Other
CONTABILIZACAO CARTEIRA PROPRIA-TITULOS -&gt; Other
CONTAS CORRENTES - M.N. -&gt; Other
CONTAS CORRENTES - M/E -&gt; Other
CONTAS INTERNAS - M.N. -&gt; Other
CONTAS INTERNAS - MOEDA ESTRANGEIRA (NOSTROS) -&gt; Other
D.O. ESPECIAL -&gt; Cash account/saving account 
DEP.ORDEM ME (OFFSHORE MADEIRA) -&gt; Cash account/saving account 
DEP.ORDEM MN(OFFSHORE MADEIRA) -&gt; Cash account/saving account 
DEPOSITO A ORDEM - M.N. (OFFSHORE CAYMAN) -&gt; Cash account/saving account 
DEPOSITO A ORDEM - M.N.  -&gt; Cash account/saving account 
DEPOSITO A ORDEM - MOEDA ESTRANGEIRA OFFSHORE -&gt; Cash account/saving account 
DEPOSITO A ORDEM - MOEDA ESTRANGEIRA -&gt; Cash account/saving account 
DEPOSITO A PRAZO EM MOEDA NACIONAL -&gt; Term deposit 
DEPOSITOS A PRAZO - M.E. -&gt; Term deposit 
DEPOSITOS A PRAZO - M.N. (OFFSHORE) -&gt; Term deposit 
DEPOSITOS A PRAZO - POUPANCA REFORMA -&gt; Term deposit 
DEPOSITOS A PRAZO - PRODUTOS ESTRUTURADOS -&gt; Term deposit 
DEPOSITOS A PRAZO EM MOEDA ESTRANGEIRA -&gt; Term deposit 
DEPOSITOS A PRAZO EM MOEDA NACIONAL -&gt; Term deposit 
DEPOSITOS DE POUPANCA -&gt; Term deposit 
DEVEDORES / CREDORES DIVERSOS -&gt; Other
EMPRESTIMOS  -&gt; Other
ESTRANGEIRO-AVALES E GARANTIAS -&gt; Other
FACTORING -&gt;  Other
Obrigacao Hipotecaria -&gt; Registered Bond 
Obrigacao Senior -&gt; Registered Bond 
Obrigacao Subordinada -&gt; Registered Bond 
PRODUTO GESTAO BALCAO -&gt; Other
PRODUTOS ESTRANGEIRO - CREDITOS DOCUMENTARIOS IMPORTACAO -&gt; Other
RESERVADO PARA NOVA APLICACAO DE TESOURARIA -&gt; Borrower Note Loan 
SANTANDER - PRODUTOS TESOURARIA -&gt; Other
SUPER SATISFACAO RECARREGAVEL -&gt; Other
Titularizacao Sintetica -&gt; Registered Bond 
Titularizacao -&gt; Registered Bond 
Acao Ordinaria -&gt; Title of ownership
Acao Preferencial -&gt; Title of ownership
Emprestimo Subordinado -&gt;	Registered Bond 
Instrumento Fundos Proprios Adicionais Nivel 1 (AT1) -&gt; Registered Bond 
Prestacao Suplementar	-&gt; Title of ownership
Suprimento	-&gt; Title of ownership
NULL -&gt;MISS</t>
  </si>
  <si>
    <t xml:space="preserve">Reunião Pedro Mendes 2025-02-17
1) Estes cprodutos não têm tradução na TAT023, contudo, sabe-se que o cproduto 0V0 é Factoring portanto, nesse caso, o descritivo será "Factoring". Ou seja sobram apenas 33315+5 registos sem cproduto e que não vão ter nature instrument (0,77% do Universo). 
cproduto       count(*)
	                33315	
0V0	        34797	
96	                5	
</t>
  </si>
  <si>
    <t>Nature of the liability</t>
  </si>
  <si>
    <t>The corresponding category of the instrument/liability. Value to be chosen from the following drop-down list:
• Registered Bond
• Bearer Bond
• Borrower Note Loan
• Certificate of Deposit / Commercial paper
• Title of ownership44
• Cash account/saving account 45
• Term deposit 46
• Loan
• Bill of exchange
• Other
For deposits reported on an aggregated level (Submission A), please indicate ‘Other’.</t>
  </si>
  <si>
    <t>lt002_instrument .typ_instrmnt</t>
  </si>
  <si>
    <t>Anteriormente a Contabilidade iria preencher o instrumento_financeiro e depois terìamos de ter um mapeamento desses valores na lt809_typ_instrmnt. 
Contudo, no novo Bail-in existe uma drop-down a respeitar, pelo que este campo terá de ser reanalisado.</t>
  </si>
  <si>
    <r>
      <rPr>
        <sz val="10"/>
        <color rgb="FF000000"/>
        <rFont val="Santander Text"/>
      </rPr>
      <t xml:space="preserve">Campo comum ao Valuation
Reunião 21/11/2024 Luís Capitão-Mor, Pedro Mendes, Nuno Pinheiro, Rafael Pessoa:
A solução passará  por adicionar novas linhas  à lt809_typ_instrmnt, concretamente, no campo "instrmnt_fncr" em que se colocarão os instrumentos financeiros de tipo_conta='P' e 'C'.
Garantir que a nova parametrização não vai modificar nenhum valor atual dos Contratos do Loan Tape Estrutural.
Nota: Existem mais códigos que a Corporação/BCE definiu para além dos que estão na lt809_typ_instrmnt
PR: 
1) distinct instrumento_finaceiro da fr802 quando tipo_conta=P, C (No caso do tipo_conta=C enviou-se email a 02/12/2024 12:19 a Rafael Pessoa/Nuno Pinheiro a solicitar o preenchimento do campo instrumento_financeiro)
2) mapear instrumento_financeiro com o código typ_instrmnt da lt809
3) fazer novo mapeamento da LT809 (ou a nova multivariável ) e o mapeamento LT829 (para Inglês)
Reunião 25/10/2024 Luís Capitão-Mor, Luísa Quendera, Flávia Pinho:
Identificar a tabela mais completa da 925, 926, 927; a granularidade que permite responder a todos CRC, Contabilidade, Loan Tape. 
Cria-se uma TAT nova Este produto/subproduto (nelem1 CRC, nelem2 Contabilidade, ...)
Solução1 (não será esta a seguir devido a interferência com CRC):
- Perceber a agrupação/classificação que é feita na CRC atualmente (falar com Sandra Lopes). A CRC não tem o Ativo todo (por ex: papel comercial, outros devedores, ...);
- Proposta de códigos para o que falta do Ativo (Sandra Lopes); 
- Perceber a granularidade que o SRB quer no Bail-in (Flávia/Pedro) e fazerem uma proposta de códigos;
- Ver se existe um nelem que não esteja a ser utilizado 
Solução 4 (será esta a seguir):
Ações pedidas por Luís Capitão-Mor:
1- Papel Comercial: Ver como está a sair no LT no campo typ_instrmnt (Ver com o gonçalo marques e no limite gerar: derivados, títulos, ...) :
-&gt; Verificou-se que existe o campo instrumento_financeiro na tabela na lt809_typ_instrmnt. No caso do campo instrumento_financeiro da LT001 ='instrumentos de divida' (que é o caso dos contratos de Papel Comercial), o campo typ_instrmnt será 1005 (Debt securities)
2- Tipologias que o FINREP faz de Ativo e Passivo 
-&gt; O produto que é apresentado no FINREP corresponde ao campo produto da fr802_pl_contas. Exemplo: : 
 "Deposits" na sheet F 08.01.a do FINREP -&gt; instrumento_financeiro="depositos" 
 "Current accounts / overnight deposits" na sheet F 08.01.a do FINREP -&gt; produto='depositos a ordem, overnights'
Nuno Pinheiro, 24/10/2024 via teams:
"a 926 tem a lista dos nossos produtos/subprodutos e no campo  NELEM6 colocamos um codigo auxiliar ao mapemaneto para os produtos FINREP 
Através desse mapeamento, as subcontas contabilisticas de cada produto FINREP são populadas através da GLT12" 
Este tema foi discutido na reunião de dia 02/10/2024 e na de 24/10/2024
Reunião 02/10/2024 Luís Capitão-Mor, Pedro Mendes:
O campo a utilizar será lt002_instrument.typ_instrmnt. Este campo atualmente é construído partindo da concatenação dos campos </t>
    </r>
    <r>
      <rPr>
        <i/>
        <sz val="10"/>
        <color rgb="FF000000"/>
        <rFont val="Santander Text"/>
      </rPr>
      <t xml:space="preserve">cproduto, subproduto </t>
    </r>
    <r>
      <rPr>
        <sz val="10"/>
        <color rgb="FF000000"/>
        <rFont val="Santander Text"/>
      </rPr>
      <t xml:space="preserve">da tabela lt001_univ_oper, cruzando com o campo </t>
    </r>
    <r>
      <rPr>
        <i/>
        <sz val="10"/>
        <color rgb="FF000000"/>
        <rFont val="Santander Text"/>
      </rPr>
      <t xml:space="preserve">tayd91c0_celemtab, </t>
    </r>
    <r>
      <rPr>
        <sz val="10"/>
        <color rgb="FF000000"/>
        <rFont val="Santander Text"/>
      </rPr>
      <t>obtendo depois o substr(</t>
    </r>
    <r>
      <rPr>
        <i/>
        <sz val="10"/>
        <color rgb="FF000000"/>
        <rFont val="Santander Text"/>
      </rPr>
      <t>tat91.tayd91c0_nelemc19,2,4</t>
    </r>
    <r>
      <rPr>
        <sz val="10"/>
        <color rgb="FF000000"/>
        <rFont val="Santander Text"/>
      </rPr>
      <t>)</t>
    </r>
    <r>
      <rPr>
        <i/>
        <sz val="10"/>
        <color rgb="FF000000"/>
        <rFont val="Santander Text"/>
      </rPr>
      <t xml:space="preserve"> </t>
    </r>
    <r>
      <rPr>
        <sz val="10"/>
        <color rgb="FF000000"/>
        <rFont val="Santander Text"/>
      </rPr>
      <t xml:space="preserve">, ligando posteriormente com o campo </t>
    </r>
    <r>
      <rPr>
        <i/>
        <sz val="10"/>
        <color rgb="FF000000"/>
        <rFont val="Santander Text"/>
      </rPr>
      <t>c_typ_instmnt</t>
    </r>
    <r>
      <rPr>
        <sz val="10"/>
        <color rgb="FF000000"/>
        <rFont val="Santander Text"/>
      </rPr>
      <t xml:space="preserve"> da tabela cd_loan_tapes_bce.lt809_typ_instrmnt, obtendo assim o campo </t>
    </r>
    <r>
      <rPr>
        <i/>
        <sz val="10"/>
        <color rgb="FF000000"/>
        <rFont val="Santander Text"/>
      </rPr>
      <t xml:space="preserve">typ_instrmnt 
</t>
    </r>
    <r>
      <rPr>
        <sz val="10"/>
        <color rgb="FF000000"/>
        <rFont val="Santander Text"/>
      </rPr>
      <t xml:space="preserve">
Temas identificados:
1) O campo </t>
    </r>
    <r>
      <rPr>
        <i/>
        <sz val="10"/>
        <color rgb="FF000000"/>
        <rFont val="Santander Text"/>
      </rPr>
      <t xml:space="preserve">tayd91c0_nelemc19 </t>
    </r>
    <r>
      <rPr>
        <sz val="10"/>
        <color rgb="FF000000"/>
        <rFont val="Santander Text"/>
      </rPr>
      <t>(agregador de produtos) terá de ser preenchido para passivo.
2) Teriam de ser adicionadas novas parametrizações à tabela cd_loan_tapes_bce.lt809_typ_instrmnt, contudo, o campo</t>
    </r>
    <r>
      <rPr>
        <i/>
        <sz val="10"/>
        <color rgb="FF000000"/>
        <rFont val="Santander Text"/>
      </rPr>
      <t xml:space="preserve"> typ_instrmnt </t>
    </r>
    <r>
      <rPr>
        <sz val="10"/>
        <color rgb="FF000000"/>
        <rFont val="Santander Text"/>
      </rPr>
      <t xml:space="preserve">contém apenas códigos numéricos, mas o bail-in pede descritivos [e.g. bond, shares, reserves, contingent liability]
Query draft:
select 
distinct concat(lt001.cempresa, lt001.cbalcao, lt001.cnumecta, lt001.zdeposit), lt809.typ_instrmnt 
from
(select * from cd_loan_tapes_bce.lt001_univ_oper where ref_date='2024-06-30' and concat(cempresa,cbalcao,cnumecta,zdeposit)='31000601388398096000000000000000') lt001
left join
(select * from cd_estruturais.tat91_tabelas where data_date_part='2024-06-28' and TAYD91C0_CTABELA = '927') tat91
on concat(lt001.cproduto, lt001.subproduto) = tat91.TAYD91C0_CELEMTAB
left join
(select * from cd_loan_tapes_bce.lt809_typ_instrmnt where ref_date='2024-06-30') lt809
on SUBSTR(tat91.TAYD91C0_NELEMC19,2,4) = lt809.c_typ_instmnt
;
select distinct instrmnt_id,typ_instrmnt from cd_loan_tapes_bce.lt002_instrument where ref_date='2024-06-30' and instrmnt_id='31000601388398096000000000000000'
; 
</t>
    </r>
  </si>
  <si>
    <t>cproduto / csubproduto / origem
Origem</t>
  </si>
  <si>
    <t xml:space="preserve">Code list dependendo do produto </t>
  </si>
  <si>
    <t>Jurisdiction governing the contract of the claim</t>
  </si>
  <si>
    <t>[e.g. FR, IT]</t>
  </si>
  <si>
    <t>ISO 3166-1 alpha 2-country c ode. The name of the 
country whose law governs the instrument. If the contract is governed by the law of more than one country, the jurisdiction, which has the highest relevance for the recognition of write down and conversion powers shall be reported. If required, IRT might also request the ISO 3166-2 to ensure more granular information (e.g. state level).</t>
  </si>
  <si>
    <t>governing_law</t>
  </si>
  <si>
    <t xml:space="preserve">1) Para os registos que estão na cd_captools.ct610_titulos obter o campo lei_aplicavel;
2) Para os registos que não estão na cd_captools.ct610_titulos colocar valor fixo 'PT'.
</t>
  </si>
  <si>
    <t>Reunião Pedro Mendes 2025-01-21
Query:
select distinct bail_in.contract_id,ct610.lei_aplicavel, coalesce(tat91.tayd91c0_nelemc09, 'PT')
from
(select * from bu_captools_work.universo_temp ) bail_in
left join
(select CONCAT(cempresa,cbalcao,cnumecta,zdeposit) as contract_id,* from cd_captools.ct610_titulos where ref_date='2024-11-30') ct610
on bail_in.contract_id = ct610.contract_id
left join
(select * from cd_estruturais.tat91_tabelas where data_date_part='2024-09-30' and TAYD91C0_CTABELA ='015') tat91
on ct610.lei_aplicavel = tat91.tayd91c0_celemtab;
---------------------------------------------------------------------------------------------------------------------------
query para traduzir o campo lei_aplicavel (ex: 620) para ISO 3166-1 alpha 2-country code (ex: PT):
select distinct ct610.lei_aplicavel,  tat91.tayd91c0_nelemc09
from
(select * from cd_captools.ct610_titulos where ref_date='2024-11-30') ct610
left join
(select * from cd_estruturais.tat91_tabelas where data_date_part='2024-09-30' and TAYD91C0_CTABELA ='015') tat91
on ct610.lei_aplicavel = tat91.tayd91c0_celemtab</t>
  </si>
  <si>
    <t>Governing law</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</si>
  <si>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</si>
  <si>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Novo campo lt002_instrument 
(nome por definir)</t>
  </si>
  <si>
    <t>Na nova definição é indicado: "For deposits reported on an aggregate level, please indicate ‘XX’."</t>
  </si>
  <si>
    <t xml:space="preserve">Reunião 27/11/2024 com Luís Capitão-Mor, Pedro Mendes e Reunião 15/11/2024 com Luís Capitão-Mor, Pedro Mendes, Pedro Henriques, Luís Henriques, Rogério Sacadura, Sandra Santos:
Títulos:  campo "lei_aplicavel" da cd_captools.ct610_titulos
Papel Comercial (SIGOM): Novo campo na al007_prog_ppc. Este novo campo (de preenchimento obrigatório) será acrescentado no(s) ecrã(s) respetivo do SIGOM e depois será enviado nos ficheiros sigom_ppc e sigom_irl_ppc que o ALM consome (Reunião 21/11/2024 com Luís Gatinho, Luís Capitão-Mor, Luís Henriques, Rogério Sacadura, Luís Baptista).  
Derivados e REPOs (SIGOM): Novo campo na al012_cq_alm. Este novo campo (de preenchimento obrigatório) será acrescentado no(s) ecrã(s) respetivo do SIGOM e depois será enviado no ficheiro cq_isda que o ALM consome (Reunião 21/11/2024 com Luís Gatinho, Luís Capitão-Mor, Luís Henriques, Rogério Sacadura, Luís Baptista) 
Email 26/11/2024 10:11 de Luís Capitão-Mor com a indicação das tabelas de ALM onde deverá constar este campo (al007_prog_ppc e al012_cq_alm)
- Luís Capitão-Mor solicitou a Luís Henriques que envie um email com (para o Papel Comercial e Derivados/REPOs):
1) Requisitos
2) Estimativa
3) Calendário de entrega
Depósitos:
Segundo Pedro Mendes, deverá ser reportado 'PT' para todos os depósitos (DPs, CRPs, DOs, Estruturados, Poupança). Email recebido de Pedro Mendes a 02/12/2024 14:32.
Money Market e Loan and Depo: Pedro Mendes referiu " Deverá ficar a lei do país da contraparte. Ou seja, se for com um Banco cujo país é França deve ficar “FR”, Alemanha “DE”, etc," 
Questões LCM:
1) Questão genérica: Qual a melhor forma de filtrar os sub universos ( derivados, titulos, depósitos, money market, papel comercial, etc ) -&gt; pela fr802 ?
 Para Money Market e Loan and Depos: , Pedro Mendes referiu " Deverá ficar a lei do país da contraparte. Ou seja, se for com um Banco cujo país é França deve ficar “FR”, Alemanha “DE”, etc," . 
2) Para Money Market, pode-se utilizar o campo "gpais_contraparte" da tabela al004_det_mm ?  
3) Para Loan and Depos, pode-se utilizar o campo "zcliente" da tabela al010_loandepos, e em seguida ir à tabela ct003_univ_cli, e trazer o campo "cpais_residencia" ?
4) lei_aplicavel da ct610 está atualmente no formato ISO 3166-1 de 3 dígitos (ex: 620), contudo, no pedido que se fez ao SIGOM não se definiu o formato, mas deveria ser  o mesmo em todo o lado: 
os 3 dígitos (ex: 620) ou 2 dígitos (ex: PT).
Caso fossem os 3 dígitos, na tabela de parametrização multivariada transformaríamos para os 2 digitos solicitados pelo SRB.
5) ISO 3166-2 não se aplica no nosso caso, certo? -&gt; nivel informação distritos ( PT-11 -&gt; Lisboa, PT-13 -&gt; Porto, etc ... ) 
</t>
  </si>
  <si>
    <t xml:space="preserve">CT610_titulos </t>
  </si>
  <si>
    <t>lei_aplicavel</t>
  </si>
  <si>
    <t>Para todos os produtos menos emissões (títulos) - "PT"
Para emissões (títulos)</t>
  </si>
  <si>
    <t>Contract currency</t>
  </si>
  <si>
    <t>[e.g. EUR, USD]</t>
  </si>
  <si>
    <t>ISO 4217 currency code. The currency in which the instrument is issued.</t>
  </si>
  <si>
    <t>contract_currency</t>
  </si>
  <si>
    <t>1) Para os registos que estão na cd_captools.ct610_titulos obter o campo cmoeda;
2) Para os registos que não estão na cd_captools.ct610_titulos obter o campo cmoeda1 da cd_captools.fr004_cto.
Adicionalmente, converter os campos cmoeda/cmoeda1 nos respetivos descritivos, que constam na cd_estruturais.tat91_tabelas (TAYD91C0_CTABELA = '206') no campo tayd91c0_gelemtab (ligando por tayd91c0_celemtab).
Nota: Se o campo cmoeda1  = 'NULL' ou ' ' , forçar 'EUR'.</t>
  </si>
  <si>
    <t>Reunião Pedro Mendes 2025-01-21
Query para traduzir  o caso do campo cmoeda1 (ex: 978) para  o ISO4217 (ex: EUR):
select distinct fr004_cto.cmoeda1, coalesce(tat91.TAYD91C0_NELEMC01, 'EUR')
from
(select * from cd_captools.fr004_cto where ref_date='2024-09-30') fr004_cto
left join
(select * from cd_estruturais.tat91_tabelas where data_date_part='2024-09-30' and TAYD91C0_CTABELA = '206') tat91
on fr004_cto.cmoeda1 = tat91.tayd91c0_celemtab</t>
  </si>
  <si>
    <t>The currency in which the instrument/liability is issued. The currency must be reported with its 3-letter ISO 4217 code. For deposits reported on an aggregate level, please indicate ‘XXX’._x000D_</t>
  </si>
  <si>
    <t>LT002_INSTRUMENT.CRRNCY_DNMNTN</t>
  </si>
  <si>
    <t>Reunião 02/10/2024 Luís Capitão-Mor, Pedro Mendes:
LT002_INSTRUMENT.CRRNCY_DNMNTN</t>
  </si>
  <si>
    <t>Currency denomination</t>
  </si>
  <si>
    <t>Currency denomination of instruments, in accordance with the ISO 4217 standard.</t>
  </si>
  <si>
    <t>cmoeda_pass
cmoeda</t>
  </si>
  <si>
    <t>Issuance Date</t>
  </si>
  <si>
    <t>[date]</t>
  </si>
  <si>
    <t>Date of the original issuance of the instrument</t>
  </si>
  <si>
    <t>issuance_date</t>
  </si>
  <si>
    <t xml:space="preserve">1) Para os registos que estão na cd_captools.ct610_titulos obter o campo campo dt_emissao. Adicionalmente, deverá converter-se o formato do campo dt_emissao para aaaa-mm-dd (atualmente encontra-se no formato dd-mm-aaaa).
2) Para os registos que não estão na cd_captools.ct610_titulos  obter o campo campo data_abertura da cd_captools.fr004_cto.
</t>
  </si>
  <si>
    <t>Reunião Pedro Mendes 2025-01-21
Query: 
SELECT ct610.contract_id,concat(substr(ct610.dt_emissao,7,4),substr(ct610.dt_emissao,3,4),substr(ct610.dt_emissao,1,2)) AS dt_emissao, coalesce(concat(substr(ct610.dt_emissao,7,4),substr(ct610.dt_emissao,3,4),substr(ct610.dt_emissao,1,2)),fr004.data_abertura) AS data_emissao_final
FROM
  (SELECT CONCAT(cempresa,cbalcao,cnumecta,zdeposit) AS contract_id,*
   FROM cd_captools.fr004_cto
   WHERE ref_date = '2024-09-30') fr004
INNER JOIN
  (SELECT CONCAT(cempresa,cbalcao,cnumecta,zdeposit) AS contract_id,*
   FROM cd_captools.ct610_titulos
   WHERE ref_date = '2024-09-30') ct610 ON fr004.contract_id = ct610.contract_id;
Notas:
verificámos que:
--ref_date='2024-09-30'
--#384 contratos na ct610
--#205 contratos estao na fr004
--#179 contratos não estao na fr004
Não deveriam estar todos os titulos na fr004?
Aplicando os filtros definidos pela Contablidade temos apenas 64 títulos:
select count( distinct ct610.contract_id)
from
(select * from bu_captools_work.bail_in_univ_cto) univ
inner join
(select CONCAT(cempresa,cbalcao,cnumecta,zdeposit) as contract_id, * from cd_captools.ct610_titulos where ref_date = '2024-09-30')  ct610
on univ.contract_id = ct610.contract_id
;</t>
  </si>
  <si>
    <t>Date of issuance</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</si>
  <si>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</si>
  <si>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</si>
  <si>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Na nova definição é indicado: "This field is not applicable for liabilities of the type ‘Cash account/saving account’ (c0140) and deposits reported in aggregated form
(Submission A)"</t>
  </si>
  <si>
    <t>Reunião 02/10/2024 Luís Capitão-Mor, Pedro Mendes:
LT002_INSTRUMENT.DT_INCPTN</t>
  </si>
  <si>
    <t>Date of inception</t>
  </si>
  <si>
    <t>The date on which the contractual relationship originated, i.e. the date on which the contract agreement becomes binding for all parties</t>
  </si>
  <si>
    <t>dinicio
dt_emissão</t>
  </si>
  <si>
    <t>Legal Maturity Date</t>
  </si>
  <si>
    <t>Date of the legal, final maturity of the instrument. For perpetual instruments, this should be ‘2099-01-31’.</t>
  </si>
  <si>
    <t>legal_maturity_date</t>
  </si>
  <si>
    <t xml:space="preserve">1) Para os registos que estão na cd_captools.ct610_titulos obter o campo campo dt_vencim. Adicionalmente, deverá converter-se o formato do campo dt_vencim para aaaa-mm-dd (atualmente encontra-se no formato dd-mm-aaaa).
2) Para os registos que não estão na cd_captools.ct610_titulos  obter o campo campo data_vencimento da cd_captools.fr004_cto.
</t>
  </si>
  <si>
    <t>Reunião Pedro Mendes 2025-02-10
Query: 
Aplicar mesma lógica do campo acima.</t>
  </si>
  <si>
    <t>Legal maturity</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</si>
  <si>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</si>
  <si>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LT002_INSTRUMENT.DT_LGL_FNL_MTRTY</t>
  </si>
  <si>
    <t>Na nova definição é indicado: "This field is not applicable for liabilities of the type ‘Cash account/saving account’ (c0140) and for deposits reported in aggregated form (Submission A)."</t>
  </si>
  <si>
    <t>Reunião 02/10/2024 Luís Capitão-Mor, Pedro Mendes:
LT002_INSTRUMENT.DT_LGL_FNL_MTRTY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</si>
  <si>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</si>
  <si>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</si>
  <si>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dfim
dt_vencim</t>
  </si>
  <si>
    <t>Earliest redemption date</t>
  </si>
  <si>
    <t>If an option exists for the holders of the instrument to request early reimbursement, or conditions for early reimbursement are contractually foreseen, the earliest occurrence date should be completed. If the early reimbursement relates to only a portion of the liability (e.g. early reimbursement of 50% of the nominal amount), the liability should be split to take into account this partial early redemption clause.</t>
  </si>
  <si>
    <t>earliest_redemption_date</t>
  </si>
  <si>
    <t xml:space="preserve">1) Para os registos que estão na cd_captools.ct610_titulos obter o campo dt_prim_amrt_ant_inv.
2) Para os registos que não estão na cd_captools.ct610_titulos colocar valor fixo 'N/A'  (Varchar Default value for not applicable fields).
Nota: Caso campo dt_prim_amrt_ant_inv da cd_captools.ct610_titulos = NULL colocar 'N/A'
</t>
  </si>
  <si>
    <t xml:space="preserve">
</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</si>
  <si>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</si>
  <si>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Na nova definição é indicado: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</si>
  <si>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 xml:space="preserve">Reunião 29/11/2024, 27/11/2024 e 02/10/2024 Luís Capitão-Mor, Pedro Mendes:
Terão de ser adicionados 2 campos na ct004_univ_cto/ fr004_cto, no entanto, o Loan Tape apenas consumirá o campo 2 (nesta fase estará preenchido apenas para o Ativo): 
 Campo 1: 1ª data de quando será possível a mobilização antecipada (data de abertura + 1 )
 Campo 2: Próxima data de quando será possível a mobilização antecipada (data de referência +1)
- Para títulos: 
1) Luis Capitão-Mor, solicitou que se verifique se a codificação dos campos de frequência da tabela al029_cnt_core_m são todos traduzidos pelas TAT's ( 248,785)
 Campo 1: campo dt_prim_amrt_ant_inv da ct610_titulos (primeira data possível de amortização antecipada por opção do investidores) 
 Campo 2:  campo dt_prim_amrt_ant_inv e de forma iterativa, somar campo frq_amrt_ant_inv  até ultrapassar data de referência e menor que a data de vencimento.
Ex: 
data de referência dos dados: 2024-11-30
dt_prim_amrt_ant_inv= 2024-11-15
frq_amrt_ant_inv=  201 (MENSAL) ( este campo pode assumir mais valores, Men, Diario,Trimens
campo 1= 2024-11-15
campo 2= 2024-12-05 -&gt; 2024-11-15 + ( Códigos:212,202,206,101,201,203,301)
Contudo, estes dois campos estão sempre a N/A ou NULL (Pedro Mendes terá de falar com Miguel para que estes campos passem a vir preenchidos);
- Para Depósitos:
 a) Para DPs ( alguns DPs estruturados só permitem mobilização antecipada em certos momentos) e CRPs (no fundo são DPs com pagamentos intercalares que permite reforços): Ver com a Andreia Pontífice. Ver se os interfaces DCT001, DCT02, ...(PR vai analisar tabelas do datalake). Se não encontrarmos, falar com a Andreia Pontífice (Sandra Lopes podes ajudar na conversa). Luís Capitão-Mor sabe que ela   consegue acrescentar o campo sem grande dificuldade (claro que depois tem de se alterar a ingesta). Se não existir, seriam 2 campos novos no interface:
 Campo 1: 1ª data de quando será possível a mobilização antecipada (data de abertura + 1 )
 Campo 2: Próxima data de quando será possível a mobilização antecipada (data de referência +1)
Para os DPs que não permitam mobilização antecipada ficariam a N/A? (Mas para isso precisávamos de um Campo 3 que seria uma flag que indicaria se o depósito permite ou não mobilização antecipada)
  b) Para DOs (não terá de se adicionar nenhum campo novo pois estes 2 campos ficarão hard coded na ct004)
 Campo 1: data de abertura + 1 
 Campo 2: data de referência+1
-Falar com o João Godinho, no modelo comum de dados, quais foram as tabelas input ( indentificar as chaves,características) que foram definidas. Para DO's, DP's,CRP's
Pedro Mendes: 
- Deverá verificar se há mais produtos em que se aplique este campo
Questões LCM:
 Campo 1 na ct004/fr004: data de abertura + 1 
 Campo 2 na ct004/fr004: data de referência+1 (será este que o LT consome)
</t>
  </si>
  <si>
    <t>AL029_CNT_CORE / AL030_SLD_CORE_M</t>
  </si>
  <si>
    <t>Para todos produtos é o dia seguinte à data de referência com exceção de títulos emitidos e derivados que é igual</t>
  </si>
  <si>
    <t>Date of the next interest payment</t>
  </si>
  <si>
    <t>The payment date from which the income distribution is made available for payment by the bank.</t>
  </si>
  <si>
    <t>payment_interest_date</t>
  </si>
  <si>
    <t>Tabela cd_alm.al029_cnt_core_m:
- se tipo balanço = P, buscar campo  dt_prox_liq_juros_pas   
Nota: Usar Tradutores FINREP, ALM.</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</si>
  <si>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</si>
  <si>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Na nova definição é indicado: "If not applicable (e.g. shares), the bank should report ‘0001-01-01’. This field is not applicable for deposits reported in aggregated form (Submission A)."</t>
  </si>
  <si>
    <t>Reunião 15/10/2024: Luís Capitão-Mor, Pedro Mendes:
Tabela cd_alm.al029_cnt_core_m:
- se tipo balanço = P, buscar campo  dt_prox_liq_juros_pas   
- se tipo balanço = A, buscar campo dt_prox_liq_juros_act</t>
  </si>
  <si>
    <t>dt_prox_liq_jur_pass
dt_proc_liq_jur</t>
  </si>
  <si>
    <t>Outstanding amount</t>
  </si>
  <si>
    <t>[Euro amount]</t>
  </si>
  <si>
    <t>The amount is the aggregate of the outstanding principal amount as at the request date plus, if applicable, interest accrued up to the request date and fees and charges, irrespective of whether and to what extent the relevant principal, interest or fees and charges liability was already due as at the request date and whether it is required to be recognised as an item of liabilities in the balance sheet of the subsidiary of the resolution entity prepared in accordance with the applicable accounting principles.</t>
  </si>
  <si>
    <t>outstanding_amount</t>
  </si>
  <si>
    <t>Campo 	msaldo_final da cd_captools.fr001_univ_saldo</t>
  </si>
  <si>
    <t xml:space="preserve">Mapeamento novo Reunião Pedro Mendes 2025-03-31:
Campo 	msaldo_final da cd_captools.fr001_univ_saldo (para reconciliar com o FINREP)
Mapeamento antigo Reunião Pedro Mendes 2025-02-04: Campo valor_bruto_on_p da cd_captools.fr004_cto
No Loan Tape, GRSS_CRRYNG_AMNT_INSTRMNT= NVL ( SUM(-1*VALOR_BRUTO_ON) ; 0)
</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</si>
  <si>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</si>
  <si>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Reunião 13/12/2024: Luís Capitão-Mor, Pedro Mendes: 
Novo campo LT002_INSTRUMENT.GRSS_CRRYNG_AMNT_INSTRMNT_VECTOR
Reunião 15/10/2024: Luís Capitão-Mor, Pedro Mendes: 
'LT002_INSTRUMENT.GRSS_CRRYNG_AMNT_INSTRMNT</t>
  </si>
  <si>
    <t>Sim, Montante</t>
  </si>
  <si>
    <t>Gross carrying amount</t>
  </si>
  <si>
    <t>Reported gross carrying amount for the instrument according to definition in Annex V to Implementing Regulation (EU) No 680/2014.</t>
  </si>
  <si>
    <t>mon_cap_st1_vivo</t>
  </si>
  <si>
    <t>Rank of liability (on- and -off balance sheet) within the national insolvency ranking</t>
  </si>
  <si>
    <t>[number]</t>
  </si>
  <si>
    <t>Rank of liability according to the national insolvency ranking.</t>
  </si>
  <si>
    <t>insolvency_ranking</t>
  </si>
  <si>
    <t>1) Para os registos que estão na cd_captools.ct610_titulos obter o campo rank_insolv.
Nota: Caso campo  rank_insolv = NULL, preencher 'MISS'.
2) Para os registos que não estão na cd_captools.ct610_titulos, mapear:
CARTOES MISTOS -&gt; Ranking 14  
CONFIRMING -&gt; Ranking 9   
CONTA CHEQUE FORNECEDORES -&gt; Ranking 14  
CONTABILIZACAO CARTEIRA PROPRIA-TITULOS -&gt; Ranking 9  
CONTAS CORRENTES - M.N. -&gt; Ranking 9  
CONTAS CORRENTES - M/E -&gt; Ranking 9  
CONTAS INTERNAS - M.N. -&gt; Ranking 9  
CONTAS INTERNAS - MOEDA ESTRANGEIRA (NOSTROS) -&gt; Ranking 9   
DEVEDORES / CREDORES DIVERSOS -&gt; Ranking 14  
EMPRESTIMOS -&gt; Ranking 9 
ESTRANGEIRO-AVALES E GARANTIAS -&gt; Ranking 9  
FACTORING -&gt; Ranking 9
NULL -&gt; Ranking 14   
PRODUTO GESTAO BALCAO -&gt; Ranking 14  
PRODUTOS ESTRANGEIRO - CREDITOS DOCUMENTARIOS IMPORTACAO -&gt; Ranking 9  
RESERVADO PARA NOVA APLICACAO DE TESOURARIA -&gt; Ranking 20 
SUPER SATISFACAO RECARREGAVEL -&gt; Ranking 12 
SANTANDER - PRODUTOS TESOURARIA -&gt; Ranking 9
Registos que estejam na fg001 e que não tenham ( calinea = '#' e flag_ativo = '1') -&gt; Ranking 12
Nota: Os produtos apresentados acima, resultam do campo nature_instrument (SRB_ID='4') antes da conversão para Inglês.
3) Para os registos que se encontrem na tabela cd_alm.fg001_fgd com calinea = ‘#’ e flag_ativo = ‘1’:
3.1) Mapear ranking 14 (depósitos elegiveis para FGD). 
3.2) Se sum(campo mtot_nao_coberto_por_depositante) por contrato da cd_alm.fg001_fgd &gt; 0  e se SME(campo cod_empr_pme da business_sme2003361.out_sme_2003_361 in ('1','2','3')) ou Households(campo SRB_ID_34 = 'Households (1)'), criar um vector com a seguinte estrutura (14;13), ou seja, nestes casos, teremos um contrato com dois ranking's, 14 e 13.
3.3) Para os restantes, criar um vector com a seguinte estrutura (14;12), ou seja, nestes casos, teremos um contrato com dois ranking's, 14 e 12.  
4) Para os restantes registos, preencher 'MISS'. 
5) Para os Registos com cproduto = '020' (nature_instrument = 'Cash account/saving account') com ranking = 'MISS', mapear com ranking 9.</t>
  </si>
  <si>
    <t xml:space="preserve">Reunião Pedro Mendes 2025-02-17
Nota: Existem 299 registos com cproduto = '020' ( nature_instrument = 'Cash account/saving account') com ranking = 'MISS' (para ref_date='2024-12-31'). Questionou-se a Sandra Brito, no sentido de perceber qual o motivo de não estarem na tabela fg001 (email enviado 2025-03-07). Sandra Brito respondeu, dando a justificação pela qual não constam na tabela fg001 tais registos. Segundo mail enviado por Pedro Mendes ( 2025-03-14) os registos que tenham cproduto = '020' e nature_instrument = 'Cash account/saving account', deverão ter ranking 9.
</t>
  </si>
  <si>
    <t>Insolvency ranking_x000D_</t>
  </si>
  <si>
    <t>The corresponding insolvency ranking of the instrument. Numeric value (e.g. integer of 1 or more)</t>
  </si>
  <si>
    <t>No novo Bail-in este campo poderá ir apenas até ao ranking 8 (a confirmar)</t>
  </si>
  <si>
    <t xml:space="preserve">Reunião 06/12/2024: Luís Capitão-Mor, Pedro Mendes: 
(O)
Reunião 15/10/2024: Luís Capitão-Mor, Pedro Mendes: 
- Tabela de parametrização em que os campos desta tabela representam critérios:
Esta tabela constará no bloco de resolução do Front-end na mesma localização da tabela de parametrização do campo abaixo (SRB_ID 13) 
Owner da cd_alm.fg001_fgd é a Sandra Brito
Depósitos:
-&gt; 14 Covered deposits (deposits guaranteed by the FGD, up to the coverage level): 
if ‘calinea’ = ‘#’  and flag_ativo =‘1’ and mtot_coberto_por_depositante &lt;= 100.000 (cd_alm.fg001_fgd) 
-&gt;13 Deposits that would be eligible deposits from natural persons,micro, small and medium-sized enterprises were they not made through branches located outside the EU of institutions established
within the EU
Questão: O BST tem balcões foram da União Europeia? O Totta Ireland está na Irelanda portanto pertence à União Europeia. Se não houver mais balcões fora de PT para alé do Totta Ireland, então este valor de ranking não se aplica.
-&gt; 13 Eligible deposits above EUR 100,000 held by natural persons and micro, small and medium sized enterprises.
if ‘calinea’ = ‘#’  and flag_ativo =‘1’ and mtot_coberto_por_depositante &gt; 100.000 (da tabela cd_alm.fg001_fgd) 
    if itip_cli='F' (da tabela cd_captools.ct003_univ_cli) and cod_empr_pme in ('1','2','3') (da tabela out_sme_2003_361) 
-&gt; Deposits above EUR 100,000 that are not held by natural persons and micro, small and medium sized enterprises (i.e., deposits held by larger companies and some excluded deposits, such as deposits made on behalf and for the account of credit institutions), except if such deposits result from:
• Operations pertaining to which a criminal court decision has been issued on account of money laundering;
• The depositor has not been identified pursuant to the antimoney laundering legislation in force; and
• Deposits held by persons or entities that have, in the two years before the date on which deposits became unavailable or on which a resolution measure was adopted, a direct or indirect holding which represents at least 2% of the share capital of the credit institution or have been members of the management body of the credit institution, except if proven that they did cause through their action or failure to act the financial difficulties experienced by the credit institution or helped to aggravate that situation.
if ‘calinea’ = ‘#’  and flag_ativo =‘1’ and mtot_coberto_por_depositante &gt; 100.000 (da tabela cd_alm.fg001_fgd) 
    if itip_cli='J' (da tabela cd_captools.ct003_univ_cli) and cod_empr_pme in ('0') (da tabela out_sme_2003_361) 
Segundo o documento funcional do FGD (LCM partilhou e consta na pasta do Teams da documentação):
"Os registos de depósito que beneficiam da cobertura pelo FGD podem identificar-se na tabela de output cd_alm.fg001_fgd considerando as condições ‘calinea’ = ‘#’ e flag_ativo = ‘1’, pelo que desconsiderando os registos que (i) tenham, automaticamente, a alínea (campo ‘calinea’) igual ao artigo 165º - “Depósitos excluídos da garantia” do Decreto-Lei 298/92 - Regime Geral das Instituições de Crédito e Sociedades Financeiras, ou em que (ii) o utilizador tenha excluído manualmente o respetivo titular na tabela de parametrização cd_alm.fg801_filtro_cli.
 - No PDF em anexo extraído do site de SRB, temos o Insolvency Ranking mais recente. Necessário perceber a fonte dos rankings mencionados.
 - existe o campo  rank_insolv na tabela CT610_TITULOS, contudo verifica-se que nos útlimos dois meses, existiam mais rankings NULL's do que 3 e 17 (Pedro Mendes terá de solicitar a Miguel Silva para atualizar):
ref_date	               rank_insolv   count(*)	
2024-09-30         	NULL	                263	
2024-09-30         	17	                  113	
2024-09-30         	3	                  8	
2024-08-31         	NULL 	         247	
2024-08-31         	3	                8	
2024-08-31         	17	             113	
</t>
  </si>
  <si>
    <t>Code list dependendo do produto</t>
  </si>
  <si>
    <t>Instrument/liability is issued to or bought by an existing shareholder that is not part of the same resolution group</t>
  </si>
  <si>
    <t>[yes/no]</t>
  </si>
  <si>
    <t>Flag to identify if a liability is issued to or bought by an existing shareholder that is not part of the same resolution group according to Article 12g(2)a point i SRMR.</t>
  </si>
  <si>
    <t>flag_same_resol_group</t>
  </si>
  <si>
    <t>- 'yes' para a lista de zclientes abaixo (não fazem parte do mesmo grupo de resolução do BST)
- 'no' para todos os restantes zclientes
1) Para os registos que estão na cd_captools.ct610_titulos obter o campo zcliente_investidor
2) Para os registos que não estão na cd_captools.ct610_titulos obter o campo zcliente da cd_captools.fr004_cto
Lista de zclientes (não fazem parte do mesmo grupo de resolução do BST):
0000238954
6511000505
7400416271
7400416353
7400416520
7400416611
7400416763
7400507283
7400701625
7401474691
7401536276
8037849269
8043363752
8044173594
8046250676
8046296743
8046334916
9001925092</t>
  </si>
  <si>
    <t>Instrument/liability is issued to or bought by an existing shareholder that is not part of
the same resolution group</t>
  </si>
  <si>
    <t>Flag to identify whether a liability is issued to or bought by an existing shareholder that is not part of the same resolution group according to Article 12g(2)(a)(i) SRMR. The value to be reported is a TRUE/FALSE Boolean</t>
  </si>
  <si>
    <t>Na nova definição é indicado: "The value to be reported is a TRUE/FALSE Boolean".
No antigo era: "[yes/no]"</t>
  </si>
  <si>
    <t>Reunião 18/12/2024 (Luís Capitão-Mor, Pedro Mendes, Nuno Pinheiro e Paulo Cavaleiro), 31/10/2024 e 17/10/2024 com Luís Capitão-Mor, Pedro Mendes:
A tabela cd_alm.rr802_hier_ent (disponível no Front-end no Módulo do Universo - separador Parametrizações), em princípio, será alterada (saem os campos metodo, tipo_rela e flag_controlo) para conter os seguintes campos: 
nome_perimetro, entidade_pai, entidade_filho, participacao_direta, participacao_efetiva, ckutulmo, htimest e ref_date.
1) A Contabilidade deverá preencher 2 secções:
•	1ª secção: entidade_pai, entidade_filho e participacao_direta 
•	2ª secção: nome_perimetro, entidade_filho, participacao_efetiva
 deverá proceder às seguintes alterações no ficheiro: 
No ficheiro enviado no email de 11/12/2024 00:06 de Nuno Pinheiro:
- retirar o 'I_' dos campos entidade_pai e entidade_filho (ou seja, não deverá constar 'I_00001' mas sim '00001') ;
- atualizar as designações dos perímetros;
- atualizar as designações dos campos que constam no ficheiro para os que constam na tabela cd_alm.rr802_hier_ent. Ou seja, não deverá constar perimetro, holding company, investee, 	%direct e %effective mas sim nome_perimetro, entidade_pai, entidade_filho, participacao_direta, participacao_efetiva.
2) Verificar com Carlos Isidoro se existe impacto no processo SAS ao se alterar a estrutura da tabela (neste caso retirar campos). Se não tiver impacto, nada tem que ser feito do lado do SAS. Contudo, se tiver impacto, para além de alterar o SAS para a nova estrutura da tabela deverá dar também esta nova informação ao Paulo Cavaleiro. Pressionar email  de Paulo Cavaleiro 18/12/2024 11:37 para obter resposta de Carlos Isidoro
3) Confirmar se a tabela é não é de Parametrização, ou seja é mesmo 600 ou é 800 (o comportamento é diferente). Terá de ser 800
4) Deveria alterar-se já em Janeiro por causa do freeze do bahia.
Lógica Processo:
1) Terá de ser criada uma Tabela de parametrização que não estará no Loan Tape (ou seja não será uma tabela LT%) dado que é transversal. Luís Capitão-Mor solicitou que se fale com o João Bernardes para discutir o nome e a BD da mesma. Conterá os seguintes campos: Código Entidade Cargabal Pai ( teria sempre o valor '00001', ou seja, o Banco Santander S.A. -&gt; este campo será necessário apenas para o campo SRB_ID 35), Número do Grupo de Resolução, Código Entidade Cargabal, ckutulmo, htimest e ref_date. Nesta fase, a tabela será preenchida apenas para o grupo de resolução onde consta o BST (cada grupo de resolução pode ter 1 ou mais Entidades).
Esta tabela constará no Front_end no bloco "Resolução", existindo uma 3ª linha a seguir às linhas "SRB Valuation Data Set",  "SRB Bail-in Data Set" (terá de se definir o nome desta 3ª linha). Esta tabela será mensal e terá de ser atualizada automaticamente todos os meses em d+1, em que se copiará a parametrização do mês anterior. Naturalmente que o Utilizador poderá depois alterar a parametrização (tal como se faz na ct805);
2) Parte-se do contrato da tabela LT001 que  tem um zcliente associado, depois converte-se esse zcliente no respetivo codigo Entidade Local através da Tabela clientes_intragrupo. A ligação entre estas 2 tabelas  é feita por zcliente.  O Código da Entidade Local consta no campo "consolpt" da Tabela clientes_intragrupo;
3) Aceder à tabela cd_alm.rr802_hier_ent ligando o campo "entidade_filho" (que representa o código da Entidade filho Local) ao campo "consolpt" da Tabela clientes_intragrupo;
4) Identificar todas as "entidade_pai" (que representa o código da Entidade pai Local), de forma recursiva, associadas a cada entidade_filho do passo anterior, até chegar à última "entidade_pai" ( ex: entidade_filho = '00100' tem "entidade_pai" = 01000', e entidade_filho='00100' tem "entidade_pai='00001', ou seja entidade_filho='00100' tem dois ascendentes ( '01000','00001')
(ver folha digarama_estrutura_accionista);
6) Converter todos os código da "entidade_pai" ( que se encontram com o código local), para o respetivo código corporativo, através do campo "consoles" da tabela  clientes_intragrupo);
7) Verificar se todos os códigos do campo "entidade_pai" do passo anterior, se encontram na tabela de parametrização, caso algum dos códigos não se encontre, então o valor da Flag do campo pretendido, ficará a Não. Caso contrário, Flag ficará a sim.
A lógica será: 
1) parte-se do contrato da tabela LT001 que  tem um zcliente associado, depois converte-se esse zcliente no respetivo codigo Entidade Cargabal através da Tabela clientes_intragrupo. A ligação entre estas 2 tabelas  é feita por zcliente.  O Código da Entidade Cargabal consta no campo "consoles" da Tabela clientes_intragrupo.  
2) Verificar se esse código da Entidade Cargabal É ou NÃO É accionista? 
(O acionista do BST é o Banco Santander S.A. que tem o código da Entidade Cargabal 00001)
Condição1: Se não for accionista, ou seja, se tiver um código da Entidade Cargabal &lt;&gt; 00001  então flag='no'
Condição 2: Se for accionista, ou seja, se tiver um código da Entidade Cargabal = 00001. 
Verificar se esse código da Entidade Cargabal consta na tabela de Parametrização: 
Se constar, significa que essa entidade faz parte do mesm o grupo de resolução que o BST (isto porque nesta fase a tabela de parametrização será preenchida apenas para o grupo de resolução onde consta o BST), então flag='no'
Se não constar, significa que essa entidade não faz parte do mesm o grupo de resolução que o BST (isto porque nesta fase a tabela de parametrização será preenchida apenas para o grupo de resolução onde consta o BST),  então flag='yes'
O Acionista do BST é o Banco Santander S.A.. Logo terá de se equacionar se o Acionista fica hardcoded ou se se vai beber esta informação do acionista a essa tabela.
Dúvidas:
Tem de se partir do zcliente emitente/zcliente investidor da Tabela ct610 ou parte-se do zcliente da lt001?</t>
  </si>
  <si>
    <t>4.2.2. DATA POINTS FOR LINK WITH OWN FUNDS</t>
  </si>
  <si>
    <t>Type of own funds at subsidiary level</t>
  </si>
  <si>
    <t>[acc. LDR guidance]</t>
  </si>
  <si>
    <t>According to existing LDR guidance value can be ‘CET1’, ‘Fully Compliant AT1’, ‘Grandfathered AT1’, ‘Fully Compliant T2’, ‘Grandfathered T2’, ‘T2 in phase-out’ or ‘Partially AT1 and T2’.</t>
  </si>
  <si>
    <t>type_own_funds</t>
  </si>
  <si>
    <t>1) Para os registos que estão na cd_captools.ct610_titulos obter o campo eleg_fund_prop.
2) Para os registos que não estão na cd_captools.ct610_titulos colocar valor fixo 'N/A'  (Varchar Default value for not applicable fields) .
Nota: Na ct610_titulos, caso se obtenham registos a ' ' ou a 'NULL', colocar valor fixo 'N/A' (Varchar Default value for not applicable fields).</t>
  </si>
  <si>
    <t>Type of own funds at individual level
ou
Type of own funds at consolidated level</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</si>
  <si>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ou
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</si>
  <si>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Existem 2 campos no novo Bail-in.</t>
  </si>
  <si>
    <t>sim</t>
  </si>
  <si>
    <t xml:space="preserve">Reunião 02/10/2024 e 22/10/2024 Luís Capitão-Mor, Pedro Mendes:
 - campo eleg_fund_prop da tabela cd_captools.ct610_titulos., contudo verifica-se que nos útlimos dois meses, existiam mais tipo NULL's do que AT1, CET1, GF2:
ref_date      eleg_fund_prop     count(*) 
2024-09-30    AT1                         5 
2024-09-30    CET1                      3 
2024-09-30    GF2                        8 
2024-09-30    NULL                     368 
2024-08-31    AT1                         5 
2024-08-31     CET1                     3 
2024-08-31     GF2                       8 
2024-08-31     NULL                    352
Pedro Mendes solicitará a Miguel Silva para preencher este campo com os valores exactos do SRB:
‘CET1’, ‘Fully Compliant AT1’, ‘Grandfathered AT1’, ‘Fully Compliant T2’, ‘Grandfathered T2’, ‘T2 in phase-out’ or ‘Partially AT1 and T2’.
Só tem titulos. Há muitos titulos de passivos ( tudo o que é ativo é null) 
fazer ligação à cd_captools.ct610_titulos.
</t>
  </si>
  <si>
    <t>Origem</t>
  </si>
  <si>
    <t>Amount eligible as own funds at subsidiary level.</t>
  </si>
  <si>
    <t>The actual amount in EUR of the instrument qualifying as own funds, taking into account phase-out as applicable.</t>
  </si>
  <si>
    <t>amount_own_funds</t>
  </si>
  <si>
    <t>1) Para os registos que estão na cd_captools.ct610_titulos obter o campo mon_fund_prop.
2) Para os registos que não estão na cd_captools.ct610_titulos colocar valor fixo 0.
Nota: Na ct610_titulos, caso se obtenham registos a ' ' ou a 'NULL', colocar valor fixo 0.</t>
  </si>
  <si>
    <t>Eligible amount for own funds at individual level
ou
Eligible amount for own funds at consolidated level</t>
  </si>
  <si>
    <t xml:space="preserve">The actual amount in EUR of the instrument qualifying as own funds at individual level. 
ou
The actual amount in EUR of the instrument qualifying as own funds at consolidated level. </t>
  </si>
  <si>
    <r>
      <rPr>
        <sz val="10"/>
        <color rgb="FF000000"/>
        <rFont val="Santander Text"/>
      </rPr>
      <t xml:space="preserve">Reunião 22/10/2024 Capitão-Mor, Pedro Mendes:
</t>
    </r>
    <r>
      <rPr>
        <i/>
        <sz val="10"/>
        <color rgb="FF000000"/>
        <rFont val="Santander Text"/>
      </rPr>
      <t>campo mon_fund_prop</t>
    </r>
    <r>
      <rPr>
        <sz val="10"/>
        <color rgb="FF000000"/>
        <rFont val="Santander Text"/>
      </rPr>
      <t xml:space="preserve"> na tabela CT610_Titulos 
Pedro Mendes solicitará a Miguel Silva para preencher este campo</t>
    </r>
  </si>
  <si>
    <t>AL030_SLD_CORE_M</t>
  </si>
  <si>
    <t>mon_cap_st1_vivo + mon_jur_st1</t>
  </si>
  <si>
    <t>Fórmula dependendo do campo "origem" da CT610_títulos - 0 para que não tiver na CT610 o valor para o que tiver</t>
  </si>
  <si>
    <t>Amount of subordinated liabilities not eligible as own funds at subsidiary level</t>
  </si>
  <si>
    <t>The actual amount in EUR of the subordinated debt instrument not qualifying as own funds</t>
  </si>
  <si>
    <t>amount_subord_liabil_not_own_funds</t>
  </si>
  <si>
    <t>Campo fixo: 0</t>
  </si>
  <si>
    <t>2 - Não pertence ao novo Bail-in</t>
  </si>
  <si>
    <t xml:space="preserve">Este campo é N/A (comentário financeira) ????
</t>
  </si>
  <si>
    <t>n/a</t>
  </si>
  <si>
    <t>If liability is, at the level of the subsidiary, assigned to more than one own funds component, indication of the second own funds component</t>
  </si>
  <si>
    <t>[AT1/T2]</t>
  </si>
  <si>
    <t>This data point is requested for the case that the liability 
is assigned to more than one own funds component and 
is needed to calculate the impact of the write-down and 
conversion powers / bail-in tool on the own funds.</t>
  </si>
  <si>
    <t>second_own_funds_component</t>
  </si>
  <si>
    <t xml:space="preserve">Campo Fixo: 'N/A' </t>
  </si>
  <si>
    <t>Reunião Pedro Mendes 2025-02-04</t>
  </si>
  <si>
    <t>???</t>
  </si>
  <si>
    <t>Eligible amount for own funds component according to point above</t>
  </si>
  <si>
    <t>This data point is requested for the case that not the full amount of the liability is eligible as own funds.</t>
  </si>
  <si>
    <t>amount_own_funds_component</t>
  </si>
  <si>
    <t>??? (este data Point está relacionado com o data point acima)</t>
  </si>
  <si>
    <t>If own funds, agio of the liability/instrument</t>
  </si>
  <si>
    <t>To the extent relevant under (national) GAAP, bond premium classified in capital reserves.</t>
  </si>
  <si>
    <t>agio_own_funds</t>
  </si>
  <si>
    <t>4.2.3. DATA POINTS FOR LINK WITH ACCOUNTING</t>
  </si>
  <si>
    <t>Carrying amount IFRS</t>
  </si>
  <si>
    <t>To the extent relevant for the bank, carrying amount under IFRS.</t>
  </si>
  <si>
    <t>carrying_amount_ifrs</t>
  </si>
  <si>
    <t xml:space="preserve">Campo 	msaldo_final da cd_captools.fr001_univ_saldo
</t>
  </si>
  <si>
    <t>Mapeamento novo Reunião Pedro Mendes 2025-03-31:
Campo 	msaldo_final da cd_captools.fr001_univ_saldo (para reconciliar com o FINREP)
Mapeamento antigo Reunião Pedro Mendes 2025-02-04: 
Campo valor_bruto_on_p da cd_captools.fr004_cto
No LT:
CRRYNG_AMNT_INSTRMNT= GRSS_CRRYNG_AMNT_INSTRMNT - ACCMLTD_IMPRMNT_INSTRMNT
GRSS_CRRYNG_AMNT_INSTRMNT= NVL ( SUM(-1*VALOR_BRUTO_ON) ; 0)
ACCMLTD_IMPRMNT_INSTRMNT= PROVISAO_ON (segundo rafael pessoa não existe provisões de passivo)</t>
  </si>
  <si>
    <t>To the extent relevant for the bank, the carrying amount under IFRS58.
nota58:When precise values are not available, estimates can be used to fill this data point</t>
  </si>
  <si>
    <r>
      <rPr>
        <sz val="10"/>
        <color rgb="FF000000"/>
        <rFont val="Santander Text"/>
      </rPr>
      <t xml:space="preserve">"Reunião 13/12/2024: Luís Capitão-Mor, Pedro Mendes: 
LT002_INSTRUMENT.GRSS_CRRYNG_AMNT_INSTRMNT
'Reunião 28/10/2024: Luís Capitão-Mor, Pedro Mendes: 
</t>
    </r>
    <r>
      <rPr>
        <sz val="10"/>
        <color rgb="FFC00000"/>
        <rFont val="Santander Text"/>
      </rPr>
      <t>LT002_INSTRUMENT.CRRYNG_AMNT_INSTRMNT"</t>
    </r>
  </si>
  <si>
    <t>Reunião 13/12/2024: Luís Capitão-Mor, Pedro Mendes: 
LT002_INSTRUMENT.GRSS_CRRYNG_AMNT_INSTRMNT
'Reunião 28/10/2024: Luís Capitão-Mor, Pedro Mendes: 
LT002_INSTRUMENT.CRRYNG_AMNT_INSTRMNT</t>
  </si>
  <si>
    <t>CRRYNG_AMNT_INSTRMNT:
Carrying amount</t>
  </si>
  <si>
    <t>CRRYNG_AMNT_INSTRMNT:
Net carrying amount including accrued interest as laid down in Annex 5 Regulation 680/2014.</t>
  </si>
  <si>
    <t>Carrying amount national GAAP</t>
  </si>
  <si>
    <t>Carrying amount under national GAAP</t>
  </si>
  <si>
    <t>carrying_amount_national_gaap</t>
  </si>
  <si>
    <t xml:space="preserve">Campo 	msaldo_final da cd_captools.fr001_univ_saldo
</t>
  </si>
  <si>
    <t xml:space="preserve">Mapeamento novo Reunião Pedro Mendes 2025-03-31:
Campo 	msaldo_final da cd_captools.fr001_univ_saldo (para reconciliar com o FINREP)
Mapeamento antigo Reunião Pedro Mendes 2025-02-04: 
Campo valor_bruto_on_p da cd_captools.fr004_cto
Reunião 2024-10-28: Luís Capitão-Mor, Pedro Mendes: 
Pedro Mendes questionou Graça Vale via Teams a 28/10/2024-&gt; Segundo Graça Vale não existe diferença entre o IFRS e o national GAAP. Referiu também que reportaria o mesmo valor nestes 2 campos (Carrying amount IFRS e Carrying amount national GAAP). </t>
  </si>
  <si>
    <t>Carrying amount under national GAAP (where applicable)59.
Nota59:When precise values are not available, estimates can be used to fill this data point.</t>
  </si>
  <si>
    <t>Reunião 28/10/2024: Luís Capitão-Mor, Pedro Mendes: 
Pedro Mendes questionou Graça Vale via Teams a 28/10/2024-&gt; Segundo Graça Vale não existe diferença entre o IFRS e o national GAAP. Referiu também que reportaria o mesmo valor nestes 2 campos (Carrying amount IFRS e Carrying amount national GAAP). 
Será portanto um campo novo LT002_INSTRUMENT.CRRYNG_AMNT_NGAAP_INSTRMNT que conterá o valor do campo anterior (LT002_INSTRUMENT.CRRYNG_AMNT_INSTRMNT).</t>
  </si>
  <si>
    <t>Na nova definição é indicado: "where applicable". Portanto, se no nosso caso iríamos anteriormente mapear com o campo acima, agora se calhar deveríamos preencher not applicable.</t>
  </si>
  <si>
    <t>4.2.4. DATA POINTS FOR AMOUNTS REQUIRED FOR CALCULATION</t>
  </si>
  <si>
    <t>Original amount issued in EUR</t>
  </si>
  <si>
    <t>Original amount issued in EUR.</t>
  </si>
  <si>
    <t>original_amount_issued_eur</t>
  </si>
  <si>
    <t xml:space="preserve">1) Para os registos que estão na cd_captools.ct610_titulos obter o campo nom_tot_inic.
2) Para os registos que não estão na cd_captools.ct610_titulos colocar valor fixo 0.
</t>
  </si>
  <si>
    <t>Reunião Pedro Mendes 2025-01-29</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</si>
  <si>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</si>
  <si>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 xml:space="preserve">Reunião 28/10/2024: Luís Capitão-Mor, Pedro Mendes: 
Por exemplo, um CRP foi aberto com um montante inicial de 1000 eur, entretanto o Cliente efetuou vários reforços e atualmente tem 5000 eur. O montante que se pede aqui são os 1000 eur.
Dora Roxo comentou que existe um campo no LT sobre o montante inicial, contudo, é apenas sobre Crédito (Ativo): cmmtmnt_instrmnt_incptin 
Abordagens sugeridas por Luís Capitão-Mor:
  Abordagem 1) Passar a ter um campo na ct004 com este conceito (capital inicial) tal como existe o campo ddvencim_orig (data de vencimento original). E depois o LT consumiria este campo.
  Abordagem 2) Novo campo no LT original amount issued: 
Para Títulos: campo nom_tot_inic da ct610_titulos? (definição do campo: Nominal total da emissão do título, na data de emissão. É, pois, um valor que se deve manter igual ao longo do tempo.)
Para DOs: Reportar sempre 0
Para o que não é Títulos: Identificar data de início do instrumento e obter o valor que tinha na ct001 nessa data:
Para DPs (Simulação): 
--Total DPs 2024-09-30: #1055722 (há #34 com dabertur a vazio)
--Total DPs 2024-09-30 para os quais se encontra a ref_date de final de mes correspondente à data de abertura na ct001: #507667 (ou seja, #548055 que não se encontram)
--Total DPs 2024-09-30 para os quais se encontra a ref_date de final de mes correspondente à data de abertura na ct083: #148668 (ou seja, #148668 que não se encontram)
Para Derivados:
--Total Derivados 2024-09-30: #653 (há  #28 com dabertur a vazio)
--para os quais se encontra a ref_date de final de mes correspondente à data de abertura na ct001: #440 
Questões adicionais LCM: 
- Não chegámos a falar sobre Depósitos estruturados, Depósitos com Pré-Aviso, Depósitos Poupança, CRPs -&gt; seria para aplicar a mesma lógica de DPs
-Como filtrar os sub-universos:  Títulos, DOs, DPs, CRPs: Será pelo fr802_pl_contas
Query:
DPs:
select count(distinct concat(ct001.cempresa, ct001.cbalcao, ct001.cnumecta, ct001.zdeposit)) 
--select distinct concat(ct001.cempresa, ct001.cbalcao, ct001.cnumecta, ct001.zdeposit), ct004.dabertur, ct001_semdata.ref_date, ct001_semdata.msaldo_final
--select *
from
(select * from cd_captools.ct001_univ_saldo  where ref_Date='2024-09-30') ct001
inner join
(select * from cd_captools.fr802_pl_contas where ref_Date='2024-09-30' and cod_plano='BST_IND' and tipo_conta='P' and instrumento_financeiro='depositos' and produto='depositos a prazo') fr802
--(select * from cd_captools.fr802_pl_contas where ref_Date='2024-09-30' and cod_plano='BST_IND' and tipo_conta='P' and instrumento_financeiro='titulos de divida emitidos') fr802
on ct001.ccontab_final_ifrs = fr802.conta
inner join
(select * from cd_captools.ct004_univ_cto  where ref_Date='2024-09-30') ct004
on concat(ct001.cempresa, ct001.cbalcao, ct001.cnumecta, ct001.zdeposit) = concat(ct004.cempresa, ct004.cbalcao, ct004.cnumecta, ct004.zdeposit)
--left join
inner join 
(select * from cd_captools.ct001_univ_saldo --where --cnaturic='C'
) ct001_semdata
--(select * from cd_captools.ct083_univ_sal_d where cnaturic='C') ct083
on concat(ct001.cempresa, ct001.cbalcao, ct001.cnumecta, ct001.zdeposit)= concat(ct001_semdata.cempresa, ct001_semdata.cbalcao, ct001_semdata.cnumecta, ct001_semdata.zdeposit)
--on concat(ct001.cempresa, ct001.cbalcao, ct001.cnumecta, ct001.zdeposit)= concat(ct083.cempresa, ct083.cbalcao, ct083.cnumecta, ct083.zdeposit)
and strleft(ct004.dabertur, 7) = strleft(ct001_semdata.ref_date, 7)
--and ct004.dabertur = ct083.ref_date
--where concat(ct001_semdata.cempresa, ct001_semdata.cbalcao, ct001_semdata.cnumecta, ct001_semdata.zdeposit) is null
;
Derivados:
select count(distinct concat(ct001.cempresa, ct001.cbalcao, ct001.cnumecta, ct001.zdeposit)) 
--select distinct concat(ct001.cempresa, ct001.cbalcao, ct001.cnumecta, ct001.zdeposit), ct004.dabertur, ct001_semdata.ref_date, ct001_semdata.msaldo_final
--select *
from
(select * from cd_captools.ct001_univ_saldo  where ref_Date='2024-09-30') ct001
inner join
(select * from cd_captools.fr802_pl_contas where ref_Date='2024-09-30' and cod_plano='BST_IND' and tipo_conta='P' 
--and instrumento_financeiro='depositos' and produto='depositos a prazo'
and instrumento_financeiro='derivados'
) fr802
--(select * from cd_captools.fr802_pl_contas where ref_Date='2024-09-30' and cod_plano='BST_IND' and tipo_conta='P' and instrumento_financeiro='titulos de divida emitidos') fr802
on ct001.ccontab_final_ifrs = fr802.conta
inner join
(select * from cd_captools.ct004_univ_cto  where ref_Date='2024-09-30') ct004
on concat(ct001.cempresa, ct001.cbalcao, ct001.cnumecta, ct001.zdeposit) = concat(ct004.cempresa, ct004.cbalcao, ct004.cnumecta, ct004.zdeposit)
where ct004.dabertur='' or ct004.dabertur is null
--left join
inner join 
(select * from cd_captools.ct001_univ_saldo where cnaturic='C') ct001_semdata
--(select * from cd_captools.ct083_univ_sal_d where cnaturic='C') ct083
on concat(ct001.cempresa, ct001.cbalcao, ct001.cnumecta, ct001.zdeposit)= concat(ct001_semdata.cempresa, ct001_semdata.cbalcao, ct001_semdata.cnumecta, ct001_semdata.zdeposit)
--on concat(ct001.cempresa, ct001.cbalcao, ct001.cnumecta, ct001.zdeposit)= concat(ct083.cempresa, ct083.cbalcao, ct083.cnumecta, ct083.zdeposit)
and strleft(ct004.dabertur, 7) = strleft(ct001_semdata.ref_date, 7)
--and ct004.dabertur = ct083.ref_date
--where concat(ct001_semdata.cempresa, ct001_semdata.cbalcao, ct001_semdata.cnumecta, ct001_semdata.zdeposit) is null
;
 DO's : depositos a ordem, overnights	
Atacar com cnaturic=C
</t>
  </si>
  <si>
    <t>Original amount issued in foreign currency, if applicable</t>
  </si>
  <si>
    <t>[Amount in FX]</t>
  </si>
  <si>
    <t>Original amount issued in foreign currency.</t>
  </si>
  <si>
    <t>original_amount_issued_currency</t>
  </si>
  <si>
    <t>Original amount issued in foreign currency</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</si>
  <si>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</si>
  <si>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Este campo é igual ao campo acima, mas em moeda estrangeira</t>
  </si>
  <si>
    <t>Outstanding principal amount</t>
  </si>
  <si>
    <t>Value of the outstanding principal amount of the instrument.</t>
  </si>
  <si>
    <t>outstanding_principal_amount</t>
  </si>
  <si>
    <t xml:space="preserve">
Outstanding principal amount = Outstanding amount (SRB_ID 11) - Accrued interest (SRB_ID 25)</t>
  </si>
  <si>
    <t>Reunião Pedro Mendes 2025-02-21
Lógica LT:
'OTSTNDNG_NMNL_AMNT_INSTRMNT=GRSS_CRRYNG_AMNT_INSTRMNT - ACCRD_INTRST_INSTRMNT
'No nosso caso, seria:
Campo valor_bruto_on_p da cd_captools.fr004_cto - ACCRD_INTRST_INSTRMNT (definido abaixo, ver como fazer no nosso caso)
GRSS_CRRYNG_AMNT_INSTRMNT:
VALOR_BRUTO_ON da cd_captools.fr004_cto</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</si>
  <si>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</si>
  <si>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LT002_INSTRUMENT.OTSTNDNG_NMNL_AMNT_INSTRMNT</t>
  </si>
  <si>
    <t xml:space="preserve">Reunião 29/10/2024 Luís Capitão-Mor, Pedro Mendes:
LT002_INSTRUMENT.OTSTNDNG_NMNL_AMNT_INSTRMNT
</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</si>
  <si>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</si>
  <si>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</si>
  <si>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Accrued interest</t>
  </si>
  <si>
    <t xml:space="preserve">Value of the outstanding accrued interest on the instrument. </t>
  </si>
  <si>
    <t>accrued_interest</t>
  </si>
  <si>
    <t>Aplicar a seguinte query:
SELECT  
CONCAT(cempresa,cbalcao,cnumecta,zdeposit) AS contract_id, NVL(SUM(MSALDO_FINAL), 0) as accrued_interest		
FROM										
  (SELECT * 
     FROM cd_captools.fr001_univ_saldo										
   WHERE ref_date ='${ref_date}' 
     ) AS fr001 										
INNER JOIN										
  (SELECT *							
   FROM cd_captools.fr802_pl_contas										
   WHERE ref_date = '${ref_date}'										
    AND cod_plano = 'BST_IND'
 AND COMPOSICAO_VALOR = 'juros/encargos a pagar'
 AND (tipo_conta='P' OR (tipo_conta='C' AND instrumento_financeiro='instrumentos de capital')) 
) AS fr802 
ON fr001.ccontab_final_ifrs = fr802.conta
GROUP BY 1</t>
  </si>
  <si>
    <t>Reunião Pedro Mendes 2025-02-21</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</si>
  <si>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t>
  </si>
  <si>
    <t>LT002_INSTRUMENT.ACCRD_INTRST_INSTRMNT</t>
  </si>
  <si>
    <t>Reunião 29/10/2024 Luís Capitão-Mor, Pedro Mendes:
LT002_INSTRUMENT.ACCRD_INTRST_INSTRMNT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</si>
  <si>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</si>
  <si>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</si>
  <si>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mon_jur_st1</t>
  </si>
  <si>
    <t>Relevant amount for write-down/conversion</t>
  </si>
  <si>
    <t>Amount eligible for calculation of write-down / conversion rate. Defined as the outstanding amount of the liability (including accrued interest) less existing components not subject to write-down / conversion power according to Article 21 SRMR. In jurisdictions where accrued interest may not rank pari passu to the liability amount, jurisdictions may want to request reporting of interest accruals on separate line items</t>
  </si>
  <si>
    <t>amount_writedown</t>
  </si>
  <si>
    <t>1) Para os registos que estão na cd_captools.ct610_titulos com rank_insolv  in ('1','2','3','8') obter Campo 	msaldo_final da cd_captools.fr001_univ_saldo (para reconciliar com o FINREP)
2) Para os restantes registos colocar valor fixo 0.</t>
  </si>
  <si>
    <t>Mapeamento novo Reunião Pedro Mendes 2025-03-31:
1) Para os registos que estão na cd_captools.ct610_titulos com rank_insolv  in ('1','2','3','8') obter valor_bruto_on_p da cd_captools.fr004_cto
2) Para os restantes registos colocar valor fixo 0.
Mapeamento antigo Reunião Pedro Mendes 2025-02-17:
1) Para os registos que estão na cd_captools.ct610_titulos com rank_insolv  in ('1','2','3','8') obter valor_bruto_on_p da cd_captools.fr004_cto
2) Para os restantes registos colocar valor fixo 0.</t>
  </si>
  <si>
    <t>Relevant amount for Bail-in/WDC</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</si>
  <si>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t>
  </si>
  <si>
    <t>Obter mon_cap_st1_vivo e somar com o campo mon_jur_st1 da tabela cd_alm.al030_sld_core_m</t>
  </si>
  <si>
    <t>Reunião 29/10/2024 Luís Capitão-Mor, Pedro Mendes:
Tem de ser analisado em conjunto com o ranking de insolvência.</t>
  </si>
  <si>
    <t>Portion of the liability held by the subsidiary itself for external issuances</t>
  </si>
  <si>
    <t>Portion of the liability held by the subsidiary itself as principal amount plus accrued interest and fees and charges (if applicable)</t>
  </si>
  <si>
    <t>portion_liabil_external_issuances</t>
  </si>
  <si>
    <t>Portion of instrument or liability held by the reporting entity</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</si>
  <si>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</si>
  <si>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Novo campo. Valor fixo 0</t>
  </si>
  <si>
    <t xml:space="preserve">Reunião 29/10/2024 Luís Capitão-Mor, Pedro Mendes:
Novo campo. Valor fixo 0
</t>
  </si>
  <si>
    <t>Sempre 0</t>
  </si>
  <si>
    <t>Instrument/liability meets the requirements of Article 21(7a) SRMR</t>
  </si>
  <si>
    <t>Flag to identify if a liability fulfils the criteria laid down in Article 21(7)a SRMR (conditions referred to in point (a) of Article 12g(2) SRMR, except the condition related to the remaining maturity of liabilities as set out in Article 72c(1) CRR).</t>
  </si>
  <si>
    <t>flag_requirements_srmr</t>
  </si>
  <si>
    <t>- 'yes' se valor do campo Rank of liability (SRB_ID = 12) &lt;= 8
 - 'no' para os restantes</t>
  </si>
  <si>
    <t xml:space="preserve">Reunião Pedro Mendes 2025-02-04
</t>
  </si>
  <si>
    <t>Instrument/liability meets the requirements of Art. 21(7a) SRMR</t>
  </si>
  <si>
    <t xml:space="preserve">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 </t>
  </si>
  <si>
    <t xml:space="preserve">Reunião 31/10/2024 Luís Capitão-Mor, Pedro Mendes:
Novo campo na tabela de parametrização do ranking insolvência, com valor 0/1 para indicar se o instrumento cumpre ou não o critério presente neste campo (Ranking de insolvência já indica se o instrumento cumpre ou não critério presente no artigo 12g(2) SRMR, segundo Pedro Mendes.
Luis Capitão-Mor, refere que será o Pedro Mendes a carregar estes valores nesta nova coluna da tabela parametrização.
Pedro Mendes comentou : "deverá ser “yes” para títulos de fundos próprios e um tipo especifico de emissões. Deverá incluir-se na ct610?" email 02/12/2024  11:10)
Questões Pedro Mendes /  Luis Capitão-Mor:
 1) Este campo apenas se aplica a titulos ?  Se sim, adicionar este campo a ct610_titulos, implica Miguel Silva passar a preencher  este novo campo.
 2) Para o que não for titulos, a flag fica a 'no' ?
</t>
  </si>
  <si>
    <t>Applicable fees and charges</t>
  </si>
  <si>
    <t>Total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or the accrued interest or a separate liability. Fees and charges do not comprise agios or fees in conjunction with the listing of an instrument.</t>
  </si>
  <si>
    <t>total_amount_fees_charges</t>
  </si>
  <si>
    <t>Aplicar a seguinte query:
SELECT  
CONCAT(cempresa,cbalcao,cnumecta,zdeposit) AS contract_id, NVL(SUM(MSALDO_FINAL), 0) as total_amount_fees_charges
FROM										
  (SELECT * 
     FROM cd_captools.fr001_univ_saldo										
   WHERE ref_date ='${ref_date}' 
   ) AS fr001 										
INNER JOIN										
  (SELECT *				
   FROM cd_captools.fr802_pl_contas										
   WHERE ref_date = '${ref_date}'										
    AND cod_plano = 'BST_IND'
   AND (tipo_conta='P' OR (tipo_conta='C' AND instrumento_financeiro='instrumentos de capital'))
  AND COMPOSICAO_VALOR = 'despesas/comissoes com encargo diferido associadas ao custo amortizado'
   ) AS fr802 
ON fr001.ccontab_final_ifrs = fr802.conta
GROUP BY 1</t>
  </si>
  <si>
    <t xml:space="preserve">Reunião Pedro Mendes 2025-02-21
</t>
  </si>
  <si>
    <t xml:space="preserve"> Applicable fees and charges_x000D_</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</si>
  <si>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</si>
  <si>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 xml:space="preserve">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tem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</si>
  <si>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mon_comissões + mon_despesas</t>
  </si>
  <si>
    <t>4.2.5. DATA POINTS FOR INFORMATION ON THE INVESTOR/CREDITOR</t>
  </si>
  <si>
    <t>Country of contracting party</t>
  </si>
  <si>
    <t>[Country Code]</t>
  </si>
  <si>
    <t>Home State of the counterparty (investor/creditor).</t>
  </si>
  <si>
    <t>country_contracting_party</t>
  </si>
  <si>
    <t xml:space="preserve">
Obter campo cpais_residencia da tabela cd_captools.ct003_univ_cli ligando por zcliente:
1) Para os registos que estão na cd_captools.ct610_titulos obter o campo zcliente_investidor
Nota: Obter o 1º zcliente para os casos em que este campo está no formato vector. (Ex: zcliente_investidor=	5100011001;7400066405;8044901277 então zcliente_investidor=5100011001)
2) Para os registos que não estão na cd_captools.ct610_titulos obter o campo zcliente da cd_captools.fr004_cto
Adicionalmente, converter o campo cpais_residencia no respetivo  ISO 3166-1 alpha-2 code.
</t>
  </si>
  <si>
    <t xml:space="preserve">Reunião Pedro Mendes 2025-01-21
Query para traduzir cpais_residencia em ISO3166 - alpha 1 code:
select distinct ct003.cpais_residencia,tat91.tayd91c0_nelemc09
from
(select  cpais_residencia from cd_captools.ct003_univ_cli where ref_date = '2024-09-30') ct003
left join
(select * from cd_estruturais.tat91_tabelas where data_date_part='2024-09-30' and TAYD91C0_CTABELA ='015') tat91
on ct003.cpais_residencia = tat91.tayd91c0_celemtab
;
 Observa-se que existem registos contendo caracteres invalidos neste contexto (*,#):
cpais_residencia	count(cpais_residencia)
*  	                                3658
#  	                                 3527
</t>
  </si>
  <si>
    <t>B90.00</t>
  </si>
  <si>
    <t>Country of the counterparty</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</si>
  <si>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</si>
  <si>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Reunião 07/11/2024 Luís Capitão-Mor, Flávia Pinho:
LT003_ENTITY.CNTRY 
(atenção que até aqui tinham sido campos da tabela de instrumentos, e agora passamos à ter campos da tabela de entidades).</t>
  </si>
  <si>
    <t xml:space="preserve">No novo Bail-in este campo constará no ficheiro B90.00 (ficheiro de contrapartes) e não no ficheiro B02.00 (ficheiro de contratos). 
Ou seja, no antigo Bail-in iríamos colocar o campo na LT002, contudo, no novo já não faz sentido colocar na LT002.
Adicionalmente, verifica-se que no antigo Bail-in tínhamos 2 campos que foram fundidos num único campo no novo Bail-in </t>
  </si>
  <si>
    <t>Atenção 
Reunião 07/11/2024 Luís Capitão-Mor, Flávia Pinho:
LT003_ENTITY.CNTRY 
(atenção que até aqui tinham sido campos da tabela de instrumentos, e agora passamos à ter campos da tabela de entidades).</t>
  </si>
  <si>
    <t>Country of counterparty residence</t>
  </si>
  <si>
    <t>Country of counterparty residence.</t>
  </si>
  <si>
    <t>ct003_univ_cli</t>
  </si>
  <si>
    <t>cpais_doc_residencia</t>
  </si>
  <si>
    <t>code list com base neste campo</t>
  </si>
  <si>
    <t>Tax residence of contracting party</t>
  </si>
  <si>
    <t>Tax residence of the counterparty (investor/creditor), if Home State of the counterparty is not available.</t>
  </si>
  <si>
    <t>tax_residence_contracting_party</t>
  </si>
  <si>
    <t>Reportar o mesmo campo que o SRB_ID = 30 ( Country of contracting party)</t>
  </si>
  <si>
    <t>Country of the counterparty_x000D_</t>
  </si>
  <si>
    <t xml:space="preserve">
No campo acima, está-se a a pedir o País da Morada de Residência. Neste campo, aparentemente está-se a pedir o País da Morada Fiscal. Na lt003 existe apenas o campo cntry que contém atualmente o País da Morada de Residência.
Ou seja, aparentemente será necessário criar um novo campo na lt003 com o País da Morada Fiscal.
Não faz sentido adicionar esse novo campo estando apenas preenchido quando o campo do País da Morada de Residência não tiver preenchido, ou seja, deveria estar sempre preenchido. 
A ser mesm o necessário (confirmar com a Corporação) haveria depois um tratamento manual do ficheiro.</t>
  </si>
  <si>
    <t>cpais_doc_identif1</t>
  </si>
  <si>
    <t xml:space="preserve">Name of contracting party </t>
  </si>
  <si>
    <t>[Name]</t>
  </si>
  <si>
    <t>The name of the investor/creditor</t>
  </si>
  <si>
    <t>name_contracting_party</t>
  </si>
  <si>
    <t>Obter campo gcliente da cd_captools.ct003_univ_cli ligando por zcliente:
1) Para os registos que estão na cd_captools.ct610_titulos obter o campo zcliente_investidor
Nota: Obter o 1º zcliente para os casos em que este campo está no formato vector. (Ex: zcliente_investidor=	5100011001;7400066405;8044901277 então zcliente_investidor=5100011001)
2) Para os registos que não estão na cd_captools.ct610_titulos obter o campo zcliente da cd_captools.fr004_cto
Adicionalmente, se campo itip_cli= 'F' da cd_captools.ct003_univ_cli colocar campo fixo: 'Natural Customer'</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</si>
  <si>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</si>
  <si>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</si>
  <si>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Reunião 07/11/2024 Luís Capitão-Mor, Flávia Pinho:
LT003_ENTITY.ENTTY_NM</t>
  </si>
  <si>
    <t>No novo Bail-in este campo constará no ficheiro B90.00 (ficheiro de contrapartes) e não no ficheiro B02.00 (ficheiro de contratos). 
Ou seja, no antigo Bail-in iríamos colocar o campo na LT002, contudo, no novo já não faz sentido colocar na LT002.
Adicionalmente, verifica-se que no novo Bail-in existe uma necessidade extra ao nível do nome das Natural Persons ().</t>
  </si>
  <si>
    <t>Name Counterparty</t>
  </si>
  <si>
    <t>Name counterparty.</t>
  </si>
  <si>
    <t>gcliente</t>
  </si>
  <si>
    <t>Identifier of contracting party</t>
  </si>
  <si>
    <t>[LEI code/MFI ID/ Other ID]</t>
  </si>
  <si>
    <t>u</t>
  </si>
  <si>
    <t>id_contracting_party</t>
  </si>
  <si>
    <t>Obter campo clei da cd_captools.ct003_univ_cli ligando por zcliente:
1) Para os registos que estão na cd_captools.ct610_titulos obter o campo zcliente_investidor
Nota: Obter o 1º zcliente para os casos em que este campo está no formato vector. (Ex: zcliente_investidor=	5100011001;7400066405;8044901277 então zcliente_investidor=5100011001)
2) Para os registos que não estão na cd_captools.ct610_titulos obter o campo zcliente da cd_captools.fr004_cto
Adicionalmente, se campo itip_cli= 'F' da cd_captools.ct003_univ_cli colocar campo fixo: 'Natural Customer'
Caso não tenha clei preenchido, obter zcliente.</t>
  </si>
  <si>
    <t>Reunião Pedro Mendes 2025-01-21:</t>
  </si>
  <si>
    <t>Counterparty identifier (preferably LEI)</t>
  </si>
  <si>
    <t>Please report the creditor’s LEI code (when available), issued by the Global Legal Entity Identifier Foundation and recommended by the FSB65.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t>
  </si>
  <si>
    <t xml:space="preserve"> ISSR_ID já existe no Report Valuation, portanto, este campo deverá ser viste em conjunto nos 2 reports</t>
  </si>
  <si>
    <t xml:space="preserve">
'Atenção: o campo ISSR_ID já existe no Report Valuation, portanto, este campo deverá ser viste em conjunto nos 2 reports
Para títulos, o zcliente que ser quer aqui é o do investidor não é o zcliente do emitente (continuar conversa com Miguel)
Reunião 07/11/2024 Luís Capitão-Mor, Flávia Pinho:
Existe o campo LT003_ENTITY.LEI, contudo, é referido [LEI code/MFI ID/ Other ID]. 
Portanto, se é referido Other ID então, em princípio, deveria utilizar-se o campo LT002_INSTRUMENT.ISSR_ID pois é mais abrangente (pode ser o LEI ou o contribuinte ou....)
Contudo, o LT002_INSTRUMENT.ISSR_ID atualmente está a N/A para uma parte do Universo. Este tema já foi identificado no Valuation e terá de ser visto em conjunto nos 2 reports. 
</t>
  </si>
  <si>
    <t>clei</t>
  </si>
  <si>
    <t>Counterparty type for the externally issued liabilities</t>
  </si>
  <si>
    <t>Drop-down: 
Households (1) 
Non-financial corporations (SMEs) (2) 
Non-financial corporations (non-SMEs) (3) 
Credit institutions (4) 
Other financial corporations (5) 
General governments &amp; Central banks (6) 
Non-identified counterparties (listed on an exchange platform) (7) 
Non identified, not listed on an exchange platform. (8)</t>
  </si>
  <si>
    <t>Counterparty of the liability, i.e. households, non-financial corporations (SMEs), non-financial corporations 
(non-SMEs), Credit institutions, Other financial corporations, General governments &amp; Central banks, non-identified counterparties (listed on an exchange platform) or 
others.</t>
  </si>
  <si>
    <t>counterparty_type</t>
  </si>
  <si>
    <t xml:space="preserve">Obter campo contraparte da cd_captools.ct003_univ_cli ligando por zcliente:
1) Para os registos que estão na cd_captools.ct610_titulos obter o campo zcliente_investidor
Nota: Obter o 1º zcliente para os casos em que este campo está no formato vector. (Ex: zcliente_investidor=	5100011001;7400066405;8044901277 então zcliente_investidor=5100011001)
2) Para os registos que não estão na cd_captools.ct610_titulos obter o campo zcliente da cd_captools.fr004_cto.
3) Fazer mapeamento da seguinte forma:
      3.1) campo contraparte= 'particulares'                                         -&gt; Households (1) 
      3.2) campo contraparte= 'outras empresas nao financeiras' and campo cod_empr_pme da 
business_sme2003361.out_sme_2003_361 in ('1','2','3')            -&gt; Non-financial corporations (SMEs) (2) 
      3.3) campo contraparte= 'outras empresas nao financeiras' and campo cod_empr_pme da 
business_sme2003361.out_sme_2003_361 in ('0')                      -&gt; Non-financial corporations (non-SMEs) (3) 
      3.4) campo contraparte='instituicoes de credito'                        -&gt; Credit institutions (4) 
      3.5)  campo contraparte='outras instituicoes financeiras'        -&gt; Other financial corporations (5) 
      3.6)  campo contraparte='bancos centrais'                                    -&gt; General governments &amp; Central banks (6) 
      3.7)  campo contraparte='setor publico'                                          -&gt; General governments &amp; Central banks (6) </t>
  </si>
  <si>
    <t>OK - Pedro Ramos</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</si>
  <si>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</si>
  <si>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</si>
  <si>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 xml:space="preserve"> Questões LCM:
1) Ver sheet2 do report Valuation.
-&gt;Atenção este campo já existe no Report Valuation, portanto, este campo deverá ser visto em conjunto nos 2 reports (têm granularidades diferentes: )
Reunião 20/11/2024  e dia 07/11/2024 Luís Capitão-Mor, Flávia Pinho:
Parecido com o segmento FINREP, campo INTRNL_SGMNT da tabela LT002_INSTRUMENT. Contém os seguintes valores:
particulares	   
outras empresas nao financeiras	           
instituicoes de credito                           
outras instituicoes financeiras	  
bancos centrais	
setor publico	
N/A	
None
Campo SME_FNRP18 da LT002_INSTRUMENT é o campo da flag que indica se é ou não SME? Contudo, este campo está na tabela de contratos...
7 não vamos preencher.
Os titulos passivos têm zcliente 0000000 -&gt;  Seriam 8
Luís Capitão-Mor solicitou: 
1) Ver com Rafael Pessoa se o segmento FINREP é apenas para Ativo. -&gt; Segundo o Rafael Pessoa o segmento FINREP é para Ativo, Passivo e Extrapatrimoniais.
2) Verificar na ct004 o que sai no campo contraparte para o casos dos Depósitos -&gt; Verificou-se que todos os registos têm contraparte preenchida
Resultado:
contraparte	                                        count(*)	
outras empresas nao financeiras	662756	
outras instituicoes financeiras	10377	
particulares	                                        3497919	
instituicoes de credito	                         20337	
bancos centrais	                                2	
setor publico	                                       10474	
query:
select t3.contraparte, count(*)
from
(select * from cd_captools.ct001_univ_saldo where ref_date='2024-09-30') t1
inner join
(select * from cd_captools.fr802_pl_contas where ref_date='2024-09-30' and cod_plano='BST_IND' and instrumento_financeiro='depositos'
) t2
on t1.ccontab_final_ifrs = t2.conta
inner join
(select * from cd_captools.ct004_univ_cto where ref_date='2024-09-30') t3
on concat(t1.cempresa, t1.cbalcao, t1.cnumecta, t1.zdeposit) 
= concat(t3.cempresa, t3.cbalcao, t3.cnumecta, t3.zdeposit)
group by contraparte</t>
  </si>
  <si>
    <t>contraparte</t>
  </si>
  <si>
    <t>Counterparty within the resolution group</t>
  </si>
  <si>
    <t>Drop-down: 
- Intragroup and intra-resolution group (1) 
- Intragroup but not intra-resolution group (2) 
- No</t>
  </si>
  <si>
    <t>Flag whether the counterparty is part of the resolution group.</t>
  </si>
  <si>
    <t>counterparty_resol_group</t>
  </si>
  <si>
    <t>- 'No' se zcliente não estiver na tabela cd_captools.clientes_intragrupo
- 'Intragroup and intra-resolution group (1)' se zcliente estiver na tabela cd_captools.clientes_intragrupo e não constar na lista abaixo de zclientes
- 'Intragroup but not intra-resolution group (2)' se zcliente estiver na tabela cd_captools.clientes_intragrupo e constar na lista abaixo de zclientes 
1) Para os registos que estão na cd_captools.ct610_titulos obter o campo zcliente_investidor
Nota: Obter o 1º zcliente para os casos em que este campo está no formato vector. (Ex: zcliente_investidor=	5100011001;7400066405;8044901277 então zcliente_investidor=5100011001)
2) Para os registos que não estão na cd_captools.ct610_titulos obter o campo zcliente da cd_captools.fr004_cto
Lista de zclientes (não fazem parte do mesmo grupo de resolução do BST):
0000238954
6511000505
7400416271
7400416353
7400416520
7400416611
7400416763
7400507283
7400701625
7401474691
7401536276
8037849269
8043363752
8044173594
8046250676
8046296743
8046334916
9001925092</t>
  </si>
  <si>
    <t>OK
OK - Pedro Ramos</t>
  </si>
  <si>
    <t>Indicate whether the counterparty of the (portion of) instrument/liability is:
• ‘Intragroup and intra-resolution group’ = to be used for counterparties that are both intragroup and part of the same resolution group64;
• ‘Intragroup but not intra-resolution group’ = to be used for counterparties that are intragroup but not part of the same resolution group;
• ‘No’ = to be used for counterparties which are external to the group.
64=Resolution Group within the meaning of Article 2(1)(83b) BRRD.</t>
  </si>
  <si>
    <t xml:space="preserve">Reunião 13/11/2024 Luís Capitão-Mor, Pedro Mendes,Flávia Pinho:
Utilizar a nova tabela de parametrização definida no campo SRB_ID 13 em que:
Código Entidade Cargabal Pai ( teria sempre o valor '00001', ou seja, o Banco Santander S.A), Número do Grupo de Resolução, Código Entidade Cargabal, ckutulmo, htimest e ref_date. 
Depois ir a ct086_univ_per_d clientes_intragrupo
Lógica Processo:
1) Parte-se do contrato da tabela LT001 que  tem um zcliente associado, depois converte-se esse zcliente no respetivo codigo corporativo ( consoles) através da Tabela clientes_intragrupo. A ligação entre estas 2 tabelas  é feita por zcliente.
2) Utilizar a tabela de parametrização definida no campo SRB_ID 13 em que:
Código Entidade Cargabal Pai ( teria sempre o valor '00001', ou seja, o Banco Santander S.A), Número do Grupo de Resolução, Código Entidade Cargabal, ckutulmo, htimest e ref_date. E verificar se nesta tabela de parametrização, para cada um dos zclientes associados ao respetivo código corporativo, existe código entidade cargabal pai, se não existir, flag -&gt; não. Se código entidade cargabal pai existir, flag -&gt; sim
</t>
  </si>
  <si>
    <t>zcliente</t>
  </si>
  <si>
    <t>code list com base neste campo.
Há uma flag se diz isto mas só se quer alguns dos intragrupos, não todos</t>
  </si>
  <si>
    <t>4.2.6. DATA POINTS FOR GUARANTEES</t>
  </si>
  <si>
    <t>Identifier of the guarantee issued by the resolution entity, which is owed to the subsidiary/affiliated entity</t>
  </si>
  <si>
    <t>[Internal identification number]</t>
  </si>
  <si>
    <t>Identification number of the guaranteed liability in the group entity.</t>
  </si>
  <si>
    <t>id_guarantee</t>
  </si>
  <si>
    <t>B05.00</t>
  </si>
  <si>
    <t>Unique (internal) identifier of the guarantee provided to the Non-Resolution Entity</t>
  </si>
  <si>
    <t>Internal identifier of the guarantee and of the financial support arrangement, if applicable.</t>
  </si>
  <si>
    <t xml:space="preserve">Não
</t>
  </si>
  <si>
    <t>Valor fixo 'N/A'</t>
  </si>
  <si>
    <t>N/A</t>
  </si>
  <si>
    <t xml:space="preserve">Reunião 20/11/2024 Luís Capitão-Mor, Pedro Mendes, Flávia Pinho:
Novo campo. Valor fixo N/A, aplicável a todos os campos de DATA POINTS FOR GUARANTEES.
Dado que estes campos podem deixar de ser N/A, definiu-se uma nova tabela (LT6%) que permitirá definir os INSERTs ou os INSERTs OVERWRITEs nas tabelas de Output do Loan Tap, possibilitando assim ao Utilizador inserir manualmente valores: 
Campo1:  tabela destino; 
Campo2 : campo destino;
Campo3: valor; 
Campo4: perímetro distinto; 
Campo5: flag controlo ( exemplo:1,2,3) -&gt; A definir.
Agendar conversa com Mariana para em seguida se agendar reunião com  Luís Capitão-Mor para aprovação da tabela.
</t>
  </si>
  <si>
    <t>Group counterparty identifier</t>
  </si>
  <si>
    <t>[LEI of the counterparty]</t>
  </si>
  <si>
    <t>LEI of the resolution entity or other entities of the group providing the guarantees.</t>
  </si>
  <si>
    <t>group_counterparty_id</t>
  </si>
  <si>
    <t>Identifier of the securities used as a collateral for the guarantee</t>
  </si>
  <si>
    <t>Identification number of the securities used as collateral for the guarantee. In the event of multiple entries, please separate them with a vertical bar.</t>
  </si>
  <si>
    <t>Reunião 20/11/2024 Luís Capitão-Mor, Pedro Mendes, Flávia Pinho:
Novo campo. Valor fixo N/A</t>
  </si>
  <si>
    <t>Amount of the guarantee provided by the resolution entity or other entities of the group, which is owed to the subsidiary/affiliated entity</t>
  </si>
  <si>
    <t>Outstanding amount guaranteed by the resolution entity</t>
  </si>
  <si>
    <t>amount_guarantee</t>
  </si>
  <si>
    <t xml:space="preserve">Campo fixo: 0
</t>
  </si>
  <si>
    <t>B06.00</t>
  </si>
  <si>
    <t>Identifier of the guarantee</t>
  </si>
  <si>
    <t>ISIN or internal identifier of the guarantee provided by the resolution entity to the bondholders of the instrument(s) issued by the SPV.</t>
  </si>
  <si>
    <t>Maximum amount of the guarantee</t>
  </si>
  <si>
    <t>Maximum amount guaranteed by the resolution entity.</t>
  </si>
  <si>
    <t>maximum_amount_guarantee</t>
  </si>
  <si>
    <t>The EUR (counter)value of the maximum amount (if any) covered by the guarantee / financial support arrangement.</t>
  </si>
  <si>
    <t>Type of guarantee</t>
  </si>
  <si>
    <t>Drop down: 
- Issuance (1) 
- Counterparty (2) 
- Unlimited (3) 
- Other (4)</t>
  </si>
  <si>
    <t>The type of guarantee from a  predefined list, either: 
- ‘Issuance’ for guarantees on specific instruments/liabilities that have been issued; 
- ‘Counterparty’ for guarantees granted to a  specific 
counterparty of the institution; 
- ‘Unlimited’ for general guarantees not limited to a fixed amount; 
- ‘Other types of guarantee than issuance guarantees, counterparty guarantees and unlimited guarantees’.</t>
  </si>
  <si>
    <t>type_guarantee</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</si>
  <si>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</si>
  <si>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Guarantee Trigger</t>
  </si>
  <si>
    <t>Drop down: 
- Default (1) 
- Solvency-related (2) 
- Liquidity-related (3) 
- Other (4)</t>
  </si>
  <si>
    <t>Provide the type of event triggering the activation of the guarantee/financial support, i.e. the event enabling the right for the counterparty to execute the guarantee, either ‘Default’, ‘Solvency-related’, Liquidity related’ or ‘Other’ from a predefined list.</t>
  </si>
  <si>
    <t>guarantee_trigger</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</si>
  <si>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</si>
  <si>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</si>
  <si>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Guarantee fulfils the requirements pursuant to Article 12g(3) SRMR</t>
  </si>
  <si>
    <t>[Yes/No]</t>
  </si>
  <si>
    <t>Guarantee fulfils the requirements pursuant to Article 12g(3) SRMR. “Yes” should be selected only if the SRB officially recognised that all necessary requirements have been fulfilled</t>
  </si>
  <si>
    <t>flag_guarantee_requirements_srmr</t>
  </si>
  <si>
    <t>Campo Fixo: 'N/A'</t>
  </si>
  <si>
    <t>Guarantee fulfils the requirements pursuant to art. 12g(3) SRMR</t>
  </si>
  <si>
    <t>Indicate whether the guarantee fulfils the requirements pursuant to Article 12g(3) SRMR. The value to be reported is a TRUE/FALSE Boolean. ‘TRUE’ should be selected only if the SRB has officially recognised that all necessary requirements have been fulfilled.</t>
  </si>
  <si>
    <t>Percentage of collateralisation of the guarantee provided by the resolution entity through a financial collateral arrangement</t>
  </si>
  <si>
    <t>[% of Euro amount]</t>
  </si>
  <si>
    <t>A financial collateral arrangement means a title transfer financial collateral arrangement or a security financial collateral arrangement whether or not these are covered by a master agreement or general terms and conditions.</t>
  </si>
  <si>
    <t>percentage_collateralisation</t>
  </si>
  <si>
    <t xml:space="preserve">1) Para os registos que estão na cd_alm.al602_repos_alm: [(haircut_tit / 100)  + 1 ] * 100
2) Para os registos que não estão na cd_alm.al602_repos_alm colocar valor fixo 0.
</t>
  </si>
  <si>
    <t xml:space="preserve">Reunião Pedro Mendes 2025-02-10
</t>
  </si>
  <si>
    <t>Issuance Date of the collateral</t>
  </si>
  <si>
    <t>Date of the original issuance of the collateral.</t>
  </si>
  <si>
    <t>issuance_date_collateral</t>
  </si>
  <si>
    <t>1) Para os registos que estão na cd_alm.al602_repos_alm obter o campo dt_inicio.
2) Para os registos que não estão na cd_alm.al602_repos_alm colocar valor fixo 'N/A' (Varchar Default value for not applicable fields).</t>
  </si>
  <si>
    <t>Legal Maturity date</t>
  </si>
  <si>
    <t>Date of the legal, final maturity of the collateral.</t>
  </si>
  <si>
    <t>maturity_date_collateral</t>
  </si>
  <si>
    <t>1) Para os registos que estão na cd_alm.al602_repos_alm obter o campo dt_fim.
2) Para os registos que não estão na cd_alm.al602_repos_alm colocar valor fixo 'N/A' (Varchar Default value for not applicable fields).</t>
  </si>
  <si>
    <t xml:space="preserve">Reunião Pedro Mendes 2025-01-21
</t>
  </si>
  <si>
    <t>Identification number of the securities used as collateral for the guarantee.</t>
  </si>
  <si>
    <t>id_securities_collateral</t>
  </si>
  <si>
    <t>1) Para os registos que estão na cd_alm.al602_repos_alm obter concat(cempresa_tit,cbalcao_tit, cnumecta_tit,zdeposit_tit).
2) Para os registos que não estão na cd_alm.al602_repos_alm colocar valor fixo 'N/A' (Varchar Default value for not applicable fields).</t>
  </si>
  <si>
    <t>Collateralisation by assets of the resolution entity</t>
  </si>
  <si>
    <t>Identifier of whether liability has been collateralised by assets of the institution under resolution itself.</t>
  </si>
  <si>
    <t>flag_collateral_assets_resol_entity</t>
  </si>
  <si>
    <t>1) Para os registos que estão na cd_alm.al602_repos_alm e que têm concat(cempresa_tit,cbalcao_tit, cnumecta_tit,zdeposit_tit) preenchido, colocar valor fixo 'Yes'.
2) Para os registos que não estão na cd_alm.al602_repos_alm colocar valor fixo 'No'.</t>
  </si>
  <si>
    <t>Location of the security</t>
  </si>
  <si>
    <t>ISO 3166-1 alpha 2 country code (ISO 3166-1 alpha-2 codes of the country where the security is located).</t>
  </si>
  <si>
    <t>location_security</t>
  </si>
  <si>
    <t>1) Para os registos que estão na cd_alm.al602_repos_alm e que têm concat(cempresa_tit,cbalcao_tit, cnumecta_tit,zdeposit_tit) preenchido, colocar valor fixo 'PT'.
2) Para os registos que não estão na cd_alm.al602_repos_alm colocar valor fixo 'N/A' (Varchar Default value for not applicable fields).</t>
  </si>
  <si>
    <t xml:space="preserve">Type of collateralisation </t>
  </si>
  <si>
    <t>[e.g. securities, loans]</t>
  </si>
  <si>
    <t>Specify type of collateral as defined per Article 12g(3)(f) of SRMR and Article 197 CRR2.</t>
  </si>
  <si>
    <t>type_collateralisation</t>
  </si>
  <si>
    <t>1) Para os registos que estão na cd_alm.al602_repos_alm e que têm concat(cempresa_tit,cbalcao_tit, cnumecta_tit,zdeposit_tit) preenchido, colocar valor fixo 'securities'.
2) Para os registos que não estão na cd_alm.al602_repos_alm colocar valor fixo 'N/A' (Varchar Default value for not applicable fields).</t>
  </si>
  <si>
    <t>Value of collateral</t>
  </si>
  <si>
    <t>The amount of the value of the collateral as determined for the relevant ‘type of collateral value’. For unsecured liabilities, this category shall be reported as zero.</t>
  </si>
  <si>
    <t>value_collateral</t>
  </si>
  <si>
    <t>1) Para os registos que estão na cd_alm.al602_repos_alm e que têm concat(cempresa_tit,cbalcao_tit, cnumecta_tit,zdeposit_tit) preenchido obter o campo mon_nom_atu_tit.
2) Para os registos que não estão na cd_alm.al602_repos_alm colocar valor fixo 0.</t>
  </si>
  <si>
    <t>B03.00</t>
  </si>
  <si>
    <t>Net value of collateral posted</t>
  </si>
  <si>
    <t>The net market value of collateral positions under a netting set (i.e. collateral posted decreased by any collateral received). This should include any margin accounts under the netting arrangements. It should be reported as a positive value for net collateral posted to counterparties.</t>
  </si>
  <si>
    <t xml:space="preserve">Type of protection value </t>
  </si>
  <si>
    <t>Drop-down: 
- Notional amount (1) 
- Fair value (2) 
- Market value (3) 
- Long-term sustainable value (4) 
- Other protection value (5)</t>
  </si>
  <si>
    <t>Identification of the type of value as it appears in the data attribute ‘Value of collateral’.</t>
  </si>
  <si>
    <t>type_protection_value</t>
  </si>
  <si>
    <t>1) Para os registos que estão na cd_alm.al602_repos_alm e que têm concat(cempresa_tit,cbalcao_tit, cnumecta_tit,zdeposit_tit) preenchido colocar valor fixo 'Market value (3)'.
2) Para os registos que não estão na cd_alm.al602_repos_alm colocar valor fixo 'N/A' (Varchar Default value for not applicable fields).</t>
  </si>
  <si>
    <t>Date of the value of the security</t>
  </si>
  <si>
    <t>The date on which the most recent estimate or valuation of the collateral was carried out before the reporting reference date</t>
  </si>
  <si>
    <t>date_value_security</t>
  </si>
  <si>
    <t>1) Para os registos que estão na cd_alm.al602_repos_alm e que têm concat(cempresa_tit,cbalcao_tit, cnumecta_tit,zdeposit_tit) preenchido: ref_date -1 mês 
ex: ref_date=2024-12-31 então 2024-11-30
2) Para os registos que não estão na cd_alm.al602_repos_alm colocar valor fixo 'N/A' (Varchar Default value for not applicable fields).</t>
  </si>
  <si>
    <t>Protection valuation approach</t>
  </si>
  <si>
    <t>Drop-down: 
- Mark-to-market valuation (1) 
- Counterparty estimation (2) 
- Creditor valuation (3) 
- Third party valuation (4)</t>
  </si>
  <si>
    <t>The type of collateral assessment to determine their fair value.</t>
  </si>
  <si>
    <t>protection_valuation_approach</t>
  </si>
  <si>
    <t>1) Para os registos que estão na cd_alm.al602_repos_alm e que têm concat(cempresa_tit,cbalcao_tit, cnumecta_tit,zdeposit_tit) preenchido colocar valor fixo 'Mark-to-market valuation (1)'.
2) Para os registos que não estão na cd_alm.al602_repos_alm colocar valor fixo 'N/A' (Varchar Default value for not applicable fields).</t>
  </si>
  <si>
    <t>O Bail-in constará na Tabela LT002 em que:</t>
  </si>
  <si>
    <t xml:space="preserve"> - Os campos desdobráveis (os que têm mais do que 1 valor para o mesmo contrato) terão os valores separados por ;? O separador de campos num CSV já é ; pelo que se deveria selecionar outro separador.</t>
  </si>
  <si>
    <t xml:space="preserve"> - Terão de se identificar os campos desdobráveis</t>
  </si>
  <si>
    <t xml:space="preserve"> - Existem campos que não estão preparados para desdobrar (Gross carrying amount)</t>
  </si>
  <si>
    <t>Se em algum momento a Corporação/SRB exigirem o desdobramento, terá depois se efetuar um desenvolvimento que pega no vetor e faz o desdobramento</t>
  </si>
  <si>
    <t>Temos 3 tipos de campos:</t>
  </si>
  <si>
    <t xml:space="preserve"> - Os que já existem atualmente no LT e que vão que ter que ser desdobrados -&gt; vamos ter de alterar estes campos para poderem desdobrar (G) dado que não se quer criar campos novos iguais mas que desdobrem</t>
  </si>
  <si>
    <t xml:space="preserve"> - Os que vão manter o valor (ou seja o valor repete-se) e que não são vetores -&gt; não tem de se fazer nada</t>
  </si>
  <si>
    <t xml:space="preserve"> - Os que são desdobráveis</t>
  </si>
  <si>
    <t>LT002 As Is</t>
  </si>
  <si>
    <t>contrato</t>
  </si>
  <si>
    <t>GCA</t>
  </si>
  <si>
    <t>32023234234234300</t>
  </si>
  <si>
    <t>LT002 Intermédia</t>
  </si>
  <si>
    <t>segmento_xpto</t>
  </si>
  <si>
    <t>123</t>
  </si>
  <si>
    <t>A</t>
  </si>
  <si>
    <t>B</t>
  </si>
  <si>
    <t>C</t>
  </si>
  <si>
    <t>LT002 To Be</t>
  </si>
  <si>
    <t>123;123;1234</t>
  </si>
  <si>
    <t>A;B;C</t>
  </si>
  <si>
    <t>30000</t>
  </si>
  <si>
    <t>Se for preciso abrir no futuro:</t>
  </si>
  <si>
    <t>10000</t>
  </si>
  <si>
    <t>#</t>
  </si>
  <si>
    <t>Data set</t>
  </si>
  <si>
    <t>Terá de atacar as tabelas fazendo o filtro para passivo  com exceção do Data point 5 que tem uma parte de extrapatrimonial</t>
  </si>
  <si>
    <t>TODOS</t>
  </si>
  <si>
    <t>Os depósitos de clientes terá de ser feito um cruzamento com a tabela do FGD (FG001_FGD no cap tools). Os depósitos depois são divididos entre cobertos e não cobertos sendo que têm tratamento diferente consoante o caso.</t>
  </si>
  <si>
    <t>Para a parte das emissões de títulos, a ligação entre a AL029/AL030 e a CT610 deverá ser feita por ISIN/ZDEPOSIT</t>
  </si>
  <si>
    <t>1. DATA POINTS FOR IDENTIFICATION</t>
  </si>
  <si>
    <t>lt809_typ_instrmnt</t>
  </si>
  <si>
    <t>lt829_regras_conversao</t>
  </si>
  <si>
    <t>instrmnt_fncr</t>
  </si>
  <si>
    <t>c_typ_instmnt</t>
  </si>
  <si>
    <t>ordem</t>
  </si>
  <si>
    <t>typ_instrmnt</t>
  </si>
  <si>
    <t>descritivo</t>
  </si>
  <si>
    <t>tabela</t>
  </si>
  <si>
    <t>campo_conceito</t>
  </si>
  <si>
    <t>regra_conversao</t>
  </si>
  <si>
    <t>valor_conceito</t>
  </si>
  <si>
    <t>valor_final</t>
  </si>
  <si>
    <t>descritivo_valor_ final</t>
  </si>
  <si>
    <t>NULL</t>
  </si>
  <si>
    <t>Loans other than overdrafts, convenience credit, extended credit, credit card credit, revolving credit other than credit card credit, reverse repurchase agreements, trade receivables and financial leases</t>
  </si>
  <si>
    <t>Revolving credit other than overdrafts and credit card debt</t>
  </si>
  <si>
    <t>Credit lines other than revolving credit</t>
  </si>
  <si>
    <t>Reverse repurchase agreements</t>
  </si>
  <si>
    <t>Trade receivables</t>
  </si>
  <si>
    <t>Overdrafts</t>
  </si>
  <si>
    <t>Credit card debt</t>
  </si>
  <si>
    <t>Financial leases</t>
  </si>
  <si>
    <t>instrumentos de divida</t>
  </si>
  <si>
    <t>Debt securities</t>
  </si>
  <si>
    <t>****</t>
  </si>
  <si>
    <t>Deposits other than reverse repurchase agreements</t>
  </si>
  <si>
    <t>Column1</t>
  </si>
  <si>
    <t>Column2</t>
  </si>
  <si>
    <t>Column3</t>
  </si>
  <si>
    <t>Column4</t>
  </si>
  <si>
    <t>Column5</t>
  </si>
  <si>
    <t>freq</t>
  </si>
  <si>
    <t>freq_traduzida_246</t>
  </si>
  <si>
    <t>freq_traduzida_247</t>
  </si>
  <si>
    <t>freq_traduzida_248</t>
  </si>
  <si>
    <t>freq_traduzida_785</t>
  </si>
  <si>
    <t>tayd91c0_celemtab</t>
  </si>
  <si>
    <t>tayd91c0_gelemtab</t>
  </si>
  <si>
    <t>ANUAL</t>
  </si>
  <si>
    <t>M16</t>
  </si>
  <si>
    <t>16 MESES</t>
  </si>
  <si>
    <t>BIMENSAL</t>
  </si>
  <si>
    <t>SEMESTRAL</t>
  </si>
  <si>
    <t xml:space="preserve">   </t>
  </si>
  <si>
    <t>DIARIO</t>
  </si>
  <si>
    <t>M86</t>
  </si>
  <si>
    <t>MENSAL</t>
  </si>
  <si>
    <t>TRIMESTRAL</t>
  </si>
  <si>
    <t>   SELECT DISTINCT tayd91c0_celemtab, tayd91c0_gelemtab--tayd91c0_celemtab, tayd91c0_gelemtab as freq_traduzida_248</t>
  </si>
  <si>
    <t>M42</t>
  </si>
  <si>
    <t>    FROM cd_estruturais.tat91_tabelas</t>
  </si>
  <si>
    <t>    WHERE data_date_part = (SELECT MAX(data_date_part) FROM cd_estruturais.tat91_tabelas) </t>
  </si>
  <si>
    <t>M14</t>
  </si>
  <si>
    <t>14 MESES</t>
  </si>
  <si>
    <t>    AND tayd91c0_ctabela = '248'</t>
  </si>
  <si>
    <t>8 MESES</t>
  </si>
  <si>
    <t>    AND tayd91c0_gelemtab in ('TRIMESTRAL','SEMESTRAL','MENSAL','DIARIO','BIMENSAL','ANUAL')</t>
  </si>
  <si>
    <t>N05</t>
  </si>
  <si>
    <t>5 ANOS</t>
  </si>
  <si>
    <t xml:space="preserve">   SELECT DISTINCT tayd91c0_celemtab, tayd91c0_gelemtab--tayd91c0_celemtab, tayd91c0_gelemtab as freq_traduzida_248</t>
  </si>
  <si>
    <t xml:space="preserve">    FROM cd_estruturais.tat91_tabelas</t>
  </si>
  <si>
    <t xml:space="preserve">    WHERE data_date_part = (SELECT MAX(data_date_part) FROM cd_estruturais.tat91_tabelas) </t>
  </si>
  <si>
    <t>M70</t>
  </si>
  <si>
    <t xml:space="preserve">    AND tayd91c0_ctabela = '248'</t>
  </si>
  <si>
    <t>M18</t>
  </si>
  <si>
    <t>18 MESES</t>
  </si>
  <si>
    <t xml:space="preserve">    AND tayd91c0_gelemtab in ('TRIMESTRAL','SEMESTRAL','MENSAL','DIARIO','BIMENSAL','ANUAL')</t>
  </si>
  <si>
    <t>M30</t>
  </si>
  <si>
    <t>30 MESES</t>
  </si>
  <si>
    <t>M01</t>
  </si>
  <si>
    <t>1 MES</t>
  </si>
  <si>
    <t>TRES ANOS</t>
  </si>
  <si>
    <t>3 ANOS</t>
  </si>
  <si>
    <t>M02</t>
  </si>
  <si>
    <t>2 MESES</t>
  </si>
  <si>
    <t>48 MESES</t>
  </si>
  <si>
    <t>M07</t>
  </si>
  <si>
    <t>7 MESES</t>
  </si>
  <si>
    <t>M36</t>
  </si>
  <si>
    <t>36 MESES</t>
  </si>
  <si>
    <t>M11</t>
  </si>
  <si>
    <t>11 MESES</t>
  </si>
  <si>
    <t>M06</t>
  </si>
  <si>
    <t>6 MESES</t>
  </si>
  <si>
    <t>15 MESES</t>
  </si>
  <si>
    <t>M85</t>
  </si>
  <si>
    <t>M09</t>
  </si>
  <si>
    <t>9 MESES</t>
  </si>
  <si>
    <t>M08</t>
  </si>
  <si>
    <t>M60</t>
  </si>
  <si>
    <t>M05</t>
  </si>
  <si>
    <t>5 MESES</t>
  </si>
  <si>
    <t>M03</t>
  </si>
  <si>
    <t>3 MESES</t>
  </si>
  <si>
    <t>M91</t>
  </si>
  <si>
    <t>4 MESES</t>
  </si>
  <si>
    <t>M10</t>
  </si>
  <si>
    <t>10 MESES</t>
  </si>
  <si>
    <t>37 MESES</t>
  </si>
  <si>
    <t>M04</t>
  </si>
  <si>
    <t>4 ANOS</t>
  </si>
  <si>
    <t>M39</t>
  </si>
  <si>
    <t>N01</t>
  </si>
  <si>
    <t>1 ANO</t>
  </si>
  <si>
    <t>VEN</t>
  </si>
  <si>
    <t>M17</t>
  </si>
  <si>
    <t>17 MESES</t>
  </si>
  <si>
    <t>M48</t>
  </si>
  <si>
    <t>96 MESES</t>
  </si>
  <si>
    <t>72 MESES</t>
  </si>
  <si>
    <t>A01</t>
  </si>
  <si>
    <t>M26</t>
  </si>
  <si>
    <t>26 MESES</t>
  </si>
  <si>
    <t>M72</t>
  </si>
  <si>
    <t>M54</t>
  </si>
  <si>
    <t>M19</t>
  </si>
  <si>
    <t>19 MESES</t>
  </si>
  <si>
    <t>84 MESES</t>
  </si>
  <si>
    <t>M23</t>
  </si>
  <si>
    <t>23 MESES</t>
  </si>
  <si>
    <t>M24</t>
  </si>
  <si>
    <t>24 MESES</t>
  </si>
  <si>
    <t>M99</t>
  </si>
  <si>
    <t>M46</t>
  </si>
  <si>
    <t>M20</t>
  </si>
  <si>
    <t>20 MESES</t>
  </si>
  <si>
    <t>M12</t>
  </si>
  <si>
    <t>12 MESES</t>
  </si>
  <si>
    <t>D07</t>
  </si>
  <si>
    <t>7 DIAS</t>
  </si>
  <si>
    <t>M96</t>
  </si>
  <si>
    <t>M21</t>
  </si>
  <si>
    <t>21 MESES</t>
  </si>
  <si>
    <t>M15</t>
  </si>
  <si>
    <t>M52</t>
  </si>
  <si>
    <t>2 ANOS</t>
  </si>
  <si>
    <t>M13</t>
  </si>
  <si>
    <t>13 MESES</t>
  </si>
  <si>
    <t>M84</t>
  </si>
  <si>
    <t>M22</t>
  </si>
  <si>
    <t>22 MESES</t>
  </si>
  <si>
    <t>M59</t>
  </si>
  <si>
    <t>60 MESES</t>
  </si>
  <si>
    <t>SELECT</t>
  </si>
  <si>
    <t>freq, freq_traduzida_246, freq_traduzida_247, freq_traduzida_248, freq_traduzida_785</t>
  </si>
  <si>
    <t>FROM</t>
  </si>
  <si>
    <t>(</t>
  </si>
  <si>
    <t xml:space="preserve"> SELECT DISTINCT cod_freq_taxa_act as freq</t>
  </si>
  <si>
    <t>FROM cd_alm.al029_cnt_core_m</t>
  </si>
  <si>
    <t>WHERE ref_date &gt; '2024'</t>
  </si>
  <si>
    <t xml:space="preserve"> UNION</t>
  </si>
  <si>
    <t>SELECT DISTINCT cod_freq_taxa_pas as freq</t>
  </si>
  <si>
    <t>SELECT DISTINCT cod_freq_amort_capital_act as freq</t>
  </si>
  <si>
    <t xml:space="preserve"> WHERE ref_date &gt; '2024'</t>
  </si>
  <si>
    <t>SELECT DISTINCT cod_freq_amort_capital_pas as freq</t>
  </si>
  <si>
    <t xml:space="preserve"> FROM cd_alm.al029_cnt_core_m</t>
  </si>
  <si>
    <t xml:space="preserve"> SELECT DISTINCT cod_freq_liq_jur_act as freq</t>
  </si>
  <si>
    <t xml:space="preserve"> SELECT DISTINCT cod_freq_liq_jur_pas as freq</t>
  </si>
  <si>
    <t>) as a</t>
  </si>
  <si>
    <t>LEFT JOIN</t>
  </si>
  <si>
    <t xml:space="preserve"> SELECT tayd91c0_celemtab, tayd91c0_gelemtab as freq_traduzida_246</t>
  </si>
  <si>
    <t xml:space="preserve"> FROM cd_estruturais.tat91_tabelas</t>
  </si>
  <si>
    <t xml:space="preserve"> WHERE data_date_part = (SELECT MAX(data_date_part) FROM cd_estruturais.tat91_tabelas)</t>
  </si>
  <si>
    <t xml:space="preserve"> AND tayd91c0_ctabela = '246'</t>
  </si>
  <si>
    <t>) as tat1</t>
  </si>
  <si>
    <t>ON tat1.tayd91c0_celemtab = a.freq</t>
  </si>
  <si>
    <t xml:space="preserve"> SELECT tayd91c0_celemtab, tayd91c0_gelemtab as freq_traduzida_247</t>
  </si>
  <si>
    <t xml:space="preserve"> AND tayd91c0_ctabela = '247'</t>
  </si>
  <si>
    <t>) as tat2</t>
  </si>
  <si>
    <t>ON tat2.tayd91c0_celemtab = a.freq</t>
  </si>
  <si>
    <t xml:space="preserve"> SELECT tayd91c0_celemtab, tayd91c0_gelemtab as freq_traduzida_248</t>
  </si>
  <si>
    <t>FROM cd_estruturais.tat91_tabelas</t>
  </si>
  <si>
    <t>AND tayd91c0_ctabela = '248'</t>
  </si>
  <si>
    <t>) as tat3</t>
  </si>
  <si>
    <t>ON tat3.tayd91c0_celemtab = a.freq</t>
  </si>
  <si>
    <t xml:space="preserve"> SELECT tayd91c0_celemtab, tayd91c0_gelemtab as freq_traduzida_785</t>
  </si>
  <si>
    <t>WHERE data_date_part = (SELECT MAX(data_date_part) FROM cd_estruturais.tat91_tabelas)</t>
  </si>
  <si>
    <t>AND tayd91c0_ctabela = '785'</t>
  </si>
  <si>
    <t>) as tat4</t>
  </si>
  <si>
    <t>ON tat4.tayd91c0_celemtab = a.freq</t>
  </si>
  <si>
    <t>Estados possiveis</t>
  </si>
  <si>
    <t>Estados de desenvolvimento possiveis</t>
  </si>
  <si>
    <t>Pronto a desenvolver</t>
  </si>
  <si>
    <t>Aguarda desenvolvimento de outras equipas</t>
  </si>
  <si>
    <t>Novo campo, mapeamento datalake pendente, com necessidade de criar parametrização</t>
  </si>
  <si>
    <t>Novo campo, mapeamento datalake pendente, sem necessidade de criar parametrização</t>
  </si>
  <si>
    <t>############## Create table ###############</t>
  </si>
  <si>
    <t>CREATE TABLE bu_captools_work.bail_in_srb (
  legal_entity STRING,
  lei_code STRING,
  id_liability STRING,
  nature_instrument STRING,
  governing_law STRING,
  contract_currency STRING,
  issuance_date STRING,
  legal_maturity_date STRING,
  earliest_redemption_date STRING,
  payment_interest_date STRING,
  outstanding_amount DECIMAL(38,6),
  insolvency_ranking STRING,
  flag_same_resol_group STRING,
  type_own_funds STRING,
  amount_own_funds DECIMAL(17,2),
  amount_subord_liabil_not_own_funds DECIMAL(17,2),
  second_own_funds_component STRING,
  amount_own_funds_component DECIMAL(17,2),
  agio_own_funds DECIMAL(17,2),
  carrying_amount_ifrs DECIMAL(38,6),
  carrying_amount_national_gaap DECIMAL(38,6),
  original_amount_issued_eur DECIMAL(21,6),
  original_amount_issued_currency DECIMAL(21,6),
  outstanding_principal_amount DECIMAL(38,6),
  accrued_interest DECIMAL(38,6),
  amount_writedown DECIMAL(38,6),
  portion_liabil_external_issuances DECIMAL(21,6),
  flag_requirements_srmr STRING,
  total_amount_fees_charges DECIMAL(38,6),
  country_contracting_party STRING,
  tax_residence_contracting_party STRING,
  name_contracting_party STRING,
  id_contracting_party STRING,
  counterparty_type STRING,
  counterparty_resol_group STRING,
  id_guarantee STRING,
  group_counterparty_id STRING,
  amount_guarantee DECIMAL(21,6),
  maximum_amount_guarantee DECIMAL(21,6),
  type_guarantee STRING,
  guarantee_trigger STRING,
  flag_guarantee_requirements_srmr STRING,
  percentage_collateralisation DECIMAL(27,17),
  issuance_date_collateral STRING,
  maturity_date_collateral STRING,
  id_securities_collateral STRING,
  flag_collateral_assets_resol_entity STRING,
  location_security STRING,
  type_collateralisation STRING,
  value_collateral STRING,
  type_protection_value STRING,
  date_value_security STRING,
  protection_valuation_approach STRING,
  ckutulmo STRING,
  htimest STRING
)
PARTITIONED BY (
  ref_date STRING
)</t>
  </si>
  <si>
    <t>############## CREATE TABLE universo_temp ###############</t>
  </si>
  <si>
    <t>Data Type</t>
  </si>
  <si>
    <t>Default value for missing data</t>
  </si>
  <si>
    <t>Default value for not applicable fields</t>
  </si>
  <si>
    <t>CREATE TABLE bu_captools_work.universo_temp (contract_id STRING, msaldo_final DECIMAL(38,6))</t>
  </si>
  <si>
    <t>Varchar (includes Varchar Code List)</t>
  </si>
  <si>
    <t>MISS</t>
  </si>
  <si>
    <t>Numeric (includes numeric Code List)</t>
  </si>
  <si>
    <t>##############INSERT INTO bu_captools_work.universo_temp ###############</t>
  </si>
  <si>
    <t>INSERT INTO bu_captools_work.universo_temp
SELECT concat(fr001.cempresa, fr001.cbalcao, fr001.cnumecta, fr001.zdeposit) as contract_id, sum(msaldo_final)						
FROM						
  (SELECT *						
   FROM cd_captools.fr001_univ_saldo						
   WHERE ref_date ='${ref_date}'						
     AND cempresa IN ('31','82','89') ) fr001						
INNER JOIN						
  (SELECT *						
   FROM cd_captools.fr802_pl_contas						
   WHERE ref_date = '${ref_date}'						
     AND cod_plano = 'BST_IND'						
     AND 						
     ( 						
        --Para a totalidade da sheet F01.02 do FINREP (Passivo):						
           tipo_conta='P' 						
        OR						
        --Para parte da sheet F01.03 do FINREP (Equity):						
            --Paid up capital (0020):						
            (tipo_conta='C' AND carteira_contabilistica='capital' AND instrumento_financeiro='instrumentos de capital')						
            OR						
            --Other equity instruments issued (0070):						
            (tipo_conta='C' AND carteira_contabilistica='outros instrumentos de capital' AND instrumento_financeiro='instrumentos de capital')						
            OR						
            --(-) Treasury shares (0240):						
            (tipo_conta='C'  AND carteira_contabilistica='acoes proprias') 						
     )						
   ) AS fr802 ON fr001.ccontab_final_ifrs = fr802.conta						
group by 1</t>
  </si>
  <si>
    <t>############## CREATE TABLE date_next_int_pay_temp ###############</t>
  </si>
  <si>
    <t>create table bu_captools_work.date_next_int_pay_temp ( contract_id string,payment_interest_date string);</t>
  </si>
  <si>
    <t>##############INSERT INTO date_next_int_pay_temp ###############</t>
  </si>
  <si>
    <t xml:space="preserve">INSERT into TABLE bu_captools_work.date_next_int_pay_temp											
select ty.contract_id,											
       ty.payment_interest_date											
from											
(											
SELECT  tx.contract_id,											
        tx.payment_interest_date,											
        (row_number() over (partition BY tx.contract_id											
                                  ORDER BY tx.contract_id,tx.payment_interest_date)) as rownumb											
FROM											
  (SELECT contract_id,											
          al029.chave_alm,											
          IF(al029.tipo_balanco='P', al029.dt_prox_liq_juros_pas, 'N/A') AS payment_interest_date											
   FROM											
     (SELECT *											
      FROM bu_captools_work.universo_temp											
      ) universo_temp --4 343 408											
LEFT JOIN											
     (SELECT chave_finrep,											
             chave_alm											
      FROM											
        (SELECT concat(cempresa_fr, cbalcao_fr, cnumecta_fr, zdeposit_fr) AS chave_finrep,											
                concat(cempresa, cbalcao, cnumecta, zdeposit) AS chave_master											
         FROM cd_captools.kt_chaves_finrep											
         WHERE ref_date='${ref_date}' ) kt_chaves_finrep											
      LEFT JOIN											
        (SELECT concat(cempresa, cbalcao, cnumecta, zdeposit) AS chave_alm,											
                concat(cempresa_master, cbalcao_master, cnumecta_master, zdeposit_master) AS chave_master											
         FROM cd_alm.kt_chaves_alm_m											
         WHERE ref_date='${ref_date}') kt_chaves_alm_m ON kt_chaves_finrep.chave_master = kt_chaves_alm_m.chave_master) trad ON universo_temp.contract_id = trad.chave_finrep											
   LEFT JOIN											
     (SELECT *,											
             concat(cempresa, cbalcao, cnumecta, zdeposit) AS chave_alm											
      FROM cd_alm.al029_cnt_core_m											
      WHERE ref_date='${ref_date}') al029 ON trad.chave_alm = al029.chave_alm) tx) ty where rownumb = 1;											
</t>
  </si>
  <si>
    <t>INSERT into TABLE bu_captools_work.temp_date_next_int_pay</t>
  </si>
  <si>
    <t>select ty.contract_id,</t>
  </si>
  <si>
    <t xml:space="preserve">       ty.payment_interest_date</t>
  </si>
  <si>
    <t>from</t>
  </si>
  <si>
    <t>SELECT  tx.contract_id,</t>
  </si>
  <si>
    <t xml:space="preserve">        tx.payment_interest_date,</t>
  </si>
  <si>
    <t xml:space="preserve">        (row_number() over (partition BY tx.contract_id</t>
  </si>
  <si>
    <t xml:space="preserve">                                  ORDER BY tx.contract_id,tx.payment_interest_date)) as rownumb</t>
  </si>
  <si>
    <t xml:space="preserve">  (SELECT contract_id,</t>
  </si>
  <si>
    <t xml:space="preserve">          al029.chave_alm,</t>
  </si>
  <si>
    <t xml:space="preserve">          IF(al029.tipo_balanco='P', al029.dt_prox_liq_juros_pas, 'N/A') AS payment_interest_date</t>
  </si>
  <si>
    <t xml:space="preserve">   FROM</t>
  </si>
  <si>
    <t xml:space="preserve">     (SELECT *</t>
  </si>
  <si>
    <t xml:space="preserve">      FROM bu_captools_work.universo_temp</t>
  </si>
  <si>
    <t xml:space="preserve">      ) universo_temp --4 343 408</t>
  </si>
  <si>
    <t xml:space="preserve">     (SELECT chave_finrep,</t>
  </si>
  <si>
    <t xml:space="preserve">             chave_alm</t>
  </si>
  <si>
    <t xml:space="preserve">      FROM</t>
  </si>
  <si>
    <t xml:space="preserve">        (SELECT concat(cempresa_fr, cbalcao_fr, cnumecta_fr, zdeposit_fr) AS chave_finrep,</t>
  </si>
  <si>
    <t xml:space="preserve">                concat(cempresa, cbalcao, cnumecta, zdeposit) AS chave_master</t>
  </si>
  <si>
    <t xml:space="preserve">         FROM cd_captools.kt_chaves_finrep</t>
  </si>
  <si>
    <t xml:space="preserve">         WHERE ref_date='${ref_date}' ) kt_chaves_finrep</t>
  </si>
  <si>
    <t xml:space="preserve">      LEFT JOIN</t>
  </si>
  <si>
    <t xml:space="preserve">        (SELECT concat(cempresa, cbalcao, cnumecta, zdeposit) AS chave_alm,</t>
  </si>
  <si>
    <t xml:space="preserve">                concat(cempresa_master, cbalcao_master, cnumecta_master, zdeposit_master) AS chave_master</t>
  </si>
  <si>
    <t xml:space="preserve">         FROM cd_alm.kt_chaves_alm_m</t>
  </si>
  <si>
    <t xml:space="preserve">         WHERE ref_date='${ref_date}') kt_chaves_alm_m ON kt_chaves_finrep.chave_master = kt_chaves_alm_m.chave_master) trad ON universo_temp.contract_id = trad.chave_finrep</t>
  </si>
  <si>
    <t xml:space="preserve">   LEFT JOIN</t>
  </si>
  <si>
    <t xml:space="preserve">     (SELECT *,</t>
  </si>
  <si>
    <t xml:space="preserve">             concat(cempresa, cbalcao, cnumecta, zdeposit) AS chave_alm</t>
  </si>
  <si>
    <t xml:space="preserve">      FROM cd_alm.al029_cnt_core_m</t>
  </si>
  <si>
    <t xml:space="preserve">      WHERE ref_date='${ref_date}') al029 ON trad.chave_alm = al029.chave_alm) tx) ty where rownumb = 1;</t>
  </si>
  <si>
    <t>ORDER BY payment_interest_date ASC) ty;</t>
  </si>
  <si>
    <t>campo : earliest_redemption_date</t>
  </si>
  <si>
    <t>SELECT DISTINCT ref_date,</t>
  </si>
  <si>
    <t xml:space="preserve">                concat(substr(dt_prim_amrt_ant_inv,7,4),substr(dt_prim_amrt_ant_inv,3,4),substr(dt_prim_amrt_ant_inv,1,2)) AS dt_prim_amrt_ant_inv,</t>
  </si>
  <si>
    <t xml:space="preserve">                dt_vencim,</t>
  </si>
  <si>
    <t xml:space="preserve">                   substring(</t>
  </si>
  <si>
    <t xml:space="preserve">        cast(if(concat(substr(dt_prim_amrt_ant_inv,7,4),substr(dt_prim_amrt_ant_inv,3,4),substr(dt_prim_amrt_ant_inv,1,2)) &lt; '${ref_date}',</t>
  </si>
  <si>
    <t xml:space="preserve">            if(add_months('${ref_date}',1) &lt; concat(substr(dt_vencim,7,4),substr(dt_vencim,3,4),substr(dt_vencim,1,2)),add_months('${ref_date}',1),concat(substr(dt_vencim,7,4),substr(dt_vencim,3,4),substr(dt_vencim,1,2))),</t>
  </si>
  <si>
    <t xml:space="preserve">            concat(substr(dt_prim_amrt_ant_inv,7,4),substr(dt_prim_amrt_ant_inv,3,4),substr(dt_prim_amrt_ant_inv,1,2))</t>
  </si>
  <si>
    <t xml:space="preserve">         )</t>
  </si>
  <si>
    <t xml:space="preserve">            </t>
  </si>
  <si>
    <t xml:space="preserve">            as string)</t>
  </si>
  <si>
    <t xml:space="preserve">            ,1,10)</t>
  </si>
  <si>
    <t>FROM cd_captools.ct610_titulos</t>
  </si>
  <si>
    <t>WHERE ref_date = '${ref_date}'</t>
  </si>
  <si>
    <t xml:space="preserve"> AND dt_prim_amrt_ant_inv IS NOT NULL;</t>
  </si>
  <si>
    <t xml:space="preserve">	INSERT OVERWRITE TABLE bu_captools_work.bail_in_srb PARTITION (ref_date='${ref_date}')
	SELECT DISTINCT legal_entity,
					lei_code,
					id_liability,
					nature_instrument,
					governing_law,
					contract_currency,
					issuance_date,
					legal_maturity_date,
					earliest_redemption_date,
					payment_interest_date,
					outstanding_amount,
					if(query2.insolvency_ranking = 'MISS' and query2.nature_instrument = 'Cash account/saving account','9',query2.insolvency_ranking) AS insolvency_ranking,
					flag_same_resol_group,
					type_own_funds,
					amount_own_funds,
					amount_subord_liabil_not_own_funds,
					second_own_funds_component,
					amount_own_funds_component,
					agio_own_funds,
					carrying_amount_ifrs,
					carrying_amount_national_gaap,
					original_amount_issued_eur,
					original_amount_issued_currency,
					outstanding_principal_amount,
					accrued_interest,
					amount_writedown,
					portion_liabil_external_issuances,
					if(cast(query2.insolvency_ranking AS int) &lt;= 8,'yes','no') AS flag_requirements_srmr,
					total_amount_fees_charges,
					country_contracting_party,
					tax_residence_contracting_party,
					name_contracting_party,
					id_contracting_party,
					counterparty_type,
					counterparty_resol_group,
					id_guarantee,
					group_counterparty_id,
					amount_guarantee,
					maximum_amount_guarantee,
					type_guarantee,
					guarantee_trigger,
					flag_guarantee_requirements_srmr,
					percentage_collateralisation,
					issuance_date_collateral,
					maturity_date_collateral,
					id_securities_collateral,
					flag_collateral_assets_resol_entity,
					location_security,
					type_collateralisation,
					value_collateral,
					type_protection_value,
					date_value_security,
					protection_valuation_approach,
					ckutulmo,
					htimest
	FROM
	  (SELECT legal_entity,
			  lei_code,
			  id_liability,
			  CASE
				  WHEN query1.nature_instrument = 'CARTOES MISTOS' THEN 'Other'
				  WHEN query1.nature_instrument = 'CONFIRMING' THEN 'Other'
				  WHEN query1.nature_instrument = 'CONTA CHEQUE FORNECEDORES' THEN 'Other'
				  WHEN query1.nature_instrument = 'CONTABILIZACAO CARTEIRA PROPRIA-TITULOS' THEN 'Other'
				  WHEN query1.nature_instrument = 'CONTAS CORRENTES - M.N.' THEN 'Other'
				  WHEN query1.nature_instrument = 'CONTAS CORRENTES - M/E' THEN 'Other'
				  WHEN query1.nature_instrument = 'CONTAS INTERNAS - M.N.' THEN 'Other'
				  WHEN query1.nature_instrument = 'CONTAS INTERNAS - MOEDA ESTRANGEIRA (NOSTROS)' THEN 'Other'
				  WHEN query1.nature_instrument = 'D.O. ESPECIAL' THEN 'Cash account/saving account'
				  WHEN query1.nature_instrument = 'DEP.ORDEM ME (OFFSHORE MADEIRA)' THEN 'Cash account/saving account'
				  WHEN query1.nature_instrument = 'DEP.ORDEM MN(OFFSHORE MADEIRA)' THEN 'Cash account/saving account'
				  WHEN query1.nature_instrument = 'DEPOSITO A ORDEM - M.N. (OFFSHORE CAYMAN)' THEN 'Cash account/saving account'
				  WHEN query1.nature_instrument = 'DEPOSITO A ORDEM - M.N.' THEN 'Cash account/saving account'
				  WHEN query1.nature_instrument = 'DEPOSITO A ORDEM - MOEDA ESTRANGEIRA OFFSHORE' THEN 'Cash account/saving account'
				  WHEN query1.nature_instrument = 'DEPOSITO A ORDEM - MOEDA ESTRANGEIRA' THEN 'Cash account/saving account'
				  WHEN query1.nature_instrument = 'DEPOSITO A PRAZO EM MOEDA NACIONAL' THEN 'Term deposit'
				  WHEN query1.nature_instrument = 'DEPOSITOS A PRAZO - M.E.' THEN 'Term deposit'
				  WHEN query1.nature_instrument = 'DEPOSITOS A PRAZO - M.N. (OFFSHORE)' THEN 'Term deposit'
				  WHEN query1.nature_instrument = 'DEPOSITOS A PRAZO - POUPANCA REFORMA' THEN 'Term deposit'
				  WHEN query1.nature_instrument = 'DEPOSITOS A PRAZO - PRODUTOS ESTRUTURADOS' THEN 'Term deposit'
				  WHEN query1.nature_instrument = 'DEPOSITOS A PRAZO EM MOEDA ESTRANGEIRA' THEN 'Term deposit'
				  WHEN query1.nature_instrument = 'DEPOSITOS A PRAZO EM MOEDA NACIONAL' THEN 'Term deposit'
				  WHEN query1.nature_instrument = 'DEPOSITOS DE POUPANCA' THEN 'Term deposit'
				  WHEN query1.nature_instrument = 'DEVEDORES / CREDORES DIVERSOS' THEN 'Other'
				  WHEN query1.nature_instrument = 'EMPRESTIMOS' THEN 'Other'
				  WHEN query1.nature_instrument = 'ESTRANGEIRO-AVALES E GARANTIAS' THEN 'Other'
				  WHEN query1.nature_instrument = 'FACTORING' THEN 'Other'
				  WHEN query1.nature_instrument = 'Obrigacao Hipotecaria' THEN 'Registered Bond'
				  WHEN query1.nature_instrument = 'Obrigacao Senior' THEN 'Registered Bond'
				  WHEN query1.nature_instrument = 'Obrigacao Subordinada' THEN 'Registered Bond'
				  WHEN query1.nature_instrument = 'PRODUTO GESTAO BALCAO' THEN 'Other'
				  WHEN query1.nature_instrument = 'PRODUTOS ESTRANGEIRO - CREDITOS DOCUMENTARIOS IMPORTACAO' THEN 'Other'
				  WHEN query1.nature_instrument = 'RESERVADO PARA NOVA APLICACAO DE TESOURARIA' THEN 'Borrower Note Loan'
				  WHEN query1.nature_instrument = 'SANTANDER - PRODUTOS TESOURARIA' THEN 'Other'
				  WHEN query1.nature_instrument = 'SUPER SATISFACAO RECARREGAVEL' THEN 'Other'
				  WHEN query1.nature_instrument = 'Titularizacao Sintetica' THEN 'Registered Bond'
				  WHEN query1.nature_instrument = 'Titularizacao' THEN 'Registered Bond'
				  WHEN query1.nature_instrument = 'Acao Ordinaria' THEN 'Title of ownership'
				  WHEN query1.nature_instrument = 'Acao Preferencial' THEN 'Title of ownership'
				  WHEN query1.nature_instrument = 'Emprestimo Subordinado' THEN 'Registered Bond'
				  WHEN query1.nature_instrument = 'Instrumento Fundos Proprios Adicionais Nivel 1 (AT1)' THEN 'Registered Bond'
				  WHEN query1.nature_instrument = 'Prestacao Suplementar' THEN 'Title of ownership'
				  WHEN query1.nature_instrument = 'Suprimento' THEN 'Title of ownership'
				  WHEN query1.nature_instrument IS NULL THEN 'MISS'
				  ELSE query1.nature_instrument
			  END AS nature_instrument,
			  governing_law,
			  contract_currency,
			  issuance_date,
			  legal_maturity_date,
			  earliest_redemption_date,
			  payment_interest_date,
			  outstanding_amount,
			  CASE
				  WHEN query1.contrato_ct610_aux IS NOT NULL THEN query1.rank_insolv_aux1
				  WHEN query1.nature_instrument = 'CARTOES MISTOS' THEN '14'
				  WHEN query1.nature_instrument = 'CONFIRMING' THEN '9'
				  WHEN query1.nature_instrument = 'CONTA CHEQUE FORNECEDORES' THEN '14'
				  WHEN query1.nature_instrument = 'CONTABILIZACAO CARTEIRA PROPRIA-TITULOS' THEN '9'
				  WHEN query1.nature_instrument = 'CONTAS CORRENTES - M.N.' THEN '9'
				  WHEN query1.nature_instrument = 'CONTAS CORRENTES - M/E' THEN '9'
				  WHEN query1.nature_instrument = 'CONTAS INTERNAS - M.N.' THEN '9'
				  WHEN query1.nature_instrument = 'CONTAS INTERNAS - MOEDA ESTRANGEIRA (NOSTROS)' THEN '9'
				  WHEN query1.nature_instrument = 'DEVEDORES / CREDORES DIVERSOS' THEN '14'
				  WHEN query1.nature_instrument = 'EMPRESTIMOS' THEN '9'
				  WHEN query1.nature_instrument = 'ESTRANGEIRO-AVALES E GARANTIAS' THEN '9'
				  WHEN query1.nature_instrument = 'FACTORING' THEN '9'
				  WHEN query1.nature_instrument IS NULL THEN '14'
				  WHEN query1.nature_instrument = 'PRODUTO GESTAO BALCAO' THEN '14'
				  WHEN query1.nature_instrument = 'PRODUTOS ESTRANGEIRO - CREDITOS DOCUMENTARIOS IMPORTACAO' THEN '9'
				  WHEN query1.nature_instrument = 'RESERVADO PARA NOVA APLICACAO DE TESOURARIA' THEN '20'
				  WHEN query1.nature_instrument = 'SUPER SATISFACAO RECARREGAVEL' THEN '12'	
                  WHEN query1.nature_instrument = 'SANTANDER - PRODUTOS TESOURARIA' THEN '9'																																						
				  WHEN query1.contrato_fg001_aux2 IS NOT NULL
					   AND query1.mtot_nao_coberto_por_depositante_aux3 &gt; 0
					   AND (query1.pme_aux4 IN (1,2,3)
							OR query1.counterparty_type = 'Households (1)') THEN '14;13'
				  WHEN query1.contrato_fg001_aux2 IS NOT NULL
					   AND query1.mtot_nao_coberto_por_depositante_aux3 &gt; 0
					   AND !(query1.pme_aux4 IN (1,2,3)
							 OR query1.counterparty_type = 'Households (1)') THEN '14;12'
				  WHEN query1.contrato_fg001_aux2 IS NOT NULL THEN '14'
				  WHEN query1.contrato_nao_existe_fg001 is NOT NULL THEN '12'																		
				  ELSE 'MISS'
			  END AS insolvency_ranking,
			  flag_same_resol_group,
			  type_own_funds,
			  amount_own_funds,
			  amount_subord_liabil_not_own_funds,
			  second_own_funds_component,
			  amount_own_funds_component,
			  agio_own_funds,
			  carrying_amount_ifrs,
			  carrying_amount_national_gaap,
			  original_amount_issued_eur,
			  original_amount_issued_currency,
	 -- 2 contratos que Pedro Mendes pediu para se incluir no universo de contratos bail-in
     query1.outstanding_amount - query1.accrued_interest AS outstanding_principal_amount,
	 accrued_interest,
	 amount_writedown,
	 portion_liabil_external_issuances,
	 total_amount_fees_charges,
	 country_contracting_party,
	 tax_residence_contracting_party,
	 name_contracting_party,
	 id_contracting_party,
	 counterparty_type,
	 counterparty_resol_group,
	 id_guarantee,
	 group_counterparty_id,
	 amount_guarantee,
	 maximum_amount_guarantee,
	 type_guarantee,
	 guarantee_trigger,
	 flag_guarantee_requirements_srmr,
	 percentage_collateralisation,
	 issuance_date_collateral,
	 maturity_date_collateral,
	 id_securities_collateral,
	 flag_collateral_assets_resol_entity,
	 location_security,
	 type_collateralisation,
	 value_collateral,
	 type_protection_value,
	 date_value_security,
	 protection_valuation_approach,
	 ckutulmo,
	 htimest
	   FROM
		 (SELECT 'BANCO SANTANDER TOTTA, S.A' AS legal_entity,
				 '549300URJH9VSI58CS32' AS lei_code,
				 temp.contract_id AS id_liability,
				 if(fr004.cproduto = '0V0','FACTORING',coalesce(ct610.tipo_titulo,tat91_023.tayd91c0_gelemtab)) AS nature_instrument,
				 coalesce(tat91_015.tayd91c0_nelemc09, 'PT') AS governing_law,
				 coalesce(tat91_206.TAYD91C0_NELEMC01, 'EUR') AS contract_currency,
				 CASE
					 WHEN trim(coalesce(concat(substr(ct610.dt_emissao,7,4),substr(ct610.dt_emissao,3,4),substr(ct610.dt_emissao,1,2)),fr004.data_abertura)) = '' THEN 'MISS'
					 ELSE coalesce(concat(substr(ct610.dt_emissao,7,4),substr(ct610.dt_emissao,3,4),substr(ct610.dt_emissao,1,2)),fr004.data_abertura)
				 END AS issuance_date,
				 CASE
					 WHEN trim(coalesce(concat(substr(ct610.dt_vencim,7,4),substr(ct610.dt_vencim,3,4),substr(ct610.dt_vencim,1,2)),fr004.data_vencimento)) = '' THEN 'MISS'
					 ELSE coalesce(concat(substr(ct610.dt_vencim,7,4),substr(ct610.dt_vencim,3,4),substr(ct610.dt_vencim,1,2)),fr004.data_vencimento)
				 END AS legal_maturity_date,
				 coalesce(concat(substr(ct610.dt_prim_amrt_ant_inv,7,4),substr(ct610.dt_prim_amrt_ant_inv,3,4),substr(ct610.dt_prim_amrt_ant_inv,1,2)),'N/A') AS earliest_redemption_date,
				 CASE
					 WHEN trim(date_next_int_pay_temp.payment_interest_date) = '' THEN 'MISS'
					 ELSE coalesce(date_next_int_pay_temp.payment_interest_date,'MISS')
				 END AS payment_interest_date, 
	 -- 2 contratos que Pedro Mendes pediu para se incluir no universo de contratos bail-in
     coalesce(TEMP.msaldo_final,0) AS outstanding_amount,
	 ct610.contrato_ct610 AS contrato_ct610_aux,
	 ct610.rank_insolv AS rank_insolv_aux1,
	 fg001.contrato_fg001 AS contrato_fg001_aux2,
	 fg001.mtot_nao_coberto_por_depositante AS mtot_nao_coberto_por_depositante_aux3,
	 fg001_nao_cobertos.contratos_n_cobertos_fg001 AS contrato_nao_existe_fg001,															 
	 busme.cod_empr_pme AS pme_aux4, IF (coalesce(substring(ct610.zcliente_investidor,1,10),fr004.zcliente) IN ('0000238954',
																								'6511000505',
																								'7400416271',
																								'7400416353',
																								'7400416520',
																								'7400416611',
																								'7400416763',
																								'7400507283',
																								'7400701625',
																								'7401474691',
																								'7401536276',
																								'8037849269',
																								'8043363752',
																								'8044173594',
																								'8046250676',
																								'8046296743',
																								'8046334916',
																								'9001925092'),'yes',
																											  'no') AS flag_same_resol_group,
										coalesce(ct610.eleg_fund_prop,'N/A') AS type_own_funds,
										coalesce(ct610.mon_fund_prop,0) AS amount_own_funds,
										0 AS amount_subord_liabil_not_own_funds,
										'N/A' AS second_own_funds_component,
										0 AS amount_own_funds_component,
										0 AS agio_own_funds, 
	 -- 2 contratos que Pedro Mendes pediu para se incluir no universo de contratos bail-in
     coalesce(TEMP.msaldo_final,99999999999.99) AS carrying_amount_ifrs,
	 coalesce(TEMP.msaldo_final,99999999999.99) AS carrying_amount_national_gaap,
	 coalesce(ct610.nom_tot_inic,0) AS original_amount_issued_eur,
	 0 AS original_amount_issued_currency,
	 coalesce(accrued_interest,0) AS accrued_interest, 
	 -- 2 contratos que Pedro Mendes pediu para se incluir no universo de contratos bail-in
	 IF(ct610.rank_insolv IN ('1','2','3','8'),TEMP.msaldo_final,0) AS amount_writedown,
	 0 AS portion_liabil_external_issuances,
	 coalesce(total_amount_fees_charges,0) AS total_amount_fees_charges,
	 coalesce(tat91_015_pais.tayd91c0_nelemc09,'MISS') AS country_contracting_party,
	 coalesce(tat91_015_pais.tayd91c0_nelemc09,'MISS') AS tax_residence_contracting_party,
	 coalesce(IF(ct003.itip_cli= 'F','Natural Customer',ct003.gcliente),'MISS') AS name_contracting_party,
	 coalesce(IF((IF(ct003.itip_cli= 'F','Natural Customer',ct003.clei)) = '#',coalesce(substring(ct610.zcliente_investidor,1,10),ct003.zcliente),IF(ct003.itip_cli= 'F','Natural Customer',ct003.clei)),'MISS') AS id_contracting_party,
	 CASE
		 WHEN ct003.contraparte = 'particulares' THEN 'Households (1)'
		 WHEN ct003.contraparte = 'outras empresas nao financeiras' THEN IF(busme.cod_empr_pme IN (1,2,3),'Non-financial corporations (SMEs) (2)','Non-financial corporations (non-SMEs) (3)')
		 WHEN ct003.contraparte = 'instituicoes de credito' THEN 'Credit institutions (4)'
		 WHEN ct003.contraparte = 'outras instituicoes financeiras ' THEN 'Other financial corporations (5)'
		 WHEN ct003.contraparte = 'bancos centrais' THEN 'General governments &amp; Central banks (6)'
		 WHEN ct003.contraparte = 'setor publico' THEN 'General governments &amp; Central banks (6)'
                 ELSE 'MISS'
	 END AS counterparty_type,
	 coalesce(IF(clientes_intragrupo.zcliente = coalesce(substring(ct610.zcliente_investidor,1,10),fr004.zcliente),IF(clientes_intragrupo.zcliente IN ('0000238954', '6511000505', '7400416271', '7400416353', '7400416520', '7400416611', '7400416763', '7400507283', '7400701625', '7401474691', '7401536276', '8037849269', '8043363752', '8044173594', '8046250676', '8046296743', '8046334916', '9001925092'), 'Intragroup but not intra-resolution group (2)','Intragroup and intra-resolution group (1)'), 'No'),'MISS') AS counterparty_resol_group,
	 'N/A' AS id_guarantee,
	 'N/A' AS group_counterparty_id,
	 0 AS amount_guarantee,
	 0 AS maximum_amount_guarantee,
	 'N/A' AS type_guarantee,
	 'N/A' AS guarantee_trigger,
	 'N/A' AS flag_guarantee_requirements_srmr,
	 coalesce((((al602.haircut_tit / 100) + 1) * 100),0) AS percentage_collateralisation,
	 coalesce(al602.dt_inicio,'N/A') AS issuance_date_collateral,
	 coalesce(al602.dt_fim,'N/A') AS maturity_date_collateral,
	 coalesce(concat(al602.cempresa_tit,al602.cbalcao_tit,al602.cnumecta_tit,zdeposit_tit),'N/A') AS id_securities_collateral,
	 coalesce(If(concat(al602.cempresa_tit,al602.cbalcao_tit,al602.cnumecta_tit,zdeposit_tit) != 'NULL', 'Yes', 'No'),'MISS') AS flag_collateral_assets_resol_entity,
	 coalesce(If(concat(al602.cempresa_tit,al602.cbalcao_tit,al602.cnumecta_tit,zdeposit_tit) != 'NULL', 'PT', 'N/A'),'MISS') AS location_security,
	 coalesce(If(concat(al602.cempresa_tit,al602.cbalcao_tit,al602.cnumecta_tit,zdeposit_tit) != 'NULL', 'securities', 'N/A'),'MISS') AS type_collateralisation,
	 cast(If(concat(al602.cempresa_tit,al602.cbalcao_tit,al602.cnumecta_tit,zdeposit_tit) != 'NULL', al602.mon_nom_atu_tit, 0) AS STRING) AS value_collateral,
	 coalesce(If(concat(al602.cempresa_tit,al602.cbalcao_tit,al602.cnumecta_tit,zdeposit_tit) != 'NULL', 'Market value (3)', 'N/A'),'MISS') AS type_protection_value,
	 coalesce(If(concat(al602.cempresa_tit,al602.cbalcao_tit,al602.cnumecta_tit,zdeposit_tit) != 'NULL', substr(cast(add_months(cast('${ref_date}' AS TIMESTAMP), -1) AS STRING),1,10), 'N/A'),'MISS') AS date_value_security,
	 coalesce(If(concat(al602.cempresa_tit,al602.cbalcao_tit,al602.cnumecta_tit,zdeposit_tit) != 'NULL', 'Mark-to-market valuation (1)', 'N/A'),'MISS') AS protection_valuation_approach,
	 'servdlakep' AS ckutulmo,
	 cast(current_timestamp() AS STRING) AS htimest
		  FROM bu_captools_work.universo_temp TEMP
		  LEFT JOIN
			(SELECT *
			 FROM cd_captools.fr004_cto
			 WHERE ref_date='${ref_date}') fr004 ON temp.contract_id = concat(fr004.cempresa,fr004.cbalcao,fr004.cnumecta,fr004.zdeposit)
		  LEFT JOIN
			(SELECT *,
					concat(cempresa,cbalcao,cnumecta,zdeposit) AS contrato_ct610
			 FROM cd_captools.ct610_titulos
			 WHERE ref_date='${ref_date}'
			   AND cempresa = '31') ct610 ON concat(ct610.cempresa,ct610.cbalcao,ct610.cnumecta,ct610.zdeposit) = concat(fr004.cempresa,fr004.cbalcao,fr004.cnumecta,fr004.zdeposit)
		  LEFT JOIN
			(SELECT *
			 FROM cd_captools.ct003_univ_cli
			 WHERE ref_date='${ref_date}') ct003 ON ct003.zcliente = coalesce(substring(ct610.zcliente_investidor,1,10),fr004.zcliente) 
		  LEFT JOIN 
		  -- Faz-se max(data_date_part) para se obter os dados mais recentes da tabela
			(SELECT t1.*
			 FROM
			   (SELECT *
				FROM cd_estruturais.tat91_tabelas
				WHERE tayd91c0_ctabela='015') t1
			 INNER JOIN
			   (SELECT max(data_date_part) AS data_date_part
				FROM cd_estruturais.tat91_tabelas
				WHERE tayd91c0_ctabela='015') t2 ON t1.data_date_part = t2.data_date_part) tat91_015 ON ct610.lei_aplicavel = tat91_015.tayd91c0_celemtab
		  LEFT JOIN 
		  -- Faz-se max(data_date_part) para se obter os dados mais recentes da tabela	
			(SELECT t1.*
			 FROM
			   (SELECT *
				FROM cd_estruturais.tat91_tabelas
				WHERE tayd91c0_ctabela='015') t1
			 INNER JOIN
			   (SELECT max(data_date_part) AS data_date_part
				FROM cd_estruturais.tat91_tabelas
				WHERE tayd91c0_ctabela='015') t2 ON t1.data_date_part = t2.data_date_part)tat91_015_pais ON tat91_015_pais.tayd91c0_celemtab = ct003.cpais_residencia
		  LEFT JOIN 
		  -- Faz-se max(data_date_part) para se obter os dados mais recentes da tabela
			(SELECT t1.*
			 FROM
			   (SELECT *
				FROM cd_estruturais.tat91_tabelas
				WHERE tayd91c0_ctabela='023') t1
			 INNER JOIN
			   (SELECT max(data_date_part) AS data_date_part
				FROM cd_estruturais.tat91_tabelas
				WHERE tayd91c0_ctabela='023') t2 ON t1.data_date_part = t2.data_date_part) tat91_023 ON fr004.cproduto = tat91_023.tayd91c0_celemtab
		  LEFT JOIN 
		  -- Faz-se max(data_date_part) para se obter os dados mais recentes da tabela
			(SELECT t1.*
			 FROM
			   (SELECT *
				FROM cd_estruturais.tat91_tabelas
				WHERE tayd91c0_ctabela='206') t1
			 INNER JOIN
			   (SELECT max(data_date_part) AS data_date_part
				FROM cd_estruturais.tat91_tabelas
				WHERE tayd91c0_ctabela='206') t2 ON t1.data_date_part = t2.data_date_part) tat91_206 ON tat91_206.tayd91c0_celemtab = coalesce(ct610.cmoeda,fr004.cmoeda1)
		  LEFT JOIN
			(SELECT *
			 FROM cd_alm.al602_repos_alm
			 WHERE ref_date='${ref_date}') al602 ON concat(fr004.cempresa,fr004.cbalcao,fr004.cnumecta,fr004.zdeposit)= concat(al602.cempresa,al602.cbalcao,al602.cnumecta,al602.zdeposit)
		  LEFT JOIN
			(SELECT *
			 FROM cd_captools.clientes_intragrupo
			 WHERE data_date_part='${ref_date}') clientes_intragrupo ON clientes_intragrupo.zcliente = coalesce(substring(ct610.zcliente_investidor,1,10),fr004.zcliente)
		  LEFT JOIN
			(SELECT *
			 FROM business_sme2003361.out_sme_2003_361
			 WHERE ref_date='${ref_date}') busme ON busme.zcliente = coalesce(substring(ct610.zcliente_investidor,1,10),fr004.zcliente)
		  LEFT JOIN
			(SELECT concat(cempresa,cbalcao,cnumecta,zdeposit) AS contrato_fg001,
					sum(mtot_nao_coberto_por_depositante) AS mtot_nao_coberto_por_depositante
			 FROM cd_alm.fg001_fgd
			 WHERE ref_date='${ref_date}'
			   AND calinea = '#'
			   AND flag_ativo = '1'
			 GROUP BY cempresa,
					  cbalcao,
					  cnumecta,
					  zdeposit) fg001 ON contrato_fg001 = concat(fr004.cempresa,fr004.cbalcao,fr004.cnumecta,fr004.zdeposit)
		 LEFT JOIN																		
         (SELECT concat(cempresa,cbalcao,cnumecta,zdeposit) AS contratos_n_cobertos_fg001																		
         FROM cd_alm.fg001_fgd																		
         WHERE ref_date='${ref_date}'																		
           AND !(calinea = '#' AND flag_ativo = '1'	)) fg001_nao_cobertos on contratos_n_cobertos_fg001 = concat(fr004.cempresa,fr004.cbalcao,fr004.cnumecta,fr004.zdeposit)
		 LEFT JOIN
			(SELECT *					   
			 FROM bu_captools_work.date_next_int_pay_temp) date_next_int_pay_temp ON date_next_int_pay_temp.contract_id = temp.contract_id
		  LEFT JOIN
			(SELECT CONCAT(cempresa,cbalcao,cnumecta,zdeposit) AS contract_id,
					NVL(SUM(MSALDO_FINAL), 0) AS accrued_interest
			 FROM
			   (SELECT *
				FROM cd_captools.fr001_univ_saldo
				WHERE ref_date ='${ref_date}' ) AS fr001
			 INNER JOIN
			   (SELECT *
				FROM cd_captools.fr802_pl_contas
				WHERE ref_date = '${ref_date}'
				  AND cod_plano = 'BST_IND'
				  AND COMPOSICAO_VALOR = 'juros/encargos a pagar'
				  AND (tipo_conta='P'
					   OR (tipo_conta='C'
						   AND instrumento_financeiro='instrumentos de capital')) ) AS fr802 ON fr001.ccontab_final_ifrs = fr802.conta
			 GROUP BY cempresa,
					  cbalcao,
					  cnumecta,
					  zdeposit) t_accrued_interest ON t_accrued_interest.contract_id = temp.contract_id
		  LEFT JOIN
			(SELECT CONCAT(cempresa,cbalcao,cnumecta,zdeposit) AS contract_id,
					NVL(SUM(MSALDO_FINAL), 0) AS total_amount_fees_charges
			 FROM
			   (SELECT *
				FROM cd_captools.fr001_univ_saldo
				WHERE ref_date ='${ref_date}' ) AS fr001
			 INNER JOIN
			   (SELECT *
				FROM cd_captools.fr802_pl_contas
				WHERE ref_date = '${ref_date}'
				  AND cod_plano = 'BST_IND'
				  AND (tipo_conta='P'
					   OR (tipo_conta='C'
						   AND instrumento_financeiro='instrumentos de capital'))
				  AND COMPOSICAO_VALOR = 'despesas/comissoes com encargo diferido associadas ao custo amortizado' ) AS fr802 ON fr001.ccontab_final_ifrs = fr802.conta
			 GROUP BY cempresa,
					  cbalcao,
					  cnumecta,
					  zdeposit) t_total_amount_fees_charges ON t_total_amount_fees_charges.contract_id = temp.contract_id) AS query1) AS query2;</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</si>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</sst>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theme="1"/>
      <name val="Santander Text"/>
      <family val="2"/>
    </font>
    <font>
      <sz val="11"/>
      <color theme="1"/>
      <name val="Calibri"/>
      <scheme val="minor"/>
    </font>
    <font>
      <b/>
      <sz val="10"/>
      <color rgb="FFFFFFFF"/>
      <name val="Santander Text"/>
      <family val="2"/>
    </font>
    <font>
      <sz val="10"/>
      <color rgb="FF000000"/>
      <name val="Santander Text"/>
      <family val="2"/>
    </font>
    <font>
      <b/>
      <sz val="12"/>
      <color theme="0"/>
      <name val="Santander Text"/>
      <family val="2"/>
    </font>
    <font>
      <b/>
      <sz val="14"/>
      <color theme="0"/>
      <name val="Santander Text"/>
      <family val="2"/>
    </font>
    <font>
      <sz val="8"/>
      <color rgb="FF000000"/>
      <name val="Arial"/>
      <family val="2"/>
    </font>
    <font>
      <sz val="8"/>
      <name val="Arial"/>
      <family val="2"/>
    </font>
    <font>
      <sz val="10"/>
      <color rgb="FF000000"/>
      <name val="Santander Text"/>
    </font>
    <font>
      <b/>
      <sz val="11"/>
      <color theme="1"/>
      <name val="Calibri"/>
      <family val="2"/>
      <scheme val="minor"/>
    </font>
    <font>
      <sz val="11"/>
      <color theme="0"/>
      <name val="Calibri"/>
      <family val="2"/>
      <scheme val="minor"/>
    </font>
    <font>
      <b/>
      <sz val="14"/>
      <color theme="1"/>
      <name val="Calibri"/>
      <family val="2"/>
      <scheme val="minor"/>
    </font>
    <font>
      <sz val="11"/>
      <color rgb="FF444444"/>
      <name val="Aptos Narrow"/>
      <family val="2"/>
    </font>
    <font>
      <sz val="9"/>
      <color indexed="81"/>
      <name val="Tahoma"/>
      <family val="2"/>
    </font>
    <font>
      <b/>
      <sz val="9"/>
      <color indexed="81"/>
      <name val="Tahoma"/>
      <family val="2"/>
    </font>
    <font>
      <b/>
      <sz val="10"/>
      <color theme="1"/>
      <name val="Santander Text"/>
    </font>
    <font>
      <sz val="11"/>
      <color theme="1"/>
      <name val="Santander Text"/>
      <family val="2"/>
    </font>
    <font>
      <sz val="11"/>
      <name val="Santander Text"/>
      <family val="2"/>
    </font>
    <font>
      <b/>
      <sz val="10"/>
      <color theme="1"/>
      <name val="Santander Text"/>
      <family val="2"/>
    </font>
    <font>
      <sz val="11"/>
      <color rgb="FF000000"/>
      <name val="Calibri"/>
      <family val="2"/>
    </font>
    <font>
      <b/>
      <sz val="11"/>
      <color rgb="FFFFFFFF"/>
      <name val="Calibri"/>
    </font>
    <font>
      <sz val="11"/>
      <color rgb="FF000000"/>
      <name val="Calibri"/>
    </font>
    <font>
      <b/>
      <sz val="11"/>
      <color rgb="FF000000"/>
      <name val="Calibri"/>
      <family val="2"/>
    </font>
    <font>
      <b/>
      <sz val="14"/>
      <color theme="0"/>
      <name val="Aptos Narrow"/>
      <charset val="1"/>
    </font>
    <font>
      <b/>
      <sz val="14"/>
      <color theme="1"/>
      <name val="Santander Text"/>
      <family val="2"/>
    </font>
    <font>
      <sz val="10"/>
      <color theme="1"/>
      <name val="Santander Text"/>
    </font>
    <font>
      <sz val="10"/>
      <color rgb="FF000000"/>
      <name val="Santander Text"/>
      <family val="2"/>
      <charset val="1"/>
    </font>
    <font>
      <i/>
      <sz val="10"/>
      <color rgb="FF000000"/>
      <name val="Santander Text"/>
    </font>
    <font>
      <b/>
      <sz val="11"/>
      <color rgb="FFFFFFFF"/>
      <name val="Calibri"/>
      <family val="2"/>
    </font>
    <font>
      <sz val="10"/>
      <color rgb="FFC00000"/>
      <name val="Santander Text"/>
    </font>
    <font>
      <sz val="10"/>
      <color rgb="FF000000"/>
      <name val="Santander Text"/>
      <charset val="1"/>
    </font>
  </fonts>
  <fills count="20">
    <fill>
      <patternFill patternType="none"/>
    </fill>
    <fill>
      <patternFill patternType="gray125"/>
    </fill>
    <fill>
      <patternFill patternType="solid">
        <fgColor rgb="FFFF0000"/>
        <bgColor indexed="64"/>
      </patternFill>
    </fill>
    <fill>
      <patternFill patternType="solid">
        <fgColor theme="2"/>
        <bgColor indexed="64"/>
      </patternFill>
    </fill>
    <fill>
      <patternFill patternType="solid">
        <fgColor theme="4"/>
        <bgColor indexed="64"/>
      </patternFill>
    </fill>
    <fill>
      <patternFill patternType="solid">
        <fgColor theme="6"/>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2D050"/>
        <bgColor indexed="64"/>
      </patternFill>
    </fill>
    <fill>
      <patternFill patternType="solid">
        <fgColor theme="5"/>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C0504D"/>
        <bgColor rgb="FFC0504D"/>
      </patternFill>
    </fill>
    <fill>
      <patternFill patternType="solid">
        <fgColor rgb="FFF2DCDB"/>
        <bgColor rgb="FFF2DCDB"/>
      </patternFill>
    </fill>
    <fill>
      <patternFill patternType="solid">
        <fgColor rgb="FF4F81BD"/>
        <bgColor rgb="FF4F81BD"/>
      </patternFill>
    </fill>
    <fill>
      <patternFill patternType="solid">
        <fgColor rgb="FFDCE6F1"/>
        <bgColor rgb="FFDCE6F1"/>
      </patternFill>
    </fill>
    <fill>
      <patternFill patternType="solid">
        <fgColor theme="9"/>
        <bgColor indexed="64"/>
      </patternFill>
    </fill>
    <fill>
      <patternFill patternType="solid">
        <fgColor rgb="FFFF0000"/>
        <bgColor rgb="FF000000"/>
      </patternFill>
    </fill>
    <fill>
      <patternFill patternType="solid">
        <fgColor rgb="FFFFC000"/>
        <bgColor indexed="64"/>
      </patternFill>
    </fill>
  </fills>
  <borders count="96">
    <border>
      <left/>
      <right/>
      <top/>
      <bottom/>
      <diagonal/>
    </border>
    <border>
      <left/>
      <right style="medium">
        <color rgb="FFD9D9D9"/>
      </right>
      <top style="medium">
        <color rgb="FFD9D9D9"/>
      </top>
      <bottom style="medium">
        <color rgb="FFD9D9D9"/>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thin">
        <color indexed="64"/>
      </top>
      <bottom style="thin">
        <color indexed="64"/>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indexed="64"/>
      </left>
      <right style="medium">
        <color indexed="64"/>
      </right>
      <top style="thin">
        <color indexed="64"/>
      </top>
      <bottom style="medium">
        <color indexed="64"/>
      </bottom>
      <diagonal/>
    </border>
    <border>
      <left style="medium">
        <color rgb="FF000000"/>
      </left>
      <right style="thin">
        <color indexed="64"/>
      </right>
      <top style="thin">
        <color indexed="64"/>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style="medium">
        <color rgb="FF000000"/>
      </bottom>
      <diagonal/>
    </border>
    <border>
      <left style="medium">
        <color indexed="64"/>
      </left>
      <right style="medium">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indexed="64"/>
      </left>
      <right/>
      <top/>
      <bottom style="thin">
        <color indexed="64"/>
      </bottom>
      <diagonal/>
    </border>
    <border>
      <left style="thin">
        <color indexed="64"/>
      </left>
      <right/>
      <top style="thin">
        <color indexed="64"/>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rgb="FFDA9694"/>
      </left>
      <right/>
      <top style="thin">
        <color rgb="FFDA9694"/>
      </top>
      <bottom style="thin">
        <color rgb="FFDA9694"/>
      </bottom>
      <diagonal/>
    </border>
    <border>
      <left/>
      <right/>
      <top style="thin">
        <color rgb="FFDA9694"/>
      </top>
      <bottom style="thin">
        <color rgb="FFDA9694"/>
      </bottom>
      <diagonal/>
    </border>
    <border>
      <left/>
      <right style="thin">
        <color rgb="FFDA9694"/>
      </right>
      <top style="thin">
        <color rgb="FFDA9694"/>
      </top>
      <bottom style="thin">
        <color rgb="FFDA9694"/>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indexed="64"/>
      </right>
      <top style="thin">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style="medium">
        <color rgb="FF000000"/>
      </right>
      <top style="thin">
        <color indexed="64"/>
      </top>
      <bottom/>
      <diagonal/>
    </border>
    <border>
      <left style="thin">
        <color indexed="64"/>
      </left>
      <right style="medium">
        <color rgb="FF000000"/>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medium">
        <color rgb="FF000000"/>
      </top>
      <bottom style="thin">
        <color rgb="FF000000"/>
      </bottom>
      <diagonal/>
    </border>
  </borders>
  <cellStyleXfs count="1">
    <xf numFmtId="0" fontId="0" fillId="0" borderId="0"/>
  </cellStyleXfs>
  <cellXfs count="346">
    <xf numFmtId="0" fontId="0" fillId="0" borderId="0" xfId="0"/>
    <xf numFmtId="0" fontId="2" fillId="2" borderId="1" xfId="0" applyFont="1" applyFill="1" applyBorder="1" applyAlignment="1">
      <alignment horizontal="left" vertical="center"/>
    </xf>
    <xf numFmtId="0" fontId="0" fillId="0" borderId="0" xfId="0" applyAlignment="1">
      <alignment vertical="center" wrapText="1"/>
    </xf>
    <xf numFmtId="0" fontId="0" fillId="0" borderId="0" xfId="0" applyAlignment="1">
      <alignment vertical="center"/>
    </xf>
    <xf numFmtId="0" fontId="3" fillId="0" borderId="2" xfId="0" applyFont="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4" fillId="5" borderId="2" xfId="0" applyFont="1" applyFill="1" applyBorder="1" applyAlignment="1">
      <alignment horizontal="center" vertical="center" wrapText="1"/>
    </xf>
    <xf numFmtId="0" fontId="0" fillId="0" borderId="0" xfId="0" applyAlignment="1">
      <alignment horizontal="center"/>
    </xf>
    <xf numFmtId="0" fontId="4" fillId="5" borderId="8" xfId="0" applyFont="1" applyFill="1" applyBorder="1" applyAlignment="1">
      <alignment horizontal="center" vertical="center" wrapText="1"/>
    </xf>
    <xf numFmtId="0" fontId="3" fillId="0" borderId="6" xfId="0" applyFont="1" applyBorder="1" applyAlignment="1">
      <alignment vertical="center" wrapText="1"/>
    </xf>
    <xf numFmtId="0" fontId="3" fillId="0" borderId="2" xfId="0" applyFont="1" applyBorder="1" applyAlignment="1">
      <alignment vertical="center" wrapText="1"/>
    </xf>
    <xf numFmtId="0" fontId="3" fillId="0" borderId="7" xfId="0" applyFont="1" applyBorder="1" applyAlignment="1">
      <alignment vertical="center" wrapText="1"/>
    </xf>
    <xf numFmtId="0" fontId="4" fillId="6" borderId="6"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3" fillId="0" borderId="8" xfId="0" applyFont="1" applyBorder="1" applyAlignment="1">
      <alignment horizontal="left" vertical="top" wrapText="1"/>
    </xf>
    <xf numFmtId="0" fontId="3" fillId="0" borderId="8" xfId="0" quotePrefix="1" applyFont="1" applyBorder="1" applyAlignment="1">
      <alignment horizontal="left" vertical="top" wrapText="1"/>
    </xf>
    <xf numFmtId="0" fontId="3" fillId="7" borderId="2" xfId="0" applyFont="1" applyFill="1" applyBorder="1" applyAlignment="1">
      <alignment horizontal="left" vertical="top" wrapText="1"/>
    </xf>
    <xf numFmtId="0" fontId="3" fillId="8" borderId="2" xfId="0" quotePrefix="1" applyFont="1" applyFill="1" applyBorder="1" applyAlignment="1">
      <alignment horizontal="left" vertical="top" wrapText="1"/>
    </xf>
    <xf numFmtId="0" fontId="6" fillId="0" borderId="2" xfId="0" applyFont="1" applyBorder="1" applyAlignment="1">
      <alignment horizontal="left" vertical="center" wrapText="1" readingOrder="1"/>
    </xf>
    <xf numFmtId="0" fontId="3" fillId="8" borderId="2" xfId="0" applyFont="1" applyFill="1" applyBorder="1" applyAlignment="1">
      <alignment horizontal="left" vertical="top" wrapText="1"/>
    </xf>
    <xf numFmtId="0" fontId="3" fillId="0" borderId="9" xfId="0" applyFont="1" applyBorder="1" applyAlignment="1">
      <alignment horizontal="center" vertical="center" wrapText="1"/>
    </xf>
    <xf numFmtId="0" fontId="9" fillId="0" borderId="0" xfId="0" applyFont="1" applyAlignment="1">
      <alignment horizontal="center" vertical="center"/>
    </xf>
    <xf numFmtId="0" fontId="9" fillId="3" borderId="13" xfId="0" applyFont="1" applyFill="1" applyBorder="1" applyAlignment="1">
      <alignment horizontal="center" vertical="center"/>
    </xf>
    <xf numFmtId="0" fontId="9" fillId="3" borderId="15" xfId="0" applyFont="1" applyFill="1" applyBorder="1" applyAlignment="1">
      <alignment horizontal="center" vertical="center"/>
    </xf>
    <xf numFmtId="0" fontId="9" fillId="3" borderId="16" xfId="0" applyFont="1" applyFill="1" applyBorder="1" applyAlignment="1">
      <alignment horizontal="center" vertical="center"/>
    </xf>
    <xf numFmtId="0" fontId="9" fillId="3" borderId="17" xfId="0" applyFont="1" applyFill="1" applyBorder="1" applyAlignment="1">
      <alignment horizontal="center"/>
    </xf>
    <xf numFmtId="10" fontId="9" fillId="3" borderId="18" xfId="0" applyNumberFormat="1" applyFont="1" applyFill="1" applyBorder="1" applyAlignment="1">
      <alignment horizontal="center"/>
    </xf>
    <xf numFmtId="0" fontId="9" fillId="3" borderId="18" xfId="0" applyFont="1" applyFill="1" applyBorder="1" applyAlignment="1">
      <alignment horizontal="center"/>
    </xf>
    <xf numFmtId="10" fontId="9" fillId="3" borderId="19" xfId="0" applyNumberFormat="1" applyFont="1" applyFill="1" applyBorder="1" applyAlignment="1">
      <alignment horizontal="center"/>
    </xf>
    <xf numFmtId="0" fontId="0" fillId="0" borderId="20" xfId="0" applyBorder="1"/>
    <xf numFmtId="0" fontId="10" fillId="5" borderId="21" xfId="0" applyFont="1" applyFill="1" applyBorder="1" applyAlignment="1">
      <alignment horizontal="center"/>
    </xf>
    <xf numFmtId="0" fontId="0" fillId="0" borderId="0" xfId="0" applyAlignment="1">
      <alignment horizontal="center" vertical="center"/>
    </xf>
    <xf numFmtId="0" fontId="10" fillId="5" borderId="22" xfId="0" applyFont="1" applyFill="1" applyBorder="1" applyAlignment="1">
      <alignment horizontal="center"/>
    </xf>
    <xf numFmtId="0" fontId="0" fillId="10" borderId="23" xfId="0" applyFill="1" applyBorder="1"/>
    <xf numFmtId="0" fontId="0" fillId="10" borderId="24" xfId="0" applyFill="1" applyBorder="1"/>
    <xf numFmtId="0" fontId="0" fillId="0" borderId="23" xfId="0" applyBorder="1"/>
    <xf numFmtId="0" fontId="0" fillId="0" borderId="25" xfId="0" applyBorder="1"/>
    <xf numFmtId="0" fontId="0" fillId="10" borderId="25" xfId="0" applyFill="1" applyBorder="1"/>
    <xf numFmtId="0" fontId="0" fillId="0" borderId="26" xfId="0" applyBorder="1"/>
    <xf numFmtId="0" fontId="0" fillId="10" borderId="27" xfId="0" applyFill="1" applyBorder="1"/>
    <xf numFmtId="0" fontId="12" fillId="0" borderId="0" xfId="0" applyFont="1"/>
    <xf numFmtId="0" fontId="9" fillId="0" borderId="0" xfId="0" applyFont="1" applyAlignment="1">
      <alignment vertical="center"/>
    </xf>
    <xf numFmtId="0" fontId="3" fillId="11" borderId="2" xfId="0" applyFont="1" applyFill="1" applyBorder="1" applyAlignment="1">
      <alignment horizontal="left" vertical="top" wrapText="1"/>
    </xf>
    <xf numFmtId="0" fontId="9" fillId="3" borderId="29" xfId="0" applyFont="1" applyFill="1" applyBorder="1" applyAlignment="1">
      <alignment horizontal="center" vertical="center"/>
    </xf>
    <xf numFmtId="0" fontId="0" fillId="11" borderId="25" xfId="0" applyFill="1" applyBorder="1"/>
    <xf numFmtId="0" fontId="3" fillId="11" borderId="25" xfId="0" applyFont="1" applyFill="1" applyBorder="1" applyAlignment="1">
      <alignment horizontal="left" vertical="center" wrapText="1"/>
    </xf>
    <xf numFmtId="0" fontId="9" fillId="3" borderId="30" xfId="0" applyFont="1" applyFill="1" applyBorder="1" applyAlignment="1">
      <alignment horizontal="right"/>
    </xf>
    <xf numFmtId="0" fontId="16" fillId="11" borderId="28" xfId="0" applyFont="1" applyFill="1" applyBorder="1" applyAlignment="1">
      <alignment horizontal="center"/>
    </xf>
    <xf numFmtId="10" fontId="16" fillId="11" borderId="15" xfId="0" applyNumberFormat="1" applyFont="1" applyFill="1" applyBorder="1" applyAlignment="1">
      <alignment horizontal="center"/>
    </xf>
    <xf numFmtId="0" fontId="17" fillId="11" borderId="15" xfId="0" applyFont="1" applyFill="1" applyBorder="1" applyAlignment="1">
      <alignment horizontal="center"/>
    </xf>
    <xf numFmtId="0" fontId="16" fillId="11" borderId="14" xfId="0" applyFont="1" applyFill="1" applyBorder="1" applyAlignment="1">
      <alignment horizontal="center"/>
    </xf>
    <xf numFmtId="0" fontId="16" fillId="11" borderId="15" xfId="0" applyFont="1" applyFill="1" applyBorder="1" applyAlignment="1">
      <alignment horizontal="center"/>
    </xf>
    <xf numFmtId="10" fontId="16" fillId="11" borderId="16" xfId="0" applyNumberFormat="1" applyFont="1" applyFill="1" applyBorder="1" applyAlignment="1">
      <alignment horizontal="center"/>
    </xf>
    <xf numFmtId="0" fontId="0" fillId="0" borderId="31" xfId="0" applyBorder="1"/>
    <xf numFmtId="0" fontId="9" fillId="3" borderId="32" xfId="0" applyFont="1" applyFill="1" applyBorder="1" applyAlignment="1">
      <alignment horizontal="center" vertical="center"/>
    </xf>
    <xf numFmtId="10" fontId="16" fillId="11" borderId="32" xfId="0" applyNumberFormat="1" applyFont="1" applyFill="1" applyBorder="1" applyAlignment="1">
      <alignment horizontal="center"/>
    </xf>
    <xf numFmtId="10" fontId="9" fillId="3" borderId="33" xfId="0" applyNumberFormat="1" applyFont="1" applyFill="1" applyBorder="1" applyAlignment="1">
      <alignment horizontal="center"/>
    </xf>
    <xf numFmtId="0" fontId="9" fillId="3" borderId="34" xfId="0" applyFont="1" applyFill="1" applyBorder="1" applyAlignment="1">
      <alignment horizontal="center" vertical="center"/>
    </xf>
    <xf numFmtId="0" fontId="17" fillId="11" borderId="34" xfId="0" applyFont="1" applyFill="1" applyBorder="1" applyAlignment="1">
      <alignment horizontal="center"/>
    </xf>
    <xf numFmtId="0" fontId="16" fillId="11" borderId="34" xfId="0" applyFont="1" applyFill="1" applyBorder="1" applyAlignment="1">
      <alignment horizontal="center"/>
    </xf>
    <xf numFmtId="0" fontId="9" fillId="3" borderId="35" xfId="0" applyFont="1" applyFill="1" applyBorder="1" applyAlignment="1">
      <alignment horizontal="center"/>
    </xf>
    <xf numFmtId="0" fontId="9" fillId="3" borderId="36" xfId="0" applyFont="1" applyFill="1" applyBorder="1" applyAlignment="1">
      <alignment horizontal="center" vertical="center" wrapText="1"/>
    </xf>
    <xf numFmtId="10" fontId="9" fillId="11" borderId="8" xfId="0" applyNumberFormat="1" applyFont="1" applyFill="1" applyBorder="1" applyAlignment="1">
      <alignment horizontal="center"/>
    </xf>
    <xf numFmtId="10" fontId="9" fillId="3" borderId="37" xfId="0" applyNumberFormat="1" applyFont="1" applyFill="1" applyBorder="1" applyAlignment="1">
      <alignment horizontal="center"/>
    </xf>
    <xf numFmtId="0" fontId="3" fillId="11" borderId="6" xfId="0" applyFont="1" applyFill="1" applyBorder="1" applyAlignment="1">
      <alignment vertical="center" wrapText="1"/>
    </xf>
    <xf numFmtId="0" fontId="3" fillId="8" borderId="6" xfId="0" applyFont="1" applyFill="1" applyBorder="1" applyAlignment="1">
      <alignment vertical="center" wrapText="1"/>
    </xf>
    <xf numFmtId="0" fontId="0" fillId="11" borderId="0" xfId="0" applyFill="1">
      <extLst>
        <ext xmlns:xfpb="http://schemas.microsoft.com/office/spreadsheetml/2022/featurepropertybag" uri="{C7286773-470A-42A8-94C5-96B5CB345126}">
          <xfpb:xfComplement i="0"/>
        </ext>
      </extLst>
    </xf>
    <xf numFmtId="0" fontId="0" fillId="11" borderId="0" xfId="0" applyFill="1"/>
    <xf numFmtId="0" fontId="0" fillId="0" borderId="15" xfId="0" applyBorder="1" applyAlignment="1">
      <alignment vertical="center" wrapText="1"/>
    </xf>
    <xf numFmtId="0" fontId="0" fillId="0" borderId="15" xfId="0" applyBorder="1" applyAlignment="1">
      <alignment vertical="center"/>
    </xf>
    <xf numFmtId="0" fontId="0" fillId="0" borderId="32" xfId="0" applyBorder="1" applyAlignment="1">
      <alignment vertical="center" wrapText="1"/>
    </xf>
    <xf numFmtId="0" fontId="18" fillId="0" borderId="0" xfId="0" applyFont="1" applyAlignment="1">
      <alignment vertical="center"/>
    </xf>
    <xf numFmtId="0" fontId="0" fillId="0" borderId="42" xfId="0" applyBorder="1" applyAlignment="1">
      <alignment vertical="center"/>
    </xf>
    <xf numFmtId="0" fontId="0" fillId="0" borderId="42" xfId="0" applyBorder="1" applyAlignment="1">
      <alignment vertical="center" wrapText="1"/>
    </xf>
    <xf numFmtId="0" fontId="19" fillId="0" borderId="0" xfId="0" applyFont="1"/>
    <xf numFmtId="0" fontId="19" fillId="0" borderId="44" xfId="0" applyFont="1" applyBorder="1"/>
    <xf numFmtId="0" fontId="19" fillId="0" borderId="45" xfId="0" applyFont="1" applyBorder="1"/>
    <xf numFmtId="0" fontId="19" fillId="0" borderId="46" xfId="0" applyFont="1" applyBorder="1"/>
    <xf numFmtId="0" fontId="19" fillId="0" borderId="47" xfId="0" applyFont="1" applyBorder="1"/>
    <xf numFmtId="0" fontId="20" fillId="13" borderId="48" xfId="0" applyFont="1" applyFill="1" applyBorder="1"/>
    <xf numFmtId="0" fontId="20" fillId="13" borderId="49" xfId="0" applyFont="1" applyFill="1" applyBorder="1"/>
    <xf numFmtId="0" fontId="20" fillId="13" borderId="50" xfId="0" applyFont="1" applyFill="1" applyBorder="1"/>
    <xf numFmtId="0" fontId="21" fillId="14" borderId="48" xfId="0" applyFont="1" applyFill="1" applyBorder="1"/>
    <xf numFmtId="0" fontId="21" fillId="14" borderId="49" xfId="0" applyFont="1" applyFill="1" applyBorder="1"/>
    <xf numFmtId="0" fontId="21" fillId="14" borderId="50" xfId="0" applyFont="1" applyFill="1" applyBorder="1"/>
    <xf numFmtId="0" fontId="21" fillId="0" borderId="48" xfId="0" applyFont="1" applyBorder="1"/>
    <xf numFmtId="0" fontId="21" fillId="0" borderId="49" xfId="0" applyFont="1" applyBorder="1"/>
    <xf numFmtId="0" fontId="21" fillId="0" borderId="50" xfId="0" applyFont="1" applyBorder="1"/>
    <xf numFmtId="14" fontId="21" fillId="14" borderId="48" xfId="0" applyNumberFormat="1" applyFont="1" applyFill="1" applyBorder="1"/>
    <xf numFmtId="14" fontId="21" fillId="0" borderId="48" xfId="0" applyNumberFormat="1" applyFont="1" applyBorder="1"/>
    <xf numFmtId="0" fontId="20" fillId="15" borderId="51" xfId="0" applyFont="1" applyFill="1" applyBorder="1"/>
    <xf numFmtId="0" fontId="20" fillId="15" borderId="52" xfId="0" applyFont="1" applyFill="1" applyBorder="1"/>
    <xf numFmtId="0" fontId="21" fillId="16" borderId="51" xfId="0" applyFont="1" applyFill="1" applyBorder="1"/>
    <xf numFmtId="0" fontId="21" fillId="16" borderId="52" xfId="0" applyFont="1" applyFill="1" applyBorder="1"/>
    <xf numFmtId="0" fontId="21" fillId="0" borderId="51" xfId="0" applyFont="1" applyBorder="1"/>
    <xf numFmtId="0" fontId="21" fillId="0" borderId="52" xfId="0" applyFont="1" applyBorder="1"/>
    <xf numFmtId="0" fontId="8" fillId="9" borderId="2" xfId="0" quotePrefix="1" applyFont="1" applyFill="1" applyBorder="1" applyAlignment="1">
      <alignment horizontal="left" vertical="top" wrapText="1"/>
    </xf>
    <xf numFmtId="0" fontId="3" fillId="0" borderId="53" xfId="0" applyFont="1" applyBorder="1" applyAlignment="1">
      <alignment horizontal="center" vertical="center" wrapText="1"/>
    </xf>
    <xf numFmtId="0" fontId="4" fillId="5" borderId="28" xfId="0" applyFont="1" applyFill="1" applyBorder="1" applyAlignment="1">
      <alignment horizontal="center" vertical="center" wrapText="1"/>
    </xf>
    <xf numFmtId="0" fontId="4" fillId="5" borderId="58" xfId="0" applyFont="1" applyFill="1" applyBorder="1" applyAlignment="1">
      <alignment horizontal="center" vertical="center" wrapText="1"/>
    </xf>
    <xf numFmtId="0" fontId="3" fillId="0" borderId="28" xfId="0" applyFont="1" applyBorder="1" applyAlignment="1">
      <alignment horizontal="center" vertical="center" wrapText="1"/>
    </xf>
    <xf numFmtId="0" fontId="3" fillId="0" borderId="5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59" xfId="0" applyFont="1" applyBorder="1" applyAlignment="1">
      <alignment horizontal="center" vertical="center" wrapText="1"/>
    </xf>
    <xf numFmtId="0" fontId="3" fillId="11" borderId="59" xfId="0" applyFont="1" applyFill="1" applyBorder="1" applyAlignment="1">
      <alignment horizontal="left" vertical="top" wrapText="1"/>
    </xf>
    <xf numFmtId="0" fontId="3" fillId="0" borderId="37" xfId="0" applyFont="1" applyBorder="1" applyAlignment="1">
      <alignment horizontal="left" vertical="top" wrapText="1"/>
    </xf>
    <xf numFmtId="0" fontId="3" fillId="0" borderId="60" xfId="0" applyFont="1" applyBorder="1" applyAlignment="1">
      <alignment horizontal="center" vertical="center" wrapText="1"/>
    </xf>
    <xf numFmtId="49" fontId="22" fillId="0" borderId="0" xfId="0" applyNumberFormat="1" applyFont="1"/>
    <xf numFmtId="49" fontId="19" fillId="0" borderId="0" xfId="0" applyNumberFormat="1" applyFont="1"/>
    <xf numFmtId="49" fontId="0" fillId="0" borderId="0" xfId="0" applyNumberFormat="1"/>
    <xf numFmtId="49" fontId="19" fillId="0" borderId="2" xfId="0" applyNumberFormat="1" applyFont="1" applyBorder="1"/>
    <xf numFmtId="49" fontId="19" fillId="0" borderId="53" xfId="0" applyNumberFormat="1" applyFont="1" applyBorder="1"/>
    <xf numFmtId="49" fontId="19" fillId="0" borderId="62" xfId="0" applyNumberFormat="1" applyFont="1" applyBorder="1"/>
    <xf numFmtId="49" fontId="19" fillId="0" borderId="63" xfId="0" applyNumberFormat="1" applyFont="1" applyBorder="1"/>
    <xf numFmtId="0" fontId="18" fillId="0" borderId="0" xfId="0" applyFont="1"/>
    <xf numFmtId="0" fontId="3" fillId="7" borderId="2" xfId="0" applyFont="1" applyFill="1" applyBorder="1" applyAlignment="1">
      <alignment horizontal="center" vertical="center" wrapText="1"/>
    </xf>
    <xf numFmtId="0" fontId="0" fillId="11" borderId="0" xfId="0" applyFill="1" applyAlignment="1">
      <alignment vertical="center" wrapText="1"/>
    </xf>
    <xf numFmtId="0" fontId="3" fillId="11" borderId="2" xfId="0" applyFont="1" applyFill="1" applyBorder="1" applyAlignment="1">
      <alignment horizontal="center" vertical="center" wrapText="1"/>
    </xf>
    <xf numFmtId="0" fontId="3" fillId="11" borderId="9" xfId="0" applyFont="1" applyFill="1" applyBorder="1" applyAlignment="1">
      <alignment horizontal="center" vertical="center" wrapText="1"/>
    </xf>
    <xf numFmtId="0" fontId="3" fillId="11" borderId="8" xfId="0" applyFont="1" applyFill="1" applyBorder="1" applyAlignment="1">
      <alignment horizontal="left" vertical="top" wrapText="1"/>
    </xf>
    <xf numFmtId="0" fontId="3" fillId="11" borderId="58" xfId="0" applyFont="1" applyFill="1" applyBorder="1" applyAlignment="1">
      <alignment horizontal="center" vertical="center" wrapText="1"/>
    </xf>
    <xf numFmtId="0" fontId="3" fillId="11" borderId="2" xfId="0" applyFont="1" applyFill="1" applyBorder="1" applyAlignment="1">
      <alignment vertical="center" wrapText="1"/>
    </xf>
    <xf numFmtId="0" fontId="3" fillId="11" borderId="7" xfId="0" applyFont="1" applyFill="1" applyBorder="1" applyAlignment="1">
      <alignment vertical="center" wrapText="1"/>
    </xf>
    <xf numFmtId="0" fontId="18" fillId="0" borderId="0" xfId="0" applyFont="1" applyAlignment="1">
      <alignment vertical="center" wrapText="1"/>
    </xf>
    <xf numFmtId="0" fontId="0" fillId="11" borderId="0" xfId="0" applyFill="1" applyAlignment="1">
      <alignment horizontal="left" vertical="center" wrapText="1"/>
    </xf>
    <xf numFmtId="0" fontId="5" fillId="11" borderId="0" xfId="0" applyFont="1" applyFill="1" applyAlignment="1">
      <alignment horizontal="center" vertical="center" wrapText="1"/>
    </xf>
    <xf numFmtId="0" fontId="4" fillId="5" borderId="15" xfId="0" applyFont="1" applyFill="1" applyBorder="1" applyAlignment="1">
      <alignment horizontal="center" vertical="center" wrapText="1"/>
    </xf>
    <xf numFmtId="0" fontId="4" fillId="17" borderId="15" xfId="0" applyFont="1" applyFill="1" applyBorder="1" applyAlignment="1">
      <alignment horizontal="center" vertical="center" wrapText="1"/>
    </xf>
    <xf numFmtId="0" fontId="3" fillId="0" borderId="15" xfId="0" applyFont="1" applyBorder="1" applyAlignment="1">
      <alignment horizontal="center" vertical="center" wrapText="1"/>
    </xf>
    <xf numFmtId="0" fontId="3" fillId="0" borderId="15" xfId="0" applyFont="1" applyBorder="1" applyAlignment="1">
      <alignment horizontal="left" vertical="center" wrapText="1"/>
    </xf>
    <xf numFmtId="0" fontId="8" fillId="0" borderId="15" xfId="0" applyFont="1" applyBorder="1" applyAlignment="1">
      <alignment horizontal="left" vertical="center" wrapText="1"/>
    </xf>
    <xf numFmtId="0" fontId="3" fillId="11" borderId="15" xfId="0" applyFont="1" applyFill="1" applyBorder="1" applyAlignment="1">
      <alignment horizontal="left" vertical="center" wrapText="1"/>
    </xf>
    <xf numFmtId="0" fontId="8" fillId="0" borderId="15" xfId="0" applyFont="1" applyBorder="1" applyAlignment="1">
      <alignment horizontal="center" vertical="center" wrapText="1"/>
    </xf>
    <xf numFmtId="0" fontId="3" fillId="11" borderId="61" xfId="0" applyFont="1" applyFill="1" applyBorder="1" applyAlignment="1">
      <alignment horizontal="center" vertical="center" wrapText="1"/>
    </xf>
    <xf numFmtId="0" fontId="3" fillId="0" borderId="15" xfId="0" applyFont="1" applyBorder="1" applyAlignment="1">
      <alignment vertical="center" wrapText="1"/>
    </xf>
    <xf numFmtId="0" fontId="4" fillId="4" borderId="15" xfId="0" applyFont="1" applyFill="1" applyBorder="1" applyAlignment="1">
      <alignment horizontal="center" vertical="center" wrapText="1"/>
    </xf>
    <xf numFmtId="49" fontId="3" fillId="0" borderId="15" xfId="0" applyNumberFormat="1" applyFont="1" applyBorder="1" applyAlignment="1">
      <alignment horizontal="left" vertical="center" wrapText="1"/>
    </xf>
    <xf numFmtId="49" fontId="3" fillId="11" borderId="15" xfId="0" applyNumberFormat="1" applyFont="1" applyFill="1" applyBorder="1" applyAlignment="1">
      <alignment horizontal="left" vertical="center" wrapText="1"/>
    </xf>
    <xf numFmtId="0" fontId="3" fillId="11" borderId="15" xfId="0" applyFont="1" applyFill="1" applyBorder="1" applyAlignment="1">
      <alignment horizontal="center" vertical="center" wrapText="1"/>
    </xf>
    <xf numFmtId="0" fontId="0" fillId="0" borderId="15" xfId="0" applyBorder="1" applyAlignment="1">
      <alignment horizontal="left" vertical="top" wrapText="1"/>
    </xf>
    <xf numFmtId="0" fontId="4" fillId="11" borderId="0" xfId="0" applyFont="1" applyFill="1" applyAlignment="1">
      <alignment horizontal="center" vertical="center" wrapText="1"/>
    </xf>
    <xf numFmtId="0" fontId="4" fillId="17" borderId="15" xfId="0" applyFont="1" applyFill="1" applyBorder="1" applyAlignment="1">
      <alignment horizontal="left" vertical="center" wrapText="1"/>
    </xf>
    <xf numFmtId="0" fontId="3" fillId="11" borderId="15" xfId="0" applyFont="1" applyFill="1" applyBorder="1" applyAlignment="1">
      <alignment horizontal="left" vertical="top" wrapText="1"/>
    </xf>
    <xf numFmtId="0" fontId="8" fillId="11" borderId="15" xfId="0" applyFont="1" applyFill="1" applyBorder="1" applyAlignment="1">
      <alignment horizontal="left" vertical="center" wrapText="1"/>
    </xf>
    <xf numFmtId="0" fontId="3" fillId="11" borderId="0" xfId="0" applyFont="1" applyFill="1" applyAlignment="1">
      <alignment horizontal="center" vertical="center" wrapText="1"/>
    </xf>
    <xf numFmtId="0" fontId="3" fillId="0" borderId="61" xfId="0" applyFont="1" applyBorder="1" applyAlignment="1">
      <alignment horizontal="center" vertical="center" wrapText="1"/>
    </xf>
    <xf numFmtId="0" fontId="0" fillId="11" borderId="32" xfId="0" applyFill="1" applyBorder="1" applyAlignment="1">
      <alignment vertical="center" wrapText="1"/>
    </xf>
    <xf numFmtId="0" fontId="24" fillId="11" borderId="0" xfId="0" applyFont="1" applyFill="1" applyAlignment="1">
      <alignment horizontal="center" vertical="center" wrapText="1"/>
    </xf>
    <xf numFmtId="0" fontId="25" fillId="11" borderId="0" xfId="0" applyFont="1" applyFill="1" applyAlignment="1">
      <alignment horizontal="left" vertical="center" wrapText="1"/>
    </xf>
    <xf numFmtId="0" fontId="4" fillId="17" borderId="14" xfId="0" applyFont="1" applyFill="1" applyBorder="1" applyAlignment="1">
      <alignment horizontal="center" vertical="center" wrapText="1"/>
    </xf>
    <xf numFmtId="0" fontId="3" fillId="0" borderId="14" xfId="0" applyFont="1" applyBorder="1" applyAlignment="1">
      <alignment horizontal="center" vertical="center" wrapText="1"/>
    </xf>
    <xf numFmtId="0" fontId="18" fillId="11" borderId="0" xfId="0" applyFont="1" applyFill="1" applyAlignment="1">
      <alignment horizontal="left" vertical="center" wrapText="1"/>
    </xf>
    <xf numFmtId="0" fontId="0" fillId="0" borderId="0" xfId="0" applyAlignment="1">
      <alignment horizontal="left" vertical="top" wrapText="1"/>
    </xf>
    <xf numFmtId="0" fontId="8" fillId="0" borderId="15" xfId="0" applyFont="1" applyBorder="1" applyAlignment="1">
      <alignment horizontal="left" vertical="top" wrapText="1"/>
    </xf>
    <xf numFmtId="0" fontId="0" fillId="0" borderId="15" xfId="0" applyBorder="1" applyAlignment="1">
      <alignment horizontal="center" vertical="center" wrapText="1"/>
    </xf>
    <xf numFmtId="0" fontId="0" fillId="11" borderId="0" xfId="0" applyFill="1" applyAlignment="1">
      <alignment horizontal="center" vertical="center" wrapText="1"/>
    </xf>
    <xf numFmtId="0" fontId="0" fillId="0" borderId="58" xfId="0" applyBorder="1" applyAlignment="1">
      <alignment horizontal="center" vertical="center" wrapText="1"/>
    </xf>
    <xf numFmtId="0" fontId="3" fillId="0" borderId="61" xfId="0" applyFont="1" applyBorder="1" applyAlignment="1">
      <alignment horizontal="left" vertical="top" wrapText="1"/>
    </xf>
    <xf numFmtId="0" fontId="26" fillId="0" borderId="14" xfId="0" applyFont="1" applyBorder="1" applyAlignment="1">
      <alignment horizontal="center" vertical="center"/>
    </xf>
    <xf numFmtId="0" fontId="26" fillId="0" borderId="15" xfId="0" applyFont="1" applyBorder="1" applyAlignment="1">
      <alignment horizontal="left" vertical="center"/>
    </xf>
    <xf numFmtId="0" fontId="8" fillId="8" borderId="2" xfId="0" applyFont="1" applyFill="1" applyBorder="1" applyAlignment="1">
      <alignment horizontal="left" vertical="top" wrapText="1"/>
    </xf>
    <xf numFmtId="0" fontId="0" fillId="11" borderId="0" xfId="0" applyFill="1" applyAlignment="1">
      <alignment horizontal="left" vertical="top" wrapText="1"/>
    </xf>
    <xf numFmtId="0" fontId="0" fillId="11" borderId="15" xfId="0" applyFill="1" applyBorder="1" applyAlignment="1">
      <alignment horizontal="left" vertical="top" wrapText="1"/>
    </xf>
    <xf numFmtId="0" fontId="18" fillId="0" borderId="32" xfId="0" applyFont="1" applyBorder="1" applyAlignment="1">
      <alignment horizontal="center" vertical="center" wrapText="1"/>
    </xf>
    <xf numFmtId="0" fontId="18" fillId="0" borderId="0" xfId="0" applyFont="1" applyAlignment="1">
      <alignment horizontal="center" vertical="center" wrapText="1"/>
    </xf>
    <xf numFmtId="0" fontId="0" fillId="0" borderId="15" xfId="0" applyBorder="1" applyAlignment="1">
      <alignment vertical="top" wrapText="1"/>
    </xf>
    <xf numFmtId="0" fontId="3" fillId="7" borderId="28" xfId="0" applyFont="1" applyFill="1" applyBorder="1" applyAlignment="1">
      <alignment horizontal="center" vertical="center" wrapText="1"/>
    </xf>
    <xf numFmtId="0" fontId="28" fillId="18" borderId="83" xfId="0" applyFont="1" applyFill="1" applyBorder="1" applyAlignment="1">
      <alignment horizontal="center" wrapText="1" readingOrder="1"/>
    </xf>
    <xf numFmtId="0" fontId="28" fillId="18" borderId="84" xfId="0" applyFont="1" applyFill="1" applyBorder="1" applyAlignment="1">
      <alignment horizontal="center" wrapText="1" readingOrder="1"/>
    </xf>
    <xf numFmtId="0" fontId="19" fillId="0" borderId="85" xfId="0" applyFont="1" applyBorder="1" applyAlignment="1">
      <alignment horizontal="center" wrapText="1" readingOrder="1"/>
    </xf>
    <xf numFmtId="0" fontId="19" fillId="0" borderId="86" xfId="0" applyFont="1" applyBorder="1" applyAlignment="1">
      <alignment horizontal="center" wrapText="1" readingOrder="1"/>
    </xf>
    <xf numFmtId="0" fontId="8" fillId="11" borderId="15" xfId="0" applyFont="1" applyFill="1" applyBorder="1" applyAlignment="1">
      <alignment horizontal="left" vertical="top" wrapText="1"/>
    </xf>
    <xf numFmtId="0" fontId="3" fillId="11" borderId="14" xfId="0" applyFont="1" applyFill="1" applyBorder="1" applyAlignment="1">
      <alignment horizontal="center" vertical="center" wrapText="1"/>
    </xf>
    <xf numFmtId="0" fontId="3" fillId="11" borderId="15" xfId="0" applyFont="1" applyFill="1" applyBorder="1" applyAlignment="1">
      <alignment vertical="center" wrapText="1"/>
    </xf>
    <xf numFmtId="0" fontId="6" fillId="11" borderId="2" xfId="0" applyFont="1" applyFill="1" applyBorder="1" applyAlignment="1">
      <alignment horizontal="left" vertical="center" wrapText="1" readingOrder="1"/>
    </xf>
    <xf numFmtId="0" fontId="0" fillId="19" borderId="32" xfId="0" applyFill="1" applyBorder="1" applyAlignment="1">
      <alignment vertical="center" wrapText="1"/>
    </xf>
    <xf numFmtId="49" fontId="3" fillId="19" borderId="15" xfId="0" applyNumberFormat="1" applyFont="1" applyFill="1" applyBorder="1" applyAlignment="1">
      <alignment horizontal="left" vertical="center" wrapText="1"/>
    </xf>
    <xf numFmtId="0" fontId="3" fillId="19" borderId="15" xfId="0" applyFont="1" applyFill="1" applyBorder="1" applyAlignment="1">
      <alignment horizontal="center" vertical="center" wrapText="1"/>
    </xf>
    <xf numFmtId="0" fontId="3" fillId="19" borderId="15" xfId="0" applyFont="1" applyFill="1" applyBorder="1" applyAlignment="1">
      <alignment horizontal="left" vertical="center" wrapText="1"/>
    </xf>
    <xf numFmtId="0" fontId="0" fillId="19" borderId="0" xfId="0" applyFill="1" applyAlignment="1">
      <alignment horizontal="left" vertical="center" wrapText="1"/>
    </xf>
    <xf numFmtId="0" fontId="3" fillId="19" borderId="14" xfId="0" applyFont="1" applyFill="1" applyBorder="1" applyAlignment="1">
      <alignment horizontal="center" vertical="center" wrapText="1"/>
    </xf>
    <xf numFmtId="0" fontId="3" fillId="19" borderId="15" xfId="0" applyFont="1" applyFill="1" applyBorder="1" applyAlignment="1">
      <alignment vertical="center" wrapText="1"/>
    </xf>
    <xf numFmtId="0" fontId="3" fillId="19" borderId="0" xfId="0" applyFont="1" applyFill="1" applyAlignment="1">
      <alignment horizontal="center" vertical="center" wrapText="1"/>
    </xf>
    <xf numFmtId="0" fontId="3" fillId="19" borderId="61" xfId="0" applyFont="1" applyFill="1" applyBorder="1" applyAlignment="1">
      <alignment horizontal="center" vertical="center" wrapText="1"/>
    </xf>
    <xf numFmtId="0" fontId="3" fillId="19" borderId="9" xfId="0" applyFont="1" applyFill="1" applyBorder="1" applyAlignment="1">
      <alignment horizontal="center" vertical="center" wrapText="1"/>
    </xf>
    <xf numFmtId="0" fontId="3" fillId="19" borderId="28" xfId="0" applyFon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8" xfId="0" applyFont="1" applyFill="1" applyBorder="1" applyAlignment="1">
      <alignment horizontal="left" vertical="top" wrapText="1"/>
    </xf>
    <xf numFmtId="0" fontId="3" fillId="19" borderId="58" xfId="0" applyFont="1" applyFill="1" applyBorder="1" applyAlignment="1">
      <alignment horizontal="center" vertical="center" wrapText="1"/>
    </xf>
    <xf numFmtId="0" fontId="0" fillId="19" borderId="0" xfId="0" applyFill="1" applyAlignment="1">
      <alignment vertical="center" wrapText="1"/>
    </xf>
    <xf numFmtId="0" fontId="3" fillId="19" borderId="6" xfId="0" applyFont="1" applyFill="1" applyBorder="1" applyAlignment="1">
      <alignment vertical="center" wrapText="1"/>
    </xf>
    <xf numFmtId="0" fontId="3" fillId="19" borderId="2" xfId="0" applyFont="1" applyFill="1" applyBorder="1" applyAlignment="1">
      <alignment vertical="center" wrapText="1"/>
    </xf>
    <xf numFmtId="0" fontId="3" fillId="19" borderId="2" xfId="0" applyFont="1" applyFill="1" applyBorder="1" applyAlignment="1">
      <alignment horizontal="left" vertical="top" wrapText="1"/>
    </xf>
    <xf numFmtId="0" fontId="3" fillId="11" borderId="28" xfId="0" applyFont="1" applyFill="1" applyBorder="1" applyAlignment="1">
      <alignment horizontal="center" vertical="center" wrapText="1"/>
    </xf>
    <xf numFmtId="0" fontId="3" fillId="19" borderId="7" xfId="0" applyFont="1" applyFill="1" applyBorder="1" applyAlignment="1">
      <alignment vertical="center" wrapText="1"/>
    </xf>
    <xf numFmtId="0" fontId="8" fillId="11" borderId="2" xfId="0" quotePrefix="1" applyFont="1" applyFill="1" applyBorder="1" applyAlignment="1">
      <alignment horizontal="left" vertical="top" wrapText="1"/>
    </xf>
    <xf numFmtId="0" fontId="30" fillId="0" borderId="0" xfId="0" applyFont="1" applyAlignment="1">
      <alignment vertical="top"/>
    </xf>
    <xf numFmtId="0" fontId="3" fillId="0" borderId="15" xfId="0" applyFont="1" applyBorder="1" applyAlignment="1">
      <alignment horizontal="left" vertical="top" wrapText="1"/>
    </xf>
    <xf numFmtId="0" fontId="3" fillId="0" borderId="15" xfId="0" quotePrefix="1" applyFont="1" applyBorder="1" applyAlignment="1">
      <alignment horizontal="center" vertical="center" wrapText="1"/>
    </xf>
    <xf numFmtId="0" fontId="3" fillId="0" borderId="0" xfId="0" applyFont="1" applyAlignment="1">
      <alignment horizontal="center" vertical="center" wrapText="1"/>
    </xf>
    <xf numFmtId="49" fontId="3" fillId="0" borderId="2" xfId="0" quotePrefix="1" applyNumberFormat="1" applyFont="1" applyBorder="1" applyAlignment="1">
      <alignment horizontal="left" vertical="top" wrapText="1"/>
    </xf>
    <xf numFmtId="0" fontId="3" fillId="0" borderId="2" xfId="0" applyFont="1" applyBorder="1" applyAlignment="1">
      <alignment horizontal="left" vertical="top" wrapText="1"/>
    </xf>
    <xf numFmtId="0" fontId="3" fillId="0" borderId="15" xfId="0" applyFont="1" applyBorder="1" applyAlignment="1">
      <alignment horizontal="center" vertical="top" wrapText="1"/>
    </xf>
    <xf numFmtId="0" fontId="3" fillId="0" borderId="2" xfId="0" quotePrefix="1" applyFont="1" applyBorder="1" applyAlignment="1">
      <alignment horizontal="left" vertical="top" wrapText="1"/>
    </xf>
    <xf numFmtId="0" fontId="8" fillId="0" borderId="15" xfId="0" applyFont="1" applyBorder="1" applyAlignment="1">
      <alignment horizontal="center" vertical="top" wrapText="1"/>
    </xf>
    <xf numFmtId="0" fontId="0" fillId="0" borderId="10" xfId="0" applyBorder="1"/>
    <xf numFmtId="0" fontId="15" fillId="12" borderId="10" xfId="0" applyFont="1" applyFill="1" applyBorder="1" applyAlignment="1">
      <alignment horizontal="center" vertical="center" wrapText="1"/>
    </xf>
    <xf numFmtId="0" fontId="0" fillId="12" borderId="10" xfId="0" applyFill="1" applyBorder="1"/>
    <xf numFmtId="0" fontId="9" fillId="12" borderId="10" xfId="0" applyFont="1" applyFill="1" applyBorder="1" applyAlignment="1">
      <alignment horizontal="center" vertical="center"/>
    </xf>
    <xf numFmtId="0" fontId="16" fillId="11" borderId="34" xfId="0" applyFont="1" applyFill="1" applyBorder="1" applyAlignment="1">
      <alignment horizontal="center" vertical="center"/>
    </xf>
    <xf numFmtId="0" fontId="0" fillId="0" borderId="34" xfId="0" applyBorder="1" applyAlignment="1">
      <alignment horizontal="center" vertical="center"/>
    </xf>
    <xf numFmtId="10" fontId="0" fillId="0" borderId="15" xfId="0" applyNumberFormat="1" applyBorder="1" applyAlignment="1">
      <alignment horizontal="center" vertical="center"/>
    </xf>
    <xf numFmtId="0" fontId="17" fillId="11" borderId="15" xfId="0" applyFont="1" applyFill="1" applyBorder="1" applyAlignment="1">
      <alignment horizontal="center" vertical="center"/>
    </xf>
    <xf numFmtId="10" fontId="0" fillId="0" borderId="16" xfId="0" applyNumberFormat="1" applyBorder="1" applyAlignment="1">
      <alignment horizontal="center" vertical="center"/>
    </xf>
    <xf numFmtId="0" fontId="16" fillId="11" borderId="15" xfId="0" applyFont="1" applyFill="1" applyBorder="1" applyAlignment="1">
      <alignment horizontal="center" vertical="center"/>
    </xf>
    <xf numFmtId="0" fontId="18" fillId="12" borderId="35" xfId="0" applyFont="1" applyFill="1" applyBorder="1" applyAlignment="1">
      <alignment horizontal="center" vertical="center"/>
    </xf>
    <xf numFmtId="10" fontId="18" fillId="12" borderId="18" xfId="0" applyNumberFormat="1" applyFont="1" applyFill="1" applyBorder="1" applyAlignment="1">
      <alignment horizontal="center" vertical="center"/>
    </xf>
    <xf numFmtId="0" fontId="18" fillId="12" borderId="18" xfId="0" applyFont="1" applyFill="1" applyBorder="1" applyAlignment="1">
      <alignment horizontal="center" vertical="center"/>
    </xf>
    <xf numFmtId="10" fontId="18" fillId="12" borderId="19" xfId="0" applyNumberFormat="1" applyFont="1" applyFill="1" applyBorder="1" applyAlignment="1">
      <alignment horizontal="center" vertical="center"/>
    </xf>
    <xf numFmtId="0" fontId="8" fillId="11" borderId="15" xfId="0" quotePrefix="1" applyFont="1" applyFill="1" applyBorder="1" applyAlignment="1">
      <alignment horizontal="left" vertical="top" wrapText="1"/>
    </xf>
    <xf numFmtId="0" fontId="3" fillId="11" borderId="74" xfId="0" applyFont="1" applyFill="1" applyBorder="1" applyAlignment="1">
      <alignment horizontal="center" vertical="center" wrapText="1"/>
    </xf>
    <xf numFmtId="0" fontId="3" fillId="11" borderId="73" xfId="0" applyFont="1" applyFill="1" applyBorder="1" applyAlignment="1">
      <alignment horizontal="left" vertical="center" wrapText="1"/>
    </xf>
    <xf numFmtId="0" fontId="3" fillId="11" borderId="73" xfId="0" applyFont="1" applyFill="1" applyBorder="1" applyAlignment="1">
      <alignment horizontal="center" vertical="center" wrapText="1"/>
    </xf>
    <xf numFmtId="0" fontId="3" fillId="11" borderId="73" xfId="0" applyFont="1" applyFill="1" applyBorder="1" applyAlignment="1">
      <alignment vertical="center" wrapText="1"/>
    </xf>
    <xf numFmtId="0" fontId="3" fillId="11" borderId="76" xfId="0" applyFont="1" applyFill="1" applyBorder="1" applyAlignment="1">
      <alignment horizontal="center" vertical="center" wrapText="1"/>
    </xf>
    <xf numFmtId="0" fontId="3" fillId="11" borderId="76" xfId="0" quotePrefix="1" applyFont="1" applyFill="1" applyBorder="1" applyAlignment="1">
      <alignment horizontal="left" vertical="top" wrapText="1"/>
    </xf>
    <xf numFmtId="0" fontId="3" fillId="11" borderId="80" xfId="0" applyFont="1" applyFill="1" applyBorder="1" applyAlignment="1">
      <alignment horizontal="left" vertical="top" wrapText="1"/>
    </xf>
    <xf numFmtId="0" fontId="3" fillId="11" borderId="81" xfId="0" applyFont="1" applyFill="1" applyBorder="1" applyAlignment="1">
      <alignment horizontal="center" vertical="center" wrapText="1"/>
    </xf>
    <xf numFmtId="0" fontId="3" fillId="11" borderId="75" xfId="0" applyFont="1" applyFill="1" applyBorder="1" applyAlignment="1">
      <alignment vertical="center" wrapText="1"/>
    </xf>
    <xf numFmtId="0" fontId="3" fillId="11" borderId="76" xfId="0" applyFont="1" applyFill="1" applyBorder="1" applyAlignment="1">
      <alignment vertical="center" wrapText="1"/>
    </xf>
    <xf numFmtId="0" fontId="3" fillId="11" borderId="77" xfId="0" applyFont="1" applyFill="1" applyBorder="1" applyAlignment="1">
      <alignment vertical="center" wrapText="1"/>
    </xf>
    <xf numFmtId="0" fontId="0" fillId="11" borderId="15" xfId="0" applyFill="1" applyBorder="1" applyAlignment="1">
      <alignment horizontal="left" vertical="center" wrapText="1"/>
    </xf>
    <xf numFmtId="0" fontId="0" fillId="11" borderId="15" xfId="0" applyFill="1" applyBorder="1" applyAlignment="1">
      <alignment horizontal="center" vertical="center" wrapText="1"/>
    </xf>
    <xf numFmtId="0" fontId="0" fillId="11" borderId="15" xfId="0" applyFill="1" applyBorder="1" applyAlignment="1">
      <alignment vertical="center" wrapText="1"/>
    </xf>
    <xf numFmtId="0" fontId="3" fillId="11" borderId="53" xfId="0" applyFont="1" applyFill="1" applyBorder="1" applyAlignment="1">
      <alignment horizontal="center" vertical="center" wrapText="1"/>
    </xf>
    <xf numFmtId="0" fontId="3" fillId="11" borderId="8" xfId="0" applyFont="1" applyFill="1" applyBorder="1" applyAlignment="1">
      <alignment horizontal="left" vertical="center" wrapText="1"/>
    </xf>
    <xf numFmtId="0" fontId="8" fillId="11" borderId="15" xfId="0" applyFont="1" applyFill="1" applyBorder="1" applyAlignment="1">
      <alignment horizontal="center" vertical="center" wrapText="1"/>
    </xf>
    <xf numFmtId="0" fontId="8" fillId="11" borderId="15" xfId="0" applyFont="1" applyFill="1" applyBorder="1" applyAlignment="1">
      <alignment vertical="center" wrapText="1"/>
    </xf>
    <xf numFmtId="0" fontId="3" fillId="11" borderId="2" xfId="0" quotePrefix="1" applyFont="1" applyFill="1" applyBorder="1" applyAlignment="1">
      <alignment horizontal="left" vertical="top" wrapText="1"/>
    </xf>
    <xf numFmtId="0" fontId="7" fillId="11" borderId="2" xfId="0" applyFont="1" applyFill="1" applyBorder="1" applyAlignment="1">
      <alignment horizontal="left" vertical="center" readingOrder="1"/>
    </xf>
    <xf numFmtId="0" fontId="0" fillId="19" borderId="15" xfId="0" applyFill="1" applyBorder="1" applyAlignment="1">
      <alignment horizontal="left" vertical="top" wrapText="1"/>
    </xf>
    <xf numFmtId="0" fontId="0" fillId="0" borderId="0" xfId="0" applyAlignment="1">
      <alignment horizontal="left" vertical="top"/>
    </xf>
    <xf numFmtId="0" fontId="28" fillId="0" borderId="0" xfId="0" applyFont="1" applyAlignment="1">
      <alignment horizontal="center" wrapText="1" readingOrder="1"/>
    </xf>
    <xf numFmtId="0" fontId="19" fillId="0" borderId="15" xfId="0" applyFont="1" applyBorder="1" applyAlignment="1">
      <alignment horizontal="center" wrapText="1" readingOrder="1"/>
    </xf>
    <xf numFmtId="0" fontId="4" fillId="5" borderId="32" xfId="0" applyFont="1" applyFill="1" applyBorder="1" applyAlignment="1">
      <alignment horizontal="center" vertical="top" wrapText="1"/>
    </xf>
    <xf numFmtId="0" fontId="4" fillId="5" borderId="32" xfId="0" applyFont="1" applyFill="1" applyBorder="1" applyAlignment="1">
      <alignment horizontal="center" vertical="center" wrapText="1"/>
    </xf>
    <xf numFmtId="0" fontId="0" fillId="0" borderId="32" xfId="0" applyBorder="1" applyAlignment="1">
      <alignment horizontal="center" vertical="center" wrapText="1"/>
    </xf>
    <xf numFmtId="0" fontId="3" fillId="0" borderId="32" xfId="0" applyFont="1" applyBorder="1" applyAlignment="1">
      <alignment horizontal="center" vertical="center" wrapText="1"/>
    </xf>
    <xf numFmtId="0" fontId="3" fillId="11" borderId="32" xfId="0" applyFont="1" applyFill="1" applyBorder="1" applyAlignment="1">
      <alignment horizontal="center" vertical="center" wrapText="1"/>
    </xf>
    <xf numFmtId="0" fontId="0" fillId="11" borderId="32" xfId="0" applyFill="1" applyBorder="1" applyAlignment="1">
      <alignment horizontal="center" vertical="center" wrapText="1"/>
    </xf>
    <xf numFmtId="0" fontId="3" fillId="19" borderId="32" xfId="0" applyFont="1" applyFill="1" applyBorder="1" applyAlignment="1">
      <alignment horizontal="center" vertical="center" wrapText="1"/>
    </xf>
    <xf numFmtId="0" fontId="26" fillId="0" borderId="15" xfId="0" applyFont="1" applyBorder="1" applyAlignment="1">
      <alignment horizontal="center" vertical="center"/>
    </xf>
    <xf numFmtId="0" fontId="0" fillId="19" borderId="15" xfId="0" applyFill="1" applyBorder="1" applyAlignment="1">
      <alignment horizontal="center" vertical="center" wrapText="1"/>
    </xf>
    <xf numFmtId="0" fontId="26" fillId="0" borderId="73" xfId="0" applyFont="1" applyBorder="1" applyAlignment="1">
      <alignment horizontal="center" vertical="center"/>
    </xf>
    <xf numFmtId="0" fontId="26" fillId="0" borderId="42" xfId="0" applyFont="1" applyBorder="1" applyAlignment="1">
      <alignment horizontal="center" vertical="center"/>
    </xf>
    <xf numFmtId="0" fontId="3" fillId="11" borderId="32" xfId="0" applyFont="1" applyFill="1" applyBorder="1" applyAlignment="1">
      <alignment horizontal="left" vertical="top" wrapText="1"/>
    </xf>
    <xf numFmtId="0" fontId="0" fillId="11" borderId="73" xfId="0" applyFill="1" applyBorder="1" applyAlignment="1">
      <alignment horizontal="left" vertical="top" wrapText="1"/>
    </xf>
    <xf numFmtId="0" fontId="3" fillId="11" borderId="64" xfId="0" applyFont="1" applyFill="1" applyBorder="1" applyAlignment="1">
      <alignment horizontal="center" vertical="center" wrapText="1"/>
    </xf>
    <xf numFmtId="0" fontId="0" fillId="11" borderId="73" xfId="0" applyFill="1" applyBorder="1" applyAlignment="1">
      <alignment horizontal="center" vertical="center" wrapText="1"/>
    </xf>
    <xf numFmtId="0" fontId="8" fillId="11" borderId="42" xfId="0" applyFont="1" applyFill="1" applyBorder="1" applyAlignment="1">
      <alignment horizontal="left" vertical="top" wrapText="1"/>
    </xf>
    <xf numFmtId="0" fontId="3" fillId="11" borderId="42" xfId="0" applyFont="1" applyFill="1" applyBorder="1" applyAlignment="1">
      <alignment horizontal="center" vertical="center" wrapText="1"/>
    </xf>
    <xf numFmtId="0" fontId="3" fillId="11" borderId="40" xfId="0" applyFont="1" applyFill="1" applyBorder="1" applyAlignment="1">
      <alignment horizontal="center" vertical="center" wrapText="1"/>
    </xf>
    <xf numFmtId="0" fontId="0" fillId="11" borderId="15" xfId="0" quotePrefix="1" applyFill="1" applyBorder="1" applyAlignment="1">
      <alignment horizontal="left" vertical="top" wrapText="1"/>
    </xf>
    <xf numFmtId="0" fontId="0" fillId="11" borderId="15" xfId="0" quotePrefix="1" applyFill="1" applyBorder="1" applyAlignment="1">
      <alignment horizontal="center" vertical="center" wrapText="1"/>
    </xf>
    <xf numFmtId="0" fontId="0" fillId="11" borderId="0" xfId="0" quotePrefix="1" applyFill="1" applyAlignment="1">
      <alignment horizontal="left" vertical="top" wrapText="1"/>
    </xf>
    <xf numFmtId="0" fontId="0" fillId="0" borderId="0" xfId="0" applyAlignment="1">
      <alignment wrapText="1"/>
    </xf>
    <xf numFmtId="0" fontId="3" fillId="0" borderId="32" xfId="0" applyFont="1" applyBorder="1" applyAlignment="1">
      <alignment vertical="center"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8" fillId="0" borderId="2" xfId="0" applyFont="1" applyBorder="1" applyAlignment="1">
      <alignment horizontal="left" vertical="top" wrapText="1"/>
    </xf>
    <xf numFmtId="0" fontId="3" fillId="0" borderId="0" xfId="0" applyFont="1" applyAlignment="1">
      <alignment vertical="center" wrapText="1"/>
    </xf>
    <xf numFmtId="0" fontId="3" fillId="11" borderId="32" xfId="0" applyFont="1" applyFill="1" applyBorder="1" applyAlignment="1">
      <alignment vertical="center" wrapText="1"/>
    </xf>
    <xf numFmtId="0" fontId="3" fillId="11" borderId="0" xfId="0" applyFont="1" applyFill="1" applyAlignment="1">
      <alignment horizontal="left" vertical="center" wrapText="1"/>
    </xf>
    <xf numFmtId="0" fontId="3" fillId="11" borderId="39" xfId="0" applyFont="1" applyFill="1" applyBorder="1" applyAlignment="1">
      <alignment horizontal="center" vertical="center" wrapText="1"/>
    </xf>
    <xf numFmtId="0" fontId="3" fillId="11" borderId="42" xfId="0" applyFont="1" applyFill="1" applyBorder="1" applyAlignment="1">
      <alignment horizontal="left" vertical="center" wrapText="1"/>
    </xf>
    <xf numFmtId="0" fontId="3" fillId="11" borderId="42" xfId="0" applyFont="1" applyFill="1" applyBorder="1" applyAlignment="1">
      <alignment vertical="center" wrapText="1"/>
    </xf>
    <xf numFmtId="0" fontId="3" fillId="11" borderId="62" xfId="0" applyFont="1" applyFill="1" applyBorder="1" applyAlignment="1">
      <alignment horizontal="center" vertical="center" wrapText="1"/>
    </xf>
    <xf numFmtId="0" fontId="3" fillId="11" borderId="62" xfId="0" applyFont="1" applyFill="1" applyBorder="1" applyAlignment="1">
      <alignment horizontal="left" vertical="top" wrapText="1"/>
    </xf>
    <xf numFmtId="0" fontId="3" fillId="11" borderId="36" xfId="0" applyFont="1" applyFill="1" applyBorder="1" applyAlignment="1">
      <alignment horizontal="left" vertical="top" wrapText="1"/>
    </xf>
    <xf numFmtId="0" fontId="3" fillId="11" borderId="82" xfId="0" applyFont="1" applyFill="1" applyBorder="1" applyAlignment="1">
      <alignment horizontal="center" vertical="center" wrapText="1"/>
    </xf>
    <xf numFmtId="0" fontId="3" fillId="11" borderId="0" xfId="0" applyFont="1" applyFill="1" applyAlignment="1">
      <alignment vertical="center" wrapText="1"/>
    </xf>
    <xf numFmtId="0" fontId="3" fillId="11" borderId="78" xfId="0" applyFont="1" applyFill="1" applyBorder="1" applyAlignment="1">
      <alignment vertical="center" wrapText="1"/>
    </xf>
    <xf numFmtId="0" fontId="3" fillId="11" borderId="62" xfId="0" applyFont="1" applyFill="1" applyBorder="1" applyAlignment="1">
      <alignment vertical="center" wrapText="1"/>
    </xf>
    <xf numFmtId="0" fontId="3" fillId="11" borderId="79" xfId="0" applyFont="1" applyFill="1" applyBorder="1" applyAlignment="1">
      <alignment vertical="center" wrapText="1"/>
    </xf>
    <xf numFmtId="0" fontId="0" fillId="19" borderId="15" xfId="0" applyFill="1" applyBorder="1" applyAlignment="1">
      <alignment horizontal="left" vertical="center" wrapText="1"/>
    </xf>
    <xf numFmtId="0" fontId="0" fillId="0" borderId="0" xfId="0" applyAlignment="1">
      <alignment vertical="top" wrapText="1"/>
    </xf>
    <xf numFmtId="0" fontId="11" fillId="3" borderId="89" xfId="0" applyFont="1" applyFill="1" applyBorder="1" applyAlignment="1">
      <alignment horizontal="center" vertical="center"/>
    </xf>
    <xf numFmtId="0" fontId="11" fillId="3" borderId="90" xfId="0" applyFont="1" applyFill="1" applyBorder="1" applyAlignment="1">
      <alignment horizontal="center" vertical="center"/>
    </xf>
    <xf numFmtId="0" fontId="11" fillId="3" borderId="91" xfId="0" applyFont="1" applyFill="1" applyBorder="1" applyAlignment="1">
      <alignment horizontal="center" vertical="center"/>
    </xf>
    <xf numFmtId="0" fontId="9" fillId="3" borderId="42" xfId="0" applyFont="1" applyFill="1" applyBorder="1" applyAlignment="1">
      <alignment horizontal="center" vertical="center" wrapText="1"/>
    </xf>
    <xf numFmtId="0" fontId="9" fillId="3" borderId="43"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9" fillId="3" borderId="39" xfId="0" applyFont="1" applyFill="1" applyBorder="1" applyAlignment="1">
      <alignment horizontal="center" vertical="center" wrapText="1"/>
    </xf>
    <xf numFmtId="0" fontId="9" fillId="3" borderId="87" xfId="0" applyFont="1" applyFill="1" applyBorder="1" applyAlignment="1">
      <alignment horizontal="center" vertical="center" wrapText="1"/>
    </xf>
    <xf numFmtId="0" fontId="9" fillId="3" borderId="95" xfId="0" applyFont="1" applyFill="1" applyBorder="1" applyAlignment="1">
      <alignment horizontal="center" vertical="center" wrapText="1"/>
    </xf>
    <xf numFmtId="0" fontId="9" fillId="3" borderId="92" xfId="0" applyFont="1" applyFill="1" applyBorder="1" applyAlignment="1">
      <alignment horizontal="center" vertical="center" wrapText="1"/>
    </xf>
    <xf numFmtId="0" fontId="11" fillId="3" borderId="11"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2" xfId="0" applyFont="1" applyFill="1" applyBorder="1" applyAlignment="1">
      <alignment horizontal="center" vertical="center"/>
    </xf>
    <xf numFmtId="0" fontId="9" fillId="3" borderId="88" xfId="0" applyFont="1" applyFill="1" applyBorder="1" applyAlignment="1">
      <alignment horizontal="center" vertical="center" wrapText="1"/>
    </xf>
    <xf numFmtId="0" fontId="9" fillId="3" borderId="40" xfId="0" applyFont="1" applyFill="1" applyBorder="1" applyAlignment="1">
      <alignment horizontal="center" vertical="center" wrapText="1"/>
    </xf>
    <xf numFmtId="0" fontId="9" fillId="3" borderId="41"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5" borderId="54" xfId="0" applyFont="1" applyFill="1" applyBorder="1" applyAlignment="1">
      <alignment horizontal="center" vertical="center" wrapText="1"/>
    </xf>
    <xf numFmtId="0" fontId="5" fillId="5" borderId="55" xfId="0" applyFont="1" applyFill="1" applyBorder="1" applyAlignment="1">
      <alignment horizontal="center" vertical="center" wrapText="1"/>
    </xf>
    <xf numFmtId="0" fontId="5" fillId="5" borderId="56" xfId="0" applyFont="1" applyFill="1" applyBorder="1" applyAlignment="1">
      <alignment horizontal="center" vertical="center" wrapText="1"/>
    </xf>
    <xf numFmtId="0" fontId="5" fillId="5" borderId="57" xfId="0" applyFont="1" applyFill="1" applyBorder="1" applyAlignment="1">
      <alignment horizontal="center" vertical="center" wrapText="1"/>
    </xf>
    <xf numFmtId="0" fontId="5" fillId="17" borderId="73" xfId="0" applyFont="1" applyFill="1" applyBorder="1" applyAlignment="1">
      <alignment horizontal="center" vertical="center" wrapText="1"/>
    </xf>
    <xf numFmtId="0" fontId="5" fillId="17" borderId="64" xfId="0" applyFont="1" applyFill="1" applyBorder="1" applyAlignment="1">
      <alignment horizontal="center" vertical="center" wrapText="1"/>
    </xf>
    <xf numFmtId="0" fontId="23" fillId="5" borderId="73" xfId="0" applyFont="1" applyFill="1" applyBorder="1" applyAlignment="1">
      <alignment horizontal="center" vertical="center" wrapText="1"/>
    </xf>
    <xf numFmtId="0" fontId="4" fillId="5" borderId="15" xfId="0" applyFont="1" applyFill="1" applyBorder="1" applyAlignment="1">
      <alignment horizontal="center" vertical="top" wrapText="1"/>
    </xf>
    <xf numFmtId="0" fontId="0" fillId="0" borderId="93" xfId="0" applyBorder="1" applyAlignment="1">
      <alignment horizontal="left" vertical="top" wrapText="1"/>
    </xf>
    <xf numFmtId="0" fontId="0" fillId="0" borderId="94" xfId="0" applyBorder="1" applyAlignment="1">
      <alignment horizontal="left" vertical="top" wrapText="1"/>
    </xf>
    <xf numFmtId="0" fontId="0" fillId="0" borderId="30" xfId="0" applyBorder="1" applyAlignment="1">
      <alignment horizontal="left" vertical="top" wrapText="1"/>
    </xf>
    <xf numFmtId="0" fontId="0" fillId="0" borderId="0" xfId="0" applyAlignment="1">
      <alignment horizontal="left" wrapText="1"/>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0" xfId="0"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72"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wrapText="1"/>
    </xf>
    <xf numFmtId="0" fontId="0" fillId="0" borderId="12" xfId="0" applyBorder="1" applyAlignment="1">
      <alignment horizontal="left" vertical="top" wrapText="1"/>
    </xf>
    <xf numFmtId="0" fontId="1" fillId="11" borderId="65" xfId="0" applyFont="1" applyFill="1" applyBorder="1" applyAlignment="1">
      <alignment horizontal="left" vertical="top" wrapText="1"/>
    </xf>
    <xf numFmtId="0" fontId="1" fillId="11" borderId="66" xfId="0" applyFont="1" applyFill="1" applyBorder="1" applyAlignment="1">
      <alignment horizontal="left" vertical="top" wrapText="1"/>
    </xf>
    <xf numFmtId="0" fontId="1" fillId="11" borderId="67" xfId="0" applyFont="1" applyFill="1" applyBorder="1" applyAlignment="1">
      <alignment horizontal="left" vertical="top" wrapText="1"/>
    </xf>
    <xf numFmtId="0" fontId="1" fillId="11" borderId="68" xfId="0" applyFont="1" applyFill="1" applyBorder="1" applyAlignment="1">
      <alignment horizontal="left" vertical="top" wrapText="1"/>
    </xf>
    <xf numFmtId="0" fontId="1" fillId="11" borderId="0" xfId="0" applyFont="1" applyFill="1" applyAlignment="1">
      <alignment horizontal="left" vertical="top" wrapText="1"/>
    </xf>
    <xf numFmtId="0" fontId="1" fillId="11" borderId="69" xfId="0" applyFont="1" applyFill="1" applyBorder="1" applyAlignment="1">
      <alignment horizontal="left" vertical="top" wrapText="1"/>
    </xf>
    <xf numFmtId="0" fontId="1" fillId="11" borderId="70" xfId="0" applyFont="1" applyFill="1" applyBorder="1" applyAlignment="1">
      <alignment horizontal="left" vertical="top" wrapText="1"/>
    </xf>
    <xf numFmtId="0" fontId="1" fillId="11" borderId="71" xfId="0" applyFont="1" applyFill="1" applyBorder="1" applyAlignment="1">
      <alignment horizontal="left" vertical="top" wrapText="1"/>
    </xf>
    <xf numFmtId="0" fontId="1" fillId="11" borderId="72" xfId="0" applyFont="1" applyFill="1" applyBorder="1" applyAlignment="1">
      <alignment horizontal="left" vertical="top" wrapText="1"/>
    </xf>
    <xf numFmtId="0" fontId="0" fillId="0" borderId="11" xfId="0" applyBorder="1" applyAlignment="1">
      <alignment horizontal="left" vertical="top"/>
    </xf>
    <xf numFmtId="0" fontId="0" fillId="0" borderId="10" xfId="0" applyBorder="1" applyAlignment="1">
      <alignment horizontal="left" vertical="top"/>
    </xf>
    <xf numFmtId="0" fontId="0" fillId="0" borderId="12"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285750</xdr:colOff>
      <xdr:row>23</xdr:row>
      <xdr:rowOff>19050</xdr:rowOff>
    </xdr:from>
    <xdr:to>
      <xdr:col>11</xdr:col>
      <xdr:colOff>47625</xdr:colOff>
      <xdr:row>29</xdr:row>
      <xdr:rowOff>85725</xdr:rowOff>
    </xdr:to>
    <xdr:sp macro="" textlink="">
      <xdr:nvSpPr>
        <xdr:cNvPr id="3" name="Oval 2">
          <a:extLst>
            <a:ext uri="{FF2B5EF4-FFF2-40B4-BE49-F238E27FC236}">
              <a16:creationId xmlns:a16="http://schemas.microsoft.com/office/drawing/2014/main" id="{06414E43-1E40-C5C9-972B-3BA379738D71}"/>
            </a:ext>
            <a:ext uri="{147F2762-F138-4A5C-976F-8EAC2B608ADB}">
              <a16:predDERef xmlns:a16="http://schemas.microsoft.com/office/drawing/2014/main" pred="{F2C7FD5B-144F-F0D1-30FF-8FFB86428C99}"/>
            </a:ext>
          </a:extLst>
        </xdr:cNvPr>
        <xdr:cNvSpPr/>
      </xdr:nvSpPr>
      <xdr:spPr>
        <a:xfrm>
          <a:off x="5772150" y="37433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00100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4</xdr:col>
      <xdr:colOff>95250</xdr:colOff>
      <xdr:row>13</xdr:row>
      <xdr:rowOff>47625</xdr:rowOff>
    </xdr:from>
    <xdr:to>
      <xdr:col>5</xdr:col>
      <xdr:colOff>466725</xdr:colOff>
      <xdr:row>19</xdr:row>
      <xdr:rowOff>114300</xdr:rowOff>
    </xdr:to>
    <xdr:sp macro="" textlink="">
      <xdr:nvSpPr>
        <xdr:cNvPr id="4" name="Oval 3">
          <a:extLst>
            <a:ext uri="{FF2B5EF4-FFF2-40B4-BE49-F238E27FC236}">
              <a16:creationId xmlns:a16="http://schemas.microsoft.com/office/drawing/2014/main" id="{B3D64C1E-2AAB-4C87-8562-F25558A3AD68}"/>
            </a:ext>
            <a:ext uri="{147F2762-F138-4A5C-976F-8EAC2B608ADB}">
              <a16:predDERef xmlns:a16="http://schemas.microsoft.com/office/drawing/2014/main" pred="{06414E43-1E40-C5C9-972B-3BA379738D71}"/>
            </a:ext>
          </a:extLst>
        </xdr:cNvPr>
        <xdr:cNvSpPr/>
      </xdr:nvSpPr>
      <xdr:spPr>
        <a:xfrm>
          <a:off x="2533650" y="2152650"/>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01000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2</xdr:col>
      <xdr:colOff>85725</xdr:colOff>
      <xdr:row>1</xdr:row>
      <xdr:rowOff>133350</xdr:rowOff>
    </xdr:from>
    <xdr:to>
      <xdr:col>3</xdr:col>
      <xdr:colOff>457200</xdr:colOff>
      <xdr:row>8</xdr:row>
      <xdr:rowOff>38100</xdr:rowOff>
    </xdr:to>
    <xdr:sp macro="" textlink="">
      <xdr:nvSpPr>
        <xdr:cNvPr id="5" name="Oval 4">
          <a:extLst>
            <a:ext uri="{FF2B5EF4-FFF2-40B4-BE49-F238E27FC236}">
              <a16:creationId xmlns:a16="http://schemas.microsoft.com/office/drawing/2014/main" id="{8007BB50-0F9C-487E-A8BA-39E616779C16}"/>
            </a:ext>
            <a:ext uri="{147F2762-F138-4A5C-976F-8EAC2B608ADB}">
              <a16:predDERef xmlns:a16="http://schemas.microsoft.com/office/drawing/2014/main" pred="{B3D64C1E-2AAB-4C87-8562-F25558A3AD68}"/>
            </a:ext>
          </a:extLst>
        </xdr:cNvPr>
        <xdr:cNvSpPr/>
      </xdr:nvSpPr>
      <xdr:spPr>
        <a:xfrm>
          <a:off x="1304925" y="29527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Entidade 00001</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10</xdr:col>
      <xdr:colOff>166688</xdr:colOff>
      <xdr:row>19</xdr:row>
      <xdr:rowOff>142875</xdr:rowOff>
    </xdr:from>
    <xdr:to>
      <xdr:col>15</xdr:col>
      <xdr:colOff>309563</xdr:colOff>
      <xdr:row>23</xdr:row>
      <xdr:rowOff>19050</xdr:rowOff>
    </xdr:to>
    <xdr:cxnSp macro="">
      <xdr:nvCxnSpPr>
        <xdr:cNvPr id="7" name="Straight Connector 6">
          <a:extLst>
            <a:ext uri="{FF2B5EF4-FFF2-40B4-BE49-F238E27FC236}">
              <a16:creationId xmlns:a16="http://schemas.microsoft.com/office/drawing/2014/main" id="{6D0B78A5-292B-F2EE-B4CF-2743257C1FBC}"/>
            </a:ext>
            <a:ext uri="{147F2762-F138-4A5C-976F-8EAC2B608ADB}">
              <a16:predDERef xmlns:a16="http://schemas.microsoft.com/office/drawing/2014/main" pred="{8007BB50-0F9C-487E-A8BA-39E616779C16}"/>
            </a:ext>
          </a:extLst>
        </xdr:cNvPr>
        <xdr:cNvCxnSpPr>
          <a:cxnSpLocks/>
          <a:stCxn id="3" idx="0"/>
          <a:endCxn id="10" idx="4"/>
          <a:extLst>
            <a:ext uri="{5F17804C-33F3-41E3-A699-7DCFA2EF7971}">
              <a16:cxnDERefs xmlns:a16="http://schemas.microsoft.com/office/drawing/2014/main" st="{06414E43-1E40-C5C9-972B-3BA379738D71}" end="{D1DB2313-618F-49BB-B72B-05EA80946D0B}"/>
            </a:ext>
          </a:extLst>
        </xdr:cNvCxnSpPr>
      </xdr:nvCxnSpPr>
      <xdr:spPr>
        <a:xfrm flipV="1">
          <a:off x="6262688" y="3219450"/>
          <a:ext cx="3190875" cy="5238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576263</xdr:colOff>
      <xdr:row>8</xdr:row>
      <xdr:rowOff>38100</xdr:rowOff>
    </xdr:from>
    <xdr:to>
      <xdr:col>4</xdr:col>
      <xdr:colOff>585788</xdr:colOff>
      <xdr:row>13</xdr:row>
      <xdr:rowOff>47625</xdr:rowOff>
    </xdr:to>
    <xdr:cxnSp macro="">
      <xdr:nvCxnSpPr>
        <xdr:cNvPr id="9" name="Straight Connector 8">
          <a:extLst>
            <a:ext uri="{FF2B5EF4-FFF2-40B4-BE49-F238E27FC236}">
              <a16:creationId xmlns:a16="http://schemas.microsoft.com/office/drawing/2014/main" id="{F04C46D6-0E24-48DE-ADBD-A5A0CC82C0E2}"/>
            </a:ext>
            <a:ext uri="{147F2762-F138-4A5C-976F-8EAC2B608ADB}">
              <a16:predDERef xmlns:a16="http://schemas.microsoft.com/office/drawing/2014/main" pred="{6D0B78A5-292B-F2EE-B4CF-2743257C1FBC}"/>
            </a:ext>
          </a:extLst>
        </xdr:cNvPr>
        <xdr:cNvCxnSpPr>
          <a:cxnSpLocks/>
          <a:stCxn id="4" idx="0"/>
          <a:endCxn id="5" idx="4"/>
          <a:extLst>
            <a:ext uri="{5F17804C-33F3-41E3-A699-7DCFA2EF7971}">
              <a16:cxnDERefs xmlns:a16="http://schemas.microsoft.com/office/drawing/2014/main" st="{B3D64C1E-2AAB-4C87-8562-F25558A3AD68}" end="{8007BB50-0F9C-487E-A8BA-39E616779C16}"/>
            </a:ext>
          </a:extLst>
        </xdr:cNvCxnSpPr>
      </xdr:nvCxnSpPr>
      <xdr:spPr>
        <a:xfrm flipH="1" flipV="1">
          <a:off x="1795463" y="1333500"/>
          <a:ext cx="1228725" cy="8191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428625</xdr:colOff>
      <xdr:row>13</xdr:row>
      <xdr:rowOff>76200</xdr:rowOff>
    </xdr:from>
    <xdr:to>
      <xdr:col>16</xdr:col>
      <xdr:colOff>190500</xdr:colOff>
      <xdr:row>19</xdr:row>
      <xdr:rowOff>142875</xdr:rowOff>
    </xdr:to>
    <xdr:sp macro="" textlink="">
      <xdr:nvSpPr>
        <xdr:cNvPr id="10" name="Oval 9">
          <a:extLst>
            <a:ext uri="{FF2B5EF4-FFF2-40B4-BE49-F238E27FC236}">
              <a16:creationId xmlns:a16="http://schemas.microsoft.com/office/drawing/2014/main" id="{D1DB2313-618F-49BB-B72B-05EA80946D0B}"/>
            </a:ext>
            <a:ext uri="{147F2762-F138-4A5C-976F-8EAC2B608ADB}">
              <a16:predDERef xmlns:a16="http://schemas.microsoft.com/office/drawing/2014/main" pred="{F04C46D6-0E24-48DE-ADBD-A5A0CC82C0E2}"/>
            </a:ext>
          </a:extLst>
        </xdr:cNvPr>
        <xdr:cNvSpPr/>
      </xdr:nvSpPr>
      <xdr:spPr>
        <a:xfrm>
          <a:off x="8963025" y="21812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0200</a:t>
          </a:r>
          <a:endParaRPr lang="en-US" sz="1100" b="0" i="0" u="none" strike="noStrike">
            <a:solidFill>
              <a:srgbClr val="000000"/>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6</xdr:col>
      <xdr:colOff>171450</xdr:colOff>
      <xdr:row>1</xdr:row>
      <xdr:rowOff>152400</xdr:rowOff>
    </xdr:from>
    <xdr:to>
      <xdr:col>7</xdr:col>
      <xdr:colOff>542925</xdr:colOff>
      <xdr:row>8</xdr:row>
      <xdr:rowOff>57150</xdr:rowOff>
    </xdr:to>
    <xdr:sp macro="" textlink="">
      <xdr:nvSpPr>
        <xdr:cNvPr id="11" name="Oval 10">
          <a:extLst>
            <a:ext uri="{FF2B5EF4-FFF2-40B4-BE49-F238E27FC236}">
              <a16:creationId xmlns:a16="http://schemas.microsoft.com/office/drawing/2014/main" id="{20A974B0-39CB-4F8B-819B-3C4A9CDE0591}"/>
            </a:ext>
            <a:ext uri="{147F2762-F138-4A5C-976F-8EAC2B608ADB}">
              <a16:predDERef xmlns:a16="http://schemas.microsoft.com/office/drawing/2014/main" pred="{D1DB2313-618F-49BB-B72B-05EA80946D0B}"/>
            </a:ext>
          </a:extLst>
        </xdr:cNvPr>
        <xdr:cNvSpPr/>
      </xdr:nvSpPr>
      <xdr:spPr>
        <a:xfrm>
          <a:off x="3829050" y="3143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Entidade  00002</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10</xdr:col>
      <xdr:colOff>504825</xdr:colOff>
      <xdr:row>1</xdr:row>
      <xdr:rowOff>38100</xdr:rowOff>
    </xdr:from>
    <xdr:to>
      <xdr:col>12</xdr:col>
      <xdr:colOff>266700</xdr:colOff>
      <xdr:row>7</xdr:row>
      <xdr:rowOff>104775</xdr:rowOff>
    </xdr:to>
    <xdr:sp macro="" textlink="">
      <xdr:nvSpPr>
        <xdr:cNvPr id="12" name="Oval 11">
          <a:extLst>
            <a:ext uri="{FF2B5EF4-FFF2-40B4-BE49-F238E27FC236}">
              <a16:creationId xmlns:a16="http://schemas.microsoft.com/office/drawing/2014/main" id="{06EF9F39-B1C2-463A-BD3F-224490C432B6}"/>
            </a:ext>
            <a:ext uri="{147F2762-F138-4A5C-976F-8EAC2B608ADB}">
              <a16:predDERef xmlns:a16="http://schemas.microsoft.com/office/drawing/2014/main" pred="{20A974B0-39CB-4F8B-819B-3C4A9CDE0591}"/>
            </a:ext>
          </a:extLst>
        </xdr:cNvPr>
        <xdr:cNvSpPr/>
      </xdr:nvSpPr>
      <xdr:spPr>
        <a:xfrm>
          <a:off x="6600825" y="2000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0201</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14</xdr:col>
      <xdr:colOff>476250</xdr:colOff>
      <xdr:row>0</xdr:row>
      <xdr:rowOff>114300</xdr:rowOff>
    </xdr:from>
    <xdr:to>
      <xdr:col>16</xdr:col>
      <xdr:colOff>238125</xdr:colOff>
      <xdr:row>7</xdr:row>
      <xdr:rowOff>19050</xdr:rowOff>
    </xdr:to>
    <xdr:sp macro="" textlink="">
      <xdr:nvSpPr>
        <xdr:cNvPr id="13" name="Oval 12">
          <a:extLst>
            <a:ext uri="{FF2B5EF4-FFF2-40B4-BE49-F238E27FC236}">
              <a16:creationId xmlns:a16="http://schemas.microsoft.com/office/drawing/2014/main" id="{21CB73F3-B179-4152-848F-B2DF272CCFD4}"/>
            </a:ext>
            <a:ext uri="{147F2762-F138-4A5C-976F-8EAC2B608ADB}">
              <a16:predDERef xmlns:a16="http://schemas.microsoft.com/office/drawing/2014/main" pred="{06EF9F39-B1C2-463A-BD3F-224490C432B6}"/>
            </a:ext>
          </a:extLst>
        </xdr:cNvPr>
        <xdr:cNvSpPr/>
      </xdr:nvSpPr>
      <xdr:spPr>
        <a:xfrm>
          <a:off x="9010650" y="114300"/>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0203</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4</xdr:col>
      <xdr:colOff>585788</xdr:colOff>
      <xdr:row>19</xdr:row>
      <xdr:rowOff>114300</xdr:rowOff>
    </xdr:from>
    <xdr:to>
      <xdr:col>10</xdr:col>
      <xdr:colOff>166688</xdr:colOff>
      <xdr:row>23</xdr:row>
      <xdr:rowOff>19050</xdr:rowOff>
    </xdr:to>
    <xdr:cxnSp macro="">
      <xdr:nvCxnSpPr>
        <xdr:cNvPr id="14" name="Straight Connector 13">
          <a:extLst>
            <a:ext uri="{FF2B5EF4-FFF2-40B4-BE49-F238E27FC236}">
              <a16:creationId xmlns:a16="http://schemas.microsoft.com/office/drawing/2014/main" id="{B413F6AF-DA0C-4FA8-8BAD-96205C62EC97}"/>
            </a:ext>
            <a:ext uri="{147F2762-F138-4A5C-976F-8EAC2B608ADB}">
              <a16:predDERef xmlns:a16="http://schemas.microsoft.com/office/drawing/2014/main" pred="{21CB73F3-B179-4152-848F-B2DF272CCFD4}"/>
            </a:ext>
          </a:extLst>
        </xdr:cNvPr>
        <xdr:cNvCxnSpPr>
          <a:cxnSpLocks/>
          <a:stCxn id="3" idx="0"/>
          <a:endCxn id="4" idx="4"/>
          <a:extLst>
            <a:ext uri="{5F17804C-33F3-41E3-A699-7DCFA2EF7971}">
              <a16:cxnDERefs xmlns:a16="http://schemas.microsoft.com/office/drawing/2014/main" st="{06414E43-1E40-C5C9-972B-3BA379738D71}" end="{B3D64C1E-2AAB-4C87-8562-F25558A3AD68}"/>
            </a:ext>
          </a:extLst>
        </xdr:cNvCxnSpPr>
      </xdr:nvCxnSpPr>
      <xdr:spPr>
        <a:xfrm flipH="1" flipV="1">
          <a:off x="3024188" y="3190875"/>
          <a:ext cx="3238500" cy="5524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385763</xdr:colOff>
      <xdr:row>7</xdr:row>
      <xdr:rowOff>104775</xdr:rowOff>
    </xdr:from>
    <xdr:to>
      <xdr:col>15</xdr:col>
      <xdr:colOff>309563</xdr:colOff>
      <xdr:row>13</xdr:row>
      <xdr:rowOff>76200</xdr:rowOff>
    </xdr:to>
    <xdr:cxnSp macro="">
      <xdr:nvCxnSpPr>
        <xdr:cNvPr id="15" name="Straight Connector 14">
          <a:extLst>
            <a:ext uri="{FF2B5EF4-FFF2-40B4-BE49-F238E27FC236}">
              <a16:creationId xmlns:a16="http://schemas.microsoft.com/office/drawing/2014/main" id="{B1242568-A8F3-40C9-B026-38F4959FE450}"/>
            </a:ext>
            <a:ext uri="{147F2762-F138-4A5C-976F-8EAC2B608ADB}">
              <a16:predDERef xmlns:a16="http://schemas.microsoft.com/office/drawing/2014/main" pred="{B413F6AF-DA0C-4FA8-8BAD-96205C62EC97}"/>
            </a:ext>
          </a:extLst>
        </xdr:cNvPr>
        <xdr:cNvCxnSpPr>
          <a:cxnSpLocks/>
          <a:stCxn id="10" idx="0"/>
          <a:endCxn id="12" idx="4"/>
          <a:extLst>
            <a:ext uri="{5F17804C-33F3-41E3-A699-7DCFA2EF7971}">
              <a16:cxnDERefs xmlns:a16="http://schemas.microsoft.com/office/drawing/2014/main" st="{D1DB2313-618F-49BB-B72B-05EA80946D0B}" end="{06EF9F39-B1C2-463A-BD3F-224490C432B6}"/>
            </a:ext>
          </a:extLst>
        </xdr:cNvCxnSpPr>
      </xdr:nvCxnSpPr>
      <xdr:spPr>
        <a:xfrm flipH="1" flipV="1">
          <a:off x="7091363" y="1238250"/>
          <a:ext cx="2362200" cy="9429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309563</xdr:colOff>
      <xdr:row>7</xdr:row>
      <xdr:rowOff>19050</xdr:rowOff>
    </xdr:from>
    <xdr:to>
      <xdr:col>15</xdr:col>
      <xdr:colOff>357188</xdr:colOff>
      <xdr:row>13</xdr:row>
      <xdr:rowOff>76200</xdr:rowOff>
    </xdr:to>
    <xdr:cxnSp macro="">
      <xdr:nvCxnSpPr>
        <xdr:cNvPr id="16" name="Straight Connector 15">
          <a:extLst>
            <a:ext uri="{FF2B5EF4-FFF2-40B4-BE49-F238E27FC236}">
              <a16:creationId xmlns:a16="http://schemas.microsoft.com/office/drawing/2014/main" id="{F793D44E-3854-47A0-9695-84E3C76A504E}"/>
            </a:ext>
            <a:ext uri="{147F2762-F138-4A5C-976F-8EAC2B608ADB}">
              <a16:predDERef xmlns:a16="http://schemas.microsoft.com/office/drawing/2014/main" pred="{B1242568-A8F3-40C9-B026-38F4959FE450}"/>
            </a:ext>
          </a:extLst>
        </xdr:cNvPr>
        <xdr:cNvCxnSpPr>
          <a:cxnSpLocks/>
          <a:stCxn id="10" idx="0"/>
          <a:endCxn id="13" idx="4"/>
          <a:extLst>
            <a:ext uri="{5F17804C-33F3-41E3-A699-7DCFA2EF7971}">
              <a16:cxnDERefs xmlns:a16="http://schemas.microsoft.com/office/drawing/2014/main" st="{D1DB2313-618F-49BB-B72B-05EA80946D0B}" end="{21CB73F3-B179-4152-848F-B2DF272CCFD4}"/>
            </a:ext>
          </a:extLst>
        </xdr:cNvCxnSpPr>
      </xdr:nvCxnSpPr>
      <xdr:spPr>
        <a:xfrm flipV="1">
          <a:off x="9453563" y="1152525"/>
          <a:ext cx="47625" cy="10287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585788</xdr:colOff>
      <xdr:row>8</xdr:row>
      <xdr:rowOff>57150</xdr:rowOff>
    </xdr:from>
    <xdr:to>
      <xdr:col>7</xdr:col>
      <xdr:colOff>52388</xdr:colOff>
      <xdr:row>13</xdr:row>
      <xdr:rowOff>47625</xdr:rowOff>
    </xdr:to>
    <xdr:cxnSp macro="">
      <xdr:nvCxnSpPr>
        <xdr:cNvPr id="17" name="Straight Connector 16">
          <a:extLst>
            <a:ext uri="{FF2B5EF4-FFF2-40B4-BE49-F238E27FC236}">
              <a16:creationId xmlns:a16="http://schemas.microsoft.com/office/drawing/2014/main" id="{6223CAC9-FAF9-4B61-8771-BD8B8451A801}"/>
            </a:ext>
            <a:ext uri="{147F2762-F138-4A5C-976F-8EAC2B608ADB}">
              <a16:predDERef xmlns:a16="http://schemas.microsoft.com/office/drawing/2014/main" pred="{F793D44E-3854-47A0-9695-84E3C76A504E}"/>
            </a:ext>
          </a:extLst>
        </xdr:cNvPr>
        <xdr:cNvCxnSpPr>
          <a:cxnSpLocks/>
          <a:stCxn id="4" idx="0"/>
          <a:endCxn id="11" idx="4"/>
          <a:extLst>
            <a:ext uri="{5F17804C-33F3-41E3-A699-7DCFA2EF7971}">
              <a16:cxnDERefs xmlns:a16="http://schemas.microsoft.com/office/drawing/2014/main" st="{B3D64C1E-2AAB-4C87-8562-F25558A3AD68}" end="{20A974B0-39CB-4F8B-819B-3C4A9CDE0591}"/>
            </a:ext>
          </a:extLst>
        </xdr:cNvCxnSpPr>
      </xdr:nvCxnSpPr>
      <xdr:spPr>
        <a:xfrm flipV="1">
          <a:off x="3024188" y="1352550"/>
          <a:ext cx="1295400" cy="8001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485775</xdr:colOff>
      <xdr:row>0</xdr:row>
      <xdr:rowOff>104775</xdr:rowOff>
    </xdr:from>
    <xdr:to>
      <xdr:col>20</xdr:col>
      <xdr:colOff>247650</xdr:colOff>
      <xdr:row>7</xdr:row>
      <xdr:rowOff>9525</xdr:rowOff>
    </xdr:to>
    <xdr:sp macro="" textlink="">
      <xdr:nvSpPr>
        <xdr:cNvPr id="18" name="Oval 17">
          <a:extLst>
            <a:ext uri="{FF2B5EF4-FFF2-40B4-BE49-F238E27FC236}">
              <a16:creationId xmlns:a16="http://schemas.microsoft.com/office/drawing/2014/main" id="{6B1358F0-830A-49D5-84A2-C56037DCFC5B}"/>
            </a:ext>
            <a:ext uri="{147F2762-F138-4A5C-976F-8EAC2B608ADB}">
              <a16:predDERef xmlns:a16="http://schemas.microsoft.com/office/drawing/2014/main" pred="{6223CAC9-FAF9-4B61-8771-BD8B8451A801}"/>
            </a:ext>
          </a:extLst>
        </xdr:cNvPr>
        <xdr:cNvSpPr/>
      </xdr:nvSpPr>
      <xdr:spPr>
        <a:xfrm>
          <a:off x="11458575" y="10477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0400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15</xdr:col>
      <xdr:colOff>309563</xdr:colOff>
      <xdr:row>7</xdr:row>
      <xdr:rowOff>9525</xdr:rowOff>
    </xdr:from>
    <xdr:to>
      <xdr:col>19</xdr:col>
      <xdr:colOff>366713</xdr:colOff>
      <xdr:row>13</xdr:row>
      <xdr:rowOff>76200</xdr:rowOff>
    </xdr:to>
    <xdr:cxnSp macro="">
      <xdr:nvCxnSpPr>
        <xdr:cNvPr id="19" name="Straight Connector 18">
          <a:extLst>
            <a:ext uri="{FF2B5EF4-FFF2-40B4-BE49-F238E27FC236}">
              <a16:creationId xmlns:a16="http://schemas.microsoft.com/office/drawing/2014/main" id="{31B67D7C-3584-4B98-AE31-91EFAF56C32E}"/>
            </a:ext>
            <a:ext uri="{147F2762-F138-4A5C-976F-8EAC2B608ADB}">
              <a16:predDERef xmlns:a16="http://schemas.microsoft.com/office/drawing/2014/main" pred="{6223CAC9-FAF9-4B61-8771-BD8B8451A801}"/>
            </a:ext>
          </a:extLst>
        </xdr:cNvPr>
        <xdr:cNvCxnSpPr>
          <a:cxnSpLocks/>
          <a:stCxn id="10" idx="0"/>
          <a:endCxn id="18" idx="4"/>
          <a:extLst>
            <a:ext uri="{5F17804C-33F3-41E3-A699-7DCFA2EF7971}">
              <a16:cxnDERefs xmlns:a16="http://schemas.microsoft.com/office/drawing/2014/main" st="{D1DB2313-618F-49BB-B72B-05EA80946D0B}" end="{6B1358F0-830A-49D5-84A2-C56037DCFC5B}"/>
            </a:ext>
          </a:extLst>
        </xdr:cNvCxnSpPr>
      </xdr:nvCxnSpPr>
      <xdr:spPr>
        <a:xfrm flipV="1">
          <a:off x="9453563" y="1143000"/>
          <a:ext cx="2495550" cy="10382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9708-F07A-4558-B2FE-C19AC377D3CA}">
  <dimension ref="B1:AA11"/>
  <sheetViews>
    <sheetView topLeftCell="A5" zoomScale="94" zoomScaleNormal="80" workbookViewId="0">
      <selection activeCell="E20" sqref="E20"/>
    </sheetView>
  </sheetViews>
  <sheetFormatPr defaultColWidth="9.109375" defaultRowHeight="12.75" customHeight="1"/>
  <cols>
    <col min="1" max="1" width="0.5546875" customWidth="1"/>
    <col min="2" max="2" width="56.88671875" customWidth="1"/>
    <col min="3" max="3" width="5.44140625" style="8" bestFit="1" customWidth="1"/>
    <col min="4" max="5" width="8.6640625" style="8" customWidth="1"/>
    <col min="6" max="6" width="9.109375" style="8" customWidth="1"/>
    <col min="7" max="9" width="9" style="8" hidden="1" customWidth="1"/>
    <col min="10" max="10" width="12.88671875" style="8" hidden="1" customWidth="1"/>
    <col min="11" max="12" width="13.33203125" style="8" hidden="1" customWidth="1"/>
    <col min="13" max="14" width="13.88671875" style="8" hidden="1" customWidth="1"/>
    <col min="15" max="16" width="13.44140625" style="8" hidden="1" customWidth="1"/>
    <col min="17" max="18" width="9.109375" style="8" customWidth="1"/>
    <col min="19" max="20" width="9.6640625" style="8" customWidth="1"/>
    <col min="21" max="21" width="8.6640625" hidden="1" customWidth="1"/>
    <col min="22" max="22" width="12.88671875" customWidth="1"/>
    <col min="23" max="24" width="13.33203125" customWidth="1"/>
    <col min="25" max="25" width="10.88671875" style="8" customWidth="1"/>
    <col min="26" max="27" width="8.88671875" style="8"/>
    <col min="16359" max="16360" width="9.109375" bestFit="1" customWidth="1"/>
  </cols>
  <sheetData>
    <row r="1" spans="2:27" ht="18">
      <c r="B1" s="8" t="s">
        <v>0</v>
      </c>
      <c r="C1"/>
      <c r="E1" s="300" t="s">
        <v>1</v>
      </c>
      <c r="F1" s="301"/>
      <c r="G1" s="301"/>
      <c r="H1" s="301"/>
      <c r="I1" s="301"/>
      <c r="J1" s="301"/>
      <c r="K1" s="301"/>
      <c r="L1" s="301"/>
      <c r="M1" s="301"/>
      <c r="N1" s="301"/>
      <c r="O1" s="301"/>
      <c r="P1" s="301"/>
      <c r="Q1" s="301"/>
      <c r="R1" s="301"/>
      <c r="S1" s="301"/>
      <c r="T1" s="302"/>
      <c r="U1" s="207"/>
      <c r="V1" s="288" t="s">
        <v>2</v>
      </c>
      <c r="W1" s="289"/>
      <c r="X1" s="289"/>
      <c r="Y1" s="289"/>
      <c r="Z1" s="289"/>
      <c r="AA1" s="290"/>
    </row>
    <row r="2" spans="2:27" s="6" customFormat="1" ht="79.2" customHeight="1">
      <c r="B2" s="6" t="s">
        <v>0</v>
      </c>
      <c r="C2" s="293" t="s">
        <v>3</v>
      </c>
      <c r="D2" s="294"/>
      <c r="E2" s="295" t="s">
        <v>4</v>
      </c>
      <c r="F2" s="296"/>
      <c r="G2" s="297" t="s">
        <v>5</v>
      </c>
      <c r="H2" s="298"/>
      <c r="I2" s="297" t="s">
        <v>6</v>
      </c>
      <c r="J2" s="298"/>
      <c r="K2" s="297" t="s">
        <v>7</v>
      </c>
      <c r="L2" s="298"/>
      <c r="M2" s="297" t="s">
        <v>8</v>
      </c>
      <c r="N2" s="298"/>
      <c r="O2" s="297" t="s">
        <v>9</v>
      </c>
      <c r="P2" s="298"/>
      <c r="Q2" s="304" t="s">
        <v>10</v>
      </c>
      <c r="R2" s="305"/>
      <c r="S2" s="297" t="s">
        <v>11</v>
      </c>
      <c r="T2" s="303"/>
      <c r="U2" s="208" t="s">
        <v>3</v>
      </c>
      <c r="V2" s="299" t="s">
        <v>4</v>
      </c>
      <c r="W2" s="291"/>
      <c r="X2" s="291" t="s">
        <v>10</v>
      </c>
      <c r="Y2" s="291"/>
      <c r="Z2" s="291" t="s">
        <v>11</v>
      </c>
      <c r="AA2" s="292"/>
    </row>
    <row r="3" spans="2:27" s="23" customFormat="1" ht="28.8">
      <c r="B3" s="45" t="s">
        <v>12</v>
      </c>
      <c r="C3" s="24" t="s">
        <v>13</v>
      </c>
      <c r="D3" s="63" t="s">
        <v>14</v>
      </c>
      <c r="E3" s="59" t="s">
        <v>13</v>
      </c>
      <c r="F3" s="25" t="s">
        <v>15</v>
      </c>
      <c r="G3" s="25" t="s">
        <v>13</v>
      </c>
      <c r="H3" s="25" t="s">
        <v>15</v>
      </c>
      <c r="I3" s="25" t="s">
        <v>13</v>
      </c>
      <c r="J3" s="25" t="s">
        <v>15</v>
      </c>
      <c r="K3" s="25" t="s">
        <v>13</v>
      </c>
      <c r="L3" s="25" t="s">
        <v>15</v>
      </c>
      <c r="M3" s="25" t="s">
        <v>13</v>
      </c>
      <c r="N3" s="25" t="s">
        <v>15</v>
      </c>
      <c r="O3" s="25" t="s">
        <v>13</v>
      </c>
      <c r="P3" s="25" t="s">
        <v>15</v>
      </c>
      <c r="Q3" s="25" t="s">
        <v>13</v>
      </c>
      <c r="R3" s="56" t="s">
        <v>15</v>
      </c>
      <c r="S3" s="25" t="s">
        <v>13</v>
      </c>
      <c r="T3" s="26" t="s">
        <v>15</v>
      </c>
      <c r="U3" s="210"/>
      <c r="V3" s="59" t="s">
        <v>13</v>
      </c>
      <c r="W3" s="25" t="s">
        <v>15</v>
      </c>
      <c r="X3" s="25" t="s">
        <v>13</v>
      </c>
      <c r="Y3" s="25" t="s">
        <v>15</v>
      </c>
      <c r="Z3" s="25" t="s">
        <v>13</v>
      </c>
      <c r="AA3" s="26" t="s">
        <v>15</v>
      </c>
    </row>
    <row r="4" spans="2:27" ht="17.399999999999999">
      <c r="B4" s="46" t="s">
        <v>16</v>
      </c>
      <c r="C4" s="49">
        <v>13</v>
      </c>
      <c r="D4" s="64">
        <f t="shared" ref="D4:D10" si="0">SUM(F4,H4,J4,L4,N4,O4,P4,R4,T4)</f>
        <v>1</v>
      </c>
      <c r="E4" s="60">
        <f>COUNTIF(Mapeamentos!J4:J16,"Concluido")</f>
        <v>13</v>
      </c>
      <c r="F4" s="50">
        <f>E4/C4</f>
        <v>1</v>
      </c>
      <c r="G4" s="51">
        <f>COUNTIF(Mapeamentos!AF4:AF16,"Mapeamento com LT fechado, mas parametrização pendente")</f>
        <v>0</v>
      </c>
      <c r="H4" s="50">
        <f t="shared" ref="H4:H9" si="1">G4/C4</f>
        <v>0</v>
      </c>
      <c r="I4" s="51">
        <f>COUNTIF(Mapeamentos!AF4:AH16,"Novo campo, mapeamento datalake fechado, com necessidade de criar parametrização")</f>
        <v>0</v>
      </c>
      <c r="J4" s="52">
        <f>COUNTIF(Mapeamentos!AO10:AT12,"Mapeamento com LT fechado, mas parametrização pendente")</f>
        <v>0</v>
      </c>
      <c r="K4" s="51">
        <f>COUNTIF(Mapeamentos!AF4:AF16,"Novo campo, mapeamento datalake fechado, sem necessidade de criar parametrização")</f>
        <v>0</v>
      </c>
      <c r="L4" s="53">
        <f>COUNTIF(Mapeamentos!AW10:BD10,"Mapeamento com LT fechado, mas parametrização pendente")</f>
        <v>0</v>
      </c>
      <c r="M4" s="51">
        <f>COUNTIF(Mapeamentos!AF4:AF16,"Novo campo, mapeamento datalake pendente, com necessidade de criar parametrização")</f>
        <v>0</v>
      </c>
      <c r="N4" s="53">
        <f>COUNTIF(Mapeamentos!BK10:CB10,"Mapeamento com LT fechado, mas parametrização pendente")</f>
        <v>0</v>
      </c>
      <c r="O4" s="51">
        <f>COUNTIF(Mapeamentos!AF4:AF16,"Novo campo, mapeamento datalake pendente, sem necessidade de criar parametrização")</f>
        <v>0</v>
      </c>
      <c r="P4" s="50">
        <f t="shared" ref="P4:P10" si="2">O4/C4</f>
        <v>0</v>
      </c>
      <c r="Q4" s="51">
        <f>COUNTIF(Mapeamentos!J4:J16,"Em curso")</f>
        <v>0</v>
      </c>
      <c r="R4" s="57">
        <f t="shared" ref="R4:R10" si="3">Q4/C4</f>
        <v>0</v>
      </c>
      <c r="S4" s="51">
        <f>COUNTIF(Mapeamentos!J4:J16,"Por iniciar")</f>
        <v>0</v>
      </c>
      <c r="T4" s="54">
        <f t="shared" ref="T4:T10" si="4">S4/C4</f>
        <v>0</v>
      </c>
      <c r="U4" s="209">
        <f t="shared" ref="U4:U9" si="5">SUM(G4,E4,I4,K4,M4,O4,S4)</f>
        <v>13</v>
      </c>
      <c r="V4" s="212">
        <f>COUNTIF(Mapeamentos!K4:K16,"Concluido")</f>
        <v>13</v>
      </c>
      <c r="W4" s="213">
        <f t="shared" ref="W4:W10" si="6">V4/C4</f>
        <v>1</v>
      </c>
      <c r="X4" s="214">
        <f>COUNTIF(Mapeamentos!K4:K16,"Em curso")</f>
        <v>0</v>
      </c>
      <c r="Y4" s="213">
        <f t="shared" ref="Y4:Y10" si="7">X4/C4</f>
        <v>0</v>
      </c>
      <c r="Z4" s="214">
        <f>COUNTIF(Mapeamentos!K4:K16,"Por iniciar")</f>
        <v>0</v>
      </c>
      <c r="AA4" s="215">
        <f t="shared" ref="AA4:AA10" si="8">Z4/C4</f>
        <v>0</v>
      </c>
    </row>
    <row r="5" spans="2:27" ht="17.399999999999999">
      <c r="B5" s="47" t="s">
        <v>17</v>
      </c>
      <c r="C5" s="49">
        <v>6</v>
      </c>
      <c r="D5" s="64">
        <f t="shared" si="0"/>
        <v>1</v>
      </c>
      <c r="E5" s="61">
        <f>COUNTIF(Mapeamentos!J17:J22,"Concluido")</f>
        <v>6</v>
      </c>
      <c r="F5" s="50">
        <f>E5/C5</f>
        <v>1</v>
      </c>
      <c r="G5" s="52">
        <f>COUNTIF(Mapeamentos!AF17:AF22,"Mapeamento com LT fechado, mas parametrização pendente")</f>
        <v>0</v>
      </c>
      <c r="H5" s="50">
        <f t="shared" si="1"/>
        <v>0</v>
      </c>
      <c r="I5" s="52">
        <f>COUNTIF(Mapeamentos!AF17:AF22,"Novo campo, mapeamento datalake fechado, com necessidade de criar parametrização")</f>
        <v>0</v>
      </c>
      <c r="J5" s="52">
        <f>COUNTIF(Mapeamentos!AO12:AT14,"Mapeamento com LT fechado, mas parametrização pendente")</f>
        <v>0</v>
      </c>
      <c r="K5" s="52">
        <f>COUNTIF(Mapeamentos!AF17:AF22,"Novo campo, mapeamento datalake fechado, sem necessidade de criar parametrização")</f>
        <v>0</v>
      </c>
      <c r="L5" s="53">
        <f>COUNTIF(Mapeamentos!AW11:BD11,"Mapeamento com LT fechado, mas parametrização pendente")</f>
        <v>0</v>
      </c>
      <c r="M5" s="53">
        <f>COUNTIF(Mapeamentos!AF17:AF22,"Novo campo, mapeamento datalake pendente, com necessidade de criar parametrização")</f>
        <v>0</v>
      </c>
      <c r="N5" s="53">
        <f>COUNTIF(Mapeamentos!BK11:CB11,"Mapeamento com LT fechado, mas parametrização pendente")</f>
        <v>0</v>
      </c>
      <c r="O5" s="53">
        <f>COUNTIF(Mapeamentos!AF17:AF22,"Novo campo, mapeamento datalake pendente, sem necessidade de criar parametrização")</f>
        <v>0</v>
      </c>
      <c r="P5" s="50">
        <f t="shared" si="2"/>
        <v>0</v>
      </c>
      <c r="Q5" s="53">
        <f>COUNTIF(Mapeamentos!J17:J22,"Em curso")</f>
        <v>0</v>
      </c>
      <c r="R5" s="57">
        <f t="shared" si="3"/>
        <v>0</v>
      </c>
      <c r="S5" s="53">
        <f>COUNTIF(Mapeamentos!J17:J22,"Por iniciar")</f>
        <v>0</v>
      </c>
      <c r="T5" s="54">
        <f t="shared" si="4"/>
        <v>0</v>
      </c>
      <c r="U5" s="209">
        <f t="shared" si="5"/>
        <v>6</v>
      </c>
      <c r="V5" s="211">
        <f>COUNTIF(Mapeamentos!K17:K22,"Concluido")</f>
        <v>6</v>
      </c>
      <c r="W5" s="213">
        <f t="shared" si="6"/>
        <v>1</v>
      </c>
      <c r="X5" s="216">
        <f>COUNTIF(Mapeamentos!K17:K22,"Em curso")</f>
        <v>0</v>
      </c>
      <c r="Y5" s="213">
        <f t="shared" si="7"/>
        <v>0</v>
      </c>
      <c r="Z5" s="216">
        <f>COUNTIF(Mapeamentos!K17:K22,"Por iniciar")</f>
        <v>0</v>
      </c>
      <c r="AA5" s="215">
        <f t="shared" si="8"/>
        <v>0</v>
      </c>
    </row>
    <row r="6" spans="2:27" ht="17.399999999999999">
      <c r="B6" s="47" t="s">
        <v>18</v>
      </c>
      <c r="C6" s="49">
        <v>2</v>
      </c>
      <c r="D6" s="64">
        <f t="shared" si="0"/>
        <v>1</v>
      </c>
      <c r="E6" s="61">
        <f>COUNTIF(Mapeamentos!J23:J24,"Concluido")</f>
        <v>2</v>
      </c>
      <c r="F6" s="50">
        <f t="shared" ref="F6:F8" si="9">E6/C6</f>
        <v>1</v>
      </c>
      <c r="G6" s="53">
        <f>COUNTIF(Mapeamentos!AF23:AF24,"Mapeamento com LT fechado, mas parametrização pendente")</f>
        <v>0</v>
      </c>
      <c r="H6" s="50">
        <f t="shared" si="1"/>
        <v>0</v>
      </c>
      <c r="I6" s="53">
        <f>COUNTIF(Mapeamentos!AF23:AF24,"Novo campo, mapeamento datalake fechado, com necessidade de criar parametrização")</f>
        <v>0</v>
      </c>
      <c r="J6" s="52">
        <f>COUNTIF(Mapeamentos!AO12:AT14,"Mapeamento com LT fechado, mas parametrização pendente")</f>
        <v>0</v>
      </c>
      <c r="K6" s="53">
        <f>COUNTIF(Mapeamentos!AF23:AF24,"Novo campo, mapeamento datalake fechado, sem necessidade de criar parametrização")</f>
        <v>0</v>
      </c>
      <c r="L6" s="53">
        <f>COUNTIF(Mapeamentos!AW12:BD12,"Mapeamento com LT fechado, mas parametrização pendente")</f>
        <v>0</v>
      </c>
      <c r="M6" s="53">
        <f>COUNTIF(Mapeamentos!AF23:AF24,"Novo campo, mapeamento datalake pendente, com necessidade de criar parametrização")</f>
        <v>0</v>
      </c>
      <c r="N6" s="53">
        <f>COUNTIF(Mapeamentos!BK12:CB12,"Mapeamento com LT fechado, mas parametrização pendente")</f>
        <v>0</v>
      </c>
      <c r="O6" s="53">
        <f>COUNTIF(Mapeamentos!AF23:AF24,"Novo campo, mapeamento datalake pendente, sem necessidade de criar parametrização")</f>
        <v>0</v>
      </c>
      <c r="P6" s="50">
        <f t="shared" si="2"/>
        <v>0</v>
      </c>
      <c r="Q6" s="53">
        <f>COUNTIF(Mapeamentos!J23:J24,"Em curso")</f>
        <v>0</v>
      </c>
      <c r="R6" s="57">
        <f t="shared" si="3"/>
        <v>0</v>
      </c>
      <c r="S6" s="53">
        <f>COUNTIF(Mapeamentos!J23:J24,"Por iniciar")</f>
        <v>0</v>
      </c>
      <c r="T6" s="54">
        <f t="shared" si="4"/>
        <v>0</v>
      </c>
      <c r="U6" s="209">
        <f t="shared" si="5"/>
        <v>2</v>
      </c>
      <c r="V6" s="211">
        <f>COUNTIF(Mapeamentos!K23:K24,"Concluido")</f>
        <v>2</v>
      </c>
      <c r="W6" s="213">
        <f t="shared" si="6"/>
        <v>1</v>
      </c>
      <c r="X6" s="216">
        <f>COUNTIF(Mapeamentos!K23:K24,"Em curso")</f>
        <v>0</v>
      </c>
      <c r="Y6" s="213">
        <f t="shared" si="7"/>
        <v>0</v>
      </c>
      <c r="Z6" s="216">
        <f>COUNTIF(Mapeamentos!K23:K24,"Por iniciar")</f>
        <v>0</v>
      </c>
      <c r="AA6" s="215">
        <f t="shared" si="8"/>
        <v>0</v>
      </c>
    </row>
    <row r="7" spans="2:27" ht="17.399999999999999">
      <c r="B7" s="47" t="s">
        <v>19</v>
      </c>
      <c r="C7" s="49">
        <v>8</v>
      </c>
      <c r="D7" s="64">
        <f t="shared" si="0"/>
        <v>1</v>
      </c>
      <c r="E7" s="61">
        <f>COUNTIF(Mapeamentos!J25:J32,"Concluido")</f>
        <v>8</v>
      </c>
      <c r="F7" s="50">
        <f t="shared" si="9"/>
        <v>1</v>
      </c>
      <c r="G7" s="53">
        <f>COUNTIF(Mapeamentos!AF25:AF32,"Mapeamento com LT fechado, mas parametrização pendente")</f>
        <v>0</v>
      </c>
      <c r="H7" s="50">
        <f t="shared" si="1"/>
        <v>0</v>
      </c>
      <c r="I7" s="53">
        <f>COUNTIF(Mapeamentos!AF25:AF32,"Novo campo, mapeamento datalake fechado, com necessidade de criar parametrização")</f>
        <v>0</v>
      </c>
      <c r="J7" s="52">
        <f>COUNTIF(Mapeamentos!AO13:AT15,"Mapeamento com LT fechado, mas parametrização pendente")</f>
        <v>0</v>
      </c>
      <c r="K7" s="53">
        <f>COUNTIF(Mapeamentos!AF25:AF32,"Novo campo, mapeamento datalake fechado, sem necessidade de criar parametrização")</f>
        <v>0</v>
      </c>
      <c r="L7" s="53">
        <f>COUNTIF(Mapeamentos!AW13:BD13,"Mapeamento com LT fechado, mas parametrização pendente")</f>
        <v>0</v>
      </c>
      <c r="M7" s="53">
        <f>COUNTIF(Mapeamentos!AF25:AF32,"Novo campo, mapeamento datalake pendente, com necessidade de criar parametrização")</f>
        <v>0</v>
      </c>
      <c r="N7" s="53">
        <f>COUNTIF(Mapeamentos!BK13:CB13,"Mapeamento com LT fechado, mas parametrização pendente")</f>
        <v>0</v>
      </c>
      <c r="O7" s="53">
        <f>COUNTIF(Mapeamentos!AF25:AF32,"Novo campo, mapeamento datalake pendente, sem necessidade de criar parametrização")</f>
        <v>0</v>
      </c>
      <c r="P7" s="50">
        <f t="shared" si="2"/>
        <v>0</v>
      </c>
      <c r="Q7" s="53">
        <f>COUNTIF(Mapeamentos!J25:J32,"Em curso")</f>
        <v>0</v>
      </c>
      <c r="R7" s="57">
        <f t="shared" si="3"/>
        <v>0</v>
      </c>
      <c r="S7" s="53">
        <f>COUNTIF(Mapeamentos!J25:J32,"Por iniciar")</f>
        <v>0</v>
      </c>
      <c r="T7" s="54">
        <f t="shared" si="4"/>
        <v>0</v>
      </c>
      <c r="U7" s="209">
        <f t="shared" si="5"/>
        <v>8</v>
      </c>
      <c r="V7" s="211">
        <f>COUNTIF(Mapeamentos!K25:K32,"Concluido")</f>
        <v>8</v>
      </c>
      <c r="W7" s="213">
        <f t="shared" si="6"/>
        <v>1</v>
      </c>
      <c r="X7" s="216">
        <f>COUNTIF(Mapeamentos!K25:K32,"Em curso")</f>
        <v>0</v>
      </c>
      <c r="Y7" s="213">
        <f t="shared" si="7"/>
        <v>0</v>
      </c>
      <c r="Z7" s="216">
        <f>COUNTIF(Mapeamentos!K25:K32,"Por iniciar")</f>
        <v>0</v>
      </c>
      <c r="AA7" s="215">
        <f t="shared" si="8"/>
        <v>0</v>
      </c>
    </row>
    <row r="8" spans="2:27" ht="17.399999999999999">
      <c r="B8" s="47" t="s">
        <v>20</v>
      </c>
      <c r="C8" s="49">
        <v>6</v>
      </c>
      <c r="D8" s="64">
        <f t="shared" si="0"/>
        <v>1</v>
      </c>
      <c r="E8" s="61">
        <f>COUNTIF(Mapeamentos!J33:J38,"Concluido")</f>
        <v>6</v>
      </c>
      <c r="F8" s="50">
        <f t="shared" si="9"/>
        <v>1</v>
      </c>
      <c r="G8" s="53">
        <f>COUNTIF(Mapeamentos!AF33:AF38,"Mapeamento com LT fechado, mas parametrização pendente")</f>
        <v>0</v>
      </c>
      <c r="H8" s="50">
        <f t="shared" si="1"/>
        <v>0</v>
      </c>
      <c r="I8" s="53">
        <f>COUNTIF(Mapeamentos!AF33:AF38,"Novo campo, mapeamento datalake fechado, com necessidade de criar parametrização")</f>
        <v>0</v>
      </c>
      <c r="J8" s="52">
        <f>COUNTIF(Mapeamentos!AO14:AT16,"Mapeamento com LT fechado, mas parametrização pendente")</f>
        <v>0</v>
      </c>
      <c r="K8" s="53">
        <f>COUNTIF(Mapeamentos!AF33:AF38,"Novo campo, mapeamento datalake fechado, sem necessidade de criar parametrização")</f>
        <v>0</v>
      </c>
      <c r="L8" s="53">
        <f>COUNTIF(Mapeamentos!AW14:BD14,"Mapeamento com LT fechado, mas parametrização pendente")</f>
        <v>0</v>
      </c>
      <c r="M8" s="53">
        <f>COUNTIF(Mapeamentos!AF33:AF38,"Novo campo, mapeamento datalake pendente, com necessidade de criar parametrização")</f>
        <v>0</v>
      </c>
      <c r="N8" s="53">
        <f>COUNTIF(Mapeamentos!BK14:CB14,"Mapeamento com LT fechado, mas parametrização pendente")</f>
        <v>0</v>
      </c>
      <c r="O8" s="53">
        <f>COUNTIF(Mapeamentos!AF33:AF38,"Novo campo, mapeamento datalake pendente, sem necessidade de criar parametrização")</f>
        <v>0</v>
      </c>
      <c r="P8" s="50">
        <f t="shared" si="2"/>
        <v>0</v>
      </c>
      <c r="Q8" s="53">
        <f>COUNTIF(Mapeamentos!J33:J38,"Em curso")</f>
        <v>0</v>
      </c>
      <c r="R8" s="57">
        <f t="shared" si="3"/>
        <v>0</v>
      </c>
      <c r="S8" s="53">
        <f>COUNTIF(Mapeamentos!J33:J38,"Por iniciar")</f>
        <v>0</v>
      </c>
      <c r="T8" s="54">
        <f t="shared" si="4"/>
        <v>0</v>
      </c>
      <c r="U8" s="209">
        <f t="shared" si="5"/>
        <v>6</v>
      </c>
      <c r="V8" s="211">
        <f>COUNTIF(Mapeamentos!K33:K38,"Concluido")</f>
        <v>6</v>
      </c>
      <c r="W8" s="213">
        <f t="shared" si="6"/>
        <v>1</v>
      </c>
      <c r="X8" s="216">
        <f>COUNTIF(Mapeamentos!K33:K38,"Em curso")</f>
        <v>0</v>
      </c>
      <c r="Y8" s="213">
        <f t="shared" si="7"/>
        <v>0</v>
      </c>
      <c r="Z8" s="216">
        <f>COUNTIF(Mapeamentos!K33:K38,"Por iniciar")</f>
        <v>0</v>
      </c>
      <c r="AA8" s="215">
        <f t="shared" si="8"/>
        <v>0</v>
      </c>
    </row>
    <row r="9" spans="2:27" ht="17.399999999999999">
      <c r="B9" s="47" t="s">
        <v>21</v>
      </c>
      <c r="C9" s="49">
        <v>18</v>
      </c>
      <c r="D9" s="64">
        <f t="shared" si="0"/>
        <v>1</v>
      </c>
      <c r="E9" s="61">
        <f>COUNTIF(Mapeamentos!J39:J56,"Concluido")</f>
        <v>18</v>
      </c>
      <c r="F9" s="50">
        <f>E9/C9</f>
        <v>1</v>
      </c>
      <c r="G9" s="53">
        <f>COUNTIF(Mapeamentos!AF39:AF56,"Mapeamento com LT fechado, mas parametrização pendente")</f>
        <v>0</v>
      </c>
      <c r="H9" s="50">
        <f t="shared" si="1"/>
        <v>0</v>
      </c>
      <c r="I9" s="53">
        <f>COUNTIF(Mapeamentos!AF39:AF56,"Novo campo, mapeamento datalake fechado, com necessidade de criar parametrização")</f>
        <v>0</v>
      </c>
      <c r="J9" s="52">
        <f>COUNTIF(Mapeamentos!AO15:AT17,"Mapeamento com LT fechado, mas parametrização pendente")</f>
        <v>0</v>
      </c>
      <c r="K9" s="53">
        <f>COUNTIF(Mapeamentos!AF39:AF56,"Novo campo, mapeamento datalake fechado, sem necessidade de criar parametrização")</f>
        <v>0</v>
      </c>
      <c r="L9" s="53">
        <f>COUNTIF(Mapeamentos!AW15:BD15,"Mapeamento com LT fechado, mas parametrização pendente")</f>
        <v>0</v>
      </c>
      <c r="M9" s="53">
        <f>COUNTIF(Mapeamentos!AF39:AF56,"Novo campo, mapeamento datalake pendente, com necessidade de criar parametrização")</f>
        <v>0</v>
      </c>
      <c r="N9" s="53">
        <f>COUNTIF(Mapeamentos!BK15:CB15,"Mapeamento com LT fechado, mas parametrização pendente")</f>
        <v>0</v>
      </c>
      <c r="O9" s="53">
        <f>COUNTIF(Mapeamentos!AF39:AF56,"Novo campo, mapeamento datalake pendente, sem necessidade de criar parametrização")</f>
        <v>0</v>
      </c>
      <c r="P9" s="50">
        <f t="shared" si="2"/>
        <v>0</v>
      </c>
      <c r="Q9" s="53">
        <f>COUNTIF(Mapeamentos!J39:J56,"Em curso")</f>
        <v>0</v>
      </c>
      <c r="R9" s="57">
        <f t="shared" si="3"/>
        <v>0</v>
      </c>
      <c r="S9" s="53">
        <f>COUNTIF(Mapeamentos!J39:J56,"Por iniciar")</f>
        <v>0</v>
      </c>
      <c r="T9" s="54">
        <f t="shared" si="4"/>
        <v>0</v>
      </c>
      <c r="U9" s="209">
        <f t="shared" si="5"/>
        <v>18</v>
      </c>
      <c r="V9" s="211">
        <f>COUNTIF(Mapeamentos!K39:K56,"Concluido")</f>
        <v>18</v>
      </c>
      <c r="W9" s="213">
        <f t="shared" si="6"/>
        <v>1</v>
      </c>
      <c r="X9" s="216">
        <f>COUNTIF(Mapeamentos!K39:K56,"Em curso")</f>
        <v>0</v>
      </c>
      <c r="Y9" s="213">
        <f t="shared" si="7"/>
        <v>0</v>
      </c>
      <c r="Z9" s="216">
        <f>COUNTIF(Mapeamentos!K39:K56,"Por iniciar")</f>
        <v>0</v>
      </c>
      <c r="AA9" s="215">
        <f t="shared" si="8"/>
        <v>0</v>
      </c>
    </row>
    <row r="10" spans="2:27" ht="16.2">
      <c r="B10" s="48" t="s">
        <v>3</v>
      </c>
      <c r="C10" s="27">
        <f>SUM(C4:C9)</f>
        <v>53</v>
      </c>
      <c r="D10" s="65">
        <f t="shared" si="0"/>
        <v>1</v>
      </c>
      <c r="E10" s="62">
        <f>SUM(E4:E9)</f>
        <v>53</v>
      </c>
      <c r="F10" s="28">
        <f>E10/C10</f>
        <v>1</v>
      </c>
      <c r="G10" s="29">
        <f>SUM(G4:G9)</f>
        <v>0</v>
      </c>
      <c r="H10" s="28">
        <f>G10/C10</f>
        <v>0</v>
      </c>
      <c r="I10" s="29">
        <f>SUM(I4:I9)</f>
        <v>0</v>
      </c>
      <c r="J10" s="28">
        <f t="shared" ref="J10" si="10">I10/C10</f>
        <v>0</v>
      </c>
      <c r="K10" s="29">
        <f>SUM(K4:K9)</f>
        <v>0</v>
      </c>
      <c r="L10" s="28">
        <f t="shared" ref="L10" si="11">K10/C10</f>
        <v>0</v>
      </c>
      <c r="M10" s="29">
        <f>SUM(M4:M9)</f>
        <v>0</v>
      </c>
      <c r="N10" s="28">
        <f t="shared" ref="N10" si="12">M10/C10</f>
        <v>0</v>
      </c>
      <c r="O10" s="29">
        <f>SUM(O4:O9)</f>
        <v>0</v>
      </c>
      <c r="P10" s="28">
        <f t="shared" si="2"/>
        <v>0</v>
      </c>
      <c r="Q10" s="29">
        <f>SUM(Q4:Q9)</f>
        <v>0</v>
      </c>
      <c r="R10" s="58">
        <f t="shared" si="3"/>
        <v>0</v>
      </c>
      <c r="S10" s="29">
        <f>SUM(S4:S9)</f>
        <v>0</v>
      </c>
      <c r="T10" s="30">
        <f t="shared" si="4"/>
        <v>0</v>
      </c>
      <c r="U10" s="209"/>
      <c r="V10" s="217">
        <f>SUM(V4:V9)</f>
        <v>53</v>
      </c>
      <c r="W10" s="218">
        <f t="shared" si="6"/>
        <v>1</v>
      </c>
      <c r="X10" s="219">
        <f>SUM(X4:X9)</f>
        <v>0</v>
      </c>
      <c r="Y10" s="218">
        <f t="shared" si="7"/>
        <v>0</v>
      </c>
      <c r="Z10" s="219">
        <f>SUM(Z4:Z9)</f>
        <v>0</v>
      </c>
      <c r="AA10" s="220">
        <f t="shared" si="8"/>
        <v>0</v>
      </c>
    </row>
    <row r="11" spans="2:27" ht="16.2">
      <c r="B11" s="31" t="s">
        <v>0</v>
      </c>
    </row>
  </sheetData>
  <mergeCells count="14">
    <mergeCell ref="V1:AA1"/>
    <mergeCell ref="Z2:AA2"/>
    <mergeCell ref="C2:D2"/>
    <mergeCell ref="E2:F2"/>
    <mergeCell ref="G2:H2"/>
    <mergeCell ref="I2:J2"/>
    <mergeCell ref="K2:L2"/>
    <mergeCell ref="V2:W2"/>
    <mergeCell ref="E1:T1"/>
    <mergeCell ref="M2:N2"/>
    <mergeCell ref="O2:P2"/>
    <mergeCell ref="S2:T2"/>
    <mergeCell ref="Q2:R2"/>
    <mergeCell ref="X2:Y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lha1"/>
  <dimension ref="A1:AJ56"/>
  <sheetViews>
    <sheetView showGridLines="0" tabSelected="1" zoomScale="47" zoomScaleNormal="60" workbookViewId="0">
      <pane ySplit="3" topLeftCell="A4" activePane="bottomLeft" state="frozen"/>
      <selection pane="bottomLeft" activeCell="P32" sqref="P32"/>
    </sheetView>
  </sheetViews>
  <sheetFormatPr defaultColWidth="9.109375" defaultRowHeight="16.2"/>
  <cols>
    <col min="1" max="1" width="1.33203125" style="2" customWidth="1"/>
    <col min="2" max="2" width="20" style="5" customWidth="1"/>
    <col min="3" max="3" width="5.88671875" style="6" customWidth="1"/>
    <col min="4" max="4" width="26.44140625" style="5" customWidth="1"/>
    <col min="5" max="5" width="24.44140625" style="5" customWidth="1"/>
    <col min="6" max="6" width="53.44140625" style="5" customWidth="1"/>
    <col min="7" max="7" width="32.44140625" style="154" customWidth="1"/>
    <col min="8" max="8" width="91" style="154" customWidth="1"/>
    <col min="9" max="9" width="45.88671875" style="154" customWidth="1"/>
    <col min="10" max="11" width="25.5546875" style="5" customWidth="1"/>
    <col min="12" max="12" width="25.5546875" style="6" customWidth="1"/>
    <col min="13" max="13" width="13.6640625" style="126" customWidth="1"/>
    <col min="14" max="14" width="12" style="6" customWidth="1"/>
    <col min="15" max="15" width="26.5546875" style="5" customWidth="1"/>
    <col min="16" max="16" width="42.44140625" style="5" customWidth="1"/>
    <col min="17" max="17" width="18.5546875" style="6" customWidth="1"/>
    <col min="18" max="18" width="22" style="6" customWidth="1"/>
    <col min="19" max="19" width="35.109375" style="5" customWidth="1"/>
    <col min="20" max="20" width="21.88671875" style="6" customWidth="1"/>
    <col min="21" max="21" width="35.109375" style="2" customWidth="1"/>
    <col min="22" max="23" width="9.109375" style="126" customWidth="1"/>
    <col min="24" max="24" width="10.88671875" style="2" customWidth="1"/>
    <col min="25" max="25" width="2" style="2" customWidth="1"/>
    <col min="26" max="26" width="15.5546875" style="2" customWidth="1"/>
    <col min="27" max="27" width="20.33203125" style="2" customWidth="1"/>
    <col min="28" max="28" width="18.109375" style="2" customWidth="1"/>
    <col min="29" max="29" width="82.109375" style="2" customWidth="1"/>
    <col min="30" max="30" width="29.6640625" style="2" customWidth="1"/>
    <col min="31" max="31" width="25.33203125" style="2" customWidth="1"/>
    <col min="32" max="32" width="45.33203125" style="6" customWidth="1"/>
    <col min="33" max="33" width="4.109375" style="2" customWidth="1"/>
    <col min="34" max="34" width="34.88671875" style="2" bestFit="1" customWidth="1"/>
    <col min="35" max="35" width="47.5546875" style="2" bestFit="1" customWidth="1"/>
    <col min="36" max="36" width="61.6640625" style="2" bestFit="1" customWidth="1"/>
    <col min="37" max="16384" width="9.109375" style="2"/>
  </cols>
  <sheetData>
    <row r="1" spans="1:36">
      <c r="B1" s="5" t="s">
        <v>0</v>
      </c>
      <c r="J1" s="126"/>
      <c r="K1" s="126"/>
      <c r="AH1" s="5"/>
      <c r="AI1" s="5"/>
      <c r="AJ1" s="5"/>
    </row>
    <row r="2" spans="1:36" s="125" customFormat="1" ht="22.2">
      <c r="B2" s="306" t="s">
        <v>22</v>
      </c>
      <c r="C2" s="306"/>
      <c r="D2" s="306"/>
      <c r="E2" s="306"/>
      <c r="F2" s="306"/>
      <c r="G2" s="317" t="s">
        <v>23</v>
      </c>
      <c r="H2" s="317"/>
      <c r="I2" s="317"/>
      <c r="J2" s="317"/>
      <c r="K2" s="246"/>
      <c r="L2" s="128"/>
      <c r="M2" s="149"/>
      <c r="N2" s="314" t="s">
        <v>24</v>
      </c>
      <c r="O2" s="314"/>
      <c r="P2" s="315"/>
      <c r="Q2" s="316" t="s">
        <v>25</v>
      </c>
      <c r="R2" s="316"/>
      <c r="S2" s="316"/>
      <c r="T2" s="316"/>
      <c r="U2" s="316"/>
      <c r="V2" s="153"/>
      <c r="W2" s="127"/>
      <c r="Z2" s="310" t="s">
        <v>26</v>
      </c>
      <c r="AA2" s="311"/>
      <c r="AB2" s="311"/>
      <c r="AC2" s="311"/>
      <c r="AD2" s="312"/>
      <c r="AE2" s="312"/>
      <c r="AF2" s="313"/>
      <c r="AH2" s="307" t="s">
        <v>27</v>
      </c>
      <c r="AI2" s="308"/>
      <c r="AJ2" s="309"/>
    </row>
    <row r="3" spans="1:36" s="166" customFormat="1" ht="81">
      <c r="A3" s="165"/>
      <c r="B3" s="137" t="s">
        <v>28</v>
      </c>
      <c r="C3" s="137" t="s">
        <v>29</v>
      </c>
      <c r="D3" s="137" t="s">
        <v>30</v>
      </c>
      <c r="E3" s="137" t="s">
        <v>31</v>
      </c>
      <c r="F3" s="137" t="s">
        <v>32</v>
      </c>
      <c r="G3" s="128" t="s">
        <v>33</v>
      </c>
      <c r="H3" s="128" t="s">
        <v>34</v>
      </c>
      <c r="I3" s="128" t="s">
        <v>35</v>
      </c>
      <c r="J3" s="128" t="s">
        <v>1</v>
      </c>
      <c r="K3" s="247" t="s">
        <v>2</v>
      </c>
      <c r="L3" s="128" t="s">
        <v>36</v>
      </c>
      <c r="M3" s="142"/>
      <c r="N3" s="151" t="s">
        <v>37</v>
      </c>
      <c r="O3" s="129" t="s">
        <v>30</v>
      </c>
      <c r="P3" s="143" t="s">
        <v>32</v>
      </c>
      <c r="Q3" s="128" t="s">
        <v>38</v>
      </c>
      <c r="R3" s="128" t="s">
        <v>39</v>
      </c>
      <c r="S3" s="128" t="s">
        <v>40</v>
      </c>
      <c r="T3" s="128" t="s">
        <v>41</v>
      </c>
      <c r="U3" s="128" t="s">
        <v>42</v>
      </c>
      <c r="W3" s="142"/>
      <c r="X3" s="166" t="s">
        <v>43</v>
      </c>
      <c r="Z3" s="100" t="s">
        <v>44</v>
      </c>
      <c r="AA3" s="7" t="s">
        <v>45</v>
      </c>
      <c r="AB3" s="7" t="s">
        <v>46</v>
      </c>
      <c r="AC3" s="7" t="s">
        <v>47</v>
      </c>
      <c r="AD3" s="9" t="s">
        <v>48</v>
      </c>
      <c r="AE3" s="9" t="s">
        <v>49</v>
      </c>
      <c r="AF3" s="101" t="s">
        <v>50</v>
      </c>
      <c r="AH3" s="13" t="s">
        <v>51</v>
      </c>
      <c r="AI3" s="14" t="s">
        <v>52</v>
      </c>
      <c r="AJ3" s="15" t="s">
        <v>42</v>
      </c>
    </row>
    <row r="4" spans="1:36" ht="90.75" customHeight="1">
      <c r="A4" s="72"/>
      <c r="B4" s="138" t="s">
        <v>53</v>
      </c>
      <c r="C4" s="130">
        <v>1</v>
      </c>
      <c r="D4" s="131" t="s">
        <v>54</v>
      </c>
      <c r="E4" s="131" t="s">
        <v>55</v>
      </c>
      <c r="F4" s="131" t="s">
        <v>56</v>
      </c>
      <c r="G4" s="131" t="s">
        <v>57</v>
      </c>
      <c r="H4" s="155" t="s">
        <v>58</v>
      </c>
      <c r="I4" s="198" t="s">
        <v>59</v>
      </c>
      <c r="J4" s="156" t="s">
        <v>4</v>
      </c>
      <c r="K4" s="248" t="s">
        <v>4</v>
      </c>
      <c r="L4" s="253" t="s">
        <v>60</v>
      </c>
      <c r="N4" s="152" t="s">
        <v>61</v>
      </c>
      <c r="O4" s="131" t="s">
        <v>62</v>
      </c>
      <c r="P4" s="132" t="s">
        <v>63</v>
      </c>
      <c r="Q4" s="134" t="s">
        <v>64</v>
      </c>
      <c r="R4" s="156" t="s">
        <v>4</v>
      </c>
      <c r="S4" s="130" t="s">
        <v>65</v>
      </c>
      <c r="T4" s="130" t="s">
        <v>66</v>
      </c>
      <c r="U4" s="136" t="s">
        <v>67</v>
      </c>
      <c r="W4" s="157"/>
      <c r="X4" s="147" t="s">
        <v>68</v>
      </c>
      <c r="Y4" s="22"/>
      <c r="Z4" s="102"/>
      <c r="AA4" s="4"/>
      <c r="AB4" s="4" t="s">
        <v>66</v>
      </c>
      <c r="AC4" s="21" t="s">
        <v>69</v>
      </c>
      <c r="AD4" s="16"/>
      <c r="AE4" s="16"/>
      <c r="AF4" s="158" t="s">
        <v>4</v>
      </c>
      <c r="AG4" s="159"/>
      <c r="AH4" s="10"/>
      <c r="AI4" s="11"/>
      <c r="AJ4" s="12" t="s">
        <v>70</v>
      </c>
    </row>
    <row r="5" spans="1:36" ht="57" customHeight="1">
      <c r="A5" s="72"/>
      <c r="B5" s="138" t="s">
        <v>53</v>
      </c>
      <c r="C5" s="130">
        <f>+C4+1</f>
        <v>2</v>
      </c>
      <c r="D5" s="131" t="s">
        <v>71</v>
      </c>
      <c r="E5" s="131" t="s">
        <v>72</v>
      </c>
      <c r="F5" s="131" t="s">
        <v>73</v>
      </c>
      <c r="G5" s="131" t="s">
        <v>74</v>
      </c>
      <c r="H5" s="141" t="s">
        <v>75</v>
      </c>
      <c r="I5" s="141" t="s">
        <v>59</v>
      </c>
      <c r="J5" s="130" t="s">
        <v>4</v>
      </c>
      <c r="K5" s="249" t="s">
        <v>4</v>
      </c>
      <c r="L5" s="253" t="s">
        <v>60</v>
      </c>
      <c r="N5" s="160" t="s">
        <v>61</v>
      </c>
      <c r="O5" s="161" t="s">
        <v>76</v>
      </c>
      <c r="P5" s="133" t="s">
        <v>77</v>
      </c>
      <c r="Q5" s="130" t="s">
        <v>78</v>
      </c>
      <c r="R5" s="130" t="s">
        <v>4</v>
      </c>
      <c r="S5" s="130" t="s">
        <v>79</v>
      </c>
      <c r="T5" s="130" t="s">
        <v>66</v>
      </c>
      <c r="U5" s="136" t="s">
        <v>67</v>
      </c>
      <c r="W5" s="146"/>
      <c r="X5" s="147" t="s">
        <v>68</v>
      </c>
      <c r="Y5" s="22"/>
      <c r="Z5" s="102"/>
      <c r="AA5" s="4"/>
      <c r="AB5" s="4" t="s">
        <v>66</v>
      </c>
      <c r="AC5" s="162" t="s">
        <v>80</v>
      </c>
      <c r="AD5" s="16"/>
      <c r="AE5" s="16"/>
      <c r="AF5" s="103" t="s">
        <v>4</v>
      </c>
      <c r="AH5" s="10"/>
      <c r="AI5" s="11"/>
      <c r="AJ5" s="12" t="s">
        <v>81</v>
      </c>
    </row>
    <row r="6" spans="1:36" ht="78.75" customHeight="1">
      <c r="A6" s="72"/>
      <c r="B6" s="138" t="s">
        <v>53</v>
      </c>
      <c r="C6" s="130">
        <f t="shared" ref="C6:C16" si="0">+C5+1</f>
        <v>3</v>
      </c>
      <c r="D6" s="131" t="s">
        <v>82</v>
      </c>
      <c r="E6" s="131" t="s">
        <v>83</v>
      </c>
      <c r="F6" s="131" t="s">
        <v>84</v>
      </c>
      <c r="G6" s="131" t="s">
        <v>85</v>
      </c>
      <c r="H6" s="141" t="s">
        <v>86</v>
      </c>
      <c r="I6" s="141" t="s">
        <v>59</v>
      </c>
      <c r="J6" s="130" t="s">
        <v>4</v>
      </c>
      <c r="K6" s="249" t="s">
        <v>4</v>
      </c>
      <c r="L6" s="255" t="s">
        <v>60</v>
      </c>
      <c r="N6" s="152" t="s">
        <v>87</v>
      </c>
      <c r="O6" s="131" t="s">
        <v>88</v>
      </c>
      <c r="P6" s="133" t="s">
        <v>89</v>
      </c>
      <c r="Q6" s="130" t="s">
        <v>66</v>
      </c>
      <c r="R6" s="130" t="s">
        <v>4</v>
      </c>
      <c r="S6" s="131" t="s">
        <v>90</v>
      </c>
      <c r="T6" s="130" t="s">
        <v>64</v>
      </c>
      <c r="U6" s="136" t="s">
        <v>91</v>
      </c>
      <c r="W6" s="146"/>
      <c r="X6" s="147" t="s">
        <v>68</v>
      </c>
      <c r="Y6" s="22"/>
      <c r="Z6" s="102"/>
      <c r="AA6" s="4"/>
      <c r="AB6" s="4" t="s">
        <v>66</v>
      </c>
      <c r="AC6" s="21" t="s">
        <v>92</v>
      </c>
      <c r="AD6" s="16" t="s">
        <v>93</v>
      </c>
      <c r="AE6" s="16" t="s">
        <v>94</v>
      </c>
      <c r="AF6" s="103" t="s">
        <v>4</v>
      </c>
      <c r="AH6" s="10" t="s">
        <v>95</v>
      </c>
      <c r="AI6" s="11" t="s">
        <v>96</v>
      </c>
      <c r="AJ6" s="12" t="s">
        <v>97</v>
      </c>
    </row>
    <row r="7" spans="1:36" s="272" customFormat="1" ht="199.5" customHeight="1">
      <c r="A7" s="268"/>
      <c r="B7" s="138" t="s">
        <v>53</v>
      </c>
      <c r="C7" s="130">
        <f t="shared" si="0"/>
        <v>4</v>
      </c>
      <c r="D7" s="131" t="s">
        <v>98</v>
      </c>
      <c r="E7" s="131" t="s">
        <v>99</v>
      </c>
      <c r="F7" s="131" t="s">
        <v>100</v>
      </c>
      <c r="G7" s="131" t="s">
        <v>101</v>
      </c>
      <c r="H7" s="199" t="s">
        <v>102</v>
      </c>
      <c r="I7" s="199" t="s">
        <v>103</v>
      </c>
      <c r="J7" s="130" t="s">
        <v>4</v>
      </c>
      <c r="K7" s="249" t="s">
        <v>4</v>
      </c>
      <c r="L7" s="130" t="s">
        <v>60</v>
      </c>
      <c r="M7" s="269"/>
      <c r="N7" s="152" t="s">
        <v>87</v>
      </c>
      <c r="O7" s="131" t="s">
        <v>104</v>
      </c>
      <c r="P7" s="131" t="s">
        <v>105</v>
      </c>
      <c r="Q7" s="130" t="s">
        <v>66</v>
      </c>
      <c r="R7" s="130" t="s">
        <v>10</v>
      </c>
      <c r="S7" s="131" t="s">
        <v>106</v>
      </c>
      <c r="T7" s="130" t="s">
        <v>64</v>
      </c>
      <c r="U7" s="136" t="s">
        <v>107</v>
      </c>
      <c r="V7" s="270"/>
      <c r="W7" s="201"/>
      <c r="X7" s="147" t="s">
        <v>68</v>
      </c>
      <c r="Y7" s="22"/>
      <c r="Z7" s="102"/>
      <c r="AA7" s="4"/>
      <c r="AB7" s="4" t="s">
        <v>66</v>
      </c>
      <c r="AC7" s="271" t="s">
        <v>108</v>
      </c>
      <c r="AD7" s="16"/>
      <c r="AE7" s="16"/>
      <c r="AF7" s="103" t="s">
        <v>10</v>
      </c>
      <c r="AH7" s="10" t="s">
        <v>95</v>
      </c>
      <c r="AI7" s="11" t="s">
        <v>109</v>
      </c>
      <c r="AJ7" s="12" t="s">
        <v>110</v>
      </c>
    </row>
    <row r="8" spans="1:36" ht="311.25" customHeight="1">
      <c r="A8" s="72"/>
      <c r="B8" s="138" t="s">
        <v>53</v>
      </c>
      <c r="C8" s="130">
        <f t="shared" si="0"/>
        <v>5</v>
      </c>
      <c r="D8" s="131" t="s">
        <v>111</v>
      </c>
      <c r="E8" s="131" t="s">
        <v>112</v>
      </c>
      <c r="F8" s="131" t="s">
        <v>113</v>
      </c>
      <c r="G8" s="131" t="s">
        <v>114</v>
      </c>
      <c r="H8" s="164" t="s">
        <v>115</v>
      </c>
      <c r="I8" s="164" t="s">
        <v>116</v>
      </c>
      <c r="J8" s="130" t="s">
        <v>4</v>
      </c>
      <c r="K8" s="249" t="s">
        <v>4</v>
      </c>
      <c r="L8" s="256" t="s">
        <v>60</v>
      </c>
      <c r="N8" s="152" t="s">
        <v>87</v>
      </c>
      <c r="O8" s="131" t="s">
        <v>117</v>
      </c>
      <c r="P8" s="133" t="s">
        <v>118</v>
      </c>
      <c r="Q8" s="130" t="s">
        <v>78</v>
      </c>
      <c r="R8" s="130" t="s">
        <v>10</v>
      </c>
      <c r="S8" s="130" t="s">
        <v>119</v>
      </c>
      <c r="T8" s="130" t="s">
        <v>64</v>
      </c>
      <c r="U8" s="136" t="s">
        <v>120</v>
      </c>
      <c r="W8" s="146"/>
      <c r="X8" s="147" t="s">
        <v>68</v>
      </c>
      <c r="Y8" s="22"/>
      <c r="Z8" s="102"/>
      <c r="AA8" s="4"/>
      <c r="AB8" s="4" t="s">
        <v>66</v>
      </c>
      <c r="AC8" s="98" t="s">
        <v>121</v>
      </c>
      <c r="AD8" s="17"/>
      <c r="AE8" s="17"/>
      <c r="AF8" s="103" t="s">
        <v>10</v>
      </c>
      <c r="AH8" s="10" t="s">
        <v>122</v>
      </c>
      <c r="AI8" s="11" t="s">
        <v>123</v>
      </c>
      <c r="AJ8" s="12" t="s">
        <v>124</v>
      </c>
    </row>
    <row r="9" spans="1:36" ht="226.8">
      <c r="A9" s="72"/>
      <c r="B9" s="138" t="s">
        <v>53</v>
      </c>
      <c r="C9" s="130">
        <f t="shared" si="0"/>
        <v>6</v>
      </c>
      <c r="D9" s="131" t="s">
        <v>125</v>
      </c>
      <c r="E9" s="131" t="s">
        <v>126</v>
      </c>
      <c r="F9" s="131" t="s">
        <v>127</v>
      </c>
      <c r="G9" s="131" t="s">
        <v>128</v>
      </c>
      <c r="H9" s="141" t="s">
        <v>129</v>
      </c>
      <c r="I9" s="141" t="s">
        <v>130</v>
      </c>
      <c r="J9" s="130" t="s">
        <v>4</v>
      </c>
      <c r="K9" s="249" t="s">
        <v>4</v>
      </c>
      <c r="L9" s="253" t="s">
        <v>60</v>
      </c>
      <c r="M9" s="163"/>
      <c r="N9" s="152" t="s">
        <v>87</v>
      </c>
      <c r="O9" s="131" t="s">
        <v>125</v>
      </c>
      <c r="P9" s="133" t="s">
        <v>131</v>
      </c>
      <c r="Q9" s="130" t="s">
        <v>78</v>
      </c>
      <c r="R9" s="130" t="s">
        <v>4</v>
      </c>
      <c r="S9" s="130" t="s">
        <v>132</v>
      </c>
      <c r="T9" s="130" t="s">
        <v>64</v>
      </c>
      <c r="U9" s="136" t="s">
        <v>120</v>
      </c>
      <c r="W9" s="146"/>
      <c r="X9" s="147" t="s">
        <v>68</v>
      </c>
      <c r="Y9" s="22"/>
      <c r="Z9" s="102"/>
      <c r="AA9" s="4"/>
      <c r="AB9" s="4" t="s">
        <v>66</v>
      </c>
      <c r="AC9" s="19" t="s">
        <v>133</v>
      </c>
      <c r="AD9" s="16" t="s">
        <v>134</v>
      </c>
      <c r="AE9" s="16" t="s">
        <v>135</v>
      </c>
      <c r="AF9" s="103" t="s">
        <v>4</v>
      </c>
      <c r="AH9" s="10" t="s">
        <v>95</v>
      </c>
      <c r="AI9" s="11" t="s">
        <v>136</v>
      </c>
      <c r="AJ9" s="12" t="s">
        <v>97</v>
      </c>
    </row>
    <row r="10" spans="1:36" ht="213" customHeight="1">
      <c r="A10" s="72"/>
      <c r="B10" s="138" t="s">
        <v>53</v>
      </c>
      <c r="C10" s="130">
        <f t="shared" si="0"/>
        <v>7</v>
      </c>
      <c r="D10" s="131" t="s">
        <v>137</v>
      </c>
      <c r="E10" s="131" t="s">
        <v>138</v>
      </c>
      <c r="F10" s="131" t="s">
        <v>139</v>
      </c>
      <c r="G10" s="131" t="s">
        <v>140</v>
      </c>
      <c r="H10" s="141" t="s">
        <v>141</v>
      </c>
      <c r="I10" s="141" t="s">
        <v>142</v>
      </c>
      <c r="J10" s="130" t="s">
        <v>4</v>
      </c>
      <c r="K10" s="249" t="s">
        <v>4</v>
      </c>
      <c r="L10" s="156" t="s">
        <v>60</v>
      </c>
      <c r="N10" s="152" t="s">
        <v>87</v>
      </c>
      <c r="O10" s="131" t="s">
        <v>143</v>
      </c>
      <c r="P10" s="133" t="s">
        <v>144</v>
      </c>
      <c r="Q10" s="130" t="s">
        <v>78</v>
      </c>
      <c r="R10" s="130" t="s">
        <v>4</v>
      </c>
      <c r="S10" s="130" t="s">
        <v>145</v>
      </c>
      <c r="T10" s="130" t="s">
        <v>64</v>
      </c>
      <c r="U10" s="136" t="s">
        <v>146</v>
      </c>
      <c r="W10" s="146"/>
      <c r="X10" s="147" t="s">
        <v>68</v>
      </c>
      <c r="Y10" s="22"/>
      <c r="Z10" s="102"/>
      <c r="AA10" s="4"/>
      <c r="AB10" s="4" t="s">
        <v>66</v>
      </c>
      <c r="AC10" s="19" t="s">
        <v>147</v>
      </c>
      <c r="AD10" s="16" t="s">
        <v>148</v>
      </c>
      <c r="AE10" s="16" t="s">
        <v>149</v>
      </c>
      <c r="AF10" s="103" t="s">
        <v>4</v>
      </c>
      <c r="AH10" s="10" t="s">
        <v>95</v>
      </c>
      <c r="AI10" s="11" t="s">
        <v>150</v>
      </c>
      <c r="AJ10" s="12" t="s">
        <v>97</v>
      </c>
    </row>
    <row r="11" spans="1:36" s="118" customFormat="1" ht="145.80000000000001">
      <c r="A11" s="148"/>
      <c r="B11" s="139" t="s">
        <v>53</v>
      </c>
      <c r="C11" s="140">
        <f>+C10+1</f>
        <v>8</v>
      </c>
      <c r="D11" s="133" t="s">
        <v>151</v>
      </c>
      <c r="E11" s="133" t="s">
        <v>138</v>
      </c>
      <c r="F11" s="133" t="s">
        <v>152</v>
      </c>
      <c r="G11" s="131" t="s">
        <v>153</v>
      </c>
      <c r="H11" s="144" t="s">
        <v>154</v>
      </c>
      <c r="I11" s="144" t="s">
        <v>155</v>
      </c>
      <c r="J11" s="140" t="s">
        <v>4</v>
      </c>
      <c r="K11" s="250" t="s">
        <v>4</v>
      </c>
      <c r="L11" s="156" t="s">
        <v>60</v>
      </c>
      <c r="M11" s="126"/>
      <c r="N11" s="222" t="s">
        <v>87</v>
      </c>
      <c r="O11" s="223" t="s">
        <v>156</v>
      </c>
      <c r="P11" s="223" t="s">
        <v>157</v>
      </c>
      <c r="Q11" s="224" t="s">
        <v>78</v>
      </c>
      <c r="R11" s="224" t="s">
        <v>4</v>
      </c>
      <c r="S11" s="224" t="s">
        <v>158</v>
      </c>
      <c r="T11" s="224" t="s">
        <v>64</v>
      </c>
      <c r="U11" s="225" t="s">
        <v>159</v>
      </c>
      <c r="V11" s="126"/>
      <c r="W11" s="146"/>
      <c r="X11" s="135" t="s">
        <v>68</v>
      </c>
      <c r="Y11" s="120"/>
      <c r="Z11" s="195"/>
      <c r="AA11" s="119"/>
      <c r="AB11" s="226" t="s">
        <v>66</v>
      </c>
      <c r="AC11" s="227" t="s">
        <v>160</v>
      </c>
      <c r="AD11" s="228" t="s">
        <v>161</v>
      </c>
      <c r="AE11" s="228" t="s">
        <v>162</v>
      </c>
      <c r="AF11" s="229" t="s">
        <v>4</v>
      </c>
      <c r="AH11" s="230" t="s">
        <v>95</v>
      </c>
      <c r="AI11" s="231" t="s">
        <v>163</v>
      </c>
      <c r="AJ11" s="232" t="s">
        <v>97</v>
      </c>
    </row>
    <row r="12" spans="1:36" s="118" customFormat="1" ht="186.75" customHeight="1">
      <c r="B12" s="233" t="s">
        <v>53</v>
      </c>
      <c r="C12" s="234">
        <f>+C11+1</f>
        <v>9</v>
      </c>
      <c r="D12" s="233" t="s">
        <v>164</v>
      </c>
      <c r="E12" s="233" t="s">
        <v>138</v>
      </c>
      <c r="F12" s="233" t="s">
        <v>165</v>
      </c>
      <c r="G12" s="131" t="s">
        <v>166</v>
      </c>
      <c r="H12" s="173" t="s">
        <v>167</v>
      </c>
      <c r="I12" s="164" t="s">
        <v>168</v>
      </c>
      <c r="J12" s="234" t="s">
        <v>4</v>
      </c>
      <c r="K12" s="251" t="s">
        <v>4</v>
      </c>
      <c r="L12" s="156" t="s">
        <v>60</v>
      </c>
      <c r="M12" s="126"/>
      <c r="N12" s="234" t="s">
        <v>87</v>
      </c>
      <c r="O12" s="233" t="s">
        <v>164</v>
      </c>
      <c r="P12" s="233" t="s">
        <v>169</v>
      </c>
      <c r="Q12" s="234" t="s">
        <v>78</v>
      </c>
      <c r="R12" s="234" t="s">
        <v>10</v>
      </c>
      <c r="S12" s="233" t="s">
        <v>10</v>
      </c>
      <c r="T12" s="234" t="s">
        <v>64</v>
      </c>
      <c r="U12" s="235" t="s">
        <v>170</v>
      </c>
      <c r="V12" s="126"/>
      <c r="W12" s="126"/>
      <c r="X12" s="118" t="s">
        <v>68</v>
      </c>
      <c r="AB12" s="235" t="s">
        <v>66</v>
      </c>
      <c r="AC12" s="235" t="s">
        <v>171</v>
      </c>
      <c r="AD12" s="235"/>
      <c r="AE12" s="235"/>
      <c r="AF12" s="234" t="s">
        <v>10</v>
      </c>
      <c r="AH12" s="235" t="s">
        <v>172</v>
      </c>
      <c r="AI12" s="235"/>
      <c r="AJ12" s="235" t="s">
        <v>173</v>
      </c>
    </row>
    <row r="13" spans="1:36" s="282" customFormat="1" ht="113.4">
      <c r="A13" s="273"/>
      <c r="B13" s="139" t="s">
        <v>53</v>
      </c>
      <c r="C13" s="140">
        <f t="shared" si="0"/>
        <v>10</v>
      </c>
      <c r="D13" s="133" t="s">
        <v>174</v>
      </c>
      <c r="E13" s="133" t="s">
        <v>138</v>
      </c>
      <c r="F13" s="133" t="s">
        <v>175</v>
      </c>
      <c r="G13" s="133" t="s">
        <v>176</v>
      </c>
      <c r="H13" s="144" t="s">
        <v>177</v>
      </c>
      <c r="I13" s="144" t="s">
        <v>59</v>
      </c>
      <c r="J13" s="140" t="s">
        <v>4</v>
      </c>
      <c r="K13" s="250" t="s">
        <v>4</v>
      </c>
      <c r="L13" s="140" t="s">
        <v>60</v>
      </c>
      <c r="M13" s="274"/>
      <c r="N13" s="275" t="s">
        <v>87</v>
      </c>
      <c r="O13" s="276" t="s">
        <v>174</v>
      </c>
      <c r="P13" s="276" t="s">
        <v>178</v>
      </c>
      <c r="Q13" s="262" t="s">
        <v>78</v>
      </c>
      <c r="R13" s="262" t="s">
        <v>4</v>
      </c>
      <c r="S13" s="262" t="s">
        <v>119</v>
      </c>
      <c r="T13" s="262" t="s">
        <v>64</v>
      </c>
      <c r="U13" s="277" t="s">
        <v>179</v>
      </c>
      <c r="V13" s="274"/>
      <c r="W13" s="146"/>
      <c r="X13" s="135" t="s">
        <v>68</v>
      </c>
      <c r="Y13" s="120"/>
      <c r="Z13" s="195"/>
      <c r="AA13" s="119"/>
      <c r="AB13" s="278" t="s">
        <v>66</v>
      </c>
      <c r="AC13" s="279" t="s">
        <v>180</v>
      </c>
      <c r="AD13" s="280"/>
      <c r="AE13" s="280"/>
      <c r="AF13" s="281" t="s">
        <v>4</v>
      </c>
      <c r="AH13" s="283" t="s">
        <v>95</v>
      </c>
      <c r="AI13" s="284" t="s">
        <v>181</v>
      </c>
      <c r="AJ13" s="285" t="s">
        <v>97</v>
      </c>
    </row>
    <row r="14" spans="1:36" ht="291.60000000000002">
      <c r="A14" s="72"/>
      <c r="B14" s="138" t="s">
        <v>53</v>
      </c>
      <c r="C14" s="130">
        <f t="shared" si="0"/>
        <v>11</v>
      </c>
      <c r="D14" s="131" t="s">
        <v>182</v>
      </c>
      <c r="E14" s="131" t="s">
        <v>183</v>
      </c>
      <c r="F14" s="131" t="s">
        <v>184</v>
      </c>
      <c r="G14" s="131" t="s">
        <v>185</v>
      </c>
      <c r="H14" s="155" t="s">
        <v>186</v>
      </c>
      <c r="I14" s="155" t="s">
        <v>187</v>
      </c>
      <c r="J14" s="130" t="s">
        <v>4</v>
      </c>
      <c r="K14" s="249" t="s">
        <v>4</v>
      </c>
      <c r="L14" s="130" t="s">
        <v>60</v>
      </c>
      <c r="M14" s="5"/>
      <c r="N14" s="152" t="s">
        <v>87</v>
      </c>
      <c r="O14" s="131" t="s">
        <v>182</v>
      </c>
      <c r="P14" s="199" t="s">
        <v>188</v>
      </c>
      <c r="Q14" s="130" t="s">
        <v>78</v>
      </c>
      <c r="R14" s="130" t="s">
        <v>4</v>
      </c>
      <c r="S14" s="200" t="s">
        <v>189</v>
      </c>
      <c r="T14" s="130" t="s">
        <v>64</v>
      </c>
      <c r="U14" s="136"/>
      <c r="V14" s="2"/>
      <c r="W14" s="201"/>
      <c r="X14" s="147" t="s">
        <v>68</v>
      </c>
      <c r="Y14" s="22"/>
      <c r="Z14" s="102"/>
      <c r="AA14" s="4"/>
      <c r="AB14" s="4" t="s">
        <v>190</v>
      </c>
      <c r="AC14" s="202" t="s">
        <v>189</v>
      </c>
      <c r="AD14" s="16" t="s">
        <v>191</v>
      </c>
      <c r="AE14" s="16" t="s">
        <v>192</v>
      </c>
      <c r="AF14" s="103" t="s">
        <v>4</v>
      </c>
      <c r="AH14" s="10" t="s">
        <v>172</v>
      </c>
      <c r="AI14" s="11" t="s">
        <v>193</v>
      </c>
      <c r="AJ14" s="12"/>
    </row>
    <row r="15" spans="1:36" s="191" customFormat="1" ht="180.75" customHeight="1">
      <c r="A15" s="177"/>
      <c r="B15" s="178" t="s">
        <v>53</v>
      </c>
      <c r="C15" s="179">
        <f t="shared" si="0"/>
        <v>12</v>
      </c>
      <c r="D15" s="180" t="s">
        <v>194</v>
      </c>
      <c r="E15" s="180" t="s">
        <v>195</v>
      </c>
      <c r="F15" s="180" t="s">
        <v>196</v>
      </c>
      <c r="G15" s="286" t="s">
        <v>197</v>
      </c>
      <c r="H15" s="242" t="s">
        <v>198</v>
      </c>
      <c r="I15" s="242" t="s">
        <v>199</v>
      </c>
      <c r="J15" s="179" t="s">
        <v>4</v>
      </c>
      <c r="K15" s="252" t="s">
        <v>4</v>
      </c>
      <c r="L15" s="254"/>
      <c r="M15" s="181"/>
      <c r="N15" s="182" t="s">
        <v>87</v>
      </c>
      <c r="O15" s="180" t="s">
        <v>200</v>
      </c>
      <c r="P15" s="180" t="s">
        <v>201</v>
      </c>
      <c r="Q15" s="179" t="s">
        <v>78</v>
      </c>
      <c r="R15" s="179" t="s">
        <v>10</v>
      </c>
      <c r="S15" s="179" t="s">
        <v>10</v>
      </c>
      <c r="T15" s="179" t="s">
        <v>64</v>
      </c>
      <c r="U15" s="183" t="s">
        <v>202</v>
      </c>
      <c r="V15" s="181"/>
      <c r="W15" s="184"/>
      <c r="X15" s="185" t="s">
        <v>68</v>
      </c>
      <c r="Y15" s="186"/>
      <c r="Z15" s="187"/>
      <c r="AA15" s="188"/>
      <c r="AB15" s="188" t="s">
        <v>64</v>
      </c>
      <c r="AC15" s="194" t="s">
        <v>203</v>
      </c>
      <c r="AD15" s="189"/>
      <c r="AE15" s="189"/>
      <c r="AF15" s="190" t="s">
        <v>10</v>
      </c>
      <c r="AH15" s="192" t="s">
        <v>95</v>
      </c>
      <c r="AI15" s="193" t="s">
        <v>109</v>
      </c>
      <c r="AJ15" s="196" t="s">
        <v>204</v>
      </c>
    </row>
    <row r="16" spans="1:36" s="118" customFormat="1" ht="191.25" customHeight="1">
      <c r="A16" s="148"/>
      <c r="B16" s="139" t="s">
        <v>53</v>
      </c>
      <c r="C16" s="140">
        <f t="shared" si="0"/>
        <v>13</v>
      </c>
      <c r="D16" s="133" t="s">
        <v>205</v>
      </c>
      <c r="E16" s="133" t="s">
        <v>206</v>
      </c>
      <c r="F16" s="133" t="s">
        <v>207</v>
      </c>
      <c r="G16" s="131" t="s">
        <v>208</v>
      </c>
      <c r="H16" s="173" t="s">
        <v>209</v>
      </c>
      <c r="I16" s="173" t="s">
        <v>59</v>
      </c>
      <c r="J16" s="140" t="s">
        <v>4</v>
      </c>
      <c r="K16" s="250" t="s">
        <v>4</v>
      </c>
      <c r="L16" s="140" t="s">
        <v>60</v>
      </c>
      <c r="M16" s="126"/>
      <c r="N16" s="174" t="s">
        <v>87</v>
      </c>
      <c r="O16" s="133" t="s">
        <v>210</v>
      </c>
      <c r="P16" s="133" t="s">
        <v>211</v>
      </c>
      <c r="Q16" s="140" t="s">
        <v>78</v>
      </c>
      <c r="R16" s="140" t="s">
        <v>10</v>
      </c>
      <c r="S16" s="140" t="s">
        <v>10</v>
      </c>
      <c r="T16" s="140" t="s">
        <v>64</v>
      </c>
      <c r="U16" s="175" t="s">
        <v>212</v>
      </c>
      <c r="V16" s="126"/>
      <c r="W16" s="146"/>
      <c r="X16" s="135" t="s">
        <v>68</v>
      </c>
      <c r="Y16" s="120"/>
      <c r="Z16" s="168"/>
      <c r="AA16" s="117"/>
      <c r="AB16" s="119" t="s">
        <v>66</v>
      </c>
      <c r="AC16" s="44" t="s">
        <v>213</v>
      </c>
      <c r="AD16" s="176"/>
      <c r="AE16" s="176"/>
      <c r="AF16" s="122" t="s">
        <v>10</v>
      </c>
      <c r="AH16" s="66" t="s">
        <v>95</v>
      </c>
      <c r="AI16" s="123" t="s">
        <v>109</v>
      </c>
      <c r="AJ16" s="124" t="s">
        <v>204</v>
      </c>
    </row>
    <row r="17" spans="1:36" ht="153" customHeight="1">
      <c r="A17" s="72"/>
      <c r="B17" s="138" t="s">
        <v>214</v>
      </c>
      <c r="C17" s="130">
        <v>14</v>
      </c>
      <c r="D17" s="131" t="s">
        <v>215</v>
      </c>
      <c r="E17" s="131" t="s">
        <v>216</v>
      </c>
      <c r="F17" s="131" t="s">
        <v>217</v>
      </c>
      <c r="G17" s="131" t="s">
        <v>218</v>
      </c>
      <c r="H17" s="173" t="s">
        <v>219</v>
      </c>
      <c r="I17" s="164" t="s">
        <v>59</v>
      </c>
      <c r="J17" s="130" t="s">
        <v>4</v>
      </c>
      <c r="K17" s="249" t="s">
        <v>4</v>
      </c>
      <c r="L17" s="140" t="s">
        <v>60</v>
      </c>
      <c r="N17" s="152" t="s">
        <v>87</v>
      </c>
      <c r="O17" s="131" t="s">
        <v>220</v>
      </c>
      <c r="P17" s="144" t="s">
        <v>221</v>
      </c>
      <c r="Q17" s="130" t="s">
        <v>66</v>
      </c>
      <c r="R17" s="130" t="s">
        <v>4</v>
      </c>
      <c r="S17" s="130" t="s">
        <v>119</v>
      </c>
      <c r="T17" s="130" t="s">
        <v>64</v>
      </c>
      <c r="U17" s="136" t="s">
        <v>222</v>
      </c>
      <c r="W17" s="146"/>
      <c r="X17" s="147" t="s">
        <v>68</v>
      </c>
      <c r="Y17" s="22"/>
      <c r="Z17" s="102"/>
      <c r="AA17" s="4"/>
      <c r="AB17" s="117" t="s">
        <v>223</v>
      </c>
      <c r="AC17" s="162" t="s">
        <v>224</v>
      </c>
      <c r="AD17" s="16"/>
      <c r="AE17" s="16"/>
      <c r="AF17" s="103" t="s">
        <v>4</v>
      </c>
      <c r="AH17" s="10" t="s">
        <v>122</v>
      </c>
      <c r="AI17" s="11" t="s">
        <v>225</v>
      </c>
      <c r="AJ17" s="12" t="s">
        <v>110</v>
      </c>
    </row>
    <row r="18" spans="1:36" ht="113.4">
      <c r="A18" s="72"/>
      <c r="B18" s="138" t="s">
        <v>214</v>
      </c>
      <c r="C18" s="130">
        <v>15</v>
      </c>
      <c r="D18" s="131" t="s">
        <v>226</v>
      </c>
      <c r="E18" s="131"/>
      <c r="F18" s="131" t="s">
        <v>227</v>
      </c>
      <c r="G18" s="131" t="s">
        <v>228</v>
      </c>
      <c r="H18" s="164" t="s">
        <v>229</v>
      </c>
      <c r="I18" s="164" t="s">
        <v>59</v>
      </c>
      <c r="J18" s="130" t="s">
        <v>4</v>
      </c>
      <c r="K18" s="249" t="s">
        <v>4</v>
      </c>
      <c r="L18" s="140" t="s">
        <v>60</v>
      </c>
      <c r="N18" s="152" t="s">
        <v>87</v>
      </c>
      <c r="O18" s="167" t="s">
        <v>230</v>
      </c>
      <c r="P18" s="133" t="s">
        <v>231</v>
      </c>
      <c r="Q18" s="130" t="s">
        <v>66</v>
      </c>
      <c r="R18" s="130" t="s">
        <v>4</v>
      </c>
      <c r="S18" s="130" t="s">
        <v>119</v>
      </c>
      <c r="T18" s="130" t="s">
        <v>64</v>
      </c>
      <c r="U18" s="136" t="s">
        <v>222</v>
      </c>
      <c r="W18" s="146"/>
      <c r="X18" s="147" t="s">
        <v>68</v>
      </c>
      <c r="Y18" s="22"/>
      <c r="Z18" s="102"/>
      <c r="AA18" s="4"/>
      <c r="AB18" s="4" t="s">
        <v>190</v>
      </c>
      <c r="AC18" s="162" t="s">
        <v>232</v>
      </c>
      <c r="AD18" s="16"/>
      <c r="AE18" s="16"/>
      <c r="AF18" s="103" t="s">
        <v>4</v>
      </c>
      <c r="AH18" s="10" t="s">
        <v>233</v>
      </c>
      <c r="AI18" s="11" t="s">
        <v>234</v>
      </c>
      <c r="AJ18" s="12" t="s">
        <v>235</v>
      </c>
    </row>
    <row r="19" spans="1:36" ht="77.25" customHeight="1">
      <c r="A19" s="72"/>
      <c r="B19" s="138" t="s">
        <v>214</v>
      </c>
      <c r="C19" s="130">
        <v>16</v>
      </c>
      <c r="D19" s="131" t="s">
        <v>236</v>
      </c>
      <c r="E19" s="131" t="s">
        <v>183</v>
      </c>
      <c r="F19" s="131" t="s">
        <v>237</v>
      </c>
      <c r="G19" s="131" t="s">
        <v>238</v>
      </c>
      <c r="H19" s="164" t="s">
        <v>239</v>
      </c>
      <c r="I19" s="164" t="s">
        <v>59</v>
      </c>
      <c r="J19" s="130" t="s">
        <v>4</v>
      </c>
      <c r="K19" s="249" t="s">
        <v>4</v>
      </c>
      <c r="L19" s="140" t="s">
        <v>60</v>
      </c>
      <c r="N19" s="152"/>
      <c r="O19" s="131"/>
      <c r="P19" s="133"/>
      <c r="Q19" s="130"/>
      <c r="R19" s="130" t="s">
        <v>11</v>
      </c>
      <c r="S19" s="131"/>
      <c r="T19" s="130"/>
      <c r="U19" s="136"/>
      <c r="W19" s="146"/>
      <c r="X19" s="147" t="s">
        <v>240</v>
      </c>
      <c r="Y19" s="22"/>
      <c r="Z19" s="102"/>
      <c r="AA19" s="4"/>
      <c r="AB19" s="99"/>
      <c r="AC19" s="66" t="s">
        <v>241</v>
      </c>
      <c r="AD19" s="16"/>
      <c r="AE19" s="16"/>
      <c r="AF19" s="103" t="s">
        <v>11</v>
      </c>
      <c r="AH19" s="10" t="s">
        <v>242</v>
      </c>
      <c r="AI19" s="11" t="s">
        <v>242</v>
      </c>
      <c r="AJ19" s="12" t="s">
        <v>242</v>
      </c>
    </row>
    <row r="20" spans="1:36" ht="112.5" customHeight="1">
      <c r="A20" s="72"/>
      <c r="B20" s="138" t="s">
        <v>214</v>
      </c>
      <c r="C20" s="130">
        <v>17</v>
      </c>
      <c r="D20" s="131" t="s">
        <v>243</v>
      </c>
      <c r="E20" s="131" t="s">
        <v>244</v>
      </c>
      <c r="F20" s="131" t="s">
        <v>245</v>
      </c>
      <c r="G20" s="131" t="s">
        <v>246</v>
      </c>
      <c r="H20" s="141" t="s">
        <v>247</v>
      </c>
      <c r="I20" s="141" t="s">
        <v>248</v>
      </c>
      <c r="J20" s="130" t="s">
        <v>4</v>
      </c>
      <c r="K20" s="249" t="s">
        <v>4</v>
      </c>
      <c r="L20" s="140" t="s">
        <v>60</v>
      </c>
      <c r="M20" s="5"/>
      <c r="N20" s="152"/>
      <c r="O20" s="131"/>
      <c r="P20" s="131"/>
      <c r="Q20" s="130"/>
      <c r="R20" s="130" t="s">
        <v>11</v>
      </c>
      <c r="S20" s="131"/>
      <c r="T20" s="130"/>
      <c r="U20" s="136"/>
      <c r="V20" s="5"/>
      <c r="W20" s="201"/>
      <c r="X20" s="147" t="s">
        <v>240</v>
      </c>
      <c r="Y20" s="22"/>
      <c r="Z20" s="102"/>
      <c r="AA20" s="4"/>
      <c r="AB20" s="4"/>
      <c r="AC20" s="203" t="s">
        <v>249</v>
      </c>
      <c r="AD20" s="16"/>
      <c r="AE20" s="16"/>
      <c r="AF20" s="103" t="s">
        <v>11</v>
      </c>
      <c r="AH20" s="10" t="s">
        <v>122</v>
      </c>
      <c r="AI20" s="11" t="s">
        <v>225</v>
      </c>
      <c r="AJ20" s="12" t="s">
        <v>110</v>
      </c>
    </row>
    <row r="21" spans="1:36" ht="51.75" customHeight="1">
      <c r="A21" s="72"/>
      <c r="B21" s="138" t="s">
        <v>214</v>
      </c>
      <c r="C21" s="130">
        <v>18</v>
      </c>
      <c r="D21" s="131" t="s">
        <v>250</v>
      </c>
      <c r="E21" s="131" t="s">
        <v>183</v>
      </c>
      <c r="F21" s="131" t="s">
        <v>251</v>
      </c>
      <c r="G21" s="131" t="s">
        <v>252</v>
      </c>
      <c r="H21" s="141" t="s">
        <v>239</v>
      </c>
      <c r="I21" s="141" t="s">
        <v>248</v>
      </c>
      <c r="J21" s="130" t="s">
        <v>4</v>
      </c>
      <c r="K21" s="249" t="s">
        <v>4</v>
      </c>
      <c r="L21" s="140" t="s">
        <v>60</v>
      </c>
      <c r="M21" s="5"/>
      <c r="N21" s="152"/>
      <c r="O21" s="131"/>
      <c r="P21" s="131"/>
      <c r="Q21" s="130"/>
      <c r="R21" s="130" t="s">
        <v>11</v>
      </c>
      <c r="S21" s="131"/>
      <c r="T21" s="130"/>
      <c r="U21" s="136"/>
      <c r="V21" s="5"/>
      <c r="W21" s="201"/>
      <c r="X21" s="147" t="s">
        <v>240</v>
      </c>
      <c r="Y21" s="22"/>
      <c r="Z21" s="102"/>
      <c r="AA21" s="4"/>
      <c r="AB21" s="4"/>
      <c r="AC21" s="203" t="s">
        <v>253</v>
      </c>
      <c r="AD21" s="16"/>
      <c r="AE21" s="16"/>
      <c r="AF21" s="103" t="s">
        <v>11</v>
      </c>
      <c r="AH21" s="10" t="s">
        <v>233</v>
      </c>
      <c r="AI21" s="11" t="s">
        <v>234</v>
      </c>
      <c r="AJ21" s="12" t="s">
        <v>235</v>
      </c>
    </row>
    <row r="22" spans="1:36" ht="48.6">
      <c r="A22" s="72"/>
      <c r="B22" s="138" t="s">
        <v>214</v>
      </c>
      <c r="C22" s="130">
        <v>19</v>
      </c>
      <c r="D22" s="131" t="s">
        <v>254</v>
      </c>
      <c r="E22" s="131" t="s">
        <v>183</v>
      </c>
      <c r="F22" s="131" t="s">
        <v>255</v>
      </c>
      <c r="G22" s="131" t="s">
        <v>256</v>
      </c>
      <c r="H22" s="141" t="s">
        <v>239</v>
      </c>
      <c r="I22" s="141" t="s">
        <v>248</v>
      </c>
      <c r="J22" s="130" t="s">
        <v>4</v>
      </c>
      <c r="K22" s="249" t="s">
        <v>4</v>
      </c>
      <c r="L22" s="140" t="s">
        <v>60</v>
      </c>
      <c r="M22" s="5"/>
      <c r="N22" s="152"/>
      <c r="O22" s="131"/>
      <c r="P22" s="131"/>
      <c r="Q22" s="130"/>
      <c r="R22" s="130" t="s">
        <v>11</v>
      </c>
      <c r="S22" s="131"/>
      <c r="T22" s="130"/>
      <c r="U22" s="136"/>
      <c r="V22" s="5"/>
      <c r="W22" s="201"/>
      <c r="X22" s="147" t="s">
        <v>240</v>
      </c>
      <c r="Y22" s="22"/>
      <c r="Z22" s="102"/>
      <c r="AA22" s="4"/>
      <c r="AB22" s="4"/>
      <c r="AC22" s="203" t="s">
        <v>249</v>
      </c>
      <c r="AD22" s="16"/>
      <c r="AE22" s="16"/>
      <c r="AF22" s="103" t="s">
        <v>11</v>
      </c>
      <c r="AH22" s="10" t="s">
        <v>233</v>
      </c>
      <c r="AI22" s="11" t="s">
        <v>234</v>
      </c>
      <c r="AJ22" s="12" t="s">
        <v>235</v>
      </c>
    </row>
    <row r="23" spans="1:36" ht="155.25" customHeight="1">
      <c r="A23" s="72"/>
      <c r="B23" s="138" t="s">
        <v>257</v>
      </c>
      <c r="C23" s="130">
        <v>20</v>
      </c>
      <c r="D23" s="131" t="s">
        <v>258</v>
      </c>
      <c r="E23" s="131" t="s">
        <v>183</v>
      </c>
      <c r="F23" s="131" t="s">
        <v>259</v>
      </c>
      <c r="G23" s="131" t="s">
        <v>260</v>
      </c>
      <c r="H23" s="155" t="s">
        <v>261</v>
      </c>
      <c r="I23" s="155" t="s">
        <v>262</v>
      </c>
      <c r="J23" s="130" t="s">
        <v>4</v>
      </c>
      <c r="K23" s="249" t="s">
        <v>4</v>
      </c>
      <c r="L23" s="140" t="s">
        <v>60</v>
      </c>
      <c r="M23" s="5"/>
      <c r="N23" s="152" t="s">
        <v>87</v>
      </c>
      <c r="O23" s="131" t="s">
        <v>258</v>
      </c>
      <c r="P23" s="131" t="s">
        <v>263</v>
      </c>
      <c r="Q23" s="130" t="s">
        <v>78</v>
      </c>
      <c r="R23" s="130" t="s">
        <v>4</v>
      </c>
      <c r="S23" s="206" t="s">
        <v>264</v>
      </c>
      <c r="T23" s="130" t="s">
        <v>64</v>
      </c>
      <c r="U23" s="136"/>
      <c r="V23" s="5"/>
      <c r="W23" s="201"/>
      <c r="X23" s="147" t="s">
        <v>68</v>
      </c>
      <c r="Y23" s="22"/>
      <c r="Z23" s="102"/>
      <c r="AA23" s="4"/>
      <c r="AB23" s="4" t="s">
        <v>190</v>
      </c>
      <c r="AC23" s="205" t="s">
        <v>265</v>
      </c>
      <c r="AD23" s="17" t="s">
        <v>266</v>
      </c>
      <c r="AE23" s="16" t="s">
        <v>267</v>
      </c>
      <c r="AF23" s="103" t="s">
        <v>4</v>
      </c>
      <c r="AH23" s="10" t="s">
        <v>233</v>
      </c>
      <c r="AI23" s="11" t="s">
        <v>234</v>
      </c>
      <c r="AJ23" s="12" t="s">
        <v>235</v>
      </c>
    </row>
    <row r="24" spans="1:36" ht="291.60000000000002">
      <c r="A24" s="72"/>
      <c r="B24" s="138" t="s">
        <v>257</v>
      </c>
      <c r="C24" s="130">
        <v>21</v>
      </c>
      <c r="D24" s="131" t="s">
        <v>268</v>
      </c>
      <c r="E24" s="131" t="s">
        <v>183</v>
      </c>
      <c r="F24" s="131" t="s">
        <v>269</v>
      </c>
      <c r="G24" s="131" t="s">
        <v>270</v>
      </c>
      <c r="H24" s="141" t="s">
        <v>271</v>
      </c>
      <c r="I24" s="141" t="s">
        <v>272</v>
      </c>
      <c r="J24" s="130" t="s">
        <v>4</v>
      </c>
      <c r="K24" s="249" t="s">
        <v>4</v>
      </c>
      <c r="L24" s="140" t="s">
        <v>60</v>
      </c>
      <c r="M24" s="5"/>
      <c r="N24" s="152" t="s">
        <v>87</v>
      </c>
      <c r="O24" s="131" t="s">
        <v>268</v>
      </c>
      <c r="P24" s="131" t="s">
        <v>273</v>
      </c>
      <c r="Q24" s="130" t="s">
        <v>66</v>
      </c>
      <c r="R24" s="130" t="s">
        <v>4</v>
      </c>
      <c r="S24" s="204" t="s">
        <v>274</v>
      </c>
      <c r="T24" s="130" t="s">
        <v>64</v>
      </c>
      <c r="U24" s="136" t="s">
        <v>275</v>
      </c>
      <c r="V24" s="5"/>
      <c r="W24" s="201"/>
      <c r="X24" s="147" t="s">
        <v>68</v>
      </c>
      <c r="Y24" s="22"/>
      <c r="Z24" s="102"/>
      <c r="AA24" s="4"/>
      <c r="AB24" s="4" t="s">
        <v>190</v>
      </c>
      <c r="AC24" s="205" t="s">
        <v>274</v>
      </c>
      <c r="AD24" s="17"/>
      <c r="AE24" s="16"/>
      <c r="AF24" s="103" t="s">
        <v>4</v>
      </c>
      <c r="AH24" s="10" t="s">
        <v>233</v>
      </c>
      <c r="AI24" s="11" t="s">
        <v>234</v>
      </c>
      <c r="AJ24" s="12" t="s">
        <v>235</v>
      </c>
    </row>
    <row r="25" spans="1:36" s="118" customFormat="1" ht="294.75" customHeight="1">
      <c r="A25" s="148"/>
      <c r="B25" s="139" t="s">
        <v>276</v>
      </c>
      <c r="C25" s="140">
        <v>22</v>
      </c>
      <c r="D25" s="133" t="s">
        <v>277</v>
      </c>
      <c r="E25" s="133" t="s">
        <v>183</v>
      </c>
      <c r="F25" s="133" t="s">
        <v>278</v>
      </c>
      <c r="G25" s="131" t="s">
        <v>279</v>
      </c>
      <c r="H25" s="173" t="s">
        <v>280</v>
      </c>
      <c r="I25" s="164" t="s">
        <v>281</v>
      </c>
      <c r="J25" s="140" t="s">
        <v>4</v>
      </c>
      <c r="K25" s="249" t="s">
        <v>4</v>
      </c>
      <c r="L25" s="140" t="s">
        <v>60</v>
      </c>
      <c r="M25" s="126"/>
      <c r="N25" s="174" t="s">
        <v>87</v>
      </c>
      <c r="O25" s="133" t="s">
        <v>277</v>
      </c>
      <c r="P25" s="133" t="s">
        <v>282</v>
      </c>
      <c r="Q25" s="140" t="s">
        <v>66</v>
      </c>
      <c r="R25" s="140" t="s">
        <v>10</v>
      </c>
      <c r="S25" s="140" t="s">
        <v>10</v>
      </c>
      <c r="T25" s="140" t="s">
        <v>64</v>
      </c>
      <c r="U25" s="175"/>
      <c r="V25" s="126"/>
      <c r="W25" s="146"/>
      <c r="X25" s="135" t="s">
        <v>68</v>
      </c>
      <c r="Y25" s="120"/>
      <c r="Z25" s="195"/>
      <c r="AA25" s="119"/>
      <c r="AB25" s="119" t="s">
        <v>190</v>
      </c>
      <c r="AC25" s="44" t="s">
        <v>283</v>
      </c>
      <c r="AD25" s="121"/>
      <c r="AE25" s="121"/>
      <c r="AF25" s="122" t="s">
        <v>10</v>
      </c>
      <c r="AH25" s="66"/>
      <c r="AI25" s="123"/>
      <c r="AJ25" s="124"/>
    </row>
    <row r="26" spans="1:36" s="118" customFormat="1" ht="135" customHeight="1">
      <c r="A26" s="148"/>
      <c r="B26" s="139" t="s">
        <v>276</v>
      </c>
      <c r="C26" s="140">
        <v>23</v>
      </c>
      <c r="D26" s="133" t="s">
        <v>284</v>
      </c>
      <c r="E26" s="133" t="s">
        <v>285</v>
      </c>
      <c r="F26" s="133" t="s">
        <v>286</v>
      </c>
      <c r="G26" s="131" t="s">
        <v>287</v>
      </c>
      <c r="H26" s="173" t="s">
        <v>239</v>
      </c>
      <c r="I26" s="164" t="s">
        <v>281</v>
      </c>
      <c r="J26" s="140" t="s">
        <v>4</v>
      </c>
      <c r="K26" s="249" t="s">
        <v>4</v>
      </c>
      <c r="L26" s="140" t="s">
        <v>60</v>
      </c>
      <c r="M26" s="126"/>
      <c r="N26" s="174" t="s">
        <v>87</v>
      </c>
      <c r="O26" s="133" t="s">
        <v>288</v>
      </c>
      <c r="P26" s="133" t="s">
        <v>289</v>
      </c>
      <c r="Q26" s="140" t="s">
        <v>66</v>
      </c>
      <c r="R26" s="140" t="s">
        <v>10</v>
      </c>
      <c r="S26" s="140" t="s">
        <v>10</v>
      </c>
      <c r="T26" s="140" t="s">
        <v>64</v>
      </c>
      <c r="U26" s="175"/>
      <c r="V26" s="126"/>
      <c r="W26" s="146"/>
      <c r="X26" s="135" t="s">
        <v>68</v>
      </c>
      <c r="Y26" s="120"/>
      <c r="Z26" s="195"/>
      <c r="AA26" s="119"/>
      <c r="AB26" s="119" t="s">
        <v>190</v>
      </c>
      <c r="AC26" s="44" t="s">
        <v>290</v>
      </c>
      <c r="AD26" s="121"/>
      <c r="AE26" s="121"/>
      <c r="AF26" s="122" t="s">
        <v>10</v>
      </c>
      <c r="AH26" s="66"/>
      <c r="AI26" s="123"/>
      <c r="AJ26" s="124"/>
    </row>
    <row r="27" spans="1:36" s="118" customFormat="1" ht="213.75" customHeight="1">
      <c r="A27" s="148"/>
      <c r="B27" s="139" t="s">
        <v>276</v>
      </c>
      <c r="C27" s="140">
        <v>24</v>
      </c>
      <c r="D27" s="133" t="s">
        <v>291</v>
      </c>
      <c r="E27" s="133" t="s">
        <v>183</v>
      </c>
      <c r="F27" s="133" t="s">
        <v>292</v>
      </c>
      <c r="G27" s="131" t="s">
        <v>293</v>
      </c>
      <c r="H27" s="221" t="s">
        <v>294</v>
      </c>
      <c r="I27" s="264" t="s">
        <v>295</v>
      </c>
      <c r="J27" s="140" t="s">
        <v>4</v>
      </c>
      <c r="K27" s="250" t="s">
        <v>4</v>
      </c>
      <c r="L27" s="265" t="s">
        <v>60</v>
      </c>
      <c r="M27" s="266"/>
      <c r="N27" s="174" t="s">
        <v>87</v>
      </c>
      <c r="O27" s="133" t="s">
        <v>291</v>
      </c>
      <c r="P27" s="144" t="s">
        <v>296</v>
      </c>
      <c r="Q27" s="140" t="s">
        <v>66</v>
      </c>
      <c r="R27" s="140" t="s">
        <v>4</v>
      </c>
      <c r="S27" s="140" t="s">
        <v>297</v>
      </c>
      <c r="T27" s="140" t="s">
        <v>64</v>
      </c>
      <c r="U27" s="175"/>
      <c r="V27" s="126"/>
      <c r="W27" s="146"/>
      <c r="X27" s="135" t="s">
        <v>68</v>
      </c>
      <c r="Y27" s="120"/>
      <c r="Z27" s="195"/>
      <c r="AA27" s="119"/>
      <c r="AB27" s="119" t="s">
        <v>190</v>
      </c>
      <c r="AC27" s="240" t="s">
        <v>298</v>
      </c>
      <c r="AD27" s="121" t="s">
        <v>299</v>
      </c>
      <c r="AE27" s="121" t="s">
        <v>300</v>
      </c>
      <c r="AF27" s="122" t="s">
        <v>4</v>
      </c>
      <c r="AH27" s="66" t="s">
        <v>233</v>
      </c>
      <c r="AI27" s="123" t="s">
        <v>193</v>
      </c>
      <c r="AJ27" s="124"/>
    </row>
    <row r="28" spans="1:36" s="118" customFormat="1" ht="324">
      <c r="A28" s="148"/>
      <c r="B28" s="139" t="s">
        <v>276</v>
      </c>
      <c r="C28" s="140">
        <v>25</v>
      </c>
      <c r="D28" s="133" t="s">
        <v>301</v>
      </c>
      <c r="E28" s="133" t="s">
        <v>183</v>
      </c>
      <c r="F28" s="133" t="s">
        <v>302</v>
      </c>
      <c r="G28" s="131" t="s">
        <v>303</v>
      </c>
      <c r="H28" s="221" t="s">
        <v>304</v>
      </c>
      <c r="I28" s="264" t="s">
        <v>305</v>
      </c>
      <c r="J28" s="140" t="s">
        <v>4</v>
      </c>
      <c r="K28" s="250" t="s">
        <v>4</v>
      </c>
      <c r="L28" s="265" t="s">
        <v>60</v>
      </c>
      <c r="M28" s="126"/>
      <c r="N28" s="174" t="s">
        <v>87</v>
      </c>
      <c r="O28" s="133" t="s">
        <v>301</v>
      </c>
      <c r="P28" s="133" t="s">
        <v>306</v>
      </c>
      <c r="Q28" s="140" t="s">
        <v>66</v>
      </c>
      <c r="R28" s="140" t="s">
        <v>4</v>
      </c>
      <c r="S28" s="140" t="s">
        <v>307</v>
      </c>
      <c r="T28" s="140" t="s">
        <v>64</v>
      </c>
      <c r="U28" s="175"/>
      <c r="V28" s="126"/>
      <c r="W28" s="146"/>
      <c r="X28" s="135" t="s">
        <v>68</v>
      </c>
      <c r="Y28" s="120"/>
      <c r="Z28" s="195"/>
      <c r="AA28" s="119"/>
      <c r="AB28" s="119" t="s">
        <v>190</v>
      </c>
      <c r="AC28" s="240" t="s">
        <v>308</v>
      </c>
      <c r="AD28" s="121" t="s">
        <v>309</v>
      </c>
      <c r="AE28" s="121" t="s">
        <v>310</v>
      </c>
      <c r="AF28" s="122" t="s">
        <v>4</v>
      </c>
      <c r="AH28" s="66" t="s">
        <v>233</v>
      </c>
      <c r="AI28" s="123" t="s">
        <v>311</v>
      </c>
      <c r="AJ28" s="124"/>
    </row>
    <row r="29" spans="1:36" s="118" customFormat="1" ht="409.6">
      <c r="A29" s="148"/>
      <c r="B29" s="139" t="s">
        <v>276</v>
      </c>
      <c r="C29" s="140">
        <v>26</v>
      </c>
      <c r="D29" s="133" t="s">
        <v>312</v>
      </c>
      <c r="E29" s="133" t="s">
        <v>183</v>
      </c>
      <c r="F29" s="133" t="s">
        <v>313</v>
      </c>
      <c r="G29" s="131" t="s">
        <v>314</v>
      </c>
      <c r="H29" s="173" t="s">
        <v>315</v>
      </c>
      <c r="I29" s="164" t="s">
        <v>316</v>
      </c>
      <c r="J29" s="140" t="s">
        <v>4</v>
      </c>
      <c r="K29" s="250" t="s">
        <v>4</v>
      </c>
      <c r="L29" s="234" t="s">
        <v>60</v>
      </c>
      <c r="M29" s="126"/>
      <c r="N29" s="174" t="s">
        <v>87</v>
      </c>
      <c r="O29" s="133" t="s">
        <v>317</v>
      </c>
      <c r="P29" s="144" t="s">
        <v>318</v>
      </c>
      <c r="Q29" s="140" t="s">
        <v>66</v>
      </c>
      <c r="R29" s="140" t="s">
        <v>10</v>
      </c>
      <c r="S29" s="140" t="s">
        <v>10</v>
      </c>
      <c r="T29" s="140" t="s">
        <v>64</v>
      </c>
      <c r="U29" s="175" t="s">
        <v>319</v>
      </c>
      <c r="V29" s="126"/>
      <c r="W29" s="146"/>
      <c r="X29" s="135" t="s">
        <v>68</v>
      </c>
      <c r="Y29" s="120"/>
      <c r="Z29" s="195"/>
      <c r="AA29" s="119"/>
      <c r="AB29" s="119" t="s">
        <v>190</v>
      </c>
      <c r="AC29" s="44" t="s">
        <v>320</v>
      </c>
      <c r="AD29" s="121"/>
      <c r="AE29" s="121"/>
      <c r="AF29" s="122" t="s">
        <v>10</v>
      </c>
      <c r="AH29" s="66" t="s">
        <v>233</v>
      </c>
      <c r="AI29" s="123" t="s">
        <v>234</v>
      </c>
      <c r="AJ29" s="124" t="s">
        <v>235</v>
      </c>
    </row>
    <row r="30" spans="1:36" ht="145.80000000000001">
      <c r="A30" s="72"/>
      <c r="B30" s="138" t="s">
        <v>276</v>
      </c>
      <c r="C30" s="130">
        <v>27</v>
      </c>
      <c r="D30" s="131" t="s">
        <v>321</v>
      </c>
      <c r="E30" s="131" t="s">
        <v>183</v>
      </c>
      <c r="F30" s="131" t="s">
        <v>322</v>
      </c>
      <c r="G30" s="131" t="s">
        <v>323</v>
      </c>
      <c r="H30" s="173" t="s">
        <v>239</v>
      </c>
      <c r="I30" s="198" t="s">
        <v>59</v>
      </c>
      <c r="J30" s="130" t="s">
        <v>4</v>
      </c>
      <c r="K30" s="249" t="s">
        <v>4</v>
      </c>
      <c r="L30" s="253" t="s">
        <v>60</v>
      </c>
      <c r="N30" s="152" t="s">
        <v>87</v>
      </c>
      <c r="O30" s="131" t="s">
        <v>324</v>
      </c>
      <c r="P30" s="133" t="s">
        <v>325</v>
      </c>
      <c r="Q30" s="130" t="s">
        <v>66</v>
      </c>
      <c r="R30" s="130" t="s">
        <v>4</v>
      </c>
      <c r="S30" s="131" t="s">
        <v>326</v>
      </c>
      <c r="T30" s="130" t="s">
        <v>64</v>
      </c>
      <c r="U30" s="136"/>
      <c r="W30" s="146"/>
      <c r="X30" s="147" t="s">
        <v>68</v>
      </c>
      <c r="Y30" s="22"/>
      <c r="Z30" s="102"/>
      <c r="AA30" s="4"/>
      <c r="AB30" s="4" t="s">
        <v>190</v>
      </c>
      <c r="AC30" s="67" t="s">
        <v>327</v>
      </c>
      <c r="AD30" s="16"/>
      <c r="AE30" s="16"/>
      <c r="AF30" s="103" t="s">
        <v>4</v>
      </c>
      <c r="AH30" s="10"/>
      <c r="AI30" s="11"/>
      <c r="AJ30" s="12" t="s">
        <v>328</v>
      </c>
    </row>
    <row r="31" spans="1:36" s="118" customFormat="1" ht="275.39999999999998">
      <c r="A31" s="148"/>
      <c r="B31" s="139" t="s">
        <v>276</v>
      </c>
      <c r="C31" s="140">
        <v>28</v>
      </c>
      <c r="D31" s="133" t="s">
        <v>329</v>
      </c>
      <c r="E31" s="133" t="s">
        <v>206</v>
      </c>
      <c r="F31" s="133" t="s">
        <v>330</v>
      </c>
      <c r="G31" s="131" t="s">
        <v>331</v>
      </c>
      <c r="H31" s="221" t="s">
        <v>332</v>
      </c>
      <c r="I31" s="258" t="s">
        <v>333</v>
      </c>
      <c r="J31" s="224" t="s">
        <v>4</v>
      </c>
      <c r="K31" s="259" t="s">
        <v>4</v>
      </c>
      <c r="L31" s="260" t="s">
        <v>60</v>
      </c>
      <c r="M31" s="126"/>
      <c r="N31" s="174" t="s">
        <v>87</v>
      </c>
      <c r="O31" s="133" t="s">
        <v>334</v>
      </c>
      <c r="P31" s="133" t="s">
        <v>335</v>
      </c>
      <c r="Q31" s="140" t="s">
        <v>66</v>
      </c>
      <c r="R31" s="140" t="s">
        <v>10</v>
      </c>
      <c r="S31" s="140" t="s">
        <v>10</v>
      </c>
      <c r="T31" s="140" t="s">
        <v>64</v>
      </c>
      <c r="U31" s="175"/>
      <c r="V31" s="126"/>
      <c r="W31" s="146"/>
      <c r="X31" s="135" t="s">
        <v>68</v>
      </c>
      <c r="Y31" s="120"/>
      <c r="Z31" s="195"/>
      <c r="AA31" s="119"/>
      <c r="AB31" s="119" t="s">
        <v>223</v>
      </c>
      <c r="AC31" s="44" t="s">
        <v>336</v>
      </c>
      <c r="AD31" s="121"/>
      <c r="AE31" s="121"/>
      <c r="AF31" s="122" t="s">
        <v>10</v>
      </c>
      <c r="AH31" s="66" t="s">
        <v>122</v>
      </c>
      <c r="AI31" s="123" t="s">
        <v>225</v>
      </c>
      <c r="AJ31" s="124" t="s">
        <v>110</v>
      </c>
    </row>
    <row r="32" spans="1:36" s="118" customFormat="1" ht="340.2">
      <c r="A32" s="148"/>
      <c r="B32" s="139" t="s">
        <v>276</v>
      </c>
      <c r="C32" s="140">
        <v>29</v>
      </c>
      <c r="D32" s="133" t="s">
        <v>337</v>
      </c>
      <c r="E32" s="133" t="s">
        <v>183</v>
      </c>
      <c r="F32" s="133" t="s">
        <v>338</v>
      </c>
      <c r="G32" s="131" t="s">
        <v>339</v>
      </c>
      <c r="H32" s="257" t="s">
        <v>340</v>
      </c>
      <c r="I32" s="144" t="s">
        <v>341</v>
      </c>
      <c r="J32" s="140" t="s">
        <v>4</v>
      </c>
      <c r="K32" s="140" t="s">
        <v>4</v>
      </c>
      <c r="L32" s="140" t="s">
        <v>60</v>
      </c>
      <c r="M32" s="126"/>
      <c r="N32" s="174" t="s">
        <v>87</v>
      </c>
      <c r="O32" s="133" t="s">
        <v>342</v>
      </c>
      <c r="P32" s="133" t="s">
        <v>343</v>
      </c>
      <c r="Q32" s="140" t="s">
        <v>66</v>
      </c>
      <c r="R32" s="140" t="s">
        <v>10</v>
      </c>
      <c r="S32" s="140" t="s">
        <v>10</v>
      </c>
      <c r="T32" s="140" t="s">
        <v>64</v>
      </c>
      <c r="U32" s="175"/>
      <c r="V32" s="126"/>
      <c r="W32" s="146"/>
      <c r="X32" s="135" t="s">
        <v>68</v>
      </c>
      <c r="Y32" s="120"/>
      <c r="Z32" s="195"/>
      <c r="AA32" s="119"/>
      <c r="AB32" s="119" t="s">
        <v>190</v>
      </c>
      <c r="AC32" s="44" t="s">
        <v>344</v>
      </c>
      <c r="AD32" s="121"/>
      <c r="AE32" s="121"/>
      <c r="AF32" s="122" t="s">
        <v>10</v>
      </c>
      <c r="AH32" s="66" t="s">
        <v>233</v>
      </c>
      <c r="AI32" s="123" t="s">
        <v>345</v>
      </c>
      <c r="AJ32" s="124"/>
    </row>
    <row r="33" spans="1:36" s="118" customFormat="1" ht="388.8">
      <c r="A33" s="148"/>
      <c r="B33" s="139" t="s">
        <v>346</v>
      </c>
      <c r="C33" s="140">
        <v>30</v>
      </c>
      <c r="D33" s="133" t="s">
        <v>347</v>
      </c>
      <c r="E33" s="133" t="s">
        <v>348</v>
      </c>
      <c r="F33" s="133" t="s">
        <v>349</v>
      </c>
      <c r="G33" s="131" t="s">
        <v>350</v>
      </c>
      <c r="H33" s="173" t="s">
        <v>351</v>
      </c>
      <c r="I33" s="261" t="s">
        <v>352</v>
      </c>
      <c r="J33" s="262" t="s">
        <v>4</v>
      </c>
      <c r="K33" s="263" t="s">
        <v>4</v>
      </c>
      <c r="L33" s="262" t="s">
        <v>60</v>
      </c>
      <c r="M33" s="126"/>
      <c r="N33" s="174" t="s">
        <v>353</v>
      </c>
      <c r="O33" s="133" t="s">
        <v>354</v>
      </c>
      <c r="P33" s="144" t="s">
        <v>355</v>
      </c>
      <c r="Q33" s="140" t="s">
        <v>66</v>
      </c>
      <c r="R33" s="140" t="s">
        <v>4</v>
      </c>
      <c r="S33" s="140" t="s">
        <v>356</v>
      </c>
      <c r="T33" s="140" t="s">
        <v>64</v>
      </c>
      <c r="U33" s="175" t="s">
        <v>357</v>
      </c>
      <c r="V33" s="126"/>
      <c r="W33" s="146"/>
      <c r="X33" s="135" t="s">
        <v>68</v>
      </c>
      <c r="Y33" s="120"/>
      <c r="Z33" s="195"/>
      <c r="AA33" s="119"/>
      <c r="AB33" s="236" t="s">
        <v>223</v>
      </c>
      <c r="AC33" s="66" t="s">
        <v>358</v>
      </c>
      <c r="AD33" s="237" t="s">
        <v>359</v>
      </c>
      <c r="AE33" s="176" t="s">
        <v>360</v>
      </c>
      <c r="AF33" s="122" t="s">
        <v>4</v>
      </c>
      <c r="AH33" s="66" t="s">
        <v>361</v>
      </c>
      <c r="AI33" s="123" t="s">
        <v>362</v>
      </c>
      <c r="AJ33" s="123" t="s">
        <v>363</v>
      </c>
    </row>
    <row r="34" spans="1:36" s="118" customFormat="1" ht="162">
      <c r="A34" s="148"/>
      <c r="B34" s="139" t="s">
        <v>346</v>
      </c>
      <c r="C34" s="140">
        <v>31</v>
      </c>
      <c r="D34" s="133" t="s">
        <v>364</v>
      </c>
      <c r="E34" s="133" t="s">
        <v>348</v>
      </c>
      <c r="F34" s="133" t="s">
        <v>365</v>
      </c>
      <c r="G34" s="131" t="s">
        <v>366</v>
      </c>
      <c r="H34" s="173" t="s">
        <v>367</v>
      </c>
      <c r="I34" s="144" t="s">
        <v>281</v>
      </c>
      <c r="J34" s="140" t="s">
        <v>4</v>
      </c>
      <c r="K34" s="250" t="s">
        <v>4</v>
      </c>
      <c r="L34" s="262" t="s">
        <v>60</v>
      </c>
      <c r="M34" s="126"/>
      <c r="N34" s="174" t="s">
        <v>353</v>
      </c>
      <c r="O34" s="133" t="s">
        <v>368</v>
      </c>
      <c r="P34" s="133" t="s">
        <v>355</v>
      </c>
      <c r="Q34" s="140" t="s">
        <v>66</v>
      </c>
      <c r="R34" s="140" t="s">
        <v>11</v>
      </c>
      <c r="S34" s="140" t="s">
        <v>11</v>
      </c>
      <c r="T34" s="140" t="s">
        <v>64</v>
      </c>
      <c r="U34" s="175"/>
      <c r="V34" s="126"/>
      <c r="W34" s="146"/>
      <c r="X34" s="135" t="s">
        <v>240</v>
      </c>
      <c r="Y34" s="120"/>
      <c r="Z34" s="195"/>
      <c r="AA34" s="119"/>
      <c r="AB34" s="119"/>
      <c r="AC34" s="44" t="s">
        <v>369</v>
      </c>
      <c r="AD34" s="121"/>
      <c r="AE34" s="121"/>
      <c r="AF34" s="122" t="s">
        <v>11</v>
      </c>
      <c r="AH34" s="66" t="s">
        <v>361</v>
      </c>
      <c r="AI34" s="123" t="s">
        <v>370</v>
      </c>
      <c r="AJ34" s="123" t="s">
        <v>363</v>
      </c>
    </row>
    <row r="35" spans="1:36" s="118" customFormat="1" ht="162">
      <c r="A35" s="148"/>
      <c r="B35" s="139" t="s">
        <v>346</v>
      </c>
      <c r="C35" s="140">
        <v>32</v>
      </c>
      <c r="D35" s="133" t="s">
        <v>371</v>
      </c>
      <c r="E35" s="133" t="s">
        <v>372</v>
      </c>
      <c r="F35" s="133" t="s">
        <v>373</v>
      </c>
      <c r="G35" s="131" t="s">
        <v>374</v>
      </c>
      <c r="H35" s="173" t="s">
        <v>375</v>
      </c>
      <c r="I35" s="164" t="s">
        <v>59</v>
      </c>
      <c r="J35" s="140" t="s">
        <v>4</v>
      </c>
      <c r="K35" s="250" t="s">
        <v>4</v>
      </c>
      <c r="L35" s="234" t="s">
        <v>60</v>
      </c>
      <c r="M35" s="126"/>
      <c r="N35" s="174" t="s">
        <v>353</v>
      </c>
      <c r="O35" s="133" t="s">
        <v>376</v>
      </c>
      <c r="P35" s="133" t="s">
        <v>377</v>
      </c>
      <c r="Q35" s="140" t="s">
        <v>66</v>
      </c>
      <c r="R35" s="140" t="s">
        <v>4</v>
      </c>
      <c r="S35" s="133" t="s">
        <v>378</v>
      </c>
      <c r="T35" s="140" t="s">
        <v>64</v>
      </c>
      <c r="U35" s="175" t="s">
        <v>379</v>
      </c>
      <c r="V35" s="126"/>
      <c r="W35" s="146"/>
      <c r="X35" s="135" t="s">
        <v>68</v>
      </c>
      <c r="Y35" s="120"/>
      <c r="Z35" s="195"/>
      <c r="AA35" s="119"/>
      <c r="AB35" s="236" t="s">
        <v>223</v>
      </c>
      <c r="AC35" s="66" t="s">
        <v>378</v>
      </c>
      <c r="AD35" s="176" t="s">
        <v>380</v>
      </c>
      <c r="AE35" s="176" t="s">
        <v>381</v>
      </c>
      <c r="AF35" s="122" t="s">
        <v>4</v>
      </c>
      <c r="AH35" s="66" t="s">
        <v>361</v>
      </c>
      <c r="AI35" s="123" t="s">
        <v>382</v>
      </c>
      <c r="AJ35" s="123"/>
    </row>
    <row r="36" spans="1:36" s="118" customFormat="1" ht="291.60000000000002">
      <c r="A36" s="148"/>
      <c r="B36" s="139" t="s">
        <v>346</v>
      </c>
      <c r="C36" s="140">
        <v>33</v>
      </c>
      <c r="D36" s="133" t="s">
        <v>383</v>
      </c>
      <c r="E36" s="133" t="s">
        <v>384</v>
      </c>
      <c r="F36" s="145" t="s">
        <v>385</v>
      </c>
      <c r="G36" s="131" t="s">
        <v>386</v>
      </c>
      <c r="H36" s="173" t="s">
        <v>387</v>
      </c>
      <c r="I36" s="164" t="s">
        <v>388</v>
      </c>
      <c r="J36" s="140" t="s">
        <v>4</v>
      </c>
      <c r="K36" s="250" t="s">
        <v>4</v>
      </c>
      <c r="L36" s="234"/>
      <c r="M36" s="150"/>
      <c r="N36" s="174" t="s">
        <v>353</v>
      </c>
      <c r="O36" s="145" t="s">
        <v>389</v>
      </c>
      <c r="P36" s="145" t="s">
        <v>390</v>
      </c>
      <c r="Q36" s="238" t="s">
        <v>66</v>
      </c>
      <c r="R36" s="140" t="s">
        <v>10</v>
      </c>
      <c r="S36" s="145" t="s">
        <v>391</v>
      </c>
      <c r="T36" s="238" t="s">
        <v>64</v>
      </c>
      <c r="U36" s="239"/>
      <c r="V36" s="126"/>
      <c r="W36" s="146"/>
      <c r="X36" s="135" t="s">
        <v>68</v>
      </c>
      <c r="Y36" s="120"/>
      <c r="Z36" s="195"/>
      <c r="AA36" s="119"/>
      <c r="AB36" s="119" t="s">
        <v>223</v>
      </c>
      <c r="AC36" s="240" t="s">
        <v>392</v>
      </c>
      <c r="AD36" s="241"/>
      <c r="AE36" s="241"/>
      <c r="AF36" s="122" t="s">
        <v>10</v>
      </c>
      <c r="AH36" s="66" t="s">
        <v>361</v>
      </c>
      <c r="AI36" s="123" t="s">
        <v>393</v>
      </c>
      <c r="AJ36" s="123"/>
    </row>
    <row r="37" spans="1:36" s="118" customFormat="1" ht="312.75" customHeight="1">
      <c r="A37" s="148"/>
      <c r="B37" s="139" t="s">
        <v>346</v>
      </c>
      <c r="C37" s="140">
        <v>34</v>
      </c>
      <c r="D37" s="133" t="s">
        <v>394</v>
      </c>
      <c r="E37" s="133" t="s">
        <v>395</v>
      </c>
      <c r="F37" s="133" t="s">
        <v>396</v>
      </c>
      <c r="G37" s="131" t="s">
        <v>397</v>
      </c>
      <c r="H37" s="173" t="s">
        <v>398</v>
      </c>
      <c r="I37" s="164" t="s">
        <v>281</v>
      </c>
      <c r="J37" s="140" t="s">
        <v>4</v>
      </c>
      <c r="K37" s="250" t="s">
        <v>4</v>
      </c>
      <c r="L37" s="234" t="s">
        <v>399</v>
      </c>
      <c r="M37" s="126"/>
      <c r="N37" s="174" t="s">
        <v>353</v>
      </c>
      <c r="O37" s="133" t="s">
        <v>400</v>
      </c>
      <c r="P37" s="133" t="s">
        <v>401</v>
      </c>
      <c r="Q37" s="140" t="s">
        <v>66</v>
      </c>
      <c r="R37" s="140" t="s">
        <v>10</v>
      </c>
      <c r="S37" s="133" t="s">
        <v>10</v>
      </c>
      <c r="T37" s="140" t="s">
        <v>64</v>
      </c>
      <c r="U37" s="175"/>
      <c r="V37" s="126"/>
      <c r="W37" s="146"/>
      <c r="X37" s="135" t="s">
        <v>68</v>
      </c>
      <c r="Y37" s="120"/>
      <c r="Z37" s="195"/>
      <c r="AA37" s="119"/>
      <c r="AB37" s="119" t="s">
        <v>223</v>
      </c>
      <c r="AC37" s="197" t="s">
        <v>402</v>
      </c>
      <c r="AD37" s="121"/>
      <c r="AE37" s="121"/>
      <c r="AF37" s="122" t="s">
        <v>10</v>
      </c>
      <c r="AH37" s="66" t="s">
        <v>361</v>
      </c>
      <c r="AI37" s="123" t="s">
        <v>403</v>
      </c>
      <c r="AJ37" s="123"/>
    </row>
    <row r="38" spans="1:36" s="118" customFormat="1" ht="409.6">
      <c r="A38" s="148"/>
      <c r="B38" s="139" t="s">
        <v>346</v>
      </c>
      <c r="C38" s="140">
        <v>35</v>
      </c>
      <c r="D38" s="133" t="s">
        <v>404</v>
      </c>
      <c r="E38" s="133" t="s">
        <v>405</v>
      </c>
      <c r="F38" s="133" t="s">
        <v>406</v>
      </c>
      <c r="G38" s="131" t="s">
        <v>407</v>
      </c>
      <c r="H38" s="173" t="s">
        <v>408</v>
      </c>
      <c r="I38" s="164" t="s">
        <v>281</v>
      </c>
      <c r="J38" s="140" t="s">
        <v>4</v>
      </c>
      <c r="K38" s="250" t="s">
        <v>4</v>
      </c>
      <c r="L38" s="234" t="s">
        <v>409</v>
      </c>
      <c r="M38" s="126"/>
      <c r="N38" s="174" t="s">
        <v>353</v>
      </c>
      <c r="O38" s="133" t="s">
        <v>404</v>
      </c>
      <c r="P38" s="133" t="s">
        <v>410</v>
      </c>
      <c r="Q38" s="140" t="s">
        <v>78</v>
      </c>
      <c r="R38" s="140" t="s">
        <v>10</v>
      </c>
      <c r="S38" s="133" t="s">
        <v>10</v>
      </c>
      <c r="T38" s="140" t="s">
        <v>64</v>
      </c>
      <c r="U38" s="175"/>
      <c r="V38" s="126"/>
      <c r="W38" s="146"/>
      <c r="X38" s="135" t="s">
        <v>68</v>
      </c>
      <c r="Y38" s="120"/>
      <c r="Z38" s="195"/>
      <c r="AA38" s="119"/>
      <c r="AB38" s="119" t="s">
        <v>223</v>
      </c>
      <c r="AC38" s="44" t="s">
        <v>411</v>
      </c>
      <c r="AD38" s="121"/>
      <c r="AE38" s="121"/>
      <c r="AF38" s="122" t="s">
        <v>10</v>
      </c>
      <c r="AH38" s="66" t="s">
        <v>361</v>
      </c>
      <c r="AI38" s="123" t="s">
        <v>412</v>
      </c>
      <c r="AJ38" s="123" t="s">
        <v>413</v>
      </c>
    </row>
    <row r="39" spans="1:36" ht="210.6">
      <c r="A39" s="72"/>
      <c r="B39" s="138" t="s">
        <v>414</v>
      </c>
      <c r="C39" s="130">
        <v>36</v>
      </c>
      <c r="D39" s="131" t="s">
        <v>415</v>
      </c>
      <c r="E39" s="131" t="s">
        <v>416</v>
      </c>
      <c r="F39" s="131" t="s">
        <v>417</v>
      </c>
      <c r="G39" s="131" t="s">
        <v>418</v>
      </c>
      <c r="H39" s="164" t="s">
        <v>247</v>
      </c>
      <c r="I39" s="164" t="s">
        <v>59</v>
      </c>
      <c r="J39" s="130" t="s">
        <v>4</v>
      </c>
      <c r="K39" s="249" t="s">
        <v>4</v>
      </c>
      <c r="L39" s="234" t="s">
        <v>399</v>
      </c>
      <c r="N39" s="152" t="s">
        <v>419</v>
      </c>
      <c r="O39" s="131" t="s">
        <v>420</v>
      </c>
      <c r="P39" s="133" t="s">
        <v>421</v>
      </c>
      <c r="Q39" s="130" t="s">
        <v>422</v>
      </c>
      <c r="R39" s="130" t="s">
        <v>10</v>
      </c>
      <c r="S39" s="130" t="s">
        <v>423</v>
      </c>
      <c r="T39" s="130" t="s">
        <v>64</v>
      </c>
      <c r="U39" s="136"/>
      <c r="W39" s="146"/>
      <c r="X39" s="147" t="s">
        <v>68</v>
      </c>
      <c r="Y39" s="22"/>
      <c r="Z39" s="102"/>
      <c r="AA39" s="4"/>
      <c r="AB39" s="4" t="s">
        <v>424</v>
      </c>
      <c r="AC39" s="18" t="s">
        <v>425</v>
      </c>
      <c r="AD39" s="16"/>
      <c r="AE39" s="16"/>
      <c r="AF39" s="103" t="s">
        <v>10</v>
      </c>
      <c r="AH39" s="10"/>
      <c r="AI39" s="11"/>
      <c r="AJ39" s="12"/>
    </row>
    <row r="40" spans="1:36" ht="64.8">
      <c r="A40" s="72"/>
      <c r="B40" s="138" t="s">
        <v>414</v>
      </c>
      <c r="C40" s="130">
        <v>37</v>
      </c>
      <c r="D40" s="131" t="s">
        <v>426</v>
      </c>
      <c r="E40" s="131" t="s">
        <v>427</v>
      </c>
      <c r="F40" s="131" t="s">
        <v>428</v>
      </c>
      <c r="G40" s="131" t="s">
        <v>429</v>
      </c>
      <c r="H40" s="164" t="s">
        <v>247</v>
      </c>
      <c r="I40" s="164" t="s">
        <v>59</v>
      </c>
      <c r="J40" s="130" t="s">
        <v>4</v>
      </c>
      <c r="K40" s="249" t="s">
        <v>4</v>
      </c>
      <c r="L40" s="234" t="s">
        <v>399</v>
      </c>
      <c r="N40" s="152" t="s">
        <v>419</v>
      </c>
      <c r="O40" s="131" t="s">
        <v>430</v>
      </c>
      <c r="P40" s="133" t="s">
        <v>431</v>
      </c>
      <c r="Q40" s="130" t="s">
        <v>66</v>
      </c>
      <c r="R40" s="130" t="s">
        <v>4</v>
      </c>
      <c r="S40" s="130" t="s">
        <v>423</v>
      </c>
      <c r="T40" s="130" t="s">
        <v>64</v>
      </c>
      <c r="U40" s="136"/>
      <c r="W40" s="146"/>
      <c r="X40" s="147" t="s">
        <v>68</v>
      </c>
      <c r="Y40" s="22"/>
      <c r="Z40" s="102"/>
      <c r="AA40" s="4"/>
      <c r="AB40" s="4" t="s">
        <v>424</v>
      </c>
      <c r="AC40" s="67" t="s">
        <v>432</v>
      </c>
      <c r="AD40" s="20"/>
      <c r="AE40" s="20"/>
      <c r="AF40" s="103" t="s">
        <v>4</v>
      </c>
      <c r="AH40" s="10"/>
      <c r="AI40" s="11"/>
      <c r="AJ40" s="12"/>
    </row>
    <row r="41" spans="1:36" ht="81">
      <c r="A41" s="72"/>
      <c r="B41" s="138" t="s">
        <v>414</v>
      </c>
      <c r="C41" s="130">
        <v>38</v>
      </c>
      <c r="D41" s="131" t="s">
        <v>433</v>
      </c>
      <c r="E41" s="131" t="s">
        <v>183</v>
      </c>
      <c r="F41" s="131" t="s">
        <v>434</v>
      </c>
      <c r="G41" s="131" t="s">
        <v>435</v>
      </c>
      <c r="H41" s="164" t="s">
        <v>436</v>
      </c>
      <c r="I41" s="164" t="s">
        <v>59</v>
      </c>
      <c r="J41" s="130" t="s">
        <v>4</v>
      </c>
      <c r="K41" s="249" t="s">
        <v>4</v>
      </c>
      <c r="L41" s="234" t="s">
        <v>399</v>
      </c>
      <c r="N41" s="152" t="s">
        <v>437</v>
      </c>
      <c r="O41" s="131" t="s">
        <v>438</v>
      </c>
      <c r="P41" s="133" t="s">
        <v>439</v>
      </c>
      <c r="Q41" s="130"/>
      <c r="R41" s="130" t="s">
        <v>11</v>
      </c>
      <c r="S41" s="131"/>
      <c r="T41" s="130"/>
      <c r="U41" s="136"/>
      <c r="W41" s="146"/>
      <c r="X41" s="147" t="s">
        <v>240</v>
      </c>
      <c r="Y41" s="22"/>
      <c r="Z41" s="102"/>
      <c r="AA41" s="4"/>
      <c r="AB41" s="4"/>
      <c r="AC41" s="44"/>
      <c r="AD41" s="16"/>
      <c r="AE41" s="16"/>
      <c r="AF41" s="103" t="s">
        <v>11</v>
      </c>
      <c r="AH41" s="10"/>
      <c r="AI41" s="11"/>
      <c r="AJ41" s="12"/>
    </row>
    <row r="42" spans="1:36" ht="48.6">
      <c r="A42" s="72"/>
      <c r="B42" s="138" t="s">
        <v>414</v>
      </c>
      <c r="C42" s="130">
        <v>39</v>
      </c>
      <c r="D42" s="131" t="s">
        <v>440</v>
      </c>
      <c r="E42" s="131" t="s">
        <v>183</v>
      </c>
      <c r="F42" s="131" t="s">
        <v>441</v>
      </c>
      <c r="G42" s="131" t="s">
        <v>442</v>
      </c>
      <c r="H42" s="164" t="s">
        <v>436</v>
      </c>
      <c r="I42" s="164" t="s">
        <v>59</v>
      </c>
      <c r="J42" s="130" t="s">
        <v>4</v>
      </c>
      <c r="K42" s="249" t="s">
        <v>4</v>
      </c>
      <c r="L42" s="234" t="s">
        <v>399</v>
      </c>
      <c r="N42" s="152" t="s">
        <v>419</v>
      </c>
      <c r="O42" s="131" t="s">
        <v>440</v>
      </c>
      <c r="P42" s="133" t="s">
        <v>443</v>
      </c>
      <c r="Q42" s="130" t="s">
        <v>78</v>
      </c>
      <c r="R42" s="130" t="s">
        <v>4</v>
      </c>
      <c r="S42" s="130" t="s">
        <v>423</v>
      </c>
      <c r="T42" s="130" t="s">
        <v>64</v>
      </c>
      <c r="U42" s="136"/>
      <c r="W42" s="146"/>
      <c r="X42" s="147" t="s">
        <v>68</v>
      </c>
      <c r="Y42" s="22"/>
      <c r="Z42" s="102"/>
      <c r="AA42" s="4"/>
      <c r="AB42" s="4" t="s">
        <v>424</v>
      </c>
      <c r="AC42" s="67" t="s">
        <v>432</v>
      </c>
      <c r="AD42" s="20"/>
      <c r="AE42" s="20"/>
      <c r="AF42" s="103" t="s">
        <v>4</v>
      </c>
      <c r="AH42" s="10"/>
      <c r="AI42" s="11"/>
      <c r="AJ42" s="12"/>
    </row>
    <row r="43" spans="1:36" ht="178.2">
      <c r="A43" s="72"/>
      <c r="B43" s="138" t="s">
        <v>414</v>
      </c>
      <c r="C43" s="130">
        <v>40</v>
      </c>
      <c r="D43" s="131" t="s">
        <v>444</v>
      </c>
      <c r="E43" s="131" t="s">
        <v>445</v>
      </c>
      <c r="F43" s="131" t="s">
        <v>446</v>
      </c>
      <c r="G43" s="131" t="s">
        <v>447</v>
      </c>
      <c r="H43" s="164" t="s">
        <v>247</v>
      </c>
      <c r="I43" s="164" t="s">
        <v>59</v>
      </c>
      <c r="J43" s="130" t="s">
        <v>4</v>
      </c>
      <c r="K43" s="249" t="s">
        <v>4</v>
      </c>
      <c r="L43" s="234" t="s">
        <v>399</v>
      </c>
      <c r="N43" s="152" t="s">
        <v>419</v>
      </c>
      <c r="O43" s="131" t="s">
        <v>444</v>
      </c>
      <c r="P43" s="133" t="s">
        <v>448</v>
      </c>
      <c r="Q43" s="130" t="s">
        <v>78</v>
      </c>
      <c r="R43" s="130" t="s">
        <v>4</v>
      </c>
      <c r="S43" s="130" t="s">
        <v>423</v>
      </c>
      <c r="T43" s="130" t="s">
        <v>64</v>
      </c>
      <c r="U43" s="136"/>
      <c r="W43" s="146"/>
      <c r="X43" s="147" t="s">
        <v>68</v>
      </c>
      <c r="Y43" s="22"/>
      <c r="Z43" s="102"/>
      <c r="AA43" s="4"/>
      <c r="AB43" s="4" t="s">
        <v>424</v>
      </c>
      <c r="AC43" s="67" t="s">
        <v>432</v>
      </c>
      <c r="AD43" s="16"/>
      <c r="AE43" s="16"/>
      <c r="AF43" s="103" t="s">
        <v>4</v>
      </c>
      <c r="AH43" s="10"/>
      <c r="AI43" s="11"/>
      <c r="AJ43" s="12"/>
    </row>
    <row r="44" spans="1:36" ht="194.4">
      <c r="A44" s="72"/>
      <c r="B44" s="138" t="s">
        <v>414</v>
      </c>
      <c r="C44" s="130">
        <v>41</v>
      </c>
      <c r="D44" s="131" t="s">
        <v>449</v>
      </c>
      <c r="E44" s="131" t="s">
        <v>450</v>
      </c>
      <c r="F44" s="131" t="s">
        <v>451</v>
      </c>
      <c r="G44" s="131" t="s">
        <v>452</v>
      </c>
      <c r="H44" s="164" t="s">
        <v>247</v>
      </c>
      <c r="I44" s="164" t="s">
        <v>59</v>
      </c>
      <c r="J44" s="130" t="s">
        <v>4</v>
      </c>
      <c r="K44" s="249" t="s">
        <v>4</v>
      </c>
      <c r="L44" s="234" t="s">
        <v>399</v>
      </c>
      <c r="N44" s="152" t="s">
        <v>419</v>
      </c>
      <c r="O44" s="131" t="s">
        <v>453</v>
      </c>
      <c r="P44" s="133" t="s">
        <v>454</v>
      </c>
      <c r="Q44" s="130" t="s">
        <v>66</v>
      </c>
      <c r="R44" s="130" t="s">
        <v>4</v>
      </c>
      <c r="S44" s="130" t="s">
        <v>423</v>
      </c>
      <c r="T44" s="130" t="s">
        <v>64</v>
      </c>
      <c r="U44" s="136"/>
      <c r="W44" s="146"/>
      <c r="X44" s="147" t="s">
        <v>68</v>
      </c>
      <c r="Y44" s="22"/>
      <c r="Z44" s="102"/>
      <c r="AA44" s="4"/>
      <c r="AB44" s="4" t="s">
        <v>424</v>
      </c>
      <c r="AC44" s="67" t="s">
        <v>432</v>
      </c>
      <c r="AD44" s="16"/>
      <c r="AE44" s="16"/>
      <c r="AF44" s="103" t="s">
        <v>4</v>
      </c>
      <c r="AH44" s="10"/>
      <c r="AI44" s="11"/>
      <c r="AJ44" s="12"/>
    </row>
    <row r="45" spans="1:36" ht="97.2">
      <c r="A45" s="72"/>
      <c r="B45" s="138" t="s">
        <v>414</v>
      </c>
      <c r="C45" s="130">
        <v>42</v>
      </c>
      <c r="D45" s="131" t="s">
        <v>455</v>
      </c>
      <c r="E45" s="131" t="s">
        <v>456</v>
      </c>
      <c r="F45" s="131" t="s">
        <v>457</v>
      </c>
      <c r="G45" s="131" t="s">
        <v>458</v>
      </c>
      <c r="H45" s="164" t="s">
        <v>459</v>
      </c>
      <c r="I45" s="164" t="s">
        <v>59</v>
      </c>
      <c r="J45" s="130" t="s">
        <v>4</v>
      </c>
      <c r="K45" s="249" t="s">
        <v>4</v>
      </c>
      <c r="L45" s="234" t="s">
        <v>399</v>
      </c>
      <c r="N45" s="152" t="s">
        <v>419</v>
      </c>
      <c r="O45" s="131" t="s">
        <v>460</v>
      </c>
      <c r="P45" s="133" t="s">
        <v>461</v>
      </c>
      <c r="Q45" s="130" t="s">
        <v>64</v>
      </c>
      <c r="R45" s="130" t="s">
        <v>4</v>
      </c>
      <c r="S45" s="130" t="s">
        <v>423</v>
      </c>
      <c r="T45" s="130" t="s">
        <v>66</v>
      </c>
      <c r="U45" s="136"/>
      <c r="W45" s="146"/>
      <c r="X45" s="147" t="s">
        <v>68</v>
      </c>
      <c r="Y45" s="22"/>
      <c r="Z45" s="102"/>
      <c r="AA45" s="4"/>
      <c r="AB45" s="4" t="s">
        <v>424</v>
      </c>
      <c r="AC45" s="67" t="s">
        <v>432</v>
      </c>
      <c r="AD45" s="16"/>
      <c r="AE45" s="16"/>
      <c r="AF45" s="103" t="s">
        <v>4</v>
      </c>
      <c r="AH45" s="10"/>
      <c r="AI45" s="11"/>
      <c r="AJ45" s="12"/>
    </row>
    <row r="46" spans="1:36" s="118" customFormat="1" ht="81">
      <c r="A46" s="148"/>
      <c r="B46" s="139" t="s">
        <v>414</v>
      </c>
      <c r="C46" s="140">
        <v>43</v>
      </c>
      <c r="D46" s="133" t="s">
        <v>462</v>
      </c>
      <c r="E46" s="133" t="s">
        <v>463</v>
      </c>
      <c r="F46" s="133" t="s">
        <v>464</v>
      </c>
      <c r="G46" s="131" t="s">
        <v>465</v>
      </c>
      <c r="H46" s="173" t="s">
        <v>466</v>
      </c>
      <c r="I46" s="164" t="s">
        <v>467</v>
      </c>
      <c r="J46" s="140" t="s">
        <v>4</v>
      </c>
      <c r="K46" s="250" t="s">
        <v>4</v>
      </c>
      <c r="L46" s="234" t="s">
        <v>399</v>
      </c>
      <c r="M46" s="126"/>
      <c r="N46" s="174"/>
      <c r="O46" s="133"/>
      <c r="P46" s="133"/>
      <c r="Q46" s="140"/>
      <c r="R46" s="140" t="s">
        <v>11</v>
      </c>
      <c r="S46" s="133"/>
      <c r="T46" s="140"/>
      <c r="U46" s="175"/>
      <c r="V46" s="126"/>
      <c r="W46" s="146"/>
      <c r="X46" s="135" t="s">
        <v>240</v>
      </c>
      <c r="Y46" s="120"/>
      <c r="Z46" s="195"/>
      <c r="AA46" s="119"/>
      <c r="AB46" s="119"/>
      <c r="AC46" s="44"/>
      <c r="AD46" s="121"/>
      <c r="AE46" s="121"/>
      <c r="AF46" s="122" t="s">
        <v>11</v>
      </c>
      <c r="AH46" s="66"/>
      <c r="AI46" s="123"/>
      <c r="AJ46" s="124"/>
    </row>
    <row r="47" spans="1:36" ht="57" customHeight="1">
      <c r="A47" s="72"/>
      <c r="B47" s="138" t="s">
        <v>414</v>
      </c>
      <c r="C47" s="130">
        <v>44</v>
      </c>
      <c r="D47" s="131" t="s">
        <v>468</v>
      </c>
      <c r="E47" s="131" t="s">
        <v>138</v>
      </c>
      <c r="F47" s="131" t="s">
        <v>469</v>
      </c>
      <c r="G47" s="131" t="s">
        <v>470</v>
      </c>
      <c r="H47" s="164" t="s">
        <v>471</v>
      </c>
      <c r="I47" s="164" t="s">
        <v>59</v>
      </c>
      <c r="J47" s="130" t="s">
        <v>4</v>
      </c>
      <c r="K47" s="249" t="s">
        <v>4</v>
      </c>
      <c r="L47" s="234" t="s">
        <v>399</v>
      </c>
      <c r="N47" s="152"/>
      <c r="O47" s="131"/>
      <c r="P47" s="133"/>
      <c r="Q47" s="130"/>
      <c r="R47" s="130" t="s">
        <v>11</v>
      </c>
      <c r="S47" s="131"/>
      <c r="T47" s="130"/>
      <c r="U47" s="136"/>
      <c r="W47" s="146"/>
      <c r="X47" s="147" t="s">
        <v>240</v>
      </c>
      <c r="Y47" s="22"/>
      <c r="Z47" s="102"/>
      <c r="AA47" s="4"/>
      <c r="AB47" s="4"/>
      <c r="AC47" s="44"/>
      <c r="AD47" s="16"/>
      <c r="AE47" s="16"/>
      <c r="AF47" s="103" t="s">
        <v>11</v>
      </c>
      <c r="AH47" s="10"/>
      <c r="AI47" s="11"/>
      <c r="AJ47" s="12"/>
    </row>
    <row r="48" spans="1:36" ht="58.5" customHeight="1">
      <c r="A48" s="72"/>
      <c r="B48" s="138" t="s">
        <v>414</v>
      </c>
      <c r="C48" s="130">
        <v>45</v>
      </c>
      <c r="D48" s="131" t="s">
        <v>472</v>
      </c>
      <c r="E48" s="131" t="s">
        <v>138</v>
      </c>
      <c r="F48" s="131" t="s">
        <v>473</v>
      </c>
      <c r="G48" s="131" t="s">
        <v>474</v>
      </c>
      <c r="H48" s="164" t="s">
        <v>475</v>
      </c>
      <c r="I48" s="164" t="s">
        <v>476</v>
      </c>
      <c r="J48" s="130" t="s">
        <v>4</v>
      </c>
      <c r="K48" s="249" t="s">
        <v>4</v>
      </c>
      <c r="L48" s="234" t="s">
        <v>399</v>
      </c>
      <c r="N48" s="152"/>
      <c r="O48" s="131"/>
      <c r="P48" s="133"/>
      <c r="Q48" s="130"/>
      <c r="R48" s="130" t="s">
        <v>11</v>
      </c>
      <c r="S48" s="131"/>
      <c r="T48" s="130"/>
      <c r="U48" s="136"/>
      <c r="W48" s="146"/>
      <c r="X48" s="147" t="s">
        <v>240</v>
      </c>
      <c r="Y48" s="22"/>
      <c r="Z48" s="102"/>
      <c r="AA48" s="4"/>
      <c r="AB48" s="4"/>
      <c r="AC48" s="44"/>
      <c r="AD48" s="16"/>
      <c r="AE48" s="16"/>
      <c r="AF48" s="103" t="s">
        <v>11</v>
      </c>
      <c r="AH48" s="10"/>
      <c r="AI48" s="11"/>
      <c r="AJ48" s="12"/>
    </row>
    <row r="49" spans="1:36" ht="72.75" customHeight="1">
      <c r="A49" s="72"/>
      <c r="B49" s="138" t="s">
        <v>414</v>
      </c>
      <c r="C49" s="130">
        <v>46</v>
      </c>
      <c r="D49" s="131" t="s">
        <v>430</v>
      </c>
      <c r="E49" s="131" t="s">
        <v>416</v>
      </c>
      <c r="F49" s="131" t="s">
        <v>477</v>
      </c>
      <c r="G49" s="131" t="s">
        <v>478</v>
      </c>
      <c r="H49" s="164" t="s">
        <v>479</v>
      </c>
      <c r="I49" s="164" t="s">
        <v>59</v>
      </c>
      <c r="J49" s="130" t="s">
        <v>4</v>
      </c>
      <c r="K49" s="249" t="s">
        <v>4</v>
      </c>
      <c r="L49" s="234" t="s">
        <v>399</v>
      </c>
      <c r="N49" s="152"/>
      <c r="O49" s="131"/>
      <c r="P49" s="133"/>
      <c r="Q49" s="130"/>
      <c r="R49" s="130" t="s">
        <v>11</v>
      </c>
      <c r="S49" s="131"/>
      <c r="T49" s="130"/>
      <c r="U49" s="136"/>
      <c r="W49" s="146"/>
      <c r="X49" s="147" t="s">
        <v>240</v>
      </c>
      <c r="Y49" s="22"/>
      <c r="Z49" s="102"/>
      <c r="AA49" s="4"/>
      <c r="AB49" s="4"/>
      <c r="AC49" s="44"/>
      <c r="AD49" s="16"/>
      <c r="AE49" s="16"/>
      <c r="AF49" s="103" t="s">
        <v>11</v>
      </c>
      <c r="AH49" s="10"/>
      <c r="AI49" s="11"/>
      <c r="AJ49" s="12"/>
    </row>
    <row r="50" spans="1:36" ht="71.25" customHeight="1">
      <c r="A50" s="72"/>
      <c r="B50" s="138" t="s">
        <v>414</v>
      </c>
      <c r="C50" s="130">
        <v>47</v>
      </c>
      <c r="D50" s="131" t="s">
        <v>480</v>
      </c>
      <c r="E50" s="131" t="s">
        <v>456</v>
      </c>
      <c r="F50" s="131" t="s">
        <v>481</v>
      </c>
      <c r="G50" s="131" t="s">
        <v>482</v>
      </c>
      <c r="H50" s="164" t="s">
        <v>483</v>
      </c>
      <c r="I50" s="164" t="s">
        <v>59</v>
      </c>
      <c r="J50" s="130" t="s">
        <v>4</v>
      </c>
      <c r="K50" s="249" t="s">
        <v>4</v>
      </c>
      <c r="L50" s="234" t="s">
        <v>399</v>
      </c>
      <c r="N50" s="152"/>
      <c r="O50" s="131"/>
      <c r="P50" s="133"/>
      <c r="Q50" s="130"/>
      <c r="R50" s="130" t="s">
        <v>11</v>
      </c>
      <c r="S50" s="131"/>
      <c r="T50" s="130"/>
      <c r="U50" s="136"/>
      <c r="W50" s="146"/>
      <c r="X50" s="147" t="s">
        <v>240</v>
      </c>
      <c r="Y50" s="22"/>
      <c r="Z50" s="102"/>
      <c r="AA50" s="4"/>
      <c r="AB50" s="4"/>
      <c r="AC50" s="44"/>
      <c r="AD50" s="16"/>
      <c r="AE50" s="16"/>
      <c r="AF50" s="103" t="s">
        <v>11</v>
      </c>
      <c r="AH50" s="10"/>
      <c r="AI50" s="11"/>
      <c r="AJ50" s="12"/>
    </row>
    <row r="51" spans="1:36" ht="70.5" customHeight="1">
      <c r="A51" s="72"/>
      <c r="B51" s="138" t="s">
        <v>414</v>
      </c>
      <c r="C51" s="130">
        <v>48</v>
      </c>
      <c r="D51" s="131" t="s">
        <v>484</v>
      </c>
      <c r="E51" s="131" t="s">
        <v>112</v>
      </c>
      <c r="F51" s="131" t="s">
        <v>485</v>
      </c>
      <c r="G51" s="131" t="s">
        <v>486</v>
      </c>
      <c r="H51" s="164" t="s">
        <v>487</v>
      </c>
      <c r="I51" s="164" t="s">
        <v>59</v>
      </c>
      <c r="J51" s="130" t="s">
        <v>4</v>
      </c>
      <c r="K51" s="249" t="s">
        <v>4</v>
      </c>
      <c r="L51" s="234" t="s">
        <v>399</v>
      </c>
      <c r="N51" s="152"/>
      <c r="O51" s="131"/>
      <c r="P51" s="133"/>
      <c r="Q51" s="130"/>
      <c r="R51" s="130" t="s">
        <v>11</v>
      </c>
      <c r="S51" s="131"/>
      <c r="T51" s="130"/>
      <c r="U51" s="136"/>
      <c r="W51" s="146"/>
      <c r="X51" s="147" t="s">
        <v>240</v>
      </c>
      <c r="Y51" s="22"/>
      <c r="Z51" s="102"/>
      <c r="AA51" s="4"/>
      <c r="AB51" s="4"/>
      <c r="AC51" s="44"/>
      <c r="AD51" s="16"/>
      <c r="AE51" s="16"/>
      <c r="AF51" s="103" t="s">
        <v>11</v>
      </c>
      <c r="AH51" s="10"/>
      <c r="AI51" s="11"/>
      <c r="AJ51" s="12"/>
    </row>
    <row r="52" spans="1:36" ht="72.75" customHeight="1">
      <c r="A52" s="72"/>
      <c r="B52" s="138" t="s">
        <v>414</v>
      </c>
      <c r="C52" s="130">
        <v>49</v>
      </c>
      <c r="D52" s="131" t="s">
        <v>488</v>
      </c>
      <c r="E52" s="131" t="s">
        <v>489</v>
      </c>
      <c r="F52" s="131" t="s">
        <v>490</v>
      </c>
      <c r="G52" s="131" t="s">
        <v>491</v>
      </c>
      <c r="H52" s="164" t="s">
        <v>492</v>
      </c>
      <c r="I52" s="164" t="s">
        <v>59</v>
      </c>
      <c r="J52" s="130" t="s">
        <v>4</v>
      </c>
      <c r="K52" s="249" t="s">
        <v>4</v>
      </c>
      <c r="L52" s="234" t="s">
        <v>399</v>
      </c>
      <c r="N52" s="152"/>
      <c r="O52" s="131"/>
      <c r="P52" s="133"/>
      <c r="Q52" s="130"/>
      <c r="R52" s="130" t="s">
        <v>11</v>
      </c>
      <c r="S52" s="131"/>
      <c r="T52" s="130"/>
      <c r="U52" s="136"/>
      <c r="W52" s="146"/>
      <c r="X52" s="147" t="s">
        <v>240</v>
      </c>
      <c r="Y52" s="22"/>
      <c r="Z52" s="102"/>
      <c r="AA52" s="4"/>
      <c r="AB52" s="4"/>
      <c r="AC52" s="44"/>
      <c r="AD52" s="16"/>
      <c r="AE52" s="16"/>
      <c r="AF52" s="103" t="s">
        <v>11</v>
      </c>
      <c r="AH52" s="10"/>
      <c r="AI52" s="11"/>
      <c r="AJ52" s="12"/>
    </row>
    <row r="53" spans="1:36" ht="97.2">
      <c r="A53" s="72"/>
      <c r="B53" s="138" t="s">
        <v>414</v>
      </c>
      <c r="C53" s="130">
        <v>50</v>
      </c>
      <c r="D53" s="131" t="s">
        <v>493</v>
      </c>
      <c r="E53" s="131" t="s">
        <v>183</v>
      </c>
      <c r="F53" s="131" t="s">
        <v>494</v>
      </c>
      <c r="G53" s="131" t="s">
        <v>495</v>
      </c>
      <c r="H53" s="164" t="s">
        <v>496</v>
      </c>
      <c r="I53" s="164" t="s">
        <v>59</v>
      </c>
      <c r="J53" s="130" t="s">
        <v>4</v>
      </c>
      <c r="K53" s="249" t="s">
        <v>4</v>
      </c>
      <c r="L53" s="234" t="s">
        <v>399</v>
      </c>
      <c r="N53" s="152" t="s">
        <v>497</v>
      </c>
      <c r="O53" s="131" t="s">
        <v>498</v>
      </c>
      <c r="P53" s="133" t="s">
        <v>499</v>
      </c>
      <c r="Q53" s="130"/>
      <c r="R53" s="130" t="s">
        <v>11</v>
      </c>
      <c r="S53" s="131"/>
      <c r="T53" s="130"/>
      <c r="U53" s="136"/>
      <c r="W53" s="146"/>
      <c r="X53" s="147" t="s">
        <v>240</v>
      </c>
      <c r="Y53" s="22"/>
      <c r="Z53" s="102"/>
      <c r="AA53" s="4"/>
      <c r="AB53" s="4"/>
      <c r="AC53" s="44"/>
      <c r="AD53" s="16"/>
      <c r="AE53" s="16"/>
      <c r="AF53" s="103" t="s">
        <v>11</v>
      </c>
      <c r="AH53" s="10"/>
      <c r="AI53" s="11"/>
      <c r="AJ53" s="12"/>
    </row>
    <row r="54" spans="1:36" ht="115.5" customHeight="1">
      <c r="A54" s="72"/>
      <c r="B54" s="138" t="s">
        <v>414</v>
      </c>
      <c r="C54" s="130">
        <v>51</v>
      </c>
      <c r="D54" s="131" t="s">
        <v>500</v>
      </c>
      <c r="E54" s="131" t="s">
        <v>501</v>
      </c>
      <c r="F54" s="131" t="s">
        <v>502</v>
      </c>
      <c r="G54" s="131" t="s">
        <v>503</v>
      </c>
      <c r="H54" s="164" t="s">
        <v>504</v>
      </c>
      <c r="I54" s="164" t="s">
        <v>59</v>
      </c>
      <c r="J54" s="130" t="s">
        <v>4</v>
      </c>
      <c r="K54" s="249" t="s">
        <v>4</v>
      </c>
      <c r="L54" s="234" t="s">
        <v>399</v>
      </c>
      <c r="N54" s="152"/>
      <c r="O54" s="131"/>
      <c r="P54" s="133"/>
      <c r="Q54" s="130"/>
      <c r="R54" s="130" t="s">
        <v>11</v>
      </c>
      <c r="S54" s="131"/>
      <c r="T54" s="130"/>
      <c r="U54" s="136"/>
      <c r="W54" s="146"/>
      <c r="X54" s="147" t="s">
        <v>240</v>
      </c>
      <c r="Y54" s="22"/>
      <c r="Z54" s="102"/>
      <c r="AA54" s="4"/>
      <c r="AB54" s="4"/>
      <c r="AC54" s="44"/>
      <c r="AD54" s="16"/>
      <c r="AE54" s="16"/>
      <c r="AF54" s="103" t="s">
        <v>11</v>
      </c>
      <c r="AH54" s="10"/>
      <c r="AI54" s="11"/>
      <c r="AJ54" s="12"/>
    </row>
    <row r="55" spans="1:36" ht="84.75" customHeight="1">
      <c r="A55" s="72"/>
      <c r="B55" s="138" t="s">
        <v>414</v>
      </c>
      <c r="C55" s="130">
        <v>52</v>
      </c>
      <c r="D55" s="131" t="s">
        <v>505</v>
      </c>
      <c r="E55" s="131" t="s">
        <v>138</v>
      </c>
      <c r="F55" s="131" t="s">
        <v>506</v>
      </c>
      <c r="G55" s="131" t="s">
        <v>507</v>
      </c>
      <c r="H55" s="164" t="s">
        <v>508</v>
      </c>
      <c r="I55" s="164" t="s">
        <v>59</v>
      </c>
      <c r="J55" s="130" t="s">
        <v>4</v>
      </c>
      <c r="K55" s="249" t="s">
        <v>4</v>
      </c>
      <c r="L55" s="234" t="s">
        <v>399</v>
      </c>
      <c r="N55" s="152"/>
      <c r="O55" s="131"/>
      <c r="P55" s="133"/>
      <c r="Q55" s="130"/>
      <c r="R55" s="130" t="s">
        <v>11</v>
      </c>
      <c r="S55" s="131"/>
      <c r="T55" s="130"/>
      <c r="U55" s="136"/>
      <c r="W55" s="146"/>
      <c r="X55" s="147" t="s">
        <v>240</v>
      </c>
      <c r="Y55" s="22"/>
      <c r="Z55" s="102"/>
      <c r="AA55" s="4"/>
      <c r="AB55" s="4"/>
      <c r="AC55" s="44"/>
      <c r="AD55" s="16"/>
      <c r="AE55" s="16"/>
      <c r="AF55" s="103" t="s">
        <v>11</v>
      </c>
      <c r="AH55" s="10"/>
      <c r="AI55" s="11"/>
      <c r="AJ55" s="12"/>
    </row>
    <row r="56" spans="1:36" ht="102" customHeight="1">
      <c r="A56" s="72"/>
      <c r="B56" s="138" t="s">
        <v>414</v>
      </c>
      <c r="C56" s="130">
        <v>53</v>
      </c>
      <c r="D56" s="131" t="s">
        <v>509</v>
      </c>
      <c r="E56" s="131" t="s">
        <v>510</v>
      </c>
      <c r="F56" s="131" t="s">
        <v>511</v>
      </c>
      <c r="G56" s="131" t="s">
        <v>512</v>
      </c>
      <c r="H56" s="164" t="s">
        <v>513</v>
      </c>
      <c r="I56" s="164" t="s">
        <v>59</v>
      </c>
      <c r="J56" s="130" t="s">
        <v>4</v>
      </c>
      <c r="K56" s="249" t="s">
        <v>4</v>
      </c>
      <c r="L56" s="234" t="s">
        <v>399</v>
      </c>
      <c r="N56" s="152"/>
      <c r="O56" s="131"/>
      <c r="P56" s="133"/>
      <c r="Q56" s="130"/>
      <c r="R56" s="130" t="s">
        <v>11</v>
      </c>
      <c r="S56" s="131"/>
      <c r="T56" s="130"/>
      <c r="U56" s="136"/>
      <c r="W56" s="146"/>
      <c r="X56" s="147" t="s">
        <v>240</v>
      </c>
      <c r="Y56" s="22"/>
      <c r="Z56" s="104"/>
      <c r="AA56" s="105"/>
      <c r="AB56" s="105"/>
      <c r="AC56" s="106"/>
      <c r="AD56" s="107"/>
      <c r="AE56" s="107"/>
      <c r="AF56" s="108" t="s">
        <v>11</v>
      </c>
      <c r="AH56" s="10"/>
      <c r="AI56" s="11"/>
      <c r="AJ56" s="12"/>
    </row>
  </sheetData>
  <autoFilter ref="A3:AJ56" xr:uid="{00000000-0001-0000-0100-000000000000}"/>
  <mergeCells count="6">
    <mergeCell ref="B2:F2"/>
    <mergeCell ref="AH2:AJ2"/>
    <mergeCell ref="Z2:AF2"/>
    <mergeCell ref="N2:P2"/>
    <mergeCell ref="Q2:U2"/>
    <mergeCell ref="G2:J2"/>
  </mergeCells>
  <dataValidations count="1">
    <dataValidation type="list" allowBlank="1" showInputMessage="1" showErrorMessage="1" sqref="AG4" xr:uid="{673CD99B-B489-44F9-993E-F0E6E6A4AB58}">
      <formula1>$A$2:$A$8</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Title="Estado" xr:uid="{13CF092A-DAEE-424E-BE26-3AB770F2179E}">
          <x14:formula1>
            <xm:f>AUX!$A$2:$A$9</xm:f>
          </x14:formula1>
          <xm:sqref>AF4:AF56 S34 S12 S15:S16 S25:S26 S29 S31:S32 R4:R56 W4:W56 J4:K56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1AC43-37D0-4E4E-9960-78185A695725}">
  <dimension ref="A1:F31"/>
  <sheetViews>
    <sheetView workbookViewId="0">
      <selection activeCell="E24" sqref="E24"/>
    </sheetView>
  </sheetViews>
  <sheetFormatPr defaultRowHeight="16.2"/>
  <cols>
    <col min="1" max="1" width="21.33203125" customWidth="1"/>
    <col min="2" max="2" width="13.33203125" bestFit="1" customWidth="1"/>
    <col min="3" max="3" width="15.6640625" customWidth="1"/>
    <col min="4" max="4" width="18.88671875" bestFit="1" customWidth="1"/>
    <col min="7" max="7" width="19.88671875" bestFit="1" customWidth="1"/>
    <col min="9" max="9" width="12.44140625" bestFit="1" customWidth="1"/>
    <col min="10" max="10" width="24" bestFit="1" customWidth="1"/>
  </cols>
  <sheetData>
    <row r="1" spans="1:2">
      <c r="A1" t="s">
        <v>514</v>
      </c>
    </row>
    <row r="2" spans="1:2">
      <c r="A2" t="s">
        <v>515</v>
      </c>
    </row>
    <row r="3" spans="1:2">
      <c r="A3" t="s">
        <v>516</v>
      </c>
    </row>
    <row r="4" spans="1:2">
      <c r="A4" t="s">
        <v>517</v>
      </c>
    </row>
    <row r="5" spans="1:2">
      <c r="A5" t="s">
        <v>518</v>
      </c>
    </row>
    <row r="7" spans="1:2">
      <c r="A7" t="s">
        <v>519</v>
      </c>
    </row>
    <row r="8" spans="1:2">
      <c r="A8" t="s">
        <v>520</v>
      </c>
    </row>
    <row r="9" spans="1:2">
      <c r="A9" t="s">
        <v>521</v>
      </c>
    </row>
    <row r="10" spans="1:2">
      <c r="A10" t="s">
        <v>522</v>
      </c>
    </row>
    <row r="13" spans="1:2">
      <c r="A13" s="116" t="s">
        <v>523</v>
      </c>
    </row>
    <row r="14" spans="1:2">
      <c r="A14" s="112" t="s">
        <v>524</v>
      </c>
      <c r="B14" s="113" t="s">
        <v>525</v>
      </c>
    </row>
    <row r="15" spans="1:2">
      <c r="A15" s="114" t="s">
        <v>526</v>
      </c>
      <c r="B15" s="115">
        <v>30000</v>
      </c>
    </row>
    <row r="17" spans="1:6">
      <c r="A17" s="109" t="s">
        <v>527</v>
      </c>
      <c r="B17" s="110"/>
      <c r="C17" s="110"/>
      <c r="D17" s="110"/>
      <c r="E17" s="110"/>
      <c r="F17" s="111"/>
    </row>
    <row r="18" spans="1:6">
      <c r="A18" s="112" t="s">
        <v>524</v>
      </c>
      <c r="B18" s="113" t="s">
        <v>412</v>
      </c>
      <c r="C18" s="113" t="s">
        <v>528</v>
      </c>
      <c r="D18" s="113" t="s">
        <v>525</v>
      </c>
      <c r="E18" s="110"/>
      <c r="F18" s="111"/>
    </row>
    <row r="19" spans="1:6">
      <c r="A19" s="114" t="s">
        <v>526</v>
      </c>
      <c r="B19" s="115" t="s">
        <v>529</v>
      </c>
      <c r="C19" s="115" t="s">
        <v>530</v>
      </c>
      <c r="D19" s="115">
        <v>30000</v>
      </c>
      <c r="E19" s="110"/>
      <c r="F19" s="111"/>
    </row>
    <row r="20" spans="1:6">
      <c r="A20" s="114" t="s">
        <v>526</v>
      </c>
      <c r="B20" s="115">
        <v>123</v>
      </c>
      <c r="C20" s="115" t="s">
        <v>531</v>
      </c>
      <c r="D20" s="115">
        <v>30000</v>
      </c>
      <c r="E20" s="110"/>
      <c r="F20" s="111"/>
    </row>
    <row r="21" spans="1:6">
      <c r="A21" s="114" t="s">
        <v>526</v>
      </c>
      <c r="B21" s="115">
        <v>1234</v>
      </c>
      <c r="C21" s="115" t="s">
        <v>532</v>
      </c>
      <c r="D21" s="115">
        <v>30000</v>
      </c>
      <c r="E21" s="110"/>
      <c r="F21" s="111"/>
    </row>
    <row r="22" spans="1:6">
      <c r="A22" s="110"/>
      <c r="B22" s="110"/>
      <c r="C22" s="110"/>
      <c r="D22" s="110"/>
      <c r="E22" s="110"/>
      <c r="F22" s="111"/>
    </row>
    <row r="23" spans="1:6">
      <c r="A23" s="109" t="s">
        <v>533</v>
      </c>
      <c r="B23" s="110"/>
      <c r="C23" s="110"/>
      <c r="D23" s="110"/>
      <c r="E23" s="110"/>
      <c r="F23" s="111"/>
    </row>
    <row r="24" spans="1:6">
      <c r="A24" s="112" t="s">
        <v>524</v>
      </c>
      <c r="B24" s="113" t="s">
        <v>412</v>
      </c>
      <c r="C24" s="113" t="s">
        <v>528</v>
      </c>
      <c r="D24" s="113" t="s">
        <v>525</v>
      </c>
      <c r="E24" s="110"/>
      <c r="F24" s="111"/>
    </row>
    <row r="25" spans="1:6">
      <c r="A25" s="114" t="s">
        <v>526</v>
      </c>
      <c r="B25" s="115" t="s">
        <v>534</v>
      </c>
      <c r="C25" s="115" t="s">
        <v>535</v>
      </c>
      <c r="D25" s="115" t="s">
        <v>536</v>
      </c>
      <c r="E25" s="110"/>
      <c r="F25" s="111"/>
    </row>
    <row r="26" spans="1:6">
      <c r="A26" s="110"/>
      <c r="B26" s="110"/>
      <c r="C26" s="110"/>
      <c r="D26" s="110"/>
      <c r="E26" s="110"/>
      <c r="F26" s="111"/>
    </row>
    <row r="27" spans="1:6">
      <c r="A27" s="110" t="s">
        <v>537</v>
      </c>
      <c r="B27" s="110"/>
      <c r="C27" s="110"/>
      <c r="D27" s="110"/>
      <c r="E27" s="110"/>
      <c r="F27" s="111"/>
    </row>
    <row r="28" spans="1:6">
      <c r="A28" s="112" t="s">
        <v>524</v>
      </c>
      <c r="B28" s="113" t="s">
        <v>412</v>
      </c>
      <c r="C28" s="113" t="s">
        <v>528</v>
      </c>
      <c r="D28" s="113" t="s">
        <v>525</v>
      </c>
      <c r="E28" s="110"/>
      <c r="F28" s="111"/>
    </row>
    <row r="29" spans="1:6">
      <c r="A29" s="114" t="s">
        <v>526</v>
      </c>
      <c r="B29" s="115">
        <v>123</v>
      </c>
      <c r="C29" s="115" t="s">
        <v>530</v>
      </c>
      <c r="D29" s="115" t="s">
        <v>538</v>
      </c>
      <c r="E29" s="110"/>
      <c r="F29" s="111"/>
    </row>
    <row r="30" spans="1:6">
      <c r="A30" s="114" t="s">
        <v>526</v>
      </c>
      <c r="B30" s="115">
        <v>123</v>
      </c>
      <c r="C30" s="115" t="s">
        <v>531</v>
      </c>
      <c r="D30" s="115" t="s">
        <v>538</v>
      </c>
    </row>
    <row r="31" spans="1:6">
      <c r="A31" s="114" t="s">
        <v>526</v>
      </c>
      <c r="B31" s="115">
        <v>1234</v>
      </c>
      <c r="C31" s="115" t="s">
        <v>532</v>
      </c>
      <c r="D31" s="115" t="s">
        <v>538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2" sqref="C2"/>
    </sheetView>
  </sheetViews>
  <sheetFormatPr defaultColWidth="9" defaultRowHeight="16.2"/>
  <cols>
    <col min="1" max="1" width="9" style="3"/>
    <col min="2" max="2" width="94.88671875" style="3" bestFit="1" customWidth="1"/>
    <col min="3" max="3" width="29.88671875" style="3" bestFit="1" customWidth="1"/>
    <col min="4" max="16384" width="9" style="3"/>
  </cols>
  <sheetData>
    <row r="1" spans="1:3" ht="16.8" thickBot="1">
      <c r="A1" s="1" t="s">
        <v>539</v>
      </c>
      <c r="B1" s="1" t="s">
        <v>42</v>
      </c>
      <c r="C1" s="1" t="s">
        <v>540</v>
      </c>
    </row>
    <row r="2" spans="1:3" ht="32.4">
      <c r="A2" s="3">
        <v>1</v>
      </c>
      <c r="B2" s="2" t="s">
        <v>541</v>
      </c>
      <c r="C2" s="3" t="s">
        <v>542</v>
      </c>
    </row>
    <row r="3" spans="1:3" ht="48.6">
      <c r="A3" s="3">
        <f>+A2+1</f>
        <v>2</v>
      </c>
      <c r="B3" s="2" t="s">
        <v>543</v>
      </c>
      <c r="C3" s="3" t="s">
        <v>542</v>
      </c>
    </row>
    <row r="4" spans="1:3">
      <c r="A4" s="3">
        <f>+A3+1</f>
        <v>3</v>
      </c>
      <c r="B4" s="3" t="s">
        <v>544</v>
      </c>
      <c r="C4" s="3" t="s">
        <v>545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CB75-5AAC-4A8A-B7FC-2A8D02BB7044}">
  <dimension ref="A3"/>
  <sheetViews>
    <sheetView workbookViewId="0">
      <selection activeCell="U16" sqref="U16"/>
    </sheetView>
  </sheetViews>
  <sheetFormatPr defaultColWidth="9.109375" defaultRowHeight="16.2"/>
  <cols>
    <col min="1" max="16384" width="9.109375" style="69"/>
  </cols>
  <sheetData>
    <row r="3" spans="1:1">
      <c r="A3" s="68" t="b">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F6E8-3775-456B-93F1-3B914946E05A}">
  <dimension ref="A1:L37"/>
  <sheetViews>
    <sheetView workbookViewId="0">
      <selection activeCell="D3" sqref="D3"/>
    </sheetView>
  </sheetViews>
  <sheetFormatPr defaultColWidth="9.109375" defaultRowHeight="16.2"/>
  <cols>
    <col min="1" max="1" width="13.44140625" style="3" customWidth="1"/>
    <col min="2" max="2" width="12.44140625" style="3" bestFit="1" customWidth="1"/>
    <col min="3" max="3" width="6.5546875" style="3" bestFit="1" customWidth="1"/>
    <col min="4" max="4" width="11.44140625" style="3" bestFit="1" customWidth="1"/>
    <col min="5" max="5" width="86.33203125" style="2" customWidth="1"/>
    <col min="6" max="7" width="9.109375" style="3"/>
    <col min="8" max="8" width="13.88671875" style="3" customWidth="1"/>
    <col min="9" max="9" width="14.6640625" style="3" bestFit="1" customWidth="1"/>
    <col min="10" max="10" width="12.88671875" style="3" bestFit="1" customWidth="1"/>
    <col min="11" max="11" width="20.109375" style="3" customWidth="1"/>
    <col min="12" max="12" width="18.88671875" style="3" bestFit="1" customWidth="1"/>
    <col min="13" max="16384" width="9.109375" style="3"/>
  </cols>
  <sheetData>
    <row r="1" spans="1:12">
      <c r="A1" s="73" t="s">
        <v>546</v>
      </c>
      <c r="G1" s="3" t="s">
        <v>547</v>
      </c>
    </row>
    <row r="2" spans="1:12">
      <c r="A2" s="71" t="s">
        <v>548</v>
      </c>
      <c r="B2" s="71" t="s">
        <v>549</v>
      </c>
      <c r="C2" s="71" t="s">
        <v>550</v>
      </c>
      <c r="D2" s="71" t="s">
        <v>551</v>
      </c>
      <c r="E2" s="70" t="s">
        <v>552</v>
      </c>
      <c r="G2" s="71" t="s">
        <v>553</v>
      </c>
      <c r="H2" s="71" t="s">
        <v>554</v>
      </c>
      <c r="I2" s="71" t="s">
        <v>555</v>
      </c>
      <c r="J2" s="71" t="s">
        <v>556</v>
      </c>
      <c r="K2" s="71" t="s">
        <v>557</v>
      </c>
      <c r="L2" s="71" t="s">
        <v>558</v>
      </c>
    </row>
    <row r="3" spans="1:12" ht="178.2">
      <c r="A3" s="71" t="s">
        <v>559</v>
      </c>
      <c r="B3" s="71">
        <v>110</v>
      </c>
      <c r="C3" s="71">
        <v>1</v>
      </c>
      <c r="D3" s="71">
        <v>1004</v>
      </c>
      <c r="E3" s="70" t="s">
        <v>560</v>
      </c>
      <c r="H3" s="74" t="s">
        <v>551</v>
      </c>
      <c r="J3" s="74">
        <v>1004</v>
      </c>
      <c r="K3" s="75" t="s">
        <v>560</v>
      </c>
    </row>
    <row r="4" spans="1:12" ht="178.2">
      <c r="A4" s="71" t="s">
        <v>559</v>
      </c>
      <c r="B4" s="71">
        <v>120</v>
      </c>
      <c r="C4" s="71">
        <v>1</v>
      </c>
      <c r="D4" s="71">
        <v>1004</v>
      </c>
      <c r="E4" s="70" t="s">
        <v>560</v>
      </c>
      <c r="H4" s="74" t="s">
        <v>551</v>
      </c>
      <c r="J4" s="3">
        <f>D4</f>
        <v>1004</v>
      </c>
      <c r="K4" s="75" t="s">
        <v>560</v>
      </c>
    </row>
    <row r="5" spans="1:12" ht="178.2">
      <c r="A5" s="71" t="s">
        <v>559</v>
      </c>
      <c r="B5" s="71">
        <v>130</v>
      </c>
      <c r="C5" s="71">
        <v>1</v>
      </c>
      <c r="D5" s="71">
        <v>1004</v>
      </c>
      <c r="E5" s="70" t="s">
        <v>560</v>
      </c>
      <c r="H5" s="74" t="s">
        <v>551</v>
      </c>
      <c r="J5" s="3">
        <f t="shared" ref="J5:J37" si="0">D5</f>
        <v>1004</v>
      </c>
      <c r="K5" s="75" t="s">
        <v>560</v>
      </c>
    </row>
    <row r="6" spans="1:12" ht="178.2">
      <c r="A6" s="71" t="s">
        <v>559</v>
      </c>
      <c r="B6" s="71">
        <v>140</v>
      </c>
      <c r="C6" s="71">
        <v>1</v>
      </c>
      <c r="D6" s="71">
        <v>1004</v>
      </c>
      <c r="E6" s="70" t="s">
        <v>560</v>
      </c>
      <c r="H6" s="74" t="s">
        <v>551</v>
      </c>
      <c r="J6" s="3">
        <f t="shared" si="0"/>
        <v>1004</v>
      </c>
      <c r="K6" s="75" t="s">
        <v>560</v>
      </c>
    </row>
    <row r="7" spans="1:12" ht="178.2">
      <c r="A7" s="71" t="s">
        <v>559</v>
      </c>
      <c r="B7" s="71">
        <v>150</v>
      </c>
      <c r="C7" s="71">
        <v>1</v>
      </c>
      <c r="D7" s="71">
        <v>1004</v>
      </c>
      <c r="E7" s="70" t="s">
        <v>560</v>
      </c>
      <c r="H7" s="74" t="s">
        <v>551</v>
      </c>
      <c r="J7" s="3">
        <f t="shared" si="0"/>
        <v>1004</v>
      </c>
      <c r="K7" s="75" t="s">
        <v>560</v>
      </c>
    </row>
    <row r="8" spans="1:12" ht="178.2">
      <c r="A8" s="71" t="s">
        <v>559</v>
      </c>
      <c r="B8" s="71">
        <v>160</v>
      </c>
      <c r="C8" s="71">
        <v>1</v>
      </c>
      <c r="D8" s="71">
        <v>1004</v>
      </c>
      <c r="E8" s="70" t="s">
        <v>560</v>
      </c>
      <c r="H8" s="74" t="s">
        <v>551</v>
      </c>
      <c r="J8" s="3">
        <f t="shared" si="0"/>
        <v>1004</v>
      </c>
      <c r="K8" s="75" t="s">
        <v>560</v>
      </c>
    </row>
    <row r="9" spans="1:12" ht="178.2">
      <c r="A9" s="71" t="s">
        <v>559</v>
      </c>
      <c r="B9" s="71">
        <v>170</v>
      </c>
      <c r="C9" s="71">
        <v>1</v>
      </c>
      <c r="D9" s="71">
        <v>1004</v>
      </c>
      <c r="E9" s="70" t="s">
        <v>560</v>
      </c>
      <c r="H9" s="74" t="s">
        <v>551</v>
      </c>
      <c r="J9" s="3">
        <f t="shared" si="0"/>
        <v>1004</v>
      </c>
      <c r="K9" s="75" t="s">
        <v>560</v>
      </c>
    </row>
    <row r="10" spans="1:12" ht="178.2">
      <c r="A10" s="71" t="s">
        <v>559</v>
      </c>
      <c r="B10" s="71">
        <v>180</v>
      </c>
      <c r="C10" s="71">
        <v>1</v>
      </c>
      <c r="D10" s="71">
        <v>1004</v>
      </c>
      <c r="E10" s="70" t="s">
        <v>560</v>
      </c>
      <c r="H10" s="74" t="s">
        <v>551</v>
      </c>
      <c r="J10" s="3">
        <f t="shared" si="0"/>
        <v>1004</v>
      </c>
      <c r="K10" s="75" t="s">
        <v>560</v>
      </c>
    </row>
    <row r="11" spans="1:12" ht="178.2">
      <c r="A11" s="71" t="s">
        <v>559</v>
      </c>
      <c r="B11" s="71">
        <v>200</v>
      </c>
      <c r="C11" s="71">
        <v>1</v>
      </c>
      <c r="D11" s="71">
        <v>1004</v>
      </c>
      <c r="E11" s="70" t="s">
        <v>560</v>
      </c>
      <c r="H11" s="74" t="s">
        <v>551</v>
      </c>
      <c r="J11" s="3">
        <f t="shared" si="0"/>
        <v>1004</v>
      </c>
      <c r="K11" s="75" t="s">
        <v>560</v>
      </c>
    </row>
    <row r="12" spans="1:12" ht="178.2">
      <c r="A12" s="71" t="s">
        <v>559</v>
      </c>
      <c r="B12" s="71">
        <v>1000</v>
      </c>
      <c r="C12" s="71">
        <v>1</v>
      </c>
      <c r="D12" s="71">
        <v>1004</v>
      </c>
      <c r="E12" s="70" t="s">
        <v>560</v>
      </c>
      <c r="H12" s="74" t="s">
        <v>551</v>
      </c>
      <c r="J12" s="3">
        <f t="shared" si="0"/>
        <v>1004</v>
      </c>
      <c r="K12" s="75" t="s">
        <v>560</v>
      </c>
    </row>
    <row r="13" spans="1:12" ht="48.6">
      <c r="A13" s="71" t="s">
        <v>559</v>
      </c>
      <c r="B13" s="71">
        <v>51</v>
      </c>
      <c r="C13" s="71">
        <v>1</v>
      </c>
      <c r="D13" s="71">
        <v>1001</v>
      </c>
      <c r="E13" s="70" t="s">
        <v>561</v>
      </c>
      <c r="H13" s="74" t="s">
        <v>551</v>
      </c>
      <c r="J13" s="3">
        <f t="shared" si="0"/>
        <v>1001</v>
      </c>
      <c r="K13" s="2" t="str">
        <f>E13</f>
        <v>Revolving credit other than overdrafts and credit card debt</v>
      </c>
    </row>
    <row r="14" spans="1:12" ht="48.6">
      <c r="A14" s="71" t="s">
        <v>559</v>
      </c>
      <c r="B14" s="71">
        <v>52</v>
      </c>
      <c r="C14" s="71">
        <v>1</v>
      </c>
      <c r="D14" s="71">
        <v>1001</v>
      </c>
      <c r="E14" s="70" t="s">
        <v>561</v>
      </c>
      <c r="H14" s="74" t="s">
        <v>551</v>
      </c>
      <c r="J14" s="3">
        <f t="shared" si="0"/>
        <v>1001</v>
      </c>
      <c r="K14" s="2" t="str">
        <f t="shared" ref="K14:K37" si="1">E14</f>
        <v>Revolving credit other than overdrafts and credit card debt</v>
      </c>
    </row>
    <row r="15" spans="1:12" ht="32.4">
      <c r="A15" s="71" t="s">
        <v>559</v>
      </c>
      <c r="B15" s="71">
        <v>60</v>
      </c>
      <c r="C15" s="71">
        <v>1</v>
      </c>
      <c r="D15" s="71">
        <v>1002</v>
      </c>
      <c r="E15" s="70" t="s">
        <v>562</v>
      </c>
      <c r="H15" s="74" t="s">
        <v>551</v>
      </c>
      <c r="J15" s="3">
        <f t="shared" si="0"/>
        <v>1002</v>
      </c>
      <c r="K15" s="2" t="str">
        <f t="shared" si="1"/>
        <v>Credit lines other than revolving credit</v>
      </c>
    </row>
    <row r="16" spans="1:12" ht="32.4">
      <c r="A16" s="71" t="s">
        <v>559</v>
      </c>
      <c r="B16" s="71">
        <v>70</v>
      </c>
      <c r="C16" s="71">
        <v>1</v>
      </c>
      <c r="D16" s="71">
        <v>1003</v>
      </c>
      <c r="E16" s="70" t="s">
        <v>563</v>
      </c>
      <c r="H16" s="74" t="s">
        <v>551</v>
      </c>
      <c r="J16" s="3">
        <f t="shared" si="0"/>
        <v>1003</v>
      </c>
      <c r="K16" s="2" t="str">
        <f t="shared" si="1"/>
        <v>Reverse repurchase agreements</v>
      </c>
    </row>
    <row r="17" spans="1:11">
      <c r="A17" s="71" t="s">
        <v>559</v>
      </c>
      <c r="B17" s="71">
        <v>81</v>
      </c>
      <c r="C17" s="71">
        <v>1</v>
      </c>
      <c r="D17" s="71">
        <v>71</v>
      </c>
      <c r="E17" s="70" t="s">
        <v>564</v>
      </c>
      <c r="H17" s="74" t="s">
        <v>551</v>
      </c>
      <c r="J17" s="3">
        <f t="shared" si="0"/>
        <v>71</v>
      </c>
      <c r="K17" s="2" t="str">
        <f t="shared" si="1"/>
        <v>Trade receivables</v>
      </c>
    </row>
    <row r="18" spans="1:11">
      <c r="A18" s="71" t="s">
        <v>559</v>
      </c>
      <c r="B18" s="71">
        <v>30</v>
      </c>
      <c r="C18" s="71">
        <v>1</v>
      </c>
      <c r="D18" s="71">
        <v>20</v>
      </c>
      <c r="E18" s="70" t="s">
        <v>565</v>
      </c>
      <c r="H18" s="74" t="s">
        <v>551</v>
      </c>
      <c r="J18" s="3">
        <f t="shared" si="0"/>
        <v>20</v>
      </c>
      <c r="K18" s="2" t="str">
        <f t="shared" si="1"/>
        <v>Overdrafts</v>
      </c>
    </row>
    <row r="19" spans="1:11">
      <c r="A19" s="71" t="s">
        <v>559</v>
      </c>
      <c r="B19" s="71">
        <v>31</v>
      </c>
      <c r="C19" s="71">
        <v>1</v>
      </c>
      <c r="D19" s="71">
        <v>20</v>
      </c>
      <c r="E19" s="70" t="s">
        <v>565</v>
      </c>
      <c r="H19" s="74" t="s">
        <v>551</v>
      </c>
      <c r="J19" s="3">
        <f t="shared" si="0"/>
        <v>20</v>
      </c>
      <c r="K19" s="2" t="str">
        <f t="shared" si="1"/>
        <v>Overdrafts</v>
      </c>
    </row>
    <row r="20" spans="1:11">
      <c r="A20" s="71" t="s">
        <v>559</v>
      </c>
      <c r="B20" s="71">
        <v>32</v>
      </c>
      <c r="C20" s="71">
        <v>1</v>
      </c>
      <c r="D20" s="71">
        <v>20</v>
      </c>
      <c r="E20" s="70" t="s">
        <v>565</v>
      </c>
      <c r="H20" s="74" t="s">
        <v>551</v>
      </c>
      <c r="J20" s="3">
        <f t="shared" si="0"/>
        <v>20</v>
      </c>
      <c r="K20" s="2" t="str">
        <f t="shared" si="1"/>
        <v>Overdrafts</v>
      </c>
    </row>
    <row r="21" spans="1:11">
      <c r="A21" s="71" t="s">
        <v>559</v>
      </c>
      <c r="B21" s="71">
        <v>33</v>
      </c>
      <c r="C21" s="71">
        <v>1</v>
      </c>
      <c r="D21" s="71">
        <v>20</v>
      </c>
      <c r="E21" s="70" t="s">
        <v>565</v>
      </c>
      <c r="H21" s="74" t="s">
        <v>551</v>
      </c>
      <c r="J21" s="3">
        <f t="shared" si="0"/>
        <v>20</v>
      </c>
      <c r="K21" s="2" t="str">
        <f t="shared" si="1"/>
        <v>Overdrafts</v>
      </c>
    </row>
    <row r="22" spans="1:11">
      <c r="A22" s="71" t="s">
        <v>559</v>
      </c>
      <c r="B22" s="71">
        <v>34</v>
      </c>
      <c r="C22" s="71">
        <v>1</v>
      </c>
      <c r="D22" s="71">
        <v>20</v>
      </c>
      <c r="E22" s="70" t="s">
        <v>565</v>
      </c>
      <c r="H22" s="74" t="s">
        <v>551</v>
      </c>
      <c r="J22" s="3">
        <f t="shared" si="0"/>
        <v>20</v>
      </c>
      <c r="K22" s="2" t="str">
        <f t="shared" si="1"/>
        <v>Overdrafts</v>
      </c>
    </row>
    <row r="23" spans="1:11">
      <c r="A23" s="71" t="s">
        <v>559</v>
      </c>
      <c r="B23" s="71">
        <v>40</v>
      </c>
      <c r="C23" s="71">
        <v>1</v>
      </c>
      <c r="D23" s="71">
        <v>51</v>
      </c>
      <c r="E23" s="70" t="s">
        <v>566</v>
      </c>
      <c r="H23" s="74" t="s">
        <v>551</v>
      </c>
      <c r="J23" s="3">
        <f t="shared" si="0"/>
        <v>51</v>
      </c>
      <c r="K23" s="2" t="str">
        <f t="shared" si="1"/>
        <v>Credit card debt</v>
      </c>
    </row>
    <row r="24" spans="1:11">
      <c r="A24" s="71" t="s">
        <v>559</v>
      </c>
      <c r="B24" s="71">
        <v>41</v>
      </c>
      <c r="C24" s="71">
        <v>1</v>
      </c>
      <c r="D24" s="71">
        <v>51</v>
      </c>
      <c r="E24" s="70" t="s">
        <v>566</v>
      </c>
      <c r="H24" s="74" t="s">
        <v>551</v>
      </c>
      <c r="J24" s="3">
        <f t="shared" si="0"/>
        <v>51</v>
      </c>
      <c r="K24" s="2" t="str">
        <f t="shared" si="1"/>
        <v>Credit card debt</v>
      </c>
    </row>
    <row r="25" spans="1:11">
      <c r="A25" s="71" t="s">
        <v>559</v>
      </c>
      <c r="B25" s="71">
        <v>42</v>
      </c>
      <c r="C25" s="71">
        <v>1</v>
      </c>
      <c r="D25" s="71">
        <v>51</v>
      </c>
      <c r="E25" s="70" t="s">
        <v>566</v>
      </c>
      <c r="H25" s="74" t="s">
        <v>551</v>
      </c>
      <c r="J25" s="3">
        <f t="shared" si="0"/>
        <v>51</v>
      </c>
      <c r="K25" s="2" t="str">
        <f t="shared" si="1"/>
        <v>Credit card debt</v>
      </c>
    </row>
    <row r="26" spans="1:11">
      <c r="A26" s="71" t="s">
        <v>559</v>
      </c>
      <c r="B26" s="71">
        <v>43</v>
      </c>
      <c r="C26" s="71">
        <v>1</v>
      </c>
      <c r="D26" s="71">
        <v>51</v>
      </c>
      <c r="E26" s="70" t="s">
        <v>566</v>
      </c>
      <c r="H26" s="74" t="s">
        <v>551</v>
      </c>
      <c r="J26" s="3">
        <f t="shared" si="0"/>
        <v>51</v>
      </c>
      <c r="K26" s="2" t="str">
        <f t="shared" si="1"/>
        <v>Credit card debt</v>
      </c>
    </row>
    <row r="27" spans="1:11" ht="48.6">
      <c r="A27" s="71" t="s">
        <v>559</v>
      </c>
      <c r="B27" s="71">
        <v>50</v>
      </c>
      <c r="C27" s="71">
        <v>1</v>
      </c>
      <c r="D27" s="71">
        <v>1001</v>
      </c>
      <c r="E27" s="70" t="s">
        <v>561</v>
      </c>
      <c r="H27" s="74" t="s">
        <v>551</v>
      </c>
      <c r="J27" s="3">
        <f t="shared" si="0"/>
        <v>1001</v>
      </c>
      <c r="K27" s="2" t="str">
        <f t="shared" si="1"/>
        <v>Revolving credit other than overdrafts and credit card debt</v>
      </c>
    </row>
    <row r="28" spans="1:11">
      <c r="A28" s="71" t="s">
        <v>559</v>
      </c>
      <c r="B28" s="71">
        <v>82</v>
      </c>
      <c r="C28" s="71">
        <v>1</v>
      </c>
      <c r="D28" s="71">
        <v>71</v>
      </c>
      <c r="E28" s="70" t="s">
        <v>564</v>
      </c>
      <c r="H28" s="74" t="s">
        <v>551</v>
      </c>
      <c r="J28" s="3">
        <f t="shared" si="0"/>
        <v>71</v>
      </c>
      <c r="K28" s="2" t="str">
        <f t="shared" si="1"/>
        <v>Trade receivables</v>
      </c>
    </row>
    <row r="29" spans="1:11">
      <c r="A29" s="71" t="s">
        <v>559</v>
      </c>
      <c r="B29" s="71">
        <v>83</v>
      </c>
      <c r="C29" s="71">
        <v>1</v>
      </c>
      <c r="D29" s="71">
        <v>71</v>
      </c>
      <c r="E29" s="70" t="s">
        <v>564</v>
      </c>
      <c r="H29" s="74" t="s">
        <v>551</v>
      </c>
      <c r="J29" s="3">
        <f t="shared" si="0"/>
        <v>71</v>
      </c>
      <c r="K29" s="2" t="str">
        <f t="shared" si="1"/>
        <v>Trade receivables</v>
      </c>
    </row>
    <row r="30" spans="1:11">
      <c r="A30" s="71" t="s">
        <v>559</v>
      </c>
      <c r="B30" s="71">
        <v>91</v>
      </c>
      <c r="C30" s="71">
        <v>1</v>
      </c>
      <c r="D30" s="71">
        <v>80</v>
      </c>
      <c r="E30" s="70" t="s">
        <v>567</v>
      </c>
      <c r="H30" s="74" t="s">
        <v>551</v>
      </c>
      <c r="J30" s="3">
        <f t="shared" si="0"/>
        <v>80</v>
      </c>
      <c r="K30" s="2" t="str">
        <f t="shared" si="1"/>
        <v>Financial leases</v>
      </c>
    </row>
    <row r="31" spans="1:11">
      <c r="A31" s="71" t="s">
        <v>559</v>
      </c>
      <c r="B31" s="71">
        <v>92</v>
      </c>
      <c r="C31" s="71">
        <v>1</v>
      </c>
      <c r="D31" s="71">
        <v>80</v>
      </c>
      <c r="E31" s="70" t="s">
        <v>567</v>
      </c>
      <c r="H31" s="74" t="s">
        <v>551</v>
      </c>
      <c r="J31" s="3">
        <f t="shared" si="0"/>
        <v>80</v>
      </c>
      <c r="K31" s="2" t="str">
        <f t="shared" si="1"/>
        <v>Financial leases</v>
      </c>
    </row>
    <row r="32" spans="1:11" ht="178.2">
      <c r="A32" s="71" t="s">
        <v>559</v>
      </c>
      <c r="B32" s="71">
        <v>100</v>
      </c>
      <c r="C32" s="71">
        <v>1</v>
      </c>
      <c r="D32" s="71">
        <v>1004</v>
      </c>
      <c r="E32" s="70" t="s">
        <v>560</v>
      </c>
      <c r="H32" s="74" t="s">
        <v>551</v>
      </c>
      <c r="J32" s="3">
        <f t="shared" si="0"/>
        <v>1004</v>
      </c>
      <c r="K32" s="2" t="str">
        <f t="shared" si="1"/>
        <v>Loans other than overdrafts, convenience credit, extended credit, credit card credit, revolving credit other than credit card credit, reverse repurchase agreements, trade receivables and financial leases</v>
      </c>
    </row>
    <row r="33" spans="1:11">
      <c r="A33" s="71" t="s">
        <v>568</v>
      </c>
      <c r="B33" s="71" t="s">
        <v>559</v>
      </c>
      <c r="C33" s="71">
        <v>2</v>
      </c>
      <c r="D33" s="71">
        <v>1005</v>
      </c>
      <c r="E33" s="70" t="s">
        <v>569</v>
      </c>
      <c r="H33" s="74" t="s">
        <v>551</v>
      </c>
      <c r="J33" s="3">
        <f t="shared" si="0"/>
        <v>1005</v>
      </c>
      <c r="K33" s="2" t="str">
        <f t="shared" si="1"/>
        <v>Debt securities</v>
      </c>
    </row>
    <row r="34" spans="1:11">
      <c r="A34" s="71" t="s">
        <v>568</v>
      </c>
      <c r="B34" s="71" t="s">
        <v>559</v>
      </c>
      <c r="C34" s="71">
        <v>2</v>
      </c>
      <c r="D34" s="71">
        <v>1005</v>
      </c>
      <c r="E34" s="70" t="s">
        <v>569</v>
      </c>
      <c r="H34" s="74" t="s">
        <v>551</v>
      </c>
      <c r="J34" s="3">
        <f t="shared" si="0"/>
        <v>1005</v>
      </c>
      <c r="K34" s="2" t="str">
        <f t="shared" si="1"/>
        <v>Debt securities</v>
      </c>
    </row>
    <row r="35" spans="1:11">
      <c r="A35" s="71" t="s">
        <v>568</v>
      </c>
      <c r="B35" s="71" t="s">
        <v>570</v>
      </c>
      <c r="C35" s="71">
        <v>2</v>
      </c>
      <c r="D35" s="71">
        <v>1005</v>
      </c>
      <c r="E35" s="70" t="s">
        <v>569</v>
      </c>
      <c r="H35" s="74" t="s">
        <v>551</v>
      </c>
      <c r="J35" s="3">
        <f t="shared" si="0"/>
        <v>1005</v>
      </c>
      <c r="K35" s="2" t="str">
        <f t="shared" si="1"/>
        <v>Debt securities</v>
      </c>
    </row>
    <row r="36" spans="1:11" ht="48.6">
      <c r="A36" s="71" t="s">
        <v>559</v>
      </c>
      <c r="B36" s="71">
        <v>10</v>
      </c>
      <c r="C36" s="71">
        <v>1</v>
      </c>
      <c r="D36" s="71">
        <v>1000</v>
      </c>
      <c r="E36" s="70" t="s">
        <v>571</v>
      </c>
      <c r="H36" s="74" t="s">
        <v>551</v>
      </c>
      <c r="J36" s="3">
        <f t="shared" si="0"/>
        <v>1000</v>
      </c>
      <c r="K36" s="2" t="str">
        <f t="shared" si="1"/>
        <v>Deposits other than reverse repurchase agreements</v>
      </c>
    </row>
    <row r="37" spans="1:11">
      <c r="A37" s="71" t="s">
        <v>559</v>
      </c>
      <c r="B37" s="71">
        <v>20</v>
      </c>
      <c r="C37" s="71">
        <v>1</v>
      </c>
      <c r="D37" s="71">
        <v>20</v>
      </c>
      <c r="E37" s="70" t="s">
        <v>565</v>
      </c>
      <c r="H37" s="74" t="s">
        <v>551</v>
      </c>
      <c r="J37" s="3">
        <f t="shared" si="0"/>
        <v>20</v>
      </c>
      <c r="K37" s="2" t="str">
        <f t="shared" si="1"/>
        <v>Overdrafts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B11FC-FFED-4C41-9C09-788067FD9AC7}">
  <dimension ref="A1:S154"/>
  <sheetViews>
    <sheetView topLeftCell="N1" workbookViewId="0">
      <selection activeCell="R3" sqref="R3:R9"/>
    </sheetView>
  </sheetViews>
  <sheetFormatPr defaultRowHeight="16.2"/>
  <cols>
    <col min="1" max="1" width="21.109375" bestFit="1" customWidth="1"/>
    <col min="2" max="2" width="21.33203125" bestFit="1" customWidth="1"/>
    <col min="12" max="12" width="16" customWidth="1"/>
    <col min="13" max="13" width="17" customWidth="1"/>
    <col min="14" max="14" width="23.6640625" customWidth="1"/>
    <col min="15" max="15" width="18.88671875" customWidth="1"/>
    <col min="16" max="16" width="18.5546875" customWidth="1"/>
    <col min="18" max="18" width="17.6640625" customWidth="1"/>
    <col min="19" max="19" width="19.6640625" customWidth="1"/>
  </cols>
  <sheetData>
    <row r="1" spans="1:19">
      <c r="A1" s="76"/>
      <c r="B1" s="76"/>
      <c r="L1" s="81" t="s">
        <v>572</v>
      </c>
      <c r="M1" s="82" t="s">
        <v>573</v>
      </c>
      <c r="N1" s="82" t="s">
        <v>574</v>
      </c>
      <c r="O1" s="82" t="s">
        <v>575</v>
      </c>
      <c r="P1" s="83" t="s">
        <v>576</v>
      </c>
      <c r="R1" s="92" t="s">
        <v>572</v>
      </c>
      <c r="S1" s="93" t="s">
        <v>573</v>
      </c>
    </row>
    <row r="2" spans="1:19">
      <c r="A2" s="76"/>
      <c r="B2" s="76"/>
      <c r="L2" s="84" t="s">
        <v>577</v>
      </c>
      <c r="M2" s="85" t="s">
        <v>578</v>
      </c>
      <c r="N2" s="85" t="s">
        <v>579</v>
      </c>
      <c r="O2" s="85" t="s">
        <v>580</v>
      </c>
      <c r="P2" s="86" t="s">
        <v>581</v>
      </c>
      <c r="R2" s="94" t="s">
        <v>582</v>
      </c>
      <c r="S2" s="95" t="s">
        <v>583</v>
      </c>
    </row>
    <row r="3" spans="1:19">
      <c r="A3" s="76"/>
      <c r="B3" s="76"/>
      <c r="L3" s="87"/>
      <c r="M3" s="88" t="s">
        <v>559</v>
      </c>
      <c r="N3" s="88" t="s">
        <v>559</v>
      </c>
      <c r="O3" s="88" t="s">
        <v>559</v>
      </c>
      <c r="P3" s="89" t="s">
        <v>559</v>
      </c>
      <c r="R3" s="96">
        <v>212</v>
      </c>
      <c r="S3" s="97" t="s">
        <v>584</v>
      </c>
    </row>
    <row r="4" spans="1:19">
      <c r="A4" s="76"/>
      <c r="B4" s="76"/>
      <c r="L4" s="84" t="s">
        <v>585</v>
      </c>
      <c r="M4" s="85" t="s">
        <v>559</v>
      </c>
      <c r="N4" s="85" t="s">
        <v>559</v>
      </c>
      <c r="O4" s="85" t="s">
        <v>559</v>
      </c>
      <c r="P4" s="86" t="s">
        <v>586</v>
      </c>
      <c r="R4" s="94">
        <v>202</v>
      </c>
      <c r="S4" s="95" t="s">
        <v>587</v>
      </c>
    </row>
    <row r="5" spans="1:19">
      <c r="A5" s="76"/>
      <c r="B5" s="76"/>
      <c r="L5" s="87">
        <v>200</v>
      </c>
      <c r="M5" s="88" t="s">
        <v>559</v>
      </c>
      <c r="N5" s="88" t="s">
        <v>559</v>
      </c>
      <c r="O5" s="88" t="s">
        <v>559</v>
      </c>
      <c r="P5" s="89" t="s">
        <v>559</v>
      </c>
      <c r="R5" s="96">
        <v>206</v>
      </c>
      <c r="S5" s="97" t="s">
        <v>588</v>
      </c>
    </row>
    <row r="6" spans="1:19">
      <c r="A6" s="76"/>
      <c r="B6" s="76"/>
      <c r="L6" s="84" t="s">
        <v>589</v>
      </c>
      <c r="M6" s="85" t="s">
        <v>559</v>
      </c>
      <c r="N6" s="85" t="s">
        <v>559</v>
      </c>
      <c r="O6" s="85" t="s">
        <v>559</v>
      </c>
      <c r="P6" s="86" t="s">
        <v>559</v>
      </c>
      <c r="R6" s="94">
        <v>101</v>
      </c>
      <c r="S6" s="95" t="s">
        <v>590</v>
      </c>
    </row>
    <row r="7" spans="1:19">
      <c r="A7" s="76"/>
      <c r="B7" s="76"/>
      <c r="L7" s="87" t="s">
        <v>591</v>
      </c>
      <c r="M7" s="88" t="s">
        <v>559</v>
      </c>
      <c r="N7" s="88" t="s">
        <v>559</v>
      </c>
      <c r="O7" s="88" t="s">
        <v>559</v>
      </c>
      <c r="P7" s="89" t="s">
        <v>559</v>
      </c>
      <c r="R7" s="96">
        <v>201</v>
      </c>
      <c r="S7" s="97" t="s">
        <v>592</v>
      </c>
    </row>
    <row r="8" spans="1:19">
      <c r="A8" s="76"/>
      <c r="B8" s="76"/>
      <c r="L8" s="84">
        <v>401</v>
      </c>
      <c r="M8" s="85" t="s">
        <v>559</v>
      </c>
      <c r="N8" s="85" t="s">
        <v>559</v>
      </c>
      <c r="O8" s="85" t="s">
        <v>559</v>
      </c>
      <c r="P8" s="86" t="s">
        <v>559</v>
      </c>
      <c r="R8" s="94">
        <v>203</v>
      </c>
      <c r="S8" s="95" t="s">
        <v>593</v>
      </c>
    </row>
    <row r="9" spans="1:19">
      <c r="A9" t="s">
        <v>594</v>
      </c>
      <c r="L9" s="87" t="s">
        <v>595</v>
      </c>
      <c r="M9" s="88" t="s">
        <v>559</v>
      </c>
      <c r="N9" s="88" t="s">
        <v>559</v>
      </c>
      <c r="O9" s="88" t="s">
        <v>559</v>
      </c>
      <c r="P9" s="89" t="s">
        <v>559</v>
      </c>
      <c r="R9" s="96">
        <v>301</v>
      </c>
      <c r="S9" s="97" t="s">
        <v>584</v>
      </c>
    </row>
    <row r="10" spans="1:19">
      <c r="A10" t="s">
        <v>596</v>
      </c>
      <c r="L10" s="90">
        <v>45335</v>
      </c>
      <c r="M10" s="85" t="s">
        <v>559</v>
      </c>
      <c r="N10" s="85" t="s">
        <v>559</v>
      </c>
      <c r="O10" s="85" t="s">
        <v>559</v>
      </c>
      <c r="P10" s="86" t="s">
        <v>559</v>
      </c>
    </row>
    <row r="11" spans="1:19">
      <c r="A11" t="s">
        <v>597</v>
      </c>
      <c r="L11" s="87" t="s">
        <v>598</v>
      </c>
      <c r="M11" s="88" t="s">
        <v>559</v>
      </c>
      <c r="N11" s="88" t="s">
        <v>559</v>
      </c>
      <c r="O11" s="88" t="s">
        <v>559</v>
      </c>
      <c r="P11" s="89" t="s">
        <v>599</v>
      </c>
    </row>
    <row r="12" spans="1:19">
      <c r="A12" t="s">
        <v>600</v>
      </c>
      <c r="L12" s="84">
        <v>208</v>
      </c>
      <c r="M12" s="85" t="s">
        <v>559</v>
      </c>
      <c r="N12" s="85" t="s">
        <v>559</v>
      </c>
      <c r="O12" s="85" t="s">
        <v>601</v>
      </c>
      <c r="P12" s="86" t="s">
        <v>559</v>
      </c>
    </row>
    <row r="13" spans="1:19">
      <c r="A13" t="s">
        <v>602</v>
      </c>
      <c r="L13" s="87" t="s">
        <v>603</v>
      </c>
      <c r="M13" s="88" t="s">
        <v>559</v>
      </c>
      <c r="N13" s="88" t="s">
        <v>559</v>
      </c>
      <c r="O13" s="88" t="s">
        <v>559</v>
      </c>
      <c r="P13" s="89" t="s">
        <v>604</v>
      </c>
      <c r="R13" t="s">
        <v>605</v>
      </c>
    </row>
    <row r="14" spans="1:19">
      <c r="A14" s="76" t="s">
        <v>582</v>
      </c>
      <c r="B14" s="76" t="s">
        <v>583</v>
      </c>
      <c r="L14" s="84">
        <v>312</v>
      </c>
      <c r="M14" s="85" t="s">
        <v>559</v>
      </c>
      <c r="N14" s="85" t="s">
        <v>559</v>
      </c>
      <c r="O14" s="85" t="s">
        <v>559</v>
      </c>
      <c r="P14" s="86" t="s">
        <v>559</v>
      </c>
      <c r="R14" t="s">
        <v>606</v>
      </c>
    </row>
    <row r="15" spans="1:19">
      <c r="A15" s="77">
        <v>212</v>
      </c>
      <c r="B15" s="78" t="s">
        <v>584</v>
      </c>
      <c r="L15" s="87" t="s">
        <v>559</v>
      </c>
      <c r="M15" s="88" t="s">
        <v>559</v>
      </c>
      <c r="N15" s="88" t="s">
        <v>559</v>
      </c>
      <c r="O15" s="88" t="s">
        <v>559</v>
      </c>
      <c r="P15" s="89" t="s">
        <v>559</v>
      </c>
      <c r="R15" t="s">
        <v>607</v>
      </c>
    </row>
    <row r="16" spans="1:19">
      <c r="A16" s="77">
        <v>202</v>
      </c>
      <c r="B16" s="78" t="s">
        <v>587</v>
      </c>
      <c r="L16" s="84" t="s">
        <v>608</v>
      </c>
      <c r="M16" s="85" t="s">
        <v>559</v>
      </c>
      <c r="N16" s="85" t="s">
        <v>559</v>
      </c>
      <c r="O16" s="85" t="s">
        <v>559</v>
      </c>
      <c r="P16" s="86" t="s">
        <v>559</v>
      </c>
      <c r="R16" t="s">
        <v>609</v>
      </c>
    </row>
    <row r="17" spans="1:18">
      <c r="A17" s="77">
        <v>203</v>
      </c>
      <c r="B17" s="78" t="s">
        <v>593</v>
      </c>
      <c r="L17" s="87" t="s">
        <v>610</v>
      </c>
      <c r="M17" s="88" t="s">
        <v>559</v>
      </c>
      <c r="N17" s="88" t="s">
        <v>559</v>
      </c>
      <c r="O17" s="88" t="s">
        <v>559</v>
      </c>
      <c r="P17" s="89" t="s">
        <v>611</v>
      </c>
      <c r="R17" t="s">
        <v>612</v>
      </c>
    </row>
    <row r="18" spans="1:18">
      <c r="A18" s="77">
        <v>301</v>
      </c>
      <c r="B18" s="78" t="s">
        <v>584</v>
      </c>
      <c r="L18" s="84" t="s">
        <v>613</v>
      </c>
      <c r="M18" s="85" t="s">
        <v>559</v>
      </c>
      <c r="N18" s="85" t="s">
        <v>559</v>
      </c>
      <c r="O18" s="85" t="s">
        <v>559</v>
      </c>
      <c r="P18" s="86" t="s">
        <v>614</v>
      </c>
    </row>
    <row r="19" spans="1:18">
      <c r="A19" s="77">
        <v>201</v>
      </c>
      <c r="B19" s="78" t="s">
        <v>592</v>
      </c>
      <c r="L19" s="87" t="s">
        <v>615</v>
      </c>
      <c r="M19" s="88" t="s">
        <v>559</v>
      </c>
      <c r="N19" s="88" t="s">
        <v>559</v>
      </c>
      <c r="O19" s="88" t="s">
        <v>559</v>
      </c>
      <c r="P19" s="89" t="s">
        <v>616</v>
      </c>
    </row>
    <row r="20" spans="1:18">
      <c r="A20" s="77">
        <v>101</v>
      </c>
      <c r="B20" s="78" t="s">
        <v>590</v>
      </c>
      <c r="L20" s="84">
        <v>303</v>
      </c>
      <c r="M20" s="85" t="s">
        <v>559</v>
      </c>
      <c r="N20" s="85" t="s">
        <v>617</v>
      </c>
      <c r="O20" s="85" t="s">
        <v>618</v>
      </c>
      <c r="P20" s="86" t="s">
        <v>559</v>
      </c>
    </row>
    <row r="21" spans="1:18">
      <c r="A21" s="79">
        <v>206</v>
      </c>
      <c r="B21" s="80" t="s">
        <v>588</v>
      </c>
      <c r="L21" s="87" t="s">
        <v>619</v>
      </c>
      <c r="M21" s="88" t="s">
        <v>559</v>
      </c>
      <c r="N21" s="88" t="s">
        <v>559</v>
      </c>
      <c r="O21" s="88" t="s">
        <v>559</v>
      </c>
      <c r="P21" s="89" t="s">
        <v>620</v>
      </c>
    </row>
    <row r="22" spans="1:18">
      <c r="L22" s="84">
        <v>248</v>
      </c>
      <c r="M22" s="85" t="s">
        <v>559</v>
      </c>
      <c r="N22" s="85" t="s">
        <v>559</v>
      </c>
      <c r="O22" s="85" t="s">
        <v>621</v>
      </c>
      <c r="P22" s="86" t="s">
        <v>559</v>
      </c>
    </row>
    <row r="23" spans="1:18">
      <c r="L23" s="87" t="s">
        <v>622</v>
      </c>
      <c r="M23" s="88" t="s">
        <v>559</v>
      </c>
      <c r="N23" s="88" t="s">
        <v>559</v>
      </c>
      <c r="O23" s="88" t="s">
        <v>559</v>
      </c>
      <c r="P23" s="89" t="s">
        <v>623</v>
      </c>
    </row>
    <row r="24" spans="1:18">
      <c r="L24" s="84" t="s">
        <v>624</v>
      </c>
      <c r="M24" s="85" t="s">
        <v>559</v>
      </c>
      <c r="N24" s="85" t="s">
        <v>559</v>
      </c>
      <c r="O24" s="85" t="s">
        <v>559</v>
      </c>
      <c r="P24" s="86" t="s">
        <v>625</v>
      </c>
    </row>
    <row r="25" spans="1:18">
      <c r="L25" s="91">
        <v>45344</v>
      </c>
      <c r="M25" s="88" t="s">
        <v>559</v>
      </c>
      <c r="N25" s="88" t="s">
        <v>559</v>
      </c>
      <c r="O25" s="88" t="s">
        <v>559</v>
      </c>
      <c r="P25" s="89" t="s">
        <v>559</v>
      </c>
    </row>
    <row r="26" spans="1:18">
      <c r="L26" s="84" t="s">
        <v>626</v>
      </c>
      <c r="M26" s="85" t="s">
        <v>559</v>
      </c>
      <c r="N26" s="85" t="s">
        <v>559</v>
      </c>
      <c r="O26" s="85" t="s">
        <v>559</v>
      </c>
      <c r="P26" s="86" t="s">
        <v>627</v>
      </c>
    </row>
    <row r="27" spans="1:18">
      <c r="L27" s="87" t="s">
        <v>628</v>
      </c>
      <c r="M27" s="88" t="s">
        <v>559</v>
      </c>
      <c r="N27" s="88" t="s">
        <v>559</v>
      </c>
      <c r="O27" s="88" t="s">
        <v>559</v>
      </c>
      <c r="P27" s="89" t="s">
        <v>629</v>
      </c>
    </row>
    <row r="28" spans="1:18">
      <c r="L28" s="90">
        <v>45425</v>
      </c>
      <c r="M28" s="85" t="s">
        <v>559</v>
      </c>
      <c r="N28" s="85" t="s">
        <v>559</v>
      </c>
      <c r="O28" s="85" t="s">
        <v>559</v>
      </c>
      <c r="P28" s="86" t="s">
        <v>559</v>
      </c>
    </row>
    <row r="29" spans="1:18">
      <c r="L29" s="87">
        <v>215</v>
      </c>
      <c r="M29" s="88" t="s">
        <v>559</v>
      </c>
      <c r="N29" s="88" t="s">
        <v>559</v>
      </c>
      <c r="O29" s="88" t="s">
        <v>630</v>
      </c>
      <c r="P29" s="89" t="s">
        <v>559</v>
      </c>
    </row>
    <row r="30" spans="1:18">
      <c r="L30" s="84" t="s">
        <v>631</v>
      </c>
      <c r="M30" s="85" t="s">
        <v>559</v>
      </c>
      <c r="N30" s="85" t="s">
        <v>559</v>
      </c>
      <c r="O30" s="85" t="s">
        <v>559</v>
      </c>
      <c r="P30" s="86" t="s">
        <v>559</v>
      </c>
    </row>
    <row r="31" spans="1:18">
      <c r="L31" s="87" t="s">
        <v>632</v>
      </c>
      <c r="M31" s="88" t="s">
        <v>559</v>
      </c>
      <c r="N31" s="88" t="s">
        <v>559</v>
      </c>
      <c r="O31" s="88" t="s">
        <v>559</v>
      </c>
      <c r="P31" s="89" t="s">
        <v>633</v>
      </c>
    </row>
    <row r="32" spans="1:18">
      <c r="L32" s="84">
        <v>206</v>
      </c>
      <c r="M32" s="85" t="s">
        <v>559</v>
      </c>
      <c r="N32" s="85" t="s">
        <v>629</v>
      </c>
      <c r="O32" s="85" t="s">
        <v>588</v>
      </c>
      <c r="P32" s="86" t="s">
        <v>559</v>
      </c>
    </row>
    <row r="33" spans="12:16">
      <c r="L33" s="87" t="s">
        <v>634</v>
      </c>
      <c r="M33" s="88" t="s">
        <v>559</v>
      </c>
      <c r="N33" s="88" t="s">
        <v>559</v>
      </c>
      <c r="O33" s="88" t="s">
        <v>559</v>
      </c>
      <c r="P33" s="89" t="s">
        <v>601</v>
      </c>
    </row>
    <row r="34" spans="12:16">
      <c r="L34" s="84" t="s">
        <v>635</v>
      </c>
      <c r="M34" s="85" t="s">
        <v>559</v>
      </c>
      <c r="N34" s="85" t="s">
        <v>559</v>
      </c>
      <c r="O34" s="85" t="s">
        <v>559</v>
      </c>
      <c r="P34" s="86" t="s">
        <v>559</v>
      </c>
    </row>
    <row r="35" spans="12:16">
      <c r="L35" s="87">
        <v>309</v>
      </c>
      <c r="M35" s="88" t="s">
        <v>559</v>
      </c>
      <c r="N35" s="88" t="s">
        <v>559</v>
      </c>
      <c r="O35" s="88" t="s">
        <v>559</v>
      </c>
      <c r="P35" s="89" t="s">
        <v>559</v>
      </c>
    </row>
    <row r="36" spans="12:16">
      <c r="L36" s="84" t="s">
        <v>636</v>
      </c>
      <c r="M36" s="85" t="s">
        <v>559</v>
      </c>
      <c r="N36" s="85" t="s">
        <v>559</v>
      </c>
      <c r="O36" s="85" t="s">
        <v>559</v>
      </c>
      <c r="P36" s="86" t="s">
        <v>637</v>
      </c>
    </row>
    <row r="37" spans="12:16">
      <c r="L37" s="87" t="s">
        <v>638</v>
      </c>
      <c r="M37" s="88" t="s">
        <v>559</v>
      </c>
      <c r="N37" s="88" t="s">
        <v>559</v>
      </c>
      <c r="O37" s="88" t="s">
        <v>559</v>
      </c>
      <c r="P37" s="89" t="s">
        <v>639</v>
      </c>
    </row>
    <row r="38" spans="12:16">
      <c r="L38" s="90">
        <v>45440</v>
      </c>
      <c r="M38" s="85" t="s">
        <v>559</v>
      </c>
      <c r="N38" s="85" t="s">
        <v>559</v>
      </c>
      <c r="O38" s="85" t="s">
        <v>559</v>
      </c>
      <c r="P38" s="86" t="s">
        <v>559</v>
      </c>
    </row>
    <row r="39" spans="12:16">
      <c r="L39" s="87" t="s">
        <v>640</v>
      </c>
      <c r="M39" s="88" t="s">
        <v>559</v>
      </c>
      <c r="N39" s="88" t="s">
        <v>559</v>
      </c>
      <c r="O39" s="88" t="s">
        <v>559</v>
      </c>
      <c r="P39" s="89" t="s">
        <v>559</v>
      </c>
    </row>
    <row r="40" spans="12:16">
      <c r="L40" s="84">
        <v>204</v>
      </c>
      <c r="M40" s="85" t="s">
        <v>559</v>
      </c>
      <c r="N40" s="85" t="s">
        <v>559</v>
      </c>
      <c r="O40" s="85" t="s">
        <v>641</v>
      </c>
      <c r="P40" s="86" t="s">
        <v>559</v>
      </c>
    </row>
    <row r="41" spans="12:16">
      <c r="L41" s="91">
        <v>45323</v>
      </c>
      <c r="M41" s="88" t="s">
        <v>559</v>
      </c>
      <c r="N41" s="88" t="s">
        <v>559</v>
      </c>
      <c r="O41" s="88" t="s">
        <v>559</v>
      </c>
      <c r="P41" s="89" t="s">
        <v>559</v>
      </c>
    </row>
    <row r="42" spans="12:16">
      <c r="L42" s="84" t="s">
        <v>642</v>
      </c>
      <c r="M42" s="85" t="s">
        <v>559</v>
      </c>
      <c r="N42" s="85" t="s">
        <v>559</v>
      </c>
      <c r="O42" s="85" t="s">
        <v>559</v>
      </c>
      <c r="P42" s="86" t="s">
        <v>643</v>
      </c>
    </row>
    <row r="43" spans="12:16">
      <c r="L43" s="87">
        <v>237</v>
      </c>
      <c r="M43" s="88" t="s">
        <v>559</v>
      </c>
      <c r="N43" s="88" t="s">
        <v>559</v>
      </c>
      <c r="O43" s="88" t="s">
        <v>644</v>
      </c>
      <c r="P43" s="89" t="s">
        <v>559</v>
      </c>
    </row>
    <row r="44" spans="12:16">
      <c r="L44" s="84" t="s">
        <v>645</v>
      </c>
      <c r="M44" s="85" t="s">
        <v>559</v>
      </c>
      <c r="N44" s="85" t="s">
        <v>559</v>
      </c>
      <c r="O44" s="85" t="s">
        <v>559</v>
      </c>
      <c r="P44" s="86" t="s">
        <v>641</v>
      </c>
    </row>
    <row r="45" spans="12:16">
      <c r="L45" s="87">
        <v>101</v>
      </c>
      <c r="M45" s="88" t="s">
        <v>559</v>
      </c>
      <c r="N45" s="88" t="s">
        <v>590</v>
      </c>
      <c r="O45" s="88" t="s">
        <v>590</v>
      </c>
      <c r="P45" s="89" t="s">
        <v>559</v>
      </c>
    </row>
    <row r="46" spans="12:16">
      <c r="L46" s="84">
        <v>304</v>
      </c>
      <c r="M46" s="85" t="s">
        <v>559</v>
      </c>
      <c r="N46" s="85" t="s">
        <v>646</v>
      </c>
      <c r="O46" s="85" t="s">
        <v>559</v>
      </c>
      <c r="P46" s="86" t="s">
        <v>559</v>
      </c>
    </row>
    <row r="47" spans="12:16">
      <c r="L47" s="87" t="s">
        <v>647</v>
      </c>
      <c r="M47" s="88" t="s">
        <v>559</v>
      </c>
      <c r="N47" s="88" t="s">
        <v>559</v>
      </c>
      <c r="O47" s="88" t="s">
        <v>559</v>
      </c>
      <c r="P47" s="89" t="s">
        <v>559</v>
      </c>
    </row>
    <row r="48" spans="12:16">
      <c r="L48" s="84" t="s">
        <v>648</v>
      </c>
      <c r="M48" s="85" t="s">
        <v>559</v>
      </c>
      <c r="N48" s="85" t="s">
        <v>559</v>
      </c>
      <c r="O48" s="85" t="s">
        <v>559</v>
      </c>
      <c r="P48" s="86" t="s">
        <v>649</v>
      </c>
    </row>
    <row r="49" spans="12:16">
      <c r="L49" s="87" t="s">
        <v>650</v>
      </c>
      <c r="M49" s="88" t="s">
        <v>559</v>
      </c>
      <c r="N49" s="88" t="s">
        <v>559</v>
      </c>
      <c r="O49" s="88" t="s">
        <v>559</v>
      </c>
      <c r="P49" s="89" t="s">
        <v>559</v>
      </c>
    </row>
    <row r="50" spans="12:16">
      <c r="L50" s="84" t="s">
        <v>651</v>
      </c>
      <c r="M50" s="85" t="s">
        <v>559</v>
      </c>
      <c r="N50" s="85" t="s">
        <v>559</v>
      </c>
      <c r="O50" s="85" t="s">
        <v>559</v>
      </c>
      <c r="P50" s="86" t="s">
        <v>652</v>
      </c>
    </row>
    <row r="51" spans="12:16">
      <c r="L51" s="87">
        <v>201</v>
      </c>
      <c r="M51" s="88" t="s">
        <v>559</v>
      </c>
      <c r="N51" s="88" t="s">
        <v>592</v>
      </c>
      <c r="O51" s="88" t="s">
        <v>592</v>
      </c>
      <c r="P51" s="89" t="s">
        <v>559</v>
      </c>
    </row>
    <row r="52" spans="12:16">
      <c r="L52" s="84">
        <v>212</v>
      </c>
      <c r="M52" s="85" t="s">
        <v>559</v>
      </c>
      <c r="N52" s="85" t="s">
        <v>584</v>
      </c>
      <c r="O52" s="85" t="s">
        <v>584</v>
      </c>
      <c r="P52" s="86" t="s">
        <v>559</v>
      </c>
    </row>
    <row r="53" spans="12:16">
      <c r="L53" s="87">
        <v>310</v>
      </c>
      <c r="M53" s="88" t="s">
        <v>559</v>
      </c>
      <c r="N53" s="88" t="s">
        <v>559</v>
      </c>
      <c r="O53" s="88" t="s">
        <v>559</v>
      </c>
      <c r="P53" s="89" t="s">
        <v>559</v>
      </c>
    </row>
    <row r="54" spans="12:16">
      <c r="L54" s="84" t="s">
        <v>653</v>
      </c>
      <c r="M54" s="85" t="s">
        <v>559</v>
      </c>
      <c r="N54" s="85" t="s">
        <v>559</v>
      </c>
      <c r="O54" s="85" t="s">
        <v>559</v>
      </c>
      <c r="P54" s="86" t="s">
        <v>559</v>
      </c>
    </row>
    <row r="55" spans="12:16">
      <c r="L55" s="87">
        <v>296</v>
      </c>
      <c r="M55" s="88" t="s">
        <v>559</v>
      </c>
      <c r="N55" s="88" t="s">
        <v>559</v>
      </c>
      <c r="O55" s="88" t="s">
        <v>654</v>
      </c>
      <c r="P55" s="89" t="s">
        <v>559</v>
      </c>
    </row>
    <row r="56" spans="12:16">
      <c r="L56" s="84">
        <v>272</v>
      </c>
      <c r="M56" s="85" t="s">
        <v>559</v>
      </c>
      <c r="N56" s="85" t="s">
        <v>559</v>
      </c>
      <c r="O56" s="85" t="s">
        <v>655</v>
      </c>
      <c r="P56" s="86" t="s">
        <v>559</v>
      </c>
    </row>
    <row r="57" spans="12:16">
      <c r="L57" s="91">
        <v>45350</v>
      </c>
      <c r="M57" s="88" t="s">
        <v>559</v>
      </c>
      <c r="N57" s="88" t="s">
        <v>559</v>
      </c>
      <c r="O57" s="88" t="s">
        <v>559</v>
      </c>
      <c r="P57" s="89" t="s">
        <v>559</v>
      </c>
    </row>
    <row r="58" spans="12:16">
      <c r="L58" s="84" t="s">
        <v>656</v>
      </c>
      <c r="M58" s="85" t="s">
        <v>559</v>
      </c>
      <c r="N58" s="85" t="s">
        <v>559</v>
      </c>
      <c r="O58" s="85" t="s">
        <v>559</v>
      </c>
      <c r="P58" s="86" t="s">
        <v>559</v>
      </c>
    </row>
    <row r="59" spans="12:16">
      <c r="L59" s="87" t="s">
        <v>657</v>
      </c>
      <c r="M59" s="88" t="s">
        <v>559</v>
      </c>
      <c r="N59" s="88" t="s">
        <v>559</v>
      </c>
      <c r="O59" s="88" t="s">
        <v>559</v>
      </c>
      <c r="P59" s="89" t="s">
        <v>658</v>
      </c>
    </row>
    <row r="60" spans="12:16">
      <c r="L60" s="90">
        <v>45434</v>
      </c>
      <c r="M60" s="85" t="s">
        <v>559</v>
      </c>
      <c r="N60" s="85" t="s">
        <v>559</v>
      </c>
      <c r="O60" s="85" t="s">
        <v>559</v>
      </c>
      <c r="P60" s="86" t="s">
        <v>559</v>
      </c>
    </row>
    <row r="61" spans="12:16">
      <c r="L61" s="87" t="s">
        <v>659</v>
      </c>
      <c r="M61" s="88" t="s">
        <v>559</v>
      </c>
      <c r="N61" s="88" t="s">
        <v>559</v>
      </c>
      <c r="O61" s="88" t="s">
        <v>559</v>
      </c>
      <c r="P61" s="89" t="s">
        <v>559</v>
      </c>
    </row>
    <row r="62" spans="12:16">
      <c r="L62" s="90">
        <v>45415</v>
      </c>
      <c r="M62" s="85" t="s">
        <v>559</v>
      </c>
      <c r="N62" s="85" t="s">
        <v>559</v>
      </c>
      <c r="O62" s="85" t="s">
        <v>559</v>
      </c>
      <c r="P62" s="86" t="s">
        <v>559</v>
      </c>
    </row>
    <row r="63" spans="12:16">
      <c r="L63" s="87">
        <v>203</v>
      </c>
      <c r="M63" s="88" t="s">
        <v>559</v>
      </c>
      <c r="N63" s="88" t="s">
        <v>593</v>
      </c>
      <c r="O63" s="88" t="s">
        <v>593</v>
      </c>
      <c r="P63" s="89" t="s">
        <v>559</v>
      </c>
    </row>
    <row r="64" spans="12:16">
      <c r="L64" s="84" t="s">
        <v>660</v>
      </c>
      <c r="M64" s="85" t="s">
        <v>559</v>
      </c>
      <c r="N64" s="85" t="s">
        <v>559</v>
      </c>
      <c r="O64" s="85" t="s">
        <v>559</v>
      </c>
      <c r="P64" s="86" t="s">
        <v>559</v>
      </c>
    </row>
    <row r="65" spans="12:16">
      <c r="L65" s="87" t="s">
        <v>661</v>
      </c>
      <c r="M65" s="88" t="s">
        <v>559</v>
      </c>
      <c r="N65" s="88" t="s">
        <v>559</v>
      </c>
      <c r="O65" s="88" t="s">
        <v>559</v>
      </c>
      <c r="P65" s="89" t="s">
        <v>662</v>
      </c>
    </row>
    <row r="66" spans="12:16">
      <c r="L66" s="90">
        <v>45378</v>
      </c>
      <c r="M66" s="85" t="s">
        <v>559</v>
      </c>
      <c r="N66" s="85" t="s">
        <v>559</v>
      </c>
      <c r="O66" s="85" t="s">
        <v>559</v>
      </c>
      <c r="P66" s="86" t="s">
        <v>559</v>
      </c>
    </row>
    <row r="67" spans="12:16">
      <c r="L67" s="87">
        <v>236</v>
      </c>
      <c r="M67" s="88" t="s">
        <v>559</v>
      </c>
      <c r="N67" s="88" t="s">
        <v>559</v>
      </c>
      <c r="O67" s="88" t="s">
        <v>625</v>
      </c>
      <c r="P67" s="89" t="s">
        <v>559</v>
      </c>
    </row>
    <row r="68" spans="12:16">
      <c r="L68" s="84">
        <v>284</v>
      </c>
      <c r="M68" s="85" t="s">
        <v>559</v>
      </c>
      <c r="N68" s="85" t="s">
        <v>559</v>
      </c>
      <c r="O68" s="85" t="s">
        <v>663</v>
      </c>
      <c r="P68" s="86" t="s">
        <v>559</v>
      </c>
    </row>
    <row r="69" spans="12:16">
      <c r="L69" s="87" t="s">
        <v>664</v>
      </c>
      <c r="M69" s="88" t="s">
        <v>559</v>
      </c>
      <c r="N69" s="88" t="s">
        <v>559</v>
      </c>
      <c r="O69" s="88" t="s">
        <v>559</v>
      </c>
      <c r="P69" s="89" t="s">
        <v>665</v>
      </c>
    </row>
    <row r="70" spans="12:16">
      <c r="L70" s="84" t="s">
        <v>666</v>
      </c>
      <c r="M70" s="85" t="s">
        <v>559</v>
      </c>
      <c r="N70" s="85" t="s">
        <v>559</v>
      </c>
      <c r="O70" s="85" t="s">
        <v>559</v>
      </c>
      <c r="P70" s="86" t="s">
        <v>667</v>
      </c>
    </row>
    <row r="71" spans="12:16">
      <c r="L71" s="87" t="s">
        <v>668</v>
      </c>
      <c r="M71" s="88" t="s">
        <v>559</v>
      </c>
      <c r="N71" s="88" t="s">
        <v>559</v>
      </c>
      <c r="O71" s="88" t="s">
        <v>559</v>
      </c>
      <c r="P71" s="89" t="s">
        <v>559</v>
      </c>
    </row>
    <row r="72" spans="12:16">
      <c r="L72" s="84" t="s">
        <v>669</v>
      </c>
      <c r="M72" s="85" t="s">
        <v>559</v>
      </c>
      <c r="N72" s="85" t="s">
        <v>559</v>
      </c>
      <c r="O72" s="85" t="s">
        <v>559</v>
      </c>
      <c r="P72" s="86" t="s">
        <v>559</v>
      </c>
    </row>
    <row r="73" spans="12:16">
      <c r="L73" s="87">
        <v>218</v>
      </c>
      <c r="M73" s="88" t="s">
        <v>559</v>
      </c>
      <c r="N73" s="88" t="s">
        <v>611</v>
      </c>
      <c r="O73" s="88" t="s">
        <v>611</v>
      </c>
      <c r="P73" s="89" t="s">
        <v>559</v>
      </c>
    </row>
    <row r="74" spans="12:16">
      <c r="L74" s="84" t="s">
        <v>670</v>
      </c>
      <c r="M74" s="85" t="s">
        <v>559</v>
      </c>
      <c r="N74" s="85" t="s">
        <v>559</v>
      </c>
      <c r="O74" s="85" t="s">
        <v>559</v>
      </c>
      <c r="P74" s="86" t="s">
        <v>671</v>
      </c>
    </row>
    <row r="75" spans="12:16">
      <c r="L75" s="87" t="s">
        <v>0</v>
      </c>
      <c r="M75" s="88" t="s">
        <v>559</v>
      </c>
      <c r="N75" s="88" t="s">
        <v>559</v>
      </c>
      <c r="O75" s="88" t="s">
        <v>559</v>
      </c>
      <c r="P75" s="89" t="s">
        <v>559</v>
      </c>
    </row>
    <row r="76" spans="12:16">
      <c r="L76" s="84" t="s">
        <v>672</v>
      </c>
      <c r="M76" s="85" t="s">
        <v>559</v>
      </c>
      <c r="N76" s="85" t="s">
        <v>559</v>
      </c>
      <c r="O76" s="85" t="s">
        <v>559</v>
      </c>
      <c r="P76" s="86" t="s">
        <v>673</v>
      </c>
    </row>
    <row r="77" spans="12:16">
      <c r="L77" s="87" t="s">
        <v>674</v>
      </c>
      <c r="M77" s="88" t="s">
        <v>559</v>
      </c>
      <c r="N77" s="88" t="s">
        <v>559</v>
      </c>
      <c r="O77" s="88" t="s">
        <v>559</v>
      </c>
      <c r="P77" s="89" t="s">
        <v>675</v>
      </c>
    </row>
    <row r="78" spans="12:16">
      <c r="L78" s="84" t="s">
        <v>676</v>
      </c>
      <c r="M78" s="85" t="s">
        <v>559</v>
      </c>
      <c r="N78" s="85" t="s">
        <v>559</v>
      </c>
      <c r="O78" s="85" t="s">
        <v>559</v>
      </c>
      <c r="P78" s="86" t="s">
        <v>559</v>
      </c>
    </row>
    <row r="79" spans="12:16">
      <c r="L79" s="87" t="s">
        <v>677</v>
      </c>
      <c r="M79" s="88" t="s">
        <v>559</v>
      </c>
      <c r="N79" s="88" t="s">
        <v>559</v>
      </c>
      <c r="O79" s="88" t="s">
        <v>559</v>
      </c>
      <c r="P79" s="89" t="s">
        <v>678</v>
      </c>
    </row>
    <row r="80" spans="12:16">
      <c r="L80" s="84" t="s">
        <v>679</v>
      </c>
      <c r="M80" s="85" t="s">
        <v>559</v>
      </c>
      <c r="N80" s="85" t="s">
        <v>559</v>
      </c>
      <c r="O80" s="85" t="s">
        <v>559</v>
      </c>
      <c r="P80" s="86" t="s">
        <v>630</v>
      </c>
    </row>
    <row r="81" spans="12:16">
      <c r="L81" s="87" t="s">
        <v>680</v>
      </c>
      <c r="M81" s="88" t="s">
        <v>559</v>
      </c>
      <c r="N81" s="88" t="s">
        <v>559</v>
      </c>
      <c r="O81" s="88" t="s">
        <v>559</v>
      </c>
      <c r="P81" s="89" t="s">
        <v>559</v>
      </c>
    </row>
    <row r="82" spans="12:16">
      <c r="L82" s="84">
        <v>224</v>
      </c>
      <c r="M82" s="85" t="s">
        <v>559</v>
      </c>
      <c r="N82" s="85" t="s">
        <v>681</v>
      </c>
      <c r="O82" s="85" t="s">
        <v>667</v>
      </c>
      <c r="P82" s="86" t="s">
        <v>559</v>
      </c>
    </row>
    <row r="83" spans="12:16">
      <c r="L83" s="87">
        <v>301</v>
      </c>
      <c r="M83" s="88" t="s">
        <v>559</v>
      </c>
      <c r="N83" s="88" t="s">
        <v>584</v>
      </c>
      <c r="O83" s="88" t="s">
        <v>584</v>
      </c>
      <c r="P83" s="89" t="s">
        <v>559</v>
      </c>
    </row>
    <row r="84" spans="12:16">
      <c r="L84" s="84">
        <v>305</v>
      </c>
      <c r="M84" s="85" t="s">
        <v>559</v>
      </c>
      <c r="N84" s="85" t="s">
        <v>604</v>
      </c>
      <c r="O84" s="85" t="s">
        <v>604</v>
      </c>
      <c r="P84" s="86" t="s">
        <v>559</v>
      </c>
    </row>
    <row r="85" spans="12:16">
      <c r="L85" s="87" t="s">
        <v>682</v>
      </c>
      <c r="M85" s="88" t="s">
        <v>559</v>
      </c>
      <c r="N85" s="88" t="s">
        <v>559</v>
      </c>
      <c r="O85" s="88" t="s">
        <v>559</v>
      </c>
      <c r="P85" s="89" t="s">
        <v>683</v>
      </c>
    </row>
    <row r="86" spans="12:16">
      <c r="L86" s="84" t="s">
        <v>684</v>
      </c>
      <c r="M86" s="85" t="s">
        <v>559</v>
      </c>
      <c r="N86" s="85" t="s">
        <v>559</v>
      </c>
      <c r="O86" s="85" t="s">
        <v>559</v>
      </c>
      <c r="P86" s="86" t="s">
        <v>559</v>
      </c>
    </row>
    <row r="87" spans="12:16">
      <c r="L87" s="87" t="s">
        <v>685</v>
      </c>
      <c r="M87" s="88" t="s">
        <v>559</v>
      </c>
      <c r="N87" s="88" t="s">
        <v>559</v>
      </c>
      <c r="O87" s="88" t="s">
        <v>559</v>
      </c>
      <c r="P87" s="89" t="s">
        <v>686</v>
      </c>
    </row>
    <row r="88" spans="12:16">
      <c r="L88" s="90">
        <v>45471</v>
      </c>
      <c r="M88" s="85" t="s">
        <v>559</v>
      </c>
      <c r="N88" s="85" t="s">
        <v>559</v>
      </c>
      <c r="O88" s="85" t="s">
        <v>559</v>
      </c>
      <c r="P88" s="86" t="s">
        <v>559</v>
      </c>
    </row>
    <row r="89" spans="12:16">
      <c r="L89" s="87" t="s">
        <v>687</v>
      </c>
      <c r="M89" s="88" t="s">
        <v>559</v>
      </c>
      <c r="N89" s="88" t="s">
        <v>559</v>
      </c>
      <c r="O89" s="88" t="s">
        <v>559</v>
      </c>
      <c r="P89" s="89" t="s">
        <v>559</v>
      </c>
    </row>
    <row r="90" spans="12:16">
      <c r="L90" s="84">
        <v>260</v>
      </c>
      <c r="M90" s="85" t="s">
        <v>559</v>
      </c>
      <c r="N90" s="85" t="s">
        <v>559</v>
      </c>
      <c r="O90" s="85" t="s">
        <v>688</v>
      </c>
      <c r="P90" s="86" t="s">
        <v>559</v>
      </c>
    </row>
    <row r="91" spans="12:16">
      <c r="L91" s="91">
        <v>45473</v>
      </c>
      <c r="M91" s="88" t="s">
        <v>559</v>
      </c>
      <c r="N91" s="88" t="s">
        <v>559</v>
      </c>
      <c r="O91" s="88" t="s">
        <v>559</v>
      </c>
      <c r="P91" s="89" t="s">
        <v>559</v>
      </c>
    </row>
    <row r="92" spans="12:16">
      <c r="L92" s="84">
        <v>308</v>
      </c>
      <c r="M92" s="85" t="s">
        <v>559</v>
      </c>
      <c r="N92" s="85" t="s">
        <v>559</v>
      </c>
      <c r="O92" s="85" t="s">
        <v>559</v>
      </c>
      <c r="P92" s="86" t="s">
        <v>559</v>
      </c>
    </row>
    <row r="95" spans="12:16">
      <c r="L95" t="s">
        <v>689</v>
      </c>
    </row>
    <row r="96" spans="12:16">
      <c r="L96" t="s">
        <v>690</v>
      </c>
    </row>
    <row r="97" spans="12:12">
      <c r="L97" t="s">
        <v>691</v>
      </c>
    </row>
    <row r="98" spans="12:12">
      <c r="L98" t="s">
        <v>692</v>
      </c>
    </row>
    <row r="99" spans="12:12">
      <c r="L99" t="s">
        <v>693</v>
      </c>
    </row>
    <row r="100" spans="12:12">
      <c r="L100" t="s">
        <v>694</v>
      </c>
    </row>
    <row r="101" spans="12:12">
      <c r="L101" t="s">
        <v>695</v>
      </c>
    </row>
    <row r="102" spans="12:12">
      <c r="L102" t="s">
        <v>696</v>
      </c>
    </row>
    <row r="103" spans="12:12">
      <c r="L103" t="s">
        <v>697</v>
      </c>
    </row>
    <row r="104" spans="12:12">
      <c r="L104" t="s">
        <v>694</v>
      </c>
    </row>
    <row r="105" spans="12:12">
      <c r="L105" t="s">
        <v>695</v>
      </c>
    </row>
    <row r="106" spans="12:12">
      <c r="L106" t="s">
        <v>696</v>
      </c>
    </row>
    <row r="107" spans="12:12">
      <c r="L107" t="s">
        <v>698</v>
      </c>
    </row>
    <row r="108" spans="12:12">
      <c r="L108" t="s">
        <v>694</v>
      </c>
    </row>
    <row r="109" spans="12:12">
      <c r="L109" t="s">
        <v>699</v>
      </c>
    </row>
    <row r="110" spans="12:12">
      <c r="L110" t="s">
        <v>696</v>
      </c>
    </row>
    <row r="111" spans="12:12">
      <c r="L111" t="s">
        <v>700</v>
      </c>
    </row>
    <row r="112" spans="12:12">
      <c r="L112" t="s">
        <v>701</v>
      </c>
    </row>
    <row r="113" spans="12:12">
      <c r="L113" t="s">
        <v>695</v>
      </c>
    </row>
    <row r="114" spans="12:12">
      <c r="L114" t="s">
        <v>696</v>
      </c>
    </row>
    <row r="115" spans="12:12">
      <c r="L115" t="s">
        <v>702</v>
      </c>
    </row>
    <row r="116" spans="12:12">
      <c r="L116" t="s">
        <v>701</v>
      </c>
    </row>
    <row r="117" spans="12:12">
      <c r="L117" t="s">
        <v>695</v>
      </c>
    </row>
    <row r="118" spans="12:12">
      <c r="L118" t="s">
        <v>696</v>
      </c>
    </row>
    <row r="119" spans="12:12">
      <c r="L119" t="s">
        <v>703</v>
      </c>
    </row>
    <row r="120" spans="12:12">
      <c r="L120" t="s">
        <v>701</v>
      </c>
    </row>
    <row r="121" spans="12:12">
      <c r="L121" t="s">
        <v>699</v>
      </c>
    </row>
    <row r="122" spans="12:12">
      <c r="L122" t="s">
        <v>704</v>
      </c>
    </row>
    <row r="123" spans="12:12">
      <c r="L123" t="s">
        <v>705</v>
      </c>
    </row>
    <row r="124" spans="12:12">
      <c r="L124" t="s">
        <v>692</v>
      </c>
    </row>
    <row r="125" spans="12:12">
      <c r="L125" t="s">
        <v>706</v>
      </c>
    </row>
    <row r="126" spans="12:12">
      <c r="L126" t="s">
        <v>707</v>
      </c>
    </row>
    <row r="127" spans="12:12">
      <c r="L127" t="s">
        <v>708</v>
      </c>
    </row>
    <row r="128" spans="12:12">
      <c r="L128" t="s">
        <v>709</v>
      </c>
    </row>
    <row r="129" spans="12:12">
      <c r="L129" t="s">
        <v>710</v>
      </c>
    </row>
    <row r="130" spans="12:12">
      <c r="L130" t="s">
        <v>711</v>
      </c>
    </row>
    <row r="131" spans="12:12">
      <c r="L131" t="s">
        <v>705</v>
      </c>
    </row>
    <row r="132" spans="12:12">
      <c r="L132" t="s">
        <v>692</v>
      </c>
    </row>
    <row r="133" spans="12:12">
      <c r="L133" t="s">
        <v>712</v>
      </c>
    </row>
    <row r="134" spans="12:12">
      <c r="L134" t="s">
        <v>707</v>
      </c>
    </row>
    <row r="135" spans="12:12">
      <c r="L135" t="s">
        <v>708</v>
      </c>
    </row>
    <row r="136" spans="12:12">
      <c r="L136" t="s">
        <v>713</v>
      </c>
    </row>
    <row r="137" spans="12:12">
      <c r="L137" t="s">
        <v>714</v>
      </c>
    </row>
    <row r="138" spans="12:12">
      <c r="L138" t="s">
        <v>715</v>
      </c>
    </row>
    <row r="139" spans="12:12">
      <c r="L139" t="s">
        <v>705</v>
      </c>
    </row>
    <row r="140" spans="12:12">
      <c r="L140" t="s">
        <v>692</v>
      </c>
    </row>
    <row r="141" spans="12:12">
      <c r="L141" t="s">
        <v>716</v>
      </c>
    </row>
    <row r="142" spans="12:12">
      <c r="L142" t="s">
        <v>717</v>
      </c>
    </row>
    <row r="143" spans="12:12">
      <c r="L143" t="s">
        <v>708</v>
      </c>
    </row>
    <row r="144" spans="12:12">
      <c r="L144" t="s">
        <v>718</v>
      </c>
    </row>
    <row r="145" spans="12:12">
      <c r="L145" t="s">
        <v>719</v>
      </c>
    </row>
    <row r="146" spans="12:12">
      <c r="L146" t="s">
        <v>720</v>
      </c>
    </row>
    <row r="147" spans="12:12">
      <c r="L147" t="s">
        <v>705</v>
      </c>
    </row>
    <row r="148" spans="12:12">
      <c r="L148" t="s">
        <v>692</v>
      </c>
    </row>
    <row r="149" spans="12:12">
      <c r="L149" t="s">
        <v>721</v>
      </c>
    </row>
    <row r="150" spans="12:12">
      <c r="L150" t="s">
        <v>717</v>
      </c>
    </row>
    <row r="151" spans="12:12">
      <c r="L151" t="s">
        <v>722</v>
      </c>
    </row>
    <row r="152" spans="12:12">
      <c r="L152" t="s">
        <v>723</v>
      </c>
    </row>
    <row r="153" spans="12:12">
      <c r="L153" t="s">
        <v>724</v>
      </c>
    </row>
    <row r="154" spans="12:12">
      <c r="L154" t="s">
        <v>725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6332-EB3A-4385-AAE4-C0BE574C9C4A}">
  <dimension ref="A1:J34"/>
  <sheetViews>
    <sheetView workbookViewId="0"/>
  </sheetViews>
  <sheetFormatPr defaultRowHeight="16.2"/>
  <cols>
    <col min="1" max="1" width="80.88671875" bestFit="1" customWidth="1"/>
    <col min="3" max="3" width="31.5546875" style="3" customWidth="1"/>
    <col min="4" max="4" width="8.88671875" style="3"/>
    <col min="5" max="5" width="37.109375" style="33" bestFit="1" customWidth="1"/>
    <col min="6" max="6" width="37.88671875" style="3" customWidth="1"/>
    <col min="7" max="7" width="10.88671875" style="3" customWidth="1"/>
    <col min="10" max="10" width="80.88671875" bestFit="1" customWidth="1"/>
  </cols>
  <sheetData>
    <row r="1" spans="1:10" ht="16.8" thickBot="1">
      <c r="A1" s="32" t="s">
        <v>726</v>
      </c>
      <c r="J1" s="34" t="s">
        <v>727</v>
      </c>
    </row>
    <row r="2" spans="1:10">
      <c r="A2" s="35" t="s">
        <v>4</v>
      </c>
      <c r="J2" s="36" t="s">
        <v>4</v>
      </c>
    </row>
    <row r="3" spans="1:10" ht="15" customHeight="1">
      <c r="A3" s="37" t="s">
        <v>5</v>
      </c>
      <c r="J3" s="38" t="s">
        <v>728</v>
      </c>
    </row>
    <row r="4" spans="1:10">
      <c r="A4" s="35" t="s">
        <v>6</v>
      </c>
      <c r="J4" s="39" t="s">
        <v>729</v>
      </c>
    </row>
    <row r="5" spans="1:10" ht="16.8" thickBot="1">
      <c r="A5" s="37" t="s">
        <v>7</v>
      </c>
      <c r="J5" s="40" t="s">
        <v>11</v>
      </c>
    </row>
    <row r="6" spans="1:10">
      <c r="A6" s="35" t="s">
        <v>730</v>
      </c>
    </row>
    <row r="7" spans="1:10">
      <c r="A7" s="37" t="s">
        <v>731</v>
      </c>
    </row>
    <row r="8" spans="1:10">
      <c r="A8" s="55" t="s">
        <v>10</v>
      </c>
    </row>
    <row r="9" spans="1:10" ht="16.8" thickBot="1">
      <c r="A9" s="41" t="s">
        <v>11</v>
      </c>
    </row>
    <row r="12" spans="1:10">
      <c r="C12" s="42"/>
    </row>
    <row r="13" spans="1:10">
      <c r="C13" s="33"/>
      <c r="D13" s="33"/>
      <c r="F13" s="33"/>
      <c r="G13" s="33"/>
      <c r="H13" s="33"/>
    </row>
    <row r="14" spans="1:10">
      <c r="C14" s="33"/>
      <c r="D14" s="33"/>
      <c r="F14" s="33"/>
      <c r="G14" s="33"/>
      <c r="H14" s="33"/>
    </row>
    <row r="15" spans="1:10">
      <c r="C15" s="33"/>
      <c r="D15" s="33"/>
      <c r="F15" s="33"/>
      <c r="G15" s="33"/>
      <c r="H15" s="33"/>
    </row>
    <row r="16" spans="1:10">
      <c r="C16" s="33"/>
      <c r="D16" s="33"/>
      <c r="F16" s="33"/>
      <c r="G16" s="33"/>
      <c r="H16" s="33"/>
    </row>
    <row r="17" spans="3:8">
      <c r="C17" s="33"/>
      <c r="D17" s="33"/>
      <c r="F17" s="33"/>
      <c r="G17" s="33"/>
      <c r="H17" s="33"/>
    </row>
    <row r="18" spans="3:8">
      <c r="C18" s="33"/>
      <c r="D18" s="33"/>
      <c r="F18" s="33"/>
      <c r="G18" s="33"/>
      <c r="H18" s="33"/>
    </row>
    <row r="19" spans="3:8">
      <c r="C19" s="33"/>
      <c r="D19" s="33"/>
      <c r="F19" s="33"/>
      <c r="G19" s="33"/>
      <c r="H19" s="33"/>
    </row>
    <row r="20" spans="3:8">
      <c r="C20" s="33"/>
      <c r="D20" s="33"/>
      <c r="F20" s="33"/>
      <c r="G20" s="33"/>
      <c r="H20" s="33"/>
    </row>
    <row r="21" spans="3:8">
      <c r="C21" s="33"/>
      <c r="D21" s="33"/>
      <c r="F21" s="33"/>
      <c r="G21" s="33"/>
      <c r="H21" s="33"/>
    </row>
    <row r="22" spans="3:8">
      <c r="C22" s="33"/>
      <c r="D22" s="33"/>
      <c r="F22" s="33"/>
      <c r="G22" s="33"/>
      <c r="H22" s="33"/>
    </row>
    <row r="23" spans="3:8">
      <c r="C23" s="33"/>
      <c r="D23" s="33"/>
      <c r="F23" s="33"/>
      <c r="G23" s="33"/>
      <c r="H23" s="33"/>
    </row>
    <row r="24" spans="3:8">
      <c r="C24" s="33"/>
      <c r="D24" s="33"/>
      <c r="F24" s="33"/>
      <c r="G24" s="33"/>
      <c r="H24" s="33"/>
    </row>
    <row r="25" spans="3:8">
      <c r="C25" s="33"/>
      <c r="D25" s="33"/>
      <c r="F25" s="33"/>
      <c r="G25" s="33"/>
      <c r="H25" s="33"/>
    </row>
    <row r="26" spans="3:8">
      <c r="C26" s="33"/>
      <c r="D26" s="33"/>
      <c r="F26" s="33"/>
      <c r="G26" s="33"/>
      <c r="H26" s="33"/>
    </row>
    <row r="27" spans="3:8">
      <c r="C27" s="33"/>
      <c r="D27" s="33"/>
      <c r="F27" s="33"/>
      <c r="G27" s="33"/>
      <c r="H27" s="33"/>
    </row>
    <row r="28" spans="3:8">
      <c r="C28" s="33"/>
      <c r="D28" s="33"/>
      <c r="F28" s="33"/>
      <c r="G28" s="33"/>
      <c r="H28" s="33"/>
    </row>
    <row r="29" spans="3:8" ht="84.75" customHeight="1">
      <c r="C29" s="33"/>
      <c r="D29" s="33"/>
      <c r="F29" s="33"/>
      <c r="G29" s="33"/>
      <c r="H29" s="33"/>
    </row>
    <row r="30" spans="3:8" ht="82.5" customHeight="1">
      <c r="C30" s="33"/>
      <c r="D30" s="33"/>
      <c r="F30" s="33"/>
      <c r="G30" s="33"/>
      <c r="H30" s="33"/>
    </row>
    <row r="31" spans="3:8" ht="98.25" customHeight="1">
      <c r="C31" s="33"/>
      <c r="D31" s="33"/>
      <c r="F31" s="33"/>
      <c r="G31" s="33"/>
      <c r="H31" s="33"/>
    </row>
    <row r="32" spans="3:8">
      <c r="C32" s="33"/>
      <c r="D32" s="33"/>
      <c r="F32" s="33"/>
      <c r="G32" s="33"/>
      <c r="H32" s="33"/>
    </row>
    <row r="33" spans="3:8">
      <c r="C33" s="33"/>
      <c r="D33" s="33"/>
      <c r="F33" s="33"/>
      <c r="G33" s="33"/>
      <c r="H33" s="33"/>
    </row>
    <row r="34" spans="3:8">
      <c r="G34" s="4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57215-BBDA-4312-86B7-304EE309B676}">
  <dimension ref="A1:A67"/>
  <sheetViews>
    <sheetView workbookViewId="0">
      <selection activeCell="A2" sqref="A2:A67"/>
    </sheetView>
  </sheetViews>
  <sheetFormatPr defaultRowHeight="16.2"/>
  <cols>
    <col min="1" max="1" width="50.33203125" customWidth="1"/>
  </cols>
  <sheetData>
    <row r="1" spans="1:1">
      <c r="A1" t="s">
        <v>732</v>
      </c>
    </row>
    <row r="2" spans="1:1">
      <c r="A2" s="318" t="s">
        <v>733</v>
      </c>
    </row>
    <row r="3" spans="1:1">
      <c r="A3" s="319"/>
    </row>
    <row r="4" spans="1:1">
      <c r="A4" s="319"/>
    </row>
    <row r="5" spans="1:1">
      <c r="A5" s="319"/>
    </row>
    <row r="6" spans="1:1">
      <c r="A6" s="319"/>
    </row>
    <row r="7" spans="1:1">
      <c r="A7" s="319"/>
    </row>
    <row r="8" spans="1:1">
      <c r="A8" s="319"/>
    </row>
    <row r="9" spans="1:1">
      <c r="A9" s="319"/>
    </row>
    <row r="10" spans="1:1">
      <c r="A10" s="319"/>
    </row>
    <row r="11" spans="1:1">
      <c r="A11" s="319"/>
    </row>
    <row r="12" spans="1:1">
      <c r="A12" s="319"/>
    </row>
    <row r="13" spans="1:1">
      <c r="A13" s="319"/>
    </row>
    <row r="14" spans="1:1">
      <c r="A14" s="319"/>
    </row>
    <row r="15" spans="1:1">
      <c r="A15" s="319"/>
    </row>
    <row r="16" spans="1:1">
      <c r="A16" s="319"/>
    </row>
    <row r="17" spans="1:1">
      <c r="A17" s="319"/>
    </row>
    <row r="18" spans="1:1">
      <c r="A18" s="319"/>
    </row>
    <row r="19" spans="1:1">
      <c r="A19" s="319"/>
    </row>
    <row r="20" spans="1:1">
      <c r="A20" s="319"/>
    </row>
    <row r="21" spans="1:1">
      <c r="A21" s="319"/>
    </row>
    <row r="22" spans="1:1">
      <c r="A22" s="319"/>
    </row>
    <row r="23" spans="1:1">
      <c r="A23" s="319"/>
    </row>
    <row r="24" spans="1:1">
      <c r="A24" s="319"/>
    </row>
    <row r="25" spans="1:1">
      <c r="A25" s="319"/>
    </row>
    <row r="26" spans="1:1">
      <c r="A26" s="319"/>
    </row>
    <row r="27" spans="1:1">
      <c r="A27" s="319"/>
    </row>
    <row r="28" spans="1:1">
      <c r="A28" s="319"/>
    </row>
    <row r="29" spans="1:1">
      <c r="A29" s="319"/>
    </row>
    <row r="30" spans="1:1">
      <c r="A30" s="319"/>
    </row>
    <row r="31" spans="1:1">
      <c r="A31" s="319"/>
    </row>
    <row r="32" spans="1:1">
      <c r="A32" s="319"/>
    </row>
    <row r="33" spans="1:1">
      <c r="A33" s="319"/>
    </row>
    <row r="34" spans="1:1">
      <c r="A34" s="319"/>
    </row>
    <row r="35" spans="1:1">
      <c r="A35" s="319"/>
    </row>
    <row r="36" spans="1:1">
      <c r="A36" s="319"/>
    </row>
    <row r="37" spans="1:1">
      <c r="A37" s="319"/>
    </row>
    <row r="38" spans="1:1">
      <c r="A38" s="319"/>
    </row>
    <row r="39" spans="1:1">
      <c r="A39" s="319"/>
    </row>
    <row r="40" spans="1:1">
      <c r="A40" s="319"/>
    </row>
    <row r="41" spans="1:1">
      <c r="A41" s="319"/>
    </row>
    <row r="42" spans="1:1">
      <c r="A42" s="319"/>
    </row>
    <row r="43" spans="1:1">
      <c r="A43" s="319"/>
    </row>
    <row r="44" spans="1:1">
      <c r="A44" s="319"/>
    </row>
    <row r="45" spans="1:1">
      <c r="A45" s="319"/>
    </row>
    <row r="46" spans="1:1">
      <c r="A46" s="319"/>
    </row>
    <row r="47" spans="1:1">
      <c r="A47" s="319"/>
    </row>
    <row r="48" spans="1:1">
      <c r="A48" s="319"/>
    </row>
    <row r="49" spans="1:1">
      <c r="A49" s="319"/>
    </row>
    <row r="50" spans="1:1">
      <c r="A50" s="319"/>
    </row>
    <row r="51" spans="1:1">
      <c r="A51" s="319"/>
    </row>
    <row r="52" spans="1:1">
      <c r="A52" s="319"/>
    </row>
    <row r="53" spans="1:1">
      <c r="A53" s="319"/>
    </row>
    <row r="54" spans="1:1">
      <c r="A54" s="319"/>
    </row>
    <row r="55" spans="1:1">
      <c r="A55" s="319"/>
    </row>
    <row r="56" spans="1:1">
      <c r="A56" s="319"/>
    </row>
    <row r="57" spans="1:1">
      <c r="A57" s="319"/>
    </row>
    <row r="58" spans="1:1">
      <c r="A58" s="319"/>
    </row>
    <row r="59" spans="1:1">
      <c r="A59" s="319"/>
    </row>
    <row r="60" spans="1:1">
      <c r="A60" s="319"/>
    </row>
    <row r="61" spans="1:1">
      <c r="A61" s="319"/>
    </row>
    <row r="62" spans="1:1">
      <c r="A62" s="319"/>
    </row>
    <row r="63" spans="1:1">
      <c r="A63" s="319"/>
    </row>
    <row r="64" spans="1:1">
      <c r="A64" s="319"/>
    </row>
    <row r="65" spans="1:1">
      <c r="A65" s="319"/>
    </row>
    <row r="66" spans="1:1">
      <c r="A66" s="319"/>
    </row>
    <row r="67" spans="1:1">
      <c r="A67" s="320"/>
    </row>
  </sheetData>
  <mergeCells count="1">
    <mergeCell ref="A2:A6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B4A3-6263-4CEC-87E5-92E6AC84C685}">
  <dimension ref="A1:O227"/>
  <sheetViews>
    <sheetView workbookViewId="0">
      <selection activeCell="A6" sqref="A6:K8"/>
    </sheetView>
  </sheetViews>
  <sheetFormatPr defaultRowHeight="16.2"/>
  <cols>
    <col min="1" max="1" width="36.5546875" bestFit="1" customWidth="1"/>
    <col min="12" max="12" width="19.44140625" customWidth="1"/>
    <col min="13" max="16" width="38.5546875" customWidth="1"/>
  </cols>
  <sheetData>
    <row r="1" spans="1:15" ht="18.75" customHeight="1">
      <c r="A1" s="329" t="s">
        <v>734</v>
      </c>
      <c r="B1" s="329"/>
      <c r="C1" s="329"/>
      <c r="D1" s="329"/>
      <c r="E1" s="329"/>
      <c r="F1" s="329"/>
      <c r="G1" s="329"/>
      <c r="H1" s="329"/>
      <c r="I1" s="329"/>
      <c r="J1" s="329"/>
      <c r="K1" s="329"/>
      <c r="M1" s="169" t="s">
        <v>735</v>
      </c>
      <c r="N1" s="170" t="s">
        <v>736</v>
      </c>
      <c r="O1" s="170" t="s">
        <v>737</v>
      </c>
    </row>
    <row r="2" spans="1:15" ht="24.75" customHeight="1">
      <c r="A2" s="331" t="s">
        <v>738</v>
      </c>
      <c r="B2" s="332"/>
      <c r="C2" s="332"/>
      <c r="D2" s="332"/>
      <c r="E2" s="332"/>
      <c r="F2" s="332"/>
      <c r="G2" s="332"/>
      <c r="H2" s="332"/>
      <c r="I2" s="332"/>
      <c r="J2" s="332"/>
      <c r="K2" s="333"/>
      <c r="M2" s="171" t="s">
        <v>739</v>
      </c>
      <c r="N2" s="172" t="s">
        <v>740</v>
      </c>
      <c r="O2" s="172" t="s">
        <v>424</v>
      </c>
    </row>
    <row r="3" spans="1:15">
      <c r="M3" s="171" t="s">
        <v>741</v>
      </c>
      <c r="N3" s="172">
        <v>99999999999</v>
      </c>
      <c r="O3" s="172">
        <v>11111111111</v>
      </c>
    </row>
    <row r="5" spans="1:15">
      <c r="A5" s="321" t="s">
        <v>742</v>
      </c>
      <c r="B5" s="321"/>
      <c r="C5" s="321"/>
      <c r="D5" s="321"/>
      <c r="E5" s="321"/>
      <c r="F5" s="321"/>
      <c r="G5" s="321"/>
      <c r="H5" s="321"/>
      <c r="I5" s="321"/>
      <c r="J5" s="321"/>
      <c r="K5" s="321"/>
    </row>
    <row r="6" spans="1:15" ht="409.6" customHeight="1">
      <c r="A6" s="334" t="s">
        <v>743</v>
      </c>
      <c r="B6" s="335"/>
      <c r="C6" s="335"/>
      <c r="D6" s="335"/>
      <c r="E6" s="335"/>
      <c r="F6" s="335"/>
      <c r="G6" s="335"/>
      <c r="H6" s="335"/>
      <c r="I6" s="335"/>
      <c r="J6" s="335"/>
      <c r="K6" s="336"/>
    </row>
    <row r="7" spans="1:15" ht="44.25" customHeight="1">
      <c r="A7" s="337"/>
      <c r="B7" s="338"/>
      <c r="C7" s="338"/>
      <c r="D7" s="338"/>
      <c r="E7" s="338"/>
      <c r="F7" s="338"/>
      <c r="G7" s="338"/>
      <c r="H7" s="338"/>
      <c r="I7" s="338"/>
      <c r="J7" s="338"/>
      <c r="K7" s="339"/>
    </row>
    <row r="8" spans="1:15" ht="59.25" customHeight="1">
      <c r="A8" s="340"/>
      <c r="B8" s="341"/>
      <c r="C8" s="341"/>
      <c r="D8" s="341"/>
      <c r="E8" s="341"/>
      <c r="F8" s="341"/>
      <c r="G8" s="341"/>
      <c r="H8" s="341"/>
      <c r="I8" s="341"/>
      <c r="J8" s="341"/>
      <c r="K8" s="342"/>
    </row>
    <row r="11" spans="1:15" ht="19.5" customHeight="1">
      <c r="A11" s="326" t="s">
        <v>744</v>
      </c>
      <c r="B11" s="326"/>
      <c r="C11" s="326"/>
      <c r="D11" s="326"/>
      <c r="E11" s="326"/>
      <c r="F11" s="326"/>
      <c r="G11" s="326"/>
      <c r="H11" s="326"/>
      <c r="I11" s="326"/>
      <c r="J11" s="326"/>
      <c r="K11" s="326"/>
    </row>
    <row r="12" spans="1:15" ht="33" customHeight="1">
      <c r="A12" s="343" t="s">
        <v>745</v>
      </c>
      <c r="B12" s="344"/>
      <c r="C12" s="344"/>
      <c r="D12" s="344"/>
      <c r="E12" s="344"/>
      <c r="F12" s="344"/>
      <c r="G12" s="344"/>
      <c r="H12" s="344"/>
      <c r="I12" s="344"/>
      <c r="J12" s="344"/>
      <c r="K12" s="345"/>
    </row>
    <row r="13" spans="1:15" ht="33" customHeight="1">
      <c r="A13" s="243"/>
      <c r="B13" s="243"/>
      <c r="C13" s="243"/>
      <c r="D13" s="243"/>
      <c r="E13" s="243"/>
      <c r="F13" s="243"/>
      <c r="G13" s="243"/>
      <c r="H13" s="243"/>
      <c r="I13" s="243"/>
      <c r="J13" s="243"/>
      <c r="K13" s="243"/>
    </row>
    <row r="14" spans="1:15" ht="15.75" customHeight="1">
      <c r="A14" s="321" t="s">
        <v>746</v>
      </c>
      <c r="B14" s="321"/>
      <c r="C14" s="321"/>
      <c r="D14" s="321"/>
      <c r="E14" s="321"/>
      <c r="F14" s="321"/>
      <c r="G14" s="321"/>
      <c r="H14" s="321"/>
      <c r="I14" s="321"/>
      <c r="J14" s="321"/>
      <c r="K14" s="321"/>
    </row>
    <row r="15" spans="1:15" ht="15" customHeight="1">
      <c r="A15" s="322" t="s">
        <v>747</v>
      </c>
      <c r="B15" s="323"/>
      <c r="C15" s="323"/>
      <c r="D15" s="323"/>
      <c r="E15" s="323"/>
      <c r="F15" s="323"/>
      <c r="G15" s="323"/>
      <c r="H15" s="323"/>
      <c r="I15" s="323"/>
      <c r="J15" s="323"/>
      <c r="K15" s="324"/>
    </row>
    <row r="16" spans="1:15">
      <c r="A16" s="325"/>
      <c r="B16" s="326"/>
      <c r="C16" s="326"/>
      <c r="D16" s="326"/>
      <c r="E16" s="326"/>
      <c r="F16" s="326"/>
      <c r="G16" s="326"/>
      <c r="H16" s="326"/>
      <c r="I16" s="326"/>
      <c r="J16" s="326"/>
      <c r="K16" s="327"/>
    </row>
    <row r="17" spans="1:11">
      <c r="A17" s="325"/>
      <c r="B17" s="326"/>
      <c r="C17" s="326"/>
      <c r="D17" s="326"/>
      <c r="E17" s="326"/>
      <c r="F17" s="326"/>
      <c r="G17" s="326"/>
      <c r="H17" s="326"/>
      <c r="I17" s="326"/>
      <c r="J17" s="326"/>
      <c r="K17" s="327"/>
    </row>
    <row r="18" spans="1:11">
      <c r="A18" s="325"/>
      <c r="B18" s="326"/>
      <c r="C18" s="326"/>
      <c r="D18" s="326"/>
      <c r="E18" s="326"/>
      <c r="F18" s="326"/>
      <c r="G18" s="326"/>
      <c r="H18" s="326"/>
      <c r="I18" s="326"/>
      <c r="J18" s="326"/>
      <c r="K18" s="327"/>
    </row>
    <row r="19" spans="1:11" ht="12.75" customHeight="1">
      <c r="A19" s="325"/>
      <c r="B19" s="326"/>
      <c r="C19" s="326"/>
      <c r="D19" s="326"/>
      <c r="E19" s="326"/>
      <c r="F19" s="326"/>
      <c r="G19" s="326"/>
      <c r="H19" s="326"/>
      <c r="I19" s="326"/>
      <c r="J19" s="326"/>
      <c r="K19" s="327"/>
    </row>
    <row r="20" spans="1:11" ht="12.75" customHeight="1">
      <c r="A20" s="325"/>
      <c r="B20" s="326"/>
      <c r="C20" s="326"/>
      <c r="D20" s="326"/>
      <c r="E20" s="326"/>
      <c r="F20" s="326"/>
      <c r="G20" s="326"/>
      <c r="H20" s="326"/>
      <c r="I20" s="326"/>
      <c r="J20" s="326"/>
      <c r="K20" s="327"/>
    </row>
    <row r="21" spans="1:11" ht="12.75" customHeight="1">
      <c r="A21" s="325"/>
      <c r="B21" s="326"/>
      <c r="C21" s="326"/>
      <c r="D21" s="326"/>
      <c r="E21" s="326"/>
      <c r="F21" s="326"/>
      <c r="G21" s="326"/>
      <c r="H21" s="326"/>
      <c r="I21" s="326"/>
      <c r="J21" s="326"/>
      <c r="K21" s="327"/>
    </row>
    <row r="22" spans="1:11" ht="12.75" customHeight="1">
      <c r="A22" s="325"/>
      <c r="B22" s="326"/>
      <c r="C22" s="326"/>
      <c r="D22" s="326"/>
      <c r="E22" s="326"/>
      <c r="F22" s="326"/>
      <c r="G22" s="326"/>
      <c r="H22" s="326"/>
      <c r="I22" s="326"/>
      <c r="J22" s="326"/>
      <c r="K22" s="327"/>
    </row>
    <row r="23" spans="1:11" ht="12.75" customHeight="1">
      <c r="A23" s="325"/>
      <c r="B23" s="326"/>
      <c r="C23" s="326"/>
      <c r="D23" s="326"/>
      <c r="E23" s="326"/>
      <c r="F23" s="326"/>
      <c r="G23" s="326"/>
      <c r="H23" s="326"/>
      <c r="I23" s="326"/>
      <c r="J23" s="326"/>
      <c r="K23" s="327"/>
    </row>
    <row r="24" spans="1:11" ht="12.75" customHeight="1">
      <c r="A24" s="325"/>
      <c r="B24" s="326"/>
      <c r="C24" s="326"/>
      <c r="D24" s="326"/>
      <c r="E24" s="326"/>
      <c r="F24" s="326"/>
      <c r="G24" s="326"/>
      <c r="H24" s="326"/>
      <c r="I24" s="326"/>
      <c r="J24" s="326"/>
      <c r="K24" s="327"/>
    </row>
    <row r="25" spans="1:11" ht="12.75" customHeight="1">
      <c r="A25" s="325"/>
      <c r="B25" s="326"/>
      <c r="C25" s="326"/>
      <c r="D25" s="326"/>
      <c r="E25" s="326"/>
      <c r="F25" s="326"/>
      <c r="G25" s="326"/>
      <c r="H25" s="326"/>
      <c r="I25" s="326"/>
      <c r="J25" s="326"/>
      <c r="K25" s="327"/>
    </row>
    <row r="26" spans="1:11" ht="12.75" customHeight="1">
      <c r="A26" s="325"/>
      <c r="B26" s="326"/>
      <c r="C26" s="326"/>
      <c r="D26" s="326"/>
      <c r="E26" s="326"/>
      <c r="F26" s="326"/>
      <c r="G26" s="326"/>
      <c r="H26" s="326"/>
      <c r="I26" s="326"/>
      <c r="J26" s="326"/>
      <c r="K26" s="327"/>
    </row>
    <row r="27" spans="1:11" ht="12.75" customHeight="1">
      <c r="A27" s="325"/>
      <c r="B27" s="326"/>
      <c r="C27" s="326"/>
      <c r="D27" s="326"/>
      <c r="E27" s="326"/>
      <c r="F27" s="326"/>
      <c r="G27" s="326"/>
      <c r="H27" s="326"/>
      <c r="I27" s="326"/>
      <c r="J27" s="326"/>
      <c r="K27" s="327"/>
    </row>
    <row r="28" spans="1:11" ht="12.75" customHeight="1">
      <c r="A28" s="325"/>
      <c r="B28" s="326"/>
      <c r="C28" s="326"/>
      <c r="D28" s="326"/>
      <c r="E28" s="326"/>
      <c r="F28" s="326"/>
      <c r="G28" s="326"/>
      <c r="H28" s="326"/>
      <c r="I28" s="326"/>
      <c r="J28" s="326"/>
      <c r="K28" s="327"/>
    </row>
    <row r="29" spans="1:11" ht="12.75" customHeight="1">
      <c r="A29" s="325"/>
      <c r="B29" s="326"/>
      <c r="C29" s="326"/>
      <c r="D29" s="326"/>
      <c r="E29" s="326"/>
      <c r="F29" s="326"/>
      <c r="G29" s="326"/>
      <c r="H29" s="326"/>
      <c r="I29" s="326"/>
      <c r="J29" s="326"/>
      <c r="K29" s="327"/>
    </row>
    <row r="30" spans="1:11" ht="12.75" customHeight="1">
      <c r="A30" s="325"/>
      <c r="B30" s="326"/>
      <c r="C30" s="326"/>
      <c r="D30" s="326"/>
      <c r="E30" s="326"/>
      <c r="F30" s="326"/>
      <c r="G30" s="326"/>
      <c r="H30" s="326"/>
      <c r="I30" s="326"/>
      <c r="J30" s="326"/>
      <c r="K30" s="327"/>
    </row>
    <row r="31" spans="1:11" ht="12.75" customHeight="1">
      <c r="A31" s="325"/>
      <c r="B31" s="326"/>
      <c r="C31" s="326"/>
      <c r="D31" s="326"/>
      <c r="E31" s="326"/>
      <c r="F31" s="326"/>
      <c r="G31" s="326"/>
      <c r="H31" s="326"/>
      <c r="I31" s="326"/>
      <c r="J31" s="326"/>
      <c r="K31" s="327"/>
    </row>
    <row r="32" spans="1:11" ht="12.75" customHeight="1">
      <c r="A32" s="325"/>
      <c r="B32" s="326"/>
      <c r="C32" s="326"/>
      <c r="D32" s="326"/>
      <c r="E32" s="326"/>
      <c r="F32" s="326"/>
      <c r="G32" s="326"/>
      <c r="H32" s="326"/>
      <c r="I32" s="326"/>
      <c r="J32" s="326"/>
      <c r="K32" s="327"/>
    </row>
    <row r="33" spans="1:11" ht="12.75" customHeight="1">
      <c r="A33" s="325"/>
      <c r="B33" s="326"/>
      <c r="C33" s="326"/>
      <c r="D33" s="326"/>
      <c r="E33" s="326"/>
      <c r="F33" s="326"/>
      <c r="G33" s="326"/>
      <c r="H33" s="326"/>
      <c r="I33" s="326"/>
      <c r="J33" s="326"/>
      <c r="K33" s="327"/>
    </row>
    <row r="34" spans="1:11" ht="12.75" customHeight="1">
      <c r="A34" s="325"/>
      <c r="B34" s="326"/>
      <c r="C34" s="326"/>
      <c r="D34" s="326"/>
      <c r="E34" s="326"/>
      <c r="F34" s="326"/>
      <c r="G34" s="326"/>
      <c r="H34" s="326"/>
      <c r="I34" s="326"/>
      <c r="J34" s="326"/>
      <c r="K34" s="327"/>
    </row>
    <row r="35" spans="1:11" ht="12.75" customHeight="1">
      <c r="A35" s="325"/>
      <c r="B35" s="326"/>
      <c r="C35" s="326"/>
      <c r="D35" s="326"/>
      <c r="E35" s="326"/>
      <c r="F35" s="326"/>
      <c r="G35" s="326"/>
      <c r="H35" s="326"/>
      <c r="I35" s="326"/>
      <c r="J35" s="326"/>
      <c r="K35" s="327"/>
    </row>
    <row r="36" spans="1:11" ht="12.75" customHeight="1">
      <c r="A36" s="325"/>
      <c r="B36" s="326"/>
      <c r="C36" s="326"/>
      <c r="D36" s="326"/>
      <c r="E36" s="326"/>
      <c r="F36" s="326"/>
      <c r="G36" s="326"/>
      <c r="H36" s="326"/>
      <c r="I36" s="326"/>
      <c r="J36" s="326"/>
      <c r="K36" s="327"/>
    </row>
    <row r="37" spans="1:11" ht="12.75" customHeight="1">
      <c r="A37" s="325"/>
      <c r="B37" s="326"/>
      <c r="C37" s="326"/>
      <c r="D37" s="326"/>
      <c r="E37" s="326"/>
      <c r="F37" s="326"/>
      <c r="G37" s="326"/>
      <c r="H37" s="326"/>
      <c r="I37" s="326"/>
      <c r="J37" s="326"/>
      <c r="K37" s="327"/>
    </row>
    <row r="38" spans="1:11" ht="12.75" customHeight="1">
      <c r="A38" s="325"/>
      <c r="B38" s="326"/>
      <c r="C38" s="326"/>
      <c r="D38" s="326"/>
      <c r="E38" s="326"/>
      <c r="F38" s="326"/>
      <c r="G38" s="326"/>
      <c r="H38" s="326"/>
      <c r="I38" s="326"/>
      <c r="J38" s="326"/>
      <c r="K38" s="327"/>
    </row>
    <row r="39" spans="1:11" ht="12.75" customHeight="1">
      <c r="A39" s="325"/>
      <c r="B39" s="326"/>
      <c r="C39" s="326"/>
      <c r="D39" s="326"/>
      <c r="E39" s="326"/>
      <c r="F39" s="326"/>
      <c r="G39" s="326"/>
      <c r="H39" s="326"/>
      <c r="I39" s="326"/>
      <c r="J39" s="326"/>
      <c r="K39" s="327"/>
    </row>
    <row r="40" spans="1:11" ht="12.75" customHeight="1">
      <c r="A40" s="325"/>
      <c r="B40" s="326"/>
      <c r="C40" s="326"/>
      <c r="D40" s="326"/>
      <c r="E40" s="326"/>
      <c r="F40" s="326"/>
      <c r="G40" s="326"/>
      <c r="H40" s="326"/>
      <c r="I40" s="326"/>
      <c r="J40" s="326"/>
      <c r="K40" s="327"/>
    </row>
    <row r="41" spans="1:11" ht="12.75" customHeight="1">
      <c r="A41" s="325"/>
      <c r="B41" s="326"/>
      <c r="C41" s="326"/>
      <c r="D41" s="326"/>
      <c r="E41" s="326"/>
      <c r="F41" s="326"/>
      <c r="G41" s="326"/>
      <c r="H41" s="326"/>
      <c r="I41" s="326"/>
      <c r="J41" s="326"/>
      <c r="K41" s="327"/>
    </row>
    <row r="42" spans="1:11" ht="12.75" customHeight="1">
      <c r="A42" s="325"/>
      <c r="B42" s="326"/>
      <c r="C42" s="326"/>
      <c r="D42" s="326"/>
      <c r="E42" s="326"/>
      <c r="F42" s="326"/>
      <c r="G42" s="326"/>
      <c r="H42" s="326"/>
      <c r="I42" s="326"/>
      <c r="J42" s="326"/>
      <c r="K42" s="327"/>
    </row>
    <row r="43" spans="1:11" ht="12.75" customHeight="1">
      <c r="A43" s="325"/>
      <c r="B43" s="326"/>
      <c r="C43" s="326"/>
      <c r="D43" s="326"/>
      <c r="E43" s="326"/>
      <c r="F43" s="326"/>
      <c r="G43" s="326"/>
      <c r="H43" s="326"/>
      <c r="I43" s="326"/>
      <c r="J43" s="326"/>
      <c r="K43" s="327"/>
    </row>
    <row r="44" spans="1:11" ht="12.75" customHeight="1">
      <c r="A44" s="325"/>
      <c r="B44" s="326"/>
      <c r="C44" s="326"/>
      <c r="D44" s="326"/>
      <c r="E44" s="326"/>
      <c r="F44" s="326"/>
      <c r="G44" s="326"/>
      <c r="H44" s="326"/>
      <c r="I44" s="326"/>
      <c r="J44" s="326"/>
      <c r="K44" s="327"/>
    </row>
    <row r="45" spans="1:11" ht="12.75" customHeight="1">
      <c r="A45" s="325"/>
      <c r="B45" s="326"/>
      <c r="C45" s="326"/>
      <c r="D45" s="326"/>
      <c r="E45" s="326"/>
      <c r="F45" s="326"/>
      <c r="G45" s="326"/>
      <c r="H45" s="326"/>
      <c r="I45" s="326"/>
      <c r="J45" s="326"/>
      <c r="K45" s="327"/>
    </row>
    <row r="46" spans="1:11" ht="12.75" customHeight="1">
      <c r="A46" s="325"/>
      <c r="B46" s="326"/>
      <c r="C46" s="326"/>
      <c r="D46" s="326"/>
      <c r="E46" s="326"/>
      <c r="F46" s="326"/>
      <c r="G46" s="326"/>
      <c r="H46" s="326"/>
      <c r="I46" s="326"/>
      <c r="J46" s="326"/>
      <c r="K46" s="327"/>
    </row>
    <row r="47" spans="1:11" ht="12.75" customHeight="1">
      <c r="A47" s="325"/>
      <c r="B47" s="326"/>
      <c r="C47" s="326"/>
      <c r="D47" s="326"/>
      <c r="E47" s="326"/>
      <c r="F47" s="326"/>
      <c r="G47" s="326"/>
      <c r="H47" s="326"/>
      <c r="I47" s="326"/>
      <c r="J47" s="326"/>
      <c r="K47" s="327"/>
    </row>
    <row r="48" spans="1:11" ht="12.75" customHeight="1">
      <c r="A48" s="325"/>
      <c r="B48" s="326"/>
      <c r="C48" s="326"/>
      <c r="D48" s="326"/>
      <c r="E48" s="326"/>
      <c r="F48" s="326"/>
      <c r="G48" s="326"/>
      <c r="H48" s="326"/>
      <c r="I48" s="326"/>
      <c r="J48" s="326"/>
      <c r="K48" s="327"/>
    </row>
    <row r="49" spans="1:11" ht="12.75" customHeight="1">
      <c r="A49" s="325"/>
      <c r="B49" s="326"/>
      <c r="C49" s="326"/>
      <c r="D49" s="326"/>
      <c r="E49" s="326"/>
      <c r="F49" s="326"/>
      <c r="G49" s="326"/>
      <c r="H49" s="326"/>
      <c r="I49" s="326"/>
      <c r="J49" s="326"/>
      <c r="K49" s="327"/>
    </row>
    <row r="50" spans="1:11">
      <c r="A50" s="325"/>
      <c r="B50" s="326"/>
      <c r="C50" s="326"/>
      <c r="D50" s="326"/>
      <c r="E50" s="326"/>
      <c r="F50" s="326"/>
      <c r="G50" s="326"/>
      <c r="H50" s="326"/>
      <c r="I50" s="326"/>
      <c r="J50" s="326"/>
      <c r="K50" s="327"/>
    </row>
    <row r="51" spans="1:11">
      <c r="A51" s="325"/>
      <c r="B51" s="326"/>
      <c r="C51" s="326"/>
      <c r="D51" s="326"/>
      <c r="E51" s="326"/>
      <c r="F51" s="326"/>
      <c r="G51" s="326"/>
      <c r="H51" s="326"/>
      <c r="I51" s="326"/>
      <c r="J51" s="326"/>
      <c r="K51" s="327"/>
    </row>
    <row r="52" spans="1:11">
      <c r="A52" s="325"/>
      <c r="B52" s="326"/>
      <c r="C52" s="326"/>
      <c r="D52" s="326"/>
      <c r="E52" s="326"/>
      <c r="F52" s="326"/>
      <c r="G52" s="326"/>
      <c r="H52" s="326"/>
      <c r="I52" s="326"/>
      <c r="J52" s="326"/>
      <c r="K52" s="327"/>
    </row>
    <row r="53" spans="1:11">
      <c r="A53" s="325"/>
      <c r="B53" s="326"/>
      <c r="C53" s="326"/>
      <c r="D53" s="326"/>
      <c r="E53" s="326"/>
      <c r="F53" s="326"/>
      <c r="G53" s="326"/>
      <c r="H53" s="326"/>
      <c r="I53" s="326"/>
      <c r="J53" s="326"/>
      <c r="K53" s="327"/>
    </row>
    <row r="54" spans="1:11">
      <c r="A54" s="325"/>
      <c r="B54" s="326"/>
      <c r="C54" s="326"/>
      <c r="D54" s="326"/>
      <c r="E54" s="326"/>
      <c r="F54" s="326"/>
      <c r="G54" s="326"/>
      <c r="H54" s="326"/>
      <c r="I54" s="326"/>
      <c r="J54" s="326"/>
      <c r="K54" s="327"/>
    </row>
    <row r="55" spans="1:11">
      <c r="A55" s="325"/>
      <c r="B55" s="326"/>
      <c r="C55" s="326"/>
      <c r="D55" s="326"/>
      <c r="E55" s="326"/>
      <c r="F55" s="326"/>
      <c r="G55" s="326"/>
      <c r="H55" s="326"/>
      <c r="I55" s="326"/>
      <c r="J55" s="326"/>
      <c r="K55" s="327"/>
    </row>
    <row r="56" spans="1:11">
      <c r="A56" s="325"/>
      <c r="B56" s="326"/>
      <c r="C56" s="326"/>
      <c r="D56" s="326"/>
      <c r="E56" s="326"/>
      <c r="F56" s="326"/>
      <c r="G56" s="326"/>
      <c r="H56" s="326"/>
      <c r="I56" s="326"/>
      <c r="J56" s="326"/>
      <c r="K56" s="327"/>
    </row>
    <row r="57" spans="1:11">
      <c r="A57" s="325"/>
      <c r="B57" s="326"/>
      <c r="C57" s="326"/>
      <c r="D57" s="326"/>
      <c r="E57" s="326"/>
      <c r="F57" s="326"/>
      <c r="G57" s="326"/>
      <c r="H57" s="326"/>
      <c r="I57" s="326"/>
      <c r="J57" s="326"/>
      <c r="K57" s="327"/>
    </row>
    <row r="58" spans="1:11">
      <c r="A58" s="325"/>
      <c r="B58" s="326"/>
      <c r="C58" s="326"/>
      <c r="D58" s="326"/>
      <c r="E58" s="326"/>
      <c r="F58" s="326"/>
      <c r="G58" s="326"/>
      <c r="H58" s="326"/>
      <c r="I58" s="326"/>
      <c r="J58" s="326"/>
      <c r="K58" s="327"/>
    </row>
    <row r="59" spans="1:11">
      <c r="A59" s="325"/>
      <c r="B59" s="326"/>
      <c r="C59" s="326"/>
      <c r="D59" s="326"/>
      <c r="E59" s="326"/>
      <c r="F59" s="326"/>
      <c r="G59" s="326"/>
      <c r="H59" s="326"/>
      <c r="I59" s="326"/>
      <c r="J59" s="326"/>
      <c r="K59" s="327"/>
    </row>
    <row r="60" spans="1:11">
      <c r="A60" s="325"/>
      <c r="B60" s="326"/>
      <c r="C60" s="326"/>
      <c r="D60" s="326"/>
      <c r="E60" s="326"/>
      <c r="F60" s="326"/>
      <c r="G60" s="326"/>
      <c r="H60" s="326"/>
      <c r="I60" s="326"/>
      <c r="J60" s="326"/>
      <c r="K60" s="327"/>
    </row>
    <row r="61" spans="1:11">
      <c r="A61" s="325"/>
      <c r="B61" s="326"/>
      <c r="C61" s="326"/>
      <c r="D61" s="326"/>
      <c r="E61" s="326"/>
      <c r="F61" s="326"/>
      <c r="G61" s="326"/>
      <c r="H61" s="326"/>
      <c r="I61" s="326"/>
      <c r="J61" s="326"/>
      <c r="K61" s="327"/>
    </row>
    <row r="62" spans="1:11">
      <c r="A62" s="325"/>
      <c r="B62" s="326"/>
      <c r="C62" s="326"/>
      <c r="D62" s="326"/>
      <c r="E62" s="326"/>
      <c r="F62" s="326"/>
      <c r="G62" s="326"/>
      <c r="H62" s="326"/>
      <c r="I62" s="326"/>
      <c r="J62" s="326"/>
      <c r="K62" s="327"/>
    </row>
    <row r="63" spans="1:11">
      <c r="A63" s="325"/>
      <c r="B63" s="326"/>
      <c r="C63" s="326"/>
      <c r="D63" s="326"/>
      <c r="E63" s="326"/>
      <c r="F63" s="326"/>
      <c r="G63" s="326"/>
      <c r="H63" s="326"/>
      <c r="I63" s="326"/>
      <c r="J63" s="326"/>
      <c r="K63" s="327"/>
    </row>
    <row r="64" spans="1:11">
      <c r="A64" s="325"/>
      <c r="B64" s="326"/>
      <c r="C64" s="326"/>
      <c r="D64" s="326"/>
      <c r="E64" s="326"/>
      <c r="F64" s="326"/>
      <c r="G64" s="326"/>
      <c r="H64" s="326"/>
      <c r="I64" s="326"/>
      <c r="J64" s="326"/>
      <c r="K64" s="327"/>
    </row>
    <row r="65" spans="1:11">
      <c r="A65" s="325"/>
      <c r="B65" s="326"/>
      <c r="C65" s="326"/>
      <c r="D65" s="326"/>
      <c r="E65" s="326"/>
      <c r="F65" s="326"/>
      <c r="G65" s="326"/>
      <c r="H65" s="326"/>
      <c r="I65" s="326"/>
      <c r="J65" s="326"/>
      <c r="K65" s="327"/>
    </row>
    <row r="66" spans="1:11">
      <c r="A66" s="325"/>
      <c r="B66" s="326"/>
      <c r="C66" s="326"/>
      <c r="D66" s="326"/>
      <c r="E66" s="326"/>
      <c r="F66" s="326"/>
      <c r="G66" s="326"/>
      <c r="H66" s="326"/>
      <c r="I66" s="326"/>
      <c r="J66" s="326"/>
      <c r="K66" s="327"/>
    </row>
    <row r="67" spans="1:11">
      <c r="A67" s="328"/>
      <c r="B67" s="329"/>
      <c r="C67" s="329"/>
      <c r="D67" s="329"/>
      <c r="E67" s="329"/>
      <c r="F67" s="329"/>
      <c r="G67" s="329"/>
      <c r="H67" s="329"/>
      <c r="I67" s="329"/>
      <c r="J67" s="329"/>
      <c r="K67" s="330"/>
    </row>
    <row r="131" spans="1:1">
      <c r="A131" t="s">
        <v>748</v>
      </c>
    </row>
    <row r="132" spans="1:1">
      <c r="A132" t="s">
        <v>749</v>
      </c>
    </row>
    <row r="133" spans="1:1">
      <c r="A133" t="s">
        <v>750</v>
      </c>
    </row>
    <row r="134" spans="1:1">
      <c r="A134" t="s">
        <v>751</v>
      </c>
    </row>
    <row r="135" spans="1:1">
      <c r="A135" t="s">
        <v>692</v>
      </c>
    </row>
    <row r="136" spans="1:1">
      <c r="A136" t="s">
        <v>752</v>
      </c>
    </row>
    <row r="137" spans="1:1">
      <c r="A137" t="s">
        <v>753</v>
      </c>
    </row>
    <row r="138" spans="1:1">
      <c r="A138" t="s">
        <v>754</v>
      </c>
    </row>
    <row r="139" spans="1:1">
      <c r="A139" t="s">
        <v>755</v>
      </c>
    </row>
    <row r="140" spans="1:1">
      <c r="A140" t="s">
        <v>691</v>
      </c>
    </row>
    <row r="141" spans="1:1">
      <c r="A141" t="s">
        <v>756</v>
      </c>
    </row>
    <row r="142" spans="1:1">
      <c r="A142" t="s">
        <v>757</v>
      </c>
    </row>
    <row r="143" spans="1:1">
      <c r="A143" t="s">
        <v>758</v>
      </c>
    </row>
    <row r="144" spans="1:1">
      <c r="A144" t="s">
        <v>759</v>
      </c>
    </row>
    <row r="145" spans="1:1">
      <c r="A145" t="s">
        <v>760</v>
      </c>
    </row>
    <row r="146" spans="1:1">
      <c r="A146" t="s">
        <v>761</v>
      </c>
    </row>
    <row r="147" spans="1:1">
      <c r="A147" t="s">
        <v>762</v>
      </c>
    </row>
    <row r="148" spans="1:1">
      <c r="A148" t="s">
        <v>705</v>
      </c>
    </row>
    <row r="149" spans="1:1">
      <c r="A149" t="s">
        <v>763</v>
      </c>
    </row>
    <row r="150" spans="1:1">
      <c r="A150" t="s">
        <v>764</v>
      </c>
    </row>
    <row r="151" spans="1:1">
      <c r="A151" t="s">
        <v>765</v>
      </c>
    </row>
    <row r="152" spans="1:1">
      <c r="A152" t="s">
        <v>766</v>
      </c>
    </row>
    <row r="153" spans="1:1">
      <c r="A153" t="s">
        <v>767</v>
      </c>
    </row>
    <row r="154" spans="1:1">
      <c r="A154" t="s">
        <v>768</v>
      </c>
    </row>
    <row r="155" spans="1:1">
      <c r="A155" t="s">
        <v>769</v>
      </c>
    </row>
    <row r="156" spans="1:1">
      <c r="A156" t="s">
        <v>770</v>
      </c>
    </row>
    <row r="157" spans="1:1">
      <c r="A157" t="s">
        <v>771</v>
      </c>
    </row>
    <row r="158" spans="1:1">
      <c r="A158" t="s">
        <v>772</v>
      </c>
    </row>
    <row r="159" spans="1:1">
      <c r="A159" t="s">
        <v>773</v>
      </c>
    </row>
    <row r="160" spans="1:1">
      <c r="A160" t="s">
        <v>774</v>
      </c>
    </row>
    <row r="161" spans="1:1">
      <c r="A161" t="s">
        <v>775</v>
      </c>
    </row>
    <row r="162" spans="1:1">
      <c r="A162" t="s">
        <v>776</v>
      </c>
    </row>
    <row r="163" spans="1:1">
      <c r="A163" t="s">
        <v>777</v>
      </c>
    </row>
    <row r="164" spans="1:1">
      <c r="A164" t="s">
        <v>778</v>
      </c>
    </row>
    <row r="165" spans="1:1">
      <c r="A165" t="s">
        <v>779</v>
      </c>
    </row>
    <row r="166" spans="1:1">
      <c r="A166" t="s">
        <v>780</v>
      </c>
    </row>
    <row r="212" spans="1:1">
      <c r="A212" t="s">
        <v>781</v>
      </c>
    </row>
    <row r="214" spans="1:1">
      <c r="A214" t="s">
        <v>782</v>
      </c>
    </row>
    <row r="215" spans="1:1">
      <c r="A215" t="s">
        <v>783</v>
      </c>
    </row>
    <row r="216" spans="1:1">
      <c r="A216" t="s">
        <v>784</v>
      </c>
    </row>
    <row r="217" spans="1:1">
      <c r="A217" t="s">
        <v>785</v>
      </c>
    </row>
    <row r="218" spans="1:1">
      <c r="A218" t="s">
        <v>786</v>
      </c>
    </row>
    <row r="219" spans="1:1">
      <c r="A219" t="s">
        <v>787</v>
      </c>
    </row>
    <row r="220" spans="1:1">
      <c r="A220" t="s">
        <v>788</v>
      </c>
    </row>
    <row r="221" spans="1:1">
      <c r="A221" t="s">
        <v>789</v>
      </c>
    </row>
    <row r="222" spans="1:1">
      <c r="A222" t="s">
        <v>790</v>
      </c>
    </row>
    <row r="223" spans="1:1">
      <c r="A223" t="s">
        <v>791</v>
      </c>
    </row>
    <row r="224" spans="1:1">
      <c r="A224" t="s">
        <v>792</v>
      </c>
    </row>
    <row r="225" spans="1:1">
      <c r="A225" t="s">
        <v>793</v>
      </c>
    </row>
    <row r="226" spans="1:1">
      <c r="A226" t="s">
        <v>794</v>
      </c>
    </row>
    <row r="227" spans="1:1">
      <c r="A227" t="s">
        <v>795</v>
      </c>
    </row>
  </sheetData>
  <mergeCells count="8">
    <mergeCell ref="A14:K14"/>
    <mergeCell ref="A15:K67"/>
    <mergeCell ref="A1:K1"/>
    <mergeCell ref="A2:K2"/>
    <mergeCell ref="A5:K5"/>
    <mergeCell ref="A6:K8"/>
    <mergeCell ref="A11:K11"/>
    <mergeCell ref="A12:K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C1BB5-A415-49B2-A5BF-147D1277FCBB}">
  <dimension ref="A1:S445"/>
  <sheetViews>
    <sheetView workbookViewId="0">
      <selection activeCell="D5" sqref="D5"/>
    </sheetView>
  </sheetViews>
  <sheetFormatPr defaultRowHeight="16.2"/>
  <cols>
    <col min="1" max="1" width="140.5546875" customWidth="1"/>
    <col min="17" max="20" width="38.5546875" customWidth="1"/>
  </cols>
  <sheetData>
    <row r="1" spans="1:19">
      <c r="Q1" s="245" t="s">
        <v>739</v>
      </c>
      <c r="R1" s="245" t="s">
        <v>740</v>
      </c>
      <c r="S1" s="245" t="s">
        <v>424</v>
      </c>
    </row>
    <row r="2" spans="1:19">
      <c r="Q2" s="245" t="s">
        <v>741</v>
      </c>
      <c r="R2" s="245">
        <v>99999999999</v>
      </c>
      <c r="S2" s="245">
        <v>11111111111</v>
      </c>
    </row>
    <row r="4" spans="1:19" hidden="1"/>
    <row r="5" spans="1:19" ht="408.75" customHeight="1">
      <c r="A5" s="287" t="s">
        <v>796</v>
      </c>
    </row>
    <row r="6" spans="1:19">
      <c r="A6" s="267"/>
      <c r="Q6" s="244"/>
      <c r="R6" s="244"/>
      <c r="S6" s="244"/>
    </row>
    <row r="9" spans="1:19" ht="12.75" customHeight="1"/>
    <row r="10" spans="1:19" ht="12.75" customHeight="1"/>
    <row r="11" spans="1:19" ht="12.75" customHeight="1"/>
    <row r="12" spans="1:19" ht="12.75" customHeight="1"/>
    <row r="13" spans="1:19" ht="12.75" customHeight="1"/>
    <row r="14" spans="1:19" ht="12.75" customHeight="1"/>
    <row r="15" spans="1:19" ht="12.75" customHeight="1"/>
    <row r="16" spans="1:19"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45" spans="1:1">
      <c r="A445" t="s">
        <v>797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92D4BB-A1B7-409C-B13C-812A698B41DC}">
  <ds:schemaRefs>
    <ds:schemaRef ds:uri="http://schemas.microsoft.com/sharepoint/v3/contenttype/forms"/>
  </ds:schemaRefs>
</ds:datastoreItem>
</file>

<file path=customXml/itemProps2.xml><?xml version="1.0" encoding="utf-8"?>
<ds:datastoreItem xmlns:ds="http://schemas.openxmlformats.org/officeDocument/2006/customXml" ds:itemID="{622850D4-578B-4EFE-A74D-C7E2480536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C2760B-685C-464B-A957-7BE46001A94F}">
  <ds:schemaRefs>
    <ds:schemaRef ds:uri="http://schemas.microsoft.com/office/2006/metadata/properties"/>
    <ds:schemaRef ds:uri="http://schemas.microsoft.com/office/infopath/2007/PartnerControls"/>
    <ds:schemaRef ds:uri="http://schemas.microsoft.com/sharepoint/v3"/>
    <ds:schemaRef ds:uri="09d3dac3-f296-4107-b579-4b1e37be6169"/>
    <ds:schemaRef ds:uri="5ad20f8b-9281-4829-a9aa-2b5a878ba2cc"/>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PDS</vt:lpstr>
      <vt:lpstr>Mapeamentos</vt:lpstr>
      <vt:lpstr>Notas LT002</vt:lpstr>
      <vt:lpstr>Notas Financeira</vt:lpstr>
      <vt:lpstr>Diagrama_Estrutura_Accionista</vt:lpstr>
      <vt:lpstr>draft</vt:lpstr>
      <vt:lpstr>Sheet1</vt:lpstr>
      <vt:lpstr>AUX</vt:lpstr>
      <vt:lpstr>CREATE TABLE bail_in_srb</vt:lpstr>
      <vt:lpstr>CREATE &amp; INSERT temps</vt:lpstr>
      <vt:lpstr>INSERT bail_in_srb</vt:lpstr>
      <vt:lpstr>Mapeamentos!_Toc51154475</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Nuno Capelão Mendes</dc:creator>
  <cp:keywords/>
  <dc:description/>
  <cp:lastModifiedBy>Pedro Frederico Matos Regalado de Oliveira</cp:lastModifiedBy>
  <cp:revision/>
  <dcterms:created xsi:type="dcterms:W3CDTF">2024-06-24T08:49:13Z</dcterms:created>
  <dcterms:modified xsi:type="dcterms:W3CDTF">2025-10-21T10:08:03Z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