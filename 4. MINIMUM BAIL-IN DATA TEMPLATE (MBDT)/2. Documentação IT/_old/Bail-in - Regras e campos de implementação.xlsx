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09"/>
  <workbookPr/>
  <mc:AlternateContent xmlns:mc="http://schemas.openxmlformats.org/markup-compatibility/2006">
    <mc:Choice Requires="x15">
      <x15ac:absPath xmlns:x15ac="http://schemas.microsoft.com/office/spreadsheetml/2010/11/ac" url="C:\Users\e858309\Santander Office 365\Reports Financeira - General\4. MINIMUM BAIL-IN DATA TEMPLATE (MBDT)\1. Documentação\2. Documentação IT\"/>
    </mc:Choice>
  </mc:AlternateContent>
  <xr:revisionPtr revIDLastSave="0" documentId="11_ED950060EDD3D71F69C40FF1BF4F0EB85EB4B345" xr6:coauthVersionLast="47" xr6:coauthVersionMax="47" xr10:uidLastSave="{00000000-0000-0000-0000-000000000000}"/>
  <bookViews>
    <workbookView xWindow="0" yWindow="0" windowWidth="19200" windowHeight="6435" tabRatio="906" firstSheet="1" activeTab="1" xr2:uid="{00000000-000D-0000-FFFF-FFFF00000000}"/>
  </bookViews>
  <sheets>
    <sheet name="PDS" sheetId="6" r:id="rId1"/>
    <sheet name="Mapeamentos" sheetId="1" r:id="rId2"/>
    <sheet name="Notas Financeira" sheetId="7" r:id="rId3"/>
  </sheets>
  <definedNames>
    <definedName name="_xlnm._FilterDatabase" localSheetId="1" hidden="1">Mapeamentos!$B$3:$D$16</definedName>
    <definedName name="_xlnm._FilterDatabase" localSheetId="0" hidden="1">PDS!#REF!</definedName>
    <definedName name="_Toc51154475" localSheetId="1">Mapeamentos!$B$3</definedName>
    <definedName name="_Toc51154475" localSheetId="0">PDS!#REF!</definedName>
    <definedName name="_Toc51154476" localSheetId="1">Mapeamentos!#REF!</definedName>
    <definedName name="_Toc51154476" localSheetId="0">PDS!#REF!</definedName>
    <definedName name="_Toc51154477" localSheetId="1">Mapeamentos!#REF!</definedName>
    <definedName name="_Toc51154477" localSheetId="0">PDS!#REF!</definedName>
    <definedName name="_Toc51154478" localSheetId="1">Mapeamentos!#REF!</definedName>
    <definedName name="_Toc51154478" localSheetId="0">PDS!#REF!</definedName>
    <definedName name="_Toc51154479" localSheetId="1">Mapeamentos!#REF!</definedName>
    <definedName name="_Toc51154479" localSheetId="0">PDS!#REF!</definedName>
    <definedName name="_Toc51154480" localSheetId="1">Mapeamentos!#REF!</definedName>
    <definedName name="_Toc51154480" localSheetId="0">PDS!#REF!</definedName>
    <definedName name="_Toc51154482" localSheetId="1">Mapeamentos!#REF!</definedName>
    <definedName name="_Toc51154482" localSheetId="0">PDS!#REF!</definedName>
    <definedName name="_Toc51154483" localSheetId="1">Mapeamentos!#REF!</definedName>
    <definedName name="_Toc51154483" localSheetId="0">PDS!#REF!</definedName>
    <definedName name="_Toc51154484" localSheetId="1">Mapeamentos!#REF!</definedName>
    <definedName name="_Toc51154484" localSheetId="0">PDS!#REF!</definedName>
    <definedName name="_Toc51154485" localSheetId="1">Mapeamentos!#REF!</definedName>
    <definedName name="_Toc51154485" localSheetId="0">PDS!#REF!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6" l="1"/>
  <c r="C5" i="1"/>
  <c r="C6" i="1" s="1"/>
  <c r="C7" i="1" s="1"/>
  <c r="C8" i="1" s="1"/>
  <c r="C9" i="1" s="1"/>
  <c r="C10" i="1" s="1"/>
  <c r="C11" i="1" s="1"/>
  <c r="C12" i="1" s="1"/>
  <c r="C13" i="1" s="1"/>
  <c r="C14" i="1" s="1"/>
  <c r="C15" i="1" s="1"/>
  <c r="C16" i="1" s="1"/>
  <c r="A3" i="7" l="1"/>
  <c r="A4" i="7" s="1"/>
</calcChain>
</file>

<file path=xl/sharedStrings.xml><?xml version="1.0" encoding="utf-8"?>
<sst xmlns="http://schemas.openxmlformats.org/spreadsheetml/2006/main" count="365" uniqueCount="231">
  <si>
    <t>Tipo</t>
  </si>
  <si>
    <t>Total</t>
  </si>
  <si>
    <t>4.2.1. DATA POINTS FOR IDENTIFICATION</t>
  </si>
  <si>
    <t>4.2.2. DATA POINTS FOR LINK WITH OWN FUNDS</t>
  </si>
  <si>
    <t>4.2.3. DATA POINTS FOR LINK WITH ACCOUNTING</t>
  </si>
  <si>
    <t>4.2.4. DATA POINTS FOR AMOUNTS REQUIRED FOR CALCULATION</t>
  </si>
  <si>
    <t>4.2.5. DATA POINTS FOR INFORMATION ON THE INVESTOR/CREDITOR</t>
  </si>
  <si>
    <t>4.2.6. DATA POINTS FOR GUARANTEES</t>
  </si>
  <si>
    <t>Instruções SRB</t>
  </si>
  <si>
    <t>Análise IT</t>
  </si>
  <si>
    <t>Mapeamento Financeira</t>
  </si>
  <si>
    <t>SRB_ID</t>
  </si>
  <si>
    <t>Data Point</t>
  </si>
  <si>
    <t>Attribute</t>
  </si>
  <si>
    <t>Definition</t>
  </si>
  <si>
    <t>Nome do campo na tabela</t>
  </si>
  <si>
    <t>Nome do campo no ficheiro</t>
  </si>
  <si>
    <t>Mapeamento LT / Comentários</t>
  </si>
  <si>
    <t>Description  LT</t>
  </si>
  <si>
    <t>Field Definition LT</t>
  </si>
  <si>
    <t>Estado especificação</t>
  </si>
  <si>
    <t>Tabela Data Lake</t>
  </si>
  <si>
    <t>Campo Data Lake</t>
  </si>
  <si>
    <t>Comentário</t>
  </si>
  <si>
    <t xml:space="preserve">Legal entity </t>
  </si>
  <si>
    <t>[Entity name]</t>
  </si>
  <si>
    <t>Name of the subsidiary. Free-form text identification of incorporation name of the entity for which the table is reported. Please state the official name as it is listed in corporate acts, including the indication of the incorporation form.</t>
  </si>
  <si>
    <t>novo campo ENTIDADE (vai buscar a descrição à perimetro)
LT002_INSTRUMENT.ENTIDADE
O campo ENTIDADE assume os valores 00100, 00110, 00160, … O Descritivo deste código está no campo descricao  da  cd_captools.perimetro (o código está no campo cod_soc_cpus).
É acrescentar uma parametrização à LT803 para este ambito (com o mesmo mapeamento da cd_captools.perimetro) dado que nos outros âmbitos não existe parametrização. 
Ou cria-se um novo campo, por exemplo COD_SOC_DESC que obtia o descritivo da cd_captools.perimetro
Também existe: LT002_INSTRUMENT.ENTIDADE que contém o código cargabal da sociedade. Este campo assume os valores 00411, 00421, 00428, ... O Descritivo deste código está no campo descricao  da  cd_captools.perimetro (o código está no campo cod_soc_cpus).</t>
  </si>
  <si>
    <t>Campo Fixo - "Banco Santander Totta S.A."</t>
  </si>
  <si>
    <t>Legal entity identifier</t>
  </si>
  <si>
    <t>[LEI code]</t>
  </si>
  <si>
    <t>LEI code (unique code) identifying the reporting entity.</t>
  </si>
  <si>
    <t>Novo campo "LEI_RPRTNG_ENTTY".
Entidade -&gt; Clientes Intragrupo -&gt; zcliente/zcligrupo
- Haveria uma parametrização na LT803 para este novo campo que com base na Entidade teria o respetivo LEI, 
- Poderia adicionar-se o campo LEI à tabela cd_captools.perimetro? Iria-se buscar  o LEI a esta tabela com base no campo Entidade
Já existe um campo LEI, mas é o LEI da counterparty
LT003_ENTITY.LEI (Legal entity identifier Counterparty)</t>
  </si>
  <si>
    <t>Campo Fixo - "549300URJH9VSI58CS32"</t>
  </si>
  <si>
    <t xml:space="preserve">Unique identification number for the liability </t>
  </si>
  <si>
    <t>[ISIN/Specific ID]</t>
  </si>
  <si>
    <t>ID provided by the resolution entity for a  liability (e.g. ISIN, contract number, account number).</t>
  </si>
  <si>
    <t xml:space="preserve">LT002_INSTRUMENT.INSTRMNT_ID
Existe também o LT002_INSTRUMENT.ISIN mas o report terá outros passivos que não títulos (em que não existe ISIN) </t>
  </si>
  <si>
    <t>Instrument ID</t>
  </si>
  <si>
    <t>LT002_INSTRUMENT.INSTRMNT_ID:
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</si>
  <si>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 xml:space="preserve">AL029_CNT_CORE / AL030_SLD_CORE_M
CT610_titulos </t>
  </si>
  <si>
    <t>Chave cempresa_cbalcao_cnumecta_zdeposit para ALM
isin para emissões (títulos)</t>
  </si>
  <si>
    <t>Para todos os produtos menos emissões (títulos)
Para emissões (títulos)</t>
  </si>
  <si>
    <t>Nature of the instrument</t>
  </si>
  <si>
    <t>[e.g. bond, shares, reserves, contingent liability]</t>
  </si>
  <si>
    <t>Information on the nature of the liability</t>
  </si>
  <si>
    <t>Ver construção dos 2 campos
LT002_INSTRUMENT.TYP_INSTRMNT: Aparenta ter opções de Ativo (o que é natural dado que o LT é sobre ativo)
LT002_INSTRUMENT.INTRNL_SGMNT_CATGSUB
PRDCT ou os campos de  INTRNL_SGMNT% ou um campo de qq coisa_type</t>
  </si>
  <si>
    <t>cproduto / csubproduto / origem
Origem</t>
  </si>
  <si>
    <t xml:space="preserve">Code list dependendo do produto </t>
  </si>
  <si>
    <t>Jurisdiction governing the contract of the claim</t>
  </si>
  <si>
    <t>[e.g. FR, IT]</t>
  </si>
  <si>
    <t>ISO 3166-1 alpha 2-country code. The name of the country whose law governs the instrument. If the contract is governed by the law of more than one country, the jurisdiction, which has the highest relevance for the recognition of write down and conversion powers shall be reported. If required, IRT might also request the ISO 3166-2 to ensure more granular information (e.g. state level).</t>
  </si>
  <si>
    <t>Derivados, títulos, REPOs (passarão a vir da al012, falar com Barata), falar com Pedro Melo e Castro (depósitos) para garantir se é tudo PT..
Loans/Depos
Validar se existe mais alguma tipologia de passivo.
Reunião Confirmar com Pedro Henriques, rogério, sandra santos -&gt; se existe o conceito/campo de governing law no SIGOM.
'Ver campo "governing_law" na sheet Derivados do Report Valuation</t>
  </si>
  <si>
    <t xml:space="preserve">CT610_titulos </t>
  </si>
  <si>
    <t>lei_aplicavel</t>
  </si>
  <si>
    <t>Para todos os produtos menos emissões (títulos) - "PT"
Para emissões (títulos)</t>
  </si>
  <si>
    <t>Contract currency</t>
  </si>
  <si>
    <t>[e.g. EUR, USD]</t>
  </si>
  <si>
    <t>ISO 4217 currency code. The currency in which the instrument is issued.</t>
  </si>
  <si>
    <t>LT002_INSTRUMENT.CRRNCY_DNMNTN</t>
  </si>
  <si>
    <t>Currency denomination</t>
  </si>
  <si>
    <t>Currency denomination of instruments, in accordance with the ISO 4217 standard.</t>
  </si>
  <si>
    <t>cmoeda_pass
cmoeda</t>
  </si>
  <si>
    <t>Issuance Date</t>
  </si>
  <si>
    <t>[date]</t>
  </si>
  <si>
    <t>Date of the original issuance of the instrument</t>
  </si>
  <si>
    <t>LT002_INSTRUMENT.DT_INCPTN</t>
  </si>
  <si>
    <t>Date of inception</t>
  </si>
  <si>
    <t>The date on which the contractual relationship originated, i.e. the date on which the contract agreement becomes binding for all parties</t>
  </si>
  <si>
    <t>dinicio
dt_emissão</t>
  </si>
  <si>
    <t>Legal Maturity Date</t>
  </si>
  <si>
    <t>Date of the legal, final maturity of the instrument. For perpetual instruments, this should be ‘2099-01-31’.</t>
  </si>
  <si>
    <t>LT002_INSTRUMENT.DT_LGL_FNL_MTRTY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</si>
  <si>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</si>
  <si>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</si>
  <si>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dfim
dt_vencim</t>
  </si>
  <si>
    <t>Earliest redemption date</t>
  </si>
  <si>
    <t>If an option exists for the holders of the instrument to request early reimbursement, or conditions for early reimbursement are contractually foreseen, the earliest occurrence date should be completed. If the early reimbursement relates to only a portion of the liability (e.g. early reimbursement of 50% of the nominal amount), the liability should be split to take into account this partial early redemption clause.</t>
  </si>
  <si>
    <t>Novo campo: 
- ct610 para títulos (ver quando existem mais campos de datas). Ver no sentido do holder
- depositos (ver com Andreia Pontifice), onde poderia estar esta info. (ver nas DCTs 01, 02, ...).
- flag se permite ou não mob
- 2 datas (1ª data de mobilização, próxima mobiliz.)
- ver os CRPs (
- ficaria sem preenchimento para ativo
este campo deveria ser introduzido na ct004 (e depois herdado na fr004)
- colocar este ponto na reuniao com Pedro Henriques,....
No caso das DOs, seria o dia seguinte:</t>
  </si>
  <si>
    <t>AL029_CNT_CORE / AL030_SLD_CORE_M</t>
  </si>
  <si>
    <t>Para todos produtos é o dia seguinte à data de referência com exceção de títulos emitidos e derivados que é igual</t>
  </si>
  <si>
    <t>Date of the next interest payment</t>
  </si>
  <si>
    <t>The payment date from which the income distribution is made available for payment by the bank.</t>
  </si>
  <si>
    <t>dt_prox_liq_jur_pass
dt_proc_liq_jur</t>
  </si>
  <si>
    <t>Outstanding amount</t>
  </si>
  <si>
    <t>[Euro amount]</t>
  </si>
  <si>
    <t>The amount is the aggregate of the outstanding principal amount as at the request date plus, if applicable, interest accrued up to the request date and fees and charges, irrespective of whether and to what extent the relevant principal, interest or fees and charges liability was already due as at the request date and whether it is required to be recognised as an item of liabilities in the balance sheet of the subsidiary of the resolution entity prepared in accordance with the applicable accounting principles.</t>
  </si>
  <si>
    <t>LT002_INSTRUMENT.OTSTNDNG_NMNL_AMNT_INSTRMNT ???</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</si>
  <si>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</si>
  <si>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</si>
  <si>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mon_cap_st1_vivo</t>
  </si>
  <si>
    <t>Rank of liability within the bail-in cascade</t>
  </si>
  <si>
    <t>[number]</t>
  </si>
  <si>
    <t>Rank of liability according to the national insolvency ranking.</t>
  </si>
  <si>
    <t>Code list dependendo do produto</t>
  </si>
  <si>
    <t>Is the instrument structurally subordinated</t>
  </si>
  <si>
    <t>[yes/no]</t>
  </si>
  <si>
    <t>Flag to identify if a liability is issued to or bought by an existing shareholder that is not part of the same resolution group according to Article 12g(2)a point i SRMR.</t>
  </si>
  <si>
    <t>Type of own funds at point of entry (PoE) level</t>
  </si>
  <si>
    <t>[acc. LDR guidance]</t>
  </si>
  <si>
    <t>According to existing LDR guidance value can be ‘CET1’, ‘Fully Compliant AT1’, ‘Grandfathered AT1’, ‘Fully Compliant T2’, ‘Grandfathered T2’, ‘T2 in phase-out’ or ‘Partially AT1 and T2’.</t>
  </si>
  <si>
    <t>Origem</t>
  </si>
  <si>
    <t>Amount eligible as own funds at PoE level</t>
  </si>
  <si>
    <t>The actual amount in EUR of the instrument qualifying as own funds, taking into account phase-out as applicable.</t>
  </si>
  <si>
    <t>AL030_SLD_CORE_M</t>
  </si>
  <si>
    <t>mon_cap_st1_vivo + mon_jur_st1</t>
  </si>
  <si>
    <t>Fórmula dependendo do campo "origem" da CT610_títulos - 0 para que não tiver na CT610 o valor para o que tiver</t>
  </si>
  <si>
    <t>Amount of subordinated liabilities not eligible as own funds at PoE level</t>
  </si>
  <si>
    <t>The actual amount in EUR of the subordinated debt instrument not qualifying as own funds</t>
  </si>
  <si>
    <t>n/a</t>
  </si>
  <si>
    <t xml:space="preserve">If liability is, at the level of the resolution entity and/ or consolidated (CON) level, assigned to more than one own funds component </t>
  </si>
  <si>
    <t>[AT1/T2]</t>
  </si>
  <si>
    <t>This data point is requested for the case that the liability is assigned to more than one own funds component and is needed to calculate the impact of the write-down and conversion powers / bail-in tool on the own funds.</t>
  </si>
  <si>
    <t>Eligible amount for own funds component according to point above</t>
  </si>
  <si>
    <t>This data point is requested for the case that not the full amount of the liability is eligible as own funds.</t>
  </si>
  <si>
    <t>If own funds, agio of the liability/instrument</t>
  </si>
  <si>
    <t>To the extent relevant under (national) GAAP, bond premium classified in capital reserves.</t>
  </si>
  <si>
    <t>Carrying amount IFRS</t>
  </si>
  <si>
    <t>To the extent relevant for the bank, carrying amount under IFRS.</t>
  </si>
  <si>
    <t>LT002_INSTRUMENT.CRRYNG_AMNT_INSTRMNT
(este campo é calculado assim: GRSS_CRRYNG_AMNT_INSTRMNT - ACCMLTD_IMPRMNT_INSTRMNT
ou
LT002_INSTRUMENT.GRSS_CRRYNG_AMNT_INSTRMNT
(este campo vem do VALOR_BRUTO_ON)</t>
  </si>
  <si>
    <t>CRRYNG_AMNT_INSTRMNT:
Carrying amount
GRSS_CRRYNG_AMNT_INSTRMNT:
Gross carrying amount</t>
  </si>
  <si>
    <t>CRRYNG_AMNT_INSTRMNT:
Net carrying amount including accrued interest as laid down in Annex 5 Regulation 680/2014.
GRSS_CRRYNG_AMNT_INSTRMNT:
Reported gross carrying amount for the instrument according to definition in Annex V to Implementing Regulation (EU) No 680/2014.</t>
  </si>
  <si>
    <t>Carrying amount national GAAP</t>
  </si>
  <si>
    <t>Carrying amount under national GAAP</t>
  </si>
  <si>
    <t>LT002_INSTRUMENT.GRSS_CRRYNG_AMNT_INSTRM</t>
  </si>
  <si>
    <t>Original amount issued in EUR</t>
  </si>
  <si>
    <t>Original amount issued in EUR.</t>
  </si>
  <si>
    <t>LT002_INSTRUMENT.CMMTMNT_INCPTN_INSTRMNT
não deve ser este dado que segundo a definição LT, é a exposição ao risco de crédito. Aqui falamos de passivo, não de ativo.</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</si>
  <si>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</si>
  <si>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</si>
  <si>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Original amount issued in foreign currency</t>
  </si>
  <si>
    <t>[Amount in FX]</t>
  </si>
  <si>
    <t>Original amount issued in foreign currency.</t>
  </si>
  <si>
    <t>Outstanding principal amount</t>
  </si>
  <si>
    <t>Value of the outstanding principal amount of the instrument.</t>
  </si>
  <si>
    <t xml:space="preserve">LT002_INSTRUMENT.OTSTNDNG_NMNL_AMNT_INSTRMNT
</t>
  </si>
  <si>
    <t>Accrued interest</t>
  </si>
  <si>
    <t>Value of the outstanding accrued interest on the instrument.</t>
  </si>
  <si>
    <t>LT002_INSTRUMENT.ACCRD_INTRST_INSTRMNT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</si>
  <si>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</si>
  <si>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</si>
  <si>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mon_jur_st1</t>
  </si>
  <si>
    <t>Relevant amount for write-down/conversion</t>
  </si>
  <si>
    <t>Amount eligible for calculation of write-down / conversion rate. Defined as the outstanding amount of the liability (including accrued interest) less existing components not subject to write-down / conversion power according to Article 21 SRMR. In jurisdictions where accrued interest may not rank pari passu to the liability amount, jurisdictions may want to request reporting of interest accruals on separate line items</t>
  </si>
  <si>
    <t>será o mesmo mapeamento do SRB_ID 24</t>
  </si>
  <si>
    <t xml:space="preserve">Portion of the liability held by the resolution entity </t>
  </si>
  <si>
    <t>Portion of the liability held by the subsidiary itself as principal amount plus accrued interest and fees and charges (if applicable)</t>
  </si>
  <si>
    <t>Sempre 0</t>
  </si>
  <si>
    <t>Instrument/liability meets the requirements of Article 21(7a) SRMR</t>
  </si>
  <si>
    <t>Flag to identify if a liability fulfils the criteria laid down in Article 21(7)a SRMR (conditions referred to in point (a) of Article 12g(2) SRMR, except the condition related to the remaining maturity of liabilities as set out in Article 72c(1) CRR).</t>
  </si>
  <si>
    <t>Applicable fees and charges</t>
  </si>
  <si>
    <t>Total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or the accrued interest or a separate liability. Fees and charges do not comprise agios or fees in conjunction with the listing of an instrument.</t>
  </si>
  <si>
    <t>mon_comissões + mon_despesas</t>
  </si>
  <si>
    <t>Country of contracting party</t>
  </si>
  <si>
    <t>[Country Code]</t>
  </si>
  <si>
    <t>Home State of the counterparty (investor/creditor).</t>
  </si>
  <si>
    <t>ct003_univ_cli</t>
  </si>
  <si>
    <t>cpais_doc_residencia</t>
  </si>
  <si>
    <t>code list com base neste campo</t>
  </si>
  <si>
    <t>Tax residence of contracting party</t>
  </si>
  <si>
    <t>Tax residence of the counterparty (investor/creditor), if Home State of the counterparty is not available.</t>
  </si>
  <si>
    <t>cpais_doc_identif1</t>
  </si>
  <si>
    <t xml:space="preserve">Name of contracting party </t>
  </si>
  <si>
    <t>[Name]</t>
  </si>
  <si>
    <t>The name of the investor/creditor</t>
  </si>
  <si>
    <t>gcliente</t>
  </si>
  <si>
    <t>Identifier of contracting party</t>
  </si>
  <si>
    <t>[LEI code/MFI ID/ Other ID]</t>
  </si>
  <si>
    <t>Please report the creditor’s LEI code, issued by the Global Legal Entity Identifier Foundation and recommended by the FSB. In the absence of a LEI code, the ECB Monetary Financial Institutions identifier (MFI ID) used in RIAD should be reported. Exclusively in absence of both these identifiers, other identifier could be reported (there should be only one unique identifier used per counterparty).</t>
  </si>
  <si>
    <t>clei</t>
  </si>
  <si>
    <t>Counterparty type</t>
  </si>
  <si>
    <t>Drop-down: Households (1) Non-financial corporations (SMEs) (2) Non-financial corporations (non-SMEs) (3) Credit institutions (4) Other financial corporations (5) General governments &amp; Central banks (6) Non-identified counterparties (listed on an exchange platform) (7) Non identified, not listed on an exchange platform. (8)</t>
  </si>
  <si>
    <t>Counterparty of the liability, i.e. households, non-financial corporations (SMEs), non-financial corporations (non-SMEs), Credit institutions, Other financial corporations, General governments &amp; Central banks, non-identified counterparties (listed on an exchange platform) or others.</t>
  </si>
  <si>
    <t>contraparte</t>
  </si>
  <si>
    <t>Counterparty within the resolution group</t>
  </si>
  <si>
    <t>Drop-down: - Intragroup and intra-resolution group (1) - Intragroup but not intra-resolution group (2) - No</t>
  </si>
  <si>
    <t>Flag whether the counterparty is part of the resolution group.</t>
  </si>
  <si>
    <t>zcliente</t>
  </si>
  <si>
    <t>code list com base neste campo.
Há uma flag se diz isto mas só se quer alguns dos intragrupos, não todos</t>
  </si>
  <si>
    <t>Identifier of the guarantee issued by the resolution entity, which is owed to the subsidiary/affiliated entity</t>
  </si>
  <si>
    <t>[Internal identification number]</t>
  </si>
  <si>
    <t>Identification number of the guaranteed liability in the group entity.</t>
  </si>
  <si>
    <t>Group counterparty identifier</t>
  </si>
  <si>
    <t>[LEI of the counterparty]</t>
  </si>
  <si>
    <t>LEI of the resolution entity or other entities of the group providing the guarantees.</t>
  </si>
  <si>
    <t>Amount of the guarantee provided by the resolution entity or other entities of the group, which is owed to the subsidiary/affiliated entity</t>
  </si>
  <si>
    <t>Outstanding amount guaranteed by the resolution entity</t>
  </si>
  <si>
    <t>Maximum amount of the guarantee</t>
  </si>
  <si>
    <t>Maximum amount guaranteed by the resolution entity.</t>
  </si>
  <si>
    <t>Type of guarantee</t>
  </si>
  <si>
    <t>Drop down: - Issuance (1) - Counterparty (2) - Unlimited (3) - Other (4)</t>
  </si>
  <si>
    <t>The type of guarantee from a  predefined list, either: - ‘Issuance’ for guarantees on specific instruments/liabilities that have been issued; - ‘Counterparty’ for guarantees granted to a  specific counterparty of the institution; - ‘Unlimited’ for general guarantees not limited to a fixed amount; - ‘Other types of guarantee than issuance guarantees, counterparty guarantees and unlimited guarantees’.</t>
  </si>
  <si>
    <t>Guarantee Trigger</t>
  </si>
  <si>
    <t>Drop down: - Default (1) - Solvency-related (2) - Liquidity-related (3) - Other (4)</t>
  </si>
  <si>
    <t>Provide the type of event triggering the activation of the guarantee/financial support, i.e. the event enabling the right for the counterparty to execute the guarantee, either ‘Default’, ‘Solvency-related’, Liquidity related’ or ‘Other’ from a predefined list.</t>
  </si>
  <si>
    <t>Guarantee fulfils the requirements pursuant to Article 12g(3) SRMR</t>
  </si>
  <si>
    <t>[Yes/No]</t>
  </si>
  <si>
    <t>Guarantee fulfils the requirements pursuant to Article 12g(3) SRMR. “Yes” should be selected only if the SRB officially recognised that all necessary requirements have been fulfilled</t>
  </si>
  <si>
    <t>Percentage of collateralisation of the guarantee provided by the resolution entity through a financial collateral arrangement</t>
  </si>
  <si>
    <t>[% of Euro amount]</t>
  </si>
  <si>
    <t>A financial collateral arrangement means a title transfer financial collateral arrangement or a security financial collateral arrangement whether or not these are covered by a master agreement or general terms and conditions.</t>
  </si>
  <si>
    <t>Issuance Date of the collateral</t>
  </si>
  <si>
    <t>Date of the original issuance of the collateral.</t>
  </si>
  <si>
    <t>Legal Maturity date</t>
  </si>
  <si>
    <t>Date of the legal, final maturity of the collateral.</t>
  </si>
  <si>
    <t>Identifier of the securities used as a collateral for the guarantee</t>
  </si>
  <si>
    <t>Identification number of the securities used as collateral for the guarantee.</t>
  </si>
  <si>
    <t>Collateralisation by assets of the resolution entity</t>
  </si>
  <si>
    <t>Identifier of whether liability has been collateralised by assets of the institution under resolution itself.</t>
  </si>
  <si>
    <t>Location of the security</t>
  </si>
  <si>
    <t>ISO 3166-1 alpha 2 country code (ISO 3166-1 alpha-2 codes of the country where the security is located).</t>
  </si>
  <si>
    <t xml:space="preserve">Type of collateralisation </t>
  </si>
  <si>
    <t>[e.g. securities, loans]</t>
  </si>
  <si>
    <t>Specify type of collateral as defined per Article 12g(3)(f) of SRMR and Article 197 CRR2.</t>
  </si>
  <si>
    <t>Value of collateral</t>
  </si>
  <si>
    <t>The amount of the value of the collateral as determined for the relevant ‘type of collateral value’. For unsecured liabilities, this category shall be reported as zero.</t>
  </si>
  <si>
    <t xml:space="preserve">Type of protection value </t>
  </si>
  <si>
    <t>Drop-down: - Notional amount (1) - Fair value (2) - Market value (3) - Long-term sustainable value (4) - Other protection value (5)</t>
  </si>
  <si>
    <t>Identification of the type of value as it appears in the data attribute ‘Value of collateral’.</t>
  </si>
  <si>
    <t>Date of the value of the security</t>
  </si>
  <si>
    <t>The date on which the most recent estimate or valuation of the collateral was carried out before the reporting reference date</t>
  </si>
  <si>
    <t>Protection valuation approach</t>
  </si>
  <si>
    <t>Drop-down: - Mark-to-market valuation (1) - Counterparty estimation (2) - Creditor valuation (3) - Third party valuation (4)</t>
  </si>
  <si>
    <t>The type of collateral assessment to determine their fair value.</t>
  </si>
  <si>
    <t>#</t>
  </si>
  <si>
    <t>Data set</t>
  </si>
  <si>
    <t>Terá de atacar as tabelas fazendo o filtro para passivo  com exceção do Data point 5 que tem uma parte de extrapatrimonial</t>
  </si>
  <si>
    <t>TODOS</t>
  </si>
  <si>
    <t>Os depósitos de clientes terá de ser feito um cruzamento com a tabela do FGD (FG001_FGD no cap tools). Os depósitos depois são divididos entre cobertos e não cobertos sendo que têm tratamento diferente consoante o caso.</t>
  </si>
  <si>
    <t>Para a parte das emissões de títulos, a ligação entre a AL029/AL030 e a CT610 deverá ser feita por ISIN/ZDEPOSIT</t>
  </si>
  <si>
    <t>1. DATA POINTS FOR 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</si>
</sst>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theme="1"/>
      <name val="Santander Text"/>
      <family val="2"/>
    </font>
    <font>
      <b/>
      <sz val="10"/>
      <color rgb="FFFFFFFF"/>
      <name val="Santander Text"/>
      <family val="2"/>
    </font>
    <font>
      <sz val="10"/>
      <color rgb="FF000000"/>
      <name val="Santander Text"/>
      <family val="2"/>
    </font>
    <font>
      <b/>
      <sz val="12"/>
      <color theme="0"/>
      <name val="Santander Text"/>
      <family val="2"/>
    </font>
    <font>
      <b/>
      <sz val="14"/>
      <color theme="0"/>
      <name val="Santander Text"/>
      <family val="2"/>
    </font>
    <font>
      <b/>
      <sz val="12"/>
      <color theme="1"/>
      <name val="Santander Text"/>
      <family val="2"/>
    </font>
    <font>
      <sz val="12"/>
      <color rgb="FF000000"/>
      <name val="Santander Text"/>
      <family val="2"/>
    </font>
    <font>
      <sz val="12"/>
      <color theme="1"/>
      <name val="Santander Text"/>
      <family val="2"/>
    </font>
  </fonts>
  <fills count="9">
    <fill>
      <patternFill patternType="none"/>
    </fill>
    <fill>
      <patternFill patternType="gray125"/>
    </fill>
    <fill>
      <patternFill patternType="solid">
        <fgColor rgb="FFFF0000"/>
        <bgColor indexed="64"/>
      </patternFill>
    </fill>
    <fill>
      <patternFill patternType="solid">
        <fgColor theme="2"/>
        <bgColor indexed="64"/>
      </patternFill>
    </fill>
    <fill>
      <patternFill patternType="solid">
        <fgColor theme="4"/>
        <bgColor indexed="64"/>
      </patternFill>
    </fill>
    <fill>
      <patternFill patternType="solid">
        <fgColor theme="6"/>
        <bgColor indexed="64"/>
      </patternFill>
    </fill>
    <fill>
      <patternFill patternType="solid">
        <fgColor theme="5" tint="0.39997558519241921"/>
        <bgColor indexed="64"/>
      </patternFill>
    </fill>
    <fill>
      <patternFill patternType="solid">
        <fgColor rgb="FFFFFF00"/>
        <bgColor indexed="64"/>
      </patternFill>
    </fill>
    <fill>
      <patternFill patternType="solid">
        <fgColor rgb="FF92D050"/>
        <bgColor indexed="64"/>
      </patternFill>
    </fill>
  </fills>
  <borders count="10">
    <border>
      <left/>
      <right/>
      <top/>
      <bottom/>
      <diagonal/>
    </border>
    <border>
      <left/>
      <right style="medium">
        <color rgb="FFD9D9D9"/>
      </right>
      <top style="medium">
        <color rgb="FFD9D9D9"/>
      </top>
      <bottom style="medium">
        <color rgb="FFD9D9D9"/>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s>
  <cellStyleXfs count="1">
    <xf numFmtId="0" fontId="0" fillId="0" borderId="0"/>
  </cellStyleXfs>
  <cellXfs count="47">
    <xf numFmtId="0" fontId="0" fillId="0" borderId="0" xfId="0"/>
    <xf numFmtId="0" fontId="0" fillId="0" borderId="0" xfId="0" applyAlignment="1">
      <alignment horizontal="left"/>
    </xf>
    <xf numFmtId="0" fontId="1" fillId="2" borderId="1" xfId="0" applyFont="1" applyFill="1" applyBorder="1" applyAlignment="1">
      <alignment horizontal="left" vertical="center"/>
    </xf>
    <xf numFmtId="0" fontId="0" fillId="0" borderId="0" xfId="0" applyAlignment="1">
      <alignment vertical="center" wrapText="1"/>
    </xf>
    <xf numFmtId="0" fontId="0" fillId="0" borderId="0" xfId="0" applyAlignment="1">
      <alignment vertical="center"/>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6" xfId="0" applyFont="1" applyBorder="1" applyAlignment="1">
      <alignment horizontal="center" vertical="center" wrapText="1"/>
    </xf>
    <xf numFmtId="0" fontId="2" fillId="0" borderId="7" xfId="0" applyFont="1" applyBorder="1" applyAlignment="1">
      <alignment horizontal="left" vertical="center" wrapText="1"/>
    </xf>
    <xf numFmtId="0" fontId="3" fillId="4" borderId="6"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3" fillId="4" borderId="7"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0" fillId="0" borderId="0" xfId="0" applyAlignment="1">
      <alignment horizontal="center"/>
    </xf>
    <xf numFmtId="0" fontId="3" fillId="5" borderId="8" xfId="0" applyFont="1" applyFill="1" applyBorder="1" applyAlignment="1">
      <alignment horizontal="center" vertical="center" wrapText="1"/>
    </xf>
    <xf numFmtId="0" fontId="2" fillId="0" borderId="6" xfId="0" applyFont="1" applyBorder="1" applyAlignment="1">
      <alignment vertical="center" wrapText="1"/>
    </xf>
    <xf numFmtId="0" fontId="2" fillId="0" borderId="2" xfId="0" applyFont="1" applyBorder="1" applyAlignment="1">
      <alignment vertical="center" wrapText="1"/>
    </xf>
    <xf numFmtId="0" fontId="2" fillId="0" borderId="7" xfId="0" applyFont="1" applyBorder="1" applyAlignment="1">
      <alignment vertical="center" wrapText="1"/>
    </xf>
    <xf numFmtId="49" fontId="2" fillId="0" borderId="6" xfId="0" applyNumberFormat="1" applyFont="1" applyBorder="1" applyAlignment="1">
      <alignment horizontal="left" vertical="center" wrapText="1"/>
    </xf>
    <xf numFmtId="0" fontId="3" fillId="6" borderId="6"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5" fillId="3" borderId="2" xfId="0" applyFont="1" applyFill="1" applyBorder="1" applyAlignment="1">
      <alignment horizontal="center"/>
    </xf>
    <xf numFmtId="0" fontId="6" fillId="0" borderId="2" xfId="0" applyFont="1" applyBorder="1" applyAlignment="1">
      <alignment horizontal="left" vertical="center" wrapText="1"/>
    </xf>
    <xf numFmtId="0" fontId="7" fillId="0" borderId="2" xfId="0" applyFont="1" applyBorder="1" applyAlignment="1">
      <alignment horizontal="center"/>
    </xf>
    <xf numFmtId="0" fontId="5" fillId="0" borderId="0" xfId="0" applyFont="1" applyAlignment="1">
      <alignment horizontal="center"/>
    </xf>
    <xf numFmtId="0" fontId="2" fillId="0" borderId="2" xfId="0" applyFont="1" applyBorder="1" applyAlignment="1">
      <alignment horizontal="left" vertical="top" wrapText="1"/>
    </xf>
    <xf numFmtId="0" fontId="2" fillId="0" borderId="8" xfId="0" applyFont="1" applyBorder="1" applyAlignment="1">
      <alignment horizontal="left" vertical="top" wrapText="1"/>
    </xf>
    <xf numFmtId="0" fontId="2" fillId="0" borderId="7" xfId="0" applyFont="1" applyBorder="1" applyAlignment="1">
      <alignment horizontal="left" vertical="top" wrapText="1"/>
    </xf>
    <xf numFmtId="0" fontId="2" fillId="0" borderId="2" xfId="0" quotePrefix="1" applyFont="1" applyBorder="1" applyAlignment="1">
      <alignment horizontal="left" vertical="top" wrapText="1"/>
    </xf>
    <xf numFmtId="0" fontId="2" fillId="0" borderId="8" xfId="0" quotePrefix="1" applyFont="1" applyBorder="1" applyAlignment="1">
      <alignment horizontal="left" vertical="top" wrapText="1"/>
    </xf>
    <xf numFmtId="0" fontId="2" fillId="7" borderId="2" xfId="0" applyFont="1" applyFill="1" applyBorder="1" applyAlignment="1">
      <alignment horizontal="left" vertical="top" wrapText="1"/>
    </xf>
    <xf numFmtId="0" fontId="2" fillId="8" borderId="2" xfId="0" quotePrefix="1" applyFont="1" applyFill="1" applyBorder="1" applyAlignment="1">
      <alignment horizontal="left" vertical="top"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9"/>
  <sheetViews>
    <sheetView showGridLines="0" zoomScale="85" zoomScaleNormal="85" workbookViewId="0">
      <selection activeCell="B5" sqref="B5"/>
    </sheetView>
  </sheetViews>
  <sheetFormatPr defaultColWidth="9.140625" defaultRowHeight="16.5"/>
  <cols>
    <col min="1" max="1" width="5" style="1" customWidth="1"/>
    <col min="2" max="2" width="73.42578125" bestFit="1" customWidth="1"/>
    <col min="3" max="3" width="6.42578125" style="17" bestFit="1" customWidth="1"/>
  </cols>
  <sheetData>
    <row r="2" spans="2:3" ht="19.5">
      <c r="B2" s="26" t="s">
        <v>0</v>
      </c>
      <c r="C2" s="26" t="s">
        <v>1</v>
      </c>
    </row>
    <row r="3" spans="2:3" ht="19.5">
      <c r="B3" s="27" t="s">
        <v>2</v>
      </c>
      <c r="C3" s="28">
        <v>13</v>
      </c>
    </row>
    <row r="4" spans="2:3" ht="19.5">
      <c r="B4" s="27" t="s">
        <v>3</v>
      </c>
      <c r="C4" s="28">
        <v>6</v>
      </c>
    </row>
    <row r="5" spans="2:3" ht="19.5">
      <c r="B5" s="27" t="s">
        <v>4</v>
      </c>
      <c r="C5" s="28">
        <v>2</v>
      </c>
    </row>
    <row r="6" spans="2:3" ht="19.5">
      <c r="B6" s="27" t="s">
        <v>5</v>
      </c>
      <c r="C6" s="28">
        <v>8</v>
      </c>
    </row>
    <row r="7" spans="2:3" ht="19.5">
      <c r="B7" s="27" t="s">
        <v>6</v>
      </c>
      <c r="C7" s="28">
        <v>6</v>
      </c>
    </row>
    <row r="8" spans="2:3" ht="19.5">
      <c r="B8" s="27" t="s">
        <v>7</v>
      </c>
      <c r="C8" s="28">
        <v>18</v>
      </c>
    </row>
    <row r="9" spans="2:3" ht="19.5">
      <c r="C9" s="29">
        <f>SUM(C3:C8)</f>
        <v>53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Q56"/>
  <sheetViews>
    <sheetView showGridLines="0" tabSelected="1" zoomScale="70" zoomScaleNormal="70" workbookViewId="0">
      <pane ySplit="3" topLeftCell="A4" activePane="bottomLeft" state="frozen"/>
      <selection pane="bottomLeft" activeCell="F4" sqref="F4"/>
    </sheetView>
  </sheetViews>
  <sheetFormatPr defaultColWidth="9.140625" defaultRowHeight="16.5"/>
  <cols>
    <col min="1" max="1" width="1.28515625" style="3" customWidth="1"/>
    <col min="2" max="2" width="34.42578125" style="11" customWidth="1"/>
    <col min="3" max="3" width="8.5703125" style="3" customWidth="1"/>
    <col min="4" max="4" width="26.85546875" style="11" customWidth="1"/>
    <col min="5" max="5" width="23.85546875" style="11" customWidth="1"/>
    <col min="6" max="6" width="85" style="11" customWidth="1"/>
    <col min="7" max="7" width="2.28515625" style="3" customWidth="1"/>
    <col min="8" max="8" width="28.5703125" style="3" hidden="1" customWidth="1"/>
    <col min="9" max="9" width="30.42578125" style="3" hidden="1" customWidth="1"/>
    <col min="10" max="10" width="43.7109375" style="3" customWidth="1"/>
    <col min="11" max="11" width="29.7109375" style="3" customWidth="1"/>
    <col min="12" max="12" width="30.85546875" style="3" bestFit="1" customWidth="1"/>
    <col min="13" max="13" width="22.85546875" style="3" bestFit="1" customWidth="1"/>
    <col min="14" max="14" width="1.85546875" style="3" customWidth="1"/>
    <col min="15" max="15" width="34.85546875" style="3" bestFit="1" customWidth="1"/>
    <col min="16" max="16" width="47.5703125" style="3" bestFit="1" customWidth="1"/>
    <col min="17" max="17" width="61.7109375" style="3" bestFit="1" customWidth="1"/>
    <col min="18" max="16384" width="9.140625" style="3"/>
  </cols>
  <sheetData>
    <row r="1" spans="2:17" ht="17.25" thickBot="1">
      <c r="O1" s="11"/>
      <c r="P1" s="11"/>
      <c r="Q1" s="11"/>
    </row>
    <row r="2" spans="2:17" ht="24">
      <c r="B2" s="37" t="s">
        <v>8</v>
      </c>
      <c r="C2" s="38"/>
      <c r="D2" s="38"/>
      <c r="E2" s="38"/>
      <c r="F2" s="39"/>
      <c r="H2" s="43" t="s">
        <v>9</v>
      </c>
      <c r="I2" s="44"/>
      <c r="J2" s="44"/>
      <c r="K2" s="45"/>
      <c r="L2" s="45"/>
      <c r="M2" s="46"/>
      <c r="O2" s="40" t="s">
        <v>10</v>
      </c>
      <c r="P2" s="41"/>
      <c r="Q2" s="42"/>
    </row>
    <row r="3" spans="2:17" s="12" customFormat="1" ht="19.5">
      <c r="B3" s="9" t="s">
        <v>0</v>
      </c>
      <c r="C3" s="10" t="s">
        <v>11</v>
      </c>
      <c r="D3" s="10" t="s">
        <v>12</v>
      </c>
      <c r="E3" s="10" t="s">
        <v>13</v>
      </c>
      <c r="F3" s="13" t="s">
        <v>14</v>
      </c>
      <c r="H3" s="14" t="s">
        <v>15</v>
      </c>
      <c r="I3" s="15" t="s">
        <v>16</v>
      </c>
      <c r="J3" s="15" t="s">
        <v>17</v>
      </c>
      <c r="K3" s="18" t="s">
        <v>18</v>
      </c>
      <c r="L3" s="18" t="s">
        <v>19</v>
      </c>
      <c r="M3" s="16" t="s">
        <v>20</v>
      </c>
      <c r="O3" s="23" t="s">
        <v>21</v>
      </c>
      <c r="P3" s="24" t="s">
        <v>22</v>
      </c>
      <c r="Q3" s="25" t="s">
        <v>23</v>
      </c>
    </row>
    <row r="4" spans="2:17" ht="331.5" customHeight="1">
      <c r="B4" s="22" t="s">
        <v>2</v>
      </c>
      <c r="C4" s="5">
        <v>1</v>
      </c>
      <c r="D4" s="6" t="s">
        <v>24</v>
      </c>
      <c r="E4" s="6" t="s">
        <v>25</v>
      </c>
      <c r="F4" s="8" t="s">
        <v>26</v>
      </c>
      <c r="H4" s="7"/>
      <c r="I4" s="5"/>
      <c r="J4" s="30" t="s">
        <v>27</v>
      </c>
      <c r="K4" s="31"/>
      <c r="L4" s="31"/>
      <c r="M4" s="32"/>
      <c r="O4" s="19"/>
      <c r="P4" s="20"/>
      <c r="Q4" s="21" t="s">
        <v>28</v>
      </c>
    </row>
    <row r="5" spans="2:17" ht="221.25" customHeight="1">
      <c r="B5" s="22" t="s">
        <v>2</v>
      </c>
      <c r="C5" s="5">
        <f>+C4+1</f>
        <v>2</v>
      </c>
      <c r="D5" s="6" t="s">
        <v>29</v>
      </c>
      <c r="E5" s="6" t="s">
        <v>30</v>
      </c>
      <c r="F5" s="8" t="s">
        <v>31</v>
      </c>
      <c r="H5" s="7"/>
      <c r="I5" s="5"/>
      <c r="J5" s="30" t="s">
        <v>32</v>
      </c>
      <c r="K5" s="31"/>
      <c r="L5" s="31"/>
      <c r="M5" s="32"/>
      <c r="O5" s="19"/>
      <c r="P5" s="20"/>
      <c r="Q5" s="21" t="s">
        <v>33</v>
      </c>
    </row>
    <row r="6" spans="2:17" ht="363">
      <c r="B6" s="22" t="s">
        <v>2</v>
      </c>
      <c r="C6" s="5">
        <f t="shared" ref="C6:C16" si="0">+C5+1</f>
        <v>3</v>
      </c>
      <c r="D6" s="6" t="s">
        <v>34</v>
      </c>
      <c r="E6" s="6" t="s">
        <v>35</v>
      </c>
      <c r="F6" s="8" t="s">
        <v>36</v>
      </c>
      <c r="H6" s="7"/>
      <c r="I6" s="5"/>
      <c r="J6" s="30" t="s">
        <v>37</v>
      </c>
      <c r="K6" s="31" t="s">
        <v>38</v>
      </c>
      <c r="L6" s="31" t="s">
        <v>39</v>
      </c>
      <c r="M6" s="32"/>
      <c r="O6" s="19" t="s">
        <v>40</v>
      </c>
      <c r="P6" s="20" t="s">
        <v>41</v>
      </c>
      <c r="Q6" s="21" t="s">
        <v>42</v>
      </c>
    </row>
    <row r="7" spans="2:17" ht="135.75" customHeight="1">
      <c r="B7" s="22" t="s">
        <v>2</v>
      </c>
      <c r="C7" s="5">
        <f t="shared" si="0"/>
        <v>4</v>
      </c>
      <c r="D7" s="6" t="s">
        <v>43</v>
      </c>
      <c r="E7" s="6" t="s">
        <v>44</v>
      </c>
      <c r="F7" s="8" t="s">
        <v>45</v>
      </c>
      <c r="H7" s="7"/>
      <c r="I7" s="5"/>
      <c r="J7" s="30" t="s">
        <v>46</v>
      </c>
      <c r="K7" s="31"/>
      <c r="L7" s="31"/>
      <c r="M7" s="32"/>
      <c r="O7" s="19" t="s">
        <v>40</v>
      </c>
      <c r="P7" s="20" t="s">
        <v>47</v>
      </c>
      <c r="Q7" s="21" t="s">
        <v>48</v>
      </c>
    </row>
    <row r="8" spans="2:17" ht="214.5">
      <c r="B8" s="22" t="s">
        <v>2</v>
      </c>
      <c r="C8" s="5">
        <f t="shared" si="0"/>
        <v>5</v>
      </c>
      <c r="D8" s="6" t="s">
        <v>49</v>
      </c>
      <c r="E8" s="6" t="s">
        <v>50</v>
      </c>
      <c r="F8" s="8" t="s">
        <v>51</v>
      </c>
      <c r="H8" s="7"/>
      <c r="I8" s="5"/>
      <c r="J8" s="33" t="s">
        <v>52</v>
      </c>
      <c r="K8" s="34"/>
      <c r="L8" s="34"/>
      <c r="M8" s="32"/>
      <c r="O8" s="19" t="s">
        <v>53</v>
      </c>
      <c r="P8" s="20" t="s">
        <v>54</v>
      </c>
      <c r="Q8" s="21" t="s">
        <v>55</v>
      </c>
    </row>
    <row r="9" spans="2:17" ht="66">
      <c r="B9" s="22" t="s">
        <v>2</v>
      </c>
      <c r="C9" s="5">
        <f t="shared" si="0"/>
        <v>6</v>
      </c>
      <c r="D9" s="6" t="s">
        <v>56</v>
      </c>
      <c r="E9" s="6" t="s">
        <v>57</v>
      </c>
      <c r="F9" s="8" t="s">
        <v>58</v>
      </c>
      <c r="H9" s="7"/>
      <c r="I9" s="5"/>
      <c r="J9" s="36" t="s">
        <v>59</v>
      </c>
      <c r="K9" s="31" t="s">
        <v>60</v>
      </c>
      <c r="L9" s="31" t="s">
        <v>61</v>
      </c>
      <c r="M9" s="32"/>
      <c r="O9" s="19" t="s">
        <v>40</v>
      </c>
      <c r="P9" s="20" t="s">
        <v>62</v>
      </c>
      <c r="Q9" s="21" t="s">
        <v>42</v>
      </c>
    </row>
    <row r="10" spans="2:17" ht="75" customHeight="1">
      <c r="B10" s="22" t="s">
        <v>2</v>
      </c>
      <c r="C10" s="5">
        <f t="shared" si="0"/>
        <v>7</v>
      </c>
      <c r="D10" s="6" t="s">
        <v>63</v>
      </c>
      <c r="E10" s="6" t="s">
        <v>64</v>
      </c>
      <c r="F10" s="8" t="s">
        <v>65</v>
      </c>
      <c r="H10" s="7"/>
      <c r="I10" s="5"/>
      <c r="J10" s="36" t="s">
        <v>66</v>
      </c>
      <c r="K10" s="31" t="s">
        <v>67</v>
      </c>
      <c r="L10" s="31" t="s">
        <v>68</v>
      </c>
      <c r="M10" s="32"/>
      <c r="O10" s="19" t="s">
        <v>40</v>
      </c>
      <c r="P10" s="20" t="s">
        <v>69</v>
      </c>
      <c r="Q10" s="21" t="s">
        <v>42</v>
      </c>
    </row>
    <row r="11" spans="2:17" ht="100.5" customHeight="1">
      <c r="B11" s="22" t="s">
        <v>2</v>
      </c>
      <c r="C11" s="5">
        <f t="shared" si="0"/>
        <v>8</v>
      </c>
      <c r="D11" s="6" t="s">
        <v>70</v>
      </c>
      <c r="E11" s="6" t="s">
        <v>64</v>
      </c>
      <c r="F11" s="8" t="s">
        <v>71</v>
      </c>
      <c r="H11" s="7"/>
      <c r="I11" s="5"/>
      <c r="J11" s="36" t="s">
        <v>72</v>
      </c>
      <c r="K11" s="31" t="s">
        <v>73</v>
      </c>
      <c r="L11" s="31" t="s">
        <v>74</v>
      </c>
      <c r="M11" s="32"/>
      <c r="O11" s="19" t="s">
        <v>40</v>
      </c>
      <c r="P11" s="20" t="s">
        <v>75</v>
      </c>
      <c r="Q11" s="21" t="s">
        <v>42</v>
      </c>
    </row>
    <row r="12" spans="2:17" ht="231">
      <c r="B12" s="22" t="s">
        <v>2</v>
      </c>
      <c r="C12" s="5">
        <f t="shared" si="0"/>
        <v>9</v>
      </c>
      <c r="D12" s="6" t="s">
        <v>76</v>
      </c>
      <c r="E12" s="6" t="s">
        <v>64</v>
      </c>
      <c r="F12" s="8" t="s">
        <v>77</v>
      </c>
      <c r="H12" s="7"/>
      <c r="I12" s="5"/>
      <c r="J12" s="35" t="s">
        <v>78</v>
      </c>
      <c r="K12" s="31"/>
      <c r="L12" s="31"/>
      <c r="M12" s="32"/>
      <c r="O12" s="19" t="s">
        <v>79</v>
      </c>
      <c r="P12" s="20"/>
      <c r="Q12" s="21" t="s">
        <v>80</v>
      </c>
    </row>
    <row r="13" spans="2:17" ht="66">
      <c r="B13" s="22" t="s">
        <v>2</v>
      </c>
      <c r="C13" s="5">
        <f t="shared" si="0"/>
        <v>10</v>
      </c>
      <c r="D13" s="6" t="s">
        <v>81</v>
      </c>
      <c r="E13" s="6" t="s">
        <v>64</v>
      </c>
      <c r="F13" s="8" t="s">
        <v>82</v>
      </c>
      <c r="H13" s="7"/>
      <c r="I13" s="5"/>
      <c r="J13" s="35"/>
      <c r="K13" s="31"/>
      <c r="L13" s="31"/>
      <c r="M13" s="32"/>
      <c r="O13" s="19" t="s">
        <v>40</v>
      </c>
      <c r="P13" s="20" t="s">
        <v>83</v>
      </c>
      <c r="Q13" s="21" t="s">
        <v>42</v>
      </c>
    </row>
    <row r="14" spans="2:17" ht="132">
      <c r="B14" s="22" t="s">
        <v>2</v>
      </c>
      <c r="C14" s="5">
        <f t="shared" si="0"/>
        <v>11</v>
      </c>
      <c r="D14" s="6" t="s">
        <v>84</v>
      </c>
      <c r="E14" s="6" t="s">
        <v>85</v>
      </c>
      <c r="F14" s="8" t="s">
        <v>86</v>
      </c>
      <c r="H14" s="7"/>
      <c r="I14" s="5"/>
      <c r="J14" s="33" t="s">
        <v>87</v>
      </c>
      <c r="K14" s="31" t="s">
        <v>88</v>
      </c>
      <c r="L14" s="31" t="s">
        <v>89</v>
      </c>
      <c r="M14" s="32"/>
      <c r="O14" s="19" t="s">
        <v>79</v>
      </c>
      <c r="P14" s="20" t="s">
        <v>90</v>
      </c>
      <c r="Q14" s="21"/>
    </row>
    <row r="15" spans="2:17" ht="66">
      <c r="B15" s="22" t="s">
        <v>2</v>
      </c>
      <c r="C15" s="5">
        <f t="shared" si="0"/>
        <v>12</v>
      </c>
      <c r="D15" s="6" t="s">
        <v>91</v>
      </c>
      <c r="E15" s="6" t="s">
        <v>92</v>
      </c>
      <c r="F15" s="8" t="s">
        <v>93</v>
      </c>
      <c r="H15" s="7"/>
      <c r="I15" s="5"/>
      <c r="J15" s="35"/>
      <c r="K15" s="31"/>
      <c r="L15" s="31"/>
      <c r="M15" s="32"/>
      <c r="O15" s="19" t="s">
        <v>40</v>
      </c>
      <c r="P15" s="20" t="s">
        <v>47</v>
      </c>
      <c r="Q15" s="21" t="s">
        <v>94</v>
      </c>
    </row>
    <row r="16" spans="2:17" ht="66">
      <c r="B16" s="22" t="s">
        <v>2</v>
      </c>
      <c r="C16" s="5">
        <f t="shared" si="0"/>
        <v>13</v>
      </c>
      <c r="D16" s="6" t="s">
        <v>95</v>
      </c>
      <c r="E16" s="6" t="s">
        <v>96</v>
      </c>
      <c r="F16" s="8" t="s">
        <v>97</v>
      </c>
      <c r="H16" s="7"/>
      <c r="I16" s="5"/>
      <c r="J16" s="35"/>
      <c r="K16" s="31"/>
      <c r="L16" s="31"/>
      <c r="M16" s="32"/>
      <c r="O16" s="19" t="s">
        <v>40</v>
      </c>
      <c r="P16" s="20" t="s">
        <v>47</v>
      </c>
      <c r="Q16" s="21" t="s">
        <v>94</v>
      </c>
    </row>
    <row r="17" spans="2:17" ht="44.25" customHeight="1">
      <c r="B17" s="22" t="s">
        <v>3</v>
      </c>
      <c r="C17" s="5">
        <v>14</v>
      </c>
      <c r="D17" s="6" t="s">
        <v>98</v>
      </c>
      <c r="E17" s="6" t="s">
        <v>99</v>
      </c>
      <c r="F17" s="8" t="s">
        <v>100</v>
      </c>
      <c r="H17" s="7"/>
      <c r="I17" s="5"/>
      <c r="J17" s="35"/>
      <c r="K17" s="31"/>
      <c r="L17" s="31"/>
      <c r="M17" s="32"/>
      <c r="O17" s="19" t="s">
        <v>53</v>
      </c>
      <c r="P17" s="20" t="s">
        <v>101</v>
      </c>
      <c r="Q17" s="21" t="s">
        <v>48</v>
      </c>
    </row>
    <row r="18" spans="2:17" ht="33">
      <c r="B18" s="22" t="s">
        <v>3</v>
      </c>
      <c r="C18" s="5">
        <v>15</v>
      </c>
      <c r="D18" s="6" t="s">
        <v>102</v>
      </c>
      <c r="E18" s="6" t="s">
        <v>85</v>
      </c>
      <c r="F18" s="8" t="s">
        <v>103</v>
      </c>
      <c r="H18" s="7"/>
      <c r="I18" s="5"/>
      <c r="J18" s="35"/>
      <c r="K18" s="31"/>
      <c r="L18" s="31"/>
      <c r="M18" s="32"/>
      <c r="O18" s="19" t="s">
        <v>104</v>
      </c>
      <c r="P18" s="20" t="s">
        <v>105</v>
      </c>
      <c r="Q18" s="21" t="s">
        <v>106</v>
      </c>
    </row>
    <row r="19" spans="2:17" ht="49.5">
      <c r="B19" s="22" t="s">
        <v>3</v>
      </c>
      <c r="C19" s="5">
        <v>16</v>
      </c>
      <c r="D19" s="6" t="s">
        <v>107</v>
      </c>
      <c r="E19" s="6" t="s">
        <v>85</v>
      </c>
      <c r="F19" s="8" t="s">
        <v>108</v>
      </c>
      <c r="H19" s="7"/>
      <c r="I19" s="5"/>
      <c r="J19" s="35"/>
      <c r="K19" s="31"/>
      <c r="L19" s="31"/>
      <c r="M19" s="32"/>
      <c r="O19" s="19" t="s">
        <v>109</v>
      </c>
      <c r="P19" s="20" t="s">
        <v>109</v>
      </c>
      <c r="Q19" s="21" t="s">
        <v>109</v>
      </c>
    </row>
    <row r="20" spans="2:17" ht="82.5">
      <c r="B20" s="22" t="s">
        <v>3</v>
      </c>
      <c r="C20" s="5">
        <v>17</v>
      </c>
      <c r="D20" s="6" t="s">
        <v>110</v>
      </c>
      <c r="E20" s="6" t="s">
        <v>111</v>
      </c>
      <c r="F20" s="8" t="s">
        <v>112</v>
      </c>
      <c r="H20" s="7"/>
      <c r="I20" s="5"/>
      <c r="J20" s="35"/>
      <c r="K20" s="31"/>
      <c r="L20" s="31"/>
      <c r="M20" s="32"/>
      <c r="O20" s="19" t="s">
        <v>53</v>
      </c>
      <c r="P20" s="20" t="s">
        <v>101</v>
      </c>
      <c r="Q20" s="21" t="s">
        <v>48</v>
      </c>
    </row>
    <row r="21" spans="2:17" ht="49.5">
      <c r="B21" s="22" t="s">
        <v>3</v>
      </c>
      <c r="C21" s="5">
        <v>18</v>
      </c>
      <c r="D21" s="6" t="s">
        <v>113</v>
      </c>
      <c r="E21" s="6" t="s">
        <v>85</v>
      </c>
      <c r="F21" s="8" t="s">
        <v>114</v>
      </c>
      <c r="H21" s="7"/>
      <c r="I21" s="5"/>
      <c r="J21" s="35"/>
      <c r="K21" s="31"/>
      <c r="L21" s="31"/>
      <c r="M21" s="32"/>
      <c r="O21" s="19" t="s">
        <v>104</v>
      </c>
      <c r="P21" s="20" t="s">
        <v>105</v>
      </c>
      <c r="Q21" s="21" t="s">
        <v>106</v>
      </c>
    </row>
    <row r="22" spans="2:17" ht="33">
      <c r="B22" s="22" t="s">
        <v>3</v>
      </c>
      <c r="C22" s="5">
        <v>19</v>
      </c>
      <c r="D22" s="6" t="s">
        <v>115</v>
      </c>
      <c r="E22" s="6" t="s">
        <v>85</v>
      </c>
      <c r="F22" s="8" t="s">
        <v>116</v>
      </c>
      <c r="H22" s="7"/>
      <c r="I22" s="5"/>
      <c r="J22" s="35"/>
      <c r="K22" s="31"/>
      <c r="L22" s="31"/>
      <c r="M22" s="32"/>
      <c r="O22" s="19" t="s">
        <v>104</v>
      </c>
      <c r="P22" s="20" t="s">
        <v>105</v>
      </c>
      <c r="Q22" s="21" t="s">
        <v>106</v>
      </c>
    </row>
    <row r="23" spans="2:17" ht="128.25" customHeight="1">
      <c r="B23" s="22" t="s">
        <v>4</v>
      </c>
      <c r="C23" s="5">
        <v>20</v>
      </c>
      <c r="D23" s="6" t="s">
        <v>117</v>
      </c>
      <c r="E23" s="6" t="s">
        <v>85</v>
      </c>
      <c r="F23" s="8" t="s">
        <v>118</v>
      </c>
      <c r="H23" s="7"/>
      <c r="I23" s="5"/>
      <c r="J23" s="33" t="s">
        <v>119</v>
      </c>
      <c r="K23" s="34" t="s">
        <v>120</v>
      </c>
      <c r="L23" s="31" t="s">
        <v>121</v>
      </c>
      <c r="M23" s="32"/>
      <c r="O23" s="19" t="s">
        <v>104</v>
      </c>
      <c r="P23" s="20" t="s">
        <v>105</v>
      </c>
      <c r="Q23" s="21" t="s">
        <v>106</v>
      </c>
    </row>
    <row r="24" spans="2:17" ht="33">
      <c r="B24" s="22" t="s">
        <v>4</v>
      </c>
      <c r="C24" s="5">
        <v>21</v>
      </c>
      <c r="D24" s="6" t="s">
        <v>122</v>
      </c>
      <c r="E24" s="6" t="s">
        <v>85</v>
      </c>
      <c r="F24" s="8" t="s">
        <v>123</v>
      </c>
      <c r="H24" s="7"/>
      <c r="I24" s="5"/>
      <c r="J24" s="33" t="s">
        <v>124</v>
      </c>
      <c r="K24" s="34"/>
      <c r="L24" s="31"/>
      <c r="M24" s="32"/>
      <c r="O24" s="19" t="s">
        <v>104</v>
      </c>
      <c r="P24" s="20" t="s">
        <v>105</v>
      </c>
      <c r="Q24" s="21" t="s">
        <v>106</v>
      </c>
    </row>
    <row r="25" spans="2:17" ht="192" customHeight="1">
      <c r="B25" s="22" t="s">
        <v>5</v>
      </c>
      <c r="C25" s="5">
        <v>22</v>
      </c>
      <c r="D25" s="6" t="s">
        <v>125</v>
      </c>
      <c r="E25" s="6" t="s">
        <v>85</v>
      </c>
      <c r="F25" s="8" t="s">
        <v>126</v>
      </c>
      <c r="H25" s="7"/>
      <c r="I25" s="5"/>
      <c r="J25" s="33" t="s">
        <v>127</v>
      </c>
      <c r="K25" s="31" t="s">
        <v>128</v>
      </c>
      <c r="L25" s="31" t="s">
        <v>129</v>
      </c>
      <c r="M25" s="32"/>
      <c r="O25" s="19"/>
      <c r="P25" s="20"/>
      <c r="Q25" s="21"/>
    </row>
    <row r="26" spans="2:17" ht="33">
      <c r="B26" s="22" t="s">
        <v>5</v>
      </c>
      <c r="C26" s="5">
        <v>23</v>
      </c>
      <c r="D26" s="6" t="s">
        <v>130</v>
      </c>
      <c r="E26" s="6" t="s">
        <v>131</v>
      </c>
      <c r="F26" s="8" t="s">
        <v>132</v>
      </c>
      <c r="H26" s="7"/>
      <c r="I26" s="5"/>
      <c r="J26" s="30"/>
      <c r="K26" s="31"/>
      <c r="L26" s="31"/>
      <c r="M26" s="32"/>
      <c r="O26" s="19"/>
      <c r="P26" s="20"/>
      <c r="Q26" s="21"/>
    </row>
    <row r="27" spans="2:17" ht="132.75" customHeight="1">
      <c r="B27" s="22" t="s">
        <v>5</v>
      </c>
      <c r="C27" s="5">
        <v>24</v>
      </c>
      <c r="D27" s="6" t="s">
        <v>133</v>
      </c>
      <c r="E27" s="6" t="s">
        <v>85</v>
      </c>
      <c r="F27" s="8" t="s">
        <v>134</v>
      </c>
      <c r="H27" s="7"/>
      <c r="I27" s="5"/>
      <c r="J27" s="33" t="s">
        <v>135</v>
      </c>
      <c r="K27" s="31" t="s">
        <v>88</v>
      </c>
      <c r="L27" s="31" t="s">
        <v>89</v>
      </c>
      <c r="M27" s="32"/>
      <c r="O27" s="19" t="s">
        <v>104</v>
      </c>
      <c r="P27" s="20" t="s">
        <v>90</v>
      </c>
      <c r="Q27" s="21"/>
    </row>
    <row r="28" spans="2:17" ht="198">
      <c r="B28" s="22" t="s">
        <v>5</v>
      </c>
      <c r="C28" s="5">
        <v>25</v>
      </c>
      <c r="D28" s="6" t="s">
        <v>136</v>
      </c>
      <c r="E28" s="6" t="s">
        <v>85</v>
      </c>
      <c r="F28" s="8" t="s">
        <v>137</v>
      </c>
      <c r="H28" s="7"/>
      <c r="I28" s="5"/>
      <c r="J28" s="33" t="s">
        <v>138</v>
      </c>
      <c r="K28" s="31" t="s">
        <v>139</v>
      </c>
      <c r="L28" s="31" t="s">
        <v>140</v>
      </c>
      <c r="M28" s="32"/>
      <c r="O28" s="19" t="s">
        <v>104</v>
      </c>
      <c r="P28" s="20" t="s">
        <v>141</v>
      </c>
      <c r="Q28" s="21"/>
    </row>
    <row r="29" spans="2:17" ht="82.5">
      <c r="B29" s="22" t="s">
        <v>5</v>
      </c>
      <c r="C29" s="5">
        <v>26</v>
      </c>
      <c r="D29" s="6" t="s">
        <v>142</v>
      </c>
      <c r="E29" s="6" t="s">
        <v>85</v>
      </c>
      <c r="F29" s="8" t="s">
        <v>143</v>
      </c>
      <c r="H29" s="7"/>
      <c r="I29" s="5"/>
      <c r="J29" s="30" t="s">
        <v>144</v>
      </c>
      <c r="K29" s="31"/>
      <c r="L29" s="31"/>
      <c r="M29" s="32"/>
      <c r="O29" s="19" t="s">
        <v>104</v>
      </c>
      <c r="P29" s="20" t="s">
        <v>105</v>
      </c>
      <c r="Q29" s="21" t="s">
        <v>106</v>
      </c>
    </row>
    <row r="30" spans="2:17" ht="38.25" customHeight="1">
      <c r="B30" s="22" t="s">
        <v>5</v>
      </c>
      <c r="C30" s="5">
        <v>27</v>
      </c>
      <c r="D30" s="6" t="s">
        <v>145</v>
      </c>
      <c r="E30" s="6" t="s">
        <v>85</v>
      </c>
      <c r="F30" s="8" t="s">
        <v>146</v>
      </c>
      <c r="H30" s="7"/>
      <c r="I30" s="5"/>
      <c r="J30" s="30"/>
      <c r="K30" s="31"/>
      <c r="L30" s="31"/>
      <c r="M30" s="32"/>
      <c r="O30" s="19"/>
      <c r="P30" s="20"/>
      <c r="Q30" s="21" t="s">
        <v>147</v>
      </c>
    </row>
    <row r="31" spans="2:17" ht="49.5">
      <c r="B31" s="22" t="s">
        <v>5</v>
      </c>
      <c r="C31" s="5">
        <v>28</v>
      </c>
      <c r="D31" s="6" t="s">
        <v>148</v>
      </c>
      <c r="E31" s="6" t="s">
        <v>96</v>
      </c>
      <c r="F31" s="8" t="s">
        <v>149</v>
      </c>
      <c r="H31" s="7"/>
      <c r="I31" s="5"/>
      <c r="J31" s="30"/>
      <c r="K31" s="31"/>
      <c r="L31" s="31"/>
      <c r="M31" s="32"/>
      <c r="O31" s="19" t="s">
        <v>53</v>
      </c>
      <c r="P31" s="20" t="s">
        <v>101</v>
      </c>
      <c r="Q31" s="21" t="s">
        <v>48</v>
      </c>
    </row>
    <row r="32" spans="2:17" ht="82.5">
      <c r="B32" s="22" t="s">
        <v>5</v>
      </c>
      <c r="C32" s="5">
        <v>29</v>
      </c>
      <c r="D32" s="6" t="s">
        <v>150</v>
      </c>
      <c r="E32" s="6" t="s">
        <v>85</v>
      </c>
      <c r="F32" s="8" t="s">
        <v>151</v>
      </c>
      <c r="H32" s="7"/>
      <c r="I32" s="5"/>
      <c r="J32" s="30"/>
      <c r="K32" s="31"/>
      <c r="L32" s="31"/>
      <c r="M32" s="32"/>
      <c r="O32" s="19" t="s">
        <v>104</v>
      </c>
      <c r="P32" s="20" t="s">
        <v>152</v>
      </c>
      <c r="Q32" s="21"/>
    </row>
    <row r="33" spans="2:17" ht="33">
      <c r="B33" s="22" t="s">
        <v>6</v>
      </c>
      <c r="C33" s="5">
        <v>30</v>
      </c>
      <c r="D33" s="6" t="s">
        <v>153</v>
      </c>
      <c r="E33" s="6" t="s">
        <v>154</v>
      </c>
      <c r="F33" s="8" t="s">
        <v>155</v>
      </c>
      <c r="H33" s="7"/>
      <c r="I33" s="5"/>
      <c r="J33" s="30"/>
      <c r="K33" s="31"/>
      <c r="L33" s="31"/>
      <c r="M33" s="32"/>
      <c r="O33" s="19" t="s">
        <v>156</v>
      </c>
      <c r="P33" s="20" t="s">
        <v>157</v>
      </c>
      <c r="Q33" s="20" t="s">
        <v>158</v>
      </c>
    </row>
    <row r="34" spans="2:17" ht="33">
      <c r="B34" s="22" t="s">
        <v>6</v>
      </c>
      <c r="C34" s="5">
        <v>31</v>
      </c>
      <c r="D34" s="6" t="s">
        <v>159</v>
      </c>
      <c r="E34" s="6" t="s">
        <v>154</v>
      </c>
      <c r="F34" s="8" t="s">
        <v>160</v>
      </c>
      <c r="H34" s="7"/>
      <c r="I34" s="5"/>
      <c r="J34" s="30"/>
      <c r="K34" s="31"/>
      <c r="L34" s="31"/>
      <c r="M34" s="32"/>
      <c r="O34" s="19" t="s">
        <v>156</v>
      </c>
      <c r="P34" s="20" t="s">
        <v>161</v>
      </c>
      <c r="Q34" s="20" t="s">
        <v>158</v>
      </c>
    </row>
    <row r="35" spans="2:17" ht="33">
      <c r="B35" s="22" t="s">
        <v>6</v>
      </c>
      <c r="C35" s="5">
        <v>32</v>
      </c>
      <c r="D35" s="6" t="s">
        <v>162</v>
      </c>
      <c r="E35" s="6" t="s">
        <v>163</v>
      </c>
      <c r="F35" s="8" t="s">
        <v>164</v>
      </c>
      <c r="H35" s="7"/>
      <c r="I35" s="5"/>
      <c r="J35" s="30"/>
      <c r="K35" s="31"/>
      <c r="L35" s="31"/>
      <c r="M35" s="32"/>
      <c r="O35" s="19" t="s">
        <v>156</v>
      </c>
      <c r="P35" s="20" t="s">
        <v>165</v>
      </c>
      <c r="Q35" s="20"/>
    </row>
    <row r="36" spans="2:17" ht="66">
      <c r="B36" s="22" t="s">
        <v>6</v>
      </c>
      <c r="C36" s="5">
        <v>33</v>
      </c>
      <c r="D36" s="6" t="s">
        <v>166</v>
      </c>
      <c r="E36" s="6" t="s">
        <v>167</v>
      </c>
      <c r="F36" s="8" t="s">
        <v>168</v>
      </c>
      <c r="H36" s="7"/>
      <c r="I36" s="5"/>
      <c r="J36" s="30"/>
      <c r="K36" s="31"/>
      <c r="L36" s="31"/>
      <c r="M36" s="32"/>
      <c r="O36" s="19" t="s">
        <v>156</v>
      </c>
      <c r="P36" s="20" t="s">
        <v>169</v>
      </c>
      <c r="Q36" s="20"/>
    </row>
    <row r="37" spans="2:17" ht="214.5">
      <c r="B37" s="22" t="s">
        <v>6</v>
      </c>
      <c r="C37" s="5">
        <v>34</v>
      </c>
      <c r="D37" s="6" t="s">
        <v>170</v>
      </c>
      <c r="E37" s="6" t="s">
        <v>171</v>
      </c>
      <c r="F37" s="8" t="s">
        <v>172</v>
      </c>
      <c r="H37" s="7"/>
      <c r="I37" s="5"/>
      <c r="J37" s="30"/>
      <c r="K37" s="31"/>
      <c r="L37" s="31"/>
      <c r="M37" s="32"/>
      <c r="O37" s="19" t="s">
        <v>156</v>
      </c>
      <c r="P37" s="20" t="s">
        <v>173</v>
      </c>
      <c r="Q37" s="20"/>
    </row>
    <row r="38" spans="2:17" ht="66">
      <c r="B38" s="22" t="s">
        <v>6</v>
      </c>
      <c r="C38" s="5">
        <v>35</v>
      </c>
      <c r="D38" s="6" t="s">
        <v>174</v>
      </c>
      <c r="E38" s="6" t="s">
        <v>175</v>
      </c>
      <c r="F38" s="8" t="s">
        <v>176</v>
      </c>
      <c r="H38" s="7"/>
      <c r="I38" s="5"/>
      <c r="J38" s="30"/>
      <c r="K38" s="31"/>
      <c r="L38" s="31"/>
      <c r="M38" s="32"/>
      <c r="O38" s="19" t="s">
        <v>156</v>
      </c>
      <c r="P38" s="20" t="s">
        <v>177</v>
      </c>
      <c r="Q38" s="20" t="s">
        <v>178</v>
      </c>
    </row>
    <row r="39" spans="2:17" ht="66">
      <c r="B39" s="22" t="s">
        <v>7</v>
      </c>
      <c r="C39" s="5">
        <v>36</v>
      </c>
      <c r="D39" s="6" t="s">
        <v>179</v>
      </c>
      <c r="E39" s="6" t="s">
        <v>180</v>
      </c>
      <c r="F39" s="8" t="s">
        <v>181</v>
      </c>
      <c r="H39" s="7"/>
      <c r="I39" s="5"/>
      <c r="J39" s="30"/>
      <c r="K39" s="31"/>
      <c r="L39" s="31"/>
      <c r="M39" s="32"/>
      <c r="O39" s="19"/>
      <c r="P39" s="20"/>
      <c r="Q39" s="21"/>
    </row>
    <row r="40" spans="2:17">
      <c r="B40" s="22" t="s">
        <v>7</v>
      </c>
      <c r="C40" s="5">
        <v>37</v>
      </c>
      <c r="D40" s="6" t="s">
        <v>182</v>
      </c>
      <c r="E40" s="6" t="s">
        <v>183</v>
      </c>
      <c r="F40" s="8" t="s">
        <v>184</v>
      </c>
      <c r="H40" s="7"/>
      <c r="I40" s="5"/>
      <c r="J40" s="30"/>
      <c r="K40" s="31"/>
      <c r="L40" s="31"/>
      <c r="M40" s="32"/>
      <c r="O40" s="19"/>
      <c r="P40" s="20"/>
      <c r="Q40" s="21"/>
    </row>
    <row r="41" spans="2:17" ht="82.5">
      <c r="B41" s="22" t="s">
        <v>7</v>
      </c>
      <c r="C41" s="5">
        <v>38</v>
      </c>
      <c r="D41" s="6" t="s">
        <v>185</v>
      </c>
      <c r="E41" s="6" t="s">
        <v>85</v>
      </c>
      <c r="F41" s="8" t="s">
        <v>186</v>
      </c>
      <c r="H41" s="7"/>
      <c r="I41" s="5"/>
      <c r="J41" s="30"/>
      <c r="K41" s="31"/>
      <c r="L41" s="31"/>
      <c r="M41" s="32"/>
      <c r="O41" s="19"/>
      <c r="P41" s="20"/>
      <c r="Q41" s="21"/>
    </row>
    <row r="42" spans="2:17" ht="33">
      <c r="B42" s="22" t="s">
        <v>7</v>
      </c>
      <c r="C42" s="5">
        <v>39</v>
      </c>
      <c r="D42" s="6" t="s">
        <v>187</v>
      </c>
      <c r="E42" s="6" t="s">
        <v>85</v>
      </c>
      <c r="F42" s="8" t="s">
        <v>188</v>
      </c>
      <c r="H42" s="7"/>
      <c r="I42" s="5"/>
      <c r="J42" s="30"/>
      <c r="K42" s="31"/>
      <c r="L42" s="31"/>
      <c r="M42" s="32"/>
      <c r="O42" s="19"/>
      <c r="P42" s="20"/>
      <c r="Q42" s="21"/>
    </row>
    <row r="43" spans="2:17" ht="82.5">
      <c r="B43" s="22" t="s">
        <v>7</v>
      </c>
      <c r="C43" s="5">
        <v>40</v>
      </c>
      <c r="D43" s="6" t="s">
        <v>189</v>
      </c>
      <c r="E43" s="6" t="s">
        <v>190</v>
      </c>
      <c r="F43" s="8" t="s">
        <v>191</v>
      </c>
      <c r="H43" s="7"/>
      <c r="I43" s="5"/>
      <c r="J43" s="30"/>
      <c r="K43" s="31"/>
      <c r="L43" s="31"/>
      <c r="M43" s="32"/>
      <c r="O43" s="19"/>
      <c r="P43" s="20"/>
      <c r="Q43" s="21"/>
    </row>
    <row r="44" spans="2:17" ht="66">
      <c r="B44" s="22" t="s">
        <v>7</v>
      </c>
      <c r="C44" s="5">
        <v>41</v>
      </c>
      <c r="D44" s="6" t="s">
        <v>192</v>
      </c>
      <c r="E44" s="6" t="s">
        <v>193</v>
      </c>
      <c r="F44" s="8" t="s">
        <v>194</v>
      </c>
      <c r="H44" s="7"/>
      <c r="I44" s="5"/>
      <c r="J44" s="30"/>
      <c r="K44" s="31"/>
      <c r="L44" s="31"/>
      <c r="M44" s="32"/>
      <c r="O44" s="19"/>
      <c r="P44" s="20"/>
      <c r="Q44" s="21"/>
    </row>
    <row r="45" spans="2:17" ht="49.5">
      <c r="B45" s="22" t="s">
        <v>7</v>
      </c>
      <c r="C45" s="5">
        <v>42</v>
      </c>
      <c r="D45" s="6" t="s">
        <v>195</v>
      </c>
      <c r="E45" s="6" t="s">
        <v>196</v>
      </c>
      <c r="F45" s="8" t="s">
        <v>197</v>
      </c>
      <c r="H45" s="7"/>
      <c r="I45" s="5"/>
      <c r="J45" s="30"/>
      <c r="K45" s="31"/>
      <c r="L45" s="31"/>
      <c r="M45" s="32"/>
      <c r="O45" s="19"/>
      <c r="P45" s="20"/>
      <c r="Q45" s="21"/>
    </row>
    <row r="46" spans="2:17" ht="82.5">
      <c r="B46" s="22" t="s">
        <v>7</v>
      </c>
      <c r="C46" s="5">
        <v>43</v>
      </c>
      <c r="D46" s="6" t="s">
        <v>198</v>
      </c>
      <c r="E46" s="6" t="s">
        <v>199</v>
      </c>
      <c r="F46" s="8" t="s">
        <v>200</v>
      </c>
      <c r="H46" s="7"/>
      <c r="I46" s="5"/>
      <c r="J46" s="30"/>
      <c r="K46" s="31"/>
      <c r="L46" s="31"/>
      <c r="M46" s="32"/>
      <c r="O46" s="19"/>
      <c r="P46" s="20"/>
      <c r="Q46" s="21"/>
    </row>
    <row r="47" spans="2:17">
      <c r="B47" s="22" t="s">
        <v>7</v>
      </c>
      <c r="C47" s="5">
        <v>44</v>
      </c>
      <c r="D47" s="6" t="s">
        <v>201</v>
      </c>
      <c r="E47" s="6" t="s">
        <v>64</v>
      </c>
      <c r="F47" s="8" t="s">
        <v>202</v>
      </c>
      <c r="H47" s="7"/>
      <c r="I47" s="5"/>
      <c r="J47" s="30"/>
      <c r="K47" s="31"/>
      <c r="L47" s="31"/>
      <c r="M47" s="32"/>
      <c r="O47" s="19"/>
      <c r="P47" s="20"/>
      <c r="Q47" s="21"/>
    </row>
    <row r="48" spans="2:17">
      <c r="B48" s="22" t="s">
        <v>7</v>
      </c>
      <c r="C48" s="5">
        <v>45</v>
      </c>
      <c r="D48" s="6" t="s">
        <v>203</v>
      </c>
      <c r="E48" s="6" t="s">
        <v>64</v>
      </c>
      <c r="F48" s="8" t="s">
        <v>204</v>
      </c>
      <c r="H48" s="7"/>
      <c r="I48" s="5"/>
      <c r="J48" s="30"/>
      <c r="K48" s="31"/>
      <c r="L48" s="31"/>
      <c r="M48" s="32"/>
      <c r="O48" s="19"/>
      <c r="P48" s="20"/>
      <c r="Q48" s="21"/>
    </row>
    <row r="49" spans="2:17" ht="49.5">
      <c r="B49" s="22" t="s">
        <v>7</v>
      </c>
      <c r="C49" s="5">
        <v>46</v>
      </c>
      <c r="D49" s="6" t="s">
        <v>205</v>
      </c>
      <c r="E49" s="6" t="s">
        <v>180</v>
      </c>
      <c r="F49" s="8" t="s">
        <v>206</v>
      </c>
      <c r="H49" s="7"/>
      <c r="I49" s="5"/>
      <c r="J49" s="30"/>
      <c r="K49" s="31"/>
      <c r="L49" s="31"/>
      <c r="M49" s="32"/>
      <c r="O49" s="19"/>
      <c r="P49" s="20"/>
      <c r="Q49" s="21"/>
    </row>
    <row r="50" spans="2:17" ht="33">
      <c r="B50" s="22" t="s">
        <v>7</v>
      </c>
      <c r="C50" s="5">
        <v>47</v>
      </c>
      <c r="D50" s="6" t="s">
        <v>207</v>
      </c>
      <c r="E50" s="6" t="s">
        <v>196</v>
      </c>
      <c r="F50" s="8" t="s">
        <v>208</v>
      </c>
      <c r="H50" s="7"/>
      <c r="I50" s="5"/>
      <c r="J50" s="30"/>
      <c r="K50" s="31"/>
      <c r="L50" s="31"/>
      <c r="M50" s="32"/>
      <c r="O50" s="19"/>
      <c r="P50" s="20"/>
      <c r="Q50" s="21"/>
    </row>
    <row r="51" spans="2:17" ht="33">
      <c r="B51" s="22" t="s">
        <v>7</v>
      </c>
      <c r="C51" s="5">
        <v>48</v>
      </c>
      <c r="D51" s="6" t="s">
        <v>209</v>
      </c>
      <c r="E51" s="6" t="s">
        <v>50</v>
      </c>
      <c r="F51" s="8" t="s">
        <v>210</v>
      </c>
      <c r="H51" s="7"/>
      <c r="I51" s="5"/>
      <c r="J51" s="30"/>
      <c r="K51" s="31"/>
      <c r="L51" s="31"/>
      <c r="M51" s="32"/>
      <c r="O51" s="19"/>
      <c r="P51" s="20"/>
      <c r="Q51" s="21"/>
    </row>
    <row r="52" spans="2:17">
      <c r="B52" s="22" t="s">
        <v>7</v>
      </c>
      <c r="C52" s="5">
        <v>49</v>
      </c>
      <c r="D52" s="6" t="s">
        <v>211</v>
      </c>
      <c r="E52" s="6" t="s">
        <v>212</v>
      </c>
      <c r="F52" s="8" t="s">
        <v>213</v>
      </c>
      <c r="H52" s="7"/>
      <c r="I52" s="5"/>
      <c r="J52" s="30"/>
      <c r="K52" s="31"/>
      <c r="L52" s="31"/>
      <c r="M52" s="32"/>
      <c r="O52" s="19"/>
      <c r="P52" s="20"/>
      <c r="Q52" s="21"/>
    </row>
    <row r="53" spans="2:17" ht="33">
      <c r="B53" s="22" t="s">
        <v>7</v>
      </c>
      <c r="C53" s="5">
        <v>50</v>
      </c>
      <c r="D53" s="6" t="s">
        <v>214</v>
      </c>
      <c r="E53" s="6" t="s">
        <v>85</v>
      </c>
      <c r="F53" s="8" t="s">
        <v>215</v>
      </c>
      <c r="H53" s="7"/>
      <c r="I53" s="5"/>
      <c r="J53" s="30"/>
      <c r="K53" s="31"/>
      <c r="L53" s="31"/>
      <c r="M53" s="32"/>
      <c r="O53" s="19"/>
      <c r="P53" s="20"/>
      <c r="Q53" s="21"/>
    </row>
    <row r="54" spans="2:17" ht="82.5">
      <c r="B54" s="22" t="s">
        <v>7</v>
      </c>
      <c r="C54" s="5">
        <v>51</v>
      </c>
      <c r="D54" s="6" t="s">
        <v>216</v>
      </c>
      <c r="E54" s="6" t="s">
        <v>217</v>
      </c>
      <c r="F54" s="8" t="s">
        <v>218</v>
      </c>
      <c r="H54" s="7"/>
      <c r="I54" s="5"/>
      <c r="J54" s="30"/>
      <c r="K54" s="31"/>
      <c r="L54" s="31"/>
      <c r="M54" s="32"/>
      <c r="O54" s="19"/>
      <c r="P54" s="20"/>
      <c r="Q54" s="21"/>
    </row>
    <row r="55" spans="2:17" ht="33">
      <c r="B55" s="22" t="s">
        <v>7</v>
      </c>
      <c r="C55" s="5">
        <v>52</v>
      </c>
      <c r="D55" s="6" t="s">
        <v>219</v>
      </c>
      <c r="E55" s="6" t="s">
        <v>64</v>
      </c>
      <c r="F55" s="8" t="s">
        <v>220</v>
      </c>
      <c r="H55" s="7"/>
      <c r="I55" s="5"/>
      <c r="J55" s="30"/>
      <c r="K55" s="31"/>
      <c r="L55" s="31"/>
      <c r="M55" s="32"/>
      <c r="O55" s="19"/>
      <c r="P55" s="20"/>
      <c r="Q55" s="21"/>
    </row>
    <row r="56" spans="2:17" ht="82.5">
      <c r="B56" s="22" t="s">
        <v>7</v>
      </c>
      <c r="C56" s="5">
        <v>53</v>
      </c>
      <c r="D56" s="6" t="s">
        <v>221</v>
      </c>
      <c r="E56" s="6" t="s">
        <v>222</v>
      </c>
      <c r="F56" s="8" t="s">
        <v>223</v>
      </c>
      <c r="H56" s="7"/>
      <c r="I56" s="5"/>
      <c r="J56" s="30"/>
      <c r="K56" s="31"/>
      <c r="L56" s="31"/>
      <c r="M56" s="32"/>
      <c r="O56" s="19"/>
      <c r="P56" s="20"/>
      <c r="Q56" s="21"/>
    </row>
  </sheetData>
  <mergeCells count="3">
    <mergeCell ref="B2:F2"/>
    <mergeCell ref="O2:Q2"/>
    <mergeCell ref="H2:M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B15" sqref="B15"/>
    </sheetView>
  </sheetViews>
  <sheetFormatPr defaultColWidth="9" defaultRowHeight="16.5"/>
  <cols>
    <col min="1" max="1" width="9" style="4"/>
    <col min="2" max="2" width="94.85546875" style="4" bestFit="1" customWidth="1"/>
    <col min="3" max="3" width="29.85546875" style="4" bestFit="1" customWidth="1"/>
    <col min="4" max="16384" width="9" style="4"/>
  </cols>
  <sheetData>
    <row r="1" spans="1:3" ht="17.25" thickBot="1">
      <c r="A1" s="2" t="s">
        <v>224</v>
      </c>
      <c r="B1" s="2" t="s">
        <v>23</v>
      </c>
      <c r="C1" s="2" t="s">
        <v>225</v>
      </c>
    </row>
    <row r="2" spans="1:3" ht="33">
      <c r="A2" s="4">
        <v>1</v>
      </c>
      <c r="B2" s="3" t="s">
        <v>226</v>
      </c>
      <c r="C2" s="4" t="s">
        <v>227</v>
      </c>
    </row>
    <row r="3" spans="1:3" ht="49.5">
      <c r="A3" s="4">
        <f>+A2+1</f>
        <v>2</v>
      </c>
      <c r="B3" s="3" t="s">
        <v>228</v>
      </c>
      <c r="C3" s="4" t="s">
        <v>227</v>
      </c>
    </row>
    <row r="4" spans="1:3">
      <c r="A4" s="4">
        <f>+A3+1</f>
        <v>3</v>
      </c>
      <c r="B4" s="4" t="s">
        <v>229</v>
      </c>
      <c r="C4" s="4" t="s">
        <v>230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92D4BB-A1B7-409C-B13C-812A698B41DC}"/>
</file>

<file path=customXml/itemProps2.xml><?xml version="1.0" encoding="utf-8"?>
<ds:datastoreItem xmlns:ds="http://schemas.openxmlformats.org/officeDocument/2006/customXml" ds:itemID="{7DFCA05F-4347-44A6-B952-C9A988DC63D2}"/>
</file>

<file path=docProps/app.xml><?xml version="1.0" encoding="utf-8"?>
<Properties xmlns="http://schemas.openxmlformats.org/officeDocument/2006/extended-properties" xmlns:vt="http://schemas.openxmlformats.org/officeDocument/2006/docPropsVTypes">
  <Application>Microsoft Excel Online</Application>
  <Manager/>
  <Company>Banco Santander Portugal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Nuno Capelão Mendes</dc:creator>
  <cp:keywords/>
  <dc:description/>
  <cp:lastModifiedBy>Luís Filipe da Silva Pragosa</cp:lastModifiedBy>
  <cp:revision/>
  <dcterms:created xsi:type="dcterms:W3CDTF">2024-06-24T08:49:13Z</dcterms:created>
  <dcterms:modified xsi:type="dcterms:W3CDTF">2024-10-21T08:38:54Z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2024-06-25T06:53:40Z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1719279f-019f-4843-bec0-ae41c5bda5cf</vt:lpwstr>
  </property>
  <property fmtid="{D5CDD505-2E9C-101B-9397-08002B2CF9AE}" pid="8" name="MSIP_Label_0c2abd79-57a9-4473-8700-c843f76a1e37_ContentBits">
    <vt:lpwstr>0</vt:lpwstr>
  </property>
</Properties>
</file>